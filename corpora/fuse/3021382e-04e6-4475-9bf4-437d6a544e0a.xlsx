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8" yWindow="-12" windowWidth="14436" windowHeight="12120"/>
  </bookViews>
  <sheets>
    <sheet name="Totals" sheetId="8" r:id="rId1"/>
    <sheet name="Drop-box" sheetId="7" r:id="rId2"/>
    <sheet name="Commercial" sheetId="6" r:id="rId3"/>
    <sheet name="SF Residential - COS" sheetId="10" r:id="rId4"/>
    <sheet name="SF Residential - Linear" sheetId="11" r:id="rId5"/>
  </sheets>
  <definedNames>
    <definedName name="_Toc443301354" localSheetId="3">'SF Residential - COS'!#REF!</definedName>
    <definedName name="_Toc443301354" localSheetId="4">'SF Residential - Linear'!#REF!</definedName>
    <definedName name="_xlnm.Print_Area" localSheetId="2">Commercial!$A$1:$R$172</definedName>
    <definedName name="_xlnm.Print_Area" localSheetId="1">'Drop-box'!$A$1:$P$89</definedName>
    <definedName name="_xlnm.Print_Area" localSheetId="3">'SF Residential - COS'!$A$1:$S$61</definedName>
    <definedName name="_xlnm.Print_Area" localSheetId="4">'SF Residential - Linear'!$A$1:$P$58</definedName>
    <definedName name="_xlnm.Print_Area" localSheetId="0">Totals!$A$1:$L$19</definedName>
    <definedName name="Print_Area_MI" localSheetId="3">'SF Residential - COS'!#REF!</definedName>
    <definedName name="Print_Area_MI" localSheetId="4">'SF Residential - Linear'!#REF!</definedName>
  </definedNames>
  <calcPr calcId="145621"/>
</workbook>
</file>

<file path=xl/calcChain.xml><?xml version="1.0" encoding="utf-8"?>
<calcChain xmlns="http://schemas.openxmlformats.org/spreadsheetml/2006/main">
  <c r="S20" i="10" l="1"/>
  <c r="Q20" i="10"/>
  <c r="P20" i="10"/>
  <c r="O20" i="10"/>
  <c r="N20" i="10"/>
  <c r="C38" i="10"/>
  <c r="C32" i="10"/>
  <c r="P12" i="11" l="1"/>
  <c r="P11" i="11"/>
  <c r="N12" i="11"/>
  <c r="M12" i="11"/>
  <c r="L12" i="11"/>
  <c r="N11" i="11"/>
  <c r="M11" i="11"/>
  <c r="L11" i="11"/>
  <c r="K12" i="11"/>
  <c r="K11" i="11"/>
  <c r="P16" i="11"/>
  <c r="P15" i="11"/>
  <c r="P14" i="11"/>
  <c r="N16" i="11"/>
  <c r="N15" i="11"/>
  <c r="N14" i="11"/>
  <c r="M16" i="11"/>
  <c r="M15" i="11"/>
  <c r="M14" i="11"/>
  <c r="L16" i="11"/>
  <c r="L15" i="11"/>
  <c r="L14" i="11"/>
  <c r="K16" i="11"/>
  <c r="K15" i="11"/>
  <c r="K14" i="11"/>
  <c r="M99" i="6"/>
  <c r="M157" i="6" s="1"/>
  <c r="G12" i="8" s="1"/>
  <c r="L99" i="6"/>
  <c r="L157" i="6" s="1"/>
  <c r="F12" i="8" s="1"/>
  <c r="F106" i="6" l="1"/>
  <c r="D74" i="7" l="1"/>
  <c r="E16" i="11" l="1"/>
  <c r="E15" i="11"/>
  <c r="E14" i="11"/>
  <c r="E12" i="11"/>
  <c r="E11" i="11"/>
  <c r="D19" i="11"/>
  <c r="F19" i="11" s="1"/>
  <c r="D16" i="11"/>
  <c r="F16" i="11" s="1"/>
  <c r="D15" i="11"/>
  <c r="F15" i="11" s="1"/>
  <c r="D14" i="11"/>
  <c r="D12" i="11"/>
  <c r="D11" i="11"/>
  <c r="F41" i="11"/>
  <c r="F40" i="11"/>
  <c r="F38" i="11"/>
  <c r="C38" i="11"/>
  <c r="B38" i="11"/>
  <c r="F37" i="11"/>
  <c r="F36" i="11"/>
  <c r="F35" i="11"/>
  <c r="F34" i="11"/>
  <c r="F33" i="11"/>
  <c r="F32" i="11"/>
  <c r="C32" i="11"/>
  <c r="B32" i="11"/>
  <c r="F30" i="11"/>
  <c r="F29" i="11"/>
  <c r="F28" i="11"/>
  <c r="F26" i="11"/>
  <c r="F25" i="11"/>
  <c r="C25" i="11"/>
  <c r="B25" i="11"/>
  <c r="F17" i="11"/>
  <c r="B17" i="11"/>
  <c r="F13" i="11"/>
  <c r="C13" i="11"/>
  <c r="B13" i="11"/>
  <c r="F42" i="11" l="1"/>
  <c r="K20" i="11"/>
  <c r="M20" i="11"/>
  <c r="L20" i="11"/>
  <c r="P20" i="11"/>
  <c r="P44" i="11" s="1"/>
  <c r="L19" i="8" s="1"/>
  <c r="N20" i="11"/>
  <c r="N44" i="11" s="1"/>
  <c r="G19" i="8" s="1"/>
  <c r="K44" i="11"/>
  <c r="C19" i="8" s="1"/>
  <c r="M44" i="11"/>
  <c r="F19" i="8" s="1"/>
  <c r="L44" i="11"/>
  <c r="D19" i="8" s="1"/>
  <c r="F11" i="11"/>
  <c r="F14" i="11"/>
  <c r="F12" i="11"/>
  <c r="F20" i="11" l="1"/>
  <c r="F44" i="11" s="1"/>
  <c r="B19" i="8" s="1"/>
  <c r="H19" i="8" s="1"/>
  <c r="J38" i="10"/>
  <c r="B38" i="10"/>
  <c r="J32" i="10"/>
  <c r="B32" i="10"/>
  <c r="J25" i="10"/>
  <c r="B25" i="10"/>
  <c r="J13" i="10"/>
  <c r="Q44" i="10" l="1"/>
  <c r="G11" i="8" s="1"/>
  <c r="P44" i="10"/>
  <c r="F11" i="8" s="1"/>
  <c r="S44" i="10"/>
  <c r="L11" i="8" s="1"/>
  <c r="O44" i="10"/>
  <c r="D11" i="8" s="1"/>
  <c r="D14" i="8" s="1"/>
  <c r="N44" i="10"/>
  <c r="C11" i="8" s="1"/>
  <c r="C14" i="8" s="1"/>
  <c r="R99" i="6"/>
  <c r="R157" i="6" s="1"/>
  <c r="Q99" i="6"/>
  <c r="Q157" i="6" s="1"/>
  <c r="K99" i="6"/>
  <c r="K157" i="6" s="1"/>
  <c r="P99" i="6"/>
  <c r="P157" i="6" s="1"/>
  <c r="K12" i="8" l="1"/>
  <c r="E12" i="8"/>
  <c r="L12" i="8"/>
  <c r="J12" i="8"/>
  <c r="F41" i="10"/>
  <c r="F40" i="10"/>
  <c r="F38" i="10"/>
  <c r="F37" i="10"/>
  <c r="F36" i="10"/>
  <c r="F35" i="10"/>
  <c r="F34" i="10"/>
  <c r="F33" i="10"/>
  <c r="F32" i="10"/>
  <c r="F30" i="10"/>
  <c r="F29" i="10"/>
  <c r="F28" i="10"/>
  <c r="F26" i="10"/>
  <c r="F25" i="10"/>
  <c r="F19" i="10"/>
  <c r="F17" i="10"/>
  <c r="B17" i="10"/>
  <c r="F16" i="10"/>
  <c r="F15" i="10"/>
  <c r="F14" i="10"/>
  <c r="F13" i="10"/>
  <c r="B13" i="10"/>
  <c r="F12" i="10"/>
  <c r="F11" i="10"/>
  <c r="F42" i="10" l="1"/>
  <c r="F20" i="10"/>
  <c r="F122" i="6"/>
  <c r="F118" i="6"/>
  <c r="F44" i="10" l="1"/>
  <c r="B11" i="8" s="1"/>
  <c r="H11" i="8" s="1"/>
  <c r="C27" i="7"/>
  <c r="B27" i="7"/>
  <c r="C26" i="7"/>
  <c r="B26" i="7"/>
  <c r="C25" i="7"/>
  <c r="B25" i="7"/>
  <c r="C24" i="7"/>
  <c r="B24" i="7"/>
  <c r="C22" i="7"/>
  <c r="C23" i="7"/>
  <c r="B23" i="7"/>
  <c r="C18" i="7"/>
  <c r="B18" i="7"/>
  <c r="C15" i="7"/>
  <c r="B15" i="7"/>
  <c r="C16" i="7"/>
  <c r="C14" i="7"/>
  <c r="C13" i="7"/>
  <c r="C12" i="7"/>
  <c r="C11" i="7"/>
  <c r="K37" i="7" l="1"/>
  <c r="K76" i="7" s="1"/>
  <c r="G13" i="8" s="1"/>
  <c r="G14" i="8" s="1"/>
  <c r="J37" i="7"/>
  <c r="J76" i="7" s="1"/>
  <c r="F13" i="8" s="1"/>
  <c r="F14" i="8" s="1"/>
  <c r="I37" i="7"/>
  <c r="N37" i="7"/>
  <c r="D37" i="7"/>
  <c r="P37" i="7"/>
  <c r="O37" i="7"/>
  <c r="F113" i="6"/>
  <c r="F111" i="6"/>
  <c r="F110" i="6"/>
  <c r="F109" i="6"/>
  <c r="F108" i="6"/>
  <c r="F107" i="6"/>
  <c r="F105" i="6"/>
  <c r="F104" i="6"/>
  <c r="P76" i="7" l="1"/>
  <c r="L13" i="8" s="1"/>
  <c r="L14" i="8" s="1"/>
  <c r="O76" i="7"/>
  <c r="K13" i="8" s="1"/>
  <c r="K14" i="8"/>
  <c r="I76" i="7"/>
  <c r="E13" i="8" s="1"/>
  <c r="N76" i="7"/>
  <c r="J13" i="8" s="1"/>
  <c r="J14" i="8" s="1"/>
  <c r="D76" i="7"/>
  <c r="B13" i="8" s="1"/>
  <c r="E14" i="8" l="1"/>
  <c r="H13" i="8"/>
  <c r="F15" i="6"/>
  <c r="F16" i="6"/>
  <c r="F154" i="6" l="1"/>
  <c r="F153" i="6"/>
  <c r="F152" i="6"/>
  <c r="F150" i="6"/>
  <c r="F149" i="6"/>
  <c r="F148" i="6"/>
  <c r="F147" i="6"/>
  <c r="F146" i="6"/>
  <c r="F145" i="6"/>
  <c r="F144" i="6"/>
  <c r="F142" i="6"/>
  <c r="F141" i="6"/>
  <c r="F140" i="6"/>
  <c r="F139" i="6"/>
  <c r="F137" i="6"/>
  <c r="F136" i="6"/>
  <c r="F135" i="6"/>
  <c r="F134" i="6"/>
  <c r="F133" i="6"/>
  <c r="F132" i="6"/>
  <c r="F131" i="6"/>
  <c r="F129" i="6"/>
  <c r="F121" i="6"/>
  <c r="F120" i="6"/>
  <c r="F119" i="6"/>
  <c r="F117" i="6"/>
  <c r="F116" i="6"/>
  <c r="F115" i="6"/>
  <c r="F58" i="6"/>
  <c r="F17" i="6" l="1"/>
  <c r="F11" i="6"/>
  <c r="F18" i="6" l="1"/>
  <c r="F22" i="6"/>
  <c r="F93" i="6"/>
  <c r="F82" i="6"/>
  <c r="F81" i="6"/>
  <c r="F66" i="6"/>
  <c r="F63" i="6"/>
  <c r="F62" i="6"/>
  <c r="F61" i="6"/>
  <c r="F60" i="6"/>
  <c r="F59" i="6"/>
  <c r="F57" i="6"/>
  <c r="F14" i="6" l="1"/>
  <c r="F95" i="6"/>
  <c r="F97" i="6"/>
  <c r="F52" i="6"/>
  <c r="F50" i="6"/>
  <c r="F88" i="6"/>
  <c r="F85" i="6"/>
  <c r="F13" i="6"/>
  <c r="F38" i="6"/>
  <c r="F34" i="6"/>
  <c r="F31" i="6"/>
  <c r="F26" i="6"/>
  <c r="F42" i="6"/>
  <c r="F77" i="6"/>
  <c r="F74" i="6"/>
  <c r="F91" i="6"/>
  <c r="F90" i="6"/>
  <c r="F12" i="6"/>
  <c r="F20" i="6"/>
  <c r="F19" i="6"/>
  <c r="F125" i="6"/>
  <c r="F36" i="6"/>
  <c r="F39" i="6"/>
  <c r="F76" i="6"/>
  <c r="F78" i="6"/>
  <c r="F35" i="6"/>
  <c r="F28" i="6"/>
  <c r="F75" i="6"/>
  <c r="F79" i="6"/>
  <c r="F53" i="6"/>
  <c r="F51" i="6"/>
  <c r="F37" i="6"/>
  <c r="F87" i="6"/>
  <c r="F92" i="6"/>
  <c r="F69" i="6"/>
  <c r="F49" i="6"/>
  <c r="F54" i="6"/>
  <c r="F29" i="6"/>
  <c r="F65" i="6"/>
  <c r="F70" i="6"/>
  <c r="F83" i="6"/>
  <c r="F98" i="6"/>
  <c r="F55" i="6"/>
  <c r="F25" i="6"/>
  <c r="F30" i="6"/>
  <c r="F67" i="6"/>
  <c r="F71" i="6"/>
  <c r="F96" i="6"/>
  <c r="F33" i="6"/>
  <c r="F27" i="6"/>
  <c r="F68" i="6"/>
  <c r="F94" i="6"/>
  <c r="F73" i="6" l="1"/>
  <c r="F127" i="6"/>
  <c r="F84" i="6"/>
  <c r="F89" i="6"/>
  <c r="F47" i="6"/>
  <c r="F46" i="6"/>
  <c r="F45" i="6"/>
  <c r="F124" i="6"/>
  <c r="F155" i="6" s="1"/>
  <c r="F41" i="6"/>
  <c r="F44" i="6"/>
  <c r="F43" i="6"/>
  <c r="F86" i="6"/>
  <c r="F126" i="6"/>
  <c r="F23" i="6"/>
  <c r="F99" i="6" l="1"/>
  <c r="F157" i="6" l="1"/>
  <c r="B12" i="8" s="1"/>
  <c r="H12" i="8" s="1"/>
  <c r="H14" i="8" s="1"/>
  <c r="B14" i="8" l="1"/>
</calcChain>
</file>

<file path=xl/sharedStrings.xml><?xml version="1.0" encoding="utf-8"?>
<sst xmlns="http://schemas.openxmlformats.org/spreadsheetml/2006/main" count="636" uniqueCount="312">
  <si>
    <t>Total</t>
  </si>
  <si>
    <t>Service</t>
  </si>
  <si>
    <t>Fee</t>
  </si>
  <si>
    <t>RESIDENTIAL SERVICES</t>
  </si>
  <si>
    <t xml:space="preserve">   1 12 Cu. Yd. Container</t>
  </si>
  <si>
    <t xml:space="preserve">   1 35 Cu. Yd. Container</t>
  </si>
  <si>
    <t xml:space="preserve">   1 10 Cu. Yd. Container</t>
  </si>
  <si>
    <t xml:space="preserve">   1 15 Cu. Yd. Container</t>
  </si>
  <si>
    <t xml:space="preserve">   1 20 Cu. Yd. Container</t>
  </si>
  <si>
    <t xml:space="preserve">   1 25 Cu. Yd. Container</t>
  </si>
  <si>
    <t xml:space="preserve">   1 30 Cu. Yd. Container</t>
  </si>
  <si>
    <t xml:space="preserve">   1 40 Cu. Yd. Container</t>
  </si>
  <si>
    <t xml:space="preserve">CITY OF BELLEVUE </t>
  </si>
  <si>
    <t>Garbage Service Fees</t>
  </si>
  <si>
    <t xml:space="preserve">  1 20 Gallon Cart</t>
  </si>
  <si>
    <t xml:space="preserve">  1 32 Gallon Cart</t>
  </si>
  <si>
    <t>Count</t>
  </si>
  <si>
    <t>yellow is a contractor modifiable field</t>
  </si>
  <si>
    <t>Monthly Rates for Weekly Service, except where noted</t>
  </si>
  <si>
    <t>Disposal</t>
  </si>
  <si>
    <t>Collection</t>
  </si>
  <si>
    <t>Proposed</t>
  </si>
  <si>
    <t># of Customers</t>
  </si>
  <si>
    <t># of Containers</t>
  </si>
  <si>
    <t>1 32 Gal Can (first can)</t>
  </si>
  <si>
    <t xml:space="preserve">  each additional can</t>
  </si>
  <si>
    <t xml:space="preserve"> each additional cart</t>
  </si>
  <si>
    <t>1 Yard</t>
  </si>
  <si>
    <t xml:space="preserve"> 1 yard (on call, per pickup)</t>
  </si>
  <si>
    <t xml:space="preserve"> 1 pickup weekly (per container)</t>
  </si>
  <si>
    <t xml:space="preserve"> 2 pickups weekly (per container)</t>
  </si>
  <si>
    <t xml:space="preserve"> 3 pickups weekly (per container)</t>
  </si>
  <si>
    <t xml:space="preserve"> 4 pickups weekly (per container)</t>
  </si>
  <si>
    <t xml:space="preserve"> 5 pickups weekly (per container)</t>
  </si>
  <si>
    <t xml:space="preserve"> 6 pickups weekly (per container)</t>
  </si>
  <si>
    <t>1.25 Yard</t>
  </si>
  <si>
    <t xml:space="preserve"> 1.25 yard (on call, per pickup)</t>
  </si>
  <si>
    <t>2 Yard</t>
  </si>
  <si>
    <t xml:space="preserve"> 2 yard (on call, per pickup)</t>
  </si>
  <si>
    <t>3 Yard</t>
  </si>
  <si>
    <t xml:space="preserve"> 3 yard (on call, per pickup)</t>
  </si>
  <si>
    <t>4 Yard</t>
  </si>
  <si>
    <t xml:space="preserve"> 4 yard (on call, per pickup)</t>
  </si>
  <si>
    <t>6 Yard</t>
  </si>
  <si>
    <t xml:space="preserve"> 6 yard (on call, per pickup)</t>
  </si>
  <si>
    <t>8 Yard</t>
  </si>
  <si>
    <t xml:space="preserve"> 8 yard (on call, per pickup)</t>
  </si>
  <si>
    <t>Compacted Containers:</t>
  </si>
  <si>
    <t>1 pickup weekly 1 Cu Yard (per container)</t>
  </si>
  <si>
    <t xml:space="preserve"> 1 pickup weekly 1.5 Cu Yard (per container)</t>
  </si>
  <si>
    <t xml:space="preserve"> Every Other week 2 Cu Yard (per container)</t>
  </si>
  <si>
    <t xml:space="preserve"> 1 pickup weekly 2 Cu Yard (per container)</t>
  </si>
  <si>
    <t xml:space="preserve"> 2 pickups weekly 2 Cu Yard (per container) </t>
  </si>
  <si>
    <t xml:space="preserve"> 3 pickups weekly 2 Cu Yard (per container)</t>
  </si>
  <si>
    <t xml:space="preserve"> 4 pickups weekly 2 Cu Yard (per container) </t>
  </si>
  <si>
    <t xml:space="preserve"> 6 pickups weekly 2 Cu Yard (per container) </t>
  </si>
  <si>
    <t xml:space="preserve"> 1 pickup weekly 3 Cu Yard (per container)</t>
  </si>
  <si>
    <t xml:space="preserve"> 2 pickups weekly 3 Cu Yard (per container) </t>
  </si>
  <si>
    <t xml:space="preserve"> 1 pickup weekly 4 Cu Yard (per container) </t>
  </si>
  <si>
    <t xml:space="preserve"> 2 pickups weekly 4 Cu Yard (per container) </t>
  </si>
  <si>
    <t xml:space="preserve"> Every Other week 6 Cu Yard (per container)</t>
  </si>
  <si>
    <t xml:space="preserve"> 1 pickup weekly 6 Cu Yard (per container) </t>
  </si>
  <si>
    <t xml:space="preserve"> 2 pickups weekly 6 Cu Yard (per container)</t>
  </si>
  <si>
    <t xml:space="preserve">     Monthly Rates    </t>
  </si>
  <si>
    <t>Hauls/Month</t>
  </si>
  <si>
    <t># Containers</t>
  </si>
  <si>
    <t>Noncompacted Permanent Service</t>
  </si>
  <si>
    <t>Compacted Permanent Service</t>
  </si>
  <si>
    <t xml:space="preserve">  Redelivery Fee (carts)</t>
  </si>
  <si>
    <t>Miscellaneous Fees per item:</t>
  </si>
  <si>
    <t xml:space="preserve">  Return Trip</t>
  </si>
  <si>
    <t xml:space="preserve">  Drive-in - monthly fee</t>
  </si>
  <si>
    <t xml:space="preserve">  Carryout (each 25') - monthly fee</t>
  </si>
  <si>
    <t xml:space="preserve">  Redelivery</t>
  </si>
  <si>
    <t xml:space="preserve">  Disconnect Hydraulics</t>
  </si>
  <si>
    <t xml:space="preserve">  Unlock Container</t>
  </si>
  <si>
    <t xml:space="preserve">  Steam Cleaning (per yard)</t>
  </si>
  <si>
    <t>Additional Services:</t>
  </si>
  <si>
    <t xml:space="preserve">  Pressure Washing (per yard)</t>
  </si>
  <si>
    <t xml:space="preserve">  Standby Time (per minute)</t>
  </si>
  <si>
    <t>Hourly Rates:</t>
  </si>
  <si>
    <t xml:space="preserve">  Rear/Side Load Packer &amp; Driver</t>
  </si>
  <si>
    <t xml:space="preserve">  Front Load Packer &amp; Driver</t>
  </si>
  <si>
    <t xml:space="preserve">  Emergency: Load and Operator</t>
  </si>
  <si>
    <t xml:space="preserve">  Additional Labor (per person)</t>
  </si>
  <si>
    <t xml:space="preserve">  Litter Collection</t>
  </si>
  <si>
    <t>Cart Rental (Residential and Commercial):</t>
  </si>
  <si>
    <t xml:space="preserve">  1-32 Gal Cart Rental (per month)</t>
  </si>
  <si>
    <t xml:space="preserve">  Emergency: Transfer Trailer and Driver</t>
  </si>
  <si>
    <t xml:space="preserve">  Temp 2 Yard Container (daily rental)</t>
  </si>
  <si>
    <t xml:space="preserve">  Temp 4 Yard Container (daily rental)</t>
  </si>
  <si>
    <t xml:space="preserve">  Temp 6 Yard Container (daily rental)</t>
  </si>
  <si>
    <t xml:space="preserve">  Temp 2 Yard Container (monthly rental)</t>
  </si>
  <si>
    <t xml:space="preserve">  Temp 4 Yard Container (monthly rental)</t>
  </si>
  <si>
    <t xml:space="preserve">  Temp 6 Yard Container (monthly rental)</t>
  </si>
  <si>
    <t xml:space="preserve">  Temp 2 Yard Container (haul fee)</t>
  </si>
  <si>
    <t xml:space="preserve">  Temp 4 Yard Container (haul fee)</t>
  </si>
  <si>
    <t xml:space="preserve">  Temp 6 Yard Container (haul fee)</t>
  </si>
  <si>
    <t xml:space="preserve">  Delivery Charge (all sizes)</t>
  </si>
  <si>
    <t xml:space="preserve">   1 10 Cu. Yd. Daily Rental</t>
  </si>
  <si>
    <t xml:space="preserve">   1 12 Cu. Yd. Daily Rental</t>
  </si>
  <si>
    <t xml:space="preserve">   1 15 Cu. Yd. Daily Rental</t>
  </si>
  <si>
    <t xml:space="preserve">   1 20 Cu. Yd. Daily Rental</t>
  </si>
  <si>
    <t xml:space="preserve">   1 25 Cu. Yd. Daily Rental</t>
  </si>
  <si>
    <t xml:space="preserve">   1 30 Cu. Yd. Daily Rental</t>
  </si>
  <si>
    <t xml:space="preserve">   1 40 Cu. Yd. Daily Rental</t>
  </si>
  <si>
    <t xml:space="preserve">   1 10 Cu. Yd. Monthly Rental</t>
  </si>
  <si>
    <t xml:space="preserve">   1 12 Cu. Yd. Monthly Rental</t>
  </si>
  <si>
    <t xml:space="preserve">   1 15 Cu. Yd. Monthly Rental</t>
  </si>
  <si>
    <t xml:space="preserve">   1 20 Cu. Yd. Monthly Rental</t>
  </si>
  <si>
    <t xml:space="preserve">   1 25 Cu. Yd. Monthly Rental</t>
  </si>
  <si>
    <t xml:space="preserve">   1 30 Cu. Yd. Monthly Rental</t>
  </si>
  <si>
    <t xml:space="preserve">   1 40 Cu. Yd. Monthly Rental</t>
  </si>
  <si>
    <t xml:space="preserve">   1 10 Cu. Yd. Haul Fee</t>
  </si>
  <si>
    <t xml:space="preserve">   1 12 Cu. Yd. Haul Fee</t>
  </si>
  <si>
    <t xml:space="preserve">   1 15 Cu. Yd. Haul Fee</t>
  </si>
  <si>
    <t xml:space="preserve">   1 20 Cu. Yd. Haul Fee</t>
  </si>
  <si>
    <t xml:space="preserve">   1 25 Cu. Yd. Haul Fee</t>
  </si>
  <si>
    <t xml:space="preserve">   1 30 Cu. Yd. Haul Fee</t>
  </si>
  <si>
    <t xml:space="preserve">   1 40 Cu. Yd. Haul Fee</t>
  </si>
  <si>
    <t xml:space="preserve">   Owner-used garbage can surcharge (per can per month)</t>
  </si>
  <si>
    <t>Extra Organics Service:</t>
  </si>
  <si>
    <t xml:space="preserve">  Extra 96 Gallon Organics Cart rental, per month</t>
  </si>
  <si>
    <t xml:space="preserve">  1 10 Gallon Micro-Can</t>
  </si>
  <si>
    <t>Bulky Waste Collection:</t>
  </si>
  <si>
    <t xml:space="preserve">  On Call - per item per pickup</t>
  </si>
  <si>
    <t>Notes:</t>
  </si>
  <si>
    <t xml:space="preserve">  Bear-Proof Cart Surcharge (per cart per month)</t>
  </si>
  <si>
    <t>2. King County garbage tip fee for 2013-2014 as approved by King County Council is $120.17 per ton.</t>
  </si>
  <si>
    <t>Commercial</t>
  </si>
  <si>
    <t>Potential Contractor's Proposed Annual Solid Waste Collection Fee Revenue</t>
  </si>
  <si>
    <t xml:space="preserve"> 1-96 Gal Cart, (on call, per pickup)</t>
  </si>
  <si>
    <t xml:space="preserve">  1 64 Gallon Cart</t>
  </si>
  <si>
    <t xml:space="preserve">  1 96 Gallon Cart</t>
  </si>
  <si>
    <t xml:space="preserve">  1-64 Gal Cart Rental (per month)</t>
  </si>
  <si>
    <t xml:space="preserve">  1-96 Gal Cart Rental (per month)</t>
  </si>
  <si>
    <t xml:space="preserve">  Carryout (each 25') - monthly fee per can/cart</t>
  </si>
  <si>
    <t xml:space="preserve">  Quarterly Bulky Waste Pickup - per item, four or fewer items</t>
  </si>
  <si>
    <t xml:space="preserve">  Extra Can/Bag/Bundle &gt;6 units per week, per unit</t>
  </si>
  <si>
    <t xml:space="preserve">  1 45 Gallon Cart</t>
  </si>
  <si>
    <t>1 32 Gal Cart (first cart)</t>
  </si>
  <si>
    <t>1 64 Gal Cart (first cart)</t>
  </si>
  <si>
    <t>1 96 Gal Cart (first cart)</t>
  </si>
  <si>
    <t>1 45 Gal Cart (first cart)</t>
  </si>
  <si>
    <t xml:space="preserve"> 1-96 Gal Cart, weekly collection</t>
  </si>
  <si>
    <t xml:space="preserve"> 1-2 Cu Yard, weekly collection</t>
  </si>
  <si>
    <t xml:space="preserve"> 1-1 Cu Yard, weekly collection</t>
  </si>
  <si>
    <t xml:space="preserve"> 1-3 Cu Yard, weekly collection</t>
  </si>
  <si>
    <t xml:space="preserve"> 1-4 Cu Yard, weekly collection</t>
  </si>
  <si>
    <t xml:space="preserve"> 1-6 Cu Yard, weekly collection</t>
  </si>
  <si>
    <t xml:space="preserve"> 1-8 Cu Yard, weekly collection</t>
  </si>
  <si>
    <t xml:space="preserve">   1 10 Cu. Yd. Non-compacted Container</t>
  </si>
  <si>
    <t xml:space="preserve">   1 10 Cu. Yd. Compacted Container</t>
  </si>
  <si>
    <t xml:space="preserve"> 1 extra Cu Yard of Organics</t>
  </si>
  <si>
    <t>Extra Uncompacted Cu Yard or overweight (each/pickup)</t>
  </si>
  <si>
    <t>Extra 32 Gal can/bag or overweight (each/pickup)</t>
  </si>
  <si>
    <t xml:space="preserve">  1 32 gallon equivalent "extra" or overweight, per item</t>
  </si>
  <si>
    <t xml:space="preserve">   1 20 Cu. Yd. Non-compacted Container</t>
  </si>
  <si>
    <t xml:space="preserve">   1 20 Cu. Yd. Compacted Container</t>
  </si>
  <si>
    <t>Recycling Only/Organics Only Weekly Services:</t>
  </si>
  <si>
    <t xml:space="preserve">  Recycling Only</t>
  </si>
  <si>
    <t xml:space="preserve">  Organics Only</t>
  </si>
  <si>
    <t xml:space="preserve">  Recycling &amp; Organics Only</t>
  </si>
  <si>
    <t xml:space="preserve">  Roll-Out Container  - monthly fee per container</t>
  </si>
  <si>
    <t>Container</t>
  </si>
  <si>
    <t xml:space="preserve">  Temp 8 Yard Container (haul fee)</t>
  </si>
  <si>
    <t xml:space="preserve">  Temp 8 Yard Container (daily rental)</t>
  </si>
  <si>
    <t xml:space="preserve">  Temp 8 Yard Container (monthly rental)</t>
  </si>
  <si>
    <t>Organics Collection</t>
  </si>
  <si>
    <t>Monthly Rental Fee</t>
  </si>
  <si>
    <t xml:space="preserve">      Subtotal: Annual Revenue for Other Services</t>
  </si>
  <si>
    <t>Fee/Haul</t>
  </si>
  <si>
    <t xml:space="preserve">   Delivery (all sizes) Fee</t>
  </si>
  <si>
    <t>Deliveries/Month</t>
  </si>
  <si>
    <t>Fee/Delivery</t>
  </si>
  <si>
    <t>Yards/Month</t>
  </si>
  <si>
    <t>WUTC Fee</t>
  </si>
  <si>
    <t>Unlimited</t>
  </si>
  <si>
    <t>Recycling</t>
  </si>
  <si>
    <t>COMMERCIAL/MULTIFAMILY SERVICES</t>
  </si>
  <si>
    <t>Small Appliance,</t>
  </si>
  <si>
    <t xml:space="preserve">Electronics, </t>
  </si>
  <si>
    <t>&amp; Textiles</t>
  </si>
  <si>
    <t>Organics</t>
  </si>
  <si>
    <t>Cart/Week</t>
  </si>
  <si>
    <t>1 96 Gallon</t>
  </si>
  <si>
    <t>Limit</t>
  </si>
  <si>
    <t xml:space="preserve">Recycling - </t>
  </si>
  <si>
    <t xml:space="preserve">Service </t>
  </si>
  <si>
    <t>Multifamily On-Call</t>
  </si>
  <si>
    <t xml:space="preserve">  Annual Revenue Increase/(Decrease)</t>
  </si>
  <si>
    <t>for Other</t>
  </si>
  <si>
    <t>Services</t>
  </si>
  <si>
    <t xml:space="preserve">      except that -- 2 hauls per month is assumed for permanent on-call customers, and where demand for service was zero</t>
  </si>
  <si>
    <t>SF Residential - COS Rates</t>
  </si>
  <si>
    <t>SF Residential - Linear Rates</t>
  </si>
  <si>
    <t>1. Only yellow shaded cells on this sheet are modifiable.</t>
  </si>
  <si>
    <t xml:space="preserve">      where demand for service was zero in December a line item demand of 1 is assumed.</t>
  </si>
  <si>
    <t xml:space="preserve">     where actual demand for other services is unknown a line item demand of 1 is assumed. </t>
  </si>
  <si>
    <t>Commercial/Multifamily Cart/Container</t>
  </si>
  <si>
    <r>
      <t xml:space="preserve">                                   </t>
    </r>
    <r>
      <rPr>
        <b/>
        <sz val="12"/>
        <rFont val="Arial MT"/>
      </rPr>
      <t>Total Annual Commercial/Multifamily Cart/Container Revenue</t>
    </r>
  </si>
  <si>
    <t>Monthly Service Fee</t>
  </si>
  <si>
    <t>Fee/Extra</t>
  </si>
  <si>
    <t>Extras/Month</t>
  </si>
  <si>
    <t>Items/Month</t>
  </si>
  <si>
    <t>Fee/Item</t>
  </si>
  <si>
    <t>-</t>
  </si>
  <si>
    <t>Current</t>
  </si>
  <si>
    <t>Misses</t>
  </si>
  <si>
    <t>Saturday</t>
  </si>
  <si>
    <t>for Friday</t>
  </si>
  <si>
    <t xml:space="preserve">Additional </t>
  </si>
  <si>
    <t>Recyclables</t>
  </si>
  <si>
    <t>Collect</t>
  </si>
  <si>
    <t>Where</t>
  </si>
  <si>
    <t>Feasible</t>
  </si>
  <si>
    <t>5. Proposed garbage service fees include weekly curbside recycling at no additional charge.</t>
  </si>
  <si>
    <t>6. Proposed garbage service fees include weekly curbside collection of organics at no additional charge.</t>
  </si>
  <si>
    <t>Not Applicable</t>
  </si>
  <si>
    <t>Opportunities</t>
  </si>
  <si>
    <t>In-City Customer</t>
  </si>
  <si>
    <t>per Contract</t>
  </si>
  <si>
    <t>Section 3.3.2.1</t>
  </si>
  <si>
    <t xml:space="preserve">      except that -- where actual demand for other services is unknown, a line item demand of 1 is assumed.</t>
  </si>
  <si>
    <t xml:space="preserve">      in December, a line item demand of 1 is assumed. </t>
  </si>
  <si>
    <t xml:space="preserve">  Proposal  Total </t>
  </si>
  <si>
    <t>Base Proposal</t>
  </si>
  <si>
    <t>Residential Linear Rates Structure Proposal</t>
  </si>
  <si>
    <t xml:space="preserve">  Solid Drop Box Lid Charge (per month)</t>
  </si>
  <si>
    <t>Temporary Front Load Container Collection</t>
  </si>
  <si>
    <t>Noncompacted Permanent Vactor/Street Sweeping Wastes Service</t>
  </si>
  <si>
    <t>Garbage and Organics Service Fees</t>
  </si>
  <si>
    <t>5. Proposed garbage service fees include on-site limited recycling collection for Commercial Customers and unlimited</t>
  </si>
  <si>
    <t xml:space="preserve">     recycling collection for Multifamily Complex Customers at no additional charge.</t>
  </si>
  <si>
    <t xml:space="preserve">      recycling collection for Multifamily Complex Customers at no additional charge.</t>
  </si>
  <si>
    <t>Single-family Cost-of-Service</t>
  </si>
  <si>
    <t>Single-family Linear</t>
  </si>
  <si>
    <t>Single-family</t>
  </si>
  <si>
    <r>
      <rPr>
        <b/>
        <sz val="14"/>
        <rFont val="Arial MT"/>
      </rPr>
      <t>*</t>
    </r>
    <r>
      <rPr>
        <b/>
        <sz val="12"/>
        <rFont val="Arial MT"/>
      </rPr>
      <t xml:space="preserve">"Other sites" means sites other than those, such as Factoria Transfer Station or Houghton Transfer Station, where garbage </t>
    </r>
  </si>
  <si>
    <t xml:space="preserve">       is traditionally hauled, and billing this charge to a customer requires the prior written approval of the City. </t>
  </si>
  <si>
    <r>
      <t xml:space="preserve">  </t>
    </r>
    <r>
      <rPr>
        <sz val="11"/>
        <rFont val="Arial"/>
        <family val="2"/>
      </rPr>
      <t>Additional Mileage Charge for Hauls to Other Sites</t>
    </r>
    <r>
      <rPr>
        <b/>
        <sz val="14"/>
        <rFont val="Arial MT"/>
      </rPr>
      <t>*</t>
    </r>
  </si>
  <si>
    <t>Totals Worksheet</t>
  </si>
  <si>
    <t>Commercial/Multifamily Worksheet</t>
  </si>
  <si>
    <t>Single-family Residential -- Cost-of-Service Rates Worksheet</t>
  </si>
  <si>
    <t>Single-family Residential -- Linear Rates Worksheet</t>
  </si>
  <si>
    <t>Commercial/Multifamily Drop-box</t>
  </si>
  <si>
    <t>Drop-box Worksheet</t>
  </si>
  <si>
    <t>Permanent Drop-box Rental</t>
  </si>
  <si>
    <t>Organics Drop-box Haul</t>
  </si>
  <si>
    <t>Temporary Drop-box</t>
  </si>
  <si>
    <t xml:space="preserve">                            Total Annual Commercial/Multifamily Drop-box Revenue</t>
  </si>
  <si>
    <t xml:space="preserve">  Drop-box Truck &amp; Driver</t>
  </si>
  <si>
    <t>Billing</t>
  </si>
  <si>
    <t>On-Line Account</t>
  </si>
  <si>
    <t>Management &amp;</t>
  </si>
  <si>
    <t>Electronic</t>
  </si>
  <si>
    <t>Service Fee Increase/(Decrease) for Key Service Enhancements</t>
  </si>
  <si>
    <t>6 Days a Week</t>
  </si>
  <si>
    <t>Staffed</t>
  </si>
  <si>
    <t>Call Center</t>
  </si>
  <si>
    <t>New Service Options Proposals</t>
  </si>
  <si>
    <t>Annual Revenue Increase/(Decrease)</t>
  </si>
  <si>
    <t>New Service Options Proposals for Residential Linear Rates Structure</t>
  </si>
  <si>
    <t>Total Proposal</t>
  </si>
  <si>
    <t xml:space="preserve">                                                                         Note: Green shaded cell shows proponent's total revenue for proposal cost scoring comparison.</t>
  </si>
  <si>
    <t>Service Fee Increase/(Decrease) for New Service Options</t>
  </si>
  <si>
    <t xml:space="preserve">      Subtotal: Annual Revenue for Collection Services</t>
  </si>
  <si>
    <t>Annual Revenue for Solid Waste Collection &amp; Other Services</t>
  </si>
  <si>
    <t>Enhancements</t>
  </si>
  <si>
    <t>Annual Revenue</t>
  </si>
  <si>
    <t>for Base Proposal</t>
  </si>
  <si>
    <t>&amp; Key</t>
  </si>
  <si>
    <t>Proposals</t>
  </si>
  <si>
    <t>Count for</t>
  </si>
  <si>
    <t>City</t>
  </si>
  <si>
    <t>Estimated</t>
  </si>
  <si>
    <t>Fee/Haul Increase/(Decrease) for Key Service Enhancements</t>
  </si>
  <si>
    <t>Fee/Haul Increase/(Decrease) for New Service Options</t>
  </si>
  <si>
    <t>Fee/Yard</t>
  </si>
  <si>
    <t>New Service Options Totals</t>
  </si>
  <si>
    <t>Base Proposal Total</t>
  </si>
  <si>
    <t>Key Service Enhancements Totals</t>
  </si>
  <si>
    <t>3. Customer, haul trip and container counts for basic services are based on Allied-Republic December 2012 Bellevue Report,</t>
  </si>
  <si>
    <t xml:space="preserve">4.  Haul trip, container counts and item counts for other services are based on Allied-Republic average counts where available, </t>
  </si>
  <si>
    <t>5. Proposed per haul service fees include on-site limited recycling collection for Commercial Customers and unlimited</t>
  </si>
  <si>
    <t>6. WUTC Fee is the average fee charged by Sno-King and Eastside Disposal  in unincorporated King County areas adjacent</t>
  </si>
  <si>
    <t xml:space="preserve">       to Bellevue; no fee is shown for services that are not listed on current WUTC tariffs for these companies.</t>
  </si>
  <si>
    <t>3. Customer and container counts for basic services are based on Allied-Republic December 2012 Bellevue Report, except that --</t>
  </si>
  <si>
    <t>4.  Container counts and item counts for other services are based on Allied-Republic average counts where available, except that --</t>
  </si>
  <si>
    <t xml:space="preserve">       to Bellevue; no fee is shown for services that are not not listed on current WUTC tariffs for these companies.</t>
  </si>
  <si>
    <t>New Service Option Total</t>
  </si>
  <si>
    <t>Service Fee Increase/(Decrease) for New Service Option</t>
  </si>
  <si>
    <r>
      <t>Scoring</t>
    </r>
    <r>
      <rPr>
        <b/>
        <vertAlign val="superscript"/>
        <sz val="12"/>
        <rFont val="Arial MT"/>
      </rPr>
      <t>1</t>
    </r>
  </si>
  <si>
    <t>Footnotes:</t>
  </si>
  <si>
    <t>General Notes:</t>
  </si>
  <si>
    <r>
      <t>1</t>
    </r>
    <r>
      <rPr>
        <b/>
        <sz val="12"/>
        <rFont val="Arial MT"/>
      </rPr>
      <t>Estimated container counts are for scoring and comparison purposes only. Counts are based on review of container size</t>
    </r>
  </si>
  <si>
    <t xml:space="preserve">       distributions in neighboring jurisdictions. These count estimates have not been statistically validated.</t>
  </si>
  <si>
    <t>Informational</t>
  </si>
  <si>
    <t>For</t>
  </si>
  <si>
    <t>Purposes:</t>
  </si>
  <si>
    <r>
      <t>Count</t>
    </r>
    <r>
      <rPr>
        <b/>
        <vertAlign val="superscript"/>
        <sz val="12"/>
        <rFont val="Arial MT"/>
      </rPr>
      <t>2</t>
    </r>
  </si>
  <si>
    <t>3. Current container counts for basic services are based on Allied-Republic December 2012 Bellevue Report; container count for cans</t>
  </si>
  <si>
    <t>4.  Item counts for other services are based on Allied-Republic average counts where available, except that --</t>
  </si>
  <si>
    <t>7. WUTC Fee is the average fee charged by Sno-King and Eastside Disposal  in unincorporated King County areas adjacent</t>
  </si>
  <si>
    <t>Annual Revenue Increase/(Decrease) for Key Service Enhancements</t>
  </si>
  <si>
    <t>Key Service Enhancements Proposals</t>
  </si>
  <si>
    <t>Key Service Enhancements Proposals for Residential Linear Rates Structure</t>
  </si>
  <si>
    <r>
      <t>2</t>
    </r>
    <r>
      <rPr>
        <b/>
        <sz val="12"/>
        <rFont val="Arial MT"/>
      </rPr>
      <t>Proponent estimates of container counts for informational purposes only; these estimates will not be used in scoring of proposals.</t>
    </r>
  </si>
  <si>
    <t>Linear Proposal Total</t>
  </si>
  <si>
    <t>SPECIAL NOTE - TOTAL ANNUAL SINGLE-FAMILY REVENUE FOR LINEAR RATES SHOULD BE EQUAL TO OR LESS THAN THE TOTAL ANNUAL SINGLE-FAMILY REVENUE FOR COST-OF-SERVICE RATES. IF NOT, THEN PROPONENT NEEDS TO EXPLAIN IN DETAIL WHY.</t>
  </si>
  <si>
    <r>
      <t xml:space="preserve">                                   </t>
    </r>
    <r>
      <rPr>
        <b/>
        <sz val="12"/>
        <rFont val="Arial MT"/>
      </rPr>
      <t>Total Annual Residential Single-family Revenue</t>
    </r>
  </si>
  <si>
    <t xml:space="preserve">       is included in 32-gallon cart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</si>
</sst>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</numFmts>
  <fonts count="13">
    <font>
      <sz val="12"/>
      <name val="Arial MT"/>
    </font>
    <font>
      <sz val="10"/>
      <name val="Arial"/>
      <family val="2"/>
    </font>
    <font>
      <b/>
      <sz val="14"/>
      <name val="Arial MT"/>
    </font>
    <font>
      <b/>
      <sz val="12"/>
      <name val="Arial MT"/>
    </font>
    <font>
      <sz val="12"/>
      <color indexed="8"/>
      <name val="Arial MT"/>
    </font>
    <font>
      <b/>
      <u/>
      <sz val="12"/>
      <name val="Arial MT"/>
    </font>
    <font>
      <b/>
      <u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 MT"/>
    </font>
    <font>
      <sz val="11"/>
      <color indexed="8"/>
      <name val="Arial"/>
      <family val="2"/>
    </font>
    <font>
      <b/>
      <vertAlign val="superscript"/>
      <sz val="12"/>
      <name val="Arial MT"/>
    </font>
  </fonts>
  <fills count="11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gray125">
        <fgColor indexed="9"/>
      </patternFill>
    </fill>
    <fill>
      <patternFill patternType="solid">
        <fgColor rgb="FFFFFF00"/>
        <bgColor indexed="64"/>
      </patternFill>
    </fill>
    <fill>
      <patternFill patternType="gray125">
        <fgColor indexed="9"/>
        <bgColor rgb="FFFFFF00"/>
      </patternFill>
    </fill>
    <fill>
      <patternFill patternType="solid">
        <fgColor rgb="FF92D050"/>
        <bgColor indexed="64"/>
      </patternFill>
    </fill>
    <fill>
      <patternFill patternType="gray125">
        <fgColor indexed="8"/>
        <bgColor rgb="FF92D050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gray125">
        <bgColor rgb="FF92D050"/>
      </patternFill>
    </fill>
  </fills>
  <borders count="15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 style="medium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8"/>
      </left>
      <right style="thick">
        <color indexed="64"/>
      </right>
      <top/>
      <bottom/>
      <diagonal/>
    </border>
    <border>
      <left style="medium">
        <color indexed="8"/>
      </left>
      <right style="thick">
        <color indexed="64"/>
      </right>
      <top/>
      <bottom style="medium">
        <color auto="1"/>
      </bottom>
      <diagonal/>
    </border>
    <border>
      <left style="thick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indexed="64"/>
      </right>
      <top style="medium">
        <color auto="1"/>
      </top>
      <bottom/>
      <diagonal/>
    </border>
    <border>
      <left style="thick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329">
    <xf numFmtId="0" fontId="0" fillId="0" borderId="0" xfId="0"/>
    <xf numFmtId="39" fontId="0" fillId="0" borderId="0" xfId="0" applyNumberFormat="1" applyProtection="1"/>
    <xf numFmtId="7" fontId="0" fillId="0" borderId="9" xfId="0" applyNumberFormat="1" applyBorder="1" applyProtection="1"/>
    <xf numFmtId="7" fontId="0" fillId="0" borderId="13" xfId="0" applyNumberFormat="1" applyBorder="1" applyProtection="1"/>
    <xf numFmtId="3" fontId="3" fillId="0" borderId="5" xfId="0" applyNumberFormat="1" applyFont="1" applyBorder="1" applyAlignment="1" applyProtection="1">
      <alignment horizontal="center"/>
    </xf>
    <xf numFmtId="3" fontId="3" fillId="0" borderId="6" xfId="0" applyNumberFormat="1" applyFont="1" applyBorder="1" applyAlignment="1" applyProtection="1">
      <alignment horizontal="center"/>
    </xf>
    <xf numFmtId="0" fontId="5" fillId="0" borderId="0" xfId="0" applyFont="1" applyProtection="1"/>
    <xf numFmtId="0" fontId="3" fillId="0" borderId="0" xfId="0" applyFont="1" applyFill="1" applyBorder="1" applyAlignment="1" applyProtection="1">
      <alignment horizontal="center"/>
    </xf>
    <xf numFmtId="0" fontId="0" fillId="0" borderId="0" xfId="0" applyProtection="1"/>
    <xf numFmtId="0" fontId="0" fillId="0" borderId="0" xfId="0" applyBorder="1" applyProtection="1"/>
    <xf numFmtId="7" fontId="0" fillId="0" borderId="0" xfId="0" applyNumberFormat="1" applyBorder="1" applyProtection="1"/>
    <xf numFmtId="0" fontId="0" fillId="0" borderId="0" xfId="0" applyFill="1" applyBorder="1" applyProtection="1"/>
    <xf numFmtId="7" fontId="0" fillId="0" borderId="0" xfId="0" applyNumberFormat="1" applyProtection="1"/>
    <xf numFmtId="7" fontId="4" fillId="4" borderId="9" xfId="0" applyNumberFormat="1" applyFont="1" applyFill="1" applyBorder="1" applyAlignment="1" applyProtection="1">
      <alignment horizontal="center"/>
      <protection locked="0"/>
    </xf>
    <xf numFmtId="7" fontId="4" fillId="0" borderId="9" xfId="0" applyNumberFormat="1" applyFont="1" applyBorder="1" applyAlignment="1" applyProtection="1">
      <alignment horizontal="center"/>
    </xf>
    <xf numFmtId="7" fontId="4" fillId="0" borderId="13" xfId="0" applyNumberFormat="1" applyFont="1" applyFill="1" applyBorder="1" applyAlignment="1" applyProtection="1">
      <alignment horizontal="center"/>
    </xf>
    <xf numFmtId="3" fontId="3" fillId="0" borderId="17" xfId="0" applyNumberFormat="1" applyFont="1" applyBorder="1" applyAlignment="1" applyProtection="1">
      <alignment horizontal="center"/>
    </xf>
    <xf numFmtId="3" fontId="3" fillId="0" borderId="18" xfId="0" applyNumberFormat="1" applyFont="1" applyBorder="1" applyAlignment="1" applyProtection="1">
      <alignment horizontal="center"/>
    </xf>
    <xf numFmtId="164" fontId="8" fillId="0" borderId="15" xfId="1" applyNumberFormat="1" applyFont="1" applyFill="1" applyBorder="1" applyProtection="1"/>
    <xf numFmtId="0" fontId="8" fillId="8" borderId="15" xfId="0" applyFont="1" applyFill="1" applyBorder="1" applyProtection="1"/>
    <xf numFmtId="164" fontId="8" fillId="0" borderId="15" xfId="1" applyNumberFormat="1" applyFont="1" applyBorder="1" applyProtection="1"/>
    <xf numFmtId="3" fontId="0" fillId="0" borderId="0" xfId="0" applyNumberFormat="1" applyAlignment="1" applyProtection="1">
      <alignment horizontal="center"/>
    </xf>
    <xf numFmtId="164" fontId="8" fillId="0" borderId="0" xfId="1" applyNumberFormat="1" applyFont="1" applyBorder="1" applyProtection="1"/>
    <xf numFmtId="7" fontId="0" fillId="0" borderId="29" xfId="0" applyNumberFormat="1" applyBorder="1" applyProtection="1"/>
    <xf numFmtId="7" fontId="0" fillId="0" borderId="15" xfId="0" applyNumberFormat="1" applyBorder="1" applyProtection="1"/>
    <xf numFmtId="7" fontId="0" fillId="4" borderId="15" xfId="0" applyNumberFormat="1" applyFill="1" applyBorder="1" applyProtection="1">
      <protection locked="0"/>
    </xf>
    <xf numFmtId="164" fontId="8" fillId="0" borderId="31" xfId="1" applyNumberFormat="1" applyFont="1" applyBorder="1" applyProtection="1"/>
    <xf numFmtId="7" fontId="0" fillId="0" borderId="30" xfId="0" applyNumberFormat="1" applyBorder="1" applyProtection="1"/>
    <xf numFmtId="7" fontId="0" fillId="4" borderId="29" xfId="0" applyNumberFormat="1" applyFill="1" applyBorder="1" applyProtection="1">
      <protection locked="0"/>
    </xf>
    <xf numFmtId="7" fontId="0" fillId="4" borderId="30" xfId="0" applyNumberFormat="1" applyFill="1" applyBorder="1" applyProtection="1">
      <protection locked="0"/>
    </xf>
    <xf numFmtId="7" fontId="4" fillId="0" borderId="33" xfId="0" applyNumberFormat="1" applyFont="1" applyBorder="1" applyAlignment="1" applyProtection="1">
      <alignment horizontal="center"/>
    </xf>
    <xf numFmtId="7" fontId="4" fillId="0" borderId="35" xfId="0" applyNumberFormat="1" applyFont="1" applyBorder="1" applyAlignment="1" applyProtection="1">
      <alignment horizontal="center"/>
    </xf>
    <xf numFmtId="7" fontId="0" fillId="0" borderId="35" xfId="0" applyNumberFormat="1" applyBorder="1" applyProtection="1"/>
    <xf numFmtId="7" fontId="3" fillId="0" borderId="30" xfId="0" applyNumberFormat="1" applyFont="1" applyBorder="1" applyAlignment="1" applyProtection="1">
      <alignment horizontal="center"/>
    </xf>
    <xf numFmtId="7" fontId="0" fillId="0" borderId="0" xfId="0" applyNumberFormat="1" applyFill="1" applyBorder="1" applyProtection="1"/>
    <xf numFmtId="164" fontId="8" fillId="0" borderId="37" xfId="1" applyNumberFormat="1" applyFont="1" applyFill="1" applyBorder="1" applyProtection="1"/>
    <xf numFmtId="7" fontId="0" fillId="0" borderId="37" xfId="0" applyNumberFormat="1" applyBorder="1" applyProtection="1"/>
    <xf numFmtId="164" fontId="8" fillId="0" borderId="37" xfId="1" applyNumberFormat="1" applyFont="1" applyBorder="1" applyProtection="1"/>
    <xf numFmtId="7" fontId="4" fillId="0" borderId="13" xfId="0" applyNumberFormat="1" applyFont="1" applyBorder="1" applyAlignment="1" applyProtection="1">
      <alignment horizontal="center"/>
    </xf>
    <xf numFmtId="7" fontId="4" fillId="0" borderId="36" xfId="0" applyNumberFormat="1" applyFont="1" applyBorder="1" applyAlignment="1" applyProtection="1">
      <alignment horizontal="center"/>
    </xf>
    <xf numFmtId="7" fontId="0" fillId="0" borderId="38" xfId="0" applyNumberFormat="1" applyBorder="1" applyProtection="1"/>
    <xf numFmtId="0" fontId="2" fillId="2" borderId="16" xfId="0" applyFont="1" applyFill="1" applyBorder="1" applyAlignment="1" applyProtection="1">
      <alignment horizontal="centerContinuous"/>
    </xf>
    <xf numFmtId="0" fontId="0" fillId="2" borderId="18" xfId="0" applyFill="1" applyBorder="1" applyAlignment="1" applyProtection="1">
      <alignment horizontal="centerContinuous"/>
    </xf>
    <xf numFmtId="0" fontId="0" fillId="5" borderId="20" xfId="0" applyFill="1" applyBorder="1" applyAlignment="1" applyProtection="1">
      <alignment horizontal="centerContinuous"/>
    </xf>
    <xf numFmtId="0" fontId="0" fillId="0" borderId="21" xfId="0" applyBorder="1" applyProtection="1"/>
    <xf numFmtId="0" fontId="0" fillId="0" borderId="22" xfId="0" applyBorder="1" applyProtection="1"/>
    <xf numFmtId="3" fontId="0" fillId="3" borderId="16" xfId="0" applyNumberFormat="1" applyFill="1" applyBorder="1" applyAlignment="1" applyProtection="1">
      <alignment horizontal="center"/>
    </xf>
    <xf numFmtId="0" fontId="3" fillId="0" borderId="23" xfId="0" applyFont="1" applyBorder="1" applyProtection="1"/>
    <xf numFmtId="0" fontId="0" fillId="0" borderId="24" xfId="0" applyBorder="1" applyProtection="1"/>
    <xf numFmtId="0" fontId="3" fillId="0" borderId="25" xfId="0" applyFont="1" applyBorder="1" applyAlignment="1" applyProtection="1">
      <alignment horizontal="left"/>
    </xf>
    <xf numFmtId="0" fontId="0" fillId="0" borderId="26" xfId="0" applyBorder="1" applyProtection="1"/>
    <xf numFmtId="0" fontId="0" fillId="0" borderId="27" xfId="0" applyBorder="1" applyProtection="1"/>
    <xf numFmtId="0" fontId="7" fillId="0" borderId="19" xfId="0" applyFont="1" applyBorder="1" applyAlignment="1" applyProtection="1">
      <alignment horizontal="center"/>
    </xf>
    <xf numFmtId="0" fontId="7" fillId="0" borderId="8" xfId="0" applyFont="1" applyBorder="1" applyAlignment="1" applyProtection="1">
      <alignment horizontal="center"/>
    </xf>
    <xf numFmtId="2" fontId="9" fillId="0" borderId="15" xfId="2" applyNumberFormat="1" applyFont="1" applyBorder="1" applyAlignment="1" applyProtection="1">
      <alignment horizontal="left"/>
    </xf>
    <xf numFmtId="0" fontId="9" fillId="0" borderId="15" xfId="3" applyFont="1" applyFill="1" applyBorder="1" applyProtection="1"/>
    <xf numFmtId="2" fontId="8" fillId="0" borderId="28" xfId="2" applyNumberFormat="1" applyFont="1" applyBorder="1" applyProtection="1"/>
    <xf numFmtId="0" fontId="3" fillId="0" borderId="0" xfId="0" applyFont="1" applyProtection="1"/>
    <xf numFmtId="7" fontId="0" fillId="4" borderId="37" xfId="0" applyNumberFormat="1" applyFill="1" applyBorder="1" applyProtection="1">
      <protection locked="0"/>
    </xf>
    <xf numFmtId="0" fontId="3" fillId="3" borderId="16" xfId="0" applyFont="1" applyFill="1" applyBorder="1" applyAlignment="1" applyProtection="1">
      <alignment horizontal="center"/>
    </xf>
    <xf numFmtId="0" fontId="3" fillId="0" borderId="17" xfId="0" applyFont="1" applyBorder="1" applyAlignment="1" applyProtection="1">
      <alignment horizontal="center"/>
    </xf>
    <xf numFmtId="0" fontId="6" fillId="0" borderId="19" xfId="2" applyFont="1" applyBorder="1" applyProtection="1"/>
    <xf numFmtId="2" fontId="8" fillId="0" borderId="15" xfId="2" applyNumberFormat="1" applyFont="1" applyBorder="1" applyAlignment="1" applyProtection="1">
      <alignment horizontal="left"/>
    </xf>
    <xf numFmtId="2" fontId="8" fillId="0" borderId="15" xfId="2" applyNumberFormat="1" applyFont="1" applyFill="1" applyBorder="1" applyAlignment="1" applyProtection="1">
      <alignment horizontal="left"/>
    </xf>
    <xf numFmtId="2" fontId="8" fillId="0" borderId="15" xfId="2" applyNumberFormat="1" applyFont="1" applyFill="1" applyBorder="1" applyProtection="1"/>
    <xf numFmtId="2" fontId="8" fillId="0" borderId="0" xfId="2" applyNumberFormat="1" applyFont="1" applyBorder="1" applyProtection="1"/>
    <xf numFmtId="0" fontId="2" fillId="2" borderId="1" xfId="0" applyFont="1" applyFill="1" applyBorder="1" applyAlignment="1" applyProtection="1">
      <alignment horizontal="centerContinuous"/>
    </xf>
    <xf numFmtId="0" fontId="0" fillId="0" borderId="11" xfId="0" applyFill="1" applyBorder="1" applyAlignment="1" applyProtection="1">
      <alignment horizontal="centerContinuous"/>
    </xf>
    <xf numFmtId="0" fontId="0" fillId="2" borderId="2" xfId="0" applyFill="1" applyBorder="1" applyAlignment="1" applyProtection="1">
      <alignment horizontal="centerContinuous"/>
    </xf>
    <xf numFmtId="3" fontId="0" fillId="2" borderId="3" xfId="0" applyNumberFormat="1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Continuous"/>
    </xf>
    <xf numFmtId="0" fontId="0" fillId="5" borderId="11" xfId="0" applyFill="1" applyBorder="1" applyAlignment="1" applyProtection="1">
      <alignment horizontal="centerContinuous"/>
    </xf>
    <xf numFmtId="3" fontId="0" fillId="3" borderId="14" xfId="0" applyNumberFormat="1" applyFill="1" applyBorder="1" applyAlignment="1" applyProtection="1">
      <alignment horizontal="center"/>
    </xf>
    <xf numFmtId="3" fontId="0" fillId="3" borderId="5" xfId="0" applyNumberFormat="1" applyFill="1" applyBorder="1" applyAlignment="1" applyProtection="1">
      <alignment horizontal="center"/>
    </xf>
    <xf numFmtId="0" fontId="3" fillId="3" borderId="5" xfId="0" applyFont="1" applyFill="1" applyBorder="1" applyAlignment="1" applyProtection="1">
      <alignment horizontal="center"/>
    </xf>
    <xf numFmtId="0" fontId="0" fillId="3" borderId="0" xfId="0" applyFill="1" applyBorder="1" applyProtection="1"/>
    <xf numFmtId="0" fontId="3" fillId="0" borderId="4" xfId="0" applyFont="1" applyBorder="1" applyProtection="1"/>
    <xf numFmtId="0" fontId="3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7" fontId="4" fillId="0" borderId="9" xfId="0" applyNumberFormat="1" applyFont="1" applyFill="1" applyBorder="1" applyAlignment="1" applyProtection="1">
      <alignment horizontal="center"/>
    </xf>
    <xf numFmtId="164" fontId="8" fillId="9" borderId="15" xfId="1" applyNumberFormat="1" applyFont="1" applyFill="1" applyBorder="1" applyProtection="1"/>
    <xf numFmtId="164" fontId="8" fillId="0" borderId="40" xfId="1" applyNumberFormat="1" applyFont="1" applyBorder="1" applyProtection="1"/>
    <xf numFmtId="0" fontId="3" fillId="0" borderId="0" xfId="0" applyFont="1" applyBorder="1" applyAlignment="1" applyProtection="1">
      <alignment horizontal="left"/>
    </xf>
    <xf numFmtId="7" fontId="0" fillId="4" borderId="38" xfId="0" applyNumberFormat="1" applyFill="1" applyBorder="1" applyProtection="1">
      <protection locked="0"/>
    </xf>
    <xf numFmtId="0" fontId="7" fillId="0" borderId="39" xfId="0" applyFont="1" applyBorder="1" applyAlignment="1" applyProtection="1">
      <alignment horizontal="center"/>
    </xf>
    <xf numFmtId="0" fontId="0" fillId="0" borderId="41" xfId="0" applyBorder="1" applyProtection="1"/>
    <xf numFmtId="0" fontId="0" fillId="0" borderId="42" xfId="0" applyBorder="1" applyProtection="1"/>
    <xf numFmtId="7" fontId="0" fillId="0" borderId="42" xfId="0" applyNumberFormat="1" applyBorder="1" applyProtection="1"/>
    <xf numFmtId="7" fontId="0" fillId="0" borderId="43" xfId="0" applyNumberFormat="1" applyBorder="1" applyProtection="1"/>
    <xf numFmtId="7" fontId="0" fillId="0" borderId="44" xfId="0" applyNumberFormat="1" applyBorder="1" applyProtection="1"/>
    <xf numFmtId="0" fontId="0" fillId="0" borderId="45" xfId="0" applyBorder="1" applyProtection="1"/>
    <xf numFmtId="0" fontId="0" fillId="0" borderId="46" xfId="0" applyBorder="1" applyProtection="1"/>
    <xf numFmtId="0" fontId="0" fillId="0" borderId="48" xfId="0" applyBorder="1" applyProtection="1"/>
    <xf numFmtId="0" fontId="0" fillId="0" borderId="49" xfId="0" applyBorder="1" applyProtection="1"/>
    <xf numFmtId="7" fontId="0" fillId="4" borderId="47" xfId="0" applyNumberFormat="1" applyFill="1" applyBorder="1" applyProtection="1">
      <protection locked="0"/>
    </xf>
    <xf numFmtId="7" fontId="0" fillId="4" borderId="44" xfId="0" applyNumberFormat="1" applyFill="1" applyBorder="1" applyProtection="1">
      <protection locked="0"/>
    </xf>
    <xf numFmtId="7" fontId="0" fillId="4" borderId="50" xfId="0" applyNumberFormat="1" applyFill="1" applyBorder="1" applyProtection="1">
      <protection locked="0"/>
    </xf>
    <xf numFmtId="7" fontId="0" fillId="0" borderId="51" xfId="0" applyNumberFormat="1" applyBorder="1" applyProtection="1"/>
    <xf numFmtId="0" fontId="0" fillId="0" borderId="37" xfId="0" applyBorder="1" applyAlignment="1" applyProtection="1">
      <alignment horizontal="left"/>
    </xf>
    <xf numFmtId="7" fontId="3" fillId="0" borderId="0" xfId="0" applyNumberFormat="1" applyFont="1" applyBorder="1" applyAlignment="1" applyProtection="1">
      <alignment horizontal="center"/>
    </xf>
    <xf numFmtId="0" fontId="3" fillId="0" borderId="42" xfId="0" applyFont="1" applyBorder="1" applyAlignment="1" applyProtection="1">
      <alignment horizontal="left"/>
    </xf>
    <xf numFmtId="2" fontId="8" fillId="0" borderId="52" xfId="2" applyNumberFormat="1" applyFont="1" applyBorder="1" applyProtection="1"/>
    <xf numFmtId="7" fontId="0" fillId="4" borderId="40" xfId="0" applyNumberFormat="1" applyFill="1" applyBorder="1" applyProtection="1">
      <protection locked="0"/>
    </xf>
    <xf numFmtId="0" fontId="3" fillId="0" borderId="53" xfId="0" applyFont="1" applyBorder="1" applyAlignment="1" applyProtection="1">
      <alignment horizontal="left"/>
    </xf>
    <xf numFmtId="0" fontId="0" fillId="0" borderId="54" xfId="0" applyBorder="1" applyProtection="1"/>
    <xf numFmtId="7" fontId="0" fillId="0" borderId="55" xfId="0" applyNumberFormat="1" applyBorder="1" applyProtection="1"/>
    <xf numFmtId="164" fontId="8" fillId="0" borderId="57" xfId="1" applyNumberFormat="1" applyFont="1" applyBorder="1" applyProtection="1"/>
    <xf numFmtId="7" fontId="0" fillId="0" borderId="19" xfId="0" applyNumberFormat="1" applyBorder="1" applyProtection="1"/>
    <xf numFmtId="164" fontId="8" fillId="0" borderId="54" xfId="1" applyNumberFormat="1" applyFont="1" applyBorder="1" applyProtection="1"/>
    <xf numFmtId="7" fontId="0" fillId="0" borderId="58" xfId="0" applyNumberFormat="1" applyBorder="1" applyProtection="1"/>
    <xf numFmtId="7" fontId="0" fillId="0" borderId="57" xfId="0" applyNumberFormat="1" applyBorder="1" applyProtection="1"/>
    <xf numFmtId="7" fontId="3" fillId="0" borderId="59" xfId="0" applyNumberFormat="1" applyFont="1" applyBorder="1" applyAlignment="1" applyProtection="1">
      <alignment horizontal="center"/>
    </xf>
    <xf numFmtId="7" fontId="3" fillId="0" borderId="60" xfId="0" applyNumberFormat="1" applyFont="1" applyBorder="1" applyAlignment="1" applyProtection="1">
      <alignment horizontal="center"/>
    </xf>
    <xf numFmtId="7" fontId="3" fillId="0" borderId="61" xfId="0" applyNumberFormat="1" applyFont="1" applyBorder="1" applyAlignment="1" applyProtection="1">
      <alignment horizontal="center"/>
    </xf>
    <xf numFmtId="0" fontId="0" fillId="0" borderId="59" xfId="0" applyBorder="1" applyProtection="1"/>
    <xf numFmtId="0" fontId="0" fillId="0" borderId="60" xfId="0" applyBorder="1" applyProtection="1"/>
    <xf numFmtId="7" fontId="0" fillId="0" borderId="60" xfId="0" applyNumberFormat="1" applyBorder="1" applyProtection="1"/>
    <xf numFmtId="7" fontId="0" fillId="0" borderId="60" xfId="0" applyNumberFormat="1" applyFill="1" applyBorder="1" applyProtection="1"/>
    <xf numFmtId="7" fontId="0" fillId="0" borderId="61" xfId="0" applyNumberFormat="1" applyFill="1" applyBorder="1" applyProtection="1"/>
    <xf numFmtId="0" fontId="3" fillId="0" borderId="41" xfId="0" applyFont="1" applyBorder="1" applyProtection="1"/>
    <xf numFmtId="7" fontId="0" fillId="0" borderId="61" xfId="0" applyNumberFormat="1" applyBorder="1" applyProtection="1"/>
    <xf numFmtId="7" fontId="3" fillId="0" borderId="64" xfId="0" applyNumberFormat="1" applyFont="1" applyBorder="1"/>
    <xf numFmtId="7" fontId="5" fillId="0" borderId="64" xfId="0" applyNumberFormat="1" applyFont="1" applyBorder="1"/>
    <xf numFmtId="7" fontId="3" fillId="0" borderId="61" xfId="0" applyNumberFormat="1" applyFont="1" applyBorder="1"/>
    <xf numFmtId="2" fontId="8" fillId="0" borderId="37" xfId="2" applyNumberFormat="1" applyFont="1" applyFill="1" applyBorder="1" applyAlignment="1" applyProtection="1">
      <alignment horizontal="left"/>
    </xf>
    <xf numFmtId="7" fontId="0" fillId="0" borderId="65" xfId="0" applyNumberFormat="1" applyBorder="1" applyProtection="1"/>
    <xf numFmtId="7" fontId="0" fillId="0" borderId="68" xfId="0" applyNumberFormat="1" applyBorder="1" applyProtection="1"/>
    <xf numFmtId="2" fontId="8" fillId="0" borderId="37" xfId="2" applyNumberFormat="1" applyFont="1" applyFill="1" applyBorder="1" applyProtection="1"/>
    <xf numFmtId="164" fontId="8" fillId="9" borderId="37" xfId="1" applyNumberFormat="1" applyFont="1" applyFill="1" applyBorder="1" applyProtection="1"/>
    <xf numFmtId="2" fontId="8" fillId="0" borderId="37" xfId="2" applyNumberFormat="1" applyFont="1" applyBorder="1" applyAlignment="1" applyProtection="1">
      <alignment horizontal="left"/>
    </xf>
    <xf numFmtId="7" fontId="0" fillId="0" borderId="54" xfId="0" applyNumberFormat="1" applyBorder="1" applyProtection="1"/>
    <xf numFmtId="7" fontId="0" fillId="0" borderId="66" xfId="0" applyNumberFormat="1" applyBorder="1" applyProtection="1"/>
    <xf numFmtId="7" fontId="0" fillId="4" borderId="67" xfId="0" applyNumberFormat="1" applyFill="1" applyBorder="1" applyProtection="1">
      <protection locked="0"/>
    </xf>
    <xf numFmtId="7" fontId="4" fillId="0" borderId="70" xfId="0" applyNumberFormat="1" applyFont="1" applyBorder="1" applyAlignment="1" applyProtection="1">
      <alignment horizontal="center"/>
    </xf>
    <xf numFmtId="0" fontId="0" fillId="0" borderId="28" xfId="0" applyBorder="1" applyAlignment="1" applyProtection="1">
      <alignment horizontal="left"/>
    </xf>
    <xf numFmtId="0" fontId="0" fillId="0" borderId="53" xfId="0" applyBorder="1" applyProtection="1"/>
    <xf numFmtId="0" fontId="0" fillId="0" borderId="71" xfId="0" applyBorder="1" applyProtection="1"/>
    <xf numFmtId="7" fontId="0" fillId="0" borderId="72" xfId="0" applyNumberFormat="1" applyBorder="1" applyProtection="1"/>
    <xf numFmtId="0" fontId="0" fillId="0" borderId="73" xfId="0" applyBorder="1" applyAlignment="1" applyProtection="1">
      <alignment horizontal="left"/>
    </xf>
    <xf numFmtId="0" fontId="3" fillId="0" borderId="74" xfId="0" applyFont="1" applyBorder="1" applyAlignment="1" applyProtection="1">
      <alignment horizontal="left"/>
    </xf>
    <xf numFmtId="164" fontId="8" fillId="0" borderId="75" xfId="1" applyNumberFormat="1" applyFont="1" applyBorder="1" applyProtection="1"/>
    <xf numFmtId="7" fontId="0" fillId="0" borderId="75" xfId="0" applyNumberFormat="1" applyBorder="1" applyProtection="1"/>
    <xf numFmtId="0" fontId="0" fillId="0" borderId="76" xfId="0" applyBorder="1" applyProtection="1"/>
    <xf numFmtId="7" fontId="0" fillId="0" borderId="7" xfId="0" applyNumberFormat="1" applyBorder="1" applyProtection="1"/>
    <xf numFmtId="0" fontId="0" fillId="0" borderId="78" xfId="0" applyBorder="1" applyProtection="1"/>
    <xf numFmtId="7" fontId="0" fillId="4" borderId="79" xfId="0" applyNumberFormat="1" applyFill="1" applyBorder="1" applyProtection="1">
      <protection locked="0"/>
    </xf>
    <xf numFmtId="0" fontId="0" fillId="0" borderId="80" xfId="0" applyBorder="1" applyProtection="1"/>
    <xf numFmtId="7" fontId="0" fillId="0" borderId="80" xfId="0" applyNumberFormat="1" applyBorder="1" applyProtection="1"/>
    <xf numFmtId="7" fontId="0" fillId="0" borderId="81" xfId="0" applyNumberFormat="1" applyBorder="1" applyAlignment="1" applyProtection="1">
      <alignment horizontal="center"/>
    </xf>
    <xf numFmtId="0" fontId="0" fillId="0" borderId="81" xfId="0" applyBorder="1" applyAlignment="1" applyProtection="1">
      <alignment horizontal="center"/>
    </xf>
    <xf numFmtId="0" fontId="0" fillId="0" borderId="81" xfId="0" applyBorder="1" applyProtection="1"/>
    <xf numFmtId="7" fontId="0" fillId="0" borderId="82" xfId="0" applyNumberFormat="1" applyBorder="1" applyAlignment="1" applyProtection="1">
      <alignment horizontal="center"/>
    </xf>
    <xf numFmtId="0" fontId="0" fillId="0" borderId="82" xfId="0" applyBorder="1" applyAlignment="1" applyProtection="1">
      <alignment horizontal="center"/>
    </xf>
    <xf numFmtId="0" fontId="0" fillId="0" borderId="82" xfId="0" applyBorder="1" applyProtection="1"/>
    <xf numFmtId="5" fontId="0" fillId="0" borderId="77" xfId="0" applyNumberFormat="1" applyBorder="1" applyAlignment="1" applyProtection="1">
      <alignment horizontal="center"/>
    </xf>
    <xf numFmtId="39" fontId="0" fillId="0" borderId="77" xfId="0" applyNumberFormat="1" applyBorder="1" applyAlignment="1" applyProtection="1">
      <alignment horizontal="center"/>
    </xf>
    <xf numFmtId="0" fontId="0" fillId="0" borderId="77" xfId="0" applyBorder="1" applyProtection="1"/>
    <xf numFmtId="0" fontId="0" fillId="0" borderId="7" xfId="0" applyBorder="1" applyProtection="1"/>
    <xf numFmtId="0" fontId="0" fillId="0" borderId="54" xfId="0" applyFill="1" applyBorder="1" applyAlignment="1" applyProtection="1">
      <alignment horizontal="left"/>
    </xf>
    <xf numFmtId="0" fontId="3" fillId="0" borderId="76" xfId="0" applyFont="1" applyBorder="1" applyProtection="1"/>
    <xf numFmtId="7" fontId="3" fillId="0" borderId="84" xfId="0" applyNumberFormat="1" applyFont="1" applyBorder="1" applyAlignment="1" applyProtection="1">
      <alignment horizontal="center"/>
    </xf>
    <xf numFmtId="7" fontId="0" fillId="0" borderId="85" xfId="0" applyNumberFormat="1" applyBorder="1" applyProtection="1"/>
    <xf numFmtId="7" fontId="3" fillId="0" borderId="69" xfId="0" applyNumberFormat="1" applyFont="1" applyBorder="1" applyAlignment="1" applyProtection="1">
      <alignment horizontal="center"/>
    </xf>
    <xf numFmtId="7" fontId="0" fillId="0" borderId="83" xfId="0" applyNumberFormat="1" applyBorder="1" applyProtection="1"/>
    <xf numFmtId="0" fontId="3" fillId="0" borderId="63" xfId="0" applyFont="1" applyBorder="1" applyAlignment="1">
      <alignment horizontal="center"/>
    </xf>
    <xf numFmtId="3" fontId="4" fillId="0" borderId="33" xfId="0" applyNumberFormat="1" applyFont="1" applyBorder="1" applyAlignment="1" applyProtection="1">
      <alignment horizontal="center"/>
    </xf>
    <xf numFmtId="3" fontId="4" fillId="0" borderId="70" xfId="0" applyNumberFormat="1" applyFont="1" applyBorder="1" applyAlignment="1" applyProtection="1">
      <alignment horizontal="center"/>
    </xf>
    <xf numFmtId="3" fontId="4" fillId="0" borderId="69" xfId="0" applyNumberFormat="1" applyFont="1" applyBorder="1" applyAlignment="1" applyProtection="1">
      <alignment horizontal="center"/>
    </xf>
    <xf numFmtId="7" fontId="4" fillId="4" borderId="33" xfId="0" applyNumberFormat="1" applyFont="1" applyFill="1" applyBorder="1" applyAlignment="1" applyProtection="1">
      <alignment horizontal="center"/>
      <protection locked="0"/>
    </xf>
    <xf numFmtId="7" fontId="4" fillId="4" borderId="72" xfId="0" applyNumberFormat="1" applyFont="1" applyFill="1" applyBorder="1" applyAlignment="1" applyProtection="1">
      <alignment horizontal="center"/>
      <protection locked="0"/>
    </xf>
    <xf numFmtId="7" fontId="4" fillId="4" borderId="35" xfId="0" applyNumberFormat="1" applyFont="1" applyFill="1" applyBorder="1" applyAlignment="1" applyProtection="1">
      <alignment horizontal="center"/>
      <protection locked="0"/>
    </xf>
    <xf numFmtId="7" fontId="0" fillId="4" borderId="15" xfId="0" applyNumberFormat="1" applyFill="1" applyBorder="1" applyAlignment="1" applyProtection="1">
      <alignment horizontal="center"/>
      <protection locked="0"/>
    </xf>
    <xf numFmtId="0" fontId="0" fillId="0" borderId="0" xfId="0" applyBorder="1"/>
    <xf numFmtId="7" fontId="3" fillId="0" borderId="86" xfId="0" applyNumberFormat="1" applyFont="1" applyBorder="1"/>
    <xf numFmtId="0" fontId="3" fillId="0" borderId="86" xfId="0" applyFont="1" applyBorder="1" applyAlignment="1">
      <alignment horizontal="center"/>
    </xf>
    <xf numFmtId="0" fontId="3" fillId="0" borderId="83" xfId="0" applyFont="1" applyFill="1" applyBorder="1"/>
    <xf numFmtId="0" fontId="0" fillId="0" borderId="92" xfId="0" applyBorder="1" applyProtection="1"/>
    <xf numFmtId="0" fontId="0" fillId="0" borderId="93" xfId="0" applyBorder="1" applyProtection="1"/>
    <xf numFmtId="0" fontId="0" fillId="0" borderId="10" xfId="0" applyFont="1" applyBorder="1" applyAlignment="1" applyProtection="1">
      <alignment horizontal="left"/>
    </xf>
    <xf numFmtId="0" fontId="9" fillId="0" borderId="10" xfId="0" applyFont="1" applyBorder="1" applyAlignment="1" applyProtection="1">
      <alignment horizontal="left"/>
    </xf>
    <xf numFmtId="0" fontId="8" fillId="0" borderId="10" xfId="0" applyFont="1" applyBorder="1" applyAlignment="1" applyProtection="1">
      <alignment horizontal="left"/>
    </xf>
    <xf numFmtId="0" fontId="8" fillId="0" borderId="34" xfId="0" applyFont="1" applyBorder="1" applyAlignment="1" applyProtection="1">
      <alignment horizontal="left"/>
    </xf>
    <xf numFmtId="0" fontId="8" fillId="0" borderId="7" xfId="0" applyFont="1" applyBorder="1" applyAlignment="1" applyProtection="1">
      <alignment horizontal="left"/>
    </xf>
    <xf numFmtId="0" fontId="9" fillId="0" borderId="28" xfId="0" applyFont="1" applyBorder="1" applyAlignment="1" applyProtection="1">
      <alignment horizontal="left"/>
    </xf>
    <xf numFmtId="0" fontId="8" fillId="0" borderId="56" xfId="0" applyFont="1" applyBorder="1" applyAlignment="1" applyProtection="1">
      <alignment horizontal="left"/>
    </xf>
    <xf numFmtId="0" fontId="9" fillId="0" borderId="11" xfId="0" applyFont="1" applyBorder="1" applyAlignment="1" applyProtection="1">
      <alignment horizontal="left"/>
    </xf>
    <xf numFmtId="0" fontId="9" fillId="0" borderId="12" xfId="0" applyFont="1" applyBorder="1" applyAlignment="1" applyProtection="1">
      <alignment horizontal="left"/>
    </xf>
    <xf numFmtId="0" fontId="8" fillId="0" borderId="32" xfId="0" applyFont="1" applyBorder="1" applyAlignment="1" applyProtection="1">
      <alignment horizontal="left"/>
    </xf>
    <xf numFmtId="3" fontId="11" fillId="0" borderId="9" xfId="0" applyNumberFormat="1" applyFont="1" applyBorder="1" applyAlignment="1" applyProtection="1">
      <alignment horizontal="center"/>
    </xf>
    <xf numFmtId="3" fontId="11" fillId="0" borderId="36" xfId="0" applyNumberFormat="1" applyFont="1" applyBorder="1" applyAlignment="1" applyProtection="1">
      <alignment horizontal="center"/>
    </xf>
    <xf numFmtId="3" fontId="11" fillId="0" borderId="33" xfId="0" applyNumberFormat="1" applyFont="1" applyBorder="1" applyAlignment="1" applyProtection="1">
      <alignment horizontal="center"/>
    </xf>
    <xf numFmtId="3" fontId="11" fillId="0" borderId="72" xfId="0" applyNumberFormat="1" applyFont="1" applyBorder="1" applyAlignment="1" applyProtection="1">
      <alignment horizontal="center"/>
    </xf>
    <xf numFmtId="3" fontId="11" fillId="0" borderId="70" xfId="0" applyNumberFormat="1" applyFont="1" applyBorder="1" applyAlignment="1" applyProtection="1">
      <alignment horizontal="center"/>
    </xf>
    <xf numFmtId="3" fontId="11" fillId="0" borderId="69" xfId="0" applyNumberFormat="1" applyFont="1" applyBorder="1" applyAlignment="1" applyProtection="1">
      <alignment horizontal="center"/>
    </xf>
    <xf numFmtId="3" fontId="11" fillId="0" borderId="13" xfId="0" applyNumberFormat="1" applyFont="1" applyBorder="1" applyAlignment="1" applyProtection="1">
      <alignment horizontal="center"/>
    </xf>
    <xf numFmtId="37" fontId="11" fillId="0" borderId="9" xfId="0" applyNumberFormat="1" applyFont="1" applyBorder="1" applyAlignment="1" applyProtection="1">
      <alignment horizontal="center"/>
    </xf>
    <xf numFmtId="3" fontId="11" fillId="0" borderId="12" xfId="0" applyNumberFormat="1" applyFont="1" applyFill="1" applyBorder="1" applyAlignment="1" applyProtection="1">
      <alignment horizontal="center"/>
    </xf>
    <xf numFmtId="7" fontId="11" fillId="0" borderId="12" xfId="0" applyNumberFormat="1" applyFont="1" applyFill="1" applyBorder="1" applyAlignment="1" applyProtection="1">
      <alignment horizontal="center"/>
    </xf>
    <xf numFmtId="3" fontId="11" fillId="4" borderId="33" xfId="0" applyNumberFormat="1" applyFont="1" applyFill="1" applyBorder="1" applyAlignment="1" applyProtection="1">
      <alignment horizontal="center"/>
      <protection locked="0"/>
    </xf>
    <xf numFmtId="3" fontId="11" fillId="4" borderId="9" xfId="0" applyNumberFormat="1" applyFont="1" applyFill="1" applyBorder="1" applyAlignment="1" applyProtection="1">
      <alignment horizontal="center"/>
      <protection locked="0"/>
    </xf>
    <xf numFmtId="3" fontId="11" fillId="4" borderId="36" xfId="0" applyNumberFormat="1" applyFont="1" applyFill="1" applyBorder="1" applyAlignment="1" applyProtection="1">
      <alignment horizontal="center"/>
      <protection locked="0"/>
    </xf>
    <xf numFmtId="3" fontId="11" fillId="0" borderId="55" xfId="0" applyNumberFormat="1" applyFont="1" applyBorder="1" applyAlignment="1" applyProtection="1">
      <alignment horizontal="center"/>
    </xf>
    <xf numFmtId="3" fontId="11" fillId="0" borderId="54" xfId="0" applyNumberFormat="1" applyFont="1" applyBorder="1" applyAlignment="1" applyProtection="1">
      <alignment horizontal="center"/>
    </xf>
    <xf numFmtId="3" fontId="11" fillId="0" borderId="54" xfId="0" applyNumberFormat="1" applyFont="1" applyFill="1" applyBorder="1" applyAlignment="1" applyProtection="1">
      <alignment horizontal="center"/>
    </xf>
    <xf numFmtId="7" fontId="11" fillId="0" borderId="54" xfId="0" applyNumberFormat="1" applyFont="1" applyFill="1" applyBorder="1" applyAlignment="1" applyProtection="1">
      <alignment horizontal="center"/>
    </xf>
    <xf numFmtId="0" fontId="2" fillId="0" borderId="0" xfId="0" applyFont="1"/>
    <xf numFmtId="0" fontId="2" fillId="0" borderId="0" xfId="0" applyFont="1" applyProtection="1"/>
    <xf numFmtId="0" fontId="0" fillId="0" borderId="95" xfId="0" applyBorder="1" applyAlignment="1" applyProtection="1">
      <alignment horizontal="center"/>
    </xf>
    <xf numFmtId="0" fontId="0" fillId="0" borderId="96" xfId="0" applyBorder="1" applyAlignment="1" applyProtection="1">
      <alignment horizontal="center"/>
    </xf>
    <xf numFmtId="39" fontId="0" fillId="0" borderId="97" xfId="0" applyNumberFormat="1" applyBorder="1" applyAlignment="1" applyProtection="1">
      <alignment horizontal="center"/>
    </xf>
    <xf numFmtId="3" fontId="3" fillId="0" borderId="17" xfId="0" applyNumberFormat="1" applyFont="1" applyBorder="1" applyAlignment="1" applyProtection="1">
      <alignment horizontal="center" vertical="center" wrapText="1"/>
    </xf>
    <xf numFmtId="0" fontId="3" fillId="0" borderId="101" xfId="0" applyFont="1" applyBorder="1" applyAlignment="1" applyProtection="1">
      <alignment horizontal="center" vertical="center"/>
    </xf>
    <xf numFmtId="7" fontId="0" fillId="0" borderId="102" xfId="0" applyNumberFormat="1" applyBorder="1" applyProtection="1"/>
    <xf numFmtId="5" fontId="0" fillId="0" borderId="103" xfId="0" applyNumberFormat="1" applyBorder="1" applyAlignment="1" applyProtection="1">
      <alignment horizontal="center"/>
    </xf>
    <xf numFmtId="39" fontId="0" fillId="0" borderId="103" xfId="0" applyNumberFormat="1" applyBorder="1" applyAlignment="1" applyProtection="1">
      <alignment horizontal="center"/>
    </xf>
    <xf numFmtId="5" fontId="0" fillId="0" borderId="17" xfId="0" applyNumberFormat="1" applyBorder="1" applyAlignment="1" applyProtection="1">
      <alignment horizontal="center"/>
    </xf>
    <xf numFmtId="39" fontId="0" fillId="0" borderId="17" xfId="0" applyNumberFormat="1" applyBorder="1" applyAlignment="1" applyProtection="1">
      <alignment horizontal="center"/>
    </xf>
    <xf numFmtId="37" fontId="0" fillId="0" borderId="17" xfId="0" applyNumberFormat="1" applyBorder="1" applyAlignment="1" applyProtection="1">
      <alignment horizontal="center"/>
    </xf>
    <xf numFmtId="37" fontId="0" fillId="0" borderId="17" xfId="0" applyNumberFormat="1" applyBorder="1" applyProtection="1"/>
    <xf numFmtId="39" fontId="0" fillId="0" borderId="17" xfId="0" applyNumberFormat="1" applyBorder="1" applyProtection="1"/>
    <xf numFmtId="0" fontId="0" fillId="0" borderId="17" xfId="0" applyBorder="1" applyProtection="1"/>
    <xf numFmtId="0" fontId="0" fillId="0" borderId="104" xfId="0" applyBorder="1" applyProtection="1"/>
    <xf numFmtId="0" fontId="0" fillId="0" borderId="103" xfId="0" applyBorder="1" applyProtection="1"/>
    <xf numFmtId="0" fontId="3" fillId="0" borderId="105" xfId="0" applyFont="1" applyBorder="1" applyAlignment="1">
      <alignment horizontal="center"/>
    </xf>
    <xf numFmtId="7" fontId="3" fillId="0" borderId="106" xfId="0" applyNumberFormat="1" applyFont="1" applyBorder="1"/>
    <xf numFmtId="7" fontId="5" fillId="0" borderId="106" xfId="0" applyNumberFormat="1" applyFont="1" applyBorder="1"/>
    <xf numFmtId="0" fontId="3" fillId="0" borderId="98" xfId="0" applyFont="1" applyBorder="1" applyAlignment="1">
      <alignment horizontal="center"/>
    </xf>
    <xf numFmtId="0" fontId="0" fillId="0" borderId="105" xfId="0" applyBorder="1"/>
    <xf numFmtId="3" fontId="3" fillId="0" borderId="105" xfId="0" applyNumberFormat="1" applyFont="1" applyBorder="1" applyAlignment="1" applyProtection="1">
      <alignment horizontal="center"/>
    </xf>
    <xf numFmtId="3" fontId="3" fillId="0" borderId="107" xfId="0" applyNumberFormat="1" applyFont="1" applyBorder="1" applyAlignment="1" applyProtection="1">
      <alignment horizontal="center"/>
    </xf>
    <xf numFmtId="3" fontId="3" fillId="0" borderId="106" xfId="0" applyNumberFormat="1" applyFont="1" applyBorder="1" applyAlignment="1" applyProtection="1">
      <alignment horizontal="center"/>
    </xf>
    <xf numFmtId="3" fontId="3" fillId="0" borderId="108" xfId="0" applyNumberFormat="1" applyFont="1" applyBorder="1" applyAlignment="1" applyProtection="1">
      <alignment horizontal="center"/>
    </xf>
    <xf numFmtId="0" fontId="0" fillId="0" borderId="61" xfId="0" applyBorder="1"/>
    <xf numFmtId="3" fontId="3" fillId="0" borderId="61" xfId="0" applyNumberFormat="1" applyFont="1" applyBorder="1" applyAlignment="1" applyProtection="1">
      <alignment horizontal="center"/>
    </xf>
    <xf numFmtId="3" fontId="3" fillId="0" borderId="109" xfId="0" applyNumberFormat="1" applyFont="1" applyBorder="1" applyAlignment="1" applyProtection="1">
      <alignment horizontal="center"/>
    </xf>
    <xf numFmtId="7" fontId="3" fillId="0" borderId="98" xfId="0" applyNumberFormat="1" applyFont="1" applyBorder="1" applyAlignment="1">
      <alignment horizontal="center"/>
    </xf>
    <xf numFmtId="7" fontId="3" fillId="0" borderId="105" xfId="0" applyNumberFormat="1" applyFont="1" applyBorder="1" applyAlignment="1">
      <alignment horizontal="right"/>
    </xf>
    <xf numFmtId="0" fontId="2" fillId="0" borderId="110" xfId="0" applyFont="1" applyBorder="1" applyAlignment="1">
      <alignment horizontal="center" vertical="center"/>
    </xf>
    <xf numFmtId="0" fontId="0" fillId="0" borderId="111" xfId="0" applyBorder="1"/>
    <xf numFmtId="3" fontId="3" fillId="0" borderId="115" xfId="0" applyNumberFormat="1" applyFont="1" applyBorder="1" applyAlignment="1" applyProtection="1">
      <alignment horizontal="center"/>
    </xf>
    <xf numFmtId="3" fontId="3" fillId="0" borderId="116" xfId="0" applyNumberFormat="1" applyFont="1" applyBorder="1" applyAlignment="1" applyProtection="1">
      <alignment horizontal="center"/>
    </xf>
    <xf numFmtId="0" fontId="2" fillId="0" borderId="117" xfId="0" applyFont="1" applyBorder="1"/>
    <xf numFmtId="7" fontId="3" fillId="0" borderId="105" xfId="0" applyNumberFormat="1" applyFont="1" applyBorder="1"/>
    <xf numFmtId="7" fontId="3" fillId="0" borderId="118" xfId="0" applyNumberFormat="1" applyFont="1" applyBorder="1" applyAlignment="1">
      <alignment horizontal="right"/>
    </xf>
    <xf numFmtId="0" fontId="2" fillId="0" borderId="119" xfId="0" applyFont="1" applyBorder="1"/>
    <xf numFmtId="7" fontId="3" fillId="0" borderId="106" xfId="0" applyNumberFormat="1" applyFont="1" applyBorder="1" applyAlignment="1">
      <alignment horizontal="center"/>
    </xf>
    <xf numFmtId="7" fontId="3" fillId="0" borderId="120" xfId="0" applyNumberFormat="1" applyFont="1" applyBorder="1"/>
    <xf numFmtId="7" fontId="5" fillId="0" borderId="106" xfId="0" applyNumberFormat="1" applyFont="1" applyBorder="1" applyAlignment="1">
      <alignment horizontal="center"/>
    </xf>
    <xf numFmtId="7" fontId="5" fillId="0" borderId="120" xfId="0" applyNumberFormat="1" applyFont="1" applyBorder="1"/>
    <xf numFmtId="0" fontId="2" fillId="0" borderId="121" xfId="0" applyFont="1" applyBorder="1"/>
    <xf numFmtId="7" fontId="3" fillId="0" borderId="122" xfId="0" applyNumberFormat="1" applyFont="1" applyBorder="1"/>
    <xf numFmtId="7" fontId="3" fillId="6" borderId="123" xfId="0" applyNumberFormat="1" applyFont="1" applyFill="1" applyBorder="1"/>
    <xf numFmtId="0" fontId="2" fillId="0" borderId="125" xfId="0" applyFont="1" applyBorder="1"/>
    <xf numFmtId="7" fontId="3" fillId="0" borderId="98" xfId="0" applyNumberFormat="1" applyFont="1" applyBorder="1"/>
    <xf numFmtId="7" fontId="3" fillId="0" borderId="126" xfId="0" applyNumberFormat="1" applyFont="1" applyBorder="1" applyAlignment="1">
      <alignment horizontal="center"/>
    </xf>
    <xf numFmtId="0" fontId="0" fillId="0" borderId="105" xfId="0" applyBorder="1" applyProtection="1"/>
    <xf numFmtId="0" fontId="0" fillId="0" borderId="127" xfId="0" applyBorder="1" applyProtection="1"/>
    <xf numFmtId="0" fontId="0" fillId="0" borderId="106" xfId="0" applyBorder="1" applyProtection="1"/>
    <xf numFmtId="0" fontId="0" fillId="0" borderId="91" xfId="0" applyBorder="1" applyProtection="1"/>
    <xf numFmtId="0" fontId="3" fillId="0" borderId="124" xfId="0" applyFont="1" applyBorder="1" applyAlignment="1">
      <alignment horizontal="center"/>
    </xf>
    <xf numFmtId="0" fontId="2" fillId="0" borderId="0" xfId="0" applyFont="1" applyAlignment="1" applyProtection="1"/>
    <xf numFmtId="7" fontId="0" fillId="4" borderId="128" xfId="0" applyNumberFormat="1" applyFill="1" applyBorder="1" applyProtection="1">
      <protection locked="0"/>
    </xf>
    <xf numFmtId="7" fontId="4" fillId="0" borderId="96" xfId="0" applyNumberFormat="1" applyFont="1" applyBorder="1" applyAlignment="1" applyProtection="1">
      <alignment horizontal="right"/>
    </xf>
    <xf numFmtId="7" fontId="4" fillId="0" borderId="97" xfId="0" applyNumberFormat="1" applyFont="1" applyBorder="1" applyAlignment="1" applyProtection="1">
      <alignment horizontal="right"/>
    </xf>
    <xf numFmtId="7" fontId="4" fillId="0" borderId="130" xfId="0" applyNumberFormat="1" applyFont="1" applyBorder="1" applyAlignment="1" applyProtection="1">
      <alignment horizontal="right"/>
    </xf>
    <xf numFmtId="7" fontId="4" fillId="0" borderId="129" xfId="0" applyNumberFormat="1" applyFont="1" applyBorder="1" applyAlignment="1" applyProtection="1">
      <alignment horizontal="right"/>
    </xf>
    <xf numFmtId="3" fontId="4" fillId="0" borderId="132" xfId="0" applyNumberFormat="1" applyFont="1" applyBorder="1" applyAlignment="1" applyProtection="1">
      <alignment horizontal="center"/>
    </xf>
    <xf numFmtId="3" fontId="11" fillId="0" borderId="132" xfId="0" applyNumberFormat="1" applyFont="1" applyBorder="1" applyAlignment="1" applyProtection="1">
      <alignment horizontal="center"/>
    </xf>
    <xf numFmtId="3" fontId="11" fillId="0" borderId="133" xfId="0" applyNumberFormat="1" applyFont="1" applyBorder="1" applyAlignment="1" applyProtection="1">
      <alignment horizontal="center"/>
    </xf>
    <xf numFmtId="164" fontId="8" fillId="0" borderId="134" xfId="1" applyNumberFormat="1" applyFont="1" applyBorder="1" applyProtection="1"/>
    <xf numFmtId="3" fontId="11" fillId="0" borderId="135" xfId="0" applyNumberFormat="1" applyFont="1" applyBorder="1" applyAlignment="1" applyProtection="1">
      <alignment horizontal="center"/>
    </xf>
    <xf numFmtId="3" fontId="11" fillId="0" borderId="136" xfId="0" applyNumberFormat="1" applyFont="1" applyBorder="1" applyAlignment="1" applyProtection="1">
      <alignment horizontal="center"/>
    </xf>
    <xf numFmtId="164" fontId="8" fillId="0" borderId="136" xfId="1" applyNumberFormat="1" applyFont="1" applyBorder="1" applyProtection="1"/>
    <xf numFmtId="7" fontId="0" fillId="0" borderId="137" xfId="0" applyNumberFormat="1" applyBorder="1" applyProtection="1"/>
    <xf numFmtId="0" fontId="0" fillId="0" borderId="136" xfId="0" applyBorder="1" applyProtection="1"/>
    <xf numFmtId="7" fontId="0" fillId="0" borderId="136" xfId="0" applyNumberFormat="1" applyBorder="1" applyProtection="1"/>
    <xf numFmtId="7" fontId="0" fillId="0" borderId="131" xfId="0" applyNumberFormat="1" applyBorder="1" applyProtection="1"/>
    <xf numFmtId="7" fontId="0" fillId="0" borderId="138" xfId="0" applyNumberFormat="1" applyBorder="1" applyProtection="1"/>
    <xf numFmtId="0" fontId="0" fillId="0" borderId="139" xfId="0" applyBorder="1" applyProtection="1"/>
    <xf numFmtId="0" fontId="3" fillId="0" borderId="93" xfId="0" applyFont="1" applyBorder="1" applyAlignment="1" applyProtection="1">
      <alignment horizontal="left"/>
    </xf>
    <xf numFmtId="7" fontId="0" fillId="0" borderId="140" xfId="0" applyNumberFormat="1" applyBorder="1" applyProtection="1"/>
    <xf numFmtId="0" fontId="0" fillId="0" borderId="141" xfId="0" applyBorder="1" applyProtection="1"/>
    <xf numFmtId="0" fontId="0" fillId="2" borderId="6" xfId="0" applyFill="1" applyBorder="1" applyAlignment="1" applyProtection="1">
      <alignment horizontal="centerContinuous"/>
    </xf>
    <xf numFmtId="3" fontId="3" fillId="0" borderId="4" xfId="0" applyNumberFormat="1" applyFont="1" applyBorder="1" applyAlignment="1" applyProtection="1">
      <alignment horizontal="center"/>
    </xf>
    <xf numFmtId="3" fontId="3" fillId="0" borderId="143" xfId="0" applyNumberFormat="1" applyFont="1" applyBorder="1" applyAlignment="1" applyProtection="1">
      <alignment horizontal="center"/>
    </xf>
    <xf numFmtId="3" fontId="11" fillId="4" borderId="144" xfId="0" applyNumberFormat="1" applyFont="1" applyFill="1" applyBorder="1" applyAlignment="1" applyProtection="1">
      <alignment horizontal="center"/>
      <protection locked="0"/>
    </xf>
    <xf numFmtId="3" fontId="11" fillId="0" borderId="144" xfId="0" applyNumberFormat="1" applyFont="1" applyBorder="1" applyAlignment="1" applyProtection="1">
      <alignment horizontal="center"/>
    </xf>
    <xf numFmtId="0" fontId="7" fillId="0" borderId="145" xfId="0" applyFont="1" applyBorder="1" applyAlignment="1" applyProtection="1">
      <alignment horizontal="center"/>
    </xf>
    <xf numFmtId="3" fontId="11" fillId="0" borderId="146" xfId="0" applyNumberFormat="1" applyFont="1" applyBorder="1" applyAlignment="1" applyProtection="1">
      <alignment horizontal="center"/>
    </xf>
    <xf numFmtId="0" fontId="7" fillId="0" borderId="135" xfId="0" applyFont="1" applyBorder="1" applyAlignment="1" applyProtection="1">
      <alignment horizontal="center"/>
    </xf>
    <xf numFmtId="7" fontId="0" fillId="0" borderId="132" xfId="0" applyNumberFormat="1" applyBorder="1" applyProtection="1"/>
    <xf numFmtId="37" fontId="11" fillId="0" borderId="144" xfId="0" applyNumberFormat="1" applyFont="1" applyBorder="1" applyAlignment="1" applyProtection="1">
      <alignment horizontal="center"/>
    </xf>
    <xf numFmtId="3" fontId="11" fillId="0" borderId="144" xfId="0" applyNumberFormat="1" applyFont="1" applyFill="1" applyBorder="1" applyAlignment="1" applyProtection="1">
      <alignment horizontal="center"/>
    </xf>
    <xf numFmtId="7" fontId="11" fillId="0" borderId="144" xfId="0" applyNumberFormat="1" applyFont="1" applyFill="1" applyBorder="1" applyAlignment="1" applyProtection="1">
      <alignment horizontal="center"/>
    </xf>
    <xf numFmtId="0" fontId="0" fillId="0" borderId="147" xfId="0" applyBorder="1" applyProtection="1"/>
    <xf numFmtId="0" fontId="12" fillId="0" borderId="0" xfId="0" applyFont="1" applyProtection="1"/>
    <xf numFmtId="3" fontId="3" fillId="3" borderId="142" xfId="0" applyNumberFormat="1" applyFont="1" applyFill="1" applyBorder="1" applyAlignment="1" applyProtection="1">
      <alignment horizontal="center"/>
    </xf>
    <xf numFmtId="0" fontId="3" fillId="0" borderId="99" xfId="0" applyFont="1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0" fontId="3" fillId="0" borderId="100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10" fillId="0" borderId="89" xfId="0" applyFont="1" applyBorder="1" applyAlignment="1"/>
    <xf numFmtId="0" fontId="0" fillId="0" borderId="90" xfId="0" applyBorder="1" applyAlignment="1"/>
    <xf numFmtId="0" fontId="2" fillId="0" borderId="112" xfId="0" applyFont="1" applyBorder="1" applyAlignment="1">
      <alignment horizontal="center" vertical="center"/>
    </xf>
    <xf numFmtId="0" fontId="10" fillId="0" borderId="113" xfId="0" applyFont="1" applyBorder="1" applyAlignment="1"/>
    <xf numFmtId="0" fontId="2" fillId="0" borderId="113" xfId="0" applyFont="1" applyBorder="1" applyAlignment="1">
      <alignment horizontal="center" vertical="center"/>
    </xf>
    <xf numFmtId="0" fontId="2" fillId="0" borderId="114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3" fillId="0" borderId="87" xfId="0" applyFont="1" applyBorder="1" applyAlignment="1" applyProtection="1">
      <alignment horizontal="center"/>
    </xf>
    <xf numFmtId="0" fontId="0" fillId="0" borderId="62" xfId="0" applyBorder="1" applyAlignment="1">
      <alignment horizontal="center"/>
    </xf>
    <xf numFmtId="0" fontId="3" fillId="0" borderId="99" xfId="0" applyFont="1" applyBorder="1" applyAlignment="1" applyProtection="1">
      <alignment horizontal="center" vertical="center"/>
    </xf>
    <xf numFmtId="0" fontId="3" fillId="0" borderId="94" xfId="0" applyFont="1" applyBorder="1" applyAlignment="1" applyProtection="1">
      <alignment horizontal="center" vertical="center"/>
    </xf>
    <xf numFmtId="0" fontId="3" fillId="0" borderId="100" xfId="0" applyFont="1" applyBorder="1" applyAlignment="1" applyProtection="1">
      <alignment horizontal="center" vertical="center"/>
    </xf>
    <xf numFmtId="0" fontId="3" fillId="0" borderId="99" xfId="0" applyFont="1" applyBorder="1" applyAlignment="1" applyProtection="1">
      <alignment horizontal="center"/>
    </xf>
    <xf numFmtId="0" fontId="3" fillId="0" borderId="94" xfId="0" applyFont="1" applyBorder="1" applyAlignment="1" applyProtection="1">
      <alignment horizontal="center"/>
    </xf>
    <xf numFmtId="0" fontId="3" fillId="0" borderId="100" xfId="0" applyFont="1" applyBorder="1" applyAlignment="1" applyProtection="1">
      <alignment horizontal="center"/>
    </xf>
    <xf numFmtId="0" fontId="3" fillId="7" borderId="131" xfId="0" applyFont="1" applyFill="1" applyBorder="1" applyAlignment="1" applyProtection="1">
      <alignment horizontal="center"/>
    </xf>
    <xf numFmtId="0" fontId="3" fillId="10" borderId="131" xfId="0" applyFont="1" applyFill="1" applyBorder="1" applyAlignment="1" applyProtection="1"/>
    <xf numFmtId="0" fontId="0" fillId="0" borderId="131" xfId="0" applyBorder="1" applyAlignment="1"/>
    <xf numFmtId="0" fontId="0" fillId="0" borderId="133" xfId="0" applyBorder="1" applyAlignment="1"/>
    <xf numFmtId="0" fontId="3" fillId="0" borderId="148" xfId="0" applyFont="1" applyBorder="1" applyAlignment="1" applyProtection="1">
      <alignment horizontal="center" vertical="center"/>
    </xf>
    <xf numFmtId="0" fontId="3" fillId="0" borderId="149" xfId="0" applyFont="1" applyBorder="1" applyAlignment="1" applyProtection="1">
      <alignment horizontal="center" vertical="center"/>
    </xf>
    <xf numFmtId="0" fontId="0" fillId="0" borderId="150" xfId="0" applyBorder="1" applyAlignment="1"/>
    <xf numFmtId="0" fontId="3" fillId="7" borderId="7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/>
  </cellXfs>
  <cellStyles count="4">
    <cellStyle name="Comma" xfId="1" builtinId="3"/>
    <cellStyle name="Normal" xfId="0" builtinId="0"/>
    <cellStyle name="Normal_9704DF" xfId="2"/>
    <cellStyle name="Normal_9901DF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9"/>
  <sheetViews>
    <sheetView tabSelected="1" workbookViewId="0">
      <selection activeCell="A8" sqref="A8"/>
    </sheetView>
  </sheetViews>
  <sheetFormatPr defaultRowHeight="15"/>
  <cols>
    <col min="1" max="1" width="43.90625" bestFit="1" customWidth="1"/>
    <col min="2" max="4" width="16.81640625" customWidth="1"/>
    <col min="5" max="5" width="18.453125" customWidth="1"/>
    <col min="6" max="8" width="16.81640625" customWidth="1"/>
    <col min="9" max="9" width="5.36328125" customWidth="1"/>
    <col min="10" max="10" width="20.81640625" customWidth="1"/>
    <col min="11" max="12" width="19.81640625" customWidth="1"/>
  </cols>
  <sheetData>
    <row r="1" spans="1:29" ht="17.399999999999999">
      <c r="A1" s="206" t="s">
        <v>241</v>
      </c>
    </row>
    <row r="2" spans="1:29" ht="18" thickBot="1">
      <c r="A2" s="206"/>
    </row>
    <row r="3" spans="1:29" ht="18.600000000000001" thickTop="1" thickBot="1">
      <c r="A3" s="301" t="s">
        <v>130</v>
      </c>
      <c r="B3" s="302"/>
      <c r="C3" s="302"/>
      <c r="D3" s="302"/>
      <c r="E3" s="302"/>
      <c r="F3" s="302"/>
      <c r="G3" s="302"/>
      <c r="H3" s="30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</row>
    <row r="4" spans="1:29" ht="18.600000000000001" thickTop="1" thickBot="1">
      <c r="A4" s="304" t="s">
        <v>226</v>
      </c>
      <c r="B4" s="305"/>
      <c r="C4" s="304" t="s">
        <v>305</v>
      </c>
      <c r="D4" s="306"/>
      <c r="E4" s="306"/>
      <c r="F4" s="306"/>
      <c r="G4" s="307"/>
      <c r="H4" s="238" t="s">
        <v>263</v>
      </c>
      <c r="J4" s="298" t="s">
        <v>260</v>
      </c>
      <c r="K4" s="299"/>
      <c r="L4" s="300"/>
    </row>
    <row r="5" spans="1:29" ht="16.5" customHeight="1" thickTop="1" thickBot="1">
      <c r="A5" s="239"/>
      <c r="B5" s="310" t="s">
        <v>267</v>
      </c>
      <c r="C5" s="312" t="s">
        <v>304</v>
      </c>
      <c r="D5" s="313"/>
      <c r="E5" s="313"/>
      <c r="F5" s="313"/>
      <c r="G5" s="313"/>
      <c r="H5" s="260" t="s">
        <v>0</v>
      </c>
      <c r="J5" s="298" t="s">
        <v>261</v>
      </c>
      <c r="K5" s="299"/>
      <c r="L5" s="300"/>
    </row>
    <row r="6" spans="1:29" ht="16.2" thickBot="1">
      <c r="A6" s="239"/>
      <c r="B6" s="311"/>
      <c r="C6" s="16" t="s">
        <v>209</v>
      </c>
      <c r="D6" s="16" t="s">
        <v>237</v>
      </c>
      <c r="E6" s="16" t="s">
        <v>189</v>
      </c>
      <c r="F6" s="173"/>
      <c r="G6" s="16"/>
      <c r="H6" s="240" t="s">
        <v>269</v>
      </c>
      <c r="J6" s="228"/>
      <c r="K6" s="229" t="s">
        <v>183</v>
      </c>
      <c r="L6" s="230" t="s">
        <v>220</v>
      </c>
    </row>
    <row r="7" spans="1:29" ht="16.2" thickBot="1">
      <c r="A7" s="239"/>
      <c r="B7" s="311"/>
      <c r="C7" s="16" t="s">
        <v>20</v>
      </c>
      <c r="D7" s="16" t="s">
        <v>211</v>
      </c>
      <c r="E7" s="16" t="s">
        <v>180</v>
      </c>
      <c r="F7" s="16" t="s">
        <v>253</v>
      </c>
      <c r="G7" s="16" t="s">
        <v>257</v>
      </c>
      <c r="H7" s="240" t="s">
        <v>270</v>
      </c>
      <c r="J7" s="231" t="s">
        <v>177</v>
      </c>
      <c r="K7" s="231" t="s">
        <v>187</v>
      </c>
      <c r="L7" s="232" t="s">
        <v>188</v>
      </c>
    </row>
    <row r="8" spans="1:29" ht="16.2" thickBot="1">
      <c r="A8" s="239"/>
      <c r="B8" s="311"/>
      <c r="C8" s="16" t="s">
        <v>210</v>
      </c>
      <c r="D8" s="16" t="s">
        <v>212</v>
      </c>
      <c r="E8" s="16" t="s">
        <v>181</v>
      </c>
      <c r="F8" s="16" t="s">
        <v>254</v>
      </c>
      <c r="G8" s="16" t="s">
        <v>258</v>
      </c>
      <c r="H8" s="240" t="s">
        <v>271</v>
      </c>
      <c r="J8" s="231" t="s">
        <v>129</v>
      </c>
      <c r="K8" s="231" t="s">
        <v>185</v>
      </c>
      <c r="L8" s="232" t="s">
        <v>219</v>
      </c>
    </row>
    <row r="9" spans="1:29" ht="16.2" thickBot="1">
      <c r="A9" s="239"/>
      <c r="B9" s="311"/>
      <c r="C9" s="16" t="s">
        <v>237</v>
      </c>
      <c r="D9" s="16" t="s">
        <v>214</v>
      </c>
      <c r="E9" s="16" t="s">
        <v>182</v>
      </c>
      <c r="F9" s="16" t="s">
        <v>255</v>
      </c>
      <c r="G9" s="16" t="s">
        <v>259</v>
      </c>
      <c r="H9" s="240" t="s">
        <v>268</v>
      </c>
      <c r="J9" s="231" t="s">
        <v>178</v>
      </c>
      <c r="K9" s="231" t="s">
        <v>184</v>
      </c>
      <c r="L9" s="232" t="s">
        <v>221</v>
      </c>
    </row>
    <row r="10" spans="1:29" ht="16.2" thickBot="1">
      <c r="A10" s="239"/>
      <c r="B10" s="311"/>
      <c r="C10" s="16" t="s">
        <v>208</v>
      </c>
      <c r="D10" s="16" t="s">
        <v>215</v>
      </c>
      <c r="E10" s="16" t="s">
        <v>178</v>
      </c>
      <c r="F10" s="16" t="s">
        <v>252</v>
      </c>
      <c r="G10" s="16"/>
      <c r="H10" s="241" t="s">
        <v>272</v>
      </c>
      <c r="J10" s="233"/>
      <c r="K10" s="234" t="s">
        <v>186</v>
      </c>
      <c r="L10" s="235" t="s">
        <v>222</v>
      </c>
    </row>
    <row r="11" spans="1:29" ht="17.399999999999999">
      <c r="A11" s="242" t="s">
        <v>194</v>
      </c>
      <c r="B11" s="243">
        <f>'SF Residential - COS'!F44</f>
        <v>0</v>
      </c>
      <c r="C11" s="243">
        <f>'SF Residential - COS'!N44</f>
        <v>0</v>
      </c>
      <c r="D11" s="243">
        <f>'SF Residential - COS'!O44</f>
        <v>0</v>
      </c>
      <c r="E11" s="224" t="s">
        <v>218</v>
      </c>
      <c r="F11" s="237">
        <f>'SF Residential - COS'!P44</f>
        <v>0</v>
      </c>
      <c r="G11" s="237">
        <f>'SF Residential - COS'!Q44</f>
        <v>0</v>
      </c>
      <c r="H11" s="244">
        <f>SUM(B11:G11)</f>
        <v>0</v>
      </c>
      <c r="J11" s="165" t="s">
        <v>218</v>
      </c>
      <c r="K11" s="165" t="s">
        <v>218</v>
      </c>
      <c r="L11" s="225">
        <f>'SF Residential - COS'!S44</f>
        <v>0</v>
      </c>
    </row>
    <row r="12" spans="1:29" ht="17.399999999999999">
      <c r="A12" s="245" t="s">
        <v>199</v>
      </c>
      <c r="B12" s="225">
        <f>Commercial!F157</f>
        <v>0</v>
      </c>
      <c r="C12" s="246" t="s">
        <v>218</v>
      </c>
      <c r="D12" s="246" t="s">
        <v>218</v>
      </c>
      <c r="E12" s="225">
        <f>Commercial!K157</f>
        <v>0</v>
      </c>
      <c r="F12" s="225">
        <f>Commercial!L157</f>
        <v>0</v>
      </c>
      <c r="G12" s="225">
        <f>Commercial!M157</f>
        <v>0</v>
      </c>
      <c r="H12" s="247">
        <f>SUM(B12:G12)</f>
        <v>0</v>
      </c>
      <c r="J12" s="122">
        <f>Commercial!P157</f>
        <v>0</v>
      </c>
      <c r="K12" s="122">
        <f>Commercial!Q157</f>
        <v>0</v>
      </c>
      <c r="L12" s="122">
        <f>Commercial!R157</f>
        <v>0</v>
      </c>
    </row>
    <row r="13" spans="1:29" ht="17.399999999999999">
      <c r="A13" s="245" t="s">
        <v>245</v>
      </c>
      <c r="B13" s="226">
        <f>'Drop-box'!D76</f>
        <v>0</v>
      </c>
      <c r="C13" s="248" t="s">
        <v>218</v>
      </c>
      <c r="D13" s="248" t="s">
        <v>218</v>
      </c>
      <c r="E13" s="226">
        <f>'Drop-box'!I76</f>
        <v>0</v>
      </c>
      <c r="F13" s="226">
        <f>'Drop-box'!J76</f>
        <v>0</v>
      </c>
      <c r="G13" s="226">
        <f>'Drop-box'!K76</f>
        <v>0</v>
      </c>
      <c r="H13" s="249">
        <f>SUM(B13:G13)</f>
        <v>0</v>
      </c>
      <c r="J13" s="123">
        <f>'Drop-box'!N76</f>
        <v>0</v>
      </c>
      <c r="K13" s="123">
        <f>'Drop-box'!O76</f>
        <v>0</v>
      </c>
      <c r="L13" s="123">
        <f>'Drop-box'!P76</f>
        <v>0</v>
      </c>
    </row>
    <row r="14" spans="1:29" ht="18" thickBot="1">
      <c r="A14" s="250" t="s">
        <v>225</v>
      </c>
      <c r="B14" s="251">
        <f t="shared" ref="B14" si="0">SUM(B11:B13)</f>
        <v>0</v>
      </c>
      <c r="C14" s="251">
        <f t="shared" ref="C14:D14" si="1">SUM(C11:C13)</f>
        <v>0</v>
      </c>
      <c r="D14" s="251">
        <f t="shared" si="1"/>
        <v>0</v>
      </c>
      <c r="E14" s="251">
        <f>SUM(E11:E13)</f>
        <v>0</v>
      </c>
      <c r="F14" s="251">
        <f>SUM(F11:F13)</f>
        <v>0</v>
      </c>
      <c r="G14" s="251">
        <f>SUM(G11:G13)</f>
        <v>0</v>
      </c>
      <c r="H14" s="252">
        <f>SUM(H11:H13)</f>
        <v>0</v>
      </c>
      <c r="J14" s="124">
        <f>SUM(J11:J13)</f>
        <v>0</v>
      </c>
      <c r="K14" s="124">
        <f>SUM(K11:K13)</f>
        <v>0</v>
      </c>
      <c r="L14" s="124">
        <f>SUM(L11:L13)</f>
        <v>0</v>
      </c>
    </row>
    <row r="15" spans="1:29" ht="16.2" thickTop="1">
      <c r="A15" s="176" t="s">
        <v>264</v>
      </c>
    </row>
    <row r="17" spans="1:12" ht="15.6" thickBot="1"/>
    <row r="18" spans="1:12" ht="18.600000000000001" thickTop="1" thickBot="1">
      <c r="A18" s="301" t="s">
        <v>227</v>
      </c>
      <c r="B18" s="302"/>
      <c r="C18" s="301" t="s">
        <v>306</v>
      </c>
      <c r="D18" s="308"/>
      <c r="E18" s="308"/>
      <c r="F18" s="308"/>
      <c r="G18" s="309"/>
      <c r="H18" s="238" t="s">
        <v>263</v>
      </c>
      <c r="J18" s="298" t="s">
        <v>262</v>
      </c>
      <c r="K18" s="299"/>
      <c r="L18" s="300"/>
    </row>
    <row r="19" spans="1:12" ht="18.600000000000001" thickTop="1" thickBot="1">
      <c r="A19" s="253" t="s">
        <v>195</v>
      </c>
      <c r="B19" s="254">
        <f>'SF Residential - Linear'!F44</f>
        <v>0</v>
      </c>
      <c r="C19" s="254">
        <f>'SF Residential - Linear'!K44</f>
        <v>0</v>
      </c>
      <c r="D19" s="254">
        <f>'SF Residential - Linear'!L44</f>
        <v>0</v>
      </c>
      <c r="E19" s="227" t="s">
        <v>218</v>
      </c>
      <c r="F19" s="236">
        <f>'SF Residential - Linear'!M44</f>
        <v>0</v>
      </c>
      <c r="G19" s="236">
        <f>'SF Residential - Linear'!N44</f>
        <v>0</v>
      </c>
      <c r="H19" s="255">
        <f>SUM(B19:G19)</f>
        <v>0</v>
      </c>
      <c r="J19" s="175" t="s">
        <v>218</v>
      </c>
      <c r="K19" s="175" t="s">
        <v>218</v>
      </c>
      <c r="L19" s="174">
        <f>'SF Residential - Linear'!P44</f>
        <v>0</v>
      </c>
    </row>
  </sheetData>
  <sheetProtection password="A2DE" sheet="1" objects="1" scenarios="1"/>
  <mergeCells count="10">
    <mergeCell ref="J4:L4"/>
    <mergeCell ref="J5:L5"/>
    <mergeCell ref="J18:L18"/>
    <mergeCell ref="A3:H3"/>
    <mergeCell ref="A4:B4"/>
    <mergeCell ref="C4:G4"/>
    <mergeCell ref="A18:B18"/>
    <mergeCell ref="C18:G18"/>
    <mergeCell ref="B5:B10"/>
    <mergeCell ref="C5:G5"/>
  </mergeCells>
  <pageMargins left="0.7" right="0.7" top="0.75" bottom="0.75" header="0.3" footer="0.3"/>
  <pageSetup paperSize="17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9"/>
  <sheetViews>
    <sheetView zoomScale="90" zoomScaleNormal="90" workbookViewId="0">
      <pane xSplit="1" ySplit="10" topLeftCell="B74" activePane="bottomRight" state="frozen"/>
      <selection pane="topRight" activeCell="B1" sqref="B1"/>
      <selection pane="bottomLeft" activeCell="A6" sqref="A6"/>
      <selection pane="bottomRight" activeCell="P89" sqref="A1:P89"/>
    </sheetView>
  </sheetViews>
  <sheetFormatPr defaultColWidth="8.90625" defaultRowHeight="15"/>
  <cols>
    <col min="1" max="1" width="57.6328125" style="8" customWidth="1"/>
    <col min="2" max="2" width="12.6328125" style="8" bestFit="1" customWidth="1"/>
    <col min="3" max="3" width="15" style="8" bestFit="1" customWidth="1"/>
    <col min="4" max="4" width="18.36328125" style="8" bestFit="1" customWidth="1"/>
    <col min="5" max="5" width="4.81640625" style="8" customWidth="1"/>
    <col min="6" max="6" width="10" style="8" bestFit="1" customWidth="1"/>
    <col min="7" max="8" width="10" style="8" customWidth="1"/>
    <col min="9" max="11" width="20.81640625" style="8" customWidth="1"/>
    <col min="12" max="13" width="8.90625" style="8"/>
    <col min="14" max="16" width="20.81640625" style="8" customWidth="1"/>
    <col min="17" max="16384" width="8.90625" style="8"/>
  </cols>
  <sheetData>
    <row r="1" spans="1:16" ht="17.399999999999999">
      <c r="A1" s="207" t="s">
        <v>246</v>
      </c>
    </row>
    <row r="2" spans="1:16" ht="15.6" thickBot="1"/>
    <row r="3" spans="1:16" ht="17.399999999999999">
      <c r="A3" s="41" t="s">
        <v>12</v>
      </c>
    </row>
    <row r="4" spans="1:16" ht="15.6" thickBot="1">
      <c r="A4" s="42" t="s">
        <v>231</v>
      </c>
    </row>
    <row r="5" spans="1:16" ht="16.2" thickBot="1">
      <c r="A5" s="43" t="s">
        <v>17</v>
      </c>
      <c r="B5" s="44"/>
      <c r="C5" s="45"/>
      <c r="D5" s="46"/>
      <c r="I5" s="314" t="s">
        <v>276</v>
      </c>
      <c r="J5" s="315"/>
      <c r="K5" s="316"/>
      <c r="N5" s="314" t="s">
        <v>277</v>
      </c>
      <c r="O5" s="315"/>
      <c r="P5" s="316"/>
    </row>
    <row r="6" spans="1:16" ht="15.6">
      <c r="A6" s="47"/>
      <c r="B6" s="9"/>
      <c r="C6" s="48"/>
      <c r="D6" s="16"/>
      <c r="I6" s="16" t="s">
        <v>189</v>
      </c>
      <c r="J6" s="256"/>
      <c r="K6" s="256"/>
      <c r="N6" s="16"/>
      <c r="O6" s="16" t="s">
        <v>183</v>
      </c>
      <c r="P6" s="16" t="s">
        <v>220</v>
      </c>
    </row>
    <row r="7" spans="1:16" ht="15.6">
      <c r="A7" s="47"/>
      <c r="B7" s="9"/>
      <c r="C7" s="48"/>
      <c r="D7" s="16"/>
      <c r="I7" s="16" t="s">
        <v>180</v>
      </c>
      <c r="J7" s="16" t="s">
        <v>253</v>
      </c>
      <c r="K7" s="16"/>
      <c r="N7" s="16" t="s">
        <v>177</v>
      </c>
      <c r="O7" s="16" t="s">
        <v>187</v>
      </c>
      <c r="P7" s="16" t="s">
        <v>188</v>
      </c>
    </row>
    <row r="8" spans="1:16" ht="15.6">
      <c r="A8" s="47"/>
      <c r="B8" s="9"/>
      <c r="C8" s="48"/>
      <c r="D8" s="16"/>
      <c r="I8" s="16" t="s">
        <v>181</v>
      </c>
      <c r="J8" s="16" t="s">
        <v>254</v>
      </c>
      <c r="K8" s="16" t="s">
        <v>257</v>
      </c>
      <c r="N8" s="16" t="s">
        <v>129</v>
      </c>
      <c r="O8" s="16" t="s">
        <v>185</v>
      </c>
      <c r="P8" s="16" t="s">
        <v>219</v>
      </c>
    </row>
    <row r="9" spans="1:16" ht="16.2" thickBot="1">
      <c r="A9" s="49" t="s">
        <v>179</v>
      </c>
      <c r="B9" s="50"/>
      <c r="C9" s="51"/>
      <c r="D9" s="16" t="s">
        <v>21</v>
      </c>
      <c r="I9" s="16" t="s">
        <v>182</v>
      </c>
      <c r="J9" s="16" t="s">
        <v>255</v>
      </c>
      <c r="K9" s="16" t="s">
        <v>258</v>
      </c>
      <c r="N9" s="16" t="s">
        <v>178</v>
      </c>
      <c r="O9" s="16" t="s">
        <v>184</v>
      </c>
      <c r="P9" s="16" t="s">
        <v>221</v>
      </c>
    </row>
    <row r="10" spans="1:16" ht="16.2" thickBot="1">
      <c r="A10" s="186" t="s">
        <v>66</v>
      </c>
      <c r="B10" s="52" t="s">
        <v>22</v>
      </c>
      <c r="C10" s="53" t="s">
        <v>64</v>
      </c>
      <c r="D10" s="17" t="s">
        <v>171</v>
      </c>
      <c r="I10" s="16" t="s">
        <v>178</v>
      </c>
      <c r="J10" s="16" t="s">
        <v>252</v>
      </c>
      <c r="K10" s="16" t="s">
        <v>259</v>
      </c>
      <c r="N10" s="16"/>
      <c r="O10" s="16" t="s">
        <v>186</v>
      </c>
      <c r="P10" s="16" t="s">
        <v>222</v>
      </c>
    </row>
    <row r="11" spans="1:16">
      <c r="A11" s="181" t="s">
        <v>6</v>
      </c>
      <c r="B11" s="18">
        <v>1</v>
      </c>
      <c r="C11" s="18">
        <f>1*2</f>
        <v>2</v>
      </c>
      <c r="D11" s="28">
        <v>0</v>
      </c>
      <c r="E11" s="91"/>
      <c r="F11" s="92"/>
      <c r="G11" s="92"/>
      <c r="H11" s="92"/>
      <c r="I11" s="95">
        <v>0</v>
      </c>
      <c r="J11" s="95">
        <v>0</v>
      </c>
      <c r="K11" s="95">
        <v>0</v>
      </c>
      <c r="N11" s="95">
        <v>0</v>
      </c>
      <c r="O11" s="95">
        <v>0</v>
      </c>
      <c r="P11" s="95">
        <v>0</v>
      </c>
    </row>
    <row r="12" spans="1:16">
      <c r="A12" s="181" t="s">
        <v>4</v>
      </c>
      <c r="B12" s="18">
        <v>4</v>
      </c>
      <c r="C12" s="18">
        <f>11*2</f>
        <v>22</v>
      </c>
      <c r="D12" s="29">
        <v>0</v>
      </c>
      <c r="E12" s="86"/>
      <c r="F12" s="87"/>
      <c r="G12" s="87"/>
      <c r="H12" s="87"/>
      <c r="I12" s="96">
        <v>0</v>
      </c>
      <c r="J12" s="96">
        <v>0</v>
      </c>
      <c r="K12" s="96">
        <v>0</v>
      </c>
      <c r="N12" s="96">
        <v>0</v>
      </c>
      <c r="O12" s="96">
        <v>0</v>
      </c>
      <c r="P12" s="96">
        <v>0</v>
      </c>
    </row>
    <row r="13" spans="1:16">
      <c r="A13" s="181" t="s">
        <v>7</v>
      </c>
      <c r="B13" s="18">
        <v>3</v>
      </c>
      <c r="C13" s="18">
        <f>3*2</f>
        <v>6</v>
      </c>
      <c r="D13" s="29">
        <v>0</v>
      </c>
      <c r="E13" s="86"/>
      <c r="F13" s="87"/>
      <c r="G13" s="87"/>
      <c r="H13" s="87"/>
      <c r="I13" s="96">
        <v>0</v>
      </c>
      <c r="J13" s="96">
        <v>0</v>
      </c>
      <c r="K13" s="96">
        <v>0</v>
      </c>
      <c r="N13" s="96">
        <v>0</v>
      </c>
      <c r="O13" s="96">
        <v>0</v>
      </c>
      <c r="P13" s="96">
        <v>0</v>
      </c>
    </row>
    <row r="14" spans="1:16">
      <c r="A14" s="181" t="s">
        <v>8</v>
      </c>
      <c r="B14" s="18">
        <v>3</v>
      </c>
      <c r="C14" s="18">
        <f>3*2</f>
        <v>6</v>
      </c>
      <c r="D14" s="29">
        <v>0</v>
      </c>
      <c r="E14" s="86"/>
      <c r="F14" s="87"/>
      <c r="G14" s="87"/>
      <c r="H14" s="87"/>
      <c r="I14" s="96">
        <v>0</v>
      </c>
      <c r="J14" s="96">
        <v>0</v>
      </c>
      <c r="K14" s="96">
        <v>0</v>
      </c>
      <c r="N14" s="96">
        <v>0</v>
      </c>
      <c r="O14" s="96">
        <v>0</v>
      </c>
      <c r="P14" s="96">
        <v>0</v>
      </c>
    </row>
    <row r="15" spans="1:16">
      <c r="A15" s="181" t="s">
        <v>9</v>
      </c>
      <c r="B15" s="18">
        <f>24+6+1+1</f>
        <v>32</v>
      </c>
      <c r="C15" s="18">
        <f>24*2+6*(52/12)+1*3*(52/12)+1*5*(52/12)</f>
        <v>108.66666666666666</v>
      </c>
      <c r="D15" s="29">
        <v>0</v>
      </c>
      <c r="E15" s="86"/>
      <c r="F15" s="87"/>
      <c r="G15" s="87"/>
      <c r="H15" s="87"/>
      <c r="I15" s="96">
        <v>0</v>
      </c>
      <c r="J15" s="96">
        <v>0</v>
      </c>
      <c r="K15" s="96">
        <v>0</v>
      </c>
      <c r="N15" s="96">
        <v>0</v>
      </c>
      <c r="O15" s="96">
        <v>0</v>
      </c>
      <c r="P15" s="96">
        <v>0</v>
      </c>
    </row>
    <row r="16" spans="1:16">
      <c r="A16" s="181" t="s">
        <v>10</v>
      </c>
      <c r="B16" s="18">
        <v>1</v>
      </c>
      <c r="C16" s="18">
        <f>1*2</f>
        <v>2</v>
      </c>
      <c r="D16" s="29">
        <v>0</v>
      </c>
      <c r="E16" s="86"/>
      <c r="F16" s="87"/>
      <c r="G16" s="87"/>
      <c r="H16" s="87"/>
      <c r="I16" s="96">
        <v>0</v>
      </c>
      <c r="J16" s="96">
        <v>0</v>
      </c>
      <c r="K16" s="96">
        <v>0</v>
      </c>
      <c r="N16" s="96">
        <v>0</v>
      </c>
      <c r="O16" s="96">
        <v>0</v>
      </c>
      <c r="P16" s="96">
        <v>0</v>
      </c>
    </row>
    <row r="17" spans="1:16">
      <c r="A17" s="181" t="s">
        <v>5</v>
      </c>
      <c r="B17" s="18">
        <v>1</v>
      </c>
      <c r="C17" s="18">
        <v>1</v>
      </c>
      <c r="D17" s="29">
        <v>0</v>
      </c>
      <c r="E17" s="86"/>
      <c r="F17" s="87"/>
      <c r="G17" s="87"/>
      <c r="H17" s="87"/>
      <c r="I17" s="96">
        <v>0</v>
      </c>
      <c r="J17" s="96">
        <v>0</v>
      </c>
      <c r="K17" s="96">
        <v>0</v>
      </c>
      <c r="N17" s="96">
        <v>0</v>
      </c>
      <c r="O17" s="96">
        <v>0</v>
      </c>
      <c r="P17" s="96">
        <v>0</v>
      </c>
    </row>
    <row r="18" spans="1:16">
      <c r="A18" s="181" t="s">
        <v>11</v>
      </c>
      <c r="B18" s="18">
        <f>7+1</f>
        <v>8</v>
      </c>
      <c r="C18" s="18">
        <f>7*2+1*(52/12)</f>
        <v>18.333333333333332</v>
      </c>
      <c r="D18" s="29">
        <v>0</v>
      </c>
      <c r="E18" s="86"/>
      <c r="F18" s="87"/>
      <c r="G18" s="87"/>
      <c r="H18" s="87"/>
      <c r="I18" s="96">
        <v>0</v>
      </c>
      <c r="J18" s="96">
        <v>0</v>
      </c>
      <c r="K18" s="96">
        <v>0</v>
      </c>
      <c r="N18" s="96">
        <v>0</v>
      </c>
      <c r="O18" s="96">
        <v>0</v>
      </c>
      <c r="P18" s="96">
        <v>0</v>
      </c>
    </row>
    <row r="19" spans="1:16">
      <c r="A19" s="186" t="s">
        <v>230</v>
      </c>
      <c r="B19" s="19"/>
      <c r="C19" s="19"/>
      <c r="D19" s="27"/>
      <c r="E19" s="177"/>
      <c r="F19" s="178"/>
      <c r="G19" s="178"/>
      <c r="H19" s="178"/>
      <c r="I19" s="90"/>
      <c r="J19" s="90"/>
      <c r="K19" s="90"/>
      <c r="N19" s="90"/>
      <c r="O19" s="90"/>
      <c r="P19" s="90"/>
    </row>
    <row r="20" spans="1:16">
      <c r="A20" s="181" t="s">
        <v>4</v>
      </c>
      <c r="B20" s="35">
        <v>1</v>
      </c>
      <c r="C20" s="35">
        <v>25.9</v>
      </c>
      <c r="D20" s="29">
        <v>0</v>
      </c>
      <c r="E20" s="177"/>
      <c r="F20" s="178"/>
      <c r="G20" s="178"/>
      <c r="H20" s="178"/>
      <c r="I20" s="96">
        <v>0</v>
      </c>
      <c r="J20" s="96">
        <v>0</v>
      </c>
      <c r="K20" s="96">
        <v>0</v>
      </c>
      <c r="N20" s="96">
        <v>0</v>
      </c>
      <c r="O20" s="96">
        <v>0</v>
      </c>
      <c r="P20" s="96">
        <v>0</v>
      </c>
    </row>
    <row r="21" spans="1:16">
      <c r="A21" s="186" t="s">
        <v>67</v>
      </c>
      <c r="B21" s="19"/>
      <c r="C21" s="19"/>
      <c r="D21" s="27"/>
      <c r="E21" s="86"/>
      <c r="F21" s="87"/>
      <c r="G21" s="87"/>
      <c r="H21" s="87"/>
      <c r="I21" s="90"/>
      <c r="J21" s="90"/>
      <c r="K21" s="90"/>
      <c r="N21" s="90"/>
      <c r="O21" s="90"/>
      <c r="P21" s="90"/>
    </row>
    <row r="22" spans="1:16">
      <c r="A22" s="181" t="s">
        <v>6</v>
      </c>
      <c r="B22" s="20">
        <v>1</v>
      </c>
      <c r="C22" s="20">
        <f>1*22</f>
        <v>22</v>
      </c>
      <c r="D22" s="29">
        <v>0</v>
      </c>
      <c r="E22" s="86"/>
      <c r="F22" s="87"/>
      <c r="G22" s="87"/>
      <c r="H22" s="87"/>
      <c r="I22" s="96">
        <v>0</v>
      </c>
      <c r="J22" s="96">
        <v>0</v>
      </c>
      <c r="K22" s="96">
        <v>0</v>
      </c>
      <c r="N22" s="96">
        <v>0</v>
      </c>
      <c r="O22" s="96">
        <v>0</v>
      </c>
      <c r="P22" s="96">
        <v>0</v>
      </c>
    </row>
    <row r="23" spans="1:16">
      <c r="A23" s="181" t="s">
        <v>7</v>
      </c>
      <c r="B23" s="20">
        <f>2+3+1</f>
        <v>6</v>
      </c>
      <c r="C23" s="20">
        <f>2*(52/48)+3*(26/12)+1*(52/12)</f>
        <v>13</v>
      </c>
      <c r="D23" s="29">
        <v>0</v>
      </c>
      <c r="E23" s="86"/>
      <c r="F23" s="87"/>
      <c r="G23" s="87"/>
      <c r="H23" s="87"/>
      <c r="I23" s="96">
        <v>0</v>
      </c>
      <c r="J23" s="96">
        <v>0</v>
      </c>
      <c r="K23" s="96">
        <v>0</v>
      </c>
      <c r="N23" s="96">
        <v>0</v>
      </c>
      <c r="O23" s="96">
        <v>0</v>
      </c>
      <c r="P23" s="96">
        <v>0</v>
      </c>
    </row>
    <row r="24" spans="1:16">
      <c r="A24" s="181" t="s">
        <v>8</v>
      </c>
      <c r="B24" s="20">
        <f>11+2+5+13</f>
        <v>31</v>
      </c>
      <c r="C24" s="20">
        <f>11*2+2*(52/48)+5*(26/12)+13*(52/12)</f>
        <v>91.333333333333329</v>
      </c>
      <c r="D24" s="29">
        <v>0</v>
      </c>
      <c r="E24" s="86"/>
      <c r="F24" s="87"/>
      <c r="G24" s="87"/>
      <c r="H24" s="87"/>
      <c r="I24" s="96">
        <v>0</v>
      </c>
      <c r="J24" s="96">
        <v>0</v>
      </c>
      <c r="K24" s="96">
        <v>0</v>
      </c>
      <c r="N24" s="96">
        <v>0</v>
      </c>
      <c r="O24" s="96">
        <v>0</v>
      </c>
      <c r="P24" s="96">
        <v>0</v>
      </c>
    </row>
    <row r="25" spans="1:16">
      <c r="A25" s="181" t="s">
        <v>9</v>
      </c>
      <c r="B25" s="20">
        <f>8+8+1+3+11+3+1</f>
        <v>35</v>
      </c>
      <c r="C25" s="20">
        <f>8*2+8*(26/12)+1*(52/36)+3*(52/48)+11*(52/12)+3*2*(52/12)+1*3*(52/12)</f>
        <v>124.69444444444443</v>
      </c>
      <c r="D25" s="29">
        <v>0</v>
      </c>
      <c r="E25" s="86"/>
      <c r="F25" s="87"/>
      <c r="G25" s="87"/>
      <c r="H25" s="87"/>
      <c r="I25" s="96">
        <v>0</v>
      </c>
      <c r="J25" s="96">
        <v>0</v>
      </c>
      <c r="K25" s="96">
        <v>0</v>
      </c>
      <c r="N25" s="96">
        <v>0</v>
      </c>
      <c r="O25" s="96">
        <v>0</v>
      </c>
      <c r="P25" s="96">
        <v>0</v>
      </c>
    </row>
    <row r="26" spans="1:16">
      <c r="A26" s="181" t="s">
        <v>10</v>
      </c>
      <c r="B26" s="20">
        <f>16+1+4+6+7+1</f>
        <v>35</v>
      </c>
      <c r="C26" s="20">
        <f>16*2+1*(52/36)+4*(52/48)+6*(26/12)+7*(52/12)+1*6*(52/12)</f>
        <v>107.11111111111111</v>
      </c>
      <c r="D26" s="29">
        <v>0</v>
      </c>
      <c r="E26" s="86"/>
      <c r="F26" s="87"/>
      <c r="G26" s="87"/>
      <c r="H26" s="87"/>
      <c r="I26" s="96">
        <v>0</v>
      </c>
      <c r="J26" s="96">
        <v>0</v>
      </c>
      <c r="K26" s="96">
        <v>0</v>
      </c>
      <c r="N26" s="96">
        <v>0</v>
      </c>
      <c r="O26" s="96">
        <v>0</v>
      </c>
      <c r="P26" s="96">
        <v>0</v>
      </c>
    </row>
    <row r="27" spans="1:16" ht="15.6" thickBot="1">
      <c r="A27" s="181" t="s">
        <v>11</v>
      </c>
      <c r="B27" s="20">
        <f>5+1</f>
        <v>6</v>
      </c>
      <c r="C27" s="20">
        <f>5*2+1*3*(52/12)</f>
        <v>23</v>
      </c>
      <c r="D27" s="29">
        <v>0</v>
      </c>
      <c r="E27" s="93"/>
      <c r="F27" s="94"/>
      <c r="G27" s="94"/>
      <c r="H27" s="94"/>
      <c r="I27" s="97">
        <v>0</v>
      </c>
      <c r="J27" s="97">
        <v>0</v>
      </c>
      <c r="K27" s="97">
        <v>0</v>
      </c>
      <c r="N27" s="97">
        <v>0</v>
      </c>
      <c r="O27" s="97">
        <v>0</v>
      </c>
      <c r="P27" s="97">
        <v>0</v>
      </c>
    </row>
    <row r="28" spans="1:16" ht="15.6">
      <c r="A28" s="186" t="s">
        <v>247</v>
      </c>
      <c r="B28" s="19"/>
      <c r="C28" s="52" t="s">
        <v>65</v>
      </c>
      <c r="D28" s="33" t="s">
        <v>169</v>
      </c>
      <c r="I28" s="115"/>
      <c r="J28" s="115"/>
      <c r="K28" s="115"/>
      <c r="N28" s="115"/>
      <c r="O28" s="115"/>
      <c r="P28" s="115"/>
    </row>
    <row r="29" spans="1:16">
      <c r="A29" s="181" t="s">
        <v>6</v>
      </c>
      <c r="B29" s="20">
        <v>1</v>
      </c>
      <c r="C29" s="20">
        <v>1</v>
      </c>
      <c r="D29" s="29">
        <v>0</v>
      </c>
      <c r="I29" s="116"/>
      <c r="J29" s="116"/>
      <c r="K29" s="116"/>
      <c r="N29" s="116"/>
      <c r="O29" s="116"/>
      <c r="P29" s="116"/>
    </row>
    <row r="30" spans="1:16">
      <c r="A30" s="181" t="s">
        <v>4</v>
      </c>
      <c r="B30" s="20">
        <v>5</v>
      </c>
      <c r="C30" s="20">
        <v>21</v>
      </c>
      <c r="D30" s="29">
        <v>0</v>
      </c>
      <c r="I30" s="116"/>
      <c r="J30" s="116"/>
      <c r="K30" s="116"/>
      <c r="N30" s="116"/>
      <c r="O30" s="116"/>
      <c r="P30" s="116"/>
    </row>
    <row r="31" spans="1:16">
      <c r="A31" s="181" t="s">
        <v>7</v>
      </c>
      <c r="B31" s="20">
        <v>3</v>
      </c>
      <c r="C31" s="20">
        <v>3</v>
      </c>
      <c r="D31" s="29">
        <v>0</v>
      </c>
      <c r="I31" s="116"/>
      <c r="J31" s="116"/>
      <c r="K31" s="116"/>
      <c r="N31" s="116"/>
      <c r="O31" s="116"/>
      <c r="P31" s="116"/>
    </row>
    <row r="32" spans="1:16">
      <c r="A32" s="181" t="s">
        <v>8</v>
      </c>
      <c r="B32" s="20">
        <v>3</v>
      </c>
      <c r="C32" s="20">
        <v>3</v>
      </c>
      <c r="D32" s="29">
        <v>0</v>
      </c>
      <c r="I32" s="116"/>
      <c r="J32" s="116"/>
      <c r="K32" s="116"/>
      <c r="N32" s="116"/>
      <c r="O32" s="116"/>
      <c r="P32" s="116"/>
    </row>
    <row r="33" spans="1:16">
      <c r="A33" s="181" t="s">
        <v>9</v>
      </c>
      <c r="B33" s="20">
        <v>32</v>
      </c>
      <c r="C33" s="20">
        <v>32</v>
      </c>
      <c r="D33" s="29">
        <v>0</v>
      </c>
      <c r="I33" s="116"/>
      <c r="J33" s="116"/>
      <c r="K33" s="116"/>
      <c r="N33" s="116"/>
      <c r="O33" s="116"/>
      <c r="P33" s="116"/>
    </row>
    <row r="34" spans="1:16">
      <c r="A34" s="181" t="s">
        <v>10</v>
      </c>
      <c r="B34" s="20">
        <v>1</v>
      </c>
      <c r="C34" s="20">
        <v>1</v>
      </c>
      <c r="D34" s="29">
        <v>0</v>
      </c>
      <c r="I34" s="116"/>
      <c r="J34" s="116"/>
      <c r="K34" s="116"/>
      <c r="N34" s="116"/>
      <c r="O34" s="116"/>
      <c r="P34" s="116"/>
    </row>
    <row r="35" spans="1:16">
      <c r="A35" s="181" t="s">
        <v>5</v>
      </c>
      <c r="B35" s="20">
        <v>1</v>
      </c>
      <c r="C35" s="20">
        <v>1</v>
      </c>
      <c r="D35" s="29">
        <v>0</v>
      </c>
      <c r="I35" s="116"/>
      <c r="J35" s="116"/>
      <c r="K35" s="116"/>
      <c r="N35" s="116"/>
      <c r="O35" s="116"/>
      <c r="P35" s="116"/>
    </row>
    <row r="36" spans="1:16" ht="15.6" thickBot="1">
      <c r="A36" s="185" t="s">
        <v>11</v>
      </c>
      <c r="B36" s="82">
        <v>8</v>
      </c>
      <c r="C36" s="82">
        <v>8</v>
      </c>
      <c r="D36" s="103">
        <v>0</v>
      </c>
      <c r="I36" s="116"/>
      <c r="J36" s="116"/>
      <c r="K36" s="116"/>
      <c r="N36" s="116"/>
      <c r="O36" s="116"/>
      <c r="P36" s="116"/>
    </row>
    <row r="37" spans="1:16" ht="16.2" thickBot="1">
      <c r="A37" s="104" t="s">
        <v>266</v>
      </c>
      <c r="B37" s="109"/>
      <c r="C37" s="109"/>
      <c r="D37" s="110">
        <f>12*SUMPRODUCT($C$11:$C$27*D11:D27)+12*SUMPRODUCT(C29:C36*D29:D36)</f>
        <v>0</v>
      </c>
      <c r="E37" s="120" t="s">
        <v>190</v>
      </c>
      <c r="F37" s="87"/>
      <c r="G37" s="101"/>
      <c r="H37" s="87"/>
      <c r="I37" s="98">
        <f t="shared" ref="I37" si="0">12*SUMPRODUCT($C$11:$C$27*I11:I27)</f>
        <v>0</v>
      </c>
      <c r="J37" s="98">
        <f t="shared" ref="J37:K37" si="1">12*SUMPRODUCT($C$11:$C$27*J11:J27)</f>
        <v>0</v>
      </c>
      <c r="K37" s="98">
        <f t="shared" si="1"/>
        <v>0</v>
      </c>
      <c r="N37" s="98">
        <f>12*SUMPRODUCT($C$11:$C$27*N11:N27)</f>
        <v>0</v>
      </c>
      <c r="O37" s="98">
        <f>12*SUMPRODUCT($C$11:$C$27*O11:O27)</f>
        <v>0</v>
      </c>
      <c r="P37" s="98">
        <f>12*SUMPRODUCT($C$11:$C$27*P11:P27)</f>
        <v>0</v>
      </c>
    </row>
    <row r="38" spans="1:16" ht="16.2" thickBot="1">
      <c r="A38" s="83"/>
      <c r="B38" s="107"/>
      <c r="C38" s="107"/>
      <c r="D38" s="111"/>
      <c r="E38" s="9"/>
      <c r="F38" s="9"/>
      <c r="G38" s="83"/>
      <c r="H38" s="9"/>
      <c r="I38" s="117"/>
      <c r="J38" s="117"/>
      <c r="K38" s="117"/>
      <c r="N38" s="117"/>
      <c r="O38" s="117"/>
      <c r="P38" s="117"/>
    </row>
    <row r="39" spans="1:16" ht="15.6">
      <c r="A39" s="83"/>
      <c r="B39" s="107"/>
      <c r="C39" s="107"/>
      <c r="D39" s="108"/>
      <c r="E39" s="9"/>
      <c r="F39" s="112" t="s">
        <v>176</v>
      </c>
      <c r="G39" s="83"/>
      <c r="H39" s="9"/>
      <c r="I39" s="117"/>
      <c r="J39" s="117"/>
      <c r="K39" s="117"/>
      <c r="N39" s="117"/>
      <c r="O39" s="117"/>
      <c r="P39" s="117"/>
    </row>
    <row r="40" spans="1:16" ht="15.6">
      <c r="A40" s="99"/>
      <c r="B40" s="26"/>
      <c r="C40" s="82"/>
      <c r="D40" s="36"/>
      <c r="F40" s="113" t="s">
        <v>191</v>
      </c>
      <c r="G40" s="100"/>
      <c r="H40" s="100"/>
      <c r="I40" s="116"/>
      <c r="J40" s="116"/>
      <c r="K40" s="116"/>
      <c r="N40" s="116"/>
      <c r="O40" s="116"/>
      <c r="P40" s="116"/>
    </row>
    <row r="41" spans="1:16" ht="16.2" thickBot="1">
      <c r="A41" s="55" t="s">
        <v>248</v>
      </c>
      <c r="B41" s="37"/>
      <c r="C41" s="85" t="s">
        <v>64</v>
      </c>
      <c r="D41" s="33" t="s">
        <v>171</v>
      </c>
      <c r="F41" s="114" t="s">
        <v>192</v>
      </c>
      <c r="I41" s="116"/>
      <c r="J41" s="116"/>
      <c r="K41" s="116"/>
      <c r="N41" s="116"/>
      <c r="O41" s="116"/>
      <c r="P41" s="116"/>
    </row>
    <row r="42" spans="1:16">
      <c r="A42" s="181" t="s">
        <v>151</v>
      </c>
      <c r="B42" s="20">
        <v>1</v>
      </c>
      <c r="C42" s="20">
        <v>1</v>
      </c>
      <c r="D42" s="58">
        <v>0</v>
      </c>
      <c r="F42" s="115"/>
      <c r="I42" s="116"/>
      <c r="J42" s="116"/>
      <c r="K42" s="116"/>
      <c r="N42" s="116"/>
      <c r="O42" s="116"/>
      <c r="P42" s="116"/>
    </row>
    <row r="43" spans="1:16">
      <c r="A43" s="181" t="s">
        <v>152</v>
      </c>
      <c r="B43" s="20">
        <v>1</v>
      </c>
      <c r="C43" s="20">
        <v>1</v>
      </c>
      <c r="D43" s="58">
        <v>0</v>
      </c>
      <c r="F43" s="116"/>
      <c r="I43" s="116"/>
      <c r="J43" s="116"/>
      <c r="K43" s="116"/>
      <c r="N43" s="116"/>
      <c r="O43" s="116"/>
      <c r="P43" s="116"/>
    </row>
    <row r="44" spans="1:16">
      <c r="A44" s="181" t="s">
        <v>157</v>
      </c>
      <c r="B44" s="20">
        <v>10</v>
      </c>
      <c r="C44" s="20">
        <v>21</v>
      </c>
      <c r="D44" s="58">
        <v>0</v>
      </c>
      <c r="F44" s="116"/>
      <c r="I44" s="116"/>
      <c r="J44" s="116"/>
      <c r="K44" s="116"/>
      <c r="N44" s="116"/>
      <c r="O44" s="116"/>
      <c r="P44" s="116"/>
    </row>
    <row r="45" spans="1:16">
      <c r="A45" s="181" t="s">
        <v>158</v>
      </c>
      <c r="B45" s="20">
        <v>1</v>
      </c>
      <c r="C45" s="20">
        <v>1</v>
      </c>
      <c r="D45" s="29">
        <v>0</v>
      </c>
      <c r="F45" s="116"/>
      <c r="I45" s="116"/>
      <c r="J45" s="116"/>
      <c r="K45" s="116"/>
      <c r="N45" s="116"/>
      <c r="O45" s="116"/>
      <c r="P45" s="116"/>
    </row>
    <row r="46" spans="1:16" ht="15.6">
      <c r="A46" s="184" t="s">
        <v>249</v>
      </c>
      <c r="B46" s="19"/>
      <c r="C46" s="52" t="s">
        <v>65</v>
      </c>
      <c r="D46" s="33" t="s">
        <v>169</v>
      </c>
      <c r="F46" s="116"/>
      <c r="I46" s="116"/>
      <c r="J46" s="116"/>
      <c r="K46" s="116"/>
      <c r="N46" s="116"/>
      <c r="O46" s="116"/>
      <c r="P46" s="116"/>
    </row>
    <row r="47" spans="1:16">
      <c r="A47" s="181" t="s">
        <v>99</v>
      </c>
      <c r="B47" s="20">
        <v>1</v>
      </c>
      <c r="C47" s="20">
        <v>1</v>
      </c>
      <c r="D47" s="29">
        <v>0</v>
      </c>
      <c r="E47" s="10"/>
      <c r="F47" s="117">
        <v>2.25</v>
      </c>
      <c r="G47" s="10"/>
      <c r="H47" s="10"/>
      <c r="I47" s="116"/>
      <c r="J47" s="116"/>
      <c r="K47" s="116"/>
      <c r="N47" s="116"/>
      <c r="O47" s="116"/>
      <c r="P47" s="116"/>
    </row>
    <row r="48" spans="1:16">
      <c r="A48" s="181" t="s">
        <v>100</v>
      </c>
      <c r="B48" s="20">
        <v>1</v>
      </c>
      <c r="C48" s="20">
        <v>1</v>
      </c>
      <c r="D48" s="29">
        <v>0</v>
      </c>
      <c r="F48" s="117">
        <v>2.35</v>
      </c>
      <c r="G48" s="10"/>
      <c r="H48" s="10"/>
      <c r="I48" s="116"/>
      <c r="J48" s="116"/>
      <c r="K48" s="116"/>
      <c r="N48" s="116"/>
      <c r="O48" s="116"/>
      <c r="P48" s="116"/>
    </row>
    <row r="49" spans="1:16">
      <c r="A49" s="181" t="s">
        <v>101</v>
      </c>
      <c r="B49" s="20">
        <v>3</v>
      </c>
      <c r="C49" s="20">
        <v>3</v>
      </c>
      <c r="D49" s="29">
        <v>0</v>
      </c>
      <c r="E49" s="10"/>
      <c r="F49" s="117">
        <v>2.4500000000000002</v>
      </c>
      <c r="G49" s="10"/>
      <c r="H49" s="10"/>
      <c r="I49" s="116"/>
      <c r="J49" s="116"/>
      <c r="K49" s="116"/>
      <c r="N49" s="116"/>
      <c r="O49" s="116"/>
      <c r="P49" s="116"/>
    </row>
    <row r="50" spans="1:16">
      <c r="A50" s="181" t="s">
        <v>102</v>
      </c>
      <c r="B50" s="20">
        <v>9</v>
      </c>
      <c r="C50" s="20">
        <v>9</v>
      </c>
      <c r="D50" s="29">
        <v>0</v>
      </c>
      <c r="E50" s="10"/>
      <c r="F50" s="116"/>
      <c r="G50" s="9"/>
      <c r="H50" s="9"/>
      <c r="I50" s="116"/>
      <c r="J50" s="116"/>
      <c r="K50" s="116"/>
      <c r="N50" s="116"/>
      <c r="O50" s="116"/>
      <c r="P50" s="116"/>
    </row>
    <row r="51" spans="1:16">
      <c r="A51" s="181" t="s">
        <v>103</v>
      </c>
      <c r="B51" s="20">
        <v>18</v>
      </c>
      <c r="C51" s="20">
        <v>34</v>
      </c>
      <c r="D51" s="29">
        <v>0</v>
      </c>
      <c r="E51" s="10"/>
      <c r="F51" s="116"/>
      <c r="G51" s="9"/>
      <c r="H51" s="9"/>
      <c r="I51" s="116"/>
      <c r="J51" s="116"/>
      <c r="K51" s="116"/>
      <c r="N51" s="116"/>
      <c r="O51" s="116"/>
      <c r="P51" s="116"/>
    </row>
    <row r="52" spans="1:16">
      <c r="A52" s="181" t="s">
        <v>104</v>
      </c>
      <c r="B52" s="20">
        <v>3</v>
      </c>
      <c r="C52" s="20">
        <v>8</v>
      </c>
      <c r="D52" s="29">
        <v>0</v>
      </c>
      <c r="E52" s="10"/>
      <c r="F52" s="116"/>
      <c r="G52" s="9"/>
      <c r="H52" s="9"/>
      <c r="I52" s="116"/>
      <c r="J52" s="116"/>
      <c r="K52" s="116"/>
      <c r="N52" s="116"/>
      <c r="O52" s="116"/>
      <c r="P52" s="116"/>
    </row>
    <row r="53" spans="1:16">
      <c r="A53" s="181" t="s">
        <v>105</v>
      </c>
      <c r="B53" s="20">
        <v>2</v>
      </c>
      <c r="C53" s="20">
        <v>6</v>
      </c>
      <c r="D53" s="29">
        <v>0</v>
      </c>
      <c r="E53" s="10"/>
      <c r="F53" s="116"/>
      <c r="G53" s="9"/>
      <c r="H53" s="9"/>
      <c r="I53" s="116"/>
      <c r="J53" s="116"/>
      <c r="K53" s="116"/>
      <c r="N53" s="116"/>
      <c r="O53" s="116"/>
      <c r="P53" s="116"/>
    </row>
    <row r="54" spans="1:16">
      <c r="A54" s="181" t="s">
        <v>106</v>
      </c>
      <c r="B54" s="20">
        <v>1</v>
      </c>
      <c r="C54" s="20">
        <v>1</v>
      </c>
      <c r="D54" s="25">
        <v>0</v>
      </c>
      <c r="E54" s="10"/>
      <c r="F54" s="117">
        <v>67.5</v>
      </c>
      <c r="G54" s="10"/>
      <c r="H54" s="10"/>
      <c r="I54" s="116"/>
      <c r="J54" s="116"/>
      <c r="K54" s="116"/>
      <c r="N54" s="116"/>
      <c r="O54" s="116"/>
      <c r="P54" s="116"/>
    </row>
    <row r="55" spans="1:16">
      <c r="A55" s="181" t="s">
        <v>107</v>
      </c>
      <c r="B55" s="20">
        <v>1</v>
      </c>
      <c r="C55" s="20">
        <v>1</v>
      </c>
      <c r="D55" s="25">
        <v>0</v>
      </c>
      <c r="F55" s="117">
        <v>70.5</v>
      </c>
      <c r="G55" s="10"/>
      <c r="H55" s="10"/>
      <c r="I55" s="116"/>
      <c r="J55" s="116"/>
      <c r="K55" s="116"/>
      <c r="N55" s="116"/>
      <c r="O55" s="116"/>
      <c r="P55" s="116"/>
    </row>
    <row r="56" spans="1:16">
      <c r="A56" s="181" t="s">
        <v>108</v>
      </c>
      <c r="B56" s="20">
        <v>1</v>
      </c>
      <c r="C56" s="20">
        <v>1</v>
      </c>
      <c r="D56" s="25">
        <v>0</v>
      </c>
      <c r="E56" s="10"/>
      <c r="F56" s="116"/>
      <c r="I56" s="116"/>
      <c r="J56" s="116"/>
      <c r="K56" s="116"/>
      <c r="N56" s="116"/>
      <c r="O56" s="116"/>
      <c r="P56" s="116"/>
    </row>
    <row r="57" spans="1:16">
      <c r="A57" s="181" t="s">
        <v>109</v>
      </c>
      <c r="B57" s="20">
        <v>1</v>
      </c>
      <c r="C57" s="20">
        <v>1</v>
      </c>
      <c r="D57" s="25">
        <v>0</v>
      </c>
      <c r="E57" s="10"/>
      <c r="F57" s="116"/>
      <c r="I57" s="116"/>
      <c r="J57" s="116"/>
      <c r="K57" s="116"/>
      <c r="N57" s="116"/>
      <c r="O57" s="116"/>
      <c r="P57" s="116"/>
    </row>
    <row r="58" spans="1:16">
      <c r="A58" s="181" t="s">
        <v>110</v>
      </c>
      <c r="B58" s="20">
        <v>1</v>
      </c>
      <c r="C58" s="20">
        <v>1</v>
      </c>
      <c r="D58" s="25">
        <v>0</v>
      </c>
      <c r="E58" s="10"/>
      <c r="F58" s="116"/>
      <c r="I58" s="116"/>
      <c r="J58" s="116"/>
      <c r="K58" s="116"/>
      <c r="N58" s="116"/>
      <c r="O58" s="116"/>
      <c r="P58" s="116"/>
    </row>
    <row r="59" spans="1:16">
      <c r="A59" s="181" t="s">
        <v>111</v>
      </c>
      <c r="B59" s="20">
        <v>1</v>
      </c>
      <c r="C59" s="20">
        <v>1</v>
      </c>
      <c r="D59" s="25">
        <v>0</v>
      </c>
      <c r="E59" s="10"/>
      <c r="F59" s="116"/>
      <c r="I59" s="116"/>
      <c r="J59" s="116"/>
      <c r="K59" s="116"/>
      <c r="N59" s="116"/>
      <c r="O59" s="116"/>
      <c r="P59" s="116"/>
    </row>
    <row r="60" spans="1:16">
      <c r="A60" s="181" t="s">
        <v>112</v>
      </c>
      <c r="B60" s="20">
        <v>1</v>
      </c>
      <c r="C60" s="20">
        <v>1</v>
      </c>
      <c r="D60" s="25">
        <v>0</v>
      </c>
      <c r="E60" s="10"/>
      <c r="F60" s="116"/>
      <c r="I60" s="116"/>
      <c r="J60" s="116"/>
      <c r="K60" s="116"/>
      <c r="N60" s="116"/>
      <c r="O60" s="116"/>
      <c r="P60" s="116"/>
    </row>
    <row r="61" spans="1:16" ht="15.6">
      <c r="A61" s="182"/>
      <c r="B61" s="19"/>
      <c r="C61" s="85" t="s">
        <v>64</v>
      </c>
      <c r="D61" s="33" t="s">
        <v>171</v>
      </c>
      <c r="E61" s="10"/>
      <c r="F61" s="116"/>
      <c r="I61" s="116"/>
      <c r="J61" s="116"/>
      <c r="K61" s="116"/>
      <c r="N61" s="116"/>
      <c r="O61" s="116"/>
      <c r="P61" s="116"/>
    </row>
    <row r="62" spans="1:16">
      <c r="A62" s="181" t="s">
        <v>113</v>
      </c>
      <c r="B62" s="20">
        <v>1</v>
      </c>
      <c r="C62" s="20">
        <v>1</v>
      </c>
      <c r="D62" s="25">
        <v>0</v>
      </c>
      <c r="E62" s="10"/>
      <c r="F62" s="117">
        <v>121.41</v>
      </c>
      <c r="G62" s="10"/>
      <c r="H62" s="10"/>
      <c r="I62" s="116"/>
      <c r="J62" s="116"/>
      <c r="K62" s="116"/>
      <c r="N62" s="116"/>
      <c r="O62" s="116"/>
      <c r="P62" s="116"/>
    </row>
    <row r="63" spans="1:16">
      <c r="A63" s="181" t="s">
        <v>114</v>
      </c>
      <c r="B63" s="20">
        <v>1</v>
      </c>
      <c r="C63" s="20">
        <v>1</v>
      </c>
      <c r="D63" s="25">
        <v>0</v>
      </c>
      <c r="E63" s="10"/>
      <c r="F63" s="117">
        <v>121.41</v>
      </c>
      <c r="G63" s="10"/>
      <c r="H63" s="10"/>
      <c r="I63" s="116"/>
      <c r="J63" s="116"/>
      <c r="K63" s="116"/>
      <c r="N63" s="116"/>
      <c r="O63" s="116"/>
      <c r="P63" s="116"/>
    </row>
    <row r="64" spans="1:16">
      <c r="A64" s="181" t="s">
        <v>115</v>
      </c>
      <c r="B64" s="20">
        <v>3</v>
      </c>
      <c r="C64" s="20">
        <v>6</v>
      </c>
      <c r="D64" s="25">
        <v>0</v>
      </c>
      <c r="E64" s="10"/>
      <c r="F64" s="117">
        <v>121.41</v>
      </c>
      <c r="G64" s="10"/>
      <c r="H64" s="10"/>
      <c r="I64" s="116"/>
      <c r="J64" s="116"/>
      <c r="K64" s="116"/>
      <c r="N64" s="116"/>
      <c r="O64" s="116"/>
      <c r="P64" s="116"/>
    </row>
    <row r="65" spans="1:16">
      <c r="A65" s="181" t="s">
        <v>116</v>
      </c>
      <c r="B65" s="20">
        <v>9</v>
      </c>
      <c r="C65" s="20">
        <v>9</v>
      </c>
      <c r="D65" s="25">
        <v>0</v>
      </c>
      <c r="E65" s="10"/>
      <c r="F65" s="117">
        <v>121.41</v>
      </c>
      <c r="G65" s="10"/>
      <c r="H65" s="10"/>
      <c r="I65" s="116"/>
      <c r="J65" s="116"/>
      <c r="K65" s="116"/>
      <c r="N65" s="116"/>
      <c r="O65" s="116"/>
      <c r="P65" s="116"/>
    </row>
    <row r="66" spans="1:16">
      <c r="A66" s="181" t="s">
        <v>117</v>
      </c>
      <c r="B66" s="20">
        <v>18</v>
      </c>
      <c r="C66" s="20">
        <v>34</v>
      </c>
      <c r="D66" s="25">
        <v>0</v>
      </c>
      <c r="E66" s="10"/>
      <c r="F66" s="117">
        <v>121.41</v>
      </c>
      <c r="G66" s="10"/>
      <c r="H66" s="10"/>
      <c r="I66" s="116"/>
      <c r="J66" s="116"/>
      <c r="K66" s="116"/>
      <c r="N66" s="116"/>
      <c r="O66" s="116"/>
      <c r="P66" s="116"/>
    </row>
    <row r="67" spans="1:16">
      <c r="A67" s="181" t="s">
        <v>118</v>
      </c>
      <c r="B67" s="20">
        <v>3</v>
      </c>
      <c r="C67" s="20">
        <v>8</v>
      </c>
      <c r="D67" s="25">
        <v>0</v>
      </c>
      <c r="E67" s="10"/>
      <c r="F67" s="117">
        <v>121.41</v>
      </c>
      <c r="G67" s="10"/>
      <c r="H67" s="10"/>
      <c r="I67" s="116"/>
      <c r="J67" s="116"/>
      <c r="K67" s="116"/>
      <c r="N67" s="116"/>
      <c r="O67" s="116"/>
      <c r="P67" s="116"/>
    </row>
    <row r="68" spans="1:16">
      <c r="A68" s="181" t="s">
        <v>119</v>
      </c>
      <c r="B68" s="20">
        <v>2</v>
      </c>
      <c r="C68" s="20">
        <v>6</v>
      </c>
      <c r="D68" s="25">
        <v>0</v>
      </c>
      <c r="E68" s="10"/>
      <c r="F68" s="117">
        <v>121.41</v>
      </c>
      <c r="G68" s="10"/>
      <c r="H68" s="10"/>
      <c r="I68" s="116"/>
      <c r="J68" s="116"/>
      <c r="K68" s="116"/>
      <c r="N68" s="116"/>
      <c r="O68" s="116"/>
      <c r="P68" s="116"/>
    </row>
    <row r="69" spans="1:16" ht="15.6">
      <c r="A69" s="183"/>
      <c r="B69" s="37"/>
      <c r="C69" s="85" t="s">
        <v>173</v>
      </c>
      <c r="D69" s="33" t="s">
        <v>174</v>
      </c>
      <c r="E69" s="10"/>
      <c r="F69" s="116"/>
      <c r="I69" s="116"/>
      <c r="J69" s="116"/>
      <c r="K69" s="116"/>
      <c r="N69" s="116"/>
      <c r="O69" s="116"/>
      <c r="P69" s="116"/>
    </row>
    <row r="70" spans="1:16">
      <c r="A70" s="183" t="s">
        <v>172</v>
      </c>
      <c r="B70" s="20">
        <v>25</v>
      </c>
      <c r="C70" s="20">
        <v>25</v>
      </c>
      <c r="D70" s="29">
        <v>0</v>
      </c>
      <c r="E70" s="34"/>
      <c r="F70" s="118">
        <v>61.99</v>
      </c>
      <c r="G70" s="34"/>
      <c r="H70" s="34"/>
      <c r="I70" s="116"/>
      <c r="J70" s="116"/>
      <c r="K70" s="116"/>
      <c r="N70" s="116"/>
      <c r="O70" s="116"/>
      <c r="P70" s="116"/>
    </row>
    <row r="71" spans="1:16" ht="15.6">
      <c r="A71" s="180" t="s">
        <v>77</v>
      </c>
      <c r="B71" s="19"/>
      <c r="C71" s="85" t="s">
        <v>175</v>
      </c>
      <c r="D71" s="33" t="s">
        <v>278</v>
      </c>
      <c r="E71" s="34"/>
      <c r="F71" s="116"/>
      <c r="I71" s="116"/>
      <c r="J71" s="116"/>
      <c r="K71" s="116"/>
      <c r="N71" s="116"/>
      <c r="O71" s="116"/>
      <c r="P71" s="116"/>
    </row>
    <row r="72" spans="1:16">
      <c r="A72" s="56" t="s">
        <v>78</v>
      </c>
      <c r="B72" s="20">
        <v>1</v>
      </c>
      <c r="C72" s="20">
        <v>1</v>
      </c>
      <c r="D72" s="84">
        <v>0</v>
      </c>
      <c r="E72" s="34"/>
      <c r="F72" s="118">
        <v>2.1</v>
      </c>
      <c r="G72" s="34"/>
      <c r="H72" s="34"/>
      <c r="I72" s="116"/>
      <c r="J72" s="116"/>
      <c r="K72" s="116"/>
      <c r="N72" s="116"/>
      <c r="O72" s="116"/>
      <c r="P72" s="116"/>
    </row>
    <row r="73" spans="1:16" ht="15.6" thickBot="1">
      <c r="A73" s="102" t="s">
        <v>76</v>
      </c>
      <c r="B73" s="82">
        <v>1</v>
      </c>
      <c r="C73" s="82">
        <v>1</v>
      </c>
      <c r="D73" s="103">
        <v>0</v>
      </c>
      <c r="E73" s="34"/>
      <c r="F73" s="119">
        <v>1.81</v>
      </c>
      <c r="G73" s="34"/>
      <c r="H73" s="34"/>
      <c r="I73" s="116"/>
      <c r="J73" s="116"/>
      <c r="K73" s="116"/>
      <c r="N73" s="116"/>
      <c r="O73" s="116"/>
      <c r="P73" s="116"/>
    </row>
    <row r="74" spans="1:16" ht="15.6">
      <c r="A74" s="104" t="s">
        <v>170</v>
      </c>
      <c r="B74" s="105"/>
      <c r="C74" s="105"/>
      <c r="D74" s="106">
        <f>12*SUMPRODUCT(C42:C45*D42:D45)+12*SUMPRODUCT(C47:C60*D47:D60)+12*SUMPRODUCT(C62:C68*D62:D68)+12*C70*D70+12*SUMPRODUCT(C72:C73*D72:D73)</f>
        <v>0</v>
      </c>
      <c r="I74" s="116"/>
      <c r="J74" s="116"/>
      <c r="K74" s="116"/>
      <c r="N74" s="116"/>
      <c r="O74" s="116"/>
      <c r="P74" s="116"/>
    </row>
    <row r="75" spans="1:16" ht="16.2" thickBot="1">
      <c r="A75" s="83"/>
      <c r="D75" s="12"/>
      <c r="I75" s="116"/>
      <c r="J75" s="116"/>
      <c r="K75" s="116"/>
      <c r="N75" s="116"/>
      <c r="O75" s="116"/>
      <c r="P75" s="116"/>
    </row>
    <row r="76" spans="1:16" ht="16.2" thickBot="1">
      <c r="A76" s="120" t="s">
        <v>250</v>
      </c>
      <c r="B76" s="87"/>
      <c r="C76" s="87"/>
      <c r="D76" s="274">
        <f>D37+D74</f>
        <v>0</v>
      </c>
      <c r="E76" s="120" t="s">
        <v>190</v>
      </c>
      <c r="F76" s="87"/>
      <c r="G76" s="101"/>
      <c r="H76" s="87"/>
      <c r="I76" s="98">
        <f t="shared" ref="I76" si="2">I37</f>
        <v>0</v>
      </c>
      <c r="J76" s="98">
        <f t="shared" ref="J76:K76" si="3">J37</f>
        <v>0</v>
      </c>
      <c r="K76" s="98">
        <f t="shared" si="3"/>
        <v>0</v>
      </c>
      <c r="N76" s="98">
        <f>N37</f>
        <v>0</v>
      </c>
      <c r="O76" s="98">
        <f>O37</f>
        <v>0</v>
      </c>
      <c r="P76" s="98">
        <f>P37</f>
        <v>0</v>
      </c>
    </row>
    <row r="77" spans="1:16" ht="16.2" thickBot="1">
      <c r="D77" s="212" t="s">
        <v>280</v>
      </c>
      <c r="I77" s="314" t="s">
        <v>281</v>
      </c>
      <c r="J77" s="315"/>
      <c r="K77" s="316"/>
      <c r="N77" s="314" t="s">
        <v>279</v>
      </c>
      <c r="O77" s="315"/>
      <c r="P77" s="316"/>
    </row>
    <row r="78" spans="1:16" ht="15.6">
      <c r="A78" s="57" t="s">
        <v>126</v>
      </c>
    </row>
    <row r="79" spans="1:16" ht="15.6">
      <c r="A79" s="57" t="s">
        <v>196</v>
      </c>
    </row>
    <row r="80" spans="1:16" ht="15.6">
      <c r="A80" s="57" t="s">
        <v>128</v>
      </c>
    </row>
    <row r="81" spans="1:1" ht="15.6">
      <c r="A81" s="57" t="s">
        <v>282</v>
      </c>
    </row>
    <row r="82" spans="1:1" ht="15.6">
      <c r="A82" s="57" t="s">
        <v>193</v>
      </c>
    </row>
    <row r="83" spans="1:1" ht="15.6">
      <c r="A83" s="57" t="s">
        <v>224</v>
      </c>
    </row>
    <row r="84" spans="1:1" ht="15.6">
      <c r="A84" s="57" t="s">
        <v>283</v>
      </c>
    </row>
    <row r="85" spans="1:1" ht="15.6">
      <c r="A85" s="57" t="s">
        <v>223</v>
      </c>
    </row>
    <row r="86" spans="1:1" ht="15.6">
      <c r="A86" s="57" t="s">
        <v>284</v>
      </c>
    </row>
    <row r="87" spans="1:1" ht="15.6">
      <c r="A87" s="57" t="s">
        <v>234</v>
      </c>
    </row>
    <row r="88" spans="1:1" ht="15.6">
      <c r="A88" s="57" t="s">
        <v>285</v>
      </c>
    </row>
    <row r="89" spans="1:1" ht="15.6">
      <c r="A89" s="57" t="s">
        <v>286</v>
      </c>
    </row>
  </sheetData>
  <sheetProtection password="A2DE" sheet="1" objects="1" scenarios="1"/>
  <mergeCells count="4">
    <mergeCell ref="I5:K5"/>
    <mergeCell ref="N5:P5"/>
    <mergeCell ref="I77:K77"/>
    <mergeCell ref="N77:P77"/>
  </mergeCells>
  <printOptions horizontalCentered="1"/>
  <pageMargins left="0.7" right="0.7" top="0.54" bottom="0.48" header="0.3" footer="0.3"/>
  <pageSetup paperSize="17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2"/>
  <sheetViews>
    <sheetView zoomScale="90" zoomScaleNormal="90" workbookViewId="0">
      <pane xSplit="1" ySplit="10" topLeftCell="B149" activePane="bottomRight" state="frozen"/>
      <selection pane="topRight" activeCell="B1" sqref="B1"/>
      <selection pane="bottomLeft" activeCell="A6" sqref="A6"/>
      <selection pane="bottomRight" activeCell="R172" sqref="A1:R172"/>
    </sheetView>
  </sheetViews>
  <sheetFormatPr defaultColWidth="8.90625" defaultRowHeight="15"/>
  <cols>
    <col min="1" max="1" width="53.453125" style="8" customWidth="1"/>
    <col min="2" max="2" width="12.6328125" style="8" bestFit="1" customWidth="1"/>
    <col min="3" max="3" width="15" style="8" bestFit="1" customWidth="1"/>
    <col min="4" max="5" width="12.81640625" style="8" customWidth="1"/>
    <col min="6" max="6" width="18.36328125" style="8" bestFit="1" customWidth="1"/>
    <col min="7" max="7" width="8.90625" style="8"/>
    <col min="8" max="8" width="10" style="8" bestFit="1" customWidth="1"/>
    <col min="9" max="10" width="8.90625" style="8"/>
    <col min="11" max="13" width="20.81640625" style="8" customWidth="1"/>
    <col min="14" max="15" width="8.90625" style="8"/>
    <col min="16" max="18" width="20.81640625" style="8" customWidth="1"/>
    <col min="19" max="16384" width="8.90625" style="8"/>
  </cols>
  <sheetData>
    <row r="1" spans="1:18" ht="17.399999999999999">
      <c r="A1" s="207" t="s">
        <v>242</v>
      </c>
    </row>
    <row r="2" spans="1:18" ht="15.6" thickBot="1"/>
    <row r="3" spans="1:18" ht="17.399999999999999">
      <c r="A3" s="41" t="s">
        <v>12</v>
      </c>
    </row>
    <row r="4" spans="1:18" ht="15.6" thickBot="1">
      <c r="A4" s="42" t="s">
        <v>231</v>
      </c>
    </row>
    <row r="5" spans="1:18" ht="16.2" thickBot="1">
      <c r="A5" s="43" t="s">
        <v>17</v>
      </c>
      <c r="B5" s="44"/>
      <c r="C5" s="45"/>
      <c r="D5" s="46"/>
      <c r="E5" s="46"/>
      <c r="F5" s="59"/>
      <c r="K5" s="314" t="s">
        <v>256</v>
      </c>
      <c r="L5" s="315"/>
      <c r="M5" s="316"/>
      <c r="P5" s="314" t="s">
        <v>265</v>
      </c>
      <c r="Q5" s="315"/>
      <c r="R5" s="316"/>
    </row>
    <row r="6" spans="1:18" ht="15.6">
      <c r="A6" s="47"/>
      <c r="B6" s="9"/>
      <c r="C6" s="48"/>
      <c r="D6" s="16"/>
      <c r="E6" s="16"/>
      <c r="F6" s="16"/>
      <c r="K6" s="229" t="s">
        <v>189</v>
      </c>
      <c r="L6" s="256"/>
      <c r="M6" s="256"/>
      <c r="P6" s="16"/>
      <c r="Q6" s="16" t="s">
        <v>183</v>
      </c>
      <c r="R6" s="16" t="s">
        <v>220</v>
      </c>
    </row>
    <row r="7" spans="1:18" ht="15.6">
      <c r="A7" s="47"/>
      <c r="B7" s="9"/>
      <c r="C7" s="48"/>
      <c r="D7" s="16"/>
      <c r="E7" s="16"/>
      <c r="F7" s="16" t="s">
        <v>21</v>
      </c>
      <c r="K7" s="16" t="s">
        <v>180</v>
      </c>
      <c r="L7" s="16" t="s">
        <v>253</v>
      </c>
      <c r="M7" s="16"/>
      <c r="P7" s="16" t="s">
        <v>177</v>
      </c>
      <c r="Q7" s="16" t="s">
        <v>187</v>
      </c>
      <c r="R7" s="16" t="s">
        <v>188</v>
      </c>
    </row>
    <row r="8" spans="1:18" ht="15.6">
      <c r="A8" s="47"/>
      <c r="B8" s="9"/>
      <c r="C8" s="48"/>
      <c r="D8" s="16" t="s">
        <v>21</v>
      </c>
      <c r="E8" s="16" t="s">
        <v>21</v>
      </c>
      <c r="F8" s="60" t="s">
        <v>0</v>
      </c>
      <c r="K8" s="16" t="s">
        <v>181</v>
      </c>
      <c r="L8" s="16" t="s">
        <v>254</v>
      </c>
      <c r="M8" s="16" t="s">
        <v>257</v>
      </c>
      <c r="P8" s="16" t="s">
        <v>129</v>
      </c>
      <c r="Q8" s="16" t="s">
        <v>185</v>
      </c>
      <c r="R8" s="16" t="s">
        <v>219</v>
      </c>
    </row>
    <row r="9" spans="1:18" ht="16.2" thickBot="1">
      <c r="A9" s="49" t="s">
        <v>179</v>
      </c>
      <c r="B9" s="50"/>
      <c r="C9" s="51"/>
      <c r="D9" s="16" t="s">
        <v>19</v>
      </c>
      <c r="E9" s="16" t="s">
        <v>20</v>
      </c>
      <c r="F9" s="60" t="s">
        <v>1</v>
      </c>
      <c r="K9" s="16" t="s">
        <v>182</v>
      </c>
      <c r="L9" s="16" t="s">
        <v>255</v>
      </c>
      <c r="M9" s="16" t="s">
        <v>258</v>
      </c>
      <c r="P9" s="16" t="s">
        <v>178</v>
      </c>
      <c r="Q9" s="16" t="s">
        <v>184</v>
      </c>
      <c r="R9" s="16" t="s">
        <v>221</v>
      </c>
    </row>
    <row r="10" spans="1:18" ht="16.2" thickBot="1">
      <c r="A10" s="61" t="s">
        <v>63</v>
      </c>
      <c r="B10" s="52" t="s">
        <v>22</v>
      </c>
      <c r="C10" s="53" t="s">
        <v>23</v>
      </c>
      <c r="D10" s="17" t="s">
        <v>2</v>
      </c>
      <c r="E10" s="17" t="s">
        <v>2</v>
      </c>
      <c r="F10" s="17" t="s">
        <v>2</v>
      </c>
      <c r="K10" s="16" t="s">
        <v>178</v>
      </c>
      <c r="L10" s="16" t="s">
        <v>252</v>
      </c>
      <c r="M10" s="16" t="s">
        <v>259</v>
      </c>
      <c r="P10" s="16"/>
      <c r="Q10" s="16" t="s">
        <v>186</v>
      </c>
      <c r="R10" s="16" t="s">
        <v>222</v>
      </c>
    </row>
    <row r="11" spans="1:18" ht="15.6" thickBot="1">
      <c r="A11" s="62" t="s">
        <v>24</v>
      </c>
      <c r="B11" s="18">
        <v>26</v>
      </c>
      <c r="C11" s="18">
        <v>26</v>
      </c>
      <c r="D11" s="28">
        <v>0</v>
      </c>
      <c r="E11" s="28">
        <v>0</v>
      </c>
      <c r="F11" s="23">
        <f>ROUND(D11+E11,2)</f>
        <v>0</v>
      </c>
      <c r="G11" s="86"/>
      <c r="H11" s="87"/>
      <c r="I11" s="87"/>
      <c r="J11" s="87"/>
      <c r="K11" s="133">
        <v>0</v>
      </c>
      <c r="L11" s="133">
        <v>0</v>
      </c>
      <c r="M11" s="133">
        <v>0</v>
      </c>
      <c r="P11" s="133">
        <v>0</v>
      </c>
      <c r="Q11" s="133">
        <v>0</v>
      </c>
      <c r="R11" s="133">
        <v>0</v>
      </c>
    </row>
    <row r="12" spans="1:18" ht="15.6" thickBot="1">
      <c r="A12" s="62" t="s">
        <v>25</v>
      </c>
      <c r="B12" s="18">
        <v>29</v>
      </c>
      <c r="C12" s="18">
        <v>429</v>
      </c>
      <c r="D12" s="25">
        <v>0</v>
      </c>
      <c r="E12" s="25">
        <v>0</v>
      </c>
      <c r="F12" s="23">
        <f t="shared" ref="F12:F23" si="0">ROUND(D12+E12,2)</f>
        <v>0</v>
      </c>
      <c r="G12" s="86"/>
      <c r="H12" s="87"/>
      <c r="I12" s="87"/>
      <c r="J12" s="87"/>
      <c r="K12" s="96">
        <v>0</v>
      </c>
      <c r="L12" s="96">
        <v>0</v>
      </c>
      <c r="M12" s="96">
        <v>0</v>
      </c>
      <c r="P12" s="96">
        <v>0</v>
      </c>
      <c r="Q12" s="96">
        <v>0</v>
      </c>
      <c r="R12" s="96">
        <v>0</v>
      </c>
    </row>
    <row r="13" spans="1:18" ht="15.6" thickBot="1">
      <c r="A13" s="62" t="s">
        <v>140</v>
      </c>
      <c r="B13" s="18">
        <v>14</v>
      </c>
      <c r="C13" s="18">
        <v>14</v>
      </c>
      <c r="D13" s="25">
        <v>0</v>
      </c>
      <c r="E13" s="25">
        <v>0</v>
      </c>
      <c r="F13" s="23">
        <f t="shared" si="0"/>
        <v>0</v>
      </c>
      <c r="G13" s="86"/>
      <c r="H13" s="87"/>
      <c r="I13" s="87"/>
      <c r="J13" s="87"/>
      <c r="K13" s="96">
        <v>0</v>
      </c>
      <c r="L13" s="96">
        <v>0</v>
      </c>
      <c r="M13" s="96">
        <v>0</v>
      </c>
      <c r="P13" s="96">
        <v>0</v>
      </c>
      <c r="Q13" s="96">
        <v>0</v>
      </c>
      <c r="R13" s="96">
        <v>0</v>
      </c>
    </row>
    <row r="14" spans="1:18" ht="15.6" thickBot="1">
      <c r="A14" s="62" t="s">
        <v>26</v>
      </c>
      <c r="B14" s="18">
        <v>14</v>
      </c>
      <c r="C14" s="18">
        <v>166</v>
      </c>
      <c r="D14" s="25">
        <v>0</v>
      </c>
      <c r="E14" s="25">
        <v>0</v>
      </c>
      <c r="F14" s="23">
        <f t="shared" si="0"/>
        <v>0</v>
      </c>
      <c r="G14" s="86"/>
      <c r="H14" s="87"/>
      <c r="I14" s="87"/>
      <c r="J14" s="87"/>
      <c r="K14" s="96">
        <v>0</v>
      </c>
      <c r="L14" s="96">
        <v>0</v>
      </c>
      <c r="M14" s="96">
        <v>0</v>
      </c>
      <c r="P14" s="96">
        <v>0</v>
      </c>
      <c r="Q14" s="96">
        <v>0</v>
      </c>
      <c r="R14" s="96">
        <v>0</v>
      </c>
    </row>
    <row r="15" spans="1:18" ht="15.6" thickBot="1">
      <c r="A15" s="62" t="s">
        <v>143</v>
      </c>
      <c r="B15" s="35">
        <v>1</v>
      </c>
      <c r="C15" s="35">
        <v>1</v>
      </c>
      <c r="D15" s="25">
        <v>0</v>
      </c>
      <c r="E15" s="25">
        <v>0</v>
      </c>
      <c r="F15" s="23">
        <f t="shared" si="0"/>
        <v>0</v>
      </c>
      <c r="G15" s="86"/>
      <c r="H15" s="87"/>
      <c r="I15" s="87"/>
      <c r="J15" s="87"/>
      <c r="K15" s="96">
        <v>0</v>
      </c>
      <c r="L15" s="96">
        <v>0</v>
      </c>
      <c r="M15" s="96">
        <v>0</v>
      </c>
      <c r="P15" s="96">
        <v>0</v>
      </c>
      <c r="Q15" s="96">
        <v>0</v>
      </c>
      <c r="R15" s="96">
        <v>0</v>
      </c>
    </row>
    <row r="16" spans="1:18" ht="15.6" thickBot="1">
      <c r="A16" s="62" t="s">
        <v>26</v>
      </c>
      <c r="B16" s="35">
        <v>1</v>
      </c>
      <c r="C16" s="35">
        <v>1</v>
      </c>
      <c r="D16" s="25">
        <v>0</v>
      </c>
      <c r="E16" s="25">
        <v>0</v>
      </c>
      <c r="F16" s="23">
        <f t="shared" si="0"/>
        <v>0</v>
      </c>
      <c r="G16" s="86"/>
      <c r="H16" s="87"/>
      <c r="I16" s="87"/>
      <c r="J16" s="87"/>
      <c r="K16" s="96">
        <v>0</v>
      </c>
      <c r="L16" s="96">
        <v>0</v>
      </c>
      <c r="M16" s="96">
        <v>0</v>
      </c>
      <c r="P16" s="96">
        <v>0</v>
      </c>
      <c r="Q16" s="96">
        <v>0</v>
      </c>
      <c r="R16" s="96">
        <v>0</v>
      </c>
    </row>
    <row r="17" spans="1:18" ht="15.6" thickBot="1">
      <c r="A17" s="62" t="s">
        <v>141</v>
      </c>
      <c r="B17" s="18">
        <v>62</v>
      </c>
      <c r="C17" s="18">
        <v>62</v>
      </c>
      <c r="D17" s="25">
        <v>0</v>
      </c>
      <c r="E17" s="25">
        <v>0</v>
      </c>
      <c r="F17" s="23">
        <f t="shared" si="0"/>
        <v>0</v>
      </c>
      <c r="G17" s="86"/>
      <c r="H17" s="87"/>
      <c r="I17" s="87"/>
      <c r="J17" s="87"/>
      <c r="K17" s="96">
        <v>0</v>
      </c>
      <c r="L17" s="96">
        <v>0</v>
      </c>
      <c r="M17" s="96">
        <v>0</v>
      </c>
      <c r="P17" s="96">
        <v>0</v>
      </c>
      <c r="Q17" s="96">
        <v>0</v>
      </c>
      <c r="R17" s="96">
        <v>0</v>
      </c>
    </row>
    <row r="18" spans="1:18" ht="15.6" thickBot="1">
      <c r="A18" s="62" t="s">
        <v>26</v>
      </c>
      <c r="B18" s="18">
        <v>62</v>
      </c>
      <c r="C18" s="18">
        <v>124</v>
      </c>
      <c r="D18" s="25">
        <v>0</v>
      </c>
      <c r="E18" s="25">
        <v>0</v>
      </c>
      <c r="F18" s="23">
        <f t="shared" si="0"/>
        <v>0</v>
      </c>
      <c r="G18" s="86"/>
      <c r="H18" s="87"/>
      <c r="I18" s="87"/>
      <c r="J18" s="87"/>
      <c r="K18" s="96">
        <v>0</v>
      </c>
      <c r="L18" s="96">
        <v>0</v>
      </c>
      <c r="M18" s="96">
        <v>0</v>
      </c>
      <c r="P18" s="96">
        <v>0</v>
      </c>
      <c r="Q18" s="96">
        <v>0</v>
      </c>
      <c r="R18" s="96">
        <v>0</v>
      </c>
    </row>
    <row r="19" spans="1:18" ht="15.6" thickBot="1">
      <c r="A19" s="62" t="s">
        <v>142</v>
      </c>
      <c r="B19" s="18">
        <v>248</v>
      </c>
      <c r="C19" s="18">
        <v>248</v>
      </c>
      <c r="D19" s="25">
        <v>0</v>
      </c>
      <c r="E19" s="25">
        <v>0</v>
      </c>
      <c r="F19" s="23">
        <f t="shared" si="0"/>
        <v>0</v>
      </c>
      <c r="G19" s="86"/>
      <c r="H19" s="87"/>
      <c r="I19" s="87"/>
      <c r="J19" s="87"/>
      <c r="K19" s="96">
        <v>0</v>
      </c>
      <c r="L19" s="96">
        <v>0</v>
      </c>
      <c r="M19" s="96">
        <v>0</v>
      </c>
      <c r="P19" s="96">
        <v>0</v>
      </c>
      <c r="Q19" s="96">
        <v>0</v>
      </c>
      <c r="R19" s="96">
        <v>0</v>
      </c>
    </row>
    <row r="20" spans="1:18">
      <c r="A20" s="62" t="s">
        <v>26</v>
      </c>
      <c r="B20" s="18">
        <v>248</v>
      </c>
      <c r="C20" s="18">
        <v>261</v>
      </c>
      <c r="D20" s="25">
        <v>0</v>
      </c>
      <c r="E20" s="25">
        <v>0</v>
      </c>
      <c r="F20" s="23">
        <f t="shared" si="0"/>
        <v>0</v>
      </c>
      <c r="G20" s="86"/>
      <c r="H20" s="87"/>
      <c r="I20" s="87"/>
      <c r="J20" s="87"/>
      <c r="K20" s="96">
        <v>0</v>
      </c>
      <c r="L20" s="96">
        <v>0</v>
      </c>
      <c r="M20" s="96">
        <v>0</v>
      </c>
      <c r="P20" s="96">
        <v>0</v>
      </c>
      <c r="Q20" s="96">
        <v>0</v>
      </c>
      <c r="R20" s="96">
        <v>0</v>
      </c>
    </row>
    <row r="21" spans="1:18" ht="16.2" thickBot="1">
      <c r="A21" s="130"/>
      <c r="B21" s="35"/>
      <c r="C21" s="53" t="s">
        <v>203</v>
      </c>
      <c r="D21" s="35"/>
      <c r="E21" s="35"/>
      <c r="F21" s="33" t="s">
        <v>202</v>
      </c>
      <c r="G21" s="86"/>
      <c r="H21" s="87"/>
      <c r="I21" s="87"/>
      <c r="J21" s="87"/>
      <c r="K21" s="90"/>
      <c r="L21" s="90"/>
      <c r="M21" s="90"/>
      <c r="P21" s="90"/>
      <c r="Q21" s="90"/>
      <c r="R21" s="90"/>
    </row>
    <row r="22" spans="1:18" ht="15.6" thickBot="1">
      <c r="A22" s="62" t="s">
        <v>155</v>
      </c>
      <c r="B22" s="20">
        <v>0</v>
      </c>
      <c r="C22" s="18">
        <v>163</v>
      </c>
      <c r="D22" s="25">
        <v>0</v>
      </c>
      <c r="E22" s="25">
        <v>0</v>
      </c>
      <c r="F22" s="23">
        <f t="shared" si="0"/>
        <v>0</v>
      </c>
      <c r="G22" s="86"/>
      <c r="H22" s="87"/>
      <c r="I22" s="87"/>
      <c r="J22" s="87"/>
      <c r="K22" s="90"/>
      <c r="L22" s="90"/>
      <c r="M22" s="90"/>
      <c r="P22" s="90"/>
      <c r="Q22" s="90"/>
      <c r="R22" s="90"/>
    </row>
    <row r="23" spans="1:18">
      <c r="A23" s="62" t="s">
        <v>154</v>
      </c>
      <c r="B23" s="20">
        <v>0</v>
      </c>
      <c r="C23" s="20">
        <v>190</v>
      </c>
      <c r="D23" s="25">
        <v>0</v>
      </c>
      <c r="E23" s="25">
        <v>0</v>
      </c>
      <c r="F23" s="23">
        <f t="shared" si="0"/>
        <v>0</v>
      </c>
      <c r="G23" s="86"/>
      <c r="H23" s="87"/>
      <c r="I23" s="87"/>
      <c r="J23" s="87"/>
      <c r="K23" s="90"/>
      <c r="L23" s="90"/>
      <c r="M23" s="90"/>
      <c r="P23" s="90"/>
      <c r="Q23" s="90"/>
      <c r="R23" s="90"/>
    </row>
    <row r="24" spans="1:18" ht="15.6" thickBot="1">
      <c r="A24" s="54" t="s">
        <v>27</v>
      </c>
      <c r="B24" s="19"/>
      <c r="C24" s="19"/>
      <c r="D24" s="24"/>
      <c r="E24" s="24"/>
      <c r="F24" s="24"/>
      <c r="G24" s="86"/>
      <c r="H24" s="87"/>
      <c r="I24" s="87"/>
      <c r="J24" s="87"/>
      <c r="K24" s="90"/>
      <c r="L24" s="90"/>
      <c r="M24" s="90"/>
      <c r="P24" s="90"/>
      <c r="Q24" s="90"/>
      <c r="R24" s="90"/>
    </row>
    <row r="25" spans="1:18" ht="15.6" thickBot="1">
      <c r="A25" s="62" t="s">
        <v>28</v>
      </c>
      <c r="B25" s="20">
        <v>6</v>
      </c>
      <c r="C25" s="20">
        <v>6</v>
      </c>
      <c r="D25" s="25">
        <v>0</v>
      </c>
      <c r="E25" s="25">
        <v>0</v>
      </c>
      <c r="F25" s="23">
        <f t="shared" ref="F25:F31" si="1">ROUND(D25+E25,2)</f>
        <v>0</v>
      </c>
      <c r="G25" s="86"/>
      <c r="H25" s="87"/>
      <c r="I25" s="87"/>
      <c r="J25" s="87"/>
      <c r="K25" s="96">
        <v>0</v>
      </c>
      <c r="L25" s="96">
        <v>0</v>
      </c>
      <c r="M25" s="96">
        <v>0</v>
      </c>
      <c r="P25" s="96">
        <v>0</v>
      </c>
      <c r="Q25" s="96">
        <v>0</v>
      </c>
      <c r="R25" s="96">
        <v>0</v>
      </c>
    </row>
    <row r="26" spans="1:18" ht="15.6" thickBot="1">
      <c r="A26" s="62" t="s">
        <v>29</v>
      </c>
      <c r="B26" s="20">
        <v>46</v>
      </c>
      <c r="C26" s="20">
        <v>46</v>
      </c>
      <c r="D26" s="25">
        <v>0</v>
      </c>
      <c r="E26" s="25">
        <v>0</v>
      </c>
      <c r="F26" s="23">
        <f t="shared" si="1"/>
        <v>0</v>
      </c>
      <c r="G26" s="86"/>
      <c r="H26" s="87"/>
      <c r="I26" s="87"/>
      <c r="J26" s="87"/>
      <c r="K26" s="96">
        <v>0</v>
      </c>
      <c r="L26" s="96">
        <v>0</v>
      </c>
      <c r="M26" s="96">
        <v>0</v>
      </c>
      <c r="P26" s="96">
        <v>0</v>
      </c>
      <c r="Q26" s="96">
        <v>0</v>
      </c>
      <c r="R26" s="96">
        <v>0</v>
      </c>
    </row>
    <row r="27" spans="1:18" ht="15.6" thickBot="1">
      <c r="A27" s="62" t="s">
        <v>30</v>
      </c>
      <c r="B27" s="20">
        <v>1</v>
      </c>
      <c r="C27" s="20">
        <v>2</v>
      </c>
      <c r="D27" s="25">
        <v>0</v>
      </c>
      <c r="E27" s="25">
        <v>0</v>
      </c>
      <c r="F27" s="23">
        <f t="shared" si="1"/>
        <v>0</v>
      </c>
      <c r="G27" s="86"/>
      <c r="H27" s="87"/>
      <c r="I27" s="87"/>
      <c r="J27" s="87"/>
      <c r="K27" s="96">
        <v>0</v>
      </c>
      <c r="L27" s="96">
        <v>0</v>
      </c>
      <c r="M27" s="96">
        <v>0</v>
      </c>
      <c r="P27" s="96">
        <v>0</v>
      </c>
      <c r="Q27" s="96">
        <v>0</v>
      </c>
      <c r="R27" s="96">
        <v>0</v>
      </c>
    </row>
    <row r="28" spans="1:18" ht="15.6" thickBot="1">
      <c r="A28" s="62" t="s">
        <v>31</v>
      </c>
      <c r="B28" s="20">
        <v>1</v>
      </c>
      <c r="C28" s="20">
        <v>1</v>
      </c>
      <c r="D28" s="25">
        <v>0</v>
      </c>
      <c r="E28" s="25">
        <v>0</v>
      </c>
      <c r="F28" s="23">
        <f t="shared" si="1"/>
        <v>0</v>
      </c>
      <c r="G28" s="86"/>
      <c r="H28" s="87"/>
      <c r="I28" s="87"/>
      <c r="J28" s="87"/>
      <c r="K28" s="96">
        <v>0</v>
      </c>
      <c r="L28" s="96">
        <v>0</v>
      </c>
      <c r="M28" s="96">
        <v>0</v>
      </c>
      <c r="P28" s="96">
        <v>0</v>
      </c>
      <c r="Q28" s="96">
        <v>0</v>
      </c>
      <c r="R28" s="96">
        <v>0</v>
      </c>
    </row>
    <row r="29" spans="1:18" ht="15.6" thickBot="1">
      <c r="A29" s="62" t="s">
        <v>32</v>
      </c>
      <c r="B29" s="20">
        <v>1</v>
      </c>
      <c r="C29" s="20">
        <v>1</v>
      </c>
      <c r="D29" s="25">
        <v>0</v>
      </c>
      <c r="E29" s="25">
        <v>0</v>
      </c>
      <c r="F29" s="23">
        <f t="shared" si="1"/>
        <v>0</v>
      </c>
      <c r="G29" s="86"/>
      <c r="H29" s="87"/>
      <c r="I29" s="87"/>
      <c r="J29" s="87"/>
      <c r="K29" s="96">
        <v>0</v>
      </c>
      <c r="L29" s="96">
        <v>0</v>
      </c>
      <c r="M29" s="96">
        <v>0</v>
      </c>
      <c r="P29" s="96">
        <v>0</v>
      </c>
      <c r="Q29" s="96">
        <v>0</v>
      </c>
      <c r="R29" s="96">
        <v>0</v>
      </c>
    </row>
    <row r="30" spans="1:18" ht="15.6" thickBot="1">
      <c r="A30" s="62" t="s">
        <v>33</v>
      </c>
      <c r="B30" s="20">
        <v>1</v>
      </c>
      <c r="C30" s="20">
        <v>1</v>
      </c>
      <c r="D30" s="25">
        <v>0</v>
      </c>
      <c r="E30" s="25">
        <v>0</v>
      </c>
      <c r="F30" s="23">
        <f t="shared" si="1"/>
        <v>0</v>
      </c>
      <c r="G30" s="86"/>
      <c r="H30" s="87"/>
      <c r="I30" s="87"/>
      <c r="J30" s="87"/>
      <c r="K30" s="96">
        <v>0</v>
      </c>
      <c r="L30" s="96">
        <v>0</v>
      </c>
      <c r="M30" s="96">
        <v>0</v>
      </c>
      <c r="P30" s="96">
        <v>0</v>
      </c>
      <c r="Q30" s="96">
        <v>0</v>
      </c>
      <c r="R30" s="96">
        <v>0</v>
      </c>
    </row>
    <row r="31" spans="1:18">
      <c r="A31" s="62" t="s">
        <v>34</v>
      </c>
      <c r="B31" s="20">
        <v>1</v>
      </c>
      <c r="C31" s="20">
        <v>1</v>
      </c>
      <c r="D31" s="25">
        <v>0</v>
      </c>
      <c r="E31" s="25">
        <v>0</v>
      </c>
      <c r="F31" s="23">
        <f t="shared" si="1"/>
        <v>0</v>
      </c>
      <c r="G31" s="86"/>
      <c r="H31" s="87"/>
      <c r="I31" s="87"/>
      <c r="J31" s="87"/>
      <c r="K31" s="96">
        <v>0</v>
      </c>
      <c r="L31" s="96">
        <v>0</v>
      </c>
      <c r="M31" s="96">
        <v>0</v>
      </c>
      <c r="P31" s="96">
        <v>0</v>
      </c>
      <c r="Q31" s="96">
        <v>0</v>
      </c>
      <c r="R31" s="96">
        <v>0</v>
      </c>
    </row>
    <row r="32" spans="1:18" ht="15.6" thickBot="1">
      <c r="A32" s="54" t="s">
        <v>35</v>
      </c>
      <c r="B32" s="19"/>
      <c r="C32" s="19"/>
      <c r="D32" s="24"/>
      <c r="E32" s="24"/>
      <c r="F32" s="24"/>
      <c r="G32" s="86"/>
      <c r="H32" s="87"/>
      <c r="I32" s="87"/>
      <c r="J32" s="87"/>
      <c r="K32" s="90"/>
      <c r="L32" s="90"/>
      <c r="M32" s="90"/>
      <c r="P32" s="90"/>
      <c r="Q32" s="90"/>
      <c r="R32" s="90"/>
    </row>
    <row r="33" spans="1:18" ht="15.6" thickBot="1">
      <c r="A33" s="62" t="s">
        <v>36</v>
      </c>
      <c r="B33" s="20">
        <v>5</v>
      </c>
      <c r="C33" s="20">
        <v>5</v>
      </c>
      <c r="D33" s="25">
        <v>0</v>
      </c>
      <c r="E33" s="25">
        <v>0</v>
      </c>
      <c r="F33" s="23">
        <f t="shared" ref="F33:F39" si="2">ROUND(D33+E33,2)</f>
        <v>0</v>
      </c>
      <c r="G33" s="86"/>
      <c r="H33" s="87"/>
      <c r="I33" s="87"/>
      <c r="J33" s="87"/>
      <c r="K33" s="96">
        <v>0</v>
      </c>
      <c r="L33" s="96">
        <v>0</v>
      </c>
      <c r="M33" s="96">
        <v>0</v>
      </c>
      <c r="P33" s="96">
        <v>0</v>
      </c>
      <c r="Q33" s="96">
        <v>0</v>
      </c>
      <c r="R33" s="96">
        <v>0</v>
      </c>
    </row>
    <row r="34" spans="1:18" ht="15.6" thickBot="1">
      <c r="A34" s="62" t="s">
        <v>29</v>
      </c>
      <c r="B34" s="20">
        <v>82</v>
      </c>
      <c r="C34" s="20">
        <v>85</v>
      </c>
      <c r="D34" s="25">
        <v>0</v>
      </c>
      <c r="E34" s="25">
        <v>0</v>
      </c>
      <c r="F34" s="23">
        <f t="shared" si="2"/>
        <v>0</v>
      </c>
      <c r="G34" s="86"/>
      <c r="H34" s="87"/>
      <c r="I34" s="87"/>
      <c r="J34" s="87"/>
      <c r="K34" s="96">
        <v>0</v>
      </c>
      <c r="L34" s="96">
        <v>0</v>
      </c>
      <c r="M34" s="96">
        <v>0</v>
      </c>
      <c r="P34" s="96">
        <v>0</v>
      </c>
      <c r="Q34" s="96">
        <v>0</v>
      </c>
      <c r="R34" s="96">
        <v>0</v>
      </c>
    </row>
    <row r="35" spans="1:18" ht="15.6" thickBot="1">
      <c r="A35" s="62" t="s">
        <v>30</v>
      </c>
      <c r="B35" s="20">
        <v>7</v>
      </c>
      <c r="C35" s="20">
        <v>8</v>
      </c>
      <c r="D35" s="25">
        <v>0</v>
      </c>
      <c r="E35" s="25">
        <v>0</v>
      </c>
      <c r="F35" s="23">
        <f t="shared" si="2"/>
        <v>0</v>
      </c>
      <c r="G35" s="86"/>
      <c r="H35" s="87"/>
      <c r="I35" s="87"/>
      <c r="J35" s="87"/>
      <c r="K35" s="96">
        <v>0</v>
      </c>
      <c r="L35" s="96">
        <v>0</v>
      </c>
      <c r="M35" s="96">
        <v>0</v>
      </c>
      <c r="P35" s="96">
        <v>0</v>
      </c>
      <c r="Q35" s="96">
        <v>0</v>
      </c>
      <c r="R35" s="96">
        <v>0</v>
      </c>
    </row>
    <row r="36" spans="1:18" ht="15.6" thickBot="1">
      <c r="A36" s="62" t="s">
        <v>31</v>
      </c>
      <c r="B36" s="20">
        <v>1</v>
      </c>
      <c r="C36" s="20">
        <v>1</v>
      </c>
      <c r="D36" s="25">
        <v>0</v>
      </c>
      <c r="E36" s="25">
        <v>0</v>
      </c>
      <c r="F36" s="23">
        <f t="shared" si="2"/>
        <v>0</v>
      </c>
      <c r="G36" s="86"/>
      <c r="H36" s="87"/>
      <c r="I36" s="87"/>
      <c r="J36" s="87"/>
      <c r="K36" s="96">
        <v>0</v>
      </c>
      <c r="L36" s="96">
        <v>0</v>
      </c>
      <c r="M36" s="96">
        <v>0</v>
      </c>
      <c r="P36" s="96">
        <v>0</v>
      </c>
      <c r="Q36" s="96">
        <v>0</v>
      </c>
      <c r="R36" s="96">
        <v>0</v>
      </c>
    </row>
    <row r="37" spans="1:18" ht="15.6" thickBot="1">
      <c r="A37" s="62" t="s">
        <v>32</v>
      </c>
      <c r="B37" s="20">
        <v>1</v>
      </c>
      <c r="C37" s="20">
        <v>1</v>
      </c>
      <c r="D37" s="25">
        <v>0</v>
      </c>
      <c r="E37" s="25">
        <v>0</v>
      </c>
      <c r="F37" s="23">
        <f t="shared" si="2"/>
        <v>0</v>
      </c>
      <c r="G37" s="86"/>
      <c r="H37" s="87"/>
      <c r="I37" s="87"/>
      <c r="J37" s="87"/>
      <c r="K37" s="96">
        <v>0</v>
      </c>
      <c r="L37" s="96">
        <v>0</v>
      </c>
      <c r="M37" s="96">
        <v>0</v>
      </c>
      <c r="P37" s="96">
        <v>0</v>
      </c>
      <c r="Q37" s="96">
        <v>0</v>
      </c>
      <c r="R37" s="96">
        <v>0</v>
      </c>
    </row>
    <row r="38" spans="1:18" ht="15.6" thickBot="1">
      <c r="A38" s="62" t="s">
        <v>33</v>
      </c>
      <c r="B38" s="20">
        <v>1</v>
      </c>
      <c r="C38" s="20">
        <v>1</v>
      </c>
      <c r="D38" s="25">
        <v>0</v>
      </c>
      <c r="E38" s="25">
        <v>0</v>
      </c>
      <c r="F38" s="23">
        <f t="shared" si="2"/>
        <v>0</v>
      </c>
      <c r="G38" s="86"/>
      <c r="H38" s="87"/>
      <c r="I38" s="87"/>
      <c r="J38" s="87"/>
      <c r="K38" s="96">
        <v>0</v>
      </c>
      <c r="L38" s="96">
        <v>0</v>
      </c>
      <c r="M38" s="96">
        <v>0</v>
      </c>
      <c r="P38" s="96">
        <v>0</v>
      </c>
      <c r="Q38" s="96">
        <v>0</v>
      </c>
      <c r="R38" s="96">
        <v>0</v>
      </c>
    </row>
    <row r="39" spans="1:18">
      <c r="A39" s="62" t="s">
        <v>34</v>
      </c>
      <c r="B39" s="20">
        <v>1</v>
      </c>
      <c r="C39" s="20">
        <v>1</v>
      </c>
      <c r="D39" s="25">
        <v>0</v>
      </c>
      <c r="E39" s="25">
        <v>0</v>
      </c>
      <c r="F39" s="23">
        <f t="shared" si="2"/>
        <v>0</v>
      </c>
      <c r="G39" s="86"/>
      <c r="H39" s="87"/>
      <c r="I39" s="87"/>
      <c r="J39" s="87"/>
      <c r="K39" s="96">
        <v>0</v>
      </c>
      <c r="L39" s="96">
        <v>0</v>
      </c>
      <c r="M39" s="96">
        <v>0</v>
      </c>
      <c r="P39" s="96">
        <v>0</v>
      </c>
      <c r="Q39" s="96">
        <v>0</v>
      </c>
      <c r="R39" s="96">
        <v>0</v>
      </c>
    </row>
    <row r="40" spans="1:18" ht="15.6" thickBot="1">
      <c r="A40" s="54" t="s">
        <v>37</v>
      </c>
      <c r="B40" s="19"/>
      <c r="C40" s="19"/>
      <c r="D40" s="24"/>
      <c r="E40" s="24"/>
      <c r="F40" s="24"/>
      <c r="G40" s="86"/>
      <c r="H40" s="87"/>
      <c r="I40" s="87"/>
      <c r="J40" s="87"/>
      <c r="K40" s="90"/>
      <c r="L40" s="90"/>
      <c r="M40" s="90"/>
      <c r="P40" s="90"/>
      <c r="Q40" s="90"/>
      <c r="R40" s="90"/>
    </row>
    <row r="41" spans="1:18" ht="15.6" thickBot="1">
      <c r="A41" s="62" t="s">
        <v>38</v>
      </c>
      <c r="B41" s="20">
        <v>7</v>
      </c>
      <c r="C41" s="20">
        <v>7</v>
      </c>
      <c r="D41" s="25">
        <v>0</v>
      </c>
      <c r="E41" s="25">
        <v>0</v>
      </c>
      <c r="F41" s="23">
        <f t="shared" ref="F41:F47" si="3">ROUND(D41+E41,2)</f>
        <v>0</v>
      </c>
      <c r="G41" s="86"/>
      <c r="H41" s="87"/>
      <c r="I41" s="87"/>
      <c r="J41" s="87"/>
      <c r="K41" s="96">
        <v>0</v>
      </c>
      <c r="L41" s="96">
        <v>0</v>
      </c>
      <c r="M41" s="96">
        <v>0</v>
      </c>
      <c r="P41" s="96">
        <v>0</v>
      </c>
      <c r="Q41" s="96">
        <v>0</v>
      </c>
      <c r="R41" s="96">
        <v>0</v>
      </c>
    </row>
    <row r="42" spans="1:18" ht="15.6" thickBot="1">
      <c r="A42" s="62" t="s">
        <v>29</v>
      </c>
      <c r="B42" s="20">
        <v>177</v>
      </c>
      <c r="C42" s="20">
        <v>198</v>
      </c>
      <c r="D42" s="25">
        <v>0</v>
      </c>
      <c r="E42" s="25">
        <v>0</v>
      </c>
      <c r="F42" s="23">
        <f t="shared" si="3"/>
        <v>0</v>
      </c>
      <c r="G42" s="86"/>
      <c r="H42" s="87"/>
      <c r="I42" s="87"/>
      <c r="J42" s="87"/>
      <c r="K42" s="96">
        <v>0</v>
      </c>
      <c r="L42" s="96">
        <v>0</v>
      </c>
      <c r="M42" s="96">
        <v>0</v>
      </c>
      <c r="P42" s="96">
        <v>0</v>
      </c>
      <c r="Q42" s="96">
        <v>0</v>
      </c>
      <c r="R42" s="96">
        <v>0</v>
      </c>
    </row>
    <row r="43" spans="1:18" ht="15.6" thickBot="1">
      <c r="A43" s="62" t="s">
        <v>30</v>
      </c>
      <c r="B43" s="20">
        <v>45</v>
      </c>
      <c r="C43" s="20">
        <v>54</v>
      </c>
      <c r="D43" s="25">
        <v>0</v>
      </c>
      <c r="E43" s="25">
        <v>0</v>
      </c>
      <c r="F43" s="23">
        <f t="shared" si="3"/>
        <v>0</v>
      </c>
      <c r="G43" s="86"/>
      <c r="H43" s="87"/>
      <c r="I43" s="87"/>
      <c r="J43" s="87"/>
      <c r="K43" s="96">
        <v>0</v>
      </c>
      <c r="L43" s="96">
        <v>0</v>
      </c>
      <c r="M43" s="96">
        <v>0</v>
      </c>
      <c r="P43" s="96">
        <v>0</v>
      </c>
      <c r="Q43" s="96">
        <v>0</v>
      </c>
      <c r="R43" s="96">
        <v>0</v>
      </c>
    </row>
    <row r="44" spans="1:18" ht="15.6" thickBot="1">
      <c r="A44" s="62" t="s">
        <v>31</v>
      </c>
      <c r="B44" s="20">
        <v>16</v>
      </c>
      <c r="C44" s="20">
        <v>23</v>
      </c>
      <c r="D44" s="25">
        <v>0</v>
      </c>
      <c r="E44" s="25">
        <v>0</v>
      </c>
      <c r="F44" s="23">
        <f t="shared" si="3"/>
        <v>0</v>
      </c>
      <c r="G44" s="86"/>
      <c r="H44" s="87"/>
      <c r="I44" s="87"/>
      <c r="J44" s="87"/>
      <c r="K44" s="96">
        <v>0</v>
      </c>
      <c r="L44" s="96">
        <v>0</v>
      </c>
      <c r="M44" s="96">
        <v>0</v>
      </c>
      <c r="P44" s="96">
        <v>0</v>
      </c>
      <c r="Q44" s="96">
        <v>0</v>
      </c>
      <c r="R44" s="96">
        <v>0</v>
      </c>
    </row>
    <row r="45" spans="1:18" ht="15.6" thickBot="1">
      <c r="A45" s="62" t="s">
        <v>32</v>
      </c>
      <c r="B45" s="20">
        <v>2</v>
      </c>
      <c r="C45" s="20">
        <v>2</v>
      </c>
      <c r="D45" s="25">
        <v>0</v>
      </c>
      <c r="E45" s="25">
        <v>0</v>
      </c>
      <c r="F45" s="23">
        <f t="shared" si="3"/>
        <v>0</v>
      </c>
      <c r="G45" s="86"/>
      <c r="H45" s="87"/>
      <c r="I45" s="87"/>
      <c r="J45" s="87"/>
      <c r="K45" s="96">
        <v>0</v>
      </c>
      <c r="L45" s="96">
        <v>0</v>
      </c>
      <c r="M45" s="96">
        <v>0</v>
      </c>
      <c r="P45" s="96">
        <v>0</v>
      </c>
      <c r="Q45" s="96">
        <v>0</v>
      </c>
      <c r="R45" s="96">
        <v>0</v>
      </c>
    </row>
    <row r="46" spans="1:18" ht="15.6" thickBot="1">
      <c r="A46" s="62" t="s">
        <v>33</v>
      </c>
      <c r="B46" s="20">
        <v>1</v>
      </c>
      <c r="C46" s="20">
        <v>1</v>
      </c>
      <c r="D46" s="25">
        <v>0</v>
      </c>
      <c r="E46" s="25">
        <v>0</v>
      </c>
      <c r="F46" s="23">
        <f t="shared" si="3"/>
        <v>0</v>
      </c>
      <c r="G46" s="86"/>
      <c r="H46" s="87"/>
      <c r="I46" s="87"/>
      <c r="J46" s="87"/>
      <c r="K46" s="96">
        <v>0</v>
      </c>
      <c r="L46" s="96">
        <v>0</v>
      </c>
      <c r="M46" s="96">
        <v>0</v>
      </c>
      <c r="P46" s="96">
        <v>0</v>
      </c>
      <c r="Q46" s="96">
        <v>0</v>
      </c>
      <c r="R46" s="96">
        <v>0</v>
      </c>
    </row>
    <row r="47" spans="1:18">
      <c r="A47" s="62" t="s">
        <v>34</v>
      </c>
      <c r="B47" s="20">
        <v>1</v>
      </c>
      <c r="C47" s="20">
        <v>1</v>
      </c>
      <c r="D47" s="25">
        <v>0</v>
      </c>
      <c r="E47" s="25">
        <v>0</v>
      </c>
      <c r="F47" s="23">
        <f t="shared" si="3"/>
        <v>0</v>
      </c>
      <c r="G47" s="86"/>
      <c r="H47" s="87"/>
      <c r="I47" s="87"/>
      <c r="J47" s="87"/>
      <c r="K47" s="96">
        <v>0</v>
      </c>
      <c r="L47" s="96">
        <v>0</v>
      </c>
      <c r="M47" s="96">
        <v>0</v>
      </c>
      <c r="P47" s="96">
        <v>0</v>
      </c>
      <c r="Q47" s="96">
        <v>0</v>
      </c>
      <c r="R47" s="96">
        <v>0</v>
      </c>
    </row>
    <row r="48" spans="1:18" ht="15.6" thickBot="1">
      <c r="A48" s="54" t="s">
        <v>39</v>
      </c>
      <c r="B48" s="19"/>
      <c r="C48" s="19"/>
      <c r="D48" s="24"/>
      <c r="E48" s="24"/>
      <c r="F48" s="24"/>
      <c r="G48" s="86"/>
      <c r="H48" s="87"/>
      <c r="I48" s="87"/>
      <c r="J48" s="87"/>
      <c r="K48" s="90"/>
      <c r="L48" s="90"/>
      <c r="M48" s="90"/>
      <c r="P48" s="90"/>
      <c r="Q48" s="90"/>
      <c r="R48" s="90"/>
    </row>
    <row r="49" spans="1:18" ht="15.6" thickBot="1">
      <c r="A49" s="62" t="s">
        <v>40</v>
      </c>
      <c r="B49" s="20">
        <v>3</v>
      </c>
      <c r="C49" s="20">
        <v>3</v>
      </c>
      <c r="D49" s="25">
        <v>0</v>
      </c>
      <c r="E49" s="25">
        <v>0</v>
      </c>
      <c r="F49" s="23">
        <f t="shared" ref="F49:F55" si="4">ROUND(D49+E49,2)</f>
        <v>0</v>
      </c>
      <c r="G49" s="86"/>
      <c r="H49" s="87"/>
      <c r="I49" s="87"/>
      <c r="J49" s="87"/>
      <c r="K49" s="96">
        <v>0</v>
      </c>
      <c r="L49" s="96">
        <v>0</v>
      </c>
      <c r="M49" s="96">
        <v>0</v>
      </c>
      <c r="P49" s="96">
        <v>0</v>
      </c>
      <c r="Q49" s="96">
        <v>0</v>
      </c>
      <c r="R49" s="96">
        <v>0</v>
      </c>
    </row>
    <row r="50" spans="1:18" ht="15.6" thickBot="1">
      <c r="A50" s="62" t="s">
        <v>29</v>
      </c>
      <c r="B50" s="20">
        <v>166</v>
      </c>
      <c r="C50" s="20">
        <v>218</v>
      </c>
      <c r="D50" s="25">
        <v>0</v>
      </c>
      <c r="E50" s="25">
        <v>0</v>
      </c>
      <c r="F50" s="23">
        <f t="shared" si="4"/>
        <v>0</v>
      </c>
      <c r="G50" s="86"/>
      <c r="H50" s="87"/>
      <c r="I50" s="87"/>
      <c r="J50" s="87"/>
      <c r="K50" s="96">
        <v>0</v>
      </c>
      <c r="L50" s="96">
        <v>0</v>
      </c>
      <c r="M50" s="96">
        <v>0</v>
      </c>
      <c r="P50" s="96">
        <v>0</v>
      </c>
      <c r="Q50" s="96">
        <v>0</v>
      </c>
      <c r="R50" s="96">
        <v>0</v>
      </c>
    </row>
    <row r="51" spans="1:18" ht="15.6" thickBot="1">
      <c r="A51" s="62" t="s">
        <v>30</v>
      </c>
      <c r="B51" s="20">
        <v>55</v>
      </c>
      <c r="C51" s="20">
        <v>77</v>
      </c>
      <c r="D51" s="25">
        <v>0</v>
      </c>
      <c r="E51" s="25">
        <v>0</v>
      </c>
      <c r="F51" s="23">
        <f t="shared" si="4"/>
        <v>0</v>
      </c>
      <c r="G51" s="86"/>
      <c r="H51" s="87"/>
      <c r="I51" s="87"/>
      <c r="J51" s="87"/>
      <c r="K51" s="96">
        <v>0</v>
      </c>
      <c r="L51" s="96">
        <v>0</v>
      </c>
      <c r="M51" s="96">
        <v>0</v>
      </c>
      <c r="P51" s="96">
        <v>0</v>
      </c>
      <c r="Q51" s="96">
        <v>0</v>
      </c>
      <c r="R51" s="96">
        <v>0</v>
      </c>
    </row>
    <row r="52" spans="1:18" ht="15.6" thickBot="1">
      <c r="A52" s="62" t="s">
        <v>31</v>
      </c>
      <c r="B52" s="20">
        <v>11</v>
      </c>
      <c r="C52" s="20">
        <v>13</v>
      </c>
      <c r="D52" s="25">
        <v>0</v>
      </c>
      <c r="E52" s="25">
        <v>0</v>
      </c>
      <c r="F52" s="23">
        <f t="shared" si="4"/>
        <v>0</v>
      </c>
      <c r="G52" s="86"/>
      <c r="H52" s="87"/>
      <c r="I52" s="87"/>
      <c r="J52" s="87"/>
      <c r="K52" s="96">
        <v>0</v>
      </c>
      <c r="L52" s="96">
        <v>0</v>
      </c>
      <c r="M52" s="96">
        <v>0</v>
      </c>
      <c r="P52" s="96">
        <v>0</v>
      </c>
      <c r="Q52" s="96">
        <v>0</v>
      </c>
      <c r="R52" s="96">
        <v>0</v>
      </c>
    </row>
    <row r="53" spans="1:18" ht="15.6" thickBot="1">
      <c r="A53" s="62" t="s">
        <v>32</v>
      </c>
      <c r="B53" s="20">
        <v>2</v>
      </c>
      <c r="C53" s="20">
        <v>2</v>
      </c>
      <c r="D53" s="25">
        <v>0</v>
      </c>
      <c r="E53" s="25">
        <v>0</v>
      </c>
      <c r="F53" s="23">
        <f t="shared" si="4"/>
        <v>0</v>
      </c>
      <c r="G53" s="86"/>
      <c r="H53" s="87"/>
      <c r="I53" s="87"/>
      <c r="J53" s="87"/>
      <c r="K53" s="96">
        <v>0</v>
      </c>
      <c r="L53" s="96">
        <v>0</v>
      </c>
      <c r="M53" s="96">
        <v>0</v>
      </c>
      <c r="P53" s="96">
        <v>0</v>
      </c>
      <c r="Q53" s="96">
        <v>0</v>
      </c>
      <c r="R53" s="96">
        <v>0</v>
      </c>
    </row>
    <row r="54" spans="1:18" ht="15.6" thickBot="1">
      <c r="A54" s="62" t="s">
        <v>33</v>
      </c>
      <c r="B54" s="20">
        <v>2</v>
      </c>
      <c r="C54" s="20">
        <v>3</v>
      </c>
      <c r="D54" s="25">
        <v>0</v>
      </c>
      <c r="E54" s="25">
        <v>0</v>
      </c>
      <c r="F54" s="23">
        <f t="shared" si="4"/>
        <v>0</v>
      </c>
      <c r="G54" s="86"/>
      <c r="H54" s="87"/>
      <c r="I54" s="87"/>
      <c r="J54" s="87"/>
      <c r="K54" s="96">
        <v>0</v>
      </c>
      <c r="L54" s="96">
        <v>0</v>
      </c>
      <c r="M54" s="96">
        <v>0</v>
      </c>
      <c r="P54" s="96">
        <v>0</v>
      </c>
      <c r="Q54" s="96">
        <v>0</v>
      </c>
      <c r="R54" s="96">
        <v>0</v>
      </c>
    </row>
    <row r="55" spans="1:18">
      <c r="A55" s="62" t="s">
        <v>34</v>
      </c>
      <c r="B55" s="20">
        <v>1</v>
      </c>
      <c r="C55" s="20">
        <v>1</v>
      </c>
      <c r="D55" s="25">
        <v>0</v>
      </c>
      <c r="E55" s="25">
        <v>0</v>
      </c>
      <c r="F55" s="23">
        <f t="shared" si="4"/>
        <v>0</v>
      </c>
      <c r="G55" s="86"/>
      <c r="H55" s="87"/>
      <c r="I55" s="87"/>
      <c r="J55" s="87"/>
      <c r="K55" s="96">
        <v>0</v>
      </c>
      <c r="L55" s="96">
        <v>0</v>
      </c>
      <c r="M55" s="96">
        <v>0</v>
      </c>
      <c r="P55" s="96">
        <v>0</v>
      </c>
      <c r="Q55" s="96">
        <v>0</v>
      </c>
      <c r="R55" s="96">
        <v>0</v>
      </c>
    </row>
    <row r="56" spans="1:18" ht="15.6" thickBot="1">
      <c r="A56" s="54" t="s">
        <v>41</v>
      </c>
      <c r="B56" s="19"/>
      <c r="C56" s="19"/>
      <c r="D56" s="24"/>
      <c r="E56" s="24"/>
      <c r="F56" s="24"/>
      <c r="G56" s="86"/>
      <c r="H56" s="87"/>
      <c r="I56" s="87"/>
      <c r="J56" s="87"/>
      <c r="K56" s="90"/>
      <c r="L56" s="90"/>
      <c r="M56" s="90"/>
      <c r="P56" s="90"/>
      <c r="Q56" s="90"/>
      <c r="R56" s="90"/>
    </row>
    <row r="57" spans="1:18" ht="15.6" thickBot="1">
      <c r="A57" s="62" t="s">
        <v>42</v>
      </c>
      <c r="B57" s="20">
        <v>10</v>
      </c>
      <c r="C57" s="20">
        <v>10</v>
      </c>
      <c r="D57" s="25">
        <v>0</v>
      </c>
      <c r="E57" s="25">
        <v>0</v>
      </c>
      <c r="F57" s="23">
        <f t="shared" ref="F57:F63" si="5">ROUND(D57+E57,2)</f>
        <v>0</v>
      </c>
      <c r="G57" s="86"/>
      <c r="H57" s="87"/>
      <c r="I57" s="87"/>
      <c r="J57" s="87"/>
      <c r="K57" s="96">
        <v>0</v>
      </c>
      <c r="L57" s="96">
        <v>0</v>
      </c>
      <c r="M57" s="96">
        <v>0</v>
      </c>
      <c r="P57" s="96">
        <v>0</v>
      </c>
      <c r="Q57" s="96">
        <v>0</v>
      </c>
      <c r="R57" s="96">
        <v>0</v>
      </c>
    </row>
    <row r="58" spans="1:18" ht="15.6" thickBot="1">
      <c r="A58" s="62" t="s">
        <v>29</v>
      </c>
      <c r="B58" s="20">
        <v>214</v>
      </c>
      <c r="C58" s="20">
        <v>291</v>
      </c>
      <c r="D58" s="25">
        <v>0</v>
      </c>
      <c r="E58" s="25">
        <v>0</v>
      </c>
      <c r="F58" s="23">
        <f t="shared" si="5"/>
        <v>0</v>
      </c>
      <c r="G58" s="86"/>
      <c r="H58" s="87"/>
      <c r="I58" s="87"/>
      <c r="J58" s="87"/>
      <c r="K58" s="96">
        <v>0</v>
      </c>
      <c r="L58" s="96">
        <v>0</v>
      </c>
      <c r="M58" s="96">
        <v>0</v>
      </c>
      <c r="P58" s="96">
        <v>0</v>
      </c>
      <c r="Q58" s="96">
        <v>0</v>
      </c>
      <c r="R58" s="96">
        <v>0</v>
      </c>
    </row>
    <row r="59" spans="1:18" ht="15.6" thickBot="1">
      <c r="A59" s="62" t="s">
        <v>30</v>
      </c>
      <c r="B59" s="20">
        <v>113</v>
      </c>
      <c r="C59" s="20">
        <v>140</v>
      </c>
      <c r="D59" s="25">
        <v>0</v>
      </c>
      <c r="E59" s="25">
        <v>0</v>
      </c>
      <c r="F59" s="23">
        <f t="shared" si="5"/>
        <v>0</v>
      </c>
      <c r="G59" s="86"/>
      <c r="H59" s="87"/>
      <c r="I59" s="87"/>
      <c r="J59" s="87"/>
      <c r="K59" s="96">
        <v>0</v>
      </c>
      <c r="L59" s="96">
        <v>0</v>
      </c>
      <c r="M59" s="96">
        <v>0</v>
      </c>
      <c r="P59" s="96">
        <v>0</v>
      </c>
      <c r="Q59" s="96">
        <v>0</v>
      </c>
      <c r="R59" s="96">
        <v>0</v>
      </c>
    </row>
    <row r="60" spans="1:18" ht="15.6" thickBot="1">
      <c r="A60" s="62" t="s">
        <v>31</v>
      </c>
      <c r="B60" s="20">
        <v>40</v>
      </c>
      <c r="C60" s="20">
        <v>49</v>
      </c>
      <c r="D60" s="25">
        <v>0</v>
      </c>
      <c r="E60" s="25">
        <v>0</v>
      </c>
      <c r="F60" s="23">
        <f t="shared" si="5"/>
        <v>0</v>
      </c>
      <c r="G60" s="86"/>
      <c r="H60" s="87"/>
      <c r="I60" s="87"/>
      <c r="J60" s="87"/>
      <c r="K60" s="96">
        <v>0</v>
      </c>
      <c r="L60" s="96">
        <v>0</v>
      </c>
      <c r="M60" s="96">
        <v>0</v>
      </c>
      <c r="P60" s="96">
        <v>0</v>
      </c>
      <c r="Q60" s="96">
        <v>0</v>
      </c>
      <c r="R60" s="96">
        <v>0</v>
      </c>
    </row>
    <row r="61" spans="1:18" ht="15.6" thickBot="1">
      <c r="A61" s="62" t="s">
        <v>32</v>
      </c>
      <c r="B61" s="20">
        <v>8</v>
      </c>
      <c r="C61" s="20">
        <v>8</v>
      </c>
      <c r="D61" s="25">
        <v>0</v>
      </c>
      <c r="E61" s="25">
        <v>0</v>
      </c>
      <c r="F61" s="23">
        <f t="shared" si="5"/>
        <v>0</v>
      </c>
      <c r="G61" s="86"/>
      <c r="H61" s="87"/>
      <c r="I61" s="87"/>
      <c r="J61" s="87"/>
      <c r="K61" s="96">
        <v>0</v>
      </c>
      <c r="L61" s="96">
        <v>0</v>
      </c>
      <c r="M61" s="96">
        <v>0</v>
      </c>
      <c r="P61" s="96">
        <v>0</v>
      </c>
      <c r="Q61" s="96">
        <v>0</v>
      </c>
      <c r="R61" s="96">
        <v>0</v>
      </c>
    </row>
    <row r="62" spans="1:18" ht="15.6" thickBot="1">
      <c r="A62" s="62" t="s">
        <v>33</v>
      </c>
      <c r="B62" s="20">
        <v>3</v>
      </c>
      <c r="C62" s="20">
        <v>3</v>
      </c>
      <c r="D62" s="25">
        <v>0</v>
      </c>
      <c r="E62" s="25">
        <v>0</v>
      </c>
      <c r="F62" s="23">
        <f t="shared" si="5"/>
        <v>0</v>
      </c>
      <c r="G62" s="86"/>
      <c r="H62" s="87"/>
      <c r="I62" s="87"/>
      <c r="J62" s="87"/>
      <c r="K62" s="96">
        <v>0</v>
      </c>
      <c r="L62" s="96">
        <v>0</v>
      </c>
      <c r="M62" s="96">
        <v>0</v>
      </c>
      <c r="P62" s="96">
        <v>0</v>
      </c>
      <c r="Q62" s="96">
        <v>0</v>
      </c>
      <c r="R62" s="96">
        <v>0</v>
      </c>
    </row>
    <row r="63" spans="1:18">
      <c r="A63" s="62" t="s">
        <v>34</v>
      </c>
      <c r="B63" s="20">
        <v>3</v>
      </c>
      <c r="C63" s="20">
        <v>3</v>
      </c>
      <c r="D63" s="25">
        <v>0</v>
      </c>
      <c r="E63" s="25">
        <v>0</v>
      </c>
      <c r="F63" s="23">
        <f t="shared" si="5"/>
        <v>0</v>
      </c>
      <c r="G63" s="86"/>
      <c r="H63" s="87"/>
      <c r="I63" s="87"/>
      <c r="J63" s="87"/>
      <c r="K63" s="96">
        <v>0</v>
      </c>
      <c r="L63" s="96">
        <v>0</v>
      </c>
      <c r="M63" s="96">
        <v>0</v>
      </c>
      <c r="P63" s="96">
        <v>0</v>
      </c>
      <c r="Q63" s="96">
        <v>0</v>
      </c>
      <c r="R63" s="96">
        <v>0</v>
      </c>
    </row>
    <row r="64" spans="1:18" ht="15.6" thickBot="1">
      <c r="A64" s="54" t="s">
        <v>43</v>
      </c>
      <c r="B64" s="19"/>
      <c r="C64" s="19"/>
      <c r="D64" s="24"/>
      <c r="E64" s="24"/>
      <c r="F64" s="24"/>
      <c r="G64" s="86"/>
      <c r="H64" s="87"/>
      <c r="I64" s="87"/>
      <c r="J64" s="87"/>
      <c r="K64" s="90"/>
      <c r="L64" s="90"/>
      <c r="M64" s="90"/>
      <c r="P64" s="90"/>
      <c r="Q64" s="90"/>
      <c r="R64" s="90"/>
    </row>
    <row r="65" spans="1:18" ht="15.6" thickBot="1">
      <c r="A65" s="62" t="s">
        <v>44</v>
      </c>
      <c r="B65" s="20">
        <v>5</v>
      </c>
      <c r="C65" s="20">
        <v>5</v>
      </c>
      <c r="D65" s="25">
        <v>0</v>
      </c>
      <c r="E65" s="25">
        <v>0</v>
      </c>
      <c r="F65" s="23">
        <f t="shared" ref="F65:F71" si="6">ROUND(D65+E65,2)</f>
        <v>0</v>
      </c>
      <c r="G65" s="86"/>
      <c r="H65" s="87"/>
      <c r="I65" s="87"/>
      <c r="J65" s="87"/>
      <c r="K65" s="96">
        <v>0</v>
      </c>
      <c r="L65" s="96">
        <v>0</v>
      </c>
      <c r="M65" s="96">
        <v>0</v>
      </c>
      <c r="P65" s="96">
        <v>0</v>
      </c>
      <c r="Q65" s="96">
        <v>0</v>
      </c>
      <c r="R65" s="96">
        <v>0</v>
      </c>
    </row>
    <row r="66" spans="1:18" ht="15.6" thickBot="1">
      <c r="A66" s="62" t="s">
        <v>29</v>
      </c>
      <c r="B66" s="20">
        <v>168</v>
      </c>
      <c r="C66" s="20">
        <v>188</v>
      </c>
      <c r="D66" s="25">
        <v>0</v>
      </c>
      <c r="E66" s="25">
        <v>0</v>
      </c>
      <c r="F66" s="23">
        <f t="shared" si="6"/>
        <v>0</v>
      </c>
      <c r="G66" s="86"/>
      <c r="H66" s="87"/>
      <c r="I66" s="87"/>
      <c r="J66" s="87"/>
      <c r="K66" s="96">
        <v>0</v>
      </c>
      <c r="L66" s="96">
        <v>0</v>
      </c>
      <c r="M66" s="96">
        <v>0</v>
      </c>
      <c r="P66" s="96">
        <v>0</v>
      </c>
      <c r="Q66" s="96">
        <v>0</v>
      </c>
      <c r="R66" s="96">
        <v>0</v>
      </c>
    </row>
    <row r="67" spans="1:18" ht="15.6" thickBot="1">
      <c r="A67" s="62" t="s">
        <v>30</v>
      </c>
      <c r="B67" s="20">
        <v>78</v>
      </c>
      <c r="C67" s="20">
        <v>106</v>
      </c>
      <c r="D67" s="25">
        <v>0</v>
      </c>
      <c r="E67" s="25">
        <v>0</v>
      </c>
      <c r="F67" s="23">
        <f t="shared" si="6"/>
        <v>0</v>
      </c>
      <c r="G67" s="86"/>
      <c r="H67" s="87"/>
      <c r="I67" s="87"/>
      <c r="J67" s="87"/>
      <c r="K67" s="96">
        <v>0</v>
      </c>
      <c r="L67" s="96">
        <v>0</v>
      </c>
      <c r="M67" s="96">
        <v>0</v>
      </c>
      <c r="P67" s="96">
        <v>0</v>
      </c>
      <c r="Q67" s="96">
        <v>0</v>
      </c>
      <c r="R67" s="96">
        <v>0</v>
      </c>
    </row>
    <row r="68" spans="1:18" ht="15.6" thickBot="1">
      <c r="A68" s="62" t="s">
        <v>31</v>
      </c>
      <c r="B68" s="20">
        <v>25</v>
      </c>
      <c r="C68" s="20">
        <v>29</v>
      </c>
      <c r="D68" s="25">
        <v>0</v>
      </c>
      <c r="E68" s="25">
        <v>0</v>
      </c>
      <c r="F68" s="23">
        <f t="shared" si="6"/>
        <v>0</v>
      </c>
      <c r="G68" s="86"/>
      <c r="H68" s="87"/>
      <c r="I68" s="87"/>
      <c r="J68" s="87"/>
      <c r="K68" s="96">
        <v>0</v>
      </c>
      <c r="L68" s="96">
        <v>0</v>
      </c>
      <c r="M68" s="96">
        <v>0</v>
      </c>
      <c r="P68" s="96">
        <v>0</v>
      </c>
      <c r="Q68" s="96">
        <v>0</v>
      </c>
      <c r="R68" s="96">
        <v>0</v>
      </c>
    </row>
    <row r="69" spans="1:18" ht="15.6" thickBot="1">
      <c r="A69" s="62" t="s">
        <v>32</v>
      </c>
      <c r="B69" s="20">
        <v>3</v>
      </c>
      <c r="C69" s="20">
        <v>4</v>
      </c>
      <c r="D69" s="25">
        <v>0</v>
      </c>
      <c r="E69" s="25">
        <v>0</v>
      </c>
      <c r="F69" s="23">
        <f t="shared" si="6"/>
        <v>0</v>
      </c>
      <c r="G69" s="86"/>
      <c r="H69" s="87"/>
      <c r="I69" s="87"/>
      <c r="J69" s="87"/>
      <c r="K69" s="96">
        <v>0</v>
      </c>
      <c r="L69" s="96">
        <v>0</v>
      </c>
      <c r="M69" s="96">
        <v>0</v>
      </c>
      <c r="P69" s="96">
        <v>0</v>
      </c>
      <c r="Q69" s="96">
        <v>0</v>
      </c>
      <c r="R69" s="96">
        <v>0</v>
      </c>
    </row>
    <row r="70" spans="1:18" ht="15.6" thickBot="1">
      <c r="A70" s="62" t="s">
        <v>33</v>
      </c>
      <c r="B70" s="20">
        <v>1</v>
      </c>
      <c r="C70" s="20">
        <v>1</v>
      </c>
      <c r="D70" s="25">
        <v>0</v>
      </c>
      <c r="E70" s="25">
        <v>0</v>
      </c>
      <c r="F70" s="23">
        <f t="shared" si="6"/>
        <v>0</v>
      </c>
      <c r="G70" s="86"/>
      <c r="H70" s="87"/>
      <c r="I70" s="87"/>
      <c r="J70" s="87"/>
      <c r="K70" s="96">
        <v>0</v>
      </c>
      <c r="L70" s="96">
        <v>0</v>
      </c>
      <c r="M70" s="96">
        <v>0</v>
      </c>
      <c r="P70" s="96">
        <v>0</v>
      </c>
      <c r="Q70" s="96">
        <v>0</v>
      </c>
      <c r="R70" s="96">
        <v>0</v>
      </c>
    </row>
    <row r="71" spans="1:18">
      <c r="A71" s="62" t="s">
        <v>34</v>
      </c>
      <c r="B71" s="20">
        <v>1</v>
      </c>
      <c r="C71" s="20">
        <v>1</v>
      </c>
      <c r="D71" s="25">
        <v>0</v>
      </c>
      <c r="E71" s="25">
        <v>0</v>
      </c>
      <c r="F71" s="23">
        <f t="shared" si="6"/>
        <v>0</v>
      </c>
      <c r="G71" s="86"/>
      <c r="H71" s="87"/>
      <c r="I71" s="87"/>
      <c r="J71" s="87"/>
      <c r="K71" s="96">
        <v>0</v>
      </c>
      <c r="L71" s="96">
        <v>0</v>
      </c>
      <c r="M71" s="96">
        <v>0</v>
      </c>
      <c r="P71" s="96">
        <v>0</v>
      </c>
      <c r="Q71" s="96">
        <v>0</v>
      </c>
      <c r="R71" s="96">
        <v>0</v>
      </c>
    </row>
    <row r="72" spans="1:18" ht="15.6" thickBot="1">
      <c r="A72" s="54" t="s">
        <v>45</v>
      </c>
      <c r="B72" s="19"/>
      <c r="C72" s="19"/>
      <c r="D72" s="24"/>
      <c r="E72" s="24"/>
      <c r="F72" s="24"/>
      <c r="G72" s="86"/>
      <c r="H72" s="87"/>
      <c r="I72" s="87"/>
      <c r="J72" s="87"/>
      <c r="K72" s="90"/>
      <c r="L72" s="90"/>
      <c r="M72" s="90"/>
      <c r="P72" s="90"/>
      <c r="Q72" s="90"/>
      <c r="R72" s="90"/>
    </row>
    <row r="73" spans="1:18" ht="15.6" thickBot="1">
      <c r="A73" s="62" t="s">
        <v>46</v>
      </c>
      <c r="B73" s="20">
        <v>7</v>
      </c>
      <c r="C73" s="20">
        <v>7</v>
      </c>
      <c r="D73" s="25">
        <v>0</v>
      </c>
      <c r="E73" s="25">
        <v>0</v>
      </c>
      <c r="F73" s="23">
        <f t="shared" ref="F73:F79" si="7">ROUND(D73+E73,2)</f>
        <v>0</v>
      </c>
      <c r="G73" s="86"/>
      <c r="H73" s="87"/>
      <c r="I73" s="87"/>
      <c r="J73" s="87"/>
      <c r="K73" s="96">
        <v>0</v>
      </c>
      <c r="L73" s="96">
        <v>0</v>
      </c>
      <c r="M73" s="96">
        <v>0</v>
      </c>
      <c r="P73" s="96">
        <v>0</v>
      </c>
      <c r="Q73" s="96">
        <v>0</v>
      </c>
      <c r="R73" s="96">
        <v>0</v>
      </c>
    </row>
    <row r="74" spans="1:18" ht="15.6" thickBot="1">
      <c r="A74" s="62" t="s">
        <v>29</v>
      </c>
      <c r="B74" s="20">
        <v>85</v>
      </c>
      <c r="C74" s="20">
        <v>97</v>
      </c>
      <c r="D74" s="25">
        <v>0</v>
      </c>
      <c r="E74" s="25">
        <v>0</v>
      </c>
      <c r="F74" s="23">
        <f t="shared" si="7"/>
        <v>0</v>
      </c>
      <c r="G74" s="86"/>
      <c r="H74" s="87"/>
      <c r="I74" s="87"/>
      <c r="J74" s="87"/>
      <c r="K74" s="96">
        <v>0</v>
      </c>
      <c r="L74" s="96">
        <v>0</v>
      </c>
      <c r="M74" s="96">
        <v>0</v>
      </c>
      <c r="P74" s="96">
        <v>0</v>
      </c>
      <c r="Q74" s="96">
        <v>0</v>
      </c>
      <c r="R74" s="96">
        <v>0</v>
      </c>
    </row>
    <row r="75" spans="1:18" ht="15.6" thickBot="1">
      <c r="A75" s="62" t="s">
        <v>30</v>
      </c>
      <c r="B75" s="20">
        <v>63</v>
      </c>
      <c r="C75" s="20">
        <v>69</v>
      </c>
      <c r="D75" s="25">
        <v>0</v>
      </c>
      <c r="E75" s="25">
        <v>0</v>
      </c>
      <c r="F75" s="23">
        <f t="shared" si="7"/>
        <v>0</v>
      </c>
      <c r="G75" s="86"/>
      <c r="H75" s="87"/>
      <c r="I75" s="87"/>
      <c r="J75" s="87"/>
      <c r="K75" s="96">
        <v>0</v>
      </c>
      <c r="L75" s="96">
        <v>0</v>
      </c>
      <c r="M75" s="96">
        <v>0</v>
      </c>
      <c r="P75" s="96">
        <v>0</v>
      </c>
      <c r="Q75" s="96">
        <v>0</v>
      </c>
      <c r="R75" s="96">
        <v>0</v>
      </c>
    </row>
    <row r="76" spans="1:18" ht="15.6" thickBot="1">
      <c r="A76" s="62" t="s">
        <v>31</v>
      </c>
      <c r="B76" s="20">
        <v>28</v>
      </c>
      <c r="C76" s="20">
        <v>29</v>
      </c>
      <c r="D76" s="25">
        <v>0</v>
      </c>
      <c r="E76" s="25">
        <v>0</v>
      </c>
      <c r="F76" s="23">
        <f t="shared" si="7"/>
        <v>0</v>
      </c>
      <c r="G76" s="86"/>
      <c r="H76" s="87"/>
      <c r="I76" s="87"/>
      <c r="J76" s="87"/>
      <c r="K76" s="96">
        <v>0</v>
      </c>
      <c r="L76" s="96">
        <v>0</v>
      </c>
      <c r="M76" s="96">
        <v>0</v>
      </c>
      <c r="P76" s="96">
        <v>0</v>
      </c>
      <c r="Q76" s="96">
        <v>0</v>
      </c>
      <c r="R76" s="96">
        <v>0</v>
      </c>
    </row>
    <row r="77" spans="1:18" ht="15.6" thickBot="1">
      <c r="A77" s="62" t="s">
        <v>32</v>
      </c>
      <c r="B77" s="20">
        <v>4</v>
      </c>
      <c r="C77" s="20">
        <v>4</v>
      </c>
      <c r="D77" s="25">
        <v>0</v>
      </c>
      <c r="E77" s="25">
        <v>0</v>
      </c>
      <c r="F77" s="23">
        <f t="shared" si="7"/>
        <v>0</v>
      </c>
      <c r="G77" s="86"/>
      <c r="H77" s="87"/>
      <c r="I77" s="87"/>
      <c r="J77" s="87"/>
      <c r="K77" s="96">
        <v>0</v>
      </c>
      <c r="L77" s="96">
        <v>0</v>
      </c>
      <c r="M77" s="96">
        <v>0</v>
      </c>
      <c r="P77" s="96">
        <v>0</v>
      </c>
      <c r="Q77" s="96">
        <v>0</v>
      </c>
      <c r="R77" s="96">
        <v>0</v>
      </c>
    </row>
    <row r="78" spans="1:18" ht="15.6" thickBot="1">
      <c r="A78" s="62" t="s">
        <v>33</v>
      </c>
      <c r="B78" s="20">
        <v>6</v>
      </c>
      <c r="C78" s="20">
        <v>6</v>
      </c>
      <c r="D78" s="25">
        <v>0</v>
      </c>
      <c r="E78" s="25">
        <v>0</v>
      </c>
      <c r="F78" s="23">
        <f t="shared" si="7"/>
        <v>0</v>
      </c>
      <c r="G78" s="86"/>
      <c r="H78" s="87"/>
      <c r="I78" s="87"/>
      <c r="J78" s="87"/>
      <c r="K78" s="96">
        <v>0</v>
      </c>
      <c r="L78" s="96">
        <v>0</v>
      </c>
      <c r="M78" s="96">
        <v>0</v>
      </c>
      <c r="P78" s="96">
        <v>0</v>
      </c>
      <c r="Q78" s="96">
        <v>0</v>
      </c>
      <c r="R78" s="96">
        <v>0</v>
      </c>
    </row>
    <row r="79" spans="1:18">
      <c r="A79" s="62" t="s">
        <v>34</v>
      </c>
      <c r="B79" s="20">
        <v>1</v>
      </c>
      <c r="C79" s="20">
        <v>1</v>
      </c>
      <c r="D79" s="25">
        <v>0</v>
      </c>
      <c r="E79" s="25">
        <v>0</v>
      </c>
      <c r="F79" s="23">
        <f t="shared" si="7"/>
        <v>0</v>
      </c>
      <c r="G79" s="86"/>
      <c r="H79" s="87"/>
      <c r="I79" s="87"/>
      <c r="J79" s="87"/>
      <c r="K79" s="96">
        <v>0</v>
      </c>
      <c r="L79" s="96">
        <v>0</v>
      </c>
      <c r="M79" s="96">
        <v>0</v>
      </c>
      <c r="P79" s="96">
        <v>0</v>
      </c>
      <c r="Q79" s="96">
        <v>0</v>
      </c>
      <c r="R79" s="96">
        <v>0</v>
      </c>
    </row>
    <row r="80" spans="1:18" ht="15.6" thickBot="1">
      <c r="A80" s="54" t="s">
        <v>47</v>
      </c>
      <c r="B80" s="19"/>
      <c r="C80" s="19"/>
      <c r="D80" s="24"/>
      <c r="E80" s="24"/>
      <c r="F80" s="24"/>
      <c r="G80" s="86"/>
      <c r="H80" s="87"/>
      <c r="I80" s="87"/>
      <c r="J80" s="87"/>
      <c r="K80" s="90"/>
      <c r="L80" s="90"/>
      <c r="M80" s="90"/>
      <c r="P80" s="90"/>
      <c r="Q80" s="90"/>
      <c r="R80" s="90"/>
    </row>
    <row r="81" spans="1:18" ht="15.6" thickBot="1">
      <c r="A81" s="62" t="s">
        <v>48</v>
      </c>
      <c r="B81" s="20">
        <v>1</v>
      </c>
      <c r="C81" s="20">
        <v>1</v>
      </c>
      <c r="D81" s="25">
        <v>0</v>
      </c>
      <c r="E81" s="25">
        <v>0</v>
      </c>
      <c r="F81" s="23">
        <f t="shared" ref="F81:F107" si="8">ROUND(D81+E81,2)</f>
        <v>0</v>
      </c>
      <c r="G81" s="86"/>
      <c r="H81" s="87"/>
      <c r="I81" s="87"/>
      <c r="J81" s="87"/>
      <c r="K81" s="96">
        <v>0</v>
      </c>
      <c r="L81" s="96">
        <v>0</v>
      </c>
      <c r="M81" s="96">
        <v>0</v>
      </c>
      <c r="P81" s="96">
        <v>0</v>
      </c>
      <c r="Q81" s="96">
        <v>0</v>
      </c>
      <c r="R81" s="96">
        <v>0</v>
      </c>
    </row>
    <row r="82" spans="1:18" ht="15.6" thickBot="1">
      <c r="A82" s="62" t="s">
        <v>49</v>
      </c>
      <c r="B82" s="20">
        <v>1</v>
      </c>
      <c r="C82" s="20">
        <v>1</v>
      </c>
      <c r="D82" s="25">
        <v>0</v>
      </c>
      <c r="E82" s="25">
        <v>0</v>
      </c>
      <c r="F82" s="23">
        <f t="shared" si="8"/>
        <v>0</v>
      </c>
      <c r="G82" s="86"/>
      <c r="H82" s="87"/>
      <c r="I82" s="87"/>
      <c r="J82" s="87"/>
      <c r="K82" s="96">
        <v>0</v>
      </c>
      <c r="L82" s="96">
        <v>0</v>
      </c>
      <c r="M82" s="96">
        <v>0</v>
      </c>
      <c r="P82" s="96">
        <v>0</v>
      </c>
      <c r="Q82" s="96">
        <v>0</v>
      </c>
      <c r="R82" s="96">
        <v>0</v>
      </c>
    </row>
    <row r="83" spans="1:18" ht="15.6" thickBot="1">
      <c r="A83" s="62" t="s">
        <v>38</v>
      </c>
      <c r="B83" s="20">
        <v>1</v>
      </c>
      <c r="C83" s="20">
        <v>1</v>
      </c>
      <c r="D83" s="25">
        <v>0</v>
      </c>
      <c r="E83" s="25">
        <v>0</v>
      </c>
      <c r="F83" s="23">
        <f t="shared" si="8"/>
        <v>0</v>
      </c>
      <c r="G83" s="86"/>
      <c r="H83" s="87"/>
      <c r="I83" s="87"/>
      <c r="J83" s="87"/>
      <c r="K83" s="96">
        <v>0</v>
      </c>
      <c r="L83" s="96">
        <v>0</v>
      </c>
      <c r="M83" s="96">
        <v>0</v>
      </c>
      <c r="P83" s="96">
        <v>0</v>
      </c>
      <c r="Q83" s="96">
        <v>0</v>
      </c>
      <c r="R83" s="96">
        <v>0</v>
      </c>
    </row>
    <row r="84" spans="1:18" ht="15.6" thickBot="1">
      <c r="A84" s="63" t="s">
        <v>50</v>
      </c>
      <c r="B84" s="20">
        <v>2</v>
      </c>
      <c r="C84" s="20">
        <v>3</v>
      </c>
      <c r="D84" s="25">
        <v>0</v>
      </c>
      <c r="E84" s="25">
        <v>0</v>
      </c>
      <c r="F84" s="23">
        <f t="shared" si="8"/>
        <v>0</v>
      </c>
      <c r="G84" s="86"/>
      <c r="H84" s="87"/>
      <c r="I84" s="87"/>
      <c r="J84" s="87"/>
      <c r="K84" s="96">
        <v>0</v>
      </c>
      <c r="L84" s="96">
        <v>0</v>
      </c>
      <c r="M84" s="96">
        <v>0</v>
      </c>
      <c r="P84" s="96">
        <v>0</v>
      </c>
      <c r="Q84" s="96">
        <v>0</v>
      </c>
      <c r="R84" s="96">
        <v>0</v>
      </c>
    </row>
    <row r="85" spans="1:18" ht="15.6" thickBot="1">
      <c r="A85" s="63" t="s">
        <v>51</v>
      </c>
      <c r="B85" s="20">
        <v>4</v>
      </c>
      <c r="C85" s="20">
        <v>10</v>
      </c>
      <c r="D85" s="25">
        <v>0</v>
      </c>
      <c r="E85" s="25">
        <v>0</v>
      </c>
      <c r="F85" s="23">
        <f t="shared" si="8"/>
        <v>0</v>
      </c>
      <c r="G85" s="86"/>
      <c r="H85" s="87"/>
      <c r="I85" s="87"/>
      <c r="J85" s="87"/>
      <c r="K85" s="96">
        <v>0</v>
      </c>
      <c r="L85" s="96">
        <v>0</v>
      </c>
      <c r="M85" s="96">
        <v>0</v>
      </c>
      <c r="P85" s="96">
        <v>0</v>
      </c>
      <c r="Q85" s="96">
        <v>0</v>
      </c>
      <c r="R85" s="96">
        <v>0</v>
      </c>
    </row>
    <row r="86" spans="1:18" ht="15.6" thickBot="1">
      <c r="A86" s="63" t="s">
        <v>52</v>
      </c>
      <c r="B86" s="20">
        <v>11</v>
      </c>
      <c r="C86" s="20">
        <v>21</v>
      </c>
      <c r="D86" s="25">
        <v>0</v>
      </c>
      <c r="E86" s="25">
        <v>0</v>
      </c>
      <c r="F86" s="23">
        <f t="shared" si="8"/>
        <v>0</v>
      </c>
      <c r="G86" s="86"/>
      <c r="H86" s="87"/>
      <c r="I86" s="87"/>
      <c r="J86" s="87"/>
      <c r="K86" s="96">
        <v>0</v>
      </c>
      <c r="L86" s="96">
        <v>0</v>
      </c>
      <c r="M86" s="96">
        <v>0</v>
      </c>
      <c r="P86" s="96">
        <v>0</v>
      </c>
      <c r="Q86" s="96">
        <v>0</v>
      </c>
      <c r="R86" s="96">
        <v>0</v>
      </c>
    </row>
    <row r="87" spans="1:18" ht="15.6" thickBot="1">
      <c r="A87" s="63" t="s">
        <v>53</v>
      </c>
      <c r="B87" s="20">
        <v>2</v>
      </c>
      <c r="C87" s="20">
        <v>3</v>
      </c>
      <c r="D87" s="25">
        <v>0</v>
      </c>
      <c r="E87" s="25">
        <v>0</v>
      </c>
      <c r="F87" s="23">
        <f t="shared" si="8"/>
        <v>0</v>
      </c>
      <c r="G87" s="86"/>
      <c r="H87" s="87"/>
      <c r="I87" s="87"/>
      <c r="J87" s="87"/>
      <c r="K87" s="96">
        <v>0</v>
      </c>
      <c r="L87" s="96">
        <v>0</v>
      </c>
      <c r="M87" s="96">
        <v>0</v>
      </c>
      <c r="P87" s="96">
        <v>0</v>
      </c>
      <c r="Q87" s="96">
        <v>0</v>
      </c>
      <c r="R87" s="96">
        <v>0</v>
      </c>
    </row>
    <row r="88" spans="1:18" ht="15.6" thickBot="1">
      <c r="A88" s="63" t="s">
        <v>54</v>
      </c>
      <c r="B88" s="20">
        <v>1</v>
      </c>
      <c r="C88" s="20">
        <v>1</v>
      </c>
      <c r="D88" s="25">
        <v>0</v>
      </c>
      <c r="E88" s="25">
        <v>0</v>
      </c>
      <c r="F88" s="23">
        <f t="shared" si="8"/>
        <v>0</v>
      </c>
      <c r="G88" s="86"/>
      <c r="H88" s="87"/>
      <c r="I88" s="87"/>
      <c r="J88" s="87"/>
      <c r="K88" s="96">
        <v>0</v>
      </c>
      <c r="L88" s="96">
        <v>0</v>
      </c>
      <c r="M88" s="96">
        <v>0</v>
      </c>
      <c r="P88" s="96">
        <v>0</v>
      </c>
      <c r="Q88" s="96">
        <v>0</v>
      </c>
      <c r="R88" s="96">
        <v>0</v>
      </c>
    </row>
    <row r="89" spans="1:18" ht="15.6" thickBot="1">
      <c r="A89" s="63" t="s">
        <v>55</v>
      </c>
      <c r="B89" s="20">
        <v>1</v>
      </c>
      <c r="C89" s="20">
        <v>2</v>
      </c>
      <c r="D89" s="25">
        <v>0</v>
      </c>
      <c r="E89" s="25">
        <v>0</v>
      </c>
      <c r="F89" s="23">
        <f t="shared" si="8"/>
        <v>0</v>
      </c>
      <c r="G89" s="86"/>
      <c r="H89" s="87"/>
      <c r="I89" s="87"/>
      <c r="J89" s="87"/>
      <c r="K89" s="96">
        <v>0</v>
      </c>
      <c r="L89" s="96">
        <v>0</v>
      </c>
      <c r="M89" s="96">
        <v>0</v>
      </c>
      <c r="P89" s="96">
        <v>0</v>
      </c>
      <c r="Q89" s="96">
        <v>0</v>
      </c>
      <c r="R89" s="96">
        <v>0</v>
      </c>
    </row>
    <row r="90" spans="1:18" ht="15.6" thickBot="1">
      <c r="A90" s="63" t="s">
        <v>56</v>
      </c>
      <c r="B90" s="20">
        <v>6</v>
      </c>
      <c r="C90" s="20">
        <v>7</v>
      </c>
      <c r="D90" s="25">
        <v>0</v>
      </c>
      <c r="E90" s="25">
        <v>0</v>
      </c>
      <c r="F90" s="23">
        <f t="shared" si="8"/>
        <v>0</v>
      </c>
      <c r="G90" s="86"/>
      <c r="H90" s="87"/>
      <c r="I90" s="87"/>
      <c r="J90" s="87"/>
      <c r="K90" s="96">
        <v>0</v>
      </c>
      <c r="L90" s="96">
        <v>0</v>
      </c>
      <c r="M90" s="96">
        <v>0</v>
      </c>
      <c r="P90" s="96">
        <v>0</v>
      </c>
      <c r="Q90" s="96">
        <v>0</v>
      </c>
      <c r="R90" s="96">
        <v>0</v>
      </c>
    </row>
    <row r="91" spans="1:18" ht="15.6" thickBot="1">
      <c r="A91" s="63" t="s">
        <v>57</v>
      </c>
      <c r="B91" s="20">
        <v>3</v>
      </c>
      <c r="C91" s="20">
        <v>5</v>
      </c>
      <c r="D91" s="25">
        <v>0</v>
      </c>
      <c r="E91" s="25">
        <v>0</v>
      </c>
      <c r="F91" s="23">
        <f t="shared" si="8"/>
        <v>0</v>
      </c>
      <c r="G91" s="86"/>
      <c r="H91" s="87"/>
      <c r="I91" s="87"/>
      <c r="J91" s="87"/>
      <c r="K91" s="96">
        <v>0</v>
      </c>
      <c r="L91" s="96">
        <v>0</v>
      </c>
      <c r="M91" s="96">
        <v>0</v>
      </c>
      <c r="P91" s="96">
        <v>0</v>
      </c>
      <c r="Q91" s="96">
        <v>0</v>
      </c>
      <c r="R91" s="96">
        <v>0</v>
      </c>
    </row>
    <row r="92" spans="1:18" ht="15.6" thickBot="1">
      <c r="A92" s="62" t="s">
        <v>42</v>
      </c>
      <c r="B92" s="20">
        <v>1</v>
      </c>
      <c r="C92" s="20">
        <v>4</v>
      </c>
      <c r="D92" s="25">
        <v>0</v>
      </c>
      <c r="E92" s="25">
        <v>0</v>
      </c>
      <c r="F92" s="23">
        <f t="shared" si="8"/>
        <v>0</v>
      </c>
      <c r="G92" s="86"/>
      <c r="H92" s="87"/>
      <c r="I92" s="87"/>
      <c r="J92" s="87"/>
      <c r="K92" s="96">
        <v>0</v>
      </c>
      <c r="L92" s="96">
        <v>0</v>
      </c>
      <c r="M92" s="96">
        <v>0</v>
      </c>
      <c r="P92" s="96">
        <v>0</v>
      </c>
      <c r="Q92" s="96">
        <v>0</v>
      </c>
      <c r="R92" s="96">
        <v>0</v>
      </c>
    </row>
    <row r="93" spans="1:18" ht="15.6" thickBot="1">
      <c r="A93" s="63" t="s">
        <v>58</v>
      </c>
      <c r="B93" s="20">
        <v>4</v>
      </c>
      <c r="C93" s="20">
        <v>6</v>
      </c>
      <c r="D93" s="25">
        <v>0</v>
      </c>
      <c r="E93" s="25">
        <v>0</v>
      </c>
      <c r="F93" s="23">
        <f t="shared" si="8"/>
        <v>0</v>
      </c>
      <c r="G93" s="86"/>
      <c r="H93" s="87"/>
      <c r="I93" s="87"/>
      <c r="J93" s="87"/>
      <c r="K93" s="96">
        <v>0</v>
      </c>
      <c r="L93" s="96">
        <v>0</v>
      </c>
      <c r="M93" s="96">
        <v>0</v>
      </c>
      <c r="P93" s="96">
        <v>0</v>
      </c>
      <c r="Q93" s="96">
        <v>0</v>
      </c>
      <c r="R93" s="96">
        <v>0</v>
      </c>
    </row>
    <row r="94" spans="1:18" ht="15.6" thickBot="1">
      <c r="A94" s="63" t="s">
        <v>59</v>
      </c>
      <c r="B94" s="20">
        <v>3</v>
      </c>
      <c r="C94" s="20">
        <v>3</v>
      </c>
      <c r="D94" s="25">
        <v>0</v>
      </c>
      <c r="E94" s="25">
        <v>0</v>
      </c>
      <c r="F94" s="23">
        <f t="shared" si="8"/>
        <v>0</v>
      </c>
      <c r="G94" s="86"/>
      <c r="H94" s="87"/>
      <c r="I94" s="87"/>
      <c r="J94" s="87"/>
      <c r="K94" s="96">
        <v>0</v>
      </c>
      <c r="L94" s="96">
        <v>0</v>
      </c>
      <c r="M94" s="96">
        <v>0</v>
      </c>
      <c r="P94" s="96">
        <v>0</v>
      </c>
      <c r="Q94" s="96">
        <v>0</v>
      </c>
      <c r="R94" s="96">
        <v>0</v>
      </c>
    </row>
    <row r="95" spans="1:18" ht="15.6" thickBot="1">
      <c r="A95" s="62" t="s">
        <v>44</v>
      </c>
      <c r="B95" s="20">
        <v>2</v>
      </c>
      <c r="C95" s="20">
        <v>2</v>
      </c>
      <c r="D95" s="25">
        <v>0</v>
      </c>
      <c r="E95" s="25">
        <v>0</v>
      </c>
      <c r="F95" s="23">
        <f t="shared" si="8"/>
        <v>0</v>
      </c>
      <c r="G95" s="86"/>
      <c r="H95" s="87"/>
      <c r="I95" s="87"/>
      <c r="J95" s="87"/>
      <c r="K95" s="96">
        <v>0</v>
      </c>
      <c r="L95" s="96">
        <v>0</v>
      </c>
      <c r="M95" s="96">
        <v>0</v>
      </c>
      <c r="P95" s="96">
        <v>0</v>
      </c>
      <c r="Q95" s="96">
        <v>0</v>
      </c>
      <c r="R95" s="96">
        <v>0</v>
      </c>
    </row>
    <row r="96" spans="1:18" ht="15.6" thickBot="1">
      <c r="A96" s="63" t="s">
        <v>60</v>
      </c>
      <c r="B96" s="20">
        <v>1</v>
      </c>
      <c r="C96" s="20">
        <v>1</v>
      </c>
      <c r="D96" s="25">
        <v>0</v>
      </c>
      <c r="E96" s="25">
        <v>0</v>
      </c>
      <c r="F96" s="23">
        <f t="shared" si="8"/>
        <v>0</v>
      </c>
      <c r="G96" s="86"/>
      <c r="H96" s="87"/>
      <c r="I96" s="87"/>
      <c r="J96" s="87"/>
      <c r="K96" s="96">
        <v>0</v>
      </c>
      <c r="L96" s="96">
        <v>0</v>
      </c>
      <c r="M96" s="96">
        <v>0</v>
      </c>
      <c r="P96" s="96">
        <v>0</v>
      </c>
      <c r="Q96" s="96">
        <v>0</v>
      </c>
      <c r="R96" s="96">
        <v>0</v>
      </c>
    </row>
    <row r="97" spans="1:18" ht="15.6" thickBot="1">
      <c r="A97" s="63" t="s">
        <v>61</v>
      </c>
      <c r="B97" s="20">
        <v>5</v>
      </c>
      <c r="C97" s="20">
        <v>5</v>
      </c>
      <c r="D97" s="25">
        <v>0</v>
      </c>
      <c r="E97" s="25">
        <v>0</v>
      </c>
      <c r="F97" s="23">
        <f t="shared" si="8"/>
        <v>0</v>
      </c>
      <c r="G97" s="86"/>
      <c r="H97" s="87"/>
      <c r="I97" s="87"/>
      <c r="J97" s="87"/>
      <c r="K97" s="96">
        <v>0</v>
      </c>
      <c r="L97" s="96">
        <v>0</v>
      </c>
      <c r="M97" s="96">
        <v>0</v>
      </c>
      <c r="P97" s="96">
        <v>0</v>
      </c>
      <c r="Q97" s="96">
        <v>0</v>
      </c>
      <c r="R97" s="96">
        <v>0</v>
      </c>
    </row>
    <row r="98" spans="1:18" ht="15.6" thickBot="1">
      <c r="A98" s="63" t="s">
        <v>62</v>
      </c>
      <c r="B98" s="20">
        <v>4</v>
      </c>
      <c r="C98" s="20">
        <v>4</v>
      </c>
      <c r="D98" s="25">
        <v>0</v>
      </c>
      <c r="E98" s="25">
        <v>0</v>
      </c>
      <c r="F98" s="23">
        <f t="shared" si="8"/>
        <v>0</v>
      </c>
      <c r="G98" s="86"/>
      <c r="H98" s="87"/>
      <c r="I98" s="87"/>
      <c r="J98" s="87"/>
      <c r="K98" s="96">
        <v>0</v>
      </c>
      <c r="L98" s="96">
        <v>0</v>
      </c>
      <c r="M98" s="96">
        <v>0</v>
      </c>
      <c r="P98" s="96">
        <v>0</v>
      </c>
      <c r="Q98" s="96">
        <v>0</v>
      </c>
      <c r="R98" s="96">
        <v>0</v>
      </c>
    </row>
    <row r="99" spans="1:18" ht="16.2" thickBot="1">
      <c r="A99" s="104" t="s">
        <v>266</v>
      </c>
      <c r="B99" s="37"/>
      <c r="C99" s="37"/>
      <c r="D99" s="24"/>
      <c r="E99" s="24"/>
      <c r="F99" s="126">
        <f>12*SUMPRODUCT($C$11:$C$20*F11:F20)+12*SUMPRODUCT($C$22:$C$23*F22:F23)+12*SUMPRODUCT($C$25:$C$98*F25:F98)</f>
        <v>0</v>
      </c>
      <c r="G99" s="120" t="s">
        <v>190</v>
      </c>
      <c r="H99" s="87"/>
      <c r="I99" s="87"/>
      <c r="J99" s="87"/>
      <c r="K99" s="127">
        <f t="shared" ref="K99" si="9">12*SUMPRODUCT($C$11:$C$20*K11:K20)+12*SUMPRODUCT($C$25:$C$98*K25:K98)</f>
        <v>0</v>
      </c>
      <c r="L99" s="127">
        <f t="shared" ref="L99:M99" si="10">12*SUMPRODUCT($C$11:$C$20*L11:L20)+12*SUMPRODUCT($C$25:$C$98*L25:L98)</f>
        <v>0</v>
      </c>
      <c r="M99" s="127">
        <f t="shared" si="10"/>
        <v>0</v>
      </c>
      <c r="P99" s="127">
        <f>12*SUMPRODUCT($C$11:$C$20*P11:P20)+12*SUMPRODUCT($C$25:$C$98*P25:P98)</f>
        <v>0</v>
      </c>
      <c r="Q99" s="127">
        <f>12*SUMPRODUCT($C$11:$C$20*Q11:Q20)+12*SUMPRODUCT($C$25:$C$98*Q25:Q98)</f>
        <v>0</v>
      </c>
      <c r="R99" s="127">
        <f>12*SUMPRODUCT($C$11:$C$20*R11:R20)+12*SUMPRODUCT($C$25:$C$98*R25:R98)</f>
        <v>0</v>
      </c>
    </row>
    <row r="100" spans="1:18" ht="15.6" thickBot="1">
      <c r="A100" s="125"/>
      <c r="B100" s="37"/>
      <c r="C100" s="37"/>
      <c r="D100" s="24"/>
      <c r="E100" s="24"/>
      <c r="F100" s="126"/>
      <c r="K100" s="257"/>
      <c r="L100" s="257"/>
      <c r="M100" s="257"/>
      <c r="P100" s="257"/>
      <c r="Q100" s="257"/>
      <c r="R100" s="257"/>
    </row>
    <row r="101" spans="1:18" ht="16.2" thickBot="1">
      <c r="A101" s="125"/>
      <c r="B101" s="37"/>
      <c r="C101" s="37"/>
      <c r="D101" s="24"/>
      <c r="E101" s="24"/>
      <c r="F101" s="126"/>
      <c r="H101" s="112" t="s">
        <v>176</v>
      </c>
      <c r="K101" s="258"/>
      <c r="L101" s="258"/>
      <c r="M101" s="258"/>
      <c r="P101" s="258"/>
      <c r="Q101" s="258"/>
      <c r="R101" s="258"/>
    </row>
    <row r="102" spans="1:18" ht="15.6">
      <c r="A102" s="125"/>
      <c r="B102" s="37"/>
      <c r="C102" s="37"/>
      <c r="D102" s="24"/>
      <c r="E102" s="24"/>
      <c r="F102" s="126"/>
      <c r="H102" s="113" t="s">
        <v>191</v>
      </c>
      <c r="K102" s="258"/>
      <c r="L102" s="258"/>
      <c r="M102" s="258"/>
      <c r="P102" s="258"/>
      <c r="Q102" s="258"/>
      <c r="R102" s="258"/>
    </row>
    <row r="103" spans="1:18" ht="16.2" thickBot="1">
      <c r="A103" s="55" t="s">
        <v>168</v>
      </c>
      <c r="B103" s="52" t="s">
        <v>22</v>
      </c>
      <c r="C103" s="53" t="s">
        <v>23</v>
      </c>
      <c r="D103" s="24"/>
      <c r="E103" s="24"/>
      <c r="F103" s="33" t="s">
        <v>201</v>
      </c>
      <c r="H103" s="114" t="s">
        <v>192</v>
      </c>
      <c r="K103" s="258"/>
      <c r="L103" s="258"/>
      <c r="M103" s="258"/>
      <c r="P103" s="258"/>
      <c r="Q103" s="258"/>
      <c r="R103" s="258"/>
    </row>
    <row r="104" spans="1:18" ht="15.6" thickBot="1">
      <c r="A104" s="64" t="s">
        <v>131</v>
      </c>
      <c r="B104" s="81">
        <v>1</v>
      </c>
      <c r="C104" s="81">
        <v>1</v>
      </c>
      <c r="D104" s="25">
        <v>0</v>
      </c>
      <c r="E104" s="25">
        <v>0</v>
      </c>
      <c r="F104" s="23">
        <f t="shared" si="8"/>
        <v>0</v>
      </c>
      <c r="H104" s="132"/>
      <c r="K104" s="258"/>
      <c r="L104" s="258"/>
      <c r="M104" s="258"/>
      <c r="P104" s="258"/>
      <c r="Q104" s="258"/>
      <c r="R104" s="258"/>
    </row>
    <row r="105" spans="1:18" ht="15.6" thickBot="1">
      <c r="A105" s="64" t="s">
        <v>144</v>
      </c>
      <c r="B105" s="81">
        <v>146</v>
      </c>
      <c r="C105" s="81">
        <v>252</v>
      </c>
      <c r="D105" s="25">
        <v>0</v>
      </c>
      <c r="E105" s="25">
        <v>0</v>
      </c>
      <c r="F105" s="23">
        <f t="shared" si="8"/>
        <v>0</v>
      </c>
      <c r="H105" s="117"/>
      <c r="K105" s="258"/>
      <c r="L105" s="258"/>
      <c r="M105" s="258"/>
      <c r="P105" s="258"/>
      <c r="Q105" s="258"/>
      <c r="R105" s="258"/>
    </row>
    <row r="106" spans="1:18" ht="15.6" thickBot="1">
      <c r="A106" s="64" t="s">
        <v>146</v>
      </c>
      <c r="B106" s="81">
        <v>1</v>
      </c>
      <c r="C106" s="81">
        <v>1</v>
      </c>
      <c r="D106" s="25">
        <v>0</v>
      </c>
      <c r="E106" s="25">
        <v>0</v>
      </c>
      <c r="F106" s="23">
        <f t="shared" si="8"/>
        <v>0</v>
      </c>
      <c r="H106" s="117"/>
      <c r="K106" s="258"/>
      <c r="L106" s="258"/>
      <c r="M106" s="258"/>
      <c r="P106" s="258"/>
      <c r="Q106" s="258"/>
      <c r="R106" s="258"/>
    </row>
    <row r="107" spans="1:18" ht="15.6" thickBot="1">
      <c r="A107" s="64" t="s">
        <v>145</v>
      </c>
      <c r="B107" s="81">
        <v>1</v>
      </c>
      <c r="C107" s="81">
        <v>1</v>
      </c>
      <c r="D107" s="25">
        <v>0</v>
      </c>
      <c r="E107" s="25">
        <v>0</v>
      </c>
      <c r="F107" s="23">
        <f t="shared" si="8"/>
        <v>0</v>
      </c>
      <c r="H107" s="117"/>
      <c r="K107" s="258"/>
      <c r="L107" s="258"/>
      <c r="M107" s="258"/>
      <c r="P107" s="258"/>
      <c r="Q107" s="258"/>
      <c r="R107" s="258"/>
    </row>
    <row r="108" spans="1:18" ht="15.6" thickBot="1">
      <c r="A108" s="64" t="s">
        <v>147</v>
      </c>
      <c r="B108" s="81">
        <v>1</v>
      </c>
      <c r="C108" s="81">
        <v>1</v>
      </c>
      <c r="D108" s="25">
        <v>0</v>
      </c>
      <c r="E108" s="25">
        <v>0</v>
      </c>
      <c r="F108" s="23">
        <f t="shared" ref="F108:F113" si="11">ROUND(D108+E108,2)</f>
        <v>0</v>
      </c>
      <c r="H108" s="117"/>
      <c r="K108" s="258"/>
      <c r="L108" s="258"/>
      <c r="M108" s="258"/>
      <c r="P108" s="258"/>
      <c r="Q108" s="258"/>
      <c r="R108" s="258"/>
    </row>
    <row r="109" spans="1:18" ht="15.6" thickBot="1">
      <c r="A109" s="64" t="s">
        <v>148</v>
      </c>
      <c r="B109" s="81">
        <v>1</v>
      </c>
      <c r="C109" s="81">
        <v>1</v>
      </c>
      <c r="D109" s="25">
        <v>0</v>
      </c>
      <c r="E109" s="25">
        <v>0</v>
      </c>
      <c r="F109" s="23">
        <f t="shared" si="11"/>
        <v>0</v>
      </c>
      <c r="H109" s="117"/>
      <c r="K109" s="258"/>
      <c r="L109" s="258"/>
      <c r="M109" s="258"/>
      <c r="P109" s="258"/>
      <c r="Q109" s="258"/>
      <c r="R109" s="258"/>
    </row>
    <row r="110" spans="1:18" ht="15.6" thickBot="1">
      <c r="A110" s="64" t="s">
        <v>149</v>
      </c>
      <c r="B110" s="81">
        <v>1</v>
      </c>
      <c r="C110" s="81">
        <v>1</v>
      </c>
      <c r="D110" s="25">
        <v>0</v>
      </c>
      <c r="E110" s="25">
        <v>0</v>
      </c>
      <c r="F110" s="23">
        <f t="shared" si="11"/>
        <v>0</v>
      </c>
      <c r="H110" s="117"/>
      <c r="K110" s="258"/>
      <c r="L110" s="258"/>
      <c r="M110" s="258"/>
      <c r="P110" s="258"/>
      <c r="Q110" s="258"/>
      <c r="R110" s="258"/>
    </row>
    <row r="111" spans="1:18">
      <c r="A111" s="64" t="s">
        <v>150</v>
      </c>
      <c r="B111" s="81">
        <v>1</v>
      </c>
      <c r="C111" s="81">
        <v>1</v>
      </c>
      <c r="D111" s="25">
        <v>0</v>
      </c>
      <c r="E111" s="25">
        <v>0</v>
      </c>
      <c r="F111" s="23">
        <f t="shared" si="11"/>
        <v>0</v>
      </c>
      <c r="H111" s="117"/>
      <c r="K111" s="258"/>
      <c r="L111" s="258"/>
      <c r="M111" s="258"/>
      <c r="P111" s="258"/>
      <c r="Q111" s="258"/>
      <c r="R111" s="258"/>
    </row>
    <row r="112" spans="1:18" ht="16.2" thickBot="1">
      <c r="A112" s="128"/>
      <c r="B112" s="129"/>
      <c r="C112" s="53" t="s">
        <v>203</v>
      </c>
      <c r="D112" s="129"/>
      <c r="E112" s="129"/>
      <c r="F112" s="33" t="s">
        <v>202</v>
      </c>
      <c r="H112" s="117"/>
      <c r="K112" s="258"/>
      <c r="L112" s="258"/>
      <c r="M112" s="258"/>
      <c r="P112" s="258"/>
      <c r="Q112" s="258"/>
      <c r="R112" s="258"/>
    </row>
    <row r="113" spans="1:18">
      <c r="A113" s="64" t="s">
        <v>153</v>
      </c>
      <c r="B113" s="81">
        <v>0</v>
      </c>
      <c r="C113" s="81">
        <v>1</v>
      </c>
      <c r="D113" s="25">
        <v>0</v>
      </c>
      <c r="E113" s="25">
        <v>0</v>
      </c>
      <c r="F113" s="23">
        <f t="shared" si="11"/>
        <v>0</v>
      </c>
      <c r="H113" s="117"/>
      <c r="K113" s="258"/>
      <c r="L113" s="258"/>
      <c r="M113" s="258"/>
      <c r="P113" s="258"/>
      <c r="Q113" s="258"/>
      <c r="R113" s="258"/>
    </row>
    <row r="114" spans="1:18" ht="16.2" thickBot="1">
      <c r="A114" s="180" t="s">
        <v>229</v>
      </c>
      <c r="B114" s="19"/>
      <c r="C114" s="53" t="s">
        <v>23</v>
      </c>
      <c r="D114" s="24"/>
      <c r="E114" s="24"/>
      <c r="F114" s="33" t="s">
        <v>169</v>
      </c>
      <c r="H114" s="117"/>
      <c r="K114" s="258"/>
      <c r="L114" s="258"/>
      <c r="M114" s="258"/>
      <c r="P114" s="258"/>
      <c r="Q114" s="258"/>
      <c r="R114" s="258"/>
    </row>
    <row r="115" spans="1:18" ht="15.6" thickBot="1">
      <c r="A115" s="65" t="s">
        <v>89</v>
      </c>
      <c r="B115" s="20">
        <v>5</v>
      </c>
      <c r="C115" s="20">
        <v>5</v>
      </c>
      <c r="D115" s="20">
        <v>0</v>
      </c>
      <c r="E115" s="25">
        <v>0</v>
      </c>
      <c r="F115" s="23">
        <f t="shared" ref="F115:F129" si="12">ROUND(D115+E115,2)</f>
        <v>0</v>
      </c>
      <c r="H115" s="117">
        <v>1.4</v>
      </c>
      <c r="K115" s="258"/>
      <c r="L115" s="258"/>
      <c r="M115" s="258"/>
      <c r="P115" s="258"/>
      <c r="Q115" s="258"/>
      <c r="R115" s="258"/>
    </row>
    <row r="116" spans="1:18" ht="15.6" thickBot="1">
      <c r="A116" s="65" t="s">
        <v>90</v>
      </c>
      <c r="B116" s="20">
        <v>9</v>
      </c>
      <c r="C116" s="20">
        <v>9</v>
      </c>
      <c r="D116" s="20">
        <v>0</v>
      </c>
      <c r="E116" s="25">
        <v>0</v>
      </c>
      <c r="F116" s="23">
        <f t="shared" si="12"/>
        <v>0</v>
      </c>
      <c r="H116" s="117">
        <v>1.45</v>
      </c>
      <c r="K116" s="258"/>
      <c r="L116" s="258"/>
      <c r="M116" s="258"/>
      <c r="P116" s="258"/>
      <c r="Q116" s="258"/>
      <c r="R116" s="258"/>
    </row>
    <row r="117" spans="1:18" ht="15.6" thickBot="1">
      <c r="A117" s="65" t="s">
        <v>91</v>
      </c>
      <c r="B117" s="20">
        <v>110</v>
      </c>
      <c r="C117" s="20">
        <v>110</v>
      </c>
      <c r="D117" s="20">
        <v>0</v>
      </c>
      <c r="E117" s="25">
        <v>0</v>
      </c>
      <c r="F117" s="23">
        <f t="shared" si="12"/>
        <v>0</v>
      </c>
      <c r="H117" s="117">
        <v>1.65</v>
      </c>
      <c r="K117" s="258"/>
      <c r="L117" s="258"/>
      <c r="M117" s="258"/>
      <c r="P117" s="258"/>
      <c r="Q117" s="258"/>
      <c r="R117" s="258"/>
    </row>
    <row r="118" spans="1:18" ht="15.6" thickBot="1">
      <c r="A118" s="65" t="s">
        <v>166</v>
      </c>
      <c r="B118" s="20">
        <v>17</v>
      </c>
      <c r="C118" s="20">
        <v>17</v>
      </c>
      <c r="D118" s="20">
        <v>0</v>
      </c>
      <c r="E118" s="58">
        <v>0</v>
      </c>
      <c r="F118" s="23">
        <f t="shared" si="12"/>
        <v>0</v>
      </c>
      <c r="H118" s="117"/>
      <c r="K118" s="258"/>
      <c r="L118" s="258"/>
      <c r="M118" s="258"/>
      <c r="P118" s="258"/>
      <c r="Q118" s="258"/>
      <c r="R118" s="258"/>
    </row>
    <row r="119" spans="1:18" ht="15.6" thickBot="1">
      <c r="A119" s="65" t="s">
        <v>92</v>
      </c>
      <c r="B119" s="20">
        <v>1</v>
      </c>
      <c r="C119" s="20">
        <v>1</v>
      </c>
      <c r="D119" s="20">
        <v>0</v>
      </c>
      <c r="E119" s="25">
        <v>0</v>
      </c>
      <c r="F119" s="23">
        <f t="shared" si="12"/>
        <v>0</v>
      </c>
      <c r="H119" s="117">
        <v>42</v>
      </c>
      <c r="K119" s="258"/>
      <c r="L119" s="258"/>
      <c r="M119" s="258"/>
      <c r="P119" s="258"/>
      <c r="Q119" s="258"/>
      <c r="R119" s="258"/>
    </row>
    <row r="120" spans="1:18" ht="15.6" thickBot="1">
      <c r="A120" s="65" t="s">
        <v>93</v>
      </c>
      <c r="B120" s="20">
        <v>1</v>
      </c>
      <c r="C120" s="20">
        <v>1</v>
      </c>
      <c r="D120" s="20">
        <v>0</v>
      </c>
      <c r="E120" s="25">
        <v>0</v>
      </c>
      <c r="F120" s="23">
        <f t="shared" si="12"/>
        <v>0</v>
      </c>
      <c r="H120" s="117">
        <v>43.5</v>
      </c>
      <c r="K120" s="258"/>
      <c r="L120" s="258"/>
      <c r="M120" s="258"/>
      <c r="P120" s="258"/>
      <c r="Q120" s="258"/>
      <c r="R120" s="258"/>
    </row>
    <row r="121" spans="1:18" ht="15.6" thickBot="1">
      <c r="A121" s="65" t="s">
        <v>94</v>
      </c>
      <c r="B121" s="20">
        <v>1</v>
      </c>
      <c r="C121" s="20">
        <v>1</v>
      </c>
      <c r="D121" s="20">
        <v>0</v>
      </c>
      <c r="E121" s="25">
        <v>0</v>
      </c>
      <c r="F121" s="23">
        <f t="shared" si="12"/>
        <v>0</v>
      </c>
      <c r="H121" s="117">
        <v>49.5</v>
      </c>
      <c r="K121" s="258"/>
      <c r="L121" s="258"/>
      <c r="M121" s="258"/>
      <c r="P121" s="258"/>
      <c r="Q121" s="258"/>
      <c r="R121" s="258"/>
    </row>
    <row r="122" spans="1:18">
      <c r="A122" s="65" t="s">
        <v>167</v>
      </c>
      <c r="B122" s="20">
        <v>1</v>
      </c>
      <c r="C122" s="20">
        <v>1</v>
      </c>
      <c r="D122" s="20">
        <v>0</v>
      </c>
      <c r="E122" s="58">
        <v>0</v>
      </c>
      <c r="F122" s="23">
        <f t="shared" si="12"/>
        <v>0</v>
      </c>
      <c r="H122" s="117"/>
      <c r="K122" s="258"/>
      <c r="L122" s="258"/>
      <c r="M122" s="258"/>
      <c r="P122" s="258"/>
      <c r="Q122" s="258"/>
      <c r="R122" s="258"/>
    </row>
    <row r="123" spans="1:18" ht="16.2" thickBot="1">
      <c r="A123" s="65"/>
      <c r="B123" s="37"/>
      <c r="C123" s="53" t="s">
        <v>64</v>
      </c>
      <c r="D123" s="37"/>
      <c r="E123" s="37"/>
      <c r="F123" s="33" t="s">
        <v>171</v>
      </c>
      <c r="H123" s="117"/>
      <c r="K123" s="258"/>
      <c r="L123" s="258"/>
      <c r="M123" s="258"/>
      <c r="P123" s="258"/>
      <c r="Q123" s="258"/>
      <c r="R123" s="258"/>
    </row>
    <row r="124" spans="1:18" ht="15.6" thickBot="1">
      <c r="A124" s="65" t="s">
        <v>95</v>
      </c>
      <c r="B124" s="20">
        <v>5</v>
      </c>
      <c r="C124" s="20">
        <v>5</v>
      </c>
      <c r="D124" s="25">
        <v>0</v>
      </c>
      <c r="E124" s="25">
        <v>0</v>
      </c>
      <c r="F124" s="23">
        <f t="shared" si="12"/>
        <v>0</v>
      </c>
      <c r="H124" s="117">
        <v>31.78</v>
      </c>
      <c r="K124" s="258"/>
      <c r="L124" s="258"/>
      <c r="M124" s="258"/>
      <c r="P124" s="258"/>
      <c r="Q124" s="258"/>
      <c r="R124" s="258"/>
    </row>
    <row r="125" spans="1:18" ht="15.6" thickBot="1">
      <c r="A125" s="65" t="s">
        <v>96</v>
      </c>
      <c r="B125" s="20">
        <v>15</v>
      </c>
      <c r="C125" s="20">
        <v>20</v>
      </c>
      <c r="D125" s="25">
        <v>0</v>
      </c>
      <c r="E125" s="25">
        <v>0</v>
      </c>
      <c r="F125" s="23">
        <f t="shared" si="12"/>
        <v>0</v>
      </c>
      <c r="H125" s="117">
        <v>44</v>
      </c>
      <c r="K125" s="258"/>
      <c r="L125" s="258"/>
      <c r="M125" s="258"/>
      <c r="P125" s="258"/>
      <c r="Q125" s="258"/>
      <c r="R125" s="258"/>
    </row>
    <row r="126" spans="1:18" ht="15.6" thickBot="1">
      <c r="A126" s="65" t="s">
        <v>97</v>
      </c>
      <c r="B126" s="20">
        <v>28</v>
      </c>
      <c r="C126" s="20">
        <v>37</v>
      </c>
      <c r="D126" s="25">
        <v>0</v>
      </c>
      <c r="E126" s="25">
        <v>0</v>
      </c>
      <c r="F126" s="23">
        <f t="shared" si="12"/>
        <v>0</v>
      </c>
      <c r="H126" s="117">
        <v>52.4</v>
      </c>
      <c r="K126" s="258"/>
      <c r="L126" s="258"/>
      <c r="M126" s="258"/>
      <c r="P126" s="258"/>
      <c r="Q126" s="258"/>
      <c r="R126" s="258"/>
    </row>
    <row r="127" spans="1:18">
      <c r="A127" s="65" t="s">
        <v>165</v>
      </c>
      <c r="B127" s="37">
        <v>13</v>
      </c>
      <c r="C127" s="37">
        <v>15</v>
      </c>
      <c r="D127" s="58">
        <v>0</v>
      </c>
      <c r="E127" s="58">
        <v>0</v>
      </c>
      <c r="F127" s="23">
        <f t="shared" si="12"/>
        <v>0</v>
      </c>
      <c r="H127" s="117"/>
      <c r="K127" s="258"/>
      <c r="L127" s="258"/>
      <c r="M127" s="258"/>
      <c r="P127" s="258"/>
      <c r="Q127" s="258"/>
      <c r="R127" s="258"/>
    </row>
    <row r="128" spans="1:18" ht="16.2" thickBot="1">
      <c r="A128" s="65"/>
      <c r="B128" s="37"/>
      <c r="C128" s="85" t="s">
        <v>173</v>
      </c>
      <c r="D128" s="37"/>
      <c r="E128" s="37"/>
      <c r="F128" s="33" t="s">
        <v>174</v>
      </c>
      <c r="H128" s="117"/>
      <c r="K128" s="258"/>
      <c r="L128" s="258"/>
      <c r="M128" s="258"/>
      <c r="P128" s="258"/>
      <c r="Q128" s="258"/>
      <c r="R128" s="258"/>
    </row>
    <row r="129" spans="1:18">
      <c r="A129" s="65" t="s">
        <v>98</v>
      </c>
      <c r="B129" s="20">
        <v>49</v>
      </c>
      <c r="C129" s="20">
        <v>49</v>
      </c>
      <c r="D129" s="20">
        <v>0</v>
      </c>
      <c r="E129" s="25">
        <v>0</v>
      </c>
      <c r="F129" s="23">
        <f t="shared" si="12"/>
        <v>0</v>
      </c>
      <c r="H129" s="117">
        <v>58.47</v>
      </c>
      <c r="K129" s="258"/>
      <c r="L129" s="258"/>
      <c r="M129" s="258"/>
      <c r="P129" s="258"/>
      <c r="Q129" s="258"/>
      <c r="R129" s="258"/>
    </row>
    <row r="130" spans="1:18" ht="16.2" thickBot="1">
      <c r="A130" s="180" t="s">
        <v>69</v>
      </c>
      <c r="B130" s="19"/>
      <c r="C130" s="53" t="s">
        <v>204</v>
      </c>
      <c r="D130" s="24"/>
      <c r="E130" s="24"/>
      <c r="F130" s="33" t="s">
        <v>205</v>
      </c>
      <c r="H130" s="117"/>
      <c r="K130" s="258"/>
      <c r="L130" s="258"/>
      <c r="M130" s="258"/>
      <c r="P130" s="258"/>
      <c r="Q130" s="258"/>
      <c r="R130" s="258"/>
    </row>
    <row r="131" spans="1:18" ht="15.6" thickBot="1">
      <c r="A131" s="181" t="s">
        <v>70</v>
      </c>
      <c r="B131" s="20">
        <v>89</v>
      </c>
      <c r="C131" s="20">
        <v>101</v>
      </c>
      <c r="D131" s="20">
        <v>0</v>
      </c>
      <c r="E131" s="25">
        <v>0</v>
      </c>
      <c r="F131" s="23">
        <f t="shared" ref="F131:F137" si="13">ROUND(D131+E131,2)</f>
        <v>0</v>
      </c>
      <c r="H131" s="117">
        <v>18.37</v>
      </c>
      <c r="K131" s="258"/>
      <c r="L131" s="258"/>
      <c r="M131" s="258"/>
      <c r="P131" s="258"/>
      <c r="Q131" s="258"/>
      <c r="R131" s="258"/>
    </row>
    <row r="132" spans="1:18" ht="15.6" thickBot="1">
      <c r="A132" s="181" t="s">
        <v>136</v>
      </c>
      <c r="B132" s="20">
        <v>1</v>
      </c>
      <c r="C132" s="20">
        <v>1</v>
      </c>
      <c r="D132" s="20">
        <v>0</v>
      </c>
      <c r="E132" s="25">
        <v>0</v>
      </c>
      <c r="F132" s="23">
        <f t="shared" si="13"/>
        <v>0</v>
      </c>
      <c r="H132" s="117">
        <v>1.02</v>
      </c>
      <c r="K132" s="258"/>
      <c r="L132" s="258"/>
      <c r="M132" s="258"/>
      <c r="P132" s="258"/>
      <c r="Q132" s="258"/>
      <c r="R132" s="258"/>
    </row>
    <row r="133" spans="1:18" ht="15.6" thickBot="1">
      <c r="A133" s="181" t="s">
        <v>73</v>
      </c>
      <c r="B133" s="20">
        <v>23</v>
      </c>
      <c r="C133" s="20">
        <v>26</v>
      </c>
      <c r="D133" s="20">
        <v>0</v>
      </c>
      <c r="E133" s="25">
        <v>0</v>
      </c>
      <c r="F133" s="23">
        <f t="shared" si="13"/>
        <v>0</v>
      </c>
      <c r="H133" s="117">
        <v>26.84</v>
      </c>
      <c r="K133" s="258"/>
      <c r="L133" s="258"/>
      <c r="M133" s="258"/>
      <c r="P133" s="258"/>
      <c r="Q133" s="258"/>
      <c r="R133" s="258"/>
    </row>
    <row r="134" spans="1:18" ht="15.6" thickBot="1">
      <c r="A134" s="56" t="s">
        <v>163</v>
      </c>
      <c r="B134" s="20">
        <v>77</v>
      </c>
      <c r="C134" s="20">
        <v>77</v>
      </c>
      <c r="D134" s="20">
        <v>0</v>
      </c>
      <c r="E134" s="25">
        <v>0</v>
      </c>
      <c r="F134" s="23">
        <f t="shared" si="13"/>
        <v>0</v>
      </c>
      <c r="H134" s="117">
        <v>2.08</v>
      </c>
      <c r="K134" s="258"/>
      <c r="L134" s="258"/>
      <c r="M134" s="258"/>
      <c r="P134" s="258"/>
      <c r="Q134" s="258"/>
      <c r="R134" s="258"/>
    </row>
    <row r="135" spans="1:18" ht="15.6" thickBot="1">
      <c r="A135" s="56" t="s">
        <v>74</v>
      </c>
      <c r="B135" s="20">
        <v>1</v>
      </c>
      <c r="C135" s="20">
        <v>1</v>
      </c>
      <c r="D135" s="20">
        <v>0</v>
      </c>
      <c r="E135" s="25">
        <v>0</v>
      </c>
      <c r="F135" s="23">
        <f t="shared" si="13"/>
        <v>0</v>
      </c>
      <c r="H135" s="117">
        <v>22.17</v>
      </c>
      <c r="K135" s="258"/>
      <c r="L135" s="258"/>
      <c r="M135" s="258"/>
      <c r="P135" s="258"/>
      <c r="Q135" s="258"/>
      <c r="R135" s="258"/>
    </row>
    <row r="136" spans="1:18" ht="15.6" thickBot="1">
      <c r="A136" s="56" t="s">
        <v>75</v>
      </c>
      <c r="B136" s="20">
        <v>26</v>
      </c>
      <c r="C136" s="20">
        <v>26</v>
      </c>
      <c r="D136" s="20">
        <v>0</v>
      </c>
      <c r="E136" s="25">
        <v>0</v>
      </c>
      <c r="F136" s="23">
        <f t="shared" si="13"/>
        <v>0</v>
      </c>
      <c r="H136" s="117">
        <v>2.66</v>
      </c>
      <c r="K136" s="258"/>
      <c r="L136" s="258"/>
      <c r="M136" s="258"/>
      <c r="P136" s="258"/>
      <c r="Q136" s="258"/>
      <c r="R136" s="258"/>
    </row>
    <row r="137" spans="1:18">
      <c r="A137" s="56" t="s">
        <v>76</v>
      </c>
      <c r="B137" s="20">
        <v>13</v>
      </c>
      <c r="C137" s="20">
        <v>13</v>
      </c>
      <c r="D137" s="20">
        <v>0</v>
      </c>
      <c r="E137" s="25">
        <v>0</v>
      </c>
      <c r="F137" s="23">
        <f t="shared" si="13"/>
        <v>0</v>
      </c>
      <c r="H137" s="117">
        <v>1.81</v>
      </c>
      <c r="K137" s="258"/>
      <c r="L137" s="258"/>
      <c r="M137" s="258"/>
      <c r="P137" s="258"/>
      <c r="Q137" s="258"/>
      <c r="R137" s="258"/>
    </row>
    <row r="138" spans="1:18" ht="15.6" thickBot="1">
      <c r="A138" s="180" t="s">
        <v>77</v>
      </c>
      <c r="B138" s="19"/>
      <c r="C138" s="19"/>
      <c r="D138" s="24"/>
      <c r="E138" s="24"/>
      <c r="F138" s="24"/>
      <c r="H138" s="117"/>
      <c r="K138" s="258"/>
      <c r="L138" s="258"/>
      <c r="M138" s="258"/>
      <c r="P138" s="258"/>
      <c r="Q138" s="258"/>
      <c r="R138" s="258"/>
    </row>
    <row r="139" spans="1:18" ht="18" thickBot="1">
      <c r="A139" s="179" t="s">
        <v>240</v>
      </c>
      <c r="B139" s="20">
        <v>89</v>
      </c>
      <c r="C139" s="20">
        <v>89</v>
      </c>
      <c r="D139" s="20">
        <v>0</v>
      </c>
      <c r="E139" s="25">
        <v>0</v>
      </c>
      <c r="F139" s="23">
        <f t="shared" ref="F139:F142" si="14">ROUND(D139+E139,2)</f>
        <v>0</v>
      </c>
      <c r="H139" s="117">
        <v>1.65</v>
      </c>
      <c r="K139" s="258"/>
      <c r="L139" s="258"/>
      <c r="M139" s="258"/>
      <c r="P139" s="258"/>
      <c r="Q139" s="258"/>
      <c r="R139" s="258"/>
    </row>
    <row r="140" spans="1:18" ht="15.6" thickBot="1">
      <c r="A140" s="181" t="s">
        <v>228</v>
      </c>
      <c r="B140" s="20">
        <v>27</v>
      </c>
      <c r="C140" s="20">
        <v>27</v>
      </c>
      <c r="D140" s="20">
        <v>0</v>
      </c>
      <c r="E140" s="25">
        <v>0</v>
      </c>
      <c r="F140" s="23">
        <f t="shared" si="14"/>
        <v>0</v>
      </c>
      <c r="H140" s="117"/>
      <c r="K140" s="258"/>
      <c r="L140" s="258"/>
      <c r="M140" s="258"/>
      <c r="P140" s="258"/>
      <c r="Q140" s="258"/>
      <c r="R140" s="258"/>
    </row>
    <row r="141" spans="1:18" ht="15.6" thickBot="1">
      <c r="A141" s="56" t="s">
        <v>78</v>
      </c>
      <c r="B141" s="20">
        <v>4</v>
      </c>
      <c r="C141" s="20">
        <v>4</v>
      </c>
      <c r="D141" s="20">
        <v>0</v>
      </c>
      <c r="E141" s="25">
        <v>0</v>
      </c>
      <c r="F141" s="23">
        <f t="shared" si="14"/>
        <v>0</v>
      </c>
      <c r="H141" s="117">
        <v>2.1</v>
      </c>
      <c r="K141" s="258"/>
      <c r="L141" s="258"/>
      <c r="M141" s="258"/>
      <c r="P141" s="258"/>
      <c r="Q141" s="258"/>
      <c r="R141" s="258"/>
    </row>
    <row r="142" spans="1:18">
      <c r="A142" s="56" t="s">
        <v>79</v>
      </c>
      <c r="B142" s="20">
        <v>1</v>
      </c>
      <c r="C142" s="20">
        <v>1</v>
      </c>
      <c r="D142" s="20">
        <v>0</v>
      </c>
      <c r="E142" s="25">
        <v>0</v>
      </c>
      <c r="F142" s="23">
        <f t="shared" si="14"/>
        <v>0</v>
      </c>
      <c r="H142" s="117"/>
      <c r="K142" s="258"/>
      <c r="L142" s="258"/>
      <c r="M142" s="258"/>
      <c r="P142" s="258"/>
      <c r="Q142" s="258"/>
      <c r="R142" s="258"/>
    </row>
    <row r="143" spans="1:18" ht="15.6" thickBot="1">
      <c r="A143" s="180" t="s">
        <v>80</v>
      </c>
      <c r="B143" s="19"/>
      <c r="C143" s="19"/>
      <c r="D143" s="20"/>
      <c r="E143" s="24"/>
      <c r="F143" s="24"/>
      <c r="H143" s="117"/>
      <c r="K143" s="258"/>
      <c r="L143" s="258"/>
      <c r="M143" s="258"/>
      <c r="P143" s="258"/>
      <c r="Q143" s="258"/>
      <c r="R143" s="258"/>
    </row>
    <row r="144" spans="1:18" ht="15.6" thickBot="1">
      <c r="A144" s="56" t="s">
        <v>81</v>
      </c>
      <c r="B144" s="20">
        <v>1</v>
      </c>
      <c r="C144" s="20">
        <v>1</v>
      </c>
      <c r="D144" s="20">
        <v>0</v>
      </c>
      <c r="E144" s="25">
        <v>0</v>
      </c>
      <c r="F144" s="23">
        <f t="shared" ref="F144:F150" si="15">ROUND(D144+E144,2)</f>
        <v>0</v>
      </c>
      <c r="H144" s="117">
        <v>80.86</v>
      </c>
      <c r="K144" s="258"/>
      <c r="L144" s="258"/>
      <c r="M144" s="258"/>
      <c r="P144" s="258"/>
      <c r="Q144" s="258"/>
      <c r="R144" s="258"/>
    </row>
    <row r="145" spans="1:18" ht="15.6" thickBot="1">
      <c r="A145" s="56" t="s">
        <v>82</v>
      </c>
      <c r="B145" s="20">
        <v>55</v>
      </c>
      <c r="C145" s="20">
        <v>55</v>
      </c>
      <c r="D145" s="20">
        <v>0</v>
      </c>
      <c r="E145" s="25">
        <v>0</v>
      </c>
      <c r="F145" s="23">
        <f t="shared" si="15"/>
        <v>0</v>
      </c>
      <c r="H145" s="117">
        <v>80.86</v>
      </c>
      <c r="K145" s="258"/>
      <c r="L145" s="258"/>
      <c r="M145" s="258"/>
      <c r="P145" s="258"/>
      <c r="Q145" s="258"/>
      <c r="R145" s="258"/>
    </row>
    <row r="146" spans="1:18" ht="15.6" thickBot="1">
      <c r="A146" s="56" t="s">
        <v>251</v>
      </c>
      <c r="B146" s="20">
        <v>120</v>
      </c>
      <c r="C146" s="20">
        <v>120</v>
      </c>
      <c r="D146" s="20">
        <v>0</v>
      </c>
      <c r="E146" s="25">
        <v>0</v>
      </c>
      <c r="F146" s="23">
        <f t="shared" si="15"/>
        <v>0</v>
      </c>
      <c r="H146" s="117">
        <v>80.86</v>
      </c>
      <c r="K146" s="258"/>
      <c r="L146" s="258"/>
      <c r="M146" s="258"/>
      <c r="P146" s="258"/>
      <c r="Q146" s="258"/>
      <c r="R146" s="258"/>
    </row>
    <row r="147" spans="1:18" ht="15.6" thickBot="1">
      <c r="A147" s="56" t="s">
        <v>83</v>
      </c>
      <c r="B147" s="20">
        <v>1</v>
      </c>
      <c r="C147" s="20">
        <v>1</v>
      </c>
      <c r="D147" s="20">
        <v>0</v>
      </c>
      <c r="E147" s="25">
        <v>0</v>
      </c>
      <c r="F147" s="23">
        <f t="shared" si="15"/>
        <v>0</v>
      </c>
      <c r="H147" s="117"/>
      <c r="K147" s="258"/>
      <c r="L147" s="258"/>
      <c r="M147" s="258"/>
      <c r="P147" s="258"/>
      <c r="Q147" s="258"/>
      <c r="R147" s="258"/>
    </row>
    <row r="148" spans="1:18" ht="15.6" thickBot="1">
      <c r="A148" s="56" t="s">
        <v>88</v>
      </c>
      <c r="B148" s="20">
        <v>1</v>
      </c>
      <c r="C148" s="20">
        <v>1</v>
      </c>
      <c r="D148" s="20">
        <v>0</v>
      </c>
      <c r="E148" s="25">
        <v>0</v>
      </c>
      <c r="F148" s="23">
        <f t="shared" si="15"/>
        <v>0</v>
      </c>
      <c r="H148" s="117"/>
      <c r="K148" s="258"/>
      <c r="L148" s="258"/>
      <c r="M148" s="258"/>
      <c r="P148" s="258"/>
      <c r="Q148" s="258"/>
      <c r="R148" s="258"/>
    </row>
    <row r="149" spans="1:18" ht="15.6" thickBot="1">
      <c r="A149" s="56" t="s">
        <v>84</v>
      </c>
      <c r="B149" s="20">
        <v>1</v>
      </c>
      <c r="C149" s="20">
        <v>1</v>
      </c>
      <c r="D149" s="20">
        <v>0</v>
      </c>
      <c r="E149" s="25">
        <v>0</v>
      </c>
      <c r="F149" s="23">
        <f t="shared" si="15"/>
        <v>0</v>
      </c>
      <c r="H149" s="117">
        <v>40.450000000000003</v>
      </c>
      <c r="K149" s="258"/>
      <c r="L149" s="258"/>
      <c r="M149" s="258"/>
      <c r="P149" s="258"/>
      <c r="Q149" s="258"/>
      <c r="R149" s="258"/>
    </row>
    <row r="150" spans="1:18">
      <c r="A150" s="56" t="s">
        <v>85</v>
      </c>
      <c r="B150" s="20">
        <v>1</v>
      </c>
      <c r="C150" s="20">
        <v>1</v>
      </c>
      <c r="D150" s="20">
        <v>0</v>
      </c>
      <c r="E150" s="25">
        <v>0</v>
      </c>
      <c r="F150" s="23">
        <f t="shared" si="15"/>
        <v>0</v>
      </c>
      <c r="H150" s="117"/>
      <c r="K150" s="258"/>
      <c r="L150" s="258"/>
      <c r="M150" s="258"/>
      <c r="P150" s="258"/>
      <c r="Q150" s="258"/>
      <c r="R150" s="258"/>
    </row>
    <row r="151" spans="1:18" ht="15.6" thickBot="1">
      <c r="A151" s="180" t="s">
        <v>86</v>
      </c>
      <c r="B151" s="19"/>
      <c r="C151" s="19"/>
      <c r="D151" s="24"/>
      <c r="E151" s="24"/>
      <c r="F151" s="24"/>
      <c r="H151" s="117"/>
      <c r="K151" s="258"/>
      <c r="L151" s="258"/>
      <c r="M151" s="258"/>
      <c r="P151" s="258"/>
      <c r="Q151" s="258"/>
      <c r="R151" s="258"/>
    </row>
    <row r="152" spans="1:18" ht="15.6" thickBot="1">
      <c r="A152" s="56" t="s">
        <v>87</v>
      </c>
      <c r="B152" s="20">
        <v>1</v>
      </c>
      <c r="C152" s="20">
        <v>1</v>
      </c>
      <c r="D152" s="20">
        <v>0</v>
      </c>
      <c r="E152" s="25">
        <v>0</v>
      </c>
      <c r="F152" s="23">
        <f t="shared" ref="F152:F154" si="16">ROUND(D152+E152,2)</f>
        <v>0</v>
      </c>
      <c r="H152" s="117">
        <v>1</v>
      </c>
      <c r="K152" s="258"/>
      <c r="L152" s="258"/>
      <c r="M152" s="258"/>
      <c r="P152" s="258"/>
      <c r="Q152" s="258"/>
      <c r="R152" s="258"/>
    </row>
    <row r="153" spans="1:18" ht="15.6" thickBot="1">
      <c r="A153" s="56" t="s">
        <v>134</v>
      </c>
      <c r="B153" s="20">
        <v>1</v>
      </c>
      <c r="C153" s="20">
        <v>1</v>
      </c>
      <c r="D153" s="20">
        <v>0</v>
      </c>
      <c r="E153" s="25">
        <v>0</v>
      </c>
      <c r="F153" s="23">
        <f t="shared" si="16"/>
        <v>0</v>
      </c>
      <c r="H153" s="117">
        <v>1.48</v>
      </c>
      <c r="K153" s="258"/>
      <c r="L153" s="258"/>
      <c r="M153" s="258"/>
      <c r="P153" s="258"/>
      <c r="Q153" s="258"/>
      <c r="R153" s="258"/>
    </row>
    <row r="154" spans="1:18" ht="15.6" thickBot="1">
      <c r="A154" s="56" t="s">
        <v>135</v>
      </c>
      <c r="B154" s="20">
        <v>1</v>
      </c>
      <c r="C154" s="20">
        <v>1</v>
      </c>
      <c r="D154" s="20">
        <v>0</v>
      </c>
      <c r="E154" s="25">
        <v>0</v>
      </c>
      <c r="F154" s="23">
        <f t="shared" si="16"/>
        <v>0</v>
      </c>
      <c r="H154" s="121">
        <v>1.6</v>
      </c>
      <c r="K154" s="258"/>
      <c r="L154" s="258"/>
      <c r="M154" s="258"/>
      <c r="P154" s="258"/>
      <c r="Q154" s="258"/>
      <c r="R154" s="258"/>
    </row>
    <row r="155" spans="1:18" ht="15.6">
      <c r="A155" s="104" t="s">
        <v>170</v>
      </c>
      <c r="B155" s="109"/>
      <c r="C155" s="109"/>
      <c r="D155" s="131"/>
      <c r="E155" s="131"/>
      <c r="F155" s="106">
        <f>12*SUMPRODUCT(F104:F111*$C$104:$C$111)+12* C113*F113+12*SUMPRODUCT(C115:C122*F115:F122)+12*SUMPRODUCT(C124:C127*F124:F127)+12*C129*F129+12*SUMPRODUCT(F131:F154*$C$131:$C$154)</f>
        <v>0</v>
      </c>
      <c r="K155" s="258"/>
      <c r="L155" s="258"/>
      <c r="M155" s="258"/>
      <c r="P155" s="258"/>
      <c r="Q155" s="258"/>
      <c r="R155" s="258"/>
    </row>
    <row r="156" spans="1:18" ht="15.6" thickBot="1">
      <c r="A156" s="65"/>
      <c r="B156" s="22"/>
      <c r="C156" s="22"/>
      <c r="D156" s="12"/>
      <c r="E156" s="12"/>
      <c r="F156" s="12"/>
      <c r="K156" s="259"/>
      <c r="L156" s="259"/>
      <c r="M156" s="259"/>
      <c r="P156" s="259"/>
      <c r="Q156" s="259"/>
      <c r="R156" s="259"/>
    </row>
    <row r="157" spans="1:18" ht="16.2" thickBot="1">
      <c r="A157" s="86" t="s">
        <v>200</v>
      </c>
      <c r="B157" s="87"/>
      <c r="C157" s="87"/>
      <c r="D157" s="88"/>
      <c r="E157" s="88"/>
      <c r="F157" s="89">
        <f>F99+F155</f>
        <v>0</v>
      </c>
      <c r="G157" s="120" t="s">
        <v>190</v>
      </c>
      <c r="H157" s="87"/>
      <c r="I157" s="101"/>
      <c r="J157" s="87"/>
      <c r="K157" s="98">
        <f t="shared" ref="K157" si="17">K99</f>
        <v>0</v>
      </c>
      <c r="L157" s="98">
        <f t="shared" ref="L157:M157" si="18">L99</f>
        <v>0</v>
      </c>
      <c r="M157" s="98">
        <f t="shared" si="18"/>
        <v>0</v>
      </c>
      <c r="P157" s="98">
        <f>P99</f>
        <v>0</v>
      </c>
      <c r="Q157" s="98">
        <f>Q99</f>
        <v>0</v>
      </c>
      <c r="R157" s="98">
        <f>R99</f>
        <v>0</v>
      </c>
    </row>
    <row r="158" spans="1:18" ht="16.2" thickBot="1">
      <c r="F158" s="212" t="s">
        <v>280</v>
      </c>
      <c r="K158" s="314" t="s">
        <v>281</v>
      </c>
      <c r="L158" s="315"/>
      <c r="M158" s="316"/>
      <c r="P158" s="314" t="s">
        <v>279</v>
      </c>
      <c r="Q158" s="315"/>
      <c r="R158" s="316"/>
    </row>
    <row r="160" spans="1:18" ht="15.6">
      <c r="A160" s="57" t="s">
        <v>126</v>
      </c>
    </row>
    <row r="161" spans="1:1" ht="17.399999999999999">
      <c r="A161" s="57" t="s">
        <v>238</v>
      </c>
    </row>
    <row r="162" spans="1:1" ht="15.6">
      <c r="A162" s="57" t="s">
        <v>239</v>
      </c>
    </row>
    <row r="163" spans="1:1" ht="15.6">
      <c r="A163" s="57" t="s">
        <v>196</v>
      </c>
    </row>
    <row r="164" spans="1:1" ht="15.6">
      <c r="A164" s="57" t="s">
        <v>128</v>
      </c>
    </row>
    <row r="165" spans="1:1" ht="15.6">
      <c r="A165" s="57" t="s">
        <v>287</v>
      </c>
    </row>
    <row r="166" spans="1:1" ht="15.6">
      <c r="A166" s="57" t="s">
        <v>197</v>
      </c>
    </row>
    <row r="167" spans="1:1" ht="15.6">
      <c r="A167" s="57" t="s">
        <v>288</v>
      </c>
    </row>
    <row r="168" spans="1:1" ht="15.6">
      <c r="A168" s="57" t="s">
        <v>198</v>
      </c>
    </row>
    <row r="169" spans="1:1" ht="15.6">
      <c r="A169" s="57" t="s">
        <v>232</v>
      </c>
    </row>
    <row r="170" spans="1:1" ht="15.6">
      <c r="A170" s="57" t="s">
        <v>233</v>
      </c>
    </row>
    <row r="171" spans="1:1" ht="15.6">
      <c r="A171" s="57" t="s">
        <v>285</v>
      </c>
    </row>
    <row r="172" spans="1:1" ht="15.6">
      <c r="A172" s="57" t="s">
        <v>289</v>
      </c>
    </row>
  </sheetData>
  <sheetProtection password="A2DE" sheet="1" objects="1" scenarios="1"/>
  <mergeCells count="4">
    <mergeCell ref="K5:M5"/>
    <mergeCell ref="P5:R5"/>
    <mergeCell ref="K158:M158"/>
    <mergeCell ref="P158:R158"/>
  </mergeCells>
  <printOptions horizontalCentered="1"/>
  <pageMargins left="0.7" right="0.7" top="0.46" bottom="0.42" header="0.3" footer="0.3"/>
  <pageSetup paperSize="17"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S61"/>
  <sheetViews>
    <sheetView showGridLines="0" zoomScale="80" zoomScaleNormal="80" zoomScaleSheetLayoutView="100" workbookViewId="0">
      <pane xSplit="1" topLeftCell="B1" activePane="topRight" state="frozen"/>
      <selection pane="topRight" activeCell="S61" sqref="A1:S61"/>
    </sheetView>
  </sheetViews>
  <sheetFormatPr defaultColWidth="8.6328125" defaultRowHeight="15"/>
  <cols>
    <col min="1" max="1" width="48" style="8" customWidth="1"/>
    <col min="2" max="3" width="11.1796875" style="21" bestFit="1" customWidth="1"/>
    <col min="4" max="5" width="13.81640625" style="21" customWidth="1"/>
    <col min="6" max="6" width="18.36328125" style="8" bestFit="1" customWidth="1"/>
    <col min="7" max="7" width="1.81640625" style="8" customWidth="1"/>
    <col min="8" max="8" width="10" style="8" bestFit="1" customWidth="1"/>
    <col min="9" max="9" width="1.81640625" style="8" customWidth="1"/>
    <col min="10" max="10" width="12.54296875" style="8" customWidth="1"/>
    <col min="11" max="11" width="8.81640625" style="8" customWidth="1"/>
    <col min="12" max="12" width="11.08984375" style="8" customWidth="1"/>
    <col min="13" max="13" width="14.81640625" style="8" customWidth="1"/>
    <col min="14" max="14" width="17.36328125" style="8" customWidth="1"/>
    <col min="15" max="15" width="16.1796875" style="8" customWidth="1"/>
    <col min="16" max="16" width="17.08984375" style="8" customWidth="1"/>
    <col min="17" max="17" width="16.6328125" style="8" customWidth="1"/>
    <col min="18" max="18" width="12.6328125" style="8" customWidth="1"/>
    <col min="19" max="19" width="49.54296875" style="8" bestFit="1" customWidth="1"/>
    <col min="20" max="16384" width="8.6328125" style="8"/>
  </cols>
  <sheetData>
    <row r="1" spans="1:19" ht="17.399999999999999">
      <c r="A1" s="207" t="s">
        <v>243</v>
      </c>
    </row>
    <row r="3" spans="1:19" ht="21.75" customHeight="1">
      <c r="A3" s="66" t="s">
        <v>12</v>
      </c>
      <c r="B3" s="320" t="s">
        <v>235</v>
      </c>
      <c r="C3" s="320"/>
      <c r="D3" s="320"/>
      <c r="E3" s="320"/>
      <c r="F3" s="321"/>
      <c r="G3" s="322"/>
      <c r="H3" s="322"/>
      <c r="I3" s="322"/>
      <c r="J3" s="323"/>
      <c r="K3" s="11"/>
      <c r="L3" s="11"/>
    </row>
    <row r="4" spans="1:19" ht="18" customHeight="1" thickBot="1">
      <c r="A4" s="68" t="s">
        <v>13</v>
      </c>
      <c r="B4" s="69"/>
      <c r="C4" s="69"/>
      <c r="D4" s="69"/>
      <c r="E4" s="69"/>
      <c r="F4" s="70"/>
      <c r="G4" s="69"/>
      <c r="H4" s="69"/>
      <c r="I4" s="69"/>
      <c r="J4" s="283"/>
      <c r="K4" s="11"/>
      <c r="L4" s="11"/>
    </row>
    <row r="5" spans="1:19" ht="18" customHeight="1" thickBot="1">
      <c r="A5" s="71" t="s">
        <v>17</v>
      </c>
      <c r="B5" s="72"/>
      <c r="C5" s="73"/>
      <c r="D5" s="73"/>
      <c r="E5" s="73"/>
      <c r="F5" s="74"/>
      <c r="G5" s="75"/>
      <c r="J5" s="297" t="s">
        <v>298</v>
      </c>
      <c r="N5" s="317" t="s">
        <v>256</v>
      </c>
      <c r="O5" s="318"/>
      <c r="P5" s="318"/>
      <c r="Q5" s="319"/>
      <c r="S5" s="212" t="s">
        <v>291</v>
      </c>
    </row>
    <row r="6" spans="1:19" ht="15.75" customHeight="1">
      <c r="A6" s="76"/>
      <c r="B6" s="4"/>
      <c r="C6" s="4" t="s">
        <v>274</v>
      </c>
      <c r="D6" s="4"/>
      <c r="E6" s="4"/>
      <c r="F6" s="77"/>
      <c r="H6" s="6"/>
      <c r="I6" s="6"/>
      <c r="J6" s="284" t="s">
        <v>297</v>
      </c>
      <c r="K6" s="7"/>
      <c r="L6" s="7"/>
      <c r="N6" s="16"/>
      <c r="O6" s="16" t="s">
        <v>213</v>
      </c>
      <c r="P6" s="211"/>
      <c r="Q6" s="16"/>
      <c r="S6" s="16" t="s">
        <v>220</v>
      </c>
    </row>
    <row r="7" spans="1:19" ht="15.6">
      <c r="A7" s="76"/>
      <c r="B7" s="4"/>
      <c r="C7" s="4" t="s">
        <v>275</v>
      </c>
      <c r="D7" s="4"/>
      <c r="E7" s="4"/>
      <c r="F7" s="77" t="s">
        <v>21</v>
      </c>
      <c r="H7" s="6"/>
      <c r="I7" s="6"/>
      <c r="J7" s="284" t="s">
        <v>299</v>
      </c>
      <c r="K7" s="7"/>
      <c r="L7" s="7"/>
      <c r="N7" s="16" t="s">
        <v>209</v>
      </c>
      <c r="O7" s="16" t="s">
        <v>211</v>
      </c>
      <c r="P7" s="16" t="s">
        <v>253</v>
      </c>
      <c r="Q7" s="16"/>
      <c r="S7" s="16" t="s">
        <v>188</v>
      </c>
    </row>
    <row r="8" spans="1:19" ht="15.6">
      <c r="A8" s="76"/>
      <c r="B8" s="4" t="s">
        <v>207</v>
      </c>
      <c r="C8" s="4" t="s">
        <v>164</v>
      </c>
      <c r="D8" s="4" t="s">
        <v>21</v>
      </c>
      <c r="E8" s="4" t="s">
        <v>21</v>
      </c>
      <c r="F8" s="77" t="s">
        <v>0</v>
      </c>
      <c r="H8" s="6"/>
      <c r="I8" s="6"/>
      <c r="J8" s="284" t="s">
        <v>21</v>
      </c>
      <c r="K8" s="7"/>
      <c r="L8" s="7"/>
      <c r="N8" s="16" t="s">
        <v>20</v>
      </c>
      <c r="O8" s="16" t="s">
        <v>212</v>
      </c>
      <c r="P8" s="16" t="s">
        <v>254</v>
      </c>
      <c r="Q8" s="16" t="s">
        <v>257</v>
      </c>
      <c r="S8" s="16" t="s">
        <v>219</v>
      </c>
    </row>
    <row r="9" spans="1:19" ht="15.6">
      <c r="A9" s="78" t="s">
        <v>3</v>
      </c>
      <c r="B9" s="4" t="s">
        <v>164</v>
      </c>
      <c r="C9" s="4" t="s">
        <v>273</v>
      </c>
      <c r="D9" s="4" t="s">
        <v>19</v>
      </c>
      <c r="E9" s="4" t="s">
        <v>20</v>
      </c>
      <c r="F9" s="77" t="s">
        <v>1</v>
      </c>
      <c r="J9" s="284" t="s">
        <v>164</v>
      </c>
      <c r="N9" s="16" t="s">
        <v>210</v>
      </c>
      <c r="O9" s="16" t="s">
        <v>214</v>
      </c>
      <c r="P9" s="16" t="s">
        <v>255</v>
      </c>
      <c r="Q9" s="16" t="s">
        <v>258</v>
      </c>
      <c r="S9" s="16" t="s">
        <v>221</v>
      </c>
    </row>
    <row r="10" spans="1:19" ht="18.600000000000001" thickBot="1">
      <c r="A10" s="187" t="s">
        <v>18</v>
      </c>
      <c r="B10" s="5" t="s">
        <v>16</v>
      </c>
      <c r="C10" s="5" t="s">
        <v>292</v>
      </c>
      <c r="D10" s="5" t="s">
        <v>2</v>
      </c>
      <c r="E10" s="5" t="s">
        <v>2</v>
      </c>
      <c r="F10" s="79" t="s">
        <v>2</v>
      </c>
      <c r="J10" s="285" t="s">
        <v>300</v>
      </c>
      <c r="N10" s="16" t="s">
        <v>208</v>
      </c>
      <c r="O10" s="16" t="s">
        <v>215</v>
      </c>
      <c r="P10" s="16" t="s">
        <v>252</v>
      </c>
      <c r="Q10" s="16" t="s">
        <v>259</v>
      </c>
      <c r="S10" s="16" t="s">
        <v>222</v>
      </c>
    </row>
    <row r="11" spans="1:19" ht="15.6">
      <c r="A11" s="181" t="s">
        <v>123</v>
      </c>
      <c r="B11" s="166"/>
      <c r="C11" s="267">
        <v>600</v>
      </c>
      <c r="D11" s="169">
        <v>0</v>
      </c>
      <c r="E11" s="169">
        <v>0</v>
      </c>
      <c r="F11" s="2">
        <f t="shared" ref="F11:F19" si="0">ROUND(D11+E11,2)</f>
        <v>0</v>
      </c>
      <c r="H11" s="6"/>
      <c r="I11" s="6"/>
      <c r="J11" s="286">
        <v>0</v>
      </c>
      <c r="K11" s="275"/>
      <c r="L11" s="275"/>
      <c r="M11" s="137"/>
      <c r="N11" s="133">
        <v>0</v>
      </c>
      <c r="O11" s="133">
        <v>0</v>
      </c>
      <c r="P11" s="133">
        <v>0</v>
      </c>
      <c r="Q11" s="133">
        <v>0</v>
      </c>
      <c r="S11" s="133">
        <v>0</v>
      </c>
    </row>
    <row r="12" spans="1:19" ht="15.6">
      <c r="A12" s="181" t="s">
        <v>14</v>
      </c>
      <c r="B12" s="189">
        <v>6046</v>
      </c>
      <c r="C12" s="268">
        <v>5446</v>
      </c>
      <c r="D12" s="13">
        <v>0</v>
      </c>
      <c r="E12" s="13">
        <v>0</v>
      </c>
      <c r="F12" s="2">
        <f t="shared" si="0"/>
        <v>0</v>
      </c>
      <c r="H12" s="6"/>
      <c r="I12" s="6"/>
      <c r="J12" s="286">
        <v>0</v>
      </c>
      <c r="K12" s="276"/>
      <c r="L12" s="276"/>
      <c r="M12" s="137"/>
      <c r="N12" s="96">
        <v>0</v>
      </c>
      <c r="O12" s="96">
        <v>0</v>
      </c>
      <c r="P12" s="96">
        <v>0</v>
      </c>
      <c r="Q12" s="96">
        <v>0</v>
      </c>
      <c r="S12" s="96">
        <v>0</v>
      </c>
    </row>
    <row r="13" spans="1:19" ht="15.6">
      <c r="A13" s="181" t="s">
        <v>15</v>
      </c>
      <c r="B13" s="189">
        <f>13361+471+184*2+6*3+1*4</f>
        <v>14222</v>
      </c>
      <c r="C13" s="268">
        <v>14222</v>
      </c>
      <c r="D13" s="13">
        <v>0</v>
      </c>
      <c r="E13" s="13">
        <v>0</v>
      </c>
      <c r="F13" s="2">
        <f t="shared" si="0"/>
        <v>0</v>
      </c>
      <c r="H13" s="6"/>
      <c r="I13" s="6"/>
      <c r="J13" s="287">
        <f>29176-SUM(J14:J16)-J11-J12</f>
        <v>29176</v>
      </c>
      <c r="K13" s="276"/>
      <c r="L13" s="276"/>
      <c r="M13" s="137"/>
      <c r="N13" s="96">
        <v>0</v>
      </c>
      <c r="O13" s="96">
        <v>0</v>
      </c>
      <c r="P13" s="96">
        <v>0</v>
      </c>
      <c r="Q13" s="96">
        <v>0</v>
      </c>
      <c r="S13" s="96">
        <v>0</v>
      </c>
    </row>
    <row r="14" spans="1:19" ht="15.6">
      <c r="A14" s="181" t="s">
        <v>139</v>
      </c>
      <c r="B14" s="190"/>
      <c r="C14" s="268">
        <v>1262</v>
      </c>
      <c r="D14" s="13">
        <v>0</v>
      </c>
      <c r="E14" s="13">
        <v>0</v>
      </c>
      <c r="F14" s="2">
        <f t="shared" si="0"/>
        <v>0</v>
      </c>
      <c r="H14" s="6"/>
      <c r="I14" s="6"/>
      <c r="J14" s="286">
        <v>0</v>
      </c>
      <c r="K14" s="276"/>
      <c r="L14" s="276"/>
      <c r="M14" s="137"/>
      <c r="N14" s="96">
        <v>0</v>
      </c>
      <c r="O14" s="96">
        <v>0</v>
      </c>
      <c r="P14" s="96">
        <v>0</v>
      </c>
      <c r="Q14" s="96">
        <v>0</v>
      </c>
      <c r="S14" s="96">
        <v>0</v>
      </c>
    </row>
    <row r="15" spans="1:19" ht="15.6">
      <c r="A15" s="181" t="s">
        <v>132</v>
      </c>
      <c r="B15" s="189">
        <v>6424</v>
      </c>
      <c r="C15" s="268">
        <v>5162</v>
      </c>
      <c r="D15" s="13">
        <v>0</v>
      </c>
      <c r="E15" s="13">
        <v>0</v>
      </c>
      <c r="F15" s="2">
        <f t="shared" si="0"/>
        <v>0</v>
      </c>
      <c r="H15" s="6"/>
      <c r="I15" s="6"/>
      <c r="J15" s="286">
        <v>0</v>
      </c>
      <c r="K15" s="276"/>
      <c r="L15" s="276"/>
      <c r="M15" s="137"/>
      <c r="N15" s="96">
        <v>0</v>
      </c>
      <c r="O15" s="96">
        <v>0</v>
      </c>
      <c r="P15" s="96">
        <v>0</v>
      </c>
      <c r="Q15" s="96">
        <v>0</v>
      </c>
      <c r="S15" s="96">
        <v>0</v>
      </c>
    </row>
    <row r="16" spans="1:19" ht="16.2" thickBot="1">
      <c r="A16" s="181" t="s">
        <v>133</v>
      </c>
      <c r="B16" s="189">
        <v>2484</v>
      </c>
      <c r="C16" s="268">
        <v>2484</v>
      </c>
      <c r="D16" s="13">
        <v>0</v>
      </c>
      <c r="E16" s="13">
        <v>0</v>
      </c>
      <c r="F16" s="106">
        <f t="shared" si="0"/>
        <v>0</v>
      </c>
      <c r="H16" s="6"/>
      <c r="I16" s="6"/>
      <c r="J16" s="286">
        <v>0</v>
      </c>
      <c r="K16" s="277"/>
      <c r="L16" s="277"/>
      <c r="M16" s="145"/>
      <c r="N16" s="146">
        <v>0</v>
      </c>
      <c r="O16" s="146">
        <v>0</v>
      </c>
      <c r="P16" s="146">
        <v>0</v>
      </c>
      <c r="Q16" s="146">
        <v>0</v>
      </c>
      <c r="S16" s="146">
        <v>0</v>
      </c>
    </row>
    <row r="17" spans="1:19" ht="15.6">
      <c r="A17" s="188" t="s">
        <v>120</v>
      </c>
      <c r="B17" s="191">
        <f>471+2*184+6*3+1*4</f>
        <v>861</v>
      </c>
      <c r="C17" s="268">
        <v>861</v>
      </c>
      <c r="D17" s="30" t="s">
        <v>206</v>
      </c>
      <c r="E17" s="169">
        <v>0</v>
      </c>
      <c r="F17" s="106">
        <f t="shared" si="0"/>
        <v>0</v>
      </c>
      <c r="H17" s="6"/>
      <c r="I17" s="6"/>
      <c r="J17" s="287">
        <v>861</v>
      </c>
      <c r="K17" s="275"/>
      <c r="L17" s="275"/>
      <c r="M17" s="105"/>
      <c r="N17" s="149"/>
      <c r="O17" s="150"/>
      <c r="P17" s="208"/>
      <c r="Q17" s="208"/>
      <c r="S17" s="151"/>
    </row>
    <row r="18" spans="1:19" ht="15.6">
      <c r="A18" s="182"/>
      <c r="B18" s="288" t="s">
        <v>203</v>
      </c>
      <c r="C18" s="288" t="s">
        <v>203</v>
      </c>
      <c r="D18" s="35"/>
      <c r="E18" s="35"/>
      <c r="F18" s="161" t="s">
        <v>202</v>
      </c>
      <c r="H18" s="6"/>
      <c r="I18" s="6"/>
      <c r="J18" s="288" t="s">
        <v>203</v>
      </c>
      <c r="K18" s="275"/>
      <c r="L18" s="275"/>
      <c r="M18" s="105"/>
      <c r="N18" s="152"/>
      <c r="O18" s="153"/>
      <c r="P18" s="209"/>
      <c r="Q18" s="209"/>
      <c r="S18" s="154"/>
    </row>
    <row r="19" spans="1:19" ht="15.6" thickBot="1">
      <c r="A19" s="185" t="s">
        <v>156</v>
      </c>
      <c r="B19" s="192">
        <v>1778</v>
      </c>
      <c r="C19" s="269">
        <v>1778</v>
      </c>
      <c r="D19" s="170">
        <v>0</v>
      </c>
      <c r="E19" s="170">
        <v>0</v>
      </c>
      <c r="F19" s="138">
        <f t="shared" si="0"/>
        <v>0</v>
      </c>
      <c r="G19" s="281"/>
      <c r="H19" s="282"/>
      <c r="I19" s="282"/>
      <c r="J19" s="289">
        <v>1778</v>
      </c>
      <c r="K19" s="278"/>
      <c r="L19" s="278"/>
      <c r="M19" s="147"/>
      <c r="N19" s="155"/>
      <c r="O19" s="156"/>
      <c r="P19" s="210"/>
      <c r="Q19" s="210"/>
      <c r="S19" s="157"/>
    </row>
    <row r="20" spans="1:19" ht="16.2" thickBot="1">
      <c r="A20" s="140" t="s">
        <v>266</v>
      </c>
      <c r="B20" s="141"/>
      <c r="C20" s="270"/>
      <c r="D20" s="142"/>
      <c r="E20" s="142"/>
      <c r="F20" s="162">
        <f>12*SUMPRODUCT($C$11:$C$17*F11:F17)+12*C19*F19</f>
        <v>0</v>
      </c>
      <c r="G20" s="295"/>
      <c r="H20" s="143"/>
      <c r="I20" s="279"/>
      <c r="J20" s="141"/>
      <c r="K20" s="160" t="s">
        <v>190</v>
      </c>
      <c r="L20" s="279"/>
      <c r="M20" s="143"/>
      <c r="N20" s="213">
        <f>12*SUMPRODUCT($C$11:$C$17*N11:N17)</f>
        <v>0</v>
      </c>
      <c r="O20" s="213">
        <f t="shared" ref="O20:S20" si="1">12*SUMPRODUCT($C$11:$C$17*O11:O17)</f>
        <v>0</v>
      </c>
      <c r="P20" s="213">
        <f t="shared" si="1"/>
        <v>0</v>
      </c>
      <c r="Q20" s="213">
        <f t="shared" si="1"/>
        <v>0</v>
      </c>
      <c r="S20" s="213">
        <f t="shared" si="1"/>
        <v>0</v>
      </c>
    </row>
    <row r="21" spans="1:19" ht="15.6" thickBot="1">
      <c r="A21" s="139"/>
      <c r="B21" s="193"/>
      <c r="C21" s="193"/>
      <c r="D21" s="167"/>
      <c r="E21" s="167"/>
      <c r="F21" s="167"/>
      <c r="G21" s="10"/>
      <c r="J21" s="193"/>
      <c r="K21" s="12"/>
      <c r="L21" s="12"/>
      <c r="N21" s="214"/>
      <c r="O21" s="215"/>
      <c r="P21" s="215"/>
      <c r="Q21" s="215"/>
      <c r="S21" s="223"/>
    </row>
    <row r="22" spans="1:19" ht="15.6">
      <c r="A22" s="135"/>
      <c r="B22" s="194"/>
      <c r="C22" s="271"/>
      <c r="D22" s="168"/>
      <c r="E22" s="168"/>
      <c r="F22" s="168"/>
      <c r="G22" s="10"/>
      <c r="H22" s="112" t="s">
        <v>176</v>
      </c>
      <c r="I22" s="100"/>
      <c r="J22" s="194"/>
      <c r="K22" s="12"/>
      <c r="L22" s="12"/>
      <c r="N22" s="216"/>
      <c r="O22" s="217"/>
      <c r="P22" s="217"/>
      <c r="Q22" s="217"/>
      <c r="S22" s="221"/>
    </row>
    <row r="23" spans="1:19" ht="15.6">
      <c r="A23" s="135"/>
      <c r="B23" s="194"/>
      <c r="C23" s="271"/>
      <c r="D23" s="168"/>
      <c r="E23" s="168"/>
      <c r="F23" s="168"/>
      <c r="G23" s="10"/>
      <c r="H23" s="113" t="s">
        <v>191</v>
      </c>
      <c r="I23" s="100"/>
      <c r="J23" s="194"/>
      <c r="K23" s="12"/>
      <c r="L23" s="12"/>
      <c r="N23" s="216"/>
      <c r="O23" s="217"/>
      <c r="P23" s="217"/>
      <c r="Q23" s="217"/>
      <c r="S23" s="221"/>
    </row>
    <row r="24" spans="1:19" ht="16.2" thickBot="1">
      <c r="A24" s="184" t="s">
        <v>121</v>
      </c>
      <c r="B24" s="290" t="s">
        <v>204</v>
      </c>
      <c r="C24" s="290" t="s">
        <v>204</v>
      </c>
      <c r="D24" s="134"/>
      <c r="E24" s="134"/>
      <c r="F24" s="163" t="s">
        <v>205</v>
      </c>
      <c r="G24" s="1"/>
      <c r="H24" s="114" t="s">
        <v>192</v>
      </c>
      <c r="I24" s="100"/>
      <c r="J24" s="290" t="s">
        <v>204</v>
      </c>
      <c r="K24" s="1"/>
      <c r="L24" s="1"/>
      <c r="N24" s="218"/>
      <c r="O24" s="217"/>
      <c r="P24" s="217"/>
      <c r="Q24" s="217"/>
      <c r="S24" s="221"/>
    </row>
    <row r="25" spans="1:19">
      <c r="A25" s="181" t="s">
        <v>138</v>
      </c>
      <c r="B25" s="191">
        <f>1248/12</f>
        <v>104</v>
      </c>
      <c r="C25" s="268">
        <v>104</v>
      </c>
      <c r="D25" s="14"/>
      <c r="E25" s="13">
        <v>0</v>
      </c>
      <c r="F25" s="2">
        <f>ROUND(D25+E25,2)</f>
        <v>0</v>
      </c>
      <c r="G25" s="10"/>
      <c r="H25" s="132">
        <v>2.86</v>
      </c>
      <c r="I25" s="10"/>
      <c r="J25" s="287">
        <f>1248/12</f>
        <v>104</v>
      </c>
      <c r="K25" s="12"/>
      <c r="L25" s="12"/>
      <c r="N25" s="219"/>
      <c r="O25" s="220"/>
      <c r="P25" s="220"/>
      <c r="Q25" s="220"/>
      <c r="S25" s="221"/>
    </row>
    <row r="26" spans="1:19">
      <c r="A26" s="181" t="s">
        <v>122</v>
      </c>
      <c r="B26" s="191">
        <v>1579</v>
      </c>
      <c r="C26" s="268">
        <v>1579</v>
      </c>
      <c r="D26" s="14"/>
      <c r="E26" s="13">
        <v>0</v>
      </c>
      <c r="F26" s="2">
        <f>ROUND(D26+E26,2)</f>
        <v>0</v>
      </c>
      <c r="G26" s="10"/>
      <c r="H26" s="164">
        <v>1.6</v>
      </c>
      <c r="I26" s="10"/>
      <c r="J26" s="287">
        <v>1579</v>
      </c>
      <c r="K26" s="12"/>
      <c r="L26" s="12"/>
      <c r="N26" s="219"/>
      <c r="O26" s="220"/>
      <c r="P26" s="220"/>
      <c r="Q26" s="220"/>
      <c r="S26" s="221"/>
    </row>
    <row r="27" spans="1:19">
      <c r="A27" s="186" t="s">
        <v>159</v>
      </c>
      <c r="B27" s="195"/>
      <c r="C27" s="272"/>
      <c r="D27" s="38"/>
      <c r="E27" s="38"/>
      <c r="F27" s="291"/>
      <c r="G27" s="10"/>
      <c r="H27" s="164"/>
      <c r="I27" s="10"/>
      <c r="J27" s="287"/>
      <c r="K27" s="12"/>
      <c r="L27" s="12"/>
      <c r="N27" s="219"/>
      <c r="O27" s="220"/>
      <c r="P27" s="220"/>
      <c r="Q27" s="220"/>
      <c r="S27" s="221"/>
    </row>
    <row r="28" spans="1:19">
      <c r="A28" s="181" t="s">
        <v>160</v>
      </c>
      <c r="B28" s="196">
        <v>63</v>
      </c>
      <c r="C28" s="196">
        <v>63</v>
      </c>
      <c r="D28" s="14"/>
      <c r="E28" s="13">
        <v>0</v>
      </c>
      <c r="F28" s="2">
        <f>ROUND(D28+E28,2)</f>
        <v>0</v>
      </c>
      <c r="G28" s="10"/>
      <c r="H28" s="164">
        <v>10.199999999999999</v>
      </c>
      <c r="I28" s="10"/>
      <c r="J28" s="292">
        <v>63</v>
      </c>
      <c r="K28" s="12"/>
      <c r="L28" s="12"/>
      <c r="N28" s="219"/>
      <c r="O28" s="220"/>
      <c r="P28" s="220"/>
      <c r="Q28" s="220"/>
      <c r="S28" s="221"/>
    </row>
    <row r="29" spans="1:19">
      <c r="A29" s="181" t="s">
        <v>161</v>
      </c>
      <c r="B29" s="196">
        <v>87</v>
      </c>
      <c r="C29" s="196">
        <v>87</v>
      </c>
      <c r="D29" s="13">
        <v>0</v>
      </c>
      <c r="E29" s="13">
        <v>0</v>
      </c>
      <c r="F29" s="2">
        <f>ROUND(D29+E29,2)</f>
        <v>0</v>
      </c>
      <c r="G29" s="10"/>
      <c r="H29" s="164">
        <v>9.6</v>
      </c>
      <c r="I29" s="10"/>
      <c r="J29" s="292">
        <v>87</v>
      </c>
      <c r="K29" s="12"/>
      <c r="L29" s="12"/>
      <c r="N29" s="219"/>
      <c r="O29" s="220"/>
      <c r="P29" s="220"/>
      <c r="Q29" s="220"/>
      <c r="S29" s="221"/>
    </row>
    <row r="30" spans="1:19">
      <c r="A30" s="181" t="s">
        <v>162</v>
      </c>
      <c r="B30" s="196">
        <v>1</v>
      </c>
      <c r="C30" s="196">
        <v>1</v>
      </c>
      <c r="D30" s="13">
        <v>0</v>
      </c>
      <c r="E30" s="13">
        <v>0</v>
      </c>
      <c r="F30" s="2">
        <f>ROUND(D30+E30,2)</f>
        <v>0</v>
      </c>
      <c r="G30" s="10"/>
      <c r="H30" s="164"/>
      <c r="I30" s="10"/>
      <c r="J30" s="292">
        <v>1</v>
      </c>
      <c r="K30" s="12"/>
      <c r="L30" s="12"/>
      <c r="N30" s="219"/>
      <c r="O30" s="220"/>
      <c r="P30" s="220"/>
      <c r="Q30" s="220"/>
      <c r="S30" s="221"/>
    </row>
    <row r="31" spans="1:19">
      <c r="A31" s="180" t="s">
        <v>69</v>
      </c>
      <c r="B31" s="197"/>
      <c r="C31" s="197"/>
      <c r="D31" s="15"/>
      <c r="E31" s="15"/>
      <c r="F31" s="291"/>
      <c r="H31" s="164"/>
      <c r="I31" s="10"/>
      <c r="J31" s="293"/>
      <c r="N31" s="221"/>
      <c r="O31" s="221"/>
      <c r="P31" s="221"/>
      <c r="Q31" s="221"/>
      <c r="S31" s="221"/>
    </row>
    <row r="32" spans="1:19">
      <c r="A32" s="181" t="s">
        <v>70</v>
      </c>
      <c r="B32" s="196">
        <f>156/12</f>
        <v>13</v>
      </c>
      <c r="C32" s="196">
        <f>156/12</f>
        <v>13</v>
      </c>
      <c r="D32" s="14"/>
      <c r="E32" s="13">
        <v>0</v>
      </c>
      <c r="F32" s="2">
        <f>ROUND(D32+E32,2)</f>
        <v>0</v>
      </c>
      <c r="G32" s="10"/>
      <c r="H32" s="164">
        <v>5.73</v>
      </c>
      <c r="I32" s="10"/>
      <c r="J32" s="292">
        <f>156/12</f>
        <v>13</v>
      </c>
      <c r="K32" s="12"/>
      <c r="L32" s="12"/>
      <c r="N32" s="221"/>
      <c r="O32" s="221"/>
      <c r="P32" s="221"/>
      <c r="Q32" s="221"/>
      <c r="S32" s="221"/>
    </row>
    <row r="33" spans="1:19">
      <c r="A33" s="181" t="s">
        <v>71</v>
      </c>
      <c r="B33" s="196">
        <v>21</v>
      </c>
      <c r="C33" s="196">
        <v>21</v>
      </c>
      <c r="D33" s="14"/>
      <c r="E33" s="13">
        <v>0</v>
      </c>
      <c r="F33" s="2">
        <f>ROUND(D33+E33,2)</f>
        <v>0</v>
      </c>
      <c r="G33" s="10"/>
      <c r="H33" s="164">
        <v>5.25</v>
      </c>
      <c r="I33" s="10"/>
      <c r="J33" s="292">
        <v>21</v>
      </c>
      <c r="K33" s="12"/>
      <c r="L33" s="12"/>
      <c r="N33" s="221"/>
      <c r="O33" s="221"/>
      <c r="P33" s="221"/>
      <c r="Q33" s="221"/>
      <c r="S33" s="221"/>
    </row>
    <row r="34" spans="1:19">
      <c r="A34" s="181" t="s">
        <v>72</v>
      </c>
      <c r="B34" s="196">
        <v>31</v>
      </c>
      <c r="C34" s="196">
        <v>31</v>
      </c>
      <c r="D34" s="14"/>
      <c r="E34" s="13">
        <v>0</v>
      </c>
      <c r="F34" s="2">
        <f>ROUND(D34+E34,2)</f>
        <v>0</v>
      </c>
      <c r="G34" s="10"/>
      <c r="H34" s="164">
        <v>0.55000000000000004</v>
      </c>
      <c r="I34" s="10"/>
      <c r="J34" s="292">
        <v>31</v>
      </c>
      <c r="K34" s="12"/>
      <c r="L34" s="12"/>
      <c r="N34" s="221"/>
      <c r="O34" s="221"/>
      <c r="P34" s="221"/>
      <c r="Q34" s="221"/>
      <c r="S34" s="221"/>
    </row>
    <row r="35" spans="1:19">
      <c r="A35" s="182" t="s">
        <v>127</v>
      </c>
      <c r="B35" s="196">
        <v>1</v>
      </c>
      <c r="C35" s="196">
        <v>1</v>
      </c>
      <c r="D35" s="31"/>
      <c r="E35" s="171">
        <v>0</v>
      </c>
      <c r="F35" s="32">
        <f>ROUND(D35+E35,2)</f>
        <v>0</v>
      </c>
      <c r="G35" s="10"/>
      <c r="H35" s="164"/>
      <c r="I35" s="10"/>
      <c r="J35" s="292">
        <v>1</v>
      </c>
      <c r="K35" s="12"/>
      <c r="L35" s="12"/>
      <c r="N35" s="221"/>
      <c r="O35" s="221"/>
      <c r="P35" s="221"/>
      <c r="Q35" s="221"/>
      <c r="S35" s="221"/>
    </row>
    <row r="36" spans="1:19">
      <c r="A36" s="56" t="s">
        <v>78</v>
      </c>
      <c r="B36" s="196">
        <v>1</v>
      </c>
      <c r="C36" s="196">
        <v>1</v>
      </c>
      <c r="D36" s="39"/>
      <c r="E36" s="172">
        <v>0</v>
      </c>
      <c r="F36" s="40">
        <f t="shared" ref="F36:F37" si="2">ROUND(D36+E36,2)</f>
        <v>0</v>
      </c>
      <c r="G36" s="34"/>
      <c r="H36" s="164">
        <v>2.1</v>
      </c>
      <c r="I36" s="10"/>
      <c r="J36" s="292">
        <v>1</v>
      </c>
      <c r="K36" s="12"/>
      <c r="L36" s="12"/>
      <c r="N36" s="221"/>
      <c r="O36" s="221"/>
      <c r="P36" s="221"/>
      <c r="Q36" s="221"/>
      <c r="S36" s="221"/>
    </row>
    <row r="37" spans="1:19">
      <c r="A37" s="56" t="s">
        <v>76</v>
      </c>
      <c r="B37" s="196">
        <v>1</v>
      </c>
      <c r="C37" s="196">
        <v>1</v>
      </c>
      <c r="D37" s="39"/>
      <c r="E37" s="172">
        <v>0</v>
      </c>
      <c r="F37" s="40">
        <f t="shared" si="2"/>
        <v>0</v>
      </c>
      <c r="G37" s="34"/>
      <c r="H37" s="164">
        <v>1.51</v>
      </c>
      <c r="I37" s="10"/>
      <c r="J37" s="292">
        <v>1</v>
      </c>
      <c r="K37" s="12"/>
      <c r="L37" s="12"/>
      <c r="N37" s="221"/>
      <c r="O37" s="221"/>
      <c r="P37" s="221"/>
      <c r="Q37" s="221"/>
      <c r="S37" s="221"/>
    </row>
    <row r="38" spans="1:19">
      <c r="A38" s="181" t="s">
        <v>68</v>
      </c>
      <c r="B38" s="196">
        <f>226/12</f>
        <v>18.833333333333332</v>
      </c>
      <c r="C38" s="196">
        <f>226/12</f>
        <v>18.833333333333332</v>
      </c>
      <c r="D38" s="14"/>
      <c r="E38" s="13">
        <v>0</v>
      </c>
      <c r="F38" s="2">
        <f>ROUND(D38+E38,2)</f>
        <v>0</v>
      </c>
      <c r="G38" s="10"/>
      <c r="H38" s="164">
        <v>16.7</v>
      </c>
      <c r="I38" s="10"/>
      <c r="J38" s="292">
        <f>226/12</f>
        <v>18.833333333333332</v>
      </c>
      <c r="K38" s="12"/>
      <c r="L38" s="12"/>
      <c r="N38" s="221"/>
      <c r="O38" s="221"/>
      <c r="P38" s="221"/>
      <c r="Q38" s="221"/>
      <c r="S38" s="221"/>
    </row>
    <row r="39" spans="1:19">
      <c r="A39" s="180" t="s">
        <v>124</v>
      </c>
      <c r="B39" s="198"/>
      <c r="C39" s="198"/>
      <c r="D39" s="15"/>
      <c r="E39" s="15"/>
      <c r="F39" s="291"/>
      <c r="H39" s="164"/>
      <c r="I39" s="10"/>
      <c r="J39" s="294"/>
      <c r="N39" s="221"/>
      <c r="O39" s="221"/>
      <c r="P39" s="221"/>
      <c r="Q39" s="221"/>
      <c r="S39" s="221"/>
    </row>
    <row r="40" spans="1:19">
      <c r="A40" s="181" t="s">
        <v>125</v>
      </c>
      <c r="B40" s="196">
        <v>1</v>
      </c>
      <c r="C40" s="196">
        <v>1</v>
      </c>
      <c r="D40" s="14"/>
      <c r="E40" s="13">
        <v>0</v>
      </c>
      <c r="F40" s="2">
        <f t="shared" ref="F40:F41" si="3">ROUND(D40+E40,2)</f>
        <v>0</v>
      </c>
      <c r="G40" s="10"/>
      <c r="H40" s="164"/>
      <c r="I40" s="10"/>
      <c r="J40" s="292">
        <v>1</v>
      </c>
      <c r="K40" s="12"/>
      <c r="L40" s="12"/>
      <c r="N40" s="221"/>
      <c r="O40" s="221"/>
      <c r="P40" s="221"/>
      <c r="Q40" s="221"/>
      <c r="S40" s="221"/>
    </row>
    <row r="41" spans="1:19" ht="15.6" thickBot="1">
      <c r="A41" s="181" t="s">
        <v>137</v>
      </c>
      <c r="B41" s="196">
        <v>1</v>
      </c>
      <c r="C41" s="196">
        <v>1</v>
      </c>
      <c r="D41" s="14"/>
      <c r="E41" s="13">
        <v>0</v>
      </c>
      <c r="F41" s="2">
        <f t="shared" si="3"/>
        <v>0</v>
      </c>
      <c r="G41" s="10"/>
      <c r="H41" s="121"/>
      <c r="I41" s="10"/>
      <c r="J41" s="292">
        <v>1</v>
      </c>
      <c r="K41" s="12"/>
      <c r="L41" s="12"/>
      <c r="N41" s="221"/>
      <c r="O41" s="221"/>
      <c r="P41" s="221"/>
      <c r="Q41" s="221"/>
      <c r="S41" s="221"/>
    </row>
    <row r="42" spans="1:19" ht="15.6">
      <c r="A42" s="104" t="s">
        <v>170</v>
      </c>
      <c r="B42" s="109"/>
      <c r="C42" s="273"/>
      <c r="D42" s="131"/>
      <c r="E42" s="131"/>
      <c r="F42" s="106">
        <f>12*SUMPRODUCT(C25:C41*F25:F41)</f>
        <v>0</v>
      </c>
      <c r="N42" s="221"/>
      <c r="O42" s="221"/>
      <c r="P42" s="221"/>
      <c r="Q42" s="221"/>
      <c r="S42" s="221"/>
    </row>
    <row r="43" spans="1:19" ht="15.6" thickBot="1">
      <c r="N43" s="222"/>
      <c r="O43" s="222"/>
      <c r="P43" s="222"/>
      <c r="Q43" s="222"/>
      <c r="S43" s="222"/>
    </row>
    <row r="44" spans="1:19" ht="16.2" thickBot="1">
      <c r="A44" s="86" t="s">
        <v>310</v>
      </c>
      <c r="B44" s="87"/>
      <c r="C44" s="178"/>
      <c r="D44" s="88"/>
      <c r="E44" s="88"/>
      <c r="F44" s="89">
        <f>F20+F42</f>
        <v>0</v>
      </c>
      <c r="G44" s="120"/>
      <c r="H44" s="87"/>
      <c r="I44" s="178"/>
      <c r="J44" s="101"/>
      <c r="K44" s="120" t="s">
        <v>190</v>
      </c>
      <c r="L44" s="280"/>
      <c r="M44" s="87"/>
      <c r="N44" s="98">
        <f>N20</f>
        <v>0</v>
      </c>
      <c r="O44" s="98">
        <f>O20</f>
        <v>0</v>
      </c>
      <c r="P44" s="98">
        <f>P20</f>
        <v>0</v>
      </c>
      <c r="Q44" s="98">
        <f>Q20</f>
        <v>0</v>
      </c>
      <c r="S44" s="98">
        <f>S20</f>
        <v>0</v>
      </c>
    </row>
    <row r="45" spans="1:19" ht="15" customHeight="1" thickBot="1">
      <c r="F45" s="212" t="s">
        <v>280</v>
      </c>
      <c r="H45" s="12"/>
      <c r="I45" s="12"/>
      <c r="N45" s="324" t="s">
        <v>281</v>
      </c>
      <c r="O45" s="325"/>
      <c r="P45" s="325"/>
      <c r="Q45" s="326"/>
      <c r="S45" s="212" t="s">
        <v>290</v>
      </c>
    </row>
    <row r="47" spans="1:19" ht="15.6">
      <c r="A47" s="57" t="s">
        <v>293</v>
      </c>
    </row>
    <row r="48" spans="1:19" ht="18">
      <c r="A48" s="296" t="s">
        <v>295</v>
      </c>
    </row>
    <row r="49" spans="1:1" ht="15.6">
      <c r="A49" s="57" t="s">
        <v>296</v>
      </c>
    </row>
    <row r="50" spans="1:1" ht="18">
      <c r="A50" s="296" t="s">
        <v>307</v>
      </c>
    </row>
    <row r="51" spans="1:1" ht="15.6">
      <c r="A51" s="57" t="s">
        <v>294</v>
      </c>
    </row>
    <row r="52" spans="1:1" ht="15.6">
      <c r="A52" s="57" t="s">
        <v>196</v>
      </c>
    </row>
    <row r="53" spans="1:1" ht="15.6">
      <c r="A53" s="57" t="s">
        <v>128</v>
      </c>
    </row>
    <row r="54" spans="1:1" ht="15.6">
      <c r="A54" s="57" t="s">
        <v>301</v>
      </c>
    </row>
    <row r="55" spans="1:1" ht="15.6">
      <c r="A55" s="57" t="s">
        <v>311</v>
      </c>
    </row>
    <row r="56" spans="1:1" ht="15.6">
      <c r="A56" s="57" t="s">
        <v>302</v>
      </c>
    </row>
    <row r="57" spans="1:1" ht="15.6">
      <c r="A57" s="57" t="s">
        <v>198</v>
      </c>
    </row>
    <row r="58" spans="1:1" ht="15.6">
      <c r="A58" s="57" t="s">
        <v>216</v>
      </c>
    </row>
    <row r="59" spans="1:1" ht="15.6">
      <c r="A59" s="57" t="s">
        <v>217</v>
      </c>
    </row>
    <row r="60" spans="1:1" ht="15.6">
      <c r="A60" s="57" t="s">
        <v>303</v>
      </c>
    </row>
    <row r="61" spans="1:1" ht="15.6">
      <c r="A61" s="57" t="s">
        <v>286</v>
      </c>
    </row>
  </sheetData>
  <sheetProtection password="A2DE" sheet="1" objects="1" scenarios="1"/>
  <mergeCells count="3">
    <mergeCell ref="N5:Q5"/>
    <mergeCell ref="B3:J3"/>
    <mergeCell ref="N45:Q45"/>
  </mergeCells>
  <printOptions horizontalCentered="1"/>
  <pageMargins left="0.5" right="0.5" top="0.5" bottom="0.53" header="0.25" footer="0.25"/>
  <pageSetup paperSize="17" scale="55" orientation="landscape" useFirstPageNumber="1" r:id="rId1"/>
  <headerFooter alignWithMargins="0">
    <oddHeader>&amp;L&amp;C&amp;"Times New Roman,Bold"&amp;14Form 2A&amp;R</oddHeader>
    <oddFooter xml:space="preserve">&amp;L&amp;"Times New Roman,Regular"City of Bellevue RFB/P Forms&amp;C&amp;"Times New Roman,Regular"&amp;P&amp;R&amp;"Times New Roman,Regular"Proponent:___________________&amp;"Geneva,Regular"
</oddFooter>
  </headerFooter>
  <ignoredErrors>
    <ignoredError sqref="J1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P58"/>
  <sheetViews>
    <sheetView showGridLines="0" zoomScale="80" zoomScaleNormal="80" zoomScaleSheetLayoutView="100" workbookViewId="0">
      <pane xSplit="1" topLeftCell="B1" activePane="topRight" state="frozen"/>
      <selection pane="topRight" activeCell="A12" sqref="A12"/>
    </sheetView>
  </sheetViews>
  <sheetFormatPr defaultColWidth="8.6328125" defaultRowHeight="15"/>
  <cols>
    <col min="1" max="1" width="48" style="8" customWidth="1"/>
    <col min="2" max="3" width="11.1796875" style="21" bestFit="1" customWidth="1"/>
    <col min="4" max="5" width="13.81640625" style="21" customWidth="1"/>
    <col min="6" max="6" width="19.36328125" style="8" bestFit="1" customWidth="1"/>
    <col min="7" max="7" width="8.81640625" style="8" customWidth="1"/>
    <col min="8" max="8" width="10" style="8" bestFit="1" customWidth="1"/>
    <col min="9" max="10" width="8.81640625" style="8" customWidth="1"/>
    <col min="11" max="11" width="18.08984375" style="8" customWidth="1"/>
    <col min="12" max="12" width="18" style="8" customWidth="1"/>
    <col min="13" max="13" width="19" style="8" customWidth="1"/>
    <col min="14" max="14" width="18.54296875" style="8" customWidth="1"/>
    <col min="15" max="15" width="12.6328125" style="8" customWidth="1"/>
    <col min="16" max="16" width="50.08984375" style="8" bestFit="1" customWidth="1"/>
    <col min="17" max="16384" width="8.6328125" style="8"/>
  </cols>
  <sheetData>
    <row r="1" spans="1:16" ht="17.399999999999999">
      <c r="A1" s="261" t="s">
        <v>244</v>
      </c>
    </row>
    <row r="3" spans="1:16" ht="21.75" customHeight="1">
      <c r="A3" s="66" t="s">
        <v>12</v>
      </c>
      <c r="B3" s="327" t="s">
        <v>236</v>
      </c>
      <c r="C3" s="327"/>
      <c r="D3" s="327"/>
      <c r="E3" s="327"/>
      <c r="F3" s="328"/>
      <c r="G3" s="67"/>
      <c r="H3" s="11"/>
      <c r="I3" s="11"/>
    </row>
    <row r="4" spans="1:16" ht="18" customHeight="1" thickBot="1">
      <c r="A4" s="68" t="s">
        <v>13</v>
      </c>
      <c r="B4" s="69"/>
      <c r="C4" s="69"/>
      <c r="D4" s="69"/>
      <c r="E4" s="69"/>
      <c r="F4" s="70"/>
      <c r="G4" s="67"/>
      <c r="H4" s="11"/>
      <c r="I4" s="11"/>
    </row>
    <row r="5" spans="1:16" ht="18" customHeight="1" thickBot="1">
      <c r="A5" s="71" t="s">
        <v>17</v>
      </c>
      <c r="B5" s="72"/>
      <c r="C5" s="73"/>
      <c r="D5" s="73"/>
      <c r="E5" s="73"/>
      <c r="F5" s="74"/>
      <c r="G5" s="75"/>
      <c r="K5" s="317" t="s">
        <v>256</v>
      </c>
      <c r="L5" s="318"/>
      <c r="M5" s="318"/>
      <c r="N5" s="319"/>
      <c r="P5" s="212" t="s">
        <v>291</v>
      </c>
    </row>
    <row r="6" spans="1:16" ht="15.6">
      <c r="A6" s="76"/>
      <c r="B6" s="4"/>
      <c r="C6" s="4"/>
      <c r="D6" s="4"/>
      <c r="E6" s="4"/>
      <c r="F6" s="77"/>
      <c r="H6" s="6"/>
      <c r="I6" s="7"/>
      <c r="K6" s="16"/>
      <c r="L6" s="16" t="s">
        <v>213</v>
      </c>
      <c r="M6" s="211"/>
      <c r="N6" s="16"/>
      <c r="P6" s="16" t="s">
        <v>220</v>
      </c>
    </row>
    <row r="7" spans="1:16" ht="15.6">
      <c r="A7" s="76"/>
      <c r="B7" s="4"/>
      <c r="C7" s="4"/>
      <c r="D7" s="4"/>
      <c r="E7" s="4"/>
      <c r="F7" s="77" t="s">
        <v>21</v>
      </c>
      <c r="H7" s="6"/>
      <c r="I7" s="7"/>
      <c r="K7" s="16" t="s">
        <v>209</v>
      </c>
      <c r="L7" s="16" t="s">
        <v>211</v>
      </c>
      <c r="M7" s="16" t="s">
        <v>253</v>
      </c>
      <c r="N7" s="16"/>
      <c r="P7" s="16" t="s">
        <v>188</v>
      </c>
    </row>
    <row r="8" spans="1:16" ht="15.6">
      <c r="A8" s="76"/>
      <c r="B8" s="4" t="s">
        <v>207</v>
      </c>
      <c r="C8" s="4" t="s">
        <v>21</v>
      </c>
      <c r="D8" s="4" t="s">
        <v>21</v>
      </c>
      <c r="E8" s="4" t="s">
        <v>21</v>
      </c>
      <c r="F8" s="77" t="s">
        <v>0</v>
      </c>
      <c r="H8" s="6"/>
      <c r="I8" s="7"/>
      <c r="K8" s="16" t="s">
        <v>20</v>
      </c>
      <c r="L8" s="16" t="s">
        <v>212</v>
      </c>
      <c r="M8" s="16" t="s">
        <v>254</v>
      </c>
      <c r="N8" s="16" t="s">
        <v>257</v>
      </c>
      <c r="P8" s="16" t="s">
        <v>219</v>
      </c>
    </row>
    <row r="9" spans="1:16" ht="15.6">
      <c r="A9" s="78" t="s">
        <v>3</v>
      </c>
      <c r="B9" s="4" t="s">
        <v>164</v>
      </c>
      <c r="C9" s="4" t="s">
        <v>164</v>
      </c>
      <c r="D9" s="4" t="s">
        <v>19</v>
      </c>
      <c r="E9" s="4" t="s">
        <v>20</v>
      </c>
      <c r="F9" s="77" t="s">
        <v>1</v>
      </c>
      <c r="K9" s="16" t="s">
        <v>210</v>
      </c>
      <c r="L9" s="16" t="s">
        <v>214</v>
      </c>
      <c r="M9" s="16" t="s">
        <v>255</v>
      </c>
      <c r="N9" s="16" t="s">
        <v>258</v>
      </c>
      <c r="P9" s="16" t="s">
        <v>221</v>
      </c>
    </row>
    <row r="10" spans="1:16" ht="15.6">
      <c r="A10" s="187" t="s">
        <v>18</v>
      </c>
      <c r="B10" s="5" t="s">
        <v>16</v>
      </c>
      <c r="C10" s="5" t="s">
        <v>16</v>
      </c>
      <c r="D10" s="5" t="s">
        <v>2</v>
      </c>
      <c r="E10" s="5" t="s">
        <v>2</v>
      </c>
      <c r="F10" s="79" t="s">
        <v>2</v>
      </c>
      <c r="K10" s="16" t="s">
        <v>208</v>
      </c>
      <c r="L10" s="16" t="s">
        <v>215</v>
      </c>
      <c r="M10" s="16" t="s">
        <v>252</v>
      </c>
      <c r="N10" s="16" t="s">
        <v>259</v>
      </c>
      <c r="P10" s="16" t="s">
        <v>222</v>
      </c>
    </row>
    <row r="11" spans="1:16">
      <c r="A11" s="181" t="s">
        <v>123</v>
      </c>
      <c r="B11" s="191"/>
      <c r="C11" s="199">
        <v>0</v>
      </c>
      <c r="D11" s="30">
        <f>(10/32)*D13</f>
        <v>0</v>
      </c>
      <c r="E11" s="30">
        <f>(10/32)*E13</f>
        <v>0</v>
      </c>
      <c r="F11" s="2">
        <f t="shared" ref="F11:F19" si="0">ROUND(D11+E11,2)</f>
        <v>0</v>
      </c>
      <c r="G11" s="136"/>
      <c r="H11" s="105"/>
      <c r="I11" s="105"/>
      <c r="J11" s="137"/>
      <c r="K11" s="265">
        <f>(10/32)*K13</f>
        <v>0</v>
      </c>
      <c r="L11" s="265">
        <f t="shared" ref="L11:N11" si="1">(10/32)*L13</f>
        <v>0</v>
      </c>
      <c r="M11" s="265">
        <f t="shared" si="1"/>
        <v>0</v>
      </c>
      <c r="N11" s="265">
        <f t="shared" si="1"/>
        <v>0</v>
      </c>
      <c r="P11" s="263">
        <f>(10/32)*P13</f>
        <v>0</v>
      </c>
    </row>
    <row r="12" spans="1:16">
      <c r="A12" s="181" t="s">
        <v>14</v>
      </c>
      <c r="B12" s="189">
        <v>6046</v>
      </c>
      <c r="C12" s="200">
        <v>0</v>
      </c>
      <c r="D12" s="14">
        <f>(20/32)*D13</f>
        <v>0</v>
      </c>
      <c r="E12" s="14">
        <f>(20/32)*E13</f>
        <v>0</v>
      </c>
      <c r="F12" s="2">
        <f t="shared" si="0"/>
        <v>0</v>
      </c>
      <c r="G12" s="136"/>
      <c r="H12" s="131"/>
      <c r="I12" s="131"/>
      <c r="J12" s="137"/>
      <c r="K12" s="265">
        <f>(20/32)*K13</f>
        <v>0</v>
      </c>
      <c r="L12" s="265">
        <f t="shared" ref="L12:N12" si="2">(20/32)*L13</f>
        <v>0</v>
      </c>
      <c r="M12" s="265">
        <f t="shared" si="2"/>
        <v>0</v>
      </c>
      <c r="N12" s="265">
        <f t="shared" si="2"/>
        <v>0</v>
      </c>
      <c r="P12" s="263">
        <f>(20/32)*P13</f>
        <v>0</v>
      </c>
    </row>
    <row r="13" spans="1:16">
      <c r="A13" s="181" t="s">
        <v>15</v>
      </c>
      <c r="B13" s="189">
        <f>13361+471+184*2+6*3+1*4</f>
        <v>14222</v>
      </c>
      <c r="C13" s="189">
        <f>29176-SUM(C14:C16)-C11-C12</f>
        <v>29176</v>
      </c>
      <c r="D13" s="13">
        <v>0</v>
      </c>
      <c r="E13" s="13">
        <v>0</v>
      </c>
      <c r="F13" s="2">
        <f t="shared" si="0"/>
        <v>0</v>
      </c>
      <c r="G13" s="136"/>
      <c r="H13" s="131"/>
      <c r="I13" s="131"/>
      <c r="J13" s="137"/>
      <c r="K13" s="96">
        <v>0</v>
      </c>
      <c r="L13" s="96">
        <v>0</v>
      </c>
      <c r="M13" s="96">
        <v>0</v>
      </c>
      <c r="N13" s="96">
        <v>0</v>
      </c>
      <c r="P13" s="262">
        <v>0</v>
      </c>
    </row>
    <row r="14" spans="1:16">
      <c r="A14" s="181" t="s">
        <v>139</v>
      </c>
      <c r="B14" s="190"/>
      <c r="C14" s="201">
        <v>0</v>
      </c>
      <c r="D14" s="14">
        <f>(45/32)*D13</f>
        <v>0</v>
      </c>
      <c r="E14" s="14">
        <f>(45/32)*E13</f>
        <v>0</v>
      </c>
      <c r="F14" s="2">
        <f t="shared" si="0"/>
        <v>0</v>
      </c>
      <c r="G14" s="136"/>
      <c r="H14" s="131"/>
      <c r="I14" s="131"/>
      <c r="J14" s="137"/>
      <c r="K14" s="265">
        <f>(45/32)*K13</f>
        <v>0</v>
      </c>
      <c r="L14" s="265">
        <f>(45/32)*L13</f>
        <v>0</v>
      </c>
      <c r="M14" s="265">
        <f>(45/32)*M13</f>
        <v>0</v>
      </c>
      <c r="N14" s="265">
        <f>(45/32)*N13</f>
        <v>0</v>
      </c>
      <c r="P14" s="263">
        <f>(45/32)*P13</f>
        <v>0</v>
      </c>
    </row>
    <row r="15" spans="1:16">
      <c r="A15" s="181" t="s">
        <v>132</v>
      </c>
      <c r="B15" s="189">
        <v>6424</v>
      </c>
      <c r="C15" s="200">
        <v>0</v>
      </c>
      <c r="D15" s="14">
        <f>(64/32)*D13</f>
        <v>0</v>
      </c>
      <c r="E15" s="14">
        <f>(64/32)*E13</f>
        <v>0</v>
      </c>
      <c r="F15" s="2">
        <f t="shared" si="0"/>
        <v>0</v>
      </c>
      <c r="G15" s="136"/>
      <c r="H15" s="131"/>
      <c r="I15" s="131"/>
      <c r="J15" s="137"/>
      <c r="K15" s="265">
        <f>(64/32)*K13</f>
        <v>0</v>
      </c>
      <c r="L15" s="265">
        <f>(64/32)*L13</f>
        <v>0</v>
      </c>
      <c r="M15" s="265">
        <f>(64/32)*M13</f>
        <v>0</v>
      </c>
      <c r="N15" s="265">
        <f>(64/32)*N13</f>
        <v>0</v>
      </c>
      <c r="P15" s="263">
        <f>(64/32)*P13</f>
        <v>0</v>
      </c>
    </row>
    <row r="16" spans="1:16" ht="15.6" thickBot="1">
      <c r="A16" s="181" t="s">
        <v>133</v>
      </c>
      <c r="B16" s="189">
        <v>2484</v>
      </c>
      <c r="C16" s="200">
        <v>0</v>
      </c>
      <c r="D16" s="14">
        <f>(96/32)*D13</f>
        <v>0</v>
      </c>
      <c r="E16" s="14">
        <f>(96/32)*E13</f>
        <v>0</v>
      </c>
      <c r="F16" s="106">
        <f t="shared" si="0"/>
        <v>0</v>
      </c>
      <c r="G16" s="158"/>
      <c r="H16" s="144"/>
      <c r="I16" s="144"/>
      <c r="J16" s="145"/>
      <c r="K16" s="266">
        <f>(96/32)*K13</f>
        <v>0</v>
      </c>
      <c r="L16" s="266">
        <f>(96/32)*L13</f>
        <v>0</v>
      </c>
      <c r="M16" s="266">
        <f>(96/32)*M13</f>
        <v>0</v>
      </c>
      <c r="N16" s="266">
        <f>(96/32)*N13</f>
        <v>0</v>
      </c>
      <c r="P16" s="264">
        <f>(96/32)*P13</f>
        <v>0</v>
      </c>
    </row>
    <row r="17" spans="1:16">
      <c r="A17" s="188" t="s">
        <v>120</v>
      </c>
      <c r="B17" s="191">
        <f>471+2*184+6*3+1*4</f>
        <v>861</v>
      </c>
      <c r="C17" s="202">
        <v>861</v>
      </c>
      <c r="D17" s="30" t="s">
        <v>206</v>
      </c>
      <c r="E17" s="169">
        <v>0</v>
      </c>
      <c r="F17" s="106">
        <f t="shared" si="0"/>
        <v>0</v>
      </c>
      <c r="G17" s="159"/>
      <c r="H17" s="105"/>
      <c r="I17" s="105"/>
      <c r="J17" s="105"/>
      <c r="K17" s="149"/>
      <c r="L17" s="150"/>
      <c r="M17" s="150"/>
      <c r="N17" s="150"/>
      <c r="P17" s="151"/>
    </row>
    <row r="18" spans="1:16" ht="15.6">
      <c r="A18" s="182"/>
      <c r="B18" s="53" t="s">
        <v>203</v>
      </c>
      <c r="C18" s="53" t="s">
        <v>203</v>
      </c>
      <c r="D18" s="35"/>
      <c r="E18" s="35"/>
      <c r="F18" s="161" t="s">
        <v>202</v>
      </c>
      <c r="G18" s="159"/>
      <c r="H18" s="105"/>
      <c r="I18" s="105"/>
      <c r="J18" s="105"/>
      <c r="K18" s="152"/>
      <c r="L18" s="153"/>
      <c r="M18" s="153"/>
      <c r="N18" s="153"/>
      <c r="P18" s="154"/>
    </row>
    <row r="19" spans="1:16" ht="15.6" thickBot="1">
      <c r="A19" s="185" t="s">
        <v>156</v>
      </c>
      <c r="B19" s="192">
        <v>1778</v>
      </c>
      <c r="C19" s="192">
        <v>1778</v>
      </c>
      <c r="D19" s="80">
        <f>D13/(52/12)</f>
        <v>0</v>
      </c>
      <c r="E19" s="170">
        <v>0</v>
      </c>
      <c r="F19" s="138">
        <f t="shared" si="0"/>
        <v>0</v>
      </c>
      <c r="G19" s="148"/>
      <c r="H19" s="147"/>
      <c r="I19" s="148"/>
      <c r="J19" s="147"/>
      <c r="K19" s="155"/>
      <c r="L19" s="156"/>
      <c r="M19" s="156"/>
      <c r="N19" s="156"/>
      <c r="P19" s="157"/>
    </row>
    <row r="20" spans="1:16" ht="16.2" thickBot="1">
      <c r="A20" s="140" t="s">
        <v>266</v>
      </c>
      <c r="B20" s="141"/>
      <c r="C20" s="141"/>
      <c r="D20" s="142"/>
      <c r="E20" s="142"/>
      <c r="F20" s="162">
        <f>12*SUMPRODUCT($C$11:$C$17*F11:F17)+12*C19*F19</f>
        <v>0</v>
      </c>
      <c r="G20" s="160" t="s">
        <v>190</v>
      </c>
      <c r="H20" s="143"/>
      <c r="I20" s="143"/>
      <c r="J20" s="143"/>
      <c r="K20" s="213">
        <f>12*SUMPRODUCT($C$11:$C$17*K11:K17)</f>
        <v>0</v>
      </c>
      <c r="L20" s="213">
        <f>12*SUMPRODUCT($C$11:$C$17*L11:L17)</f>
        <v>0</v>
      </c>
      <c r="M20" s="213">
        <f>12*SUMPRODUCT($C$11:$C$17*M11:M17)</f>
        <v>0</v>
      </c>
      <c r="N20" s="213">
        <f>12*SUMPRODUCT($C$11:$C$17*N11:N17)</f>
        <v>0</v>
      </c>
      <c r="P20" s="213">
        <f>12*SUMPRODUCT($C$11:$C$17*P11:P17)</f>
        <v>0</v>
      </c>
    </row>
    <row r="21" spans="1:16" ht="15.6" thickBot="1">
      <c r="A21" s="139"/>
      <c r="B21" s="193"/>
      <c r="C21" s="193"/>
      <c r="D21" s="167"/>
      <c r="E21" s="167"/>
      <c r="F21" s="167"/>
      <c r="G21" s="10"/>
      <c r="I21" s="12"/>
      <c r="K21" s="214"/>
      <c r="L21" s="215"/>
      <c r="M21" s="215"/>
      <c r="N21" s="215"/>
      <c r="P21" s="223"/>
    </row>
    <row r="22" spans="1:16" ht="15.6">
      <c r="A22" s="135"/>
      <c r="B22" s="194"/>
      <c r="C22" s="194"/>
      <c r="D22" s="168"/>
      <c r="E22" s="168"/>
      <c r="F22" s="168"/>
      <c r="G22" s="10"/>
      <c r="H22" s="112" t="s">
        <v>176</v>
      </c>
      <c r="I22" s="12"/>
      <c r="K22" s="216"/>
      <c r="L22" s="217"/>
      <c r="M22" s="217"/>
      <c r="N22" s="217"/>
      <c r="P22" s="221"/>
    </row>
    <row r="23" spans="1:16" ht="15.6">
      <c r="A23" s="135"/>
      <c r="B23" s="194"/>
      <c r="C23" s="194"/>
      <c r="D23" s="168"/>
      <c r="E23" s="168"/>
      <c r="F23" s="168"/>
      <c r="G23" s="10"/>
      <c r="H23" s="113" t="s">
        <v>191</v>
      </c>
      <c r="I23" s="12"/>
      <c r="K23" s="216"/>
      <c r="L23" s="217"/>
      <c r="M23" s="217"/>
      <c r="N23" s="217"/>
      <c r="P23" s="221"/>
    </row>
    <row r="24" spans="1:16" ht="16.2" thickBot="1">
      <c r="A24" s="184" t="s">
        <v>121</v>
      </c>
      <c r="B24" s="53" t="s">
        <v>204</v>
      </c>
      <c r="C24" s="53" t="s">
        <v>204</v>
      </c>
      <c r="D24" s="134"/>
      <c r="E24" s="134"/>
      <c r="F24" s="163" t="s">
        <v>205</v>
      </c>
      <c r="G24" s="1"/>
      <c r="H24" s="114" t="s">
        <v>192</v>
      </c>
      <c r="I24" s="1"/>
      <c r="K24" s="218"/>
      <c r="L24" s="217"/>
      <c r="M24" s="217"/>
      <c r="N24" s="217"/>
      <c r="P24" s="221"/>
    </row>
    <row r="25" spans="1:16">
      <c r="A25" s="181" t="s">
        <v>138</v>
      </c>
      <c r="B25" s="191">
        <f>1248/12</f>
        <v>104</v>
      </c>
      <c r="C25" s="191">
        <f>1248/12</f>
        <v>104</v>
      </c>
      <c r="D25" s="14"/>
      <c r="E25" s="13">
        <v>0</v>
      </c>
      <c r="F25" s="2">
        <f>ROUND(D25+E25,2)</f>
        <v>0</v>
      </c>
      <c r="G25" s="10"/>
      <c r="H25" s="132">
        <v>2.86</v>
      </c>
      <c r="I25" s="12"/>
      <c r="K25" s="219"/>
      <c r="L25" s="220"/>
      <c r="M25" s="220"/>
      <c r="N25" s="220"/>
      <c r="P25" s="221"/>
    </row>
    <row r="26" spans="1:16">
      <c r="A26" s="181" t="s">
        <v>122</v>
      </c>
      <c r="B26" s="191">
        <v>1579</v>
      </c>
      <c r="C26" s="191">
        <v>1579</v>
      </c>
      <c r="D26" s="14"/>
      <c r="E26" s="13">
        <v>0</v>
      </c>
      <c r="F26" s="2">
        <f>ROUND(D26+E26,2)</f>
        <v>0</v>
      </c>
      <c r="G26" s="10"/>
      <c r="H26" s="164">
        <v>1.6</v>
      </c>
      <c r="I26" s="12"/>
      <c r="K26" s="219"/>
      <c r="L26" s="220"/>
      <c r="M26" s="220"/>
      <c r="N26" s="220"/>
      <c r="P26" s="221"/>
    </row>
    <row r="27" spans="1:16">
      <c r="A27" s="186" t="s">
        <v>159</v>
      </c>
      <c r="B27" s="195"/>
      <c r="C27" s="203"/>
      <c r="D27" s="38"/>
      <c r="E27" s="38"/>
      <c r="F27" s="3"/>
      <c r="G27" s="10"/>
      <c r="H27" s="164"/>
      <c r="I27" s="12"/>
      <c r="K27" s="219"/>
      <c r="L27" s="220"/>
      <c r="M27" s="220"/>
      <c r="N27" s="220"/>
      <c r="P27" s="221"/>
    </row>
    <row r="28" spans="1:16">
      <c r="A28" s="181" t="s">
        <v>160</v>
      </c>
      <c r="B28" s="196">
        <v>63</v>
      </c>
      <c r="C28" s="196">
        <v>63</v>
      </c>
      <c r="D28" s="14"/>
      <c r="E28" s="13">
        <v>0</v>
      </c>
      <c r="F28" s="2">
        <f>ROUND(D28+E28,2)</f>
        <v>0</v>
      </c>
      <c r="G28" s="10"/>
      <c r="H28" s="164">
        <v>10.199999999999999</v>
      </c>
      <c r="I28" s="12"/>
      <c r="K28" s="219"/>
      <c r="L28" s="220"/>
      <c r="M28" s="220"/>
      <c r="N28" s="220"/>
      <c r="P28" s="221"/>
    </row>
    <row r="29" spans="1:16">
      <c r="A29" s="181" t="s">
        <v>161</v>
      </c>
      <c r="B29" s="196">
        <v>87</v>
      </c>
      <c r="C29" s="196">
        <v>87</v>
      </c>
      <c r="D29" s="13">
        <v>0</v>
      </c>
      <c r="E29" s="13">
        <v>0</v>
      </c>
      <c r="F29" s="2">
        <f>ROUND(D29+E29,2)</f>
        <v>0</v>
      </c>
      <c r="G29" s="10"/>
      <c r="H29" s="164">
        <v>9.6</v>
      </c>
      <c r="I29" s="12"/>
      <c r="K29" s="219"/>
      <c r="L29" s="220"/>
      <c r="M29" s="220"/>
      <c r="N29" s="220"/>
      <c r="P29" s="221"/>
    </row>
    <row r="30" spans="1:16">
      <c r="A30" s="181" t="s">
        <v>162</v>
      </c>
      <c r="B30" s="196">
        <v>1</v>
      </c>
      <c r="C30" s="196">
        <v>1</v>
      </c>
      <c r="D30" s="13">
        <v>0</v>
      </c>
      <c r="E30" s="13">
        <v>0</v>
      </c>
      <c r="F30" s="2">
        <f>ROUND(D30+E30,2)</f>
        <v>0</v>
      </c>
      <c r="G30" s="10"/>
      <c r="H30" s="164"/>
      <c r="I30" s="12"/>
      <c r="K30" s="219"/>
      <c r="L30" s="220"/>
      <c r="M30" s="220"/>
      <c r="N30" s="220"/>
      <c r="P30" s="221"/>
    </row>
    <row r="31" spans="1:16">
      <c r="A31" s="180" t="s">
        <v>69</v>
      </c>
      <c r="B31" s="197"/>
      <c r="C31" s="204"/>
      <c r="D31" s="15"/>
      <c r="E31" s="15"/>
      <c r="F31" s="3"/>
      <c r="H31" s="164"/>
      <c r="K31" s="221"/>
      <c r="L31" s="221"/>
      <c r="M31" s="221"/>
      <c r="N31" s="221"/>
      <c r="P31" s="221"/>
    </row>
    <row r="32" spans="1:16">
      <c r="A32" s="181" t="s">
        <v>70</v>
      </c>
      <c r="B32" s="196">
        <f>156/12</f>
        <v>13</v>
      </c>
      <c r="C32" s="196">
        <f>156/12</f>
        <v>13</v>
      </c>
      <c r="D32" s="14"/>
      <c r="E32" s="13">
        <v>0</v>
      </c>
      <c r="F32" s="2">
        <f>ROUND(D32+E32,2)</f>
        <v>0</v>
      </c>
      <c r="G32" s="10"/>
      <c r="H32" s="164">
        <v>5.73</v>
      </c>
      <c r="I32" s="12"/>
      <c r="K32" s="221"/>
      <c r="L32" s="221"/>
      <c r="M32" s="221"/>
      <c r="N32" s="221"/>
      <c r="P32" s="221"/>
    </row>
    <row r="33" spans="1:16">
      <c r="A33" s="181" t="s">
        <v>71</v>
      </c>
      <c r="B33" s="196">
        <v>21</v>
      </c>
      <c r="C33" s="196">
        <v>21</v>
      </c>
      <c r="D33" s="14"/>
      <c r="E33" s="13">
        <v>0</v>
      </c>
      <c r="F33" s="2">
        <f>ROUND(D33+E33,2)</f>
        <v>0</v>
      </c>
      <c r="G33" s="10"/>
      <c r="H33" s="164">
        <v>5.25</v>
      </c>
      <c r="I33" s="12"/>
      <c r="K33" s="221"/>
      <c r="L33" s="221"/>
      <c r="M33" s="221"/>
      <c r="N33" s="221"/>
      <c r="P33" s="221"/>
    </row>
    <row r="34" spans="1:16">
      <c r="A34" s="181" t="s">
        <v>72</v>
      </c>
      <c r="B34" s="196">
        <v>31</v>
      </c>
      <c r="C34" s="196">
        <v>31</v>
      </c>
      <c r="D34" s="14"/>
      <c r="E34" s="13">
        <v>0</v>
      </c>
      <c r="F34" s="2">
        <f>ROUND(D34+E34,2)</f>
        <v>0</v>
      </c>
      <c r="G34" s="10"/>
      <c r="H34" s="164">
        <v>0.55000000000000004</v>
      </c>
      <c r="I34" s="12"/>
      <c r="K34" s="221"/>
      <c r="L34" s="221"/>
      <c r="M34" s="221"/>
      <c r="N34" s="221"/>
      <c r="P34" s="221"/>
    </row>
    <row r="35" spans="1:16">
      <c r="A35" s="182" t="s">
        <v>127</v>
      </c>
      <c r="B35" s="196">
        <v>1</v>
      </c>
      <c r="C35" s="196">
        <v>1</v>
      </c>
      <c r="D35" s="31"/>
      <c r="E35" s="171">
        <v>0</v>
      </c>
      <c r="F35" s="32">
        <f>ROUND(D35+E35,2)</f>
        <v>0</v>
      </c>
      <c r="G35" s="10"/>
      <c r="H35" s="164"/>
      <c r="I35" s="12"/>
      <c r="K35" s="221"/>
      <c r="L35" s="221"/>
      <c r="M35" s="221"/>
      <c r="N35" s="221"/>
      <c r="P35" s="221"/>
    </row>
    <row r="36" spans="1:16">
      <c r="A36" s="56" t="s">
        <v>78</v>
      </c>
      <c r="B36" s="196">
        <v>1</v>
      </c>
      <c r="C36" s="196">
        <v>1</v>
      </c>
      <c r="D36" s="39"/>
      <c r="E36" s="172">
        <v>0</v>
      </c>
      <c r="F36" s="40">
        <f t="shared" ref="F36:F37" si="3">ROUND(D36+E36,2)</f>
        <v>0</v>
      </c>
      <c r="G36" s="34"/>
      <c r="H36" s="164">
        <v>2.1</v>
      </c>
      <c r="I36" s="12"/>
      <c r="K36" s="221"/>
      <c r="L36" s="221"/>
      <c r="M36" s="221"/>
      <c r="N36" s="221"/>
      <c r="P36" s="221"/>
    </row>
    <row r="37" spans="1:16">
      <c r="A37" s="56" t="s">
        <v>76</v>
      </c>
      <c r="B37" s="196">
        <v>1</v>
      </c>
      <c r="C37" s="196">
        <v>1</v>
      </c>
      <c r="D37" s="39"/>
      <c r="E37" s="172">
        <v>0</v>
      </c>
      <c r="F37" s="40">
        <f t="shared" si="3"/>
        <v>0</v>
      </c>
      <c r="G37" s="34"/>
      <c r="H37" s="164">
        <v>1.51</v>
      </c>
      <c r="I37" s="12"/>
      <c r="K37" s="221"/>
      <c r="L37" s="221"/>
      <c r="M37" s="221"/>
      <c r="N37" s="221"/>
      <c r="P37" s="221"/>
    </row>
    <row r="38" spans="1:16">
      <c r="A38" s="181" t="s">
        <v>68</v>
      </c>
      <c r="B38" s="196">
        <f>226/12</f>
        <v>18.833333333333332</v>
      </c>
      <c r="C38" s="196">
        <f>226/12</f>
        <v>18.833333333333332</v>
      </c>
      <c r="D38" s="14"/>
      <c r="E38" s="13">
        <v>0</v>
      </c>
      <c r="F38" s="2">
        <f>ROUND(D38+E38,2)</f>
        <v>0</v>
      </c>
      <c r="G38" s="10"/>
      <c r="H38" s="164">
        <v>16.7</v>
      </c>
      <c r="I38" s="12"/>
      <c r="K38" s="221"/>
      <c r="L38" s="221"/>
      <c r="M38" s="221"/>
      <c r="N38" s="221"/>
      <c r="P38" s="221"/>
    </row>
    <row r="39" spans="1:16">
      <c r="A39" s="180" t="s">
        <v>124</v>
      </c>
      <c r="B39" s="198"/>
      <c r="C39" s="205"/>
      <c r="D39" s="15"/>
      <c r="E39" s="15"/>
      <c r="F39" s="3"/>
      <c r="H39" s="164"/>
      <c r="K39" s="221"/>
      <c r="L39" s="221"/>
      <c r="M39" s="221"/>
      <c r="N39" s="221"/>
      <c r="P39" s="221"/>
    </row>
    <row r="40" spans="1:16">
      <c r="A40" s="181" t="s">
        <v>125</v>
      </c>
      <c r="B40" s="196">
        <v>1</v>
      </c>
      <c r="C40" s="196">
        <v>1</v>
      </c>
      <c r="D40" s="14"/>
      <c r="E40" s="13">
        <v>0</v>
      </c>
      <c r="F40" s="2">
        <f t="shared" ref="F40:F41" si="4">ROUND(D40+E40,2)</f>
        <v>0</v>
      </c>
      <c r="G40" s="10"/>
      <c r="H40" s="164"/>
      <c r="I40" s="12"/>
      <c r="K40" s="221"/>
      <c r="L40" s="221"/>
      <c r="M40" s="221"/>
      <c r="N40" s="221"/>
      <c r="P40" s="221"/>
    </row>
    <row r="41" spans="1:16" ht="15.6" thickBot="1">
      <c r="A41" s="181" t="s">
        <v>137</v>
      </c>
      <c r="B41" s="196">
        <v>1</v>
      </c>
      <c r="C41" s="196">
        <v>1</v>
      </c>
      <c r="D41" s="14"/>
      <c r="E41" s="13">
        <v>0</v>
      </c>
      <c r="F41" s="2">
        <f t="shared" si="4"/>
        <v>0</v>
      </c>
      <c r="G41" s="10"/>
      <c r="H41" s="121"/>
      <c r="I41" s="12"/>
      <c r="K41" s="221"/>
      <c r="L41" s="221"/>
      <c r="M41" s="221"/>
      <c r="N41" s="221"/>
      <c r="P41" s="221"/>
    </row>
    <row r="42" spans="1:16" ht="15.6">
      <c r="A42" s="104" t="s">
        <v>170</v>
      </c>
      <c r="B42" s="109"/>
      <c r="C42" s="109"/>
      <c r="D42" s="131"/>
      <c r="E42" s="131"/>
      <c r="F42" s="106">
        <f>12*SUMPRODUCT(C25:C41*F25:F41)</f>
        <v>0</v>
      </c>
      <c r="K42" s="221"/>
      <c r="L42" s="221"/>
      <c r="M42" s="221"/>
      <c r="N42" s="221"/>
      <c r="P42" s="221"/>
    </row>
    <row r="43" spans="1:16" ht="15.6" thickBot="1">
      <c r="K43" s="222"/>
      <c r="L43" s="222"/>
      <c r="M43" s="222"/>
      <c r="N43" s="222"/>
      <c r="P43" s="222"/>
    </row>
    <row r="44" spans="1:16" ht="16.2" thickBot="1">
      <c r="A44" s="86" t="s">
        <v>310</v>
      </c>
      <c r="B44" s="87"/>
      <c r="C44" s="87"/>
      <c r="D44" s="88"/>
      <c r="E44" s="88"/>
      <c r="F44" s="89">
        <f>F20+F42</f>
        <v>0</v>
      </c>
      <c r="G44" s="120" t="s">
        <v>190</v>
      </c>
      <c r="H44" s="87"/>
      <c r="I44" s="101"/>
      <c r="J44" s="87"/>
      <c r="K44" s="98">
        <f t="shared" ref="K44:N44" si="5">K20</f>
        <v>0</v>
      </c>
      <c r="L44" s="98">
        <f t="shared" si="5"/>
        <v>0</v>
      </c>
      <c r="M44" s="98">
        <f t="shared" si="5"/>
        <v>0</v>
      </c>
      <c r="N44" s="98">
        <f t="shared" si="5"/>
        <v>0</v>
      </c>
      <c r="P44" s="98">
        <f>P20</f>
        <v>0</v>
      </c>
    </row>
    <row r="45" spans="1:16" ht="15" customHeight="1" thickBot="1">
      <c r="F45" s="212" t="s">
        <v>308</v>
      </c>
      <c r="H45" s="12"/>
      <c r="K45" s="324" t="s">
        <v>281</v>
      </c>
      <c r="L45" s="325"/>
      <c r="M45" s="325"/>
      <c r="N45" s="326"/>
      <c r="P45" s="212" t="s">
        <v>290</v>
      </c>
    </row>
    <row r="46" spans="1:16" ht="17.399999999999999">
      <c r="A46" s="207" t="s">
        <v>309</v>
      </c>
    </row>
    <row r="48" spans="1:16" ht="15.6">
      <c r="A48" s="57" t="s">
        <v>126</v>
      </c>
    </row>
    <row r="49" spans="1:1" ht="15.6">
      <c r="A49" s="57" t="s">
        <v>196</v>
      </c>
    </row>
    <row r="50" spans="1:1" ht="15.6">
      <c r="A50" s="57" t="s">
        <v>128</v>
      </c>
    </row>
    <row r="51" spans="1:1" ht="15.6">
      <c r="A51" s="57" t="s">
        <v>301</v>
      </c>
    </row>
    <row r="52" spans="1:1" ht="15.6">
      <c r="A52" s="57" t="s">
        <v>311</v>
      </c>
    </row>
    <row r="53" spans="1:1" ht="15.6">
      <c r="A53" s="57" t="s">
        <v>302</v>
      </c>
    </row>
    <row r="54" spans="1:1" ht="15.6">
      <c r="A54" s="57" t="s">
        <v>198</v>
      </c>
    </row>
    <row r="55" spans="1:1" ht="15.6">
      <c r="A55" s="57" t="s">
        <v>216</v>
      </c>
    </row>
    <row r="56" spans="1:1" ht="15.6">
      <c r="A56" s="57" t="s">
        <v>217</v>
      </c>
    </row>
    <row r="57" spans="1:1" ht="15.6">
      <c r="A57" s="57" t="s">
        <v>303</v>
      </c>
    </row>
    <row r="58" spans="1:1" ht="15.6">
      <c r="A58" s="57" t="s">
        <v>286</v>
      </c>
    </row>
  </sheetData>
  <sheetProtection password="A2DE" sheet="1" objects="1" scenarios="1"/>
  <mergeCells count="3">
    <mergeCell ref="B3:F3"/>
    <mergeCell ref="K5:N5"/>
    <mergeCell ref="K45:N45"/>
  </mergeCells>
  <printOptions horizontalCentered="1"/>
  <pageMargins left="0.5" right="0.5" top="0.5" bottom="0.53" header="0.25" footer="0.25"/>
  <pageSetup paperSize="17" scale="59" orientation="landscape" useFirstPageNumber="1" r:id="rId1"/>
  <headerFooter alignWithMargins="0">
    <oddHeader>&amp;L&amp;C&amp;"Times New Roman,Bold"&amp;14Form 2A&amp;R</oddHeader>
    <oddFooter xml:space="preserve">&amp;L&amp;"Times New Roman,Regular"City of Bellevue RFB/P Forms&amp;C&amp;"Times New Roman,Regular"&amp;P&amp;R&amp;"Times New Roman,Regular"Proponent:___________________&amp;"Geneva,Regular"
</oddFooter>
  </headerFooter>
  <ignoredErrors>
    <ignoredError sqref="C13" formulaRange="1"/>
    <ignoredError sqref="K14:K16 L14:N16 P14:P1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Totals</vt:lpstr>
      <vt:lpstr>Drop-box</vt:lpstr>
      <vt:lpstr>Commercial</vt:lpstr>
      <vt:lpstr>SF Residential - COS</vt:lpstr>
      <vt:lpstr>SF Residential - Linear</vt:lpstr>
      <vt:lpstr>Commercial!Print_Area</vt:lpstr>
      <vt:lpstr>'Drop-box'!Print_Area</vt:lpstr>
      <vt:lpstr>'SF Residential - COS'!Print_Area</vt:lpstr>
      <vt:lpstr>'SF Residential - Linear'!Print_Area</vt:lpstr>
      <vt:lpstr>Totals!Print_Area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</dc:creator>
  <cp:lastModifiedBy>City of Bellevue</cp:lastModifiedBy>
  <cp:lastPrinted>2013-05-10T16:32:13Z</cp:lastPrinted>
  <dcterms:created xsi:type="dcterms:W3CDTF">2000-08-08T17:14:17Z</dcterms:created>
  <dcterms:modified xsi:type="dcterms:W3CDTF">2013-05-10T17:24:28Z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