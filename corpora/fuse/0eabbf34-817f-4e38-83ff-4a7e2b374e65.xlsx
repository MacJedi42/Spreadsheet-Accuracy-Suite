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705" windowWidth="15390" windowHeight="10455"/>
  </bookViews>
  <sheets>
    <sheet name="ID-CPA-009" sheetId="1" r:id="rId1"/>
    <sheet name="Example" sheetId="3" r:id="rId2"/>
  </sheets>
  <definedNames>
    <definedName name="LivestockWildlife" localSheetId="1">#REF!</definedName>
    <definedName name="LivestockWildlife">#REF!</definedName>
    <definedName name="_xlnm.Print_Area" localSheetId="1">Example!$A$1:$S$55</definedName>
    <definedName name="_xlnm.Print_Area" localSheetId="0">'ID-CPA-009'!$A$1:$S$55</definedName>
  </definedNames>
  <calcPr calcId="145621" fullPrecision="0"/>
</workbook>
</file>

<file path=xl/calcChain.xml><?xml version="1.0" encoding="utf-8"?>
<calcChain xmlns="http://schemas.openxmlformats.org/spreadsheetml/2006/main">
  <c r="T70" i="3" l="1"/>
  <c r="T69" i="3"/>
  <c r="T68" i="3"/>
  <c r="T67" i="3"/>
  <c r="T66" i="3"/>
  <c r="T65" i="3"/>
  <c r="T64" i="3"/>
  <c r="T63" i="3"/>
  <c r="T62" i="3"/>
  <c r="T61" i="3"/>
  <c r="S47" i="3"/>
  <c r="R47" i="3"/>
  <c r="Q47" i="3"/>
  <c r="P47" i="3"/>
  <c r="O47" i="3"/>
  <c r="N47" i="3"/>
  <c r="M47" i="3"/>
  <c r="L47" i="3"/>
  <c r="K47" i="3"/>
  <c r="J47" i="3"/>
  <c r="I47" i="3"/>
  <c r="H47" i="3"/>
  <c r="F47" i="3"/>
  <c r="S46" i="3"/>
  <c r="R46" i="3"/>
  <c r="Q46" i="3"/>
  <c r="P46" i="3"/>
  <c r="O46" i="3"/>
  <c r="N46" i="3"/>
  <c r="M46" i="3"/>
  <c r="L46" i="3"/>
  <c r="K46" i="3"/>
  <c r="J46" i="3"/>
  <c r="I46" i="3"/>
  <c r="H46" i="3"/>
  <c r="F46" i="3"/>
  <c r="F45" i="3"/>
  <c r="S45" i="3" s="1"/>
  <c r="H44" i="3"/>
  <c r="F44" i="3"/>
  <c r="R44" i="3" s="1"/>
  <c r="F43" i="3"/>
  <c r="S43" i="3" s="1"/>
  <c r="L42" i="3"/>
  <c r="J42" i="3"/>
  <c r="H42" i="3"/>
  <c r="F42" i="3"/>
  <c r="R42" i="3" s="1"/>
  <c r="F41" i="3"/>
  <c r="S41" i="3" s="1"/>
  <c r="J40" i="3"/>
  <c r="H40" i="3"/>
  <c r="F40" i="3"/>
  <c r="R40" i="3" s="1"/>
  <c r="F39" i="3"/>
  <c r="S39" i="3" s="1"/>
  <c r="J38" i="3"/>
  <c r="H38" i="3"/>
  <c r="F38" i="3"/>
  <c r="R38" i="3" s="1"/>
  <c r="F37" i="3"/>
  <c r="S37" i="3" s="1"/>
  <c r="F36" i="3"/>
  <c r="J36" i="3" s="1"/>
  <c r="R35" i="3"/>
  <c r="P35" i="3"/>
  <c r="N35" i="3"/>
  <c r="L35" i="3"/>
  <c r="J35" i="3"/>
  <c r="H35" i="3"/>
  <c r="F35" i="3"/>
  <c r="S35" i="3" s="1"/>
  <c r="F34" i="3"/>
  <c r="S34" i="3" s="1"/>
  <c r="R33" i="3"/>
  <c r="P33" i="3"/>
  <c r="N33" i="3"/>
  <c r="L33" i="3"/>
  <c r="J33" i="3"/>
  <c r="H33" i="3"/>
  <c r="F33" i="3"/>
  <c r="S33" i="3" s="1"/>
  <c r="F32" i="3"/>
  <c r="S32" i="3" s="1"/>
  <c r="R31" i="3"/>
  <c r="P31" i="3"/>
  <c r="N31" i="3"/>
  <c r="L31" i="3"/>
  <c r="J31" i="3"/>
  <c r="H31" i="3"/>
  <c r="F31" i="3"/>
  <c r="S31" i="3" s="1"/>
  <c r="F30" i="3"/>
  <c r="S30" i="3" s="1"/>
  <c r="R29" i="3"/>
  <c r="P29" i="3"/>
  <c r="N29" i="3"/>
  <c r="L29" i="3"/>
  <c r="J29" i="3"/>
  <c r="H29" i="3"/>
  <c r="F29" i="3"/>
  <c r="S29" i="3" s="1"/>
  <c r="F28" i="3"/>
  <c r="S28" i="3" s="1"/>
  <c r="R27" i="3"/>
  <c r="P27" i="3"/>
  <c r="N27" i="3"/>
  <c r="L27" i="3"/>
  <c r="J27" i="3"/>
  <c r="H27" i="3"/>
  <c r="F27" i="3"/>
  <c r="Q21" i="3"/>
  <c r="S54" i="3" s="1"/>
  <c r="P21" i="3"/>
  <c r="R54" i="3" s="1"/>
  <c r="O21" i="3"/>
  <c r="Q54" i="3" s="1"/>
  <c r="N21" i="3"/>
  <c r="P54" i="3" s="1"/>
  <c r="M21" i="3"/>
  <c r="O54" i="3" s="1"/>
  <c r="L21" i="3"/>
  <c r="N54" i="3" s="1"/>
  <c r="K21" i="3"/>
  <c r="M54" i="3" s="1"/>
  <c r="J21" i="3"/>
  <c r="L54" i="3" s="1"/>
  <c r="I21" i="3"/>
  <c r="K54" i="3" s="1"/>
  <c r="H21" i="3"/>
  <c r="J54" i="3" s="1"/>
  <c r="G21" i="3"/>
  <c r="I54" i="3" s="1"/>
  <c r="F21" i="3"/>
  <c r="H54" i="3" s="1"/>
  <c r="R20" i="3"/>
  <c r="E20" i="3"/>
  <c r="R19" i="3"/>
  <c r="E19" i="3"/>
  <c r="R18" i="3"/>
  <c r="E18" i="3"/>
  <c r="R17" i="3"/>
  <c r="E17" i="3"/>
  <c r="R16" i="3"/>
  <c r="E16" i="3"/>
  <c r="R15" i="3"/>
  <c r="E15" i="3"/>
  <c r="R14" i="3"/>
  <c r="E14" i="3"/>
  <c r="E21" i="3" s="1"/>
  <c r="R21" i="3" l="1"/>
  <c r="F54" i="3" s="1"/>
  <c r="F48" i="3"/>
  <c r="F53" i="3" s="1"/>
  <c r="I27" i="3"/>
  <c r="K27" i="3"/>
  <c r="M27" i="3"/>
  <c r="O27" i="3"/>
  <c r="Q27" i="3"/>
  <c r="S27" i="3"/>
  <c r="H28" i="3"/>
  <c r="J28" i="3"/>
  <c r="L28" i="3"/>
  <c r="N28" i="3"/>
  <c r="P28" i="3"/>
  <c r="R28" i="3"/>
  <c r="I29" i="3"/>
  <c r="K29" i="3"/>
  <c r="M29" i="3"/>
  <c r="O29" i="3"/>
  <c r="Q29" i="3"/>
  <c r="H30" i="3"/>
  <c r="J30" i="3"/>
  <c r="L30" i="3"/>
  <c r="N30" i="3"/>
  <c r="P30" i="3"/>
  <c r="R30" i="3"/>
  <c r="I31" i="3"/>
  <c r="K31" i="3"/>
  <c r="M31" i="3"/>
  <c r="O31" i="3"/>
  <c r="Q31" i="3"/>
  <c r="H32" i="3"/>
  <c r="J32" i="3"/>
  <c r="L32" i="3"/>
  <c r="N32" i="3"/>
  <c r="P32" i="3"/>
  <c r="R32" i="3"/>
  <c r="I33" i="3"/>
  <c r="K33" i="3"/>
  <c r="M33" i="3"/>
  <c r="O33" i="3"/>
  <c r="Q33" i="3"/>
  <c r="H34" i="3"/>
  <c r="J34" i="3"/>
  <c r="L34" i="3"/>
  <c r="N34" i="3"/>
  <c r="P34" i="3"/>
  <c r="R34" i="3"/>
  <c r="I35" i="3"/>
  <c r="K35" i="3"/>
  <c r="M35" i="3"/>
  <c r="O35" i="3"/>
  <c r="Q35" i="3"/>
  <c r="H36" i="3"/>
  <c r="H48" i="3" s="1"/>
  <c r="H53" i="3" s="1"/>
  <c r="H55" i="3" s="1"/>
  <c r="I28" i="3"/>
  <c r="K28" i="3"/>
  <c r="M28" i="3"/>
  <c r="O28" i="3"/>
  <c r="Q28" i="3"/>
  <c r="I30" i="3"/>
  <c r="K30" i="3"/>
  <c r="M30" i="3"/>
  <c r="O30" i="3"/>
  <c r="Q30" i="3"/>
  <c r="I32" i="3"/>
  <c r="K32" i="3"/>
  <c r="M32" i="3"/>
  <c r="O32" i="3"/>
  <c r="Q32" i="3"/>
  <c r="I34" i="3"/>
  <c r="K34" i="3"/>
  <c r="M34" i="3"/>
  <c r="O34" i="3"/>
  <c r="Q34" i="3"/>
  <c r="R36" i="3"/>
  <c r="R48" i="3" s="1"/>
  <c r="R53" i="3" s="1"/>
  <c r="R55" i="3" s="1"/>
  <c r="P36" i="3"/>
  <c r="P48" i="3" s="1"/>
  <c r="P53" i="3" s="1"/>
  <c r="P55" i="3" s="1"/>
  <c r="N36" i="3"/>
  <c r="N48" i="3" s="1"/>
  <c r="N53" i="3" s="1"/>
  <c r="N55" i="3" s="1"/>
  <c r="L36" i="3"/>
  <c r="L48" i="3" s="1"/>
  <c r="L53" i="3" s="1"/>
  <c r="L55" i="3" s="1"/>
  <c r="S36" i="3"/>
  <c r="Q36" i="3"/>
  <c r="O36" i="3"/>
  <c r="M36" i="3"/>
  <c r="K36" i="3"/>
  <c r="I36" i="3"/>
  <c r="H37" i="3"/>
  <c r="J37" i="3"/>
  <c r="J48" i="3" s="1"/>
  <c r="J53" i="3" s="1"/>
  <c r="J55" i="3" s="1"/>
  <c r="L37" i="3"/>
  <c r="N37" i="3"/>
  <c r="P37" i="3"/>
  <c r="R37" i="3"/>
  <c r="I38" i="3"/>
  <c r="K38" i="3"/>
  <c r="M38" i="3"/>
  <c r="O38" i="3"/>
  <c r="Q38" i="3"/>
  <c r="S38" i="3"/>
  <c r="H39" i="3"/>
  <c r="J39" i="3"/>
  <c r="L39" i="3"/>
  <c r="N39" i="3"/>
  <c r="P39" i="3"/>
  <c r="R39" i="3"/>
  <c r="I40" i="3"/>
  <c r="K40" i="3"/>
  <c r="M40" i="3"/>
  <c r="O40" i="3"/>
  <c r="Q40" i="3"/>
  <c r="S40" i="3"/>
  <c r="H41" i="3"/>
  <c r="J41" i="3"/>
  <c r="L41" i="3"/>
  <c r="N41" i="3"/>
  <c r="P41" i="3"/>
  <c r="R41" i="3"/>
  <c r="I42" i="3"/>
  <c r="K42" i="3"/>
  <c r="M42" i="3"/>
  <c r="O42" i="3"/>
  <c r="Q42" i="3"/>
  <c r="S42" i="3"/>
  <c r="H43" i="3"/>
  <c r="J43" i="3"/>
  <c r="L43" i="3"/>
  <c r="N43" i="3"/>
  <c r="P43" i="3"/>
  <c r="R43" i="3"/>
  <c r="I44" i="3"/>
  <c r="K44" i="3"/>
  <c r="M44" i="3"/>
  <c r="O44" i="3"/>
  <c r="Q44" i="3"/>
  <c r="S44" i="3"/>
  <c r="H45" i="3"/>
  <c r="J45" i="3"/>
  <c r="L45" i="3"/>
  <c r="N45" i="3"/>
  <c r="P45" i="3"/>
  <c r="R45" i="3"/>
  <c r="I37" i="3"/>
  <c r="K37" i="3"/>
  <c r="M37" i="3"/>
  <c r="O37" i="3"/>
  <c r="Q37" i="3"/>
  <c r="L38" i="3"/>
  <c r="N38" i="3"/>
  <c r="P38" i="3"/>
  <c r="I39" i="3"/>
  <c r="K39" i="3"/>
  <c r="M39" i="3"/>
  <c r="O39" i="3"/>
  <c r="Q39" i="3"/>
  <c r="L40" i="3"/>
  <c r="N40" i="3"/>
  <c r="P40" i="3"/>
  <c r="I41" i="3"/>
  <c r="K41" i="3"/>
  <c r="M41" i="3"/>
  <c r="O41" i="3"/>
  <c r="Q41" i="3"/>
  <c r="N42" i="3"/>
  <c r="P42" i="3"/>
  <c r="I43" i="3"/>
  <c r="K43" i="3"/>
  <c r="M43" i="3"/>
  <c r="O43" i="3"/>
  <c r="Q43" i="3"/>
  <c r="J44" i="3"/>
  <c r="L44" i="3"/>
  <c r="N44" i="3"/>
  <c r="P44" i="3"/>
  <c r="I45" i="3"/>
  <c r="K45" i="3"/>
  <c r="M45" i="3"/>
  <c r="O45" i="3"/>
  <c r="Q45" i="3"/>
  <c r="T70" i="1"/>
  <c r="T69" i="1"/>
  <c r="T68" i="1"/>
  <c r="T67" i="1"/>
  <c r="T66" i="1"/>
  <c r="T65" i="1"/>
  <c r="T64" i="1"/>
  <c r="T63" i="1"/>
  <c r="T62" i="1"/>
  <c r="T61" i="1"/>
  <c r="S48" i="3" l="1"/>
  <c r="S53" i="3" s="1"/>
  <c r="S55" i="3" s="1"/>
  <c r="O48" i="3"/>
  <c r="O53" i="3" s="1"/>
  <c r="O55" i="3" s="1"/>
  <c r="K48" i="3"/>
  <c r="K53" i="3" s="1"/>
  <c r="K55" i="3" s="1"/>
  <c r="F55" i="3"/>
  <c r="Q48" i="3"/>
  <c r="Q53" i="3" s="1"/>
  <c r="Q55" i="3" s="1"/>
  <c r="M48" i="3"/>
  <c r="M53" i="3" s="1"/>
  <c r="M55" i="3" s="1"/>
  <c r="I48" i="3"/>
  <c r="I53" i="3" s="1"/>
  <c r="I55" i="3" s="1"/>
  <c r="S47" i="1"/>
  <c r="R47" i="1"/>
  <c r="Q47" i="1"/>
  <c r="P47" i="1"/>
  <c r="O47" i="1"/>
  <c r="N47" i="1"/>
  <c r="M47" i="1"/>
  <c r="L47" i="1"/>
  <c r="K47" i="1"/>
  <c r="J47" i="1"/>
  <c r="I47" i="1"/>
  <c r="H47" i="1"/>
  <c r="S46" i="1"/>
  <c r="R46" i="1"/>
  <c r="Q46" i="1"/>
  <c r="P46" i="1"/>
  <c r="O46" i="1"/>
  <c r="N46" i="1"/>
  <c r="M46" i="1"/>
  <c r="L46" i="1"/>
  <c r="K46" i="1"/>
  <c r="J46" i="1"/>
  <c r="I46" i="1"/>
  <c r="H46" i="1"/>
  <c r="F37" i="1" l="1"/>
  <c r="F36" i="1"/>
  <c r="F35" i="1"/>
  <c r="F34" i="1"/>
  <c r="F33" i="1"/>
  <c r="F32" i="1"/>
  <c r="F47" i="1"/>
  <c r="F46" i="1"/>
  <c r="F45" i="1"/>
  <c r="F44" i="1"/>
  <c r="F43" i="1"/>
  <c r="F42" i="1"/>
  <c r="F41" i="1"/>
  <c r="F40" i="1"/>
  <c r="F39" i="1"/>
  <c r="F38" i="1"/>
  <c r="F31" i="1"/>
  <c r="F30" i="1"/>
  <c r="F29" i="1"/>
  <c r="F28" i="1"/>
  <c r="F27" i="1"/>
  <c r="E14" i="1"/>
  <c r="E20" i="1"/>
  <c r="E19" i="1"/>
  <c r="E18" i="1"/>
  <c r="E17" i="1"/>
  <c r="E16" i="1"/>
  <c r="E15" i="1"/>
  <c r="F21" i="1"/>
  <c r="H54" i="1" s="1"/>
  <c r="G21" i="1"/>
  <c r="I54" i="1" s="1"/>
  <c r="H21" i="1"/>
  <c r="J54" i="1" s="1"/>
  <c r="I21" i="1"/>
  <c r="K54" i="1" s="1"/>
  <c r="J21" i="1"/>
  <c r="L54" i="1" s="1"/>
  <c r="K21" i="1"/>
  <c r="M54" i="1" s="1"/>
  <c r="L21" i="1"/>
  <c r="N54" i="1" s="1"/>
  <c r="M21" i="1"/>
  <c r="O54" i="1" s="1"/>
  <c r="N21" i="1"/>
  <c r="P54" i="1" s="1"/>
  <c r="O21" i="1"/>
  <c r="Q54" i="1"/>
  <c r="P21" i="1"/>
  <c r="R54" i="1" s="1"/>
  <c r="Q21" i="1"/>
  <c r="S54" i="1" s="1"/>
  <c r="R20" i="1"/>
  <c r="R19" i="1"/>
  <c r="R18" i="1"/>
  <c r="R17" i="1"/>
  <c r="R16" i="1"/>
  <c r="R14" i="1"/>
  <c r="R15" i="1"/>
  <c r="R31" i="1" l="1"/>
  <c r="N31" i="1"/>
  <c r="Q31" i="1"/>
  <c r="O31" i="1"/>
  <c r="M31" i="1"/>
  <c r="K31" i="1"/>
  <c r="I31" i="1"/>
  <c r="S31" i="1"/>
  <c r="P31" i="1"/>
  <c r="L31" i="1"/>
  <c r="J31" i="1"/>
  <c r="H31" i="1"/>
  <c r="R41" i="1"/>
  <c r="P41" i="1"/>
  <c r="N41" i="1"/>
  <c r="L41" i="1"/>
  <c r="J41" i="1"/>
  <c r="H41" i="1"/>
  <c r="S41" i="1"/>
  <c r="Q41" i="1"/>
  <c r="O41" i="1"/>
  <c r="M41" i="1"/>
  <c r="K41" i="1"/>
  <c r="I41" i="1"/>
  <c r="R43" i="1"/>
  <c r="P43" i="1"/>
  <c r="N43" i="1"/>
  <c r="L43" i="1"/>
  <c r="J43" i="1"/>
  <c r="H43" i="1"/>
  <c r="S43" i="1"/>
  <c r="Q43" i="1"/>
  <c r="O43" i="1"/>
  <c r="M43" i="1"/>
  <c r="K43" i="1"/>
  <c r="I43" i="1"/>
  <c r="R45" i="1"/>
  <c r="P45" i="1"/>
  <c r="N45" i="1"/>
  <c r="L45" i="1"/>
  <c r="J45" i="1"/>
  <c r="H45" i="1"/>
  <c r="S45" i="1"/>
  <c r="Q45" i="1"/>
  <c r="O45" i="1"/>
  <c r="M45" i="1"/>
  <c r="K45" i="1"/>
  <c r="I45" i="1"/>
  <c r="R33" i="1"/>
  <c r="P33" i="1"/>
  <c r="N33" i="1"/>
  <c r="L33" i="1"/>
  <c r="J33" i="1"/>
  <c r="H33" i="1"/>
  <c r="S33" i="1"/>
  <c r="Q33" i="1"/>
  <c r="O33" i="1"/>
  <c r="M33" i="1"/>
  <c r="K33" i="1"/>
  <c r="I33" i="1"/>
  <c r="R35" i="1"/>
  <c r="P35" i="1"/>
  <c r="N35" i="1"/>
  <c r="L35" i="1"/>
  <c r="J35" i="1"/>
  <c r="H35" i="1"/>
  <c r="S35" i="1"/>
  <c r="Q35" i="1"/>
  <c r="O35" i="1"/>
  <c r="M35" i="1"/>
  <c r="K35" i="1"/>
  <c r="I35" i="1"/>
  <c r="R37" i="1"/>
  <c r="P37" i="1"/>
  <c r="N37" i="1"/>
  <c r="L37" i="1"/>
  <c r="J37" i="1"/>
  <c r="H37" i="1"/>
  <c r="S37" i="1"/>
  <c r="Q37" i="1"/>
  <c r="O37" i="1"/>
  <c r="M37" i="1"/>
  <c r="K37" i="1"/>
  <c r="I37" i="1"/>
  <c r="R30" i="1"/>
  <c r="N30" i="1"/>
  <c r="J30" i="1"/>
  <c r="S30" i="1"/>
  <c r="Q30" i="1"/>
  <c r="O30" i="1"/>
  <c r="M30" i="1"/>
  <c r="K30" i="1"/>
  <c r="I30" i="1"/>
  <c r="P30" i="1"/>
  <c r="L30" i="1"/>
  <c r="H30" i="1"/>
  <c r="R38" i="1"/>
  <c r="P38" i="1"/>
  <c r="N38" i="1"/>
  <c r="L38" i="1"/>
  <c r="J38" i="1"/>
  <c r="H38" i="1"/>
  <c r="S38" i="1"/>
  <c r="Q38" i="1"/>
  <c r="O38" i="1"/>
  <c r="M38" i="1"/>
  <c r="K38" i="1"/>
  <c r="I38" i="1"/>
  <c r="R40" i="1"/>
  <c r="P40" i="1"/>
  <c r="N40" i="1"/>
  <c r="L40" i="1"/>
  <c r="J40" i="1"/>
  <c r="H40" i="1"/>
  <c r="S40" i="1"/>
  <c r="Q40" i="1"/>
  <c r="O40" i="1"/>
  <c r="M40" i="1"/>
  <c r="K40" i="1"/>
  <c r="I40" i="1"/>
  <c r="R42" i="1"/>
  <c r="P42" i="1"/>
  <c r="N42" i="1"/>
  <c r="L42" i="1"/>
  <c r="J42" i="1"/>
  <c r="H42" i="1"/>
  <c r="S42" i="1"/>
  <c r="Q42" i="1"/>
  <c r="O42" i="1"/>
  <c r="M42" i="1"/>
  <c r="K42" i="1"/>
  <c r="I42" i="1"/>
  <c r="R44" i="1"/>
  <c r="P44" i="1"/>
  <c r="N44" i="1"/>
  <c r="L44" i="1"/>
  <c r="J44" i="1"/>
  <c r="H44" i="1"/>
  <c r="S44" i="1"/>
  <c r="Q44" i="1"/>
  <c r="O44" i="1"/>
  <c r="M44" i="1"/>
  <c r="K44" i="1"/>
  <c r="I44" i="1"/>
  <c r="R32" i="1"/>
  <c r="P32" i="1"/>
  <c r="N32" i="1"/>
  <c r="L32" i="1"/>
  <c r="J32" i="1"/>
  <c r="H32" i="1"/>
  <c r="S32" i="1"/>
  <c r="Q32" i="1"/>
  <c r="O32" i="1"/>
  <c r="M32" i="1"/>
  <c r="K32" i="1"/>
  <c r="I32" i="1"/>
  <c r="R34" i="1"/>
  <c r="P34" i="1"/>
  <c r="N34" i="1"/>
  <c r="L34" i="1"/>
  <c r="J34" i="1"/>
  <c r="H34" i="1"/>
  <c r="S34" i="1"/>
  <c r="Q34" i="1"/>
  <c r="O34" i="1"/>
  <c r="M34" i="1"/>
  <c r="K34" i="1"/>
  <c r="I34" i="1"/>
  <c r="R36" i="1"/>
  <c r="P36" i="1"/>
  <c r="N36" i="1"/>
  <c r="L36" i="1"/>
  <c r="J36" i="1"/>
  <c r="H36" i="1"/>
  <c r="S36" i="1"/>
  <c r="Q36" i="1"/>
  <c r="O36" i="1"/>
  <c r="M36" i="1"/>
  <c r="K36" i="1"/>
  <c r="I36" i="1"/>
  <c r="R39" i="1"/>
  <c r="P39" i="1"/>
  <c r="N39" i="1"/>
  <c r="L39" i="1"/>
  <c r="J39" i="1"/>
  <c r="H39" i="1"/>
  <c r="S39" i="1"/>
  <c r="Q39" i="1"/>
  <c r="O39" i="1"/>
  <c r="M39" i="1"/>
  <c r="K39" i="1"/>
  <c r="I39" i="1"/>
  <c r="S29" i="1"/>
  <c r="Q29" i="1"/>
  <c r="O29" i="1"/>
  <c r="M29" i="1"/>
  <c r="K29" i="1"/>
  <c r="I29" i="1"/>
  <c r="R29" i="1"/>
  <c r="P29" i="1"/>
  <c r="N29" i="1"/>
  <c r="L29" i="1"/>
  <c r="J29" i="1"/>
  <c r="H29" i="1"/>
  <c r="E21" i="1"/>
  <c r="R28" i="1"/>
  <c r="N28" i="1"/>
  <c r="J28" i="1"/>
  <c r="L28" i="1"/>
  <c r="H28" i="1"/>
  <c r="S28" i="1"/>
  <c r="Q28" i="1"/>
  <c r="M28" i="1"/>
  <c r="I28" i="1"/>
  <c r="P28" i="1"/>
  <c r="O28" i="1"/>
  <c r="K28" i="1"/>
  <c r="R27" i="1"/>
  <c r="N27" i="1"/>
  <c r="N48" i="1" s="1"/>
  <c r="N53" i="1" s="1"/>
  <c r="N55" i="1" s="1"/>
  <c r="J27" i="1"/>
  <c r="M27" i="1"/>
  <c r="I27" i="1"/>
  <c r="I48" i="1" s="1"/>
  <c r="I53" i="1" s="1"/>
  <c r="I55" i="1" s="1"/>
  <c r="L27" i="1"/>
  <c r="H27" i="1"/>
  <c r="O27" i="1"/>
  <c r="K27" i="1"/>
  <c r="Q27" i="1"/>
  <c r="P27" i="1"/>
  <c r="S27" i="1"/>
  <c r="R21" i="1"/>
  <c r="F54" i="1" s="1"/>
  <c r="F48" i="1"/>
  <c r="F53" i="1" s="1"/>
  <c r="Q48" i="1" l="1"/>
  <c r="Q53" i="1" s="1"/>
  <c r="Q55" i="1" s="1"/>
  <c r="O48" i="1"/>
  <c r="O53" i="1" s="1"/>
  <c r="O55" i="1" s="1"/>
  <c r="L48" i="1"/>
  <c r="L53" i="1" s="1"/>
  <c r="L55" i="1" s="1"/>
  <c r="M48" i="1"/>
  <c r="M53" i="1" s="1"/>
  <c r="M55" i="1" s="1"/>
  <c r="K48" i="1"/>
  <c r="K53" i="1" s="1"/>
  <c r="K55" i="1" s="1"/>
  <c r="J48" i="1"/>
  <c r="J53" i="1" s="1"/>
  <c r="J55" i="1" s="1"/>
  <c r="R48" i="1"/>
  <c r="R53" i="1" s="1"/>
  <c r="R55" i="1" s="1"/>
  <c r="S48" i="1"/>
  <c r="S53" i="1" s="1"/>
  <c r="S55" i="1" s="1"/>
  <c r="P48" i="1"/>
  <c r="P53" i="1" s="1"/>
  <c r="P55" i="1" s="1"/>
  <c r="H48" i="1"/>
  <c r="H53" i="1" s="1"/>
  <c r="H55" i="1" s="1"/>
  <c r="F55" i="1"/>
</calcChain>
</file>

<file path=xl/comments1.xml><?xml version="1.0" encoding="utf-8"?>
<comments xmlns="http://schemas.openxmlformats.org/spreadsheetml/2006/main">
  <authors>
    <author>brendan.brazee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 xml:space="preserve">Identify Livestock and Wildlife found on the operation throughout the year.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Animal Unit Equivalent:  See National Range and Pasture Handbook for additional guidance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Enter Animal Units for each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Enter by response unit or combination of units with same growth curve in each pasture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" authorId="0">
      <text>
        <r>
          <rPr>
            <sz val="9"/>
            <color indexed="81"/>
            <rFont val="Tahoma"/>
            <family val="2"/>
          </rPr>
          <t xml:space="preserve">Enter value from ID-CPA-008
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Identify Apparent Trend for response unit - Positive (POS), Negative (NEG), or Stable (STA)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Choose Growth Curve Number from chart below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60" authorId="0">
      <text>
        <r>
          <rPr>
            <b/>
            <sz val="9"/>
            <color indexed="81"/>
            <rFont val="Tahoma"/>
            <family val="2"/>
          </rPr>
          <t>each row must add to 100%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brendan.brazee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 xml:space="preserve">Identify Livestock and Wildlife found on the operation throughout the year.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Animal Unit Equivalent:  See National Range and Pasture Handbook for additional guidance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Enter Animal Units for each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Enter by response unit or combination of units with same growth curve in each pasture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" authorId="0">
      <text>
        <r>
          <rPr>
            <sz val="9"/>
            <color indexed="81"/>
            <rFont val="Tahoma"/>
            <family val="2"/>
          </rPr>
          <t xml:space="preserve">Enter value from ID-CPA-008
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Identify Apparent Trend for response unit - Positive (POS), Negative (NEG), or Stable (STA)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Choose Growth Curve Number from chart below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60" authorId="0">
      <text>
        <r>
          <rPr>
            <b/>
            <sz val="9"/>
            <color indexed="81"/>
            <rFont val="Tahoma"/>
            <family val="2"/>
          </rPr>
          <t>each row must add to 100%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<sst xmlns="http://schemas.openxmlformats.org/spreadsheetml/2006/main" count="230" uniqueCount="76">
  <si>
    <t>Client:</t>
  </si>
  <si>
    <t>Livestock Inventory:</t>
  </si>
  <si>
    <t>Livestock / Wildlife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</si>
  <si>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</si>
  <si>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</si>
  <si>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</si>
  <si>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</si>
  <si>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</si>
  <si>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</si>
  <si>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</si>
  <si>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</si>
  <si>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</si>
  <si>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</si>
  <si>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</si>
  <si>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</si>
  <si>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</si>
  <si>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AUM's</t>
  </si>
  <si>
    <t>MONTHS</t>
  </si>
  <si>
    <t>Location:</t>
  </si>
  <si>
    <t>Date:</t>
  </si>
  <si>
    <t>Planner:</t>
  </si>
  <si>
    <t>Animal Units of Forage Needed</t>
  </si>
  <si>
    <t>Natural Resources Conservation Service</t>
  </si>
  <si>
    <t>Forage and Feed Inventory:</t>
  </si>
  <si>
    <t>Animal Units of Forage Available</t>
  </si>
  <si>
    <t>Trend</t>
  </si>
  <si>
    <t>Acres</t>
  </si>
  <si>
    <t>Livestock - Feed/Forage Balance:</t>
  </si>
  <si>
    <t>Total forage available (adjusted AUM's)</t>
  </si>
  <si>
    <t>Total forage needs in AUM's</t>
  </si>
  <si>
    <t>Difference (+) or (-) AUM's</t>
  </si>
  <si>
    <t>Idaho</t>
  </si>
  <si>
    <t>Prescribed Grazing  - 528</t>
  </si>
  <si>
    <t>ID-CPA-009</t>
  </si>
  <si>
    <t>Livestock, Forage and Feed Balance</t>
  </si>
  <si>
    <t>AUM/AC</t>
  </si>
  <si>
    <t>Planned Number</t>
  </si>
  <si>
    <t>AUE</t>
  </si>
  <si>
    <t>Total AU's</t>
  </si>
  <si>
    <t>Total AUM's</t>
  </si>
  <si>
    <t>Total      AUM's</t>
  </si>
  <si>
    <t>January 2014</t>
  </si>
  <si>
    <t>Pasture Number</t>
  </si>
  <si>
    <t>Feed / Forage Type</t>
  </si>
  <si>
    <t>Curve #</t>
  </si>
  <si>
    <t>Total AUM's Needed</t>
  </si>
  <si>
    <t>Total AUM's Available</t>
  </si>
  <si>
    <t>Growth Curve #</t>
  </si>
  <si>
    <t>Enter Growth Curve for Response Unit.</t>
  </si>
  <si>
    <t xml:space="preserve"> Name of Response Unit</t>
  </si>
  <si>
    <t>Bulls</t>
  </si>
  <si>
    <t>ly 12-16</t>
  </si>
  <si>
    <t>POS</t>
  </si>
  <si>
    <t>Dry Meadow</t>
  </si>
  <si>
    <t>Math Check</t>
  </si>
  <si>
    <t>Replacement Heifers</t>
  </si>
  <si>
    <t>Elk</t>
  </si>
  <si>
    <t>Deer</t>
  </si>
  <si>
    <t>Example</t>
  </si>
  <si>
    <t>ly 8-12</t>
  </si>
  <si>
    <t>grav loam</t>
  </si>
  <si>
    <t>meadow</t>
  </si>
  <si>
    <t>dry meadow</t>
  </si>
  <si>
    <t>juniper breaks</t>
  </si>
  <si>
    <t>nat pasture</t>
  </si>
  <si>
    <t>STA</t>
  </si>
  <si>
    <t>NEG</t>
  </si>
  <si>
    <t>Ly 8-12</t>
  </si>
  <si>
    <t>Gravelly Loam 8-12</t>
  </si>
  <si>
    <t>Meadow</t>
  </si>
  <si>
    <t>Juniper Breaks</t>
  </si>
  <si>
    <t>Aftermath - Grass/alf</t>
  </si>
  <si>
    <t>aftermath</t>
  </si>
  <si>
    <t>Ly 12-16</t>
  </si>
  <si>
    <t>Naturalized Pasture</t>
  </si>
  <si>
    <t>Beef Cattle -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</si>
</sst>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_);[Red]\(0\)"/>
  </numFmts>
  <fonts count="19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8.5"/>
      <name val="Arial"/>
      <family val="2"/>
    </font>
    <font>
      <b/>
      <sz val="8.5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4"/>
      <color indexed="9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2" fillId="2" borderId="9" xfId="0" applyFont="1" applyFill="1" applyBorder="1" applyProtection="1"/>
    <xf numFmtId="0" fontId="6" fillId="2" borderId="9" xfId="0" applyFont="1" applyFill="1" applyBorder="1" applyProtection="1"/>
    <xf numFmtId="0" fontId="0" fillId="0" borderId="0" xfId="0" applyProtection="1"/>
    <xf numFmtId="0" fontId="6" fillId="2" borderId="0" xfId="0" applyFont="1" applyFill="1" applyBorder="1" applyProtection="1"/>
    <xf numFmtId="0" fontId="11" fillId="2" borderId="1" xfId="0" applyFont="1" applyFill="1" applyBorder="1" applyProtection="1"/>
    <xf numFmtId="0" fontId="6" fillId="2" borderId="1" xfId="0" applyFont="1" applyFill="1" applyBorder="1" applyProtection="1"/>
    <xf numFmtId="0" fontId="4" fillId="6" borderId="15" xfId="0" applyFont="1" applyFill="1" applyBorder="1" applyProtection="1"/>
    <xf numFmtId="0" fontId="0" fillId="3" borderId="8" xfId="0" applyFill="1" applyBorder="1" applyProtection="1"/>
    <xf numFmtId="0" fontId="0" fillId="3" borderId="9" xfId="0" applyFill="1" applyBorder="1" applyProtection="1"/>
    <xf numFmtId="0" fontId="0" fillId="3" borderId="10" xfId="0" applyFill="1" applyBorder="1" applyProtection="1"/>
    <xf numFmtId="0" fontId="2" fillId="3" borderId="11" xfId="0" applyFont="1" applyFill="1" applyBorder="1" applyProtection="1"/>
    <xf numFmtId="0" fontId="0" fillId="3" borderId="0" xfId="0" applyFill="1" applyBorder="1" applyProtection="1"/>
    <xf numFmtId="0" fontId="2" fillId="3" borderId="0" xfId="0" applyFont="1" applyFill="1" applyBorder="1" applyAlignment="1" applyProtection="1">
      <alignment horizontal="right" indent="1"/>
    </xf>
    <xf numFmtId="0" fontId="0" fillId="3" borderId="11" xfId="0" applyFill="1" applyBorder="1" applyProtection="1"/>
    <xf numFmtId="0" fontId="0" fillId="3" borderId="12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0" fontId="0" fillId="3" borderId="20" xfId="0" applyFill="1" applyBorder="1" applyProtection="1"/>
    <xf numFmtId="0" fontId="8" fillId="4" borderId="5" xfId="0" applyFont="1" applyFill="1" applyBorder="1" applyAlignment="1" applyProtection="1">
      <alignment horizontal="center"/>
    </xf>
    <xf numFmtId="0" fontId="8" fillId="4" borderId="6" xfId="0" applyFont="1" applyFill="1" applyBorder="1" applyAlignment="1" applyProtection="1">
      <alignment horizontal="center"/>
    </xf>
    <xf numFmtId="0" fontId="8" fillId="4" borderId="7" xfId="0" applyFont="1" applyFill="1" applyBorder="1" applyAlignment="1" applyProtection="1">
      <alignment horizontal="center"/>
    </xf>
    <xf numFmtId="0" fontId="9" fillId="4" borderId="44" xfId="0" applyFont="1" applyFill="1" applyBorder="1" applyAlignment="1" applyProtection="1">
      <alignment horizontal="center"/>
    </xf>
    <xf numFmtId="0" fontId="9" fillId="4" borderId="45" xfId="0" applyFont="1" applyFill="1" applyBorder="1" applyAlignment="1" applyProtection="1">
      <alignment horizontal="center"/>
    </xf>
    <xf numFmtId="0" fontId="9" fillId="4" borderId="46" xfId="0" applyFont="1" applyFill="1" applyBorder="1" applyAlignment="1" applyProtection="1">
      <alignment horizontal="center"/>
    </xf>
    <xf numFmtId="0" fontId="3" fillId="6" borderId="21" xfId="0" applyFont="1" applyFill="1" applyBorder="1" applyProtection="1"/>
    <xf numFmtId="0" fontId="3" fillId="6" borderId="22" xfId="0" applyFont="1" applyFill="1" applyBorder="1" applyProtection="1"/>
    <xf numFmtId="0" fontId="3" fillId="6" borderId="23" xfId="0" applyFont="1" applyFill="1" applyBorder="1" applyProtection="1"/>
    <xf numFmtId="0" fontId="9" fillId="4" borderId="5" xfId="0" applyFont="1" applyFill="1" applyBorder="1" applyAlignment="1" applyProtection="1">
      <alignment horizontal="center"/>
    </xf>
    <xf numFmtId="0" fontId="9" fillId="4" borderId="6" xfId="0" applyFont="1" applyFill="1" applyBorder="1" applyAlignment="1" applyProtection="1">
      <alignment horizontal="center"/>
    </xf>
    <xf numFmtId="0" fontId="9" fillId="4" borderId="50" xfId="0" applyFont="1" applyFill="1" applyBorder="1" applyAlignment="1" applyProtection="1">
      <alignment horizontal="center"/>
    </xf>
    <xf numFmtId="0" fontId="9" fillId="7" borderId="62" xfId="0" applyFont="1" applyFill="1" applyBorder="1" applyAlignment="1" applyProtection="1">
      <alignment horizontal="center"/>
    </xf>
    <xf numFmtId="0" fontId="9" fillId="7" borderId="63" xfId="0" applyFont="1" applyFill="1" applyBorder="1" applyAlignment="1" applyProtection="1">
      <alignment horizontal="center"/>
    </xf>
    <xf numFmtId="0" fontId="3" fillId="6" borderId="0" xfId="0" applyFont="1" applyFill="1" applyBorder="1" applyProtection="1"/>
    <xf numFmtId="0" fontId="3" fillId="6" borderId="12" xfId="0" applyFont="1" applyFill="1" applyBorder="1" applyProtection="1"/>
    <xf numFmtId="0" fontId="10" fillId="0" borderId="2" xfId="0" applyFont="1" applyFill="1" applyBorder="1" applyAlignment="1" applyProtection="1">
      <alignment horizontal="center" shrinkToFit="1"/>
      <protection locked="0"/>
    </xf>
    <xf numFmtId="164" fontId="10" fillId="0" borderId="2" xfId="0" applyNumberFormat="1" applyFont="1" applyFill="1" applyBorder="1" applyAlignment="1" applyProtection="1">
      <alignment horizontal="center" shrinkToFit="1"/>
    </xf>
    <xf numFmtId="164" fontId="10" fillId="0" borderId="2" xfId="0" applyNumberFormat="1" applyFont="1" applyFill="1" applyBorder="1" applyAlignment="1" applyProtection="1">
      <alignment horizontal="center" shrinkToFit="1"/>
      <protection locked="0"/>
    </xf>
    <xf numFmtId="0" fontId="10" fillId="0" borderId="53" xfId="0" applyFont="1" applyFill="1" applyBorder="1" applyAlignment="1" applyProtection="1">
      <alignment horizontal="center" shrinkToFit="1"/>
      <protection locked="0"/>
    </xf>
    <xf numFmtId="164" fontId="10" fillId="0" borderId="53" xfId="0" applyNumberFormat="1" applyFont="1" applyFill="1" applyBorder="1" applyAlignment="1" applyProtection="1">
      <alignment horizontal="center" shrinkToFit="1"/>
    </xf>
    <xf numFmtId="164" fontId="10" fillId="0" borderId="53" xfId="0" applyNumberFormat="1" applyFont="1" applyFill="1" applyBorder="1" applyAlignment="1" applyProtection="1">
      <alignment horizontal="center" shrinkToFit="1"/>
      <protection locked="0"/>
    </xf>
    <xf numFmtId="164" fontId="1" fillId="4" borderId="56" xfId="0" applyNumberFormat="1" applyFont="1" applyFill="1" applyBorder="1" applyAlignment="1" applyProtection="1">
      <alignment horizontal="center" shrinkToFit="1"/>
    </xf>
    <xf numFmtId="2" fontId="10" fillId="0" borderId="2" xfId="0" applyNumberFormat="1" applyFont="1" applyFill="1" applyBorder="1" applyAlignment="1" applyProtection="1">
      <alignment horizontal="center" shrinkToFit="1"/>
      <protection locked="0"/>
    </xf>
    <xf numFmtId="2" fontId="10" fillId="0" borderId="53" xfId="0" applyNumberFormat="1" applyFont="1" applyFill="1" applyBorder="1" applyAlignment="1" applyProtection="1">
      <alignment horizontal="center" shrinkToFit="1"/>
      <protection locked="0"/>
    </xf>
    <xf numFmtId="164" fontId="10" fillId="0" borderId="49" xfId="0" applyNumberFormat="1" applyFont="1" applyFill="1" applyBorder="1" applyAlignment="1" applyProtection="1">
      <alignment horizontal="center" shrinkToFit="1"/>
      <protection locked="0"/>
    </xf>
    <xf numFmtId="2" fontId="10" fillId="0" borderId="49" xfId="0" applyNumberFormat="1" applyFont="1" applyFill="1" applyBorder="1" applyAlignment="1" applyProtection="1">
      <alignment horizontal="center" shrinkToFit="1"/>
      <protection locked="0"/>
    </xf>
    <xf numFmtId="0" fontId="10" fillId="0" borderId="49" xfId="0" applyFont="1" applyFill="1" applyBorder="1" applyAlignment="1" applyProtection="1">
      <alignment horizontal="center" shrinkToFit="1"/>
      <protection locked="0"/>
    </xf>
    <xf numFmtId="164" fontId="10" fillId="0" borderId="49" xfId="0" applyNumberFormat="1" applyFont="1" applyFill="1" applyBorder="1" applyAlignment="1" applyProtection="1">
      <alignment horizontal="center" shrinkToFit="1"/>
    </xf>
    <xf numFmtId="164" fontId="10" fillId="0" borderId="67" xfId="0" applyNumberFormat="1" applyFont="1" applyFill="1" applyBorder="1" applyAlignment="1" applyProtection="1">
      <alignment horizontal="center" shrinkToFit="1"/>
    </xf>
    <xf numFmtId="0" fontId="10" fillId="0" borderId="49" xfId="0" applyFont="1" applyFill="1" applyBorder="1" applyAlignment="1" applyProtection="1">
      <alignment horizontal="center" shrinkToFit="1"/>
    </xf>
    <xf numFmtId="0" fontId="10" fillId="0" borderId="2" xfId="0" applyFont="1" applyFill="1" applyBorder="1" applyAlignment="1" applyProtection="1">
      <alignment horizontal="center" vertical="center" shrinkToFit="1"/>
      <protection locked="0"/>
    </xf>
    <xf numFmtId="164" fontId="1" fillId="4" borderId="59" xfId="0" applyNumberFormat="1" applyFont="1" applyFill="1" applyBorder="1" applyAlignment="1" applyProtection="1">
      <alignment horizontal="center" shrinkToFit="1"/>
    </xf>
    <xf numFmtId="164" fontId="1" fillId="4" borderId="60" xfId="0" applyNumberFormat="1" applyFont="1" applyFill="1" applyBorder="1" applyAlignment="1" applyProtection="1">
      <alignment horizontal="center" shrinkToFit="1"/>
    </xf>
    <xf numFmtId="0" fontId="10" fillId="0" borderId="51" xfId="0" applyFont="1" applyFill="1" applyBorder="1" applyAlignment="1" applyProtection="1">
      <alignment horizontal="left" shrinkToFit="1"/>
      <protection locked="0"/>
    </xf>
    <xf numFmtId="0" fontId="10" fillId="0" borderId="49" xfId="0" applyFont="1" applyFill="1" applyBorder="1" applyAlignment="1" applyProtection="1">
      <alignment horizontal="left" shrinkToFit="1"/>
      <protection locked="0"/>
    </xf>
    <xf numFmtId="0" fontId="10" fillId="0" borderId="29" xfId="0" applyFont="1" applyFill="1" applyBorder="1" applyAlignment="1" applyProtection="1">
      <alignment horizontal="left" shrinkToFit="1"/>
      <protection locked="0"/>
    </xf>
    <xf numFmtId="0" fontId="10" fillId="0" borderId="2" xfId="0" applyFont="1" applyFill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center" shrinkToFit="1"/>
    </xf>
    <xf numFmtId="0" fontId="1" fillId="0" borderId="30" xfId="0" applyFont="1" applyBorder="1" applyAlignment="1" applyProtection="1">
      <alignment horizontal="center" shrinkToFit="1"/>
    </xf>
    <xf numFmtId="165" fontId="1" fillId="0" borderId="41" xfId="0" applyNumberFormat="1" applyFont="1" applyBorder="1" applyAlignment="1" applyProtection="1">
      <alignment horizontal="center" shrinkToFit="1"/>
    </xf>
    <xf numFmtId="165" fontId="1" fillId="0" borderId="60" xfId="0" applyNumberFormat="1" applyFont="1" applyBorder="1" applyAlignment="1" applyProtection="1">
      <alignment horizontal="center" shrinkToFit="1"/>
    </xf>
    <xf numFmtId="0" fontId="9" fillId="7" borderId="68" xfId="0" applyFont="1" applyFill="1" applyBorder="1" applyAlignment="1" applyProtection="1">
      <alignment horizontal="center"/>
    </xf>
    <xf numFmtId="9" fontId="0" fillId="0" borderId="2" xfId="0" applyNumberFormat="1" applyBorder="1" applyAlignment="1" applyProtection="1">
      <alignment horizontal="center"/>
      <protection locked="0"/>
    </xf>
    <xf numFmtId="9" fontId="0" fillId="0" borderId="41" xfId="0" applyNumberFormat="1" applyBorder="1" applyAlignment="1" applyProtection="1">
      <alignment horizontal="center"/>
      <protection locked="0"/>
    </xf>
    <xf numFmtId="0" fontId="10" fillId="7" borderId="28" xfId="0" applyFont="1" applyFill="1" applyBorder="1" applyAlignment="1" applyProtection="1">
      <alignment horizontal="center" wrapText="1"/>
    </xf>
    <xf numFmtId="9" fontId="1" fillId="7" borderId="30" xfId="0" applyNumberFormat="1" applyFont="1" applyFill="1" applyBorder="1" applyProtection="1"/>
    <xf numFmtId="164" fontId="1" fillId="4" borderId="56" xfId="0" applyNumberFormat="1" applyFont="1" applyFill="1" applyBorder="1" applyAlignment="1" applyProtection="1">
      <alignment horizontal="center" shrinkToFit="1"/>
    </xf>
    <xf numFmtId="0" fontId="10" fillId="0" borderId="2" xfId="0" applyFont="1" applyFill="1" applyBorder="1" applyAlignment="1" applyProtection="1">
      <alignment horizontal="center" shrinkToFit="1"/>
    </xf>
    <xf numFmtId="2" fontId="10" fillId="0" borderId="2" xfId="0" applyNumberFormat="1" applyFont="1" applyFill="1" applyBorder="1" applyAlignment="1" applyProtection="1">
      <alignment horizontal="center" shrinkToFit="1"/>
    </xf>
    <xf numFmtId="0" fontId="10" fillId="0" borderId="53" xfId="0" applyFont="1" applyFill="1" applyBorder="1" applyAlignment="1" applyProtection="1">
      <alignment horizontal="center" shrinkToFit="1"/>
    </xf>
    <xf numFmtId="2" fontId="10" fillId="0" borderId="53" xfId="0" applyNumberFormat="1" applyFont="1" applyFill="1" applyBorder="1" applyAlignment="1" applyProtection="1">
      <alignment horizontal="center" shrinkToFit="1"/>
    </xf>
    <xf numFmtId="0" fontId="10" fillId="0" borderId="51" xfId="0" applyFont="1" applyFill="1" applyBorder="1" applyAlignment="1" applyProtection="1">
      <alignment horizontal="left" shrinkToFit="1"/>
    </xf>
    <xf numFmtId="0" fontId="10" fillId="0" borderId="49" xfId="0" applyFont="1" applyFill="1" applyBorder="1" applyAlignment="1" applyProtection="1">
      <alignment horizontal="left" shrinkToFit="1"/>
    </xf>
    <xf numFmtId="2" fontId="10" fillId="0" borderId="49" xfId="0" applyNumberFormat="1" applyFont="1" applyFill="1" applyBorder="1" applyAlignment="1" applyProtection="1">
      <alignment horizontal="center" shrinkToFit="1"/>
    </xf>
    <xf numFmtId="0" fontId="10" fillId="0" borderId="29" xfId="0" applyFont="1" applyFill="1" applyBorder="1" applyAlignment="1" applyProtection="1">
      <alignment horizontal="left" shrinkToFit="1"/>
    </xf>
    <xf numFmtId="0" fontId="10" fillId="0" borderId="2" xfId="0" applyFont="1" applyFill="1" applyBorder="1" applyAlignment="1" applyProtection="1">
      <alignment horizontal="left" shrinkToFit="1"/>
    </xf>
    <xf numFmtId="0" fontId="10" fillId="0" borderId="2" xfId="0" applyFont="1" applyFill="1" applyBorder="1" applyAlignment="1" applyProtection="1">
      <alignment horizontal="center" vertical="center" shrinkToFit="1"/>
    </xf>
    <xf numFmtId="9" fontId="0" fillId="0" borderId="2" xfId="0" applyNumberFormat="1" applyBorder="1" applyAlignment="1" applyProtection="1">
      <alignment horizontal="center"/>
    </xf>
    <xf numFmtId="9" fontId="0" fillId="0" borderId="41" xfId="0" applyNumberFormat="1" applyBorder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7" fillId="7" borderId="64" xfId="0" applyFont="1" applyFill="1" applyBorder="1" applyAlignment="1" applyProtection="1">
      <alignment horizontal="center" vertical="center"/>
    </xf>
    <xf numFmtId="0" fontId="17" fillId="7" borderId="47" xfId="0" applyFont="1" applyFill="1" applyBorder="1" applyAlignment="1" applyProtection="1">
      <alignment horizontal="center" vertical="center"/>
    </xf>
    <xf numFmtId="0" fontId="17" fillId="7" borderId="14" xfId="0" applyFont="1" applyFill="1" applyBorder="1" applyAlignment="1" applyProtection="1">
      <alignment horizontal="center" vertical="center"/>
    </xf>
    <xf numFmtId="0" fontId="17" fillId="7" borderId="15" xfId="0" applyFont="1" applyFill="1" applyBorder="1" applyAlignment="1" applyProtection="1">
      <alignment horizontal="center" vertical="center"/>
    </xf>
    <xf numFmtId="0" fontId="10" fillId="0" borderId="64" xfId="0" applyFont="1" applyBorder="1" applyAlignment="1" applyProtection="1">
      <protection locked="0"/>
    </xf>
    <xf numFmtId="0" fontId="0" fillId="0" borderId="47" xfId="0" applyBorder="1" applyAlignment="1" applyProtection="1">
      <protection locked="0"/>
    </xf>
    <xf numFmtId="0" fontId="0" fillId="0" borderId="65" xfId="0" applyBorder="1" applyAlignment="1" applyProtection="1">
      <protection locked="0"/>
    </xf>
    <xf numFmtId="0" fontId="0" fillId="0" borderId="64" xfId="0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10" fillId="0" borderId="66" xfId="0" applyFont="1" applyBorder="1" applyAlignment="1" applyProtection="1">
      <protection locked="0"/>
    </xf>
    <xf numFmtId="0" fontId="0" fillId="0" borderId="27" xfId="0" applyBorder="1" applyAlignment="1" applyProtection="1">
      <protection locked="0"/>
    </xf>
    <xf numFmtId="0" fontId="0" fillId="0" borderId="38" xfId="0" applyBorder="1" applyAlignment="1" applyProtection="1">
      <protection locked="0"/>
    </xf>
    <xf numFmtId="0" fontId="2" fillId="5" borderId="8" xfId="0" applyFont="1" applyFill="1" applyBorder="1" applyAlignment="1" applyProtection="1">
      <alignment horizontal="left"/>
    </xf>
    <xf numFmtId="0" fontId="2" fillId="5" borderId="9" xfId="0" applyFont="1" applyFill="1" applyBorder="1" applyAlignment="1" applyProtection="1">
      <alignment horizontal="left"/>
    </xf>
    <xf numFmtId="0" fontId="2" fillId="5" borderId="10" xfId="0" applyFont="1" applyFill="1" applyBorder="1" applyAlignment="1" applyProtection="1">
      <alignment horizontal="left"/>
    </xf>
    <xf numFmtId="0" fontId="9" fillId="4" borderId="24" xfId="0" applyFont="1" applyFill="1" applyBorder="1" applyAlignment="1" applyProtection="1">
      <alignment horizontal="center" vertical="center" wrapText="1"/>
    </xf>
    <xf numFmtId="0" fontId="9" fillId="4" borderId="29" xfId="0" applyFont="1" applyFill="1" applyBorder="1" applyAlignment="1" applyProtection="1">
      <alignment horizontal="center" vertical="center" wrapText="1"/>
    </xf>
    <xf numFmtId="0" fontId="9" fillId="4" borderId="40" xfId="0" applyFont="1" applyFill="1" applyBorder="1" applyAlignment="1" applyProtection="1">
      <alignment horizontal="center" vertical="center" wrapText="1"/>
    </xf>
    <xf numFmtId="0" fontId="9" fillId="4" borderId="25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41" xfId="0" applyFont="1" applyFill="1" applyBorder="1" applyAlignment="1" applyProtection="1">
      <alignment horizontal="center" vertical="center" wrapText="1"/>
    </xf>
    <xf numFmtId="0" fontId="9" fillId="4" borderId="25" xfId="0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 applyProtection="1">
      <alignment horizontal="center" vertical="center"/>
    </xf>
    <xf numFmtId="0" fontId="9" fillId="4" borderId="41" xfId="0" applyFont="1" applyFill="1" applyBorder="1" applyAlignment="1" applyProtection="1">
      <alignment horizontal="center" vertical="center"/>
    </xf>
    <xf numFmtId="0" fontId="9" fillId="4" borderId="31" xfId="0" applyFont="1" applyFill="1" applyBorder="1" applyAlignment="1" applyProtection="1">
      <alignment horizontal="center" vertical="center"/>
    </xf>
    <xf numFmtId="0" fontId="9" fillId="4" borderId="34" xfId="0" applyFont="1" applyFill="1" applyBorder="1" applyAlignment="1" applyProtection="1">
      <alignment horizontal="center" vertical="center"/>
    </xf>
    <xf numFmtId="0" fontId="9" fillId="4" borderId="42" xfId="0" applyFont="1" applyFill="1" applyBorder="1" applyAlignment="1" applyProtection="1">
      <alignment horizontal="center" vertical="center"/>
    </xf>
    <xf numFmtId="0" fontId="9" fillId="4" borderId="32" xfId="0" applyFont="1" applyFill="1" applyBorder="1" applyAlignment="1" applyProtection="1">
      <alignment horizontal="center" vertical="center" wrapText="1"/>
    </xf>
    <xf numFmtId="0" fontId="9" fillId="4" borderId="35" xfId="0" applyFont="1" applyFill="1" applyBorder="1" applyAlignment="1" applyProtection="1">
      <alignment horizontal="center" vertical="center" wrapText="1"/>
    </xf>
    <xf numFmtId="0" fontId="9" fillId="4" borderId="43" xfId="0" applyFont="1" applyFill="1" applyBorder="1" applyAlignment="1" applyProtection="1">
      <alignment horizontal="center" vertical="center" wrapText="1"/>
    </xf>
    <xf numFmtId="0" fontId="1" fillId="7" borderId="21" xfId="0" applyFont="1" applyFill="1" applyBorder="1" applyAlignment="1" applyProtection="1">
      <alignment horizontal="center" wrapText="1"/>
    </xf>
    <xf numFmtId="0" fontId="1" fillId="7" borderId="22" xfId="0" applyFont="1" applyFill="1" applyBorder="1" applyAlignment="1" applyProtection="1">
      <alignment horizontal="center" wrapText="1"/>
    </xf>
    <xf numFmtId="0" fontId="1" fillId="7" borderId="23" xfId="0" applyFont="1" applyFill="1" applyBorder="1" applyAlignment="1" applyProtection="1">
      <alignment horizontal="center" wrapText="1"/>
    </xf>
    <xf numFmtId="0" fontId="2" fillId="7" borderId="21" xfId="0" applyFont="1" applyFill="1" applyBorder="1" applyAlignment="1" applyProtection="1">
      <alignment horizontal="center" wrapText="1"/>
    </xf>
    <xf numFmtId="0" fontId="2" fillId="7" borderId="23" xfId="0" applyFont="1" applyFill="1" applyBorder="1" applyAlignment="1" applyProtection="1">
      <alignment horizontal="center" wrapText="1"/>
    </xf>
    <xf numFmtId="0" fontId="17" fillId="7" borderId="66" xfId="0" applyFont="1" applyFill="1" applyBorder="1" applyAlignment="1" applyProtection="1">
      <alignment horizontal="center" vertical="center"/>
    </xf>
    <xf numFmtId="0" fontId="17" fillId="7" borderId="27" xfId="0" applyFont="1" applyFill="1" applyBorder="1" applyAlignment="1" applyProtection="1">
      <alignment horizontal="center" vertical="center"/>
    </xf>
    <xf numFmtId="0" fontId="9" fillId="4" borderId="34" xfId="0" applyFont="1" applyFill="1" applyBorder="1" applyAlignment="1" applyProtection="1">
      <alignment horizontal="center"/>
    </xf>
    <xf numFmtId="0" fontId="9" fillId="4" borderId="0" xfId="0" applyFont="1" applyFill="1" applyBorder="1" applyAlignment="1" applyProtection="1">
      <alignment horizontal="center"/>
    </xf>
    <xf numFmtId="0" fontId="9" fillId="4" borderId="12" xfId="0" applyFont="1" applyFill="1" applyBorder="1" applyAlignment="1" applyProtection="1">
      <alignment horizontal="center"/>
    </xf>
    <xf numFmtId="0" fontId="11" fillId="2" borderId="9" xfId="0" applyFont="1" applyFill="1" applyBorder="1" applyAlignment="1" applyProtection="1">
      <alignment horizontal="right"/>
    </xf>
    <xf numFmtId="0" fontId="11" fillId="2" borderId="10" xfId="0" applyFont="1" applyFill="1" applyBorder="1" applyAlignment="1" applyProtection="1">
      <alignment horizontal="right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8" fillId="4" borderId="26" xfId="0" applyFont="1" applyFill="1" applyBorder="1" applyAlignment="1" applyProtection="1">
      <alignment horizontal="center"/>
    </xf>
    <xf numFmtId="0" fontId="8" fillId="4" borderId="27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right"/>
    </xf>
    <xf numFmtId="0" fontId="0" fillId="2" borderId="0" xfId="0" applyFill="1" applyBorder="1" applyAlignment="1" applyProtection="1"/>
    <xf numFmtId="0" fontId="0" fillId="2" borderId="12" xfId="0" applyFill="1" applyBorder="1" applyAlignment="1" applyProtection="1"/>
    <xf numFmtId="0" fontId="11" fillId="2" borderId="1" xfId="0" applyFont="1" applyFill="1" applyBorder="1" applyAlignment="1" applyProtection="1">
      <alignment horizontal="right"/>
    </xf>
    <xf numFmtId="0" fontId="13" fillId="2" borderId="17" xfId="0" applyFont="1" applyFill="1" applyBorder="1" applyAlignment="1" applyProtection="1"/>
    <xf numFmtId="49" fontId="5" fillId="6" borderId="15" xfId="0" applyNumberFormat="1" applyFont="1" applyFill="1" applyBorder="1" applyAlignment="1" applyProtection="1">
      <alignment horizontal="right"/>
    </xf>
    <xf numFmtId="0" fontId="0" fillId="6" borderId="16" xfId="0" applyFill="1" applyBorder="1" applyAlignment="1" applyProtection="1"/>
    <xf numFmtId="0" fontId="2" fillId="3" borderId="1" xfId="0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/>
    <xf numFmtId="0" fontId="0" fillId="0" borderId="9" xfId="0" applyBorder="1" applyAlignment="1" applyProtection="1"/>
    <xf numFmtId="0" fontId="0" fillId="0" borderId="11" xfId="0" applyBorder="1" applyAlignment="1" applyProtection="1"/>
    <xf numFmtId="0" fontId="0" fillId="0" borderId="0" xfId="0" applyBorder="1" applyAlignment="1" applyProtection="1"/>
    <xf numFmtId="0" fontId="0" fillId="0" borderId="13" xfId="0" applyBorder="1" applyAlignment="1" applyProtection="1"/>
    <xf numFmtId="0" fontId="0" fillId="0" borderId="1" xfId="0" applyBorder="1" applyAlignment="1" applyProtection="1"/>
    <xf numFmtId="0" fontId="5" fillId="6" borderId="14" xfId="0" applyFont="1" applyFill="1" applyBorder="1" applyAlignment="1" applyProtection="1"/>
    <xf numFmtId="0" fontId="5" fillId="6" borderId="15" xfId="0" applyFont="1" applyFill="1" applyBorder="1" applyAlignment="1" applyProtection="1"/>
    <xf numFmtId="0" fontId="8" fillId="4" borderId="24" xfId="0" applyFont="1" applyFill="1" applyBorder="1" applyAlignment="1" applyProtection="1">
      <alignment horizontal="center" vertical="center"/>
    </xf>
    <xf numFmtId="0" fontId="8" fillId="4" borderId="25" xfId="0" applyFont="1" applyFill="1" applyBorder="1" applyAlignment="1" applyProtection="1">
      <alignment horizontal="center" vertical="center"/>
    </xf>
    <xf numFmtId="0" fontId="8" fillId="4" borderId="29" xfId="0" applyFont="1" applyFill="1" applyBorder="1" applyAlignment="1" applyProtection="1">
      <alignment horizontal="center" vertical="center"/>
    </xf>
    <xf numFmtId="0" fontId="8" fillId="4" borderId="2" xfId="0" applyFont="1" applyFill="1" applyBorder="1" applyAlignment="1" applyProtection="1">
      <alignment horizontal="center" vertical="center"/>
    </xf>
    <xf numFmtId="0" fontId="8" fillId="4" borderId="25" xfId="0" applyFont="1" applyFill="1" applyBorder="1" applyAlignment="1" applyProtection="1">
      <alignment horizontal="center" vertical="center" wrapText="1"/>
    </xf>
    <xf numFmtId="0" fontId="8" fillId="4" borderId="2" xfId="0" applyFont="1" applyFill="1" applyBorder="1" applyAlignment="1" applyProtection="1">
      <alignment horizontal="center" vertical="center" wrapText="1"/>
    </xf>
    <xf numFmtId="0" fontId="2" fillId="5" borderId="21" xfId="0" applyFont="1" applyFill="1" applyBorder="1" applyAlignment="1" applyProtection="1">
      <alignment horizontal="left"/>
    </xf>
    <xf numFmtId="0" fontId="2" fillId="5" borderId="22" xfId="0" applyFont="1" applyFill="1" applyBorder="1" applyAlignment="1" applyProtection="1">
      <alignment horizontal="left"/>
    </xf>
    <xf numFmtId="0" fontId="2" fillId="5" borderId="23" xfId="0" applyFont="1" applyFill="1" applyBorder="1" applyAlignment="1" applyProtection="1">
      <alignment horizontal="left"/>
    </xf>
    <xf numFmtId="164" fontId="1" fillId="0" borderId="2" xfId="0" applyNumberFormat="1" applyFont="1" applyBorder="1" applyAlignment="1" applyProtection="1">
      <alignment horizontal="center" shrinkToFit="1"/>
    </xf>
    <xf numFmtId="164" fontId="1" fillId="0" borderId="30" xfId="0" applyNumberFormat="1" applyFont="1" applyBorder="1" applyAlignment="1" applyProtection="1">
      <alignment horizontal="center" shrinkToFit="1"/>
    </xf>
    <xf numFmtId="0" fontId="8" fillId="4" borderId="3" xfId="0" applyFont="1" applyFill="1" applyBorder="1" applyAlignment="1" applyProtection="1">
      <alignment horizontal="center"/>
    </xf>
    <xf numFmtId="0" fontId="8" fillId="4" borderId="4" xfId="0" applyFont="1" applyFill="1" applyBorder="1" applyAlignment="1" applyProtection="1">
      <alignment horizontal="center"/>
    </xf>
    <xf numFmtId="0" fontId="8" fillId="4" borderId="28" xfId="0" applyFont="1" applyFill="1" applyBorder="1" applyAlignment="1" applyProtection="1">
      <alignment horizontal="center" vertical="center" wrapText="1"/>
    </xf>
    <xf numFmtId="0" fontId="8" fillId="4" borderId="30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left" shrinkToFit="1"/>
      <protection locked="0"/>
    </xf>
    <xf numFmtId="0" fontId="10" fillId="0" borderId="2" xfId="0" applyFont="1" applyFill="1" applyBorder="1" applyAlignment="1" applyProtection="1">
      <alignment horizontal="left" shrinkToFit="1"/>
      <protection locked="0"/>
    </xf>
    <xf numFmtId="0" fontId="10" fillId="0" borderId="52" xfId="0" applyFont="1" applyFill="1" applyBorder="1" applyAlignment="1" applyProtection="1">
      <alignment horizontal="left" shrinkToFit="1"/>
      <protection locked="0"/>
    </xf>
    <xf numFmtId="0" fontId="10" fillId="0" borderId="53" xfId="0" applyFont="1" applyFill="1" applyBorder="1" applyAlignment="1" applyProtection="1">
      <alignment horizontal="left" shrinkToFit="1"/>
      <protection locked="0"/>
    </xf>
    <xf numFmtId="0" fontId="3" fillId="6" borderId="11" xfId="0" applyFont="1" applyFill="1" applyBorder="1" applyAlignment="1" applyProtection="1"/>
    <xf numFmtId="0" fontId="3" fillId="6" borderId="0" xfId="0" applyFont="1" applyFill="1" applyBorder="1" applyAlignment="1" applyProtection="1"/>
    <xf numFmtId="164" fontId="1" fillId="4" borderId="56" xfId="0" applyNumberFormat="1" applyFont="1" applyFill="1" applyBorder="1" applyAlignment="1" applyProtection="1">
      <alignment horizontal="center" shrinkToFit="1"/>
    </xf>
    <xf numFmtId="164" fontId="1" fillId="4" borderId="57" xfId="0" applyNumberFormat="1" applyFont="1" applyFill="1" applyBorder="1" applyAlignment="1" applyProtection="1">
      <alignment horizontal="center" shrinkToFit="1"/>
    </xf>
    <xf numFmtId="0" fontId="1" fillId="4" borderId="21" xfId="0" applyFont="1" applyFill="1" applyBorder="1" applyAlignment="1" applyProtection="1">
      <alignment horizontal="center" shrinkToFit="1"/>
    </xf>
    <xf numFmtId="0" fontId="1" fillId="4" borderId="22" xfId="0" applyFont="1" applyFill="1" applyBorder="1" applyAlignment="1" applyProtection="1">
      <alignment horizontal="center" shrinkToFit="1"/>
    </xf>
    <xf numFmtId="0" fontId="1" fillId="4" borderId="55" xfId="0" applyFont="1" applyFill="1" applyBorder="1" applyAlignment="1" applyProtection="1">
      <alignment horizontal="center" shrinkToFit="1"/>
    </xf>
    <xf numFmtId="164" fontId="1" fillId="0" borderId="53" xfId="0" applyNumberFormat="1" applyFont="1" applyBorder="1" applyAlignment="1" applyProtection="1">
      <alignment horizontal="center" shrinkToFit="1"/>
    </xf>
    <xf numFmtId="164" fontId="1" fillId="0" borderId="54" xfId="0" applyNumberFormat="1" applyFont="1" applyBorder="1" applyAlignment="1" applyProtection="1">
      <alignment horizontal="center" shrinkToFit="1"/>
    </xf>
    <xf numFmtId="0" fontId="9" fillId="4" borderId="48" xfId="0" applyFont="1" applyFill="1" applyBorder="1" applyAlignment="1" applyProtection="1">
      <alignment horizontal="center"/>
    </xf>
    <xf numFmtId="0" fontId="5" fillId="4" borderId="51" xfId="0" applyFont="1" applyFill="1" applyBorder="1" applyAlignment="1" applyProtection="1">
      <alignment horizontal="left" indent="1"/>
    </xf>
    <xf numFmtId="0" fontId="5" fillId="4" borderId="49" xfId="0" applyFont="1" applyFill="1" applyBorder="1" applyAlignment="1" applyProtection="1">
      <alignment horizontal="left" indent="1"/>
    </xf>
    <xf numFmtId="0" fontId="9" fillId="4" borderId="26" xfId="0" applyFont="1" applyFill="1" applyBorder="1" applyAlignment="1" applyProtection="1">
      <alignment horizontal="center"/>
    </xf>
    <xf numFmtId="0" fontId="9" fillId="4" borderId="27" xfId="0" applyFont="1" applyFill="1" applyBorder="1" applyAlignment="1" applyProtection="1">
      <alignment horizontal="center"/>
    </xf>
    <xf numFmtId="0" fontId="9" fillId="4" borderId="38" xfId="0" applyFont="1" applyFill="1" applyBorder="1" applyAlignment="1" applyProtection="1">
      <alignment horizontal="center"/>
    </xf>
    <xf numFmtId="0" fontId="9" fillId="4" borderId="36" xfId="0" applyFont="1" applyFill="1" applyBorder="1" applyAlignment="1" applyProtection="1">
      <alignment horizontal="center"/>
    </xf>
    <xf numFmtId="0" fontId="9" fillId="4" borderId="37" xfId="0" applyFont="1" applyFill="1" applyBorder="1" applyAlignment="1" applyProtection="1">
      <alignment horizontal="center"/>
    </xf>
    <xf numFmtId="0" fontId="9" fillId="4" borderId="39" xfId="0" applyFont="1" applyFill="1" applyBorder="1" applyAlignment="1" applyProtection="1">
      <alignment horizontal="center"/>
    </xf>
    <xf numFmtId="0" fontId="1" fillId="4" borderId="14" xfId="0" applyFont="1" applyFill="1" applyBorder="1" applyAlignment="1" applyProtection="1">
      <alignment horizontal="right" shrinkToFit="1"/>
    </xf>
    <xf numFmtId="0" fontId="1" fillId="4" borderId="15" xfId="0" applyFont="1" applyFill="1" applyBorder="1" applyAlignment="1" applyProtection="1">
      <alignment horizontal="right" shrinkToFit="1"/>
    </xf>
    <xf numFmtId="0" fontId="1" fillId="4" borderId="58" xfId="0" applyFont="1" applyFill="1" applyBorder="1" applyAlignment="1" applyProtection="1">
      <alignment horizontal="right" shrinkToFit="1"/>
    </xf>
    <xf numFmtId="164" fontId="1" fillId="4" borderId="61" xfId="0" applyNumberFormat="1" applyFont="1" applyFill="1" applyBorder="1" applyAlignment="1" applyProtection="1">
      <alignment horizontal="center" shrinkToFit="1"/>
    </xf>
    <xf numFmtId="164" fontId="1" fillId="4" borderId="58" xfId="0" applyNumberFormat="1" applyFont="1" applyFill="1" applyBorder="1" applyAlignment="1" applyProtection="1">
      <alignment horizontal="center" shrinkToFit="1"/>
    </xf>
    <xf numFmtId="0" fontId="1" fillId="5" borderId="11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1" fillId="5" borderId="12" xfId="0" applyFont="1" applyFill="1" applyBorder="1" applyAlignment="1" applyProtection="1">
      <alignment horizontal="center" vertical="center"/>
    </xf>
    <xf numFmtId="0" fontId="1" fillId="5" borderId="18" xfId="0" applyFont="1" applyFill="1" applyBorder="1" applyAlignment="1" applyProtection="1">
      <alignment horizontal="center" vertical="center"/>
    </xf>
    <xf numFmtId="0" fontId="1" fillId="5" borderId="19" xfId="0" applyFont="1" applyFill="1" applyBorder="1" applyAlignment="1" applyProtection="1">
      <alignment horizontal="center" vertical="center"/>
    </xf>
    <xf numFmtId="0" fontId="1" fillId="5" borderId="20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/>
    </xf>
    <xf numFmtId="0" fontId="9" fillId="4" borderId="33" xfId="0" applyFont="1" applyFill="1" applyBorder="1" applyAlignment="1" applyProtection="1">
      <alignment horizontal="center"/>
    </xf>
    <xf numFmtId="0" fontId="0" fillId="5" borderId="8" xfId="0" applyFill="1" applyBorder="1" applyAlignment="1" applyProtection="1">
      <alignment horizontal="center"/>
    </xf>
    <xf numFmtId="0" fontId="0" fillId="5" borderId="9" xfId="0" applyFill="1" applyBorder="1" applyAlignment="1" applyProtection="1">
      <alignment horizontal="center"/>
    </xf>
    <xf numFmtId="0" fontId="0" fillId="5" borderId="22" xfId="0" applyFill="1" applyBorder="1" applyAlignment="1" applyProtection="1">
      <alignment horizontal="center"/>
    </xf>
    <xf numFmtId="0" fontId="0" fillId="5" borderId="23" xfId="0" applyFill="1" applyBorder="1" applyAlignment="1" applyProtection="1">
      <alignment horizontal="center"/>
    </xf>
    <xf numFmtId="0" fontId="5" fillId="4" borderId="29" xfId="0" applyFont="1" applyFill="1" applyBorder="1" applyAlignment="1" applyProtection="1">
      <alignment horizontal="left" indent="1"/>
    </xf>
    <xf numFmtId="0" fontId="5" fillId="4" borderId="2" xfId="0" applyFont="1" applyFill="1" applyBorder="1" applyAlignment="1" applyProtection="1">
      <alignment horizontal="left" indent="1"/>
    </xf>
    <xf numFmtId="0" fontId="5" fillId="4" borderId="40" xfId="0" applyFont="1" applyFill="1" applyBorder="1" applyAlignment="1" applyProtection="1">
      <alignment horizontal="left" indent="1"/>
    </xf>
    <xf numFmtId="0" fontId="5" fillId="4" borderId="41" xfId="0" applyFont="1" applyFill="1" applyBorder="1" applyAlignment="1" applyProtection="1">
      <alignment horizontal="left" indent="1"/>
    </xf>
    <xf numFmtId="1" fontId="16" fillId="0" borderId="2" xfId="0" applyNumberFormat="1" applyFont="1" applyBorder="1" applyAlignment="1" applyProtection="1">
      <alignment horizontal="center"/>
    </xf>
    <xf numFmtId="165" fontId="16" fillId="0" borderId="41" xfId="0" applyNumberFormat="1" applyFont="1" applyBorder="1" applyAlignment="1" applyProtection="1">
      <alignment horizontal="center"/>
    </xf>
    <xf numFmtId="0" fontId="0" fillId="0" borderId="64" xfId="0" applyBorder="1" applyAlignment="1" applyProtection="1"/>
    <xf numFmtId="0" fontId="0" fillId="0" borderId="47" xfId="0" applyBorder="1" applyAlignment="1" applyProtection="1"/>
    <xf numFmtId="0" fontId="0" fillId="0" borderId="65" xfId="0" applyBorder="1" applyAlignment="1" applyProtection="1"/>
    <xf numFmtId="0" fontId="0" fillId="0" borderId="14" xfId="0" applyBorder="1" applyAlignment="1" applyProtection="1"/>
    <xf numFmtId="0" fontId="0" fillId="0" borderId="15" xfId="0" applyBorder="1" applyAlignment="1" applyProtection="1"/>
    <xf numFmtId="0" fontId="0" fillId="0" borderId="16" xfId="0" applyBorder="1" applyAlignment="1" applyProtection="1"/>
    <xf numFmtId="0" fontId="10" fillId="0" borderId="64" xfId="0" applyFont="1" applyBorder="1" applyAlignment="1" applyProtection="1"/>
    <xf numFmtId="0" fontId="10" fillId="0" borderId="66" xfId="0" applyFont="1" applyBorder="1" applyAlignment="1" applyProtection="1"/>
    <xf numFmtId="0" fontId="0" fillId="0" borderId="27" xfId="0" applyBorder="1" applyAlignment="1" applyProtection="1"/>
    <xf numFmtId="0" fontId="0" fillId="0" borderId="38" xfId="0" applyBorder="1" applyAlignment="1" applyProtection="1"/>
    <xf numFmtId="0" fontId="10" fillId="0" borderId="29" xfId="0" applyFont="1" applyFill="1" applyBorder="1" applyAlignment="1" applyProtection="1">
      <alignment horizontal="left" shrinkToFit="1"/>
    </xf>
    <xf numFmtId="0" fontId="10" fillId="0" borderId="2" xfId="0" applyFont="1" applyFill="1" applyBorder="1" applyAlignment="1" applyProtection="1">
      <alignment horizontal="left" shrinkToFit="1"/>
    </xf>
    <xf numFmtId="0" fontId="10" fillId="0" borderId="52" xfId="0" applyFont="1" applyFill="1" applyBorder="1" applyAlignment="1" applyProtection="1">
      <alignment horizontal="left" shrinkToFit="1"/>
    </xf>
    <xf numFmtId="0" fontId="10" fillId="0" borderId="53" xfId="0" applyFont="1" applyFill="1" applyBorder="1" applyAlignment="1" applyProtection="1">
      <alignment horizontal="left" shrinkToFit="1"/>
    </xf>
    <xf numFmtId="0" fontId="2" fillId="3" borderId="1" xfId="0" applyFont="1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17" xfId="0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847725</xdr:colOff>
      <xdr:row>2</xdr:row>
      <xdr:rowOff>57150</xdr:rowOff>
    </xdr:to>
    <xdr:pic>
      <xdr:nvPicPr>
        <xdr:cNvPr id="1050" name="Picture 1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3335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847725</xdr:colOff>
      <xdr:row>2</xdr:row>
      <xdr:rowOff>57150</xdr:rowOff>
    </xdr:to>
    <xdr:pic>
      <xdr:nvPicPr>
        <xdr:cNvPr id="2" name="Picture 1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3335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showZeros="0" tabSelected="1" zoomScaleNormal="100" workbookViewId="0">
      <selection activeCell="B6" sqref="B6:H6"/>
    </sheetView>
  </sheetViews>
  <sheetFormatPr defaultRowHeight="12.75" x14ac:dyDescent="0.2"/>
  <cols>
    <col min="1" max="1" width="8.42578125" customWidth="1"/>
    <col min="2" max="2" width="13.42578125" customWidth="1"/>
    <col min="3" max="3" width="7.7109375" customWidth="1"/>
    <col min="4" max="4" width="7.28515625" customWidth="1"/>
    <col min="5" max="5" width="6.7109375" customWidth="1"/>
    <col min="6" max="19" width="5.7109375" customWidth="1"/>
  </cols>
  <sheetData>
    <row r="1" spans="1:20" ht="18" x14ac:dyDescent="0.25">
      <c r="A1" s="136"/>
      <c r="B1" s="137"/>
      <c r="C1" s="1" t="s">
        <v>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22" t="s">
        <v>33</v>
      </c>
      <c r="R1" s="122"/>
      <c r="S1" s="123"/>
      <c r="T1" s="3"/>
    </row>
    <row r="2" spans="1:20" ht="14.1" customHeight="1" x14ac:dyDescent="0.2">
      <c r="A2" s="138"/>
      <c r="B2" s="139"/>
      <c r="C2" s="4"/>
      <c r="D2" s="4"/>
      <c r="E2" s="4"/>
      <c r="F2" s="4"/>
      <c r="G2" s="4"/>
      <c r="H2" s="4"/>
      <c r="I2" s="4"/>
      <c r="J2" s="4"/>
      <c r="K2" s="4"/>
      <c r="L2" s="128"/>
      <c r="M2" s="129"/>
      <c r="N2" s="129"/>
      <c r="O2" s="129"/>
      <c r="P2" s="129"/>
      <c r="Q2" s="129"/>
      <c r="R2" s="129"/>
      <c r="S2" s="130"/>
      <c r="T2" s="3"/>
    </row>
    <row r="3" spans="1:20" ht="14.1" customHeight="1" x14ac:dyDescent="0.25">
      <c r="A3" s="140"/>
      <c r="B3" s="141"/>
      <c r="C3" s="5" t="s">
        <v>34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31" t="s">
        <v>31</v>
      </c>
      <c r="S3" s="132"/>
      <c r="T3" s="3"/>
    </row>
    <row r="4" spans="1:20" ht="10.5" customHeight="1" thickBot="1" x14ac:dyDescent="0.25">
      <c r="A4" s="142" t="s">
        <v>22</v>
      </c>
      <c r="B4" s="143"/>
      <c r="C4" s="143"/>
      <c r="D4" s="14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33" t="s">
        <v>41</v>
      </c>
      <c r="S4" s="134"/>
      <c r="T4" s="3"/>
    </row>
    <row r="5" spans="1:20" ht="8.25" customHeight="1" x14ac:dyDescent="0.2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3"/>
    </row>
    <row r="6" spans="1:20" ht="15" customHeight="1" x14ac:dyDescent="0.2">
      <c r="A6" s="11" t="s">
        <v>0</v>
      </c>
      <c r="B6" s="135"/>
      <c r="C6" s="124"/>
      <c r="D6" s="124"/>
      <c r="E6" s="124"/>
      <c r="F6" s="124"/>
      <c r="G6" s="124"/>
      <c r="H6" s="124"/>
      <c r="I6" s="12"/>
      <c r="J6" s="13" t="s">
        <v>19</v>
      </c>
      <c r="K6" s="124"/>
      <c r="L6" s="124"/>
      <c r="M6" s="124"/>
      <c r="N6" s="124"/>
      <c r="O6" s="124"/>
      <c r="P6" s="124"/>
      <c r="Q6" s="124"/>
      <c r="R6" s="124"/>
      <c r="S6" s="125"/>
      <c r="T6" s="3"/>
    </row>
    <row r="7" spans="1:20" ht="15" customHeight="1" x14ac:dyDescent="0.2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5"/>
      <c r="T7" s="3"/>
    </row>
    <row r="8" spans="1:20" ht="15" customHeight="1" x14ac:dyDescent="0.2">
      <c r="A8" s="11" t="s">
        <v>18</v>
      </c>
      <c r="B8" s="135"/>
      <c r="C8" s="124"/>
      <c r="D8" s="124"/>
      <c r="E8" s="124"/>
      <c r="F8" s="124"/>
      <c r="G8" s="124"/>
      <c r="H8" s="124"/>
      <c r="I8" s="12"/>
      <c r="J8" s="13" t="s">
        <v>20</v>
      </c>
      <c r="K8" s="124"/>
      <c r="L8" s="124"/>
      <c r="M8" s="124"/>
      <c r="N8" s="124"/>
      <c r="O8" s="124"/>
      <c r="P8" s="124"/>
      <c r="Q8" s="124"/>
      <c r="R8" s="124"/>
      <c r="S8" s="125"/>
      <c r="T8" s="3"/>
    </row>
    <row r="9" spans="1:20" ht="7.5" customHeight="1" thickBo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3"/>
    </row>
    <row r="10" spans="1:20" ht="20.100000000000001" customHeight="1" thickBot="1" x14ac:dyDescent="0.25">
      <c r="A10" s="150" t="s">
        <v>1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2"/>
      <c r="T10" s="3"/>
    </row>
    <row r="11" spans="1:20" ht="15" customHeight="1" x14ac:dyDescent="0.2">
      <c r="A11" s="144" t="s">
        <v>2</v>
      </c>
      <c r="B11" s="145"/>
      <c r="C11" s="148" t="s">
        <v>36</v>
      </c>
      <c r="D11" s="148" t="s">
        <v>37</v>
      </c>
      <c r="E11" s="148" t="s">
        <v>38</v>
      </c>
      <c r="F11" s="126" t="s">
        <v>21</v>
      </c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48" t="s">
        <v>40</v>
      </c>
      <c r="S11" s="157"/>
      <c r="T11" s="3"/>
    </row>
    <row r="12" spans="1:20" ht="15" customHeight="1" x14ac:dyDescent="0.2">
      <c r="A12" s="146"/>
      <c r="B12" s="147"/>
      <c r="C12" s="149"/>
      <c r="D12" s="149"/>
      <c r="E12" s="149"/>
      <c r="F12" s="155" t="s">
        <v>17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6"/>
      <c r="R12" s="149"/>
      <c r="S12" s="158"/>
      <c r="T12" s="3"/>
    </row>
    <row r="13" spans="1:20" ht="15" customHeight="1" x14ac:dyDescent="0.2">
      <c r="A13" s="146"/>
      <c r="B13" s="147"/>
      <c r="C13" s="149"/>
      <c r="D13" s="149"/>
      <c r="E13" s="149"/>
      <c r="F13" s="19" t="s">
        <v>4</v>
      </c>
      <c r="G13" s="20" t="s">
        <v>5</v>
      </c>
      <c r="H13" s="20" t="s">
        <v>6</v>
      </c>
      <c r="I13" s="20" t="s">
        <v>7</v>
      </c>
      <c r="J13" s="20" t="s">
        <v>8</v>
      </c>
      <c r="K13" s="20" t="s">
        <v>9</v>
      </c>
      <c r="L13" s="20" t="s">
        <v>10</v>
      </c>
      <c r="M13" s="20" t="s">
        <v>11</v>
      </c>
      <c r="N13" s="20" t="s">
        <v>12</v>
      </c>
      <c r="O13" s="20" t="s">
        <v>13</v>
      </c>
      <c r="P13" s="20" t="s">
        <v>14</v>
      </c>
      <c r="Q13" s="21" t="s">
        <v>15</v>
      </c>
      <c r="R13" s="149"/>
      <c r="S13" s="158"/>
      <c r="T13" s="3"/>
    </row>
    <row r="14" spans="1:20" ht="15" customHeight="1" x14ac:dyDescent="0.2">
      <c r="A14" s="159"/>
      <c r="B14" s="160"/>
      <c r="C14" s="35"/>
      <c r="D14" s="42"/>
      <c r="E14" s="36" t="str">
        <f t="shared" ref="E14:E20" si="0">IF(C14&gt;0,C14*D14,"")</f>
        <v/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153">
        <f>SUM(F14:Q14)</f>
        <v>0</v>
      </c>
      <c r="S14" s="154"/>
      <c r="T14" s="3"/>
    </row>
    <row r="15" spans="1:20" ht="15" customHeight="1" x14ac:dyDescent="0.2">
      <c r="A15" s="159"/>
      <c r="B15" s="160"/>
      <c r="C15" s="35"/>
      <c r="D15" s="42"/>
      <c r="E15" s="36" t="str">
        <f t="shared" si="0"/>
        <v/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153">
        <f>SUM(F15:Q15)</f>
        <v>0</v>
      </c>
      <c r="S15" s="154"/>
      <c r="T15" s="3"/>
    </row>
    <row r="16" spans="1:20" ht="15" customHeight="1" x14ac:dyDescent="0.2">
      <c r="A16" s="159"/>
      <c r="B16" s="160"/>
      <c r="C16" s="35"/>
      <c r="D16" s="42"/>
      <c r="E16" s="36" t="str">
        <f t="shared" si="0"/>
        <v/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153">
        <f t="shared" ref="R16:R21" si="1">SUM(F16:Q16)</f>
        <v>0</v>
      </c>
      <c r="S16" s="154"/>
      <c r="T16" s="3"/>
    </row>
    <row r="17" spans="1:20" ht="15" customHeight="1" x14ac:dyDescent="0.2">
      <c r="A17" s="159"/>
      <c r="B17" s="160"/>
      <c r="C17" s="35"/>
      <c r="D17" s="42"/>
      <c r="E17" s="36" t="str">
        <f t="shared" si="0"/>
        <v/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153">
        <f t="shared" si="1"/>
        <v>0</v>
      </c>
      <c r="S17" s="154"/>
      <c r="T17" s="3"/>
    </row>
    <row r="18" spans="1:20" ht="15" customHeight="1" x14ac:dyDescent="0.2">
      <c r="A18" s="159"/>
      <c r="B18" s="160"/>
      <c r="C18" s="35"/>
      <c r="D18" s="42"/>
      <c r="E18" s="36" t="str">
        <f t="shared" si="0"/>
        <v/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153">
        <f t="shared" si="1"/>
        <v>0</v>
      </c>
      <c r="S18" s="154"/>
      <c r="T18" s="3"/>
    </row>
    <row r="19" spans="1:20" ht="15" customHeight="1" x14ac:dyDescent="0.2">
      <c r="A19" s="159"/>
      <c r="B19" s="160"/>
      <c r="C19" s="35"/>
      <c r="D19" s="42"/>
      <c r="E19" s="36" t="str">
        <f t="shared" si="0"/>
        <v/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153">
        <f t="shared" si="1"/>
        <v>0</v>
      </c>
      <c r="S19" s="154"/>
      <c r="T19" s="3"/>
    </row>
    <row r="20" spans="1:20" ht="15" customHeight="1" thickBot="1" x14ac:dyDescent="0.25">
      <c r="A20" s="161"/>
      <c r="B20" s="162"/>
      <c r="C20" s="38"/>
      <c r="D20" s="43"/>
      <c r="E20" s="39" t="str">
        <f t="shared" si="0"/>
        <v/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170">
        <f t="shared" si="1"/>
        <v>0</v>
      </c>
      <c r="S20" s="171"/>
      <c r="T20" s="3"/>
    </row>
    <row r="21" spans="1:20" ht="15" customHeight="1" thickBot="1" x14ac:dyDescent="0.25">
      <c r="A21" s="167" t="s">
        <v>45</v>
      </c>
      <c r="B21" s="168"/>
      <c r="C21" s="168"/>
      <c r="D21" s="169"/>
      <c r="E21" s="41">
        <f t="shared" ref="E21:Q21" si="2">SUM(E14:E20)</f>
        <v>0</v>
      </c>
      <c r="F21" s="41">
        <f t="shared" si="2"/>
        <v>0</v>
      </c>
      <c r="G21" s="41">
        <f t="shared" si="2"/>
        <v>0</v>
      </c>
      <c r="H21" s="41">
        <f t="shared" si="2"/>
        <v>0</v>
      </c>
      <c r="I21" s="41">
        <f t="shared" si="2"/>
        <v>0</v>
      </c>
      <c r="J21" s="41">
        <f t="shared" si="2"/>
        <v>0</v>
      </c>
      <c r="K21" s="41">
        <f t="shared" si="2"/>
        <v>0</v>
      </c>
      <c r="L21" s="41">
        <f t="shared" si="2"/>
        <v>0</v>
      </c>
      <c r="M21" s="41">
        <f t="shared" si="2"/>
        <v>0</v>
      </c>
      <c r="N21" s="41">
        <f t="shared" si="2"/>
        <v>0</v>
      </c>
      <c r="O21" s="41">
        <f t="shared" si="2"/>
        <v>0</v>
      </c>
      <c r="P21" s="41">
        <f t="shared" si="2"/>
        <v>0</v>
      </c>
      <c r="Q21" s="41">
        <f t="shared" si="2"/>
        <v>0</v>
      </c>
      <c r="R21" s="165">
        <f t="shared" si="1"/>
        <v>0</v>
      </c>
      <c r="S21" s="166"/>
      <c r="T21" s="3"/>
    </row>
    <row r="22" spans="1:20" ht="7.5" customHeight="1" thickBot="1" x14ac:dyDescent="0.25">
      <c r="A22" s="163"/>
      <c r="B22" s="16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  <c r="T22" s="3"/>
    </row>
    <row r="23" spans="1:20" ht="20.100000000000001" customHeight="1" thickBot="1" x14ac:dyDescent="0.25">
      <c r="A23" s="94" t="s">
        <v>23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6"/>
      <c r="T23" s="3"/>
    </row>
    <row r="24" spans="1:20" ht="15" customHeight="1" x14ac:dyDescent="0.2">
      <c r="A24" s="97" t="s">
        <v>42</v>
      </c>
      <c r="B24" s="100" t="s">
        <v>43</v>
      </c>
      <c r="C24" s="103" t="s">
        <v>26</v>
      </c>
      <c r="D24" s="103" t="s">
        <v>35</v>
      </c>
      <c r="E24" s="106" t="s">
        <v>25</v>
      </c>
      <c r="F24" s="100" t="s">
        <v>39</v>
      </c>
      <c r="G24" s="109" t="s">
        <v>44</v>
      </c>
      <c r="H24" s="175" t="s">
        <v>24</v>
      </c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7"/>
      <c r="T24" s="3"/>
    </row>
    <row r="25" spans="1:20" ht="15" customHeight="1" x14ac:dyDescent="0.2">
      <c r="A25" s="98"/>
      <c r="B25" s="101"/>
      <c r="C25" s="104"/>
      <c r="D25" s="104"/>
      <c r="E25" s="107"/>
      <c r="F25" s="101"/>
      <c r="G25" s="110"/>
      <c r="H25" s="178" t="s">
        <v>17</v>
      </c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80"/>
      <c r="T25" s="3"/>
    </row>
    <row r="26" spans="1:20" ht="15" customHeight="1" thickBot="1" x14ac:dyDescent="0.25">
      <c r="A26" s="99"/>
      <c r="B26" s="102"/>
      <c r="C26" s="105"/>
      <c r="D26" s="105"/>
      <c r="E26" s="108"/>
      <c r="F26" s="102"/>
      <c r="G26" s="111"/>
      <c r="H26" s="22" t="s">
        <v>4</v>
      </c>
      <c r="I26" s="23" t="s">
        <v>5</v>
      </c>
      <c r="J26" s="23" t="s">
        <v>6</v>
      </c>
      <c r="K26" s="23" t="s">
        <v>7</v>
      </c>
      <c r="L26" s="23" t="s">
        <v>8</v>
      </c>
      <c r="M26" s="23" t="s">
        <v>9</v>
      </c>
      <c r="N26" s="23" t="s">
        <v>10</v>
      </c>
      <c r="O26" s="23" t="s">
        <v>11</v>
      </c>
      <c r="P26" s="23" t="s">
        <v>12</v>
      </c>
      <c r="Q26" s="23" t="s">
        <v>13</v>
      </c>
      <c r="R26" s="23" t="s">
        <v>14</v>
      </c>
      <c r="S26" s="24" t="s">
        <v>15</v>
      </c>
      <c r="T26" s="3"/>
    </row>
    <row r="27" spans="1:20" ht="15" customHeight="1" x14ac:dyDescent="0.2">
      <c r="A27" s="53"/>
      <c r="B27" s="54"/>
      <c r="C27" s="44"/>
      <c r="D27" s="45"/>
      <c r="E27" s="46"/>
      <c r="F27" s="47" t="str">
        <f>IF(C27&gt;0,C27*D27,"")</f>
        <v/>
      </c>
      <c r="G27" s="46"/>
      <c r="H27" s="47" t="str">
        <f>IF($G27="","",VLOOKUP($G27,$F$61:$S$70,3,FALSE)*$F27)</f>
        <v/>
      </c>
      <c r="I27" s="47" t="str">
        <f>IF($G27="","",VLOOKUP($G27,$F$61:$S$70,4,FALSE)*$F27)</f>
        <v/>
      </c>
      <c r="J27" s="47" t="str">
        <f>IF($G27="","",VLOOKUP($G27,$F$61:$S$70,5,FALSE)*$F27)</f>
        <v/>
      </c>
      <c r="K27" s="47" t="str">
        <f>IF($G27="","",VLOOKUP($G27,$F$61:$S$70,6,FALSE)*$F27)</f>
        <v/>
      </c>
      <c r="L27" s="47" t="str">
        <f>IF($G27="","",VLOOKUP($G27,$F$61:$S$70,7,FALSE)*$F27)</f>
        <v/>
      </c>
      <c r="M27" s="47" t="str">
        <f>IF($G27="","",VLOOKUP($G27,$F$61:$S$70,8,FALSE)*$F27)</f>
        <v/>
      </c>
      <c r="N27" s="47" t="str">
        <f>IF($G27="","",VLOOKUP($G27,$F$61:$S$70,9,FALSE)*$F27)</f>
        <v/>
      </c>
      <c r="O27" s="47" t="str">
        <f>IF($G27="","",VLOOKUP($G27,$F$61:$S$70,10,FALSE)*$F27)</f>
        <v/>
      </c>
      <c r="P27" s="47" t="str">
        <f>IF($G27="","",VLOOKUP($G27,$F$61:$S$70,11,FALSE)*$F27)</f>
        <v/>
      </c>
      <c r="Q27" s="47" t="str">
        <f>IF($G27="","",VLOOKUP($G27,$F$61:$S$70,12,FALSE)*$F27)</f>
        <v/>
      </c>
      <c r="R27" s="47" t="str">
        <f>IF($G27="","",VLOOKUP($G27,$F$61:$S$70,13,FALSE)*$F27)</f>
        <v/>
      </c>
      <c r="S27" s="48" t="str">
        <f>IF($G27="","",VLOOKUP($G27,$F$61:$S$70,14,FALSE)*$F27)</f>
        <v/>
      </c>
      <c r="T27" s="3"/>
    </row>
    <row r="28" spans="1:20" ht="15" customHeight="1" x14ac:dyDescent="0.2">
      <c r="A28" s="55"/>
      <c r="B28" s="56"/>
      <c r="C28" s="44"/>
      <c r="D28" s="45"/>
      <c r="E28" s="35"/>
      <c r="F28" s="49" t="str">
        <f t="shared" ref="F28:F47" si="3">IF(C28&gt;0,C28*D28,"")</f>
        <v/>
      </c>
      <c r="G28" s="35"/>
      <c r="H28" s="47" t="str">
        <f t="shared" ref="H28:H47" si="4">IF($G28="","",VLOOKUP($G28,$F$61:$S$70,3,FALSE)*$F28)</f>
        <v/>
      </c>
      <c r="I28" s="47" t="str">
        <f t="shared" ref="I28:I47" si="5">IF($G28="","",VLOOKUP($G28,$F$61:$S$70,4,FALSE)*$F28)</f>
        <v/>
      </c>
      <c r="J28" s="47" t="str">
        <f t="shared" ref="J28:J47" si="6">IF($G28="","",VLOOKUP($G28,$F$61:$S$70,5,FALSE)*$F28)</f>
        <v/>
      </c>
      <c r="K28" s="47" t="str">
        <f t="shared" ref="K28:K47" si="7">IF($G28="","",VLOOKUP($G28,$F$61:$S$70,6,FALSE)*$F28)</f>
        <v/>
      </c>
      <c r="L28" s="47" t="str">
        <f t="shared" ref="L28:L47" si="8">IF($G28="","",VLOOKUP($G28,$F$61:$S$70,7,FALSE)*$F28)</f>
        <v/>
      </c>
      <c r="M28" s="47" t="str">
        <f t="shared" ref="M28:M47" si="9">IF($G28="","",VLOOKUP($G28,$F$61:$S$70,8,FALSE)*$F28)</f>
        <v/>
      </c>
      <c r="N28" s="47" t="str">
        <f t="shared" ref="N28:N47" si="10">IF($G28="","",VLOOKUP($G28,$F$61:$S$70,9,FALSE)*$F28)</f>
        <v/>
      </c>
      <c r="O28" s="47" t="str">
        <f t="shared" ref="O28:O47" si="11">IF($G28="","",VLOOKUP($G28,$F$61:$S$70,10,FALSE)*$F28)</f>
        <v/>
      </c>
      <c r="P28" s="47" t="str">
        <f t="shared" ref="P28:P47" si="12">IF($G28="","",VLOOKUP($G28,$F$61:$S$70,11,FALSE)*$F28)</f>
        <v/>
      </c>
      <c r="Q28" s="47" t="str">
        <f t="shared" ref="Q28:Q47" si="13">IF($G28="","",VLOOKUP($G28,$F$61:$S$70,12,FALSE)*$F28)</f>
        <v/>
      </c>
      <c r="R28" s="47" t="str">
        <f t="shared" ref="R28:R47" si="14">IF($G28="","",VLOOKUP($G28,$F$61:$S$70,13,FALSE)*$F28)</f>
        <v/>
      </c>
      <c r="S28" s="48" t="str">
        <f t="shared" ref="S28:S47" si="15">IF($G28="","",VLOOKUP($G28,$F$61:$S$70,14,FALSE)*$F28)</f>
        <v/>
      </c>
      <c r="T28" s="3"/>
    </row>
    <row r="29" spans="1:20" ht="15" customHeight="1" x14ac:dyDescent="0.2">
      <c r="A29" s="55"/>
      <c r="B29" s="56"/>
      <c r="C29" s="44"/>
      <c r="D29" s="45"/>
      <c r="E29" s="35"/>
      <c r="F29" s="49" t="str">
        <f t="shared" si="3"/>
        <v/>
      </c>
      <c r="G29" s="35"/>
      <c r="H29" s="47" t="str">
        <f t="shared" si="4"/>
        <v/>
      </c>
      <c r="I29" s="47" t="str">
        <f t="shared" si="5"/>
        <v/>
      </c>
      <c r="J29" s="47" t="str">
        <f t="shared" si="6"/>
        <v/>
      </c>
      <c r="K29" s="47" t="str">
        <f t="shared" si="7"/>
        <v/>
      </c>
      <c r="L29" s="47" t="str">
        <f t="shared" si="8"/>
        <v/>
      </c>
      <c r="M29" s="47" t="str">
        <f t="shared" si="9"/>
        <v/>
      </c>
      <c r="N29" s="47" t="str">
        <f t="shared" si="10"/>
        <v/>
      </c>
      <c r="O29" s="47" t="str">
        <f t="shared" si="11"/>
        <v/>
      </c>
      <c r="P29" s="47" t="str">
        <f t="shared" si="12"/>
        <v/>
      </c>
      <c r="Q29" s="47" t="str">
        <f t="shared" si="13"/>
        <v/>
      </c>
      <c r="R29" s="47" t="str">
        <f t="shared" si="14"/>
        <v/>
      </c>
      <c r="S29" s="48" t="str">
        <f t="shared" si="15"/>
        <v/>
      </c>
      <c r="T29" s="3"/>
    </row>
    <row r="30" spans="1:20" ht="15" customHeight="1" x14ac:dyDescent="0.2">
      <c r="A30" s="55"/>
      <c r="B30" s="56"/>
      <c r="C30" s="44"/>
      <c r="D30" s="45"/>
      <c r="E30" s="35"/>
      <c r="F30" s="49" t="str">
        <f t="shared" si="3"/>
        <v/>
      </c>
      <c r="G30" s="50"/>
      <c r="H30" s="47" t="str">
        <f t="shared" si="4"/>
        <v/>
      </c>
      <c r="I30" s="47" t="str">
        <f t="shared" si="5"/>
        <v/>
      </c>
      <c r="J30" s="47" t="str">
        <f t="shared" si="6"/>
        <v/>
      </c>
      <c r="K30" s="47" t="str">
        <f t="shared" si="7"/>
        <v/>
      </c>
      <c r="L30" s="47" t="str">
        <f t="shared" si="8"/>
        <v/>
      </c>
      <c r="M30" s="47" t="str">
        <f t="shared" si="9"/>
        <v/>
      </c>
      <c r="N30" s="47" t="str">
        <f t="shared" si="10"/>
        <v/>
      </c>
      <c r="O30" s="47" t="str">
        <f t="shared" si="11"/>
        <v/>
      </c>
      <c r="P30" s="47" t="str">
        <f t="shared" si="12"/>
        <v/>
      </c>
      <c r="Q30" s="47" t="str">
        <f t="shared" si="13"/>
        <v/>
      </c>
      <c r="R30" s="47" t="str">
        <f t="shared" si="14"/>
        <v/>
      </c>
      <c r="S30" s="48" t="str">
        <f t="shared" si="15"/>
        <v/>
      </c>
      <c r="T30" s="3"/>
    </row>
    <row r="31" spans="1:20" ht="15" customHeight="1" x14ac:dyDescent="0.2">
      <c r="A31" s="55"/>
      <c r="B31" s="56"/>
      <c r="C31" s="44"/>
      <c r="D31" s="45"/>
      <c r="E31" s="50"/>
      <c r="F31" s="49" t="str">
        <f t="shared" si="3"/>
        <v/>
      </c>
      <c r="G31" s="35"/>
      <c r="H31" s="47" t="str">
        <f t="shared" si="4"/>
        <v/>
      </c>
      <c r="I31" s="47" t="str">
        <f t="shared" si="5"/>
        <v/>
      </c>
      <c r="J31" s="47" t="str">
        <f t="shared" si="6"/>
        <v/>
      </c>
      <c r="K31" s="47" t="str">
        <f t="shared" si="7"/>
        <v/>
      </c>
      <c r="L31" s="47" t="str">
        <f t="shared" si="8"/>
        <v/>
      </c>
      <c r="M31" s="47" t="str">
        <f t="shared" si="9"/>
        <v/>
      </c>
      <c r="N31" s="47" t="str">
        <f t="shared" si="10"/>
        <v/>
      </c>
      <c r="O31" s="47" t="str">
        <f t="shared" si="11"/>
        <v/>
      </c>
      <c r="P31" s="47" t="str">
        <f t="shared" si="12"/>
        <v/>
      </c>
      <c r="Q31" s="47" t="str">
        <f t="shared" si="13"/>
        <v/>
      </c>
      <c r="R31" s="47" t="str">
        <f t="shared" si="14"/>
        <v/>
      </c>
      <c r="S31" s="48" t="str">
        <f t="shared" si="15"/>
        <v/>
      </c>
      <c r="T31" s="3"/>
    </row>
    <row r="32" spans="1:20" ht="15" customHeight="1" x14ac:dyDescent="0.2">
      <c r="A32" s="55"/>
      <c r="B32" s="56"/>
      <c r="C32" s="44"/>
      <c r="D32" s="45"/>
      <c r="E32" s="35"/>
      <c r="F32" s="49" t="str">
        <f t="shared" ref="F32:F37" si="16">IF(C32&gt;0,C32*D32,"")</f>
        <v/>
      </c>
      <c r="G32" s="35"/>
      <c r="H32" s="47" t="str">
        <f t="shared" si="4"/>
        <v/>
      </c>
      <c r="I32" s="47" t="str">
        <f t="shared" si="5"/>
        <v/>
      </c>
      <c r="J32" s="47" t="str">
        <f t="shared" si="6"/>
        <v/>
      </c>
      <c r="K32" s="47" t="str">
        <f t="shared" si="7"/>
        <v/>
      </c>
      <c r="L32" s="47" t="str">
        <f t="shared" si="8"/>
        <v/>
      </c>
      <c r="M32" s="47" t="str">
        <f t="shared" si="9"/>
        <v/>
      </c>
      <c r="N32" s="47" t="str">
        <f t="shared" si="10"/>
        <v/>
      </c>
      <c r="O32" s="47" t="str">
        <f t="shared" si="11"/>
        <v/>
      </c>
      <c r="P32" s="47" t="str">
        <f t="shared" si="12"/>
        <v/>
      </c>
      <c r="Q32" s="47" t="str">
        <f t="shared" si="13"/>
        <v/>
      </c>
      <c r="R32" s="47" t="str">
        <f t="shared" si="14"/>
        <v/>
      </c>
      <c r="S32" s="48" t="str">
        <f t="shared" si="15"/>
        <v/>
      </c>
      <c r="T32" s="3"/>
    </row>
    <row r="33" spans="1:20" ht="15" customHeight="1" x14ac:dyDescent="0.2">
      <c r="A33" s="55"/>
      <c r="B33" s="56"/>
      <c r="C33" s="44"/>
      <c r="D33" s="45"/>
      <c r="E33" s="35"/>
      <c r="F33" s="49" t="str">
        <f t="shared" si="16"/>
        <v/>
      </c>
      <c r="G33" s="35"/>
      <c r="H33" s="47" t="str">
        <f t="shared" si="4"/>
        <v/>
      </c>
      <c r="I33" s="47" t="str">
        <f t="shared" si="5"/>
        <v/>
      </c>
      <c r="J33" s="47" t="str">
        <f t="shared" si="6"/>
        <v/>
      </c>
      <c r="K33" s="47" t="str">
        <f t="shared" si="7"/>
        <v/>
      </c>
      <c r="L33" s="47" t="str">
        <f t="shared" si="8"/>
        <v/>
      </c>
      <c r="M33" s="47" t="str">
        <f t="shared" si="9"/>
        <v/>
      </c>
      <c r="N33" s="47" t="str">
        <f t="shared" si="10"/>
        <v/>
      </c>
      <c r="O33" s="47" t="str">
        <f t="shared" si="11"/>
        <v/>
      </c>
      <c r="P33" s="47" t="str">
        <f t="shared" si="12"/>
        <v/>
      </c>
      <c r="Q33" s="47" t="str">
        <f t="shared" si="13"/>
        <v/>
      </c>
      <c r="R33" s="47" t="str">
        <f t="shared" si="14"/>
        <v/>
      </c>
      <c r="S33" s="48" t="str">
        <f t="shared" si="15"/>
        <v/>
      </c>
      <c r="T33" s="3"/>
    </row>
    <row r="34" spans="1:20" ht="15" customHeight="1" x14ac:dyDescent="0.2">
      <c r="A34" s="55"/>
      <c r="B34" s="56"/>
      <c r="C34" s="44"/>
      <c r="D34" s="45"/>
      <c r="E34" s="35"/>
      <c r="F34" s="49" t="str">
        <f t="shared" si="16"/>
        <v/>
      </c>
      <c r="G34" s="35"/>
      <c r="H34" s="47" t="str">
        <f t="shared" si="4"/>
        <v/>
      </c>
      <c r="I34" s="47" t="str">
        <f t="shared" si="5"/>
        <v/>
      </c>
      <c r="J34" s="47" t="str">
        <f t="shared" si="6"/>
        <v/>
      </c>
      <c r="K34" s="47" t="str">
        <f t="shared" si="7"/>
        <v/>
      </c>
      <c r="L34" s="47" t="str">
        <f t="shared" si="8"/>
        <v/>
      </c>
      <c r="M34" s="47" t="str">
        <f t="shared" si="9"/>
        <v/>
      </c>
      <c r="N34" s="47" t="str">
        <f t="shared" si="10"/>
        <v/>
      </c>
      <c r="O34" s="47" t="str">
        <f t="shared" si="11"/>
        <v/>
      </c>
      <c r="P34" s="47" t="str">
        <f t="shared" si="12"/>
        <v/>
      </c>
      <c r="Q34" s="47" t="str">
        <f t="shared" si="13"/>
        <v/>
      </c>
      <c r="R34" s="47" t="str">
        <f t="shared" si="14"/>
        <v/>
      </c>
      <c r="S34" s="48" t="str">
        <f t="shared" si="15"/>
        <v/>
      </c>
      <c r="T34" s="3"/>
    </row>
    <row r="35" spans="1:20" ht="15" customHeight="1" x14ac:dyDescent="0.2">
      <c r="A35" s="55"/>
      <c r="B35" s="56"/>
      <c r="C35" s="44"/>
      <c r="D35" s="45"/>
      <c r="E35" s="35"/>
      <c r="F35" s="49" t="str">
        <f t="shared" si="16"/>
        <v/>
      </c>
      <c r="G35" s="35"/>
      <c r="H35" s="47" t="str">
        <f t="shared" si="4"/>
        <v/>
      </c>
      <c r="I35" s="47" t="str">
        <f t="shared" si="5"/>
        <v/>
      </c>
      <c r="J35" s="47" t="str">
        <f t="shared" si="6"/>
        <v/>
      </c>
      <c r="K35" s="47" t="str">
        <f t="shared" si="7"/>
        <v/>
      </c>
      <c r="L35" s="47" t="str">
        <f t="shared" si="8"/>
        <v/>
      </c>
      <c r="M35" s="47" t="str">
        <f t="shared" si="9"/>
        <v/>
      </c>
      <c r="N35" s="47" t="str">
        <f t="shared" si="10"/>
        <v/>
      </c>
      <c r="O35" s="47" t="str">
        <f t="shared" si="11"/>
        <v/>
      </c>
      <c r="P35" s="47" t="str">
        <f t="shared" si="12"/>
        <v/>
      </c>
      <c r="Q35" s="47" t="str">
        <f t="shared" si="13"/>
        <v/>
      </c>
      <c r="R35" s="47" t="str">
        <f t="shared" si="14"/>
        <v/>
      </c>
      <c r="S35" s="48" t="str">
        <f t="shared" si="15"/>
        <v/>
      </c>
      <c r="T35" s="3"/>
    </row>
    <row r="36" spans="1:20" ht="15" customHeight="1" x14ac:dyDescent="0.2">
      <c r="A36" s="55"/>
      <c r="B36" s="56"/>
      <c r="C36" s="44"/>
      <c r="D36" s="45"/>
      <c r="E36" s="50"/>
      <c r="F36" s="49" t="str">
        <f t="shared" si="16"/>
        <v/>
      </c>
      <c r="G36" s="35"/>
      <c r="H36" s="47" t="str">
        <f t="shared" si="4"/>
        <v/>
      </c>
      <c r="I36" s="47" t="str">
        <f t="shared" si="5"/>
        <v/>
      </c>
      <c r="J36" s="47" t="str">
        <f t="shared" si="6"/>
        <v/>
      </c>
      <c r="K36" s="47" t="str">
        <f t="shared" si="7"/>
        <v/>
      </c>
      <c r="L36" s="47" t="str">
        <f t="shared" si="8"/>
        <v/>
      </c>
      <c r="M36" s="47" t="str">
        <f t="shared" si="9"/>
        <v/>
      </c>
      <c r="N36" s="47" t="str">
        <f t="shared" si="10"/>
        <v/>
      </c>
      <c r="O36" s="47" t="str">
        <f t="shared" si="11"/>
        <v/>
      </c>
      <c r="P36" s="47" t="str">
        <f t="shared" si="12"/>
        <v/>
      </c>
      <c r="Q36" s="47" t="str">
        <f t="shared" si="13"/>
        <v/>
      </c>
      <c r="R36" s="47" t="str">
        <f t="shared" si="14"/>
        <v/>
      </c>
      <c r="S36" s="48" t="str">
        <f t="shared" si="15"/>
        <v/>
      </c>
      <c r="T36" s="3"/>
    </row>
    <row r="37" spans="1:20" ht="15" customHeight="1" x14ac:dyDescent="0.2">
      <c r="A37" s="55"/>
      <c r="B37" s="56"/>
      <c r="C37" s="44"/>
      <c r="D37" s="45"/>
      <c r="E37" s="35"/>
      <c r="F37" s="49" t="str">
        <f t="shared" si="16"/>
        <v/>
      </c>
      <c r="G37" s="35"/>
      <c r="H37" s="47" t="str">
        <f t="shared" si="4"/>
        <v/>
      </c>
      <c r="I37" s="47" t="str">
        <f t="shared" si="5"/>
        <v/>
      </c>
      <c r="J37" s="47" t="str">
        <f t="shared" si="6"/>
        <v/>
      </c>
      <c r="K37" s="47" t="str">
        <f t="shared" si="7"/>
        <v/>
      </c>
      <c r="L37" s="47" t="str">
        <f t="shared" si="8"/>
        <v/>
      </c>
      <c r="M37" s="47" t="str">
        <f t="shared" si="9"/>
        <v/>
      </c>
      <c r="N37" s="47" t="str">
        <f t="shared" si="10"/>
        <v/>
      </c>
      <c r="O37" s="47" t="str">
        <f t="shared" si="11"/>
        <v/>
      </c>
      <c r="P37" s="47" t="str">
        <f t="shared" si="12"/>
        <v/>
      </c>
      <c r="Q37" s="47" t="str">
        <f t="shared" si="13"/>
        <v/>
      </c>
      <c r="R37" s="47" t="str">
        <f t="shared" si="14"/>
        <v/>
      </c>
      <c r="S37" s="48" t="str">
        <f t="shared" si="15"/>
        <v/>
      </c>
      <c r="T37" s="3"/>
    </row>
    <row r="38" spans="1:20" ht="15" customHeight="1" x14ac:dyDescent="0.2">
      <c r="A38" s="55"/>
      <c r="B38" s="56"/>
      <c r="C38" s="44"/>
      <c r="D38" s="45"/>
      <c r="E38" s="35"/>
      <c r="F38" s="49" t="str">
        <f t="shared" si="3"/>
        <v/>
      </c>
      <c r="G38" s="35"/>
      <c r="H38" s="47" t="str">
        <f t="shared" si="4"/>
        <v/>
      </c>
      <c r="I38" s="47" t="str">
        <f t="shared" si="5"/>
        <v/>
      </c>
      <c r="J38" s="47" t="str">
        <f t="shared" si="6"/>
        <v/>
      </c>
      <c r="K38" s="47" t="str">
        <f t="shared" si="7"/>
        <v/>
      </c>
      <c r="L38" s="47" t="str">
        <f t="shared" si="8"/>
        <v/>
      </c>
      <c r="M38" s="47" t="str">
        <f t="shared" si="9"/>
        <v/>
      </c>
      <c r="N38" s="47" t="str">
        <f t="shared" si="10"/>
        <v/>
      </c>
      <c r="O38" s="47" t="str">
        <f t="shared" si="11"/>
        <v/>
      </c>
      <c r="P38" s="47" t="str">
        <f t="shared" si="12"/>
        <v/>
      </c>
      <c r="Q38" s="47" t="str">
        <f t="shared" si="13"/>
        <v/>
      </c>
      <c r="R38" s="47" t="str">
        <f t="shared" si="14"/>
        <v/>
      </c>
      <c r="S38" s="48" t="str">
        <f t="shared" si="15"/>
        <v/>
      </c>
      <c r="T38" s="3"/>
    </row>
    <row r="39" spans="1:20" ht="15" customHeight="1" x14ac:dyDescent="0.2">
      <c r="A39" s="55"/>
      <c r="B39" s="56"/>
      <c r="C39" s="44"/>
      <c r="D39" s="45"/>
      <c r="E39" s="35"/>
      <c r="F39" s="49" t="str">
        <f t="shared" si="3"/>
        <v/>
      </c>
      <c r="G39" s="35"/>
      <c r="H39" s="47" t="str">
        <f t="shared" si="4"/>
        <v/>
      </c>
      <c r="I39" s="47" t="str">
        <f t="shared" si="5"/>
        <v/>
      </c>
      <c r="J39" s="47" t="str">
        <f t="shared" si="6"/>
        <v/>
      </c>
      <c r="K39" s="47" t="str">
        <f t="shared" si="7"/>
        <v/>
      </c>
      <c r="L39" s="47" t="str">
        <f t="shared" si="8"/>
        <v/>
      </c>
      <c r="M39" s="47" t="str">
        <f t="shared" si="9"/>
        <v/>
      </c>
      <c r="N39" s="47" t="str">
        <f t="shared" si="10"/>
        <v/>
      </c>
      <c r="O39" s="47" t="str">
        <f t="shared" si="11"/>
        <v/>
      </c>
      <c r="P39" s="47" t="str">
        <f t="shared" si="12"/>
        <v/>
      </c>
      <c r="Q39" s="47" t="str">
        <f t="shared" si="13"/>
        <v/>
      </c>
      <c r="R39" s="47" t="str">
        <f t="shared" si="14"/>
        <v/>
      </c>
      <c r="S39" s="48" t="str">
        <f t="shared" si="15"/>
        <v/>
      </c>
      <c r="T39" s="3"/>
    </row>
    <row r="40" spans="1:20" ht="15" customHeight="1" x14ac:dyDescent="0.2">
      <c r="A40" s="55"/>
      <c r="B40" s="56"/>
      <c r="C40" s="44"/>
      <c r="D40" s="45"/>
      <c r="E40" s="35"/>
      <c r="F40" s="49" t="str">
        <f t="shared" si="3"/>
        <v/>
      </c>
      <c r="G40" s="35"/>
      <c r="H40" s="47" t="str">
        <f t="shared" si="4"/>
        <v/>
      </c>
      <c r="I40" s="47" t="str">
        <f t="shared" si="5"/>
        <v/>
      </c>
      <c r="J40" s="47" t="str">
        <f t="shared" si="6"/>
        <v/>
      </c>
      <c r="K40" s="47" t="str">
        <f t="shared" si="7"/>
        <v/>
      </c>
      <c r="L40" s="47" t="str">
        <f t="shared" si="8"/>
        <v/>
      </c>
      <c r="M40" s="47" t="str">
        <f t="shared" si="9"/>
        <v/>
      </c>
      <c r="N40" s="47" t="str">
        <f t="shared" si="10"/>
        <v/>
      </c>
      <c r="O40" s="47" t="str">
        <f t="shared" si="11"/>
        <v/>
      </c>
      <c r="P40" s="47" t="str">
        <f t="shared" si="12"/>
        <v/>
      </c>
      <c r="Q40" s="47" t="str">
        <f t="shared" si="13"/>
        <v/>
      </c>
      <c r="R40" s="47" t="str">
        <f t="shared" si="14"/>
        <v/>
      </c>
      <c r="S40" s="48" t="str">
        <f t="shared" si="15"/>
        <v/>
      </c>
      <c r="T40" s="3"/>
    </row>
    <row r="41" spans="1:20" ht="15" customHeight="1" x14ac:dyDescent="0.2">
      <c r="A41" s="55"/>
      <c r="B41" s="56"/>
      <c r="C41" s="44"/>
      <c r="D41" s="45"/>
      <c r="E41" s="35"/>
      <c r="F41" s="49" t="str">
        <f t="shared" si="3"/>
        <v/>
      </c>
      <c r="G41" s="35"/>
      <c r="H41" s="47" t="str">
        <f t="shared" si="4"/>
        <v/>
      </c>
      <c r="I41" s="47" t="str">
        <f t="shared" si="5"/>
        <v/>
      </c>
      <c r="J41" s="47" t="str">
        <f t="shared" si="6"/>
        <v/>
      </c>
      <c r="K41" s="47" t="str">
        <f t="shared" si="7"/>
        <v/>
      </c>
      <c r="L41" s="47" t="str">
        <f t="shared" si="8"/>
        <v/>
      </c>
      <c r="M41" s="47" t="str">
        <f t="shared" si="9"/>
        <v/>
      </c>
      <c r="N41" s="47" t="str">
        <f t="shared" si="10"/>
        <v/>
      </c>
      <c r="O41" s="47" t="str">
        <f t="shared" si="11"/>
        <v/>
      </c>
      <c r="P41" s="47" t="str">
        <f t="shared" si="12"/>
        <v/>
      </c>
      <c r="Q41" s="47" t="str">
        <f t="shared" si="13"/>
        <v/>
      </c>
      <c r="R41" s="47" t="str">
        <f t="shared" si="14"/>
        <v/>
      </c>
      <c r="S41" s="48" t="str">
        <f t="shared" si="15"/>
        <v/>
      </c>
      <c r="T41" s="3"/>
    </row>
    <row r="42" spans="1:20" ht="15" customHeight="1" x14ac:dyDescent="0.2">
      <c r="A42" s="55"/>
      <c r="B42" s="56"/>
      <c r="C42" s="44"/>
      <c r="D42" s="45"/>
      <c r="E42" s="50"/>
      <c r="F42" s="49" t="str">
        <f t="shared" si="3"/>
        <v/>
      </c>
      <c r="G42" s="35"/>
      <c r="H42" s="47" t="str">
        <f t="shared" si="4"/>
        <v/>
      </c>
      <c r="I42" s="47" t="str">
        <f t="shared" si="5"/>
        <v/>
      </c>
      <c r="J42" s="47" t="str">
        <f t="shared" si="6"/>
        <v/>
      </c>
      <c r="K42" s="47" t="str">
        <f t="shared" si="7"/>
        <v/>
      </c>
      <c r="L42" s="47" t="str">
        <f t="shared" si="8"/>
        <v/>
      </c>
      <c r="M42" s="47" t="str">
        <f t="shared" si="9"/>
        <v/>
      </c>
      <c r="N42" s="47" t="str">
        <f t="shared" si="10"/>
        <v/>
      </c>
      <c r="O42" s="47" t="str">
        <f t="shared" si="11"/>
        <v/>
      </c>
      <c r="P42" s="47" t="str">
        <f t="shared" si="12"/>
        <v/>
      </c>
      <c r="Q42" s="47" t="str">
        <f t="shared" si="13"/>
        <v/>
      </c>
      <c r="R42" s="47" t="str">
        <f t="shared" si="14"/>
        <v/>
      </c>
      <c r="S42" s="48" t="str">
        <f t="shared" si="15"/>
        <v/>
      </c>
      <c r="T42" s="3"/>
    </row>
    <row r="43" spans="1:20" ht="15" customHeight="1" x14ac:dyDescent="0.2">
      <c r="A43" s="55"/>
      <c r="B43" s="56"/>
      <c r="C43" s="44"/>
      <c r="D43" s="45"/>
      <c r="E43" s="35"/>
      <c r="F43" s="49" t="str">
        <f t="shared" si="3"/>
        <v/>
      </c>
      <c r="G43" s="35"/>
      <c r="H43" s="47" t="str">
        <f t="shared" si="4"/>
        <v/>
      </c>
      <c r="I43" s="47" t="str">
        <f t="shared" si="5"/>
        <v/>
      </c>
      <c r="J43" s="47" t="str">
        <f t="shared" si="6"/>
        <v/>
      </c>
      <c r="K43" s="47" t="str">
        <f t="shared" si="7"/>
        <v/>
      </c>
      <c r="L43" s="47" t="str">
        <f t="shared" si="8"/>
        <v/>
      </c>
      <c r="M43" s="47" t="str">
        <f t="shared" si="9"/>
        <v/>
      </c>
      <c r="N43" s="47" t="str">
        <f t="shared" si="10"/>
        <v/>
      </c>
      <c r="O43" s="47" t="str">
        <f t="shared" si="11"/>
        <v/>
      </c>
      <c r="P43" s="47" t="str">
        <f t="shared" si="12"/>
        <v/>
      </c>
      <c r="Q43" s="47" t="str">
        <f t="shared" si="13"/>
        <v/>
      </c>
      <c r="R43" s="47" t="str">
        <f t="shared" si="14"/>
        <v/>
      </c>
      <c r="S43" s="48" t="str">
        <f t="shared" si="15"/>
        <v/>
      </c>
      <c r="T43" s="3"/>
    </row>
    <row r="44" spans="1:20" ht="15" customHeight="1" x14ac:dyDescent="0.2">
      <c r="A44" s="55"/>
      <c r="B44" s="56"/>
      <c r="C44" s="44"/>
      <c r="D44" s="45"/>
      <c r="E44" s="35"/>
      <c r="F44" s="49" t="str">
        <f t="shared" si="3"/>
        <v/>
      </c>
      <c r="G44" s="35"/>
      <c r="H44" s="47" t="str">
        <f t="shared" si="4"/>
        <v/>
      </c>
      <c r="I44" s="47" t="str">
        <f t="shared" si="5"/>
        <v/>
      </c>
      <c r="J44" s="47" t="str">
        <f t="shared" si="6"/>
        <v/>
      </c>
      <c r="K44" s="47" t="str">
        <f t="shared" si="7"/>
        <v/>
      </c>
      <c r="L44" s="47" t="str">
        <f t="shared" si="8"/>
        <v/>
      </c>
      <c r="M44" s="47" t="str">
        <f t="shared" si="9"/>
        <v/>
      </c>
      <c r="N44" s="47" t="str">
        <f t="shared" si="10"/>
        <v/>
      </c>
      <c r="O44" s="47" t="str">
        <f t="shared" si="11"/>
        <v/>
      </c>
      <c r="P44" s="47" t="str">
        <f t="shared" si="12"/>
        <v/>
      </c>
      <c r="Q44" s="47" t="str">
        <f t="shared" si="13"/>
        <v/>
      </c>
      <c r="R44" s="47" t="str">
        <f t="shared" si="14"/>
        <v/>
      </c>
      <c r="S44" s="48" t="str">
        <f t="shared" si="15"/>
        <v/>
      </c>
      <c r="T44" s="3"/>
    </row>
    <row r="45" spans="1:20" ht="15" customHeight="1" x14ac:dyDescent="0.2">
      <c r="A45" s="55"/>
      <c r="B45" s="56"/>
      <c r="C45" s="44"/>
      <c r="D45" s="45"/>
      <c r="E45" s="35"/>
      <c r="F45" s="49" t="str">
        <f t="shared" si="3"/>
        <v/>
      </c>
      <c r="G45" s="35"/>
      <c r="H45" s="47" t="str">
        <f t="shared" si="4"/>
        <v/>
      </c>
      <c r="I45" s="47" t="str">
        <f t="shared" si="5"/>
        <v/>
      </c>
      <c r="J45" s="47" t="str">
        <f t="shared" si="6"/>
        <v/>
      </c>
      <c r="K45" s="47" t="str">
        <f t="shared" si="7"/>
        <v/>
      </c>
      <c r="L45" s="47" t="str">
        <f t="shared" si="8"/>
        <v/>
      </c>
      <c r="M45" s="47" t="str">
        <f t="shared" si="9"/>
        <v/>
      </c>
      <c r="N45" s="47" t="str">
        <f t="shared" si="10"/>
        <v/>
      </c>
      <c r="O45" s="47" t="str">
        <f t="shared" si="11"/>
        <v/>
      </c>
      <c r="P45" s="47" t="str">
        <f t="shared" si="12"/>
        <v/>
      </c>
      <c r="Q45" s="47" t="str">
        <f t="shared" si="13"/>
        <v/>
      </c>
      <c r="R45" s="47" t="str">
        <f t="shared" si="14"/>
        <v/>
      </c>
      <c r="S45" s="48" t="str">
        <f t="shared" si="15"/>
        <v/>
      </c>
      <c r="T45" s="3"/>
    </row>
    <row r="46" spans="1:20" ht="15" customHeight="1" x14ac:dyDescent="0.2">
      <c r="A46" s="55"/>
      <c r="B46" s="56"/>
      <c r="C46" s="44"/>
      <c r="D46" s="45"/>
      <c r="E46" s="35"/>
      <c r="F46" s="49" t="str">
        <f t="shared" si="3"/>
        <v/>
      </c>
      <c r="G46" s="35"/>
      <c r="H46" s="47" t="str">
        <f t="shared" si="4"/>
        <v/>
      </c>
      <c r="I46" s="47" t="str">
        <f t="shared" si="5"/>
        <v/>
      </c>
      <c r="J46" s="47" t="str">
        <f t="shared" si="6"/>
        <v/>
      </c>
      <c r="K46" s="47" t="str">
        <f t="shared" si="7"/>
        <v/>
      </c>
      <c r="L46" s="47" t="str">
        <f t="shared" si="8"/>
        <v/>
      </c>
      <c r="M46" s="47" t="str">
        <f t="shared" si="9"/>
        <v/>
      </c>
      <c r="N46" s="47" t="str">
        <f t="shared" si="10"/>
        <v/>
      </c>
      <c r="O46" s="47" t="str">
        <f t="shared" si="11"/>
        <v/>
      </c>
      <c r="P46" s="47" t="str">
        <f t="shared" si="12"/>
        <v/>
      </c>
      <c r="Q46" s="47" t="str">
        <f t="shared" si="13"/>
        <v/>
      </c>
      <c r="R46" s="47" t="str">
        <f t="shared" si="14"/>
        <v/>
      </c>
      <c r="S46" s="48" t="str">
        <f t="shared" si="15"/>
        <v/>
      </c>
      <c r="T46" s="3"/>
    </row>
    <row r="47" spans="1:20" ht="15" customHeight="1" x14ac:dyDescent="0.2">
      <c r="A47" s="55"/>
      <c r="B47" s="56"/>
      <c r="C47" s="44"/>
      <c r="D47" s="45"/>
      <c r="E47" s="35"/>
      <c r="F47" s="49" t="str">
        <f t="shared" si="3"/>
        <v/>
      </c>
      <c r="G47" s="35"/>
      <c r="H47" s="47" t="str">
        <f t="shared" si="4"/>
        <v/>
      </c>
      <c r="I47" s="47" t="str">
        <f t="shared" si="5"/>
        <v/>
      </c>
      <c r="J47" s="47" t="str">
        <f t="shared" si="6"/>
        <v/>
      </c>
      <c r="K47" s="47" t="str">
        <f t="shared" si="7"/>
        <v/>
      </c>
      <c r="L47" s="47" t="str">
        <f t="shared" si="8"/>
        <v/>
      </c>
      <c r="M47" s="47" t="str">
        <f t="shared" si="9"/>
        <v/>
      </c>
      <c r="N47" s="47" t="str">
        <f t="shared" si="10"/>
        <v/>
      </c>
      <c r="O47" s="47" t="str">
        <f t="shared" si="11"/>
        <v/>
      </c>
      <c r="P47" s="47" t="str">
        <f t="shared" si="12"/>
        <v/>
      </c>
      <c r="Q47" s="47" t="str">
        <f t="shared" si="13"/>
        <v/>
      </c>
      <c r="R47" s="47" t="str">
        <f t="shared" si="14"/>
        <v/>
      </c>
      <c r="S47" s="48" t="str">
        <f t="shared" si="15"/>
        <v/>
      </c>
      <c r="T47" s="3"/>
    </row>
    <row r="48" spans="1:20" ht="15" customHeight="1" thickBot="1" x14ac:dyDescent="0.25">
      <c r="A48" s="181" t="s">
        <v>46</v>
      </c>
      <c r="B48" s="182"/>
      <c r="C48" s="182"/>
      <c r="D48" s="182"/>
      <c r="E48" s="183"/>
      <c r="F48" s="184">
        <f>SUM(F27:F47)</f>
        <v>0</v>
      </c>
      <c r="G48" s="185"/>
      <c r="H48" s="51">
        <f t="shared" ref="H48:S48" si="17">SUM(H27:H47)</f>
        <v>0</v>
      </c>
      <c r="I48" s="51">
        <f t="shared" si="17"/>
        <v>0</v>
      </c>
      <c r="J48" s="51">
        <f t="shared" si="17"/>
        <v>0</v>
      </c>
      <c r="K48" s="51">
        <f t="shared" si="17"/>
        <v>0</v>
      </c>
      <c r="L48" s="51">
        <f t="shared" si="17"/>
        <v>0</v>
      </c>
      <c r="M48" s="51">
        <f t="shared" si="17"/>
        <v>0</v>
      </c>
      <c r="N48" s="51">
        <f t="shared" si="17"/>
        <v>0</v>
      </c>
      <c r="O48" s="51">
        <f t="shared" si="17"/>
        <v>0</v>
      </c>
      <c r="P48" s="51">
        <f t="shared" si="17"/>
        <v>0</v>
      </c>
      <c r="Q48" s="51">
        <f t="shared" si="17"/>
        <v>0</v>
      </c>
      <c r="R48" s="51">
        <f t="shared" si="17"/>
        <v>0</v>
      </c>
      <c r="S48" s="52">
        <f t="shared" si="17"/>
        <v>0</v>
      </c>
      <c r="T48" s="3"/>
    </row>
    <row r="49" spans="1:20" ht="7.5" customHeight="1" thickBot="1" x14ac:dyDescent="0.25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7"/>
      <c r="T49" s="3"/>
    </row>
    <row r="50" spans="1:20" ht="20.100000000000001" customHeight="1" thickBot="1" x14ac:dyDescent="0.25">
      <c r="A50" s="194"/>
      <c r="B50" s="195"/>
      <c r="C50" s="195"/>
      <c r="D50" s="195"/>
      <c r="E50" s="195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7"/>
      <c r="T50" s="3"/>
    </row>
    <row r="51" spans="1:20" ht="20.100000000000001" customHeight="1" x14ac:dyDescent="0.2">
      <c r="A51" s="186" t="s">
        <v>27</v>
      </c>
      <c r="B51" s="187"/>
      <c r="C51" s="187"/>
      <c r="D51" s="187"/>
      <c r="E51" s="188"/>
      <c r="F51" s="120" t="s">
        <v>3</v>
      </c>
      <c r="G51" s="172"/>
      <c r="H51" s="119" t="s">
        <v>17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1"/>
      <c r="T51" s="3"/>
    </row>
    <row r="52" spans="1:20" ht="20.100000000000001" customHeight="1" thickBot="1" x14ac:dyDescent="0.25">
      <c r="A52" s="189"/>
      <c r="B52" s="190"/>
      <c r="C52" s="190"/>
      <c r="D52" s="190"/>
      <c r="E52" s="191"/>
      <c r="F52" s="192" t="s">
        <v>16</v>
      </c>
      <c r="G52" s="193"/>
      <c r="H52" s="28" t="s">
        <v>4</v>
      </c>
      <c r="I52" s="29" t="s">
        <v>5</v>
      </c>
      <c r="J52" s="29" t="s">
        <v>6</v>
      </c>
      <c r="K52" s="29" t="s">
        <v>7</v>
      </c>
      <c r="L52" s="29" t="s">
        <v>8</v>
      </c>
      <c r="M52" s="29" t="s">
        <v>9</v>
      </c>
      <c r="N52" s="29" t="s">
        <v>10</v>
      </c>
      <c r="O52" s="29" t="s">
        <v>11</v>
      </c>
      <c r="P52" s="29" t="s">
        <v>12</v>
      </c>
      <c r="Q52" s="29" t="s">
        <v>13</v>
      </c>
      <c r="R52" s="29" t="s">
        <v>14</v>
      </c>
      <c r="S52" s="30" t="s">
        <v>15</v>
      </c>
      <c r="T52" s="3"/>
    </row>
    <row r="53" spans="1:20" ht="20.100000000000001" customHeight="1" x14ac:dyDescent="0.25">
      <c r="A53" s="173" t="s">
        <v>28</v>
      </c>
      <c r="B53" s="174"/>
      <c r="C53" s="174"/>
      <c r="D53" s="174"/>
      <c r="E53" s="174"/>
      <c r="F53" s="202">
        <f>F48</f>
        <v>0</v>
      </c>
      <c r="G53" s="202"/>
      <c r="H53" s="57">
        <f>H48</f>
        <v>0</v>
      </c>
      <c r="I53" s="57">
        <f t="shared" ref="I53:S53" si="18">I48</f>
        <v>0</v>
      </c>
      <c r="J53" s="57">
        <f t="shared" si="18"/>
        <v>0</v>
      </c>
      <c r="K53" s="57">
        <f t="shared" si="18"/>
        <v>0</v>
      </c>
      <c r="L53" s="57">
        <f t="shared" si="18"/>
        <v>0</v>
      </c>
      <c r="M53" s="57">
        <f t="shared" si="18"/>
        <v>0</v>
      </c>
      <c r="N53" s="57">
        <f t="shared" si="18"/>
        <v>0</v>
      </c>
      <c r="O53" s="57">
        <f t="shared" si="18"/>
        <v>0</v>
      </c>
      <c r="P53" s="57">
        <f t="shared" si="18"/>
        <v>0</v>
      </c>
      <c r="Q53" s="57">
        <f t="shared" si="18"/>
        <v>0</v>
      </c>
      <c r="R53" s="57">
        <f t="shared" si="18"/>
        <v>0</v>
      </c>
      <c r="S53" s="58">
        <f t="shared" si="18"/>
        <v>0</v>
      </c>
      <c r="T53" s="3"/>
    </row>
    <row r="54" spans="1:20" ht="20.100000000000001" customHeight="1" x14ac:dyDescent="0.25">
      <c r="A54" s="198" t="s">
        <v>29</v>
      </c>
      <c r="B54" s="199"/>
      <c r="C54" s="199"/>
      <c r="D54" s="199"/>
      <c r="E54" s="199"/>
      <c r="F54" s="202">
        <f>R21</f>
        <v>0</v>
      </c>
      <c r="G54" s="202"/>
      <c r="H54" s="57">
        <f>F21</f>
        <v>0</v>
      </c>
      <c r="I54" s="57">
        <f t="shared" ref="I54:S54" si="19">G21</f>
        <v>0</v>
      </c>
      <c r="J54" s="57">
        <f t="shared" si="19"/>
        <v>0</v>
      </c>
      <c r="K54" s="57">
        <f t="shared" si="19"/>
        <v>0</v>
      </c>
      <c r="L54" s="57">
        <f t="shared" si="19"/>
        <v>0</v>
      </c>
      <c r="M54" s="57">
        <f t="shared" si="19"/>
        <v>0</v>
      </c>
      <c r="N54" s="57">
        <f t="shared" si="19"/>
        <v>0</v>
      </c>
      <c r="O54" s="57">
        <f t="shared" si="19"/>
        <v>0</v>
      </c>
      <c r="P54" s="57">
        <f t="shared" si="19"/>
        <v>0</v>
      </c>
      <c r="Q54" s="57">
        <f t="shared" si="19"/>
        <v>0</v>
      </c>
      <c r="R54" s="57">
        <f t="shared" si="19"/>
        <v>0</v>
      </c>
      <c r="S54" s="58">
        <f t="shared" si="19"/>
        <v>0</v>
      </c>
      <c r="T54" s="3"/>
    </row>
    <row r="55" spans="1:20" ht="20.100000000000001" customHeight="1" thickBot="1" x14ac:dyDescent="0.3">
      <c r="A55" s="200" t="s">
        <v>30</v>
      </c>
      <c r="B55" s="201"/>
      <c r="C55" s="201"/>
      <c r="D55" s="201"/>
      <c r="E55" s="201"/>
      <c r="F55" s="203">
        <f>F53-F54</f>
        <v>0</v>
      </c>
      <c r="G55" s="203"/>
      <c r="H55" s="59">
        <f>H53-H54</f>
        <v>0</v>
      </c>
      <c r="I55" s="59">
        <f t="shared" ref="I55:S55" si="20">I53-I54</f>
        <v>0</v>
      </c>
      <c r="J55" s="59">
        <f t="shared" si="20"/>
        <v>0</v>
      </c>
      <c r="K55" s="59">
        <f t="shared" si="20"/>
        <v>0</v>
      </c>
      <c r="L55" s="59">
        <f t="shared" si="20"/>
        <v>0</v>
      </c>
      <c r="M55" s="59">
        <f t="shared" si="20"/>
        <v>0</v>
      </c>
      <c r="N55" s="59">
        <f t="shared" si="20"/>
        <v>0</v>
      </c>
      <c r="O55" s="59">
        <f t="shared" si="20"/>
        <v>0</v>
      </c>
      <c r="P55" s="59">
        <f t="shared" si="20"/>
        <v>0</v>
      </c>
      <c r="Q55" s="59">
        <f t="shared" si="20"/>
        <v>0</v>
      </c>
      <c r="R55" s="59">
        <f t="shared" si="20"/>
        <v>0</v>
      </c>
      <c r="S55" s="60">
        <f t="shared" si="20"/>
        <v>0</v>
      </c>
      <c r="T55" s="3"/>
    </row>
    <row r="56" spans="1:2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">
      <c r="A57" s="3"/>
      <c r="B57" s="3"/>
      <c r="C57" s="3"/>
      <c r="D57" s="79" t="s">
        <v>48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3"/>
      <c r="T57" s="3"/>
    </row>
    <row r="58" spans="1:20" x14ac:dyDescent="0.2">
      <c r="A58" s="3"/>
      <c r="B58" s="3"/>
      <c r="C58" s="3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3"/>
      <c r="T58" s="3"/>
    </row>
    <row r="59" spans="1:20" ht="0.75" customHeight="1" thickBo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33" customHeight="1" thickBot="1" x14ac:dyDescent="0.25">
      <c r="A60" s="3"/>
      <c r="B60" s="3"/>
      <c r="C60" s="112" t="s">
        <v>49</v>
      </c>
      <c r="D60" s="113"/>
      <c r="E60" s="114"/>
      <c r="F60" s="115" t="s">
        <v>47</v>
      </c>
      <c r="G60" s="116"/>
      <c r="H60" s="31" t="s">
        <v>4</v>
      </c>
      <c r="I60" s="32" t="s">
        <v>5</v>
      </c>
      <c r="J60" s="32" t="s">
        <v>6</v>
      </c>
      <c r="K60" s="32" t="s">
        <v>7</v>
      </c>
      <c r="L60" s="32" t="s">
        <v>8</v>
      </c>
      <c r="M60" s="32" t="s">
        <v>9</v>
      </c>
      <c r="N60" s="32" t="s">
        <v>10</v>
      </c>
      <c r="O60" s="32" t="s">
        <v>11</v>
      </c>
      <c r="P60" s="32" t="s">
        <v>12</v>
      </c>
      <c r="Q60" s="32" t="s">
        <v>13</v>
      </c>
      <c r="R60" s="32" t="s">
        <v>14</v>
      </c>
      <c r="S60" s="61" t="s">
        <v>15</v>
      </c>
      <c r="T60" s="64" t="s">
        <v>54</v>
      </c>
    </row>
    <row r="61" spans="1:20" ht="14.1" customHeight="1" x14ac:dyDescent="0.2">
      <c r="A61" s="3"/>
      <c r="B61" s="3"/>
      <c r="C61" s="91"/>
      <c r="D61" s="92"/>
      <c r="E61" s="93"/>
      <c r="F61" s="117">
        <v>1</v>
      </c>
      <c r="G61" s="118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5">
        <f>SUM(H61:S61)</f>
        <v>0</v>
      </c>
    </row>
    <row r="62" spans="1:20" ht="14.1" customHeight="1" x14ac:dyDescent="0.2">
      <c r="A62" s="3"/>
      <c r="B62" s="3"/>
      <c r="C62" s="84"/>
      <c r="D62" s="85"/>
      <c r="E62" s="86"/>
      <c r="F62" s="80">
        <v>2</v>
      </c>
      <c r="G62" s="81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5">
        <f t="shared" ref="T62:T70" si="21">SUM(H62:S62)</f>
        <v>0</v>
      </c>
    </row>
    <row r="63" spans="1:20" ht="14.1" customHeight="1" x14ac:dyDescent="0.2">
      <c r="A63" s="3"/>
      <c r="B63" s="3"/>
      <c r="C63" s="84"/>
      <c r="D63" s="85"/>
      <c r="E63" s="86"/>
      <c r="F63" s="80">
        <v>3</v>
      </c>
      <c r="G63" s="81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5">
        <f t="shared" si="21"/>
        <v>0</v>
      </c>
    </row>
    <row r="64" spans="1:20" ht="14.1" customHeight="1" x14ac:dyDescent="0.2">
      <c r="A64" s="3"/>
      <c r="B64" s="3"/>
      <c r="C64" s="84"/>
      <c r="D64" s="85"/>
      <c r="E64" s="86"/>
      <c r="F64" s="80">
        <v>4</v>
      </c>
      <c r="G64" s="81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5">
        <f t="shared" si="21"/>
        <v>0</v>
      </c>
    </row>
    <row r="65" spans="1:20" ht="14.1" customHeight="1" x14ac:dyDescent="0.2">
      <c r="A65" s="3"/>
      <c r="B65" s="3"/>
      <c r="C65" s="84"/>
      <c r="D65" s="85"/>
      <c r="E65" s="86"/>
      <c r="F65" s="80">
        <v>5</v>
      </c>
      <c r="G65" s="81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5">
        <f t="shared" si="21"/>
        <v>0</v>
      </c>
    </row>
    <row r="66" spans="1:20" ht="14.1" customHeight="1" x14ac:dyDescent="0.2">
      <c r="A66" s="3"/>
      <c r="B66" s="3"/>
      <c r="C66" s="84"/>
      <c r="D66" s="85"/>
      <c r="E66" s="86"/>
      <c r="F66" s="80">
        <v>6</v>
      </c>
      <c r="G66" s="81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5">
        <f t="shared" si="21"/>
        <v>0</v>
      </c>
    </row>
    <row r="67" spans="1:20" ht="14.1" customHeight="1" x14ac:dyDescent="0.2">
      <c r="A67" s="3"/>
      <c r="B67" s="3"/>
      <c r="C67" s="84"/>
      <c r="D67" s="85"/>
      <c r="E67" s="86"/>
      <c r="F67" s="80">
        <v>7</v>
      </c>
      <c r="G67" s="81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5">
        <f t="shared" si="21"/>
        <v>0</v>
      </c>
    </row>
    <row r="68" spans="1:20" ht="14.1" customHeight="1" x14ac:dyDescent="0.2">
      <c r="A68" s="3"/>
      <c r="B68" s="3"/>
      <c r="C68" s="84"/>
      <c r="D68" s="85"/>
      <c r="E68" s="86"/>
      <c r="F68" s="80">
        <v>8</v>
      </c>
      <c r="G68" s="81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5">
        <f t="shared" si="21"/>
        <v>0</v>
      </c>
    </row>
    <row r="69" spans="1:20" ht="14.1" customHeight="1" x14ac:dyDescent="0.2">
      <c r="A69" s="3"/>
      <c r="B69" s="3"/>
      <c r="C69" s="87"/>
      <c r="D69" s="85"/>
      <c r="E69" s="86"/>
      <c r="F69" s="80">
        <v>9</v>
      </c>
      <c r="G69" s="81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5">
        <f t="shared" si="21"/>
        <v>0</v>
      </c>
    </row>
    <row r="70" spans="1:20" ht="14.1" customHeight="1" thickBot="1" x14ac:dyDescent="0.25">
      <c r="A70" s="3"/>
      <c r="B70" s="3"/>
      <c r="C70" s="88"/>
      <c r="D70" s="89"/>
      <c r="E70" s="90"/>
      <c r="F70" s="82">
        <v>10</v>
      </c>
      <c r="G70" s="8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5">
        <f t="shared" si="21"/>
        <v>0</v>
      </c>
    </row>
    <row r="71" spans="1:20" ht="25.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</sheetData>
  <sheetProtection password="F25A" sheet="1" objects="1" scenarios="1" selectLockedCells="1"/>
  <mergeCells count="81">
    <mergeCell ref="A54:E54"/>
    <mergeCell ref="A55:E55"/>
    <mergeCell ref="F53:G53"/>
    <mergeCell ref="F54:G54"/>
    <mergeCell ref="F55:G55"/>
    <mergeCell ref="F51:G51"/>
    <mergeCell ref="A53:E53"/>
    <mergeCell ref="H24:S24"/>
    <mergeCell ref="H25:S25"/>
    <mergeCell ref="A48:E48"/>
    <mergeCell ref="F48:G48"/>
    <mergeCell ref="A51:E52"/>
    <mergeCell ref="F52:G52"/>
    <mergeCell ref="A50:S50"/>
    <mergeCell ref="A22:B22"/>
    <mergeCell ref="A17:B17"/>
    <mergeCell ref="R21:S21"/>
    <mergeCell ref="A21:D21"/>
    <mergeCell ref="R19:S19"/>
    <mergeCell ref="R20:S20"/>
    <mergeCell ref="A18:B18"/>
    <mergeCell ref="R18:S18"/>
    <mergeCell ref="A14:B14"/>
    <mergeCell ref="A15:B15"/>
    <mergeCell ref="A16:B16"/>
    <mergeCell ref="A19:B19"/>
    <mergeCell ref="A20:B20"/>
    <mergeCell ref="R16:S16"/>
    <mergeCell ref="R17:S17"/>
    <mergeCell ref="E11:E13"/>
    <mergeCell ref="F12:Q12"/>
    <mergeCell ref="R15:S15"/>
    <mergeCell ref="R14:S14"/>
    <mergeCell ref="R11:S13"/>
    <mergeCell ref="Q1:S1"/>
    <mergeCell ref="K6:S6"/>
    <mergeCell ref="K8:S8"/>
    <mergeCell ref="F11:Q11"/>
    <mergeCell ref="L2:S2"/>
    <mergeCell ref="R3:S3"/>
    <mergeCell ref="R4:S4"/>
    <mergeCell ref="B6:H6"/>
    <mergeCell ref="B8:H8"/>
    <mergeCell ref="A1:B3"/>
    <mergeCell ref="A4:D4"/>
    <mergeCell ref="A11:B13"/>
    <mergeCell ref="C11:C13"/>
    <mergeCell ref="D11:D13"/>
    <mergeCell ref="A10:S10"/>
    <mergeCell ref="F66:G66"/>
    <mergeCell ref="A23:S23"/>
    <mergeCell ref="A24:A26"/>
    <mergeCell ref="B24:B26"/>
    <mergeCell ref="C24:C26"/>
    <mergeCell ref="D24:D26"/>
    <mergeCell ref="E24:E26"/>
    <mergeCell ref="F24:F26"/>
    <mergeCell ref="G24:G26"/>
    <mergeCell ref="C60:E60"/>
    <mergeCell ref="F60:G60"/>
    <mergeCell ref="F61:G61"/>
    <mergeCell ref="F62:G62"/>
    <mergeCell ref="F63:G63"/>
    <mergeCell ref="F64:G64"/>
    <mergeCell ref="H51:S51"/>
    <mergeCell ref="D57:R58"/>
    <mergeCell ref="F67:G67"/>
    <mergeCell ref="F68:G68"/>
    <mergeCell ref="F69:G69"/>
    <mergeCell ref="F70:G70"/>
    <mergeCell ref="C66:E66"/>
    <mergeCell ref="C67:E67"/>
    <mergeCell ref="C68:E68"/>
    <mergeCell ref="C69:E69"/>
    <mergeCell ref="C70:E70"/>
    <mergeCell ref="C61:E61"/>
    <mergeCell ref="C62:E62"/>
    <mergeCell ref="C63:E63"/>
    <mergeCell ref="C64:E64"/>
    <mergeCell ref="C65:E65"/>
    <mergeCell ref="F65:G65"/>
  </mergeCells>
  <phoneticPr fontId="4" type="noConversion"/>
  <printOptions horizontalCentered="1"/>
  <pageMargins left="0.5" right="0.5" top="0.5" bottom="0.5" header="0.5" footer="0.25"/>
  <pageSetup scale="78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showZeros="0" topLeftCell="A10" zoomScaleNormal="100" workbookViewId="0">
      <selection activeCell="G15" sqref="G15"/>
    </sheetView>
  </sheetViews>
  <sheetFormatPr defaultRowHeight="12.75" x14ac:dyDescent="0.2"/>
  <cols>
    <col min="1" max="1" width="8.42578125" style="3" customWidth="1"/>
    <col min="2" max="2" width="13.42578125" style="3" customWidth="1"/>
    <col min="3" max="3" width="7.7109375" style="3" customWidth="1"/>
    <col min="4" max="4" width="7.28515625" style="3" customWidth="1"/>
    <col min="5" max="5" width="6.7109375" style="3" customWidth="1"/>
    <col min="6" max="19" width="5.7109375" style="3" customWidth="1"/>
    <col min="20" max="16384" width="9.140625" style="3"/>
  </cols>
  <sheetData>
    <row r="1" spans="1:19" ht="18" x14ac:dyDescent="0.25">
      <c r="A1" s="136"/>
      <c r="B1" s="137"/>
      <c r="C1" s="1" t="s">
        <v>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22" t="s">
        <v>33</v>
      </c>
      <c r="R1" s="122"/>
      <c r="S1" s="123"/>
    </row>
    <row r="2" spans="1:19" ht="14.1" customHeight="1" x14ac:dyDescent="0.2">
      <c r="A2" s="138"/>
      <c r="B2" s="139"/>
      <c r="C2" s="4"/>
      <c r="D2" s="4"/>
      <c r="E2" s="4"/>
      <c r="F2" s="4"/>
      <c r="G2" s="4"/>
      <c r="H2" s="4"/>
      <c r="I2" s="4"/>
      <c r="J2" s="4"/>
      <c r="K2" s="4"/>
      <c r="L2" s="128"/>
      <c r="M2" s="129"/>
      <c r="N2" s="129"/>
      <c r="O2" s="129"/>
      <c r="P2" s="129"/>
      <c r="Q2" s="129"/>
      <c r="R2" s="129"/>
      <c r="S2" s="130"/>
    </row>
    <row r="3" spans="1:19" ht="14.1" customHeight="1" x14ac:dyDescent="0.25">
      <c r="A3" s="140"/>
      <c r="B3" s="141"/>
      <c r="C3" s="5" t="s">
        <v>34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31" t="s">
        <v>31</v>
      </c>
      <c r="S3" s="132"/>
    </row>
    <row r="4" spans="1:19" ht="10.5" customHeight="1" thickBot="1" x14ac:dyDescent="0.25">
      <c r="A4" s="142" t="s">
        <v>22</v>
      </c>
      <c r="B4" s="143"/>
      <c r="C4" s="143"/>
      <c r="D4" s="14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33" t="s">
        <v>41</v>
      </c>
      <c r="S4" s="134"/>
    </row>
    <row r="5" spans="1:19" ht="8.25" customHeight="1" x14ac:dyDescent="0.2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</row>
    <row r="6" spans="1:19" ht="15" customHeight="1" x14ac:dyDescent="0.2">
      <c r="A6" s="11" t="s">
        <v>0</v>
      </c>
      <c r="B6" s="218" t="s">
        <v>58</v>
      </c>
      <c r="C6" s="219"/>
      <c r="D6" s="219"/>
      <c r="E6" s="219"/>
      <c r="F6" s="219"/>
      <c r="G6" s="219"/>
      <c r="H6" s="219"/>
      <c r="I6" s="12"/>
      <c r="J6" s="13" t="s">
        <v>19</v>
      </c>
      <c r="K6" s="219"/>
      <c r="L6" s="219"/>
      <c r="M6" s="219"/>
      <c r="N6" s="219"/>
      <c r="O6" s="219"/>
      <c r="P6" s="219"/>
      <c r="Q6" s="219"/>
      <c r="R6" s="219"/>
      <c r="S6" s="220"/>
    </row>
    <row r="7" spans="1:19" ht="15" customHeight="1" x14ac:dyDescent="0.2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5"/>
    </row>
    <row r="8" spans="1:19" ht="15" customHeight="1" x14ac:dyDescent="0.2">
      <c r="A8" s="11" t="s">
        <v>18</v>
      </c>
      <c r="B8" s="218"/>
      <c r="C8" s="219"/>
      <c r="D8" s="219"/>
      <c r="E8" s="219"/>
      <c r="F8" s="219"/>
      <c r="G8" s="219"/>
      <c r="H8" s="219"/>
      <c r="I8" s="12"/>
      <c r="J8" s="13" t="s">
        <v>20</v>
      </c>
      <c r="K8" s="219"/>
      <c r="L8" s="219"/>
      <c r="M8" s="219"/>
      <c r="N8" s="219"/>
      <c r="O8" s="219"/>
      <c r="P8" s="219"/>
      <c r="Q8" s="219"/>
      <c r="R8" s="219"/>
      <c r="S8" s="220"/>
    </row>
    <row r="9" spans="1:19" ht="7.5" customHeight="1" thickBo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</row>
    <row r="10" spans="1:19" ht="20.100000000000001" customHeight="1" thickBot="1" x14ac:dyDescent="0.25">
      <c r="A10" s="150" t="s">
        <v>1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2"/>
    </row>
    <row r="11" spans="1:19" ht="15" customHeight="1" x14ac:dyDescent="0.2">
      <c r="A11" s="144" t="s">
        <v>2</v>
      </c>
      <c r="B11" s="145"/>
      <c r="C11" s="148" t="s">
        <v>36</v>
      </c>
      <c r="D11" s="148" t="s">
        <v>37</v>
      </c>
      <c r="E11" s="148" t="s">
        <v>38</v>
      </c>
      <c r="F11" s="126" t="s">
        <v>21</v>
      </c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48" t="s">
        <v>40</v>
      </c>
      <c r="S11" s="157"/>
    </row>
    <row r="12" spans="1:19" ht="15" customHeight="1" x14ac:dyDescent="0.2">
      <c r="A12" s="146"/>
      <c r="B12" s="147"/>
      <c r="C12" s="149"/>
      <c r="D12" s="149"/>
      <c r="E12" s="149"/>
      <c r="F12" s="155" t="s">
        <v>17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6"/>
      <c r="R12" s="149"/>
      <c r="S12" s="158"/>
    </row>
    <row r="13" spans="1:19" ht="15" customHeight="1" x14ac:dyDescent="0.2">
      <c r="A13" s="146"/>
      <c r="B13" s="147"/>
      <c r="C13" s="149"/>
      <c r="D13" s="149"/>
      <c r="E13" s="149"/>
      <c r="F13" s="19" t="s">
        <v>4</v>
      </c>
      <c r="G13" s="20" t="s">
        <v>5</v>
      </c>
      <c r="H13" s="20" t="s">
        <v>6</v>
      </c>
      <c r="I13" s="20" t="s">
        <v>7</v>
      </c>
      <c r="J13" s="20" t="s">
        <v>8</v>
      </c>
      <c r="K13" s="20" t="s">
        <v>9</v>
      </c>
      <c r="L13" s="20" t="s">
        <v>10</v>
      </c>
      <c r="M13" s="20" t="s">
        <v>11</v>
      </c>
      <c r="N13" s="20" t="s">
        <v>12</v>
      </c>
      <c r="O13" s="20" t="s">
        <v>13</v>
      </c>
      <c r="P13" s="20" t="s">
        <v>14</v>
      </c>
      <c r="Q13" s="21" t="s">
        <v>15</v>
      </c>
      <c r="R13" s="149"/>
      <c r="S13" s="158"/>
    </row>
    <row r="14" spans="1:19" ht="15" customHeight="1" x14ac:dyDescent="0.2">
      <c r="A14" s="214" t="s">
        <v>75</v>
      </c>
      <c r="B14" s="215"/>
      <c r="C14" s="67">
        <v>100</v>
      </c>
      <c r="D14" s="68">
        <v>1.2</v>
      </c>
      <c r="E14" s="36">
        <f t="shared" ref="E14:E20" si="0">IF(C14&gt;0,C14*D14,"")</f>
        <v>120</v>
      </c>
      <c r="F14" s="36"/>
      <c r="G14" s="36"/>
      <c r="H14" s="36"/>
      <c r="I14" s="36"/>
      <c r="J14" s="36">
        <v>60</v>
      </c>
      <c r="K14" s="36">
        <v>120</v>
      </c>
      <c r="L14" s="36">
        <v>120</v>
      </c>
      <c r="M14" s="36">
        <v>120</v>
      </c>
      <c r="N14" s="36">
        <v>120</v>
      </c>
      <c r="O14" s="36">
        <v>120</v>
      </c>
      <c r="P14" s="36">
        <v>60</v>
      </c>
      <c r="Q14" s="36"/>
      <c r="R14" s="153">
        <f>SUM(F14:Q14)</f>
        <v>720</v>
      </c>
      <c r="S14" s="154"/>
    </row>
    <row r="15" spans="1:19" ht="15" customHeight="1" x14ac:dyDescent="0.2">
      <c r="A15" s="214" t="s">
        <v>55</v>
      </c>
      <c r="B15" s="215"/>
      <c r="C15" s="67">
        <v>20</v>
      </c>
      <c r="D15" s="68">
        <v>0.8</v>
      </c>
      <c r="E15" s="36">
        <f t="shared" si="0"/>
        <v>16</v>
      </c>
      <c r="F15" s="36"/>
      <c r="G15" s="36"/>
      <c r="H15" s="36"/>
      <c r="I15" s="36"/>
      <c r="J15" s="36">
        <v>16</v>
      </c>
      <c r="K15" s="36">
        <v>16</v>
      </c>
      <c r="L15" s="36">
        <v>16</v>
      </c>
      <c r="M15" s="36">
        <v>16</v>
      </c>
      <c r="N15" s="36">
        <v>16</v>
      </c>
      <c r="O15" s="36"/>
      <c r="P15" s="36"/>
      <c r="Q15" s="36"/>
      <c r="R15" s="153">
        <f>SUM(F15:Q15)</f>
        <v>80</v>
      </c>
      <c r="S15" s="154"/>
    </row>
    <row r="16" spans="1:19" ht="15" customHeight="1" x14ac:dyDescent="0.2">
      <c r="A16" s="214" t="s">
        <v>50</v>
      </c>
      <c r="B16" s="215"/>
      <c r="C16" s="67">
        <v>4</v>
      </c>
      <c r="D16" s="68">
        <v>1.3</v>
      </c>
      <c r="E16" s="36">
        <f t="shared" si="0"/>
        <v>5.2</v>
      </c>
      <c r="F16" s="36"/>
      <c r="G16" s="36"/>
      <c r="H16" s="36"/>
      <c r="I16" s="36"/>
      <c r="J16" s="36"/>
      <c r="K16" s="36"/>
      <c r="L16" s="36">
        <v>5.2</v>
      </c>
      <c r="M16" s="36">
        <v>5.2</v>
      </c>
      <c r="N16" s="36"/>
      <c r="O16" s="36"/>
      <c r="P16" s="36"/>
      <c r="Q16" s="36"/>
      <c r="R16" s="153">
        <f t="shared" ref="R16:R21" si="1">SUM(F16:Q16)</f>
        <v>10.4</v>
      </c>
      <c r="S16" s="154"/>
    </row>
    <row r="17" spans="1:19" ht="15" customHeight="1" x14ac:dyDescent="0.2">
      <c r="A17" s="214" t="s">
        <v>56</v>
      </c>
      <c r="B17" s="215"/>
      <c r="C17" s="67">
        <v>75</v>
      </c>
      <c r="D17" s="68">
        <v>0.48</v>
      </c>
      <c r="E17" s="36">
        <f t="shared" si="0"/>
        <v>36</v>
      </c>
      <c r="F17" s="36"/>
      <c r="G17" s="36"/>
      <c r="H17" s="36"/>
      <c r="I17" s="36">
        <v>36</v>
      </c>
      <c r="J17" s="36">
        <v>36</v>
      </c>
      <c r="K17" s="36">
        <v>36</v>
      </c>
      <c r="L17" s="36"/>
      <c r="M17" s="36"/>
      <c r="N17" s="36"/>
      <c r="O17" s="36"/>
      <c r="P17" s="36"/>
      <c r="Q17" s="36"/>
      <c r="R17" s="153">
        <f t="shared" si="1"/>
        <v>108</v>
      </c>
      <c r="S17" s="154"/>
    </row>
    <row r="18" spans="1:19" ht="15" customHeight="1" x14ac:dyDescent="0.2">
      <c r="A18" s="214" t="s">
        <v>57</v>
      </c>
      <c r="B18" s="215"/>
      <c r="C18" s="67">
        <v>150</v>
      </c>
      <c r="D18" s="68">
        <v>0.15</v>
      </c>
      <c r="E18" s="36">
        <f t="shared" si="0"/>
        <v>22.5</v>
      </c>
      <c r="F18" s="36">
        <v>22.5</v>
      </c>
      <c r="G18" s="36">
        <v>22.5</v>
      </c>
      <c r="H18" s="36">
        <v>22.5</v>
      </c>
      <c r="I18" s="36">
        <v>22.5</v>
      </c>
      <c r="J18" s="36">
        <v>22.5</v>
      </c>
      <c r="K18" s="36">
        <v>22.5</v>
      </c>
      <c r="L18" s="36">
        <v>22.5</v>
      </c>
      <c r="M18" s="36">
        <v>22.5</v>
      </c>
      <c r="N18" s="36">
        <v>22.5</v>
      </c>
      <c r="O18" s="36">
        <v>22.5</v>
      </c>
      <c r="P18" s="36">
        <v>22.5</v>
      </c>
      <c r="Q18" s="36">
        <v>22.5</v>
      </c>
      <c r="R18" s="153">
        <f t="shared" si="1"/>
        <v>270</v>
      </c>
      <c r="S18" s="154"/>
    </row>
    <row r="19" spans="1:19" ht="15" customHeight="1" x14ac:dyDescent="0.2">
      <c r="A19" s="214"/>
      <c r="B19" s="215"/>
      <c r="C19" s="67"/>
      <c r="D19" s="68"/>
      <c r="E19" s="36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153">
        <f t="shared" si="1"/>
        <v>0</v>
      </c>
      <c r="S19" s="154"/>
    </row>
    <row r="20" spans="1:19" ht="15" customHeight="1" thickBot="1" x14ac:dyDescent="0.25">
      <c r="A20" s="216"/>
      <c r="B20" s="217"/>
      <c r="C20" s="69"/>
      <c r="D20" s="70"/>
      <c r="E20" s="39" t="str">
        <f t="shared" si="0"/>
        <v/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170">
        <f t="shared" si="1"/>
        <v>0</v>
      </c>
      <c r="S20" s="171"/>
    </row>
    <row r="21" spans="1:19" ht="15" customHeight="1" thickBot="1" x14ac:dyDescent="0.25">
      <c r="A21" s="167" t="s">
        <v>45</v>
      </c>
      <c r="B21" s="168"/>
      <c r="C21" s="168"/>
      <c r="D21" s="169"/>
      <c r="E21" s="66">
        <f t="shared" ref="E21:Q21" si="2">SUM(E14:E20)</f>
        <v>199.7</v>
      </c>
      <c r="F21" s="66">
        <f t="shared" si="2"/>
        <v>22.5</v>
      </c>
      <c r="G21" s="66">
        <f t="shared" si="2"/>
        <v>22.5</v>
      </c>
      <c r="H21" s="66">
        <f t="shared" si="2"/>
        <v>22.5</v>
      </c>
      <c r="I21" s="66">
        <f t="shared" si="2"/>
        <v>58.5</v>
      </c>
      <c r="J21" s="66">
        <f t="shared" si="2"/>
        <v>134.5</v>
      </c>
      <c r="K21" s="66">
        <f t="shared" si="2"/>
        <v>194.5</v>
      </c>
      <c r="L21" s="66">
        <f t="shared" si="2"/>
        <v>163.69999999999999</v>
      </c>
      <c r="M21" s="66">
        <f t="shared" si="2"/>
        <v>163.69999999999999</v>
      </c>
      <c r="N21" s="66">
        <f t="shared" si="2"/>
        <v>158.5</v>
      </c>
      <c r="O21" s="66">
        <f t="shared" si="2"/>
        <v>142.5</v>
      </c>
      <c r="P21" s="66">
        <f t="shared" si="2"/>
        <v>82.5</v>
      </c>
      <c r="Q21" s="66">
        <f t="shared" si="2"/>
        <v>22.5</v>
      </c>
      <c r="R21" s="165">
        <f t="shared" si="1"/>
        <v>1188.4000000000001</v>
      </c>
      <c r="S21" s="166"/>
    </row>
    <row r="22" spans="1:19" ht="7.5" customHeight="1" thickBot="1" x14ac:dyDescent="0.25">
      <c r="A22" s="163"/>
      <c r="B22" s="16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pans="1:19" ht="20.100000000000001" customHeight="1" thickBot="1" x14ac:dyDescent="0.25">
      <c r="A23" s="94" t="s">
        <v>23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6"/>
    </row>
    <row r="24" spans="1:19" ht="15" customHeight="1" x14ac:dyDescent="0.2">
      <c r="A24" s="97" t="s">
        <v>42</v>
      </c>
      <c r="B24" s="100" t="s">
        <v>43</v>
      </c>
      <c r="C24" s="103" t="s">
        <v>26</v>
      </c>
      <c r="D24" s="103" t="s">
        <v>35</v>
      </c>
      <c r="E24" s="106" t="s">
        <v>25</v>
      </c>
      <c r="F24" s="100" t="s">
        <v>39</v>
      </c>
      <c r="G24" s="109" t="s">
        <v>44</v>
      </c>
      <c r="H24" s="175" t="s">
        <v>24</v>
      </c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7"/>
    </row>
    <row r="25" spans="1:19" ht="15" customHeight="1" x14ac:dyDescent="0.2">
      <c r="A25" s="98"/>
      <c r="B25" s="101"/>
      <c r="C25" s="104"/>
      <c r="D25" s="104"/>
      <c r="E25" s="107"/>
      <c r="F25" s="101"/>
      <c r="G25" s="110"/>
      <c r="H25" s="178" t="s">
        <v>17</v>
      </c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80"/>
    </row>
    <row r="26" spans="1:19" ht="15" customHeight="1" thickBot="1" x14ac:dyDescent="0.25">
      <c r="A26" s="99"/>
      <c r="B26" s="102"/>
      <c r="C26" s="105"/>
      <c r="D26" s="105"/>
      <c r="E26" s="108"/>
      <c r="F26" s="102"/>
      <c r="G26" s="111"/>
      <c r="H26" s="22" t="s">
        <v>4</v>
      </c>
      <c r="I26" s="23" t="s">
        <v>5</v>
      </c>
      <c r="J26" s="23" t="s">
        <v>6</v>
      </c>
      <c r="K26" s="23" t="s">
        <v>7</v>
      </c>
      <c r="L26" s="23" t="s">
        <v>8</v>
      </c>
      <c r="M26" s="23" t="s">
        <v>9</v>
      </c>
      <c r="N26" s="23" t="s">
        <v>10</v>
      </c>
      <c r="O26" s="23" t="s">
        <v>11</v>
      </c>
      <c r="P26" s="23" t="s">
        <v>12</v>
      </c>
      <c r="Q26" s="23" t="s">
        <v>13</v>
      </c>
      <c r="R26" s="23" t="s">
        <v>14</v>
      </c>
      <c r="S26" s="24" t="s">
        <v>15</v>
      </c>
    </row>
    <row r="27" spans="1:19" ht="15" customHeight="1" x14ac:dyDescent="0.2">
      <c r="A27" s="71">
        <v>1</v>
      </c>
      <c r="B27" s="72" t="s">
        <v>59</v>
      </c>
      <c r="C27" s="47">
        <v>290</v>
      </c>
      <c r="D27" s="73">
        <v>0.17</v>
      </c>
      <c r="E27" s="49" t="s">
        <v>65</v>
      </c>
      <c r="F27" s="47">
        <f>IF(C27&gt;0,C27*D27,"")</f>
        <v>49.3</v>
      </c>
      <c r="G27" s="49">
        <v>1</v>
      </c>
      <c r="H27" s="47">
        <f>IF($G27="","",VLOOKUP($G27,$F$61:$S$70,3,FALSE)*$F27)</f>
        <v>0</v>
      </c>
      <c r="I27" s="47">
        <f>IF($G27="","",VLOOKUP($G27,$F$61:$S$70,4,FALSE)*$F27)</f>
        <v>0</v>
      </c>
      <c r="J27" s="47">
        <f>IF($G27="","",VLOOKUP($G27,$F$61:$S$70,5,FALSE)*$F27)</f>
        <v>0</v>
      </c>
      <c r="K27" s="47">
        <f>IF($G27="","",VLOOKUP($G27,$F$61:$S$70,6,FALSE)*$F27)</f>
        <v>4.9000000000000004</v>
      </c>
      <c r="L27" s="47">
        <f>IF($G27="","",VLOOKUP($G27,$F$61:$S$70,7,FALSE)*$F27)</f>
        <v>14.8</v>
      </c>
      <c r="M27" s="47">
        <f>IF($G27="","",VLOOKUP($G27,$F$61:$S$70,8,FALSE)*$F27)</f>
        <v>14.8</v>
      </c>
      <c r="N27" s="47">
        <f>IF($G27="","",VLOOKUP($G27,$F$61:$S$70,9,FALSE)*$F27)</f>
        <v>4.9000000000000004</v>
      </c>
      <c r="O27" s="47">
        <f>IF($G27="","",VLOOKUP($G27,$F$61:$S$70,10,FALSE)*$F27)</f>
        <v>4.9000000000000004</v>
      </c>
      <c r="P27" s="47">
        <f>IF($G27="","",VLOOKUP($G27,$F$61:$S$70,11,FALSE)*$F27)</f>
        <v>2.5</v>
      </c>
      <c r="Q27" s="47">
        <f>IF($G27="","",VLOOKUP($G27,$F$61:$S$70,12,FALSE)*$F27)</f>
        <v>2.5</v>
      </c>
      <c r="R27" s="47">
        <f>IF($G27="","",VLOOKUP($G27,$F$61:$S$70,13,FALSE)*$F27)</f>
        <v>0</v>
      </c>
      <c r="S27" s="48">
        <f>IF($G27="","",VLOOKUP($G27,$F$61:$S$70,14,FALSE)*$F27)</f>
        <v>0</v>
      </c>
    </row>
    <row r="28" spans="1:19" ht="15" customHeight="1" x14ac:dyDescent="0.2">
      <c r="A28" s="74">
        <v>1</v>
      </c>
      <c r="B28" s="75" t="s">
        <v>59</v>
      </c>
      <c r="C28" s="47">
        <v>100</v>
      </c>
      <c r="D28" s="73">
        <v>0.15</v>
      </c>
      <c r="E28" s="67" t="s">
        <v>66</v>
      </c>
      <c r="F28" s="49">
        <f t="shared" ref="F28:F47" si="3">IF(C28&gt;0,C28*D28,"")</f>
        <v>15</v>
      </c>
      <c r="G28" s="67">
        <v>1</v>
      </c>
      <c r="H28" s="47">
        <f t="shared" ref="H28:H47" si="4">IF($G28="","",VLOOKUP($G28,$F$61:$S$70,3,FALSE)*$F28)</f>
        <v>0</v>
      </c>
      <c r="I28" s="47">
        <f t="shared" ref="I28:I47" si="5">IF($G28="","",VLOOKUP($G28,$F$61:$S$70,4,FALSE)*$F28)</f>
        <v>0</v>
      </c>
      <c r="J28" s="47">
        <f t="shared" ref="J28:J47" si="6">IF($G28="","",VLOOKUP($G28,$F$61:$S$70,5,FALSE)*$F28)</f>
        <v>0</v>
      </c>
      <c r="K28" s="47">
        <f t="shared" ref="K28:K47" si="7">IF($G28="","",VLOOKUP($G28,$F$61:$S$70,6,FALSE)*$F28)</f>
        <v>1.5</v>
      </c>
      <c r="L28" s="47">
        <f t="shared" ref="L28:L47" si="8">IF($G28="","",VLOOKUP($G28,$F$61:$S$70,7,FALSE)*$F28)</f>
        <v>4.5</v>
      </c>
      <c r="M28" s="47">
        <f t="shared" ref="M28:M47" si="9">IF($G28="","",VLOOKUP($G28,$F$61:$S$70,8,FALSE)*$F28)</f>
        <v>4.5</v>
      </c>
      <c r="N28" s="47">
        <f t="shared" ref="N28:N47" si="10">IF($G28="","",VLOOKUP($G28,$F$61:$S$70,9,FALSE)*$F28)</f>
        <v>1.5</v>
      </c>
      <c r="O28" s="47">
        <f t="shared" ref="O28:O47" si="11">IF($G28="","",VLOOKUP($G28,$F$61:$S$70,10,FALSE)*$F28)</f>
        <v>1.5</v>
      </c>
      <c r="P28" s="47">
        <f t="shared" ref="P28:P47" si="12">IF($G28="","",VLOOKUP($G28,$F$61:$S$70,11,FALSE)*$F28)</f>
        <v>0.8</v>
      </c>
      <c r="Q28" s="47">
        <f t="shared" ref="Q28:Q47" si="13">IF($G28="","",VLOOKUP($G28,$F$61:$S$70,12,FALSE)*$F28)</f>
        <v>0.8</v>
      </c>
      <c r="R28" s="47">
        <f t="shared" ref="R28:R47" si="14">IF($G28="","",VLOOKUP($G28,$F$61:$S$70,13,FALSE)*$F28)</f>
        <v>0</v>
      </c>
      <c r="S28" s="48">
        <f t="shared" ref="S28:S47" si="15">IF($G28="","",VLOOKUP($G28,$F$61:$S$70,14,FALSE)*$F28)</f>
        <v>0</v>
      </c>
    </row>
    <row r="29" spans="1:19" ht="15" customHeight="1" x14ac:dyDescent="0.2">
      <c r="A29" s="74">
        <v>1</v>
      </c>
      <c r="B29" s="75" t="s">
        <v>60</v>
      </c>
      <c r="C29" s="47">
        <v>150</v>
      </c>
      <c r="D29" s="73">
        <v>0.12</v>
      </c>
      <c r="E29" s="67" t="s">
        <v>65</v>
      </c>
      <c r="F29" s="49">
        <f t="shared" si="3"/>
        <v>18</v>
      </c>
      <c r="G29" s="67">
        <v>2</v>
      </c>
      <c r="H29" s="47">
        <f t="shared" si="4"/>
        <v>0</v>
      </c>
      <c r="I29" s="47">
        <f t="shared" si="5"/>
        <v>0</v>
      </c>
      <c r="J29" s="47">
        <f t="shared" si="6"/>
        <v>1.8</v>
      </c>
      <c r="K29" s="47">
        <f t="shared" si="7"/>
        <v>3.6</v>
      </c>
      <c r="L29" s="47">
        <f t="shared" si="8"/>
        <v>5.4</v>
      </c>
      <c r="M29" s="47">
        <f t="shared" si="9"/>
        <v>4.5</v>
      </c>
      <c r="N29" s="47">
        <f t="shared" si="10"/>
        <v>0.9</v>
      </c>
      <c r="O29" s="47">
        <f t="shared" si="11"/>
        <v>0.9</v>
      </c>
      <c r="P29" s="47">
        <f t="shared" si="12"/>
        <v>0</v>
      </c>
      <c r="Q29" s="47">
        <f t="shared" si="13"/>
        <v>0.9</v>
      </c>
      <c r="R29" s="47">
        <f t="shared" si="14"/>
        <v>0</v>
      </c>
      <c r="S29" s="48">
        <f t="shared" si="15"/>
        <v>0</v>
      </c>
    </row>
    <row r="30" spans="1:19" ht="15" customHeight="1" x14ac:dyDescent="0.2">
      <c r="A30" s="74">
        <v>1</v>
      </c>
      <c r="B30" s="75" t="s">
        <v>61</v>
      </c>
      <c r="C30" s="47">
        <v>100</v>
      </c>
      <c r="D30" s="73">
        <v>0.82</v>
      </c>
      <c r="E30" s="67" t="s">
        <v>65</v>
      </c>
      <c r="F30" s="49">
        <f t="shared" si="3"/>
        <v>82</v>
      </c>
      <c r="G30" s="76">
        <v>3</v>
      </c>
      <c r="H30" s="47">
        <f t="shared" si="4"/>
        <v>0</v>
      </c>
      <c r="I30" s="47">
        <f t="shared" si="5"/>
        <v>0</v>
      </c>
      <c r="J30" s="47">
        <f t="shared" si="6"/>
        <v>0</v>
      </c>
      <c r="K30" s="47">
        <f t="shared" si="7"/>
        <v>4.0999999999999996</v>
      </c>
      <c r="L30" s="47">
        <f t="shared" si="8"/>
        <v>16.399999999999999</v>
      </c>
      <c r="M30" s="47">
        <f t="shared" si="9"/>
        <v>16.399999999999999</v>
      </c>
      <c r="N30" s="47">
        <f t="shared" si="10"/>
        <v>28.7</v>
      </c>
      <c r="O30" s="47">
        <f t="shared" si="11"/>
        <v>8.1999999999999993</v>
      </c>
      <c r="P30" s="47">
        <f t="shared" si="12"/>
        <v>8.1999999999999993</v>
      </c>
      <c r="Q30" s="47">
        <f t="shared" si="13"/>
        <v>0</v>
      </c>
      <c r="R30" s="47">
        <f t="shared" si="14"/>
        <v>0</v>
      </c>
      <c r="S30" s="48">
        <f t="shared" si="15"/>
        <v>0</v>
      </c>
    </row>
    <row r="31" spans="1:19" ht="15" customHeight="1" x14ac:dyDescent="0.2">
      <c r="A31" s="74">
        <v>2</v>
      </c>
      <c r="B31" s="75" t="s">
        <v>60</v>
      </c>
      <c r="C31" s="47">
        <v>250</v>
      </c>
      <c r="D31" s="73">
        <v>0.14000000000000001</v>
      </c>
      <c r="E31" s="76" t="s">
        <v>52</v>
      </c>
      <c r="F31" s="49">
        <f t="shared" si="3"/>
        <v>35</v>
      </c>
      <c r="G31" s="67">
        <v>2</v>
      </c>
      <c r="H31" s="47">
        <f t="shared" si="4"/>
        <v>0</v>
      </c>
      <c r="I31" s="47">
        <f t="shared" si="5"/>
        <v>0</v>
      </c>
      <c r="J31" s="47">
        <f t="shared" si="6"/>
        <v>3.5</v>
      </c>
      <c r="K31" s="47">
        <f t="shared" si="7"/>
        <v>7</v>
      </c>
      <c r="L31" s="47">
        <f t="shared" si="8"/>
        <v>10.5</v>
      </c>
      <c r="M31" s="47">
        <f t="shared" si="9"/>
        <v>8.8000000000000007</v>
      </c>
      <c r="N31" s="47">
        <f t="shared" si="10"/>
        <v>1.8</v>
      </c>
      <c r="O31" s="47">
        <f t="shared" si="11"/>
        <v>1.8</v>
      </c>
      <c r="P31" s="47">
        <f t="shared" si="12"/>
        <v>0</v>
      </c>
      <c r="Q31" s="47">
        <f t="shared" si="13"/>
        <v>1.8</v>
      </c>
      <c r="R31" s="47">
        <f t="shared" si="14"/>
        <v>0</v>
      </c>
      <c r="S31" s="48">
        <f t="shared" si="15"/>
        <v>0</v>
      </c>
    </row>
    <row r="32" spans="1:19" ht="15" customHeight="1" x14ac:dyDescent="0.2">
      <c r="A32" s="74">
        <v>2</v>
      </c>
      <c r="B32" s="75" t="s">
        <v>60</v>
      </c>
      <c r="C32" s="47">
        <v>200</v>
      </c>
      <c r="D32" s="73">
        <v>0.11</v>
      </c>
      <c r="E32" s="67" t="s">
        <v>66</v>
      </c>
      <c r="F32" s="49">
        <f t="shared" si="3"/>
        <v>22</v>
      </c>
      <c r="G32" s="67">
        <v>2</v>
      </c>
      <c r="H32" s="47">
        <f t="shared" si="4"/>
        <v>0</v>
      </c>
      <c r="I32" s="47">
        <f t="shared" si="5"/>
        <v>0</v>
      </c>
      <c r="J32" s="47">
        <f t="shared" si="6"/>
        <v>2.2000000000000002</v>
      </c>
      <c r="K32" s="47">
        <f t="shared" si="7"/>
        <v>4.4000000000000004</v>
      </c>
      <c r="L32" s="47">
        <f t="shared" si="8"/>
        <v>6.6</v>
      </c>
      <c r="M32" s="47">
        <f t="shared" si="9"/>
        <v>5.5</v>
      </c>
      <c r="N32" s="47">
        <f t="shared" si="10"/>
        <v>1.1000000000000001</v>
      </c>
      <c r="O32" s="47">
        <f t="shared" si="11"/>
        <v>1.1000000000000001</v>
      </c>
      <c r="P32" s="47">
        <f t="shared" si="12"/>
        <v>0</v>
      </c>
      <c r="Q32" s="47">
        <f t="shared" si="13"/>
        <v>1.1000000000000001</v>
      </c>
      <c r="R32" s="47">
        <f t="shared" si="14"/>
        <v>0</v>
      </c>
      <c r="S32" s="48">
        <f t="shared" si="15"/>
        <v>0</v>
      </c>
    </row>
    <row r="33" spans="1:19" ht="15" customHeight="1" x14ac:dyDescent="0.2">
      <c r="A33" s="74">
        <v>2</v>
      </c>
      <c r="B33" s="75" t="s">
        <v>59</v>
      </c>
      <c r="C33" s="47">
        <v>450</v>
      </c>
      <c r="D33" s="73">
        <v>0.19</v>
      </c>
      <c r="E33" s="67" t="s">
        <v>65</v>
      </c>
      <c r="F33" s="49">
        <f t="shared" si="3"/>
        <v>85.5</v>
      </c>
      <c r="G33" s="67">
        <v>1</v>
      </c>
      <c r="H33" s="47">
        <f t="shared" si="4"/>
        <v>0</v>
      </c>
      <c r="I33" s="47">
        <f t="shared" si="5"/>
        <v>0</v>
      </c>
      <c r="J33" s="47">
        <f t="shared" si="6"/>
        <v>0</v>
      </c>
      <c r="K33" s="47">
        <f t="shared" si="7"/>
        <v>8.6</v>
      </c>
      <c r="L33" s="47">
        <f t="shared" si="8"/>
        <v>25.7</v>
      </c>
      <c r="M33" s="47">
        <f t="shared" si="9"/>
        <v>25.7</v>
      </c>
      <c r="N33" s="47">
        <f t="shared" si="10"/>
        <v>8.6</v>
      </c>
      <c r="O33" s="47">
        <f t="shared" si="11"/>
        <v>8.6</v>
      </c>
      <c r="P33" s="47">
        <f t="shared" si="12"/>
        <v>4.3</v>
      </c>
      <c r="Q33" s="47">
        <f t="shared" si="13"/>
        <v>4.3</v>
      </c>
      <c r="R33" s="47">
        <f t="shared" si="14"/>
        <v>0</v>
      </c>
      <c r="S33" s="48">
        <f t="shared" si="15"/>
        <v>0</v>
      </c>
    </row>
    <row r="34" spans="1:19" ht="15" customHeight="1" x14ac:dyDescent="0.2">
      <c r="A34" s="74">
        <v>2</v>
      </c>
      <c r="B34" s="75" t="s">
        <v>61</v>
      </c>
      <c r="C34" s="47">
        <v>100</v>
      </c>
      <c r="D34" s="73">
        <v>0.77</v>
      </c>
      <c r="E34" s="67" t="s">
        <v>66</v>
      </c>
      <c r="F34" s="49">
        <f t="shared" si="3"/>
        <v>77</v>
      </c>
      <c r="G34" s="67">
        <v>3</v>
      </c>
      <c r="H34" s="47">
        <f t="shared" si="4"/>
        <v>0</v>
      </c>
      <c r="I34" s="47">
        <f t="shared" si="5"/>
        <v>0</v>
      </c>
      <c r="J34" s="47">
        <f t="shared" si="6"/>
        <v>0</v>
      </c>
      <c r="K34" s="47">
        <f t="shared" si="7"/>
        <v>3.9</v>
      </c>
      <c r="L34" s="47">
        <f t="shared" si="8"/>
        <v>15.4</v>
      </c>
      <c r="M34" s="47">
        <f t="shared" si="9"/>
        <v>15.4</v>
      </c>
      <c r="N34" s="47">
        <f t="shared" si="10"/>
        <v>27</v>
      </c>
      <c r="O34" s="47">
        <f t="shared" si="11"/>
        <v>7.7</v>
      </c>
      <c r="P34" s="47">
        <f t="shared" si="12"/>
        <v>7.7</v>
      </c>
      <c r="Q34" s="47">
        <f t="shared" si="13"/>
        <v>0</v>
      </c>
      <c r="R34" s="47">
        <f t="shared" si="14"/>
        <v>0</v>
      </c>
      <c r="S34" s="48">
        <f t="shared" si="15"/>
        <v>0</v>
      </c>
    </row>
    <row r="35" spans="1:19" ht="15" customHeight="1" x14ac:dyDescent="0.2">
      <c r="A35" s="74">
        <v>3</v>
      </c>
      <c r="B35" s="75" t="s">
        <v>59</v>
      </c>
      <c r="C35" s="47">
        <v>450</v>
      </c>
      <c r="D35" s="73">
        <v>0.16</v>
      </c>
      <c r="E35" s="67" t="s">
        <v>65</v>
      </c>
      <c r="F35" s="49">
        <f t="shared" si="3"/>
        <v>72</v>
      </c>
      <c r="G35" s="67">
        <v>1</v>
      </c>
      <c r="H35" s="47">
        <f t="shared" si="4"/>
        <v>0</v>
      </c>
      <c r="I35" s="47">
        <f t="shared" si="5"/>
        <v>0</v>
      </c>
      <c r="J35" s="47">
        <f t="shared" si="6"/>
        <v>0</v>
      </c>
      <c r="K35" s="47">
        <f t="shared" si="7"/>
        <v>7.2</v>
      </c>
      <c r="L35" s="47">
        <f t="shared" si="8"/>
        <v>21.6</v>
      </c>
      <c r="M35" s="47">
        <f t="shared" si="9"/>
        <v>21.6</v>
      </c>
      <c r="N35" s="47">
        <f t="shared" si="10"/>
        <v>7.2</v>
      </c>
      <c r="O35" s="47">
        <f t="shared" si="11"/>
        <v>7.2</v>
      </c>
      <c r="P35" s="47">
        <f t="shared" si="12"/>
        <v>3.6</v>
      </c>
      <c r="Q35" s="47">
        <f t="shared" si="13"/>
        <v>3.6</v>
      </c>
      <c r="R35" s="47">
        <f t="shared" si="14"/>
        <v>0</v>
      </c>
      <c r="S35" s="48">
        <f t="shared" si="15"/>
        <v>0</v>
      </c>
    </row>
    <row r="36" spans="1:19" ht="15" customHeight="1" x14ac:dyDescent="0.2">
      <c r="A36" s="74">
        <v>3</v>
      </c>
      <c r="B36" s="75" t="s">
        <v>62</v>
      </c>
      <c r="C36" s="47">
        <v>150</v>
      </c>
      <c r="D36" s="73">
        <v>0.33</v>
      </c>
      <c r="E36" s="76" t="s">
        <v>65</v>
      </c>
      <c r="F36" s="49">
        <f t="shared" si="3"/>
        <v>49.5</v>
      </c>
      <c r="G36" s="67">
        <v>4</v>
      </c>
      <c r="H36" s="47">
        <f t="shared" si="4"/>
        <v>0</v>
      </c>
      <c r="I36" s="47">
        <f t="shared" si="5"/>
        <v>0</v>
      </c>
      <c r="J36" s="47">
        <f t="shared" si="6"/>
        <v>0</v>
      </c>
      <c r="K36" s="47">
        <f t="shared" si="7"/>
        <v>2.5</v>
      </c>
      <c r="L36" s="47">
        <f t="shared" si="8"/>
        <v>12.4</v>
      </c>
      <c r="M36" s="47">
        <f t="shared" si="9"/>
        <v>14.9</v>
      </c>
      <c r="N36" s="47">
        <f t="shared" si="10"/>
        <v>12.4</v>
      </c>
      <c r="O36" s="47">
        <f t="shared" si="11"/>
        <v>5</v>
      </c>
      <c r="P36" s="47">
        <f t="shared" si="12"/>
        <v>2.5</v>
      </c>
      <c r="Q36" s="47">
        <f t="shared" si="13"/>
        <v>0</v>
      </c>
      <c r="R36" s="47">
        <f t="shared" si="14"/>
        <v>0</v>
      </c>
      <c r="S36" s="48">
        <f t="shared" si="15"/>
        <v>0</v>
      </c>
    </row>
    <row r="37" spans="1:19" ht="15" customHeight="1" x14ac:dyDescent="0.2">
      <c r="A37" s="74">
        <v>4</v>
      </c>
      <c r="B37" s="75" t="s">
        <v>59</v>
      </c>
      <c r="C37" s="47">
        <v>350</v>
      </c>
      <c r="D37" s="73">
        <v>0.14000000000000001</v>
      </c>
      <c r="E37" s="67" t="s">
        <v>65</v>
      </c>
      <c r="F37" s="49">
        <f t="shared" si="3"/>
        <v>49</v>
      </c>
      <c r="G37" s="67">
        <v>1</v>
      </c>
      <c r="H37" s="47">
        <f t="shared" si="4"/>
        <v>0</v>
      </c>
      <c r="I37" s="47">
        <f t="shared" si="5"/>
        <v>0</v>
      </c>
      <c r="J37" s="47">
        <f t="shared" si="6"/>
        <v>0</v>
      </c>
      <c r="K37" s="47">
        <f t="shared" si="7"/>
        <v>4.9000000000000004</v>
      </c>
      <c r="L37" s="47">
        <f t="shared" si="8"/>
        <v>14.7</v>
      </c>
      <c r="M37" s="47">
        <f t="shared" si="9"/>
        <v>14.7</v>
      </c>
      <c r="N37" s="47">
        <f t="shared" si="10"/>
        <v>4.9000000000000004</v>
      </c>
      <c r="O37" s="47">
        <f t="shared" si="11"/>
        <v>4.9000000000000004</v>
      </c>
      <c r="P37" s="47">
        <f t="shared" si="12"/>
        <v>2.5</v>
      </c>
      <c r="Q37" s="47">
        <f t="shared" si="13"/>
        <v>2.5</v>
      </c>
      <c r="R37" s="47">
        <f t="shared" si="14"/>
        <v>0</v>
      </c>
      <c r="S37" s="48">
        <f t="shared" si="15"/>
        <v>0</v>
      </c>
    </row>
    <row r="38" spans="1:19" ht="15" customHeight="1" x14ac:dyDescent="0.2">
      <c r="A38" s="74">
        <v>4</v>
      </c>
      <c r="B38" s="75" t="s">
        <v>59</v>
      </c>
      <c r="C38" s="47">
        <v>255</v>
      </c>
      <c r="D38" s="73">
        <v>0.12</v>
      </c>
      <c r="E38" s="67" t="s">
        <v>66</v>
      </c>
      <c r="F38" s="49">
        <f t="shared" si="3"/>
        <v>30.6</v>
      </c>
      <c r="G38" s="67">
        <v>1</v>
      </c>
      <c r="H38" s="47">
        <f t="shared" si="4"/>
        <v>0</v>
      </c>
      <c r="I38" s="47">
        <f t="shared" si="5"/>
        <v>0</v>
      </c>
      <c r="J38" s="47">
        <f t="shared" si="6"/>
        <v>0</v>
      </c>
      <c r="K38" s="47">
        <f t="shared" si="7"/>
        <v>3.1</v>
      </c>
      <c r="L38" s="47">
        <f t="shared" si="8"/>
        <v>9.1999999999999993</v>
      </c>
      <c r="M38" s="47">
        <f t="shared" si="9"/>
        <v>9.1999999999999993</v>
      </c>
      <c r="N38" s="47">
        <f t="shared" si="10"/>
        <v>3.1</v>
      </c>
      <c r="O38" s="47">
        <f t="shared" si="11"/>
        <v>3.1</v>
      </c>
      <c r="P38" s="47">
        <f t="shared" si="12"/>
        <v>1.5</v>
      </c>
      <c r="Q38" s="47">
        <f t="shared" si="13"/>
        <v>1.5</v>
      </c>
      <c r="R38" s="47">
        <f t="shared" si="14"/>
        <v>0</v>
      </c>
      <c r="S38" s="48">
        <f t="shared" si="15"/>
        <v>0</v>
      </c>
    </row>
    <row r="39" spans="1:19" ht="15" customHeight="1" x14ac:dyDescent="0.2">
      <c r="A39" s="74">
        <v>4</v>
      </c>
      <c r="B39" s="75" t="s">
        <v>63</v>
      </c>
      <c r="C39" s="47">
        <v>175</v>
      </c>
      <c r="D39" s="73">
        <v>7.0000000000000007E-2</v>
      </c>
      <c r="E39" s="67" t="s">
        <v>66</v>
      </c>
      <c r="F39" s="49">
        <f t="shared" si="3"/>
        <v>12.25</v>
      </c>
      <c r="G39" s="67">
        <v>5</v>
      </c>
      <c r="H39" s="47">
        <f t="shared" si="4"/>
        <v>0</v>
      </c>
      <c r="I39" s="47">
        <f t="shared" si="5"/>
        <v>0</v>
      </c>
      <c r="J39" s="47">
        <f t="shared" si="6"/>
        <v>0</v>
      </c>
      <c r="K39" s="47">
        <f t="shared" si="7"/>
        <v>3.1</v>
      </c>
      <c r="L39" s="47">
        <f t="shared" si="8"/>
        <v>4.9000000000000004</v>
      </c>
      <c r="M39" s="47">
        <f t="shared" si="9"/>
        <v>2.5</v>
      </c>
      <c r="N39" s="47">
        <f t="shared" si="10"/>
        <v>0.6</v>
      </c>
      <c r="O39" s="47">
        <f t="shared" si="11"/>
        <v>0</v>
      </c>
      <c r="P39" s="47">
        <f t="shared" si="12"/>
        <v>0.6</v>
      </c>
      <c r="Q39" s="47">
        <f t="shared" si="13"/>
        <v>0.6</v>
      </c>
      <c r="R39" s="47">
        <f t="shared" si="14"/>
        <v>0</v>
      </c>
      <c r="S39" s="48">
        <f t="shared" si="15"/>
        <v>0</v>
      </c>
    </row>
    <row r="40" spans="1:19" ht="15" customHeight="1" x14ac:dyDescent="0.2">
      <c r="A40" s="74">
        <v>5</v>
      </c>
      <c r="B40" s="75" t="s">
        <v>64</v>
      </c>
      <c r="C40" s="47">
        <v>770</v>
      </c>
      <c r="D40" s="73">
        <v>0.35</v>
      </c>
      <c r="E40" s="67" t="s">
        <v>52</v>
      </c>
      <c r="F40" s="49">
        <f t="shared" si="3"/>
        <v>269.5</v>
      </c>
      <c r="G40" s="67">
        <v>8</v>
      </c>
      <c r="H40" s="47">
        <f t="shared" si="4"/>
        <v>0</v>
      </c>
      <c r="I40" s="47">
        <f t="shared" si="5"/>
        <v>0</v>
      </c>
      <c r="J40" s="47">
        <f t="shared" si="6"/>
        <v>0</v>
      </c>
      <c r="K40" s="47">
        <f t="shared" si="7"/>
        <v>67.400000000000006</v>
      </c>
      <c r="L40" s="47">
        <f t="shared" si="8"/>
        <v>80.900000000000006</v>
      </c>
      <c r="M40" s="47">
        <f t="shared" si="9"/>
        <v>67.400000000000006</v>
      </c>
      <c r="N40" s="47">
        <f t="shared" si="10"/>
        <v>27</v>
      </c>
      <c r="O40" s="47">
        <f t="shared" si="11"/>
        <v>0</v>
      </c>
      <c r="P40" s="47">
        <f t="shared" si="12"/>
        <v>0</v>
      </c>
      <c r="Q40" s="47">
        <f t="shared" si="13"/>
        <v>27</v>
      </c>
      <c r="R40" s="47">
        <f t="shared" si="14"/>
        <v>0</v>
      </c>
      <c r="S40" s="48">
        <f t="shared" si="15"/>
        <v>0</v>
      </c>
    </row>
    <row r="41" spans="1:19" ht="15" customHeight="1" x14ac:dyDescent="0.2">
      <c r="A41" s="74">
        <v>5</v>
      </c>
      <c r="B41" s="75" t="s">
        <v>51</v>
      </c>
      <c r="C41" s="47">
        <v>250</v>
      </c>
      <c r="D41" s="73">
        <v>0.27</v>
      </c>
      <c r="E41" s="67" t="s">
        <v>52</v>
      </c>
      <c r="F41" s="49">
        <f t="shared" si="3"/>
        <v>67.5</v>
      </c>
      <c r="G41" s="67">
        <v>7</v>
      </c>
      <c r="H41" s="47">
        <f t="shared" si="4"/>
        <v>0</v>
      </c>
      <c r="I41" s="47">
        <f t="shared" si="5"/>
        <v>0</v>
      </c>
      <c r="J41" s="47">
        <f t="shared" si="6"/>
        <v>0</v>
      </c>
      <c r="K41" s="47">
        <f t="shared" si="7"/>
        <v>16.899999999999999</v>
      </c>
      <c r="L41" s="47">
        <f t="shared" si="8"/>
        <v>23.6</v>
      </c>
      <c r="M41" s="47">
        <f t="shared" si="9"/>
        <v>20.3</v>
      </c>
      <c r="N41" s="47">
        <f t="shared" si="10"/>
        <v>3.4</v>
      </c>
      <c r="O41" s="47">
        <f t="shared" si="11"/>
        <v>0</v>
      </c>
      <c r="P41" s="47">
        <f t="shared" si="12"/>
        <v>0</v>
      </c>
      <c r="Q41" s="47">
        <f t="shared" si="13"/>
        <v>3.4</v>
      </c>
      <c r="R41" s="47">
        <f t="shared" si="14"/>
        <v>0</v>
      </c>
      <c r="S41" s="48">
        <f t="shared" si="15"/>
        <v>0</v>
      </c>
    </row>
    <row r="42" spans="1:19" ht="15" customHeight="1" x14ac:dyDescent="0.2">
      <c r="A42" s="74">
        <v>6</v>
      </c>
      <c r="B42" s="75" t="s">
        <v>60</v>
      </c>
      <c r="C42" s="47">
        <v>500</v>
      </c>
      <c r="D42" s="73">
        <v>0.08</v>
      </c>
      <c r="E42" s="76" t="s">
        <v>52</v>
      </c>
      <c r="F42" s="49">
        <f t="shared" si="3"/>
        <v>40</v>
      </c>
      <c r="G42" s="67">
        <v>2</v>
      </c>
      <c r="H42" s="47">
        <f t="shared" si="4"/>
        <v>0</v>
      </c>
      <c r="I42" s="47">
        <f t="shared" si="5"/>
        <v>0</v>
      </c>
      <c r="J42" s="47">
        <f t="shared" si="6"/>
        <v>4</v>
      </c>
      <c r="K42" s="47">
        <f t="shared" si="7"/>
        <v>8</v>
      </c>
      <c r="L42" s="47">
        <f t="shared" si="8"/>
        <v>12</v>
      </c>
      <c r="M42" s="47">
        <f t="shared" si="9"/>
        <v>10</v>
      </c>
      <c r="N42" s="47">
        <f t="shared" si="10"/>
        <v>2</v>
      </c>
      <c r="O42" s="47">
        <f t="shared" si="11"/>
        <v>2</v>
      </c>
      <c r="P42" s="47">
        <f t="shared" si="12"/>
        <v>0</v>
      </c>
      <c r="Q42" s="47">
        <f t="shared" si="13"/>
        <v>2</v>
      </c>
      <c r="R42" s="47">
        <f t="shared" si="14"/>
        <v>0</v>
      </c>
      <c r="S42" s="48">
        <f t="shared" si="15"/>
        <v>0</v>
      </c>
    </row>
    <row r="43" spans="1:19" ht="15" customHeight="1" x14ac:dyDescent="0.2">
      <c r="A43" s="74">
        <v>6</v>
      </c>
      <c r="B43" s="75" t="s">
        <v>59</v>
      </c>
      <c r="C43" s="47">
        <v>280</v>
      </c>
      <c r="D43" s="73">
        <v>0.14000000000000001</v>
      </c>
      <c r="E43" s="67" t="s">
        <v>52</v>
      </c>
      <c r="F43" s="49">
        <f t="shared" si="3"/>
        <v>39.200000000000003</v>
      </c>
      <c r="G43" s="67">
        <v>1</v>
      </c>
      <c r="H43" s="47">
        <f t="shared" si="4"/>
        <v>0</v>
      </c>
      <c r="I43" s="47">
        <f t="shared" si="5"/>
        <v>0</v>
      </c>
      <c r="J43" s="47">
        <f t="shared" si="6"/>
        <v>0</v>
      </c>
      <c r="K43" s="47">
        <f t="shared" si="7"/>
        <v>3.9</v>
      </c>
      <c r="L43" s="47">
        <f t="shared" si="8"/>
        <v>11.8</v>
      </c>
      <c r="M43" s="47">
        <f t="shared" si="9"/>
        <v>11.8</v>
      </c>
      <c r="N43" s="47">
        <f t="shared" si="10"/>
        <v>3.9</v>
      </c>
      <c r="O43" s="47">
        <f t="shared" si="11"/>
        <v>3.9</v>
      </c>
      <c r="P43" s="47">
        <f t="shared" si="12"/>
        <v>2</v>
      </c>
      <c r="Q43" s="47">
        <f t="shared" si="13"/>
        <v>2</v>
      </c>
      <c r="R43" s="47">
        <f t="shared" si="14"/>
        <v>0</v>
      </c>
      <c r="S43" s="48">
        <f t="shared" si="15"/>
        <v>0</v>
      </c>
    </row>
    <row r="44" spans="1:19" ht="15" customHeight="1" x14ac:dyDescent="0.2">
      <c r="A44" s="74">
        <v>6</v>
      </c>
      <c r="B44" s="75" t="s">
        <v>62</v>
      </c>
      <c r="C44" s="47">
        <v>20</v>
      </c>
      <c r="D44" s="73">
        <v>0.21</v>
      </c>
      <c r="E44" s="67" t="s">
        <v>66</v>
      </c>
      <c r="F44" s="49">
        <f t="shared" si="3"/>
        <v>4.2</v>
      </c>
      <c r="G44" s="67">
        <v>3</v>
      </c>
      <c r="H44" s="47">
        <f t="shared" si="4"/>
        <v>0</v>
      </c>
      <c r="I44" s="47">
        <f t="shared" si="5"/>
        <v>0</v>
      </c>
      <c r="J44" s="47">
        <f t="shared" si="6"/>
        <v>0</v>
      </c>
      <c r="K44" s="47">
        <f t="shared" si="7"/>
        <v>0.2</v>
      </c>
      <c r="L44" s="47">
        <f t="shared" si="8"/>
        <v>0.8</v>
      </c>
      <c r="M44" s="47">
        <f t="shared" si="9"/>
        <v>0.8</v>
      </c>
      <c r="N44" s="47">
        <f t="shared" si="10"/>
        <v>1.5</v>
      </c>
      <c r="O44" s="47">
        <f t="shared" si="11"/>
        <v>0.4</v>
      </c>
      <c r="P44" s="47">
        <f t="shared" si="12"/>
        <v>0.4</v>
      </c>
      <c r="Q44" s="47">
        <f t="shared" si="13"/>
        <v>0</v>
      </c>
      <c r="R44" s="47">
        <f t="shared" si="14"/>
        <v>0</v>
      </c>
      <c r="S44" s="48">
        <f t="shared" si="15"/>
        <v>0</v>
      </c>
    </row>
    <row r="45" spans="1:19" ht="15" customHeight="1" x14ac:dyDescent="0.2">
      <c r="A45" s="74">
        <v>7</v>
      </c>
      <c r="B45" s="75" t="s">
        <v>72</v>
      </c>
      <c r="C45" s="47">
        <v>160</v>
      </c>
      <c r="D45" s="73">
        <v>0.96</v>
      </c>
      <c r="E45" s="67" t="s">
        <v>65</v>
      </c>
      <c r="F45" s="49">
        <f t="shared" si="3"/>
        <v>153.6</v>
      </c>
      <c r="G45" s="67">
        <v>6</v>
      </c>
      <c r="H45" s="47">
        <f t="shared" si="4"/>
        <v>0</v>
      </c>
      <c r="I45" s="47">
        <f t="shared" si="5"/>
        <v>0</v>
      </c>
      <c r="J45" s="47">
        <f t="shared" si="6"/>
        <v>0</v>
      </c>
      <c r="K45" s="47">
        <f t="shared" si="7"/>
        <v>0</v>
      </c>
      <c r="L45" s="47">
        <f t="shared" si="8"/>
        <v>0</v>
      </c>
      <c r="M45" s="47">
        <f t="shared" si="9"/>
        <v>0</v>
      </c>
      <c r="N45" s="47">
        <f t="shared" si="10"/>
        <v>0</v>
      </c>
      <c r="O45" s="47">
        <f t="shared" si="11"/>
        <v>0</v>
      </c>
      <c r="P45" s="47">
        <f t="shared" si="12"/>
        <v>0</v>
      </c>
      <c r="Q45" s="47">
        <f t="shared" si="13"/>
        <v>76.8</v>
      </c>
      <c r="R45" s="47">
        <f t="shared" si="14"/>
        <v>76.8</v>
      </c>
      <c r="S45" s="48">
        <f t="shared" si="15"/>
        <v>0</v>
      </c>
    </row>
    <row r="46" spans="1:19" ht="15" customHeight="1" x14ac:dyDescent="0.2">
      <c r="A46" s="74"/>
      <c r="B46" s="75"/>
      <c r="C46" s="47"/>
      <c r="D46" s="73"/>
      <c r="E46" s="67"/>
      <c r="F46" s="49" t="str">
        <f t="shared" si="3"/>
        <v/>
      </c>
      <c r="G46" s="67"/>
      <c r="H46" s="47" t="str">
        <f t="shared" si="4"/>
        <v/>
      </c>
      <c r="I46" s="47" t="str">
        <f t="shared" si="5"/>
        <v/>
      </c>
      <c r="J46" s="47" t="str">
        <f t="shared" si="6"/>
        <v/>
      </c>
      <c r="K46" s="47" t="str">
        <f t="shared" si="7"/>
        <v/>
      </c>
      <c r="L46" s="47" t="str">
        <f t="shared" si="8"/>
        <v/>
      </c>
      <c r="M46" s="47" t="str">
        <f t="shared" si="9"/>
        <v/>
      </c>
      <c r="N46" s="47" t="str">
        <f t="shared" si="10"/>
        <v/>
      </c>
      <c r="O46" s="47" t="str">
        <f t="shared" si="11"/>
        <v/>
      </c>
      <c r="P46" s="47" t="str">
        <f t="shared" si="12"/>
        <v/>
      </c>
      <c r="Q46" s="47" t="str">
        <f t="shared" si="13"/>
        <v/>
      </c>
      <c r="R46" s="47" t="str">
        <f t="shared" si="14"/>
        <v/>
      </c>
      <c r="S46" s="48" t="str">
        <f t="shared" si="15"/>
        <v/>
      </c>
    </row>
    <row r="47" spans="1:19" ht="15" customHeight="1" x14ac:dyDescent="0.2">
      <c r="A47" s="74"/>
      <c r="B47" s="75"/>
      <c r="C47" s="47"/>
      <c r="D47" s="73"/>
      <c r="E47" s="67"/>
      <c r="F47" s="49" t="str">
        <f t="shared" si="3"/>
        <v/>
      </c>
      <c r="G47" s="67"/>
      <c r="H47" s="47" t="str">
        <f t="shared" si="4"/>
        <v/>
      </c>
      <c r="I47" s="47" t="str">
        <f t="shared" si="5"/>
        <v/>
      </c>
      <c r="J47" s="47" t="str">
        <f t="shared" si="6"/>
        <v/>
      </c>
      <c r="K47" s="47" t="str">
        <f t="shared" si="7"/>
        <v/>
      </c>
      <c r="L47" s="47" t="str">
        <f t="shared" si="8"/>
        <v/>
      </c>
      <c r="M47" s="47" t="str">
        <f t="shared" si="9"/>
        <v/>
      </c>
      <c r="N47" s="47" t="str">
        <f t="shared" si="10"/>
        <v/>
      </c>
      <c r="O47" s="47" t="str">
        <f t="shared" si="11"/>
        <v/>
      </c>
      <c r="P47" s="47" t="str">
        <f t="shared" si="12"/>
        <v/>
      </c>
      <c r="Q47" s="47" t="str">
        <f t="shared" si="13"/>
        <v/>
      </c>
      <c r="R47" s="47" t="str">
        <f t="shared" si="14"/>
        <v/>
      </c>
      <c r="S47" s="48" t="str">
        <f t="shared" si="15"/>
        <v/>
      </c>
    </row>
    <row r="48" spans="1:19" ht="15" customHeight="1" thickBot="1" x14ac:dyDescent="0.25">
      <c r="A48" s="181" t="s">
        <v>46</v>
      </c>
      <c r="B48" s="182"/>
      <c r="C48" s="182"/>
      <c r="D48" s="182"/>
      <c r="E48" s="183"/>
      <c r="F48" s="184">
        <f>SUM(F27:F47)</f>
        <v>1171.2</v>
      </c>
      <c r="G48" s="185"/>
      <c r="H48" s="51">
        <f t="shared" ref="H48:S48" si="16">SUM(H27:H47)</f>
        <v>0</v>
      </c>
      <c r="I48" s="51">
        <f t="shared" si="16"/>
        <v>0</v>
      </c>
      <c r="J48" s="51">
        <f t="shared" si="16"/>
        <v>11.5</v>
      </c>
      <c r="K48" s="51">
        <f t="shared" si="16"/>
        <v>155.19999999999999</v>
      </c>
      <c r="L48" s="51">
        <f t="shared" si="16"/>
        <v>291.2</v>
      </c>
      <c r="M48" s="51">
        <f t="shared" si="16"/>
        <v>268.8</v>
      </c>
      <c r="N48" s="51">
        <f t="shared" si="16"/>
        <v>140.5</v>
      </c>
      <c r="O48" s="51">
        <f t="shared" si="16"/>
        <v>61.2</v>
      </c>
      <c r="P48" s="51">
        <f t="shared" si="16"/>
        <v>36.6</v>
      </c>
      <c r="Q48" s="51">
        <f t="shared" si="16"/>
        <v>130.80000000000001</v>
      </c>
      <c r="R48" s="51">
        <f t="shared" si="16"/>
        <v>76.8</v>
      </c>
      <c r="S48" s="52">
        <f t="shared" si="16"/>
        <v>0</v>
      </c>
    </row>
    <row r="49" spans="1:20" ht="7.5" customHeight="1" thickBot="1" x14ac:dyDescent="0.25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7"/>
    </row>
    <row r="50" spans="1:20" ht="20.100000000000001" customHeight="1" thickBot="1" x14ac:dyDescent="0.25">
      <c r="A50" s="194"/>
      <c r="B50" s="195"/>
      <c r="C50" s="195"/>
      <c r="D50" s="195"/>
      <c r="E50" s="195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7"/>
    </row>
    <row r="51" spans="1:20" ht="20.100000000000001" customHeight="1" x14ac:dyDescent="0.2">
      <c r="A51" s="186" t="s">
        <v>27</v>
      </c>
      <c r="B51" s="187"/>
      <c r="C51" s="187"/>
      <c r="D51" s="187"/>
      <c r="E51" s="188"/>
      <c r="F51" s="120" t="s">
        <v>3</v>
      </c>
      <c r="G51" s="172"/>
      <c r="H51" s="119" t="s">
        <v>17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1"/>
    </row>
    <row r="52" spans="1:20" ht="20.100000000000001" customHeight="1" thickBot="1" x14ac:dyDescent="0.25">
      <c r="A52" s="189"/>
      <c r="B52" s="190"/>
      <c r="C52" s="190"/>
      <c r="D52" s="190"/>
      <c r="E52" s="191"/>
      <c r="F52" s="192" t="s">
        <v>16</v>
      </c>
      <c r="G52" s="193"/>
      <c r="H52" s="28" t="s">
        <v>4</v>
      </c>
      <c r="I52" s="29" t="s">
        <v>5</v>
      </c>
      <c r="J52" s="29" t="s">
        <v>6</v>
      </c>
      <c r="K52" s="29" t="s">
        <v>7</v>
      </c>
      <c r="L52" s="29" t="s">
        <v>8</v>
      </c>
      <c r="M52" s="29" t="s">
        <v>9</v>
      </c>
      <c r="N52" s="29" t="s">
        <v>10</v>
      </c>
      <c r="O52" s="29" t="s">
        <v>11</v>
      </c>
      <c r="P52" s="29" t="s">
        <v>12</v>
      </c>
      <c r="Q52" s="29" t="s">
        <v>13</v>
      </c>
      <c r="R52" s="29" t="s">
        <v>14</v>
      </c>
      <c r="S52" s="30" t="s">
        <v>15</v>
      </c>
    </row>
    <row r="53" spans="1:20" ht="20.100000000000001" customHeight="1" x14ac:dyDescent="0.25">
      <c r="A53" s="173" t="s">
        <v>28</v>
      </c>
      <c r="B53" s="174"/>
      <c r="C53" s="174"/>
      <c r="D53" s="174"/>
      <c r="E53" s="174"/>
      <c r="F53" s="202">
        <f>F48</f>
        <v>1171</v>
      </c>
      <c r="G53" s="202"/>
      <c r="H53" s="57">
        <f>H48</f>
        <v>0</v>
      </c>
      <c r="I53" s="57">
        <f t="shared" ref="I53:S53" si="17">I48</f>
        <v>0</v>
      </c>
      <c r="J53" s="57">
        <f t="shared" si="17"/>
        <v>11.5</v>
      </c>
      <c r="K53" s="57">
        <f t="shared" si="17"/>
        <v>155.19999999999999</v>
      </c>
      <c r="L53" s="57">
        <f t="shared" si="17"/>
        <v>291.2</v>
      </c>
      <c r="M53" s="57">
        <f t="shared" si="17"/>
        <v>268.8</v>
      </c>
      <c r="N53" s="57">
        <f t="shared" si="17"/>
        <v>140.5</v>
      </c>
      <c r="O53" s="57">
        <f t="shared" si="17"/>
        <v>61.2</v>
      </c>
      <c r="P53" s="57">
        <f t="shared" si="17"/>
        <v>36.6</v>
      </c>
      <c r="Q53" s="57">
        <f t="shared" si="17"/>
        <v>130.80000000000001</v>
      </c>
      <c r="R53" s="57">
        <f t="shared" si="17"/>
        <v>76.8</v>
      </c>
      <c r="S53" s="58">
        <f t="shared" si="17"/>
        <v>0</v>
      </c>
    </row>
    <row r="54" spans="1:20" ht="20.100000000000001" customHeight="1" x14ac:dyDescent="0.25">
      <c r="A54" s="198" t="s">
        <v>29</v>
      </c>
      <c r="B54" s="199"/>
      <c r="C54" s="199"/>
      <c r="D54" s="199"/>
      <c r="E54" s="199"/>
      <c r="F54" s="202">
        <f>R21</f>
        <v>1188</v>
      </c>
      <c r="G54" s="202"/>
      <c r="H54" s="57">
        <f>F21</f>
        <v>22.5</v>
      </c>
      <c r="I54" s="57">
        <f t="shared" ref="I54:S54" si="18">G21</f>
        <v>22.5</v>
      </c>
      <c r="J54" s="57">
        <f t="shared" si="18"/>
        <v>22.5</v>
      </c>
      <c r="K54" s="57">
        <f t="shared" si="18"/>
        <v>58.5</v>
      </c>
      <c r="L54" s="57">
        <f t="shared" si="18"/>
        <v>134.5</v>
      </c>
      <c r="M54" s="57">
        <f t="shared" si="18"/>
        <v>194.5</v>
      </c>
      <c r="N54" s="57">
        <f t="shared" si="18"/>
        <v>163.69999999999999</v>
      </c>
      <c r="O54" s="57">
        <f t="shared" si="18"/>
        <v>163.69999999999999</v>
      </c>
      <c r="P54" s="57">
        <f t="shared" si="18"/>
        <v>158.5</v>
      </c>
      <c r="Q54" s="57">
        <f t="shared" si="18"/>
        <v>142.5</v>
      </c>
      <c r="R54" s="57">
        <f t="shared" si="18"/>
        <v>82.5</v>
      </c>
      <c r="S54" s="58">
        <f t="shared" si="18"/>
        <v>22.5</v>
      </c>
    </row>
    <row r="55" spans="1:20" ht="20.100000000000001" customHeight="1" thickBot="1" x14ac:dyDescent="0.3">
      <c r="A55" s="200" t="s">
        <v>30</v>
      </c>
      <c r="B55" s="201"/>
      <c r="C55" s="201"/>
      <c r="D55" s="201"/>
      <c r="E55" s="201"/>
      <c r="F55" s="203">
        <f>F53-F54</f>
        <v>-17</v>
      </c>
      <c r="G55" s="203"/>
      <c r="H55" s="59">
        <f>H53-H54</f>
        <v>-23</v>
      </c>
      <c r="I55" s="59">
        <f t="shared" ref="I55:S55" si="19">I53-I54</f>
        <v>-23</v>
      </c>
      <c r="J55" s="59">
        <f t="shared" si="19"/>
        <v>-11</v>
      </c>
      <c r="K55" s="59">
        <f t="shared" si="19"/>
        <v>97</v>
      </c>
      <c r="L55" s="59">
        <f t="shared" si="19"/>
        <v>157</v>
      </c>
      <c r="M55" s="59">
        <f t="shared" si="19"/>
        <v>74</v>
      </c>
      <c r="N55" s="59">
        <f t="shared" si="19"/>
        <v>-23</v>
      </c>
      <c r="O55" s="59">
        <f t="shared" si="19"/>
        <v>-103</v>
      </c>
      <c r="P55" s="59">
        <f t="shared" si="19"/>
        <v>-122</v>
      </c>
      <c r="Q55" s="59">
        <f t="shared" si="19"/>
        <v>-12</v>
      </c>
      <c r="R55" s="59">
        <f t="shared" si="19"/>
        <v>-6</v>
      </c>
      <c r="S55" s="60">
        <f t="shared" si="19"/>
        <v>-23</v>
      </c>
    </row>
    <row r="57" spans="1:20" x14ac:dyDescent="0.2">
      <c r="D57" s="79" t="s">
        <v>48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</row>
    <row r="58" spans="1:20" x14ac:dyDescent="0.2"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</row>
    <row r="59" spans="1:20" ht="0.75" customHeight="1" thickBot="1" x14ac:dyDescent="0.25"/>
    <row r="60" spans="1:20" ht="33" customHeight="1" thickBot="1" x14ac:dyDescent="0.25">
      <c r="C60" s="112" t="s">
        <v>49</v>
      </c>
      <c r="D60" s="113"/>
      <c r="E60" s="114"/>
      <c r="F60" s="115" t="s">
        <v>47</v>
      </c>
      <c r="G60" s="116"/>
      <c r="H60" s="31" t="s">
        <v>4</v>
      </c>
      <c r="I60" s="32" t="s">
        <v>5</v>
      </c>
      <c r="J60" s="32" t="s">
        <v>6</v>
      </c>
      <c r="K60" s="32" t="s">
        <v>7</v>
      </c>
      <c r="L60" s="32" t="s">
        <v>8</v>
      </c>
      <c r="M60" s="32" t="s">
        <v>9</v>
      </c>
      <c r="N60" s="32" t="s">
        <v>10</v>
      </c>
      <c r="O60" s="32" t="s">
        <v>11</v>
      </c>
      <c r="P60" s="32" t="s">
        <v>12</v>
      </c>
      <c r="Q60" s="32" t="s">
        <v>13</v>
      </c>
      <c r="R60" s="32" t="s">
        <v>14</v>
      </c>
      <c r="S60" s="61" t="s">
        <v>15</v>
      </c>
      <c r="T60" s="64" t="s">
        <v>54</v>
      </c>
    </row>
    <row r="61" spans="1:20" ht="14.1" customHeight="1" x14ac:dyDescent="0.2">
      <c r="C61" s="211" t="s">
        <v>67</v>
      </c>
      <c r="D61" s="212"/>
      <c r="E61" s="213"/>
      <c r="F61" s="117">
        <v>1</v>
      </c>
      <c r="G61" s="118"/>
      <c r="H61" s="77"/>
      <c r="I61" s="77"/>
      <c r="J61" s="77"/>
      <c r="K61" s="77">
        <v>0.1</v>
      </c>
      <c r="L61" s="77">
        <v>0.3</v>
      </c>
      <c r="M61" s="77">
        <v>0.3</v>
      </c>
      <c r="N61" s="77">
        <v>0.1</v>
      </c>
      <c r="O61" s="77">
        <v>0.1</v>
      </c>
      <c r="P61" s="77">
        <v>0.05</v>
      </c>
      <c r="Q61" s="77">
        <v>0.05</v>
      </c>
      <c r="R61" s="77"/>
      <c r="S61" s="77"/>
      <c r="T61" s="65">
        <f>SUM(H61:S61)</f>
        <v>1</v>
      </c>
    </row>
    <row r="62" spans="1:20" ht="14.1" customHeight="1" x14ac:dyDescent="0.2">
      <c r="C62" s="210" t="s">
        <v>68</v>
      </c>
      <c r="D62" s="205"/>
      <c r="E62" s="206"/>
      <c r="F62" s="80">
        <v>2</v>
      </c>
      <c r="G62" s="81"/>
      <c r="H62" s="77"/>
      <c r="I62" s="77"/>
      <c r="J62" s="77">
        <v>0.1</v>
      </c>
      <c r="K62" s="77">
        <v>0.2</v>
      </c>
      <c r="L62" s="77">
        <v>0.3</v>
      </c>
      <c r="M62" s="77">
        <v>0.25</v>
      </c>
      <c r="N62" s="77">
        <v>0.05</v>
      </c>
      <c r="O62" s="77">
        <v>0.05</v>
      </c>
      <c r="P62" s="77"/>
      <c r="Q62" s="77">
        <v>0.05</v>
      </c>
      <c r="R62" s="77"/>
      <c r="S62" s="77"/>
      <c r="T62" s="65">
        <f t="shared" ref="T62:T70" si="20">SUM(H62:S62)</f>
        <v>1</v>
      </c>
    </row>
    <row r="63" spans="1:20" ht="14.1" customHeight="1" x14ac:dyDescent="0.2">
      <c r="C63" s="210" t="s">
        <v>69</v>
      </c>
      <c r="D63" s="205"/>
      <c r="E63" s="206"/>
      <c r="F63" s="80">
        <v>3</v>
      </c>
      <c r="G63" s="81"/>
      <c r="H63" s="77"/>
      <c r="I63" s="77"/>
      <c r="J63" s="77"/>
      <c r="K63" s="77">
        <v>0.05</v>
      </c>
      <c r="L63" s="77">
        <v>0.2</v>
      </c>
      <c r="M63" s="77">
        <v>0.2</v>
      </c>
      <c r="N63" s="77">
        <v>0.35</v>
      </c>
      <c r="O63" s="77">
        <v>0.1</v>
      </c>
      <c r="P63" s="77">
        <v>0.1</v>
      </c>
      <c r="Q63" s="77"/>
      <c r="R63" s="77"/>
      <c r="S63" s="77"/>
      <c r="T63" s="65">
        <f t="shared" si="20"/>
        <v>1</v>
      </c>
    </row>
    <row r="64" spans="1:20" ht="14.1" customHeight="1" x14ac:dyDescent="0.2">
      <c r="C64" s="210" t="s">
        <v>53</v>
      </c>
      <c r="D64" s="205"/>
      <c r="E64" s="206"/>
      <c r="F64" s="80">
        <v>4</v>
      </c>
      <c r="G64" s="81"/>
      <c r="H64" s="77"/>
      <c r="I64" s="77"/>
      <c r="J64" s="77"/>
      <c r="K64" s="77">
        <v>0.05</v>
      </c>
      <c r="L64" s="77">
        <v>0.25</v>
      </c>
      <c r="M64" s="77">
        <v>0.3</v>
      </c>
      <c r="N64" s="77">
        <v>0.25</v>
      </c>
      <c r="O64" s="77">
        <v>0.1</v>
      </c>
      <c r="P64" s="77">
        <v>0.05</v>
      </c>
      <c r="Q64" s="77"/>
      <c r="R64" s="77"/>
      <c r="S64" s="77"/>
      <c r="T64" s="65">
        <f t="shared" si="20"/>
        <v>1</v>
      </c>
    </row>
    <row r="65" spans="3:20" ht="14.1" customHeight="1" x14ac:dyDescent="0.2">
      <c r="C65" s="210" t="s">
        <v>70</v>
      </c>
      <c r="D65" s="205"/>
      <c r="E65" s="206"/>
      <c r="F65" s="80">
        <v>5</v>
      </c>
      <c r="G65" s="81"/>
      <c r="H65" s="77"/>
      <c r="I65" s="77"/>
      <c r="J65" s="77"/>
      <c r="K65" s="77">
        <v>0.25</v>
      </c>
      <c r="L65" s="77">
        <v>0.4</v>
      </c>
      <c r="M65" s="77">
        <v>0.2</v>
      </c>
      <c r="N65" s="77">
        <v>0.05</v>
      </c>
      <c r="O65" s="77"/>
      <c r="P65" s="77">
        <v>0.05</v>
      </c>
      <c r="Q65" s="77">
        <v>0.05</v>
      </c>
      <c r="R65" s="77"/>
      <c r="S65" s="77"/>
      <c r="T65" s="65">
        <f t="shared" si="20"/>
        <v>1</v>
      </c>
    </row>
    <row r="66" spans="3:20" ht="14.1" customHeight="1" x14ac:dyDescent="0.2">
      <c r="C66" s="210" t="s">
        <v>71</v>
      </c>
      <c r="D66" s="205"/>
      <c r="E66" s="206"/>
      <c r="F66" s="80">
        <v>6</v>
      </c>
      <c r="G66" s="81"/>
      <c r="H66" s="77"/>
      <c r="I66" s="77"/>
      <c r="J66" s="77"/>
      <c r="K66" s="77"/>
      <c r="L66" s="77"/>
      <c r="M66" s="77"/>
      <c r="N66" s="77"/>
      <c r="O66" s="77"/>
      <c r="P66" s="77"/>
      <c r="Q66" s="77">
        <v>0.5</v>
      </c>
      <c r="R66" s="77">
        <v>0.5</v>
      </c>
      <c r="S66" s="77"/>
      <c r="T66" s="65">
        <f t="shared" si="20"/>
        <v>1</v>
      </c>
    </row>
    <row r="67" spans="3:20" ht="14.1" customHeight="1" x14ac:dyDescent="0.2">
      <c r="C67" s="210" t="s">
        <v>73</v>
      </c>
      <c r="D67" s="205"/>
      <c r="E67" s="206"/>
      <c r="F67" s="80">
        <v>7</v>
      </c>
      <c r="G67" s="81"/>
      <c r="H67" s="77"/>
      <c r="I67" s="77"/>
      <c r="J67" s="77"/>
      <c r="K67" s="77">
        <v>0.25</v>
      </c>
      <c r="L67" s="77">
        <v>0.35</v>
      </c>
      <c r="M67" s="77">
        <v>0.3</v>
      </c>
      <c r="N67" s="77">
        <v>0.05</v>
      </c>
      <c r="O67" s="77"/>
      <c r="P67" s="77"/>
      <c r="Q67" s="77">
        <v>0.05</v>
      </c>
      <c r="R67" s="77"/>
      <c r="S67" s="77"/>
      <c r="T67" s="65">
        <f t="shared" si="20"/>
        <v>1</v>
      </c>
    </row>
    <row r="68" spans="3:20" ht="14.1" customHeight="1" x14ac:dyDescent="0.2">
      <c r="C68" s="210" t="s">
        <v>74</v>
      </c>
      <c r="D68" s="205"/>
      <c r="E68" s="206"/>
      <c r="F68" s="80">
        <v>8</v>
      </c>
      <c r="G68" s="81"/>
      <c r="H68" s="77"/>
      <c r="I68" s="77"/>
      <c r="J68" s="77"/>
      <c r="K68" s="77">
        <v>0.25</v>
      </c>
      <c r="L68" s="77">
        <v>0.3</v>
      </c>
      <c r="M68" s="77">
        <v>0.25</v>
      </c>
      <c r="N68" s="77">
        <v>0.1</v>
      </c>
      <c r="O68" s="77"/>
      <c r="P68" s="77"/>
      <c r="Q68" s="77">
        <v>0.1</v>
      </c>
      <c r="R68" s="77"/>
      <c r="S68" s="77"/>
      <c r="T68" s="65">
        <f t="shared" si="20"/>
        <v>1</v>
      </c>
    </row>
    <row r="69" spans="3:20" ht="14.1" customHeight="1" x14ac:dyDescent="0.2">
      <c r="C69" s="204"/>
      <c r="D69" s="205"/>
      <c r="E69" s="206"/>
      <c r="F69" s="80">
        <v>9</v>
      </c>
      <c r="G69" s="81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65">
        <f t="shared" si="20"/>
        <v>0</v>
      </c>
    </row>
    <row r="70" spans="3:20" ht="14.1" customHeight="1" thickBot="1" x14ac:dyDescent="0.25">
      <c r="C70" s="207"/>
      <c r="D70" s="208"/>
      <c r="E70" s="209"/>
      <c r="F70" s="82">
        <v>10</v>
      </c>
      <c r="G70" s="83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65">
        <f t="shared" si="20"/>
        <v>0</v>
      </c>
    </row>
    <row r="71" spans="3:20" ht="25.5" customHeight="1" x14ac:dyDescent="0.2"/>
  </sheetData>
  <sheetProtection password="ED7E" sheet="1" objects="1" scenarios="1" selectLockedCells="1" selectUnlockedCells="1"/>
  <mergeCells count="81">
    <mergeCell ref="A1:B3"/>
    <mergeCell ref="Q1:S1"/>
    <mergeCell ref="L2:S2"/>
    <mergeCell ref="R3:S3"/>
    <mergeCell ref="A4:D4"/>
    <mergeCell ref="R4:S4"/>
    <mergeCell ref="B6:H6"/>
    <mergeCell ref="K6:S6"/>
    <mergeCell ref="B8:H8"/>
    <mergeCell ref="K8:S8"/>
    <mergeCell ref="A10:S10"/>
    <mergeCell ref="R11:S13"/>
    <mergeCell ref="F12:Q12"/>
    <mergeCell ref="A14:B14"/>
    <mergeCell ref="R14:S14"/>
    <mergeCell ref="A15:B15"/>
    <mergeCell ref="R15:S15"/>
    <mergeCell ref="A11:B13"/>
    <mergeCell ref="C11:C13"/>
    <mergeCell ref="D11:D13"/>
    <mergeCell ref="E11:E13"/>
    <mergeCell ref="F11:Q11"/>
    <mergeCell ref="A16:B16"/>
    <mergeCell ref="R16:S16"/>
    <mergeCell ref="A17:B17"/>
    <mergeCell ref="R17:S17"/>
    <mergeCell ref="A18:B18"/>
    <mergeCell ref="R18:S18"/>
    <mergeCell ref="A19:B19"/>
    <mergeCell ref="R19:S19"/>
    <mergeCell ref="A20:B20"/>
    <mergeCell ref="R20:S20"/>
    <mergeCell ref="A21:D21"/>
    <mergeCell ref="R21:S21"/>
    <mergeCell ref="A22:B22"/>
    <mergeCell ref="A23:S23"/>
    <mergeCell ref="A24:A26"/>
    <mergeCell ref="B24:B26"/>
    <mergeCell ref="C24:C26"/>
    <mergeCell ref="D24:D26"/>
    <mergeCell ref="E24:E26"/>
    <mergeCell ref="F24:F26"/>
    <mergeCell ref="G24:G26"/>
    <mergeCell ref="H24:S24"/>
    <mergeCell ref="H25:S25"/>
    <mergeCell ref="A48:E48"/>
    <mergeCell ref="F48:G48"/>
    <mergeCell ref="A50:S50"/>
    <mergeCell ref="A51:E52"/>
    <mergeCell ref="F51:G51"/>
    <mergeCell ref="H51:S51"/>
    <mergeCell ref="F52:G52"/>
    <mergeCell ref="C62:E62"/>
    <mergeCell ref="F62:G62"/>
    <mergeCell ref="A53:E53"/>
    <mergeCell ref="F53:G53"/>
    <mergeCell ref="A54:E54"/>
    <mergeCell ref="F54:G54"/>
    <mergeCell ref="A55:E55"/>
    <mergeCell ref="F55:G55"/>
    <mergeCell ref="D57:R58"/>
    <mergeCell ref="C60:E60"/>
    <mergeCell ref="F60:G60"/>
    <mergeCell ref="C61:E61"/>
    <mergeCell ref="F61:G61"/>
    <mergeCell ref="C63:E63"/>
    <mergeCell ref="F63:G63"/>
    <mergeCell ref="C64:E64"/>
    <mergeCell ref="F64:G64"/>
    <mergeCell ref="C65:E65"/>
    <mergeCell ref="F65:G65"/>
    <mergeCell ref="C69:E69"/>
    <mergeCell ref="F69:G69"/>
    <mergeCell ref="C70:E70"/>
    <mergeCell ref="F70:G70"/>
    <mergeCell ref="C66:E66"/>
    <mergeCell ref="F66:G66"/>
    <mergeCell ref="C67:E67"/>
    <mergeCell ref="F67:G67"/>
    <mergeCell ref="C68:E68"/>
    <mergeCell ref="F68:G68"/>
  </mergeCells>
  <printOptions horizontalCentered="1"/>
  <pageMargins left="0.5" right="0.5" top="0.5" bottom="0.5" header="0.5" footer="0.25"/>
  <pageSetup scale="78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ID-CPA-009</vt:lpstr>
      <vt:lpstr>Example</vt:lpstr>
      <vt:lpstr>Example!Print_Area</vt:lpstr>
      <vt:lpstr>'ID-CPA-009'!Print_Area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ID-CPA-009</dc:title>
  <dc:subject>Livestock Feed and Forage Balance</dc:subject>
  <dc:creator>Brendan Brazee</dc:creator>
  <cp:lastModifiedBy>Kathy.Dingman</cp:lastModifiedBy>
  <cp:lastPrinted>2014-01-28T22:29:51Z</cp:lastPrinted>
  <dcterms:created xsi:type="dcterms:W3CDTF">2006-04-27T13:50:56Z</dcterms:created>
  <dcterms:modified xsi:type="dcterms:W3CDTF">2014-02-07T18:58:06Z</dcterms:modified>
</cp:coreProperties>
</file>