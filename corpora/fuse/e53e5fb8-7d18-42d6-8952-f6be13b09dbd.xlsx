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0800"/>
  </bookViews>
  <sheets>
    <sheet name="Table 1.2" sheetId="1" r:id="rId1"/>
  </sheets>
  <externalReferences>
    <externalReference r:id="rId2"/>
  </externalReferences>
  <definedNames>
    <definedName name="_xlnm.Print_Area" localSheetId="0">'Table 1.2'!$A$3:$L$57</definedName>
  </definedNames>
  <calcPr calcId="145621"/>
</workbook>
</file>

<file path=xl/calcChain.xml><?xml version="1.0" encoding="utf-8"?>
<calcChain xmlns="http://schemas.openxmlformats.org/spreadsheetml/2006/main">
  <c r="I57" i="1" l="1"/>
  <c r="F50" i="1"/>
  <c r="F52" i="1" s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E52" i="1" s="1"/>
  <c r="D39" i="1"/>
  <c r="D52" i="1" s="1"/>
  <c r="C39" i="1"/>
  <c r="C52" i="1" s="1"/>
  <c r="B39" i="1"/>
  <c r="B52" i="1" s="1"/>
  <c r="F35" i="1"/>
  <c r="E35" i="1"/>
  <c r="D35" i="1"/>
  <c r="C35" i="1"/>
  <c r="B35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<sst xmlns="http://schemas.openxmlformats.org/spreadsheetml/2006/main" count="40" uniqueCount="27">
  <si>
    <t>Monthly Statistical Bulletin</t>
  </si>
  <si>
    <t>1.2 Unemployment</t>
  </si>
  <si>
    <t>Month</t>
  </si>
  <si>
    <t>2008–09</t>
  </si>
  <si>
    <t>2009–10</t>
  </si>
  <si>
    <t>2010–11</t>
  </si>
  <si>
    <t>2011–12</t>
  </si>
  <si>
    <t>2012–13</t>
  </si>
  <si>
    <t>Number unemployed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</si>
  <si>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</si>
  <si>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</si>
  <si>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</si>
  <si>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</si>
  <si>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</si>
  <si>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</si>
  <si>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</si>
  <si>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</si>
  <si>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</si>
  <si>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</si>
  <si>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</si>
  <si>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</si>
  <si>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</si>
  <si>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(a) (b) – per cent</t>
  </si>
  <si>
    <t>(a) Monthly figures are seasonally adjusted.</t>
  </si>
  <si>
    <t>(b) Number unemployed as a proportion of the labour force.</t>
  </si>
  <si>
    <t>Update</t>
  </si>
  <si>
    <t>Source: ABS, Labour force, Cat. no. 6202.0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</si>
</sst>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"/>
    <numFmt numFmtId="165" formatCode="[$-C09]d\ mmmm\ yyyy;@"/>
    <numFmt numFmtId="166" formatCode="_(&quot;$&quot;* #,##0.00_);_(&quot;$&quot;* \(#,##0.00\);_(&quot;$&quot;* &quot;-&quot;??_);_(@_)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0070C0"/>
      <name val="Arial"/>
      <family val="2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u/>
      <sz val="8"/>
      <color indexed="12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Alignment="1"/>
    <xf numFmtId="0" fontId="9" fillId="0" borderId="0" xfId="0" applyFont="1"/>
    <xf numFmtId="16" fontId="9" fillId="0" borderId="0" xfId="0" applyNumberFormat="1" applyFont="1"/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Border="1"/>
    <xf numFmtId="164" fontId="9" fillId="0" borderId="0" xfId="0" applyNumberFormat="1" applyFont="1" applyBorder="1"/>
    <xf numFmtId="0" fontId="13" fillId="0" borderId="0" xfId="0" applyFont="1"/>
    <xf numFmtId="0" fontId="14" fillId="0" borderId="0" xfId="1" applyFont="1" applyAlignment="1" applyProtection="1"/>
    <xf numFmtId="0" fontId="15" fillId="0" borderId="0" xfId="0" applyFont="1" applyAlignment="1">
      <alignment horizontal="centerContinuous"/>
    </xf>
    <xf numFmtId="165" fontId="12" fillId="0" borderId="0" xfId="0" applyNumberFormat="1" applyFont="1" applyAlignment="1">
      <alignment horizontal="left"/>
    </xf>
    <xf numFmtId="0" fontId="11" fillId="0" borderId="0" xfId="1" quotePrefix="1" applyFont="1" applyAlignment="1" applyProtection="1"/>
    <xf numFmtId="0" fontId="16" fillId="0" borderId="0" xfId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Unemployment rate – per cent</a:t>
            </a:r>
          </a:p>
        </c:rich>
      </c:tx>
      <c:layout>
        <c:manualLayout>
          <c:xMode val="edge"/>
          <c:yMode val="edge"/>
          <c:x val="1.2531212754733198E-2"/>
          <c:y val="2.82685512367469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1.2'!$A$426:$A$486</c:f>
              <c:strCache>
                <c:ptCount val="61"/>
                <c:pt idx="0">
                  <c:v>Jun 08</c:v>
                </c:pt>
                <c:pt idx="1">
                  <c:v>Jul 08</c:v>
                </c:pt>
                <c:pt idx="2">
                  <c:v>Aug 08</c:v>
                </c:pt>
                <c:pt idx="3">
                  <c:v>Sep 08</c:v>
                </c:pt>
                <c:pt idx="4">
                  <c:v>Oct 08</c:v>
                </c:pt>
                <c:pt idx="5">
                  <c:v>Nov 08</c:v>
                </c:pt>
                <c:pt idx="6">
                  <c:v>Dec 08</c:v>
                </c:pt>
                <c:pt idx="7">
                  <c:v>Jan 09</c:v>
                </c:pt>
                <c:pt idx="8">
                  <c:v>Feb 09</c:v>
                </c:pt>
                <c:pt idx="9">
                  <c:v>Mar 09</c:v>
                </c:pt>
                <c:pt idx="10">
                  <c:v>Apr 09</c:v>
                </c:pt>
                <c:pt idx="11">
                  <c:v>May 09</c:v>
                </c:pt>
                <c:pt idx="12">
                  <c:v>Jun 09</c:v>
                </c:pt>
                <c:pt idx="13">
                  <c:v>Jul 09</c:v>
                </c:pt>
                <c:pt idx="14">
                  <c:v>Aug 09</c:v>
                </c:pt>
                <c:pt idx="15">
                  <c:v>Sep 09</c:v>
                </c:pt>
                <c:pt idx="16">
                  <c:v>Oct 09</c:v>
                </c:pt>
                <c:pt idx="17">
                  <c:v>Nov 09</c:v>
                </c:pt>
                <c:pt idx="18">
                  <c:v>Dec 09</c:v>
                </c:pt>
                <c:pt idx="19">
                  <c:v>Jan 10</c:v>
                </c:pt>
                <c:pt idx="20">
                  <c:v>Feb 10</c:v>
                </c:pt>
                <c:pt idx="21">
                  <c:v>Mar 10</c:v>
                </c:pt>
                <c:pt idx="22">
                  <c:v>Apr 10</c:v>
                </c:pt>
                <c:pt idx="23">
                  <c:v>May 10</c:v>
                </c:pt>
                <c:pt idx="24">
                  <c:v>Jun 10</c:v>
                </c:pt>
                <c:pt idx="25">
                  <c:v>Jul 10</c:v>
                </c:pt>
                <c:pt idx="26">
                  <c:v>Aug 10</c:v>
                </c:pt>
                <c:pt idx="27">
                  <c:v>Sep 10</c:v>
                </c:pt>
                <c:pt idx="28">
                  <c:v>Oct 10</c:v>
                </c:pt>
                <c:pt idx="29">
                  <c:v>Nov 10</c:v>
                </c:pt>
                <c:pt idx="30">
                  <c:v>Dec 10</c:v>
                </c:pt>
                <c:pt idx="31">
                  <c:v>Jan 11</c:v>
                </c:pt>
                <c:pt idx="32">
                  <c:v>Feb 11</c:v>
                </c:pt>
                <c:pt idx="33">
                  <c:v>Mar 11</c:v>
                </c:pt>
                <c:pt idx="34">
                  <c:v>Apr 11</c:v>
                </c:pt>
                <c:pt idx="35">
                  <c:v>May 11</c:v>
                </c:pt>
                <c:pt idx="36">
                  <c:v>Jun 11</c:v>
                </c:pt>
                <c:pt idx="37">
                  <c:v>Jul 11</c:v>
                </c:pt>
                <c:pt idx="38">
                  <c:v>Aug 11</c:v>
                </c:pt>
                <c:pt idx="39">
                  <c:v>Sep 11</c:v>
                </c:pt>
                <c:pt idx="40">
                  <c:v>Oct 11</c:v>
                </c:pt>
                <c:pt idx="41">
                  <c:v>Nov 11</c:v>
                </c:pt>
                <c:pt idx="42">
                  <c:v>Dec 11</c:v>
                </c:pt>
                <c:pt idx="43">
                  <c:v>Jan 12</c:v>
                </c:pt>
                <c:pt idx="44">
                  <c:v>Feb 12</c:v>
                </c:pt>
                <c:pt idx="45">
                  <c:v>Mar 12</c:v>
                </c:pt>
                <c:pt idx="46">
                  <c:v>Apr 12</c:v>
                </c:pt>
                <c:pt idx="47">
                  <c:v>May 12</c:v>
                </c:pt>
                <c:pt idx="48">
                  <c:v>Jun 12</c:v>
                </c:pt>
                <c:pt idx="49">
                  <c:v>Jul 12</c:v>
                </c:pt>
                <c:pt idx="50">
                  <c:v>Aug 12</c:v>
                </c:pt>
                <c:pt idx="51">
                  <c:v>Sep 12</c:v>
                </c:pt>
                <c:pt idx="52">
                  <c:v>Oct 12</c:v>
                </c:pt>
                <c:pt idx="53">
                  <c:v>Nov 12</c:v>
                </c:pt>
                <c:pt idx="54">
                  <c:v>Dec 12</c:v>
                </c:pt>
                <c:pt idx="55">
                  <c:v>Jan 13</c:v>
                </c:pt>
                <c:pt idx="56">
                  <c:v>Feb 13</c:v>
                </c:pt>
                <c:pt idx="57">
                  <c:v>Mar 13</c:v>
                </c:pt>
                <c:pt idx="58">
                  <c:v>Apr 13</c:v>
                </c:pt>
                <c:pt idx="59">
                  <c:v>May 13</c:v>
                </c:pt>
                <c:pt idx="60">
                  <c:v>Jun 13</c:v>
                </c:pt>
              </c:strCache>
            </c:strRef>
          </c:cat>
          <c:val>
            <c:numRef>
              <c:f>'[1]Data 1.2'!$J$426:$J$486</c:f>
              <c:numCache>
                <c:formatCode>0.0</c:formatCode>
                <c:ptCount val="61"/>
                <c:pt idx="0">
                  <c:v>4.2594691999999998</c:v>
                </c:pt>
                <c:pt idx="1">
                  <c:v>4.2772600000000001</c:v>
                </c:pt>
                <c:pt idx="2">
                  <c:v>4.0741158000000004</c:v>
                </c:pt>
                <c:pt idx="3">
                  <c:v>4.3319707000000003</c:v>
                </c:pt>
                <c:pt idx="4">
                  <c:v>4.3216628000000004</c:v>
                </c:pt>
                <c:pt idx="5">
                  <c:v>4.4823624999999998</c:v>
                </c:pt>
                <c:pt idx="6">
                  <c:v>4.5993352999999999</c:v>
                </c:pt>
                <c:pt idx="7">
                  <c:v>4.9471932000000001</c:v>
                </c:pt>
                <c:pt idx="8">
                  <c:v>5.3420449999999997</c:v>
                </c:pt>
                <c:pt idx="9">
                  <c:v>5.7461013000000003</c:v>
                </c:pt>
                <c:pt idx="10">
                  <c:v>5.5045308999999998</c:v>
                </c:pt>
                <c:pt idx="11">
                  <c:v>5.7918965</c:v>
                </c:pt>
                <c:pt idx="12">
                  <c:v>5.8881503000000004</c:v>
                </c:pt>
                <c:pt idx="13">
                  <c:v>5.7565812000000003</c:v>
                </c:pt>
                <c:pt idx="14">
                  <c:v>5.7637138999999999</c:v>
                </c:pt>
                <c:pt idx="15">
                  <c:v>5.7204702000000003</c:v>
                </c:pt>
                <c:pt idx="16">
                  <c:v>5.6434249000000003</c:v>
                </c:pt>
                <c:pt idx="17">
                  <c:v>5.5733728999999999</c:v>
                </c:pt>
                <c:pt idx="18">
                  <c:v>5.5167754999999996</c:v>
                </c:pt>
                <c:pt idx="19">
                  <c:v>5.2939657000000002</c:v>
                </c:pt>
                <c:pt idx="20">
                  <c:v>5.3047852000000004</c:v>
                </c:pt>
                <c:pt idx="21">
                  <c:v>5.3827236999999997</c:v>
                </c:pt>
                <c:pt idx="22">
                  <c:v>5.4537611999999998</c:v>
                </c:pt>
                <c:pt idx="23">
                  <c:v>5.1907736</c:v>
                </c:pt>
                <c:pt idx="24">
                  <c:v>5.1983638000000001</c:v>
                </c:pt>
                <c:pt idx="25">
                  <c:v>5.3376260000000002</c:v>
                </c:pt>
                <c:pt idx="26">
                  <c:v>5.0657914999999996</c:v>
                </c:pt>
                <c:pt idx="27">
                  <c:v>5.0890643000000004</c:v>
                </c:pt>
                <c:pt idx="28">
                  <c:v>5.2777184000000004</c:v>
                </c:pt>
                <c:pt idx="29">
                  <c:v>5.1406476999999997</c:v>
                </c:pt>
                <c:pt idx="30">
                  <c:v>4.9056176999999996</c:v>
                </c:pt>
                <c:pt idx="31">
                  <c:v>5.0579291</c:v>
                </c:pt>
                <c:pt idx="32">
                  <c:v>4.9939491</c:v>
                </c:pt>
                <c:pt idx="33">
                  <c:v>4.9286652000000002</c:v>
                </c:pt>
                <c:pt idx="34">
                  <c:v>4.9209762000000001</c:v>
                </c:pt>
                <c:pt idx="35">
                  <c:v>4.9788398999999997</c:v>
                </c:pt>
                <c:pt idx="36">
                  <c:v>4.9970679000000002</c:v>
                </c:pt>
                <c:pt idx="37">
                  <c:v>5.1396965000000003</c:v>
                </c:pt>
                <c:pt idx="38">
                  <c:v>5.2638360000000004</c:v>
                </c:pt>
                <c:pt idx="39">
                  <c:v>5.2229887000000002</c:v>
                </c:pt>
                <c:pt idx="40">
                  <c:v>5.1570261999999998</c:v>
                </c:pt>
                <c:pt idx="41">
                  <c:v>5.2440217000000002</c:v>
                </c:pt>
                <c:pt idx="42">
                  <c:v>5.1967362000000001</c:v>
                </c:pt>
                <c:pt idx="43">
                  <c:v>5.0968393000000001</c:v>
                </c:pt>
                <c:pt idx="44">
                  <c:v>5.2132630000000004</c:v>
                </c:pt>
                <c:pt idx="45">
                  <c:v>5.1646789000000002</c:v>
                </c:pt>
                <c:pt idx="46">
                  <c:v>4.9684352000000001</c:v>
                </c:pt>
                <c:pt idx="47">
                  <c:v>5.1575781999999997</c:v>
                </c:pt>
                <c:pt idx="48">
                  <c:v>5.2754772000000001</c:v>
                </c:pt>
                <c:pt idx="49">
                  <c:v>5.2423098000000001</c:v>
                </c:pt>
                <c:pt idx="50">
                  <c:v>5.1481097</c:v>
                </c:pt>
                <c:pt idx="51">
                  <c:v>5.4778427000000001</c:v>
                </c:pt>
                <c:pt idx="52">
                  <c:v>5.3936834999999999</c:v>
                </c:pt>
                <c:pt idx="53">
                  <c:v>5.2710340000000002</c:v>
                </c:pt>
                <c:pt idx="54">
                  <c:v>5.4247372</c:v>
                </c:pt>
                <c:pt idx="55">
                  <c:v>5.4345660999999996</c:v>
                </c:pt>
                <c:pt idx="56">
                  <c:v>5.3819851999999999</c:v>
                </c:pt>
                <c:pt idx="57">
                  <c:v>5.5927106000000002</c:v>
                </c:pt>
                <c:pt idx="58">
                  <c:v>5.5496729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38400"/>
        <c:axId val="126148992"/>
      </c:lineChart>
      <c:catAx>
        <c:axId val="11723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14899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26148992"/>
        <c:scaling>
          <c:orientation val="minMax"/>
          <c:max val="6"/>
          <c:min val="3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238400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</xdr:row>
          <xdr:rowOff>47625</xdr:rowOff>
        </xdr:from>
        <xdr:to>
          <xdr:col>10</xdr:col>
          <xdr:colOff>533400</xdr:colOff>
          <xdr:row>41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</sheetNames>
    <sheetDataSet>
      <sheetData sheetId="0">
        <row r="56">
          <cell r="I56">
            <v>41438</v>
          </cell>
        </row>
      </sheetData>
      <sheetData sheetId="1"/>
      <sheetData sheetId="2"/>
      <sheetData sheetId="3">
        <row r="426">
          <cell r="A426" t="str">
            <v>Jun 08</v>
          </cell>
          <cell r="J426">
            <v>4.2594691999999998</v>
          </cell>
        </row>
        <row r="427">
          <cell r="A427">
            <v>39630</v>
          </cell>
          <cell r="C427">
            <v>445.5820865</v>
          </cell>
          <cell r="D427">
            <v>487.10629929999999</v>
          </cell>
          <cell r="J427">
            <v>4.2772600000000001</v>
          </cell>
        </row>
        <row r="428">
          <cell r="A428">
            <v>39661</v>
          </cell>
          <cell r="C428">
            <v>439.05754539999998</v>
          </cell>
          <cell r="D428">
            <v>463.93295499999999</v>
          </cell>
          <cell r="J428">
            <v>4.0741158000000004</v>
          </cell>
        </row>
        <row r="429">
          <cell r="A429">
            <v>39692</v>
          </cell>
          <cell r="C429">
            <v>494.37511069999999</v>
          </cell>
          <cell r="D429">
            <v>494.40995820000001</v>
          </cell>
          <cell r="J429">
            <v>4.3319707000000003</v>
          </cell>
        </row>
        <row r="430">
          <cell r="A430">
            <v>39722</v>
          </cell>
          <cell r="C430">
            <v>468.34268270000001</v>
          </cell>
          <cell r="D430">
            <v>494.21004649999998</v>
          </cell>
          <cell r="J430">
            <v>4.3216628000000004</v>
          </cell>
        </row>
        <row r="431">
          <cell r="A431">
            <v>39753</v>
          </cell>
          <cell r="C431">
            <v>473.10038020000002</v>
          </cell>
          <cell r="D431">
            <v>512.7525425</v>
          </cell>
          <cell r="J431">
            <v>4.4823624999999998</v>
          </cell>
        </row>
        <row r="432">
          <cell r="A432">
            <v>39783</v>
          </cell>
          <cell r="C432">
            <v>516.03024979999998</v>
          </cell>
          <cell r="D432">
            <v>526.91057569999998</v>
          </cell>
          <cell r="J432">
            <v>4.5993352999999999</v>
          </cell>
        </row>
        <row r="433">
          <cell r="A433">
            <v>39814</v>
          </cell>
          <cell r="C433">
            <v>612.53332829999999</v>
          </cell>
          <cell r="D433">
            <v>568.23687610000002</v>
          </cell>
          <cell r="J433">
            <v>4.9471932000000001</v>
          </cell>
        </row>
        <row r="434">
          <cell r="A434">
            <v>39845</v>
          </cell>
          <cell r="C434">
            <v>698.30024479999997</v>
          </cell>
          <cell r="D434">
            <v>617.35458530000005</v>
          </cell>
          <cell r="J434">
            <v>5.3420449999999997</v>
          </cell>
        </row>
        <row r="435">
          <cell r="A435">
            <v>39873</v>
          </cell>
          <cell r="C435">
            <v>708.83840009999994</v>
          </cell>
          <cell r="D435">
            <v>665.61169240000004</v>
          </cell>
          <cell r="J435">
            <v>5.7461013000000003</v>
          </cell>
        </row>
        <row r="436">
          <cell r="A436">
            <v>39904</v>
          </cell>
          <cell r="C436">
            <v>651.05362590000004</v>
          </cell>
          <cell r="D436">
            <v>637.70099779999998</v>
          </cell>
          <cell r="J436">
            <v>5.5045308999999998</v>
          </cell>
        </row>
        <row r="437">
          <cell r="A437">
            <v>39934</v>
          </cell>
          <cell r="C437">
            <v>679.17615669999998</v>
          </cell>
          <cell r="D437">
            <v>671.87693260000003</v>
          </cell>
          <cell r="J437">
            <v>5.7918965</v>
          </cell>
        </row>
        <row r="438">
          <cell r="A438" t="str">
            <v>Jun 09</v>
          </cell>
          <cell r="C438">
            <v>665.58010979999995</v>
          </cell>
          <cell r="D438">
            <v>682.80987800000003</v>
          </cell>
          <cell r="J438">
            <v>5.8881503000000004</v>
          </cell>
        </row>
        <row r="439">
          <cell r="A439">
            <v>39995</v>
          </cell>
          <cell r="C439">
            <v>616.46898329999999</v>
          </cell>
          <cell r="D439">
            <v>668.89196879999997</v>
          </cell>
          <cell r="J439">
            <v>5.7565812000000003</v>
          </cell>
        </row>
        <row r="440">
          <cell r="A440">
            <v>40026</v>
          </cell>
          <cell r="C440">
            <v>634.86005320000004</v>
          </cell>
          <cell r="D440">
            <v>668.62715300000002</v>
          </cell>
          <cell r="J440">
            <v>5.7637138999999999</v>
          </cell>
        </row>
        <row r="441">
          <cell r="A441">
            <v>40057</v>
          </cell>
          <cell r="C441">
            <v>661.70411739999997</v>
          </cell>
          <cell r="D441">
            <v>665.14717159999998</v>
          </cell>
          <cell r="J441">
            <v>5.7204702000000003</v>
          </cell>
        </row>
        <row r="442">
          <cell r="A442">
            <v>40087</v>
          </cell>
          <cell r="C442">
            <v>626.65113770000005</v>
          </cell>
          <cell r="D442">
            <v>656.41970470000001</v>
          </cell>
          <cell r="J442">
            <v>5.6434249000000003</v>
          </cell>
        </row>
        <row r="443">
          <cell r="A443">
            <v>40118</v>
          </cell>
          <cell r="C443">
            <v>603.15946529999997</v>
          </cell>
          <cell r="D443">
            <v>649.47114680000004</v>
          </cell>
          <cell r="J443">
            <v>5.5733728999999999</v>
          </cell>
        </row>
        <row r="444">
          <cell r="A444">
            <v>40148</v>
          </cell>
          <cell r="C444">
            <v>628.93307059999995</v>
          </cell>
          <cell r="D444">
            <v>644.69172379999998</v>
          </cell>
          <cell r="J444">
            <v>5.5167754999999996</v>
          </cell>
        </row>
        <row r="445">
          <cell r="A445">
            <v>40179</v>
          </cell>
          <cell r="C445">
            <v>665.17626359999997</v>
          </cell>
          <cell r="D445">
            <v>619.47928349999995</v>
          </cell>
          <cell r="J445">
            <v>5.2939657000000002</v>
          </cell>
        </row>
        <row r="446">
          <cell r="A446">
            <v>40210</v>
          </cell>
          <cell r="C446">
            <v>701.54629369999998</v>
          </cell>
          <cell r="D446">
            <v>620.97274800000002</v>
          </cell>
          <cell r="J446">
            <v>5.3047852000000004</v>
          </cell>
        </row>
        <row r="447">
          <cell r="A447">
            <v>40238</v>
          </cell>
          <cell r="C447">
            <v>674.89079809999998</v>
          </cell>
          <cell r="D447">
            <v>631.27778890000002</v>
          </cell>
          <cell r="J447">
            <v>5.3827236999999997</v>
          </cell>
        </row>
        <row r="448">
          <cell r="A448">
            <v>40269</v>
          </cell>
          <cell r="C448">
            <v>652.36376410000003</v>
          </cell>
          <cell r="D448">
            <v>641.11973379999995</v>
          </cell>
          <cell r="J448">
            <v>5.4537611999999998</v>
          </cell>
        </row>
        <row r="449">
          <cell r="A449">
            <v>40299</v>
          </cell>
          <cell r="C449">
            <v>614.22548640000002</v>
          </cell>
          <cell r="D449">
            <v>608.27050410000004</v>
          </cell>
          <cell r="J449">
            <v>5.1907736</v>
          </cell>
        </row>
        <row r="450">
          <cell r="A450" t="str">
            <v>Jun 10</v>
          </cell>
          <cell r="C450">
            <v>590.86239239999998</v>
          </cell>
          <cell r="D450">
            <v>612.28552630000001</v>
          </cell>
          <cell r="J450">
            <v>5.1983638000000001</v>
          </cell>
        </row>
        <row r="451">
          <cell r="A451">
            <v>40360</v>
          </cell>
          <cell r="C451">
            <v>582.56178620000003</v>
          </cell>
          <cell r="D451">
            <v>630.74119310000003</v>
          </cell>
          <cell r="J451">
            <v>5.3376260000000002</v>
          </cell>
        </row>
        <row r="452">
          <cell r="A452">
            <v>40391</v>
          </cell>
          <cell r="C452">
            <v>570.64837850000004</v>
          </cell>
          <cell r="D452">
            <v>598.60007659999997</v>
          </cell>
          <cell r="J452">
            <v>5.0657914999999996</v>
          </cell>
        </row>
        <row r="453">
          <cell r="A453">
            <v>40422</v>
          </cell>
          <cell r="C453">
            <v>604.58572360000005</v>
          </cell>
          <cell r="D453">
            <v>603.24247449999996</v>
          </cell>
          <cell r="J453">
            <v>5.0890643000000004</v>
          </cell>
        </row>
        <row r="454">
          <cell r="A454">
            <v>40452</v>
          </cell>
          <cell r="C454">
            <v>600.99736659999996</v>
          </cell>
          <cell r="D454">
            <v>628.4062576</v>
          </cell>
          <cell r="J454">
            <v>5.2777184000000004</v>
          </cell>
        </row>
        <row r="455">
          <cell r="A455">
            <v>40483</v>
          </cell>
          <cell r="C455">
            <v>570.1580884</v>
          </cell>
          <cell r="D455">
            <v>614.38481209999998</v>
          </cell>
          <cell r="J455">
            <v>5.1406476999999997</v>
          </cell>
        </row>
        <row r="456">
          <cell r="A456">
            <v>40513</v>
          </cell>
          <cell r="C456">
            <v>572.75740589999998</v>
          </cell>
          <cell r="D456">
            <v>585.11185660000001</v>
          </cell>
          <cell r="J456">
            <v>4.9056176999999996</v>
          </cell>
        </row>
        <row r="457">
          <cell r="A457">
            <v>40544</v>
          </cell>
          <cell r="C457">
            <v>643.91404139999997</v>
          </cell>
          <cell r="D457">
            <v>605.46207990000005</v>
          </cell>
          <cell r="J457">
            <v>5.0579291</v>
          </cell>
        </row>
        <row r="458">
          <cell r="A458">
            <v>40575</v>
          </cell>
          <cell r="C458">
            <v>675.74761330000001</v>
          </cell>
          <cell r="D458">
            <v>597.04797829999995</v>
          </cell>
          <cell r="J458">
            <v>4.9939491</v>
          </cell>
        </row>
        <row r="459">
          <cell r="A459">
            <v>40603</v>
          </cell>
          <cell r="C459">
            <v>633.18433670000002</v>
          </cell>
          <cell r="D459">
            <v>590.96675909999999</v>
          </cell>
          <cell r="J459">
            <v>4.9286652000000002</v>
          </cell>
        </row>
        <row r="460">
          <cell r="A460">
            <v>40634</v>
          </cell>
          <cell r="C460">
            <v>597.56151160000002</v>
          </cell>
          <cell r="D460">
            <v>588.60643689999995</v>
          </cell>
          <cell r="J460">
            <v>4.9209762000000001</v>
          </cell>
        </row>
        <row r="461">
          <cell r="A461">
            <v>40664</v>
          </cell>
          <cell r="C461">
            <v>600.58538410000006</v>
          </cell>
          <cell r="D461">
            <v>595.48234349999996</v>
          </cell>
          <cell r="J461">
            <v>4.9788398999999997</v>
          </cell>
        </row>
        <row r="462">
          <cell r="A462" t="str">
            <v>Jun 11</v>
          </cell>
          <cell r="C462">
            <v>575.73503940000001</v>
          </cell>
          <cell r="D462">
            <v>599.62420029999998</v>
          </cell>
          <cell r="J462">
            <v>4.9970679000000002</v>
          </cell>
        </row>
        <row r="463">
          <cell r="A463">
            <v>40725</v>
          </cell>
          <cell r="C463">
            <v>572.96477319999997</v>
          </cell>
          <cell r="D463">
            <v>617.56421609999995</v>
          </cell>
          <cell r="J463">
            <v>5.1396965000000003</v>
          </cell>
        </row>
        <row r="464">
          <cell r="A464">
            <v>40756</v>
          </cell>
          <cell r="C464">
            <v>606.8820485</v>
          </cell>
          <cell r="D464">
            <v>633.26404309999998</v>
          </cell>
          <cell r="J464">
            <v>5.2638360000000004</v>
          </cell>
        </row>
        <row r="465">
          <cell r="A465">
            <v>40787</v>
          </cell>
          <cell r="C465">
            <v>631.19221560000005</v>
          </cell>
          <cell r="D465">
            <v>629.40504069999997</v>
          </cell>
          <cell r="J465">
            <v>5.2229887000000002</v>
          </cell>
        </row>
        <row r="466">
          <cell r="A466">
            <v>40817</v>
          </cell>
          <cell r="C466">
            <v>597.75980960000004</v>
          </cell>
          <cell r="D466">
            <v>621.08135230000005</v>
          </cell>
          <cell r="J466">
            <v>5.1570261999999998</v>
          </cell>
        </row>
        <row r="467">
          <cell r="A467">
            <v>40848</v>
          </cell>
          <cell r="C467">
            <v>587.61602319999997</v>
          </cell>
          <cell r="D467">
            <v>632.4909361</v>
          </cell>
          <cell r="J467">
            <v>5.2440217000000002</v>
          </cell>
        </row>
        <row r="468">
          <cell r="A468">
            <v>40878</v>
          </cell>
          <cell r="C468">
            <v>611.23771710000005</v>
          </cell>
          <cell r="D468">
            <v>624.81873129999997</v>
          </cell>
          <cell r="J468">
            <v>5.1967362000000001</v>
          </cell>
        </row>
        <row r="469">
          <cell r="A469">
            <v>40909</v>
          </cell>
          <cell r="C469">
            <v>653.68051739999999</v>
          </cell>
          <cell r="D469">
            <v>615.58858099999998</v>
          </cell>
          <cell r="J469">
            <v>5.0968393000000001</v>
          </cell>
        </row>
        <row r="470">
          <cell r="A470">
            <v>40940</v>
          </cell>
          <cell r="C470">
            <v>711.65955450000001</v>
          </cell>
          <cell r="D470">
            <v>629.11374960000001</v>
          </cell>
          <cell r="J470">
            <v>5.2132630000000004</v>
          </cell>
        </row>
        <row r="471">
          <cell r="A471">
            <v>40969</v>
          </cell>
          <cell r="C471">
            <v>670.57517270000005</v>
          </cell>
          <cell r="D471">
            <v>626.20094349999999</v>
          </cell>
          <cell r="J471">
            <v>5.1646789000000002</v>
          </cell>
        </row>
        <row r="472">
          <cell r="A472">
            <v>41000</v>
          </cell>
          <cell r="C472">
            <v>609.07163839999998</v>
          </cell>
          <cell r="D472">
            <v>601.19323759999997</v>
          </cell>
          <cell r="J472">
            <v>4.9684352000000001</v>
          </cell>
        </row>
        <row r="473">
          <cell r="A473">
            <v>41030</v>
          </cell>
          <cell r="C473">
            <v>630.92811830000005</v>
          </cell>
          <cell r="D473">
            <v>627.14830059999997</v>
          </cell>
          <cell r="J473">
            <v>5.1575781999999997</v>
          </cell>
        </row>
        <row r="474">
          <cell r="A474" t="str">
            <v>Jun 12</v>
          </cell>
          <cell r="C474">
            <v>610.69137650000005</v>
          </cell>
          <cell r="D474">
            <v>640.76301699999999</v>
          </cell>
          <cell r="J474">
            <v>5.2754772000000001</v>
          </cell>
        </row>
        <row r="475">
          <cell r="A475">
            <v>41091</v>
          </cell>
          <cell r="C475">
            <v>593.01583189999997</v>
          </cell>
          <cell r="D475">
            <v>637.42087479999998</v>
          </cell>
          <cell r="J475">
            <v>5.2423098000000001</v>
          </cell>
        </row>
        <row r="476">
          <cell r="A476">
            <v>41122</v>
          </cell>
          <cell r="C476">
            <v>600.88768170000003</v>
          </cell>
          <cell r="D476">
            <v>625.09735090000004</v>
          </cell>
          <cell r="J476">
            <v>5.1481097</v>
          </cell>
        </row>
        <row r="477">
          <cell r="A477">
            <v>41153</v>
          </cell>
          <cell r="C477">
            <v>673.05657220000001</v>
          </cell>
          <cell r="D477">
            <v>668.81221330000005</v>
          </cell>
          <cell r="J477">
            <v>5.4778427000000001</v>
          </cell>
        </row>
        <row r="478">
          <cell r="A478">
            <v>41183</v>
          </cell>
          <cell r="C478">
            <v>632.69187439999996</v>
          </cell>
          <cell r="D478">
            <v>657.92232660000002</v>
          </cell>
          <cell r="J478">
            <v>5.3936834999999999</v>
          </cell>
        </row>
        <row r="479">
          <cell r="A479">
            <v>41214</v>
          </cell>
          <cell r="C479">
            <v>599.2447396</v>
          </cell>
          <cell r="D479">
            <v>643.32553929999995</v>
          </cell>
          <cell r="J479">
            <v>5.2710340000000002</v>
          </cell>
        </row>
        <row r="480">
          <cell r="A480">
            <v>41244</v>
          </cell>
          <cell r="C480">
            <v>646.59591829999999</v>
          </cell>
          <cell r="D480">
            <v>663.08704799999998</v>
          </cell>
          <cell r="J480">
            <v>5.4247372</v>
          </cell>
        </row>
        <row r="481">
          <cell r="A481">
            <v>41275</v>
          </cell>
          <cell r="C481">
            <v>704.33408169999996</v>
          </cell>
          <cell r="D481">
            <v>665.06251729999997</v>
          </cell>
          <cell r="J481">
            <v>5.4345660999999996</v>
          </cell>
        </row>
        <row r="482">
          <cell r="A482">
            <v>41306</v>
          </cell>
          <cell r="C482">
            <v>749.39162669999996</v>
          </cell>
          <cell r="D482">
            <v>662.33880239999996</v>
          </cell>
          <cell r="J482">
            <v>5.3819851999999999</v>
          </cell>
        </row>
        <row r="483">
          <cell r="A483">
            <v>41334</v>
          </cell>
          <cell r="C483">
            <v>735.49817640000003</v>
          </cell>
          <cell r="D483">
            <v>687.96416499999998</v>
          </cell>
          <cell r="J483">
            <v>5.5927106000000002</v>
          </cell>
        </row>
        <row r="484">
          <cell r="A484">
            <v>41365</v>
          </cell>
          <cell r="C484">
            <v>693.04603180000004</v>
          </cell>
          <cell r="D484">
            <v>685.30225889999997</v>
          </cell>
          <cell r="J484">
            <v>5.5496729</v>
          </cell>
        </row>
        <row r="485">
          <cell r="A485">
            <v>41395</v>
          </cell>
          <cell r="C485" t="str">
            <v xml:space="preserve"> </v>
          </cell>
          <cell r="D485" t="str">
            <v xml:space="preserve"> </v>
          </cell>
          <cell r="J485" t="e">
            <v>#N/A</v>
          </cell>
        </row>
        <row r="486">
          <cell r="A486">
            <v>41426</v>
          </cell>
          <cell r="J486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0"/>
  <sheetViews>
    <sheetView tabSelected="1" zoomScaleNormal="100" workbookViewId="0">
      <selection activeCell="C39" sqref="C39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B20" s="11"/>
      <c r="H20" s="5"/>
    </row>
    <row r="21" spans="1:8" ht="3" customHeight="1" x14ac:dyDescent="0.2">
      <c r="A21" s="12"/>
      <c r="B21" s="13"/>
      <c r="H21" s="5"/>
    </row>
    <row r="22" spans="1:8" ht="12.95" customHeight="1" x14ac:dyDescent="0.2">
      <c r="A22" s="14" t="s">
        <v>9</v>
      </c>
      <c r="B22" s="15">
        <f>'[1]Data 1.2'!D427</f>
        <v>487.10629929999999</v>
      </c>
      <c r="C22" s="15">
        <f>'[1]Data 1.2'!D439</f>
        <v>668.89196879999997</v>
      </c>
      <c r="D22" s="15">
        <f>'[1]Data 1.2'!D451</f>
        <v>630.74119310000003</v>
      </c>
      <c r="E22" s="15">
        <f>'[1]Data 1.2'!D463</f>
        <v>617.56421609999995</v>
      </c>
      <c r="F22" s="15">
        <f>IF('[1]Data 1.2'!D475=0," ",'[1]Data 1.2'!D475)</f>
        <v>637.42087479999998</v>
      </c>
      <c r="H22" s="5"/>
    </row>
    <row r="23" spans="1:8" ht="12.95" customHeight="1" x14ac:dyDescent="0.2">
      <c r="A23" s="14" t="s">
        <v>10</v>
      </c>
      <c r="B23" s="15">
        <f>'[1]Data 1.2'!D428</f>
        <v>463.93295499999999</v>
      </c>
      <c r="C23" s="15">
        <f>'[1]Data 1.2'!D440</f>
        <v>668.62715300000002</v>
      </c>
      <c r="D23" s="15">
        <f>'[1]Data 1.2'!D452</f>
        <v>598.60007659999997</v>
      </c>
      <c r="E23" s="15">
        <f>'[1]Data 1.2'!D464</f>
        <v>633.26404309999998</v>
      </c>
      <c r="F23" s="15">
        <f>IF('[1]Data 1.2'!D476=0," ",'[1]Data 1.2'!D476)</f>
        <v>625.09735090000004</v>
      </c>
      <c r="H23" s="5"/>
    </row>
    <row r="24" spans="1:8" ht="12.95" customHeight="1" x14ac:dyDescent="0.2">
      <c r="A24" s="14" t="s">
        <v>11</v>
      </c>
      <c r="B24" s="15">
        <f>'[1]Data 1.2'!D429</f>
        <v>494.40995820000001</v>
      </c>
      <c r="C24" s="15">
        <f>'[1]Data 1.2'!D441</f>
        <v>665.14717159999998</v>
      </c>
      <c r="D24" s="15">
        <f>'[1]Data 1.2'!D453</f>
        <v>603.24247449999996</v>
      </c>
      <c r="E24" s="15">
        <f>'[1]Data 1.2'!D465</f>
        <v>629.40504069999997</v>
      </c>
      <c r="F24" s="15">
        <f>IF('[1]Data 1.2'!D477=0," ",'[1]Data 1.2'!D477)</f>
        <v>668.81221330000005</v>
      </c>
      <c r="H24" s="5"/>
    </row>
    <row r="25" spans="1:8" ht="12.95" customHeight="1" x14ac:dyDescent="0.2">
      <c r="A25" s="14" t="s">
        <v>12</v>
      </c>
      <c r="B25" s="15">
        <f>'[1]Data 1.2'!D430</f>
        <v>494.21004649999998</v>
      </c>
      <c r="C25" s="15">
        <f>'[1]Data 1.2'!D442</f>
        <v>656.41970470000001</v>
      </c>
      <c r="D25" s="15">
        <f>'[1]Data 1.2'!D454</f>
        <v>628.4062576</v>
      </c>
      <c r="E25" s="15">
        <f>'[1]Data 1.2'!D466</f>
        <v>621.08135230000005</v>
      </c>
      <c r="F25" s="15">
        <f>IF('[1]Data 1.2'!D478=0," ",'[1]Data 1.2'!D478)</f>
        <v>657.92232660000002</v>
      </c>
      <c r="H25" s="5"/>
    </row>
    <row r="26" spans="1:8" ht="12.95" customHeight="1" x14ac:dyDescent="0.2">
      <c r="A26" s="14" t="s">
        <v>13</v>
      </c>
      <c r="B26" s="15">
        <f>'[1]Data 1.2'!D431</f>
        <v>512.7525425</v>
      </c>
      <c r="C26" s="15">
        <f>'[1]Data 1.2'!D443</f>
        <v>649.47114680000004</v>
      </c>
      <c r="D26" s="15">
        <f>'[1]Data 1.2'!D455</f>
        <v>614.38481209999998</v>
      </c>
      <c r="E26" s="15">
        <f>'[1]Data 1.2'!D467</f>
        <v>632.4909361</v>
      </c>
      <c r="F26" s="15">
        <f>IF('[1]Data 1.2'!D479=0," ",'[1]Data 1.2'!D479)</f>
        <v>643.32553929999995</v>
      </c>
      <c r="H26" s="5"/>
    </row>
    <row r="27" spans="1:8" ht="12.95" customHeight="1" x14ac:dyDescent="0.2">
      <c r="A27" s="14" t="s">
        <v>14</v>
      </c>
      <c r="B27" s="15">
        <f>'[1]Data 1.2'!D432</f>
        <v>526.91057569999998</v>
      </c>
      <c r="C27" s="15">
        <f>'[1]Data 1.2'!D444</f>
        <v>644.69172379999998</v>
      </c>
      <c r="D27" s="15">
        <f>'[1]Data 1.2'!D456</f>
        <v>585.11185660000001</v>
      </c>
      <c r="E27" s="15">
        <f>IF('[1]Data 1.2'!D468=0," ",'[1]Data 1.2'!D468)</f>
        <v>624.81873129999997</v>
      </c>
      <c r="F27" s="15">
        <f>IF('[1]Data 1.2'!D480=0," ",'[1]Data 1.2'!D480)</f>
        <v>663.08704799999998</v>
      </c>
      <c r="H27" s="5"/>
    </row>
    <row r="28" spans="1:8" ht="12.95" customHeight="1" x14ac:dyDescent="0.2">
      <c r="A28" s="14" t="s">
        <v>15</v>
      </c>
      <c r="B28" s="15">
        <f>'[1]Data 1.2'!D433</f>
        <v>568.23687610000002</v>
      </c>
      <c r="C28" s="15">
        <f>'[1]Data 1.2'!D445</f>
        <v>619.47928349999995</v>
      </c>
      <c r="D28" s="15">
        <f>'[1]Data 1.2'!D457</f>
        <v>605.46207990000005</v>
      </c>
      <c r="E28" s="15">
        <f>IF('[1]Data 1.2'!D469=0," ",'[1]Data 1.2'!D469)</f>
        <v>615.58858099999998</v>
      </c>
      <c r="F28" s="15">
        <f>IF('[1]Data 1.2'!D481=0," ",'[1]Data 1.2'!D481)</f>
        <v>665.06251729999997</v>
      </c>
      <c r="H28" s="5"/>
    </row>
    <row r="29" spans="1:8" ht="12.95" customHeight="1" x14ac:dyDescent="0.2">
      <c r="A29" s="14" t="s">
        <v>16</v>
      </c>
      <c r="B29" s="15">
        <f>'[1]Data 1.2'!D434</f>
        <v>617.35458530000005</v>
      </c>
      <c r="C29" s="15">
        <f>'[1]Data 1.2'!D446</f>
        <v>620.97274800000002</v>
      </c>
      <c r="D29" s="15">
        <f>'[1]Data 1.2'!D458</f>
        <v>597.04797829999995</v>
      </c>
      <c r="E29" s="15">
        <f>IF('[1]Data 1.2'!D470=0," ",'[1]Data 1.2'!D470)</f>
        <v>629.11374960000001</v>
      </c>
      <c r="F29" s="15">
        <f>IF('[1]Data 1.2'!D482=0," ",'[1]Data 1.2'!D482)</f>
        <v>662.33880239999996</v>
      </c>
      <c r="H29" s="5"/>
    </row>
    <row r="30" spans="1:8" ht="12.95" customHeight="1" x14ac:dyDescent="0.2">
      <c r="A30" s="14" t="s">
        <v>17</v>
      </c>
      <c r="B30" s="15">
        <f>'[1]Data 1.2'!D435</f>
        <v>665.61169240000004</v>
      </c>
      <c r="C30" s="15">
        <f>'[1]Data 1.2'!D447</f>
        <v>631.27778890000002</v>
      </c>
      <c r="D30" s="15">
        <f>'[1]Data 1.2'!D459</f>
        <v>590.96675909999999</v>
      </c>
      <c r="E30" s="15">
        <f>IF('[1]Data 1.2'!D471=0," ",'[1]Data 1.2'!D471)</f>
        <v>626.20094349999999</v>
      </c>
      <c r="F30" s="15">
        <f>IF('[1]Data 1.2'!D483=0," ",'[1]Data 1.2'!D483)</f>
        <v>687.96416499999998</v>
      </c>
      <c r="H30" s="5"/>
    </row>
    <row r="31" spans="1:8" ht="12.95" customHeight="1" x14ac:dyDescent="0.2">
      <c r="A31" s="14" t="s">
        <v>18</v>
      </c>
      <c r="B31" s="15">
        <f>'[1]Data 1.2'!D436</f>
        <v>637.70099779999998</v>
      </c>
      <c r="C31" s="15">
        <f>'[1]Data 1.2'!D448</f>
        <v>641.11973379999995</v>
      </c>
      <c r="D31" s="15">
        <f>'[1]Data 1.2'!D460</f>
        <v>588.60643689999995</v>
      </c>
      <c r="E31" s="15">
        <f>IF('[1]Data 1.2'!D472=0," ",'[1]Data 1.2'!D472)</f>
        <v>601.19323759999997</v>
      </c>
      <c r="F31" s="15">
        <f>IF('[1]Data 1.2'!D484=0," ",'[1]Data 1.2'!D484)</f>
        <v>685.30225889999997</v>
      </c>
      <c r="H31" s="5"/>
    </row>
    <row r="32" spans="1:8" ht="12.95" customHeight="1" x14ac:dyDescent="0.2">
      <c r="A32" s="14" t="s">
        <v>19</v>
      </c>
      <c r="B32" s="15">
        <f>'[1]Data 1.2'!D437</f>
        <v>671.87693260000003</v>
      </c>
      <c r="C32" s="15">
        <f>'[1]Data 1.2'!D449</f>
        <v>608.27050410000004</v>
      </c>
      <c r="D32" s="15">
        <f>'[1]Data 1.2'!D461</f>
        <v>595.48234349999996</v>
      </c>
      <c r="E32" s="15">
        <f>IF('[1]Data 1.2'!D473=0," ",'[1]Data 1.2'!D473)</f>
        <v>627.14830059999997</v>
      </c>
      <c r="F32" s="15" t="str">
        <f>IF('[1]Data 1.2'!D485=0," ",'[1]Data 1.2'!D485)</f>
        <v xml:space="preserve"> </v>
      </c>
      <c r="H32" s="5"/>
    </row>
    <row r="33" spans="1:8" ht="12.95" customHeight="1" x14ac:dyDescent="0.2">
      <c r="A33" s="14" t="s">
        <v>20</v>
      </c>
      <c r="B33" s="15">
        <f>'[1]Data 1.2'!D438</f>
        <v>682.80987800000003</v>
      </c>
      <c r="C33" s="15">
        <f>'[1]Data 1.2'!D450</f>
        <v>612.28552630000001</v>
      </c>
      <c r="D33" s="15">
        <f>'[1]Data 1.2'!D462</f>
        <v>599.62420029999998</v>
      </c>
      <c r="E33" s="15">
        <f>IF('[1]Data 1.2'!D474=0," ",'[1]Data 1.2'!D474)</f>
        <v>640.76301699999999</v>
      </c>
      <c r="F33" s="15" t="str">
        <f>IF('[1]Data 1.2'!D486=0," ",'[1]Data 1.2'!D486)</f>
        <v xml:space="preserve"> </v>
      </c>
      <c r="H33" s="5"/>
    </row>
    <row r="34" spans="1:8" ht="11.1" customHeight="1" x14ac:dyDescent="0.2">
      <c r="A34" s="14"/>
      <c r="F34" s="15"/>
      <c r="H34" s="5"/>
    </row>
    <row r="35" spans="1:8" ht="12.95" customHeight="1" x14ac:dyDescent="0.2">
      <c r="A35" s="14" t="s">
        <v>21</v>
      </c>
      <c r="B35" s="16">
        <f>SUM('[1]Data 1.2'!C427:C438)/12</f>
        <v>570.99749340833341</v>
      </c>
      <c r="C35" s="16">
        <f>SUM('[1]Data 1.2'!C439:C450)/12</f>
        <v>639.23681881666676</v>
      </c>
      <c r="D35" s="16">
        <f>SUM('[1]Data 1.2'!C451:C462)/12</f>
        <v>602.36972297500006</v>
      </c>
      <c r="E35" s="16">
        <f>SUM('[1]Data 1.2'!C463:C474)/12</f>
        <v>624.52158041666667</v>
      </c>
      <c r="F35" s="15" t="str">
        <f>IF(OR('[1]Data 1.2'!C486=0,'[1]Data 1.2'!C486=" ")," ",SUM('[1]Data 1.2'!C475:C486)/12)</f>
        <v xml:space="preserve"> </v>
      </c>
      <c r="H35" s="5"/>
    </row>
    <row r="36" spans="1:8" ht="7.5" customHeight="1" x14ac:dyDescent="0.2">
      <c r="A36" s="17"/>
      <c r="B36" s="18"/>
      <c r="C36" s="18"/>
      <c r="D36" s="18"/>
      <c r="E36" s="3"/>
      <c r="F36" s="18"/>
      <c r="H36" s="5"/>
    </row>
    <row r="37" spans="1:8" ht="19.899999999999999" customHeight="1" x14ac:dyDescent="0.2">
      <c r="A37" s="19" t="s">
        <v>22</v>
      </c>
      <c r="B37" s="13"/>
      <c r="C37" s="13"/>
      <c r="D37" s="13"/>
      <c r="E37" s="13"/>
      <c r="H37" s="5"/>
    </row>
    <row r="38" spans="1:8" ht="3" customHeight="1" x14ac:dyDescent="0.2">
      <c r="A38" s="20"/>
      <c r="B38" s="13"/>
      <c r="C38" s="13"/>
      <c r="D38" s="13"/>
      <c r="E38" s="13"/>
      <c r="H38" s="5"/>
    </row>
    <row r="39" spans="1:8" ht="12.95" customHeight="1" x14ac:dyDescent="0.2">
      <c r="A39" s="21" t="s">
        <v>9</v>
      </c>
      <c r="B39" s="16">
        <f>'[1]Data 1.2'!J427</f>
        <v>4.2772600000000001</v>
      </c>
      <c r="C39" s="16">
        <f>'[1]Data 1.2'!J439</f>
        <v>5.7565812000000003</v>
      </c>
      <c r="D39" s="16">
        <f>'[1]Data 1.2'!J451</f>
        <v>5.3376260000000002</v>
      </c>
      <c r="E39" s="16">
        <f>'[1]Data 1.2'!J463</f>
        <v>5.1396965000000003</v>
      </c>
      <c r="F39" s="16">
        <f>IF(ISERROR('[1]Data 1.2'!J475)," ",'[1]Data 1.2'!J475)</f>
        <v>5.2423098000000001</v>
      </c>
      <c r="H39" s="5"/>
    </row>
    <row r="40" spans="1:8" ht="12.95" customHeight="1" x14ac:dyDescent="0.2">
      <c r="A40" s="22" t="s">
        <v>10</v>
      </c>
      <c r="B40" s="16">
        <f>'[1]Data 1.2'!J428</f>
        <v>4.0741158000000004</v>
      </c>
      <c r="C40" s="16">
        <f>'[1]Data 1.2'!J440</f>
        <v>5.7637138999999999</v>
      </c>
      <c r="D40" s="16">
        <f>'[1]Data 1.2'!J452</f>
        <v>5.0657914999999996</v>
      </c>
      <c r="E40" s="16">
        <f>'[1]Data 1.2'!J464</f>
        <v>5.2638360000000004</v>
      </c>
      <c r="F40" s="16">
        <f>IF(ISERROR('[1]Data 1.2'!J476)," ",'[1]Data 1.2'!J476)</f>
        <v>5.1481097</v>
      </c>
      <c r="H40" s="5"/>
    </row>
    <row r="41" spans="1:8" ht="12.95" customHeight="1" x14ac:dyDescent="0.2">
      <c r="A41" s="22" t="s">
        <v>11</v>
      </c>
      <c r="B41" s="16">
        <f>'[1]Data 1.2'!J429</f>
        <v>4.3319707000000003</v>
      </c>
      <c r="C41" s="16">
        <f>'[1]Data 1.2'!J441</f>
        <v>5.7204702000000003</v>
      </c>
      <c r="D41" s="16">
        <f>'[1]Data 1.2'!J453</f>
        <v>5.0890643000000004</v>
      </c>
      <c r="E41" s="16">
        <f>'[1]Data 1.2'!J465</f>
        <v>5.2229887000000002</v>
      </c>
      <c r="F41" s="16">
        <f>IF(ISERROR('[1]Data 1.2'!J477)," ",'[1]Data 1.2'!J477)</f>
        <v>5.4778427000000001</v>
      </c>
      <c r="H41" s="5"/>
    </row>
    <row r="42" spans="1:8" ht="12.95" customHeight="1" x14ac:dyDescent="0.2">
      <c r="A42" s="22" t="s">
        <v>12</v>
      </c>
      <c r="B42" s="16">
        <f>'[1]Data 1.2'!J430</f>
        <v>4.3216628000000004</v>
      </c>
      <c r="C42" s="16">
        <f>'[1]Data 1.2'!J442</f>
        <v>5.6434249000000003</v>
      </c>
      <c r="D42" s="16">
        <f>'[1]Data 1.2'!J454</f>
        <v>5.2777184000000004</v>
      </c>
      <c r="E42" s="16">
        <f>'[1]Data 1.2'!J466</f>
        <v>5.1570261999999998</v>
      </c>
      <c r="F42" s="16">
        <f>IF(ISERROR('[1]Data 1.2'!J478)," ",'[1]Data 1.2'!J478)</f>
        <v>5.3936834999999999</v>
      </c>
      <c r="H42" s="5"/>
    </row>
    <row r="43" spans="1:8" ht="12.95" customHeight="1" x14ac:dyDescent="0.2">
      <c r="A43" s="22" t="s">
        <v>13</v>
      </c>
      <c r="B43" s="16">
        <f>'[1]Data 1.2'!J431</f>
        <v>4.4823624999999998</v>
      </c>
      <c r="C43" s="16">
        <f>'[1]Data 1.2'!J443</f>
        <v>5.5733728999999999</v>
      </c>
      <c r="D43" s="16">
        <f>'[1]Data 1.2'!J455</f>
        <v>5.1406476999999997</v>
      </c>
      <c r="E43" s="16">
        <f>'[1]Data 1.2'!J467</f>
        <v>5.2440217000000002</v>
      </c>
      <c r="F43" s="16">
        <f>IF(ISERROR('[1]Data 1.2'!J479)," ",'[1]Data 1.2'!J479)</f>
        <v>5.2710340000000002</v>
      </c>
      <c r="H43" s="5"/>
    </row>
    <row r="44" spans="1:8" ht="12.95" customHeight="1" x14ac:dyDescent="0.2">
      <c r="A44" s="22" t="s">
        <v>14</v>
      </c>
      <c r="B44" s="16">
        <f>'[1]Data 1.2'!J432</f>
        <v>4.5993352999999999</v>
      </c>
      <c r="C44" s="16">
        <f>'[1]Data 1.2'!J444</f>
        <v>5.5167754999999996</v>
      </c>
      <c r="D44" s="16">
        <f>'[1]Data 1.2'!J456</f>
        <v>4.9056176999999996</v>
      </c>
      <c r="E44" s="16">
        <f>IF('[1]Data 1.2'!J468=0," ",'[1]Data 1.2'!J468)</f>
        <v>5.1967362000000001</v>
      </c>
      <c r="F44" s="16">
        <f>IF(ISERROR('[1]Data 1.2'!J480)," ",'[1]Data 1.2'!J480)</f>
        <v>5.4247372</v>
      </c>
      <c r="H44" s="5"/>
    </row>
    <row r="45" spans="1:8" ht="12.95" customHeight="1" x14ac:dyDescent="0.2">
      <c r="A45" s="22" t="s">
        <v>15</v>
      </c>
      <c r="B45" s="16">
        <f>'[1]Data 1.2'!J433</f>
        <v>4.9471932000000001</v>
      </c>
      <c r="C45" s="16">
        <f>'[1]Data 1.2'!J445</f>
        <v>5.2939657000000002</v>
      </c>
      <c r="D45" s="16">
        <f>'[1]Data 1.2'!J457</f>
        <v>5.0579291</v>
      </c>
      <c r="E45" s="16">
        <f>IF('[1]Data 1.2'!J469=0," ",'[1]Data 1.2'!J469)</f>
        <v>5.0968393000000001</v>
      </c>
      <c r="F45" s="16">
        <f>IF(ISERROR('[1]Data 1.2'!J481)," ",'[1]Data 1.2'!J481)</f>
        <v>5.4345660999999996</v>
      </c>
      <c r="H45" s="5"/>
    </row>
    <row r="46" spans="1:8" ht="12.95" customHeight="1" x14ac:dyDescent="0.2">
      <c r="A46" s="23" t="s">
        <v>16</v>
      </c>
      <c r="B46" s="16">
        <f>'[1]Data 1.2'!J434</f>
        <v>5.3420449999999997</v>
      </c>
      <c r="C46" s="16">
        <f>'[1]Data 1.2'!J446</f>
        <v>5.3047852000000004</v>
      </c>
      <c r="D46" s="16">
        <f>'[1]Data 1.2'!J458</f>
        <v>4.9939491</v>
      </c>
      <c r="E46" s="16">
        <f>IF('[1]Data 1.2'!J470=0," ",'[1]Data 1.2'!J470)</f>
        <v>5.2132630000000004</v>
      </c>
      <c r="F46" s="16">
        <f>IF(ISERROR('[1]Data 1.2'!J482)," ",'[1]Data 1.2'!J482)</f>
        <v>5.3819851999999999</v>
      </c>
      <c r="H46" s="5"/>
    </row>
    <row r="47" spans="1:8" ht="12.95" customHeight="1" x14ac:dyDescent="0.2">
      <c r="A47" s="22" t="s">
        <v>17</v>
      </c>
      <c r="B47" s="16">
        <f>'[1]Data 1.2'!J435</f>
        <v>5.7461013000000003</v>
      </c>
      <c r="C47" s="16">
        <f>'[1]Data 1.2'!J447</f>
        <v>5.3827236999999997</v>
      </c>
      <c r="D47" s="16">
        <f>'[1]Data 1.2'!J459</f>
        <v>4.9286652000000002</v>
      </c>
      <c r="E47" s="16">
        <f>IF('[1]Data 1.2'!J471=0," ",'[1]Data 1.2'!J471)</f>
        <v>5.1646789000000002</v>
      </c>
      <c r="F47" s="16">
        <f>IF(ISERROR('[1]Data 1.2'!J483)," ",'[1]Data 1.2'!J483)</f>
        <v>5.5927106000000002</v>
      </c>
      <c r="H47" s="5"/>
    </row>
    <row r="48" spans="1:8" ht="12.95" customHeight="1" x14ac:dyDescent="0.2">
      <c r="A48" s="22" t="s">
        <v>18</v>
      </c>
      <c r="B48" s="16">
        <f>'[1]Data 1.2'!J436</f>
        <v>5.5045308999999998</v>
      </c>
      <c r="C48" s="16">
        <f>'[1]Data 1.2'!J448</f>
        <v>5.4537611999999998</v>
      </c>
      <c r="D48" s="16">
        <f>'[1]Data 1.2'!J460</f>
        <v>4.9209762000000001</v>
      </c>
      <c r="E48" s="16">
        <f>IF('[1]Data 1.2'!J472=0," ",'[1]Data 1.2'!J472)</f>
        <v>4.9684352000000001</v>
      </c>
      <c r="F48" s="16">
        <f>IF(ISERROR('[1]Data 1.2'!J484)," ",'[1]Data 1.2'!J484)</f>
        <v>5.5496729</v>
      </c>
      <c r="H48" s="5"/>
    </row>
    <row r="49" spans="1:12" ht="12.95" customHeight="1" x14ac:dyDescent="0.2">
      <c r="A49" s="22" t="s">
        <v>19</v>
      </c>
      <c r="B49" s="16">
        <f>'[1]Data 1.2'!J437</f>
        <v>5.7918965</v>
      </c>
      <c r="C49" s="16">
        <f>'[1]Data 1.2'!J449</f>
        <v>5.1907736</v>
      </c>
      <c r="D49" s="16">
        <f>'[1]Data 1.2'!J461</f>
        <v>4.9788398999999997</v>
      </c>
      <c r="E49" s="16">
        <f>IF('[1]Data 1.2'!J473=0," ",'[1]Data 1.2'!J473)</f>
        <v>5.1575781999999997</v>
      </c>
      <c r="F49" s="16" t="str">
        <f>IF(ISERROR('[1]Data 1.2'!J485)," ",'[1]Data 1.2'!J485)</f>
        <v xml:space="preserve"> </v>
      </c>
      <c r="H49" s="5"/>
    </row>
    <row r="50" spans="1:12" ht="12.95" customHeight="1" x14ac:dyDescent="0.2">
      <c r="A50" s="22" t="s">
        <v>20</v>
      </c>
      <c r="B50" s="16">
        <f>'[1]Data 1.2'!J438</f>
        <v>5.8881503000000004</v>
      </c>
      <c r="C50" s="16">
        <f>'[1]Data 1.2'!J450</f>
        <v>5.1983638000000001</v>
      </c>
      <c r="D50" s="16">
        <f>'[1]Data 1.2'!J462</f>
        <v>4.9970679000000002</v>
      </c>
      <c r="E50" s="16">
        <f>IF('[1]Data 1.2'!J474=0," ",'[1]Data 1.2'!J474)</f>
        <v>5.2754772000000001</v>
      </c>
      <c r="F50" s="16" t="str">
        <f>IF(ISERROR('[1]Data 1.2'!J486)," ",'[1]Data 1.2'!J486)</f>
        <v xml:space="preserve"> </v>
      </c>
      <c r="H50" s="5"/>
    </row>
    <row r="51" spans="1:12" ht="11.1" customHeight="1" x14ac:dyDescent="0.2">
      <c r="A51" s="22"/>
      <c r="F51" s="16"/>
      <c r="H51" s="5"/>
    </row>
    <row r="52" spans="1:12" ht="12.95" customHeight="1" x14ac:dyDescent="0.2">
      <c r="A52" s="14" t="s">
        <v>21</v>
      </c>
      <c r="B52" s="16">
        <f>AVERAGE(B39:B50)</f>
        <v>4.9422186916666666</v>
      </c>
      <c r="C52" s="16">
        <f t="shared" ref="C52:E52" si="0">AVERAGE(C39:C50)</f>
        <v>5.483225983333333</v>
      </c>
      <c r="D52" s="16">
        <f t="shared" si="0"/>
        <v>5.0578244166666666</v>
      </c>
      <c r="E52" s="16">
        <f t="shared" si="0"/>
        <v>5.1750480916666666</v>
      </c>
      <c r="F52" s="16" t="str">
        <f>IF(F50 = " ","",AVERAGE(F39:F50))</f>
        <v/>
      </c>
      <c r="H52" s="5"/>
    </row>
    <row r="53" spans="1:12" ht="7.5" customHeight="1" x14ac:dyDescent="0.2">
      <c r="A53" s="24"/>
      <c r="B53" s="25"/>
      <c r="C53" s="25"/>
      <c r="D53" s="25"/>
      <c r="E53" s="3"/>
      <c r="F53" s="25"/>
      <c r="G53" s="4"/>
      <c r="H53" s="5"/>
      <c r="I53" s="4"/>
      <c r="J53" s="4"/>
      <c r="K53" s="4"/>
      <c r="L53" s="4"/>
    </row>
    <row r="54" spans="1:12" ht="7.9" customHeight="1" x14ac:dyDescent="0.2">
      <c r="A54" s="26"/>
      <c r="B54" s="27"/>
      <c r="C54" s="27"/>
      <c r="D54" s="27"/>
      <c r="E54" s="27"/>
      <c r="F54" s="27"/>
      <c r="H54" s="5"/>
    </row>
    <row r="55" spans="1:12" ht="11.1" customHeight="1" x14ac:dyDescent="0.2">
      <c r="A55" s="26" t="s">
        <v>23</v>
      </c>
      <c r="B55" s="27"/>
      <c r="C55" s="27"/>
      <c r="D55" s="27"/>
      <c r="E55" s="27"/>
      <c r="F55" s="27"/>
      <c r="H55" s="5"/>
    </row>
    <row r="56" spans="1:12" ht="11.1" customHeight="1" x14ac:dyDescent="0.2">
      <c r="A56" s="26" t="s">
        <v>24</v>
      </c>
      <c r="B56" s="16"/>
      <c r="C56" s="16"/>
      <c r="D56" s="16"/>
      <c r="E56" s="16"/>
      <c r="F56" s="16"/>
      <c r="H56" s="5"/>
      <c r="I56" s="28" t="s">
        <v>25</v>
      </c>
    </row>
    <row r="57" spans="1:12" ht="11.1" customHeight="1" x14ac:dyDescent="0.2">
      <c r="A57" s="29" t="s">
        <v>26</v>
      </c>
      <c r="B57" s="30"/>
      <c r="C57" s="30"/>
      <c r="D57" s="30"/>
      <c r="E57" s="30"/>
      <c r="H57" s="5"/>
      <c r="I57" s="31">
        <f>'[1]Table 1.1'!I56</f>
        <v>41438</v>
      </c>
      <c r="J57" s="31"/>
    </row>
    <row r="58" spans="1:12" x14ac:dyDescent="0.2">
      <c r="A58" s="32"/>
      <c r="B58" s="33"/>
      <c r="C58" s="33"/>
      <c r="D58" s="33"/>
      <c r="F58" s="30"/>
      <c r="H58" s="4"/>
    </row>
    <row r="59" spans="1:12" x14ac:dyDescent="0.2">
      <c r="H59" s="4"/>
    </row>
    <row r="60" spans="1:12" x14ac:dyDescent="0.2">
      <c r="H60" s="4"/>
    </row>
  </sheetData>
  <mergeCells count="1">
    <mergeCell ref="I57:J57"/>
  </mergeCells>
  <hyperlinks>
    <hyperlink ref="A1" r:id="rId1"/>
    <hyperlink ref="A57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85725</xdr:colOff>
                <xdr:row>4</xdr:row>
                <xdr:rowOff>47625</xdr:rowOff>
              </from>
              <to>
                <xdr:col>10</xdr:col>
                <xdr:colOff>533400</xdr:colOff>
                <xdr:row>41</xdr:row>
                <xdr:rowOff>142875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1.2</vt:lpstr>
      <vt:lpstr>'Table 1.2'!Print_Area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2013-06-03T04:19:33Z</dcterms:created>
  <dcterms:modified xsi:type="dcterms:W3CDTF">2013-06-03T04:19:42Z</dcterms:modified>
</cp:coreProperties>
</file>