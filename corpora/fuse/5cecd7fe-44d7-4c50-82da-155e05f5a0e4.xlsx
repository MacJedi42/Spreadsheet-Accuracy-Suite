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7440" windowHeight="5205" firstSheet="7" activeTab="10"/>
  </bookViews>
  <sheets>
    <sheet name="Page 1-3" sheetId="1" r:id="rId1"/>
    <sheet name="Pg. 4 General Questions" sheetId="2" r:id="rId2"/>
    <sheet name="Part 1-Farm Review" sheetId="4" r:id="rId3"/>
    <sheet name="Part 2-Field Harvest &amp; Packing " sheetId="3" r:id="rId4"/>
    <sheet name="Part 3-House Packing Facilty" sheetId="6" r:id="rId5"/>
    <sheet name="Part 4-Storage &amp; Transportation" sheetId="7" r:id="rId6"/>
    <sheet name="Part 6-Wholesale Distribution" sheetId="9" r:id="rId7"/>
    <sheet name="Part 7-Preventive Food Defense" sheetId="5" r:id="rId8"/>
    <sheet name="Audit Scoresheet" sheetId="11" r:id="rId9"/>
    <sheet name="CAR Duplication Instructions" sheetId="12" r:id="rId10"/>
    <sheet name="Corrective Action Report" sheetId="13" r:id="rId11"/>
  </sheets>
  <definedNames>
    <definedName name="_xlnm._FilterDatabase" localSheetId="8" hidden="1">'Audit Scoresheet'!$A$1:$W$6</definedName>
    <definedName name="Facility">'Audit Scoresheet'!$A$5</definedName>
    <definedName name="_xlnm.Print_Area" localSheetId="8">'Audit Scoresheet'!$A$1:$W$41</definedName>
    <definedName name="_xlnm.Print_Area" localSheetId="0">'Page 1-3'!$A$1:$Q$102</definedName>
    <definedName name="_xlnm.Print_Area" localSheetId="1">'Pg. 4 General Questions'!$A$1:$O$102</definedName>
  </definedNames>
  <calcPr calcId="125725"/>
</workbook>
</file>

<file path=xl/calcChain.xml><?xml version="1.0" encoding="utf-8"?>
<calcChain xmlns="http://schemas.openxmlformats.org/spreadsheetml/2006/main">
  <c r="C7" i="13"/>
  <c r="J90" i="2" l="1"/>
  <c r="E176" i="9" l="1"/>
  <c r="J126" i="7"/>
  <c r="M21" i="11" s="1"/>
  <c r="A25"/>
  <c r="A23"/>
  <c r="A21"/>
  <c r="A20"/>
  <c r="A18"/>
  <c r="A17"/>
  <c r="M11"/>
  <c r="C11"/>
  <c r="M10"/>
  <c r="C10"/>
  <c r="E128" i="7"/>
  <c r="G21" i="11" s="1"/>
  <c r="M16"/>
  <c r="E99" i="3"/>
  <c r="E100" s="1"/>
  <c r="H9" i="11"/>
  <c r="A9"/>
  <c r="T7"/>
  <c r="Q7"/>
  <c r="H7"/>
  <c r="A7"/>
  <c r="C5"/>
  <c r="G23"/>
  <c r="E125" i="5"/>
  <c r="E126" s="1"/>
  <c r="I25" i="11" s="1"/>
  <c r="J123" i="5"/>
  <c r="M25" i="11" s="1"/>
  <c r="E177" i="9"/>
  <c r="I23" i="11" s="1"/>
  <c r="J174" i="9"/>
  <c r="M23" i="11" s="1"/>
  <c r="E129" i="7"/>
  <c r="I21" i="11" s="1"/>
  <c r="E129" i="6"/>
  <c r="G20" i="11" s="1"/>
  <c r="J127" i="6"/>
  <c r="M20" i="11" s="1"/>
  <c r="J97" i="3"/>
  <c r="M18" i="11" s="1"/>
  <c r="E131" i="4"/>
  <c r="G17" i="11" s="1"/>
  <c r="J129" i="4"/>
  <c r="M17" i="11" s="1"/>
  <c r="E92" i="2"/>
  <c r="G16" i="11" s="1"/>
  <c r="E130" i="6" l="1"/>
  <c r="E132" s="1"/>
  <c r="K20" i="11" s="1"/>
  <c r="E179" i="9"/>
  <c r="K23" i="11" s="1"/>
  <c r="E93" i="2"/>
  <c r="I16" i="11" s="1"/>
  <c r="G25"/>
  <c r="E128" i="5"/>
  <c r="K25" i="11" s="1"/>
  <c r="E131" i="7"/>
  <c r="K21" i="11" s="1"/>
  <c r="I18"/>
  <c r="E102" i="3"/>
  <c r="K18" i="11" s="1"/>
  <c r="G18"/>
  <c r="E132" i="4"/>
  <c r="E134" s="1"/>
  <c r="K17" i="11" s="1"/>
  <c r="I20" l="1"/>
  <c r="E95" i="2"/>
  <c r="K16" i="11" s="1"/>
  <c r="I17"/>
</calcChain>
</file>

<file path=xl/sharedStrings.xml><?xml version="1.0" encoding="utf-8"?>
<sst xmlns="http://schemas.openxmlformats.org/spreadsheetml/2006/main" count="1547" uniqueCount="962">
  <si>
    <t>Only answer the following manure questions (questions 1-14 to 1-22) that are</t>
  </si>
  <si>
    <t>two options. The points from the manure and municipal biosolids are worth 35 of a</t>
  </si>
  <si>
    <t>Part 2 - Field Harvest and Field Packing Activities</t>
  </si>
  <si>
    <t>Part 3 - HOUSE PACKING FACILITY</t>
  </si>
  <si>
    <t>Part 4 - STORAGE AND TRANSPORTATION</t>
  </si>
  <si>
    <t>Part 6-Wholesale Distribution Center/Terminal Warehouses</t>
  </si>
  <si>
    <t xml:space="preserve">Part 7 - Preventive Food Defense Procedures </t>
  </si>
  <si>
    <t xml:space="preserve">            Fresh Products Branch</t>
  </si>
  <si>
    <t>Center/ Warehouses</t>
  </si>
  <si>
    <t>Defense Procedures</t>
  </si>
  <si>
    <t>**A Passing Score is 80% of the Possible Points or the Adjusted Points, if adjustment are necessary, with no "automatic unsatisfactory" conditions is required for certification.</t>
  </si>
  <si>
    <t>For USDA HQ use:</t>
  </si>
  <si>
    <t>Reviewing Official Name (Print)</t>
  </si>
  <si>
    <t>Date Received:</t>
  </si>
  <si>
    <t>USDA Commodity Procurement Audit?</t>
  </si>
  <si>
    <t>Check One</t>
  </si>
  <si>
    <t>Firm Name:</t>
  </si>
  <si>
    <t>Contact Person:</t>
  </si>
  <si>
    <t>Audit Site(s):</t>
  </si>
  <si>
    <t>Main Address:</t>
  </si>
  <si>
    <t>State:</t>
  </si>
  <si>
    <t>Zip:</t>
  </si>
  <si>
    <t>Telephone No:</t>
  </si>
  <si>
    <t>Fax:</t>
  </si>
  <si>
    <t>E-mail:</t>
  </si>
  <si>
    <t>USDA or Fed-State Office performing audit:</t>
  </si>
  <si>
    <t>Did the auditee participate in GAP &amp; GHP training?</t>
  </si>
  <si>
    <t>Yes</t>
  </si>
  <si>
    <t>No</t>
  </si>
  <si>
    <t>Is there a map that accurately represents the farm operations?</t>
  </si>
  <si>
    <t>For Official Government Use Only</t>
  </si>
  <si>
    <t>Legal Description/GPS/Lat.-Long. of Location:</t>
  </si>
  <si>
    <t>Are all crop production areas located on this audit site?</t>
  </si>
  <si>
    <t>Total acres farmed (Owned, leased/rented, contracted, consigned):</t>
  </si>
  <si>
    <t>Does the company have more than one packing facility?</t>
  </si>
  <si>
    <t>Is any product commingled prior to packing?</t>
  </si>
  <si>
    <t>Audit Scope: (Please check all scopes audited)</t>
  </si>
  <si>
    <t>General Questions (All audits must begin with and pass this portion)</t>
  </si>
  <si>
    <t>Products:</t>
  </si>
  <si>
    <t>Auditors’ Signature(s):</t>
  </si>
  <si>
    <t>USDA Good Agricultural Practices Good Handling Practices</t>
  </si>
  <si>
    <t>Audit Verification Checklist</t>
  </si>
  <si>
    <t>Will be Assessed</t>
  </si>
  <si>
    <t>Conditions Under Which an Automatic "Unsatisfactory"</t>
  </si>
  <si>
    <t>• An immediate food safety risk is present when produce is grown, processed,</t>
  </si>
  <si>
    <t>• The presence or evidence of rodents, an excessive amount of insects or other</t>
  </si>
  <si>
    <t xml:space="preserve">   pests in the produce during packing, processing or storage.</t>
  </si>
  <si>
    <t xml:space="preserve">   packed or held under conditions that promote or cause the produce to become</t>
  </si>
  <si>
    <t xml:space="preserve">   contaminated.</t>
  </si>
  <si>
    <t>• Observation of employee practices (personal or hygienic) that have jeopardized</t>
  </si>
  <si>
    <t xml:space="preserve">   or may jeopardize the safety of the produce.</t>
  </si>
  <si>
    <t>• Falsification of records.</t>
  </si>
  <si>
    <t>Auditor Completion Instructions</t>
  </si>
  <si>
    <t>• For clarification and guidance in answering these questions, please refer to the</t>
  </si>
  <si>
    <t xml:space="preserve">   Good Agricultural Practices &amp; Good Handling Practices Audit Verification</t>
  </si>
  <si>
    <t xml:space="preserve">   Program Policy and Instruction Guide.</t>
  </si>
  <si>
    <t>• Place the point value for each question in the proper column (Yes, No, or N/A).</t>
  </si>
  <si>
    <t>• Gray boxes in the “N/A” column indicate that question cannot be answered</t>
  </si>
  <si>
    <t xml:space="preserve">   “N/A”.</t>
  </si>
  <si>
    <t>• Any “N/A” or “No” designation must be explained in the comments section.</t>
  </si>
  <si>
    <t>General Questions</t>
  </si>
  <si>
    <t>Implementation of a Food Safety Program</t>
  </si>
  <si>
    <t>Doc</t>
  </si>
  <si>
    <t>N/A</t>
  </si>
  <si>
    <t>NO</t>
  </si>
  <si>
    <t>Points</t>
  </si>
  <si>
    <t>Questions</t>
  </si>
  <si>
    <t>A documented food safety program that</t>
  </si>
  <si>
    <t>incorporates GAP and/or GHP has been</t>
  </si>
  <si>
    <t>implemented.</t>
  </si>
  <si>
    <t>G-1</t>
  </si>
  <si>
    <t>G-2</t>
  </si>
  <si>
    <t>The operation has designated someone to</t>
  </si>
  <si>
    <t>implement and oversee an established food</t>
  </si>
  <si>
    <t>safety program.</t>
  </si>
  <si>
    <t>Name</t>
  </si>
  <si>
    <t>D</t>
  </si>
  <si>
    <t>Worker Health &amp; Hygiene</t>
  </si>
  <si>
    <t>G-3</t>
  </si>
  <si>
    <t>G-4</t>
  </si>
  <si>
    <t>G-5</t>
  </si>
  <si>
    <t>G-6</t>
  </si>
  <si>
    <t>G-7</t>
  </si>
  <si>
    <t>G-8</t>
  </si>
  <si>
    <t>G-9</t>
  </si>
  <si>
    <t>G-10</t>
  </si>
  <si>
    <t>G-11</t>
  </si>
  <si>
    <t>G-12</t>
  </si>
  <si>
    <t>Potable water is available to all workers.</t>
  </si>
  <si>
    <t>Training on proper sanitation and hygiene</t>
  </si>
  <si>
    <t>practices is provided to all staff.</t>
  </si>
  <si>
    <t>Readily understandable signs are posted to</t>
  </si>
  <si>
    <t>instruct employees to wash their hands before</t>
  </si>
  <si>
    <t>beginning or returning to work.</t>
  </si>
  <si>
    <t>All employees and all visitors to the location are</t>
  </si>
  <si>
    <t>required to follow proper sanitation and hygiene</t>
  </si>
  <si>
    <t>practices.</t>
  </si>
  <si>
    <t>Employees and visitors are following good</t>
  </si>
  <si>
    <t>hygiene/sanitation practices.</t>
  </si>
  <si>
    <t>All toilet/restroom/field sanitation facilities are</t>
  </si>
  <si>
    <t>washing.</t>
  </si>
  <si>
    <t>serviced and cleaned on a scheduled basis.</t>
  </si>
  <si>
    <t>Smoking and eating are confined to designated</t>
  </si>
  <si>
    <t>areas separate from where product is handled.</t>
  </si>
  <si>
    <t>Workers with diarrheal disease or symptoms of</t>
  </si>
  <si>
    <t>handling fresh produce.</t>
  </si>
  <si>
    <t>G-13</t>
  </si>
  <si>
    <t>G-14</t>
  </si>
  <si>
    <t>G-15</t>
  </si>
  <si>
    <t>There is a policy describing procedures which</t>
  </si>
  <si>
    <t>specify handling/disposition of produce or food</t>
  </si>
  <si>
    <t>contact surfaces that have come into contact</t>
  </si>
  <si>
    <t>COMMENTS:</t>
  </si>
  <si>
    <t>Part 1 - Farm Review</t>
  </si>
  <si>
    <t>Water Usage</t>
  </si>
  <si>
    <t>(1-1)</t>
  </si>
  <si>
    <t>(1-2)</t>
  </si>
  <si>
    <t>1-3</t>
  </si>
  <si>
    <t>1-4</t>
  </si>
  <si>
    <t>1-5</t>
  </si>
  <si>
    <t>contamination.</t>
  </si>
  <si>
    <t>Sewage Treatment</t>
  </si>
  <si>
    <t>1-6</t>
  </si>
  <si>
    <t>1-7</t>
  </si>
  <si>
    <t>Animals/Wildlife/Livestock</t>
  </si>
  <si>
    <t>1-8</t>
  </si>
  <si>
    <t>1-9</t>
  </si>
  <si>
    <t>1-10</t>
  </si>
  <si>
    <t>1-11</t>
  </si>
  <si>
    <t>water.</t>
  </si>
  <si>
    <t>1-12</t>
  </si>
  <si>
    <t>1-13</t>
  </si>
  <si>
    <t>Crop production areas are monitored for the</t>
  </si>
  <si>
    <t>presence or signs of wild or domestic animals</t>
  </si>
  <si>
    <t>Manure and Municipal Biosolids</t>
  </si>
  <si>
    <t xml:space="preserve">   used as a soil amendment.</t>
  </si>
  <si>
    <t>points to calculate incorrectly.</t>
  </si>
  <si>
    <t>Option A: Raw Manure</t>
  </si>
  <si>
    <t>1-14</t>
  </si>
  <si>
    <t>1-15</t>
  </si>
  <si>
    <t>1-16</t>
  </si>
  <si>
    <t>1-17</t>
  </si>
  <si>
    <t>used, the treated manure is properly treated,</t>
  </si>
  <si>
    <t>composted or exposed to reduce the expected</t>
  </si>
  <si>
    <t>levels of pathogens.</t>
  </si>
  <si>
    <t>Option B: Composted Manure</t>
  </si>
  <si>
    <t>1-18</t>
  </si>
  <si>
    <t>1-19</t>
  </si>
  <si>
    <t>Composted manure and/or treated biosolids are</t>
  </si>
  <si>
    <t>properly treated, composted, or exposed to</t>
  </si>
  <si>
    <t>environmental conditions that would lower the</t>
  </si>
  <si>
    <t>expected level of pathogens.</t>
  </si>
  <si>
    <t>Please choose one of the following options as it relates to the farm operations:</t>
  </si>
  <si>
    <t>1-20</t>
  </si>
  <si>
    <t>1-21</t>
  </si>
  <si>
    <t>1-22</t>
  </si>
  <si>
    <t>1-23</t>
  </si>
  <si>
    <t>properly stored and are protected to minimize</t>
  </si>
  <si>
    <t>recontamination.</t>
  </si>
  <si>
    <t>Analysis reports are available for composted</t>
  </si>
  <si>
    <t>manure/treated biosolids.</t>
  </si>
  <si>
    <t>Option C: No Manure/Biosolids Used</t>
  </si>
  <si>
    <t>No animal manure or municipal biosolids are</t>
  </si>
  <si>
    <t>used.</t>
  </si>
  <si>
    <t>Soils</t>
  </si>
  <si>
    <t>1-24</t>
  </si>
  <si>
    <t>1-25</t>
  </si>
  <si>
    <t>When previous land use history indicates a</t>
  </si>
  <si>
    <t>possibility of contamination, preventative</t>
  </si>
  <si>
    <t>Option A.  Raw manure or a combination of raw and composed manure is</t>
  </si>
  <si>
    <t>Field Sanitation and Hygiene</t>
  </si>
  <si>
    <t>2-2</t>
  </si>
  <si>
    <t>2-3</t>
  </si>
  <si>
    <t>2-4</t>
  </si>
  <si>
    <t>The number, condition, and placement of field</t>
  </si>
  <si>
    <t>sanitation units comply with applicable state</t>
  </si>
  <si>
    <t>and/or federal regulations.</t>
  </si>
  <si>
    <t>Field sanitation units are located in a location</t>
  </si>
  <si>
    <t>that minimizes the potential risk for product</t>
  </si>
  <si>
    <t>servicing.</t>
  </si>
  <si>
    <t>contamination and are directly accessible for</t>
  </si>
  <si>
    <t>Field Harvesting and Transportation</t>
  </si>
  <si>
    <t>2-5</t>
  </si>
  <si>
    <t>2-6</t>
  </si>
  <si>
    <t>2-7</t>
  </si>
  <si>
    <t>2-8</t>
  </si>
  <si>
    <t>2-9</t>
  </si>
  <si>
    <t>Damaged containers are properly repaired or</t>
  </si>
  <si>
    <t>disposed of.</t>
  </si>
  <si>
    <t>Harvesting equipment and/or machinery which</t>
  </si>
  <si>
    <t>comes into contact with product is in good</t>
  </si>
  <si>
    <t>repair.</t>
  </si>
  <si>
    <t>Light bulbs and glass on harvesting equipment</t>
  </si>
  <si>
    <t>are protected so as not to contaminate produce</t>
  </si>
  <si>
    <t>or fields in the case of breakage.</t>
  </si>
  <si>
    <t>2-10</t>
  </si>
  <si>
    <t>2-11</t>
  </si>
  <si>
    <t>2-12</t>
  </si>
  <si>
    <t>2-13</t>
  </si>
  <si>
    <t>2-14</t>
  </si>
  <si>
    <t>2-15</t>
  </si>
  <si>
    <t>2-16</t>
  </si>
  <si>
    <t>2-17</t>
  </si>
  <si>
    <t>There is a standard operating procedure or</t>
  </si>
  <si>
    <t>instructions on what measures should be taken</t>
  </si>
  <si>
    <t>in the case of glass/plastic breakage and</t>
  </si>
  <si>
    <t>possible contamination during harvesting</t>
  </si>
  <si>
    <t>operations.</t>
  </si>
  <si>
    <t>in the case of product contamination by</t>
  </si>
  <si>
    <t>chemicals, petroleum, pesticides or other</t>
  </si>
  <si>
    <t>contaminating factors.</t>
  </si>
  <si>
    <t>Harvesting containers, totes, etc. are not used</t>
  </si>
  <si>
    <t>There is a policy in place and has been</t>
  </si>
  <si>
    <t>implemented that harvested product being</t>
  </si>
  <si>
    <t>moved from field to storage areas or processing</t>
  </si>
  <si>
    <t>Receiving</t>
  </si>
  <si>
    <t>3-1</t>
  </si>
  <si>
    <t>3-2</t>
  </si>
  <si>
    <t>Washing/Packing Line</t>
  </si>
  <si>
    <t>3-3</t>
  </si>
  <si>
    <t>3-4</t>
  </si>
  <si>
    <t>3-5</t>
  </si>
  <si>
    <t>3-6</t>
  </si>
  <si>
    <t>3-7</t>
  </si>
  <si>
    <t>3-8</t>
  </si>
  <si>
    <t>3-9</t>
  </si>
  <si>
    <t>3-10</t>
  </si>
  <si>
    <t>3-11</t>
  </si>
  <si>
    <t>3-12</t>
  </si>
  <si>
    <t>Prior to packing, product is properly stored</t>
  </si>
  <si>
    <t>and/or handled in order to reduce possible</t>
  </si>
  <si>
    <t>Source water used in the packing operation is</t>
  </si>
  <si>
    <t>potable.</t>
  </si>
  <si>
    <t>If applicable, the temperature of processing</t>
  </si>
  <si>
    <t>water used in dump tanks, flumes, etc., is</t>
  </si>
  <si>
    <t>monitored and is kept at temperatures</t>
  </si>
  <si>
    <t>appropriate for the commodity.</t>
  </si>
  <si>
    <t>Water-contact surfaces, such as dump tanks,</t>
  </si>
  <si>
    <t>cleaned and/or sanitized on a scheduled basis.</t>
  </si>
  <si>
    <t>Water treatment (strength levels and pH) and</t>
  </si>
  <si>
    <t>exposure time is monitored and is appropriate</t>
  </si>
  <si>
    <t>for product.</t>
  </si>
  <si>
    <t>Product flow zones are protected from sources</t>
  </si>
  <si>
    <t>of contamination.</t>
  </si>
  <si>
    <t>The water used for cooling/ice is potable.</t>
  </si>
  <si>
    <t>facilities used in making and delivering ice used</t>
  </si>
  <si>
    <t>Any ice used for cooling produce is</t>
  </si>
  <si>
    <t>manufactured, transported and stored under</t>
  </si>
  <si>
    <t>sanitary conditions.</t>
  </si>
  <si>
    <t>3-13</t>
  </si>
  <si>
    <t>3-14</t>
  </si>
  <si>
    <t>3-15</t>
  </si>
  <si>
    <t>Employee facilities (locker rooms, lunch and</t>
  </si>
  <si>
    <t>break areas, etc.) are clean and located away</t>
  </si>
  <si>
    <t>from packing area.</t>
  </si>
  <si>
    <t>Packing House General Housekeeping</t>
  </si>
  <si>
    <t>3-16</t>
  </si>
  <si>
    <t>3-17</t>
  </si>
  <si>
    <t>3-18</t>
  </si>
  <si>
    <t>3-19</t>
  </si>
  <si>
    <t>3-20</t>
  </si>
  <si>
    <t>3-21</t>
  </si>
  <si>
    <t>3-22</t>
  </si>
  <si>
    <t>3-23</t>
  </si>
  <si>
    <t>3-24</t>
  </si>
  <si>
    <t>3-25</t>
  </si>
  <si>
    <t>3-26</t>
  </si>
  <si>
    <t>3-27</t>
  </si>
  <si>
    <t>Chemicals not approved for use on product are</t>
  </si>
  <si>
    <t>stored and segregated away from packing area.</t>
  </si>
  <si>
    <t>The plant grounds are reasonably free of litter</t>
  </si>
  <si>
    <t>and debris.</t>
  </si>
  <si>
    <t>The plant grounds are reasonably free of</t>
  </si>
  <si>
    <t>standing water.</t>
  </si>
  <si>
    <t>Outside garbage receptacles/dumpsters are</t>
  </si>
  <si>
    <t>closed or are located away from packing facility</t>
  </si>
  <si>
    <t>entrances and the area around such sites is</t>
  </si>
  <si>
    <t>reasonably clean.</t>
  </si>
  <si>
    <t>Packing facilities are enclosed.</t>
  </si>
  <si>
    <t>The packing facility interior is clean and</t>
  </si>
  <si>
    <t>maintained in an orderly manner.</t>
  </si>
  <si>
    <t>Floor drains appear to be free of obstructions.</t>
  </si>
  <si>
    <t>Glass materials above product flow zones are</t>
  </si>
  <si>
    <t>contained in case of breakage.</t>
  </si>
  <si>
    <t>Possible wastewater spillage is prevented from</t>
  </si>
  <si>
    <t>contaminating any food handling area by</t>
  </si>
  <si>
    <t>Measures are taken to exclude animals or pests</t>
  </si>
  <si>
    <t>3-28</t>
  </si>
  <si>
    <t>3-29</t>
  </si>
  <si>
    <t>3-30</t>
  </si>
  <si>
    <t>3-31</t>
  </si>
  <si>
    <t>Interior walls, floors and ceilings are well</t>
  </si>
  <si>
    <t>maintained and are free of major cracks and</t>
  </si>
  <si>
    <t>crevices.</t>
  </si>
  <si>
    <t>specify handling/disposition of finished product</t>
  </si>
  <si>
    <t>with the floor.</t>
  </si>
  <si>
    <t>Product, Containers &amp; Pallets</t>
  </si>
  <si>
    <t>4-1</t>
  </si>
  <si>
    <t>4-2</t>
  </si>
  <si>
    <t>4-3</t>
  </si>
  <si>
    <t>4-4</t>
  </si>
  <si>
    <t>4-5</t>
  </si>
  <si>
    <t>4-6</t>
  </si>
  <si>
    <t>4-7</t>
  </si>
  <si>
    <t>Storage rooms, buildings, and/or facilities are</t>
  </si>
  <si>
    <t>Pest Control</t>
  </si>
  <si>
    <t>4-8</t>
  </si>
  <si>
    <t>4-9</t>
  </si>
  <si>
    <t>4-10</t>
  </si>
  <si>
    <t>4-11</t>
  </si>
  <si>
    <t>from storage facilities.</t>
  </si>
  <si>
    <t>the facility.</t>
  </si>
  <si>
    <t>Service reports for the pest control program are</t>
  </si>
  <si>
    <t>available for review.</t>
  </si>
  <si>
    <t>4-12</t>
  </si>
  <si>
    <t>4-13</t>
  </si>
  <si>
    <t>for cooling the product have been sanitized.</t>
  </si>
  <si>
    <t>4-14</t>
  </si>
  <si>
    <t>4-15</t>
  </si>
  <si>
    <t>4-16</t>
  </si>
  <si>
    <t>4-17</t>
  </si>
  <si>
    <t>YES</t>
  </si>
  <si>
    <t>orderly manner.</t>
  </si>
  <si>
    <t>Thermometer(s) are checked for accuracy and</t>
  </si>
  <si>
    <t>4-18</t>
  </si>
  <si>
    <t>4-19</t>
  </si>
  <si>
    <t>4-20</t>
  </si>
  <si>
    <t>4-21</t>
  </si>
  <si>
    <t>Produce items are not loaded with potentially</t>
  </si>
  <si>
    <t>contaminating products.</t>
  </si>
  <si>
    <t>that was proven to be effective.</t>
  </si>
  <si>
    <t>6-1</t>
  </si>
  <si>
    <t>6-2</t>
  </si>
  <si>
    <t>6-3</t>
  </si>
  <si>
    <t>6-4</t>
  </si>
  <si>
    <t>All companies that supply fresh produce are</t>
  </si>
  <si>
    <t>required to have passed a third party audit</t>
  </si>
  <si>
    <t>verification of GAP and/or GHP.</t>
  </si>
  <si>
    <t>Company does not accept produce items that</t>
  </si>
  <si>
    <t>potentially contaminating products.</t>
  </si>
  <si>
    <t>Refrigerated commodities are monitored for</t>
  </si>
  <si>
    <t>Storage Facility/Temperature Control</t>
  </si>
  <si>
    <t>6-5</t>
  </si>
  <si>
    <t>6-6</t>
  </si>
  <si>
    <t>6-7</t>
  </si>
  <si>
    <t>6-8</t>
  </si>
  <si>
    <t>6-9</t>
  </si>
  <si>
    <t>6-10</t>
  </si>
  <si>
    <t>6-11</t>
  </si>
  <si>
    <t>6-12</t>
  </si>
  <si>
    <t>6-13</t>
  </si>
  <si>
    <t>6-14</t>
  </si>
  <si>
    <t>The facility is clean and maintained in an</t>
  </si>
  <si>
    <t>Refrigerated rooms are monitored for</t>
  </si>
  <si>
    <t>temperature and logs are maintained.</t>
  </si>
  <si>
    <t>Refrigeration system condensation does not</t>
  </si>
  <si>
    <t>Refrigeration equipment (condensers, fans,</t>
  </si>
  <si>
    <t>etc.) is cleaned on a scheduled basis.</t>
  </si>
  <si>
    <t>Iced product does not drip on pallets of</t>
  </si>
  <si>
    <t>produce stored below.</t>
  </si>
  <si>
    <t>6-15</t>
  </si>
  <si>
    <t>6-16</t>
  </si>
  <si>
    <t>6-17</t>
  </si>
  <si>
    <t>6-18</t>
  </si>
  <si>
    <t>6-19</t>
  </si>
  <si>
    <t>6-20</t>
  </si>
  <si>
    <t>6-21</t>
  </si>
  <si>
    <t>6-22</t>
  </si>
  <si>
    <t>6-23</t>
  </si>
  <si>
    <t>The grounds are reasonably free of litter and</t>
  </si>
  <si>
    <t>debris.</t>
  </si>
  <si>
    <t>The grounds are reasonably free of standing</t>
  </si>
  <si>
    <t>closed or are located away from facility</t>
  </si>
  <si>
    <t>The facility is enclosed.</t>
  </si>
  <si>
    <t>are reasonably clean.</t>
  </si>
  <si>
    <t>Possible wastewater spillage is prevented</t>
  </si>
  <si>
    <t>from contaminating any food storage or</t>
  </si>
  <si>
    <t>distance.</t>
  </si>
  <si>
    <t>6-24</t>
  </si>
  <si>
    <t>6-25</t>
  </si>
  <si>
    <t>6-26</t>
  </si>
  <si>
    <t>6-27</t>
  </si>
  <si>
    <t xml:space="preserve">Repacking/Reconditioning </t>
  </si>
  <si>
    <t>Measures are taken to exclude animals or</t>
  </si>
  <si>
    <t>pests from the facility.</t>
  </si>
  <si>
    <t>There is an established pest control program</t>
  </si>
  <si>
    <t>for the facility.</t>
  </si>
  <si>
    <t>Service reports for the pest control program</t>
  </si>
  <si>
    <t>are available for review.</t>
  </si>
  <si>
    <t>maintained and free of major cracks and</t>
  </si>
  <si>
    <t>confined to an established location in the</t>
  </si>
  <si>
    <t>facility.</t>
  </si>
  <si>
    <t>6-30</t>
  </si>
  <si>
    <t>6-31</t>
  </si>
  <si>
    <t>6-32</t>
  </si>
  <si>
    <t>6-33</t>
  </si>
  <si>
    <t>6-34</t>
  </si>
  <si>
    <t>6-35</t>
  </si>
  <si>
    <t>6-36</t>
  </si>
  <si>
    <t>6-37</t>
  </si>
  <si>
    <t>6-38</t>
  </si>
  <si>
    <t>6-39</t>
  </si>
  <si>
    <t>6-40</t>
  </si>
  <si>
    <t>6-41</t>
  </si>
  <si>
    <t>6-42</t>
  </si>
  <si>
    <t>6-43</t>
  </si>
  <si>
    <t>cleaning logs are maintained.</t>
  </si>
  <si>
    <t>Source water used in the repacking operation</t>
  </si>
  <si>
    <t>is potable.</t>
  </si>
  <si>
    <t>Processing water is sufficiently treated to</t>
  </si>
  <si>
    <t>Water used for chilling and/or to make ice is</t>
  </si>
  <si>
    <t>Only food grade approved and labeled</t>
  </si>
  <si>
    <t>lubricants are used in the repacking</t>
  </si>
  <si>
    <t>equipment/machinery.</t>
  </si>
  <si>
    <t>Pallets and other containers are clean and in</t>
  </si>
  <si>
    <t>good condition.</t>
  </si>
  <si>
    <t>Shipping/Transportation</t>
  </si>
  <si>
    <t>6-44</t>
  </si>
  <si>
    <t>6-45</t>
  </si>
  <si>
    <t>6-46</t>
  </si>
  <si>
    <t>Secure Employee/Visitor Procedures</t>
  </si>
  <si>
    <t>7-1</t>
  </si>
  <si>
    <t>7-2</t>
  </si>
  <si>
    <t>7-3</t>
  </si>
  <si>
    <t>7-4</t>
  </si>
  <si>
    <t>7-5</t>
  </si>
  <si>
    <t>7-6</t>
  </si>
  <si>
    <t>7-7</t>
  </si>
  <si>
    <t>7-8</t>
  </si>
  <si>
    <t>7-9</t>
  </si>
  <si>
    <t>7-10</t>
  </si>
  <si>
    <t>7-11</t>
  </si>
  <si>
    <t>7-12</t>
  </si>
  <si>
    <t>plan and a person has been designated to</t>
  </si>
  <si>
    <t>oversee it.</t>
  </si>
  <si>
    <t>Name:</t>
  </si>
  <si>
    <t>Scopes</t>
  </si>
  <si>
    <t>Requested</t>
  </si>
  <si>
    <t>Element</t>
  </si>
  <si>
    <t>Possible</t>
  </si>
  <si>
    <t>Less N/A</t>
  </si>
  <si>
    <t>Adjusted</t>
  </si>
  <si>
    <t>Passing</t>
  </si>
  <si>
    <t>Score*</t>
  </si>
  <si>
    <t>Facility</t>
  </si>
  <si>
    <t>Score</t>
  </si>
  <si>
    <t>Date</t>
  </si>
  <si>
    <t>Passed</t>
  </si>
  <si>
    <t>General</t>
  </si>
  <si>
    <t>Reviewing</t>
  </si>
  <si>
    <t>Official</t>
  </si>
  <si>
    <t>Part 1 – Farm Review</t>
  </si>
  <si>
    <t xml:space="preserve">General Questions </t>
  </si>
  <si>
    <t>Part 2 – Field Harvesting &amp; Field</t>
  </si>
  <si>
    <t>Packing Activities</t>
  </si>
  <si>
    <t>Part 4 – Storage and</t>
  </si>
  <si>
    <t>Transportation</t>
  </si>
  <si>
    <t xml:space="preserve">Part 3 – House Packing Facility </t>
  </si>
  <si>
    <t>Part 6 – Wholesale Distribution</t>
  </si>
  <si>
    <t>Part 7 – Preventative Food</t>
  </si>
  <si>
    <t>EVALUATION ELEMENTS</t>
  </si>
  <si>
    <t>Commodities</t>
  </si>
  <si>
    <t>Street Address (Print):</t>
  </si>
  <si>
    <t>City (Print):</t>
  </si>
  <si>
    <t>State (Print):</t>
  </si>
  <si>
    <t>Date Audit Requested:</t>
  </si>
  <si>
    <t>Date Audit Began:</t>
  </si>
  <si>
    <t>Date Audit Completed:</t>
  </si>
  <si>
    <t>Time Audit Began:</t>
  </si>
  <si>
    <t>Time Audit Completed:</t>
  </si>
  <si>
    <t>Date:</t>
  </si>
  <si>
    <t>Date Certificate Mailed:</t>
  </si>
  <si>
    <t>Date Posted to USDA Website:</t>
  </si>
  <si>
    <t>Food defense training has been provided to all</t>
  </si>
  <si>
    <t>employees.</t>
  </si>
  <si>
    <t>Employees are aware of whom in management</t>
  </si>
  <si>
    <t>they should contact about potential security</t>
  </si>
  <si>
    <t>problems/issues.</t>
  </si>
  <si>
    <t>Visitors are required to check in (showing</t>
  </si>
  <si>
    <t>proof of identity) and out, when</t>
  </si>
  <si>
    <t>entering/leaving the facility.</t>
  </si>
  <si>
    <t>The purpose of visitation to site is verified</t>
  </si>
  <si>
    <t>before admittance to the facility.</t>
  </si>
  <si>
    <t>Visitors are prohibited from the</t>
  </si>
  <si>
    <t>packing/storage areas unless accompanied by</t>
  </si>
  <si>
    <t>an employee.</t>
  </si>
  <si>
    <t>Incoming and outgoing employee and visitor</t>
  </si>
  <si>
    <t>vehicles to and from the site are subject to</t>
  </si>
  <si>
    <t>inspection.</t>
  </si>
  <si>
    <t>Parked vehicles belonging to employees and</t>
  </si>
  <si>
    <t>visitors display a decal or placard issued by</t>
  </si>
  <si>
    <t>Staff is prohibited from bringing personal</t>
  </si>
  <si>
    <t>items into the handling or storage areas.</t>
  </si>
  <si>
    <t>Management is aware of which employee</t>
  </si>
  <si>
    <t>A system of positive identification of</t>
  </si>
  <si>
    <t>employees has been established and is</t>
  </si>
  <si>
    <t>enforced.</t>
  </si>
  <si>
    <t>Secure Facility Procedures</t>
  </si>
  <si>
    <t>7-13</t>
  </si>
  <si>
    <t>7-14</t>
  </si>
  <si>
    <t>7-15</t>
  </si>
  <si>
    <t>7-16</t>
  </si>
  <si>
    <t>7-17</t>
  </si>
  <si>
    <t>7-18</t>
  </si>
  <si>
    <t>7-19</t>
  </si>
  <si>
    <t>7-20</t>
  </si>
  <si>
    <t>7-21</t>
  </si>
  <si>
    <t>7-22</t>
  </si>
  <si>
    <t>7-23</t>
  </si>
  <si>
    <t>7-24</t>
  </si>
  <si>
    <t>7-25</t>
  </si>
  <si>
    <t>7-26</t>
  </si>
  <si>
    <t>7-27</t>
  </si>
  <si>
    <t>7-28</t>
  </si>
  <si>
    <t>7-29</t>
  </si>
  <si>
    <t>7-30</t>
  </si>
  <si>
    <t>7-31</t>
  </si>
  <si>
    <t>7-32</t>
  </si>
  <si>
    <t>Uniforms, name tags, or identification badges</t>
  </si>
  <si>
    <t>are collected from employees prior to the</t>
  </si>
  <si>
    <t>termination of employment.</t>
  </si>
  <si>
    <t>The mailroom is located away from the</t>
  </si>
  <si>
    <t>packing/storage facilities.</t>
  </si>
  <si>
    <t>Computer access is restricted to specific</t>
  </si>
  <si>
    <t>personnel.</t>
  </si>
  <si>
    <t>A system of traceability of computer</t>
  </si>
  <si>
    <t>transactions has been established.</t>
  </si>
  <si>
    <t>A minimum level of background checks has</t>
  </si>
  <si>
    <t>been established for all employees.</t>
  </si>
  <si>
    <t>Routine security checks of the premises are</t>
  </si>
  <si>
    <t>performed for signs of tampering, criminal or</t>
  </si>
  <si>
    <t>Perimeter of facility is secured by fencing or</t>
  </si>
  <si>
    <t>other deterrent.</t>
  </si>
  <si>
    <t>Checklists are used to verify the security of</t>
  </si>
  <si>
    <t>doors, windows, and other points of entry.</t>
  </si>
  <si>
    <t>All keys to the establishment are accounted</t>
  </si>
  <si>
    <t>for.</t>
  </si>
  <si>
    <t>The facility has an emergency lighting system.</t>
  </si>
  <si>
    <t>Storage or vehicles/containers/trailers/railcars</t>
  </si>
  <si>
    <t>that are not being used are kept locked.</t>
  </si>
  <si>
    <t>Delivery schedules have been established.</t>
  </si>
  <si>
    <t>The off-loading of incoming materials is</t>
  </si>
  <si>
    <t>supervised.</t>
  </si>
  <si>
    <t>The organization has an established policy for</t>
  </si>
  <si>
    <t>rejecting deliveries.</t>
  </si>
  <si>
    <t>Unauthorized deliveries are not accepted.</t>
  </si>
  <si>
    <t>The company does not accept returned</t>
  </si>
  <si>
    <t>(empty) containers for packing of product</t>
  </si>
  <si>
    <t>unless they are sanitized containers intended</t>
  </si>
  <si>
    <t>for reuse.</t>
  </si>
  <si>
    <t>The facility has a program in place to inspect</t>
  </si>
  <si>
    <t>product returned to the facility for tampering.</t>
  </si>
  <si>
    <t>The company has identified the individual(s),</t>
  </si>
  <si>
    <t>with at least one backup, who are responsible</t>
  </si>
  <si>
    <t>for recalling the product.</t>
  </si>
  <si>
    <t>7-33</t>
  </si>
  <si>
    <t>7-34</t>
  </si>
  <si>
    <t>7-35</t>
  </si>
  <si>
    <t>7-36</t>
  </si>
  <si>
    <t>Product imported from outside the United</t>
  </si>
  <si>
    <t>States is segregated from domestic product.</t>
  </si>
  <si>
    <t>Allergens handled by the facility are</t>
  </si>
  <si>
    <t>segregated from products to avoid cross</t>
  </si>
  <si>
    <t>Floor plans, product flow plans, and/or</t>
  </si>
  <si>
    <t>segregation charts are in a secure location.</t>
  </si>
  <si>
    <t>The organization has registered with the FDA</t>
  </si>
  <si>
    <t>and has been issued a registration number (do</t>
  </si>
  <si>
    <t>not record the number on checklist).</t>
  </si>
  <si>
    <t>For further information regarding the USDA GAP &amp; GHP Program</t>
  </si>
  <si>
    <t>Please contact:</t>
  </si>
  <si>
    <t>City:</t>
  </si>
  <si>
    <t>Time:</t>
  </si>
  <si>
    <t>Arrival Date:</t>
  </si>
  <si>
    <t>Departure Date:</t>
  </si>
  <si>
    <t>Fail</t>
  </si>
  <si>
    <t>Pass</t>
  </si>
  <si>
    <t>Facility Name (Print) as it should appear on Certificate:</t>
  </si>
  <si>
    <t>fax number:</t>
  </si>
  <si>
    <t>Zip (Print):</t>
  </si>
  <si>
    <t>e-mail Address (Print):</t>
  </si>
  <si>
    <t>Date of Previous Audit :</t>
  </si>
  <si>
    <t>Un-announced</t>
  </si>
  <si>
    <t>Lead Auditor Name (Print):</t>
  </si>
  <si>
    <t>Commodity:</t>
  </si>
  <si>
    <t>Duty Station:</t>
  </si>
  <si>
    <t>Signature:</t>
  </si>
  <si>
    <t>Send completed GAP&amp;GHP Certificate to: (choose one)</t>
  </si>
  <si>
    <t>Inspection office: (list office)</t>
  </si>
  <si>
    <t>Directly to auditee above:</t>
  </si>
  <si>
    <t>Facility Representative signature:</t>
  </si>
  <si>
    <t>All Scopes Completed:</t>
  </si>
  <si>
    <t>USDA, AMS, FVP, FPB</t>
  </si>
  <si>
    <t>To verify a company's continued good standing in the USDA GAP&amp;GHP Program please visit http://www.ams.usda.gov/gapghp</t>
  </si>
  <si>
    <t xml:space="preserve">            United States Department of Agriculture</t>
  </si>
  <si>
    <t xml:space="preserve">            Agricultural Marketing Services</t>
  </si>
  <si>
    <r>
      <t xml:space="preserve">Part </t>
    </r>
    <r>
      <rPr>
        <b/>
        <sz val="12"/>
        <rFont val="Arial"/>
        <family val="2"/>
      </rPr>
      <t>1</t>
    </r>
    <r>
      <rPr>
        <b/>
        <sz val="11"/>
        <rFont val="Arial"/>
        <family val="2"/>
      </rPr>
      <t xml:space="preserve"> – Farm Review…………………………………………………………………………...…..…..</t>
    </r>
  </si>
  <si>
    <r>
      <t xml:space="preserve">Part </t>
    </r>
    <r>
      <rPr>
        <b/>
        <sz val="12"/>
        <rFont val="Arial"/>
        <family val="2"/>
      </rPr>
      <t>4</t>
    </r>
    <r>
      <rPr>
        <b/>
        <sz val="11"/>
        <rFont val="Arial"/>
        <family val="2"/>
      </rPr>
      <t xml:space="preserve"> – Storage and Transportation…………………………………………………...……….…...</t>
    </r>
  </si>
  <si>
    <t>• The "Doc: column-</t>
  </si>
  <si>
    <t xml:space="preserve"> A "D" indicates that a document(s) is required to show conformance to the question.  A document may be a combination of standard operating procedures outlining company policy as well as a record indicating that a particular action was taken. </t>
  </si>
  <si>
    <t>A "R" indicates that a record is required to be kept showing an action was taken.</t>
  </si>
  <si>
    <t xml:space="preserve">• </t>
  </si>
  <si>
    <t>P-1</t>
  </si>
  <si>
    <t>P-2</t>
  </si>
  <si>
    <t>R</t>
  </si>
  <si>
    <t>P</t>
  </si>
  <si>
    <t xml:space="preserve">A documented traceability program has </t>
  </si>
  <si>
    <t>been established.</t>
  </si>
  <si>
    <t>crop production areas.</t>
  </si>
  <si>
    <t xml:space="preserve">A previous land use risk assessment has been </t>
  </si>
  <si>
    <t>performed.</t>
  </si>
  <si>
    <t>1-26</t>
  </si>
  <si>
    <t>Each production area is identified or coded to</t>
  </si>
  <si>
    <t>enable traceability in the event of a recall.</t>
  </si>
  <si>
    <t>Traceability</t>
  </si>
  <si>
    <t xml:space="preserve">2-1 </t>
  </si>
  <si>
    <t>2-18</t>
  </si>
  <si>
    <t>All harvesting containers and bulk hauling</t>
  </si>
  <si>
    <t>vehicles that come in direct contact with</t>
  </si>
  <si>
    <t xml:space="preserve">plants are covered during transportation.  </t>
  </si>
  <si>
    <t>2-19</t>
  </si>
  <si>
    <t>2-20</t>
  </si>
  <si>
    <t>2-21</t>
  </si>
  <si>
    <t>Option B.  Only composted manure/treated municipal biosolids are used as</t>
  </si>
  <si>
    <t xml:space="preserve">   soil amendments.</t>
  </si>
  <si>
    <t>Option C.  No manure or municipal biosolids of any kind are used as soil</t>
  </si>
  <si>
    <t xml:space="preserve">   amendments.</t>
  </si>
  <si>
    <t>Bulk storage facilities are inspected for foreign</t>
  </si>
  <si>
    <t>material prior to use and records are maintained.</t>
  </si>
  <si>
    <t>product.</t>
  </si>
  <si>
    <t>Interior walls, floors, and ceilings are well-</t>
  </si>
  <si>
    <t>Ice &amp; Refrigeration</t>
  </si>
  <si>
    <t>Manufacturing, storage, and transportation</t>
  </si>
  <si>
    <t>4-22</t>
  </si>
  <si>
    <t>4-23</t>
  </si>
  <si>
    <t>records are available for review.</t>
  </si>
  <si>
    <t>4-24</t>
  </si>
  <si>
    <t>4-25</t>
  </si>
  <si>
    <t>4-26</t>
  </si>
  <si>
    <t>4-27</t>
  </si>
  <si>
    <t>Worker Health and Personal Hygiene</t>
  </si>
  <si>
    <t>4-28</t>
  </si>
  <si>
    <t>4-29</t>
  </si>
  <si>
    <t>4-30</t>
  </si>
  <si>
    <t>being followed by all employees and visitors.</t>
  </si>
  <si>
    <t>4-31</t>
  </si>
  <si>
    <t>temperatures at the time of receiving.</t>
  </si>
  <si>
    <t>come into contact with produce.</t>
  </si>
  <si>
    <t>Pipes, ducts, fans, and ceilings in the facility</t>
  </si>
  <si>
    <t>handling area by barriers, drains, or a sufficient</t>
  </si>
  <si>
    <t>• Answering of Questions P1 or P2 as “NO”.</t>
  </si>
  <si>
    <t>bacterial soap, and potable water for hand</t>
  </si>
  <si>
    <t>other infectious diseases are prohibited from</t>
  </si>
  <si>
    <t>with blood or other bodily fluids.</t>
  </si>
  <si>
    <t>reduce microbial contamination.</t>
  </si>
  <si>
    <t>6-28</t>
  </si>
  <si>
    <t>Interior walls, floors and ceilings are well-</t>
  </si>
  <si>
    <t>Repacking/reconditioning processes are</t>
  </si>
  <si>
    <t>6-47</t>
  </si>
  <si>
    <t>Prior to the loading process, conveyances are</t>
  </si>
  <si>
    <t>required to be clean, in good physical condition,</t>
  </si>
  <si>
    <t>free from disagreeable odors and from obvious</t>
  </si>
  <si>
    <t>dirt/debris.</t>
  </si>
  <si>
    <t>Company has a written policy for transporters</t>
  </si>
  <si>
    <t>and conveyances to maintain a specified</t>
  </si>
  <si>
    <t>6-48</t>
  </si>
  <si>
    <t>The company has a documented food defense</t>
  </si>
  <si>
    <t>Name of management representative:</t>
  </si>
  <si>
    <t>Staff access in the facility is limited to the area</t>
  </si>
  <si>
    <t>terrorist activity.</t>
  </si>
  <si>
    <t>exposure time is monitored and the facility has</t>
  </si>
  <si>
    <t>demonstrated it is appropriate for the product.</t>
  </si>
  <si>
    <t>Packing House Worker Health &amp; Hygiene</t>
  </si>
  <si>
    <t>When there is a written policy regarding the use</t>
  </si>
  <si>
    <t>of hair nets/beard nets in the production area, it</t>
  </si>
  <si>
    <t>is being followed by all employees and visitors.</t>
  </si>
  <si>
    <t>food handling operations, are clean.</t>
  </si>
  <si>
    <t>barriers, drains, or a sufficient distance.</t>
  </si>
  <si>
    <t>that is opened, spilled, or comes into contact</t>
  </si>
  <si>
    <t>Only new or sanitized containers are used</t>
  </si>
  <si>
    <t>for packing the product.</t>
  </si>
  <si>
    <t>Pallets and containers are clean and</t>
  </si>
  <si>
    <t>in good condition.</t>
  </si>
  <si>
    <t>Packing containers are properly stored and</t>
  </si>
  <si>
    <t>protected from contamination (birds, rodents,</t>
  </si>
  <si>
    <t>and other pests).</t>
  </si>
  <si>
    <t>3-32</t>
  </si>
  <si>
    <t>3-33</t>
  </si>
  <si>
    <t>pests from packing and storage facilities.</t>
  </si>
  <si>
    <t>3-34</t>
  </si>
  <si>
    <t>Records are kept recording the source of</t>
  </si>
  <si>
    <t>Floors in storage areas are reasonably</t>
  </si>
  <si>
    <t>free of standing water.</t>
  </si>
  <si>
    <t>Climate-controlled rooms are monitored for</t>
  </si>
  <si>
    <r>
      <t xml:space="preserve">Part </t>
    </r>
    <r>
      <rPr>
        <b/>
        <sz val="12"/>
        <rFont val="Arial"/>
        <family val="2"/>
      </rPr>
      <t>2</t>
    </r>
    <r>
      <rPr>
        <b/>
        <sz val="11"/>
        <rFont val="Arial"/>
        <family val="2"/>
      </rPr>
      <t xml:space="preserve"> - Field Harvest and Field Packing Activities…………………………………...……..…….</t>
    </r>
  </si>
  <si>
    <r>
      <t xml:space="preserve">Part </t>
    </r>
    <r>
      <rPr>
        <b/>
        <sz val="12"/>
        <rFont val="Arial"/>
        <family val="2"/>
      </rPr>
      <t>3</t>
    </r>
    <r>
      <rPr>
        <b/>
        <sz val="11"/>
        <rFont val="Arial"/>
        <family val="2"/>
      </rPr>
      <t xml:space="preserve"> - House Packing Facility…………………………………………………………………...….</t>
    </r>
  </si>
  <si>
    <t>Manure is properly stored prior to use.</t>
  </si>
  <si>
    <r>
      <t xml:space="preserve">Part </t>
    </r>
    <r>
      <rPr>
        <b/>
        <sz val="12"/>
        <rFont val="Arial"/>
        <family val="2"/>
      </rPr>
      <t>5</t>
    </r>
    <r>
      <rPr>
        <b/>
        <sz val="11"/>
        <rFont val="Arial"/>
        <family val="2"/>
      </rPr>
      <t xml:space="preserve"> – (Not Used)</t>
    </r>
  </si>
  <si>
    <r>
      <t xml:space="preserve">Part </t>
    </r>
    <r>
      <rPr>
        <b/>
        <sz val="12"/>
        <rFont val="Arial"/>
        <family val="2"/>
      </rPr>
      <t>6</t>
    </r>
    <r>
      <rPr>
        <b/>
        <sz val="11"/>
        <rFont val="Arial"/>
        <family val="2"/>
      </rPr>
      <t xml:space="preserve"> – Wholesale Distribution Center/Terminal Warehouse.…………………………............</t>
    </r>
  </si>
  <si>
    <t xml:space="preserve">Is there a floor plan of the packing house facility(s) indicating flow of product, storage areas, cull areas, employee break rooms, restrooms, offices? </t>
  </si>
  <si>
    <r>
      <t xml:space="preserve">Part </t>
    </r>
    <r>
      <rPr>
        <b/>
        <sz val="12"/>
        <rFont val="Arial"/>
        <family val="2"/>
      </rPr>
      <t>7</t>
    </r>
    <r>
      <rPr>
        <b/>
        <sz val="11"/>
        <rFont val="Arial"/>
        <family val="2"/>
      </rPr>
      <t xml:space="preserve"> – Preventive Food Defense Procedures.………………………….…………...….</t>
    </r>
  </si>
  <si>
    <t xml:space="preserve">Employees who handle or package produce are </t>
  </si>
  <si>
    <t>returning to work.</t>
  </si>
  <si>
    <t xml:space="preserve">washing their hands before beginning or </t>
  </si>
  <si>
    <t xml:space="preserve">clean. They are properly supplied with single </t>
  </si>
  <si>
    <t>=</t>
  </si>
  <si>
    <t xml:space="preserve">     Subtract "N/A"</t>
  </si>
  <si>
    <t xml:space="preserve">Total Points earned for General Questions = </t>
  </si>
  <si>
    <t xml:space="preserve">     Total Possible</t>
  </si>
  <si>
    <t>The total number of points possible for this section.</t>
  </si>
  <si>
    <t xml:space="preserve">     Adjusted Total</t>
  </si>
  <si>
    <t xml:space="preserve">     X .8 (80%)</t>
  </si>
  <si>
    <t xml:space="preserve">     Passing Score</t>
  </si>
  <si>
    <t>Enter the additive number of N/A points (+points) here.</t>
  </si>
  <si>
    <t>Subtract the N/A points from the Total possible points</t>
  </si>
  <si>
    <t>Multiply the Adjusted Total by .8 and show it as the Passing Score</t>
  </si>
  <si>
    <t>(please mark one)</t>
  </si>
  <si>
    <t>What is the source of irrigation water? (Pond, Stream, Well, Municipal, Other)</t>
  </si>
  <si>
    <t>Please specify:</t>
  </si>
  <si>
    <t>How are crops irrigated? (Flood, Drip, Sprinkler, Other) Please specify:</t>
  </si>
  <si>
    <t xml:space="preserve">Manure stored near or adjacent to crop </t>
  </si>
  <si>
    <t xml:space="preserve">production areas is contained to prevent </t>
  </si>
  <si>
    <t>contamination of crops.</t>
  </si>
  <si>
    <t xml:space="preserve">Measures are taken to restrict access of </t>
  </si>
  <si>
    <t xml:space="preserve">livestock to the source or delivery system of </t>
  </si>
  <si>
    <t>crop irrigation water.</t>
  </si>
  <si>
    <t xml:space="preserve">Measures are taken to reduce the opportunity </t>
  </si>
  <si>
    <t xml:space="preserve">for wild and/or domestic animals from entering  </t>
  </si>
  <si>
    <t>the entering the land.</t>
  </si>
  <si>
    <t>total 190 points, and answering questions from the other two options will cause the</t>
  </si>
  <si>
    <r>
      <rPr>
        <b/>
        <u/>
        <sz val="11"/>
        <rFont val="Arial"/>
        <family val="2"/>
      </rPr>
      <t>assigned to the Option chosen above</t>
    </r>
    <r>
      <rPr>
        <b/>
        <sz val="11"/>
        <rFont val="Arial"/>
        <family val="2"/>
      </rPr>
      <t>.  DO NOT answer the questions from the other</t>
    </r>
  </si>
  <si>
    <t xml:space="preserve">When raw manure is applied, it is incorporated </t>
  </si>
  <si>
    <t xml:space="preserve">at least 2 weeks prior to planting or a minimum </t>
  </si>
  <si>
    <t>of 120 days prior to harvest.</t>
  </si>
  <si>
    <t xml:space="preserve">Only composted manure and/or treated </t>
  </si>
  <si>
    <t>biosolids are used as a soil amendment.</t>
  </si>
  <si>
    <t xml:space="preserve">measures have been taken to mitigate the </t>
  </si>
  <si>
    <t>known risks and soils have been tested for</t>
  </si>
  <si>
    <t xml:space="preserve">Crop production areas that have been </t>
  </si>
  <si>
    <t xml:space="preserve">subjected to flooding are tested for potential </t>
  </si>
  <si>
    <t>microbial hazards.</t>
  </si>
  <si>
    <t xml:space="preserve">This program is intended to assess a participant’s efforts to minimize the risk of contamination of fresh </t>
  </si>
  <si>
    <t xml:space="preserve">fruits, vegetables, nuts and miscellaneous commodities by microbial pathogens based on the U.S. Food </t>
  </si>
  <si>
    <t xml:space="preserve">and Drug Administration’s “Guide to Minimize Microbial Food Safety Hazards for Fresh Fruits and </t>
  </si>
  <si>
    <t xml:space="preserve">Company personnel or contracted personnel </t>
  </si>
  <si>
    <t xml:space="preserve">that apply regulated pre-harvest and/or post </t>
  </si>
  <si>
    <t xml:space="preserve">harvest materials are licensed. Company </t>
  </si>
  <si>
    <t xml:space="preserve">personnel or contracted personnel applying </t>
  </si>
  <si>
    <t>non-regulated materials have been trained on</t>
  </si>
  <si>
    <t>its proper use.</t>
  </si>
  <si>
    <t xml:space="preserve">Workers are instructed to seek prompt </t>
  </si>
  <si>
    <t xml:space="preserve">treatment with clean first aid supplies for cuts, </t>
  </si>
  <si>
    <t>abrasions and other injuries.</t>
  </si>
  <si>
    <t xml:space="preserve">The operation has performed a "mock recall" </t>
  </si>
  <si>
    <t xml:space="preserve">A documented pre-harvest assessment is made  </t>
  </si>
  <si>
    <t xml:space="preserve">When question 2-2 is answered "N/A" (sanitation </t>
  </si>
  <si>
    <t xml:space="preserve">units are not required), a toilet facility is readily </t>
  </si>
  <si>
    <t xml:space="preserve">A response plan is in place for the event of a  </t>
  </si>
  <si>
    <t>toilet facilities.</t>
  </si>
  <si>
    <t>major spill or leak of field sanitation units or</t>
  </si>
  <si>
    <t xml:space="preserve">product are cleaned and/or sanitized on a </t>
  </si>
  <si>
    <t>scheduled basis and kept as clean as</t>
  </si>
  <si>
    <t>practicable.</t>
  </si>
  <si>
    <t xml:space="preserve">Water applied to harvested product is </t>
  </si>
  <si>
    <t xml:space="preserve">For mechanically harvested product, measures  </t>
  </si>
  <si>
    <t xml:space="preserve">are taken during harvest to inspect for and  </t>
  </si>
  <si>
    <t>rocks, or other dangerous/toxic items.</t>
  </si>
  <si>
    <t xml:space="preserve">remove foreign objects such as glass, metal, </t>
  </si>
  <si>
    <t xml:space="preserve">for carrying or storing non- produce items </t>
  </si>
  <si>
    <t xml:space="preserve">during the harvest season, and farm workers </t>
  </si>
  <si>
    <t>are instructed in this policy.</t>
  </si>
  <si>
    <t xml:space="preserve">Efforts have been made to remove excessive </t>
  </si>
  <si>
    <t xml:space="preserve">dirt and mud from product and/or containers </t>
  </si>
  <si>
    <t>during harvest.</t>
  </si>
  <si>
    <t xml:space="preserve">Transportation equipment used to move </t>
  </si>
  <si>
    <t xml:space="preserve">product from field to storage areas or storage </t>
  </si>
  <si>
    <t xml:space="preserve">areas to processing plant which comes into </t>
  </si>
  <si>
    <t>contact with product is clean and in good repair.</t>
  </si>
  <si>
    <t xml:space="preserve">In ranch or field pack operations, only new or </t>
  </si>
  <si>
    <t>sanitized containers are used for packing the</t>
  </si>
  <si>
    <t xml:space="preserve">Packing materials used in ranch or field pack </t>
  </si>
  <si>
    <t>operations are properly stored and protected</t>
  </si>
  <si>
    <t>from contamination.</t>
  </si>
  <si>
    <t xml:space="preserve">Product moving out of the field is uniquely </t>
  </si>
  <si>
    <t>microbially safe.</t>
  </si>
  <si>
    <t xml:space="preserve">Product delivered from the field which is held in </t>
  </si>
  <si>
    <t xml:space="preserve">a staging area prior to packing or processing is </t>
  </si>
  <si>
    <t>protected from possible contamination.</t>
  </si>
  <si>
    <t>flumes, wash tanks and hydro coolers, are</t>
  </si>
  <si>
    <t xml:space="preserve">Processing water is sufficiently treated to </t>
  </si>
  <si>
    <t xml:space="preserve">Food contact surfaces are in good condition;  </t>
  </si>
  <si>
    <t xml:space="preserve">cleaned and/or sanitized prior to use and </t>
  </si>
  <si>
    <t xml:space="preserve">When there is a written policy regarding the </t>
  </si>
  <si>
    <t xml:space="preserve">wearing of jewelry in the production area, it is </t>
  </si>
  <si>
    <t xml:space="preserve">Only food grade approved and labeled </t>
  </si>
  <si>
    <t>lubricants are used in the packing</t>
  </si>
  <si>
    <t xml:space="preserve">incoming product and the destination of </t>
  </si>
  <si>
    <t xml:space="preserve">outgoing product which is uniquely identified to </t>
  </si>
  <si>
    <t>enable traceability.</t>
  </si>
  <si>
    <t xml:space="preserve">Packing containers are properly stored and </t>
  </si>
  <si>
    <t xml:space="preserve">sufficiently sealed, to be protected from </t>
  </si>
  <si>
    <t>contamination (birds, rodents, pests, and other</t>
  </si>
  <si>
    <t>contaminants).</t>
  </si>
  <si>
    <t xml:space="preserve">The storage facility is cleaned and maintained in </t>
  </si>
  <si>
    <t>an orderly manner.</t>
  </si>
  <si>
    <t xml:space="preserve">maintained and sufficiently sealed or isolated </t>
  </si>
  <si>
    <t>and are protected from external contamination.</t>
  </si>
  <si>
    <t xml:space="preserve">Storage grounds are reasonably free of litter  </t>
  </si>
  <si>
    <t xml:space="preserve">contaminating any food handling area by </t>
  </si>
  <si>
    <t>barriers, drains, or sufficient distance.</t>
  </si>
  <si>
    <t xml:space="preserve">There is a policy describing procedures which </t>
  </si>
  <si>
    <t xml:space="preserve">specify handling/disposition of finished product  </t>
  </si>
  <si>
    <t xml:space="preserve"> with the floor.</t>
  </si>
  <si>
    <t>which is opened, spilled, or comes into contact</t>
  </si>
  <si>
    <t xml:space="preserve">Pallets, pallet boxes, tote bags, and portable </t>
  </si>
  <si>
    <t>not contribute foreign material to the product.</t>
  </si>
  <si>
    <t xml:space="preserve">Product stored outside in totes, trucks, bins, </t>
  </si>
  <si>
    <t>covered and protected from contamination.</t>
  </si>
  <si>
    <t xml:space="preserve">bins, etc. are clean, in good condition and do </t>
  </si>
  <si>
    <t xml:space="preserve">other containers or on the ground in bulk is </t>
  </si>
  <si>
    <t xml:space="preserve">Non-food grade substances such as paints, </t>
  </si>
  <si>
    <t xml:space="preserve">lubricants, pesticides, etc., are not stored in </t>
  </si>
  <si>
    <t>close proximity to the product.</t>
  </si>
  <si>
    <t xml:space="preserve">Mechanical equipment used during the storage </t>
  </si>
  <si>
    <t xml:space="preserve">process is clean and maintained to prevent </t>
  </si>
  <si>
    <t>contamination of the product.</t>
  </si>
  <si>
    <t xml:space="preserve">There is an established pest control program </t>
  </si>
  <si>
    <t xml:space="preserve">The water used for cooling and/or making ice is </t>
  </si>
  <si>
    <t>come in contact with produce.</t>
  </si>
  <si>
    <t xml:space="preserve">Refrigeration equipment (condensers, fans, etc.) </t>
  </si>
  <si>
    <t>is cleaned on a scheduled basis.</t>
  </si>
  <si>
    <t xml:space="preserve">Iced product does not drip on pallets of produce </t>
  </si>
  <si>
    <t>stored below.</t>
  </si>
  <si>
    <t xml:space="preserve">Prior to the loading process, conveyances are </t>
  </si>
  <si>
    <t xml:space="preserve">required to be clean, in good physical condition, </t>
  </si>
  <si>
    <t xml:space="preserve">Company has a written policy for transporters </t>
  </si>
  <si>
    <t xml:space="preserve">and conveyances to maintain a specified </t>
  </si>
  <si>
    <t>temperature(s) during transit.</t>
  </si>
  <si>
    <t xml:space="preserve">Employee facilities (locker rooms, lunch and </t>
  </si>
  <si>
    <t xml:space="preserve">break areas, etc.) are clean and located away </t>
  </si>
  <si>
    <t>from storage, shipping, and receiving areas.</t>
  </si>
  <si>
    <t>free from disagreeable odors, and from obvious</t>
  </si>
  <si>
    <t xml:space="preserve">Conveyances are loaded to minimize damage to </t>
  </si>
  <si>
    <t xml:space="preserve">When there is a written policy regarding the use </t>
  </si>
  <si>
    <t xml:space="preserve">of hair/beard nets in the storage and </t>
  </si>
  <si>
    <t>transportation areas, it is being followed by all</t>
  </si>
  <si>
    <t>affected employees and visitors.</t>
  </si>
  <si>
    <t xml:space="preserve">When there is a written policy restricting the </t>
  </si>
  <si>
    <t xml:space="preserve">wearing of jewelry in the storage and </t>
  </si>
  <si>
    <t xml:space="preserve">Records are kept regarding the source of </t>
  </si>
  <si>
    <t>are loaded with or are not protected from</t>
  </si>
  <si>
    <t xml:space="preserve">Upon receiving, conveyances are required to be </t>
  </si>
  <si>
    <t xml:space="preserve">clean, in good physical condition and free from </t>
  </si>
  <si>
    <t xml:space="preserve">obvious objectionable odors, dirt and/or debris </t>
  </si>
  <si>
    <t>at time of unloading.</t>
  </si>
  <si>
    <t xml:space="preserve">The company has a written policy regarding the </t>
  </si>
  <si>
    <t xml:space="preserve">disposition of product when temperatures are </t>
  </si>
  <si>
    <t>of receiving.</t>
  </si>
  <si>
    <t>not within the company's guidelines at the time</t>
  </si>
  <si>
    <t xml:space="preserve">Manufacturing, storage, and transportation </t>
  </si>
  <si>
    <t xml:space="preserve">facilities used in making and delivering ice used </t>
  </si>
  <si>
    <t xml:space="preserve"> scheduled basis.</t>
  </si>
  <si>
    <t>for cooling the product are sanitized on a</t>
  </si>
  <si>
    <t xml:space="preserve">Product flow zones are protected from sources </t>
  </si>
  <si>
    <t xml:space="preserve">specify handling/disposition of finished product </t>
  </si>
  <si>
    <t xml:space="preserve">which is opened, spilled, or comes into contact </t>
  </si>
  <si>
    <t xml:space="preserve">Glass materials above product flow zones are </t>
  </si>
  <si>
    <t>(6-29)  Does the facility repack and/or recondition product?</t>
  </si>
  <si>
    <t>Food contact surfaces are in good condition;</t>
  </si>
  <si>
    <t>cleaned and/or sanitized prior to use and</t>
  </si>
  <si>
    <t>and other pests, etc.).</t>
  </si>
  <si>
    <t xml:space="preserve">protected from contamination (birds, rodents, </t>
  </si>
  <si>
    <t xml:space="preserve">of hair nets/beard nets in the facility, it is being </t>
  </si>
  <si>
    <t>followed by all affected employees and visitors.</t>
  </si>
  <si>
    <t xml:space="preserve">wearing of jewelry in the facility, it is being </t>
  </si>
  <si>
    <t>temperature(s) range during transit.</t>
  </si>
  <si>
    <t xml:space="preserve">Records are kept recording the source of </t>
  </si>
  <si>
    <t>outgoing product which is uniquely identified to</t>
  </si>
  <si>
    <t xml:space="preserve">Raw manure is not used on commodities that </t>
  </si>
  <si>
    <t>are harvested within 120 days of planting.</t>
  </si>
  <si>
    <t xml:space="preserve">contaminants and the land use is </t>
  </si>
  <si>
    <t>commensurate with test results.</t>
  </si>
  <si>
    <t xml:space="preserve">The company has performed a successful mock </t>
  </si>
  <si>
    <t>recall of product to the facility.</t>
  </si>
  <si>
    <t xml:space="preserve">Based on the U.S. Food and Drug Administration’s Food Producers, Processors, and Transporters: </t>
  </si>
  <si>
    <t>Food Security Preventive Measure Guidance for Industry.</t>
  </si>
  <si>
    <t>Acres:</t>
  </si>
  <si>
    <t>Reviewed (Print):</t>
  </si>
  <si>
    <t>Signature &amp; Date:</t>
  </si>
  <si>
    <r>
      <t xml:space="preserve">                      Audit Verification Program Scoresheet                    </t>
    </r>
    <r>
      <rPr>
        <sz val="9"/>
        <rFont val="Arial"/>
        <family val="2"/>
      </rPr>
      <t>www.ams.usda.gov/gapghp</t>
    </r>
  </si>
  <si>
    <t>use towels, toilet paper, hand soap or anti-</t>
  </si>
  <si>
    <t>If both raw and treated manure are</t>
  </si>
  <si>
    <t xml:space="preserve">All hand harvesting equipment and implements </t>
  </si>
  <si>
    <t xml:space="preserve">(knives, pruners machetes, etc.) are kept as  </t>
  </si>
  <si>
    <t>clean as practical and are disinfected on a</t>
  </si>
  <si>
    <t xml:space="preserve">on the crop production areas.  Risks and  </t>
  </si>
  <si>
    <t xml:space="preserve">possible sources of crop contamination are </t>
  </si>
  <si>
    <t>noted and assessed.</t>
  </si>
  <si>
    <t>a recall.</t>
  </si>
  <si>
    <t>identified to enable traceability in the event of</t>
  </si>
  <si>
    <t>to enable traceability.</t>
  </si>
  <si>
    <t>outgoing product which is uniquely identified</t>
  </si>
  <si>
    <t xml:space="preserve">Only new or sanitized containers are used for </t>
  </si>
  <si>
    <t>product repacking.</t>
  </si>
  <si>
    <t>from repack and storage area.</t>
  </si>
  <si>
    <t>they are assigned to.</t>
  </si>
  <si>
    <t>should be on the premises, and the area</t>
  </si>
  <si>
    <t>Good Agricultural Practices &amp; Good Handling Practices</t>
  </si>
  <si>
    <t>By signing this form, the facility representative agrees to have company information posted to the USDA website. A company will only be listed on the USDA website if all scopes audited receive a passing score.</t>
  </si>
  <si>
    <t xml:space="preserve">Total Points earned for Farm Review = </t>
  </si>
  <si>
    <t xml:space="preserve">Total Points earned for Field Harvesting &amp; Field Packaging = </t>
  </si>
  <si>
    <t xml:space="preserve">Total Points earned for House Packing Facility = </t>
  </si>
  <si>
    <t xml:space="preserve">Total Points earned for Storage &amp; Transportation = </t>
  </si>
  <si>
    <t xml:space="preserve">Total Points earned for Wholesale Distribution Center/Terminal Warehouse = </t>
  </si>
  <si>
    <t xml:space="preserve">Total Points earned for Preventative Food Defense Procedures = </t>
  </si>
  <si>
    <t>USDA Fruit and Vegetable Programs, Fresh Products Branch, Audit Programs Section at 800-560-7956 Ext. 5</t>
  </si>
  <si>
    <r>
      <t xml:space="preserve">This program is intended to assess a participant’s efforts to minimize the risk of contamination of fresh fruits, vegetables, nuts and miscellaneous commodities by microbial pathogens based on the U.S. Food and Drug Administration’s </t>
    </r>
    <r>
      <rPr>
        <b/>
        <i/>
        <sz val="11"/>
        <rFont val="Arial"/>
        <family val="2"/>
      </rPr>
      <t xml:space="preserve">“Guide to Minimize Microbial Food Safety Hazards for Fresh Fruits and Vegetables,” </t>
    </r>
    <r>
      <rPr>
        <b/>
        <sz val="11"/>
        <rFont val="Arial"/>
        <family val="2"/>
      </rPr>
      <t>and generally recognized good agricultural practices.</t>
    </r>
  </si>
  <si>
    <t>Vegetables,” and generally recognized good agricultural practices.</t>
  </si>
  <si>
    <t>Travel Time</t>
  </si>
  <si>
    <t>Code</t>
  </si>
  <si>
    <t>X</t>
  </si>
  <si>
    <t>of their job function and unrestricted areas.</t>
  </si>
  <si>
    <r>
      <t xml:space="preserve">Auditor (s):  </t>
    </r>
    <r>
      <rPr>
        <sz val="10"/>
        <rFont val="Arial"/>
        <family val="2"/>
      </rPr>
      <t>(list all auditors with the lead listed first)</t>
    </r>
  </si>
  <si>
    <t>A "P" indicates that a policy/standard operating procedure (SOP) must be documented in the food safety plan in order to show conformance to the question.</t>
  </si>
  <si>
    <r>
      <t>Person(s)</t>
    </r>
    <r>
      <rPr>
        <b/>
        <sz val="8.5"/>
        <rFont val="Arial"/>
        <family val="2"/>
      </rPr>
      <t xml:space="preserve"> </t>
    </r>
    <r>
      <rPr>
        <b/>
        <sz val="11"/>
        <rFont val="Arial"/>
        <family val="2"/>
      </rPr>
      <t xml:space="preserve">Interviewed </t>
    </r>
    <r>
      <rPr>
        <sz val="10"/>
        <rFont val="Arial"/>
        <family val="2"/>
      </rPr>
      <t>(use back of sheet if necessary to list all persons interviewed)</t>
    </r>
  </si>
  <si>
    <t>for question 6-29 is NO, then questions 6-30 through 6-41 are answered N/A.</t>
  </si>
  <si>
    <t xml:space="preserve">A water quality assessment has been performed to determine the quality of water use for chemical application or fertigation method.  </t>
  </si>
  <si>
    <t>If necessary, steps are taken to protect irrigation water from potential direct and non-point source contamination.</t>
  </si>
  <si>
    <t xml:space="preserve">The farm sewage treatment system/septic system is functioning properly and there is no evidence of leaking or runoff.  </t>
  </si>
  <si>
    <t xml:space="preserve">Crop production areas are not located near or adjacent to dairy, livestock, or fowl production facilities unless adequate barriers exist.  </t>
  </si>
  <si>
    <t xml:space="preserve">Manure lagoons located near or adjacent to crop production areas are maintained to prevent leaking/overflowing, or measures have been taken to stop runoff from contaminating the crop production areas.  </t>
  </si>
  <si>
    <t>The water used for cooling and/or making ice</t>
  </si>
  <si>
    <t>Pipes, ducts, fans and ceilings which are over</t>
  </si>
  <si>
    <t xml:space="preserve">There is no municipal/commercial sewage treatment facility or waste material landfill adjacent to the farm.  </t>
  </si>
  <si>
    <t>available for all workers.</t>
  </si>
  <si>
    <t>If the answer to question 6-29 is YES, answer questions 6-30 through 6-41. If the answer</t>
  </si>
  <si>
    <t>This program is intended to assess a participant’s efforts to minimize the risk of contamination of fresh fruits, vegetables, nuts and miscellaneous commodities by microbial pathogens based on the U.S. Food and Drug Administration’s “Guide to Minimize Microbial Food Safety Hazards for Fresh Fruits and Vegetables,” and generally recognized good agricultural practices.</t>
  </si>
  <si>
    <t>A water quality assessment has been performed to determine the quality of water used for irrigation purpose on the crop(s) being applied.</t>
  </si>
  <si>
    <t>Revised January 26, 2012</t>
  </si>
  <si>
    <t>DUPLICATION OF CORRECTIVE ACTION TAB INSTRUCTIONS</t>
  </si>
  <si>
    <t>Any item on any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</si>
  <si>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t>1. Right-click the "Corrective Action Report" Tab at the bottom of Excel.</t>
  </si>
  <si>
    <t>2. Click "Move or Copy.</t>
  </si>
  <si>
    <t xml:space="preserve">3. Under the box titled "Before Sheet," select "(move to end)" </t>
  </si>
  <si>
    <t>4. Place a check in the box beside "Create a Copy"</t>
  </si>
  <si>
    <t xml:space="preserve">5. Click "Ok" </t>
  </si>
  <si>
    <t>USDA Good Agricultural Practices and Good Handling Practices</t>
  </si>
  <si>
    <t>Corrective Action Report</t>
  </si>
  <si>
    <t>USDA Fruit and Vegetable Programs</t>
  </si>
  <si>
    <t xml:space="preserve">    Report #: </t>
  </si>
  <si>
    <t>Good Agricultural Practice &amp; Good Handling Practices</t>
  </si>
  <si>
    <t>of</t>
  </si>
  <si>
    <t>CORRECTIVE ACTION REPORT</t>
  </si>
  <si>
    <t>Company Name/Farm:</t>
  </si>
  <si>
    <t xml:space="preserve">Lead Auditor: </t>
  </si>
  <si>
    <t xml:space="preserve">Crop(s): </t>
  </si>
  <si>
    <t xml:space="preserve">Description of Non-Conformity: </t>
  </si>
  <si>
    <t>Notified company staff at time of finding non-conformity:</t>
  </si>
  <si>
    <t>Checklist question number and/or section of auditee food safety plan non-conformity is associated with:</t>
  </si>
  <si>
    <t xml:space="preserve">Company Representative Signature: </t>
  </si>
  <si>
    <t>SIGNATURE AFFIRMS FACTS CONCERNING NON-CONFORMITY ARE  CORRECT</t>
  </si>
  <si>
    <t xml:space="preserve">Corrective Action Proposed and Time Frame for Implementation: </t>
  </si>
  <si>
    <r>
      <rPr>
        <b/>
        <sz val="9"/>
        <color theme="1"/>
        <rFont val="Arial"/>
        <family val="2"/>
      </rPr>
      <t>Auditor Signature</t>
    </r>
    <r>
      <rPr>
        <sz val="10"/>
        <rFont val="Arial"/>
      </rPr>
      <t xml:space="preserve"> </t>
    </r>
    <r>
      <rPr>
        <sz val="8"/>
        <color theme="1"/>
        <rFont val="Arial"/>
        <family val="2"/>
      </rPr>
      <t xml:space="preserve">for Acceptance of Proposed Corrective Action and Timetable for Implementation: </t>
    </r>
  </si>
</sst>
</file>

<file path=xl/styles.xml><?xml version="1.0" encoding="utf-8"?>
<styleSheet xmlns="http://schemas.openxmlformats.org/spreadsheetml/2006/main">
  <numFmts count="4">
    <numFmt numFmtId="164" formatCode="[$-409]h:mm\ AM/PM;@"/>
    <numFmt numFmtId="165" formatCode="m/d/yyyy;@"/>
    <numFmt numFmtId="166" formatCode="[&lt;=9999999]###\-####;\(###\)\ ###\-####"/>
    <numFmt numFmtId="167" formatCode="&quot;&quot;"/>
  </numFmts>
  <fonts count="51">
    <font>
      <sz val="10"/>
      <name val="Arial"/>
    </font>
    <font>
      <sz val="11"/>
      <color theme="1"/>
      <name val="Calibri"/>
      <family val="2"/>
      <scheme val="minor"/>
    </font>
    <font>
      <sz val="10"/>
      <name val="Arial"/>
      <family val="2"/>
    </font>
    <font>
      <sz val="10"/>
      <name val="Arial"/>
      <family val="2"/>
    </font>
    <font>
      <sz val="11"/>
      <name val="Arial"/>
      <family val="2"/>
    </font>
    <font>
      <b/>
      <sz val="12"/>
      <name val="Georgia"/>
      <family val="1"/>
    </font>
    <font>
      <b/>
      <sz val="8"/>
      <name val="Georgia"/>
      <family val="1"/>
    </font>
    <font>
      <b/>
      <sz val="11"/>
      <name val="Georgia"/>
      <family val="1"/>
    </font>
    <font>
      <sz val="8"/>
      <name val="Arial"/>
      <family val="2"/>
    </font>
    <font>
      <sz val="11"/>
      <name val="Georgia"/>
      <family val="1"/>
    </font>
    <font>
      <sz val="12"/>
      <name val="Arial"/>
      <family val="2"/>
    </font>
    <font>
      <sz val="12"/>
      <name val="Georgia"/>
      <family val="1"/>
    </font>
    <font>
      <b/>
      <vertAlign val="superscript"/>
      <sz val="10"/>
      <name val="Arial"/>
      <family val="2"/>
    </font>
    <font>
      <b/>
      <sz val="8"/>
      <name val="Arial"/>
      <family val="2"/>
    </font>
    <font>
      <b/>
      <sz val="8"/>
      <name val="Arial"/>
      <family val="2"/>
    </font>
    <font>
      <b/>
      <sz val="10"/>
      <name val="Arial"/>
      <family val="2"/>
    </font>
    <font>
      <b/>
      <vertAlign val="superscript"/>
      <sz val="10"/>
      <name val="Arial"/>
      <family val="2"/>
    </font>
    <font>
      <b/>
      <sz val="14"/>
      <name val="Arial"/>
      <family val="2"/>
    </font>
    <font>
      <b/>
      <sz val="8.5"/>
      <name val="Arial"/>
      <family val="2"/>
    </font>
    <font>
      <b/>
      <sz val="8.6999999999999993"/>
      <name val="Arial"/>
      <family val="2"/>
    </font>
    <font>
      <b/>
      <sz val="11"/>
      <name val="Arial"/>
      <family val="2"/>
    </font>
    <font>
      <sz val="11"/>
      <name val="Arial"/>
      <family val="2"/>
    </font>
    <font>
      <b/>
      <i/>
      <sz val="11"/>
      <name val="Arial"/>
      <family val="2"/>
    </font>
    <font>
      <sz val="8"/>
      <name val="Arial"/>
      <family val="2"/>
    </font>
    <font>
      <sz val="9"/>
      <name val="Arial"/>
      <family val="2"/>
    </font>
    <font>
      <b/>
      <sz val="6"/>
      <name val="Arial"/>
      <family val="2"/>
    </font>
    <font>
      <b/>
      <sz val="7"/>
      <name val="Arial"/>
      <family val="2"/>
    </font>
    <font>
      <sz val="7"/>
      <name val="Arial"/>
      <family val="2"/>
    </font>
    <font>
      <sz val="7"/>
      <name val="Arial"/>
      <family val="2"/>
    </font>
    <font>
      <b/>
      <sz val="9"/>
      <name val="Arial"/>
      <family val="2"/>
    </font>
    <font>
      <b/>
      <sz val="12"/>
      <name val="Arial"/>
      <family val="2"/>
    </font>
    <font>
      <sz val="12"/>
      <name val="Arial"/>
      <family val="2"/>
    </font>
    <font>
      <vertAlign val="superscript"/>
      <sz val="10"/>
      <name val="Georgia"/>
      <family val="1"/>
    </font>
    <font>
      <sz val="14"/>
      <name val="Arial"/>
      <family val="2"/>
    </font>
    <font>
      <b/>
      <sz val="16"/>
      <name val="Arial"/>
      <family val="2"/>
    </font>
    <font>
      <sz val="16"/>
      <name val="Arial"/>
      <family val="2"/>
    </font>
    <font>
      <i/>
      <sz val="11"/>
      <name val="Arial"/>
      <family val="2"/>
    </font>
    <font>
      <b/>
      <u/>
      <sz val="11"/>
      <name val="Arial"/>
      <family val="2"/>
    </font>
    <font>
      <vertAlign val="superscript"/>
      <sz val="10"/>
      <name val="Arial"/>
      <family val="2"/>
    </font>
    <font>
      <b/>
      <sz val="10.5"/>
      <name val="Arial"/>
      <family val="2"/>
    </font>
    <font>
      <b/>
      <u/>
      <sz val="12"/>
      <name val="Arial"/>
      <family val="2"/>
    </font>
    <font>
      <b/>
      <sz val="14"/>
      <color theme="1"/>
      <name val="Arial"/>
      <family val="2"/>
    </font>
    <font>
      <sz val="11"/>
      <color theme="1"/>
      <name val="Arial"/>
      <family val="2"/>
    </font>
    <font>
      <b/>
      <sz val="14"/>
      <color theme="1"/>
      <name val="Calibri"/>
      <family val="2"/>
      <scheme val="minor"/>
    </font>
    <font>
      <b/>
      <sz val="9"/>
      <color theme="1"/>
      <name val="Arial"/>
      <family val="2"/>
    </font>
    <font>
      <sz val="9"/>
      <color theme="1"/>
      <name val="Arial"/>
      <family val="2"/>
    </font>
    <font>
      <sz val="10"/>
      <color theme="1"/>
      <name val="Arial"/>
      <family val="2"/>
    </font>
    <font>
      <sz val="12"/>
      <color theme="1"/>
      <name val="Arial"/>
      <family val="2"/>
    </font>
    <font>
      <i/>
      <sz val="12"/>
      <color theme="1"/>
      <name val="Arial"/>
      <family val="2"/>
    </font>
    <font>
      <sz val="7"/>
      <color theme="1"/>
      <name val="Arial"/>
      <family val="2"/>
    </font>
    <font>
      <sz val="8"/>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0" tint="-0.24994659260841701"/>
        <bgColor indexed="64"/>
      </patternFill>
    </fill>
  </fills>
  <borders count="2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style="thin">
        <color auto="1"/>
      </left>
      <right/>
      <top style="medium">
        <color auto="1"/>
      </top>
      <bottom/>
      <diagonal/>
    </border>
    <border>
      <left/>
      <right style="thin">
        <color indexed="64"/>
      </right>
      <top style="medium">
        <color indexed="64"/>
      </top>
      <bottom/>
      <diagonal/>
    </border>
  </borders>
  <cellStyleXfs count="3">
    <xf numFmtId="0" fontId="0" fillId="0" borderId="0"/>
    <xf numFmtId="0" fontId="1" fillId="0" borderId="0"/>
    <xf numFmtId="0" fontId="2" fillId="0" borderId="0"/>
  </cellStyleXfs>
  <cellXfs count="844">
    <xf numFmtId="0" fontId="0" fillId="0" borderId="0" xfId="0"/>
    <xf numFmtId="0" fontId="0" fillId="0" borderId="0" xfId="0" applyAlignment="1"/>
    <xf numFmtId="0" fontId="5" fillId="0" borderId="0" xfId="0" applyFont="1"/>
    <xf numFmtId="0" fontId="3" fillId="0" borderId="0" xfId="0" applyFont="1"/>
    <xf numFmtId="0" fontId="5" fillId="0" borderId="0" xfId="0" applyFont="1" applyAlignment="1"/>
    <xf numFmtId="0" fontId="5" fillId="0" borderId="0" xfId="0" applyFont="1" applyAlignment="1">
      <alignment horizontal="center"/>
    </xf>
    <xf numFmtId="0" fontId="0" fillId="0" borderId="0" xfId="0" applyFill="1"/>
    <xf numFmtId="0" fontId="0" fillId="0" borderId="0" xfId="0" applyProtection="1">
      <protection locked="0"/>
    </xf>
    <xf numFmtId="0" fontId="0" fillId="0" borderId="0" xfId="0" applyAlignment="1" applyProtection="1"/>
    <xf numFmtId="0" fontId="0" fillId="0" borderId="0" xfId="0" applyProtection="1"/>
    <xf numFmtId="0" fontId="0" fillId="0" borderId="0" xfId="0" applyBorder="1" applyAlignment="1">
      <alignment vertical="justify"/>
    </xf>
    <xf numFmtId="0" fontId="0" fillId="0" borderId="0" xfId="0" applyBorder="1"/>
    <xf numFmtId="0" fontId="6" fillId="0" borderId="0" xfId="0" applyFont="1" applyAlignment="1" applyProtection="1"/>
    <xf numFmtId="0" fontId="0" fillId="0" borderId="0" xfId="0" applyBorder="1" applyAlignment="1"/>
    <xf numFmtId="0" fontId="6" fillId="0" borderId="0" xfId="0" applyFont="1" applyBorder="1" applyAlignment="1" applyProtection="1"/>
    <xf numFmtId="0" fontId="13" fillId="0" borderId="3" xfId="0" applyFont="1" applyBorder="1" applyAlignment="1" applyProtection="1">
      <alignment horizontal="center"/>
    </xf>
    <xf numFmtId="0" fontId="13" fillId="0" borderId="4" xfId="0" applyFont="1" applyBorder="1" applyAlignment="1" applyProtection="1">
      <alignment horizontal="center"/>
    </xf>
    <xf numFmtId="0" fontId="18" fillId="0" borderId="0" xfId="0" applyFont="1" applyAlignment="1" applyProtection="1">
      <alignment horizontal="right"/>
    </xf>
    <xf numFmtId="0" fontId="0" fillId="0" borderId="0" xfId="0" applyBorder="1" applyAlignment="1" applyProtection="1">
      <protection locked="0"/>
    </xf>
    <xf numFmtId="0" fontId="15" fillId="0" borderId="0" xfId="0" applyFont="1" applyBorder="1" applyAlignment="1" applyProtection="1">
      <alignment horizontal="center" vertical="justify"/>
    </xf>
    <xf numFmtId="0" fontId="0" fillId="0" borderId="7" xfId="0" applyBorder="1"/>
    <xf numFmtId="0" fontId="4" fillId="0" borderId="0" xfId="0" applyFont="1" applyBorder="1" applyAlignment="1" applyProtection="1">
      <alignment horizontal="center" vertical="justify"/>
    </xf>
    <xf numFmtId="0" fontId="13" fillId="0" borderId="1" xfId="0" applyFont="1" applyBorder="1" applyAlignment="1" applyProtection="1"/>
    <xf numFmtId="0" fontId="2" fillId="0" borderId="0" xfId="0" applyFont="1" applyBorder="1"/>
    <xf numFmtId="0" fontId="30" fillId="0" borderId="2" xfId="0" applyFont="1" applyBorder="1" applyAlignment="1" applyProtection="1">
      <alignment horizontal="center"/>
    </xf>
    <xf numFmtId="0" fontId="11" fillId="0" borderId="2" xfId="0" applyFont="1" applyBorder="1" applyProtection="1">
      <protection locked="0"/>
    </xf>
    <xf numFmtId="0" fontId="3" fillId="0" borderId="0" xfId="0" applyFont="1" applyProtection="1"/>
    <xf numFmtId="0" fontId="31" fillId="0" borderId="2" xfId="0" applyFont="1" applyBorder="1" applyAlignment="1" applyProtection="1">
      <alignment horizontal="center"/>
      <protection locked="0"/>
    </xf>
    <xf numFmtId="0" fontId="15" fillId="0" borderId="0" xfId="0" applyFont="1" applyAlignment="1" applyProtection="1"/>
    <xf numFmtId="0" fontId="20" fillId="0" borderId="2" xfId="0" applyFont="1" applyBorder="1" applyAlignment="1" applyProtection="1">
      <alignment horizontal="center"/>
    </xf>
    <xf numFmtId="0" fontId="20" fillId="0" borderId="2" xfId="0" applyFont="1" applyBorder="1" applyAlignment="1" applyProtection="1">
      <alignment horizontal="center" vertical="center"/>
      <protection locked="0"/>
    </xf>
    <xf numFmtId="0" fontId="0" fillId="0" borderId="0" xfId="0"/>
    <xf numFmtId="0" fontId="15" fillId="0" borderId="0" xfId="0" applyFont="1" applyBorder="1" applyAlignment="1" applyProtection="1"/>
    <xf numFmtId="0" fontId="0" fillId="0" borderId="0" xfId="0" applyAlignment="1"/>
    <xf numFmtId="0" fontId="6" fillId="0" borderId="0" xfId="0" applyFont="1" applyAlignment="1" applyProtection="1"/>
    <xf numFmtId="0" fontId="0" fillId="0" borderId="0" xfId="0"/>
    <xf numFmtId="0" fontId="0" fillId="0" borderId="0" xfId="0" applyAlignment="1">
      <alignment horizontal="center"/>
    </xf>
    <xf numFmtId="0" fontId="0" fillId="0" borderId="0" xfId="0" applyAlignment="1">
      <alignment vertical="top"/>
    </xf>
    <xf numFmtId="0" fontId="20" fillId="0" borderId="10" xfId="0" applyFont="1" applyBorder="1" applyProtection="1"/>
    <xf numFmtId="0" fontId="21" fillId="0" borderId="0" xfId="0" applyFont="1" applyAlignment="1">
      <alignment vertical="top"/>
    </xf>
    <xf numFmtId="0" fontId="21" fillId="0" borderId="0" xfId="0" applyFont="1" applyProtection="1">
      <protection locked="0"/>
    </xf>
    <xf numFmtId="0" fontId="21" fillId="0" borderId="0" xfId="0" applyFont="1"/>
    <xf numFmtId="0" fontId="7"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21" fillId="0" borderId="0" xfId="0" applyFont="1" applyAlignment="1">
      <alignment vertical="center"/>
    </xf>
    <xf numFmtId="0" fontId="0" fillId="0" borderId="0" xfId="0"/>
    <xf numFmtId="49" fontId="0" fillId="0" borderId="0" xfId="0" applyNumberFormat="1"/>
    <xf numFmtId="0" fontId="0" fillId="0" borderId="0" xfId="0"/>
    <xf numFmtId="0" fontId="0" fillId="0" borderId="0" xfId="0"/>
    <xf numFmtId="0" fontId="0" fillId="0" borderId="0" xfId="0"/>
    <xf numFmtId="0" fontId="20" fillId="0" borderId="0" xfId="0" applyFont="1" applyAlignment="1" applyProtection="1">
      <alignment horizontal="right"/>
    </xf>
    <xf numFmtId="0" fontId="3" fillId="0" borderId="0" xfId="0" applyFont="1" applyAlignment="1" applyProtection="1"/>
    <xf numFmtId="0" fontId="0" fillId="0" borderId="0" xfId="0" applyProtection="1"/>
    <xf numFmtId="0" fontId="0" fillId="0" borderId="0" xfId="0"/>
    <xf numFmtId="0" fontId="0" fillId="0" borderId="0" xfId="0" applyAlignment="1" applyProtection="1"/>
    <xf numFmtId="0" fontId="20" fillId="0" borderId="2" xfId="0" applyFont="1" applyBorder="1" applyAlignment="1" applyProtection="1">
      <alignment horizontal="center" vertical="center"/>
      <protection locked="0"/>
    </xf>
    <xf numFmtId="0" fontId="0" fillId="0" borderId="0" xfId="0" applyAlignment="1"/>
    <xf numFmtId="49" fontId="20" fillId="0" borderId="3" xfId="0" applyNumberFormat="1" applyFont="1" applyBorder="1" applyAlignment="1" applyProtection="1">
      <alignment horizontal="center" vertical="justify"/>
    </xf>
    <xf numFmtId="0" fontId="0" fillId="0" borderId="0" xfId="0" applyProtection="1"/>
    <xf numFmtId="0" fontId="0" fillId="0" borderId="0" xfId="0"/>
    <xf numFmtId="0" fontId="20" fillId="0" borderId="2" xfId="0" applyFont="1" applyBorder="1" applyAlignment="1" applyProtection="1">
      <alignment horizontal="center" vertical="center"/>
    </xf>
    <xf numFmtId="0" fontId="20" fillId="0" borderId="2" xfId="0" applyFont="1" applyBorder="1" applyAlignment="1" applyProtection="1">
      <alignment horizontal="center" vertical="center"/>
      <protection locked="0"/>
    </xf>
    <xf numFmtId="0" fontId="0" fillId="0" borderId="0" xfId="0" applyAlignment="1"/>
    <xf numFmtId="49" fontId="20" fillId="0" borderId="2" xfId="0" applyNumberFormat="1" applyFont="1" applyBorder="1" applyAlignment="1" applyProtection="1">
      <alignment horizontal="center" vertical="justify"/>
    </xf>
    <xf numFmtId="0" fontId="2" fillId="0" borderId="0" xfId="0" applyFont="1" applyAlignment="1" applyProtection="1">
      <alignment wrapText="1"/>
    </xf>
    <xf numFmtId="0" fontId="5" fillId="0" borderId="0" xfId="0" applyFont="1" applyAlignment="1" applyProtection="1"/>
    <xf numFmtId="0" fontId="0" fillId="0" borderId="0" xfId="0" applyProtection="1">
      <protection locked="0"/>
    </xf>
    <xf numFmtId="0" fontId="30" fillId="0" borderId="0" xfId="0" applyFont="1" applyAlignment="1" applyProtection="1">
      <alignment horizontal="right" vertical="top" wrapText="1"/>
    </xf>
    <xf numFmtId="0" fontId="10" fillId="0" borderId="0" xfId="0" applyFont="1" applyAlignment="1" applyProtection="1">
      <alignment horizontal="right"/>
    </xf>
    <xf numFmtId="0" fontId="10" fillId="0" borderId="0" xfId="0" applyFont="1" applyAlignment="1" applyProtection="1">
      <alignment horizontal="right" vertical="top"/>
    </xf>
    <xf numFmtId="0" fontId="30" fillId="0" borderId="0" xfId="0" applyFont="1"/>
    <xf numFmtId="0" fontId="4" fillId="0" borderId="0" xfId="0" applyFont="1"/>
    <xf numFmtId="0" fontId="30" fillId="0" borderId="11" xfId="0" applyFont="1" applyBorder="1" applyAlignment="1">
      <alignment horizontal="center"/>
    </xf>
    <xf numFmtId="0" fontId="0" fillId="0" borderId="0" xfId="0" applyBorder="1"/>
    <xf numFmtId="0" fontId="15" fillId="2" borderId="2" xfId="0" applyFont="1" applyFill="1" applyBorder="1" applyAlignment="1" applyProtection="1">
      <alignment horizontal="center"/>
    </xf>
    <xf numFmtId="0" fontId="20" fillId="2" borderId="2" xfId="0" applyFont="1" applyFill="1" applyBorder="1" applyAlignment="1" applyProtection="1">
      <alignment horizontal="center"/>
    </xf>
    <xf numFmtId="0" fontId="20" fillId="2" borderId="2" xfId="0" applyFont="1" applyFill="1" applyBorder="1" applyAlignment="1" applyProtection="1">
      <alignment horizontal="center" vertical="center"/>
    </xf>
    <xf numFmtId="0" fontId="33" fillId="0" borderId="0" xfId="0" applyFont="1"/>
    <xf numFmtId="0" fontId="2" fillId="0" borderId="0" xfId="0" applyFont="1"/>
    <xf numFmtId="0" fontId="0" fillId="0" borderId="0" xfId="0" applyBorder="1" applyProtection="1">
      <protection locked="0"/>
    </xf>
    <xf numFmtId="0" fontId="33" fillId="0" borderId="0" xfId="0" applyFont="1" applyAlignment="1">
      <alignment vertical="center"/>
    </xf>
    <xf numFmtId="0" fontId="15" fillId="2" borderId="2" xfId="0" applyFont="1" applyFill="1" applyBorder="1" applyAlignment="1" applyProtection="1">
      <alignment horizontal="center" vertical="center"/>
    </xf>
    <xf numFmtId="0" fontId="20" fillId="0" borderId="2" xfId="0" applyFont="1" applyBorder="1" applyAlignment="1" applyProtection="1">
      <alignment horizontal="center"/>
      <protection locked="0"/>
    </xf>
    <xf numFmtId="0" fontId="3" fillId="2" borderId="2" xfId="0" applyFont="1" applyFill="1" applyBorder="1" applyProtection="1"/>
    <xf numFmtId="0" fontId="17" fillId="2" borderId="1" xfId="0" applyFont="1" applyFill="1" applyBorder="1" applyAlignment="1" applyProtection="1">
      <alignment vertical="justify"/>
    </xf>
    <xf numFmtId="0" fontId="0" fillId="0" borderId="0" xfId="0"/>
    <xf numFmtId="0" fontId="0" fillId="0" borderId="2" xfId="0" applyBorder="1" applyAlignment="1" applyProtection="1">
      <protection locked="0"/>
    </xf>
    <xf numFmtId="0" fontId="20" fillId="0" borderId="0" xfId="0" applyFont="1"/>
    <xf numFmtId="0" fontId="30" fillId="0" borderId="2" xfId="0" applyFont="1" applyBorder="1" applyAlignment="1" applyProtection="1">
      <alignment horizontal="center"/>
      <protection locked="0"/>
    </xf>
    <xf numFmtId="0" fontId="30" fillId="0" borderId="11" xfId="0" applyFont="1" applyBorder="1" applyAlignment="1" applyProtection="1">
      <alignment horizontal="center"/>
      <protection locked="0"/>
    </xf>
    <xf numFmtId="0" fontId="30" fillId="0" borderId="23" xfId="0" applyFont="1" applyBorder="1" applyAlignment="1" applyProtection="1">
      <alignment horizontal="center"/>
      <protection locked="0"/>
    </xf>
    <xf numFmtId="0" fontId="10" fillId="0" borderId="7" xfId="0" applyFont="1" applyBorder="1" applyAlignment="1" applyProtection="1">
      <protection locked="0"/>
    </xf>
    <xf numFmtId="0" fontId="0" fillId="0" borderId="0" xfId="0"/>
    <xf numFmtId="0" fontId="0" fillId="0" borderId="0" xfId="0"/>
    <xf numFmtId="0" fontId="7" fillId="0" borderId="0" xfId="0" applyFont="1" applyAlignment="1" applyProtection="1"/>
    <xf numFmtId="0" fontId="0" fillId="0" borderId="0" xfId="0" applyProtection="1"/>
    <xf numFmtId="0" fontId="9" fillId="0" borderId="0" xfId="0" applyFont="1" applyAlignment="1" applyProtection="1">
      <protection locked="0"/>
    </xf>
    <xf numFmtId="0" fontId="2" fillId="0" borderId="0" xfId="0" applyFont="1" applyAlignment="1" applyProtection="1"/>
    <xf numFmtId="0" fontId="10" fillId="0" borderId="2" xfId="0" applyFont="1" applyBorder="1" applyAlignment="1" applyProtection="1">
      <alignment horizontal="center"/>
      <protection locked="0"/>
    </xf>
    <xf numFmtId="0" fontId="2" fillId="0" borderId="2" xfId="0" applyFont="1" applyBorder="1" applyAlignment="1" applyProtection="1">
      <alignment horizontal="center"/>
      <protection locked="0"/>
    </xf>
    <xf numFmtId="167" fontId="0" fillId="0" borderId="2" xfId="0" applyNumberFormat="1" applyBorder="1" applyAlignment="1" applyProtection="1">
      <alignment horizontal="center"/>
      <protection locked="0"/>
    </xf>
    <xf numFmtId="0" fontId="20" fillId="0" borderId="0" xfId="0" applyFont="1" applyAlignment="1" applyProtection="1">
      <alignment horizontal="right"/>
    </xf>
    <xf numFmtId="0" fontId="20" fillId="0" borderId="0" xfId="0" applyFont="1" applyBorder="1" applyAlignment="1" applyProtection="1"/>
    <xf numFmtId="0" fontId="0" fillId="0" borderId="0" xfId="0" applyProtection="1"/>
    <xf numFmtId="0" fontId="20" fillId="2" borderId="2" xfId="0" applyFont="1" applyFill="1" applyBorder="1" applyAlignment="1" applyProtection="1">
      <alignment horizontal="center" vertical="center"/>
    </xf>
    <xf numFmtId="0" fontId="20" fillId="0" borderId="2" xfId="0" applyFont="1" applyBorder="1" applyAlignment="1" applyProtection="1">
      <alignment horizontal="center" vertical="center"/>
      <protection locked="0"/>
    </xf>
    <xf numFmtId="0" fontId="20" fillId="0" borderId="2" xfId="0" applyFont="1" applyBorder="1" applyAlignment="1" applyProtection="1">
      <alignment horizontal="center" vertical="center"/>
    </xf>
    <xf numFmtId="49" fontId="20" fillId="0" borderId="3" xfId="0" applyNumberFormat="1" applyFont="1" applyBorder="1" applyAlignment="1" applyProtection="1">
      <alignment horizontal="center" vertical="justify"/>
    </xf>
    <xf numFmtId="0" fontId="20" fillId="0" borderId="0" xfId="0" applyFont="1" applyBorder="1" applyProtection="1"/>
    <xf numFmtId="0" fontId="13" fillId="0" borderId="5" xfId="0" applyFont="1" applyBorder="1" applyAlignment="1" applyProtection="1">
      <alignment horizontal="center"/>
    </xf>
    <xf numFmtId="0" fontId="13" fillId="0" borderId="6" xfId="0" applyFont="1" applyBorder="1" applyAlignment="1" applyProtection="1">
      <alignment horizontal="center"/>
    </xf>
    <xf numFmtId="0" fontId="15" fillId="0" borderId="0" xfId="0" applyFont="1" applyBorder="1" applyAlignment="1" applyProtection="1">
      <alignment horizontal="center" vertical="justify"/>
    </xf>
    <xf numFmtId="0" fontId="4" fillId="0" borderId="0" xfId="0" applyFont="1" applyBorder="1" applyAlignment="1" applyProtection="1">
      <alignment horizontal="center" vertical="justify"/>
    </xf>
    <xf numFmtId="0" fontId="30" fillId="0" borderId="11" xfId="0" applyFont="1" applyBorder="1" applyAlignment="1" applyProtection="1">
      <alignment horizontal="center"/>
    </xf>
    <xf numFmtId="0" fontId="30" fillId="0" borderId="23" xfId="0" applyFont="1" applyBorder="1" applyAlignment="1" applyProtection="1">
      <alignment horizontal="center"/>
    </xf>
    <xf numFmtId="0" fontId="31" fillId="0" borderId="0" xfId="0" applyFont="1" applyBorder="1" applyAlignment="1" applyProtection="1"/>
    <xf numFmtId="0" fontId="30" fillId="0" borderId="0" xfId="0" applyFont="1" applyProtection="1"/>
    <xf numFmtId="1" fontId="30" fillId="0" borderId="11" xfId="0" applyNumberFormat="1" applyFont="1" applyBorder="1" applyAlignment="1" applyProtection="1">
      <alignment horizontal="center"/>
    </xf>
    <xf numFmtId="0" fontId="0" fillId="0" borderId="0" xfId="0" applyAlignment="1"/>
    <xf numFmtId="0" fontId="0" fillId="0" borderId="0" xfId="0"/>
    <xf numFmtId="0" fontId="0" fillId="0" borderId="0" xfId="0" applyProtection="1"/>
    <xf numFmtId="0" fontId="0" fillId="0" borderId="0" xfId="0" applyBorder="1" applyAlignment="1"/>
    <xf numFmtId="0" fontId="20" fillId="2" borderId="2" xfId="0" applyFont="1" applyFill="1" applyBorder="1" applyAlignment="1" applyProtection="1">
      <alignment horizontal="center" vertical="center"/>
    </xf>
    <xf numFmtId="0" fontId="10" fillId="0" borderId="2" xfId="0" applyFont="1" applyBorder="1" applyAlignment="1" applyProtection="1">
      <alignment horizontal="center" vertical="center"/>
      <protection locked="0"/>
    </xf>
    <xf numFmtId="1" fontId="10" fillId="0" borderId="2" xfId="0" applyNumberFormat="1" applyFont="1" applyBorder="1" applyAlignment="1" applyProtection="1">
      <alignment horizontal="center"/>
      <protection locked="0"/>
    </xf>
    <xf numFmtId="14" fontId="30" fillId="0" borderId="7" xfId="0" applyNumberFormat="1" applyFont="1" applyBorder="1" applyAlignment="1" applyProtection="1">
      <alignment horizontal="left"/>
      <protection locked="0"/>
    </xf>
    <xf numFmtId="0" fontId="13" fillId="0" borderId="0" xfId="0" applyFont="1" applyBorder="1" applyAlignment="1"/>
    <xf numFmtId="0" fontId="13" fillId="0" borderId="0" xfId="0" applyFont="1" applyAlignment="1"/>
    <xf numFmtId="0" fontId="1" fillId="0" borderId="0" xfId="1"/>
    <xf numFmtId="0" fontId="41" fillId="0" borderId="0" xfId="1" applyFont="1" applyAlignment="1">
      <alignment horizontal="center" wrapText="1"/>
    </xf>
    <xf numFmtId="0" fontId="1" fillId="0" borderId="10" xfId="1" applyBorder="1" applyAlignment="1"/>
    <xf numFmtId="0" fontId="45" fillId="0" borderId="7" xfId="1" applyFont="1" applyBorder="1" applyAlignment="1" applyProtection="1">
      <alignment horizontal="center"/>
      <protection locked="0"/>
    </xf>
    <xf numFmtId="0" fontId="45" fillId="0" borderId="0" xfId="1" applyFont="1" applyBorder="1" applyAlignment="1">
      <alignment horizontal="center"/>
    </xf>
    <xf numFmtId="0" fontId="45" fillId="0" borderId="9" xfId="1" applyFont="1" applyBorder="1" applyAlignment="1" applyProtection="1">
      <alignment horizontal="center"/>
      <protection locked="0"/>
    </xf>
    <xf numFmtId="0" fontId="44" fillId="0" borderId="5" xfId="1" applyFont="1" applyBorder="1"/>
    <xf numFmtId="0" fontId="1" fillId="0" borderId="1" xfId="1" applyBorder="1"/>
    <xf numFmtId="0" fontId="1" fillId="0" borderId="6" xfId="1" applyBorder="1"/>
    <xf numFmtId="0" fontId="1" fillId="0" borderId="7" xfId="1" applyBorder="1"/>
    <xf numFmtId="0" fontId="1" fillId="0" borderId="10" xfId="1" applyBorder="1"/>
    <xf numFmtId="0" fontId="44" fillId="0" borderId="5" xfId="1" applyFont="1" applyBorder="1" applyAlignment="1">
      <alignment vertical="top" wrapText="1"/>
    </xf>
    <xf numFmtId="0" fontId="1" fillId="0" borderId="0" xfId="1" applyBorder="1"/>
    <xf numFmtId="0" fontId="1" fillId="0" borderId="15" xfId="1" applyBorder="1"/>
    <xf numFmtId="0" fontId="1" fillId="0" borderId="9" xfId="1" applyBorder="1"/>
    <xf numFmtId="0" fontId="45" fillId="0" borderId="5" xfId="1" applyFont="1" applyBorder="1" applyAlignment="1">
      <alignment vertical="top"/>
    </xf>
    <xf numFmtId="0" fontId="45" fillId="0" borderId="12" xfId="1" applyFont="1" applyBorder="1" applyAlignment="1" applyProtection="1">
      <alignment horizontal="center"/>
      <protection locked="0"/>
    </xf>
    <xf numFmtId="0" fontId="49" fillId="0" borderId="7" xfId="1" applyFont="1" applyBorder="1"/>
    <xf numFmtId="0" fontId="1" fillId="0" borderId="13" xfId="1" applyBorder="1"/>
    <xf numFmtId="14" fontId="10" fillId="0" borderId="8" xfId="0" applyNumberFormat="1" applyFont="1" applyBorder="1" applyAlignment="1" applyProtection="1">
      <alignment horizontal="center"/>
      <protection locked="0"/>
    </xf>
    <xf numFmtId="0" fontId="20" fillId="0" borderId="10" xfId="0" applyFont="1" applyBorder="1" applyAlignment="1">
      <alignment horizontal="right"/>
    </xf>
    <xf numFmtId="0" fontId="0" fillId="0" borderId="15" xfId="0" applyBorder="1" applyAlignment="1"/>
    <xf numFmtId="0" fontId="20" fillId="0" borderId="0" xfId="0" applyFont="1" applyAlignment="1" applyProtection="1">
      <alignment horizontal="right"/>
    </xf>
    <xf numFmtId="0" fontId="0" fillId="0" borderId="0" xfId="0" applyProtection="1"/>
    <xf numFmtId="0" fontId="0" fillId="0" borderId="15" xfId="0" applyBorder="1" applyProtection="1"/>
    <xf numFmtId="0" fontId="20" fillId="0" borderId="10" xfId="0" applyFont="1" applyBorder="1" applyAlignment="1" applyProtection="1">
      <alignment horizontal="right"/>
    </xf>
    <xf numFmtId="0" fontId="0" fillId="0" borderId="15" xfId="0" applyBorder="1"/>
    <xf numFmtId="0" fontId="3" fillId="0" borderId="0" xfId="0" applyFont="1" applyAlignment="1" applyProtection="1"/>
    <xf numFmtId="14" fontId="10" fillId="0" borderId="7" xfId="0" applyNumberFormat="1" applyFont="1" applyBorder="1" applyAlignment="1" applyProtection="1">
      <alignment horizontal="center"/>
      <protection locked="0"/>
    </xf>
    <xf numFmtId="18" fontId="20" fillId="0" borderId="0" xfId="0" applyNumberFormat="1" applyFont="1" applyBorder="1" applyAlignment="1" applyProtection="1">
      <alignment horizontal="center"/>
    </xf>
    <xf numFmtId="0" fontId="20" fillId="0" borderId="0" xfId="0" applyFont="1" applyBorder="1" applyAlignment="1" applyProtection="1">
      <alignment horizontal="center"/>
    </xf>
    <xf numFmtId="164" fontId="4" fillId="0" borderId="7" xfId="0" applyNumberFormat="1" applyFont="1" applyBorder="1" applyAlignment="1" applyProtection="1">
      <alignment horizontal="center"/>
      <protection locked="0"/>
    </xf>
    <xf numFmtId="0" fontId="20" fillId="0" borderId="0" xfId="0" applyFont="1" applyBorder="1" applyAlignment="1" applyProtection="1">
      <alignment horizontal="left"/>
    </xf>
    <xf numFmtId="14" fontId="31" fillId="0" borderId="8" xfId="0" applyNumberFormat="1" applyFont="1" applyBorder="1" applyAlignment="1" applyProtection="1">
      <alignment horizontal="center"/>
      <protection locked="0"/>
    </xf>
    <xf numFmtId="0" fontId="20" fillId="0" borderId="7" xfId="0" applyFont="1" applyBorder="1" applyAlignment="1" applyProtection="1">
      <alignment horizontal="center"/>
      <protection locked="0"/>
    </xf>
    <xf numFmtId="0" fontId="4" fillId="0" borderId="7" xfId="0" applyFont="1" applyBorder="1" applyAlignment="1" applyProtection="1">
      <alignment horizontal="left" wrapText="1"/>
      <protection locked="0"/>
    </xf>
    <xf numFmtId="0" fontId="4" fillId="0" borderId="1" xfId="0" applyFont="1" applyBorder="1" applyAlignment="1" applyProtection="1">
      <alignment horizontal="left" wrapText="1"/>
      <protection locked="0"/>
    </xf>
    <xf numFmtId="0" fontId="0" fillId="0" borderId="10" xfId="0" applyBorder="1" applyAlignment="1"/>
    <xf numFmtId="0" fontId="0" fillId="0" borderId="0" xfId="0" applyAlignment="1"/>
    <xf numFmtId="0" fontId="0" fillId="0" borderId="0" xfId="0"/>
    <xf numFmtId="0" fontId="20" fillId="0" borderId="0" xfId="0" applyFont="1" applyAlignment="1" applyProtection="1"/>
    <xf numFmtId="0" fontId="10" fillId="0" borderId="7" xfId="0" applyFont="1" applyBorder="1" applyAlignment="1" applyProtection="1">
      <alignment horizontal="center"/>
      <protection locked="0"/>
    </xf>
    <xf numFmtId="0" fontId="31" fillId="0" borderId="7" xfId="0" applyFont="1" applyBorder="1" applyAlignment="1" applyProtection="1">
      <alignment horizontal="center"/>
      <protection locked="0"/>
    </xf>
    <xf numFmtId="0" fontId="15" fillId="0" borderId="0" xfId="0" applyFont="1" applyAlignment="1" applyProtection="1"/>
    <xf numFmtId="0" fontId="20" fillId="0" borderId="0" xfId="0" applyFont="1" applyBorder="1" applyAlignment="1" applyProtection="1"/>
    <xf numFmtId="0" fontId="0" fillId="0" borderId="0" xfId="0" applyBorder="1"/>
    <xf numFmtId="0" fontId="30" fillId="0" borderId="0" xfId="0" applyFont="1" applyAlignment="1" applyProtection="1"/>
    <xf numFmtId="0" fontId="10" fillId="0" borderId="7" xfId="0" applyFont="1" applyBorder="1" applyAlignment="1" applyProtection="1">
      <protection locked="0"/>
    </xf>
    <xf numFmtId="0" fontId="31" fillId="0" borderId="7" xfId="0" applyFont="1" applyBorder="1" applyAlignment="1" applyProtection="1">
      <protection locked="0"/>
    </xf>
    <xf numFmtId="0" fontId="3" fillId="0" borderId="10" xfId="0" applyFont="1" applyBorder="1" applyAlignment="1" applyProtection="1"/>
    <xf numFmtId="0" fontId="3" fillId="0" borderId="0" xfId="0" applyFont="1" applyAlignment="1" applyProtection="1">
      <alignment horizontal="center"/>
    </xf>
    <xf numFmtId="0" fontId="30" fillId="0" borderId="0" xfId="0" applyFont="1" applyAlignment="1" applyProtection="1">
      <alignment horizontal="left" wrapText="1"/>
    </xf>
    <xf numFmtId="0" fontId="3" fillId="0" borderId="7" xfId="0" applyFont="1" applyBorder="1" applyAlignment="1" applyProtection="1"/>
    <xf numFmtId="0" fontId="7" fillId="0" borderId="0" xfId="0" applyFont="1" applyAlignment="1" applyProtection="1"/>
    <xf numFmtId="0" fontId="9" fillId="0" borderId="0" xfId="0" applyFont="1" applyAlignment="1" applyProtection="1">
      <protection locked="0"/>
    </xf>
    <xf numFmtId="0" fontId="10" fillId="0" borderId="8" xfId="0" applyFont="1" applyBorder="1" applyAlignment="1" applyProtection="1">
      <alignment horizontal="left"/>
      <protection locked="0"/>
    </xf>
    <xf numFmtId="0" fontId="0" fillId="0" borderId="8" xfId="0" applyBorder="1"/>
    <xf numFmtId="0" fontId="10" fillId="0" borderId="7" xfId="0" applyFont="1" applyBorder="1" applyAlignment="1" applyProtection="1">
      <alignment horizontal="left"/>
      <protection locked="0"/>
    </xf>
    <xf numFmtId="0" fontId="0" fillId="0" borderId="7" xfId="0" applyBorder="1" applyProtection="1">
      <protection locked="0"/>
    </xf>
    <xf numFmtId="0" fontId="20" fillId="0" borderId="1" xfId="0" applyFont="1" applyBorder="1" applyAlignment="1" applyProtection="1"/>
    <xf numFmtId="0" fontId="0" fillId="0" borderId="1" xfId="0" applyBorder="1" applyAlignment="1"/>
    <xf numFmtId="0" fontId="10" fillId="0" borderId="1" xfId="0" applyFont="1" applyBorder="1" applyAlignment="1" applyProtection="1">
      <protection locked="0"/>
    </xf>
    <xf numFmtId="0" fontId="30" fillId="0" borderId="0" xfId="0" applyFont="1" applyAlignment="1" applyProtection="1">
      <alignment horizontal="center"/>
    </xf>
    <xf numFmtId="0" fontId="0" fillId="0" borderId="0" xfId="0" applyAlignment="1" applyProtection="1"/>
    <xf numFmtId="0" fontId="0" fillId="0" borderId="7" xfId="0" applyBorder="1" applyProtection="1"/>
    <xf numFmtId="0" fontId="0" fillId="0" borderId="7" xfId="0" applyBorder="1"/>
    <xf numFmtId="0" fontId="20" fillId="0" borderId="5" xfId="0" applyFont="1" applyBorder="1" applyAlignment="1" applyProtection="1">
      <alignment horizontal="left" vertical="center" wrapText="1"/>
    </xf>
    <xf numFmtId="0" fontId="0" fillId="0" borderId="1" xfId="0" applyBorder="1" applyAlignment="1" applyProtection="1">
      <alignment vertical="center"/>
    </xf>
    <xf numFmtId="0" fontId="0" fillId="0" borderId="13" xfId="0" applyBorder="1" applyAlignment="1" applyProtection="1">
      <alignment vertical="center"/>
    </xf>
    <xf numFmtId="0" fontId="0" fillId="0" borderId="10" xfId="0" applyBorder="1" applyAlignment="1" applyProtection="1">
      <alignment vertical="center"/>
    </xf>
    <xf numFmtId="0" fontId="0" fillId="0" borderId="0" xfId="0" applyAlignment="1" applyProtection="1">
      <alignment vertical="center"/>
    </xf>
    <xf numFmtId="0" fontId="0" fillId="0" borderId="15" xfId="0" applyBorder="1" applyAlignment="1" applyProtection="1">
      <alignment vertical="center"/>
    </xf>
    <xf numFmtId="0" fontId="0" fillId="0" borderId="6" xfId="0" applyBorder="1" applyAlignment="1" applyProtection="1">
      <alignment vertical="center"/>
    </xf>
    <xf numFmtId="0" fontId="0" fillId="0" borderId="7" xfId="0" applyBorder="1" applyAlignment="1" applyProtection="1">
      <alignment vertical="center"/>
    </xf>
    <xf numFmtId="0" fontId="0" fillId="0" borderId="9" xfId="0" applyBorder="1" applyAlignment="1" applyProtection="1">
      <alignment vertical="center"/>
    </xf>
    <xf numFmtId="0" fontId="10" fillId="0" borderId="8" xfId="0" applyFont="1" applyBorder="1" applyAlignment="1" applyProtection="1">
      <protection locked="0"/>
    </xf>
    <xf numFmtId="0" fontId="0" fillId="0" borderId="8" xfId="0" applyBorder="1" applyProtection="1">
      <protection locked="0"/>
    </xf>
    <xf numFmtId="0" fontId="0" fillId="0" borderId="1" xfId="0" applyBorder="1"/>
    <xf numFmtId="0" fontId="0" fillId="0" borderId="0" xfId="0" applyAlignment="1">
      <alignment horizontal="left"/>
    </xf>
    <xf numFmtId="166" fontId="10" fillId="0" borderId="7" xfId="0" applyNumberFormat="1" applyFont="1" applyBorder="1" applyAlignment="1" applyProtection="1">
      <protection locked="0"/>
    </xf>
    <xf numFmtId="166" fontId="31" fillId="0" borderId="7" xfId="0" applyNumberFormat="1" applyFont="1" applyBorder="1" applyAlignment="1" applyProtection="1">
      <protection locked="0"/>
    </xf>
    <xf numFmtId="166" fontId="0" fillId="0" borderId="7" xfId="0" applyNumberFormat="1" applyBorder="1" applyAlignment="1"/>
    <xf numFmtId="0" fontId="20" fillId="0" borderId="7" xfId="0" applyFont="1" applyBorder="1" applyAlignment="1" applyProtection="1">
      <protection locked="0"/>
    </xf>
    <xf numFmtId="0" fontId="0" fillId="0" borderId="7" xfId="0" applyBorder="1" applyAlignment="1" applyProtection="1">
      <protection locked="0"/>
    </xf>
    <xf numFmtId="49" fontId="10" fillId="0" borderId="8" xfId="0" applyNumberFormat="1" applyFont="1" applyBorder="1" applyAlignment="1" applyProtection="1">
      <alignment horizontal="left"/>
      <protection locked="0"/>
    </xf>
    <xf numFmtId="49" fontId="31" fillId="0" borderId="8" xfId="0" applyNumberFormat="1" applyFont="1" applyBorder="1" applyAlignment="1" applyProtection="1">
      <alignment horizontal="left"/>
      <protection locked="0"/>
    </xf>
    <xf numFmtId="0" fontId="20" fillId="0" borderId="0" xfId="0" applyFont="1" applyAlignment="1" applyProtection="1">
      <alignment vertical="center" wrapText="1"/>
    </xf>
    <xf numFmtId="0" fontId="17" fillId="0" borderId="0" xfId="0" applyFont="1" applyAlignment="1" applyProtection="1">
      <alignment horizontal="center"/>
    </xf>
    <xf numFmtId="0" fontId="20" fillId="0" borderId="0" xfId="0" applyFont="1" applyAlignment="1" applyProtection="1">
      <alignment horizontal="center"/>
    </xf>
    <xf numFmtId="0" fontId="2" fillId="0" borderId="7" xfId="0" applyFont="1" applyBorder="1" applyAlignment="1" applyProtection="1">
      <alignment readingOrder="1"/>
      <protection locked="0"/>
    </xf>
    <xf numFmtId="0" fontId="0" fillId="0" borderId="7" xfId="0" applyBorder="1" applyAlignment="1" applyProtection="1">
      <alignment readingOrder="1"/>
      <protection locked="0"/>
    </xf>
    <xf numFmtId="0" fontId="20" fillId="0" borderId="7" xfId="0" applyFont="1" applyBorder="1" applyAlignment="1" applyProtection="1">
      <alignment vertical="top"/>
      <protection locked="0"/>
    </xf>
    <xf numFmtId="0" fontId="0" fillId="0" borderId="7" xfId="0" applyBorder="1" applyAlignment="1" applyProtection="1">
      <alignment vertical="top"/>
      <protection locked="0"/>
    </xf>
    <xf numFmtId="0" fontId="20" fillId="0" borderId="8" xfId="0" applyFont="1" applyBorder="1" applyAlignment="1" applyProtection="1">
      <alignment horizontal="center" vertical="center" readingOrder="1"/>
      <protection locked="0"/>
    </xf>
    <xf numFmtId="0" fontId="30" fillId="0" borderId="1" xfId="0" applyFont="1" applyBorder="1" applyAlignment="1" applyProtection="1"/>
    <xf numFmtId="0" fontId="10" fillId="0" borderId="1" xfId="0" applyFont="1" applyBorder="1" applyAlignment="1" applyProtection="1"/>
    <xf numFmtId="0" fontId="30" fillId="0" borderId="0" xfId="0" applyFont="1" applyAlignment="1" applyProtection="1">
      <alignment horizontal="left"/>
    </xf>
    <xf numFmtId="0" fontId="30" fillId="0" borderId="0" xfId="0" applyFont="1" applyBorder="1" applyProtection="1"/>
    <xf numFmtId="0" fontId="30" fillId="0" borderId="15" xfId="0" applyFont="1" applyBorder="1" applyProtection="1"/>
    <xf numFmtId="0" fontId="10" fillId="0" borderId="2" xfId="0" applyFont="1" applyBorder="1" applyProtection="1">
      <protection locked="0"/>
    </xf>
    <xf numFmtId="0" fontId="40" fillId="0" borderId="0" xfId="0" applyFont="1" applyBorder="1" applyAlignment="1" applyProtection="1">
      <alignment horizontal="center"/>
    </xf>
    <xf numFmtId="0" fontId="36" fillId="0" borderId="0" xfId="0" applyFont="1" applyAlignment="1" applyProtection="1">
      <alignment horizontal="left" wrapText="1"/>
    </xf>
    <xf numFmtId="0" fontId="36" fillId="0" borderId="0" xfId="0" applyFont="1" applyAlignment="1" applyProtection="1">
      <alignment horizontal="left"/>
    </xf>
    <xf numFmtId="0" fontId="10" fillId="0" borderId="2" xfId="0" applyFont="1" applyBorder="1" applyAlignment="1" applyProtection="1">
      <alignment horizontal="left"/>
      <protection locked="0"/>
    </xf>
    <xf numFmtId="0" fontId="20" fillId="0" borderId="3" xfId="0" applyFont="1" applyBorder="1" applyAlignment="1" applyProtection="1">
      <alignment horizontal="center" vertical="center"/>
    </xf>
    <xf numFmtId="0" fontId="20" fillId="0" borderId="16" xfId="0" applyFont="1" applyBorder="1" applyAlignment="1" applyProtection="1">
      <alignment horizontal="center" vertical="center"/>
    </xf>
    <xf numFmtId="0" fontId="20" fillId="0" borderId="4" xfId="0" applyFont="1" applyBorder="1" applyAlignment="1" applyProtection="1">
      <alignment horizontal="center" vertical="center"/>
    </xf>
    <xf numFmtId="0" fontId="21" fillId="2" borderId="3" xfId="0" applyFont="1" applyFill="1" applyBorder="1" applyAlignment="1" applyProtection="1"/>
    <xf numFmtId="0" fontId="21" fillId="2" borderId="16" xfId="0" applyFont="1" applyFill="1" applyBorder="1" applyAlignment="1" applyProtection="1"/>
    <xf numFmtId="0" fontId="21" fillId="2" borderId="4" xfId="0" applyFont="1" applyFill="1" applyBorder="1" applyAlignment="1" applyProtection="1"/>
    <xf numFmtId="0" fontId="20" fillId="0" borderId="3" xfId="0" applyFont="1" applyBorder="1" applyAlignment="1" applyProtection="1">
      <alignment horizontal="center" vertical="center"/>
      <protection locked="0"/>
    </xf>
    <xf numFmtId="0" fontId="20" fillId="0" borderId="16" xfId="0" applyFont="1" applyBorder="1" applyAlignment="1" applyProtection="1">
      <alignment horizontal="center" vertical="center"/>
      <protection locked="0"/>
    </xf>
    <xf numFmtId="0" fontId="20" fillId="0" borderId="4" xfId="0" applyFont="1" applyBorder="1" applyAlignment="1" applyProtection="1">
      <alignment horizontal="center" vertical="center"/>
      <protection locked="0"/>
    </xf>
    <xf numFmtId="0" fontId="20" fillId="0" borderId="3" xfId="0" applyFont="1" applyBorder="1" applyAlignment="1" applyProtection="1">
      <alignment horizontal="center" vertical="top"/>
    </xf>
    <xf numFmtId="0" fontId="20" fillId="0" borderId="4" xfId="0" applyFont="1" applyBorder="1" applyAlignment="1" applyProtection="1">
      <alignment horizontal="center" vertical="top"/>
    </xf>
    <xf numFmtId="0" fontId="20" fillId="0" borderId="6" xfId="0" applyFont="1" applyBorder="1" applyAlignment="1" applyProtection="1">
      <alignment horizontal="left"/>
    </xf>
    <xf numFmtId="0" fontId="20" fillId="0" borderId="7" xfId="0" applyFont="1" applyBorder="1" applyAlignment="1" applyProtection="1">
      <alignment horizontal="left"/>
    </xf>
    <xf numFmtId="0" fontId="20" fillId="0" borderId="9" xfId="0" applyFont="1" applyBorder="1" applyAlignment="1" applyProtection="1">
      <alignment horizontal="left"/>
    </xf>
    <xf numFmtId="0" fontId="20" fillId="0" borderId="13" xfId="0" applyFont="1" applyBorder="1" applyAlignment="1" applyProtection="1">
      <alignment horizontal="center" vertical="center"/>
    </xf>
    <xf numFmtId="0" fontId="20" fillId="0" borderId="9" xfId="0" applyFont="1" applyBorder="1" applyAlignment="1" applyProtection="1">
      <alignment horizontal="center" vertical="center"/>
    </xf>
    <xf numFmtId="0" fontId="30" fillId="0" borderId="3" xfId="0" applyFont="1" applyBorder="1" applyAlignment="1" applyProtection="1">
      <alignment horizontal="center" vertical="center"/>
      <protection locked="0"/>
    </xf>
    <xf numFmtId="0" fontId="30" fillId="0" borderId="4" xfId="0" applyFont="1" applyBorder="1" applyAlignment="1" applyProtection="1">
      <alignment horizontal="center" vertical="center"/>
      <protection locked="0"/>
    </xf>
    <xf numFmtId="0" fontId="30" fillId="2" borderId="3" xfId="0" applyFont="1" applyFill="1" applyBorder="1" applyAlignment="1" applyProtection="1">
      <alignment horizontal="center" vertical="top"/>
    </xf>
    <xf numFmtId="0" fontId="30" fillId="2" borderId="4" xfId="0" applyFont="1" applyFill="1" applyBorder="1" applyAlignment="1" applyProtection="1">
      <alignment horizontal="center" vertical="top"/>
    </xf>
    <xf numFmtId="0" fontId="20" fillId="0" borderId="10" xfId="0" applyFont="1" applyBorder="1" applyAlignment="1" applyProtection="1"/>
    <xf numFmtId="0" fontId="20" fillId="0" borderId="15" xfId="0" applyFont="1" applyBorder="1" applyAlignment="1" applyProtection="1"/>
    <xf numFmtId="0" fontId="20" fillId="0" borderId="6" xfId="0" applyFont="1" applyBorder="1" applyAlignment="1" applyProtection="1"/>
    <xf numFmtId="0" fontId="20" fillId="0" borderId="7" xfId="0" applyFont="1" applyBorder="1" applyAlignment="1" applyProtection="1"/>
    <xf numFmtId="0" fontId="20" fillId="0" borderId="9" xfId="0" applyFont="1" applyBorder="1" applyAlignment="1" applyProtection="1"/>
    <xf numFmtId="0" fontId="20" fillId="0" borderId="3" xfId="0" applyFont="1" applyBorder="1" applyAlignment="1" applyProtection="1">
      <alignment vertical="justify"/>
    </xf>
    <xf numFmtId="0" fontId="20" fillId="0" borderId="16" xfId="0" applyFont="1" applyBorder="1" applyAlignment="1" applyProtection="1">
      <alignment vertical="justify"/>
    </xf>
    <xf numFmtId="0" fontId="20" fillId="0" borderId="4" xfId="0" applyFont="1" applyBorder="1" applyAlignment="1" applyProtection="1">
      <alignment vertical="justify"/>
    </xf>
    <xf numFmtId="0" fontId="20" fillId="0" borderId="5" xfId="0" applyFont="1" applyBorder="1" applyAlignment="1" applyProtection="1"/>
    <xf numFmtId="0" fontId="20" fillId="0" borderId="13" xfId="0" applyFont="1" applyBorder="1" applyAlignment="1" applyProtection="1"/>
    <xf numFmtId="0" fontId="30" fillId="0" borderId="0" xfId="0" applyFont="1" applyAlignment="1"/>
    <xf numFmtId="0" fontId="30" fillId="2" borderId="5" xfId="0" applyFont="1" applyFill="1" applyBorder="1" applyAlignment="1" applyProtection="1">
      <alignment vertical="justify"/>
    </xf>
    <xf numFmtId="0" fontId="30" fillId="2" borderId="1" xfId="0" applyFont="1" applyFill="1" applyBorder="1" applyAlignment="1" applyProtection="1">
      <alignment vertical="justify"/>
    </xf>
    <xf numFmtId="0" fontId="3" fillId="0" borderId="1" xfId="0" applyFont="1" applyBorder="1" applyAlignment="1" applyProtection="1"/>
    <xf numFmtId="0" fontId="31" fillId="2" borderId="1" xfId="0" applyFont="1" applyFill="1" applyBorder="1" applyAlignment="1" applyProtection="1">
      <protection locked="0"/>
    </xf>
    <xf numFmtId="0" fontId="31" fillId="2" borderId="13" xfId="0" applyFont="1" applyFill="1" applyBorder="1" applyAlignment="1" applyProtection="1">
      <protection locked="0"/>
    </xf>
    <xf numFmtId="0" fontId="21" fillId="0" borderId="4" xfId="0" applyFont="1" applyBorder="1" applyAlignment="1" applyProtection="1"/>
    <xf numFmtId="0" fontId="21" fillId="0" borderId="1" xfId="0" applyFont="1" applyBorder="1" applyAlignment="1" applyProtection="1"/>
    <xf numFmtId="0" fontId="21" fillId="0" borderId="13" xfId="0" applyFont="1" applyBorder="1" applyAlignment="1" applyProtection="1"/>
    <xf numFmtId="0" fontId="21" fillId="0" borderId="0" xfId="0" applyFont="1" applyAlignment="1" applyProtection="1"/>
    <xf numFmtId="0" fontId="21" fillId="0" borderId="15" xfId="0" applyFont="1" applyBorder="1" applyAlignment="1" applyProtection="1"/>
    <xf numFmtId="0" fontId="21" fillId="0" borderId="16" xfId="0" applyFont="1" applyBorder="1" applyAlignment="1" applyProtection="1">
      <alignment vertical="justify"/>
    </xf>
    <xf numFmtId="0" fontId="21" fillId="0" borderId="4" xfId="0" applyFont="1" applyBorder="1" applyAlignment="1" applyProtection="1">
      <alignment vertical="justify"/>
    </xf>
    <xf numFmtId="0" fontId="21" fillId="0" borderId="7" xfId="0" applyFont="1" applyBorder="1" applyAlignment="1" applyProtection="1"/>
    <xf numFmtId="0" fontId="21" fillId="0" borderId="9" xfId="0" applyFont="1" applyBorder="1" applyAlignment="1" applyProtection="1"/>
    <xf numFmtId="0" fontId="4" fillId="0" borderId="0" xfId="0" applyFont="1" applyAlignment="1" applyProtection="1">
      <alignment horizontal="left"/>
    </xf>
    <xf numFmtId="0" fontId="30" fillId="0" borderId="0" xfId="0" applyFont="1" applyAlignment="1" applyProtection="1">
      <alignment horizontal="center" vertical="center"/>
    </xf>
    <xf numFmtId="0" fontId="20" fillId="0" borderId="3" xfId="0" applyFont="1" applyBorder="1" applyAlignment="1" applyProtection="1">
      <alignment horizontal="center" vertical="justify"/>
    </xf>
    <xf numFmtId="0" fontId="21" fillId="0" borderId="16" xfId="0" applyFont="1" applyBorder="1" applyAlignment="1" applyProtection="1">
      <alignment horizontal="center" vertical="justify"/>
    </xf>
    <xf numFmtId="0" fontId="21" fillId="0" borderId="4" xfId="0" applyFont="1" applyBorder="1" applyAlignment="1" applyProtection="1">
      <alignment horizontal="center" vertical="justify"/>
    </xf>
    <xf numFmtId="0" fontId="3" fillId="2" borderId="3" xfId="0" applyFont="1" applyFill="1" applyBorder="1" applyAlignment="1" applyProtection="1"/>
    <xf numFmtId="0" fontId="3" fillId="2" borderId="16" xfId="0" applyFont="1" applyFill="1" applyBorder="1" applyAlignment="1" applyProtection="1"/>
    <xf numFmtId="0" fontId="3" fillId="2" borderId="4" xfId="0" applyFont="1" applyFill="1" applyBorder="1" applyAlignment="1" applyProtection="1"/>
    <xf numFmtId="0" fontId="20" fillId="0" borderId="4" xfId="0" applyFont="1" applyBorder="1" applyAlignment="1" applyProtection="1">
      <alignment horizontal="center" vertical="justify"/>
    </xf>
    <xf numFmtId="0" fontId="20" fillId="2" borderId="16" xfId="0" applyFont="1" applyFill="1" applyBorder="1" applyAlignment="1" applyProtection="1">
      <alignment horizontal="center" vertical="center"/>
    </xf>
    <xf numFmtId="0" fontId="20" fillId="2" borderId="4" xfId="0" applyFont="1" applyFill="1" applyBorder="1" applyAlignment="1" applyProtection="1">
      <alignment horizontal="center" vertical="center"/>
    </xf>
    <xf numFmtId="0" fontId="20" fillId="2" borderId="14" xfId="0" applyFont="1" applyFill="1" applyBorder="1" applyAlignment="1" applyProtection="1">
      <alignment horizontal="center" vertical="center"/>
    </xf>
    <xf numFmtId="0" fontId="20" fillId="2" borderId="8" xfId="0" applyFont="1" applyFill="1" applyBorder="1" applyAlignment="1" applyProtection="1">
      <alignment horizontal="center" vertical="center"/>
    </xf>
    <xf numFmtId="0" fontId="20" fillId="2" borderId="12" xfId="0" applyFont="1" applyFill="1" applyBorder="1" applyAlignment="1" applyProtection="1">
      <alignment horizontal="center" vertical="center"/>
    </xf>
    <xf numFmtId="0" fontId="20" fillId="0" borderId="16" xfId="0" applyFont="1" applyBorder="1" applyAlignment="1" applyProtection="1">
      <alignment horizontal="center" vertical="justify"/>
    </xf>
    <xf numFmtId="0" fontId="4" fillId="0" borderId="7" xfId="0" applyFont="1" applyBorder="1" applyAlignment="1" applyProtection="1">
      <alignment horizontal="center"/>
      <protection locked="0"/>
    </xf>
    <xf numFmtId="0" fontId="21" fillId="0" borderId="7" xfId="0" applyFont="1" applyBorder="1" applyAlignment="1" applyProtection="1">
      <alignment horizontal="center"/>
      <protection locked="0"/>
    </xf>
    <xf numFmtId="0" fontId="21" fillId="0" borderId="9" xfId="0" applyFont="1" applyBorder="1" applyAlignment="1" applyProtection="1">
      <alignment horizontal="center"/>
      <protection locked="0"/>
    </xf>
    <xf numFmtId="0" fontId="21" fillId="0" borderId="6" xfId="0" applyFont="1" applyBorder="1" applyAlignment="1" applyProtection="1">
      <alignment horizontal="center"/>
    </xf>
    <xf numFmtId="0" fontId="21" fillId="0" borderId="7" xfId="0" applyFont="1" applyBorder="1" applyAlignment="1" applyProtection="1">
      <alignment horizontal="center"/>
    </xf>
    <xf numFmtId="0" fontId="21" fillId="0" borderId="9" xfId="0" applyFont="1" applyBorder="1" applyAlignment="1" applyProtection="1">
      <alignment horizontal="center"/>
    </xf>
    <xf numFmtId="0" fontId="20" fillId="0" borderId="10" xfId="0" applyFont="1" applyBorder="1" applyAlignment="1" applyProtection="1">
      <alignment horizontal="left"/>
    </xf>
    <xf numFmtId="0" fontId="20" fillId="0" borderId="15" xfId="0" applyFont="1" applyBorder="1" applyAlignment="1" applyProtection="1">
      <alignment horizontal="left"/>
    </xf>
    <xf numFmtId="0" fontId="20" fillId="2" borderId="14" xfId="0" applyFont="1" applyFill="1" applyBorder="1" applyAlignment="1" applyProtection="1">
      <alignment horizontal="center"/>
    </xf>
    <xf numFmtId="0" fontId="20" fillId="2" borderId="8" xfId="0" applyFont="1" applyFill="1" applyBorder="1" applyAlignment="1" applyProtection="1">
      <alignment horizontal="center"/>
    </xf>
    <xf numFmtId="0" fontId="20" fillId="2" borderId="12" xfId="0" applyFont="1" applyFill="1" applyBorder="1" applyAlignment="1" applyProtection="1">
      <alignment horizontal="center"/>
    </xf>
    <xf numFmtId="0" fontId="20" fillId="2" borderId="1" xfId="0" applyFont="1" applyFill="1" applyBorder="1" applyAlignment="1" applyProtection="1">
      <alignment horizontal="center"/>
    </xf>
    <xf numFmtId="0" fontId="20" fillId="2" borderId="13" xfId="0" applyFont="1" applyFill="1" applyBorder="1" applyAlignment="1" applyProtection="1">
      <alignment horizontal="center"/>
    </xf>
    <xf numFmtId="0" fontId="30" fillId="0" borderId="8" xfId="0" applyFont="1" applyBorder="1" applyAlignment="1" applyProtection="1">
      <alignment horizontal="center" vertical="center"/>
    </xf>
    <xf numFmtId="0" fontId="20" fillId="0" borderId="6" xfId="0" applyFont="1" applyBorder="1" applyAlignment="1" applyProtection="1">
      <alignment horizontal="left" vertical="top"/>
    </xf>
    <xf numFmtId="0" fontId="20" fillId="0" borderId="7" xfId="0" applyFont="1" applyBorder="1" applyAlignment="1" applyProtection="1">
      <alignment horizontal="left" vertical="top"/>
    </xf>
    <xf numFmtId="0" fontId="20" fillId="0" borderId="9" xfId="0" applyFont="1" applyBorder="1" applyAlignment="1" applyProtection="1">
      <alignment horizontal="left" vertical="top"/>
    </xf>
    <xf numFmtId="0" fontId="20" fillId="0" borderId="5" xfId="0" applyFont="1" applyBorder="1" applyAlignment="1" applyProtection="1">
      <alignment horizontal="left"/>
    </xf>
    <xf numFmtId="0" fontId="20" fillId="0" borderId="1" xfId="0" applyFont="1" applyBorder="1" applyAlignment="1" applyProtection="1">
      <alignment horizontal="left"/>
    </xf>
    <xf numFmtId="0" fontId="20" fillId="0" borderId="13" xfId="0" applyFont="1" applyBorder="1" applyAlignment="1" applyProtection="1">
      <alignment horizontal="left"/>
    </xf>
    <xf numFmtId="0" fontId="30" fillId="0" borderId="2" xfId="0" applyFont="1" applyBorder="1" applyAlignment="1" applyProtection="1">
      <alignment horizontal="center" vertical="center"/>
      <protection locked="0"/>
    </xf>
    <xf numFmtId="0" fontId="30" fillId="0" borderId="3" xfId="0" applyFont="1" applyFill="1" applyBorder="1" applyAlignment="1" applyProtection="1">
      <alignment horizontal="center" vertical="center"/>
      <protection locked="0"/>
    </xf>
    <xf numFmtId="0" fontId="30" fillId="0" borderId="4" xfId="0" applyFont="1" applyFill="1" applyBorder="1" applyAlignment="1" applyProtection="1">
      <alignment horizontal="center" vertical="center"/>
      <protection locked="0"/>
    </xf>
    <xf numFmtId="0" fontId="20" fillId="0" borderId="2" xfId="0" applyFont="1" applyBorder="1" applyAlignment="1" applyProtection="1">
      <alignment horizontal="center" vertical="center"/>
    </xf>
    <xf numFmtId="0" fontId="34" fillId="0" borderId="0" xfId="0" applyFont="1" applyAlignment="1" applyProtection="1">
      <alignment horizontal="center"/>
    </xf>
    <xf numFmtId="0" fontId="35" fillId="0" borderId="0" xfId="0" applyFont="1" applyAlignment="1" applyProtection="1">
      <alignment horizontal="center"/>
    </xf>
    <xf numFmtId="0" fontId="20" fillId="2" borderId="3" xfId="0" applyFont="1" applyFill="1" applyBorder="1" applyAlignment="1" applyProtection="1">
      <alignment horizontal="center" vertical="center"/>
    </xf>
    <xf numFmtId="0" fontId="0" fillId="0" borderId="13" xfId="0" applyBorder="1"/>
    <xf numFmtId="0" fontId="0" fillId="0" borderId="9" xfId="0" applyBorder="1"/>
    <xf numFmtId="0" fontId="30" fillId="0" borderId="1" xfId="0" applyFont="1" applyBorder="1" applyAlignment="1" applyProtection="1">
      <alignment horizontal="center" vertical="center"/>
    </xf>
    <xf numFmtId="0" fontId="21" fillId="0" borderId="16" xfId="0" applyFont="1" applyBorder="1" applyAlignment="1" applyProtection="1"/>
    <xf numFmtId="0" fontId="20" fillId="2" borderId="5" xfId="0" applyFont="1" applyFill="1" applyBorder="1" applyAlignment="1" applyProtection="1">
      <alignment horizontal="center" vertical="center"/>
    </xf>
    <xf numFmtId="0" fontId="20" fillId="2" borderId="10" xfId="0" applyFont="1" applyFill="1" applyBorder="1" applyAlignment="1" applyProtection="1">
      <alignment horizontal="center" vertical="center"/>
    </xf>
    <xf numFmtId="0" fontId="3" fillId="2" borderId="6" xfId="0" applyFont="1" applyFill="1" applyBorder="1" applyAlignment="1" applyProtection="1"/>
    <xf numFmtId="0" fontId="20" fillId="0" borderId="5" xfId="0" applyFont="1" applyBorder="1" applyAlignment="1" applyProtection="1">
      <alignment horizontal="center" vertical="center"/>
      <protection locked="0"/>
    </xf>
    <xf numFmtId="0" fontId="20" fillId="0" borderId="10" xfId="0" applyFont="1" applyBorder="1" applyAlignment="1" applyProtection="1">
      <alignment horizontal="center" vertical="center"/>
      <protection locked="0"/>
    </xf>
    <xf numFmtId="0" fontId="20" fillId="0" borderId="6" xfId="0" applyFont="1" applyBorder="1" applyAlignment="1" applyProtection="1">
      <alignment horizontal="center" vertical="center"/>
      <protection locked="0"/>
    </xf>
    <xf numFmtId="0" fontId="17" fillId="0" borderId="0" xfId="0" applyFont="1" applyAlignment="1" applyProtection="1">
      <alignment horizontal="center" vertical="center"/>
    </xf>
    <xf numFmtId="0" fontId="3" fillId="2" borderId="3" xfId="0" applyFont="1" applyFill="1" applyBorder="1" applyAlignment="1" applyProtection="1">
      <alignment horizontal="center"/>
    </xf>
    <xf numFmtId="0" fontId="3" fillId="2" borderId="16" xfId="0" applyFont="1" applyFill="1" applyBorder="1" applyAlignment="1" applyProtection="1">
      <alignment horizontal="center"/>
    </xf>
    <xf numFmtId="0" fontId="3" fillId="0" borderId="4" xfId="0" applyFont="1" applyBorder="1" applyAlignment="1" applyProtection="1"/>
    <xf numFmtId="0" fontId="20" fillId="2" borderId="2" xfId="0" applyFont="1" applyFill="1" applyBorder="1" applyAlignment="1" applyProtection="1">
      <alignment horizontal="center" vertical="center"/>
    </xf>
    <xf numFmtId="0" fontId="20" fillId="0" borderId="2" xfId="0" applyFont="1" applyBorder="1" applyAlignment="1" applyProtection="1">
      <alignment horizontal="center" vertical="center"/>
      <protection locked="0"/>
    </xf>
    <xf numFmtId="0" fontId="3" fillId="2" borderId="5" xfId="0" applyFont="1" applyFill="1" applyBorder="1" applyAlignment="1" applyProtection="1"/>
    <xf numFmtId="0" fontId="3" fillId="2" borderId="10" xfId="0" applyFont="1" applyFill="1" applyBorder="1" applyAlignment="1" applyProtection="1"/>
    <xf numFmtId="0" fontId="2" fillId="0" borderId="5" xfId="0" applyFont="1" applyBorder="1" applyAlignment="1" applyProtection="1">
      <alignment vertical="top" wrapText="1"/>
    </xf>
    <xf numFmtId="0" fontId="2" fillId="0" borderId="1" xfId="0" applyFont="1" applyBorder="1" applyAlignment="1" applyProtection="1">
      <alignment vertical="top" wrapText="1"/>
    </xf>
    <xf numFmtId="0" fontId="2" fillId="0" borderId="13" xfId="0" applyFont="1" applyBorder="1" applyAlignment="1" applyProtection="1">
      <alignment vertical="top" wrapText="1"/>
    </xf>
    <xf numFmtId="0" fontId="2" fillId="0" borderId="10" xfId="0" applyFont="1" applyBorder="1" applyAlignment="1" applyProtection="1">
      <alignment vertical="top" wrapText="1"/>
    </xf>
    <xf numFmtId="0" fontId="2" fillId="0" borderId="0" xfId="0" applyFont="1" applyBorder="1" applyAlignment="1" applyProtection="1">
      <alignment vertical="top" wrapText="1"/>
    </xf>
    <xf numFmtId="0" fontId="2" fillId="0" borderId="15" xfId="0" applyFont="1" applyBorder="1" applyAlignment="1" applyProtection="1">
      <alignment vertical="top" wrapText="1"/>
    </xf>
    <xf numFmtId="0" fontId="2" fillId="0" borderId="6" xfId="0" applyFont="1" applyBorder="1" applyAlignment="1" applyProtection="1">
      <alignment vertical="top" wrapText="1"/>
    </xf>
    <xf numFmtId="0" fontId="2" fillId="0" borderId="7" xfId="0" applyFont="1" applyBorder="1" applyAlignment="1" applyProtection="1">
      <alignment vertical="top" wrapText="1"/>
    </xf>
    <xf numFmtId="0" fontId="2" fillId="0" borderId="9" xfId="0" applyFont="1" applyBorder="1" applyAlignment="1" applyProtection="1">
      <alignment vertical="top" wrapText="1"/>
    </xf>
    <xf numFmtId="0" fontId="20" fillId="0" borderId="14" xfId="0" applyFont="1" applyBorder="1" applyAlignment="1" applyProtection="1"/>
    <xf numFmtId="0" fontId="20" fillId="0" borderId="8" xfId="0" applyFont="1" applyBorder="1" applyAlignment="1" applyProtection="1"/>
    <xf numFmtId="0" fontId="20" fillId="0" borderId="12" xfId="0" applyFont="1" applyBorder="1" applyAlignment="1" applyProtection="1"/>
    <xf numFmtId="0" fontId="20" fillId="0" borderId="2" xfId="0" applyFont="1" applyBorder="1" applyAlignment="1" applyProtection="1">
      <alignment horizontal="center" vertical="justify"/>
    </xf>
    <xf numFmtId="0" fontId="36" fillId="0" borderId="0" xfId="0" applyFont="1" applyAlignment="1">
      <alignment horizontal="left"/>
    </xf>
    <xf numFmtId="0" fontId="30" fillId="0" borderId="0" xfId="0" applyFont="1" applyAlignment="1">
      <alignment horizontal="center" vertical="center"/>
    </xf>
    <xf numFmtId="0" fontId="36" fillId="0" borderId="0" xfId="0" applyFont="1" applyAlignment="1">
      <alignment horizontal="left" wrapText="1"/>
    </xf>
    <xf numFmtId="0" fontId="30" fillId="0" borderId="0" xfId="0" applyFont="1" applyAlignment="1">
      <alignment horizontal="left"/>
    </xf>
    <xf numFmtId="0" fontId="4" fillId="0" borderId="0" xfId="0" applyFont="1" applyAlignment="1">
      <alignment horizontal="left"/>
    </xf>
    <xf numFmtId="0" fontId="30" fillId="2" borderId="14" xfId="0" applyFont="1" applyFill="1" applyBorder="1" applyAlignment="1" applyProtection="1">
      <alignment horizontal="center" vertical="center"/>
    </xf>
    <xf numFmtId="0" fontId="30" fillId="2" borderId="8" xfId="0" applyFont="1" applyFill="1" applyBorder="1" applyAlignment="1" applyProtection="1">
      <alignment horizontal="center" vertical="center"/>
    </xf>
    <xf numFmtId="0" fontId="30" fillId="2" borderId="12" xfId="0" applyFont="1" applyFill="1" applyBorder="1" applyAlignment="1" applyProtection="1">
      <alignment horizontal="center" vertical="center"/>
    </xf>
    <xf numFmtId="0" fontId="21" fillId="2" borderId="3" xfId="0" applyFont="1" applyFill="1" applyBorder="1" applyAlignment="1" applyProtection="1">
      <alignment vertical="center"/>
    </xf>
    <xf numFmtId="0" fontId="21" fillId="2" borderId="4" xfId="0" applyFont="1" applyFill="1" applyBorder="1" applyAlignment="1" applyProtection="1">
      <alignment vertical="center"/>
    </xf>
    <xf numFmtId="0" fontId="17" fillId="0" borderId="0" xfId="0" applyFont="1" applyBorder="1" applyAlignment="1" applyProtection="1">
      <alignment horizontal="center" vertical="center"/>
    </xf>
    <xf numFmtId="49" fontId="20" fillId="0" borderId="3" xfId="0" applyNumberFormat="1" applyFont="1" applyBorder="1" applyAlignment="1" applyProtection="1">
      <alignment horizontal="center" vertical="justify"/>
    </xf>
    <xf numFmtId="49" fontId="20" fillId="0" borderId="4" xfId="0" applyNumberFormat="1" applyFont="1" applyBorder="1" applyAlignment="1" applyProtection="1">
      <alignment horizontal="center" vertical="justify"/>
    </xf>
    <xf numFmtId="0" fontId="20" fillId="0" borderId="5" xfId="0" applyFont="1" applyBorder="1" applyAlignment="1" applyProtection="1">
      <alignment horizontal="left" wrapText="1"/>
    </xf>
    <xf numFmtId="0" fontId="20" fillId="0" borderId="1" xfId="0" applyFont="1" applyBorder="1" applyAlignment="1" applyProtection="1">
      <alignment horizontal="left" wrapText="1"/>
    </xf>
    <xf numFmtId="0" fontId="20" fillId="0" borderId="13" xfId="0" applyFont="1" applyBorder="1" applyAlignment="1" applyProtection="1">
      <alignment horizontal="left" wrapText="1"/>
    </xf>
    <xf numFmtId="0" fontId="20" fillId="0" borderId="10" xfId="0" applyFont="1" applyBorder="1" applyAlignment="1" applyProtection="1">
      <alignment horizontal="left" wrapText="1"/>
    </xf>
    <xf numFmtId="0" fontId="20" fillId="0" borderId="0" xfId="0" applyFont="1" applyBorder="1" applyAlignment="1" applyProtection="1">
      <alignment horizontal="left" wrapText="1"/>
    </xf>
    <xf numFmtId="0" fontId="20" fillId="0" borderId="15" xfId="0" applyFont="1" applyBorder="1" applyAlignment="1" applyProtection="1">
      <alignment horizontal="left" wrapText="1"/>
    </xf>
    <xf numFmtId="0" fontId="30" fillId="2" borderId="14" xfId="0" applyFont="1" applyFill="1" applyBorder="1" applyAlignment="1" applyProtection="1">
      <alignment horizontal="center"/>
    </xf>
    <xf numFmtId="0" fontId="30" fillId="2" borderId="8" xfId="0" applyFont="1" applyFill="1" applyBorder="1" applyAlignment="1" applyProtection="1">
      <alignment horizontal="center"/>
    </xf>
    <xf numFmtId="0" fontId="30" fillId="2" borderId="12" xfId="0" applyFont="1" applyFill="1" applyBorder="1" applyAlignment="1" applyProtection="1">
      <alignment horizontal="center"/>
    </xf>
    <xf numFmtId="0" fontId="20" fillId="0" borderId="14" xfId="0" applyFont="1" applyBorder="1" applyAlignment="1" applyProtection="1">
      <alignment vertical="justify"/>
    </xf>
    <xf numFmtId="0" fontId="20" fillId="0" borderId="8" xfId="0" applyFont="1" applyBorder="1" applyAlignment="1" applyProtection="1">
      <alignment vertical="justify"/>
    </xf>
    <xf numFmtId="0" fontId="20" fillId="0" borderId="12" xfId="0" applyFont="1" applyBorder="1" applyAlignment="1" applyProtection="1">
      <alignment vertical="justify"/>
    </xf>
    <xf numFmtId="49" fontId="20" fillId="0" borderId="16" xfId="0" applyNumberFormat="1" applyFont="1" applyBorder="1" applyAlignment="1" applyProtection="1">
      <alignment horizontal="center" vertical="justify"/>
    </xf>
    <xf numFmtId="0" fontId="35" fillId="0" borderId="7" xfId="0" applyFont="1" applyBorder="1" applyAlignment="1" applyProtection="1">
      <alignment horizontal="center"/>
      <protection locked="0"/>
    </xf>
    <xf numFmtId="0" fontId="17" fillId="0" borderId="8" xfId="0" applyFont="1" applyBorder="1" applyAlignment="1" applyProtection="1">
      <alignment horizontal="center" vertical="center"/>
    </xf>
    <xf numFmtId="49" fontId="20" fillId="0" borderId="5" xfId="0" applyNumberFormat="1" applyFont="1" applyBorder="1" applyAlignment="1" applyProtection="1">
      <alignment horizontal="center" vertical="justify"/>
    </xf>
    <xf numFmtId="49" fontId="20" fillId="0" borderId="10" xfId="0" applyNumberFormat="1" applyFont="1" applyBorder="1" applyAlignment="1" applyProtection="1">
      <alignment horizontal="center" vertical="justify"/>
    </xf>
    <xf numFmtId="0" fontId="20" fillId="0" borderId="15" xfId="0" applyFont="1" applyBorder="1" applyAlignment="1" applyProtection="1">
      <alignment horizontal="center" vertical="center"/>
    </xf>
    <xf numFmtId="0" fontId="20" fillId="2" borderId="3" xfId="0" applyFont="1" applyFill="1" applyBorder="1" applyAlignment="1" applyProtection="1">
      <alignment horizontal="center" vertical="center"/>
      <protection locked="0"/>
    </xf>
    <xf numFmtId="0" fontId="20" fillId="2" borderId="16" xfId="0" applyFont="1" applyFill="1" applyBorder="1" applyAlignment="1" applyProtection="1">
      <alignment horizontal="center" vertical="center"/>
      <protection locked="0"/>
    </xf>
    <xf numFmtId="0" fontId="21" fillId="0" borderId="3" xfId="0" applyFont="1" applyBorder="1" applyAlignment="1" applyProtection="1">
      <alignment vertical="center"/>
    </xf>
    <xf numFmtId="0" fontId="21" fillId="0" borderId="16" xfId="0" applyFont="1" applyBorder="1" applyAlignment="1" applyProtection="1">
      <alignment vertical="center"/>
    </xf>
    <xf numFmtId="0" fontId="21" fillId="0" borderId="4" xfId="0" applyFont="1" applyBorder="1" applyAlignment="1" applyProtection="1">
      <alignment vertical="center"/>
    </xf>
    <xf numFmtId="0" fontId="20" fillId="0" borderId="5" xfId="0" applyFont="1" applyBorder="1" applyAlignment="1" applyProtection="1">
      <alignment horizontal="center" vertical="center"/>
    </xf>
    <xf numFmtId="0" fontId="20" fillId="0" borderId="10" xfId="0" applyFont="1" applyBorder="1" applyAlignment="1" applyProtection="1">
      <alignment horizontal="center" vertical="center"/>
    </xf>
    <xf numFmtId="0" fontId="21" fillId="0" borderId="16" xfId="0" applyFont="1" applyBorder="1" applyAlignment="1" applyProtection="1">
      <alignment horizontal="center" vertical="center"/>
    </xf>
    <xf numFmtId="0" fontId="21" fillId="0" borderId="4" xfId="0" applyFont="1" applyBorder="1" applyAlignment="1" applyProtection="1">
      <alignment horizontal="center" vertical="center"/>
    </xf>
    <xf numFmtId="0" fontId="30" fillId="0" borderId="0" xfId="0" applyFont="1" applyBorder="1" applyAlignment="1" applyProtection="1">
      <alignment horizontal="left" vertical="justify"/>
    </xf>
    <xf numFmtId="0" fontId="33" fillId="0" borderId="8" xfId="0" applyFont="1" applyBorder="1" applyAlignment="1" applyProtection="1">
      <alignment horizontal="center" vertical="center"/>
    </xf>
    <xf numFmtId="0" fontId="37" fillId="0" borderId="0" xfId="0" applyFont="1" applyBorder="1" applyAlignment="1" applyProtection="1"/>
    <xf numFmtId="0" fontId="33" fillId="0" borderId="0" xfId="0" applyFont="1" applyAlignment="1" applyProtection="1">
      <alignment horizontal="center" vertical="center"/>
    </xf>
    <xf numFmtId="0" fontId="20" fillId="0" borderId="3" xfId="0" applyFont="1" applyFill="1" applyBorder="1" applyAlignment="1" applyProtection="1">
      <alignment horizontal="center" vertical="center"/>
      <protection locked="0"/>
    </xf>
    <xf numFmtId="0" fontId="20" fillId="0" borderId="16" xfId="0" applyFont="1" applyFill="1" applyBorder="1" applyAlignment="1" applyProtection="1">
      <alignment horizontal="center" vertical="center"/>
      <protection locked="0"/>
    </xf>
    <xf numFmtId="0" fontId="20" fillId="0" borderId="4" xfId="0" applyFont="1" applyFill="1" applyBorder="1" applyAlignment="1" applyProtection="1">
      <alignment horizontal="center" vertical="center"/>
      <protection locked="0"/>
    </xf>
    <xf numFmtId="0" fontId="2" fillId="0" borderId="10" xfId="0" applyFont="1" applyBorder="1" applyAlignment="1" applyProtection="1"/>
    <xf numFmtId="0" fontId="3" fillId="0" borderId="0" xfId="0" applyFont="1" applyBorder="1" applyAlignment="1" applyProtection="1"/>
    <xf numFmtId="0" fontId="3" fillId="0" borderId="15" xfId="0" applyFont="1" applyBorder="1" applyAlignment="1" applyProtection="1"/>
    <xf numFmtId="0" fontId="2" fillId="0" borderId="6" xfId="0" applyFont="1" applyBorder="1" applyAlignment="1" applyProtection="1"/>
    <xf numFmtId="0" fontId="2" fillId="0" borderId="7" xfId="0" applyFont="1" applyBorder="1" applyAlignment="1" applyProtection="1"/>
    <xf numFmtId="0" fontId="2" fillId="0" borderId="9" xfId="0" applyFont="1" applyBorder="1" applyAlignment="1" applyProtection="1"/>
    <xf numFmtId="49" fontId="17" fillId="0" borderId="8" xfId="0" applyNumberFormat="1" applyFont="1" applyBorder="1" applyAlignment="1" applyProtection="1">
      <alignment horizontal="center" vertical="center"/>
    </xf>
    <xf numFmtId="0" fontId="20" fillId="0" borderId="6" xfId="0" applyFont="1" applyBorder="1" applyAlignment="1" applyProtection="1">
      <alignment horizontal="left" wrapText="1"/>
    </xf>
    <xf numFmtId="0" fontId="20" fillId="0" borderId="7" xfId="0" applyFont="1" applyBorder="1" applyAlignment="1" applyProtection="1">
      <alignment horizontal="left" wrapText="1"/>
    </xf>
    <xf numFmtId="0" fontId="20" fillId="0" borderId="9" xfId="0" applyFont="1" applyBorder="1" applyAlignment="1" applyProtection="1">
      <alignment horizontal="left" wrapText="1"/>
    </xf>
    <xf numFmtId="0" fontId="20" fillId="0" borderId="5" xfId="0" applyFont="1" applyBorder="1" applyAlignment="1" applyProtection="1">
      <alignment horizontal="left" vertical="top" wrapText="1"/>
    </xf>
    <xf numFmtId="0" fontId="20" fillId="0" borderId="1" xfId="0" applyFont="1" applyBorder="1" applyAlignment="1" applyProtection="1">
      <alignment horizontal="left" vertical="top" wrapText="1"/>
    </xf>
    <xf numFmtId="0" fontId="20" fillId="0" borderId="13" xfId="0" applyFont="1" applyBorder="1" applyAlignment="1" applyProtection="1">
      <alignment horizontal="left" vertical="top" wrapText="1"/>
    </xf>
    <xf numFmtId="0" fontId="20" fillId="0" borderId="10" xfId="0" applyFont="1" applyBorder="1" applyAlignment="1" applyProtection="1">
      <alignment horizontal="left" vertical="top" wrapText="1"/>
    </xf>
    <xf numFmtId="0" fontId="20" fillId="0" borderId="0" xfId="0" applyFont="1" applyBorder="1" applyAlignment="1" applyProtection="1">
      <alignment horizontal="left" vertical="top" wrapText="1"/>
    </xf>
    <xf numFmtId="0" fontId="20" fillId="0" borderId="15" xfId="0" applyFont="1" applyBorder="1" applyAlignment="1" applyProtection="1">
      <alignment horizontal="left" vertical="top" wrapText="1"/>
    </xf>
    <xf numFmtId="0" fontId="20" fillId="0" borderId="6" xfId="0" applyFont="1" applyBorder="1" applyAlignment="1" applyProtection="1">
      <alignment horizontal="left" vertical="top" wrapText="1"/>
    </xf>
    <xf numFmtId="0" fontId="20" fillId="0" borderId="7" xfId="0" applyFont="1" applyBorder="1" applyAlignment="1" applyProtection="1">
      <alignment horizontal="left" vertical="top" wrapText="1"/>
    </xf>
    <xf numFmtId="0" fontId="20" fillId="0" borderId="9" xfId="0" applyFont="1" applyBorder="1" applyAlignment="1" applyProtection="1">
      <alignment horizontal="left" vertical="top" wrapText="1"/>
    </xf>
    <xf numFmtId="0" fontId="17" fillId="0" borderId="1" xfId="0" applyFont="1" applyBorder="1" applyAlignment="1" applyProtection="1">
      <alignment horizontal="center" vertical="center"/>
    </xf>
    <xf numFmtId="0" fontId="2" fillId="0" borderId="5" xfId="0" applyFont="1" applyBorder="1" applyAlignment="1" applyProtection="1"/>
    <xf numFmtId="0" fontId="3" fillId="0" borderId="13" xfId="0" applyFont="1" applyBorder="1" applyAlignment="1" applyProtection="1"/>
    <xf numFmtId="0" fontId="20" fillId="0" borderId="6" xfId="0" applyFont="1" applyBorder="1" applyAlignment="1">
      <alignment horizontal="left"/>
    </xf>
    <xf numFmtId="0" fontId="20" fillId="0" borderId="7" xfId="0" applyFont="1" applyBorder="1" applyAlignment="1">
      <alignment horizontal="left"/>
    </xf>
    <xf numFmtId="0" fontId="20" fillId="0" borderId="9" xfId="0" applyFont="1" applyBorder="1" applyAlignment="1">
      <alignment horizontal="left"/>
    </xf>
    <xf numFmtId="49" fontId="20" fillId="0" borderId="2" xfId="0" applyNumberFormat="1" applyFont="1" applyBorder="1" applyAlignment="1" applyProtection="1">
      <alignment horizontal="center" vertical="justify"/>
    </xf>
    <xf numFmtId="49" fontId="20" fillId="0" borderId="6" xfId="0" applyNumberFormat="1" applyFont="1" applyBorder="1" applyAlignment="1" applyProtection="1">
      <alignment horizontal="center" vertical="justify"/>
    </xf>
    <xf numFmtId="0" fontId="39" fillId="0" borderId="0" xfId="0" applyFont="1" applyAlignment="1" applyProtection="1">
      <alignment horizontal="left" vertical="center" wrapText="1"/>
    </xf>
    <xf numFmtId="0" fontId="30" fillId="0" borderId="0" xfId="0" applyFont="1" applyAlignment="1" applyProtection="1">
      <alignment horizontal="left" vertical="center" wrapText="1"/>
    </xf>
    <xf numFmtId="0" fontId="4" fillId="0" borderId="1" xfId="0" applyFont="1" applyBorder="1" applyAlignment="1" applyProtection="1"/>
    <xf numFmtId="0" fontId="4" fillId="0" borderId="13" xfId="0" applyFont="1" applyBorder="1" applyAlignment="1" applyProtection="1"/>
    <xf numFmtId="0" fontId="4" fillId="0" borderId="7" xfId="0" applyFont="1" applyBorder="1" applyAlignment="1" applyProtection="1"/>
    <xf numFmtId="0" fontId="4" fillId="0" borderId="9" xfId="0" applyFont="1" applyBorder="1" applyAlignment="1" applyProtection="1"/>
    <xf numFmtId="0" fontId="20" fillId="0" borderId="10" xfId="0" applyFont="1" applyFill="1" applyBorder="1" applyAlignment="1" applyProtection="1">
      <alignment horizontal="left"/>
    </xf>
    <xf numFmtId="0" fontId="20" fillId="0" borderId="0" xfId="0" applyFont="1" applyFill="1" applyBorder="1" applyAlignment="1" applyProtection="1">
      <alignment horizontal="left"/>
    </xf>
    <xf numFmtId="0" fontId="20" fillId="0" borderId="15" xfId="0" applyFont="1" applyFill="1" applyBorder="1" applyAlignment="1" applyProtection="1">
      <alignment horizontal="left"/>
    </xf>
    <xf numFmtId="0" fontId="20" fillId="0" borderId="5" xfId="0" applyFont="1" applyBorder="1" applyAlignment="1" applyProtection="1">
      <alignment vertical="center"/>
    </xf>
    <xf numFmtId="0" fontId="20" fillId="0" borderId="1" xfId="0" applyFont="1" applyBorder="1" applyAlignment="1" applyProtection="1">
      <alignment vertical="center"/>
    </xf>
    <xf numFmtId="0" fontId="20" fillId="0" borderId="13" xfId="0" applyFont="1" applyBorder="1" applyAlignment="1" applyProtection="1">
      <alignment vertical="center"/>
    </xf>
    <xf numFmtId="0" fontId="20" fillId="0" borderId="6" xfId="0" applyFont="1" applyBorder="1" applyAlignment="1" applyProtection="1">
      <alignment vertical="center"/>
    </xf>
    <xf numFmtId="0" fontId="4" fillId="0" borderId="7" xfId="0" applyFont="1" applyBorder="1" applyAlignment="1" applyProtection="1">
      <alignment vertical="center"/>
    </xf>
    <xf numFmtId="0" fontId="4" fillId="0" borderId="9" xfId="0" applyFont="1" applyBorder="1" applyAlignment="1" applyProtection="1">
      <alignment vertical="center"/>
    </xf>
    <xf numFmtId="0" fontId="20" fillId="0" borderId="3" xfId="0" applyFont="1" applyBorder="1" applyAlignment="1" applyProtection="1">
      <alignment horizontal="center"/>
      <protection locked="0"/>
    </xf>
    <xf numFmtId="0" fontId="20" fillId="0" borderId="16" xfId="0" applyFont="1" applyBorder="1" applyAlignment="1" applyProtection="1">
      <alignment horizontal="center"/>
      <protection locked="0"/>
    </xf>
    <xf numFmtId="0" fontId="20" fillId="0" borderId="4" xfId="0" applyFont="1" applyBorder="1" applyAlignment="1" applyProtection="1">
      <alignment horizontal="center"/>
      <protection locked="0"/>
    </xf>
    <xf numFmtId="0" fontId="35" fillId="0" borderId="0" xfId="0" applyFont="1" applyAlignment="1" applyProtection="1"/>
    <xf numFmtId="0" fontId="17" fillId="0" borderId="7" xfId="0" applyFont="1" applyBorder="1" applyAlignment="1" applyProtection="1">
      <alignment horizontal="center" vertical="center"/>
    </xf>
    <xf numFmtId="49" fontId="4" fillId="0" borderId="4" xfId="0" applyNumberFormat="1" applyFont="1" applyBorder="1" applyAlignment="1" applyProtection="1">
      <alignment horizontal="center" vertical="justify"/>
    </xf>
    <xf numFmtId="0" fontId="4" fillId="2" borderId="16" xfId="0" applyFont="1" applyFill="1" applyBorder="1" applyAlignment="1" applyProtection="1">
      <alignment horizontal="center" vertical="center"/>
      <protection locked="0"/>
    </xf>
    <xf numFmtId="0" fontId="4" fillId="2" borderId="4" xfId="0" applyFont="1" applyFill="1" applyBorder="1" applyAlignment="1" applyProtection="1">
      <alignment horizontal="center" vertical="center"/>
      <protection locked="0"/>
    </xf>
    <xf numFmtId="0" fontId="4" fillId="0" borderId="16" xfId="0" applyFont="1" applyBorder="1" applyAlignment="1" applyProtection="1">
      <alignment horizontal="center" vertical="center"/>
    </xf>
    <xf numFmtId="0" fontId="4" fillId="0" borderId="4" xfId="0" applyFont="1" applyBorder="1" applyAlignment="1" applyProtection="1">
      <alignment horizontal="center" vertical="center"/>
    </xf>
    <xf numFmtId="0" fontId="4" fillId="0" borderId="0" xfId="0" applyFont="1" applyBorder="1" applyAlignment="1" applyProtection="1"/>
    <xf numFmtId="0" fontId="4" fillId="0" borderId="15" xfId="0" applyFont="1" applyBorder="1" applyAlignment="1" applyProtection="1"/>
    <xf numFmtId="0" fontId="4" fillId="0" borderId="16" xfId="0"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0" borderId="0" xfId="0" applyFont="1" applyAlignment="1" applyProtection="1"/>
    <xf numFmtId="49" fontId="4" fillId="0" borderId="16" xfId="0" applyNumberFormat="1" applyFont="1" applyBorder="1" applyAlignment="1" applyProtection="1">
      <alignment horizontal="center" vertical="justify"/>
    </xf>
    <xf numFmtId="0" fontId="20" fillId="0" borderId="3" xfId="0" applyFont="1" applyFill="1" applyBorder="1" applyAlignment="1" applyProtection="1">
      <alignment horizontal="center" vertical="center"/>
    </xf>
    <xf numFmtId="0" fontId="20" fillId="0" borderId="16" xfId="0" applyFont="1" applyFill="1" applyBorder="1" applyAlignment="1" applyProtection="1">
      <alignment horizontal="center" vertical="center"/>
    </xf>
    <xf numFmtId="0" fontId="20" fillId="0" borderId="4" xfId="0" applyFont="1" applyFill="1" applyBorder="1" applyAlignment="1" applyProtection="1">
      <alignment horizontal="center" vertical="center"/>
    </xf>
    <xf numFmtId="49" fontId="20" fillId="0" borderId="3" xfId="0" applyNumberFormat="1" applyFont="1" applyFill="1" applyBorder="1" applyAlignment="1" applyProtection="1">
      <alignment horizontal="center" vertical="top"/>
    </xf>
    <xf numFmtId="49" fontId="20" fillId="0" borderId="16" xfId="0" applyNumberFormat="1" applyFont="1" applyFill="1" applyBorder="1" applyAlignment="1" applyProtection="1">
      <alignment horizontal="center" vertical="top"/>
    </xf>
    <xf numFmtId="49" fontId="20" fillId="0" borderId="4" xfId="0" applyNumberFormat="1" applyFont="1" applyFill="1" applyBorder="1" applyAlignment="1" applyProtection="1">
      <alignment horizontal="center" vertical="top"/>
    </xf>
    <xf numFmtId="0" fontId="20" fillId="2" borderId="3" xfId="0" applyFont="1" applyFill="1" applyBorder="1" applyAlignment="1" applyProtection="1">
      <alignment horizontal="center"/>
    </xf>
    <xf numFmtId="0" fontId="20" fillId="2" borderId="16" xfId="0" applyFont="1" applyFill="1" applyBorder="1" applyAlignment="1" applyProtection="1">
      <alignment horizontal="center"/>
    </xf>
    <xf numFmtId="0" fontId="20" fillId="2" borderId="4" xfId="0" applyFont="1" applyFill="1" applyBorder="1" applyAlignment="1" applyProtection="1">
      <alignment horizontal="center"/>
    </xf>
    <xf numFmtId="0" fontId="15" fillId="0" borderId="0" xfId="0" applyFont="1" applyAlignment="1" applyProtection="1">
      <alignment horizontal="left" wrapText="1"/>
    </xf>
    <xf numFmtId="0" fontId="4" fillId="0" borderId="16" xfId="0" applyFont="1" applyBorder="1" applyAlignment="1" applyProtection="1">
      <alignment horizontal="center" vertical="justify"/>
    </xf>
    <xf numFmtId="0" fontId="4" fillId="0" borderId="4" xfId="0" applyFont="1" applyBorder="1" applyAlignment="1" applyProtection="1">
      <alignment horizontal="center" vertical="justify"/>
    </xf>
    <xf numFmtId="0" fontId="4" fillId="2" borderId="16" xfId="0" applyFont="1" applyFill="1" applyBorder="1" applyAlignment="1" applyProtection="1">
      <alignment horizontal="center" vertical="center"/>
    </xf>
    <xf numFmtId="0" fontId="4" fillId="2" borderId="4" xfId="0" applyFont="1" applyFill="1" applyBorder="1" applyAlignment="1" applyProtection="1">
      <alignment horizontal="center" vertical="center"/>
    </xf>
    <xf numFmtId="0" fontId="4" fillId="0" borderId="6" xfId="0" applyFont="1" applyBorder="1" applyAlignment="1" applyProtection="1">
      <alignment horizontal="center" vertical="justify"/>
    </xf>
    <xf numFmtId="49" fontId="15" fillId="0" borderId="3" xfId="0" applyNumberFormat="1" applyFont="1" applyBorder="1" applyAlignment="1" applyProtection="1">
      <alignment horizontal="center" vertical="justify"/>
    </xf>
    <xf numFmtId="0" fontId="3" fillId="0" borderId="16" xfId="0" applyFont="1" applyBorder="1" applyAlignment="1" applyProtection="1">
      <alignment horizontal="center" vertical="justify"/>
    </xf>
    <xf numFmtId="0" fontId="3" fillId="0" borderId="4" xfId="0" applyFont="1" applyBorder="1" applyAlignment="1" applyProtection="1">
      <alignment horizontal="center" vertical="justify"/>
    </xf>
    <xf numFmtId="0" fontId="3" fillId="0" borderId="16" xfId="0" applyFont="1" applyBorder="1" applyAlignment="1" applyProtection="1">
      <alignment horizontal="center" vertical="center"/>
    </xf>
    <xf numFmtId="0" fontId="3" fillId="0" borderId="4" xfId="0" applyFont="1" applyBorder="1" applyAlignment="1" applyProtection="1">
      <alignment horizontal="center" vertical="center"/>
    </xf>
    <xf numFmtId="0" fontId="3" fillId="0" borderId="16"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20" fillId="0" borderId="14" xfId="0" applyFont="1" applyBorder="1" applyAlignment="1" applyProtection="1">
      <alignment vertical="center"/>
    </xf>
    <xf numFmtId="0" fontId="4" fillId="0" borderId="8" xfId="0" applyFont="1" applyBorder="1" applyAlignment="1" applyProtection="1">
      <alignment vertical="center"/>
    </xf>
    <xf numFmtId="0" fontId="4" fillId="0" borderId="12" xfId="0" applyFont="1" applyBorder="1" applyAlignment="1" applyProtection="1">
      <alignment vertical="center"/>
    </xf>
    <xf numFmtId="0" fontId="20" fillId="0" borderId="3" xfId="0" applyNumberFormat="1" applyFont="1" applyBorder="1" applyAlignment="1" applyProtection="1">
      <alignment horizontal="center" vertical="center"/>
      <protection locked="0"/>
    </xf>
    <xf numFmtId="0" fontId="20" fillId="2" borderId="3" xfId="0" applyNumberFormat="1" applyFont="1" applyFill="1" applyBorder="1" applyAlignment="1" applyProtection="1">
      <alignment horizontal="center" vertical="center"/>
    </xf>
    <xf numFmtId="0" fontId="20" fillId="0" borderId="3" xfId="0" applyNumberFormat="1" applyFont="1" applyBorder="1" applyAlignment="1" applyProtection="1">
      <alignment horizontal="center" vertical="center"/>
    </xf>
    <xf numFmtId="0" fontId="4" fillId="0" borderId="7" xfId="0" applyFont="1" applyBorder="1" applyAlignment="1" applyProtection="1">
      <alignment horizontal="left"/>
    </xf>
    <xf numFmtId="0" fontId="4" fillId="0" borderId="9" xfId="0" applyFont="1" applyBorder="1" applyAlignment="1" applyProtection="1">
      <alignment horizontal="left"/>
    </xf>
    <xf numFmtId="0" fontId="4" fillId="0" borderId="1" xfId="0" applyFont="1" applyBorder="1" applyAlignment="1" applyProtection="1">
      <alignment horizontal="left"/>
    </xf>
    <xf numFmtId="0" fontId="4" fillId="0" borderId="13" xfId="0" applyFont="1" applyBorder="1" applyAlignment="1" applyProtection="1">
      <alignment horizontal="left"/>
    </xf>
    <xf numFmtId="0" fontId="4" fillId="0" borderId="0" xfId="0" applyFont="1" applyBorder="1" applyAlignment="1" applyProtection="1">
      <alignment horizontal="left"/>
    </xf>
    <xf numFmtId="0" fontId="4" fillId="0" borderId="15" xfId="0" applyFont="1" applyBorder="1" applyAlignment="1" applyProtection="1">
      <alignment horizontal="left"/>
    </xf>
    <xf numFmtId="0" fontId="20" fillId="0" borderId="13" xfId="0" applyNumberFormat="1" applyFont="1" applyBorder="1" applyAlignment="1" applyProtection="1">
      <alignment horizontal="center" vertical="center"/>
    </xf>
    <xf numFmtId="0" fontId="20" fillId="0" borderId="15" xfId="0" applyNumberFormat="1" applyFont="1" applyBorder="1" applyAlignment="1" applyProtection="1">
      <alignment horizontal="center" vertical="center"/>
    </xf>
    <xf numFmtId="0" fontId="4" fillId="0" borderId="9" xfId="0" applyFont="1" applyBorder="1" applyAlignment="1" applyProtection="1">
      <alignment horizontal="center" vertical="center"/>
    </xf>
    <xf numFmtId="0" fontId="20" fillId="0" borderId="16" xfId="0" applyNumberFormat="1" applyFont="1" applyBorder="1" applyAlignment="1" applyProtection="1">
      <alignment horizontal="center" vertical="center"/>
      <protection locked="0"/>
    </xf>
    <xf numFmtId="0" fontId="20" fillId="2" borderId="3" xfId="0" applyNumberFormat="1" applyFont="1" applyFill="1" applyBorder="1" applyAlignment="1" applyProtection="1">
      <alignment horizontal="center" vertical="center"/>
      <protection locked="0"/>
    </xf>
    <xf numFmtId="0" fontId="20" fillId="2" borderId="16" xfId="0" applyNumberFormat="1" applyFont="1" applyFill="1" applyBorder="1" applyAlignment="1" applyProtection="1">
      <alignment horizontal="center" vertical="center"/>
      <protection locked="0"/>
    </xf>
    <xf numFmtId="0" fontId="34" fillId="0" borderId="8" xfId="0" applyFont="1" applyBorder="1" applyAlignment="1" applyProtection="1">
      <alignment horizontal="center"/>
    </xf>
    <xf numFmtId="0" fontId="34" fillId="0" borderId="8" xfId="0" applyFont="1" applyBorder="1" applyAlignment="1" applyProtection="1">
      <alignment horizontal="center" vertical="center"/>
    </xf>
    <xf numFmtId="49" fontId="20" fillId="0" borderId="16" xfId="0" applyNumberFormat="1" applyFont="1" applyBorder="1" applyAlignment="1" applyProtection="1">
      <alignment horizontal="center" vertical="center"/>
    </xf>
    <xf numFmtId="49" fontId="20" fillId="0" borderId="16" xfId="0" applyNumberFormat="1" applyFont="1" applyBorder="1" applyAlignment="1" applyProtection="1">
      <alignment horizontal="center" vertical="center"/>
      <protection locked="0"/>
    </xf>
    <xf numFmtId="49" fontId="20" fillId="2" borderId="16" xfId="0" applyNumberFormat="1" applyFont="1" applyFill="1" applyBorder="1" applyAlignment="1" applyProtection="1">
      <alignment horizontal="center" vertical="center"/>
    </xf>
    <xf numFmtId="49" fontId="20" fillId="0" borderId="15" xfId="0" applyNumberFormat="1" applyFont="1" applyBorder="1" applyAlignment="1" applyProtection="1">
      <alignment horizontal="center" vertical="center"/>
    </xf>
    <xf numFmtId="0" fontId="15" fillId="0" borderId="0" xfId="0" applyFont="1" applyAlignment="1" applyProtection="1">
      <alignment horizontal="left" vertical="center" wrapText="1"/>
    </xf>
    <xf numFmtId="0" fontId="20" fillId="0" borderId="7" xfId="0" applyFont="1" applyBorder="1" applyAlignment="1" applyProtection="1">
      <alignment vertical="center"/>
    </xf>
    <xf numFmtId="0" fontId="20" fillId="0" borderId="9" xfId="0" applyFont="1" applyBorder="1" applyAlignment="1" applyProtection="1">
      <alignment vertical="center"/>
    </xf>
    <xf numFmtId="0" fontId="33" fillId="0" borderId="8" xfId="0" applyFont="1" applyBorder="1" applyAlignment="1" applyProtection="1">
      <alignment vertical="center"/>
    </xf>
    <xf numFmtId="0" fontId="20" fillId="2" borderId="16" xfId="0" applyNumberFormat="1" applyFont="1" applyFill="1" applyBorder="1" applyAlignment="1" applyProtection="1">
      <alignment horizontal="center" vertical="center"/>
    </xf>
    <xf numFmtId="0" fontId="20" fillId="0" borderId="16" xfId="0" applyNumberFormat="1" applyFont="1" applyBorder="1" applyAlignment="1" applyProtection="1">
      <alignment horizontal="center" vertical="center"/>
    </xf>
    <xf numFmtId="0" fontId="20" fillId="0" borderId="4" xfId="0" applyNumberFormat="1" applyFont="1" applyBorder="1" applyAlignment="1" applyProtection="1">
      <alignment horizontal="center" vertical="center"/>
    </xf>
    <xf numFmtId="0" fontId="4" fillId="2" borderId="3" xfId="0" applyFont="1" applyFill="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0" fontId="20" fillId="0" borderId="10" xfId="0" applyFont="1" applyBorder="1"/>
    <xf numFmtId="0" fontId="20" fillId="0" borderId="0" xfId="0" applyFont="1"/>
    <xf numFmtId="0" fontId="20" fillId="0" borderId="15" xfId="0" applyFont="1" applyBorder="1"/>
    <xf numFmtId="0" fontId="20" fillId="0" borderId="3" xfId="0" applyNumberFormat="1" applyFont="1" applyFill="1" applyBorder="1" applyAlignment="1" applyProtection="1">
      <alignment horizontal="center" vertical="center"/>
      <protection locked="0"/>
    </xf>
    <xf numFmtId="49" fontId="20" fillId="0" borderId="16" xfId="0" applyNumberFormat="1" applyFont="1" applyFill="1" applyBorder="1" applyAlignment="1" applyProtection="1">
      <alignment horizontal="center" vertical="center"/>
      <protection locked="0"/>
    </xf>
    <xf numFmtId="0" fontId="4" fillId="0" borderId="4" xfId="0" applyFont="1" applyFill="1" applyBorder="1" applyAlignment="1" applyProtection="1">
      <alignment horizontal="center" vertical="center"/>
      <protection locked="0"/>
    </xf>
    <xf numFmtId="0" fontId="34" fillId="0" borderId="0" xfId="0" applyFont="1" applyAlignment="1" applyProtection="1">
      <alignment horizontal="center" vertical="center"/>
    </xf>
    <xf numFmtId="0" fontId="35" fillId="0" borderId="0" xfId="0" applyFont="1" applyAlignment="1" applyProtection="1">
      <alignment vertical="center"/>
    </xf>
    <xf numFmtId="0" fontId="20" fillId="3" borderId="3" xfId="0" applyNumberFormat="1" applyFont="1" applyFill="1" applyBorder="1" applyAlignment="1" applyProtection="1">
      <alignment horizontal="center" vertical="center"/>
      <protection locked="0"/>
    </xf>
    <xf numFmtId="49" fontId="20" fillId="3" borderId="16" xfId="0" applyNumberFormat="1" applyFont="1" applyFill="1" applyBorder="1" applyAlignment="1" applyProtection="1">
      <alignment horizontal="center" vertical="center"/>
      <protection locked="0"/>
    </xf>
    <xf numFmtId="49" fontId="20" fillId="2" borderId="16" xfId="0" applyNumberFormat="1" applyFont="1" applyFill="1" applyBorder="1" applyAlignment="1" applyProtection="1">
      <alignment horizontal="center" vertical="center"/>
      <protection locked="0"/>
    </xf>
    <xf numFmtId="0" fontId="4" fillId="0" borderId="1" xfId="0" applyFont="1" applyBorder="1" applyAlignment="1" applyProtection="1">
      <alignment vertical="center"/>
    </xf>
    <xf numFmtId="0" fontId="4" fillId="0" borderId="13" xfId="0" applyFont="1" applyBorder="1" applyAlignment="1" applyProtection="1">
      <alignment vertical="center"/>
    </xf>
    <xf numFmtId="0" fontId="33" fillId="0" borderId="7" xfId="0" applyFont="1" applyBorder="1" applyAlignment="1" applyProtection="1">
      <alignment vertical="center"/>
    </xf>
    <xf numFmtId="0" fontId="3" fillId="0" borderId="8" xfId="0" applyFont="1" applyBorder="1" applyAlignment="1" applyProtection="1">
      <alignment vertical="center"/>
    </xf>
    <xf numFmtId="0" fontId="20" fillId="0" borderId="5" xfId="0" applyFont="1" applyFill="1" applyBorder="1" applyAlignment="1" applyProtection="1"/>
    <xf numFmtId="0" fontId="4" fillId="0" borderId="1" xfId="0" applyFont="1" applyFill="1" applyBorder="1" applyAlignment="1" applyProtection="1"/>
    <xf numFmtId="0" fontId="4" fillId="0" borderId="13" xfId="0" applyFont="1" applyFill="1" applyBorder="1" applyAlignment="1" applyProtection="1"/>
    <xf numFmtId="0" fontId="20" fillId="0" borderId="10" xfId="0" applyFont="1" applyFill="1" applyBorder="1" applyAlignment="1" applyProtection="1"/>
    <xf numFmtId="0" fontId="4" fillId="0" borderId="0" xfId="0" applyFont="1" applyFill="1" applyBorder="1" applyAlignment="1" applyProtection="1"/>
    <xf numFmtId="0" fontId="4" fillId="0" borderId="15" xfId="0" applyFont="1" applyFill="1" applyBorder="1" applyAlignment="1" applyProtection="1"/>
    <xf numFmtId="0" fontId="20" fillId="0" borderId="6" xfId="0" applyFont="1" applyFill="1" applyBorder="1" applyAlignment="1" applyProtection="1"/>
    <xf numFmtId="0" fontId="4" fillId="0" borderId="7" xfId="0" applyFont="1" applyFill="1" applyBorder="1" applyAlignment="1" applyProtection="1"/>
    <xf numFmtId="0" fontId="4" fillId="0" borderId="9" xfId="0" applyFont="1" applyFill="1" applyBorder="1" applyAlignment="1" applyProtection="1"/>
    <xf numFmtId="0" fontId="20" fillId="0" borderId="0" xfId="0" applyFont="1" applyFill="1" applyBorder="1" applyAlignment="1" applyProtection="1"/>
    <xf numFmtId="0" fontId="20" fillId="0" borderId="15" xfId="0" applyFont="1" applyFill="1" applyBorder="1" applyAlignment="1" applyProtection="1"/>
    <xf numFmtId="0" fontId="20" fillId="0" borderId="16" xfId="0" applyNumberFormat="1" applyFont="1" applyFill="1" applyBorder="1" applyAlignment="1" applyProtection="1">
      <alignment horizontal="center" vertical="center"/>
      <protection locked="0"/>
    </xf>
    <xf numFmtId="0" fontId="33" fillId="0" borderId="0" xfId="0" applyFont="1" applyAlignment="1" applyProtection="1">
      <alignment horizontal="center"/>
    </xf>
    <xf numFmtId="0" fontId="4" fillId="0" borderId="8" xfId="0" applyFont="1" applyBorder="1" applyAlignment="1" applyProtection="1"/>
    <xf numFmtId="0" fontId="4" fillId="0" borderId="12" xfId="0" applyFont="1" applyBorder="1" applyAlignment="1" applyProtection="1"/>
    <xf numFmtId="0" fontId="20" fillId="0" borderId="8" xfId="0" applyFont="1" applyBorder="1" applyAlignment="1" applyProtection="1">
      <alignment vertical="center"/>
    </xf>
    <xf numFmtId="0" fontId="20" fillId="0" borderId="0" xfId="0" applyFont="1" applyBorder="1" applyProtection="1"/>
    <xf numFmtId="0" fontId="20" fillId="0" borderId="15" xfId="0" applyFont="1" applyBorder="1" applyProtection="1"/>
    <xf numFmtId="0" fontId="20" fillId="0" borderId="0" xfId="0" applyFont="1" applyAlignment="1"/>
    <xf numFmtId="0" fontId="20" fillId="0" borderId="0" xfId="0" applyFont="1" applyAlignment="1" applyProtection="1">
      <alignment horizontal="left"/>
    </xf>
    <xf numFmtId="0" fontId="2" fillId="0" borderId="0" xfId="0" applyFont="1" applyAlignment="1" applyProtection="1">
      <alignment horizontal="center"/>
    </xf>
    <xf numFmtId="0" fontId="2" fillId="0" borderId="0" xfId="0" applyFont="1" applyAlignment="1" applyProtection="1">
      <alignment wrapText="1"/>
    </xf>
    <xf numFmtId="0" fontId="4" fillId="0" borderId="6" xfId="0" applyFont="1" applyBorder="1" applyAlignment="1" applyProtection="1"/>
    <xf numFmtId="0" fontId="20" fillId="0" borderId="18" xfId="0" applyFont="1" applyBorder="1" applyAlignment="1" applyProtection="1">
      <protection locked="0"/>
    </xf>
    <xf numFmtId="0" fontId="20" fillId="0" borderId="11" xfId="0" applyFont="1" applyBorder="1" applyAlignment="1" applyProtection="1">
      <protection locked="0"/>
    </xf>
    <xf numFmtId="0" fontId="4" fillId="0" borderId="11" xfId="0" applyFont="1" applyBorder="1" applyAlignment="1" applyProtection="1">
      <protection locked="0"/>
    </xf>
    <xf numFmtId="0" fontId="4" fillId="0" borderId="19" xfId="0" applyFont="1" applyBorder="1" applyAlignment="1" applyProtection="1">
      <protection locked="0"/>
    </xf>
    <xf numFmtId="0" fontId="20" fillId="0" borderId="20" xfId="0" applyFont="1" applyBorder="1" applyAlignment="1" applyProtection="1"/>
    <xf numFmtId="0" fontId="20" fillId="0" borderId="21" xfId="0" applyFont="1" applyBorder="1" applyAlignment="1" applyProtection="1"/>
    <xf numFmtId="0" fontId="4" fillId="0" borderId="21" xfId="0" applyFont="1" applyBorder="1" applyAlignment="1" applyProtection="1"/>
    <xf numFmtId="0" fontId="4" fillId="0" borderId="22" xfId="0" applyFont="1" applyBorder="1" applyAlignment="1" applyProtection="1"/>
    <xf numFmtId="0" fontId="20" fillId="0" borderId="11" xfId="0" applyFont="1" applyBorder="1" applyProtection="1">
      <protection locked="0"/>
    </xf>
    <xf numFmtId="0" fontId="20" fillId="0" borderId="19" xfId="0" applyFont="1" applyBorder="1" applyProtection="1">
      <protection locked="0"/>
    </xf>
    <xf numFmtId="0" fontId="17" fillId="0" borderId="0" xfId="0" applyFont="1" applyAlignment="1" applyProtection="1">
      <alignment horizontal="left"/>
    </xf>
    <xf numFmtId="0" fontId="17" fillId="0" borderId="0" xfId="0" applyFont="1" applyAlignment="1" applyProtection="1"/>
    <xf numFmtId="0" fontId="2" fillId="0" borderId="0" xfId="0" applyFont="1" applyAlignment="1" applyProtection="1"/>
    <xf numFmtId="0" fontId="17" fillId="0" borderId="0" xfId="0" applyFont="1" applyAlignment="1" applyProtection="1">
      <alignment horizontal="left" wrapText="1"/>
    </xf>
    <xf numFmtId="0" fontId="2" fillId="0" borderId="0" xfId="0" applyFont="1" applyAlignment="1" applyProtection="1">
      <alignment horizontal="left" wrapText="1"/>
    </xf>
    <xf numFmtId="0" fontId="15" fillId="0" borderId="0" xfId="0" applyFont="1" applyAlignment="1">
      <alignment horizontal="left" vertical="center" wrapText="1"/>
    </xf>
    <xf numFmtId="0" fontId="23" fillId="0" borderId="0" xfId="0" applyFont="1" applyAlignment="1" applyProtection="1">
      <alignment vertical="justify"/>
    </xf>
    <xf numFmtId="0" fontId="3" fillId="0" borderId="0" xfId="0" applyFont="1" applyAlignment="1"/>
    <xf numFmtId="0" fontId="10" fillId="0" borderId="7" xfId="0" applyFont="1" applyBorder="1" applyAlignment="1" applyProtection="1"/>
    <xf numFmtId="0" fontId="29" fillId="0" borderId="17" xfId="0" applyFont="1" applyBorder="1" applyAlignment="1" applyProtection="1">
      <alignment horizontal="left"/>
    </xf>
    <xf numFmtId="0" fontId="24" fillId="0" borderId="17" xfId="0" applyFont="1" applyBorder="1" applyAlignment="1" applyProtection="1">
      <alignment horizontal="left"/>
    </xf>
    <xf numFmtId="0" fontId="0" fillId="0" borderId="17" xfId="0" applyBorder="1" applyAlignment="1">
      <alignment horizontal="left"/>
    </xf>
    <xf numFmtId="0" fontId="13" fillId="0" borderId="0" xfId="0" applyFont="1" applyAlignment="1" applyProtection="1">
      <alignment vertical="justify"/>
    </xf>
    <xf numFmtId="14" fontId="10" fillId="0" borderId="14" xfId="0" applyNumberFormat="1" applyFont="1" applyBorder="1" applyAlignment="1" applyProtection="1">
      <alignment horizontal="center"/>
      <protection locked="0"/>
    </xf>
    <xf numFmtId="0" fontId="10" fillId="0" borderId="8" xfId="0" applyFont="1" applyBorder="1" applyAlignment="1" applyProtection="1">
      <alignment horizontal="center"/>
      <protection locked="0"/>
    </xf>
    <xf numFmtId="0" fontId="10" fillId="0" borderId="12" xfId="0" applyFont="1" applyBorder="1" applyAlignment="1" applyProtection="1">
      <alignment horizontal="center"/>
      <protection locked="0"/>
    </xf>
    <xf numFmtId="0" fontId="12" fillId="0" borderId="5" xfId="0" applyFont="1" applyBorder="1" applyAlignment="1" applyProtection="1">
      <alignment vertical="justify"/>
    </xf>
    <xf numFmtId="0" fontId="0" fillId="0" borderId="1" xfId="0" applyBorder="1" applyAlignment="1">
      <alignment vertical="justify"/>
    </xf>
    <xf numFmtId="0" fontId="0" fillId="0" borderId="13" xfId="0" applyBorder="1" applyAlignment="1">
      <alignment vertical="justify"/>
    </xf>
    <xf numFmtId="0" fontId="23" fillId="0" borderId="0" xfId="0" applyFont="1" applyAlignment="1"/>
    <xf numFmtId="0" fontId="16" fillId="0" borderId="1" xfId="0" applyFont="1" applyBorder="1" applyAlignment="1" applyProtection="1">
      <alignment vertical="justify"/>
    </xf>
    <xf numFmtId="0" fontId="0" fillId="0" borderId="13" xfId="0" applyBorder="1" applyAlignment="1"/>
    <xf numFmtId="18" fontId="10" fillId="0" borderId="5" xfId="0" applyNumberFormat="1" applyFont="1" applyBorder="1" applyAlignment="1" applyProtection="1">
      <alignment horizontal="center"/>
      <protection locked="0"/>
    </xf>
    <xf numFmtId="0" fontId="10" fillId="0" borderId="1" xfId="0" applyFont="1" applyBorder="1" applyAlignment="1" applyProtection="1">
      <alignment horizontal="center"/>
      <protection locked="0"/>
    </xf>
    <xf numFmtId="0" fontId="2" fillId="0" borderId="1" xfId="0" applyFont="1" applyBorder="1" applyAlignment="1" applyProtection="1">
      <alignment horizontal="center"/>
      <protection locked="0"/>
    </xf>
    <xf numFmtId="0" fontId="2" fillId="0" borderId="13" xfId="0" applyFont="1" applyBorder="1" applyAlignment="1" applyProtection="1">
      <alignment horizontal="center"/>
      <protection locked="0"/>
    </xf>
    <xf numFmtId="0" fontId="2" fillId="0" borderId="6" xfId="0" applyFont="1" applyBorder="1" applyAlignment="1" applyProtection="1">
      <alignment horizontal="center"/>
      <protection locked="0"/>
    </xf>
    <xf numFmtId="0" fontId="2" fillId="0" borderId="7" xfId="0" applyFont="1" applyBorder="1" applyAlignment="1" applyProtection="1">
      <alignment horizontal="center"/>
      <protection locked="0"/>
    </xf>
    <xf numFmtId="0" fontId="2" fillId="0" borderId="9" xfId="0" applyFont="1" applyBorder="1" applyAlignment="1" applyProtection="1">
      <alignment horizontal="center"/>
      <protection locked="0"/>
    </xf>
    <xf numFmtId="14" fontId="10" fillId="0" borderId="12" xfId="0" applyNumberFormat="1" applyFont="1" applyBorder="1" applyAlignment="1" applyProtection="1">
      <alignment horizontal="center"/>
      <protection locked="0"/>
    </xf>
    <xf numFmtId="164" fontId="10" fillId="0" borderId="5" xfId="0" applyNumberFormat="1" applyFont="1" applyBorder="1" applyAlignment="1" applyProtection="1">
      <alignment horizontal="center"/>
      <protection locked="0"/>
    </xf>
    <xf numFmtId="164" fontId="10" fillId="0" borderId="1" xfId="0" applyNumberFormat="1" applyFont="1" applyBorder="1" applyAlignment="1" applyProtection="1">
      <alignment horizontal="center"/>
      <protection locked="0"/>
    </xf>
    <xf numFmtId="164" fontId="10" fillId="0" borderId="13" xfId="0" applyNumberFormat="1" applyFont="1" applyBorder="1" applyAlignment="1" applyProtection="1">
      <alignment horizontal="center"/>
      <protection locked="0"/>
    </xf>
    <xf numFmtId="164" fontId="10" fillId="0" borderId="6" xfId="0" applyNumberFormat="1" applyFont="1" applyBorder="1" applyAlignment="1" applyProtection="1">
      <alignment horizontal="center"/>
      <protection locked="0"/>
    </xf>
    <xf numFmtId="164" fontId="10" fillId="0" borderId="7" xfId="0" applyNumberFormat="1" applyFont="1" applyBorder="1" applyAlignment="1" applyProtection="1">
      <alignment horizontal="center"/>
      <protection locked="0"/>
    </xf>
    <xf numFmtId="164" fontId="10" fillId="0" borderId="9" xfId="0" applyNumberFormat="1" applyFont="1" applyBorder="1" applyAlignment="1" applyProtection="1">
      <alignment horizontal="center"/>
      <protection locked="0"/>
    </xf>
    <xf numFmtId="0" fontId="16" fillId="0" borderId="5" xfId="0" applyFont="1" applyBorder="1" applyAlignment="1" applyProtection="1">
      <alignment vertical="justify"/>
    </xf>
    <xf numFmtId="0" fontId="10" fillId="0" borderId="6" xfId="0" applyFont="1" applyBorder="1" applyAlignment="1" applyProtection="1">
      <alignment horizontal="center"/>
      <protection locked="0"/>
    </xf>
    <xf numFmtId="0" fontId="10" fillId="0" borderId="9" xfId="0" applyFont="1" applyBorder="1" applyAlignment="1" applyProtection="1">
      <alignment horizontal="center"/>
      <protection locked="0"/>
    </xf>
    <xf numFmtId="0" fontId="25" fillId="0" borderId="5" xfId="0" applyFont="1" applyBorder="1" applyAlignment="1" applyProtection="1">
      <alignment vertical="justify"/>
    </xf>
    <xf numFmtId="0" fontId="15" fillId="0" borderId="1" xfId="0" applyFont="1" applyBorder="1" applyAlignment="1">
      <alignment vertical="justify"/>
    </xf>
    <xf numFmtId="0" fontId="15" fillId="0" borderId="13" xfId="0" applyFont="1" applyBorder="1" applyAlignment="1">
      <alignment vertical="justify"/>
    </xf>
    <xf numFmtId="165" fontId="25" fillId="0" borderId="10" xfId="0" applyNumberFormat="1" applyFont="1" applyBorder="1" applyAlignment="1" applyProtection="1">
      <alignment horizontal="left" vertical="center"/>
    </xf>
    <xf numFmtId="165" fontId="25" fillId="0" borderId="0" xfId="0" applyNumberFormat="1" applyFont="1" applyBorder="1" applyAlignment="1" applyProtection="1">
      <alignment horizontal="left" vertical="center"/>
    </xf>
    <xf numFmtId="0" fontId="15" fillId="0" borderId="6" xfId="0" applyFont="1" applyBorder="1" applyAlignment="1">
      <alignment horizontal="left" vertical="center"/>
    </xf>
    <xf numFmtId="0" fontId="15" fillId="0" borderId="7" xfId="0" applyFont="1" applyBorder="1" applyAlignment="1">
      <alignment horizontal="left" vertical="center"/>
    </xf>
    <xf numFmtId="0" fontId="25" fillId="0" borderId="0" xfId="0" applyFont="1" applyBorder="1" applyAlignment="1">
      <alignment horizontal="center" vertical="center"/>
    </xf>
    <xf numFmtId="0" fontId="15" fillId="0" borderId="7" xfId="0" applyFont="1" applyBorder="1" applyAlignment="1">
      <alignment horizontal="center" vertical="center"/>
    </xf>
    <xf numFmtId="0" fontId="18" fillId="0" borderId="0" xfId="0" applyFont="1" applyAlignment="1" applyProtection="1"/>
    <xf numFmtId="0" fontId="15" fillId="0" borderId="0" xfId="0" applyFont="1" applyBorder="1" applyAlignment="1" applyProtection="1">
      <alignment horizontal="center" vertical="justify"/>
    </xf>
    <xf numFmtId="0" fontId="4" fillId="0" borderId="0" xfId="0" applyFont="1" applyBorder="1" applyAlignment="1" applyProtection="1">
      <alignment horizontal="center" vertical="justify"/>
    </xf>
    <xf numFmtId="0" fontId="0" fillId="0" borderId="0" xfId="0" applyBorder="1" applyAlignment="1"/>
    <xf numFmtId="0" fontId="14" fillId="0" borderId="14" xfId="0" applyFont="1" applyBorder="1" applyAlignment="1" applyProtection="1"/>
    <xf numFmtId="0" fontId="14" fillId="0" borderId="8" xfId="0" applyFont="1" applyBorder="1" applyAlignment="1" applyProtection="1"/>
    <xf numFmtId="0" fontId="14" fillId="0" borderId="12" xfId="0" applyFont="1" applyBorder="1" applyAlignment="1" applyProtection="1"/>
    <xf numFmtId="0" fontId="13" fillId="0" borderId="5" xfId="0" applyFont="1" applyBorder="1" applyAlignment="1" applyProtection="1"/>
    <xf numFmtId="0" fontId="13" fillId="0" borderId="1" xfId="0" applyFont="1" applyBorder="1" applyAlignment="1" applyProtection="1"/>
    <xf numFmtId="0" fontId="13" fillId="0" borderId="13" xfId="0" applyFont="1" applyBorder="1" applyAlignment="1" applyProtection="1"/>
    <xf numFmtId="0" fontId="13" fillId="0" borderId="6" xfId="0" applyFont="1" applyBorder="1" applyAlignment="1" applyProtection="1"/>
    <xf numFmtId="0" fontId="13" fillId="0" borderId="7" xfId="0" applyFont="1" applyBorder="1" applyAlignment="1" applyProtection="1"/>
    <xf numFmtId="0" fontId="13" fillId="0" borderId="9" xfId="0" applyFont="1" applyBorder="1" applyAlignment="1" applyProtection="1"/>
    <xf numFmtId="0" fontId="30" fillId="0" borderId="3" xfId="0" applyFont="1" applyBorder="1" applyAlignment="1" applyProtection="1">
      <alignment horizontal="center" vertical="center"/>
    </xf>
    <xf numFmtId="0" fontId="31" fillId="0" borderId="4" xfId="0" applyFont="1" applyBorder="1" applyAlignment="1" applyProtection="1">
      <alignment vertical="center"/>
    </xf>
    <xf numFmtId="167" fontId="0" fillId="0" borderId="3" xfId="0" applyNumberFormat="1" applyBorder="1" applyAlignment="1" applyProtection="1">
      <alignment horizontal="center" vertical="center"/>
      <protection locked="0"/>
    </xf>
    <xf numFmtId="167" fontId="0" fillId="0" borderId="4" xfId="0" applyNumberFormat="1" applyBorder="1" applyAlignment="1" applyProtection="1">
      <alignment horizontal="center" vertical="center"/>
      <protection locked="0"/>
    </xf>
    <xf numFmtId="0" fontId="14" fillId="0" borderId="6" xfId="0" applyFont="1" applyBorder="1" applyAlignment="1" applyProtection="1"/>
    <xf numFmtId="0" fontId="14" fillId="0" borderId="7" xfId="0" applyFont="1" applyBorder="1" applyAlignment="1" applyProtection="1"/>
    <xf numFmtId="0" fontId="14" fillId="0" borderId="9" xfId="0" applyFont="1" applyBorder="1" applyAlignment="1" applyProtection="1"/>
    <xf numFmtId="0" fontId="13" fillId="0" borderId="0" xfId="0" applyFont="1" applyAlignment="1" applyProtection="1"/>
    <xf numFmtId="0" fontId="14" fillId="0" borderId="5" xfId="0" applyFont="1" applyBorder="1" applyAlignment="1" applyProtection="1"/>
    <xf numFmtId="0" fontId="14" fillId="0" borderId="1" xfId="0" applyFont="1" applyBorder="1" applyAlignment="1" applyProtection="1"/>
    <xf numFmtId="0" fontId="14" fillId="0" borderId="13" xfId="0" applyFont="1" applyBorder="1" applyAlignment="1" applyProtection="1"/>
    <xf numFmtId="0" fontId="0" fillId="0" borderId="10" xfId="0" applyBorder="1" applyAlignment="1" applyProtection="1">
      <alignment vertical="justify"/>
    </xf>
    <xf numFmtId="0" fontId="0" fillId="0" borderId="0" xfId="0" applyBorder="1" applyAlignment="1" applyProtection="1">
      <alignment vertical="justify"/>
    </xf>
    <xf numFmtId="0" fontId="0" fillId="0" borderId="6" xfId="0" applyBorder="1" applyAlignment="1"/>
    <xf numFmtId="0" fontId="0" fillId="0" borderId="7" xfId="0" applyBorder="1" applyAlignment="1"/>
    <xf numFmtId="0" fontId="15" fillId="0" borderId="0" xfId="0" applyFont="1" applyBorder="1" applyAlignment="1" applyProtection="1">
      <alignment horizontal="left" vertical="justify"/>
    </xf>
    <xf numFmtId="0" fontId="0" fillId="0" borderId="0" xfId="0" applyBorder="1" applyAlignment="1">
      <alignment horizontal="left"/>
    </xf>
    <xf numFmtId="0" fontId="10" fillId="0" borderId="7" xfId="0" applyNumberFormat="1" applyFont="1" applyBorder="1" applyAlignment="1" applyProtection="1">
      <alignment horizontal="left"/>
      <protection locked="0"/>
    </xf>
    <xf numFmtId="0" fontId="10" fillId="0" borderId="0" xfId="0" applyNumberFormat="1" applyFont="1" applyBorder="1" applyAlignment="1" applyProtection="1">
      <alignment horizontal="left"/>
      <protection locked="0"/>
    </xf>
    <xf numFmtId="0" fontId="10" fillId="0" borderId="9" xfId="0" applyNumberFormat="1" applyFont="1" applyBorder="1" applyAlignment="1" applyProtection="1">
      <alignment horizontal="left"/>
      <protection locked="0"/>
    </xf>
    <xf numFmtId="0" fontId="2" fillId="0" borderId="8" xfId="0" applyFont="1" applyBorder="1" applyAlignment="1" applyProtection="1">
      <protection locked="0"/>
    </xf>
    <xf numFmtId="0" fontId="2" fillId="0" borderId="12" xfId="0" applyFont="1" applyBorder="1" applyAlignment="1" applyProtection="1">
      <protection locked="0"/>
    </xf>
    <xf numFmtId="0" fontId="0" fillId="0" borderId="1" xfId="0" applyBorder="1" applyAlignment="1" applyProtection="1"/>
    <xf numFmtId="0" fontId="0" fillId="0" borderId="13" xfId="0" applyBorder="1" applyAlignment="1" applyProtection="1"/>
    <xf numFmtId="0" fontId="23" fillId="0" borderId="0" xfId="0" applyFont="1" applyBorder="1" applyAlignment="1" applyProtection="1">
      <alignment horizontal="left"/>
    </xf>
    <xf numFmtId="0" fontId="23" fillId="0" borderId="0" xfId="0" applyFont="1" applyBorder="1" applyAlignment="1">
      <alignment horizontal="left"/>
    </xf>
    <xf numFmtId="0" fontId="23" fillId="0" borderId="0" xfId="0" applyFont="1" applyBorder="1" applyAlignment="1" applyProtection="1">
      <alignment horizontal="left" vertical="center"/>
    </xf>
    <xf numFmtId="0" fontId="23" fillId="0" borderId="0" xfId="0" applyFont="1" applyBorder="1" applyAlignment="1">
      <alignment horizontal="left" vertical="center"/>
    </xf>
    <xf numFmtId="0" fontId="8" fillId="0" borderId="7" xfId="0" applyFont="1" applyBorder="1" applyAlignment="1" applyProtection="1">
      <alignment vertical="top"/>
    </xf>
    <xf numFmtId="0" fontId="8" fillId="0" borderId="7" xfId="0" applyFont="1" applyBorder="1" applyAlignment="1">
      <alignment vertical="top"/>
    </xf>
    <xf numFmtId="0" fontId="16" fillId="0" borderId="6" xfId="0" applyFont="1" applyBorder="1" applyAlignment="1" applyProtection="1">
      <alignment vertical="justify"/>
    </xf>
    <xf numFmtId="0" fontId="0" fillId="0" borderId="7" xfId="0" applyBorder="1" applyAlignment="1">
      <alignment vertical="justify"/>
    </xf>
    <xf numFmtId="49" fontId="10" fillId="0" borderId="6" xfId="0" applyNumberFormat="1" applyFont="1" applyBorder="1" applyAlignment="1" applyProtection="1">
      <alignment horizontal="center"/>
    </xf>
    <xf numFmtId="0" fontId="0" fillId="0" borderId="7" xfId="0" applyBorder="1" applyAlignment="1" applyProtection="1">
      <alignment horizontal="center"/>
    </xf>
    <xf numFmtId="0" fontId="12" fillId="0" borderId="14" xfId="0" applyFont="1" applyBorder="1" applyAlignment="1" applyProtection="1">
      <alignment vertical="justify"/>
    </xf>
    <xf numFmtId="0" fontId="0" fillId="0" borderId="8" xfId="0" applyBorder="1" applyAlignment="1">
      <alignment vertical="justify"/>
    </xf>
    <xf numFmtId="0" fontId="10" fillId="0" borderId="10" xfId="0" applyFont="1" applyBorder="1" applyAlignment="1" applyProtection="1">
      <alignment horizontal="center"/>
      <protection locked="0"/>
    </xf>
    <xf numFmtId="0" fontId="10" fillId="0" borderId="0" xfId="0" applyFont="1" applyBorder="1" applyAlignment="1" applyProtection="1">
      <alignment horizontal="center"/>
      <protection locked="0"/>
    </xf>
    <xf numFmtId="0" fontId="2" fillId="0" borderId="0" xfId="0" applyFont="1" applyBorder="1" applyAlignment="1" applyProtection="1">
      <protection locked="0"/>
    </xf>
    <xf numFmtId="0" fontId="2" fillId="0" borderId="15" xfId="0" applyFont="1" applyBorder="1" applyAlignment="1" applyProtection="1">
      <protection locked="0"/>
    </xf>
    <xf numFmtId="166" fontId="10" fillId="0" borderId="6" xfId="0" applyNumberFormat="1" applyFont="1" applyBorder="1" applyAlignment="1" applyProtection="1">
      <alignment horizontal="center"/>
      <protection locked="0"/>
    </xf>
    <xf numFmtId="166" fontId="10" fillId="0" borderId="7" xfId="0" applyNumberFormat="1" applyFont="1" applyBorder="1" applyAlignment="1" applyProtection="1">
      <alignment horizontal="center"/>
      <protection locked="0"/>
    </xf>
    <xf numFmtId="166" fontId="2" fillId="0" borderId="7" xfId="0" applyNumberFormat="1" applyFont="1" applyBorder="1" applyAlignment="1" applyProtection="1">
      <alignment horizontal="center"/>
      <protection locked="0"/>
    </xf>
    <xf numFmtId="166" fontId="2" fillId="0" borderId="9" xfId="0" applyNumberFormat="1" applyFont="1" applyBorder="1" applyAlignment="1" applyProtection="1">
      <alignment horizontal="center"/>
      <protection locked="0"/>
    </xf>
    <xf numFmtId="0" fontId="0" fillId="0" borderId="5"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8" fillId="0" borderId="8" xfId="0" applyFont="1" applyBorder="1" applyAlignment="1" applyProtection="1"/>
    <xf numFmtId="0" fontId="11" fillId="0" borderId="8" xfId="0" applyFont="1" applyBorder="1" applyAlignment="1" applyProtection="1">
      <protection locked="0"/>
    </xf>
    <xf numFmtId="0" fontId="11" fillId="0" borderId="12" xfId="0" applyFont="1" applyBorder="1" applyAlignment="1" applyProtection="1">
      <protection locked="0"/>
    </xf>
    <xf numFmtId="0" fontId="14" fillId="0" borderId="5" xfId="0" applyFont="1" applyBorder="1" applyAlignment="1" applyProtection="1">
      <alignment horizontal="center" vertical="center"/>
    </xf>
    <xf numFmtId="0" fontId="14" fillId="0" borderId="1" xfId="0" applyFont="1" applyBorder="1" applyAlignment="1" applyProtection="1">
      <alignment horizontal="center" vertical="center"/>
    </xf>
    <xf numFmtId="0" fontId="14" fillId="0" borderId="13" xfId="0" applyFont="1" applyBorder="1" applyAlignment="1" applyProtection="1">
      <alignment horizontal="center" vertical="center"/>
    </xf>
    <xf numFmtId="0" fontId="14" fillId="0" borderId="10" xfId="0" applyFont="1" applyBorder="1" applyAlignment="1" applyProtection="1">
      <alignment horizontal="center" vertical="center"/>
    </xf>
    <xf numFmtId="0" fontId="14" fillId="0" borderId="0" xfId="0" applyFont="1" applyBorder="1" applyAlignment="1" applyProtection="1">
      <alignment horizontal="center" vertical="center"/>
    </xf>
    <xf numFmtId="0" fontId="14" fillId="0" borderId="15" xfId="0" applyFont="1" applyBorder="1" applyAlignment="1" applyProtection="1">
      <alignment horizontal="center" vertical="center"/>
    </xf>
    <xf numFmtId="0" fontId="30" fillId="0" borderId="7" xfId="0" applyFont="1" applyBorder="1" applyAlignment="1" applyProtection="1">
      <protection locked="0"/>
    </xf>
    <xf numFmtId="0" fontId="2" fillId="0" borderId="7" xfId="0" applyFont="1" applyBorder="1" applyAlignment="1" applyProtection="1">
      <protection locked="0"/>
    </xf>
    <xf numFmtId="0" fontId="13" fillId="0" borderId="0" xfId="0" applyFont="1" applyBorder="1" applyAlignment="1" applyProtection="1">
      <alignment horizontal="center"/>
      <protection locked="0"/>
    </xf>
    <xf numFmtId="0" fontId="0" fillId="0" borderId="0" xfId="0" applyBorder="1" applyAlignment="1">
      <alignment horizontal="center"/>
    </xf>
    <xf numFmtId="0" fontId="13" fillId="0" borderId="14" xfId="0" applyFont="1" applyBorder="1" applyAlignment="1" applyProtection="1"/>
    <xf numFmtId="0" fontId="13" fillId="0" borderId="8" xfId="0" applyFont="1" applyBorder="1" applyAlignment="1" applyProtection="1"/>
    <xf numFmtId="0" fontId="13" fillId="0" borderId="12" xfId="0" applyFont="1" applyBorder="1" applyAlignment="1" applyProtection="1"/>
    <xf numFmtId="0" fontId="10" fillId="0" borderId="5" xfId="0" applyFont="1" applyBorder="1" applyAlignment="1" applyProtection="1">
      <alignment horizontal="center" vertical="center"/>
      <protection locked="0"/>
    </xf>
    <xf numFmtId="0" fontId="10" fillId="0" borderId="13" xfId="0"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13" fillId="0" borderId="1" xfId="0" applyFont="1" applyBorder="1" applyAlignment="1" applyProtection="1">
      <alignment horizontal="center"/>
    </xf>
    <xf numFmtId="0" fontId="0" fillId="0" borderId="13" xfId="0" applyBorder="1" applyAlignment="1" applyProtection="1">
      <alignment horizontal="center"/>
    </xf>
    <xf numFmtId="0" fontId="2" fillId="2" borderId="14" xfId="0" applyFont="1" applyFill="1" applyBorder="1" applyAlignment="1" applyProtection="1"/>
    <xf numFmtId="0" fontId="2" fillId="2" borderId="12" xfId="0" applyFont="1" applyFill="1" applyBorder="1" applyAlignment="1" applyProtection="1"/>
    <xf numFmtId="0" fontId="10" fillId="0" borderId="12" xfId="0" applyFont="1" applyBorder="1" applyAlignment="1" applyProtection="1">
      <protection locked="0"/>
    </xf>
    <xf numFmtId="0" fontId="10" fillId="0" borderId="14"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3" fillId="0" borderId="7" xfId="0" applyFont="1" applyBorder="1" applyAlignment="1" applyProtection="1">
      <alignment horizontal="center" vertical="center"/>
    </xf>
    <xf numFmtId="0" fontId="0" fillId="0" borderId="9" xfId="0" applyBorder="1" applyAlignment="1" applyProtection="1">
      <alignment horizontal="center" vertical="center"/>
    </xf>
    <xf numFmtId="0" fontId="10" fillId="0" borderId="14" xfId="0" applyFont="1" applyBorder="1" applyAlignment="1" applyProtection="1">
      <alignment vertical="center"/>
      <protection locked="0"/>
    </xf>
    <xf numFmtId="0" fontId="10" fillId="0" borderId="8" xfId="0" applyFont="1" applyBorder="1" applyAlignment="1" applyProtection="1">
      <alignment vertical="center"/>
      <protection locked="0"/>
    </xf>
    <xf numFmtId="0" fontId="10" fillId="0" borderId="12" xfId="0" applyFont="1" applyBorder="1" applyAlignment="1" applyProtection="1">
      <alignment vertical="center"/>
      <protection locked="0"/>
    </xf>
    <xf numFmtId="0" fontId="2" fillId="0" borderId="5"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30" fillId="0" borderId="4" xfId="0" applyFont="1" applyBorder="1" applyAlignment="1" applyProtection="1">
      <alignment horizontal="center" vertical="center"/>
    </xf>
    <xf numFmtId="0" fontId="10" fillId="0" borderId="2" xfId="0" applyFont="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0" borderId="14" xfId="0" applyFont="1" applyBorder="1" applyAlignment="1" applyProtection="1">
      <protection locked="0"/>
    </xf>
    <xf numFmtId="0" fontId="2" fillId="0" borderId="14" xfId="0" applyFont="1" applyBorder="1" applyAlignment="1" applyProtection="1">
      <alignment horizontal="center"/>
      <protection locked="0"/>
    </xf>
    <xf numFmtId="0" fontId="2" fillId="0" borderId="12" xfId="0" applyFont="1" applyBorder="1" applyAlignment="1" applyProtection="1">
      <alignment horizontal="center"/>
      <protection locked="0"/>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0" fillId="0" borderId="14" xfId="0" applyFont="1" applyBorder="1" applyAlignment="1" applyProtection="1">
      <alignment horizontal="center"/>
      <protection locked="0"/>
    </xf>
    <xf numFmtId="0" fontId="10" fillId="0" borderId="5" xfId="0" applyFont="1" applyBorder="1" applyAlignment="1" applyProtection="1">
      <alignment vertical="center"/>
      <protection locked="0"/>
    </xf>
    <xf numFmtId="0" fontId="10" fillId="0" borderId="13" xfId="0" applyFont="1" applyBorder="1" applyAlignment="1" applyProtection="1">
      <alignment vertical="center"/>
      <protection locked="0"/>
    </xf>
    <xf numFmtId="0" fontId="10" fillId="0" borderId="6" xfId="0" applyFont="1" applyBorder="1" applyAlignment="1" applyProtection="1">
      <alignment vertical="center"/>
      <protection locked="0"/>
    </xf>
    <xf numFmtId="0" fontId="10" fillId="0" borderId="9" xfId="0" applyFont="1" applyBorder="1" applyAlignment="1" applyProtection="1">
      <alignment vertical="center"/>
      <protection locked="0"/>
    </xf>
    <xf numFmtId="0" fontId="0" fillId="0" borderId="5" xfId="0" applyBorder="1" applyAlignment="1" applyProtection="1">
      <alignment horizontal="center" vertical="center" shrinkToFit="1"/>
      <protection locked="0"/>
    </xf>
    <xf numFmtId="0" fontId="0" fillId="0" borderId="1"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0" fillId="0" borderId="6"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1"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2" fillId="0" borderId="5" xfId="0" applyFont="1" applyBorder="1" applyAlignment="1" applyProtection="1">
      <alignment horizontal="center" vertical="center" shrinkToFit="1"/>
      <protection locked="0"/>
    </xf>
    <xf numFmtId="0" fontId="2" fillId="2" borderId="5" xfId="0" applyFont="1" applyFill="1" applyBorder="1" applyAlignment="1" applyProtection="1"/>
    <xf numFmtId="0" fontId="2" fillId="2" borderId="13" xfId="0" applyFont="1" applyFill="1" applyBorder="1" applyAlignment="1" applyProtection="1"/>
    <xf numFmtId="0" fontId="2" fillId="2" borderId="6" xfId="0" applyFont="1" applyFill="1" applyBorder="1" applyAlignment="1" applyProtection="1"/>
    <xf numFmtId="0" fontId="2" fillId="2" borderId="9" xfId="0" applyFont="1" applyFill="1" applyBorder="1" applyAlignment="1" applyProtection="1"/>
    <xf numFmtId="0" fontId="38" fillId="0" borderId="1" xfId="0" applyFont="1" applyBorder="1" applyAlignment="1" applyProtection="1">
      <alignment vertical="justify"/>
    </xf>
    <xf numFmtId="0" fontId="32" fillId="0" borderId="1" xfId="0" applyFont="1" applyBorder="1" applyAlignment="1" applyProtection="1">
      <alignment vertical="justify"/>
    </xf>
    <xf numFmtId="0" fontId="2" fillId="2" borderId="2" xfId="0" applyFont="1" applyFill="1" applyBorder="1" applyAlignment="1" applyProtection="1"/>
    <xf numFmtId="0" fontId="10" fillId="0" borderId="5" xfId="0" applyFont="1" applyBorder="1" applyAlignment="1" applyProtection="1">
      <protection locked="0"/>
    </xf>
    <xf numFmtId="0" fontId="10" fillId="0" borderId="13" xfId="0" applyFont="1" applyBorder="1" applyAlignment="1" applyProtection="1">
      <protection locked="0"/>
    </xf>
    <xf numFmtId="0" fontId="10" fillId="0" borderId="6" xfId="0" applyFont="1" applyBorder="1" applyAlignment="1" applyProtection="1">
      <protection locked="0"/>
    </xf>
    <xf numFmtId="0" fontId="10" fillId="0" borderId="9" xfId="0" applyFont="1" applyBorder="1" applyAlignment="1" applyProtection="1">
      <protection locked="0"/>
    </xf>
    <xf numFmtId="14" fontId="10" fillId="0" borderId="14" xfId="0" applyNumberFormat="1" applyFont="1" applyBorder="1" applyAlignment="1" applyProtection="1">
      <protection locked="0"/>
    </xf>
    <xf numFmtId="14" fontId="10" fillId="0" borderId="5" xfId="0" applyNumberFormat="1" applyFont="1" applyBorder="1" applyAlignment="1" applyProtection="1">
      <alignment horizontal="center"/>
      <protection locked="0"/>
    </xf>
    <xf numFmtId="14" fontId="10" fillId="0" borderId="13" xfId="0" applyNumberFormat="1" applyFont="1" applyBorder="1" applyAlignment="1" applyProtection="1">
      <alignment horizontal="center"/>
      <protection locked="0"/>
    </xf>
    <xf numFmtId="14" fontId="10" fillId="0" borderId="6" xfId="0" applyNumberFormat="1" applyFont="1" applyBorder="1" applyAlignment="1" applyProtection="1">
      <alignment horizontal="center"/>
      <protection locked="0"/>
    </xf>
    <xf numFmtId="14" fontId="10" fillId="0" borderId="9" xfId="0" applyNumberFormat="1" applyFont="1" applyBorder="1" applyAlignment="1" applyProtection="1">
      <alignment horizontal="center"/>
      <protection locked="0"/>
    </xf>
    <xf numFmtId="0" fontId="8" fillId="0" borderId="6" xfId="0" applyFont="1" applyBorder="1" applyAlignment="1" applyProtection="1"/>
    <xf numFmtId="0" fontId="0" fillId="0" borderId="8" xfId="0" applyBorder="1" applyAlignment="1"/>
    <xf numFmtId="0" fontId="18" fillId="0" borderId="1" xfId="0" applyFont="1" applyBorder="1" applyAlignment="1" applyProtection="1">
      <alignment horizontal="left" wrapText="1"/>
      <protection locked="0"/>
    </xf>
    <xf numFmtId="0" fontId="13" fillId="0" borderId="13" xfId="0" applyFont="1" applyBorder="1" applyAlignment="1" applyProtection="1">
      <alignment horizontal="left" vertical="center"/>
    </xf>
    <xf numFmtId="0" fontId="13" fillId="0" borderId="9" xfId="0" applyFont="1" applyBorder="1" applyAlignment="1" applyProtection="1">
      <alignment horizontal="left" vertical="center"/>
    </xf>
    <xf numFmtId="0" fontId="13" fillId="0" borderId="13" xfId="0" applyFont="1" applyBorder="1" applyAlignment="1" applyProtection="1">
      <alignment vertical="center"/>
    </xf>
    <xf numFmtId="0" fontId="14" fillId="0" borderId="9" xfId="0" applyFont="1" applyBorder="1" applyAlignment="1" applyProtection="1">
      <alignment vertical="center"/>
    </xf>
    <xf numFmtId="0" fontId="19" fillId="0" borderId="0" xfId="0" applyFont="1" applyAlignment="1" applyProtection="1"/>
    <xf numFmtId="0" fontId="13" fillId="0" borderId="5" xfId="0" applyFont="1" applyBorder="1" applyAlignment="1" applyProtection="1">
      <alignment horizontal="center"/>
    </xf>
    <xf numFmtId="0" fontId="13" fillId="0" borderId="13" xfId="0" applyFont="1" applyBorder="1" applyAlignment="1" applyProtection="1">
      <alignment horizontal="center"/>
    </xf>
    <xf numFmtId="0" fontId="13" fillId="0" borderId="10" xfId="0" applyFont="1" applyBorder="1" applyAlignment="1" applyProtection="1">
      <alignment horizontal="center"/>
    </xf>
    <xf numFmtId="0" fontId="13" fillId="0" borderId="15" xfId="0" applyFont="1" applyBorder="1" applyAlignment="1" applyProtection="1">
      <alignment horizontal="center"/>
    </xf>
    <xf numFmtId="0" fontId="13" fillId="0" borderId="10" xfId="0" applyFont="1" applyBorder="1" applyAlignment="1" applyProtection="1">
      <alignment horizontal="center" vertical="top"/>
    </xf>
    <xf numFmtId="0" fontId="13" fillId="0" borderId="15" xfId="0" applyFont="1" applyBorder="1" applyAlignment="1" applyProtection="1">
      <alignment horizontal="center" vertical="top"/>
    </xf>
    <xf numFmtId="0" fontId="13" fillId="0" borderId="6" xfId="0" applyFont="1" applyBorder="1" applyAlignment="1" applyProtection="1">
      <alignment horizontal="center" vertical="top"/>
    </xf>
    <xf numFmtId="0" fontId="13" fillId="0" borderId="9" xfId="0" applyFont="1" applyBorder="1" applyAlignment="1" applyProtection="1">
      <alignment horizontal="center" vertical="top"/>
    </xf>
    <xf numFmtId="0" fontId="18" fillId="0" borderId="1" xfId="0" applyFont="1" applyBorder="1" applyAlignment="1">
      <alignment horizontal="center" wrapText="1"/>
    </xf>
    <xf numFmtId="14" fontId="30" fillId="0" borderId="8" xfId="0" applyNumberFormat="1" applyFont="1" applyBorder="1" applyAlignment="1" applyProtection="1">
      <alignment horizontal="center"/>
      <protection locked="0"/>
    </xf>
    <xf numFmtId="49" fontId="27" fillId="0" borderId="1" xfId="0" applyNumberFormat="1" applyFont="1" applyBorder="1" applyAlignment="1"/>
    <xf numFmtId="49" fontId="28" fillId="0" borderId="1" xfId="0" applyNumberFormat="1" applyFont="1" applyBorder="1" applyAlignment="1"/>
    <xf numFmtId="0" fontId="27" fillId="0" borderId="11" xfId="0" applyFont="1" applyBorder="1" applyAlignment="1" applyProtection="1"/>
    <xf numFmtId="0" fontId="28" fillId="0" borderId="11" xfId="0" applyFont="1" applyBorder="1" applyAlignment="1" applyProtection="1"/>
    <xf numFmtId="0" fontId="29" fillId="0" borderId="0" xfId="0" applyFont="1" applyBorder="1" applyAlignment="1" applyProtection="1"/>
    <xf numFmtId="0" fontId="24" fillId="0" borderId="0" xfId="0" applyFont="1" applyAlignment="1"/>
    <xf numFmtId="0" fontId="29" fillId="0" borderId="0" xfId="0" applyFont="1" applyAlignment="1"/>
    <xf numFmtId="0" fontId="29" fillId="0" borderId="0" xfId="0" applyFont="1" applyBorder="1" applyAlignment="1">
      <alignment horizontal="right"/>
    </xf>
    <xf numFmtId="0" fontId="29" fillId="0" borderId="0" xfId="0" applyFont="1" applyBorder="1" applyAlignment="1">
      <alignment horizontal="center"/>
    </xf>
    <xf numFmtId="0" fontId="24" fillId="0" borderId="0" xfId="0" applyFont="1" applyBorder="1" applyAlignment="1">
      <alignment horizontal="center"/>
    </xf>
    <xf numFmtId="14" fontId="30" fillId="0" borderId="7" xfId="0" applyNumberFormat="1" applyFont="1" applyBorder="1" applyAlignment="1" applyProtection="1">
      <alignment horizontal="left"/>
      <protection locked="0"/>
    </xf>
    <xf numFmtId="0" fontId="30" fillId="0" borderId="7" xfId="0" applyFont="1" applyBorder="1" applyAlignment="1" applyProtection="1">
      <alignment horizontal="left"/>
      <protection locked="0"/>
    </xf>
    <xf numFmtId="0" fontId="0" fillId="0" borderId="9" xfId="0" applyBorder="1" applyAlignment="1"/>
    <xf numFmtId="0" fontId="26" fillId="0" borderId="2" xfId="0" applyFont="1" applyFill="1" applyBorder="1" applyAlignment="1" applyProtection="1">
      <alignment horizontal="center"/>
    </xf>
    <xf numFmtId="0" fontId="27" fillId="0" borderId="2" xfId="0" applyFont="1" applyBorder="1" applyAlignment="1">
      <alignment horizontal="center"/>
    </xf>
    <xf numFmtId="0" fontId="13" fillId="0" borderId="6" xfId="0" applyFont="1" applyBorder="1" applyAlignment="1">
      <alignment horizontal="center"/>
    </xf>
    <xf numFmtId="0" fontId="13" fillId="0" borderId="9" xfId="0" applyFont="1" applyBorder="1" applyAlignment="1">
      <alignment horizontal="center"/>
    </xf>
    <xf numFmtId="0" fontId="0" fillId="0" borderId="13" xfId="0" applyBorder="1" applyAlignment="1">
      <alignment horizontal="center"/>
    </xf>
    <xf numFmtId="0" fontId="13" fillId="0" borderId="6" xfId="0" applyFont="1" applyBorder="1" applyAlignment="1" applyProtection="1">
      <alignment horizontal="center"/>
    </xf>
    <xf numFmtId="0" fontId="0" fillId="0" borderId="9" xfId="0" applyBorder="1" applyAlignment="1" applyProtection="1"/>
    <xf numFmtId="0" fontId="15" fillId="0" borderId="0" xfId="0" applyFont="1" applyAlignment="1" applyProtection="1">
      <alignment horizontal="center" vertical="center"/>
    </xf>
    <xf numFmtId="0" fontId="0" fillId="0" borderId="9" xfId="0" applyBorder="1" applyAlignment="1" applyProtection="1">
      <alignment horizontal="center"/>
    </xf>
    <xf numFmtId="0" fontId="10" fillId="0" borderId="5" xfId="0" applyFont="1" applyBorder="1" applyAlignment="1" applyProtection="1">
      <alignment horizontal="center"/>
      <protection locked="0"/>
    </xf>
    <xf numFmtId="0" fontId="42" fillId="0" borderId="0" xfId="1" applyFont="1" applyAlignment="1">
      <alignment horizontal="left" vertical="top"/>
    </xf>
    <xf numFmtId="0" fontId="41" fillId="0" borderId="0" xfId="1" applyFont="1" applyAlignment="1">
      <alignment horizontal="center"/>
    </xf>
    <xf numFmtId="0" fontId="42" fillId="0" borderId="0" xfId="1" applyFont="1" applyAlignment="1">
      <alignment vertical="top" wrapText="1"/>
    </xf>
    <xf numFmtId="0" fontId="47" fillId="0" borderId="1" xfId="1" applyFont="1" applyBorder="1" applyAlignment="1" applyProtection="1">
      <alignment horizontal="center" vertical="center" wrapText="1"/>
      <protection locked="0"/>
    </xf>
    <xf numFmtId="0" fontId="47" fillId="0" borderId="13" xfId="1" applyFont="1" applyBorder="1" applyAlignment="1" applyProtection="1">
      <alignment horizontal="center" vertical="center" wrapText="1"/>
      <protection locked="0"/>
    </xf>
    <xf numFmtId="0" fontId="47" fillId="0" borderId="7" xfId="1" applyFont="1" applyBorder="1" applyAlignment="1" applyProtection="1">
      <alignment horizontal="center" vertical="center" wrapText="1"/>
      <protection locked="0"/>
    </xf>
    <xf numFmtId="0" fontId="47" fillId="0" borderId="9" xfId="1" applyFont="1" applyBorder="1" applyAlignment="1" applyProtection="1">
      <alignment horizontal="center" vertical="center" wrapText="1"/>
      <protection locked="0"/>
    </xf>
    <xf numFmtId="0" fontId="41" fillId="0" borderId="0" xfId="1" applyFont="1" applyAlignment="1">
      <alignment horizontal="center" wrapText="1"/>
    </xf>
    <xf numFmtId="0" fontId="43" fillId="0" borderId="0" xfId="1" applyFont="1" applyAlignment="1">
      <alignment horizontal="center" wrapText="1"/>
    </xf>
    <xf numFmtId="0" fontId="44" fillId="4" borderId="5" xfId="1" applyFont="1" applyFill="1" applyBorder="1" applyAlignment="1">
      <alignment horizontal="center"/>
    </xf>
    <xf numFmtId="0" fontId="44" fillId="4" borderId="1" xfId="1" applyFont="1" applyFill="1" applyBorder="1" applyAlignment="1">
      <alignment horizontal="center"/>
    </xf>
    <xf numFmtId="0" fontId="44" fillId="4" borderId="13" xfId="1" applyFont="1" applyFill="1" applyBorder="1" applyAlignment="1">
      <alignment horizontal="center"/>
    </xf>
    <xf numFmtId="0" fontId="44" fillId="0" borderId="5" xfId="1" applyFont="1" applyBorder="1"/>
    <xf numFmtId="0" fontId="44" fillId="0" borderId="1" xfId="1" applyFont="1" applyBorder="1"/>
    <xf numFmtId="0" fontId="44" fillId="0" borderId="13" xfId="1" applyFont="1" applyBorder="1"/>
    <xf numFmtId="0" fontId="44" fillId="4" borderId="10" xfId="1" applyFont="1" applyFill="1" applyBorder="1" applyAlignment="1">
      <alignment horizontal="center" vertical="top"/>
    </xf>
    <xf numFmtId="0" fontId="44" fillId="4" borderId="0" xfId="1" applyFont="1" applyFill="1" applyBorder="1" applyAlignment="1">
      <alignment horizontal="center" vertical="top"/>
    </xf>
    <xf numFmtId="0" fontId="44" fillId="4" borderId="15" xfId="1" applyFont="1" applyFill="1" applyBorder="1" applyAlignment="1">
      <alignment horizontal="center" vertical="top"/>
    </xf>
    <xf numFmtId="0" fontId="44" fillId="4" borderId="6" xfId="1" applyFont="1" applyFill="1" applyBorder="1" applyAlignment="1">
      <alignment horizontal="center"/>
    </xf>
    <xf numFmtId="0" fontId="44" fillId="4" borderId="7" xfId="1" applyFont="1" applyFill="1" applyBorder="1" applyAlignment="1">
      <alignment horizontal="center"/>
    </xf>
    <xf numFmtId="0" fontId="44" fillId="4" borderId="9" xfId="1" applyFont="1" applyFill="1" applyBorder="1" applyAlignment="1">
      <alignment horizontal="center"/>
    </xf>
    <xf numFmtId="0" fontId="1" fillId="0" borderId="6" xfId="1" applyBorder="1"/>
    <xf numFmtId="0" fontId="1" fillId="0" borderId="7" xfId="1" applyBorder="1"/>
    <xf numFmtId="0" fontId="1" fillId="0" borderId="9" xfId="1" applyBorder="1"/>
    <xf numFmtId="0" fontId="46" fillId="0" borderId="1" xfId="1" applyFont="1" applyBorder="1" applyAlignment="1" applyProtection="1">
      <alignment horizontal="center" vertical="center" wrapText="1"/>
      <protection locked="0"/>
    </xf>
    <xf numFmtId="0" fontId="46" fillId="0" borderId="13" xfId="1" applyFont="1" applyBorder="1" applyAlignment="1" applyProtection="1">
      <alignment horizontal="center" vertical="center" wrapText="1"/>
      <protection locked="0"/>
    </xf>
    <xf numFmtId="0" fontId="46" fillId="0" borderId="7" xfId="1" applyFont="1" applyBorder="1" applyAlignment="1" applyProtection="1">
      <alignment horizontal="center" vertical="center" wrapText="1"/>
      <protection locked="0"/>
    </xf>
    <xf numFmtId="0" fontId="46" fillId="0" borderId="9" xfId="1" applyFont="1" applyBorder="1" applyAlignment="1" applyProtection="1">
      <alignment horizontal="center" vertical="center" wrapText="1"/>
      <protection locked="0"/>
    </xf>
    <xf numFmtId="14" fontId="47" fillId="0" borderId="1" xfId="1" applyNumberFormat="1" applyFont="1" applyBorder="1" applyAlignment="1" applyProtection="1">
      <alignment horizontal="center" vertical="center"/>
      <protection locked="0"/>
    </xf>
    <xf numFmtId="14" fontId="47" fillId="0" borderId="13" xfId="1" applyNumberFormat="1" applyFont="1" applyBorder="1" applyAlignment="1" applyProtection="1">
      <alignment horizontal="center" vertical="center"/>
      <protection locked="0"/>
    </xf>
    <xf numFmtId="14" fontId="47" fillId="0" borderId="0" xfId="1" applyNumberFormat="1" applyFont="1" applyBorder="1" applyAlignment="1" applyProtection="1">
      <alignment horizontal="center" vertical="center"/>
      <protection locked="0"/>
    </xf>
    <xf numFmtId="14" fontId="47" fillId="0" borderId="15" xfId="1" applyNumberFormat="1" applyFont="1" applyBorder="1" applyAlignment="1" applyProtection="1">
      <alignment horizontal="center" vertical="center"/>
      <protection locked="0"/>
    </xf>
    <xf numFmtId="0" fontId="42" fillId="0" borderId="1" xfId="1" applyNumberFormat="1" applyFont="1" applyBorder="1" applyAlignment="1" applyProtection="1">
      <alignment horizontal="center" vertical="center"/>
      <protection locked="0"/>
    </xf>
    <xf numFmtId="0" fontId="42" fillId="0" borderId="13" xfId="1" applyNumberFormat="1" applyFont="1" applyBorder="1" applyAlignment="1" applyProtection="1">
      <alignment horizontal="center" vertical="center"/>
      <protection locked="0"/>
    </xf>
    <xf numFmtId="0" fontId="42" fillId="0" borderId="7" xfId="1" applyNumberFormat="1" applyFont="1" applyBorder="1" applyAlignment="1" applyProtection="1">
      <alignment horizontal="center" vertical="center"/>
      <protection locked="0"/>
    </xf>
    <xf numFmtId="0" fontId="42" fillId="0" borderId="9" xfId="1" applyNumberFormat="1" applyFont="1" applyBorder="1" applyAlignment="1" applyProtection="1">
      <alignment horizontal="center" vertical="center"/>
      <protection locked="0"/>
    </xf>
    <xf numFmtId="0" fontId="48" fillId="0" borderId="10" xfId="1" applyFont="1" applyBorder="1" applyAlignment="1" applyProtection="1">
      <alignment horizontal="center" vertical="center"/>
      <protection locked="0"/>
    </xf>
    <xf numFmtId="0" fontId="48" fillId="0" borderId="0" xfId="1" applyFont="1" applyBorder="1" applyAlignment="1" applyProtection="1">
      <alignment horizontal="center" vertical="center"/>
      <protection locked="0"/>
    </xf>
    <xf numFmtId="0" fontId="48" fillId="0" borderId="15" xfId="1" applyFont="1" applyBorder="1" applyAlignment="1" applyProtection="1">
      <alignment horizontal="center" vertical="center"/>
      <protection locked="0"/>
    </xf>
    <xf numFmtId="0" fontId="48" fillId="0" borderId="6" xfId="1" applyFont="1" applyBorder="1" applyAlignment="1" applyProtection="1">
      <alignment horizontal="center" vertical="center"/>
      <protection locked="0"/>
    </xf>
    <xf numFmtId="0" fontId="48" fillId="0" borderId="7" xfId="1" applyFont="1" applyBorder="1" applyAlignment="1" applyProtection="1">
      <alignment horizontal="center" vertical="center"/>
      <protection locked="0"/>
    </xf>
    <xf numFmtId="0" fontId="48" fillId="0" borderId="9" xfId="1" applyFont="1" applyBorder="1" applyAlignment="1" applyProtection="1">
      <alignment horizontal="center" vertical="center"/>
      <protection locked="0"/>
    </xf>
    <xf numFmtId="0" fontId="45" fillId="0" borderId="1" xfId="1" applyFont="1" applyBorder="1" applyAlignment="1" applyProtection="1">
      <alignment horizontal="left" vertical="top" wrapText="1"/>
      <protection locked="0"/>
    </xf>
    <xf numFmtId="0" fontId="45" fillId="0" borderId="13" xfId="1" applyFont="1" applyBorder="1" applyAlignment="1" applyProtection="1">
      <alignment horizontal="left" vertical="top" wrapText="1"/>
      <protection locked="0"/>
    </xf>
    <xf numFmtId="0" fontId="45" fillId="0" borderId="0" xfId="1" applyFont="1" applyBorder="1" applyAlignment="1" applyProtection="1">
      <alignment horizontal="left" vertical="top" wrapText="1"/>
      <protection locked="0"/>
    </xf>
    <xf numFmtId="0" fontId="45" fillId="0" borderId="15" xfId="1" applyFont="1" applyBorder="1" applyAlignment="1" applyProtection="1">
      <alignment horizontal="left" vertical="top" wrapText="1"/>
      <protection locked="0"/>
    </xf>
    <xf numFmtId="0" fontId="45" fillId="0" borderId="10" xfId="1" applyFont="1" applyBorder="1"/>
    <xf numFmtId="0" fontId="45" fillId="0" borderId="0" xfId="1" applyFont="1" applyBorder="1"/>
    <xf numFmtId="0" fontId="44" fillId="0" borderId="24" xfId="1" applyFont="1" applyBorder="1" applyAlignment="1">
      <alignment wrapText="1"/>
    </xf>
    <xf numFmtId="0" fontId="44" fillId="0" borderId="17" xfId="1" applyFont="1" applyBorder="1" applyAlignment="1">
      <alignment wrapText="1"/>
    </xf>
    <xf numFmtId="0" fontId="48" fillId="0" borderId="17" xfId="1" applyFont="1" applyBorder="1" applyAlignment="1" applyProtection="1">
      <alignment horizontal="center" vertical="center"/>
      <protection locked="0"/>
    </xf>
    <xf numFmtId="0" fontId="48" fillId="0" borderId="25" xfId="1" applyFont="1" applyBorder="1" applyAlignment="1" applyProtection="1">
      <alignment horizontal="center" vertical="center"/>
      <protection locked="0"/>
    </xf>
    <xf numFmtId="0" fontId="45" fillId="0" borderId="10" xfId="1" applyFont="1" applyBorder="1" applyAlignment="1" applyProtection="1">
      <alignment horizontal="left" vertical="top" wrapText="1"/>
      <protection locked="0"/>
    </xf>
    <xf numFmtId="0" fontId="1" fillId="0" borderId="0" xfId="1"/>
    <xf numFmtId="0" fontId="1" fillId="0" borderId="15" xfId="1" applyBorder="1"/>
    <xf numFmtId="0" fontId="1" fillId="0" borderId="10" xfId="1" applyBorder="1"/>
    <xf numFmtId="0" fontId="1" fillId="0" borderId="5" xfId="1" applyBorder="1"/>
    <xf numFmtId="0" fontId="1" fillId="0" borderId="1" xfId="1" applyBorder="1"/>
    <xf numFmtId="0" fontId="1" fillId="0" borderId="13" xfId="1" applyBorder="1"/>
    <xf numFmtId="0" fontId="0" fillId="0" borderId="16" xfId="0" applyBorder="1" applyAlignment="1">
      <alignment horizontal="center" vertical="center"/>
    </xf>
    <xf numFmtId="0" fontId="0" fillId="0" borderId="4" xfId="0" applyBorder="1" applyAlignment="1">
      <alignment horizontal="center" vertical="center"/>
    </xf>
  </cellXfs>
  <cellStyles count="3">
    <cellStyle name="Normal" xfId="0" builtinId="0"/>
    <cellStyle name="Normal 2" xfId="2"/>
    <cellStyle name="Normal 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5</xdr:col>
      <xdr:colOff>76199</xdr:colOff>
      <xdr:row>2</xdr:row>
      <xdr:rowOff>104776</xdr:rowOff>
    </xdr:from>
    <xdr:to>
      <xdr:col>11</xdr:col>
      <xdr:colOff>85724</xdr:colOff>
      <xdr:row>11</xdr:row>
      <xdr:rowOff>73042</xdr:rowOff>
    </xdr:to>
    <xdr:pic>
      <xdr:nvPicPr>
        <xdr:cNvPr id="6" name="Picture 5" descr="USDA LOGO.jpg"/>
        <xdr:cNvPicPr>
          <a:picLocks noChangeAspect="1"/>
        </xdr:cNvPicPr>
      </xdr:nvPicPr>
      <xdr:blipFill>
        <a:blip xmlns:r="http://schemas.openxmlformats.org/officeDocument/2006/relationships" r:embed="rId1" cstate="print"/>
        <a:stretch>
          <a:fillRect/>
        </a:stretch>
      </xdr:blipFill>
      <xdr:spPr>
        <a:xfrm>
          <a:off x="1876424" y="466726"/>
          <a:ext cx="2162175" cy="15113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200025</xdr:colOff>
      <xdr:row>136</xdr:row>
      <xdr:rowOff>257175</xdr:rowOff>
    </xdr:from>
    <xdr:to>
      <xdr:col>10</xdr:col>
      <xdr:colOff>285750</xdr:colOff>
      <xdr:row>142</xdr:row>
      <xdr:rowOff>120666</xdr:rowOff>
    </xdr:to>
    <xdr:pic>
      <xdr:nvPicPr>
        <xdr:cNvPr id="3" name="Picture 2" descr="USDA LOGO.jpg"/>
        <xdr:cNvPicPr>
          <a:picLocks noChangeAspect="1"/>
        </xdr:cNvPicPr>
      </xdr:nvPicPr>
      <xdr:blipFill>
        <a:blip xmlns:r="http://schemas.openxmlformats.org/officeDocument/2006/relationships" r:embed="rId1" cstate="print"/>
        <a:stretch>
          <a:fillRect/>
        </a:stretch>
      </xdr:blipFill>
      <xdr:spPr>
        <a:xfrm>
          <a:off x="1809750" y="31442025"/>
          <a:ext cx="2162175" cy="15113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22</xdr:col>
      <xdr:colOff>685800</xdr:colOff>
      <xdr:row>4</xdr:row>
      <xdr:rowOff>123825</xdr:rowOff>
    </xdr:to>
    <xdr:pic>
      <xdr:nvPicPr>
        <xdr:cNvPr id="3111" name="Picture 17" descr="USDA stamp"/>
        <xdr:cNvPicPr>
          <a:picLocks noChangeAspect="1" noChangeArrowheads="1"/>
        </xdr:cNvPicPr>
      </xdr:nvPicPr>
      <xdr:blipFill>
        <a:blip xmlns:r="http://schemas.openxmlformats.org/officeDocument/2006/relationships" r:embed="rId1" cstate="print"/>
        <a:srcRect/>
        <a:stretch>
          <a:fillRect/>
        </a:stretch>
      </xdr:blipFill>
      <xdr:spPr bwMode="auto">
        <a:xfrm>
          <a:off x="7762875" y="0"/>
          <a:ext cx="933450" cy="762000"/>
        </a:xfrm>
        <a:prstGeom prst="rect">
          <a:avLst/>
        </a:prstGeom>
        <a:noFill/>
        <a:ln w="9525">
          <a:noFill/>
          <a:miter lim="800000"/>
          <a:headEnd/>
          <a:tailEnd/>
        </a:ln>
      </xdr:spPr>
    </xdr:pic>
    <xdr:clientData/>
  </xdr:twoCellAnchor>
  <xdr:twoCellAnchor>
    <xdr:from>
      <xdr:col>22</xdr:col>
      <xdr:colOff>400050</xdr:colOff>
      <xdr:row>15</xdr:row>
      <xdr:rowOff>3</xdr:rowOff>
    </xdr:from>
    <xdr:to>
      <xdr:col>22</xdr:col>
      <xdr:colOff>400051</xdr:colOff>
      <xdr:row>23</xdr:row>
      <xdr:rowOff>142879</xdr:rowOff>
    </xdr:to>
    <xdr:cxnSp macro="">
      <xdr:nvCxnSpPr>
        <xdr:cNvPr id="6" name="Straight Connector 5"/>
        <xdr:cNvCxnSpPr/>
      </xdr:nvCxnSpPr>
      <xdr:spPr>
        <a:xfrm rot="5400000">
          <a:off x="7624763" y="3214690"/>
          <a:ext cx="1571626" cy="1"/>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9.bin"/><Relationship Id="rId1" Type="http://schemas.openxmlformats.org/officeDocument/2006/relationships/externalLinkPath" Target="/jdougher/Local%20Settings/Temporary%20Internet%20Files/Content.IE5/ANLME56B/USDAGAPGHPChecklist11-23-11%5b1%5d.xls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enableFormatConditionsCalculation="0">
    <tabColor indexed="13"/>
  </sheetPr>
  <dimension ref="A1:AF128"/>
  <sheetViews>
    <sheetView view="pageLayout" topLeftCell="A155" zoomScale="150" zoomScaleNormal="100" zoomScalePageLayoutView="150" workbookViewId="0">
      <selection activeCell="A37" sqref="A37:Q37"/>
    </sheetView>
  </sheetViews>
  <sheetFormatPr defaultRowHeight="12.75"/>
  <cols>
    <col min="1" max="1" width="5.42578125" style="53" customWidth="1"/>
    <col min="2" max="2" width="6.85546875" style="53" customWidth="1"/>
    <col min="3" max="3" width="3.7109375" style="53" customWidth="1"/>
    <col min="4" max="4" width="4.28515625" style="53" customWidth="1"/>
    <col min="5" max="6" width="5.42578125" style="53" customWidth="1"/>
    <col min="7" max="7" width="6.85546875" style="53" customWidth="1"/>
    <col min="8" max="8" width="3.28515625" style="53" customWidth="1"/>
    <col min="9" max="9" width="5.140625" style="53" customWidth="1"/>
    <col min="10" max="10" width="6.85546875" style="53" customWidth="1"/>
    <col min="11" max="11" width="3.28515625" style="53" customWidth="1"/>
    <col min="12" max="13" width="6.85546875" style="53" customWidth="1"/>
    <col min="14" max="14" width="3.5703125" style="53" customWidth="1"/>
    <col min="15" max="16" width="3.28515625" style="53" customWidth="1"/>
    <col min="17" max="17" width="4" style="53" customWidth="1"/>
  </cols>
  <sheetData>
    <row r="1" spans="1:23" ht="16.5" customHeight="1">
      <c r="A1" s="190" t="s">
        <v>40</v>
      </c>
      <c r="B1" s="190"/>
      <c r="C1" s="190"/>
      <c r="D1" s="190"/>
      <c r="E1" s="190"/>
      <c r="F1" s="190"/>
      <c r="G1" s="190"/>
      <c r="H1" s="190"/>
      <c r="I1" s="190"/>
      <c r="J1" s="190"/>
      <c r="K1" s="190"/>
      <c r="L1" s="190"/>
      <c r="M1" s="190"/>
      <c r="N1" s="190"/>
      <c r="O1" s="190"/>
      <c r="P1" s="190"/>
      <c r="Q1" s="190"/>
      <c r="R1" s="9"/>
      <c r="S1" s="9"/>
      <c r="T1" s="9"/>
      <c r="U1" s="9"/>
      <c r="V1" s="9"/>
      <c r="W1" s="9"/>
    </row>
    <row r="2" spans="1:23" ht="16.5" customHeight="1">
      <c r="A2" s="190" t="s">
        <v>41</v>
      </c>
      <c r="B2" s="190"/>
      <c r="C2" s="190"/>
      <c r="D2" s="190"/>
      <c r="E2" s="190"/>
      <c r="F2" s="190"/>
      <c r="G2" s="190"/>
      <c r="H2" s="190"/>
      <c r="I2" s="190"/>
      <c r="J2" s="190"/>
      <c r="K2" s="190"/>
      <c r="L2" s="190"/>
      <c r="M2" s="190"/>
      <c r="N2" s="190"/>
      <c r="O2" s="190"/>
      <c r="P2" s="190"/>
      <c r="Q2" s="190"/>
      <c r="R2" s="9"/>
      <c r="S2" s="9"/>
      <c r="T2" s="9"/>
      <c r="U2" s="9"/>
      <c r="V2" s="9"/>
      <c r="W2" s="9"/>
    </row>
    <row r="3" spans="1:23">
      <c r="A3" s="191"/>
      <c r="B3" s="151"/>
      <c r="C3" s="151"/>
      <c r="D3" s="151"/>
      <c r="E3" s="151"/>
      <c r="F3" s="151"/>
      <c r="G3" s="151"/>
      <c r="H3" s="151"/>
      <c r="I3" s="151"/>
      <c r="J3" s="151"/>
      <c r="K3" s="151"/>
      <c r="L3" s="151"/>
      <c r="M3" s="151"/>
      <c r="N3" s="151"/>
      <c r="O3" s="151"/>
      <c r="P3" s="151"/>
      <c r="Q3" s="151"/>
      <c r="R3" s="9"/>
      <c r="S3" s="9"/>
      <c r="T3" s="9"/>
      <c r="U3" s="9"/>
      <c r="V3" s="9"/>
      <c r="W3" s="9"/>
    </row>
    <row r="4" spans="1:23">
      <c r="A4" s="151"/>
      <c r="B4" s="151"/>
      <c r="C4" s="151"/>
      <c r="D4" s="151"/>
      <c r="E4" s="151"/>
      <c r="F4" s="151"/>
      <c r="G4" s="151"/>
      <c r="H4" s="151"/>
      <c r="I4" s="151"/>
      <c r="J4" s="151"/>
      <c r="K4" s="151"/>
      <c r="L4" s="151"/>
      <c r="M4" s="151"/>
      <c r="N4" s="151"/>
      <c r="O4" s="151"/>
      <c r="P4" s="151"/>
      <c r="Q4" s="151"/>
      <c r="R4" s="9"/>
      <c r="S4" s="9"/>
      <c r="T4" s="9"/>
      <c r="U4" s="9"/>
      <c r="V4" s="9"/>
      <c r="W4" s="9"/>
    </row>
    <row r="5" spans="1:23">
      <c r="A5" s="151"/>
      <c r="B5" s="151"/>
      <c r="C5" s="151"/>
      <c r="D5" s="151"/>
      <c r="E5" s="151"/>
      <c r="F5" s="151"/>
      <c r="G5" s="151"/>
      <c r="H5" s="151"/>
      <c r="I5" s="151"/>
      <c r="J5" s="151"/>
      <c r="K5" s="151"/>
      <c r="L5" s="151"/>
      <c r="M5" s="151"/>
      <c r="N5" s="151"/>
      <c r="O5" s="151"/>
      <c r="P5" s="151"/>
      <c r="Q5" s="151"/>
      <c r="R5" s="9"/>
      <c r="S5" s="9"/>
      <c r="T5" s="9"/>
      <c r="U5" s="9"/>
      <c r="V5" s="9"/>
      <c r="W5" s="9"/>
    </row>
    <row r="6" spans="1:23">
      <c r="A6" s="151"/>
      <c r="B6" s="151"/>
      <c r="C6" s="151"/>
      <c r="D6" s="151"/>
      <c r="E6" s="151"/>
      <c r="F6" s="151"/>
      <c r="G6" s="151"/>
      <c r="H6" s="151"/>
      <c r="I6" s="151"/>
      <c r="J6" s="151"/>
      <c r="K6" s="151"/>
      <c r="L6" s="151"/>
      <c r="M6" s="151"/>
      <c r="N6" s="151"/>
      <c r="O6" s="151"/>
      <c r="P6" s="151"/>
      <c r="Q6" s="151"/>
      <c r="R6" s="9"/>
      <c r="S6" s="9"/>
      <c r="T6" s="9"/>
      <c r="U6" s="9"/>
      <c r="V6" s="9"/>
      <c r="W6" s="9"/>
    </row>
    <row r="7" spans="1:23">
      <c r="A7" s="151"/>
      <c r="B7" s="151"/>
      <c r="C7" s="151"/>
      <c r="D7" s="151"/>
      <c r="E7" s="151"/>
      <c r="F7" s="151"/>
      <c r="G7" s="151"/>
      <c r="H7" s="151"/>
      <c r="I7" s="151"/>
      <c r="J7" s="151"/>
      <c r="K7" s="151"/>
      <c r="L7" s="151"/>
      <c r="M7" s="151"/>
      <c r="N7" s="151"/>
      <c r="O7" s="151"/>
      <c r="P7" s="151"/>
      <c r="Q7" s="151"/>
      <c r="R7" s="9"/>
      <c r="S7" s="9"/>
      <c r="T7" s="9"/>
      <c r="U7" s="9"/>
      <c r="V7" s="9"/>
      <c r="W7" s="9"/>
    </row>
    <row r="8" spans="1:23">
      <c r="A8" s="151"/>
      <c r="B8" s="151"/>
      <c r="C8" s="151"/>
      <c r="D8" s="151"/>
      <c r="E8" s="151"/>
      <c r="F8" s="151"/>
      <c r="G8" s="151"/>
      <c r="H8" s="151"/>
      <c r="I8" s="151"/>
      <c r="J8" s="151"/>
      <c r="K8" s="151"/>
      <c r="L8" s="151"/>
      <c r="M8" s="151"/>
      <c r="N8" s="151"/>
      <c r="O8" s="151"/>
      <c r="P8" s="151"/>
      <c r="Q8" s="151"/>
      <c r="R8" s="9"/>
      <c r="S8" s="9"/>
      <c r="T8" s="9"/>
      <c r="U8" s="9"/>
      <c r="V8" s="9"/>
      <c r="W8" s="9"/>
    </row>
    <row r="9" spans="1:23">
      <c r="A9" s="151"/>
      <c r="B9" s="151"/>
      <c r="C9" s="151"/>
      <c r="D9" s="151"/>
      <c r="E9" s="151"/>
      <c r="F9" s="151"/>
      <c r="G9" s="151"/>
      <c r="H9" s="151"/>
      <c r="I9" s="151"/>
      <c r="J9" s="151"/>
      <c r="K9" s="151"/>
      <c r="L9" s="151"/>
      <c r="M9" s="151"/>
      <c r="N9" s="151"/>
      <c r="O9" s="151"/>
      <c r="P9" s="151"/>
      <c r="Q9" s="151"/>
      <c r="R9" s="9"/>
      <c r="S9" s="9"/>
      <c r="T9" s="9"/>
      <c r="U9" s="9"/>
      <c r="V9" s="9"/>
      <c r="W9" s="9"/>
    </row>
    <row r="10" spans="1:23">
      <c r="A10" s="151"/>
      <c r="B10" s="151"/>
      <c r="C10" s="151"/>
      <c r="D10" s="151"/>
      <c r="E10" s="151"/>
      <c r="F10" s="151"/>
      <c r="G10" s="151"/>
      <c r="H10" s="151"/>
      <c r="I10" s="151"/>
      <c r="J10" s="151"/>
      <c r="K10" s="151"/>
      <c r="L10" s="151"/>
      <c r="M10" s="151"/>
      <c r="N10" s="151"/>
      <c r="O10" s="151"/>
      <c r="P10" s="151"/>
      <c r="Q10" s="151"/>
      <c r="R10" s="9"/>
      <c r="S10" s="9"/>
      <c r="T10" s="9"/>
      <c r="U10" s="9"/>
      <c r="V10" s="9"/>
      <c r="W10" s="9"/>
    </row>
    <row r="11" spans="1:23" ht="19.5" customHeight="1">
      <c r="A11" s="151"/>
      <c r="B11" s="151"/>
      <c r="C11" s="151"/>
      <c r="D11" s="151"/>
      <c r="E11" s="151"/>
      <c r="F11" s="151"/>
      <c r="G11" s="151"/>
      <c r="H11" s="151"/>
      <c r="I11" s="151"/>
      <c r="J11" s="151"/>
      <c r="K11" s="151"/>
      <c r="L11" s="151"/>
      <c r="M11" s="151"/>
      <c r="N11" s="151"/>
      <c r="O11" s="151"/>
      <c r="P11" s="151"/>
      <c r="Q11" s="151"/>
      <c r="R11" s="9"/>
      <c r="S11" s="9"/>
      <c r="T11" s="9"/>
      <c r="U11" s="9"/>
      <c r="V11" s="9"/>
      <c r="W11" s="9"/>
    </row>
    <row r="12" spans="1:23" ht="7.5" customHeight="1">
      <c r="A12" s="192"/>
      <c r="B12" s="192"/>
      <c r="C12" s="192"/>
      <c r="D12" s="192"/>
      <c r="E12" s="192"/>
      <c r="F12" s="192"/>
      <c r="G12" s="192"/>
      <c r="H12" s="192"/>
      <c r="I12" s="192"/>
      <c r="J12" s="192"/>
      <c r="K12" s="192"/>
      <c r="L12" s="192"/>
      <c r="M12" s="192"/>
      <c r="N12" s="192"/>
      <c r="O12" s="192"/>
      <c r="P12" s="192"/>
      <c r="Q12" s="192"/>
      <c r="R12" s="9"/>
      <c r="S12" s="9"/>
      <c r="T12" s="9"/>
      <c r="U12" s="9"/>
      <c r="V12" s="9"/>
      <c r="W12" s="9"/>
    </row>
    <row r="13" spans="1:23" ht="15" customHeight="1">
      <c r="A13" s="194" t="s">
        <v>915</v>
      </c>
      <c r="B13" s="195"/>
      <c r="C13" s="195"/>
      <c r="D13" s="195"/>
      <c r="E13" s="195"/>
      <c r="F13" s="195"/>
      <c r="G13" s="195"/>
      <c r="H13" s="195"/>
      <c r="I13" s="195"/>
      <c r="J13" s="195"/>
      <c r="K13" s="195"/>
      <c r="L13" s="195"/>
      <c r="M13" s="195"/>
      <c r="N13" s="195"/>
      <c r="O13" s="195"/>
      <c r="P13" s="195"/>
      <c r="Q13" s="196"/>
      <c r="R13" s="9"/>
      <c r="S13" s="9"/>
      <c r="T13" s="26"/>
      <c r="U13" s="9"/>
      <c r="V13" s="9"/>
      <c r="W13" s="9"/>
    </row>
    <row r="14" spans="1:23" ht="13.5" customHeight="1">
      <c r="A14" s="197"/>
      <c r="B14" s="198"/>
      <c r="C14" s="198"/>
      <c r="D14" s="198"/>
      <c r="E14" s="198"/>
      <c r="F14" s="198"/>
      <c r="G14" s="198"/>
      <c r="H14" s="198"/>
      <c r="I14" s="198"/>
      <c r="J14" s="198"/>
      <c r="K14" s="198"/>
      <c r="L14" s="198"/>
      <c r="M14" s="198"/>
      <c r="N14" s="198"/>
      <c r="O14" s="198"/>
      <c r="P14" s="198"/>
      <c r="Q14" s="199"/>
      <c r="R14" s="9"/>
      <c r="S14" s="9"/>
      <c r="T14" s="9"/>
      <c r="U14" s="9"/>
      <c r="V14" s="9"/>
      <c r="W14" s="9"/>
    </row>
    <row r="15" spans="1:23" ht="14.25" customHeight="1">
      <c r="A15" s="197"/>
      <c r="B15" s="198"/>
      <c r="C15" s="198"/>
      <c r="D15" s="198"/>
      <c r="E15" s="198"/>
      <c r="F15" s="198"/>
      <c r="G15" s="198"/>
      <c r="H15" s="198"/>
      <c r="I15" s="198"/>
      <c r="J15" s="198"/>
      <c r="K15" s="198"/>
      <c r="L15" s="198"/>
      <c r="M15" s="198"/>
      <c r="N15" s="198"/>
      <c r="O15" s="198"/>
      <c r="P15" s="198"/>
      <c r="Q15" s="199"/>
      <c r="R15" s="9"/>
      <c r="S15" s="9"/>
      <c r="T15" s="9"/>
      <c r="U15" s="9"/>
      <c r="V15" s="9"/>
      <c r="W15" s="9"/>
    </row>
    <row r="16" spans="1:23" ht="35.25" customHeight="1">
      <c r="A16" s="200"/>
      <c r="B16" s="201"/>
      <c r="C16" s="201"/>
      <c r="D16" s="201"/>
      <c r="E16" s="201"/>
      <c r="F16" s="201"/>
      <c r="G16" s="201"/>
      <c r="H16" s="201"/>
      <c r="I16" s="201"/>
      <c r="J16" s="201"/>
      <c r="K16" s="201"/>
      <c r="L16" s="201"/>
      <c r="M16" s="201"/>
      <c r="N16" s="201"/>
      <c r="O16" s="201"/>
      <c r="P16" s="201"/>
      <c r="Q16" s="202"/>
      <c r="R16" s="9"/>
      <c r="S16" s="9"/>
      <c r="T16" s="9"/>
      <c r="U16" s="9"/>
      <c r="V16" s="9"/>
      <c r="W16" s="9"/>
    </row>
    <row r="17" spans="1:32" ht="25.5" customHeight="1">
      <c r="A17" s="187" t="s">
        <v>16</v>
      </c>
      <c r="B17" s="205"/>
      <c r="C17" s="205"/>
      <c r="D17" s="203"/>
      <c r="E17" s="204"/>
      <c r="F17" s="204"/>
      <c r="G17" s="204"/>
      <c r="H17" s="204"/>
      <c r="I17" s="204"/>
      <c r="J17" s="204"/>
      <c r="K17" s="204"/>
      <c r="L17" s="204"/>
      <c r="M17" s="204"/>
      <c r="N17" s="204"/>
      <c r="O17" s="204"/>
      <c r="P17" s="204"/>
      <c r="Q17" s="204"/>
      <c r="R17" s="9"/>
      <c r="S17" s="9"/>
      <c r="T17" s="9"/>
      <c r="U17" s="9"/>
      <c r="V17" s="9"/>
      <c r="W17" s="9"/>
    </row>
    <row r="18" spans="1:32" ht="25.5" customHeight="1">
      <c r="A18" s="168" t="s">
        <v>17</v>
      </c>
      <c r="B18" s="167"/>
      <c r="C18" s="167"/>
      <c r="D18" s="167"/>
      <c r="E18" s="203"/>
      <c r="F18" s="204"/>
      <c r="G18" s="204"/>
      <c r="H18" s="204"/>
      <c r="I18" s="204"/>
      <c r="J18" s="204"/>
      <c r="K18" s="204"/>
      <c r="L18" s="204"/>
      <c r="M18" s="204"/>
      <c r="N18" s="204"/>
      <c r="O18" s="204"/>
      <c r="P18" s="204"/>
      <c r="Q18" s="204"/>
      <c r="R18" s="9"/>
      <c r="S18" s="9"/>
      <c r="T18" s="9"/>
      <c r="U18" s="9"/>
      <c r="V18" s="9"/>
      <c r="W18" s="9"/>
    </row>
    <row r="19" spans="1:32" ht="25.5" customHeight="1">
      <c r="A19" s="168" t="s">
        <v>18</v>
      </c>
      <c r="B19" s="168"/>
      <c r="C19" s="168"/>
      <c r="D19" s="203"/>
      <c r="E19" s="184"/>
      <c r="F19" s="184"/>
      <c r="G19" s="184"/>
      <c r="H19" s="184"/>
      <c r="I19" s="184"/>
      <c r="J19" s="184"/>
      <c r="K19" s="184"/>
      <c r="L19" s="184"/>
      <c r="M19" s="184"/>
      <c r="N19" s="184"/>
      <c r="O19" s="184"/>
      <c r="P19" s="184"/>
      <c r="Q19" s="184"/>
      <c r="R19" s="9"/>
      <c r="S19" s="9"/>
      <c r="T19" s="26"/>
      <c r="U19" s="9"/>
      <c r="V19" s="9"/>
      <c r="W19" s="9"/>
    </row>
    <row r="20" spans="1:32" ht="25.5" customHeight="1">
      <c r="A20" s="168" t="s">
        <v>19</v>
      </c>
      <c r="B20" s="168"/>
      <c r="C20" s="168"/>
      <c r="D20" s="203"/>
      <c r="E20" s="184"/>
      <c r="F20" s="184"/>
      <c r="G20" s="184"/>
      <c r="H20" s="184"/>
      <c r="I20" s="184"/>
      <c r="J20" s="184"/>
      <c r="K20" s="184"/>
      <c r="L20" s="184"/>
      <c r="M20" s="184"/>
      <c r="N20" s="184"/>
      <c r="O20" s="184"/>
      <c r="P20" s="184"/>
      <c r="Q20" s="184"/>
      <c r="R20" s="9"/>
      <c r="S20" s="9"/>
      <c r="T20" s="9"/>
      <c r="U20" s="9"/>
      <c r="V20" s="9"/>
      <c r="W20" s="9"/>
    </row>
    <row r="21" spans="1:32" ht="25.5" customHeight="1">
      <c r="A21" s="108" t="s">
        <v>570</v>
      </c>
      <c r="B21" s="185"/>
      <c r="C21" s="186"/>
      <c r="D21" s="186"/>
      <c r="E21" s="186"/>
      <c r="F21" s="186"/>
      <c r="G21" s="101" t="s">
        <v>20</v>
      </c>
      <c r="H21" s="183"/>
      <c r="I21" s="184"/>
      <c r="J21" s="184"/>
      <c r="K21" s="184"/>
      <c r="L21" s="101" t="s">
        <v>21</v>
      </c>
      <c r="M21" s="212"/>
      <c r="N21" s="213"/>
      <c r="O21" s="213"/>
      <c r="P21" s="213"/>
      <c r="Q21" s="213"/>
      <c r="R21" s="9"/>
      <c r="S21" s="9"/>
      <c r="T21" s="9"/>
      <c r="U21" s="9"/>
      <c r="V21" s="9"/>
      <c r="W21" s="9"/>
    </row>
    <row r="22" spans="1:32" ht="25.5" customHeight="1">
      <c r="A22" s="172" t="s">
        <v>22</v>
      </c>
      <c r="B22" s="172"/>
      <c r="C22" s="172"/>
      <c r="D22" s="207"/>
      <c r="E22" s="208"/>
      <c r="F22" s="208"/>
      <c r="G22" s="209"/>
      <c r="H22" s="209"/>
      <c r="I22" s="50" t="s">
        <v>23</v>
      </c>
      <c r="J22" s="207"/>
      <c r="K22" s="209"/>
      <c r="L22" s="209"/>
      <c r="M22" s="209"/>
      <c r="N22" s="209"/>
      <c r="O22" s="209"/>
      <c r="P22" s="209"/>
      <c r="Q22" s="209"/>
      <c r="R22" s="9"/>
      <c r="S22" s="9"/>
      <c r="T22" s="9"/>
      <c r="U22" s="9"/>
      <c r="V22" s="9"/>
      <c r="W22" s="9"/>
    </row>
    <row r="23" spans="1:32" s="53" customFormat="1" ht="25.5" customHeight="1">
      <c r="A23" s="160" t="s">
        <v>24</v>
      </c>
      <c r="B23" s="206"/>
      <c r="C23" s="210"/>
      <c r="D23" s="211"/>
      <c r="E23" s="211"/>
      <c r="F23" s="211"/>
      <c r="G23" s="211"/>
      <c r="H23" s="211"/>
      <c r="I23" s="211"/>
      <c r="J23" s="211"/>
      <c r="K23" s="211"/>
      <c r="L23" s="211"/>
      <c r="M23" s="211"/>
      <c r="N23" s="211"/>
      <c r="O23" s="211"/>
      <c r="P23" s="211"/>
      <c r="Q23" s="211"/>
      <c r="R23" s="52"/>
      <c r="S23" s="52"/>
      <c r="T23" s="52"/>
      <c r="U23" s="52"/>
      <c r="V23" s="52"/>
      <c r="W23" s="52"/>
    </row>
    <row r="24" spans="1:32" ht="25.5" customHeight="1">
      <c r="A24" s="172" t="s">
        <v>921</v>
      </c>
      <c r="B24" s="172"/>
      <c r="C24" s="172"/>
      <c r="D24" s="172"/>
      <c r="E24" s="172"/>
      <c r="F24" s="172"/>
      <c r="G24" s="172"/>
      <c r="H24" s="172"/>
      <c r="I24" s="172"/>
      <c r="J24" s="175"/>
      <c r="K24" s="193"/>
      <c r="L24" s="193"/>
      <c r="M24" s="193"/>
      <c r="N24" s="193"/>
      <c r="O24" s="193"/>
      <c r="P24" s="193"/>
      <c r="Q24" s="193"/>
      <c r="R24" s="9"/>
      <c r="S24" s="9"/>
      <c r="T24" s="9"/>
      <c r="U24" s="9"/>
      <c r="V24" s="9"/>
      <c r="W24" s="9"/>
      <c r="Z24" s="3"/>
    </row>
    <row r="25" spans="1:32" ht="25.5" customHeight="1">
      <c r="A25" s="175"/>
      <c r="B25" s="193"/>
      <c r="C25" s="193"/>
      <c r="D25" s="193"/>
      <c r="E25" s="193"/>
      <c r="F25" s="193"/>
      <c r="G25" s="193"/>
      <c r="H25" s="193"/>
      <c r="I25" s="193"/>
      <c r="J25" s="193"/>
      <c r="K25" s="193"/>
      <c r="L25" s="193"/>
      <c r="M25" s="193"/>
      <c r="N25" s="193"/>
      <c r="O25" s="193"/>
      <c r="P25" s="193"/>
      <c r="Q25" s="193"/>
      <c r="R25" s="9"/>
      <c r="S25" s="9"/>
      <c r="T25" s="9"/>
      <c r="U25" s="9"/>
      <c r="V25" s="9"/>
      <c r="W25" s="9"/>
    </row>
    <row r="26" spans="1:32" s="56" customFormat="1" ht="25.5" customHeight="1">
      <c r="A26" s="187" t="s">
        <v>25</v>
      </c>
      <c r="B26" s="188"/>
      <c r="C26" s="188"/>
      <c r="D26" s="188"/>
      <c r="E26" s="188"/>
      <c r="F26" s="188"/>
      <c r="G26" s="188"/>
      <c r="H26" s="188"/>
      <c r="I26" s="188"/>
      <c r="J26" s="189"/>
      <c r="K26" s="189"/>
      <c r="L26" s="189"/>
      <c r="M26" s="189"/>
      <c r="N26" s="189"/>
      <c r="O26" s="189"/>
      <c r="P26" s="189"/>
      <c r="Q26" s="189"/>
      <c r="R26" s="54"/>
      <c r="S26" s="54"/>
      <c r="T26" s="54"/>
      <c r="U26" s="54"/>
      <c r="V26" s="65"/>
      <c r="W26" s="65"/>
      <c r="X26" s="4"/>
    </row>
    <row r="27" spans="1:32" ht="25.5" customHeight="1">
      <c r="A27" s="160" t="s">
        <v>572</v>
      </c>
      <c r="B27" s="160"/>
      <c r="C27" s="160"/>
      <c r="D27" s="160"/>
      <c r="E27" s="156"/>
      <c r="F27" s="156"/>
      <c r="G27" s="156"/>
      <c r="H27" s="157" t="s">
        <v>571</v>
      </c>
      <c r="I27" s="157"/>
      <c r="J27" s="159"/>
      <c r="K27" s="159"/>
      <c r="L27" s="159"/>
      <c r="M27" s="158"/>
      <c r="N27" s="158"/>
      <c r="O27" s="158"/>
      <c r="P27" s="158"/>
      <c r="Q27" s="158"/>
      <c r="R27" s="9"/>
      <c r="S27" s="9"/>
      <c r="T27" s="9"/>
      <c r="U27" s="9"/>
      <c r="V27" s="9"/>
      <c r="W27" s="9"/>
      <c r="Y27" s="2"/>
      <c r="Z27" s="2"/>
      <c r="AA27" s="2"/>
      <c r="AB27" s="2"/>
      <c r="AC27" s="2"/>
      <c r="AD27" s="2"/>
    </row>
    <row r="28" spans="1:32" ht="25.5" customHeight="1">
      <c r="A28" s="102" t="s">
        <v>573</v>
      </c>
      <c r="B28" s="102"/>
      <c r="C28" s="102"/>
      <c r="D28" s="115"/>
      <c r="E28" s="147"/>
      <c r="F28" s="147"/>
      <c r="G28" s="147"/>
      <c r="H28" s="158" t="s">
        <v>571</v>
      </c>
      <c r="I28" s="158"/>
      <c r="J28" s="159"/>
      <c r="K28" s="159"/>
      <c r="L28" s="159"/>
      <c r="M28" s="158"/>
      <c r="N28" s="158"/>
      <c r="O28" s="158"/>
      <c r="P28" s="158"/>
      <c r="Q28" s="158"/>
      <c r="R28" s="9"/>
      <c r="S28" s="9"/>
      <c r="T28" s="181"/>
      <c r="U28" s="151"/>
      <c r="V28" s="151"/>
      <c r="W28" s="151"/>
      <c r="X28" s="182"/>
      <c r="Y28" s="167"/>
      <c r="Z28" s="167"/>
      <c r="AA28" s="167"/>
      <c r="AB28" s="167"/>
      <c r="AC28" s="167"/>
      <c r="AD28" s="167"/>
      <c r="AE28" s="167"/>
      <c r="AF28" s="167"/>
    </row>
    <row r="29" spans="1:32" s="93" customFormat="1" ht="25.5" customHeight="1">
      <c r="A29" s="160" t="s">
        <v>917</v>
      </c>
      <c r="B29" s="160"/>
      <c r="C29" s="160"/>
      <c r="D29" s="160"/>
      <c r="E29" s="147"/>
      <c r="F29" s="161"/>
      <c r="G29" s="161"/>
      <c r="H29" s="158" t="s">
        <v>918</v>
      </c>
      <c r="I29" s="158"/>
      <c r="J29" s="162"/>
      <c r="K29" s="162"/>
      <c r="L29" s="162"/>
      <c r="M29" s="162"/>
      <c r="N29" s="162"/>
      <c r="O29" s="162"/>
      <c r="P29" s="162"/>
      <c r="Q29" s="162"/>
      <c r="R29" s="95"/>
      <c r="S29" s="95"/>
      <c r="T29" s="94"/>
      <c r="U29" s="95"/>
      <c r="V29" s="95"/>
      <c r="W29" s="95"/>
      <c r="X29" s="96"/>
    </row>
    <row r="30" spans="1:32" ht="25.5" customHeight="1">
      <c r="A30" s="168" t="s">
        <v>923</v>
      </c>
      <c r="B30" s="167"/>
      <c r="C30" s="167"/>
      <c r="D30" s="167"/>
      <c r="E30" s="167"/>
      <c r="F30" s="167"/>
      <c r="G30" s="167"/>
      <c r="H30" s="167"/>
      <c r="I30" s="167"/>
      <c r="J30" s="167"/>
      <c r="K30" s="167"/>
      <c r="L30" s="167"/>
      <c r="M30" s="167"/>
      <c r="N30" s="167"/>
      <c r="O30" s="176"/>
      <c r="P30" s="176"/>
      <c r="Q30" s="176"/>
      <c r="R30" s="9"/>
      <c r="S30" s="9"/>
      <c r="T30" s="9"/>
      <c r="U30" s="9"/>
      <c r="V30" s="9"/>
      <c r="W30" s="9"/>
    </row>
    <row r="31" spans="1:32" ht="25.5" customHeight="1">
      <c r="A31" s="163"/>
      <c r="B31" s="163"/>
      <c r="C31" s="163"/>
      <c r="D31" s="163"/>
      <c r="E31" s="163"/>
      <c r="F31" s="163"/>
      <c r="G31" s="163"/>
      <c r="H31" s="163"/>
      <c r="I31" s="163"/>
      <c r="J31" s="163"/>
      <c r="K31" s="163"/>
      <c r="L31" s="163"/>
      <c r="M31" s="163"/>
      <c r="N31" s="163"/>
      <c r="O31" s="163"/>
      <c r="P31" s="163"/>
      <c r="Q31" s="163"/>
      <c r="R31" s="9"/>
      <c r="S31" s="9"/>
      <c r="T31" s="9"/>
      <c r="U31" s="9"/>
      <c r="V31" s="9"/>
      <c r="W31" s="9"/>
    </row>
    <row r="32" spans="1:32" ht="25.5" customHeight="1">
      <c r="A32" s="164"/>
      <c r="B32" s="164"/>
      <c r="C32" s="164"/>
      <c r="D32" s="164"/>
      <c r="E32" s="164"/>
      <c r="F32" s="164"/>
      <c r="G32" s="164"/>
      <c r="H32" s="164"/>
      <c r="I32" s="164"/>
      <c r="J32" s="164"/>
      <c r="K32" s="164"/>
      <c r="L32" s="164"/>
      <c r="M32" s="164"/>
      <c r="N32" s="164"/>
      <c r="O32" s="164"/>
      <c r="P32" s="164"/>
      <c r="Q32" s="164"/>
      <c r="R32" s="9"/>
      <c r="S32" s="9"/>
      <c r="T32" s="9"/>
      <c r="U32" s="9"/>
      <c r="V32" s="9"/>
      <c r="W32" s="9"/>
    </row>
    <row r="33" spans="1:23" ht="20.25" customHeight="1">
      <c r="A33" s="172" t="s">
        <v>26</v>
      </c>
      <c r="B33" s="173"/>
      <c r="C33" s="173"/>
      <c r="D33" s="173"/>
      <c r="E33" s="173"/>
      <c r="F33" s="173"/>
      <c r="G33" s="173"/>
      <c r="H33" s="173"/>
      <c r="I33" s="173"/>
      <c r="J33" s="173"/>
      <c r="K33" s="173"/>
      <c r="L33" s="173"/>
      <c r="M33" s="173"/>
      <c r="N33" s="173"/>
      <c r="O33" s="173"/>
      <c r="P33" s="173"/>
      <c r="Q33" s="173"/>
      <c r="R33" s="9"/>
      <c r="S33" s="9"/>
      <c r="T33" s="9"/>
      <c r="U33" s="9"/>
      <c r="V33" s="9"/>
      <c r="W33" s="9"/>
    </row>
    <row r="34" spans="1:23" ht="5.25" customHeight="1">
      <c r="A34" s="174"/>
      <c r="B34" s="167"/>
      <c r="C34" s="167"/>
      <c r="D34" s="167"/>
      <c r="E34" s="167"/>
      <c r="F34" s="167"/>
      <c r="G34" s="167"/>
      <c r="H34" s="167"/>
      <c r="I34" s="167"/>
      <c r="J34" s="167"/>
      <c r="K34" s="167"/>
      <c r="L34" s="167"/>
      <c r="M34" s="167"/>
      <c r="N34" s="167"/>
      <c r="O34" s="167"/>
      <c r="P34" s="167"/>
      <c r="Q34" s="167"/>
      <c r="R34" s="9"/>
      <c r="S34" s="9"/>
      <c r="T34" s="9"/>
      <c r="U34" s="9"/>
      <c r="V34" s="9"/>
      <c r="W34" s="9"/>
    </row>
    <row r="35" spans="1:23" ht="15" customHeight="1">
      <c r="A35" s="150" t="s">
        <v>27</v>
      </c>
      <c r="B35" s="151"/>
      <c r="C35" s="151"/>
      <c r="D35" s="151"/>
      <c r="E35" s="151"/>
      <c r="F35" s="151"/>
      <c r="G35" s="152"/>
      <c r="H35" s="98"/>
      <c r="I35" s="153" t="s">
        <v>28</v>
      </c>
      <c r="J35" s="154"/>
      <c r="K35" s="27"/>
      <c r="L35" s="177"/>
      <c r="M35" s="166"/>
      <c r="N35" s="166"/>
      <c r="O35" s="166"/>
      <c r="P35" s="166"/>
      <c r="Q35" s="166"/>
      <c r="R35" s="9"/>
      <c r="S35" s="9"/>
      <c r="T35" s="9"/>
      <c r="U35" s="9"/>
      <c r="V35" s="9"/>
      <c r="W35" s="9"/>
    </row>
    <row r="36" spans="1:23" ht="6" customHeight="1">
      <c r="A36" s="155"/>
      <c r="B36" s="155"/>
      <c r="C36" s="155"/>
      <c r="D36" s="155"/>
      <c r="E36" s="155"/>
      <c r="F36" s="155"/>
      <c r="G36" s="155"/>
      <c r="H36" s="155"/>
      <c r="I36" s="155"/>
      <c r="J36" s="155"/>
      <c r="K36" s="155"/>
      <c r="L36" s="155"/>
      <c r="M36" s="155"/>
      <c r="N36" s="155"/>
      <c r="O36" s="155"/>
      <c r="P36" s="155"/>
      <c r="Q36" s="155"/>
      <c r="R36" s="9"/>
      <c r="S36" s="9"/>
      <c r="T36" s="9"/>
      <c r="U36" s="9"/>
      <c r="V36" s="9"/>
      <c r="W36" s="9"/>
    </row>
    <row r="37" spans="1:23" ht="15.75">
      <c r="A37" s="174" t="s">
        <v>29</v>
      </c>
      <c r="B37" s="167"/>
      <c r="C37" s="167"/>
      <c r="D37" s="167"/>
      <c r="E37" s="167"/>
      <c r="F37" s="167"/>
      <c r="G37" s="167"/>
      <c r="H37" s="167"/>
      <c r="I37" s="167"/>
      <c r="J37" s="167"/>
      <c r="K37" s="167"/>
      <c r="L37" s="167"/>
      <c r="M37" s="167"/>
      <c r="N37" s="167"/>
      <c r="O37" s="167"/>
      <c r="P37" s="167"/>
      <c r="Q37" s="167"/>
      <c r="R37" s="9"/>
      <c r="S37" s="9"/>
      <c r="T37" s="9"/>
      <c r="U37" s="9"/>
      <c r="V37" s="9"/>
      <c r="W37" s="9"/>
    </row>
    <row r="38" spans="1:23" ht="3.75" customHeight="1">
      <c r="A38" s="174"/>
      <c r="B38" s="167"/>
      <c r="C38" s="167"/>
      <c r="D38" s="167"/>
      <c r="E38" s="167"/>
      <c r="F38" s="167"/>
      <c r="G38" s="167"/>
      <c r="H38" s="167"/>
      <c r="I38" s="167"/>
      <c r="J38" s="167"/>
      <c r="K38" s="167"/>
      <c r="L38" s="167"/>
      <c r="M38" s="167"/>
      <c r="N38" s="167"/>
      <c r="O38" s="167"/>
      <c r="P38" s="167"/>
      <c r="Q38" s="167"/>
      <c r="R38" s="9"/>
      <c r="S38" s="9"/>
      <c r="T38" s="9"/>
      <c r="U38" s="9"/>
      <c r="V38" s="9"/>
      <c r="W38" s="9"/>
    </row>
    <row r="39" spans="1:23" ht="15.75">
      <c r="A39" s="150" t="s">
        <v>27</v>
      </c>
      <c r="B39" s="167"/>
      <c r="C39" s="167"/>
      <c r="D39" s="167"/>
      <c r="E39" s="167"/>
      <c r="F39" s="167"/>
      <c r="G39" s="154"/>
      <c r="H39" s="98"/>
      <c r="I39" s="153" t="s">
        <v>28</v>
      </c>
      <c r="J39" s="154"/>
      <c r="K39" s="27"/>
      <c r="L39" s="148" t="s">
        <v>63</v>
      </c>
      <c r="M39" s="149"/>
      <c r="N39" s="86"/>
      <c r="O39" s="165"/>
      <c r="P39" s="166"/>
      <c r="Q39" s="166"/>
      <c r="R39" s="9"/>
      <c r="S39" s="9"/>
      <c r="T39" s="9"/>
      <c r="U39" s="9"/>
      <c r="V39" s="9"/>
      <c r="W39" s="9"/>
    </row>
    <row r="40" spans="1:23" ht="25.5" customHeight="1">
      <c r="A40" s="168" t="s">
        <v>31</v>
      </c>
      <c r="B40" s="167"/>
      <c r="C40" s="167"/>
      <c r="D40" s="167"/>
      <c r="E40" s="167"/>
      <c r="F40" s="167"/>
      <c r="G40" s="167"/>
      <c r="H40" s="167"/>
      <c r="I40" s="167"/>
      <c r="J40" s="175"/>
      <c r="K40" s="176"/>
      <c r="L40" s="176"/>
      <c r="M40" s="176"/>
      <c r="N40" s="176"/>
      <c r="O40" s="176"/>
      <c r="P40" s="176"/>
      <c r="Q40" s="176"/>
      <c r="R40" s="9"/>
      <c r="S40" s="9"/>
      <c r="T40" s="9"/>
      <c r="U40" s="9"/>
      <c r="V40" s="9"/>
      <c r="W40" s="9"/>
    </row>
    <row r="41" spans="1:23" ht="25.5" customHeight="1">
      <c r="A41" s="168" t="s">
        <v>32</v>
      </c>
      <c r="B41" s="167"/>
      <c r="C41" s="167"/>
      <c r="D41" s="167"/>
      <c r="E41" s="167"/>
      <c r="F41" s="167"/>
      <c r="G41" s="167"/>
      <c r="H41" s="167"/>
      <c r="I41" s="167"/>
      <c r="J41" s="167"/>
      <c r="K41" s="167"/>
      <c r="L41" s="167"/>
      <c r="M41" s="167"/>
      <c r="N41" s="167"/>
      <c r="O41" s="167"/>
      <c r="P41" s="167"/>
      <c r="Q41" s="167"/>
      <c r="R41" s="9"/>
      <c r="S41" s="9"/>
      <c r="T41" s="9"/>
      <c r="U41" s="9"/>
      <c r="V41" s="9"/>
      <c r="W41" s="9"/>
    </row>
    <row r="42" spans="1:23" ht="5.25" customHeight="1">
      <c r="A42" s="174"/>
      <c r="B42" s="167"/>
      <c r="C42" s="167"/>
      <c r="D42" s="167"/>
      <c r="E42" s="167"/>
      <c r="F42" s="167"/>
      <c r="G42" s="167"/>
      <c r="H42" s="167"/>
      <c r="I42" s="167"/>
      <c r="J42" s="167"/>
      <c r="K42" s="167"/>
      <c r="L42" s="167"/>
      <c r="M42" s="167"/>
      <c r="N42" s="167"/>
      <c r="O42" s="167"/>
      <c r="P42" s="167"/>
      <c r="Q42" s="167"/>
      <c r="R42" s="9"/>
      <c r="S42" s="9"/>
      <c r="T42" s="9"/>
      <c r="U42" s="9"/>
      <c r="V42" s="9"/>
      <c r="W42" s="9"/>
    </row>
    <row r="43" spans="1:23" ht="15" customHeight="1">
      <c r="A43" s="150" t="s">
        <v>27</v>
      </c>
      <c r="B43" s="167"/>
      <c r="C43" s="167"/>
      <c r="D43" s="167"/>
      <c r="E43" s="167"/>
      <c r="F43" s="167"/>
      <c r="G43" s="154"/>
      <c r="H43" s="98"/>
      <c r="I43" s="153" t="s">
        <v>28</v>
      </c>
      <c r="J43" s="154"/>
      <c r="K43" s="27"/>
      <c r="L43" s="148" t="s">
        <v>63</v>
      </c>
      <c r="M43" s="149"/>
      <c r="N43" s="86"/>
      <c r="O43" s="165"/>
      <c r="P43" s="166"/>
      <c r="Q43" s="166"/>
      <c r="R43" s="9"/>
      <c r="S43" s="9"/>
      <c r="T43" s="9"/>
      <c r="U43" s="9"/>
      <c r="V43" s="9"/>
      <c r="W43" s="9"/>
    </row>
    <row r="44" spans="1:23" ht="25.5" customHeight="1">
      <c r="A44" s="171" t="s">
        <v>33</v>
      </c>
      <c r="B44" s="167"/>
      <c r="C44" s="167"/>
      <c r="D44" s="167"/>
      <c r="E44" s="167"/>
      <c r="F44" s="167"/>
      <c r="G44" s="167"/>
      <c r="H44" s="167"/>
      <c r="I44" s="167"/>
      <c r="J44" s="167"/>
      <c r="K44" s="167"/>
      <c r="L44" s="167"/>
      <c r="M44" s="169"/>
      <c r="N44" s="170"/>
      <c r="O44" s="170"/>
      <c r="P44" s="170"/>
      <c r="Q44" s="170"/>
      <c r="R44" s="9"/>
      <c r="S44" s="9"/>
      <c r="T44" s="9"/>
      <c r="U44" s="9"/>
      <c r="V44" s="9"/>
      <c r="W44" s="9"/>
    </row>
    <row r="45" spans="1:23" ht="25.5" customHeight="1">
      <c r="A45" s="168" t="s">
        <v>34</v>
      </c>
      <c r="B45" s="167"/>
      <c r="C45" s="167"/>
      <c r="D45" s="167"/>
      <c r="E45" s="167"/>
      <c r="F45" s="167"/>
      <c r="G45" s="167"/>
      <c r="H45" s="167"/>
      <c r="I45" s="167"/>
      <c r="J45" s="167"/>
      <c r="K45" s="167"/>
      <c r="L45" s="167"/>
      <c r="M45" s="167"/>
      <c r="N45" s="167"/>
      <c r="O45" s="167"/>
      <c r="P45" s="167"/>
      <c r="Q45" s="167"/>
      <c r="R45" s="9"/>
      <c r="S45" s="9"/>
      <c r="T45" s="9"/>
      <c r="U45" s="9"/>
      <c r="V45" s="9"/>
      <c r="W45" s="9"/>
    </row>
    <row r="46" spans="1:23" ht="5.25" customHeight="1">
      <c r="A46" s="155"/>
      <c r="B46" s="155"/>
      <c r="C46" s="155"/>
      <c r="D46" s="155"/>
      <c r="E46" s="155"/>
      <c r="F46" s="155"/>
      <c r="G46" s="155"/>
      <c r="H46" s="155"/>
      <c r="I46" s="155"/>
      <c r="J46" s="155"/>
      <c r="K46" s="155"/>
      <c r="L46" s="155"/>
      <c r="M46" s="155"/>
      <c r="N46" s="155"/>
      <c r="O46" s="155"/>
      <c r="P46" s="155"/>
      <c r="Q46" s="155"/>
      <c r="R46" s="9"/>
      <c r="S46" s="9"/>
      <c r="T46" s="9"/>
      <c r="U46" s="9"/>
      <c r="V46" s="9"/>
      <c r="W46" s="9"/>
    </row>
    <row r="47" spans="1:23" ht="15" customHeight="1">
      <c r="A47" s="150" t="s">
        <v>27</v>
      </c>
      <c r="B47" s="167"/>
      <c r="C47" s="167"/>
      <c r="D47" s="167"/>
      <c r="E47" s="167"/>
      <c r="F47" s="167"/>
      <c r="G47" s="154"/>
      <c r="H47" s="27"/>
      <c r="I47" s="153" t="s">
        <v>28</v>
      </c>
      <c r="J47" s="154"/>
      <c r="K47" s="98"/>
      <c r="L47" s="148" t="s">
        <v>63</v>
      </c>
      <c r="M47" s="149"/>
      <c r="N47" s="86"/>
      <c r="O47" s="165"/>
      <c r="P47" s="166"/>
      <c r="Q47" s="166"/>
      <c r="R47" s="9"/>
      <c r="S47" s="9"/>
      <c r="T47" s="9"/>
      <c r="U47" s="9"/>
      <c r="V47" s="9"/>
      <c r="W47" s="9"/>
    </row>
    <row r="48" spans="1:23" ht="27" customHeight="1">
      <c r="A48" s="214" t="s">
        <v>698</v>
      </c>
      <c r="B48" s="167"/>
      <c r="C48" s="167"/>
      <c r="D48" s="167"/>
      <c r="E48" s="167"/>
      <c r="F48" s="167"/>
      <c r="G48" s="167"/>
      <c r="H48" s="167"/>
      <c r="I48" s="167"/>
      <c r="J48" s="167"/>
      <c r="K48" s="167"/>
      <c r="L48" s="167"/>
      <c r="M48" s="167"/>
      <c r="N48" s="167"/>
      <c r="O48" s="167"/>
      <c r="P48" s="167"/>
      <c r="Q48" s="167"/>
      <c r="R48" s="9"/>
      <c r="S48" s="9"/>
      <c r="T48" s="9"/>
      <c r="U48" s="9"/>
      <c r="V48" s="9"/>
      <c r="W48" s="9"/>
    </row>
    <row r="49" spans="1:23" ht="6" customHeight="1">
      <c r="A49" s="214"/>
      <c r="B49" s="167"/>
      <c r="C49" s="167"/>
      <c r="D49" s="167"/>
      <c r="E49" s="167"/>
      <c r="F49" s="167"/>
      <c r="G49" s="167"/>
      <c r="H49" s="167"/>
      <c r="I49" s="167"/>
      <c r="J49" s="167"/>
      <c r="K49" s="167"/>
      <c r="L49" s="167"/>
      <c r="M49" s="167"/>
      <c r="N49" s="167"/>
      <c r="O49" s="167"/>
      <c r="P49" s="167"/>
      <c r="Q49" s="167"/>
      <c r="R49" s="9"/>
      <c r="S49" s="9"/>
      <c r="T49" s="9"/>
      <c r="U49" s="9"/>
      <c r="V49" s="9"/>
      <c r="W49" s="9"/>
    </row>
    <row r="50" spans="1:23" ht="15" customHeight="1">
      <c r="A50" s="150" t="s">
        <v>27</v>
      </c>
      <c r="B50" s="167"/>
      <c r="C50" s="167"/>
      <c r="D50" s="167"/>
      <c r="E50" s="167"/>
      <c r="F50" s="167"/>
      <c r="G50" s="154"/>
      <c r="H50" s="98"/>
      <c r="I50" s="153" t="s">
        <v>28</v>
      </c>
      <c r="J50" s="154"/>
      <c r="K50" s="27"/>
      <c r="L50" s="148" t="s">
        <v>63</v>
      </c>
      <c r="M50" s="149"/>
      <c r="N50" s="86"/>
      <c r="O50" s="165"/>
      <c r="P50" s="166"/>
      <c r="Q50" s="166"/>
      <c r="R50" s="9"/>
      <c r="S50" s="9"/>
      <c r="T50" s="9"/>
      <c r="U50" s="9"/>
      <c r="V50" s="9"/>
      <c r="W50" s="9"/>
    </row>
    <row r="51" spans="1:23" ht="27" customHeight="1">
      <c r="A51" s="168" t="s">
        <v>35</v>
      </c>
      <c r="B51" s="167"/>
      <c r="C51" s="167"/>
      <c r="D51" s="167"/>
      <c r="E51" s="167"/>
      <c r="F51" s="167"/>
      <c r="G51" s="167"/>
      <c r="H51" s="167"/>
      <c r="I51" s="167"/>
      <c r="J51" s="167"/>
      <c r="K51" s="167"/>
      <c r="L51" s="167"/>
      <c r="M51" s="167"/>
      <c r="N51" s="167"/>
      <c r="O51" s="167"/>
      <c r="P51" s="167"/>
      <c r="Q51" s="167"/>
      <c r="R51" s="9"/>
      <c r="S51" s="9"/>
      <c r="T51" s="9"/>
      <c r="U51" s="9"/>
      <c r="V51" s="9"/>
      <c r="W51" s="9"/>
    </row>
    <row r="52" spans="1:23" ht="5.25" customHeight="1">
      <c r="A52" s="168"/>
      <c r="B52" s="167"/>
      <c r="C52" s="167"/>
      <c r="D52" s="167"/>
      <c r="E52" s="167"/>
      <c r="F52" s="167"/>
      <c r="G52" s="167"/>
      <c r="H52" s="167"/>
      <c r="I52" s="167"/>
      <c r="J52" s="167"/>
      <c r="K52" s="167"/>
      <c r="L52" s="167"/>
      <c r="M52" s="167"/>
      <c r="N52" s="167"/>
      <c r="O52" s="167"/>
      <c r="P52" s="167"/>
      <c r="Q52" s="167"/>
      <c r="R52" s="9"/>
      <c r="S52" s="9"/>
      <c r="T52" s="9"/>
      <c r="U52" s="9"/>
      <c r="V52" s="9"/>
      <c r="W52" s="9"/>
    </row>
    <row r="53" spans="1:23" ht="15" customHeight="1">
      <c r="A53" s="150" t="s">
        <v>27</v>
      </c>
      <c r="B53" s="167"/>
      <c r="C53" s="167"/>
      <c r="D53" s="167"/>
      <c r="E53" s="167"/>
      <c r="F53" s="167"/>
      <c r="G53" s="154"/>
      <c r="H53" s="27"/>
      <c r="I53" s="153" t="s">
        <v>28</v>
      </c>
      <c r="J53" s="154"/>
      <c r="K53" s="98"/>
      <c r="L53" s="177"/>
      <c r="M53" s="167"/>
      <c r="N53" s="167"/>
      <c r="O53" s="167"/>
      <c r="P53" s="167"/>
      <c r="Q53" s="167"/>
      <c r="R53" s="9"/>
      <c r="S53" s="9"/>
      <c r="T53" s="9"/>
      <c r="U53" s="9"/>
      <c r="V53" s="9"/>
      <c r="W53" s="9"/>
    </row>
    <row r="54" spans="1:23" ht="25.5" customHeight="1">
      <c r="A54" s="180"/>
      <c r="B54" s="180"/>
      <c r="C54" s="180"/>
      <c r="D54" s="180"/>
      <c r="E54" s="180"/>
      <c r="F54" s="180"/>
      <c r="G54" s="180"/>
      <c r="H54" s="180"/>
      <c r="I54" s="180"/>
      <c r="J54" s="180"/>
      <c r="K54" s="180"/>
      <c r="L54" s="180"/>
      <c r="M54" s="180"/>
      <c r="N54" s="180"/>
      <c r="O54" s="180"/>
      <c r="P54" s="180"/>
      <c r="Q54" s="180"/>
      <c r="R54" s="9"/>
      <c r="S54" s="9"/>
      <c r="T54" s="9"/>
      <c r="U54" s="9"/>
      <c r="V54" s="9"/>
      <c r="W54" s="9"/>
    </row>
    <row r="55" spans="1:23" ht="27" customHeight="1">
      <c r="A55" s="187" t="s">
        <v>36</v>
      </c>
      <c r="B55" s="205"/>
      <c r="C55" s="205"/>
      <c r="D55" s="205"/>
      <c r="E55" s="205"/>
      <c r="F55" s="205"/>
      <c r="G55" s="205"/>
      <c r="H55" s="205"/>
      <c r="I55" s="205"/>
      <c r="J55" s="205"/>
      <c r="K55" s="205"/>
      <c r="L55" s="205"/>
      <c r="M55" s="205"/>
      <c r="N55" s="205"/>
      <c r="O55" s="205"/>
      <c r="P55" s="205"/>
      <c r="Q55" s="205"/>
      <c r="R55" s="9"/>
      <c r="S55" s="9"/>
      <c r="T55" s="9"/>
      <c r="U55" s="9"/>
      <c r="V55" s="9"/>
      <c r="W55" s="9"/>
    </row>
    <row r="56" spans="1:23" ht="27" customHeight="1">
      <c r="A56" s="168" t="s">
        <v>37</v>
      </c>
      <c r="B56" s="167"/>
      <c r="C56" s="167"/>
      <c r="D56" s="167"/>
      <c r="E56" s="167"/>
      <c r="F56" s="167"/>
      <c r="G56" s="167"/>
      <c r="H56" s="167"/>
      <c r="I56" s="167"/>
      <c r="J56" s="167"/>
      <c r="K56" s="167"/>
      <c r="L56" s="167"/>
      <c r="M56" s="167"/>
      <c r="N56" s="167"/>
      <c r="O56" s="167"/>
      <c r="P56" s="167"/>
      <c r="Q56" s="167"/>
      <c r="R56" s="9"/>
      <c r="S56" s="9"/>
      <c r="T56" s="9"/>
      <c r="U56" s="9"/>
      <c r="V56" s="9"/>
      <c r="W56" s="9"/>
    </row>
    <row r="57" spans="1:23" ht="11.25" customHeight="1">
      <c r="A57" s="168"/>
      <c r="B57" s="167"/>
      <c r="C57" s="167"/>
      <c r="D57" s="167"/>
      <c r="E57" s="167"/>
      <c r="F57" s="167"/>
      <c r="G57" s="167"/>
      <c r="H57" s="167"/>
      <c r="I57" s="167"/>
      <c r="J57" s="167"/>
      <c r="K57" s="167"/>
      <c r="L57" s="167"/>
      <c r="M57" s="167"/>
      <c r="N57" s="167"/>
      <c r="O57" s="167"/>
      <c r="P57" s="167"/>
      <c r="Q57" s="167"/>
      <c r="R57" s="9"/>
      <c r="S57" s="9"/>
      <c r="T57" s="9"/>
      <c r="U57" s="9"/>
      <c r="V57" s="9"/>
      <c r="W57" s="9"/>
    </row>
    <row r="58" spans="1:23" ht="15" customHeight="1">
      <c r="A58" s="168" t="s">
        <v>595</v>
      </c>
      <c r="B58" s="167"/>
      <c r="C58" s="167"/>
      <c r="D58" s="167"/>
      <c r="E58" s="167"/>
      <c r="F58" s="167"/>
      <c r="G58" s="167"/>
      <c r="H58" s="167"/>
      <c r="I58" s="167"/>
      <c r="J58" s="167"/>
      <c r="K58" s="167"/>
      <c r="L58" s="167"/>
      <c r="M58" s="167"/>
      <c r="N58" s="167"/>
      <c r="O58" s="154"/>
      <c r="P58" s="98"/>
      <c r="Q58" s="51"/>
      <c r="R58" s="9"/>
      <c r="S58" s="9"/>
      <c r="T58" s="9"/>
      <c r="U58" s="9"/>
      <c r="V58" s="9"/>
      <c r="W58" s="9"/>
    </row>
    <row r="59" spans="1:23" ht="11.25" customHeight="1">
      <c r="A59" s="155"/>
      <c r="B59" s="155"/>
      <c r="C59" s="155"/>
      <c r="D59" s="155"/>
      <c r="E59" s="155"/>
      <c r="F59" s="155"/>
      <c r="G59" s="155"/>
      <c r="H59" s="155"/>
      <c r="I59" s="155"/>
      <c r="J59" s="155"/>
      <c r="K59" s="155"/>
      <c r="L59" s="155"/>
      <c r="M59" s="155"/>
      <c r="N59" s="155"/>
      <c r="O59" s="155"/>
      <c r="P59" s="155"/>
      <c r="Q59" s="155"/>
      <c r="R59" s="9"/>
      <c r="S59" s="9"/>
      <c r="T59" s="9"/>
      <c r="U59" s="9"/>
      <c r="V59" s="9"/>
      <c r="W59" s="9"/>
    </row>
    <row r="60" spans="1:23" ht="15" customHeight="1">
      <c r="A60" s="168" t="s">
        <v>693</v>
      </c>
      <c r="B60" s="167"/>
      <c r="C60" s="167"/>
      <c r="D60" s="167"/>
      <c r="E60" s="167"/>
      <c r="F60" s="167"/>
      <c r="G60" s="167"/>
      <c r="H60" s="167"/>
      <c r="I60" s="167"/>
      <c r="J60" s="167"/>
      <c r="K60" s="167"/>
      <c r="L60" s="167"/>
      <c r="M60" s="167"/>
      <c r="N60" s="167"/>
      <c r="O60" s="154"/>
      <c r="P60" s="98"/>
      <c r="Q60" s="51"/>
      <c r="R60" s="9"/>
      <c r="S60" s="9"/>
      <c r="T60" s="9"/>
      <c r="U60" s="9"/>
      <c r="V60" s="9"/>
      <c r="W60" s="9"/>
    </row>
    <row r="61" spans="1:23" ht="11.25" customHeight="1">
      <c r="A61" s="155"/>
      <c r="B61" s="155"/>
      <c r="C61" s="155"/>
      <c r="D61" s="155"/>
      <c r="E61" s="155"/>
      <c r="F61" s="155"/>
      <c r="G61" s="155"/>
      <c r="H61" s="155"/>
      <c r="I61" s="155"/>
      <c r="J61" s="155"/>
      <c r="K61" s="155"/>
      <c r="L61" s="155"/>
      <c r="M61" s="155"/>
      <c r="N61" s="155"/>
      <c r="O61" s="155"/>
      <c r="P61" s="155"/>
      <c r="Q61" s="155"/>
      <c r="R61" s="9"/>
      <c r="S61" s="9"/>
      <c r="T61" s="9"/>
      <c r="U61" s="9"/>
      <c r="V61" s="9"/>
      <c r="W61" s="9"/>
    </row>
    <row r="62" spans="1:23" ht="15" customHeight="1">
      <c r="A62" s="168" t="s">
        <v>694</v>
      </c>
      <c r="B62" s="167"/>
      <c r="C62" s="167"/>
      <c r="D62" s="167"/>
      <c r="E62" s="167"/>
      <c r="F62" s="167"/>
      <c r="G62" s="167"/>
      <c r="H62" s="167"/>
      <c r="I62" s="167"/>
      <c r="J62" s="167"/>
      <c r="K62" s="167"/>
      <c r="L62" s="167"/>
      <c r="M62" s="167"/>
      <c r="N62" s="167"/>
      <c r="O62" s="154"/>
      <c r="P62" s="98"/>
      <c r="Q62" s="51"/>
      <c r="R62" s="9"/>
      <c r="S62" s="9"/>
      <c r="T62" s="9"/>
      <c r="U62" s="9"/>
      <c r="V62" s="9"/>
      <c r="W62" s="9"/>
    </row>
    <row r="63" spans="1:23" ht="11.25" customHeight="1">
      <c r="A63" s="155"/>
      <c r="B63" s="155"/>
      <c r="C63" s="155"/>
      <c r="D63" s="155"/>
      <c r="E63" s="155"/>
      <c r="F63" s="155"/>
      <c r="G63" s="155"/>
      <c r="H63" s="155"/>
      <c r="I63" s="155"/>
      <c r="J63" s="155"/>
      <c r="K63" s="155"/>
      <c r="L63" s="155"/>
      <c r="M63" s="155"/>
      <c r="N63" s="155"/>
      <c r="O63" s="155"/>
      <c r="P63" s="155"/>
      <c r="Q63" s="155"/>
      <c r="R63" s="9"/>
      <c r="S63" s="9"/>
      <c r="T63" s="9"/>
      <c r="U63" s="9"/>
      <c r="V63" s="9"/>
      <c r="W63" s="9"/>
    </row>
    <row r="64" spans="1:23" ht="15" customHeight="1">
      <c r="A64" s="172" t="s">
        <v>596</v>
      </c>
      <c r="B64" s="167"/>
      <c r="C64" s="167"/>
      <c r="D64" s="167"/>
      <c r="E64" s="167"/>
      <c r="F64" s="167"/>
      <c r="G64" s="167"/>
      <c r="H64" s="167"/>
      <c r="I64" s="167"/>
      <c r="J64" s="167"/>
      <c r="K64" s="167"/>
      <c r="L64" s="167"/>
      <c r="M64" s="167"/>
      <c r="N64" s="167"/>
      <c r="O64" s="154"/>
      <c r="P64" s="98"/>
      <c r="Q64" s="51"/>
      <c r="R64" s="9"/>
      <c r="S64" s="9"/>
      <c r="T64" s="9"/>
      <c r="U64" s="9"/>
      <c r="V64" s="9"/>
      <c r="W64" s="9"/>
    </row>
    <row r="65" spans="1:23" ht="11.25" customHeight="1">
      <c r="A65" s="155"/>
      <c r="B65" s="155"/>
      <c r="C65" s="155"/>
      <c r="D65" s="155"/>
      <c r="E65" s="155"/>
      <c r="F65" s="155"/>
      <c r="G65" s="155"/>
      <c r="H65" s="155"/>
      <c r="I65" s="155"/>
      <c r="J65" s="155"/>
      <c r="K65" s="155"/>
      <c r="L65" s="155"/>
      <c r="M65" s="155"/>
      <c r="N65" s="155"/>
      <c r="O65" s="155"/>
      <c r="P65" s="155"/>
      <c r="Q65" s="155"/>
      <c r="R65" s="9"/>
      <c r="S65" s="9"/>
      <c r="T65" s="9"/>
      <c r="U65" s="9"/>
      <c r="V65" s="9"/>
      <c r="W65" s="9"/>
    </row>
    <row r="66" spans="1:23" ht="15" customHeight="1">
      <c r="A66" s="168" t="s">
        <v>696</v>
      </c>
      <c r="B66" s="166"/>
      <c r="C66" s="166"/>
      <c r="D66" s="166"/>
      <c r="E66" s="166"/>
      <c r="F66" s="166"/>
      <c r="G66" s="166"/>
      <c r="H66" s="166"/>
      <c r="I66" s="166"/>
      <c r="J66" s="166"/>
      <c r="K66" s="166"/>
      <c r="L66" s="166"/>
      <c r="M66" s="166"/>
      <c r="N66" s="166"/>
      <c r="O66" s="166"/>
      <c r="P66" s="166"/>
      <c r="Q66" s="166"/>
      <c r="R66" s="9"/>
      <c r="S66" s="9"/>
      <c r="T66" s="9"/>
      <c r="U66" s="9"/>
      <c r="V66" s="9"/>
      <c r="W66" s="9"/>
    </row>
    <row r="67" spans="1:23" ht="11.25" customHeight="1">
      <c r="A67" s="155"/>
      <c r="B67" s="155"/>
      <c r="C67" s="155"/>
      <c r="D67" s="155"/>
      <c r="E67" s="155"/>
      <c r="F67" s="155"/>
      <c r="G67" s="155"/>
      <c r="H67" s="155"/>
      <c r="I67" s="155"/>
      <c r="J67" s="155"/>
      <c r="K67" s="155"/>
      <c r="L67" s="155"/>
      <c r="M67" s="155"/>
      <c r="N67" s="155"/>
      <c r="O67" s="155"/>
      <c r="P67" s="155"/>
      <c r="Q67" s="155"/>
      <c r="R67" s="9"/>
      <c r="S67" s="9"/>
      <c r="T67" s="9"/>
      <c r="U67" s="9"/>
      <c r="V67" s="9"/>
      <c r="W67" s="9"/>
    </row>
    <row r="68" spans="1:23" ht="15" customHeight="1">
      <c r="A68" s="168" t="s">
        <v>697</v>
      </c>
      <c r="B68" s="167"/>
      <c r="C68" s="167"/>
      <c r="D68" s="167"/>
      <c r="E68" s="167"/>
      <c r="F68" s="167"/>
      <c r="G68" s="167"/>
      <c r="H68" s="167"/>
      <c r="I68" s="167"/>
      <c r="J68" s="167"/>
      <c r="K68" s="167"/>
      <c r="L68" s="167"/>
      <c r="M68" s="167"/>
      <c r="N68" s="167"/>
      <c r="O68" s="154"/>
      <c r="P68" s="27"/>
      <c r="Q68" s="51"/>
      <c r="R68" s="9"/>
      <c r="S68" s="9"/>
      <c r="T68" s="9"/>
      <c r="U68" s="9"/>
      <c r="V68" s="9"/>
      <c r="W68" s="9"/>
    </row>
    <row r="69" spans="1:23" ht="11.25" customHeight="1">
      <c r="A69" s="155"/>
      <c r="B69" s="155"/>
      <c r="C69" s="155"/>
      <c r="D69" s="155"/>
      <c r="E69" s="155"/>
      <c r="F69" s="155"/>
      <c r="G69" s="155"/>
      <c r="H69" s="155"/>
      <c r="I69" s="155"/>
      <c r="J69" s="155"/>
      <c r="K69" s="155"/>
      <c r="L69" s="155"/>
      <c r="M69" s="155"/>
      <c r="N69" s="155"/>
      <c r="O69" s="155"/>
      <c r="P69" s="155"/>
      <c r="Q69" s="155"/>
      <c r="R69" s="9"/>
      <c r="S69" s="9"/>
      <c r="T69" s="9"/>
      <c r="U69" s="9"/>
      <c r="V69" s="9"/>
      <c r="W69" s="9"/>
    </row>
    <row r="70" spans="1:23" ht="15" customHeight="1">
      <c r="A70" s="168" t="s">
        <v>699</v>
      </c>
      <c r="B70" s="167"/>
      <c r="C70" s="167"/>
      <c r="D70" s="167"/>
      <c r="E70" s="167"/>
      <c r="F70" s="167"/>
      <c r="G70" s="167"/>
      <c r="H70" s="167"/>
      <c r="I70" s="167"/>
      <c r="J70" s="167"/>
      <c r="K70" s="167"/>
      <c r="L70" s="167"/>
      <c r="M70" s="167"/>
      <c r="N70" s="167"/>
      <c r="O70" s="154"/>
      <c r="P70" s="98"/>
      <c r="Q70" s="51"/>
      <c r="R70" s="9"/>
      <c r="S70" s="9"/>
      <c r="T70" s="9"/>
      <c r="U70" s="9"/>
      <c r="V70" s="9"/>
      <c r="W70" s="9"/>
    </row>
    <row r="71" spans="1:23" ht="27" customHeight="1">
      <c r="A71" s="224" t="s">
        <v>38</v>
      </c>
      <c r="B71" s="166"/>
      <c r="C71" s="217"/>
      <c r="D71" s="218"/>
      <c r="E71" s="218"/>
      <c r="F71" s="218"/>
      <c r="G71" s="218"/>
      <c r="H71" s="218"/>
      <c r="I71" s="218"/>
      <c r="J71" s="218"/>
      <c r="K71" s="218"/>
      <c r="L71" s="218"/>
      <c r="M71" s="218"/>
      <c r="N71" s="218"/>
      <c r="O71" s="218"/>
      <c r="P71" s="218"/>
      <c r="Q71" s="218"/>
      <c r="R71" s="9"/>
      <c r="S71" s="9"/>
      <c r="T71" s="9"/>
      <c r="U71" s="9"/>
      <c r="V71" s="9"/>
      <c r="W71" s="9"/>
    </row>
    <row r="72" spans="1:23" ht="27" customHeight="1">
      <c r="A72" s="219"/>
      <c r="B72" s="220"/>
      <c r="C72" s="220"/>
      <c r="D72" s="220"/>
      <c r="E72" s="220"/>
      <c r="F72" s="220"/>
      <c r="G72" s="220"/>
      <c r="H72" s="220"/>
      <c r="I72" s="220"/>
      <c r="J72" s="220"/>
      <c r="K72" s="220"/>
      <c r="L72" s="220"/>
      <c r="M72" s="220"/>
      <c r="N72" s="220"/>
      <c r="O72" s="220"/>
      <c r="P72" s="220"/>
      <c r="Q72" s="220"/>
      <c r="R72" s="9"/>
      <c r="S72" s="9"/>
      <c r="T72" s="9"/>
      <c r="U72" s="9"/>
      <c r="V72" s="9"/>
      <c r="W72" s="9"/>
    </row>
    <row r="73" spans="1:23" ht="27" customHeight="1">
      <c r="A73" s="222" t="s">
        <v>39</v>
      </c>
      <c r="B73" s="223"/>
      <c r="C73" s="223"/>
      <c r="D73" s="223"/>
      <c r="E73" s="223"/>
      <c r="F73" s="221"/>
      <c r="G73" s="221"/>
      <c r="H73" s="221"/>
      <c r="I73" s="221"/>
      <c r="J73" s="221"/>
      <c r="K73" s="221"/>
      <c r="L73" s="221"/>
      <c r="M73" s="221"/>
      <c r="N73" s="221"/>
      <c r="O73" s="221"/>
      <c r="P73" s="221"/>
      <c r="Q73" s="221"/>
      <c r="R73" s="9"/>
      <c r="S73" s="9"/>
      <c r="T73" s="9"/>
      <c r="U73" s="9"/>
      <c r="V73" s="9"/>
      <c r="W73" s="9"/>
    </row>
    <row r="74" spans="1:23" ht="18">
      <c r="A74" s="215" t="s">
        <v>43</v>
      </c>
      <c r="B74" s="216"/>
      <c r="C74" s="216"/>
      <c r="D74" s="216"/>
      <c r="E74" s="216"/>
      <c r="F74" s="216"/>
      <c r="G74" s="216"/>
      <c r="H74" s="216"/>
      <c r="I74" s="216"/>
      <c r="J74" s="216"/>
      <c r="K74" s="216"/>
      <c r="L74" s="216"/>
      <c r="M74" s="216"/>
      <c r="N74" s="216"/>
      <c r="O74" s="216"/>
      <c r="P74" s="216"/>
      <c r="Q74" s="216"/>
      <c r="R74" s="9"/>
      <c r="S74" s="9"/>
      <c r="T74" s="9"/>
      <c r="U74" s="9"/>
      <c r="V74" s="9"/>
      <c r="W74" s="9"/>
    </row>
    <row r="75" spans="1:23" ht="18">
      <c r="A75" s="215" t="s">
        <v>42</v>
      </c>
      <c r="B75" s="216"/>
      <c r="C75" s="216"/>
      <c r="D75" s="216"/>
      <c r="E75" s="216"/>
      <c r="F75" s="216"/>
      <c r="G75" s="216"/>
      <c r="H75" s="216"/>
      <c r="I75" s="216"/>
      <c r="J75" s="216"/>
      <c r="K75" s="216"/>
      <c r="L75" s="216"/>
      <c r="M75" s="216"/>
      <c r="N75" s="216"/>
      <c r="O75" s="216"/>
      <c r="P75" s="216"/>
      <c r="Q75" s="216"/>
      <c r="R75" s="9"/>
      <c r="S75" s="9"/>
      <c r="T75" s="9"/>
      <c r="U75" s="9"/>
      <c r="V75" s="9"/>
      <c r="W75" s="9"/>
    </row>
    <row r="76" spans="1:23" ht="24" customHeight="1">
      <c r="A76" s="174" t="s">
        <v>44</v>
      </c>
      <c r="B76" s="174"/>
      <c r="C76" s="174"/>
      <c r="D76" s="174"/>
      <c r="E76" s="174"/>
      <c r="F76" s="174"/>
      <c r="G76" s="174"/>
      <c r="H76" s="174"/>
      <c r="I76" s="174"/>
      <c r="J76" s="174"/>
      <c r="K76" s="174"/>
      <c r="L76" s="174"/>
      <c r="M76" s="174"/>
      <c r="N76" s="174"/>
      <c r="O76" s="174"/>
      <c r="P76" s="174"/>
      <c r="Q76" s="174"/>
      <c r="R76" s="9"/>
      <c r="S76" s="9"/>
      <c r="T76" s="9"/>
      <c r="U76" s="9"/>
      <c r="V76" s="9"/>
      <c r="W76" s="9"/>
    </row>
    <row r="77" spans="1:23" ht="15.75">
      <c r="A77" s="174" t="s">
        <v>47</v>
      </c>
      <c r="B77" s="174"/>
      <c r="C77" s="174"/>
      <c r="D77" s="174"/>
      <c r="E77" s="174"/>
      <c r="F77" s="174"/>
      <c r="G77" s="174"/>
      <c r="H77" s="174"/>
      <c r="I77" s="174"/>
      <c r="J77" s="174"/>
      <c r="K77" s="174"/>
      <c r="L77" s="174"/>
      <c r="M77" s="174"/>
      <c r="N77" s="174"/>
      <c r="O77" s="174"/>
      <c r="P77" s="174"/>
      <c r="Q77" s="174"/>
      <c r="R77" s="9"/>
      <c r="S77" s="9"/>
      <c r="T77" s="9"/>
      <c r="U77" s="9"/>
      <c r="V77" s="9"/>
      <c r="W77" s="9"/>
    </row>
    <row r="78" spans="1:23" ht="15.75" customHeight="1">
      <c r="A78" s="174" t="s">
        <v>48</v>
      </c>
      <c r="B78" s="171"/>
      <c r="C78" s="171"/>
      <c r="D78" s="171"/>
      <c r="E78" s="171"/>
      <c r="F78" s="171"/>
      <c r="G78" s="171"/>
      <c r="H78" s="171"/>
      <c r="I78" s="171"/>
      <c r="J78" s="171"/>
      <c r="K78" s="171"/>
      <c r="L78" s="171"/>
      <c r="M78" s="171"/>
      <c r="N78" s="171"/>
      <c r="O78" s="171"/>
      <c r="P78" s="171"/>
      <c r="Q78" s="171"/>
      <c r="R78" s="9"/>
      <c r="S78" s="9"/>
      <c r="T78" s="9"/>
      <c r="U78" s="9"/>
      <c r="V78" s="9"/>
      <c r="W78" s="9"/>
    </row>
    <row r="79" spans="1:23" ht="24" customHeight="1">
      <c r="A79" s="174" t="s">
        <v>45</v>
      </c>
      <c r="B79" s="174"/>
      <c r="C79" s="174"/>
      <c r="D79" s="174"/>
      <c r="E79" s="174"/>
      <c r="F79" s="174"/>
      <c r="G79" s="174"/>
      <c r="H79" s="174"/>
      <c r="I79" s="174"/>
      <c r="J79" s="174"/>
      <c r="K79" s="174"/>
      <c r="L79" s="174"/>
      <c r="M79" s="174"/>
      <c r="N79" s="174"/>
      <c r="O79" s="174"/>
      <c r="P79" s="174"/>
      <c r="Q79" s="174"/>
      <c r="R79" s="9"/>
      <c r="S79" s="9"/>
      <c r="T79" s="9"/>
      <c r="U79" s="9"/>
      <c r="V79" s="9"/>
      <c r="W79" s="9"/>
    </row>
    <row r="80" spans="1:23" ht="15.75">
      <c r="A80" s="174" t="s">
        <v>46</v>
      </c>
      <c r="B80" s="174"/>
      <c r="C80" s="174"/>
      <c r="D80" s="174"/>
      <c r="E80" s="174"/>
      <c r="F80" s="174"/>
      <c r="G80" s="174"/>
      <c r="H80" s="174"/>
      <c r="I80" s="174"/>
      <c r="J80" s="174"/>
      <c r="K80" s="174"/>
      <c r="L80" s="174"/>
      <c r="M80" s="174"/>
      <c r="N80" s="174"/>
      <c r="O80" s="174"/>
      <c r="P80" s="174"/>
      <c r="Q80" s="174"/>
      <c r="R80" s="9"/>
      <c r="S80" s="9"/>
      <c r="T80" s="9"/>
      <c r="U80" s="9"/>
      <c r="V80" s="9"/>
      <c r="W80" s="9"/>
    </row>
    <row r="81" spans="1:23" ht="24" customHeight="1">
      <c r="A81" s="174" t="s">
        <v>49</v>
      </c>
      <c r="B81" s="174"/>
      <c r="C81" s="174"/>
      <c r="D81" s="174"/>
      <c r="E81" s="174"/>
      <c r="F81" s="174"/>
      <c r="G81" s="174"/>
      <c r="H81" s="174"/>
      <c r="I81" s="174"/>
      <c r="J81" s="174"/>
      <c r="K81" s="174"/>
      <c r="L81" s="174"/>
      <c r="M81" s="174"/>
      <c r="N81" s="174"/>
      <c r="O81" s="174"/>
      <c r="P81" s="174"/>
      <c r="Q81" s="174"/>
      <c r="R81" s="9"/>
      <c r="S81" s="9"/>
      <c r="T81" s="9"/>
      <c r="U81" s="9"/>
      <c r="V81" s="9"/>
      <c r="W81" s="9"/>
    </row>
    <row r="82" spans="1:23" ht="15.75">
      <c r="A82" s="174" t="s">
        <v>50</v>
      </c>
      <c r="B82" s="174"/>
      <c r="C82" s="174"/>
      <c r="D82" s="174"/>
      <c r="E82" s="174"/>
      <c r="F82" s="174"/>
      <c r="G82" s="174"/>
      <c r="H82" s="174"/>
      <c r="I82" s="174"/>
      <c r="J82" s="174"/>
      <c r="K82" s="174"/>
      <c r="L82" s="174"/>
      <c r="M82" s="174"/>
      <c r="N82" s="174"/>
      <c r="O82" s="174"/>
      <c r="P82" s="174"/>
      <c r="Q82" s="174"/>
      <c r="R82" s="9"/>
      <c r="S82" s="9"/>
      <c r="T82" s="9"/>
      <c r="U82" s="9"/>
      <c r="V82" s="9"/>
      <c r="W82" s="9"/>
    </row>
    <row r="83" spans="1:23" ht="24" customHeight="1">
      <c r="A83" s="174" t="s">
        <v>51</v>
      </c>
      <c r="B83" s="174"/>
      <c r="C83" s="174"/>
      <c r="D83" s="174"/>
      <c r="E83" s="174"/>
      <c r="F83" s="174"/>
      <c r="G83" s="174"/>
      <c r="H83" s="174"/>
      <c r="I83" s="174"/>
      <c r="J83" s="174"/>
      <c r="K83" s="174"/>
      <c r="L83" s="174"/>
      <c r="M83" s="174"/>
      <c r="N83" s="174"/>
      <c r="O83" s="174"/>
      <c r="P83" s="174"/>
      <c r="Q83" s="174"/>
      <c r="R83" s="9"/>
      <c r="S83" s="9"/>
      <c r="T83" s="9"/>
      <c r="U83" s="9"/>
      <c r="V83" s="9"/>
      <c r="W83" s="9"/>
    </row>
    <row r="84" spans="1:23" ht="24" customHeight="1">
      <c r="A84" s="174" t="s">
        <v>649</v>
      </c>
      <c r="B84" s="174"/>
      <c r="C84" s="174"/>
      <c r="D84" s="174"/>
      <c r="E84" s="174"/>
      <c r="F84" s="174"/>
      <c r="G84" s="174"/>
      <c r="H84" s="174"/>
      <c r="I84" s="174"/>
      <c r="J84" s="174"/>
      <c r="K84" s="174"/>
      <c r="L84" s="174"/>
      <c r="M84" s="174"/>
      <c r="N84" s="174"/>
      <c r="O84" s="174"/>
      <c r="P84" s="174"/>
      <c r="Q84" s="174"/>
      <c r="R84" s="9"/>
      <c r="S84" s="9"/>
      <c r="T84" s="9"/>
      <c r="U84" s="9"/>
      <c r="V84" s="9"/>
      <c r="W84" s="9"/>
    </row>
    <row r="85" spans="1:23" ht="40.5" customHeight="1">
      <c r="A85" s="215" t="s">
        <v>52</v>
      </c>
      <c r="B85" s="215"/>
      <c r="C85" s="215"/>
      <c r="D85" s="215"/>
      <c r="E85" s="215"/>
      <c r="F85" s="215"/>
      <c r="G85" s="215"/>
      <c r="H85" s="215"/>
      <c r="I85" s="215"/>
      <c r="J85" s="215"/>
      <c r="K85" s="215"/>
      <c r="L85" s="215"/>
      <c r="M85" s="215"/>
      <c r="N85" s="215"/>
      <c r="O85" s="215"/>
      <c r="P85" s="215"/>
      <c r="Q85" s="215"/>
      <c r="R85" s="9"/>
      <c r="S85" s="9"/>
      <c r="T85" s="9"/>
      <c r="U85" s="9"/>
      <c r="V85" s="9"/>
      <c r="W85" s="9"/>
    </row>
    <row r="86" spans="1:23" ht="30" customHeight="1">
      <c r="A86" s="174" t="s">
        <v>53</v>
      </c>
      <c r="B86" s="174"/>
      <c r="C86" s="174"/>
      <c r="D86" s="174"/>
      <c r="E86" s="174"/>
      <c r="F86" s="174"/>
      <c r="G86" s="174"/>
      <c r="H86" s="174"/>
      <c r="I86" s="174"/>
      <c r="J86" s="174"/>
      <c r="K86" s="174"/>
      <c r="L86" s="174"/>
      <c r="M86" s="174"/>
      <c r="N86" s="174"/>
      <c r="O86" s="174"/>
      <c r="P86" s="174"/>
      <c r="Q86" s="174"/>
      <c r="R86" s="9"/>
      <c r="S86" s="9"/>
      <c r="T86" s="9"/>
      <c r="U86" s="9"/>
      <c r="V86" s="9"/>
      <c r="W86" s="9"/>
    </row>
    <row r="87" spans="1:23" ht="15.75">
      <c r="A87" s="174" t="s">
        <v>54</v>
      </c>
      <c r="B87" s="174"/>
      <c r="C87" s="174"/>
      <c r="D87" s="174"/>
      <c r="E87" s="174"/>
      <c r="F87" s="174"/>
      <c r="G87" s="174"/>
      <c r="H87" s="174"/>
      <c r="I87" s="174"/>
      <c r="J87" s="174"/>
      <c r="K87" s="174"/>
      <c r="L87" s="174"/>
      <c r="M87" s="174"/>
      <c r="N87" s="174"/>
      <c r="O87" s="174"/>
      <c r="P87" s="174"/>
      <c r="Q87" s="174"/>
      <c r="R87" s="9"/>
      <c r="S87" s="9"/>
      <c r="T87" s="9"/>
      <c r="U87" s="9"/>
      <c r="V87" s="9"/>
      <c r="W87" s="9"/>
    </row>
    <row r="88" spans="1:23" ht="15.75">
      <c r="A88" s="174" t="s">
        <v>55</v>
      </c>
      <c r="B88" s="174"/>
      <c r="C88" s="174"/>
      <c r="D88" s="174"/>
      <c r="E88" s="174"/>
      <c r="F88" s="174"/>
      <c r="G88" s="174"/>
      <c r="H88" s="174"/>
      <c r="I88" s="174"/>
      <c r="J88" s="174"/>
      <c r="K88" s="174"/>
      <c r="L88" s="174"/>
      <c r="M88" s="174"/>
      <c r="N88" s="174"/>
      <c r="O88" s="174"/>
      <c r="P88" s="174"/>
      <c r="Q88" s="174"/>
      <c r="R88" s="9"/>
      <c r="S88" s="9"/>
      <c r="T88" s="9"/>
      <c r="U88" s="9"/>
      <c r="V88" s="9"/>
      <c r="W88" s="9"/>
    </row>
    <row r="89" spans="1:23" ht="24" customHeight="1">
      <c r="A89" s="174" t="s">
        <v>56</v>
      </c>
      <c r="B89" s="174"/>
      <c r="C89" s="174"/>
      <c r="D89" s="174"/>
      <c r="E89" s="174"/>
      <c r="F89" s="174"/>
      <c r="G89" s="174"/>
      <c r="H89" s="174"/>
      <c r="I89" s="174"/>
      <c r="J89" s="174"/>
      <c r="K89" s="174"/>
      <c r="L89" s="174"/>
      <c r="M89" s="174"/>
      <c r="N89" s="174"/>
      <c r="O89" s="174"/>
      <c r="P89" s="174"/>
      <c r="Q89" s="174"/>
      <c r="R89" s="9"/>
      <c r="S89" s="9"/>
      <c r="T89" s="9"/>
      <c r="U89" s="9"/>
      <c r="V89" s="9"/>
      <c r="W89" s="9"/>
    </row>
    <row r="90" spans="1:23" ht="24" customHeight="1">
      <c r="A90" s="174" t="s">
        <v>57</v>
      </c>
      <c r="B90" s="174"/>
      <c r="C90" s="174"/>
      <c r="D90" s="174"/>
      <c r="E90" s="174"/>
      <c r="F90" s="174"/>
      <c r="G90" s="174"/>
      <c r="H90" s="174"/>
      <c r="I90" s="174"/>
      <c r="J90" s="174"/>
      <c r="K90" s="174"/>
      <c r="L90" s="174"/>
      <c r="M90" s="174"/>
      <c r="N90" s="174"/>
      <c r="O90" s="174"/>
      <c r="P90" s="174"/>
      <c r="Q90" s="174"/>
      <c r="R90" s="9"/>
      <c r="S90" s="9"/>
      <c r="T90" s="9"/>
      <c r="U90" s="9"/>
      <c r="V90" s="9"/>
      <c r="W90" s="9"/>
    </row>
    <row r="91" spans="1:23" ht="15.75">
      <c r="A91" s="174" t="s">
        <v>58</v>
      </c>
      <c r="B91" s="174"/>
      <c r="C91" s="174"/>
      <c r="D91" s="174"/>
      <c r="E91" s="174"/>
      <c r="F91" s="174"/>
      <c r="G91" s="174"/>
      <c r="H91" s="174"/>
      <c r="I91" s="174"/>
      <c r="J91" s="174"/>
      <c r="K91" s="174"/>
      <c r="L91" s="174"/>
      <c r="M91" s="174"/>
      <c r="N91" s="174"/>
      <c r="O91" s="174"/>
      <c r="P91" s="174"/>
      <c r="Q91" s="174"/>
      <c r="R91" s="9"/>
      <c r="S91" s="9"/>
      <c r="T91" s="9"/>
      <c r="U91" s="9"/>
      <c r="V91" s="9"/>
      <c r="W91" s="9"/>
    </row>
    <row r="92" spans="1:23" ht="24" customHeight="1">
      <c r="A92" s="174" t="s">
        <v>59</v>
      </c>
      <c r="B92" s="174"/>
      <c r="C92" s="174"/>
      <c r="D92" s="174"/>
      <c r="E92" s="174"/>
      <c r="F92" s="174"/>
      <c r="G92" s="174"/>
      <c r="H92" s="174"/>
      <c r="I92" s="174"/>
      <c r="J92" s="174"/>
      <c r="K92" s="174"/>
      <c r="L92" s="174"/>
      <c r="M92" s="174"/>
      <c r="N92" s="174"/>
      <c r="O92" s="174"/>
      <c r="P92" s="174"/>
      <c r="Q92" s="174"/>
      <c r="R92" s="9"/>
      <c r="S92" s="9"/>
      <c r="T92" s="9"/>
      <c r="U92" s="9"/>
      <c r="V92" s="9"/>
      <c r="W92" s="9"/>
    </row>
    <row r="93" spans="1:23" ht="24" customHeight="1">
      <c r="A93" s="179" t="s">
        <v>597</v>
      </c>
      <c r="B93" s="179"/>
      <c r="C93" s="179"/>
      <c r="D93" s="179"/>
      <c r="E93" s="179"/>
      <c r="F93" s="179"/>
      <c r="G93" s="179"/>
      <c r="H93" s="179"/>
      <c r="I93" s="179"/>
      <c r="J93" s="179"/>
      <c r="K93" s="179"/>
      <c r="L93" s="179"/>
      <c r="M93" s="179"/>
      <c r="N93" s="179"/>
      <c r="O93" s="179"/>
      <c r="P93" s="179"/>
      <c r="Q93" s="179"/>
      <c r="R93" s="9"/>
      <c r="S93" s="9"/>
      <c r="T93" s="9"/>
      <c r="U93" s="9"/>
      <c r="V93" s="9"/>
      <c r="W93" s="9"/>
    </row>
    <row r="94" spans="1:23" ht="62.25" customHeight="1">
      <c r="A94" s="67" t="s">
        <v>600</v>
      </c>
      <c r="B94" s="179" t="s">
        <v>598</v>
      </c>
      <c r="C94" s="179"/>
      <c r="D94" s="179"/>
      <c r="E94" s="179"/>
      <c r="F94" s="179"/>
      <c r="G94" s="179"/>
      <c r="H94" s="179"/>
      <c r="I94" s="179"/>
      <c r="J94" s="179"/>
      <c r="K94" s="179"/>
      <c r="L94" s="179"/>
      <c r="M94" s="179"/>
      <c r="N94" s="179"/>
      <c r="O94" s="179"/>
      <c r="P94" s="179"/>
      <c r="Q94" s="179"/>
      <c r="R94" s="9"/>
      <c r="S94" s="9"/>
      <c r="T94" s="9"/>
      <c r="U94" s="9"/>
      <c r="V94" s="9"/>
      <c r="W94" s="9"/>
    </row>
    <row r="95" spans="1:23" ht="35.25" customHeight="1">
      <c r="A95" s="68" t="s">
        <v>600</v>
      </c>
      <c r="B95" s="179" t="s">
        <v>599</v>
      </c>
      <c r="C95" s="179"/>
      <c r="D95" s="179"/>
      <c r="E95" s="179"/>
      <c r="F95" s="179"/>
      <c r="G95" s="179"/>
      <c r="H95" s="179"/>
      <c r="I95" s="179"/>
      <c r="J95" s="179"/>
      <c r="K95" s="179"/>
      <c r="L95" s="179"/>
      <c r="M95" s="179"/>
      <c r="N95" s="179"/>
      <c r="O95" s="179"/>
      <c r="P95" s="179"/>
      <c r="Q95" s="179"/>
      <c r="R95" s="7"/>
      <c r="S95" s="7"/>
      <c r="T95" s="7"/>
      <c r="U95" s="7"/>
      <c r="V95" s="7"/>
      <c r="W95" s="7"/>
    </row>
    <row r="96" spans="1:23" ht="54.75" customHeight="1">
      <c r="A96" s="69" t="s">
        <v>600</v>
      </c>
      <c r="B96" s="179" t="s">
        <v>922</v>
      </c>
      <c r="C96" s="179"/>
      <c r="D96" s="179"/>
      <c r="E96" s="179"/>
      <c r="F96" s="179"/>
      <c r="G96" s="179"/>
      <c r="H96" s="179"/>
      <c r="I96" s="179"/>
      <c r="J96" s="179"/>
      <c r="K96" s="179"/>
      <c r="L96" s="179"/>
      <c r="M96" s="179"/>
      <c r="N96" s="179"/>
      <c r="O96" s="179"/>
      <c r="P96" s="179"/>
      <c r="Q96" s="179"/>
      <c r="R96" s="7"/>
      <c r="S96" s="7"/>
      <c r="T96" s="7"/>
      <c r="U96" s="7"/>
      <c r="V96" s="7"/>
      <c r="W96" s="7"/>
    </row>
    <row r="97" spans="1:23">
      <c r="A97" s="178"/>
      <c r="B97" s="167"/>
      <c r="C97" s="167"/>
      <c r="D97" s="167"/>
      <c r="E97" s="167"/>
      <c r="F97" s="167"/>
      <c r="G97" s="167"/>
      <c r="H97" s="167"/>
      <c r="I97" s="167"/>
      <c r="J97" s="167"/>
      <c r="K97" s="167"/>
      <c r="L97" s="167"/>
      <c r="M97" s="167"/>
      <c r="N97" s="167"/>
      <c r="O97" s="167"/>
      <c r="P97" s="167"/>
      <c r="Q97" s="167"/>
      <c r="R97" s="7"/>
      <c r="S97" s="7"/>
      <c r="T97" s="7"/>
      <c r="U97" s="7"/>
      <c r="V97" s="7"/>
      <c r="W97" s="7"/>
    </row>
    <row r="98" spans="1:23">
      <c r="A98" s="167"/>
      <c r="B98" s="167"/>
      <c r="C98" s="167"/>
      <c r="D98" s="167"/>
      <c r="E98" s="167"/>
      <c r="F98" s="167"/>
      <c r="G98" s="167"/>
      <c r="H98" s="167"/>
      <c r="I98" s="167"/>
      <c r="J98" s="167"/>
      <c r="K98" s="167"/>
      <c r="L98" s="167"/>
      <c r="M98" s="167"/>
      <c r="N98" s="167"/>
      <c r="O98" s="167"/>
      <c r="P98" s="167"/>
      <c r="Q98" s="167"/>
      <c r="R98" s="7"/>
      <c r="S98" s="7"/>
      <c r="T98" s="7"/>
      <c r="U98" s="7"/>
      <c r="V98" s="7"/>
      <c r="W98" s="7"/>
    </row>
    <row r="99" spans="1:23">
      <c r="A99" s="167"/>
      <c r="B99" s="167"/>
      <c r="C99" s="167"/>
      <c r="D99" s="167"/>
      <c r="E99" s="167"/>
      <c r="F99" s="167"/>
      <c r="G99" s="167"/>
      <c r="H99" s="167"/>
      <c r="I99" s="167"/>
      <c r="J99" s="167"/>
      <c r="K99" s="167"/>
      <c r="L99" s="167"/>
      <c r="M99" s="167"/>
      <c r="N99" s="167"/>
      <c r="O99" s="167"/>
      <c r="P99" s="167"/>
      <c r="Q99" s="167"/>
      <c r="R99" s="7"/>
      <c r="S99" s="7"/>
      <c r="T99" s="7"/>
      <c r="U99" s="7"/>
      <c r="V99" s="7"/>
      <c r="W99" s="7"/>
    </row>
    <row r="100" spans="1:23">
      <c r="A100" s="167"/>
      <c r="B100" s="167"/>
      <c r="C100" s="167"/>
      <c r="D100" s="167"/>
      <c r="E100" s="167"/>
      <c r="F100" s="167"/>
      <c r="G100" s="167"/>
      <c r="H100" s="167"/>
      <c r="I100" s="167"/>
      <c r="J100" s="167"/>
      <c r="K100" s="167"/>
      <c r="L100" s="167"/>
      <c r="M100" s="167"/>
      <c r="N100" s="167"/>
      <c r="O100" s="167"/>
      <c r="P100" s="167"/>
      <c r="Q100" s="167"/>
      <c r="R100" s="7"/>
      <c r="S100" s="7"/>
      <c r="T100" s="7"/>
      <c r="U100" s="7"/>
      <c r="V100" s="7"/>
      <c r="W100" s="7"/>
    </row>
    <row r="101" spans="1:23">
      <c r="A101" s="167"/>
      <c r="B101" s="167"/>
      <c r="C101" s="167"/>
      <c r="D101" s="167"/>
      <c r="E101" s="167"/>
      <c r="F101" s="167"/>
      <c r="G101" s="167"/>
      <c r="H101" s="167"/>
      <c r="I101" s="167"/>
      <c r="J101" s="167"/>
      <c r="K101" s="167"/>
      <c r="L101" s="167"/>
      <c r="M101" s="167"/>
      <c r="N101" s="167"/>
      <c r="O101" s="167"/>
      <c r="P101" s="167"/>
      <c r="Q101" s="167"/>
      <c r="R101" s="7"/>
      <c r="S101" s="7"/>
      <c r="T101" s="7"/>
      <c r="U101" s="7"/>
      <c r="V101" s="7"/>
      <c r="W101" s="7"/>
    </row>
    <row r="102" spans="1:23">
      <c r="A102" s="167"/>
      <c r="B102" s="167"/>
      <c r="C102" s="167"/>
      <c r="D102" s="167"/>
      <c r="E102" s="167"/>
      <c r="F102" s="167"/>
      <c r="G102" s="167"/>
      <c r="H102" s="167"/>
      <c r="I102" s="167"/>
      <c r="J102" s="167"/>
      <c r="K102" s="167"/>
      <c r="L102" s="167"/>
      <c r="M102" s="167"/>
      <c r="N102" s="167"/>
      <c r="O102" s="167"/>
      <c r="P102" s="167"/>
      <c r="Q102" s="167"/>
      <c r="R102" s="7"/>
      <c r="S102" s="7"/>
      <c r="T102" s="7"/>
      <c r="U102" s="7"/>
      <c r="V102" s="7"/>
      <c r="W102" s="7"/>
    </row>
    <row r="103" spans="1:23" ht="12" customHeight="1">
      <c r="A103" s="4"/>
      <c r="B103" s="4"/>
      <c r="C103" s="4"/>
      <c r="D103" s="4"/>
      <c r="E103" s="4"/>
      <c r="F103" s="56"/>
    </row>
    <row r="104" spans="1:23" ht="13.5" customHeight="1">
      <c r="A104" s="5"/>
      <c r="B104" s="5"/>
      <c r="C104" s="5"/>
      <c r="D104" s="5"/>
      <c r="E104" s="5"/>
      <c r="F104" s="5"/>
      <c r="G104" s="5"/>
      <c r="H104" s="5"/>
      <c r="I104" s="5"/>
      <c r="J104" s="5"/>
      <c r="K104" s="5"/>
      <c r="L104" s="5"/>
      <c r="M104" s="5"/>
      <c r="N104" s="5"/>
      <c r="O104" s="5"/>
      <c r="P104" s="5"/>
      <c r="Q104" s="5"/>
    </row>
    <row r="105" spans="1:23">
      <c r="A105" s="56"/>
      <c r="B105" s="56"/>
      <c r="C105" s="56"/>
      <c r="D105" s="56"/>
      <c r="E105" s="56"/>
      <c r="F105" s="56"/>
      <c r="G105" s="56"/>
      <c r="H105" s="56"/>
      <c r="I105" s="56"/>
      <c r="J105" s="56"/>
      <c r="K105" s="56"/>
      <c r="L105" s="56"/>
      <c r="M105" s="56"/>
      <c r="N105" s="56"/>
      <c r="O105" s="56"/>
      <c r="P105" s="56"/>
      <c r="Q105" s="56"/>
    </row>
    <row r="106" spans="1:23">
      <c r="A106" s="56"/>
      <c r="B106" s="56"/>
      <c r="C106" s="56"/>
      <c r="D106" s="56"/>
      <c r="E106" s="56"/>
      <c r="F106" s="56"/>
      <c r="G106" s="56"/>
      <c r="H106" s="56"/>
      <c r="I106" s="56"/>
      <c r="J106" s="56"/>
      <c r="K106" s="56"/>
      <c r="L106" s="56"/>
      <c r="M106" s="56"/>
      <c r="N106" s="56"/>
      <c r="O106" s="56"/>
      <c r="P106" s="56"/>
      <c r="Q106" s="56"/>
    </row>
    <row r="107" spans="1:23">
      <c r="A107" s="56"/>
      <c r="B107" s="56"/>
      <c r="C107" s="56"/>
      <c r="D107" s="56"/>
      <c r="E107" s="56"/>
      <c r="F107" s="56"/>
      <c r="G107" s="56"/>
      <c r="H107" s="56"/>
      <c r="I107" s="56"/>
      <c r="J107" s="56"/>
      <c r="K107" s="56"/>
      <c r="L107" s="56"/>
      <c r="M107" s="56"/>
      <c r="N107" s="56"/>
      <c r="O107" s="56"/>
      <c r="P107" s="56"/>
      <c r="Q107" s="56"/>
    </row>
    <row r="108" spans="1:23">
      <c r="A108" s="56"/>
      <c r="B108" s="56"/>
      <c r="C108" s="56"/>
      <c r="D108" s="56"/>
      <c r="E108" s="56"/>
      <c r="F108" s="56"/>
      <c r="G108" s="56"/>
      <c r="H108" s="56"/>
      <c r="I108" s="56"/>
      <c r="J108" s="56"/>
      <c r="K108" s="56"/>
      <c r="L108" s="56"/>
      <c r="M108" s="56"/>
      <c r="N108" s="56"/>
      <c r="O108" s="56"/>
      <c r="P108" s="56"/>
      <c r="Q108" s="56"/>
    </row>
    <row r="128" spans="17:17">
      <c r="Q128" s="6"/>
    </row>
  </sheetData>
  <sheetProtection password="D6D7" sheet="1" objects="1" scenarios="1"/>
  <mergeCells count="128">
    <mergeCell ref="A59:Q59"/>
    <mergeCell ref="A66:Q66"/>
    <mergeCell ref="A60:O60"/>
    <mergeCell ref="A69:Q69"/>
    <mergeCell ref="A57:Q57"/>
    <mergeCell ref="A82:Q82"/>
    <mergeCell ref="A83:Q83"/>
    <mergeCell ref="A84:Q84"/>
    <mergeCell ref="A85:Q85"/>
    <mergeCell ref="A78:Q78"/>
    <mergeCell ref="A79:Q79"/>
    <mergeCell ref="A80:Q80"/>
    <mergeCell ref="A81:Q81"/>
    <mergeCell ref="A77:Q77"/>
    <mergeCell ref="A55:Q55"/>
    <mergeCell ref="A49:Q49"/>
    <mergeCell ref="A50:G50"/>
    <mergeCell ref="A53:G53"/>
    <mergeCell ref="I53:J53"/>
    <mergeCell ref="A48:Q48"/>
    <mergeCell ref="A76:Q76"/>
    <mergeCell ref="A74:Q74"/>
    <mergeCell ref="A75:Q75"/>
    <mergeCell ref="A56:Q56"/>
    <mergeCell ref="C71:Q71"/>
    <mergeCell ref="A72:Q72"/>
    <mergeCell ref="F73:Q73"/>
    <mergeCell ref="A73:E73"/>
    <mergeCell ref="A71:B71"/>
    <mergeCell ref="A64:O64"/>
    <mergeCell ref="A62:O62"/>
    <mergeCell ref="A67:Q67"/>
    <mergeCell ref="A63:Q63"/>
    <mergeCell ref="A61:Q61"/>
    <mergeCell ref="A70:O70"/>
    <mergeCell ref="A68:O68"/>
    <mergeCell ref="A65:Q65"/>
    <mergeCell ref="A58:O58"/>
    <mergeCell ref="A1:Q1"/>
    <mergeCell ref="A2:Q2"/>
    <mergeCell ref="A3:Q12"/>
    <mergeCell ref="A25:Q25"/>
    <mergeCell ref="A13:Q16"/>
    <mergeCell ref="D17:Q17"/>
    <mergeCell ref="E18:Q18"/>
    <mergeCell ref="A17:C17"/>
    <mergeCell ref="A18:D18"/>
    <mergeCell ref="A23:B23"/>
    <mergeCell ref="D22:H22"/>
    <mergeCell ref="J22:Q22"/>
    <mergeCell ref="C23:Q23"/>
    <mergeCell ref="A19:C19"/>
    <mergeCell ref="J24:Q24"/>
    <mergeCell ref="D19:Q19"/>
    <mergeCell ref="A20:C20"/>
    <mergeCell ref="D20:Q20"/>
    <mergeCell ref="A24:I24"/>
    <mergeCell ref="M21:Q21"/>
    <mergeCell ref="A22:C22"/>
    <mergeCell ref="A54:Q54"/>
    <mergeCell ref="L53:Q53"/>
    <mergeCell ref="T28:W28"/>
    <mergeCell ref="X28:AF28"/>
    <mergeCell ref="H21:K21"/>
    <mergeCell ref="B21:F21"/>
    <mergeCell ref="A26:I26"/>
    <mergeCell ref="O30:Q30"/>
    <mergeCell ref="A30:N30"/>
    <mergeCell ref="J26:Q26"/>
    <mergeCell ref="A37:Q37"/>
    <mergeCell ref="A42:Q42"/>
    <mergeCell ref="A46:Q46"/>
    <mergeCell ref="M27:Q28"/>
    <mergeCell ref="O39:Q39"/>
    <mergeCell ref="O43:Q43"/>
    <mergeCell ref="L43:M43"/>
    <mergeCell ref="A47:G47"/>
    <mergeCell ref="I50:J50"/>
    <mergeCell ref="A52:Q52"/>
    <mergeCell ref="A51:Q51"/>
    <mergeCell ref="L50:M50"/>
    <mergeCell ref="O50:Q50"/>
    <mergeCell ref="L47:M47"/>
    <mergeCell ref="A97:Q102"/>
    <mergeCell ref="A92:Q92"/>
    <mergeCell ref="A90:Q90"/>
    <mergeCell ref="A91:Q91"/>
    <mergeCell ref="A93:Q93"/>
    <mergeCell ref="A86:Q86"/>
    <mergeCell ref="A87:Q87"/>
    <mergeCell ref="A88:Q88"/>
    <mergeCell ref="A89:Q89"/>
    <mergeCell ref="B94:Q94"/>
    <mergeCell ref="B96:Q96"/>
    <mergeCell ref="B95:Q95"/>
    <mergeCell ref="O47:Q47"/>
    <mergeCell ref="I39:J39"/>
    <mergeCell ref="A39:G39"/>
    <mergeCell ref="A41:Q41"/>
    <mergeCell ref="A45:Q45"/>
    <mergeCell ref="A43:G43"/>
    <mergeCell ref="M44:Q44"/>
    <mergeCell ref="A44:L44"/>
    <mergeCell ref="A33:Q33"/>
    <mergeCell ref="I43:J43"/>
    <mergeCell ref="I47:J47"/>
    <mergeCell ref="A38:Q38"/>
    <mergeCell ref="A34:Q34"/>
    <mergeCell ref="A40:I40"/>
    <mergeCell ref="J40:Q40"/>
    <mergeCell ref="L35:Q35"/>
    <mergeCell ref="E28:G28"/>
    <mergeCell ref="L39:M39"/>
    <mergeCell ref="A35:G35"/>
    <mergeCell ref="I35:J35"/>
    <mergeCell ref="A36:Q36"/>
    <mergeCell ref="E27:G27"/>
    <mergeCell ref="H27:I27"/>
    <mergeCell ref="H28:I28"/>
    <mergeCell ref="J27:L27"/>
    <mergeCell ref="J28:L28"/>
    <mergeCell ref="A29:D29"/>
    <mergeCell ref="E29:G29"/>
    <mergeCell ref="H29:I29"/>
    <mergeCell ref="A27:D27"/>
    <mergeCell ref="J29:Q29"/>
    <mergeCell ref="A31:Q31"/>
    <mergeCell ref="A32:Q32"/>
  </mergeCells>
  <phoneticPr fontId="8" type="noConversion"/>
  <dataValidations disablePrompts="1" count="1">
    <dataValidation type="list" allowBlank="1" showInputMessage="1" showErrorMessage="1" sqref="H35 P70 P68 P64 P62 P60 P58 K53 H53 N50 K50 H50 N47 K47 H47 N43 K43 H43 N39 K39 H39 K35">
      <formula1>"✓, -----"</formula1>
    </dataValidation>
  </dataValidations>
  <pageMargins left="1" right="1" top="1" bottom="1" header="0" footer="0"/>
  <pageSetup orientation="portrait" r:id="rId1"/>
  <headerFooter>
    <oddFooter xml:space="preserve">&amp;LFor Official Government Use Only
USDA, AMS, FVP, Fresh Products Branch
&amp;RJanuary 26, 2012
Page &amp;P
</oddFooter>
  </headerFooter>
  <rowBreaks count="1" manualBreakCount="1">
    <brk id="73" max="16383"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11"/>
  </sheetPr>
  <dimension ref="A1:Y102"/>
  <sheetViews>
    <sheetView view="pageLayout" topLeftCell="A41" zoomScaleNormal="90" workbookViewId="0">
      <selection activeCell="P38" sqref="P38"/>
    </sheetView>
  </sheetViews>
  <sheetFormatPr defaultRowHeight="12.75"/>
  <cols>
    <col min="1" max="1" width="5.5703125" customWidth="1"/>
    <col min="2" max="3" width="7.28515625" customWidth="1"/>
    <col min="4" max="4" width="2.7109375" style="53" customWidth="1"/>
    <col min="5" max="5" width="7.28515625" customWidth="1"/>
    <col min="6" max="6" width="2.7109375" customWidth="1"/>
    <col min="7" max="7" width="7.28515625" customWidth="1"/>
    <col min="8" max="8" width="2.7109375" style="53" customWidth="1"/>
    <col min="9" max="9" width="3.140625" style="53" customWidth="1"/>
    <col min="10" max="10" width="7.28515625" customWidth="1"/>
    <col min="11" max="11" width="6.42578125" customWidth="1"/>
    <col min="12" max="12" width="4.85546875" customWidth="1"/>
    <col min="13" max="13" width="5.140625" customWidth="1"/>
    <col min="14" max="14" width="5.28515625" customWidth="1"/>
    <col min="15" max="15" width="6.42578125" customWidth="1"/>
  </cols>
  <sheetData>
    <row r="1" spans="1:17" ht="20.25">
      <c r="A1" s="316" t="s">
        <v>60</v>
      </c>
      <c r="B1" s="316"/>
      <c r="C1" s="316"/>
      <c r="D1" s="316"/>
      <c r="E1" s="317"/>
      <c r="F1" s="317"/>
      <c r="G1" s="317"/>
      <c r="H1" s="317"/>
      <c r="I1" s="317"/>
      <c r="J1" s="317"/>
      <c r="K1" s="317"/>
      <c r="L1" s="317"/>
      <c r="M1" s="317"/>
      <c r="N1" s="317"/>
      <c r="O1" s="317"/>
    </row>
    <row r="2" spans="1:17" ht="30" customHeight="1">
      <c r="A2" s="329" t="s">
        <v>61</v>
      </c>
      <c r="B2" s="329"/>
      <c r="C2" s="329"/>
      <c r="D2" s="329"/>
      <c r="E2" s="329"/>
      <c r="F2" s="329"/>
      <c r="G2" s="329"/>
      <c r="H2" s="329"/>
      <c r="I2" s="329"/>
      <c r="J2" s="329"/>
      <c r="K2" s="329"/>
      <c r="L2" s="329"/>
      <c r="M2" s="329"/>
      <c r="N2" s="329"/>
      <c r="O2" s="329"/>
      <c r="P2" s="5"/>
      <c r="Q2" s="5"/>
    </row>
    <row r="3" spans="1:17" s="44" customFormat="1" ht="15">
      <c r="A3" s="288" t="s">
        <v>66</v>
      </c>
      <c r="B3" s="289"/>
      <c r="C3" s="289"/>
      <c r="D3" s="289"/>
      <c r="E3" s="289"/>
      <c r="F3" s="289"/>
      <c r="G3" s="289"/>
      <c r="H3" s="289"/>
      <c r="I3" s="289"/>
      <c r="J3" s="290"/>
      <c r="K3" s="81" t="s">
        <v>65</v>
      </c>
      <c r="L3" s="76" t="s">
        <v>27</v>
      </c>
      <c r="M3" s="76" t="s">
        <v>64</v>
      </c>
      <c r="N3" s="76" t="s">
        <v>63</v>
      </c>
      <c r="O3" s="76" t="s">
        <v>62</v>
      </c>
      <c r="P3" s="42"/>
      <c r="Q3" s="43"/>
    </row>
    <row r="4" spans="1:17" ht="15" customHeight="1">
      <c r="A4" s="279" t="s">
        <v>601</v>
      </c>
      <c r="B4" s="260" t="s">
        <v>67</v>
      </c>
      <c r="C4" s="205"/>
      <c r="D4" s="205"/>
      <c r="E4" s="205"/>
      <c r="F4" s="205"/>
      <c r="G4" s="205"/>
      <c r="H4" s="205"/>
      <c r="I4" s="205"/>
      <c r="J4" s="319"/>
      <c r="K4" s="286"/>
      <c r="L4" s="238"/>
      <c r="M4" s="318"/>
      <c r="N4" s="282"/>
      <c r="O4" s="232" t="s">
        <v>76</v>
      </c>
    </row>
    <row r="5" spans="1:17" ht="15" customHeight="1">
      <c r="A5" s="291"/>
      <c r="B5" s="252" t="s">
        <v>68</v>
      </c>
      <c r="C5" s="167"/>
      <c r="D5" s="167"/>
      <c r="E5" s="167"/>
      <c r="F5" s="167"/>
      <c r="G5" s="167"/>
      <c r="H5" s="167"/>
      <c r="I5" s="167"/>
      <c r="J5" s="154"/>
      <c r="K5" s="286"/>
      <c r="L5" s="239"/>
      <c r="M5" s="286"/>
      <c r="N5" s="283"/>
      <c r="O5" s="233"/>
    </row>
    <row r="6" spans="1:17" ht="15" customHeight="1">
      <c r="A6" s="285"/>
      <c r="B6" s="254" t="s">
        <v>69</v>
      </c>
      <c r="C6" s="193"/>
      <c r="D6" s="193"/>
      <c r="E6" s="193"/>
      <c r="F6" s="193"/>
      <c r="G6" s="193"/>
      <c r="H6" s="193"/>
      <c r="I6" s="193"/>
      <c r="J6" s="320"/>
      <c r="K6" s="287"/>
      <c r="L6" s="240"/>
      <c r="M6" s="287"/>
      <c r="N6" s="284"/>
      <c r="O6" s="234"/>
    </row>
    <row r="7" spans="1:17" ht="15">
      <c r="A7" s="279" t="s">
        <v>602</v>
      </c>
      <c r="B7" s="260" t="s">
        <v>72</v>
      </c>
      <c r="C7" s="187"/>
      <c r="D7" s="187"/>
      <c r="E7" s="187"/>
      <c r="F7" s="187"/>
      <c r="G7" s="187"/>
      <c r="H7" s="187"/>
      <c r="I7" s="187"/>
      <c r="J7" s="261"/>
      <c r="K7" s="323"/>
      <c r="L7" s="238"/>
      <c r="M7" s="318"/>
      <c r="N7" s="330"/>
      <c r="O7" s="232" t="s">
        <v>76</v>
      </c>
    </row>
    <row r="8" spans="1:17" ht="15">
      <c r="A8" s="291"/>
      <c r="B8" s="252" t="s">
        <v>73</v>
      </c>
      <c r="C8" s="168"/>
      <c r="D8" s="168"/>
      <c r="E8" s="168"/>
      <c r="F8" s="168"/>
      <c r="G8" s="168"/>
      <c r="H8" s="168"/>
      <c r="I8" s="168"/>
      <c r="J8" s="253"/>
      <c r="K8" s="324"/>
      <c r="L8" s="239"/>
      <c r="M8" s="286"/>
      <c r="N8" s="331"/>
      <c r="O8" s="233"/>
    </row>
    <row r="9" spans="1:17" ht="15">
      <c r="A9" s="291"/>
      <c r="B9" s="252" t="s">
        <v>74</v>
      </c>
      <c r="C9" s="168"/>
      <c r="D9" s="168"/>
      <c r="E9" s="168"/>
      <c r="F9" s="168"/>
      <c r="G9" s="168"/>
      <c r="H9" s="168"/>
      <c r="I9" s="168"/>
      <c r="J9" s="253"/>
      <c r="K9" s="324"/>
      <c r="L9" s="239"/>
      <c r="M9" s="286"/>
      <c r="N9" s="331"/>
      <c r="O9" s="233"/>
    </row>
    <row r="10" spans="1:17" ht="15">
      <c r="A10" s="322"/>
      <c r="B10" s="38" t="s">
        <v>75</v>
      </c>
      <c r="C10" s="292"/>
      <c r="D10" s="293"/>
      <c r="E10" s="293"/>
      <c r="F10" s="293"/>
      <c r="G10" s="293"/>
      <c r="H10" s="293"/>
      <c r="I10" s="293"/>
      <c r="J10" s="294"/>
      <c r="K10" s="324"/>
      <c r="L10" s="239"/>
      <c r="M10" s="286"/>
      <c r="N10" s="331"/>
      <c r="O10" s="233"/>
    </row>
    <row r="11" spans="1:17" ht="6" customHeight="1">
      <c r="A11" s="268"/>
      <c r="B11" s="295"/>
      <c r="C11" s="296"/>
      <c r="D11" s="296"/>
      <c r="E11" s="296"/>
      <c r="F11" s="296"/>
      <c r="G11" s="296"/>
      <c r="H11" s="296"/>
      <c r="I11" s="296"/>
      <c r="J11" s="297"/>
      <c r="K11" s="325"/>
      <c r="L11" s="240"/>
      <c r="M11" s="287"/>
      <c r="N11" s="284"/>
      <c r="O11" s="332"/>
    </row>
    <row r="12" spans="1:17" s="31" customFormat="1" ht="30" customHeight="1">
      <c r="A12" s="305" t="s">
        <v>613</v>
      </c>
      <c r="B12" s="305"/>
      <c r="C12" s="305"/>
      <c r="D12" s="305"/>
      <c r="E12" s="305"/>
      <c r="F12" s="305"/>
      <c r="G12" s="305"/>
      <c r="H12" s="305"/>
      <c r="I12" s="305"/>
      <c r="J12" s="305"/>
      <c r="K12" s="305"/>
      <c r="L12" s="305"/>
      <c r="M12" s="305"/>
      <c r="N12" s="305"/>
      <c r="O12" s="305"/>
    </row>
    <row r="13" spans="1:17" s="39" customFormat="1" ht="15">
      <c r="A13" s="300" t="s">
        <v>66</v>
      </c>
      <c r="B13" s="303"/>
      <c r="C13" s="303"/>
      <c r="D13" s="303"/>
      <c r="E13" s="303"/>
      <c r="F13" s="303"/>
      <c r="G13" s="303"/>
      <c r="H13" s="303"/>
      <c r="I13" s="303"/>
      <c r="J13" s="304"/>
      <c r="K13" s="74" t="s">
        <v>65</v>
      </c>
      <c r="L13" s="75" t="s">
        <v>27</v>
      </c>
      <c r="M13" s="75" t="s">
        <v>64</v>
      </c>
      <c r="N13" s="75" t="s">
        <v>63</v>
      </c>
      <c r="O13" s="75" t="s">
        <v>62</v>
      </c>
    </row>
    <row r="14" spans="1:17" s="37" customFormat="1" ht="15">
      <c r="A14" s="241" t="s">
        <v>70</v>
      </c>
      <c r="B14" s="309" t="s">
        <v>605</v>
      </c>
      <c r="C14" s="310"/>
      <c r="D14" s="310"/>
      <c r="E14" s="310"/>
      <c r="F14" s="310"/>
      <c r="G14" s="310"/>
      <c r="H14" s="310"/>
      <c r="I14" s="310"/>
      <c r="J14" s="311"/>
      <c r="K14" s="246">
        <v>15</v>
      </c>
      <c r="L14" s="248"/>
      <c r="M14" s="248"/>
      <c r="N14" s="250"/>
      <c r="O14" s="232" t="s">
        <v>76</v>
      </c>
    </row>
    <row r="15" spans="1:17" s="37" customFormat="1" ht="15">
      <c r="A15" s="242"/>
      <c r="B15" s="243" t="s">
        <v>606</v>
      </c>
      <c r="C15" s="244"/>
      <c r="D15" s="244"/>
      <c r="E15" s="244"/>
      <c r="F15" s="244"/>
      <c r="G15" s="244"/>
      <c r="H15" s="244"/>
      <c r="I15" s="244"/>
      <c r="J15" s="245"/>
      <c r="K15" s="247"/>
      <c r="L15" s="249"/>
      <c r="M15" s="249"/>
      <c r="N15" s="251"/>
      <c r="O15" s="234"/>
    </row>
    <row r="16" spans="1:17" s="37" customFormat="1" ht="15">
      <c r="A16" s="241" t="s">
        <v>71</v>
      </c>
      <c r="B16" s="298" t="s">
        <v>752</v>
      </c>
      <c r="C16" s="160"/>
      <c r="D16" s="160"/>
      <c r="E16" s="160"/>
      <c r="F16" s="160"/>
      <c r="G16" s="160"/>
      <c r="H16" s="160"/>
      <c r="I16" s="160"/>
      <c r="J16" s="299"/>
      <c r="K16" s="232">
        <v>10</v>
      </c>
      <c r="L16" s="248"/>
      <c r="M16" s="312"/>
      <c r="N16" s="313"/>
      <c r="O16" s="315" t="s">
        <v>603</v>
      </c>
    </row>
    <row r="17" spans="1:25" s="37" customFormat="1" ht="15">
      <c r="A17" s="242"/>
      <c r="B17" s="306" t="s">
        <v>330</v>
      </c>
      <c r="C17" s="307"/>
      <c r="D17" s="307"/>
      <c r="E17" s="307"/>
      <c r="F17" s="307"/>
      <c r="G17" s="307"/>
      <c r="H17" s="307"/>
      <c r="I17" s="307"/>
      <c r="J17" s="308"/>
      <c r="K17" s="234"/>
      <c r="L17" s="249"/>
      <c r="M17" s="312"/>
      <c r="N17" s="314"/>
      <c r="O17" s="315"/>
    </row>
    <row r="18" spans="1:25" ht="30" customHeight="1">
      <c r="A18" s="321" t="s">
        <v>77</v>
      </c>
      <c r="B18" s="321"/>
      <c r="C18" s="321"/>
      <c r="D18" s="321"/>
      <c r="E18" s="321"/>
      <c r="F18" s="321"/>
      <c r="G18" s="321"/>
      <c r="H18" s="321"/>
      <c r="I18" s="321"/>
      <c r="J18" s="321"/>
      <c r="K18" s="321"/>
      <c r="L18" s="321"/>
      <c r="M18" s="321"/>
      <c r="N18" s="321"/>
      <c r="O18" s="321"/>
    </row>
    <row r="19" spans="1:25" s="41" customFormat="1" ht="15">
      <c r="A19" s="300" t="s">
        <v>66</v>
      </c>
      <c r="B19" s="301"/>
      <c r="C19" s="301"/>
      <c r="D19" s="301"/>
      <c r="E19" s="301"/>
      <c r="F19" s="301"/>
      <c r="G19" s="301"/>
      <c r="H19" s="301"/>
      <c r="I19" s="301"/>
      <c r="J19" s="302"/>
      <c r="K19" s="74" t="s">
        <v>65</v>
      </c>
      <c r="L19" s="75" t="s">
        <v>27</v>
      </c>
      <c r="M19" s="75" t="s">
        <v>64</v>
      </c>
      <c r="N19" s="75" t="s">
        <v>63</v>
      </c>
      <c r="O19" s="75" t="s">
        <v>62</v>
      </c>
    </row>
    <row r="20" spans="1:25" ht="15">
      <c r="A20" s="29" t="s">
        <v>78</v>
      </c>
      <c r="B20" s="346" t="s">
        <v>88</v>
      </c>
      <c r="C20" s="347"/>
      <c r="D20" s="347"/>
      <c r="E20" s="347"/>
      <c r="F20" s="347"/>
      <c r="G20" s="347"/>
      <c r="H20" s="347"/>
      <c r="I20" s="347"/>
      <c r="J20" s="348"/>
      <c r="K20" s="29">
        <v>10</v>
      </c>
      <c r="L20" s="30"/>
      <c r="M20" s="30"/>
      <c r="N20" s="83"/>
      <c r="O20" s="29" t="s">
        <v>603</v>
      </c>
    </row>
    <row r="21" spans="1:25" ht="15">
      <c r="A21" s="279" t="s">
        <v>79</v>
      </c>
      <c r="B21" s="260" t="s">
        <v>94</v>
      </c>
      <c r="C21" s="187"/>
      <c r="D21" s="187"/>
      <c r="E21" s="187"/>
      <c r="F21" s="187"/>
      <c r="G21" s="187"/>
      <c r="H21" s="187"/>
      <c r="I21" s="187"/>
      <c r="J21" s="261"/>
      <c r="K21" s="232">
        <v>10</v>
      </c>
      <c r="L21" s="326"/>
      <c r="M21" s="326"/>
      <c r="N21" s="335"/>
      <c r="O21" s="232" t="s">
        <v>604</v>
      </c>
      <c r="X21" s="36"/>
      <c r="Y21" s="36"/>
    </row>
    <row r="22" spans="1:25" s="31" customFormat="1" ht="15">
      <c r="A22" s="291"/>
      <c r="B22" s="252" t="s">
        <v>95</v>
      </c>
      <c r="C22" s="172"/>
      <c r="D22" s="172"/>
      <c r="E22" s="172"/>
      <c r="F22" s="172"/>
      <c r="G22" s="172"/>
      <c r="H22" s="172"/>
      <c r="I22" s="172"/>
      <c r="J22" s="253"/>
      <c r="K22" s="233"/>
      <c r="L22" s="327"/>
      <c r="M22" s="327"/>
      <c r="N22" s="336"/>
      <c r="O22" s="233"/>
      <c r="R22" s="32"/>
      <c r="S22" s="32"/>
      <c r="T22" s="32"/>
      <c r="U22" s="32"/>
      <c r="V22" s="32"/>
      <c r="W22" s="32"/>
      <c r="X22" s="36"/>
      <c r="Y22" s="36"/>
    </row>
    <row r="23" spans="1:25" ht="15">
      <c r="A23" s="281"/>
      <c r="B23" s="254" t="s">
        <v>96</v>
      </c>
      <c r="C23" s="255"/>
      <c r="D23" s="255"/>
      <c r="E23" s="255"/>
      <c r="F23" s="255"/>
      <c r="G23" s="255"/>
      <c r="H23" s="255"/>
      <c r="I23" s="255"/>
      <c r="J23" s="256"/>
      <c r="K23" s="234"/>
      <c r="L23" s="328"/>
      <c r="M23" s="328"/>
      <c r="N23" s="325"/>
      <c r="O23" s="234"/>
      <c r="X23" s="36"/>
      <c r="Y23" s="36"/>
    </row>
    <row r="24" spans="1:25" ht="15">
      <c r="A24" s="279" t="s">
        <v>80</v>
      </c>
      <c r="B24" s="260" t="s">
        <v>89</v>
      </c>
      <c r="C24" s="187"/>
      <c r="D24" s="187"/>
      <c r="E24" s="187"/>
      <c r="F24" s="187"/>
      <c r="G24" s="187"/>
      <c r="H24" s="187"/>
      <c r="I24" s="187"/>
      <c r="J24" s="261"/>
      <c r="K24" s="233">
        <v>15</v>
      </c>
      <c r="L24" s="238"/>
      <c r="M24" s="238"/>
      <c r="N24" s="318"/>
      <c r="O24" s="232" t="s">
        <v>76</v>
      </c>
    </row>
    <row r="25" spans="1:25" ht="15">
      <c r="A25" s="291"/>
      <c r="B25" s="254" t="s">
        <v>90</v>
      </c>
      <c r="C25" s="255"/>
      <c r="D25" s="255"/>
      <c r="E25" s="255"/>
      <c r="F25" s="255"/>
      <c r="G25" s="255"/>
      <c r="H25" s="255"/>
      <c r="I25" s="255"/>
      <c r="J25" s="256"/>
      <c r="K25" s="233"/>
      <c r="L25" s="239"/>
      <c r="M25" s="239"/>
      <c r="N25" s="286"/>
      <c r="O25" s="233"/>
    </row>
    <row r="26" spans="1:25" ht="15">
      <c r="A26" s="279" t="s">
        <v>81</v>
      </c>
      <c r="B26" s="260" t="s">
        <v>97</v>
      </c>
      <c r="C26" s="269"/>
      <c r="D26" s="269"/>
      <c r="E26" s="269"/>
      <c r="F26" s="269"/>
      <c r="G26" s="269"/>
      <c r="H26" s="269"/>
      <c r="I26" s="269"/>
      <c r="J26" s="270"/>
      <c r="K26" s="232">
        <v>15</v>
      </c>
      <c r="L26" s="238"/>
      <c r="M26" s="238"/>
      <c r="N26" s="318"/>
      <c r="O26" s="238"/>
    </row>
    <row r="27" spans="1:25" ht="15">
      <c r="A27" s="285"/>
      <c r="B27" s="254" t="s">
        <v>98</v>
      </c>
      <c r="C27" s="275"/>
      <c r="D27" s="275"/>
      <c r="E27" s="275"/>
      <c r="F27" s="275"/>
      <c r="G27" s="275"/>
      <c r="H27" s="275"/>
      <c r="I27" s="275"/>
      <c r="J27" s="276"/>
      <c r="K27" s="234"/>
      <c r="L27" s="240"/>
      <c r="M27" s="240"/>
      <c r="N27" s="287"/>
      <c r="O27" s="240"/>
    </row>
    <row r="28" spans="1:25" ht="15">
      <c r="A28" s="349" t="s">
        <v>82</v>
      </c>
      <c r="B28" s="260" t="s">
        <v>700</v>
      </c>
      <c r="C28" s="187"/>
      <c r="D28" s="187"/>
      <c r="E28" s="187"/>
      <c r="F28" s="187"/>
      <c r="G28" s="187"/>
      <c r="H28" s="187"/>
      <c r="I28" s="187"/>
      <c r="J28" s="261"/>
      <c r="K28" s="315">
        <v>15</v>
      </c>
      <c r="L28" s="334"/>
      <c r="M28" s="333"/>
      <c r="N28" s="334"/>
      <c r="O28" s="334"/>
    </row>
    <row r="29" spans="1:25" s="53" customFormat="1" ht="15">
      <c r="A29" s="349"/>
      <c r="B29" s="298" t="s">
        <v>702</v>
      </c>
      <c r="C29" s="160"/>
      <c r="D29" s="160"/>
      <c r="E29" s="160"/>
      <c r="F29" s="160"/>
      <c r="G29" s="160"/>
      <c r="H29" s="160"/>
      <c r="I29" s="160"/>
      <c r="J29" s="299"/>
      <c r="K29" s="315"/>
      <c r="L29" s="334"/>
      <c r="M29" s="333"/>
      <c r="N29" s="334"/>
      <c r="O29" s="334"/>
    </row>
    <row r="30" spans="1:25" ht="15">
      <c r="A30" s="349"/>
      <c r="B30" s="254" t="s">
        <v>701</v>
      </c>
      <c r="C30" s="255"/>
      <c r="D30" s="255"/>
      <c r="E30" s="255"/>
      <c r="F30" s="255"/>
      <c r="G30" s="255"/>
      <c r="H30" s="255"/>
      <c r="I30" s="255"/>
      <c r="J30" s="256"/>
      <c r="K30" s="315"/>
      <c r="L30" s="334"/>
      <c r="M30" s="333"/>
      <c r="N30" s="334"/>
      <c r="O30" s="334"/>
    </row>
    <row r="31" spans="1:25" ht="15">
      <c r="A31" s="279" t="s">
        <v>83</v>
      </c>
      <c r="B31" s="260" t="s">
        <v>91</v>
      </c>
      <c r="C31" s="187"/>
      <c r="D31" s="187"/>
      <c r="E31" s="187"/>
      <c r="F31" s="187"/>
      <c r="G31" s="187"/>
      <c r="H31" s="187"/>
      <c r="I31" s="187"/>
      <c r="J31" s="261"/>
      <c r="K31" s="232">
        <v>10</v>
      </c>
      <c r="L31" s="238"/>
      <c r="M31" s="238"/>
      <c r="N31" s="238"/>
      <c r="O31" s="238"/>
    </row>
    <row r="32" spans="1:25" ht="15">
      <c r="A32" s="291"/>
      <c r="B32" s="252" t="s">
        <v>92</v>
      </c>
      <c r="C32" s="172"/>
      <c r="D32" s="172"/>
      <c r="E32" s="172"/>
      <c r="F32" s="172"/>
      <c r="G32" s="172"/>
      <c r="H32" s="172"/>
      <c r="I32" s="172"/>
      <c r="J32" s="253"/>
      <c r="K32" s="233"/>
      <c r="L32" s="239"/>
      <c r="M32" s="239"/>
      <c r="N32" s="239"/>
      <c r="O32" s="239"/>
    </row>
    <row r="33" spans="1:17" ht="15">
      <c r="A33" s="285"/>
      <c r="B33" s="254" t="s">
        <v>93</v>
      </c>
      <c r="C33" s="255"/>
      <c r="D33" s="255"/>
      <c r="E33" s="255"/>
      <c r="F33" s="255"/>
      <c r="G33" s="255"/>
      <c r="H33" s="255"/>
      <c r="I33" s="255"/>
      <c r="J33" s="256"/>
      <c r="K33" s="234"/>
      <c r="L33" s="240"/>
      <c r="M33" s="240"/>
      <c r="N33" s="240"/>
      <c r="O33" s="240"/>
    </row>
    <row r="34" spans="1:17" ht="15">
      <c r="A34" s="279" t="s">
        <v>84</v>
      </c>
      <c r="B34" s="260" t="s">
        <v>99</v>
      </c>
      <c r="C34" s="187"/>
      <c r="D34" s="187"/>
      <c r="E34" s="187"/>
      <c r="F34" s="187"/>
      <c r="G34" s="187"/>
      <c r="H34" s="187"/>
      <c r="I34" s="187"/>
      <c r="J34" s="261"/>
      <c r="K34" s="232">
        <v>15</v>
      </c>
      <c r="L34" s="238"/>
      <c r="M34" s="238"/>
      <c r="N34" s="238"/>
      <c r="O34" s="238"/>
    </row>
    <row r="35" spans="1:17" ht="15">
      <c r="A35" s="291"/>
      <c r="B35" s="252" t="s">
        <v>703</v>
      </c>
      <c r="C35" s="172"/>
      <c r="D35" s="172"/>
      <c r="E35" s="172"/>
      <c r="F35" s="172"/>
      <c r="G35" s="172"/>
      <c r="H35" s="172"/>
      <c r="I35" s="172"/>
      <c r="J35" s="253"/>
      <c r="K35" s="233"/>
      <c r="L35" s="239"/>
      <c r="M35" s="239"/>
      <c r="N35" s="239"/>
      <c r="O35" s="239"/>
    </row>
    <row r="36" spans="1:17" ht="15">
      <c r="A36" s="291"/>
      <c r="B36" s="252" t="s">
        <v>889</v>
      </c>
      <c r="C36" s="172"/>
      <c r="D36" s="172"/>
      <c r="E36" s="172"/>
      <c r="F36" s="172"/>
      <c r="G36" s="172"/>
      <c r="H36" s="172"/>
      <c r="I36" s="172"/>
      <c r="J36" s="253"/>
      <c r="K36" s="233"/>
      <c r="L36" s="239"/>
      <c r="M36" s="239"/>
      <c r="N36" s="239"/>
      <c r="O36" s="239"/>
    </row>
    <row r="37" spans="1:17" ht="15">
      <c r="A37" s="291"/>
      <c r="B37" s="252" t="s">
        <v>650</v>
      </c>
      <c r="C37" s="172"/>
      <c r="D37" s="172"/>
      <c r="E37" s="172"/>
      <c r="F37" s="172"/>
      <c r="G37" s="172"/>
      <c r="H37" s="172"/>
      <c r="I37" s="172"/>
      <c r="J37" s="253"/>
      <c r="K37" s="233"/>
      <c r="L37" s="239"/>
      <c r="M37" s="239"/>
      <c r="N37" s="239"/>
      <c r="O37" s="239"/>
    </row>
    <row r="38" spans="1:17" ht="15">
      <c r="A38" s="285"/>
      <c r="B38" s="254" t="s">
        <v>100</v>
      </c>
      <c r="C38" s="255"/>
      <c r="D38" s="255"/>
      <c r="E38" s="255"/>
      <c r="F38" s="255"/>
      <c r="G38" s="255"/>
      <c r="H38" s="255"/>
      <c r="I38" s="255"/>
      <c r="J38" s="256"/>
      <c r="K38" s="234"/>
      <c r="L38" s="240"/>
      <c r="M38" s="240"/>
      <c r="N38" s="240"/>
      <c r="O38" s="240"/>
    </row>
    <row r="39" spans="1:17" ht="15">
      <c r="A39" s="279" t="s">
        <v>85</v>
      </c>
      <c r="B39" s="260" t="s">
        <v>99</v>
      </c>
      <c r="C39" s="269"/>
      <c r="D39" s="269"/>
      <c r="E39" s="269"/>
      <c r="F39" s="269"/>
      <c r="G39" s="269"/>
      <c r="H39" s="269"/>
      <c r="I39" s="269"/>
      <c r="J39" s="270"/>
      <c r="K39" s="232">
        <v>10</v>
      </c>
      <c r="L39" s="238"/>
      <c r="M39" s="238"/>
      <c r="N39" s="238"/>
      <c r="O39" s="232" t="s">
        <v>603</v>
      </c>
    </row>
    <row r="40" spans="1:17" ht="15">
      <c r="A40" s="285"/>
      <c r="B40" s="254" t="s">
        <v>101</v>
      </c>
      <c r="C40" s="275"/>
      <c r="D40" s="275"/>
      <c r="E40" s="275"/>
      <c r="F40" s="275"/>
      <c r="G40" s="275"/>
      <c r="H40" s="275"/>
      <c r="I40" s="275"/>
      <c r="J40" s="276"/>
      <c r="K40" s="234"/>
      <c r="L40" s="240"/>
      <c r="M40" s="240"/>
      <c r="N40" s="240"/>
      <c r="O40" s="234"/>
    </row>
    <row r="41" spans="1:17" ht="15">
      <c r="A41" s="300" t="s">
        <v>66</v>
      </c>
      <c r="B41" s="301"/>
      <c r="C41" s="301"/>
      <c r="D41" s="301"/>
      <c r="E41" s="301"/>
      <c r="F41" s="301"/>
      <c r="G41" s="301"/>
      <c r="H41" s="301"/>
      <c r="I41" s="301"/>
      <c r="J41" s="302"/>
      <c r="K41" s="74" t="s">
        <v>65</v>
      </c>
      <c r="L41" s="75" t="s">
        <v>27</v>
      </c>
      <c r="M41" s="75" t="s">
        <v>64</v>
      </c>
      <c r="N41" s="75" t="s">
        <v>63</v>
      </c>
      <c r="O41" s="75" t="s">
        <v>62</v>
      </c>
      <c r="P41" s="1"/>
      <c r="Q41" s="1"/>
    </row>
    <row r="42" spans="1:17" ht="15">
      <c r="A42" s="279" t="s">
        <v>86</v>
      </c>
      <c r="B42" s="260" t="s">
        <v>102</v>
      </c>
      <c r="C42" s="187"/>
      <c r="D42" s="187"/>
      <c r="E42" s="187"/>
      <c r="F42" s="187"/>
      <c r="G42" s="187"/>
      <c r="H42" s="187"/>
      <c r="I42" s="187"/>
      <c r="J42" s="261"/>
      <c r="K42" s="232">
        <v>10</v>
      </c>
      <c r="L42" s="238"/>
      <c r="M42" s="238"/>
      <c r="N42" s="238"/>
      <c r="O42" s="232" t="s">
        <v>604</v>
      </c>
    </row>
    <row r="43" spans="1:17" ht="15">
      <c r="A43" s="285"/>
      <c r="B43" s="254" t="s">
        <v>103</v>
      </c>
      <c r="C43" s="255"/>
      <c r="D43" s="255"/>
      <c r="E43" s="255"/>
      <c r="F43" s="255"/>
      <c r="G43" s="255"/>
      <c r="H43" s="255"/>
      <c r="I43" s="255"/>
      <c r="J43" s="256"/>
      <c r="K43" s="234"/>
      <c r="L43" s="240"/>
      <c r="M43" s="240"/>
      <c r="N43" s="240"/>
      <c r="O43" s="234"/>
    </row>
    <row r="44" spans="1:17" ht="15">
      <c r="A44" s="279" t="s">
        <v>87</v>
      </c>
      <c r="B44" s="260" t="s">
        <v>104</v>
      </c>
      <c r="C44" s="187"/>
      <c r="D44" s="187"/>
      <c r="E44" s="187"/>
      <c r="F44" s="187"/>
      <c r="G44" s="187"/>
      <c r="H44" s="187"/>
      <c r="I44" s="187"/>
      <c r="J44" s="261"/>
      <c r="K44" s="233">
        <v>15</v>
      </c>
      <c r="L44" s="238"/>
      <c r="M44" s="238"/>
      <c r="N44" s="282"/>
      <c r="O44" s="232" t="s">
        <v>604</v>
      </c>
    </row>
    <row r="45" spans="1:17" ht="15">
      <c r="A45" s="280"/>
      <c r="B45" s="252" t="s">
        <v>651</v>
      </c>
      <c r="C45" s="172"/>
      <c r="D45" s="172"/>
      <c r="E45" s="172"/>
      <c r="F45" s="172"/>
      <c r="G45" s="172"/>
      <c r="H45" s="172"/>
      <c r="I45" s="172"/>
      <c r="J45" s="253"/>
      <c r="K45" s="233"/>
      <c r="L45" s="239"/>
      <c r="M45" s="239"/>
      <c r="N45" s="283"/>
      <c r="O45" s="233"/>
    </row>
    <row r="46" spans="1:17" ht="15">
      <c r="A46" s="281"/>
      <c r="B46" s="254" t="s">
        <v>105</v>
      </c>
      <c r="C46" s="255"/>
      <c r="D46" s="255"/>
      <c r="E46" s="255"/>
      <c r="F46" s="255"/>
      <c r="G46" s="255"/>
      <c r="H46" s="255"/>
      <c r="I46" s="255"/>
      <c r="J46" s="256"/>
      <c r="K46" s="234"/>
      <c r="L46" s="240"/>
      <c r="M46" s="240"/>
      <c r="N46" s="284"/>
      <c r="O46" s="234"/>
    </row>
    <row r="47" spans="1:17" ht="15" customHeight="1">
      <c r="A47" s="257" t="s">
        <v>106</v>
      </c>
      <c r="B47" s="260" t="s">
        <v>109</v>
      </c>
      <c r="C47" s="187"/>
      <c r="D47" s="187"/>
      <c r="E47" s="187"/>
      <c r="F47" s="187"/>
      <c r="G47" s="187"/>
      <c r="H47" s="187"/>
      <c r="I47" s="187"/>
      <c r="J47" s="261"/>
      <c r="K47" s="232">
        <v>15</v>
      </c>
      <c r="L47" s="238"/>
      <c r="M47" s="238"/>
      <c r="N47" s="235"/>
      <c r="O47" s="232" t="s">
        <v>604</v>
      </c>
      <c r="P47" s="166"/>
      <c r="Q47" s="166"/>
    </row>
    <row r="48" spans="1:17" ht="15" customHeight="1">
      <c r="A48" s="258"/>
      <c r="B48" s="252" t="s">
        <v>110</v>
      </c>
      <c r="C48" s="172"/>
      <c r="D48" s="172"/>
      <c r="E48" s="172"/>
      <c r="F48" s="172"/>
      <c r="G48" s="172"/>
      <c r="H48" s="172"/>
      <c r="I48" s="172"/>
      <c r="J48" s="253"/>
      <c r="K48" s="233"/>
      <c r="L48" s="239"/>
      <c r="M48" s="239"/>
      <c r="N48" s="236"/>
      <c r="O48" s="233"/>
      <c r="P48" s="1"/>
      <c r="Q48" s="1"/>
    </row>
    <row r="49" spans="1:17" ht="15" customHeight="1">
      <c r="A49" s="258"/>
      <c r="B49" s="252" t="s">
        <v>111</v>
      </c>
      <c r="C49" s="172"/>
      <c r="D49" s="172"/>
      <c r="E49" s="172"/>
      <c r="F49" s="172"/>
      <c r="G49" s="172"/>
      <c r="H49" s="172"/>
      <c r="I49" s="172"/>
      <c r="J49" s="253"/>
      <c r="K49" s="233"/>
      <c r="L49" s="239"/>
      <c r="M49" s="239"/>
      <c r="N49" s="236"/>
      <c r="O49" s="233"/>
      <c r="P49" s="1"/>
      <c r="Q49" s="1"/>
    </row>
    <row r="50" spans="1:17" ht="15" customHeight="1">
      <c r="A50" s="259"/>
      <c r="B50" s="254" t="s">
        <v>652</v>
      </c>
      <c r="C50" s="255"/>
      <c r="D50" s="255"/>
      <c r="E50" s="255"/>
      <c r="F50" s="255"/>
      <c r="G50" s="255"/>
      <c r="H50" s="255"/>
      <c r="I50" s="255"/>
      <c r="J50" s="256"/>
      <c r="K50" s="234"/>
      <c r="L50" s="240"/>
      <c r="M50" s="240"/>
      <c r="N50" s="237"/>
      <c r="O50" s="234"/>
      <c r="P50" s="1"/>
      <c r="Q50" s="1"/>
    </row>
    <row r="51" spans="1:17" ht="15" customHeight="1">
      <c r="A51" s="257" t="s">
        <v>107</v>
      </c>
      <c r="B51" s="260" t="s">
        <v>749</v>
      </c>
      <c r="C51" s="187"/>
      <c r="D51" s="187"/>
      <c r="E51" s="187"/>
      <c r="F51" s="187"/>
      <c r="G51" s="187"/>
      <c r="H51" s="187"/>
      <c r="I51" s="187"/>
      <c r="J51" s="261"/>
      <c r="K51" s="232">
        <v>5</v>
      </c>
      <c r="L51" s="238"/>
      <c r="M51" s="238"/>
      <c r="N51" s="235"/>
      <c r="O51" s="232" t="s">
        <v>604</v>
      </c>
      <c r="P51" s="1"/>
      <c r="Q51" s="1"/>
    </row>
    <row r="52" spans="1:17" ht="15" customHeight="1">
      <c r="A52" s="258"/>
      <c r="B52" s="252" t="s">
        <v>750</v>
      </c>
      <c r="C52" s="172"/>
      <c r="D52" s="172"/>
      <c r="E52" s="172"/>
      <c r="F52" s="172"/>
      <c r="G52" s="172"/>
      <c r="H52" s="172"/>
      <c r="I52" s="172"/>
      <c r="J52" s="253"/>
      <c r="K52" s="233"/>
      <c r="L52" s="239"/>
      <c r="M52" s="239"/>
      <c r="N52" s="236"/>
      <c r="O52" s="233"/>
      <c r="P52" s="1"/>
      <c r="Q52" s="1"/>
    </row>
    <row r="53" spans="1:17" ht="15" customHeight="1">
      <c r="A53" s="259"/>
      <c r="B53" s="254" t="s">
        <v>751</v>
      </c>
      <c r="C53" s="255"/>
      <c r="D53" s="255"/>
      <c r="E53" s="255"/>
      <c r="F53" s="255"/>
      <c r="G53" s="255"/>
      <c r="H53" s="255"/>
      <c r="I53" s="255"/>
      <c r="J53" s="256"/>
      <c r="K53" s="234"/>
      <c r="L53" s="240"/>
      <c r="M53" s="240"/>
      <c r="N53" s="237"/>
      <c r="O53" s="234"/>
    </row>
    <row r="54" spans="1:17" ht="15" customHeight="1">
      <c r="A54" s="257" t="s">
        <v>108</v>
      </c>
      <c r="B54" s="260" t="s">
        <v>743</v>
      </c>
      <c r="C54" s="269"/>
      <c r="D54" s="269"/>
      <c r="E54" s="269"/>
      <c r="F54" s="269"/>
      <c r="G54" s="269"/>
      <c r="H54" s="269"/>
      <c r="I54" s="269"/>
      <c r="J54" s="270"/>
      <c r="K54" s="232">
        <v>10</v>
      </c>
      <c r="L54" s="238"/>
      <c r="M54" s="238"/>
      <c r="N54" s="238"/>
      <c r="O54" s="232" t="s">
        <v>603</v>
      </c>
    </row>
    <row r="55" spans="1:17" ht="15" customHeight="1">
      <c r="A55" s="273"/>
      <c r="B55" s="252" t="s">
        <v>744</v>
      </c>
      <c r="C55" s="271"/>
      <c r="D55" s="271"/>
      <c r="E55" s="271"/>
      <c r="F55" s="271"/>
      <c r="G55" s="271"/>
      <c r="H55" s="271"/>
      <c r="I55" s="271"/>
      <c r="J55" s="272"/>
      <c r="K55" s="233"/>
      <c r="L55" s="239"/>
      <c r="M55" s="239"/>
      <c r="N55" s="239"/>
      <c r="O55" s="233"/>
    </row>
    <row r="56" spans="1:17" ht="15" customHeight="1">
      <c r="A56" s="273"/>
      <c r="B56" s="252" t="s">
        <v>745</v>
      </c>
      <c r="C56" s="271"/>
      <c r="D56" s="271"/>
      <c r="E56" s="271"/>
      <c r="F56" s="271"/>
      <c r="G56" s="271"/>
      <c r="H56" s="271"/>
      <c r="I56" s="271"/>
      <c r="J56" s="272"/>
      <c r="K56" s="233"/>
      <c r="L56" s="239"/>
      <c r="M56" s="239"/>
      <c r="N56" s="239"/>
      <c r="O56" s="233"/>
    </row>
    <row r="57" spans="1:17" ht="15" customHeight="1">
      <c r="A57" s="273"/>
      <c r="B57" s="252" t="s">
        <v>746</v>
      </c>
      <c r="C57" s="271"/>
      <c r="D57" s="271"/>
      <c r="E57" s="271"/>
      <c r="F57" s="271"/>
      <c r="G57" s="271"/>
      <c r="H57" s="271"/>
      <c r="I57" s="271"/>
      <c r="J57" s="272"/>
      <c r="K57" s="233"/>
      <c r="L57" s="239"/>
      <c r="M57" s="239"/>
      <c r="N57" s="239"/>
      <c r="O57" s="233"/>
    </row>
    <row r="58" spans="1:17" s="53" customFormat="1" ht="15" customHeight="1">
      <c r="A58" s="273"/>
      <c r="B58" s="252" t="s">
        <v>747</v>
      </c>
      <c r="C58" s="172"/>
      <c r="D58" s="172"/>
      <c r="E58" s="172"/>
      <c r="F58" s="172"/>
      <c r="G58" s="172"/>
      <c r="H58" s="172"/>
      <c r="I58" s="172"/>
      <c r="J58" s="253"/>
      <c r="K58" s="233"/>
      <c r="L58" s="239"/>
      <c r="M58" s="239"/>
      <c r="N58" s="239"/>
      <c r="O58" s="233"/>
    </row>
    <row r="59" spans="1:17" ht="15" customHeight="1">
      <c r="A59" s="274"/>
      <c r="B59" s="254" t="s">
        <v>748</v>
      </c>
      <c r="C59" s="275"/>
      <c r="D59" s="275"/>
      <c r="E59" s="275"/>
      <c r="F59" s="275"/>
      <c r="G59" s="275"/>
      <c r="H59" s="275"/>
      <c r="I59" s="275"/>
      <c r="J59" s="276"/>
      <c r="K59" s="234"/>
      <c r="L59" s="240"/>
      <c r="M59" s="240"/>
      <c r="N59" s="240"/>
      <c r="O59" s="268"/>
    </row>
    <row r="60" spans="1:17" ht="6" customHeight="1">
      <c r="A60" s="265"/>
      <c r="B60" s="265"/>
      <c r="C60" s="265"/>
      <c r="D60" s="265"/>
      <c r="E60" s="265"/>
      <c r="F60" s="265"/>
      <c r="G60" s="265"/>
      <c r="H60" s="265"/>
      <c r="I60" s="265"/>
      <c r="J60" s="265"/>
      <c r="K60" s="265"/>
      <c r="L60" s="265"/>
      <c r="M60" s="265"/>
      <c r="N60" s="265"/>
      <c r="O60" s="265"/>
    </row>
    <row r="61" spans="1:17" ht="15" customHeight="1">
      <c r="A61" s="263" t="s">
        <v>112</v>
      </c>
      <c r="B61" s="264"/>
      <c r="C61" s="264"/>
      <c r="D61" s="84"/>
      <c r="E61" s="266"/>
      <c r="F61" s="266"/>
      <c r="G61" s="266"/>
      <c r="H61" s="266"/>
      <c r="I61" s="266"/>
      <c r="J61" s="266"/>
      <c r="K61" s="266"/>
      <c r="L61" s="266"/>
      <c r="M61" s="266"/>
      <c r="N61" s="266"/>
      <c r="O61" s="267"/>
    </row>
    <row r="62" spans="1:17" ht="27" customHeight="1">
      <c r="A62" s="227"/>
      <c r="B62" s="227"/>
      <c r="C62" s="227"/>
      <c r="D62" s="227"/>
      <c r="E62" s="227"/>
      <c r="F62" s="227"/>
      <c r="G62" s="227"/>
      <c r="H62" s="227"/>
      <c r="I62" s="227"/>
      <c r="J62" s="227"/>
      <c r="K62" s="227"/>
      <c r="L62" s="227"/>
      <c r="M62" s="227"/>
      <c r="N62" s="227"/>
      <c r="O62" s="227"/>
    </row>
    <row r="63" spans="1:17" ht="27" customHeight="1">
      <c r="A63" s="227"/>
      <c r="B63" s="227"/>
      <c r="C63" s="227"/>
      <c r="D63" s="227"/>
      <c r="E63" s="227"/>
      <c r="F63" s="227"/>
      <c r="G63" s="227"/>
      <c r="H63" s="227"/>
      <c r="I63" s="227"/>
      <c r="J63" s="227"/>
      <c r="K63" s="227"/>
      <c r="L63" s="227"/>
      <c r="M63" s="227"/>
      <c r="N63" s="227"/>
      <c r="O63" s="227"/>
    </row>
    <row r="64" spans="1:17" ht="27" customHeight="1">
      <c r="A64" s="227"/>
      <c r="B64" s="227"/>
      <c r="C64" s="227"/>
      <c r="D64" s="227"/>
      <c r="E64" s="227"/>
      <c r="F64" s="227"/>
      <c r="G64" s="227"/>
      <c r="H64" s="227"/>
      <c r="I64" s="227"/>
      <c r="J64" s="227"/>
      <c r="K64" s="227"/>
      <c r="L64" s="227"/>
      <c r="M64" s="227"/>
      <c r="N64" s="227"/>
      <c r="O64" s="227"/>
    </row>
    <row r="65" spans="1:19" ht="27" customHeight="1">
      <c r="A65" s="227"/>
      <c r="B65" s="227"/>
      <c r="C65" s="227"/>
      <c r="D65" s="227"/>
      <c r="E65" s="227"/>
      <c r="F65" s="227"/>
      <c r="G65" s="227"/>
      <c r="H65" s="227"/>
      <c r="I65" s="227"/>
      <c r="J65" s="227"/>
      <c r="K65" s="227"/>
      <c r="L65" s="227"/>
      <c r="M65" s="227"/>
      <c r="N65" s="227"/>
      <c r="O65" s="227"/>
    </row>
    <row r="66" spans="1:19" ht="27" customHeight="1">
      <c r="A66" s="227"/>
      <c r="B66" s="227"/>
      <c r="C66" s="227"/>
      <c r="D66" s="227"/>
      <c r="E66" s="227"/>
      <c r="F66" s="227"/>
      <c r="G66" s="227"/>
      <c r="H66" s="227"/>
      <c r="I66" s="227"/>
      <c r="J66" s="227"/>
      <c r="K66" s="227"/>
      <c r="L66" s="227"/>
      <c r="M66" s="227"/>
      <c r="N66" s="227"/>
      <c r="O66" s="227"/>
    </row>
    <row r="67" spans="1:19" ht="27" customHeight="1">
      <c r="A67" s="227"/>
      <c r="B67" s="227"/>
      <c r="C67" s="227"/>
      <c r="D67" s="227"/>
      <c r="E67" s="227"/>
      <c r="F67" s="227"/>
      <c r="G67" s="227"/>
      <c r="H67" s="227"/>
      <c r="I67" s="227"/>
      <c r="J67" s="227"/>
      <c r="K67" s="227"/>
      <c r="L67" s="227"/>
      <c r="M67" s="227"/>
      <c r="N67" s="227"/>
      <c r="O67" s="227"/>
    </row>
    <row r="68" spans="1:19" ht="27" customHeight="1">
      <c r="A68" s="227"/>
      <c r="B68" s="227"/>
      <c r="C68" s="227"/>
      <c r="D68" s="227"/>
      <c r="E68" s="227"/>
      <c r="F68" s="227"/>
      <c r="G68" s="227"/>
      <c r="H68" s="227"/>
      <c r="I68" s="227"/>
      <c r="J68" s="227"/>
      <c r="K68" s="227"/>
      <c r="L68" s="227"/>
      <c r="M68" s="227"/>
      <c r="N68" s="227"/>
      <c r="O68" s="227"/>
    </row>
    <row r="69" spans="1:19" ht="27" customHeight="1">
      <c r="A69" s="227"/>
      <c r="B69" s="227"/>
      <c r="C69" s="227"/>
      <c r="D69" s="227"/>
      <c r="E69" s="227"/>
      <c r="F69" s="227"/>
      <c r="G69" s="227"/>
      <c r="H69" s="227"/>
      <c r="I69" s="227"/>
      <c r="J69" s="227"/>
      <c r="K69" s="227"/>
      <c r="L69" s="227"/>
      <c r="M69" s="227"/>
      <c r="N69" s="227"/>
      <c r="O69" s="227"/>
    </row>
    <row r="70" spans="1:19" ht="27" customHeight="1">
      <c r="A70" s="227"/>
      <c r="B70" s="227"/>
      <c r="C70" s="227"/>
      <c r="D70" s="227"/>
      <c r="E70" s="227"/>
      <c r="F70" s="227"/>
      <c r="G70" s="227"/>
      <c r="H70" s="227"/>
      <c r="I70" s="227"/>
      <c r="J70" s="227"/>
      <c r="K70" s="227"/>
      <c r="L70" s="227"/>
      <c r="M70" s="227"/>
      <c r="N70" s="227"/>
      <c r="O70" s="227"/>
    </row>
    <row r="71" spans="1:19" ht="27" customHeight="1">
      <c r="A71" s="231"/>
      <c r="B71" s="231"/>
      <c r="C71" s="231"/>
      <c r="D71" s="231"/>
      <c r="E71" s="231"/>
      <c r="F71" s="231"/>
      <c r="G71" s="231"/>
      <c r="H71" s="231"/>
      <c r="I71" s="231"/>
      <c r="J71" s="231"/>
      <c r="K71" s="231"/>
      <c r="L71" s="231"/>
      <c r="M71" s="231"/>
      <c r="N71" s="231"/>
      <c r="O71" s="231"/>
    </row>
    <row r="72" spans="1:19" ht="27" customHeight="1">
      <c r="A72" s="231"/>
      <c r="B72" s="231"/>
      <c r="C72" s="231"/>
      <c r="D72" s="231"/>
      <c r="E72" s="231"/>
      <c r="F72" s="231"/>
      <c r="G72" s="231"/>
      <c r="H72" s="231"/>
      <c r="I72" s="231"/>
      <c r="J72" s="231"/>
      <c r="K72" s="231"/>
      <c r="L72" s="231"/>
      <c r="M72" s="231"/>
      <c r="N72" s="231"/>
      <c r="O72" s="231"/>
    </row>
    <row r="73" spans="1:19" ht="27" customHeight="1">
      <c r="A73" s="227"/>
      <c r="B73" s="227"/>
      <c r="C73" s="227"/>
      <c r="D73" s="227"/>
      <c r="E73" s="227"/>
      <c r="F73" s="227"/>
      <c r="G73" s="227"/>
      <c r="H73" s="227"/>
      <c r="I73" s="227"/>
      <c r="J73" s="227"/>
      <c r="K73" s="227"/>
      <c r="L73" s="227"/>
      <c r="M73" s="227"/>
      <c r="N73" s="227"/>
      <c r="O73" s="227"/>
    </row>
    <row r="74" spans="1:19" ht="27" customHeight="1">
      <c r="A74" s="227"/>
      <c r="B74" s="227"/>
      <c r="C74" s="227"/>
      <c r="D74" s="227"/>
      <c r="E74" s="227"/>
      <c r="F74" s="227"/>
      <c r="G74" s="227"/>
      <c r="H74" s="227"/>
      <c r="I74" s="227"/>
      <c r="J74" s="227"/>
      <c r="K74" s="227"/>
      <c r="L74" s="227"/>
      <c r="M74" s="227"/>
      <c r="N74" s="227"/>
      <c r="O74" s="227"/>
    </row>
    <row r="75" spans="1:19" ht="27" customHeight="1">
      <c r="A75" s="227"/>
      <c r="B75" s="227"/>
      <c r="C75" s="227"/>
      <c r="D75" s="227"/>
      <c r="E75" s="227"/>
      <c r="F75" s="227"/>
      <c r="G75" s="227"/>
      <c r="H75" s="227"/>
      <c r="I75" s="227"/>
      <c r="J75" s="227"/>
      <c r="K75" s="227"/>
      <c r="L75" s="227"/>
      <c r="M75" s="227"/>
      <c r="N75" s="227"/>
      <c r="O75" s="227"/>
    </row>
    <row r="76" spans="1:19" ht="27" customHeight="1">
      <c r="A76" s="227"/>
      <c r="B76" s="227"/>
      <c r="C76" s="227"/>
      <c r="D76" s="227"/>
      <c r="E76" s="227"/>
      <c r="F76" s="227"/>
      <c r="G76" s="227"/>
      <c r="H76" s="227"/>
      <c r="I76" s="227"/>
      <c r="J76" s="227"/>
      <c r="K76" s="227"/>
      <c r="L76" s="227"/>
      <c r="M76" s="227"/>
      <c r="N76" s="227"/>
      <c r="O76" s="227"/>
    </row>
    <row r="77" spans="1:19" ht="26.25" customHeight="1">
      <c r="A77" s="227"/>
      <c r="B77" s="227"/>
      <c r="C77" s="227"/>
      <c r="D77" s="227"/>
      <c r="E77" s="227"/>
      <c r="F77" s="227"/>
      <c r="G77" s="227"/>
      <c r="H77" s="227"/>
      <c r="I77" s="227"/>
      <c r="J77" s="227"/>
      <c r="K77" s="227"/>
      <c r="L77" s="227"/>
      <c r="M77" s="227"/>
      <c r="N77" s="227"/>
      <c r="O77" s="227"/>
    </row>
    <row r="78" spans="1:19" ht="27" customHeight="1">
      <c r="A78" s="227"/>
      <c r="B78" s="227"/>
      <c r="C78" s="227"/>
      <c r="D78" s="227"/>
      <c r="E78" s="227"/>
      <c r="F78" s="227"/>
      <c r="G78" s="227"/>
      <c r="H78" s="227"/>
      <c r="I78" s="227"/>
      <c r="J78" s="227"/>
      <c r="K78" s="227"/>
      <c r="L78" s="227"/>
      <c r="M78" s="227"/>
      <c r="N78" s="227"/>
      <c r="O78" s="227"/>
      <c r="P78" s="14"/>
      <c r="Q78" s="13"/>
      <c r="R78" s="13"/>
      <c r="S78" s="13"/>
    </row>
    <row r="79" spans="1:19" ht="27" customHeight="1">
      <c r="A79" s="227"/>
      <c r="B79" s="227"/>
      <c r="C79" s="227"/>
      <c r="D79" s="227"/>
      <c r="E79" s="227"/>
      <c r="F79" s="227"/>
      <c r="G79" s="227"/>
      <c r="H79" s="227"/>
      <c r="I79" s="227"/>
      <c r="J79" s="227"/>
      <c r="K79" s="227"/>
      <c r="L79" s="227"/>
      <c r="M79" s="227"/>
      <c r="N79" s="227"/>
      <c r="O79" s="227"/>
      <c r="P79" s="12"/>
      <c r="Q79" s="1"/>
      <c r="R79" s="1"/>
      <c r="S79" s="1"/>
    </row>
    <row r="80" spans="1:19" s="31" customFormat="1" ht="27" customHeight="1">
      <c r="A80" s="227"/>
      <c r="B80" s="227"/>
      <c r="C80" s="227"/>
      <c r="D80" s="227"/>
      <c r="E80" s="227"/>
      <c r="F80" s="227"/>
      <c r="G80" s="227"/>
      <c r="H80" s="227"/>
      <c r="I80" s="227"/>
      <c r="J80" s="227"/>
      <c r="K80" s="227"/>
      <c r="L80" s="227"/>
      <c r="M80" s="227"/>
      <c r="N80" s="227"/>
      <c r="O80" s="227"/>
      <c r="P80" s="34"/>
      <c r="Q80" s="33"/>
      <c r="R80" s="33"/>
      <c r="S80" s="33"/>
    </row>
    <row r="81" spans="1:19" s="31" customFormat="1" ht="27" customHeight="1">
      <c r="A81" s="227"/>
      <c r="B81" s="227"/>
      <c r="C81" s="227"/>
      <c r="D81" s="227"/>
      <c r="E81" s="227"/>
      <c r="F81" s="227"/>
      <c r="G81" s="227"/>
      <c r="H81" s="227"/>
      <c r="I81" s="227"/>
      <c r="J81" s="227"/>
      <c r="K81" s="227"/>
      <c r="L81" s="227"/>
      <c r="M81" s="227"/>
      <c r="N81" s="227"/>
      <c r="O81" s="227"/>
      <c r="P81" s="34"/>
      <c r="Q81" s="33"/>
      <c r="R81" s="33"/>
      <c r="S81" s="33"/>
    </row>
    <row r="82" spans="1:19" s="31" customFormat="1" ht="26.25" customHeight="1">
      <c r="A82" s="227"/>
      <c r="B82" s="227"/>
      <c r="C82" s="227"/>
      <c r="D82" s="227"/>
      <c r="E82" s="227"/>
      <c r="F82" s="227"/>
      <c r="G82" s="227"/>
      <c r="H82" s="227"/>
      <c r="I82" s="227"/>
      <c r="J82" s="227"/>
      <c r="K82" s="227"/>
      <c r="L82" s="227"/>
      <c r="M82" s="227"/>
      <c r="N82" s="227"/>
      <c r="O82" s="227"/>
      <c r="P82" s="34"/>
      <c r="Q82" s="33"/>
      <c r="R82" s="33"/>
      <c r="S82" s="33"/>
    </row>
    <row r="83" spans="1:19" s="31" customFormat="1" ht="27" customHeight="1">
      <c r="A83" s="227"/>
      <c r="B83" s="227"/>
      <c r="C83" s="227"/>
      <c r="D83" s="227"/>
      <c r="E83" s="227"/>
      <c r="F83" s="227"/>
      <c r="G83" s="227"/>
      <c r="H83" s="227"/>
      <c r="I83" s="227"/>
      <c r="J83" s="227"/>
      <c r="K83" s="227"/>
      <c r="L83" s="227"/>
      <c r="M83" s="227"/>
      <c r="N83" s="227"/>
      <c r="O83" s="227"/>
      <c r="P83" s="34"/>
      <c r="Q83" s="33"/>
      <c r="R83" s="33"/>
      <c r="S83" s="33"/>
    </row>
    <row r="84" spans="1:19" s="31" customFormat="1" ht="27" customHeight="1">
      <c r="A84" s="227"/>
      <c r="B84" s="227"/>
      <c r="C84" s="227"/>
      <c r="D84" s="227"/>
      <c r="E84" s="227"/>
      <c r="F84" s="227"/>
      <c r="G84" s="227"/>
      <c r="H84" s="227"/>
      <c r="I84" s="227"/>
      <c r="J84" s="227"/>
      <c r="K84" s="227"/>
      <c r="L84" s="227"/>
      <c r="M84" s="227"/>
      <c r="N84" s="227"/>
      <c r="O84" s="227"/>
      <c r="P84" s="34"/>
      <c r="Q84" s="33"/>
      <c r="R84" s="33"/>
      <c r="S84" s="33"/>
    </row>
    <row r="85" spans="1:19" s="31" customFormat="1" ht="26.25" customHeight="1">
      <c r="A85" s="227"/>
      <c r="B85" s="227"/>
      <c r="C85" s="227"/>
      <c r="D85" s="227"/>
      <c r="E85" s="227"/>
      <c r="F85" s="227"/>
      <c r="G85" s="227"/>
      <c r="H85" s="227"/>
      <c r="I85" s="227"/>
      <c r="J85" s="227"/>
      <c r="K85" s="227"/>
      <c r="L85" s="227"/>
      <c r="M85" s="227"/>
      <c r="N85" s="227"/>
      <c r="O85" s="227"/>
      <c r="P85" s="34"/>
      <c r="Q85" s="33"/>
      <c r="R85" s="33"/>
      <c r="S85" s="33"/>
    </row>
    <row r="86" spans="1:19" s="31" customFormat="1" ht="27" customHeight="1">
      <c r="A86" s="227"/>
      <c r="B86" s="227"/>
      <c r="C86" s="227"/>
      <c r="D86" s="227"/>
      <c r="E86" s="227"/>
      <c r="F86" s="227"/>
      <c r="G86" s="227"/>
      <c r="H86" s="227"/>
      <c r="I86" s="227"/>
      <c r="J86" s="227"/>
      <c r="K86" s="227"/>
      <c r="L86" s="227"/>
      <c r="M86" s="227"/>
      <c r="N86" s="227"/>
      <c r="O86" s="227"/>
      <c r="P86" s="34"/>
      <c r="Q86" s="33"/>
      <c r="R86" s="33"/>
      <c r="S86" s="33"/>
    </row>
    <row r="87" spans="1:19" s="31" customFormat="1" ht="27" customHeight="1">
      <c r="A87" s="227"/>
      <c r="B87" s="227"/>
      <c r="C87" s="227"/>
      <c r="D87" s="227"/>
      <c r="E87" s="227"/>
      <c r="F87" s="227"/>
      <c r="G87" s="227"/>
      <c r="H87" s="227"/>
      <c r="I87" s="227"/>
      <c r="J87" s="227"/>
      <c r="K87" s="227"/>
      <c r="L87" s="227"/>
      <c r="M87" s="227"/>
      <c r="N87" s="227"/>
      <c r="O87" s="227"/>
      <c r="P87" s="34"/>
      <c r="Q87" s="33"/>
      <c r="R87" s="33"/>
      <c r="S87" s="33"/>
    </row>
    <row r="88" spans="1:19" s="31" customFormat="1" ht="27" customHeight="1">
      <c r="A88" s="227"/>
      <c r="B88" s="227"/>
      <c r="C88" s="227"/>
      <c r="D88" s="227"/>
      <c r="E88" s="227"/>
      <c r="F88" s="227"/>
      <c r="G88" s="227"/>
      <c r="H88" s="227"/>
      <c r="I88" s="227"/>
      <c r="J88" s="227"/>
      <c r="K88" s="227"/>
      <c r="L88" s="227"/>
      <c r="M88" s="227"/>
      <c r="N88" s="227"/>
      <c r="O88" s="227"/>
      <c r="P88" s="34"/>
      <c r="Q88" s="33"/>
      <c r="R88" s="33"/>
      <c r="S88" s="33"/>
    </row>
    <row r="89" spans="1:19" s="31" customFormat="1">
      <c r="A89" s="167"/>
      <c r="B89" s="167"/>
      <c r="C89" s="167"/>
      <c r="D89" s="167"/>
      <c r="E89" s="167"/>
      <c r="F89" s="167"/>
      <c r="G89" s="167"/>
      <c r="H89" s="167"/>
      <c r="I89" s="167"/>
      <c r="J89" s="167"/>
      <c r="K89" s="167"/>
      <c r="L89" s="167"/>
      <c r="M89" s="167"/>
      <c r="N89" s="167"/>
      <c r="O89" s="167"/>
    </row>
    <row r="90" spans="1:19" s="31" customFormat="1" ht="27" customHeight="1">
      <c r="A90" s="224" t="s">
        <v>706</v>
      </c>
      <c r="B90" s="224"/>
      <c r="C90" s="224"/>
      <c r="D90" s="224"/>
      <c r="E90" s="224"/>
      <c r="F90" s="224"/>
      <c r="G90" s="224"/>
      <c r="H90" s="224"/>
      <c r="I90" s="224"/>
      <c r="J90" s="228">
        <f>SUM(L54+L51+L47+L44+L42+L39+L34+L31+L28+L26+L24+L21+L20+L16+L14)</f>
        <v>0</v>
      </c>
      <c r="K90" s="228"/>
      <c r="L90" s="92"/>
      <c r="M90" s="92"/>
      <c r="N90" s="92"/>
      <c r="O90" s="92"/>
    </row>
    <row r="91" spans="1:19" s="31" customFormat="1" ht="27" customHeight="1" thickBot="1">
      <c r="A91" s="224" t="s">
        <v>707</v>
      </c>
      <c r="B91" s="224"/>
      <c r="C91" s="224"/>
      <c r="D91" s="116" t="s">
        <v>704</v>
      </c>
      <c r="E91" s="113">
        <v>180</v>
      </c>
      <c r="F91" s="103"/>
      <c r="G91" s="230" t="s">
        <v>708</v>
      </c>
      <c r="H91" s="230"/>
      <c r="I91" s="277"/>
      <c r="J91" s="277"/>
      <c r="K91" s="277"/>
      <c r="L91" s="277"/>
      <c r="M91" s="277"/>
      <c r="N91" s="277"/>
      <c r="O91" s="277"/>
    </row>
    <row r="92" spans="1:19" ht="27" customHeight="1" thickBot="1">
      <c r="A92" s="174" t="s">
        <v>705</v>
      </c>
      <c r="B92" s="174"/>
      <c r="C92" s="174"/>
      <c r="D92" s="116" t="s">
        <v>704</v>
      </c>
      <c r="E92" s="114">
        <f>N16+N28+N31+N34+N39+N42+N54</f>
        <v>0</v>
      </c>
      <c r="F92" s="103"/>
      <c r="G92" s="230" t="s">
        <v>712</v>
      </c>
      <c r="H92" s="230"/>
      <c r="I92" s="230"/>
      <c r="J92" s="230"/>
      <c r="K92" s="230"/>
      <c r="L92" s="230"/>
      <c r="M92" s="230"/>
      <c r="N92" s="230"/>
      <c r="O92" s="230"/>
    </row>
    <row r="93" spans="1:19" ht="27" customHeight="1" thickBot="1">
      <c r="A93" s="174" t="s">
        <v>709</v>
      </c>
      <c r="B93" s="174"/>
      <c r="C93" s="174"/>
      <c r="D93" s="116" t="s">
        <v>704</v>
      </c>
      <c r="E93" s="114">
        <f>E91-E92</f>
        <v>180</v>
      </c>
      <c r="F93" s="103"/>
      <c r="G93" s="230" t="s">
        <v>713</v>
      </c>
      <c r="H93" s="230"/>
      <c r="I93" s="230"/>
      <c r="J93" s="230"/>
      <c r="K93" s="230"/>
      <c r="L93" s="230"/>
      <c r="M93" s="230"/>
      <c r="N93" s="230"/>
      <c r="O93" s="230"/>
    </row>
    <row r="94" spans="1:19" s="53" customFormat="1" ht="36" customHeight="1">
      <c r="A94" s="278" t="s">
        <v>710</v>
      </c>
      <c r="B94" s="278"/>
      <c r="C94" s="278"/>
      <c r="D94" s="151"/>
      <c r="E94" s="151"/>
      <c r="F94" s="151"/>
      <c r="G94" s="229" t="s">
        <v>714</v>
      </c>
      <c r="H94" s="229"/>
      <c r="I94" s="229"/>
      <c r="J94" s="229"/>
      <c r="K94" s="229"/>
      <c r="L94" s="229"/>
      <c r="M94" s="229"/>
      <c r="N94" s="229"/>
      <c r="O94" s="229"/>
    </row>
    <row r="95" spans="1:19" ht="27" customHeight="1" thickBot="1">
      <c r="A95" s="174" t="s">
        <v>711</v>
      </c>
      <c r="B95" s="174"/>
      <c r="C95" s="174"/>
      <c r="D95" s="116" t="s">
        <v>704</v>
      </c>
      <c r="E95" s="113">
        <f>E93*0.8</f>
        <v>144</v>
      </c>
      <c r="F95" s="103"/>
      <c r="G95" s="230"/>
      <c r="H95" s="230"/>
      <c r="I95" s="230"/>
      <c r="J95" s="230"/>
      <c r="K95" s="230"/>
      <c r="L95" s="230"/>
      <c r="M95" s="230"/>
      <c r="N95" s="230"/>
      <c r="O95" s="230"/>
    </row>
    <row r="96" spans="1:19" s="53" customFormat="1" ht="15" customHeight="1">
      <c r="A96" s="167"/>
      <c r="B96" s="167"/>
      <c r="C96" s="167"/>
      <c r="D96" s="167"/>
      <c r="E96" s="167"/>
      <c r="F96" s="167"/>
      <c r="G96" s="167"/>
      <c r="H96" s="167"/>
      <c r="I96" s="167"/>
      <c r="J96" s="167"/>
      <c r="K96" s="167"/>
      <c r="L96" s="167"/>
      <c r="M96" s="167"/>
      <c r="N96" s="167"/>
      <c r="O96" s="167"/>
    </row>
    <row r="97" spans="1:15" s="53" customFormat="1" ht="18" customHeight="1">
      <c r="A97" s="167"/>
      <c r="B97" s="167"/>
      <c r="C97" s="154"/>
      <c r="D97" s="88"/>
      <c r="E97" s="70" t="s">
        <v>575</v>
      </c>
      <c r="F97" s="225"/>
      <c r="G97" s="226"/>
      <c r="H97" s="88"/>
      <c r="I97" s="174" t="s">
        <v>574</v>
      </c>
      <c r="J97" s="262"/>
      <c r="K97" s="224" t="s">
        <v>715</v>
      </c>
      <c r="L97" s="224"/>
      <c r="M97" s="224"/>
      <c r="N97" s="224"/>
      <c r="O97" s="224"/>
    </row>
    <row r="98" spans="1:15">
      <c r="A98" s="180"/>
      <c r="B98" s="180"/>
      <c r="C98" s="180"/>
      <c r="D98" s="180"/>
      <c r="E98" s="180"/>
      <c r="F98" s="180"/>
      <c r="G98" s="180"/>
      <c r="H98" s="180"/>
      <c r="I98" s="180"/>
      <c r="J98" s="180"/>
      <c r="K98" s="180"/>
      <c r="L98" s="180"/>
      <c r="M98" s="180"/>
      <c r="N98" s="180"/>
      <c r="O98" s="180"/>
    </row>
    <row r="99" spans="1:15" s="53" customFormat="1">
      <c r="A99" s="337" t="s">
        <v>935</v>
      </c>
      <c r="B99" s="338"/>
      <c r="C99" s="338"/>
      <c r="D99" s="338"/>
      <c r="E99" s="338"/>
      <c r="F99" s="338"/>
      <c r="G99" s="338"/>
      <c r="H99" s="338"/>
      <c r="I99" s="338"/>
      <c r="J99" s="338"/>
      <c r="K99" s="338"/>
      <c r="L99" s="338"/>
      <c r="M99" s="338"/>
      <c r="N99" s="338"/>
      <c r="O99" s="339"/>
    </row>
    <row r="100" spans="1:15" s="53" customFormat="1">
      <c r="A100" s="340"/>
      <c r="B100" s="341"/>
      <c r="C100" s="341"/>
      <c r="D100" s="341"/>
      <c r="E100" s="341"/>
      <c r="F100" s="341"/>
      <c r="G100" s="341"/>
      <c r="H100" s="341"/>
      <c r="I100" s="341"/>
      <c r="J100" s="341"/>
      <c r="K100" s="341"/>
      <c r="L100" s="341"/>
      <c r="M100" s="341"/>
      <c r="N100" s="341"/>
      <c r="O100" s="342"/>
    </row>
    <row r="101" spans="1:15" s="53" customFormat="1">
      <c r="A101" s="340"/>
      <c r="B101" s="341"/>
      <c r="C101" s="341"/>
      <c r="D101" s="341"/>
      <c r="E101" s="341"/>
      <c r="F101" s="341"/>
      <c r="G101" s="341"/>
      <c r="H101" s="341"/>
      <c r="I101" s="341"/>
      <c r="J101" s="341"/>
      <c r="K101" s="341"/>
      <c r="L101" s="341"/>
      <c r="M101" s="341"/>
      <c r="N101" s="341"/>
      <c r="O101" s="342"/>
    </row>
    <row r="102" spans="1:15" s="53" customFormat="1">
      <c r="A102" s="343"/>
      <c r="B102" s="344"/>
      <c r="C102" s="344"/>
      <c r="D102" s="344"/>
      <c r="E102" s="344"/>
      <c r="F102" s="344"/>
      <c r="G102" s="344"/>
      <c r="H102" s="344"/>
      <c r="I102" s="344"/>
      <c r="J102" s="344"/>
      <c r="K102" s="344"/>
      <c r="L102" s="344"/>
      <c r="M102" s="344"/>
      <c r="N102" s="344"/>
      <c r="O102" s="345"/>
    </row>
  </sheetData>
  <sheetProtection password="D6D7" sheet="1" objects="1" scenarios="1"/>
  <protectedRanges>
    <protectedRange sqref="P20 L4:M4 L7:M7 L20:M22 L28:N29 L26:N26 L24:N24 L32:M32 L34:N34 L39:N39 L42:N42 L44:M44" name="Range1"/>
  </protectedRanges>
  <dataConsolidate/>
  <mergeCells count="207">
    <mergeCell ref="A99:O102"/>
    <mergeCell ref="A26:A27"/>
    <mergeCell ref="B28:J28"/>
    <mergeCell ref="B30:J30"/>
    <mergeCell ref="N26:N27"/>
    <mergeCell ref="L26:L27"/>
    <mergeCell ref="M26:M27"/>
    <mergeCell ref="B33:J33"/>
    <mergeCell ref="B9:J9"/>
    <mergeCell ref="B20:J20"/>
    <mergeCell ref="B24:J24"/>
    <mergeCell ref="B25:J25"/>
    <mergeCell ref="B32:J32"/>
    <mergeCell ref="B31:J31"/>
    <mergeCell ref="B26:J26"/>
    <mergeCell ref="B27:J27"/>
    <mergeCell ref="B23:J23"/>
    <mergeCell ref="A28:A30"/>
    <mergeCell ref="B22:J22"/>
    <mergeCell ref="O42:O43"/>
    <mergeCell ref="L34:L38"/>
    <mergeCell ref="N34:N38"/>
    <mergeCell ref="O34:O38"/>
    <mergeCell ref="A39:A40"/>
    <mergeCell ref="A2:O2"/>
    <mergeCell ref="O21:O23"/>
    <mergeCell ref="K54:K59"/>
    <mergeCell ref="N54:N59"/>
    <mergeCell ref="L7:L11"/>
    <mergeCell ref="M7:M11"/>
    <mergeCell ref="N7:N11"/>
    <mergeCell ref="O7:O11"/>
    <mergeCell ref="O31:O33"/>
    <mergeCell ref="O26:O27"/>
    <mergeCell ref="M28:M30"/>
    <mergeCell ref="N28:N30"/>
    <mergeCell ref="O28:O30"/>
    <mergeCell ref="K34:K38"/>
    <mergeCell ref="O44:O46"/>
    <mergeCell ref="K44:K46"/>
    <mergeCell ref="L44:L46"/>
    <mergeCell ref="K28:K30"/>
    <mergeCell ref="L28:L30"/>
    <mergeCell ref="L24:L25"/>
    <mergeCell ref="M24:M25"/>
    <mergeCell ref="M21:M23"/>
    <mergeCell ref="N21:N23"/>
    <mergeCell ref="O14:O15"/>
    <mergeCell ref="A1:O1"/>
    <mergeCell ref="M4:M6"/>
    <mergeCell ref="N4:N6"/>
    <mergeCell ref="O4:O6"/>
    <mergeCell ref="B4:J4"/>
    <mergeCell ref="B5:J5"/>
    <mergeCell ref="B6:J6"/>
    <mergeCell ref="A34:A38"/>
    <mergeCell ref="B36:J36"/>
    <mergeCell ref="B35:J35"/>
    <mergeCell ref="B34:J34"/>
    <mergeCell ref="B37:J37"/>
    <mergeCell ref="B38:J38"/>
    <mergeCell ref="L4:L6"/>
    <mergeCell ref="K26:K27"/>
    <mergeCell ref="A18:O18"/>
    <mergeCell ref="A21:A23"/>
    <mergeCell ref="A7:A11"/>
    <mergeCell ref="K7:K11"/>
    <mergeCell ref="N24:N25"/>
    <mergeCell ref="K21:K23"/>
    <mergeCell ref="L21:L23"/>
    <mergeCell ref="A4:A6"/>
    <mergeCell ref="M34:M38"/>
    <mergeCell ref="L31:L33"/>
    <mergeCell ref="M31:M33"/>
    <mergeCell ref="N31:N33"/>
    <mergeCell ref="A12:O12"/>
    <mergeCell ref="B17:J17"/>
    <mergeCell ref="B14:J14"/>
    <mergeCell ref="B16:J16"/>
    <mergeCell ref="A16:A17"/>
    <mergeCell ref="K16:K17"/>
    <mergeCell ref="L16:L17"/>
    <mergeCell ref="M16:M17"/>
    <mergeCell ref="N16:N17"/>
    <mergeCell ref="O16:O17"/>
    <mergeCell ref="O24:O25"/>
    <mergeCell ref="A24:A25"/>
    <mergeCell ref="K24:K25"/>
    <mergeCell ref="B21:J21"/>
    <mergeCell ref="K42:K43"/>
    <mergeCell ref="K4:K6"/>
    <mergeCell ref="B7:J7"/>
    <mergeCell ref="B8:J8"/>
    <mergeCell ref="A3:J3"/>
    <mergeCell ref="A31:A33"/>
    <mergeCell ref="K31:K33"/>
    <mergeCell ref="C10:J10"/>
    <mergeCell ref="B11:J11"/>
    <mergeCell ref="B29:J29"/>
    <mergeCell ref="A41:J41"/>
    <mergeCell ref="A19:J19"/>
    <mergeCell ref="A13:J13"/>
    <mergeCell ref="P47:Q47"/>
    <mergeCell ref="M47:M50"/>
    <mergeCell ref="N47:N50"/>
    <mergeCell ref="O47:O50"/>
    <mergeCell ref="K47:K50"/>
    <mergeCell ref="L47:L50"/>
    <mergeCell ref="A47:A50"/>
    <mergeCell ref="B47:J47"/>
    <mergeCell ref="B39:J39"/>
    <mergeCell ref="B40:J40"/>
    <mergeCell ref="K39:K40"/>
    <mergeCell ref="L39:L40"/>
    <mergeCell ref="M39:M40"/>
    <mergeCell ref="N39:N40"/>
    <mergeCell ref="O39:O40"/>
    <mergeCell ref="A44:A46"/>
    <mergeCell ref="L42:L43"/>
    <mergeCell ref="M42:M43"/>
    <mergeCell ref="N42:N43"/>
    <mergeCell ref="M44:M46"/>
    <mergeCell ref="N44:N46"/>
    <mergeCell ref="B44:J44"/>
    <mergeCell ref="B45:J45"/>
    <mergeCell ref="B46:J46"/>
    <mergeCell ref="A98:O98"/>
    <mergeCell ref="I97:J97"/>
    <mergeCell ref="A61:C61"/>
    <mergeCell ref="A60:O60"/>
    <mergeCell ref="E61:O61"/>
    <mergeCell ref="M54:M59"/>
    <mergeCell ref="L54:L59"/>
    <mergeCell ref="O54:O59"/>
    <mergeCell ref="B54:J54"/>
    <mergeCell ref="B55:J55"/>
    <mergeCell ref="A54:A59"/>
    <mergeCell ref="B56:J56"/>
    <mergeCell ref="B57:J57"/>
    <mergeCell ref="B59:J59"/>
    <mergeCell ref="A90:I90"/>
    <mergeCell ref="A91:C91"/>
    <mergeCell ref="A92:C92"/>
    <mergeCell ref="G91:O91"/>
    <mergeCell ref="G92:O92"/>
    <mergeCell ref="A93:C93"/>
    <mergeCell ref="A94:C94"/>
    <mergeCell ref="A95:C95"/>
    <mergeCell ref="G93:O93"/>
    <mergeCell ref="B58:J58"/>
    <mergeCell ref="A74:O74"/>
    <mergeCell ref="A75:O75"/>
    <mergeCell ref="A76:O76"/>
    <mergeCell ref="O51:O53"/>
    <mergeCell ref="N51:N53"/>
    <mergeCell ref="M51:M53"/>
    <mergeCell ref="L51:L53"/>
    <mergeCell ref="K51:K53"/>
    <mergeCell ref="A14:A15"/>
    <mergeCell ref="B15:J15"/>
    <mergeCell ref="K14:K15"/>
    <mergeCell ref="L14:L15"/>
    <mergeCell ref="M14:M15"/>
    <mergeCell ref="N14:N15"/>
    <mergeCell ref="B48:J48"/>
    <mergeCell ref="B49:J49"/>
    <mergeCell ref="B50:J50"/>
    <mergeCell ref="A51:A53"/>
    <mergeCell ref="B53:J53"/>
    <mergeCell ref="B51:J51"/>
    <mergeCell ref="B52:J52"/>
    <mergeCell ref="A42:A43"/>
    <mergeCell ref="B42:J42"/>
    <mergeCell ref="B43:J43"/>
    <mergeCell ref="A65:O65"/>
    <mergeCell ref="A66:O66"/>
    <mergeCell ref="A67:O67"/>
    <mergeCell ref="A68:O68"/>
    <mergeCell ref="A69:O69"/>
    <mergeCell ref="A70:O70"/>
    <mergeCell ref="A71:O71"/>
    <mergeCell ref="A72:O72"/>
    <mergeCell ref="A73:O73"/>
    <mergeCell ref="K97:O97"/>
    <mergeCell ref="A89:O89"/>
    <mergeCell ref="A96:O96"/>
    <mergeCell ref="D94:F94"/>
    <mergeCell ref="A97:C97"/>
    <mergeCell ref="F97:G97"/>
    <mergeCell ref="A62:O62"/>
    <mergeCell ref="J90:K90"/>
    <mergeCell ref="A79:O79"/>
    <mergeCell ref="A78:O78"/>
    <mergeCell ref="A77:O77"/>
    <mergeCell ref="G94:O94"/>
    <mergeCell ref="G95:O95"/>
    <mergeCell ref="A88:O88"/>
    <mergeCell ref="A87:O87"/>
    <mergeCell ref="A86:O86"/>
    <mergeCell ref="A85:O85"/>
    <mergeCell ref="A84:O84"/>
    <mergeCell ref="A83:O83"/>
    <mergeCell ref="A82:O82"/>
    <mergeCell ref="A81:O81"/>
    <mergeCell ref="A80:O80"/>
    <mergeCell ref="A63:O63"/>
    <mergeCell ref="A64:O64"/>
  </mergeCells>
  <phoneticPr fontId="8" type="noConversion"/>
  <dataValidations disablePrompts="1" count="6">
    <dataValidation type="whole" allowBlank="1" showInputMessage="1" showErrorMessage="1" sqref="N24:N27 M28:M29">
      <formula1>10</formula1>
      <formula2>10</formula2>
    </dataValidation>
    <dataValidation type="whole" allowBlank="1" showInputMessage="1" showErrorMessage="1" sqref="M4:M11">
      <formula1>15</formula1>
      <formula2>15</formula2>
    </dataValidation>
    <dataValidation type="list" allowBlank="1" showInputMessage="1" showErrorMessage="1" sqref="L4:L6 L7:L11 D97 H97">
      <formula1>"✓, -----"</formula1>
    </dataValidation>
    <dataValidation type="list" allowBlank="1" showInputMessage="1" showErrorMessage="1" sqref="L14:L15 L24:L25 M14:M15 L26:L30 M24:M27 N28:N30 L34:N38 L44:M46 L47:M50">
      <formula1>"15, -----"</formula1>
    </dataValidation>
    <dataValidation type="list" allowBlank="1" showInputMessage="1" showErrorMessage="1" sqref="L16:L17 L20 L21:L23 M16:M17 M20 N16:N17 M21:M23 L31:N33 L39:N40 L42:N43 L54:N59">
      <formula1>"10, -----"</formula1>
    </dataValidation>
    <dataValidation type="list" allowBlank="1" showInputMessage="1" showErrorMessage="1" sqref="L51:M53">
      <formula1>"5, -----"</formula1>
    </dataValidation>
  </dataValidations>
  <pageMargins left="0.75" right="0.75" top="1" bottom="1" header="0" footer="0"/>
  <pageSetup firstPageNumber="4" orientation="portrait" useFirstPageNumber="1" r:id="rId1"/>
  <headerFooter>
    <oddFooter>&amp;LFor Official Government Use Only
USDA, AMS, FVP, Fresh Products Branch
&amp;RJanuary 26, 2012
Page &amp;P</oddFooter>
  </headerFooter>
  <rowBreaks count="1" manualBreakCount="1">
    <brk id="40" max="16383" man="1"/>
  </rowBreaks>
</worksheet>
</file>

<file path=xl/worksheets/sheet3.xml><?xml version="1.0" encoding="utf-8"?>
<worksheet xmlns="http://schemas.openxmlformats.org/spreadsheetml/2006/main" xmlns:r="http://schemas.openxmlformats.org/officeDocument/2006/relationships">
  <sheetPr enableFormatConditionsCalculation="0">
    <tabColor indexed="51"/>
  </sheetPr>
  <dimension ref="A1:AA141"/>
  <sheetViews>
    <sheetView view="pageLayout" topLeftCell="A94" zoomScale="120" zoomScaleNormal="90" zoomScalePageLayoutView="120" workbookViewId="0">
      <selection activeCell="N105" sqref="N105:N106"/>
    </sheetView>
  </sheetViews>
  <sheetFormatPr defaultRowHeight="12.75"/>
  <cols>
    <col min="1" max="1" width="5.5703125" customWidth="1"/>
    <col min="2" max="3" width="7.28515625" customWidth="1"/>
    <col min="4" max="4" width="2.7109375" customWidth="1"/>
    <col min="5" max="5" width="7.28515625" customWidth="1"/>
    <col min="6" max="6" width="2.7109375" customWidth="1"/>
    <col min="7" max="7" width="7.28515625" customWidth="1"/>
    <col min="8" max="8" width="2.7109375" style="53" customWidth="1"/>
    <col min="9" max="9" width="2.140625" style="53" customWidth="1"/>
    <col min="10" max="10" width="7.28515625" style="53" customWidth="1"/>
    <col min="11" max="15" width="6.42578125" customWidth="1"/>
  </cols>
  <sheetData>
    <row r="1" spans="1:27" ht="18" customHeight="1">
      <c r="A1" s="316" t="s">
        <v>113</v>
      </c>
      <c r="B1" s="316"/>
      <c r="C1" s="316"/>
      <c r="D1" s="317"/>
      <c r="E1" s="317"/>
      <c r="F1" s="317"/>
      <c r="G1" s="317"/>
      <c r="H1" s="317"/>
      <c r="I1" s="317"/>
      <c r="J1" s="317"/>
      <c r="K1" s="317"/>
      <c r="L1" s="317"/>
      <c r="M1" s="317"/>
      <c r="N1" s="317"/>
      <c r="O1" s="317"/>
      <c r="P1" s="121"/>
      <c r="Q1" s="121"/>
      <c r="R1" s="121"/>
      <c r="S1" s="121"/>
      <c r="T1" s="121"/>
      <c r="U1" s="121"/>
      <c r="V1" s="121"/>
      <c r="W1" s="121"/>
      <c r="X1" s="121"/>
      <c r="Y1" s="121"/>
      <c r="Z1" s="121"/>
      <c r="AA1" s="121"/>
    </row>
    <row r="2" spans="1:27" ht="30" customHeight="1">
      <c r="A2" s="329" t="s">
        <v>114</v>
      </c>
      <c r="B2" s="393"/>
      <c r="C2" s="393"/>
      <c r="D2" s="393"/>
      <c r="E2" s="393"/>
      <c r="F2" s="393"/>
      <c r="G2" s="393"/>
      <c r="H2" s="393"/>
      <c r="I2" s="393"/>
      <c r="J2" s="393"/>
      <c r="K2" s="393"/>
      <c r="L2" s="393"/>
      <c r="M2" s="393"/>
      <c r="N2" s="393"/>
      <c r="O2" s="393"/>
      <c r="P2" s="121"/>
      <c r="Q2" s="121"/>
      <c r="R2" s="121"/>
      <c r="S2" s="121"/>
      <c r="T2" s="121"/>
      <c r="U2" s="121"/>
      <c r="V2" s="121"/>
      <c r="W2" s="121"/>
      <c r="X2" s="121"/>
      <c r="Y2" s="121"/>
      <c r="Z2" s="121"/>
      <c r="AA2" s="121"/>
    </row>
    <row r="3" spans="1:27" ht="15">
      <c r="A3" s="28" t="s">
        <v>115</v>
      </c>
      <c r="B3" s="168" t="s">
        <v>716</v>
      </c>
      <c r="C3" s="168"/>
      <c r="D3" s="168"/>
      <c r="E3" s="168"/>
      <c r="F3" s="168"/>
      <c r="G3" s="168"/>
      <c r="H3" s="168"/>
      <c r="I3" s="168"/>
      <c r="J3" s="168"/>
      <c r="K3" s="168"/>
      <c r="L3" s="168"/>
      <c r="M3" s="168"/>
      <c r="N3" s="168"/>
      <c r="O3" s="168"/>
      <c r="P3" s="121"/>
      <c r="Q3" s="121"/>
      <c r="R3" s="121"/>
      <c r="S3" s="121"/>
      <c r="T3" s="121"/>
      <c r="U3" s="121"/>
      <c r="V3" s="121"/>
      <c r="W3" s="121"/>
      <c r="X3" s="121"/>
      <c r="Y3" s="121"/>
      <c r="Z3" s="121"/>
      <c r="AA3" s="121"/>
    </row>
    <row r="4" spans="1:27" ht="15" customHeight="1">
      <c r="A4" s="168" t="s">
        <v>717</v>
      </c>
      <c r="B4" s="168"/>
      <c r="C4" s="168"/>
      <c r="D4" s="168"/>
      <c r="E4" s="168"/>
      <c r="F4" s="168"/>
      <c r="G4" s="168"/>
      <c r="H4" s="168"/>
      <c r="I4" s="168"/>
      <c r="J4" s="168"/>
      <c r="K4" s="168"/>
      <c r="L4" s="168"/>
      <c r="M4" s="168"/>
      <c r="N4" s="168"/>
      <c r="O4" s="168"/>
      <c r="P4" s="121"/>
      <c r="Q4" s="121"/>
      <c r="R4" s="121"/>
      <c r="S4" s="121"/>
      <c r="T4" s="121"/>
      <c r="U4" s="121"/>
      <c r="V4" s="121"/>
      <c r="W4" s="121"/>
      <c r="X4" s="121"/>
      <c r="Y4" s="121"/>
      <c r="Z4" s="121"/>
      <c r="AA4" s="121"/>
    </row>
    <row r="5" spans="1:27" ht="17.25" customHeight="1">
      <c r="A5" s="175"/>
      <c r="B5" s="175"/>
      <c r="C5" s="175"/>
      <c r="D5" s="175"/>
      <c r="E5" s="175"/>
      <c r="F5" s="175"/>
      <c r="G5" s="175"/>
      <c r="H5" s="175"/>
      <c r="I5" s="175"/>
      <c r="J5" s="175"/>
      <c r="K5" s="175"/>
      <c r="L5" s="175"/>
      <c r="M5" s="175"/>
      <c r="N5" s="175"/>
      <c r="O5" s="175"/>
      <c r="P5" s="121"/>
      <c r="Q5" s="121"/>
      <c r="R5" s="121"/>
      <c r="S5" s="121"/>
      <c r="T5" s="121"/>
      <c r="U5" s="121"/>
      <c r="V5" s="121"/>
      <c r="W5" s="121"/>
      <c r="X5" s="121"/>
      <c r="Y5" s="121"/>
      <c r="Z5" s="121"/>
      <c r="AA5" s="121"/>
    </row>
    <row r="6" spans="1:27" ht="27" customHeight="1">
      <c r="A6" s="28" t="s">
        <v>116</v>
      </c>
      <c r="B6" s="187" t="s">
        <v>718</v>
      </c>
      <c r="C6" s="187"/>
      <c r="D6" s="187"/>
      <c r="E6" s="187"/>
      <c r="F6" s="187"/>
      <c r="G6" s="187"/>
      <c r="H6" s="187"/>
      <c r="I6" s="187"/>
      <c r="J6" s="187"/>
      <c r="K6" s="187"/>
      <c r="L6" s="187"/>
      <c r="M6" s="187"/>
      <c r="N6" s="187"/>
      <c r="O6" s="187"/>
      <c r="P6" s="121"/>
      <c r="Q6" s="121"/>
      <c r="R6" s="121"/>
      <c r="S6" s="121"/>
      <c r="T6" s="121"/>
      <c r="U6" s="121"/>
      <c r="V6" s="121"/>
      <c r="W6" s="121"/>
      <c r="X6" s="121"/>
      <c r="Y6" s="121"/>
      <c r="Z6" s="121"/>
      <c r="AA6" s="121"/>
    </row>
    <row r="7" spans="1:27" ht="18" customHeight="1">
      <c r="A7" s="175"/>
      <c r="B7" s="176"/>
      <c r="C7" s="176"/>
      <c r="D7" s="176"/>
      <c r="E7" s="176"/>
      <c r="F7" s="176"/>
      <c r="G7" s="176"/>
      <c r="H7" s="176"/>
      <c r="I7" s="176"/>
      <c r="J7" s="176"/>
      <c r="K7" s="176"/>
      <c r="L7" s="176"/>
      <c r="M7" s="176"/>
      <c r="N7" s="176"/>
      <c r="O7" s="176"/>
      <c r="P7" s="121"/>
      <c r="Q7" s="121"/>
      <c r="R7" s="121"/>
      <c r="S7" s="121"/>
      <c r="T7" s="121"/>
      <c r="U7" s="121"/>
      <c r="V7" s="121"/>
      <c r="W7" s="121"/>
      <c r="X7" s="121"/>
      <c r="Y7" s="121"/>
      <c r="Z7" s="121"/>
      <c r="AA7" s="121"/>
    </row>
    <row r="8" spans="1:27" ht="20.25" customHeight="1">
      <c r="A8" s="265"/>
      <c r="B8" s="265"/>
      <c r="C8" s="265"/>
      <c r="D8" s="265"/>
      <c r="E8" s="265"/>
      <c r="F8" s="265"/>
      <c r="G8" s="265"/>
      <c r="H8" s="265"/>
      <c r="I8" s="265"/>
      <c r="J8" s="265"/>
      <c r="K8" s="265"/>
      <c r="L8" s="265"/>
      <c r="M8" s="265"/>
      <c r="N8" s="265"/>
      <c r="O8" s="265"/>
      <c r="P8" s="121"/>
      <c r="Q8" s="121"/>
      <c r="R8" s="121"/>
      <c r="S8" s="121"/>
      <c r="T8" s="121"/>
      <c r="U8" s="121"/>
      <c r="V8" s="121"/>
      <c r="W8" s="121"/>
      <c r="X8" s="121"/>
      <c r="Y8" s="121"/>
      <c r="Z8" s="121"/>
      <c r="AA8" s="121"/>
    </row>
    <row r="9" spans="1:27" ht="15" customHeight="1">
      <c r="A9" s="288" t="s">
        <v>66</v>
      </c>
      <c r="B9" s="289"/>
      <c r="C9" s="289"/>
      <c r="D9" s="289"/>
      <c r="E9" s="289"/>
      <c r="F9" s="289"/>
      <c r="G9" s="289"/>
      <c r="H9" s="289"/>
      <c r="I9" s="289"/>
      <c r="J9" s="290"/>
      <c r="K9" s="81" t="s">
        <v>65</v>
      </c>
      <c r="L9" s="122" t="s">
        <v>27</v>
      </c>
      <c r="M9" s="122" t="s">
        <v>64</v>
      </c>
      <c r="N9" s="122" t="s">
        <v>63</v>
      </c>
      <c r="O9" s="122" t="s">
        <v>62</v>
      </c>
      <c r="P9" s="121"/>
      <c r="Q9" s="121"/>
      <c r="R9" s="121"/>
      <c r="S9" s="121"/>
      <c r="T9" s="121"/>
      <c r="U9" s="121"/>
      <c r="V9" s="121"/>
      <c r="W9" s="121"/>
      <c r="X9" s="121"/>
      <c r="Y9" s="121"/>
      <c r="Z9" s="121"/>
      <c r="AA9" s="121"/>
    </row>
    <row r="10" spans="1:27" ht="15" customHeight="1">
      <c r="A10" s="361" t="s">
        <v>117</v>
      </c>
      <c r="B10" s="407" t="s">
        <v>936</v>
      </c>
      <c r="C10" s="408"/>
      <c r="D10" s="408"/>
      <c r="E10" s="408"/>
      <c r="F10" s="408"/>
      <c r="G10" s="408"/>
      <c r="H10" s="408"/>
      <c r="I10" s="408"/>
      <c r="J10" s="409"/>
      <c r="K10" s="232">
        <v>15</v>
      </c>
      <c r="L10" s="238"/>
      <c r="M10" s="238"/>
      <c r="N10" s="394"/>
      <c r="O10" s="232" t="s">
        <v>76</v>
      </c>
      <c r="P10" s="121"/>
      <c r="Q10" s="121"/>
      <c r="R10" s="121"/>
      <c r="S10" s="121"/>
      <c r="T10" s="121"/>
      <c r="U10" s="121"/>
      <c r="V10" s="121"/>
      <c r="W10" s="121"/>
      <c r="X10" s="121"/>
      <c r="Y10" s="121"/>
      <c r="Z10" s="121"/>
      <c r="AA10" s="121"/>
    </row>
    <row r="11" spans="1:27" s="31" customFormat="1" ht="15" customHeight="1">
      <c r="A11" s="375"/>
      <c r="B11" s="410"/>
      <c r="C11" s="411"/>
      <c r="D11" s="411"/>
      <c r="E11" s="411"/>
      <c r="F11" s="411"/>
      <c r="G11" s="411"/>
      <c r="H11" s="411"/>
      <c r="I11" s="411"/>
      <c r="J11" s="412"/>
      <c r="K11" s="233"/>
      <c r="L11" s="239"/>
      <c r="M11" s="239"/>
      <c r="N11" s="395"/>
      <c r="O11" s="233"/>
      <c r="P11" s="121"/>
      <c r="Q11" s="121"/>
      <c r="R11" s="121"/>
      <c r="S11" s="121"/>
      <c r="T11" s="121"/>
      <c r="U11" s="121"/>
      <c r="V11" s="121"/>
      <c r="W11" s="121"/>
      <c r="X11" s="121"/>
      <c r="Y11" s="121"/>
      <c r="Z11" s="121"/>
      <c r="AA11" s="121"/>
    </row>
    <row r="12" spans="1:27" s="53" customFormat="1" ht="15" customHeight="1">
      <c r="A12" s="375"/>
      <c r="B12" s="413"/>
      <c r="C12" s="414"/>
      <c r="D12" s="414"/>
      <c r="E12" s="414"/>
      <c r="F12" s="414"/>
      <c r="G12" s="414"/>
      <c r="H12" s="414"/>
      <c r="I12" s="414"/>
      <c r="J12" s="415"/>
      <c r="K12" s="233"/>
      <c r="L12" s="239"/>
      <c r="M12" s="239"/>
      <c r="N12" s="395"/>
      <c r="O12" s="233"/>
      <c r="P12" s="121"/>
      <c r="Q12" s="121"/>
      <c r="R12" s="121"/>
      <c r="S12" s="121"/>
      <c r="T12" s="121"/>
      <c r="U12" s="121"/>
      <c r="V12" s="121"/>
      <c r="W12" s="121"/>
      <c r="X12" s="121"/>
      <c r="Y12" s="121"/>
      <c r="Z12" s="121"/>
      <c r="AA12" s="121"/>
    </row>
    <row r="13" spans="1:27" ht="15" customHeight="1">
      <c r="A13" s="361" t="s">
        <v>118</v>
      </c>
      <c r="B13" s="407" t="s">
        <v>925</v>
      </c>
      <c r="C13" s="408"/>
      <c r="D13" s="408"/>
      <c r="E13" s="408"/>
      <c r="F13" s="408"/>
      <c r="G13" s="408"/>
      <c r="H13" s="408"/>
      <c r="I13" s="408"/>
      <c r="J13" s="409"/>
      <c r="K13" s="232">
        <v>15</v>
      </c>
      <c r="L13" s="238"/>
      <c r="M13" s="238"/>
      <c r="N13" s="394"/>
      <c r="O13" s="232" t="s">
        <v>76</v>
      </c>
      <c r="P13" s="121"/>
      <c r="Q13" s="121"/>
      <c r="R13" s="121"/>
      <c r="S13" s="121"/>
      <c r="T13" s="121"/>
      <c r="U13" s="121"/>
      <c r="V13" s="121"/>
      <c r="W13" s="121"/>
      <c r="X13" s="121"/>
      <c r="Y13" s="121"/>
      <c r="Z13" s="121"/>
      <c r="AA13" s="121"/>
    </row>
    <row r="14" spans="1:27" s="31" customFormat="1" ht="15" customHeight="1">
      <c r="A14" s="375"/>
      <c r="B14" s="410"/>
      <c r="C14" s="411"/>
      <c r="D14" s="411"/>
      <c r="E14" s="411"/>
      <c r="F14" s="411"/>
      <c r="G14" s="411"/>
      <c r="H14" s="411"/>
      <c r="I14" s="411"/>
      <c r="J14" s="412"/>
      <c r="K14" s="233"/>
      <c r="L14" s="239"/>
      <c r="M14" s="239"/>
      <c r="N14" s="395"/>
      <c r="O14" s="233"/>
      <c r="P14" s="121"/>
      <c r="Q14" s="121"/>
      <c r="R14" s="121"/>
      <c r="S14" s="121"/>
      <c r="T14" s="121"/>
      <c r="U14" s="121"/>
      <c r="V14" s="121"/>
      <c r="W14" s="121"/>
      <c r="X14" s="121"/>
      <c r="Y14" s="121"/>
      <c r="Z14" s="121"/>
      <c r="AA14" s="121"/>
    </row>
    <row r="15" spans="1:27" ht="15" customHeight="1">
      <c r="A15" s="281"/>
      <c r="B15" s="413"/>
      <c r="C15" s="414"/>
      <c r="D15" s="414"/>
      <c r="E15" s="414"/>
      <c r="F15" s="414"/>
      <c r="G15" s="414"/>
      <c r="H15" s="414"/>
      <c r="I15" s="414"/>
      <c r="J15" s="415"/>
      <c r="K15" s="234"/>
      <c r="L15" s="240"/>
      <c r="M15" s="240"/>
      <c r="N15" s="396"/>
      <c r="O15" s="234"/>
      <c r="P15" s="121"/>
      <c r="Q15" s="121"/>
      <c r="R15" s="121"/>
      <c r="S15" s="121"/>
      <c r="T15" s="121"/>
      <c r="U15" s="121"/>
      <c r="V15" s="121"/>
      <c r="W15" s="121"/>
      <c r="X15" s="121"/>
      <c r="Y15" s="121"/>
      <c r="Z15" s="121"/>
      <c r="AA15" s="121"/>
    </row>
    <row r="16" spans="1:27" ht="15" customHeight="1">
      <c r="A16" s="361" t="s">
        <v>119</v>
      </c>
      <c r="B16" s="363" t="s">
        <v>926</v>
      </c>
      <c r="C16" s="364"/>
      <c r="D16" s="364"/>
      <c r="E16" s="364"/>
      <c r="F16" s="364"/>
      <c r="G16" s="364"/>
      <c r="H16" s="364"/>
      <c r="I16" s="364"/>
      <c r="J16" s="365"/>
      <c r="K16" s="232">
        <v>15</v>
      </c>
      <c r="L16" s="238"/>
      <c r="M16" s="238"/>
      <c r="N16" s="238"/>
      <c r="O16" s="383"/>
      <c r="P16" s="121"/>
      <c r="Q16" s="121"/>
      <c r="R16" s="121"/>
      <c r="S16" s="121"/>
      <c r="T16" s="121"/>
      <c r="U16" s="121"/>
      <c r="V16" s="121"/>
      <c r="W16" s="121"/>
      <c r="X16" s="121"/>
      <c r="Y16" s="121"/>
      <c r="Z16" s="121"/>
      <c r="AA16" s="121"/>
    </row>
    <row r="17" spans="1:27" ht="15" customHeight="1">
      <c r="A17" s="280"/>
      <c r="B17" s="366"/>
      <c r="C17" s="367"/>
      <c r="D17" s="367"/>
      <c r="E17" s="367"/>
      <c r="F17" s="367"/>
      <c r="G17" s="367"/>
      <c r="H17" s="367"/>
      <c r="I17" s="367"/>
      <c r="J17" s="368"/>
      <c r="K17" s="233"/>
      <c r="L17" s="239"/>
      <c r="M17" s="239"/>
      <c r="N17" s="239"/>
      <c r="O17" s="384"/>
      <c r="P17" s="121"/>
      <c r="Q17" s="121"/>
      <c r="R17" s="121"/>
      <c r="S17" s="121"/>
      <c r="T17" s="121"/>
      <c r="U17" s="121"/>
      <c r="V17" s="121"/>
      <c r="W17" s="121"/>
      <c r="X17" s="121"/>
      <c r="Y17" s="121"/>
      <c r="Z17" s="121"/>
      <c r="AA17" s="121"/>
    </row>
    <row r="18" spans="1:27" ht="15" customHeight="1">
      <c r="A18" s="281"/>
      <c r="B18" s="404"/>
      <c r="C18" s="405"/>
      <c r="D18" s="405"/>
      <c r="E18" s="405"/>
      <c r="F18" s="405"/>
      <c r="G18" s="405"/>
      <c r="H18" s="405"/>
      <c r="I18" s="405"/>
      <c r="J18" s="406"/>
      <c r="K18" s="234"/>
      <c r="L18" s="240"/>
      <c r="M18" s="240"/>
      <c r="N18" s="240"/>
      <c r="O18" s="385"/>
      <c r="P18" s="121"/>
      <c r="Q18" s="121"/>
      <c r="R18" s="121"/>
      <c r="S18" s="121"/>
      <c r="T18" s="121"/>
      <c r="U18" s="121"/>
      <c r="V18" s="121"/>
      <c r="W18" s="121"/>
      <c r="X18" s="121"/>
      <c r="Y18" s="121"/>
      <c r="Z18" s="121"/>
      <c r="AA18" s="121"/>
    </row>
    <row r="19" spans="1:27" ht="30" customHeight="1">
      <c r="A19" s="377" t="s">
        <v>121</v>
      </c>
      <c r="B19" s="377"/>
      <c r="C19" s="377"/>
      <c r="D19" s="377"/>
      <c r="E19" s="377"/>
      <c r="F19" s="377"/>
      <c r="G19" s="377"/>
      <c r="H19" s="377"/>
      <c r="I19" s="377"/>
      <c r="J19" s="377"/>
      <c r="K19" s="377"/>
      <c r="L19" s="377"/>
      <c r="M19" s="377"/>
      <c r="N19" s="377"/>
      <c r="O19" s="377"/>
      <c r="P19" s="121"/>
      <c r="Q19" s="121"/>
      <c r="R19" s="121"/>
      <c r="S19" s="121"/>
      <c r="T19" s="121"/>
      <c r="U19" s="121"/>
      <c r="V19" s="121"/>
      <c r="W19" s="121"/>
      <c r="X19" s="121"/>
      <c r="Y19" s="121"/>
      <c r="Z19" s="121"/>
      <c r="AA19" s="121"/>
    </row>
    <row r="20" spans="1:27" ht="15" customHeight="1">
      <c r="A20" s="288" t="s">
        <v>66</v>
      </c>
      <c r="B20" s="289"/>
      <c r="C20" s="289"/>
      <c r="D20" s="289"/>
      <c r="E20" s="289"/>
      <c r="F20" s="289"/>
      <c r="G20" s="289"/>
      <c r="H20" s="289"/>
      <c r="I20" s="289"/>
      <c r="J20" s="290"/>
      <c r="K20" s="81" t="s">
        <v>65</v>
      </c>
      <c r="L20" s="122" t="s">
        <v>27</v>
      </c>
      <c r="M20" s="122" t="s">
        <v>64</v>
      </c>
      <c r="N20" s="122" t="s">
        <v>63</v>
      </c>
      <c r="O20" s="122" t="s">
        <v>62</v>
      </c>
      <c r="P20" s="121"/>
      <c r="Q20" s="121"/>
      <c r="R20" s="121"/>
      <c r="S20" s="121"/>
      <c r="T20" s="121"/>
      <c r="U20" s="121"/>
      <c r="V20" s="121"/>
      <c r="W20" s="121"/>
      <c r="X20" s="121"/>
      <c r="Y20" s="121"/>
      <c r="Z20" s="121"/>
      <c r="AA20" s="121"/>
    </row>
    <row r="21" spans="1:27" ht="15" customHeight="1">
      <c r="A21" s="361" t="s">
        <v>122</v>
      </c>
      <c r="B21" s="363" t="s">
        <v>927</v>
      </c>
      <c r="C21" s="364"/>
      <c r="D21" s="364"/>
      <c r="E21" s="364"/>
      <c r="F21" s="364"/>
      <c r="G21" s="364"/>
      <c r="H21" s="364"/>
      <c r="I21" s="364"/>
      <c r="J21" s="365"/>
      <c r="K21" s="386">
        <v>15</v>
      </c>
      <c r="L21" s="326"/>
      <c r="M21" s="238"/>
      <c r="N21" s="238"/>
      <c r="O21" s="232"/>
      <c r="P21" s="121"/>
      <c r="Q21" s="121"/>
      <c r="R21" s="121"/>
      <c r="S21" s="121"/>
      <c r="T21" s="121"/>
      <c r="U21" s="121"/>
      <c r="V21" s="121"/>
      <c r="W21" s="121"/>
      <c r="X21" s="121"/>
      <c r="Y21" s="121"/>
      <c r="Z21" s="121"/>
      <c r="AA21" s="121"/>
    </row>
    <row r="22" spans="1:27" ht="15" customHeight="1">
      <c r="A22" s="375"/>
      <c r="B22" s="366"/>
      <c r="C22" s="367"/>
      <c r="D22" s="367"/>
      <c r="E22" s="367"/>
      <c r="F22" s="367"/>
      <c r="G22" s="367"/>
      <c r="H22" s="367"/>
      <c r="I22" s="367"/>
      <c r="J22" s="368"/>
      <c r="K22" s="387"/>
      <c r="L22" s="327"/>
      <c r="M22" s="239"/>
      <c r="N22" s="239"/>
      <c r="O22" s="388"/>
      <c r="P22" s="121"/>
      <c r="Q22" s="121"/>
      <c r="R22" s="121"/>
      <c r="S22" s="121"/>
      <c r="T22" s="121"/>
      <c r="U22" s="121"/>
      <c r="V22" s="121"/>
      <c r="W22" s="121"/>
      <c r="X22" s="121"/>
      <c r="Y22" s="121"/>
      <c r="Z22" s="121"/>
      <c r="AA22" s="121"/>
    </row>
    <row r="23" spans="1:27" ht="15" customHeight="1">
      <c r="A23" s="281"/>
      <c r="B23" s="404"/>
      <c r="C23" s="405"/>
      <c r="D23" s="405"/>
      <c r="E23" s="405"/>
      <c r="F23" s="405"/>
      <c r="G23" s="405"/>
      <c r="H23" s="405"/>
      <c r="I23" s="405"/>
      <c r="J23" s="406"/>
      <c r="K23" s="387"/>
      <c r="L23" s="327"/>
      <c r="M23" s="240"/>
      <c r="N23" s="240"/>
      <c r="O23" s="389"/>
      <c r="P23" s="121"/>
      <c r="Q23" s="121"/>
      <c r="R23" s="121"/>
      <c r="S23" s="121"/>
      <c r="T23" s="121"/>
      <c r="U23" s="121"/>
      <c r="V23" s="121"/>
      <c r="W23" s="121"/>
      <c r="X23" s="121"/>
      <c r="Y23" s="121"/>
      <c r="Z23" s="121"/>
      <c r="AA23" s="121"/>
    </row>
    <row r="24" spans="1:27" ht="15" customHeight="1">
      <c r="A24" s="361" t="s">
        <v>123</v>
      </c>
      <c r="B24" s="363" t="s">
        <v>932</v>
      </c>
      <c r="C24" s="364"/>
      <c r="D24" s="364"/>
      <c r="E24" s="364"/>
      <c r="F24" s="364"/>
      <c r="G24" s="364"/>
      <c r="H24" s="364"/>
      <c r="I24" s="364"/>
      <c r="J24" s="365"/>
      <c r="K24" s="232">
        <v>10</v>
      </c>
      <c r="L24" s="238"/>
      <c r="M24" s="238"/>
      <c r="N24" s="238"/>
      <c r="O24" s="232"/>
      <c r="P24" s="121"/>
      <c r="Q24" s="121"/>
      <c r="R24" s="121"/>
      <c r="S24" s="121"/>
      <c r="T24" s="121"/>
      <c r="U24" s="121"/>
      <c r="V24" s="121"/>
      <c r="W24" s="121"/>
      <c r="X24" s="121"/>
      <c r="Y24" s="121"/>
      <c r="Z24" s="121"/>
      <c r="AA24" s="121"/>
    </row>
    <row r="25" spans="1:27" ht="15" customHeight="1">
      <c r="A25" s="375"/>
      <c r="B25" s="366"/>
      <c r="C25" s="367"/>
      <c r="D25" s="367"/>
      <c r="E25" s="367"/>
      <c r="F25" s="367"/>
      <c r="G25" s="367"/>
      <c r="H25" s="367"/>
      <c r="I25" s="367"/>
      <c r="J25" s="368"/>
      <c r="K25" s="233"/>
      <c r="L25" s="239"/>
      <c r="M25" s="239"/>
      <c r="N25" s="239"/>
      <c r="O25" s="388"/>
      <c r="P25" s="121"/>
      <c r="Q25" s="121"/>
      <c r="R25" s="121"/>
      <c r="S25" s="121"/>
      <c r="T25" s="121"/>
      <c r="U25" s="121"/>
      <c r="V25" s="121"/>
      <c r="W25" s="121"/>
      <c r="X25" s="121"/>
      <c r="Y25" s="121"/>
      <c r="Z25" s="121"/>
      <c r="AA25" s="121"/>
    </row>
    <row r="26" spans="1:27" ht="15" customHeight="1">
      <c r="A26" s="281"/>
      <c r="B26" s="404"/>
      <c r="C26" s="405"/>
      <c r="D26" s="405"/>
      <c r="E26" s="405"/>
      <c r="F26" s="405"/>
      <c r="G26" s="405"/>
      <c r="H26" s="405"/>
      <c r="I26" s="405"/>
      <c r="J26" s="406"/>
      <c r="K26" s="234"/>
      <c r="L26" s="240"/>
      <c r="M26" s="240"/>
      <c r="N26" s="240"/>
      <c r="O26" s="389"/>
      <c r="P26" s="121"/>
      <c r="Q26" s="121"/>
      <c r="R26" s="121"/>
      <c r="S26" s="121"/>
      <c r="T26" s="121"/>
      <c r="U26" s="121"/>
      <c r="V26" s="121"/>
      <c r="W26" s="121"/>
      <c r="X26" s="121"/>
      <c r="Y26" s="121"/>
      <c r="Z26" s="121"/>
      <c r="AA26" s="121"/>
    </row>
    <row r="27" spans="1:27" ht="30" customHeight="1">
      <c r="A27" s="377" t="s">
        <v>124</v>
      </c>
      <c r="B27" s="377"/>
      <c r="C27" s="377"/>
      <c r="D27" s="377"/>
      <c r="E27" s="377"/>
      <c r="F27" s="391"/>
      <c r="G27" s="377"/>
      <c r="H27" s="377"/>
      <c r="I27" s="377"/>
      <c r="J27" s="377"/>
      <c r="K27" s="377"/>
      <c r="L27" s="377"/>
      <c r="M27" s="377"/>
      <c r="N27" s="377"/>
      <c r="O27" s="377"/>
      <c r="P27" s="121"/>
      <c r="Q27" s="121"/>
      <c r="R27" s="121"/>
      <c r="S27" s="121"/>
      <c r="T27" s="121"/>
      <c r="U27" s="121"/>
      <c r="V27" s="121"/>
      <c r="W27" s="121"/>
      <c r="X27" s="121"/>
      <c r="Y27" s="121"/>
      <c r="Z27" s="121"/>
      <c r="AA27" s="121"/>
    </row>
    <row r="28" spans="1:27" ht="15" customHeight="1">
      <c r="A28" s="288" t="s">
        <v>66</v>
      </c>
      <c r="B28" s="289"/>
      <c r="C28" s="289"/>
      <c r="D28" s="289"/>
      <c r="E28" s="289"/>
      <c r="F28" s="289"/>
      <c r="G28" s="289"/>
      <c r="H28" s="289"/>
      <c r="I28" s="289"/>
      <c r="J28" s="290"/>
      <c r="K28" s="81" t="s">
        <v>65</v>
      </c>
      <c r="L28" s="122" t="s">
        <v>27</v>
      </c>
      <c r="M28" s="122" t="s">
        <v>64</v>
      </c>
      <c r="N28" s="122" t="s">
        <v>63</v>
      </c>
      <c r="O28" s="122" t="s">
        <v>62</v>
      </c>
      <c r="P28" s="121"/>
      <c r="Q28" s="121"/>
      <c r="R28" s="121"/>
      <c r="S28" s="121"/>
      <c r="T28" s="121"/>
      <c r="U28" s="121"/>
      <c r="V28" s="121"/>
      <c r="W28" s="121"/>
      <c r="X28" s="121"/>
      <c r="Y28" s="121"/>
      <c r="Z28" s="121"/>
      <c r="AA28" s="121"/>
    </row>
    <row r="29" spans="1:27" ht="15" customHeight="1">
      <c r="A29" s="378" t="s">
        <v>125</v>
      </c>
      <c r="B29" s="363" t="s">
        <v>928</v>
      </c>
      <c r="C29" s="364"/>
      <c r="D29" s="364"/>
      <c r="E29" s="364"/>
      <c r="F29" s="364"/>
      <c r="G29" s="364"/>
      <c r="H29" s="364"/>
      <c r="I29" s="364"/>
      <c r="J29" s="365"/>
      <c r="K29" s="246">
        <v>15</v>
      </c>
      <c r="L29" s="238"/>
      <c r="M29" s="238"/>
      <c r="N29" s="381"/>
      <c r="O29" s="232"/>
      <c r="P29" s="121"/>
      <c r="Q29" s="121"/>
      <c r="R29" s="121"/>
      <c r="S29" s="121"/>
      <c r="T29" s="121"/>
      <c r="U29" s="121"/>
      <c r="V29" s="121"/>
      <c r="W29" s="121"/>
      <c r="X29" s="121"/>
      <c r="Y29" s="121"/>
      <c r="Z29" s="121"/>
      <c r="AA29" s="121"/>
    </row>
    <row r="30" spans="1:27" ht="15" customHeight="1">
      <c r="A30" s="379"/>
      <c r="B30" s="366"/>
      <c r="C30" s="367"/>
      <c r="D30" s="367"/>
      <c r="E30" s="367"/>
      <c r="F30" s="367"/>
      <c r="G30" s="367"/>
      <c r="H30" s="367"/>
      <c r="I30" s="367"/>
      <c r="J30" s="368"/>
      <c r="K30" s="380"/>
      <c r="L30" s="239"/>
      <c r="M30" s="239"/>
      <c r="N30" s="382"/>
      <c r="O30" s="233"/>
      <c r="P30" s="121"/>
      <c r="Q30" s="121"/>
      <c r="R30" s="121"/>
      <c r="S30" s="121"/>
      <c r="T30" s="121"/>
      <c r="U30" s="121"/>
      <c r="V30" s="121"/>
      <c r="W30" s="121"/>
      <c r="X30" s="121"/>
      <c r="Y30" s="121"/>
      <c r="Z30" s="121"/>
      <c r="AA30" s="121"/>
    </row>
    <row r="31" spans="1:27" ht="15" customHeight="1">
      <c r="A31" s="379"/>
      <c r="B31" s="366"/>
      <c r="C31" s="367"/>
      <c r="D31" s="367"/>
      <c r="E31" s="367"/>
      <c r="F31" s="367"/>
      <c r="G31" s="367"/>
      <c r="H31" s="367"/>
      <c r="I31" s="367"/>
      <c r="J31" s="368"/>
      <c r="K31" s="380"/>
      <c r="L31" s="239"/>
      <c r="M31" s="239"/>
      <c r="N31" s="382"/>
      <c r="O31" s="233"/>
      <c r="P31" s="121"/>
      <c r="Q31" s="121"/>
      <c r="R31" s="121"/>
      <c r="S31" s="121"/>
      <c r="T31" s="121"/>
      <c r="U31" s="121"/>
      <c r="V31" s="121"/>
      <c r="W31" s="121"/>
      <c r="X31" s="121"/>
      <c r="Y31" s="121"/>
      <c r="Z31" s="121"/>
      <c r="AA31" s="121"/>
    </row>
    <row r="32" spans="1:27" ht="15" customHeight="1">
      <c r="A32" s="361" t="s">
        <v>126</v>
      </c>
      <c r="B32" s="363" t="s">
        <v>929</v>
      </c>
      <c r="C32" s="364"/>
      <c r="D32" s="364"/>
      <c r="E32" s="364"/>
      <c r="F32" s="364"/>
      <c r="G32" s="364"/>
      <c r="H32" s="364"/>
      <c r="I32" s="364"/>
      <c r="J32" s="365"/>
      <c r="K32" s="232">
        <v>10</v>
      </c>
      <c r="L32" s="238"/>
      <c r="M32" s="238"/>
      <c r="N32" s="238"/>
      <c r="O32" s="232"/>
      <c r="P32" s="121"/>
      <c r="Q32" s="121"/>
      <c r="R32" s="121"/>
      <c r="S32" s="121"/>
      <c r="T32" s="121"/>
      <c r="U32" s="121"/>
      <c r="V32" s="121"/>
      <c r="W32" s="121"/>
      <c r="X32" s="121"/>
      <c r="Y32" s="121"/>
      <c r="Z32" s="121"/>
      <c r="AA32" s="121"/>
    </row>
    <row r="33" spans="1:27" ht="15" customHeight="1">
      <c r="A33" s="375"/>
      <c r="B33" s="366"/>
      <c r="C33" s="367"/>
      <c r="D33" s="367"/>
      <c r="E33" s="367"/>
      <c r="F33" s="367"/>
      <c r="G33" s="367"/>
      <c r="H33" s="367"/>
      <c r="I33" s="367"/>
      <c r="J33" s="368"/>
      <c r="K33" s="233"/>
      <c r="L33" s="239"/>
      <c r="M33" s="239"/>
      <c r="N33" s="239"/>
      <c r="O33" s="233"/>
      <c r="P33" s="121"/>
      <c r="Q33" s="121"/>
      <c r="R33" s="121"/>
      <c r="S33" s="121"/>
      <c r="T33" s="121"/>
      <c r="U33" s="121"/>
      <c r="V33" s="121"/>
      <c r="W33" s="121"/>
      <c r="X33" s="121"/>
      <c r="Y33" s="121"/>
      <c r="Z33" s="121"/>
      <c r="AA33" s="121"/>
    </row>
    <row r="34" spans="1:27" ht="15" customHeight="1">
      <c r="A34" s="280"/>
      <c r="B34" s="366"/>
      <c r="C34" s="367"/>
      <c r="D34" s="367"/>
      <c r="E34" s="367"/>
      <c r="F34" s="367"/>
      <c r="G34" s="367"/>
      <c r="H34" s="367"/>
      <c r="I34" s="367"/>
      <c r="J34" s="368"/>
      <c r="K34" s="233"/>
      <c r="L34" s="239"/>
      <c r="M34" s="239"/>
      <c r="N34" s="239"/>
      <c r="O34" s="233"/>
      <c r="P34" s="121"/>
      <c r="Q34" s="121"/>
      <c r="R34" s="121"/>
      <c r="S34" s="121"/>
      <c r="T34" s="121"/>
      <c r="U34" s="121"/>
      <c r="V34" s="121"/>
      <c r="W34" s="121"/>
      <c r="X34" s="121"/>
      <c r="Y34" s="121"/>
      <c r="Z34" s="121"/>
      <c r="AA34" s="121"/>
    </row>
    <row r="35" spans="1:27" ht="15" customHeight="1">
      <c r="A35" s="273"/>
      <c r="B35" s="366"/>
      <c r="C35" s="367"/>
      <c r="D35" s="367"/>
      <c r="E35" s="367"/>
      <c r="F35" s="367"/>
      <c r="G35" s="367"/>
      <c r="H35" s="367"/>
      <c r="I35" s="367"/>
      <c r="J35" s="368"/>
      <c r="K35" s="233"/>
      <c r="L35" s="239"/>
      <c r="M35" s="239"/>
      <c r="N35" s="239"/>
      <c r="O35" s="233"/>
      <c r="P35" s="121"/>
      <c r="Q35" s="121"/>
      <c r="R35" s="121"/>
      <c r="S35" s="121"/>
      <c r="T35" s="121"/>
      <c r="U35" s="121"/>
      <c r="V35" s="121"/>
      <c r="W35" s="121"/>
      <c r="X35" s="121"/>
      <c r="Y35" s="121"/>
      <c r="Z35" s="121"/>
      <c r="AA35" s="121"/>
    </row>
    <row r="36" spans="1:27" ht="15" customHeight="1">
      <c r="A36" s="274"/>
      <c r="B36" s="404"/>
      <c r="C36" s="405"/>
      <c r="D36" s="405"/>
      <c r="E36" s="405"/>
      <c r="F36" s="405"/>
      <c r="G36" s="405"/>
      <c r="H36" s="405"/>
      <c r="I36" s="405"/>
      <c r="J36" s="406"/>
      <c r="K36" s="234"/>
      <c r="L36" s="240"/>
      <c r="M36" s="240"/>
      <c r="N36" s="240"/>
      <c r="O36" s="234"/>
      <c r="P36" s="121"/>
      <c r="Q36" s="121"/>
      <c r="R36" s="121"/>
      <c r="S36" s="121"/>
      <c r="T36" s="121"/>
      <c r="U36" s="121"/>
      <c r="V36" s="121"/>
      <c r="W36" s="121"/>
      <c r="X36" s="121"/>
      <c r="Y36" s="121"/>
      <c r="Z36" s="121"/>
      <c r="AA36" s="121"/>
    </row>
    <row r="37" spans="1:27" ht="15" customHeight="1">
      <c r="A37" s="288" t="s">
        <v>66</v>
      </c>
      <c r="B37" s="289"/>
      <c r="C37" s="289"/>
      <c r="D37" s="289"/>
      <c r="E37" s="289"/>
      <c r="F37" s="289"/>
      <c r="G37" s="289"/>
      <c r="H37" s="289"/>
      <c r="I37" s="289"/>
      <c r="J37" s="290"/>
      <c r="K37" s="81" t="s">
        <v>65</v>
      </c>
      <c r="L37" s="76" t="s">
        <v>27</v>
      </c>
      <c r="M37" s="76" t="s">
        <v>64</v>
      </c>
      <c r="N37" s="76" t="s">
        <v>63</v>
      </c>
      <c r="O37" s="76" t="s">
        <v>62</v>
      </c>
      <c r="P37" s="119"/>
      <c r="Q37" s="119"/>
      <c r="R37" s="119"/>
      <c r="S37" s="119"/>
      <c r="T37" s="119"/>
      <c r="U37" s="119"/>
      <c r="V37" s="119"/>
      <c r="W37" s="119"/>
      <c r="X37" s="119"/>
      <c r="Y37" s="119"/>
      <c r="Z37" s="119"/>
    </row>
    <row r="38" spans="1:27" ht="15">
      <c r="A38" s="361" t="s">
        <v>127</v>
      </c>
      <c r="B38" s="260" t="s">
        <v>719</v>
      </c>
      <c r="C38" s="187"/>
      <c r="D38" s="187"/>
      <c r="E38" s="187"/>
      <c r="F38" s="187"/>
      <c r="G38" s="187"/>
      <c r="H38" s="187"/>
      <c r="I38" s="187"/>
      <c r="J38" s="261"/>
      <c r="K38" s="232">
        <v>10</v>
      </c>
      <c r="L38" s="238"/>
      <c r="M38" s="238"/>
      <c r="N38" s="238"/>
      <c r="O38" s="232"/>
      <c r="P38" s="119"/>
      <c r="Q38" s="119"/>
      <c r="R38" s="119"/>
      <c r="S38" s="119"/>
      <c r="T38" s="119"/>
      <c r="U38" s="119"/>
      <c r="V38" s="119"/>
      <c r="W38" s="119"/>
      <c r="X38" s="119"/>
      <c r="Y38" s="119"/>
      <c r="Z38" s="119"/>
    </row>
    <row r="39" spans="1:27" ht="15">
      <c r="A39" s="375"/>
      <c r="B39" s="252" t="s">
        <v>720</v>
      </c>
      <c r="C39" s="172"/>
      <c r="D39" s="172"/>
      <c r="E39" s="172"/>
      <c r="F39" s="172"/>
      <c r="G39" s="172"/>
      <c r="H39" s="172"/>
      <c r="I39" s="172"/>
      <c r="J39" s="253"/>
      <c r="K39" s="233"/>
      <c r="L39" s="239"/>
      <c r="M39" s="239"/>
      <c r="N39" s="239"/>
      <c r="O39" s="233"/>
      <c r="P39" s="119"/>
      <c r="Q39" s="119"/>
      <c r="R39" s="119"/>
      <c r="S39" s="119"/>
      <c r="T39" s="119"/>
      <c r="U39" s="119"/>
      <c r="V39" s="119"/>
      <c r="W39" s="119"/>
      <c r="X39" s="119"/>
      <c r="Y39" s="119"/>
      <c r="Z39" s="119"/>
    </row>
    <row r="40" spans="1:27" ht="15">
      <c r="A40" s="281"/>
      <c r="B40" s="254" t="s">
        <v>721</v>
      </c>
      <c r="C40" s="255"/>
      <c r="D40" s="255"/>
      <c r="E40" s="255"/>
      <c r="F40" s="255"/>
      <c r="G40" s="255"/>
      <c r="H40" s="255"/>
      <c r="I40" s="255"/>
      <c r="J40" s="256"/>
      <c r="K40" s="234"/>
      <c r="L40" s="240"/>
      <c r="M40" s="240"/>
      <c r="N40" s="240"/>
      <c r="O40" s="234"/>
      <c r="P40" s="119"/>
      <c r="Q40" s="119"/>
      <c r="R40" s="119"/>
      <c r="S40" s="119"/>
      <c r="T40" s="119"/>
      <c r="U40" s="119"/>
      <c r="V40" s="119"/>
      <c r="W40" s="119"/>
      <c r="X40" s="119"/>
      <c r="Y40" s="119"/>
      <c r="Z40" s="119"/>
    </row>
    <row r="41" spans="1:27" ht="15">
      <c r="A41" s="361" t="s">
        <v>128</v>
      </c>
      <c r="B41" s="260" t="s">
        <v>722</v>
      </c>
      <c r="C41" s="187"/>
      <c r="D41" s="187"/>
      <c r="E41" s="187"/>
      <c r="F41" s="187"/>
      <c r="G41" s="187"/>
      <c r="H41" s="187"/>
      <c r="I41" s="187"/>
      <c r="J41" s="261"/>
      <c r="K41" s="232">
        <v>10</v>
      </c>
      <c r="L41" s="238"/>
      <c r="M41" s="238"/>
      <c r="N41" s="238"/>
      <c r="O41" s="232"/>
      <c r="P41" s="119"/>
      <c r="Q41" s="119"/>
      <c r="R41" s="119"/>
      <c r="S41" s="119"/>
      <c r="T41" s="119"/>
      <c r="U41" s="119"/>
      <c r="V41" s="119"/>
      <c r="W41" s="119"/>
      <c r="X41" s="119"/>
      <c r="Y41" s="119"/>
      <c r="Z41" s="119"/>
    </row>
    <row r="42" spans="1:27" ht="15">
      <c r="A42" s="375"/>
      <c r="B42" s="252" t="s">
        <v>723</v>
      </c>
      <c r="C42" s="172"/>
      <c r="D42" s="172"/>
      <c r="E42" s="172"/>
      <c r="F42" s="172"/>
      <c r="G42" s="172"/>
      <c r="H42" s="172"/>
      <c r="I42" s="172"/>
      <c r="J42" s="253"/>
      <c r="K42" s="233"/>
      <c r="L42" s="239"/>
      <c r="M42" s="239"/>
      <c r="N42" s="239"/>
      <c r="O42" s="233"/>
      <c r="P42" s="119"/>
      <c r="Q42" s="119"/>
      <c r="R42" s="119"/>
      <c r="S42" s="119"/>
      <c r="T42" s="119"/>
      <c r="U42" s="119"/>
      <c r="V42" s="119"/>
      <c r="W42" s="119"/>
      <c r="X42" s="119"/>
      <c r="Y42" s="119"/>
      <c r="Z42" s="119"/>
    </row>
    <row r="43" spans="1:27" ht="15">
      <c r="A43" s="281"/>
      <c r="B43" s="254" t="s">
        <v>724</v>
      </c>
      <c r="C43" s="255"/>
      <c r="D43" s="255"/>
      <c r="E43" s="255"/>
      <c r="F43" s="255"/>
      <c r="G43" s="255"/>
      <c r="H43" s="255"/>
      <c r="I43" s="255"/>
      <c r="J43" s="256"/>
      <c r="K43" s="234"/>
      <c r="L43" s="240"/>
      <c r="M43" s="240"/>
      <c r="N43" s="240"/>
      <c r="O43" s="234"/>
      <c r="P43" s="119"/>
      <c r="Q43" s="119"/>
      <c r="R43" s="119"/>
      <c r="S43" s="119"/>
      <c r="T43" s="119"/>
      <c r="U43" s="119"/>
      <c r="V43" s="119"/>
      <c r="W43" s="119"/>
      <c r="X43" s="119"/>
      <c r="Y43" s="119"/>
      <c r="Z43" s="119"/>
    </row>
    <row r="44" spans="1:27" ht="15" customHeight="1">
      <c r="A44" s="361" t="s">
        <v>130</v>
      </c>
      <c r="B44" s="260" t="s">
        <v>132</v>
      </c>
      <c r="C44" s="187"/>
      <c r="D44" s="187"/>
      <c r="E44" s="187"/>
      <c r="F44" s="187"/>
      <c r="G44" s="187"/>
      <c r="H44" s="187"/>
      <c r="I44" s="187"/>
      <c r="J44" s="261"/>
      <c r="K44" s="232">
        <v>5</v>
      </c>
      <c r="L44" s="238"/>
      <c r="M44" s="238"/>
      <c r="N44" s="238"/>
      <c r="O44" s="232" t="s">
        <v>603</v>
      </c>
      <c r="P44" s="119"/>
      <c r="Q44" s="119"/>
      <c r="R44" s="119"/>
      <c r="S44" s="119"/>
      <c r="T44" s="119"/>
      <c r="U44" s="119"/>
      <c r="V44" s="119"/>
      <c r="W44" s="119"/>
      <c r="X44" s="119"/>
      <c r="Y44" s="119"/>
      <c r="Z44" s="119"/>
    </row>
    <row r="45" spans="1:27" ht="15" customHeight="1">
      <c r="A45" s="375"/>
      <c r="B45" s="252" t="s">
        <v>133</v>
      </c>
      <c r="C45" s="172"/>
      <c r="D45" s="172"/>
      <c r="E45" s="172"/>
      <c r="F45" s="172"/>
      <c r="G45" s="172"/>
      <c r="H45" s="172"/>
      <c r="I45" s="172"/>
      <c r="J45" s="253"/>
      <c r="K45" s="233"/>
      <c r="L45" s="239"/>
      <c r="M45" s="239"/>
      <c r="N45" s="239"/>
      <c r="O45" s="233"/>
      <c r="P45" s="119"/>
      <c r="Q45" s="119"/>
      <c r="R45" s="119"/>
      <c r="S45" s="119"/>
      <c r="T45" s="119"/>
      <c r="U45" s="119"/>
      <c r="V45" s="119"/>
      <c r="W45" s="119"/>
      <c r="X45" s="119"/>
      <c r="Y45" s="119"/>
      <c r="Z45" s="119"/>
    </row>
    <row r="46" spans="1:27" ht="15" customHeight="1">
      <c r="A46" s="281"/>
      <c r="B46" s="254" t="s">
        <v>727</v>
      </c>
      <c r="C46" s="255"/>
      <c r="D46" s="255"/>
      <c r="E46" s="255"/>
      <c r="F46" s="255"/>
      <c r="G46" s="255"/>
      <c r="H46" s="255"/>
      <c r="I46" s="255"/>
      <c r="J46" s="256"/>
      <c r="K46" s="234"/>
      <c r="L46" s="240"/>
      <c r="M46" s="240"/>
      <c r="N46" s="240"/>
      <c r="O46" s="234"/>
      <c r="P46" s="119"/>
      <c r="Q46" s="119"/>
      <c r="R46" s="119"/>
      <c r="S46" s="119"/>
      <c r="T46" s="119"/>
      <c r="U46" s="119"/>
      <c r="V46" s="119"/>
      <c r="W46" s="119"/>
      <c r="X46" s="119"/>
      <c r="Y46" s="119"/>
      <c r="Z46" s="119"/>
    </row>
    <row r="47" spans="1:27" ht="15" customHeight="1">
      <c r="A47" s="361" t="s">
        <v>131</v>
      </c>
      <c r="B47" s="260" t="s">
        <v>725</v>
      </c>
      <c r="C47" s="187"/>
      <c r="D47" s="187"/>
      <c r="E47" s="187"/>
      <c r="F47" s="187"/>
      <c r="G47" s="187"/>
      <c r="H47" s="187"/>
      <c r="I47" s="187"/>
      <c r="J47" s="261"/>
      <c r="K47" s="232">
        <v>5</v>
      </c>
      <c r="L47" s="238"/>
      <c r="M47" s="238"/>
      <c r="N47" s="238"/>
      <c r="O47" s="232" t="s">
        <v>603</v>
      </c>
      <c r="P47" s="119"/>
      <c r="Q47" s="119"/>
      <c r="R47" s="119"/>
      <c r="S47" s="119"/>
      <c r="T47" s="119"/>
      <c r="U47" s="119"/>
      <c r="V47" s="119"/>
      <c r="W47" s="119"/>
      <c r="X47" s="119"/>
      <c r="Y47" s="119"/>
      <c r="Z47" s="119"/>
    </row>
    <row r="48" spans="1:27" ht="15" customHeight="1">
      <c r="A48" s="375"/>
      <c r="B48" s="252" t="s">
        <v>726</v>
      </c>
      <c r="C48" s="172"/>
      <c r="D48" s="172"/>
      <c r="E48" s="172"/>
      <c r="F48" s="172"/>
      <c r="G48" s="172"/>
      <c r="H48" s="172"/>
      <c r="I48" s="172"/>
      <c r="J48" s="253"/>
      <c r="K48" s="233"/>
      <c r="L48" s="239"/>
      <c r="M48" s="239"/>
      <c r="N48" s="239"/>
      <c r="O48" s="233"/>
      <c r="P48" s="119"/>
      <c r="Q48" s="119"/>
      <c r="R48" s="119"/>
      <c r="S48" s="119"/>
      <c r="T48" s="119"/>
      <c r="U48" s="119"/>
      <c r="V48" s="119"/>
      <c r="W48" s="119"/>
      <c r="X48" s="119"/>
      <c r="Y48" s="119"/>
      <c r="Z48" s="119"/>
    </row>
    <row r="49" spans="1:26" ht="15" customHeight="1">
      <c r="A49" s="281"/>
      <c r="B49" s="254" t="s">
        <v>607</v>
      </c>
      <c r="C49" s="255"/>
      <c r="D49" s="255"/>
      <c r="E49" s="255"/>
      <c r="F49" s="255"/>
      <c r="G49" s="255"/>
      <c r="H49" s="255"/>
      <c r="I49" s="255"/>
      <c r="J49" s="256"/>
      <c r="K49" s="234"/>
      <c r="L49" s="240"/>
      <c r="M49" s="240"/>
      <c r="N49" s="240"/>
      <c r="O49" s="234"/>
      <c r="P49" s="119"/>
      <c r="Q49" s="119"/>
      <c r="R49" s="119"/>
      <c r="S49" s="119"/>
      <c r="T49" s="119"/>
      <c r="U49" s="119"/>
      <c r="V49" s="119"/>
      <c r="W49" s="119"/>
      <c r="X49" s="119"/>
      <c r="Y49" s="119"/>
      <c r="Z49" s="119"/>
    </row>
    <row r="50" spans="1:26" ht="24.95" customHeight="1">
      <c r="A50" s="416" t="s">
        <v>134</v>
      </c>
      <c r="B50" s="416"/>
      <c r="C50" s="416"/>
      <c r="D50" s="416"/>
      <c r="E50" s="416"/>
      <c r="F50" s="416"/>
      <c r="G50" s="416"/>
      <c r="H50" s="416"/>
      <c r="I50" s="416"/>
      <c r="J50" s="416"/>
      <c r="K50" s="416"/>
      <c r="L50" s="416"/>
      <c r="M50" s="416"/>
      <c r="N50" s="416"/>
      <c r="O50" s="416"/>
      <c r="P50" s="119"/>
      <c r="Q50" s="119"/>
      <c r="R50" s="119"/>
      <c r="S50" s="119"/>
      <c r="T50" s="119"/>
      <c r="U50" s="119"/>
      <c r="V50" s="119"/>
      <c r="W50" s="119"/>
      <c r="X50" s="119"/>
      <c r="Y50" s="119"/>
      <c r="Z50" s="119"/>
    </row>
    <row r="51" spans="1:26" ht="23.25" customHeight="1">
      <c r="A51" s="390" t="s">
        <v>152</v>
      </c>
      <c r="B51" s="390"/>
      <c r="C51" s="390"/>
      <c r="D51" s="390"/>
      <c r="E51" s="390"/>
      <c r="F51" s="390"/>
      <c r="G51" s="390"/>
      <c r="H51" s="390"/>
      <c r="I51" s="390"/>
      <c r="J51" s="390"/>
      <c r="K51" s="390"/>
      <c r="L51" s="390"/>
      <c r="M51" s="390"/>
      <c r="N51" s="390"/>
      <c r="O51" s="390"/>
      <c r="P51" s="119"/>
      <c r="Q51" s="119"/>
      <c r="R51" s="119"/>
      <c r="S51" s="119"/>
      <c r="T51" s="119"/>
      <c r="U51" s="119"/>
      <c r="V51" s="119"/>
      <c r="W51" s="119"/>
      <c r="X51" s="119"/>
      <c r="Y51" s="119"/>
      <c r="Z51" s="119"/>
    </row>
    <row r="52" spans="1:26" ht="20.25" customHeight="1">
      <c r="A52" s="376"/>
      <c r="B52" s="376"/>
      <c r="C52" s="168" t="s">
        <v>169</v>
      </c>
      <c r="D52" s="168"/>
      <c r="E52" s="271"/>
      <c r="F52" s="271"/>
      <c r="G52" s="271"/>
      <c r="H52" s="271"/>
      <c r="I52" s="271"/>
      <c r="J52" s="271"/>
      <c r="K52" s="271"/>
      <c r="L52" s="271"/>
      <c r="M52" s="271"/>
      <c r="N52" s="271"/>
      <c r="O52" s="271"/>
      <c r="P52" s="119"/>
      <c r="Q52" s="119"/>
      <c r="R52" s="119"/>
      <c r="S52" s="119"/>
      <c r="T52" s="119"/>
      <c r="U52" s="119"/>
      <c r="V52" s="119"/>
      <c r="W52" s="119"/>
      <c r="X52" s="119"/>
      <c r="Y52" s="119"/>
      <c r="Z52" s="119"/>
    </row>
    <row r="53" spans="1:26" ht="15" customHeight="1">
      <c r="A53" s="271"/>
      <c r="B53" s="271"/>
      <c r="C53" s="271"/>
      <c r="D53" s="168" t="s">
        <v>135</v>
      </c>
      <c r="E53" s="168"/>
      <c r="F53" s="168"/>
      <c r="G53" s="168"/>
      <c r="H53" s="168"/>
      <c r="I53" s="168"/>
      <c r="J53" s="168"/>
      <c r="K53" s="168"/>
      <c r="L53" s="168"/>
      <c r="M53" s="168"/>
      <c r="N53" s="168"/>
      <c r="O53" s="168"/>
      <c r="P53" s="119"/>
      <c r="Q53" s="119"/>
      <c r="R53" s="119"/>
      <c r="S53" s="119"/>
      <c r="T53" s="119"/>
      <c r="U53" s="119"/>
      <c r="V53" s="119"/>
      <c r="W53" s="119"/>
      <c r="X53" s="119"/>
      <c r="Y53" s="119"/>
      <c r="Z53" s="119"/>
    </row>
    <row r="54" spans="1:26" ht="27" customHeight="1">
      <c r="A54" s="376"/>
      <c r="B54" s="376"/>
      <c r="C54" s="168" t="s">
        <v>622</v>
      </c>
      <c r="D54" s="168"/>
      <c r="E54" s="168"/>
      <c r="F54" s="168"/>
      <c r="G54" s="168"/>
      <c r="H54" s="168"/>
      <c r="I54" s="168"/>
      <c r="J54" s="168"/>
      <c r="K54" s="168"/>
      <c r="L54" s="168"/>
      <c r="M54" s="168"/>
      <c r="N54" s="168"/>
      <c r="O54" s="168"/>
      <c r="P54" s="119"/>
      <c r="Q54" s="119"/>
      <c r="R54" s="119"/>
      <c r="S54" s="119"/>
      <c r="T54" s="119"/>
      <c r="U54" s="119"/>
      <c r="V54" s="119"/>
      <c r="W54" s="119"/>
      <c r="X54" s="119"/>
      <c r="Y54" s="119"/>
      <c r="Z54" s="119"/>
    </row>
    <row r="55" spans="1:26" ht="15" customHeight="1">
      <c r="A55" s="271"/>
      <c r="B55" s="271"/>
      <c r="C55" s="271"/>
      <c r="D55" s="168" t="s">
        <v>623</v>
      </c>
      <c r="E55" s="168"/>
      <c r="F55" s="168"/>
      <c r="G55" s="168"/>
      <c r="H55" s="168"/>
      <c r="I55" s="168"/>
      <c r="J55" s="168"/>
      <c r="K55" s="168"/>
      <c r="L55" s="168"/>
      <c r="M55" s="168"/>
      <c r="N55" s="168"/>
      <c r="O55" s="168"/>
      <c r="P55" s="119"/>
      <c r="Q55" s="119"/>
      <c r="R55" s="119"/>
      <c r="S55" s="119"/>
      <c r="T55" s="119"/>
      <c r="U55" s="119"/>
      <c r="V55" s="119"/>
      <c r="W55" s="119"/>
      <c r="X55" s="119"/>
      <c r="Y55" s="120"/>
      <c r="Z55" s="119"/>
    </row>
    <row r="56" spans="1:26" ht="27" customHeight="1">
      <c r="A56" s="376"/>
      <c r="B56" s="376"/>
      <c r="C56" s="168" t="s">
        <v>624</v>
      </c>
      <c r="D56" s="271"/>
      <c r="E56" s="271"/>
      <c r="F56" s="271"/>
      <c r="G56" s="271"/>
      <c r="H56" s="271"/>
      <c r="I56" s="271"/>
      <c r="J56" s="271"/>
      <c r="K56" s="271"/>
      <c r="L56" s="271"/>
      <c r="M56" s="271"/>
      <c r="N56" s="271"/>
      <c r="O56" s="271"/>
      <c r="P56" s="119"/>
      <c r="Q56" s="119"/>
      <c r="R56" s="119"/>
      <c r="S56" s="119"/>
      <c r="T56" s="119"/>
      <c r="U56" s="119"/>
      <c r="V56" s="119"/>
      <c r="W56" s="119"/>
      <c r="X56" s="119"/>
      <c r="Y56" s="120"/>
      <c r="Z56" s="119"/>
    </row>
    <row r="57" spans="1:26" ht="15" customHeight="1">
      <c r="A57" s="271"/>
      <c r="B57" s="271"/>
      <c r="C57" s="271"/>
      <c r="D57" s="168" t="s">
        <v>625</v>
      </c>
      <c r="E57" s="271"/>
      <c r="F57" s="271"/>
      <c r="G57" s="271"/>
      <c r="H57" s="271"/>
      <c r="I57" s="271"/>
      <c r="J57" s="271"/>
      <c r="K57" s="271"/>
      <c r="L57" s="271"/>
      <c r="M57" s="271"/>
      <c r="N57" s="271"/>
      <c r="O57" s="271"/>
      <c r="P57" s="119"/>
      <c r="Q57" s="119"/>
      <c r="R57" s="119"/>
      <c r="S57" s="119"/>
      <c r="T57" s="119"/>
      <c r="U57" s="119"/>
      <c r="V57" s="119"/>
      <c r="W57" s="119"/>
      <c r="X57" s="119"/>
      <c r="Y57" s="119"/>
      <c r="Z57" s="119"/>
    </row>
    <row r="58" spans="1:26" ht="27" customHeight="1">
      <c r="A58" s="392" t="s">
        <v>0</v>
      </c>
      <c r="B58" s="172"/>
      <c r="C58" s="172"/>
      <c r="D58" s="172"/>
      <c r="E58" s="172"/>
      <c r="F58" s="172"/>
      <c r="G58" s="172"/>
      <c r="H58" s="172"/>
      <c r="I58" s="172"/>
      <c r="J58" s="172"/>
      <c r="K58" s="172"/>
      <c r="L58" s="172"/>
      <c r="M58" s="172"/>
      <c r="N58" s="172"/>
      <c r="O58" s="172"/>
      <c r="P58" s="119"/>
      <c r="Q58" s="119"/>
      <c r="R58" s="119"/>
      <c r="S58" s="119"/>
      <c r="T58" s="119"/>
      <c r="U58" s="119"/>
      <c r="V58" s="119"/>
      <c r="W58" s="119"/>
      <c r="X58" s="119"/>
      <c r="Y58" s="119"/>
      <c r="Z58" s="119"/>
    </row>
    <row r="59" spans="1:26" ht="15" customHeight="1">
      <c r="A59" s="172" t="s">
        <v>729</v>
      </c>
      <c r="B59" s="172"/>
      <c r="C59" s="172"/>
      <c r="D59" s="172"/>
      <c r="E59" s="172"/>
      <c r="F59" s="172"/>
      <c r="G59" s="172"/>
      <c r="H59" s="172"/>
      <c r="I59" s="172"/>
      <c r="J59" s="172"/>
      <c r="K59" s="172"/>
      <c r="L59" s="172"/>
      <c r="M59" s="172"/>
      <c r="N59" s="172"/>
      <c r="O59" s="172"/>
      <c r="P59" s="119"/>
      <c r="Q59" s="119"/>
      <c r="R59" s="119"/>
      <c r="S59" s="119"/>
      <c r="T59" s="119"/>
      <c r="U59" s="119"/>
      <c r="V59" s="119"/>
      <c r="W59" s="119"/>
      <c r="X59" s="119"/>
      <c r="Y59" s="119"/>
      <c r="Z59" s="119"/>
    </row>
    <row r="60" spans="1:26" ht="15" customHeight="1">
      <c r="A60" s="168" t="s">
        <v>1</v>
      </c>
      <c r="B60" s="168"/>
      <c r="C60" s="168"/>
      <c r="D60" s="168"/>
      <c r="E60" s="168"/>
      <c r="F60" s="168"/>
      <c r="G60" s="168"/>
      <c r="H60" s="168"/>
      <c r="I60" s="168"/>
      <c r="J60" s="168"/>
      <c r="K60" s="168"/>
      <c r="L60" s="168"/>
      <c r="M60" s="168"/>
      <c r="N60" s="168"/>
      <c r="O60" s="168"/>
      <c r="P60" s="119"/>
      <c r="Q60" s="119"/>
      <c r="R60" s="119"/>
      <c r="S60" s="119"/>
      <c r="T60" s="119"/>
      <c r="U60" s="119"/>
      <c r="V60" s="119"/>
      <c r="W60" s="119"/>
      <c r="X60" s="119"/>
      <c r="Y60" s="119"/>
      <c r="Z60" s="119"/>
    </row>
    <row r="61" spans="1:26" ht="15" customHeight="1">
      <c r="A61" s="168" t="s">
        <v>728</v>
      </c>
      <c r="B61" s="168"/>
      <c r="C61" s="168"/>
      <c r="D61" s="168"/>
      <c r="E61" s="168"/>
      <c r="F61" s="168"/>
      <c r="G61" s="168"/>
      <c r="H61" s="168"/>
      <c r="I61" s="168"/>
      <c r="J61" s="168"/>
      <c r="K61" s="168"/>
      <c r="L61" s="168"/>
      <c r="M61" s="168"/>
      <c r="N61" s="168"/>
      <c r="O61" s="168"/>
      <c r="P61" s="119"/>
      <c r="Q61" s="119"/>
      <c r="R61" s="119"/>
      <c r="S61" s="119"/>
      <c r="T61" s="119"/>
      <c r="U61" s="119"/>
      <c r="V61" s="119"/>
      <c r="W61" s="119"/>
      <c r="X61" s="119"/>
      <c r="Y61" s="119"/>
      <c r="Z61" s="119"/>
    </row>
    <row r="62" spans="1:26" ht="15" customHeight="1">
      <c r="A62" s="168" t="s">
        <v>136</v>
      </c>
      <c r="B62" s="168"/>
      <c r="C62" s="168"/>
      <c r="D62" s="168"/>
      <c r="E62" s="168"/>
      <c r="F62" s="168"/>
      <c r="G62" s="168"/>
      <c r="H62" s="168"/>
      <c r="I62" s="168"/>
      <c r="J62" s="168"/>
      <c r="K62" s="168"/>
      <c r="L62" s="168"/>
      <c r="M62" s="168"/>
      <c r="N62" s="168"/>
      <c r="O62" s="168"/>
      <c r="P62" s="119"/>
      <c r="Q62" s="119"/>
      <c r="R62" s="119"/>
      <c r="S62" s="119"/>
      <c r="T62" s="119"/>
      <c r="U62" s="119"/>
      <c r="V62" s="119"/>
      <c r="W62" s="119"/>
      <c r="X62" s="119"/>
      <c r="Y62" s="119"/>
      <c r="Z62" s="119"/>
    </row>
    <row r="63" spans="1:26" ht="24.95" customHeight="1">
      <c r="A63" s="180"/>
      <c r="B63" s="180"/>
      <c r="C63" s="180"/>
      <c r="D63" s="180"/>
      <c r="E63" s="180"/>
      <c r="F63" s="180"/>
      <c r="G63" s="180"/>
      <c r="H63" s="180"/>
      <c r="I63" s="180"/>
      <c r="J63" s="180"/>
      <c r="K63" s="180"/>
      <c r="L63" s="180"/>
      <c r="M63" s="180"/>
      <c r="N63" s="180"/>
      <c r="O63" s="180"/>
      <c r="P63" s="119"/>
      <c r="Q63" s="119"/>
      <c r="R63" s="119"/>
      <c r="S63" s="119"/>
      <c r="T63" s="119"/>
      <c r="U63" s="119"/>
      <c r="V63" s="119"/>
      <c r="W63" s="119"/>
      <c r="X63" s="119"/>
      <c r="Y63" s="119"/>
      <c r="Z63" s="119"/>
    </row>
    <row r="64" spans="1:26" ht="15" customHeight="1">
      <c r="A64" s="369" t="s">
        <v>137</v>
      </c>
      <c r="B64" s="370"/>
      <c r="C64" s="370"/>
      <c r="D64" s="370"/>
      <c r="E64" s="370"/>
      <c r="F64" s="370"/>
      <c r="G64" s="370"/>
      <c r="H64" s="370"/>
      <c r="I64" s="370"/>
      <c r="J64" s="371"/>
      <c r="K64" s="81" t="s">
        <v>65</v>
      </c>
      <c r="L64" s="76" t="s">
        <v>27</v>
      </c>
      <c r="M64" s="76" t="s">
        <v>64</v>
      </c>
      <c r="N64" s="76" t="s">
        <v>63</v>
      </c>
      <c r="O64" s="76" t="s">
        <v>62</v>
      </c>
      <c r="P64" s="119"/>
      <c r="Q64" s="119"/>
      <c r="R64" s="119"/>
      <c r="S64" s="119"/>
      <c r="T64" s="119"/>
      <c r="U64" s="119"/>
      <c r="V64" s="119"/>
      <c r="W64" s="119"/>
      <c r="X64" s="119"/>
      <c r="Y64" s="119"/>
      <c r="Z64" s="119"/>
    </row>
    <row r="65" spans="1:26" ht="15" customHeight="1">
      <c r="A65" s="361" t="s">
        <v>138</v>
      </c>
      <c r="B65" s="260" t="s">
        <v>730</v>
      </c>
      <c r="C65" s="187"/>
      <c r="D65" s="187"/>
      <c r="E65" s="187"/>
      <c r="F65" s="187"/>
      <c r="G65" s="187"/>
      <c r="H65" s="187"/>
      <c r="I65" s="187"/>
      <c r="J65" s="261"/>
      <c r="K65" s="232">
        <v>10</v>
      </c>
      <c r="L65" s="238"/>
      <c r="M65" s="238"/>
      <c r="N65" s="318"/>
      <c r="O65" s="232" t="s">
        <v>603</v>
      </c>
      <c r="P65" s="119"/>
      <c r="Q65" s="119"/>
      <c r="R65" s="119"/>
      <c r="S65" s="119"/>
      <c r="T65" s="119"/>
      <c r="U65" s="119"/>
      <c r="V65" s="119"/>
      <c r="W65" s="119"/>
      <c r="X65" s="119"/>
      <c r="Y65" s="119"/>
      <c r="Z65" s="119"/>
    </row>
    <row r="66" spans="1:26" ht="15" customHeight="1">
      <c r="A66" s="375"/>
      <c r="B66" s="252" t="s">
        <v>731</v>
      </c>
      <c r="C66" s="172"/>
      <c r="D66" s="172"/>
      <c r="E66" s="172"/>
      <c r="F66" s="172"/>
      <c r="G66" s="172"/>
      <c r="H66" s="172"/>
      <c r="I66" s="172"/>
      <c r="J66" s="253"/>
      <c r="K66" s="233"/>
      <c r="L66" s="239"/>
      <c r="M66" s="239"/>
      <c r="N66" s="286"/>
      <c r="O66" s="233"/>
      <c r="P66" s="119"/>
      <c r="Q66" s="119"/>
      <c r="R66" s="119"/>
      <c r="S66" s="119"/>
      <c r="T66" s="119"/>
      <c r="U66" s="119"/>
      <c r="V66" s="119"/>
      <c r="W66" s="119"/>
      <c r="X66" s="119"/>
      <c r="Y66" s="119"/>
      <c r="Z66" s="119"/>
    </row>
    <row r="67" spans="1:26" ht="15" customHeight="1">
      <c r="A67" s="281"/>
      <c r="B67" s="254" t="s">
        <v>732</v>
      </c>
      <c r="C67" s="255"/>
      <c r="D67" s="255"/>
      <c r="E67" s="255"/>
      <c r="F67" s="255"/>
      <c r="G67" s="255"/>
      <c r="H67" s="255"/>
      <c r="I67" s="255"/>
      <c r="J67" s="256"/>
      <c r="K67" s="234"/>
      <c r="L67" s="240"/>
      <c r="M67" s="240"/>
      <c r="N67" s="287"/>
      <c r="O67" s="234"/>
      <c r="P67" s="119"/>
      <c r="Q67" s="119"/>
      <c r="R67" s="119"/>
      <c r="S67" s="119"/>
      <c r="T67" s="119"/>
      <c r="U67" s="119"/>
      <c r="V67" s="119"/>
      <c r="W67" s="119"/>
      <c r="X67" s="119"/>
      <c r="Y67" s="119"/>
      <c r="Z67" s="119"/>
    </row>
    <row r="68" spans="1:26" ht="15" customHeight="1">
      <c r="A68" s="361" t="s">
        <v>139</v>
      </c>
      <c r="B68" s="260" t="s">
        <v>877</v>
      </c>
      <c r="C68" s="187"/>
      <c r="D68" s="187"/>
      <c r="E68" s="187"/>
      <c r="F68" s="187"/>
      <c r="G68" s="187"/>
      <c r="H68" s="187"/>
      <c r="I68" s="187"/>
      <c r="J68" s="261"/>
      <c r="K68" s="232">
        <v>10</v>
      </c>
      <c r="L68" s="238"/>
      <c r="M68" s="238"/>
      <c r="N68" s="318"/>
      <c r="O68" s="232" t="s">
        <v>603</v>
      </c>
      <c r="P68" s="119"/>
      <c r="Q68" s="119"/>
      <c r="R68" s="119"/>
      <c r="S68" s="119"/>
      <c r="T68" s="119"/>
      <c r="U68" s="119"/>
      <c r="V68" s="119"/>
      <c r="W68" s="119"/>
      <c r="X68" s="119"/>
      <c r="Y68" s="119"/>
      <c r="Z68" s="119"/>
    </row>
    <row r="69" spans="1:26" ht="15" customHeight="1">
      <c r="A69" s="375"/>
      <c r="B69" s="254" t="s">
        <v>878</v>
      </c>
      <c r="C69" s="255"/>
      <c r="D69" s="255"/>
      <c r="E69" s="255"/>
      <c r="F69" s="255"/>
      <c r="G69" s="255"/>
      <c r="H69" s="255"/>
      <c r="I69" s="255"/>
      <c r="J69" s="256"/>
      <c r="K69" s="234"/>
      <c r="L69" s="240"/>
      <c r="M69" s="240"/>
      <c r="N69" s="287"/>
      <c r="O69" s="234"/>
      <c r="P69" s="119"/>
      <c r="Q69" s="119"/>
      <c r="R69" s="119"/>
      <c r="S69" s="119"/>
      <c r="T69" s="119"/>
      <c r="U69" s="119"/>
      <c r="V69" s="119"/>
      <c r="W69" s="119"/>
      <c r="X69" s="119"/>
      <c r="Y69" s="119"/>
      <c r="Z69" s="119"/>
    </row>
    <row r="70" spans="1:26" ht="15" customHeight="1">
      <c r="A70" s="361" t="s">
        <v>140</v>
      </c>
      <c r="B70" s="260" t="s">
        <v>890</v>
      </c>
      <c r="C70" s="187"/>
      <c r="D70" s="187"/>
      <c r="E70" s="187"/>
      <c r="F70" s="187"/>
      <c r="G70" s="187"/>
      <c r="H70" s="187"/>
      <c r="I70" s="187"/>
      <c r="J70" s="261"/>
      <c r="K70" s="232">
        <v>10</v>
      </c>
      <c r="L70" s="238"/>
      <c r="M70" s="238"/>
      <c r="N70" s="238"/>
      <c r="O70" s="232" t="s">
        <v>603</v>
      </c>
      <c r="P70" s="119"/>
      <c r="Q70" s="119"/>
      <c r="R70" s="119"/>
      <c r="S70" s="119"/>
      <c r="T70" s="119"/>
      <c r="U70" s="119"/>
      <c r="V70" s="119"/>
      <c r="W70" s="119"/>
      <c r="X70" s="119"/>
      <c r="Y70" s="119"/>
      <c r="Z70" s="119"/>
    </row>
    <row r="71" spans="1:26" ht="15" customHeight="1">
      <c r="A71" s="375"/>
      <c r="B71" s="252" t="s">
        <v>142</v>
      </c>
      <c r="C71" s="172"/>
      <c r="D71" s="172"/>
      <c r="E71" s="172"/>
      <c r="F71" s="172"/>
      <c r="G71" s="172"/>
      <c r="H71" s="172"/>
      <c r="I71" s="172"/>
      <c r="J71" s="253"/>
      <c r="K71" s="233"/>
      <c r="L71" s="239"/>
      <c r="M71" s="239"/>
      <c r="N71" s="239"/>
      <c r="O71" s="233"/>
      <c r="P71" s="119"/>
      <c r="Q71" s="119"/>
      <c r="R71" s="119"/>
      <c r="S71" s="119"/>
      <c r="T71" s="119"/>
      <c r="U71" s="119"/>
      <c r="V71" s="119"/>
      <c r="W71" s="119"/>
      <c r="X71" s="119"/>
      <c r="Y71" s="119"/>
      <c r="Z71" s="119"/>
    </row>
    <row r="72" spans="1:26" ht="15" customHeight="1">
      <c r="A72" s="375"/>
      <c r="B72" s="252" t="s">
        <v>143</v>
      </c>
      <c r="C72" s="172"/>
      <c r="D72" s="172"/>
      <c r="E72" s="172"/>
      <c r="F72" s="172"/>
      <c r="G72" s="172"/>
      <c r="H72" s="172"/>
      <c r="I72" s="172"/>
      <c r="J72" s="253"/>
      <c r="K72" s="233"/>
      <c r="L72" s="239"/>
      <c r="M72" s="239"/>
      <c r="N72" s="239"/>
      <c r="O72" s="233"/>
      <c r="P72" s="119"/>
      <c r="Q72" s="119"/>
      <c r="R72" s="119"/>
      <c r="S72" s="119"/>
      <c r="T72" s="119"/>
      <c r="U72" s="119"/>
      <c r="V72" s="119"/>
      <c r="W72" s="119"/>
      <c r="X72" s="119"/>
      <c r="Y72" s="119"/>
      <c r="Z72" s="119"/>
    </row>
    <row r="73" spans="1:26" ht="15" customHeight="1">
      <c r="A73" s="281"/>
      <c r="B73" s="254" t="s">
        <v>144</v>
      </c>
      <c r="C73" s="255"/>
      <c r="D73" s="255"/>
      <c r="E73" s="255"/>
      <c r="F73" s="255"/>
      <c r="G73" s="255"/>
      <c r="H73" s="255"/>
      <c r="I73" s="255"/>
      <c r="J73" s="256"/>
      <c r="K73" s="234"/>
      <c r="L73" s="240"/>
      <c r="M73" s="240"/>
      <c r="N73" s="240"/>
      <c r="O73" s="234"/>
      <c r="P73" s="119"/>
      <c r="Q73" s="119"/>
      <c r="R73" s="119"/>
      <c r="S73" s="119"/>
      <c r="T73" s="119"/>
      <c r="U73" s="119"/>
      <c r="V73" s="119"/>
      <c r="W73" s="119"/>
      <c r="X73" s="119"/>
      <c r="Y73" s="119"/>
      <c r="Z73" s="119"/>
    </row>
    <row r="74" spans="1:26" ht="15" customHeight="1">
      <c r="A74" s="63" t="s">
        <v>141</v>
      </c>
      <c r="B74" s="372" t="s">
        <v>695</v>
      </c>
      <c r="C74" s="373"/>
      <c r="D74" s="373"/>
      <c r="E74" s="373"/>
      <c r="F74" s="373"/>
      <c r="G74" s="373"/>
      <c r="H74" s="373"/>
      <c r="I74" s="373"/>
      <c r="J74" s="374"/>
      <c r="K74" s="60">
        <v>5</v>
      </c>
      <c r="L74" s="61"/>
      <c r="M74" s="61"/>
      <c r="N74" s="61"/>
      <c r="O74" s="60"/>
      <c r="P74" s="119"/>
      <c r="Q74" s="119"/>
      <c r="R74" s="119"/>
      <c r="S74" s="119"/>
      <c r="T74" s="119"/>
      <c r="U74" s="119"/>
      <c r="V74" s="119"/>
      <c r="W74" s="119"/>
      <c r="X74" s="119"/>
      <c r="Y74" s="119"/>
      <c r="Z74" s="119"/>
    </row>
    <row r="75" spans="1:26" ht="15" customHeight="1">
      <c r="A75" s="369" t="s">
        <v>145</v>
      </c>
      <c r="B75" s="370"/>
      <c r="C75" s="370"/>
      <c r="D75" s="370"/>
      <c r="E75" s="370"/>
      <c r="F75" s="370"/>
      <c r="G75" s="370"/>
      <c r="H75" s="370"/>
      <c r="I75" s="370"/>
      <c r="J75" s="371"/>
      <c r="K75" s="81" t="s">
        <v>65</v>
      </c>
      <c r="L75" s="76" t="s">
        <v>27</v>
      </c>
      <c r="M75" s="76" t="s">
        <v>64</v>
      </c>
      <c r="N75" s="76" t="s">
        <v>63</v>
      </c>
      <c r="O75" s="76" t="s">
        <v>62</v>
      </c>
      <c r="P75" s="119"/>
      <c r="Q75" s="119"/>
      <c r="R75" s="119"/>
      <c r="S75" s="119"/>
      <c r="T75" s="119"/>
      <c r="U75" s="119"/>
      <c r="V75" s="119"/>
      <c r="W75" s="119"/>
      <c r="X75" s="119"/>
      <c r="Y75" s="119"/>
      <c r="Z75" s="119"/>
    </row>
    <row r="76" spans="1:26" ht="15" customHeight="1">
      <c r="A76" s="361" t="s">
        <v>146</v>
      </c>
      <c r="B76" s="260" t="s">
        <v>733</v>
      </c>
      <c r="C76" s="187"/>
      <c r="D76" s="187"/>
      <c r="E76" s="187"/>
      <c r="F76" s="187"/>
      <c r="G76" s="187"/>
      <c r="H76" s="187"/>
      <c r="I76" s="187"/>
      <c r="J76" s="261"/>
      <c r="K76" s="232">
        <v>10</v>
      </c>
      <c r="L76" s="238"/>
      <c r="M76" s="238"/>
      <c r="N76" s="318"/>
      <c r="O76" s="232" t="s">
        <v>603</v>
      </c>
      <c r="P76" s="119"/>
      <c r="Q76" s="119"/>
      <c r="R76" s="119"/>
      <c r="S76" s="119"/>
      <c r="T76" s="119"/>
      <c r="U76" s="119"/>
      <c r="V76" s="119"/>
      <c r="W76" s="119"/>
      <c r="X76" s="119"/>
      <c r="Y76" s="119"/>
      <c r="Z76" s="119"/>
    </row>
    <row r="77" spans="1:26" ht="15" customHeight="1">
      <c r="A77" s="362"/>
      <c r="B77" s="254" t="s">
        <v>734</v>
      </c>
      <c r="C77" s="255"/>
      <c r="D77" s="255"/>
      <c r="E77" s="255"/>
      <c r="F77" s="255"/>
      <c r="G77" s="255"/>
      <c r="H77" s="255"/>
      <c r="I77" s="255"/>
      <c r="J77" s="256"/>
      <c r="K77" s="234"/>
      <c r="L77" s="240"/>
      <c r="M77" s="240"/>
      <c r="N77" s="287"/>
      <c r="O77" s="234"/>
      <c r="P77" s="119"/>
      <c r="Q77" s="119"/>
      <c r="R77" s="119"/>
      <c r="S77" s="119"/>
      <c r="T77" s="119"/>
      <c r="U77" s="119"/>
      <c r="V77" s="119"/>
      <c r="W77" s="119"/>
      <c r="X77" s="119"/>
      <c r="Y77" s="119"/>
      <c r="Z77" s="119"/>
    </row>
    <row r="78" spans="1:26" ht="15">
      <c r="A78" s="361" t="s">
        <v>147</v>
      </c>
      <c r="B78" s="260" t="s">
        <v>148</v>
      </c>
      <c r="C78" s="187"/>
      <c r="D78" s="187"/>
      <c r="E78" s="187"/>
      <c r="F78" s="187"/>
      <c r="G78" s="187"/>
      <c r="H78" s="187"/>
      <c r="I78" s="187"/>
      <c r="J78" s="261"/>
      <c r="K78" s="232">
        <v>10</v>
      </c>
      <c r="L78" s="238"/>
      <c r="M78" s="238"/>
      <c r="N78" s="318"/>
      <c r="O78" s="232" t="s">
        <v>76</v>
      </c>
      <c r="P78" s="119"/>
      <c r="Q78" s="119"/>
      <c r="R78" s="119"/>
      <c r="S78" s="119"/>
      <c r="T78" s="119"/>
      <c r="U78" s="119"/>
      <c r="V78" s="119"/>
      <c r="W78" s="119"/>
      <c r="X78" s="119"/>
      <c r="Y78" s="119"/>
      <c r="Z78" s="119"/>
    </row>
    <row r="79" spans="1:26" ht="15">
      <c r="A79" s="375"/>
      <c r="B79" s="252" t="s">
        <v>149</v>
      </c>
      <c r="C79" s="172"/>
      <c r="D79" s="172"/>
      <c r="E79" s="172"/>
      <c r="F79" s="172"/>
      <c r="G79" s="172"/>
      <c r="H79" s="172"/>
      <c r="I79" s="172"/>
      <c r="J79" s="253"/>
      <c r="K79" s="233"/>
      <c r="L79" s="239"/>
      <c r="M79" s="239"/>
      <c r="N79" s="286"/>
      <c r="O79" s="233"/>
      <c r="P79" s="119"/>
      <c r="Q79" s="119"/>
      <c r="R79" s="119"/>
      <c r="S79" s="119"/>
      <c r="T79" s="119"/>
      <c r="U79" s="119"/>
      <c r="V79" s="119"/>
      <c r="W79" s="119"/>
      <c r="X79" s="119"/>
      <c r="Y79" s="119"/>
      <c r="Z79" s="119"/>
    </row>
    <row r="80" spans="1:26" ht="15">
      <c r="A80" s="375"/>
      <c r="B80" s="252" t="s">
        <v>150</v>
      </c>
      <c r="C80" s="172"/>
      <c r="D80" s="172"/>
      <c r="E80" s="172"/>
      <c r="F80" s="172"/>
      <c r="G80" s="172"/>
      <c r="H80" s="172"/>
      <c r="I80" s="172"/>
      <c r="J80" s="253"/>
      <c r="K80" s="233"/>
      <c r="L80" s="239"/>
      <c r="M80" s="239"/>
      <c r="N80" s="286"/>
      <c r="O80" s="233"/>
      <c r="P80" s="119"/>
      <c r="Q80" s="14"/>
      <c r="R80" s="121"/>
      <c r="S80" s="121"/>
      <c r="T80" s="121"/>
      <c r="U80" s="119"/>
      <c r="V80" s="119"/>
      <c r="W80" s="119"/>
      <c r="X80" s="119"/>
      <c r="Y80" s="119"/>
      <c r="Z80" s="119"/>
    </row>
    <row r="81" spans="1:26" ht="15">
      <c r="A81" s="362"/>
      <c r="B81" s="254" t="s">
        <v>151</v>
      </c>
      <c r="C81" s="255"/>
      <c r="D81" s="255"/>
      <c r="E81" s="255"/>
      <c r="F81" s="255"/>
      <c r="G81" s="255"/>
      <c r="H81" s="255"/>
      <c r="I81" s="255"/>
      <c r="J81" s="256"/>
      <c r="K81" s="234"/>
      <c r="L81" s="240"/>
      <c r="M81" s="240"/>
      <c r="N81" s="287"/>
      <c r="O81" s="234"/>
      <c r="P81" s="119"/>
      <c r="Q81" s="14"/>
      <c r="R81" s="121"/>
      <c r="S81" s="121"/>
      <c r="T81" s="121"/>
      <c r="U81" s="119"/>
      <c r="V81" s="119"/>
      <c r="W81" s="119"/>
      <c r="X81" s="119"/>
      <c r="Y81" s="119"/>
      <c r="Z81" s="119"/>
    </row>
    <row r="82" spans="1:26" ht="15" customHeight="1">
      <c r="A82" s="361" t="s">
        <v>153</v>
      </c>
      <c r="B82" s="260" t="s">
        <v>148</v>
      </c>
      <c r="C82" s="187"/>
      <c r="D82" s="187"/>
      <c r="E82" s="187"/>
      <c r="F82" s="187"/>
      <c r="G82" s="187"/>
      <c r="H82" s="187"/>
      <c r="I82" s="187"/>
      <c r="J82" s="261"/>
      <c r="K82" s="232">
        <v>10</v>
      </c>
      <c r="L82" s="238"/>
      <c r="M82" s="238"/>
      <c r="N82" s="238"/>
      <c r="O82" s="232"/>
      <c r="P82" s="119"/>
      <c r="Q82" s="119"/>
      <c r="R82" s="119"/>
      <c r="S82" s="119"/>
      <c r="T82" s="119"/>
      <c r="U82" s="119"/>
      <c r="V82" s="119"/>
      <c r="W82" s="119"/>
      <c r="X82" s="119"/>
      <c r="Y82" s="119"/>
      <c r="Z82" s="119"/>
    </row>
    <row r="83" spans="1:26" ht="15" customHeight="1">
      <c r="A83" s="375"/>
      <c r="B83" s="252" t="s">
        <v>157</v>
      </c>
      <c r="C83" s="172"/>
      <c r="D83" s="172"/>
      <c r="E83" s="172"/>
      <c r="F83" s="172"/>
      <c r="G83" s="172"/>
      <c r="H83" s="172"/>
      <c r="I83" s="172"/>
      <c r="J83" s="253"/>
      <c r="K83" s="233"/>
      <c r="L83" s="239"/>
      <c r="M83" s="239"/>
      <c r="N83" s="239"/>
      <c r="O83" s="233"/>
      <c r="P83" s="119"/>
      <c r="Q83" s="119"/>
      <c r="R83" s="119"/>
      <c r="S83" s="119"/>
      <c r="T83" s="119"/>
      <c r="U83" s="119"/>
      <c r="V83" s="119"/>
      <c r="W83" s="119"/>
      <c r="X83" s="119"/>
      <c r="Y83" s="119"/>
      <c r="Z83" s="119"/>
    </row>
    <row r="84" spans="1:26" ht="15" customHeight="1">
      <c r="A84" s="362"/>
      <c r="B84" s="243" t="s">
        <v>158</v>
      </c>
      <c r="C84" s="244"/>
      <c r="D84" s="244"/>
      <c r="E84" s="244"/>
      <c r="F84" s="244"/>
      <c r="G84" s="244"/>
      <c r="H84" s="244"/>
      <c r="I84" s="244"/>
      <c r="J84" s="245"/>
      <c r="K84" s="234"/>
      <c r="L84" s="240"/>
      <c r="M84" s="240"/>
      <c r="N84" s="240"/>
      <c r="O84" s="234"/>
      <c r="P84" s="119"/>
      <c r="Q84" s="119"/>
      <c r="R84" s="119"/>
      <c r="S84" s="119"/>
      <c r="T84" s="119"/>
      <c r="U84" s="119"/>
      <c r="V84" s="119"/>
      <c r="W84" s="119"/>
      <c r="X84" s="119"/>
      <c r="Y84" s="119"/>
      <c r="Z84" s="119"/>
    </row>
    <row r="85" spans="1:26" ht="15" customHeight="1">
      <c r="A85" s="361" t="s">
        <v>154</v>
      </c>
      <c r="B85" s="260" t="s">
        <v>159</v>
      </c>
      <c r="C85" s="187"/>
      <c r="D85" s="187"/>
      <c r="E85" s="187"/>
      <c r="F85" s="187"/>
      <c r="G85" s="187"/>
      <c r="H85" s="187"/>
      <c r="I85" s="187"/>
      <c r="J85" s="261"/>
      <c r="K85" s="232">
        <v>5</v>
      </c>
      <c r="L85" s="238"/>
      <c r="M85" s="238"/>
      <c r="N85" s="358"/>
      <c r="O85" s="232" t="s">
        <v>603</v>
      </c>
      <c r="P85" s="119"/>
      <c r="Q85" s="119"/>
      <c r="R85" s="119"/>
      <c r="S85" s="119"/>
      <c r="T85" s="119"/>
      <c r="U85" s="119"/>
      <c r="V85" s="119"/>
      <c r="W85" s="119"/>
      <c r="X85" s="119"/>
      <c r="Y85" s="119"/>
      <c r="Z85" s="119"/>
    </row>
    <row r="86" spans="1:26" ht="15" customHeight="1">
      <c r="A86" s="362"/>
      <c r="B86" s="254" t="s">
        <v>160</v>
      </c>
      <c r="C86" s="255"/>
      <c r="D86" s="255"/>
      <c r="E86" s="255"/>
      <c r="F86" s="255"/>
      <c r="G86" s="255"/>
      <c r="H86" s="255"/>
      <c r="I86" s="255"/>
      <c r="J86" s="256"/>
      <c r="K86" s="234"/>
      <c r="L86" s="240"/>
      <c r="M86" s="240"/>
      <c r="N86" s="359"/>
      <c r="O86" s="234"/>
      <c r="P86" s="119"/>
      <c r="Q86" s="119"/>
      <c r="R86" s="119"/>
      <c r="S86" s="119"/>
      <c r="T86" s="119"/>
      <c r="U86" s="119"/>
      <c r="V86" s="119"/>
      <c r="W86" s="119"/>
      <c r="X86" s="119"/>
      <c r="Y86" s="119"/>
      <c r="Z86" s="119"/>
    </row>
    <row r="87" spans="1:26" ht="15" customHeight="1">
      <c r="A87" s="355" t="s">
        <v>161</v>
      </c>
      <c r="B87" s="356"/>
      <c r="C87" s="356"/>
      <c r="D87" s="356"/>
      <c r="E87" s="356"/>
      <c r="F87" s="356"/>
      <c r="G87" s="356"/>
      <c r="H87" s="356"/>
      <c r="I87" s="356"/>
      <c r="J87" s="357"/>
      <c r="K87" s="81" t="s">
        <v>65</v>
      </c>
      <c r="L87" s="76" t="s">
        <v>27</v>
      </c>
      <c r="M87" s="76" t="s">
        <v>64</v>
      </c>
      <c r="N87" s="76" t="s">
        <v>63</v>
      </c>
      <c r="O87" s="76" t="s">
        <v>62</v>
      </c>
      <c r="P87" s="119"/>
      <c r="Q87" s="119"/>
      <c r="R87" s="119"/>
      <c r="S87" s="119"/>
      <c r="T87" s="119"/>
      <c r="U87" s="119"/>
      <c r="V87" s="119"/>
      <c r="W87" s="119"/>
      <c r="X87" s="119"/>
      <c r="Y87" s="119"/>
      <c r="Z87" s="119"/>
    </row>
    <row r="88" spans="1:26" ht="15" customHeight="1">
      <c r="A88" s="361" t="s">
        <v>155</v>
      </c>
      <c r="B88" s="260" t="s">
        <v>162</v>
      </c>
      <c r="C88" s="187"/>
      <c r="D88" s="187"/>
      <c r="E88" s="187"/>
      <c r="F88" s="187"/>
      <c r="G88" s="187"/>
      <c r="H88" s="187"/>
      <c r="I88" s="187"/>
      <c r="J88" s="261"/>
      <c r="K88" s="232">
        <v>35</v>
      </c>
      <c r="L88" s="238"/>
      <c r="M88" s="238"/>
      <c r="N88" s="358"/>
      <c r="O88" s="232" t="s">
        <v>604</v>
      </c>
      <c r="P88" s="119"/>
      <c r="Q88" s="119"/>
      <c r="R88" s="119"/>
      <c r="S88" s="119"/>
      <c r="T88" s="119"/>
      <c r="U88" s="119"/>
      <c r="V88" s="119"/>
      <c r="W88" s="119"/>
      <c r="X88" s="119"/>
      <c r="Y88" s="119"/>
      <c r="Z88" s="119"/>
    </row>
    <row r="89" spans="1:26" ht="15" customHeight="1">
      <c r="A89" s="362"/>
      <c r="B89" s="254" t="s">
        <v>163</v>
      </c>
      <c r="C89" s="255"/>
      <c r="D89" s="255"/>
      <c r="E89" s="255"/>
      <c r="F89" s="255"/>
      <c r="G89" s="255"/>
      <c r="H89" s="255"/>
      <c r="I89" s="255"/>
      <c r="J89" s="256"/>
      <c r="K89" s="234"/>
      <c r="L89" s="240"/>
      <c r="M89" s="240"/>
      <c r="N89" s="359"/>
      <c r="O89" s="234"/>
      <c r="P89" s="119"/>
      <c r="Q89" s="119"/>
      <c r="R89" s="119"/>
      <c r="S89" s="119"/>
      <c r="T89" s="119"/>
      <c r="U89" s="119"/>
      <c r="V89" s="119"/>
      <c r="W89" s="119"/>
      <c r="X89" s="119"/>
      <c r="Y89" s="119"/>
      <c r="Z89" s="119"/>
    </row>
    <row r="90" spans="1:26" s="53" customFormat="1" ht="30" customHeight="1">
      <c r="A90" s="360" t="s">
        <v>164</v>
      </c>
      <c r="B90" s="360"/>
      <c r="C90" s="360"/>
      <c r="D90" s="360"/>
      <c r="E90" s="360"/>
      <c r="F90" s="360"/>
      <c r="G90" s="360"/>
      <c r="H90" s="360"/>
      <c r="I90" s="360"/>
      <c r="J90" s="360"/>
      <c r="K90" s="360"/>
      <c r="L90" s="360"/>
      <c r="M90" s="360"/>
      <c r="N90" s="360"/>
      <c r="O90" s="360"/>
      <c r="P90" s="119"/>
      <c r="Q90" s="119"/>
      <c r="R90" s="119"/>
      <c r="S90" s="119"/>
      <c r="T90" s="119"/>
      <c r="U90" s="119"/>
      <c r="V90" s="119"/>
      <c r="W90" s="119"/>
      <c r="X90" s="119"/>
      <c r="Y90" s="119"/>
      <c r="Z90" s="119"/>
    </row>
    <row r="91" spans="1:26" ht="15" customHeight="1">
      <c r="A91" s="288" t="s">
        <v>66</v>
      </c>
      <c r="B91" s="289"/>
      <c r="C91" s="289"/>
      <c r="D91" s="289"/>
      <c r="E91" s="289"/>
      <c r="F91" s="289"/>
      <c r="G91" s="289"/>
      <c r="H91" s="289"/>
      <c r="I91" s="289"/>
      <c r="J91" s="290"/>
      <c r="K91" s="81" t="s">
        <v>65</v>
      </c>
      <c r="L91" s="76" t="s">
        <v>27</v>
      </c>
      <c r="M91" s="76" t="s">
        <v>64</v>
      </c>
      <c r="N91" s="76" t="s">
        <v>63</v>
      </c>
      <c r="O91" s="76" t="s">
        <v>62</v>
      </c>
      <c r="P91" s="119"/>
      <c r="Q91" s="119"/>
      <c r="R91" s="119"/>
      <c r="S91" s="119"/>
      <c r="T91" s="119"/>
      <c r="U91" s="119"/>
      <c r="V91" s="119"/>
      <c r="W91" s="119"/>
      <c r="X91" s="119"/>
      <c r="Y91" s="119"/>
      <c r="Z91" s="119"/>
    </row>
    <row r="92" spans="1:26" ht="15" customHeight="1">
      <c r="A92" s="361" t="s">
        <v>156</v>
      </c>
      <c r="B92" s="260" t="s">
        <v>608</v>
      </c>
      <c r="C92" s="187"/>
      <c r="D92" s="187"/>
      <c r="E92" s="187"/>
      <c r="F92" s="187"/>
      <c r="G92" s="187"/>
      <c r="H92" s="187"/>
      <c r="I92" s="187"/>
      <c r="J92" s="261"/>
      <c r="K92" s="232">
        <v>5</v>
      </c>
      <c r="L92" s="238"/>
      <c r="M92" s="238"/>
      <c r="N92" s="358"/>
      <c r="O92" s="232" t="s">
        <v>603</v>
      </c>
      <c r="P92" s="119"/>
      <c r="Q92" s="119"/>
      <c r="R92" s="119"/>
      <c r="S92" s="119"/>
      <c r="T92" s="119"/>
      <c r="U92" s="119"/>
      <c r="V92" s="119"/>
      <c r="W92" s="119"/>
      <c r="X92" s="119"/>
      <c r="Y92" s="119"/>
      <c r="Z92" s="119"/>
    </row>
    <row r="93" spans="1:26" ht="15" customHeight="1">
      <c r="A93" s="362"/>
      <c r="B93" s="254" t="s">
        <v>609</v>
      </c>
      <c r="C93" s="255"/>
      <c r="D93" s="255"/>
      <c r="E93" s="255"/>
      <c r="F93" s="255"/>
      <c r="G93" s="255"/>
      <c r="H93" s="255"/>
      <c r="I93" s="255"/>
      <c r="J93" s="256"/>
      <c r="K93" s="234"/>
      <c r="L93" s="240"/>
      <c r="M93" s="240"/>
      <c r="N93" s="359"/>
      <c r="O93" s="234"/>
      <c r="P93" s="119"/>
      <c r="Q93" s="119"/>
      <c r="R93" s="119"/>
      <c r="S93" s="119"/>
      <c r="T93" s="119"/>
      <c r="U93" s="119"/>
      <c r="V93" s="119"/>
      <c r="W93" s="119"/>
      <c r="X93" s="119"/>
      <c r="Y93" s="119"/>
      <c r="Z93" s="119"/>
    </row>
    <row r="94" spans="1:26" ht="15">
      <c r="A94" s="361" t="s">
        <v>165</v>
      </c>
      <c r="B94" s="260" t="s">
        <v>167</v>
      </c>
      <c r="C94" s="187"/>
      <c r="D94" s="187"/>
      <c r="E94" s="187"/>
      <c r="F94" s="187"/>
      <c r="G94" s="187"/>
      <c r="H94" s="187"/>
      <c r="I94" s="187"/>
      <c r="J94" s="261"/>
      <c r="K94" s="232">
        <v>10</v>
      </c>
      <c r="L94" s="238"/>
      <c r="M94" s="238"/>
      <c r="N94" s="238"/>
      <c r="O94" s="232" t="s">
        <v>603</v>
      </c>
      <c r="P94" s="119"/>
      <c r="Q94" s="119"/>
      <c r="R94" s="119"/>
      <c r="S94" s="119"/>
      <c r="T94" s="119"/>
      <c r="U94" s="119"/>
      <c r="V94" s="119"/>
      <c r="W94" s="119"/>
      <c r="X94" s="119"/>
      <c r="Y94" s="119"/>
      <c r="Z94" s="119"/>
    </row>
    <row r="95" spans="1:26" ht="15">
      <c r="A95" s="375"/>
      <c r="B95" s="252" t="s">
        <v>168</v>
      </c>
      <c r="C95" s="172"/>
      <c r="D95" s="172"/>
      <c r="E95" s="172"/>
      <c r="F95" s="172"/>
      <c r="G95" s="172"/>
      <c r="H95" s="172"/>
      <c r="I95" s="172"/>
      <c r="J95" s="253"/>
      <c r="K95" s="233"/>
      <c r="L95" s="239"/>
      <c r="M95" s="239"/>
      <c r="N95" s="239"/>
      <c r="O95" s="233"/>
      <c r="P95" s="119"/>
      <c r="Q95" s="119"/>
      <c r="R95" s="119"/>
      <c r="S95" s="119"/>
      <c r="T95" s="119"/>
      <c r="U95" s="119"/>
      <c r="V95" s="119"/>
      <c r="W95" s="119"/>
      <c r="X95" s="119"/>
      <c r="Y95" s="119"/>
      <c r="Z95" s="119"/>
    </row>
    <row r="96" spans="1:26" ht="15">
      <c r="A96" s="375"/>
      <c r="B96" s="252" t="s">
        <v>735</v>
      </c>
      <c r="C96" s="172"/>
      <c r="D96" s="172"/>
      <c r="E96" s="172"/>
      <c r="F96" s="172"/>
      <c r="G96" s="172"/>
      <c r="H96" s="172"/>
      <c r="I96" s="172"/>
      <c r="J96" s="253"/>
      <c r="K96" s="233"/>
      <c r="L96" s="239"/>
      <c r="M96" s="239"/>
      <c r="N96" s="239"/>
      <c r="O96" s="233"/>
      <c r="P96" s="119"/>
      <c r="Q96" s="119"/>
      <c r="R96" s="119"/>
      <c r="S96" s="119"/>
      <c r="T96" s="119"/>
      <c r="U96" s="119"/>
      <c r="V96" s="119"/>
      <c r="W96" s="119"/>
      <c r="X96" s="119"/>
      <c r="Y96" s="119"/>
      <c r="Z96" s="119"/>
    </row>
    <row r="97" spans="1:26" ht="15">
      <c r="A97" s="375"/>
      <c r="B97" s="252" t="s">
        <v>736</v>
      </c>
      <c r="C97" s="172"/>
      <c r="D97" s="172"/>
      <c r="E97" s="172"/>
      <c r="F97" s="172"/>
      <c r="G97" s="172"/>
      <c r="H97" s="172"/>
      <c r="I97" s="172"/>
      <c r="J97" s="253"/>
      <c r="K97" s="233"/>
      <c r="L97" s="239"/>
      <c r="M97" s="239"/>
      <c r="N97" s="842"/>
      <c r="O97" s="233"/>
      <c r="P97" s="119"/>
      <c r="Q97" s="119"/>
      <c r="R97" s="119"/>
      <c r="S97" s="119"/>
      <c r="T97" s="119"/>
      <c r="U97" s="119"/>
      <c r="V97" s="119"/>
      <c r="W97" s="119"/>
      <c r="X97" s="119"/>
      <c r="Y97" s="119"/>
      <c r="Z97" s="119"/>
    </row>
    <row r="98" spans="1:26" ht="15">
      <c r="A98" s="375"/>
      <c r="B98" s="252" t="s">
        <v>879</v>
      </c>
      <c r="C98" s="172"/>
      <c r="D98" s="172"/>
      <c r="E98" s="172"/>
      <c r="F98" s="172"/>
      <c r="G98" s="172"/>
      <c r="H98" s="172"/>
      <c r="I98" s="172"/>
      <c r="J98" s="253"/>
      <c r="K98" s="233"/>
      <c r="L98" s="239"/>
      <c r="M98" s="239"/>
      <c r="N98" s="842"/>
      <c r="O98" s="233"/>
      <c r="P98" s="119"/>
      <c r="Q98" s="119"/>
      <c r="R98" s="119"/>
      <c r="S98" s="119"/>
      <c r="T98" s="119"/>
      <c r="U98" s="119"/>
      <c r="V98" s="119"/>
      <c r="W98" s="119"/>
      <c r="X98" s="119"/>
      <c r="Y98" s="119"/>
      <c r="Z98" s="119"/>
    </row>
    <row r="99" spans="1:26" ht="15">
      <c r="A99" s="362"/>
      <c r="B99" s="254" t="s">
        <v>880</v>
      </c>
      <c r="C99" s="255"/>
      <c r="D99" s="255"/>
      <c r="E99" s="255"/>
      <c r="F99" s="255"/>
      <c r="G99" s="255"/>
      <c r="H99" s="255"/>
      <c r="I99" s="255"/>
      <c r="J99" s="256"/>
      <c r="K99" s="234"/>
      <c r="L99" s="240"/>
      <c r="M99" s="240"/>
      <c r="N99" s="843"/>
      <c r="O99" s="234"/>
      <c r="P99" s="119"/>
      <c r="Q99" s="119"/>
      <c r="R99" s="119"/>
      <c r="S99" s="119"/>
      <c r="T99" s="119"/>
      <c r="U99" s="119"/>
      <c r="V99" s="119"/>
      <c r="W99" s="119"/>
      <c r="X99" s="119"/>
      <c r="Y99" s="119"/>
      <c r="Z99" s="119"/>
    </row>
    <row r="100" spans="1:26" ht="15" customHeight="1">
      <c r="A100" s="422" t="s">
        <v>166</v>
      </c>
      <c r="B100" s="260" t="s">
        <v>737</v>
      </c>
      <c r="C100" s="187"/>
      <c r="D100" s="187"/>
      <c r="E100" s="187"/>
      <c r="F100" s="187"/>
      <c r="G100" s="187"/>
      <c r="H100" s="187"/>
      <c r="I100" s="187"/>
      <c r="J100" s="261"/>
      <c r="K100" s="315">
        <v>5</v>
      </c>
      <c r="L100" s="334"/>
      <c r="M100" s="334"/>
      <c r="N100" s="334"/>
      <c r="O100" s="315" t="s">
        <v>603</v>
      </c>
      <c r="P100" s="119"/>
      <c r="Q100" s="119"/>
      <c r="R100" s="119"/>
      <c r="S100" s="119"/>
      <c r="T100" s="119"/>
      <c r="U100" s="119"/>
      <c r="V100" s="119"/>
      <c r="W100" s="119"/>
      <c r="X100" s="119"/>
      <c r="Y100" s="119"/>
      <c r="Z100" s="119"/>
    </row>
    <row r="101" spans="1:26" ht="15" customHeight="1">
      <c r="A101" s="422"/>
      <c r="B101" s="252" t="s">
        <v>738</v>
      </c>
      <c r="C101" s="172"/>
      <c r="D101" s="172"/>
      <c r="E101" s="172"/>
      <c r="F101" s="172"/>
      <c r="G101" s="172"/>
      <c r="H101" s="172"/>
      <c r="I101" s="172"/>
      <c r="J101" s="253"/>
      <c r="K101" s="315"/>
      <c r="L101" s="334"/>
      <c r="M101" s="334"/>
      <c r="N101" s="334"/>
      <c r="O101" s="315"/>
      <c r="P101" s="119"/>
      <c r="Q101" s="119"/>
      <c r="R101" s="119"/>
      <c r="S101" s="119"/>
      <c r="T101" s="119"/>
      <c r="U101" s="119"/>
      <c r="V101" s="119"/>
      <c r="W101" s="119"/>
      <c r="X101" s="119"/>
      <c r="Y101" s="119"/>
      <c r="Z101" s="119"/>
    </row>
    <row r="102" spans="1:26" s="31" customFormat="1" ht="15" customHeight="1">
      <c r="A102" s="422"/>
      <c r="B102" s="254" t="s">
        <v>739</v>
      </c>
      <c r="C102" s="255"/>
      <c r="D102" s="255"/>
      <c r="E102" s="255"/>
      <c r="F102" s="255"/>
      <c r="G102" s="255"/>
      <c r="H102" s="255"/>
      <c r="I102" s="255"/>
      <c r="J102" s="256"/>
      <c r="K102" s="315"/>
      <c r="L102" s="334"/>
      <c r="M102" s="334"/>
      <c r="N102" s="334"/>
      <c r="O102" s="315"/>
      <c r="P102" s="119"/>
      <c r="Q102" s="119"/>
      <c r="R102" s="119"/>
      <c r="S102" s="119"/>
      <c r="T102" s="119"/>
      <c r="U102" s="119"/>
      <c r="V102" s="119"/>
      <c r="W102" s="119"/>
      <c r="X102" s="119"/>
      <c r="Y102" s="119"/>
      <c r="Z102" s="119"/>
    </row>
    <row r="103" spans="1:26" s="35" customFormat="1" ht="30" customHeight="1">
      <c r="A103" s="403" t="s">
        <v>613</v>
      </c>
      <c r="B103" s="403"/>
      <c r="C103" s="403"/>
      <c r="D103" s="403"/>
      <c r="E103" s="403"/>
      <c r="F103" s="403"/>
      <c r="G103" s="403"/>
      <c r="H103" s="403"/>
      <c r="I103" s="403"/>
      <c r="J103" s="403"/>
      <c r="K103" s="403"/>
      <c r="L103" s="403"/>
      <c r="M103" s="403"/>
      <c r="N103" s="403"/>
      <c r="O103" s="403"/>
      <c r="P103" s="119"/>
      <c r="Q103" s="119"/>
      <c r="R103" s="119"/>
      <c r="S103" s="119"/>
      <c r="T103" s="119"/>
      <c r="U103" s="119"/>
      <c r="V103" s="119"/>
      <c r="W103" s="119"/>
      <c r="X103" s="119"/>
      <c r="Y103" s="119"/>
      <c r="Z103" s="119"/>
    </row>
    <row r="104" spans="1:26" s="53" customFormat="1" ht="15" customHeight="1">
      <c r="A104" s="288" t="s">
        <v>66</v>
      </c>
      <c r="B104" s="289"/>
      <c r="C104" s="289"/>
      <c r="D104" s="289"/>
      <c r="E104" s="289"/>
      <c r="F104" s="289"/>
      <c r="G104" s="289"/>
      <c r="H104" s="289"/>
      <c r="I104" s="289"/>
      <c r="J104" s="290"/>
      <c r="K104" s="81" t="s">
        <v>65</v>
      </c>
      <c r="L104" s="76" t="s">
        <v>27</v>
      </c>
      <c r="M104" s="76" t="s">
        <v>64</v>
      </c>
      <c r="N104" s="76" t="s">
        <v>63</v>
      </c>
      <c r="O104" s="76" t="s">
        <v>62</v>
      </c>
      <c r="P104" s="119"/>
      <c r="Q104" s="119"/>
      <c r="R104" s="119"/>
      <c r="S104" s="119"/>
      <c r="T104" s="119"/>
      <c r="U104" s="119"/>
      <c r="V104" s="119"/>
      <c r="W104" s="119"/>
      <c r="X104" s="119"/>
      <c r="Y104" s="119"/>
      <c r="Z104" s="119"/>
    </row>
    <row r="105" spans="1:26" s="31" customFormat="1" ht="15" customHeight="1">
      <c r="A105" s="378" t="s">
        <v>610</v>
      </c>
      <c r="B105" s="309" t="s">
        <v>611</v>
      </c>
      <c r="C105" s="310"/>
      <c r="D105" s="310"/>
      <c r="E105" s="310"/>
      <c r="F105" s="310"/>
      <c r="G105" s="310"/>
      <c r="H105" s="310"/>
      <c r="I105" s="310"/>
      <c r="J105" s="311"/>
      <c r="K105" s="232">
        <v>10</v>
      </c>
      <c r="L105" s="238"/>
      <c r="M105" s="238"/>
      <c r="N105" s="238"/>
      <c r="O105" s="232" t="s">
        <v>603</v>
      </c>
      <c r="P105" s="119"/>
      <c r="Q105" s="119"/>
      <c r="R105" s="119"/>
      <c r="S105" s="119"/>
      <c r="T105" s="119"/>
      <c r="U105" s="119"/>
      <c r="V105" s="119"/>
      <c r="W105" s="119"/>
      <c r="X105" s="119"/>
      <c r="Y105" s="119"/>
      <c r="Z105" s="119"/>
    </row>
    <row r="106" spans="1:26" ht="15" customHeight="1">
      <c r="A106" s="423"/>
      <c r="B106" s="419" t="s">
        <v>612</v>
      </c>
      <c r="C106" s="420"/>
      <c r="D106" s="420"/>
      <c r="E106" s="420"/>
      <c r="F106" s="420"/>
      <c r="G106" s="420"/>
      <c r="H106" s="420"/>
      <c r="I106" s="420"/>
      <c r="J106" s="421"/>
      <c r="K106" s="234"/>
      <c r="L106" s="240"/>
      <c r="M106" s="240"/>
      <c r="N106" s="240"/>
      <c r="O106" s="234"/>
      <c r="P106" s="119"/>
      <c r="Q106" s="119"/>
      <c r="R106" s="119"/>
      <c r="S106" s="119"/>
      <c r="T106" s="119"/>
      <c r="U106" s="119"/>
      <c r="V106" s="119"/>
      <c r="W106" s="119"/>
      <c r="X106" s="119"/>
      <c r="Y106" s="119"/>
      <c r="Z106" s="119"/>
    </row>
    <row r="107" spans="1:26" s="53" customFormat="1" ht="6" customHeight="1">
      <c r="A107" s="265"/>
      <c r="B107" s="265"/>
      <c r="C107" s="265"/>
      <c r="D107" s="265"/>
      <c r="E107" s="265"/>
      <c r="F107" s="265"/>
      <c r="G107" s="265"/>
      <c r="H107" s="265"/>
      <c r="I107" s="265"/>
      <c r="J107" s="265"/>
      <c r="K107" s="265"/>
      <c r="L107" s="265"/>
      <c r="M107" s="265"/>
      <c r="N107" s="265"/>
      <c r="O107" s="265"/>
      <c r="P107" s="66"/>
      <c r="Q107" s="119"/>
      <c r="R107" s="119"/>
      <c r="S107" s="119"/>
      <c r="T107" s="119"/>
      <c r="U107" s="119"/>
      <c r="V107" s="119"/>
      <c r="W107" s="119"/>
      <c r="X107" s="119"/>
      <c r="Y107" s="119"/>
      <c r="Z107" s="119"/>
    </row>
    <row r="108" spans="1:26" s="53" customFormat="1" ht="15" customHeight="1">
      <c r="A108" s="263" t="s">
        <v>112</v>
      </c>
      <c r="B108" s="264"/>
      <c r="C108" s="264"/>
      <c r="D108" s="84"/>
      <c r="E108" s="266"/>
      <c r="F108" s="266"/>
      <c r="G108" s="266"/>
      <c r="H108" s="266"/>
      <c r="I108" s="266"/>
      <c r="J108" s="266"/>
      <c r="K108" s="266"/>
      <c r="L108" s="266"/>
      <c r="M108" s="266"/>
      <c r="N108" s="266"/>
      <c r="O108" s="267"/>
      <c r="P108" s="66"/>
      <c r="Q108" s="119"/>
      <c r="R108" s="119"/>
      <c r="S108" s="119"/>
      <c r="T108" s="119"/>
      <c r="U108" s="119"/>
      <c r="V108" s="119"/>
      <c r="W108" s="119"/>
      <c r="X108" s="119"/>
      <c r="Y108" s="119"/>
      <c r="Z108" s="119"/>
    </row>
    <row r="109" spans="1:26" s="53" customFormat="1" ht="27" customHeight="1">
      <c r="A109" s="227"/>
      <c r="B109" s="227"/>
      <c r="C109" s="227"/>
      <c r="D109" s="227"/>
      <c r="E109" s="227"/>
      <c r="F109" s="227"/>
      <c r="G109" s="227"/>
      <c r="H109" s="227"/>
      <c r="I109" s="227"/>
      <c r="J109" s="227"/>
      <c r="K109" s="227"/>
      <c r="L109" s="227"/>
      <c r="M109" s="227"/>
      <c r="N109" s="227"/>
      <c r="O109" s="227"/>
      <c r="P109" s="66"/>
      <c r="Q109" s="119"/>
      <c r="R109" s="119"/>
      <c r="S109" s="119"/>
      <c r="T109" s="119"/>
      <c r="U109" s="119"/>
      <c r="V109" s="119"/>
      <c r="W109" s="119"/>
      <c r="X109" s="119"/>
      <c r="Y109" s="119"/>
      <c r="Z109" s="119"/>
    </row>
    <row r="110" spans="1:26" s="53" customFormat="1" ht="27" customHeight="1">
      <c r="A110" s="227"/>
      <c r="B110" s="227"/>
      <c r="C110" s="227"/>
      <c r="D110" s="227"/>
      <c r="E110" s="227"/>
      <c r="F110" s="227"/>
      <c r="G110" s="227"/>
      <c r="H110" s="227"/>
      <c r="I110" s="227"/>
      <c r="J110" s="227"/>
      <c r="K110" s="227"/>
      <c r="L110" s="227"/>
      <c r="M110" s="227"/>
      <c r="N110" s="227"/>
      <c r="O110" s="227"/>
      <c r="P110" s="66"/>
      <c r="Q110" s="119"/>
      <c r="R110" s="119"/>
      <c r="S110" s="119"/>
      <c r="T110" s="119"/>
      <c r="U110" s="119"/>
      <c r="V110" s="119"/>
      <c r="W110" s="119"/>
      <c r="X110" s="119"/>
      <c r="Y110" s="119"/>
      <c r="Z110" s="119"/>
    </row>
    <row r="111" spans="1:26" s="53" customFormat="1" ht="27" customHeight="1">
      <c r="A111" s="227"/>
      <c r="B111" s="227"/>
      <c r="C111" s="227"/>
      <c r="D111" s="227"/>
      <c r="E111" s="227"/>
      <c r="F111" s="227"/>
      <c r="G111" s="227"/>
      <c r="H111" s="227"/>
      <c r="I111" s="227"/>
      <c r="J111" s="227"/>
      <c r="K111" s="227"/>
      <c r="L111" s="227"/>
      <c r="M111" s="227"/>
      <c r="N111" s="227"/>
      <c r="O111" s="227"/>
      <c r="P111" s="66"/>
      <c r="Q111" s="119"/>
      <c r="R111" s="119"/>
      <c r="S111" s="119"/>
      <c r="T111" s="119"/>
      <c r="U111" s="119"/>
      <c r="V111" s="119"/>
      <c r="W111" s="119"/>
      <c r="X111" s="119"/>
      <c r="Y111" s="119"/>
      <c r="Z111" s="119"/>
    </row>
    <row r="112" spans="1:26" s="53" customFormat="1" ht="27" customHeight="1">
      <c r="A112" s="227"/>
      <c r="B112" s="227"/>
      <c r="C112" s="227"/>
      <c r="D112" s="227"/>
      <c r="E112" s="227"/>
      <c r="F112" s="227"/>
      <c r="G112" s="227"/>
      <c r="H112" s="227"/>
      <c r="I112" s="227"/>
      <c r="J112" s="227"/>
      <c r="K112" s="227"/>
      <c r="L112" s="227"/>
      <c r="M112" s="227"/>
      <c r="N112" s="227"/>
      <c r="O112" s="227"/>
      <c r="P112" s="66"/>
      <c r="Q112" s="119"/>
      <c r="R112" s="119"/>
      <c r="S112" s="119"/>
      <c r="T112" s="119"/>
      <c r="U112" s="119"/>
      <c r="V112" s="119"/>
      <c r="W112" s="119"/>
      <c r="X112" s="119"/>
      <c r="Y112" s="119"/>
      <c r="Z112" s="119"/>
    </row>
    <row r="113" spans="1:26" ht="27" customHeight="1">
      <c r="A113" s="227"/>
      <c r="B113" s="227"/>
      <c r="C113" s="227"/>
      <c r="D113" s="227"/>
      <c r="E113" s="227"/>
      <c r="F113" s="227"/>
      <c r="G113" s="227"/>
      <c r="H113" s="227"/>
      <c r="I113" s="227"/>
      <c r="J113" s="227"/>
      <c r="K113" s="227"/>
      <c r="L113" s="227"/>
      <c r="M113" s="227"/>
      <c r="N113" s="227"/>
      <c r="O113" s="227"/>
      <c r="P113" s="119"/>
      <c r="Q113" s="119"/>
      <c r="R113" s="119"/>
      <c r="S113" s="119"/>
      <c r="T113" s="119"/>
      <c r="U113" s="119"/>
      <c r="V113" s="119"/>
      <c r="W113" s="119"/>
      <c r="X113" s="119"/>
      <c r="Y113" s="119"/>
      <c r="Z113" s="119"/>
    </row>
    <row r="114" spans="1:26" s="53" customFormat="1" ht="27" customHeight="1">
      <c r="A114" s="227"/>
      <c r="B114" s="227"/>
      <c r="C114" s="227"/>
      <c r="D114" s="227"/>
      <c r="E114" s="227"/>
      <c r="F114" s="227"/>
      <c r="G114" s="227"/>
      <c r="H114" s="227"/>
      <c r="I114" s="227"/>
      <c r="J114" s="227"/>
      <c r="K114" s="227"/>
      <c r="L114" s="227"/>
      <c r="M114" s="227"/>
      <c r="N114" s="227"/>
      <c r="O114" s="227"/>
      <c r="P114" s="120"/>
      <c r="Q114" s="119"/>
      <c r="R114" s="119"/>
      <c r="S114" s="119"/>
      <c r="T114" s="119"/>
      <c r="U114" s="119"/>
      <c r="V114" s="119"/>
      <c r="W114" s="119"/>
      <c r="X114" s="119"/>
      <c r="Y114" s="119"/>
      <c r="Z114" s="119"/>
    </row>
    <row r="115" spans="1:26" s="53" customFormat="1" ht="26.25" customHeight="1">
      <c r="A115" s="227"/>
      <c r="B115" s="227"/>
      <c r="C115" s="227"/>
      <c r="D115" s="227"/>
      <c r="E115" s="227"/>
      <c r="F115" s="227"/>
      <c r="G115" s="227"/>
      <c r="H115" s="227"/>
      <c r="I115" s="227"/>
      <c r="J115" s="227"/>
      <c r="K115" s="227"/>
      <c r="L115" s="227"/>
      <c r="M115" s="227"/>
      <c r="N115" s="227"/>
      <c r="O115" s="227"/>
      <c r="P115" s="119"/>
      <c r="Q115" s="119"/>
      <c r="R115" s="119"/>
      <c r="S115" s="119"/>
      <c r="T115" s="119"/>
      <c r="U115" s="119"/>
      <c r="V115" s="119"/>
      <c r="W115" s="119"/>
      <c r="X115" s="119"/>
      <c r="Y115" s="119"/>
      <c r="Z115" s="119"/>
    </row>
    <row r="116" spans="1:26" s="53" customFormat="1" ht="27" customHeight="1">
      <c r="A116" s="227"/>
      <c r="B116" s="227"/>
      <c r="C116" s="227"/>
      <c r="D116" s="227"/>
      <c r="E116" s="227"/>
      <c r="F116" s="227"/>
      <c r="G116" s="227"/>
      <c r="H116" s="227"/>
      <c r="I116" s="227"/>
      <c r="J116" s="227"/>
      <c r="K116" s="227"/>
      <c r="L116" s="227"/>
      <c r="M116" s="227"/>
      <c r="N116" s="227"/>
      <c r="O116" s="227"/>
      <c r="P116" s="119"/>
      <c r="Q116" s="14"/>
      <c r="R116" s="121"/>
      <c r="S116" s="121"/>
      <c r="T116" s="121"/>
      <c r="U116" s="119"/>
      <c r="V116" s="119"/>
      <c r="W116" s="119"/>
      <c r="X116" s="119"/>
      <c r="Y116" s="119"/>
      <c r="Z116" s="119"/>
    </row>
    <row r="117" spans="1:26" s="53" customFormat="1" ht="27" customHeight="1">
      <c r="A117" s="227"/>
      <c r="B117" s="227"/>
      <c r="C117" s="227"/>
      <c r="D117" s="227"/>
      <c r="E117" s="227"/>
      <c r="F117" s="227"/>
      <c r="G117" s="227"/>
      <c r="H117" s="227"/>
      <c r="I117" s="227"/>
      <c r="J117" s="227"/>
      <c r="K117" s="227"/>
      <c r="L117" s="227"/>
      <c r="M117" s="227"/>
      <c r="N117" s="227"/>
      <c r="O117" s="227"/>
      <c r="P117" s="119"/>
      <c r="Q117" s="34"/>
      <c r="R117" s="118"/>
      <c r="S117" s="118"/>
      <c r="T117" s="118"/>
      <c r="U117" s="119"/>
      <c r="V117" s="119"/>
      <c r="W117" s="119"/>
      <c r="X117" s="119"/>
      <c r="Y117" s="119"/>
      <c r="Z117" s="119"/>
    </row>
    <row r="118" spans="1:26" s="53" customFormat="1" ht="27" customHeight="1">
      <c r="A118" s="227"/>
      <c r="B118" s="227"/>
      <c r="C118" s="227"/>
      <c r="D118" s="227"/>
      <c r="E118" s="227"/>
      <c r="F118" s="227"/>
      <c r="G118" s="227"/>
      <c r="H118" s="227"/>
      <c r="I118" s="227"/>
      <c r="J118" s="227"/>
      <c r="K118" s="227"/>
      <c r="L118" s="227"/>
      <c r="M118" s="227"/>
      <c r="N118" s="227"/>
      <c r="O118" s="227"/>
      <c r="P118" s="119"/>
      <c r="Q118" s="34"/>
      <c r="R118" s="118"/>
      <c r="S118" s="118"/>
      <c r="T118" s="118"/>
      <c r="U118" s="119"/>
      <c r="V118" s="119"/>
      <c r="W118" s="119"/>
      <c r="X118" s="119"/>
      <c r="Y118" s="119"/>
      <c r="Z118" s="119"/>
    </row>
    <row r="119" spans="1:26" s="53" customFormat="1" ht="27" customHeight="1">
      <c r="A119" s="227"/>
      <c r="B119" s="227"/>
      <c r="C119" s="227"/>
      <c r="D119" s="227"/>
      <c r="E119" s="227"/>
      <c r="F119" s="227"/>
      <c r="G119" s="227"/>
      <c r="H119" s="227"/>
      <c r="I119" s="227"/>
      <c r="J119" s="227"/>
      <c r="K119" s="227"/>
      <c r="L119" s="227"/>
      <c r="M119" s="227"/>
      <c r="N119" s="227"/>
      <c r="O119" s="227"/>
      <c r="P119" s="119"/>
      <c r="Q119" s="34"/>
      <c r="R119" s="118"/>
      <c r="S119" s="118"/>
      <c r="T119" s="118"/>
      <c r="U119" s="119"/>
      <c r="V119" s="119"/>
      <c r="W119" s="119"/>
      <c r="X119" s="119"/>
      <c r="Y119" s="119"/>
      <c r="Z119" s="119"/>
    </row>
    <row r="120" spans="1:26" s="53" customFormat="1" ht="26.25" customHeight="1">
      <c r="A120" s="227"/>
      <c r="B120" s="227"/>
      <c r="C120" s="227"/>
      <c r="D120" s="227"/>
      <c r="E120" s="227"/>
      <c r="F120" s="227"/>
      <c r="G120" s="227"/>
      <c r="H120" s="227"/>
      <c r="I120" s="227"/>
      <c r="J120" s="227"/>
      <c r="K120" s="227"/>
      <c r="L120" s="227"/>
      <c r="M120" s="227"/>
      <c r="N120" s="227"/>
      <c r="O120" s="227"/>
      <c r="P120" s="119"/>
      <c r="Q120" s="34"/>
      <c r="R120" s="118"/>
      <c r="S120" s="118"/>
      <c r="T120" s="118"/>
      <c r="U120" s="119"/>
      <c r="V120" s="119"/>
      <c r="W120" s="119"/>
      <c r="X120" s="119"/>
      <c r="Y120" s="119"/>
      <c r="Z120" s="119"/>
    </row>
    <row r="121" spans="1:26" s="53" customFormat="1" ht="27" customHeight="1">
      <c r="A121" s="227"/>
      <c r="B121" s="227"/>
      <c r="C121" s="227"/>
      <c r="D121" s="227"/>
      <c r="E121" s="227"/>
      <c r="F121" s="227"/>
      <c r="G121" s="227"/>
      <c r="H121" s="227"/>
      <c r="I121" s="227"/>
      <c r="J121" s="227"/>
      <c r="K121" s="227"/>
      <c r="L121" s="227"/>
      <c r="M121" s="227"/>
      <c r="N121" s="227"/>
      <c r="O121" s="227"/>
      <c r="P121" s="119"/>
      <c r="Q121" s="34"/>
      <c r="R121" s="118"/>
      <c r="S121" s="118"/>
      <c r="T121" s="118"/>
      <c r="U121" s="119"/>
      <c r="V121" s="119"/>
      <c r="W121" s="119"/>
      <c r="X121" s="119"/>
      <c r="Y121" s="119"/>
      <c r="Z121" s="119"/>
    </row>
    <row r="122" spans="1:26" s="53" customFormat="1" ht="27" customHeight="1">
      <c r="A122" s="227"/>
      <c r="B122" s="227"/>
      <c r="C122" s="227"/>
      <c r="D122" s="227"/>
      <c r="E122" s="227"/>
      <c r="F122" s="227"/>
      <c r="G122" s="227"/>
      <c r="H122" s="227"/>
      <c r="I122" s="227"/>
      <c r="J122" s="227"/>
      <c r="K122" s="227"/>
      <c r="L122" s="227"/>
      <c r="M122" s="227"/>
      <c r="N122" s="227"/>
      <c r="O122" s="227"/>
      <c r="P122" s="119"/>
      <c r="Q122" s="34"/>
      <c r="R122" s="118"/>
      <c r="S122" s="118"/>
      <c r="T122" s="118"/>
      <c r="U122" s="119"/>
      <c r="V122" s="119"/>
      <c r="W122" s="119"/>
      <c r="X122" s="119"/>
      <c r="Y122" s="119"/>
      <c r="Z122" s="119"/>
    </row>
    <row r="123" spans="1:26" s="53" customFormat="1" ht="26.25" customHeight="1">
      <c r="A123" s="227"/>
      <c r="B123" s="227"/>
      <c r="C123" s="227"/>
      <c r="D123" s="227"/>
      <c r="E123" s="227"/>
      <c r="F123" s="227"/>
      <c r="G123" s="227"/>
      <c r="H123" s="227"/>
      <c r="I123" s="227"/>
      <c r="J123" s="227"/>
      <c r="K123" s="227"/>
      <c r="L123" s="227"/>
      <c r="M123" s="227"/>
      <c r="N123" s="227"/>
      <c r="O123" s="227"/>
      <c r="P123" s="119"/>
      <c r="Q123" s="34"/>
      <c r="R123" s="118"/>
      <c r="S123" s="118"/>
      <c r="T123" s="118"/>
      <c r="U123" s="119"/>
      <c r="V123" s="119"/>
      <c r="W123" s="119"/>
      <c r="X123" s="119"/>
      <c r="Y123" s="119"/>
      <c r="Z123" s="119"/>
    </row>
    <row r="124" spans="1:26" s="53" customFormat="1" ht="27" customHeight="1">
      <c r="A124" s="227"/>
      <c r="B124" s="227"/>
      <c r="C124" s="227"/>
      <c r="D124" s="227"/>
      <c r="E124" s="227"/>
      <c r="F124" s="227"/>
      <c r="G124" s="227"/>
      <c r="H124" s="227"/>
      <c r="I124" s="227"/>
      <c r="J124" s="227"/>
      <c r="K124" s="227"/>
      <c r="L124" s="227"/>
      <c r="M124" s="227"/>
      <c r="N124" s="227"/>
      <c r="O124" s="227"/>
      <c r="P124" s="119"/>
      <c r="Q124" s="34"/>
      <c r="R124" s="118"/>
      <c r="S124" s="118"/>
      <c r="T124" s="118"/>
      <c r="U124" s="119"/>
      <c r="V124" s="119"/>
      <c r="W124" s="119"/>
      <c r="X124" s="119"/>
      <c r="Y124" s="119"/>
      <c r="Z124" s="119"/>
    </row>
    <row r="125" spans="1:26" s="53" customFormat="1" ht="27" customHeight="1">
      <c r="A125" s="227"/>
      <c r="B125" s="227"/>
      <c r="C125" s="227"/>
      <c r="D125" s="227"/>
      <c r="E125" s="227"/>
      <c r="F125" s="227"/>
      <c r="G125" s="227"/>
      <c r="H125" s="227"/>
      <c r="I125" s="227"/>
      <c r="J125" s="227"/>
      <c r="K125" s="227"/>
      <c r="L125" s="227"/>
      <c r="M125" s="227"/>
      <c r="N125" s="227"/>
      <c r="O125" s="227"/>
      <c r="P125" s="119"/>
      <c r="Q125" s="34"/>
      <c r="R125" s="118"/>
      <c r="S125" s="118"/>
      <c r="T125" s="118"/>
      <c r="U125" s="119"/>
      <c r="V125" s="119"/>
      <c r="W125" s="119"/>
      <c r="X125" s="119"/>
      <c r="Y125" s="119"/>
      <c r="Z125" s="119"/>
    </row>
    <row r="126" spans="1:26" s="53" customFormat="1" ht="26.25" customHeight="1">
      <c r="A126" s="227"/>
      <c r="B126" s="227"/>
      <c r="C126" s="227"/>
      <c r="D126" s="227"/>
      <c r="E126" s="227"/>
      <c r="F126" s="227"/>
      <c r="G126" s="227"/>
      <c r="H126" s="227"/>
      <c r="I126" s="227"/>
      <c r="J126" s="227"/>
      <c r="K126" s="227"/>
      <c r="L126" s="227"/>
      <c r="M126" s="227"/>
      <c r="N126" s="227"/>
      <c r="O126" s="227"/>
      <c r="P126" s="119"/>
      <c r="Q126" s="34"/>
      <c r="R126" s="118"/>
      <c r="S126" s="118"/>
      <c r="T126" s="118"/>
      <c r="U126" s="119"/>
      <c r="V126" s="119"/>
      <c r="W126" s="119"/>
      <c r="X126" s="119"/>
      <c r="Y126" s="119"/>
      <c r="Z126" s="119"/>
    </row>
    <row r="127" spans="1:26" s="53" customFormat="1" ht="27" customHeight="1">
      <c r="A127" s="227"/>
      <c r="B127" s="227"/>
      <c r="C127" s="227"/>
      <c r="D127" s="227"/>
      <c r="E127" s="227"/>
      <c r="F127" s="227"/>
      <c r="G127" s="227"/>
      <c r="H127" s="227"/>
      <c r="I127" s="227"/>
      <c r="J127" s="227"/>
      <c r="K127" s="227"/>
      <c r="L127" s="227"/>
      <c r="M127" s="227"/>
      <c r="N127" s="227"/>
      <c r="O127" s="227"/>
      <c r="P127" s="119"/>
      <c r="Q127" s="34"/>
      <c r="R127" s="118"/>
      <c r="S127" s="118"/>
      <c r="T127" s="118"/>
      <c r="U127" s="119"/>
      <c r="V127" s="119"/>
      <c r="W127" s="119"/>
      <c r="X127" s="119"/>
      <c r="Y127" s="119"/>
      <c r="Z127" s="119"/>
    </row>
    <row r="128" spans="1:26" s="53" customFormat="1">
      <c r="A128" s="167"/>
      <c r="B128" s="167"/>
      <c r="C128" s="167"/>
      <c r="D128" s="167"/>
      <c r="E128" s="167"/>
      <c r="F128" s="167"/>
      <c r="G128" s="167"/>
      <c r="H128" s="167"/>
      <c r="I128" s="167"/>
      <c r="J128" s="167"/>
      <c r="K128" s="167"/>
      <c r="L128" s="167"/>
      <c r="M128" s="167"/>
      <c r="N128" s="167"/>
      <c r="O128" s="167"/>
      <c r="P128" s="119"/>
      <c r="Q128" s="119"/>
      <c r="R128" s="119"/>
      <c r="S128" s="119"/>
      <c r="T128" s="119"/>
      <c r="U128" s="119"/>
      <c r="V128" s="119"/>
      <c r="W128" s="119"/>
      <c r="X128" s="119"/>
      <c r="Y128" s="119"/>
      <c r="Z128" s="119"/>
    </row>
    <row r="129" spans="1:26" s="53" customFormat="1" ht="27" customHeight="1" thickBot="1">
      <c r="A129" s="353" t="s">
        <v>908</v>
      </c>
      <c r="B129" s="353"/>
      <c r="C129" s="353"/>
      <c r="D129" s="353"/>
      <c r="E129" s="353"/>
      <c r="F129" s="353"/>
      <c r="G129" s="353"/>
      <c r="H129" s="353"/>
      <c r="I129" s="353"/>
      <c r="J129" s="89">
        <f>L10+L13+L16+L21+L24+L29+L32+L38+L41+L44+L47+L65+L68+L70+L74+L76+L78+L82+L85+L88+L92+L94+L100+L105</f>
        <v>0</v>
      </c>
      <c r="K129" s="167"/>
      <c r="L129" s="167"/>
      <c r="M129" s="167"/>
      <c r="N129" s="167"/>
      <c r="O129" s="167"/>
      <c r="P129" s="119"/>
      <c r="Q129" s="119"/>
      <c r="R129" s="119"/>
      <c r="S129" s="119"/>
      <c r="T129" s="119"/>
      <c r="U129" s="119"/>
      <c r="V129" s="119"/>
      <c r="W129" s="119"/>
      <c r="X129" s="119"/>
      <c r="Y129" s="119"/>
      <c r="Z129" s="119"/>
    </row>
    <row r="130" spans="1:26" s="53" customFormat="1" ht="27" customHeight="1" thickBot="1">
      <c r="A130" s="353" t="s">
        <v>707</v>
      </c>
      <c r="B130" s="353"/>
      <c r="C130" s="353"/>
      <c r="D130" s="70" t="s">
        <v>704</v>
      </c>
      <c r="E130" s="72">
        <v>190</v>
      </c>
      <c r="G130" s="350" t="s">
        <v>708</v>
      </c>
      <c r="H130" s="350"/>
      <c r="I130" s="354"/>
      <c r="J130" s="354"/>
      <c r="K130" s="354"/>
      <c r="L130" s="354"/>
      <c r="M130" s="354"/>
      <c r="N130" s="354"/>
      <c r="O130" s="354"/>
      <c r="P130" s="119"/>
      <c r="Q130" s="119"/>
      <c r="R130" s="119"/>
      <c r="S130" s="119"/>
      <c r="T130" s="119"/>
      <c r="U130" s="119"/>
      <c r="V130" s="119"/>
      <c r="W130" s="119"/>
      <c r="X130" s="119"/>
      <c r="Y130" s="119"/>
      <c r="Z130" s="119"/>
    </row>
    <row r="131" spans="1:26" s="53" customFormat="1" ht="27" customHeight="1" thickBot="1">
      <c r="A131" s="262" t="s">
        <v>705</v>
      </c>
      <c r="B131" s="262"/>
      <c r="C131" s="262"/>
      <c r="D131" s="70" t="s">
        <v>704</v>
      </c>
      <c r="E131" s="90">
        <f>N10+N13+N16+N21+N24+N32+N38+N41+N44+N47+N70+N74+N82+N94+N100+N105</f>
        <v>0</v>
      </c>
      <c r="G131" s="350" t="s">
        <v>712</v>
      </c>
      <c r="H131" s="350"/>
      <c r="I131" s="350"/>
      <c r="J131" s="350"/>
      <c r="K131" s="350"/>
      <c r="L131" s="350"/>
      <c r="M131" s="350"/>
      <c r="N131" s="350"/>
      <c r="O131" s="350"/>
      <c r="P131" s="119"/>
      <c r="Q131" s="119"/>
      <c r="R131" s="119"/>
      <c r="S131" s="119"/>
      <c r="T131" s="119"/>
      <c r="U131" s="119"/>
      <c r="V131" s="119"/>
      <c r="W131" s="119"/>
      <c r="X131" s="119"/>
      <c r="Y131" s="119"/>
      <c r="Z131" s="119"/>
    </row>
    <row r="132" spans="1:26" s="53" customFormat="1" ht="27" customHeight="1" thickBot="1">
      <c r="A132" s="262" t="s">
        <v>709</v>
      </c>
      <c r="B132" s="262"/>
      <c r="C132" s="262"/>
      <c r="D132" s="70" t="s">
        <v>704</v>
      </c>
      <c r="E132" s="90">
        <f>E130-E131</f>
        <v>190</v>
      </c>
      <c r="G132" s="350" t="s">
        <v>713</v>
      </c>
      <c r="H132" s="350"/>
      <c r="I132" s="350"/>
      <c r="J132" s="350"/>
      <c r="K132" s="350"/>
      <c r="L132" s="350"/>
      <c r="M132" s="350"/>
      <c r="N132" s="350"/>
      <c r="O132" s="350"/>
      <c r="P132" s="119"/>
      <c r="Q132" s="119"/>
      <c r="R132" s="119"/>
      <c r="S132" s="119"/>
      <c r="T132" s="119"/>
      <c r="U132" s="119"/>
      <c r="V132" s="119"/>
      <c r="W132" s="119"/>
      <c r="X132" s="119"/>
      <c r="Y132" s="119"/>
      <c r="Z132" s="119"/>
    </row>
    <row r="133" spans="1:26" s="53" customFormat="1" ht="36" customHeight="1">
      <c r="A133" s="351" t="s">
        <v>710</v>
      </c>
      <c r="B133" s="351"/>
      <c r="C133" s="351"/>
      <c r="D133" s="167"/>
      <c r="E133" s="167"/>
      <c r="F133" s="167"/>
      <c r="G133" s="352" t="s">
        <v>714</v>
      </c>
      <c r="H133" s="352"/>
      <c r="I133" s="352"/>
      <c r="J133" s="352"/>
      <c r="K133" s="352"/>
      <c r="L133" s="352"/>
      <c r="M133" s="352"/>
      <c r="N133" s="352"/>
      <c r="O133" s="352"/>
      <c r="P133" s="119"/>
      <c r="Q133" s="119"/>
      <c r="R133" s="119"/>
      <c r="S133" s="119"/>
      <c r="T133" s="119"/>
      <c r="U133" s="119"/>
      <c r="V133" s="119"/>
      <c r="W133" s="119"/>
      <c r="X133" s="119"/>
      <c r="Y133" s="119"/>
      <c r="Z133" s="119"/>
    </row>
    <row r="134" spans="1:26" s="53" customFormat="1" ht="27" customHeight="1" thickBot="1">
      <c r="A134" s="262" t="s">
        <v>711</v>
      </c>
      <c r="B134" s="262"/>
      <c r="C134" s="262"/>
      <c r="D134" s="70" t="s">
        <v>704</v>
      </c>
      <c r="E134" s="89">
        <f>E132*0.8</f>
        <v>152</v>
      </c>
      <c r="G134" s="350"/>
      <c r="H134" s="350"/>
      <c r="I134" s="350"/>
      <c r="J134" s="350"/>
      <c r="K134" s="350"/>
      <c r="L134" s="350"/>
      <c r="M134" s="350"/>
      <c r="N134" s="350"/>
      <c r="O134" s="350"/>
      <c r="P134" s="119"/>
      <c r="Q134" s="119"/>
      <c r="R134" s="119"/>
      <c r="S134" s="119"/>
      <c r="T134" s="119"/>
      <c r="U134" s="119"/>
      <c r="V134" s="119"/>
      <c r="W134" s="119"/>
      <c r="X134" s="119"/>
      <c r="Y134" s="119"/>
      <c r="Z134" s="119"/>
    </row>
    <row r="135" spans="1:26" s="53" customFormat="1" ht="15" customHeight="1">
      <c r="A135" s="167"/>
      <c r="B135" s="167"/>
      <c r="C135" s="167"/>
      <c r="D135" s="167"/>
      <c r="E135" s="167"/>
      <c r="F135" s="167"/>
      <c r="G135" s="167"/>
      <c r="H135" s="167"/>
      <c r="I135" s="167"/>
      <c r="J135" s="167"/>
      <c r="K135" s="167"/>
      <c r="L135" s="167"/>
      <c r="M135" s="167"/>
      <c r="N135" s="167"/>
      <c r="O135" s="167"/>
      <c r="P135" s="119"/>
      <c r="Q135" s="119"/>
      <c r="R135" s="119"/>
      <c r="S135" s="119"/>
      <c r="T135" s="119"/>
      <c r="U135" s="119"/>
      <c r="V135" s="119"/>
      <c r="W135" s="119"/>
      <c r="X135" s="119"/>
      <c r="Y135" s="119"/>
      <c r="Z135" s="119"/>
    </row>
    <row r="136" spans="1:26" s="53" customFormat="1" ht="18" customHeight="1">
      <c r="A136" s="167"/>
      <c r="B136" s="167"/>
      <c r="C136" s="154"/>
      <c r="D136" s="88"/>
      <c r="E136" s="70" t="s">
        <v>575</v>
      </c>
      <c r="F136" s="225"/>
      <c r="G136" s="226"/>
      <c r="H136" s="88"/>
      <c r="I136" s="174" t="s">
        <v>574</v>
      </c>
      <c r="J136" s="262"/>
      <c r="K136" s="224" t="s">
        <v>715</v>
      </c>
      <c r="L136" s="224"/>
      <c r="M136" s="224"/>
      <c r="N136" s="224"/>
      <c r="O136" s="224"/>
      <c r="P136" s="119"/>
      <c r="Q136" s="119"/>
      <c r="R136" s="119"/>
      <c r="S136" s="119"/>
      <c r="T136" s="119"/>
      <c r="U136" s="119"/>
      <c r="V136" s="119"/>
      <c r="W136" s="119"/>
      <c r="X136" s="119"/>
      <c r="Y136" s="119"/>
      <c r="Z136" s="119"/>
    </row>
    <row r="137" spans="1:26" s="53" customFormat="1">
      <c r="A137" s="398"/>
      <c r="B137" s="398"/>
      <c r="C137" s="398"/>
      <c r="D137" s="398"/>
      <c r="E137" s="398"/>
      <c r="F137" s="398"/>
      <c r="G137" s="398"/>
      <c r="H137" s="398"/>
      <c r="I137" s="398"/>
      <c r="J137" s="398"/>
      <c r="K137" s="398"/>
      <c r="L137" s="398"/>
      <c r="M137" s="398"/>
      <c r="N137" s="398"/>
      <c r="O137" s="398"/>
      <c r="P137" s="119"/>
      <c r="Q137" s="119"/>
      <c r="R137" s="119"/>
      <c r="S137" s="119"/>
      <c r="T137" s="119"/>
      <c r="U137" s="119"/>
      <c r="V137" s="119"/>
      <c r="W137" s="119"/>
      <c r="X137" s="119"/>
      <c r="Y137" s="119"/>
      <c r="Z137" s="119"/>
    </row>
    <row r="138" spans="1:26" s="53" customFormat="1">
      <c r="A138" s="417" t="s">
        <v>740</v>
      </c>
      <c r="B138" s="265"/>
      <c r="C138" s="265"/>
      <c r="D138" s="265"/>
      <c r="E138" s="265"/>
      <c r="F138" s="265"/>
      <c r="G138" s="265"/>
      <c r="H138" s="265"/>
      <c r="I138" s="265"/>
      <c r="J138" s="265"/>
      <c r="K138" s="265"/>
      <c r="L138" s="265"/>
      <c r="M138" s="265"/>
      <c r="N138" s="265"/>
      <c r="O138" s="418"/>
      <c r="P138" s="119"/>
      <c r="Q138" s="119"/>
      <c r="R138" s="119"/>
      <c r="S138" s="119"/>
      <c r="T138" s="119"/>
      <c r="U138" s="119"/>
      <c r="V138" s="119"/>
      <c r="W138" s="119"/>
      <c r="X138" s="119"/>
      <c r="Y138" s="119"/>
      <c r="Z138" s="119"/>
    </row>
    <row r="139" spans="1:26" s="53" customFormat="1">
      <c r="A139" s="397" t="s">
        <v>741</v>
      </c>
      <c r="B139" s="398"/>
      <c r="C139" s="398"/>
      <c r="D139" s="398"/>
      <c r="E139" s="398"/>
      <c r="F139" s="398"/>
      <c r="G139" s="398"/>
      <c r="H139" s="398"/>
      <c r="I139" s="398"/>
      <c r="J139" s="398"/>
      <c r="K139" s="398"/>
      <c r="L139" s="398"/>
      <c r="M139" s="398"/>
      <c r="N139" s="398"/>
      <c r="O139" s="399"/>
      <c r="P139" s="119"/>
      <c r="Q139" s="119"/>
      <c r="R139" s="119"/>
      <c r="S139" s="119"/>
      <c r="T139" s="119"/>
      <c r="U139" s="119"/>
      <c r="V139" s="119"/>
      <c r="W139" s="119"/>
      <c r="X139" s="119"/>
      <c r="Y139" s="119"/>
      <c r="Z139" s="119"/>
    </row>
    <row r="140" spans="1:26" s="53" customFormat="1">
      <c r="A140" s="397" t="s">
        <v>742</v>
      </c>
      <c r="B140" s="398"/>
      <c r="C140" s="398"/>
      <c r="D140" s="398"/>
      <c r="E140" s="398"/>
      <c r="F140" s="398"/>
      <c r="G140" s="398"/>
      <c r="H140" s="398"/>
      <c r="I140" s="398"/>
      <c r="J140" s="398"/>
      <c r="K140" s="398"/>
      <c r="L140" s="398"/>
      <c r="M140" s="398"/>
      <c r="N140" s="398"/>
      <c r="O140" s="399"/>
      <c r="P140" s="119"/>
      <c r="Q140" s="119"/>
      <c r="R140" s="119"/>
      <c r="S140" s="119"/>
      <c r="T140" s="119"/>
      <c r="U140" s="119"/>
      <c r="V140" s="119"/>
      <c r="W140" s="119"/>
      <c r="X140" s="119"/>
      <c r="Y140" s="119"/>
      <c r="Z140" s="119"/>
    </row>
    <row r="141" spans="1:26" s="53" customFormat="1">
      <c r="A141" s="400" t="s">
        <v>916</v>
      </c>
      <c r="B141" s="401"/>
      <c r="C141" s="401"/>
      <c r="D141" s="401"/>
      <c r="E141" s="401"/>
      <c r="F141" s="401"/>
      <c r="G141" s="401"/>
      <c r="H141" s="401"/>
      <c r="I141" s="401"/>
      <c r="J141" s="401"/>
      <c r="K141" s="401"/>
      <c r="L141" s="401"/>
      <c r="M141" s="401"/>
      <c r="N141" s="401"/>
      <c r="O141" s="402"/>
      <c r="P141" s="119"/>
      <c r="Q141" s="119"/>
      <c r="R141" s="119"/>
      <c r="S141" s="119"/>
      <c r="T141" s="119"/>
      <c r="U141" s="119"/>
      <c r="V141" s="119"/>
      <c r="W141" s="119"/>
      <c r="X141" s="119"/>
      <c r="Y141" s="119"/>
      <c r="Z141" s="119"/>
    </row>
  </sheetData>
  <sheetProtection password="D6D7" sheet="1" objects="1" scenarios="1" formatCells="0" formatColumns="0" formatRows="0"/>
  <mergeCells count="280">
    <mergeCell ref="M65:M67"/>
    <mergeCell ref="N65:N67"/>
    <mergeCell ref="M68:M69"/>
    <mergeCell ref="O68:O69"/>
    <mergeCell ref="A70:A73"/>
    <mergeCell ref="A82:A84"/>
    <mergeCell ref="O70:O73"/>
    <mergeCell ref="A76:A77"/>
    <mergeCell ref="K76:K77"/>
    <mergeCell ref="B84:J84"/>
    <mergeCell ref="L70:L73"/>
    <mergeCell ref="M70:M73"/>
    <mergeCell ref="N70:N73"/>
    <mergeCell ref="K78:K81"/>
    <mergeCell ref="N76:N77"/>
    <mergeCell ref="A137:O137"/>
    <mergeCell ref="A138:O138"/>
    <mergeCell ref="A139:O139"/>
    <mergeCell ref="B106:J106"/>
    <mergeCell ref="A104:J104"/>
    <mergeCell ref="A92:A93"/>
    <mergeCell ref="A94:A99"/>
    <mergeCell ref="A100:A102"/>
    <mergeCell ref="A105:A106"/>
    <mergeCell ref="B101:J101"/>
    <mergeCell ref="B102:J102"/>
    <mergeCell ref="B105:J105"/>
    <mergeCell ref="A107:O107"/>
    <mergeCell ref="A108:C108"/>
    <mergeCell ref="E108:O108"/>
    <mergeCell ref="K100:K102"/>
    <mergeCell ref="L100:L102"/>
    <mergeCell ref="L105:L106"/>
    <mergeCell ref="O92:O93"/>
    <mergeCell ref="K94:K99"/>
    <mergeCell ref="B98:J98"/>
    <mergeCell ref="B99:J99"/>
    <mergeCell ref="B100:J100"/>
    <mergeCell ref="O105:O106"/>
    <mergeCell ref="B32:J36"/>
    <mergeCell ref="B21:J23"/>
    <mergeCell ref="B24:J26"/>
    <mergeCell ref="B10:J12"/>
    <mergeCell ref="B13:J15"/>
    <mergeCell ref="B16:J18"/>
    <mergeCell ref="N78:N81"/>
    <mergeCell ref="O76:O77"/>
    <mergeCell ref="O78:O81"/>
    <mergeCell ref="L76:L77"/>
    <mergeCell ref="M76:M77"/>
    <mergeCell ref="O65:O67"/>
    <mergeCell ref="A64:J64"/>
    <mergeCell ref="C54:O54"/>
    <mergeCell ref="A50:O50"/>
    <mergeCell ref="A62:O62"/>
    <mergeCell ref="A63:O63"/>
    <mergeCell ref="L65:L67"/>
    <mergeCell ref="L68:L69"/>
    <mergeCell ref="K65:K67"/>
    <mergeCell ref="K68:K69"/>
    <mergeCell ref="B65:J65"/>
    <mergeCell ref="B66:J66"/>
    <mergeCell ref="B67:J67"/>
    <mergeCell ref="A140:O140"/>
    <mergeCell ref="A141:O141"/>
    <mergeCell ref="L78:L81"/>
    <mergeCell ref="A103:O103"/>
    <mergeCell ref="O94:O99"/>
    <mergeCell ref="N94:N99"/>
    <mergeCell ref="O100:O102"/>
    <mergeCell ref="A135:O135"/>
    <mergeCell ref="A136:C136"/>
    <mergeCell ref="F136:G136"/>
    <mergeCell ref="I136:J136"/>
    <mergeCell ref="K136:O136"/>
    <mergeCell ref="L94:L99"/>
    <mergeCell ref="K92:K93"/>
    <mergeCell ref="N92:N93"/>
    <mergeCell ref="M94:M99"/>
    <mergeCell ref="L92:L93"/>
    <mergeCell ref="M92:M93"/>
    <mergeCell ref="M105:M106"/>
    <mergeCell ref="N105:N106"/>
    <mergeCell ref="A78:A81"/>
    <mergeCell ref="O82:O84"/>
    <mergeCell ref="M78:M81"/>
    <mergeCell ref="M82:M84"/>
    <mergeCell ref="O47:O49"/>
    <mergeCell ref="A47:A49"/>
    <mergeCell ref="K47:K49"/>
    <mergeCell ref="L47:L49"/>
    <mergeCell ref="A56:B56"/>
    <mergeCell ref="A61:O61"/>
    <mergeCell ref="D55:O55"/>
    <mergeCell ref="A55:C55"/>
    <mergeCell ref="C56:O56"/>
    <mergeCell ref="D57:O57"/>
    <mergeCell ref="A57:C57"/>
    <mergeCell ref="D53:O53"/>
    <mergeCell ref="A53:C53"/>
    <mergeCell ref="A60:O60"/>
    <mergeCell ref="A1:O1"/>
    <mergeCell ref="A2:O2"/>
    <mergeCell ref="B3:O3"/>
    <mergeCell ref="K13:K15"/>
    <mergeCell ref="O13:O15"/>
    <mergeCell ref="A4:O4"/>
    <mergeCell ref="B6:O6"/>
    <mergeCell ref="N13:N15"/>
    <mergeCell ref="M13:M15"/>
    <mergeCell ref="A8:O8"/>
    <mergeCell ref="A10:A12"/>
    <mergeCell ref="K10:K12"/>
    <mergeCell ref="O10:O12"/>
    <mergeCell ref="L10:L12"/>
    <mergeCell ref="M10:M12"/>
    <mergeCell ref="N10:N12"/>
    <mergeCell ref="A5:O5"/>
    <mergeCell ref="A7:O7"/>
    <mergeCell ref="A9:J9"/>
    <mergeCell ref="L13:L15"/>
    <mergeCell ref="A24:A26"/>
    <mergeCell ref="A21:A23"/>
    <mergeCell ref="A16:A18"/>
    <mergeCell ref="O21:O23"/>
    <mergeCell ref="O24:O26"/>
    <mergeCell ref="A51:O51"/>
    <mergeCell ref="A65:A67"/>
    <mergeCell ref="O44:O46"/>
    <mergeCell ref="N44:N46"/>
    <mergeCell ref="A27:O27"/>
    <mergeCell ref="A32:A36"/>
    <mergeCell ref="M32:M36"/>
    <mergeCell ref="N32:N36"/>
    <mergeCell ref="O32:O36"/>
    <mergeCell ref="A54:B54"/>
    <mergeCell ref="B47:J47"/>
    <mergeCell ref="B48:J48"/>
    <mergeCell ref="B49:J49"/>
    <mergeCell ref="A58:O58"/>
    <mergeCell ref="A59:O59"/>
    <mergeCell ref="K16:K18"/>
    <mergeCell ref="L16:L18"/>
    <mergeCell ref="M47:M49"/>
    <mergeCell ref="N47:N49"/>
    <mergeCell ref="N24:N26"/>
    <mergeCell ref="N21:N23"/>
    <mergeCell ref="K21:K23"/>
    <mergeCell ref="L21:L23"/>
    <mergeCell ref="M21:M23"/>
    <mergeCell ref="N38:N40"/>
    <mergeCell ref="K32:K36"/>
    <mergeCell ref="M16:M18"/>
    <mergeCell ref="N16:N18"/>
    <mergeCell ref="L32:L36"/>
    <mergeCell ref="O41:O43"/>
    <mergeCell ref="A44:A46"/>
    <mergeCell ref="L44:L46"/>
    <mergeCell ref="K41:K43"/>
    <mergeCell ref="L41:L43"/>
    <mergeCell ref="M41:M43"/>
    <mergeCell ref="N41:N43"/>
    <mergeCell ref="A19:O19"/>
    <mergeCell ref="A13:A15"/>
    <mergeCell ref="K38:K40"/>
    <mergeCell ref="L38:L40"/>
    <mergeCell ref="A28:J28"/>
    <mergeCell ref="A29:A31"/>
    <mergeCell ref="K29:K31"/>
    <mergeCell ref="L29:L31"/>
    <mergeCell ref="M29:M31"/>
    <mergeCell ref="N29:N31"/>
    <mergeCell ref="O29:O31"/>
    <mergeCell ref="O38:O40"/>
    <mergeCell ref="A20:J20"/>
    <mergeCell ref="K24:K26"/>
    <mergeCell ref="L24:L26"/>
    <mergeCell ref="M24:M26"/>
    <mergeCell ref="O16:O18"/>
    <mergeCell ref="K44:K46"/>
    <mergeCell ref="M38:M40"/>
    <mergeCell ref="A38:A40"/>
    <mergeCell ref="A41:A43"/>
    <mergeCell ref="A37:J37"/>
    <mergeCell ref="B43:J43"/>
    <mergeCell ref="B45:J45"/>
    <mergeCell ref="B46:J46"/>
    <mergeCell ref="B44:J44"/>
    <mergeCell ref="B38:J38"/>
    <mergeCell ref="B39:J39"/>
    <mergeCell ref="B40:J40"/>
    <mergeCell ref="B41:J41"/>
    <mergeCell ref="B42:J42"/>
    <mergeCell ref="B29:J31"/>
    <mergeCell ref="B78:J78"/>
    <mergeCell ref="B79:J79"/>
    <mergeCell ref="B80:J80"/>
    <mergeCell ref="B81:J81"/>
    <mergeCell ref="B82:J82"/>
    <mergeCell ref="B83:J83"/>
    <mergeCell ref="N68:N69"/>
    <mergeCell ref="B76:J76"/>
    <mergeCell ref="B77:J77"/>
    <mergeCell ref="A75:J75"/>
    <mergeCell ref="B68:J68"/>
    <mergeCell ref="B69:J69"/>
    <mergeCell ref="B70:J70"/>
    <mergeCell ref="B71:J71"/>
    <mergeCell ref="B72:J72"/>
    <mergeCell ref="B73:J73"/>
    <mergeCell ref="B74:J74"/>
    <mergeCell ref="A68:A69"/>
    <mergeCell ref="K70:K73"/>
    <mergeCell ref="M44:M46"/>
    <mergeCell ref="A52:B52"/>
    <mergeCell ref="C52:O52"/>
    <mergeCell ref="N82:N84"/>
    <mergeCell ref="A85:A86"/>
    <mergeCell ref="K82:K84"/>
    <mergeCell ref="K85:K86"/>
    <mergeCell ref="L82:L84"/>
    <mergeCell ref="O85:O86"/>
    <mergeCell ref="K88:K89"/>
    <mergeCell ref="L88:L89"/>
    <mergeCell ref="A88:A89"/>
    <mergeCell ref="N88:N89"/>
    <mergeCell ref="O88:O89"/>
    <mergeCell ref="M88:M89"/>
    <mergeCell ref="A109:O109"/>
    <mergeCell ref="A110:O110"/>
    <mergeCell ref="A112:O112"/>
    <mergeCell ref="A111:O111"/>
    <mergeCell ref="A113:O113"/>
    <mergeCell ref="B85:J85"/>
    <mergeCell ref="B86:J86"/>
    <mergeCell ref="A87:J87"/>
    <mergeCell ref="B88:J88"/>
    <mergeCell ref="B89:J89"/>
    <mergeCell ref="B92:J92"/>
    <mergeCell ref="B93:J93"/>
    <mergeCell ref="B94:J94"/>
    <mergeCell ref="M85:M86"/>
    <mergeCell ref="N85:N86"/>
    <mergeCell ref="L85:L86"/>
    <mergeCell ref="A90:O90"/>
    <mergeCell ref="A91:J91"/>
    <mergeCell ref="B95:J95"/>
    <mergeCell ref="B96:J96"/>
    <mergeCell ref="B97:J97"/>
    <mergeCell ref="M100:M102"/>
    <mergeCell ref="N100:N102"/>
    <mergeCell ref="K105:K106"/>
    <mergeCell ref="A114:O114"/>
    <mergeCell ref="A115:O115"/>
    <mergeCell ref="A116:O116"/>
    <mergeCell ref="A117:O117"/>
    <mergeCell ref="A118:O118"/>
    <mergeCell ref="A119:O119"/>
    <mergeCell ref="A120:O120"/>
    <mergeCell ref="A121:O121"/>
    <mergeCell ref="A122:O122"/>
    <mergeCell ref="A123:O123"/>
    <mergeCell ref="A124:O124"/>
    <mergeCell ref="A125:O125"/>
    <mergeCell ref="A126:O126"/>
    <mergeCell ref="A127:O127"/>
    <mergeCell ref="A128:O128"/>
    <mergeCell ref="A129:I129"/>
    <mergeCell ref="K129:O129"/>
    <mergeCell ref="A130:C130"/>
    <mergeCell ref="G130:O130"/>
    <mergeCell ref="A131:C131"/>
    <mergeCell ref="G131:O131"/>
    <mergeCell ref="A132:C132"/>
    <mergeCell ref="G132:O132"/>
    <mergeCell ref="A133:C133"/>
    <mergeCell ref="D133:F133"/>
    <mergeCell ref="G133:O133"/>
    <mergeCell ref="A134:C134"/>
    <mergeCell ref="G134:O134"/>
  </mergeCells>
  <phoneticPr fontId="8" type="noConversion"/>
  <dataValidations count="9">
    <dataValidation type="list" allowBlank="1" showInputMessage="1" showErrorMessage="1" sqref="L32:N36 L65:M73 N70:N73 L76:M84 N82:N84 L94:M99 L105:N106 L24:N26">
      <formula1>"10, -----"</formula1>
    </dataValidation>
    <dataValidation type="list" allowBlank="1" showInputMessage="1" showErrorMessage="1" sqref="L38:N43">
      <formula1>"10 , -----"</formula1>
    </dataValidation>
    <dataValidation type="list" allowBlank="1" showInputMessage="1" showErrorMessage="1" sqref="L44:N49 L74:N74 L85:M86 L92:M93 L100:M102">
      <formula1>"5, -----"</formula1>
    </dataValidation>
    <dataValidation type="list" allowBlank="1" showInputMessage="1" showErrorMessage="1" sqref="L88:M89">
      <formula1>"35, -----"</formula1>
    </dataValidation>
    <dataValidation type="list" allowBlank="1" showInputMessage="1" showErrorMessage="1" sqref="A52:B52 A54:B54 A56:B56 D136 H136">
      <formula1>"✓, -----"</formula1>
    </dataValidation>
    <dataValidation type="whole" allowBlank="1" showInputMessage="1" showErrorMessage="1" sqref="N29">
      <formula1>15</formula1>
      <formula2>15</formula2>
    </dataValidation>
    <dataValidation type="list" allowBlank="1" showInputMessage="1" showErrorMessage="1" sqref="L10:N18 L29:M31 L21:N23">
      <formula1>"15, -----"</formula1>
    </dataValidation>
    <dataValidation type="list" allowBlank="1" showInputMessage="1" showErrorMessage="1" sqref="N94:N99">
      <formula1>"10,----"</formula1>
    </dataValidation>
    <dataValidation type="list" allowBlank="1" showInputMessage="1" showErrorMessage="1" sqref="N100:N102">
      <formula1>"5,----"</formula1>
    </dataValidation>
  </dataValidations>
  <pageMargins left="1" right="1" top="1" bottom="1" header="0" footer="0"/>
  <pageSetup firstPageNumber="7" orientation="portrait" useFirstPageNumber="1" r:id="rId1"/>
  <headerFooter>
    <oddFooter xml:space="preserve">&amp;LFor Official Government Use Only
USDA, AMS, FVP, Fresh Products Branch
&amp;RJanuary 26, 2012
Page &amp;P
</oddFooter>
  </headerFooter>
  <rowBreaks count="2" manualBreakCount="2">
    <brk id="36" max="16383" man="1"/>
    <brk id="74" max="16383" man="1"/>
  </rowBreaks>
</worksheet>
</file>

<file path=xl/worksheets/sheet4.xml><?xml version="1.0" encoding="utf-8"?>
<worksheet xmlns="http://schemas.openxmlformats.org/spreadsheetml/2006/main" xmlns:r="http://schemas.openxmlformats.org/officeDocument/2006/relationships">
  <sheetPr enableFormatConditionsCalculation="0">
    <tabColor indexed="15"/>
  </sheetPr>
  <dimension ref="A1:T109"/>
  <sheetViews>
    <sheetView view="pageLayout" zoomScaleNormal="90" workbookViewId="0">
      <selection activeCell="B60" sqref="B60:J60"/>
    </sheetView>
  </sheetViews>
  <sheetFormatPr defaultRowHeight="12.75"/>
  <cols>
    <col min="1" max="1" width="5.5703125" style="46" customWidth="1"/>
    <col min="2" max="3" width="7.28515625" customWidth="1"/>
    <col min="4" max="4" width="2.7109375" customWidth="1"/>
    <col min="5" max="5" width="7.28515625" customWidth="1"/>
    <col min="6" max="6" width="2.7109375" style="53" customWidth="1"/>
    <col min="7" max="7" width="7.28515625" style="53" customWidth="1"/>
    <col min="8" max="8" width="2.7109375" style="53" customWidth="1"/>
    <col min="9" max="9" width="2.140625" customWidth="1"/>
    <col min="10" max="10" width="8.140625" customWidth="1"/>
    <col min="11" max="11" width="6.42578125" customWidth="1"/>
    <col min="12" max="12" width="6" customWidth="1"/>
    <col min="13" max="14" width="6.140625" customWidth="1"/>
    <col min="15" max="15" width="6.42578125" customWidth="1"/>
  </cols>
  <sheetData>
    <row r="1" spans="1:16" ht="30" customHeight="1">
      <c r="A1" s="316" t="s">
        <v>2</v>
      </c>
      <c r="B1" s="442"/>
      <c r="C1" s="442"/>
      <c r="D1" s="442"/>
      <c r="E1" s="442"/>
      <c r="F1" s="442"/>
      <c r="G1" s="442"/>
      <c r="H1" s="442"/>
      <c r="I1" s="442"/>
      <c r="J1" s="442"/>
      <c r="K1" s="442"/>
      <c r="L1" s="442"/>
      <c r="M1" s="442"/>
      <c r="N1" s="442"/>
      <c r="O1" s="442"/>
    </row>
    <row r="2" spans="1:16" ht="30" customHeight="1">
      <c r="A2" s="443" t="s">
        <v>170</v>
      </c>
      <c r="B2" s="443"/>
      <c r="C2" s="443"/>
      <c r="D2" s="443"/>
      <c r="E2" s="443"/>
      <c r="F2" s="443"/>
      <c r="G2" s="443"/>
      <c r="H2" s="443"/>
      <c r="I2" s="443"/>
      <c r="J2" s="443"/>
      <c r="K2" s="443"/>
      <c r="L2" s="443"/>
      <c r="M2" s="443"/>
      <c r="N2" s="443"/>
      <c r="O2" s="443"/>
    </row>
    <row r="3" spans="1:16" s="41" customFormat="1" ht="15">
      <c r="A3" s="300" t="s">
        <v>66</v>
      </c>
      <c r="B3" s="301"/>
      <c r="C3" s="301"/>
      <c r="D3" s="301"/>
      <c r="E3" s="301"/>
      <c r="F3" s="301"/>
      <c r="G3" s="301"/>
      <c r="H3" s="301"/>
      <c r="I3" s="301"/>
      <c r="J3" s="302"/>
      <c r="K3" s="74" t="s">
        <v>65</v>
      </c>
      <c r="L3" s="75" t="s">
        <v>27</v>
      </c>
      <c r="M3" s="75" t="s">
        <v>64</v>
      </c>
      <c r="N3" s="75" t="s">
        <v>63</v>
      </c>
      <c r="O3" s="75" t="s">
        <v>62</v>
      </c>
      <c r="P3" s="40"/>
    </row>
    <row r="4" spans="1:16" s="35" customFormat="1" ht="15" customHeight="1">
      <c r="A4" s="458" t="s">
        <v>614</v>
      </c>
      <c r="B4" s="309" t="s">
        <v>753</v>
      </c>
      <c r="C4" s="310"/>
      <c r="D4" s="310"/>
      <c r="E4" s="310"/>
      <c r="F4" s="310"/>
      <c r="G4" s="310"/>
      <c r="H4" s="310"/>
      <c r="I4" s="310"/>
      <c r="J4" s="311"/>
      <c r="K4" s="455">
        <v>15</v>
      </c>
      <c r="L4" s="394"/>
      <c r="M4" s="394"/>
      <c r="N4" s="461"/>
      <c r="O4" s="455" t="s">
        <v>76</v>
      </c>
    </row>
    <row r="5" spans="1:16" s="35" customFormat="1" ht="15" customHeight="1">
      <c r="A5" s="459"/>
      <c r="B5" s="430" t="s">
        <v>894</v>
      </c>
      <c r="C5" s="431"/>
      <c r="D5" s="431"/>
      <c r="E5" s="431"/>
      <c r="F5" s="431"/>
      <c r="G5" s="431"/>
      <c r="H5" s="431"/>
      <c r="I5" s="431"/>
      <c r="J5" s="432"/>
      <c r="K5" s="456"/>
      <c r="L5" s="395"/>
      <c r="M5" s="395"/>
      <c r="N5" s="462"/>
      <c r="O5" s="456"/>
    </row>
    <row r="6" spans="1:16" s="53" customFormat="1" ht="15" customHeight="1">
      <c r="A6" s="459"/>
      <c r="B6" s="430" t="s">
        <v>895</v>
      </c>
      <c r="C6" s="431"/>
      <c r="D6" s="431"/>
      <c r="E6" s="431"/>
      <c r="F6" s="431"/>
      <c r="G6" s="431"/>
      <c r="H6" s="431"/>
      <c r="I6" s="431"/>
      <c r="J6" s="432"/>
      <c r="K6" s="456"/>
      <c r="L6" s="395"/>
      <c r="M6" s="395"/>
      <c r="N6" s="462"/>
      <c r="O6" s="456"/>
    </row>
    <row r="7" spans="1:16" s="35" customFormat="1" ht="15" customHeight="1">
      <c r="A7" s="460"/>
      <c r="B7" s="419" t="s">
        <v>896</v>
      </c>
      <c r="C7" s="420"/>
      <c r="D7" s="420"/>
      <c r="E7" s="420"/>
      <c r="F7" s="420"/>
      <c r="G7" s="420"/>
      <c r="H7" s="420"/>
      <c r="I7" s="420"/>
      <c r="J7" s="421"/>
      <c r="K7" s="457"/>
      <c r="L7" s="396"/>
      <c r="M7" s="396"/>
      <c r="N7" s="463"/>
      <c r="O7" s="457"/>
    </row>
    <row r="8" spans="1:16" ht="15" customHeight="1">
      <c r="A8" s="361" t="s">
        <v>171</v>
      </c>
      <c r="B8" s="252" t="s">
        <v>174</v>
      </c>
      <c r="C8" s="172"/>
      <c r="D8" s="172"/>
      <c r="E8" s="172"/>
      <c r="F8" s="172"/>
      <c r="G8" s="172"/>
      <c r="H8" s="172"/>
      <c r="I8" s="172"/>
      <c r="J8" s="253"/>
      <c r="K8" s="232">
        <v>10</v>
      </c>
      <c r="L8" s="238"/>
      <c r="M8" s="238"/>
      <c r="N8" s="238"/>
      <c r="O8" s="439"/>
    </row>
    <row r="9" spans="1:16" ht="15" customHeight="1">
      <c r="A9" s="375"/>
      <c r="B9" s="252" t="s">
        <v>175</v>
      </c>
      <c r="C9" s="172"/>
      <c r="D9" s="172"/>
      <c r="E9" s="172"/>
      <c r="F9" s="172"/>
      <c r="G9" s="172"/>
      <c r="H9" s="172"/>
      <c r="I9" s="172"/>
      <c r="J9" s="253"/>
      <c r="K9" s="233"/>
      <c r="L9" s="239"/>
      <c r="M9" s="239"/>
      <c r="N9" s="239"/>
      <c r="O9" s="440"/>
    </row>
    <row r="10" spans="1:16" ht="15" customHeight="1">
      <c r="A10" s="362"/>
      <c r="B10" s="254" t="s">
        <v>176</v>
      </c>
      <c r="C10" s="255"/>
      <c r="D10" s="255"/>
      <c r="E10" s="255"/>
      <c r="F10" s="255"/>
      <c r="G10" s="255"/>
      <c r="H10" s="255"/>
      <c r="I10" s="255"/>
      <c r="J10" s="256"/>
      <c r="K10" s="234"/>
      <c r="L10" s="240"/>
      <c r="M10" s="240"/>
      <c r="N10" s="240"/>
      <c r="O10" s="441"/>
    </row>
    <row r="11" spans="1:16" ht="15" customHeight="1">
      <c r="A11" s="361" t="s">
        <v>172</v>
      </c>
      <c r="B11" s="260" t="s">
        <v>754</v>
      </c>
      <c r="C11" s="426"/>
      <c r="D11" s="426"/>
      <c r="E11" s="426"/>
      <c r="F11" s="426"/>
      <c r="G11" s="426"/>
      <c r="H11" s="426"/>
      <c r="I11" s="426"/>
      <c r="J11" s="427"/>
      <c r="K11" s="232">
        <v>10</v>
      </c>
      <c r="L11" s="238"/>
      <c r="M11" s="238"/>
      <c r="N11" s="238"/>
      <c r="O11" s="238"/>
    </row>
    <row r="12" spans="1:16" ht="15" customHeight="1">
      <c r="A12" s="375"/>
      <c r="B12" s="252" t="s">
        <v>755</v>
      </c>
      <c r="C12" s="172"/>
      <c r="D12" s="172"/>
      <c r="E12" s="172"/>
      <c r="F12" s="172"/>
      <c r="G12" s="172"/>
      <c r="H12" s="172"/>
      <c r="I12" s="172"/>
      <c r="J12" s="253"/>
      <c r="K12" s="233"/>
      <c r="L12" s="239"/>
      <c r="M12" s="239"/>
      <c r="N12" s="239"/>
      <c r="O12" s="239"/>
    </row>
    <row r="13" spans="1:16" ht="15" customHeight="1">
      <c r="A13" s="375"/>
      <c r="B13" s="252" t="s">
        <v>933</v>
      </c>
      <c r="C13" s="172"/>
      <c r="D13" s="172"/>
      <c r="E13" s="172"/>
      <c r="F13" s="172"/>
      <c r="G13" s="172"/>
      <c r="H13" s="172"/>
      <c r="I13" s="172"/>
      <c r="J13" s="253"/>
      <c r="K13" s="233"/>
      <c r="L13" s="239"/>
      <c r="M13" s="239"/>
      <c r="N13" s="239"/>
      <c r="O13" s="239"/>
    </row>
    <row r="14" spans="1:16" ht="15" customHeight="1">
      <c r="A14" s="361" t="s">
        <v>173</v>
      </c>
      <c r="B14" s="260" t="s">
        <v>177</v>
      </c>
      <c r="C14" s="187"/>
      <c r="D14" s="187"/>
      <c r="E14" s="187"/>
      <c r="F14" s="187"/>
      <c r="G14" s="187"/>
      <c r="H14" s="187"/>
      <c r="I14" s="187"/>
      <c r="J14" s="261"/>
      <c r="K14" s="232">
        <v>10</v>
      </c>
      <c r="L14" s="238"/>
      <c r="M14" s="238"/>
      <c r="N14" s="238"/>
      <c r="O14" s="238"/>
    </row>
    <row r="15" spans="1:16" ht="15" customHeight="1">
      <c r="A15" s="375"/>
      <c r="B15" s="252" t="s">
        <v>178</v>
      </c>
      <c r="C15" s="172"/>
      <c r="D15" s="172"/>
      <c r="E15" s="172"/>
      <c r="F15" s="172"/>
      <c r="G15" s="172"/>
      <c r="H15" s="172"/>
      <c r="I15" s="172"/>
      <c r="J15" s="253"/>
      <c r="K15" s="233"/>
      <c r="L15" s="239"/>
      <c r="M15" s="239"/>
      <c r="N15" s="239"/>
      <c r="O15" s="239"/>
    </row>
    <row r="16" spans="1:16" ht="15" customHeight="1">
      <c r="A16" s="375"/>
      <c r="B16" s="252" t="s">
        <v>180</v>
      </c>
      <c r="C16" s="449"/>
      <c r="D16" s="449"/>
      <c r="E16" s="449"/>
      <c r="F16" s="449"/>
      <c r="G16" s="449"/>
      <c r="H16" s="449"/>
      <c r="I16" s="449"/>
      <c r="J16" s="450"/>
      <c r="K16" s="233"/>
      <c r="L16" s="239"/>
      <c r="M16" s="239"/>
      <c r="N16" s="239"/>
      <c r="O16" s="239"/>
    </row>
    <row r="17" spans="1:16" ht="15" customHeight="1">
      <c r="A17" s="362"/>
      <c r="B17" s="254" t="s">
        <v>179</v>
      </c>
      <c r="C17" s="428"/>
      <c r="D17" s="428"/>
      <c r="E17" s="428"/>
      <c r="F17" s="428"/>
      <c r="G17" s="428"/>
      <c r="H17" s="428"/>
      <c r="I17" s="428"/>
      <c r="J17" s="429"/>
      <c r="K17" s="234"/>
      <c r="L17" s="240"/>
      <c r="M17" s="240"/>
      <c r="N17" s="240"/>
      <c r="O17" s="240"/>
    </row>
    <row r="18" spans="1:16" ht="15" customHeight="1">
      <c r="A18" s="375" t="s">
        <v>182</v>
      </c>
      <c r="B18" s="252" t="s">
        <v>756</v>
      </c>
      <c r="C18" s="172"/>
      <c r="D18" s="172"/>
      <c r="E18" s="172"/>
      <c r="F18" s="172"/>
      <c r="G18" s="172"/>
      <c r="H18" s="172"/>
      <c r="I18" s="172"/>
      <c r="J18" s="253"/>
      <c r="K18" s="232">
        <v>10</v>
      </c>
      <c r="L18" s="239"/>
      <c r="M18" s="239"/>
      <c r="N18" s="239"/>
      <c r="O18" s="232" t="s">
        <v>604</v>
      </c>
    </row>
    <row r="19" spans="1:16" s="53" customFormat="1" ht="15" customHeight="1">
      <c r="A19" s="375"/>
      <c r="B19" s="252" t="s">
        <v>758</v>
      </c>
      <c r="C19" s="172"/>
      <c r="D19" s="172"/>
      <c r="E19" s="172"/>
      <c r="F19" s="172"/>
      <c r="G19" s="172"/>
      <c r="H19" s="172"/>
      <c r="I19" s="172"/>
      <c r="J19" s="253"/>
      <c r="K19" s="233"/>
      <c r="L19" s="239"/>
      <c r="M19" s="239"/>
      <c r="N19" s="239"/>
      <c r="O19" s="233"/>
    </row>
    <row r="20" spans="1:16" ht="15" customHeight="1">
      <c r="A20" s="375"/>
      <c r="B20" s="252" t="s">
        <v>757</v>
      </c>
      <c r="C20" s="172"/>
      <c r="D20" s="172"/>
      <c r="E20" s="172"/>
      <c r="F20" s="172"/>
      <c r="G20" s="172"/>
      <c r="H20" s="172"/>
      <c r="I20" s="172"/>
      <c r="J20" s="253"/>
      <c r="K20" s="234"/>
      <c r="L20" s="239"/>
      <c r="M20" s="239"/>
      <c r="N20" s="239"/>
      <c r="O20" s="234"/>
    </row>
    <row r="21" spans="1:16" ht="30" customHeight="1">
      <c r="A21" s="416" t="s">
        <v>181</v>
      </c>
      <c r="B21" s="416"/>
      <c r="C21" s="416"/>
      <c r="D21" s="416"/>
      <c r="E21" s="416"/>
      <c r="F21" s="416"/>
      <c r="G21" s="416"/>
      <c r="H21" s="416"/>
      <c r="I21" s="416"/>
      <c r="J21" s="416"/>
      <c r="K21" s="416"/>
      <c r="L21" s="416"/>
      <c r="M21" s="416"/>
      <c r="N21" s="416"/>
      <c r="O21" s="416"/>
    </row>
    <row r="22" spans="1:16" s="41" customFormat="1" ht="15">
      <c r="A22" s="300" t="s">
        <v>66</v>
      </c>
      <c r="B22" s="301"/>
      <c r="C22" s="301"/>
      <c r="D22" s="301"/>
      <c r="E22" s="301"/>
      <c r="F22" s="301"/>
      <c r="G22" s="301"/>
      <c r="H22" s="301"/>
      <c r="I22" s="301"/>
      <c r="J22" s="302"/>
      <c r="K22" s="74" t="s">
        <v>65</v>
      </c>
      <c r="L22" s="75" t="s">
        <v>27</v>
      </c>
      <c r="M22" s="75" t="s">
        <v>64</v>
      </c>
      <c r="N22" s="75" t="s">
        <v>63</v>
      </c>
      <c r="O22" s="75" t="s">
        <v>62</v>
      </c>
      <c r="P22" s="40"/>
    </row>
    <row r="23" spans="1:16" ht="15" customHeight="1">
      <c r="A23" s="361" t="s">
        <v>183</v>
      </c>
      <c r="B23" s="260" t="s">
        <v>616</v>
      </c>
      <c r="C23" s="426"/>
      <c r="D23" s="426"/>
      <c r="E23" s="426"/>
      <c r="F23" s="426"/>
      <c r="G23" s="426"/>
      <c r="H23" s="426"/>
      <c r="I23" s="426"/>
      <c r="J23" s="427"/>
      <c r="K23" s="232">
        <v>10</v>
      </c>
      <c r="L23" s="238"/>
      <c r="M23" s="238"/>
      <c r="N23" s="381"/>
      <c r="O23" s="232" t="s">
        <v>76</v>
      </c>
    </row>
    <row r="24" spans="1:16" ht="15" customHeight="1">
      <c r="A24" s="375"/>
      <c r="B24" s="252" t="s">
        <v>617</v>
      </c>
      <c r="C24" s="449"/>
      <c r="D24" s="449"/>
      <c r="E24" s="449"/>
      <c r="F24" s="449"/>
      <c r="G24" s="449"/>
      <c r="H24" s="449"/>
      <c r="I24" s="449"/>
      <c r="J24" s="450"/>
      <c r="K24" s="447"/>
      <c r="L24" s="451"/>
      <c r="M24" s="451"/>
      <c r="N24" s="445"/>
      <c r="O24" s="447"/>
    </row>
    <row r="25" spans="1:16" ht="15" customHeight="1">
      <c r="A25" s="375"/>
      <c r="B25" s="252" t="s">
        <v>759</v>
      </c>
      <c r="C25" s="449"/>
      <c r="D25" s="449"/>
      <c r="E25" s="449"/>
      <c r="F25" s="449"/>
      <c r="G25" s="449"/>
      <c r="H25" s="449"/>
      <c r="I25" s="449"/>
      <c r="J25" s="450"/>
      <c r="K25" s="447"/>
      <c r="L25" s="451"/>
      <c r="M25" s="451"/>
      <c r="N25" s="445"/>
      <c r="O25" s="447"/>
    </row>
    <row r="26" spans="1:16" s="53" customFormat="1" ht="15" customHeight="1">
      <c r="A26" s="375"/>
      <c r="B26" s="252" t="s">
        <v>760</v>
      </c>
      <c r="C26" s="172"/>
      <c r="D26" s="172"/>
      <c r="E26" s="172"/>
      <c r="F26" s="172"/>
      <c r="G26" s="172"/>
      <c r="H26" s="172"/>
      <c r="I26" s="172"/>
      <c r="J26" s="253"/>
      <c r="K26" s="447"/>
      <c r="L26" s="451"/>
      <c r="M26" s="451"/>
      <c r="N26" s="445"/>
      <c r="O26" s="447"/>
    </row>
    <row r="27" spans="1:16" ht="15" customHeight="1">
      <c r="A27" s="444"/>
      <c r="B27" s="254" t="s">
        <v>761</v>
      </c>
      <c r="C27" s="428"/>
      <c r="D27" s="428"/>
      <c r="E27" s="428"/>
      <c r="F27" s="428"/>
      <c r="G27" s="428"/>
      <c r="H27" s="428"/>
      <c r="I27" s="428"/>
      <c r="J27" s="429"/>
      <c r="K27" s="448"/>
      <c r="L27" s="452"/>
      <c r="M27" s="452"/>
      <c r="N27" s="446"/>
      <c r="O27" s="448"/>
    </row>
    <row r="28" spans="1:16" ht="15" customHeight="1">
      <c r="A28" s="361" t="s">
        <v>184</v>
      </c>
      <c r="B28" s="260" t="s">
        <v>891</v>
      </c>
      <c r="C28" s="426"/>
      <c r="D28" s="426"/>
      <c r="E28" s="426"/>
      <c r="F28" s="426"/>
      <c r="G28" s="426"/>
      <c r="H28" s="426"/>
      <c r="I28" s="426"/>
      <c r="J28" s="427"/>
      <c r="K28" s="233">
        <v>10</v>
      </c>
      <c r="L28" s="239"/>
      <c r="M28" s="239"/>
      <c r="N28" s="239"/>
      <c r="O28" s="232" t="s">
        <v>76</v>
      </c>
    </row>
    <row r="29" spans="1:16" ht="15" customHeight="1">
      <c r="A29" s="375"/>
      <c r="B29" s="252" t="s">
        <v>892</v>
      </c>
      <c r="C29" s="449"/>
      <c r="D29" s="449"/>
      <c r="E29" s="449"/>
      <c r="F29" s="449"/>
      <c r="G29" s="449"/>
      <c r="H29" s="449"/>
      <c r="I29" s="449"/>
      <c r="J29" s="450"/>
      <c r="K29" s="233"/>
      <c r="L29" s="239"/>
      <c r="M29" s="239"/>
      <c r="N29" s="239"/>
      <c r="O29" s="233"/>
    </row>
    <row r="30" spans="1:16" s="85" customFormat="1" ht="15" customHeight="1">
      <c r="A30" s="375"/>
      <c r="B30" s="252" t="s">
        <v>893</v>
      </c>
      <c r="C30" s="172"/>
      <c r="D30" s="172"/>
      <c r="E30" s="172"/>
      <c r="F30" s="172"/>
      <c r="G30" s="172"/>
      <c r="H30" s="172"/>
      <c r="I30" s="172"/>
      <c r="J30" s="253"/>
      <c r="K30" s="233"/>
      <c r="L30" s="239"/>
      <c r="M30" s="239"/>
      <c r="N30" s="239"/>
      <c r="O30" s="233"/>
    </row>
    <row r="31" spans="1:16" ht="15" customHeight="1">
      <c r="A31" s="444"/>
      <c r="B31" s="254" t="s">
        <v>860</v>
      </c>
      <c r="C31" s="428"/>
      <c r="D31" s="428"/>
      <c r="E31" s="428"/>
      <c r="F31" s="428"/>
      <c r="G31" s="428"/>
      <c r="H31" s="428"/>
      <c r="I31" s="428"/>
      <c r="J31" s="429"/>
      <c r="K31" s="233"/>
      <c r="L31" s="239"/>
      <c r="M31" s="239"/>
      <c r="N31" s="239"/>
      <c r="O31" s="234"/>
    </row>
    <row r="32" spans="1:16" ht="15" customHeight="1">
      <c r="A32" s="361" t="s">
        <v>185</v>
      </c>
      <c r="B32" s="260" t="s">
        <v>187</v>
      </c>
      <c r="C32" s="426"/>
      <c r="D32" s="426"/>
      <c r="E32" s="426"/>
      <c r="F32" s="426"/>
      <c r="G32" s="426"/>
      <c r="H32" s="426"/>
      <c r="I32" s="426"/>
      <c r="J32" s="427"/>
      <c r="K32" s="232">
        <v>5</v>
      </c>
      <c r="L32" s="238"/>
      <c r="M32" s="238"/>
      <c r="N32" s="238"/>
      <c r="O32" s="238"/>
    </row>
    <row r="33" spans="1:16" ht="15" customHeight="1">
      <c r="A33" s="444"/>
      <c r="B33" s="254" t="s">
        <v>188</v>
      </c>
      <c r="C33" s="428"/>
      <c r="D33" s="428"/>
      <c r="E33" s="428"/>
      <c r="F33" s="428"/>
      <c r="G33" s="428"/>
      <c r="H33" s="428"/>
      <c r="I33" s="428"/>
      <c r="J33" s="429"/>
      <c r="K33" s="234"/>
      <c r="L33" s="240"/>
      <c r="M33" s="240"/>
      <c r="N33" s="240"/>
      <c r="O33" s="240"/>
    </row>
    <row r="34" spans="1:16" ht="15" customHeight="1">
      <c r="A34" s="361" t="s">
        <v>186</v>
      </c>
      <c r="B34" s="260" t="s">
        <v>189</v>
      </c>
      <c r="C34" s="426"/>
      <c r="D34" s="426"/>
      <c r="E34" s="426"/>
      <c r="F34" s="426"/>
      <c r="G34" s="426"/>
      <c r="H34" s="426"/>
      <c r="I34" s="426"/>
      <c r="J34" s="427"/>
      <c r="K34" s="233">
        <v>10</v>
      </c>
      <c r="L34" s="239"/>
      <c r="M34" s="239"/>
      <c r="N34" s="239"/>
      <c r="O34" s="238"/>
    </row>
    <row r="35" spans="1:16" ht="15" customHeight="1">
      <c r="A35" s="375"/>
      <c r="B35" s="252" t="s">
        <v>190</v>
      </c>
      <c r="C35" s="449"/>
      <c r="D35" s="449"/>
      <c r="E35" s="449"/>
      <c r="F35" s="449"/>
      <c r="G35" s="449"/>
      <c r="H35" s="449"/>
      <c r="I35" s="449"/>
      <c r="J35" s="450"/>
      <c r="K35" s="233"/>
      <c r="L35" s="239"/>
      <c r="M35" s="239"/>
      <c r="N35" s="239"/>
      <c r="O35" s="239"/>
    </row>
    <row r="36" spans="1:16" ht="15" customHeight="1">
      <c r="A36" s="444"/>
      <c r="B36" s="254" t="s">
        <v>191</v>
      </c>
      <c r="C36" s="428"/>
      <c r="D36" s="428"/>
      <c r="E36" s="428"/>
      <c r="F36" s="428"/>
      <c r="G36" s="428"/>
      <c r="H36" s="428"/>
      <c r="I36" s="428"/>
      <c r="J36" s="429"/>
      <c r="K36" s="233"/>
      <c r="L36" s="239"/>
      <c r="M36" s="239"/>
      <c r="N36" s="239"/>
      <c r="O36" s="240"/>
    </row>
    <row r="37" spans="1:16" ht="15" customHeight="1">
      <c r="A37" s="361" t="s">
        <v>195</v>
      </c>
      <c r="B37" s="260" t="s">
        <v>192</v>
      </c>
      <c r="C37" s="426"/>
      <c r="D37" s="426"/>
      <c r="E37" s="426"/>
      <c r="F37" s="426"/>
      <c r="G37" s="426"/>
      <c r="H37" s="426"/>
      <c r="I37" s="426"/>
      <c r="J37" s="427"/>
      <c r="K37" s="232">
        <v>10</v>
      </c>
      <c r="L37" s="238"/>
      <c r="M37" s="238"/>
      <c r="N37" s="238"/>
      <c r="O37" s="238"/>
    </row>
    <row r="38" spans="1:16" ht="15" customHeight="1">
      <c r="A38" s="375"/>
      <c r="B38" s="252" t="s">
        <v>193</v>
      </c>
      <c r="C38" s="453"/>
      <c r="D38" s="453"/>
      <c r="E38" s="453"/>
      <c r="F38" s="453"/>
      <c r="G38" s="453"/>
      <c r="H38" s="453"/>
      <c r="I38" s="453"/>
      <c r="J38" s="450"/>
      <c r="K38" s="447"/>
      <c r="L38" s="451"/>
      <c r="M38" s="451"/>
      <c r="N38" s="451"/>
      <c r="O38" s="451"/>
    </row>
    <row r="39" spans="1:16" ht="15" customHeight="1">
      <c r="A39" s="444"/>
      <c r="B39" s="254" t="s">
        <v>194</v>
      </c>
      <c r="C39" s="428"/>
      <c r="D39" s="428"/>
      <c r="E39" s="428"/>
      <c r="F39" s="428"/>
      <c r="G39" s="428"/>
      <c r="H39" s="428"/>
      <c r="I39" s="428"/>
      <c r="J39" s="429"/>
      <c r="K39" s="448"/>
      <c r="L39" s="452"/>
      <c r="M39" s="452"/>
      <c r="N39" s="452"/>
      <c r="O39" s="452"/>
    </row>
    <row r="40" spans="1:16" s="41" customFormat="1" ht="15">
      <c r="A40" s="300" t="s">
        <v>66</v>
      </c>
      <c r="B40" s="301"/>
      <c r="C40" s="301"/>
      <c r="D40" s="301"/>
      <c r="E40" s="301"/>
      <c r="F40" s="301"/>
      <c r="G40" s="301"/>
      <c r="H40" s="301"/>
      <c r="I40" s="301"/>
      <c r="J40" s="302"/>
      <c r="K40" s="74" t="s">
        <v>65</v>
      </c>
      <c r="L40" s="75" t="s">
        <v>27</v>
      </c>
      <c r="M40" s="75" t="s">
        <v>64</v>
      </c>
      <c r="N40" s="75" t="s">
        <v>63</v>
      </c>
      <c r="O40" s="75" t="s">
        <v>62</v>
      </c>
      <c r="P40" s="40"/>
    </row>
    <row r="41" spans="1:16" ht="15" customHeight="1">
      <c r="A41" s="361" t="s">
        <v>196</v>
      </c>
      <c r="B41" s="260" t="s">
        <v>203</v>
      </c>
      <c r="C41" s="426"/>
      <c r="D41" s="426"/>
      <c r="E41" s="426"/>
      <c r="F41" s="426"/>
      <c r="G41" s="426"/>
      <c r="H41" s="426"/>
      <c r="I41" s="426"/>
      <c r="J41" s="427"/>
      <c r="K41" s="386">
        <v>5</v>
      </c>
      <c r="L41" s="326"/>
      <c r="M41" s="326"/>
      <c r="N41" s="326"/>
      <c r="O41" s="232" t="s">
        <v>604</v>
      </c>
    </row>
    <row r="42" spans="1:16" ht="15" customHeight="1">
      <c r="A42" s="375"/>
      <c r="B42" s="252" t="s">
        <v>204</v>
      </c>
      <c r="C42" s="453"/>
      <c r="D42" s="453"/>
      <c r="E42" s="453"/>
      <c r="F42" s="453"/>
      <c r="G42" s="453"/>
      <c r="H42" s="453"/>
      <c r="I42" s="453"/>
      <c r="J42" s="450"/>
      <c r="K42" s="387"/>
      <c r="L42" s="327"/>
      <c r="M42" s="327"/>
      <c r="N42" s="327"/>
      <c r="O42" s="233"/>
    </row>
    <row r="43" spans="1:16" ht="15" customHeight="1">
      <c r="A43" s="375"/>
      <c r="B43" s="252" t="s">
        <v>205</v>
      </c>
      <c r="C43" s="453"/>
      <c r="D43" s="453"/>
      <c r="E43" s="453"/>
      <c r="F43" s="453"/>
      <c r="G43" s="453"/>
      <c r="H43" s="453"/>
      <c r="I43" s="453"/>
      <c r="J43" s="450"/>
      <c r="K43" s="387"/>
      <c r="L43" s="327"/>
      <c r="M43" s="327"/>
      <c r="N43" s="327"/>
      <c r="O43" s="233"/>
    </row>
    <row r="44" spans="1:16" ht="15" customHeight="1">
      <c r="A44" s="375"/>
      <c r="B44" s="252" t="s">
        <v>206</v>
      </c>
      <c r="C44" s="453"/>
      <c r="D44" s="453"/>
      <c r="E44" s="453"/>
      <c r="F44" s="453"/>
      <c r="G44" s="453"/>
      <c r="H44" s="453"/>
      <c r="I44" s="453"/>
      <c r="J44" s="450"/>
      <c r="K44" s="387"/>
      <c r="L44" s="327"/>
      <c r="M44" s="327"/>
      <c r="N44" s="327"/>
      <c r="O44" s="233"/>
    </row>
    <row r="45" spans="1:16" ht="15" customHeight="1">
      <c r="A45" s="444"/>
      <c r="B45" s="254" t="s">
        <v>207</v>
      </c>
      <c r="C45" s="428"/>
      <c r="D45" s="428"/>
      <c r="E45" s="428"/>
      <c r="F45" s="428"/>
      <c r="G45" s="428"/>
      <c r="H45" s="428"/>
      <c r="I45" s="428"/>
      <c r="J45" s="429"/>
      <c r="K45" s="387"/>
      <c r="L45" s="327"/>
      <c r="M45" s="327"/>
      <c r="N45" s="327"/>
      <c r="O45" s="234"/>
    </row>
    <row r="46" spans="1:16" ht="15" customHeight="1">
      <c r="A46" s="361" t="s">
        <v>197</v>
      </c>
      <c r="B46" s="260" t="s">
        <v>203</v>
      </c>
      <c r="C46" s="426"/>
      <c r="D46" s="426"/>
      <c r="E46" s="426"/>
      <c r="F46" s="426"/>
      <c r="G46" s="426"/>
      <c r="H46" s="426"/>
      <c r="I46" s="426"/>
      <c r="J46" s="427"/>
      <c r="K46" s="232">
        <v>5</v>
      </c>
      <c r="L46" s="238"/>
      <c r="M46" s="238"/>
      <c r="N46" s="238"/>
      <c r="O46" s="232" t="s">
        <v>604</v>
      </c>
    </row>
    <row r="47" spans="1:16" ht="15" customHeight="1">
      <c r="A47" s="375"/>
      <c r="B47" s="252" t="s">
        <v>204</v>
      </c>
      <c r="C47" s="453"/>
      <c r="D47" s="453"/>
      <c r="E47" s="453"/>
      <c r="F47" s="453"/>
      <c r="G47" s="453"/>
      <c r="H47" s="453"/>
      <c r="I47" s="453"/>
      <c r="J47" s="450"/>
      <c r="K47" s="233"/>
      <c r="L47" s="239"/>
      <c r="M47" s="239"/>
      <c r="N47" s="239"/>
      <c r="O47" s="233"/>
    </row>
    <row r="48" spans="1:16" ht="15" customHeight="1">
      <c r="A48" s="375"/>
      <c r="B48" s="252" t="s">
        <v>208</v>
      </c>
      <c r="C48" s="453"/>
      <c r="D48" s="453"/>
      <c r="E48" s="453"/>
      <c r="F48" s="453"/>
      <c r="G48" s="453"/>
      <c r="H48" s="453"/>
      <c r="I48" s="453"/>
      <c r="J48" s="450"/>
      <c r="K48" s="233"/>
      <c r="L48" s="239"/>
      <c r="M48" s="239"/>
      <c r="N48" s="239"/>
      <c r="O48" s="233"/>
    </row>
    <row r="49" spans="1:15" ht="15" customHeight="1">
      <c r="A49" s="375"/>
      <c r="B49" s="252" t="s">
        <v>209</v>
      </c>
      <c r="C49" s="453"/>
      <c r="D49" s="453"/>
      <c r="E49" s="453"/>
      <c r="F49" s="453"/>
      <c r="G49" s="453"/>
      <c r="H49" s="453"/>
      <c r="I49" s="453"/>
      <c r="J49" s="450"/>
      <c r="K49" s="233"/>
      <c r="L49" s="239"/>
      <c r="M49" s="239"/>
      <c r="N49" s="239"/>
      <c r="O49" s="233"/>
    </row>
    <row r="50" spans="1:15" ht="15" customHeight="1">
      <c r="A50" s="444"/>
      <c r="B50" s="254" t="s">
        <v>210</v>
      </c>
      <c r="C50" s="428"/>
      <c r="D50" s="428"/>
      <c r="E50" s="428"/>
      <c r="F50" s="428"/>
      <c r="G50" s="428"/>
      <c r="H50" s="428"/>
      <c r="I50" s="428"/>
      <c r="J50" s="429"/>
      <c r="K50" s="234"/>
      <c r="L50" s="240"/>
      <c r="M50" s="240"/>
      <c r="N50" s="240"/>
      <c r="O50" s="234"/>
    </row>
    <row r="51" spans="1:15" ht="15" customHeight="1">
      <c r="A51" s="361" t="s">
        <v>198</v>
      </c>
      <c r="B51" s="260" t="s">
        <v>763</v>
      </c>
      <c r="C51" s="426"/>
      <c r="D51" s="426"/>
      <c r="E51" s="426"/>
      <c r="F51" s="426"/>
      <c r="G51" s="426"/>
      <c r="H51" s="426"/>
      <c r="I51" s="426"/>
      <c r="J51" s="427"/>
      <c r="K51" s="232">
        <v>5</v>
      </c>
      <c r="L51" s="238"/>
      <c r="M51" s="238"/>
      <c r="N51" s="238"/>
      <c r="O51" s="238"/>
    </row>
    <row r="52" spans="1:15" ht="15" customHeight="1">
      <c r="A52" s="375"/>
      <c r="B52" s="252" t="s">
        <v>764</v>
      </c>
      <c r="C52" s="453"/>
      <c r="D52" s="453"/>
      <c r="E52" s="453"/>
      <c r="F52" s="453"/>
      <c r="G52" s="453"/>
      <c r="H52" s="453"/>
      <c r="I52" s="453"/>
      <c r="J52" s="450"/>
      <c r="K52" s="233"/>
      <c r="L52" s="239"/>
      <c r="M52" s="239"/>
      <c r="N52" s="239"/>
      <c r="O52" s="239"/>
    </row>
    <row r="53" spans="1:15" s="53" customFormat="1" ht="15" customHeight="1">
      <c r="A53" s="375"/>
      <c r="B53" s="252" t="s">
        <v>766</v>
      </c>
      <c r="C53" s="172"/>
      <c r="D53" s="172"/>
      <c r="E53" s="172"/>
      <c r="F53" s="172"/>
      <c r="G53" s="172"/>
      <c r="H53" s="172"/>
      <c r="I53" s="172"/>
      <c r="J53" s="253"/>
      <c r="K53" s="233"/>
      <c r="L53" s="239"/>
      <c r="M53" s="239"/>
      <c r="N53" s="239"/>
      <c r="O53" s="239"/>
    </row>
    <row r="54" spans="1:15" ht="15" customHeight="1">
      <c r="A54" s="444"/>
      <c r="B54" s="254" t="s">
        <v>765</v>
      </c>
      <c r="C54" s="428"/>
      <c r="D54" s="428"/>
      <c r="E54" s="428"/>
      <c r="F54" s="428"/>
      <c r="G54" s="428"/>
      <c r="H54" s="428"/>
      <c r="I54" s="428"/>
      <c r="J54" s="429"/>
      <c r="K54" s="234"/>
      <c r="L54" s="240"/>
      <c r="M54" s="240"/>
      <c r="N54" s="240"/>
      <c r="O54" s="240"/>
    </row>
    <row r="55" spans="1:15" ht="15" customHeight="1">
      <c r="A55" s="361" t="s">
        <v>199</v>
      </c>
      <c r="B55" s="260" t="s">
        <v>211</v>
      </c>
      <c r="C55" s="426"/>
      <c r="D55" s="426"/>
      <c r="E55" s="426"/>
      <c r="F55" s="426"/>
      <c r="G55" s="426"/>
      <c r="H55" s="426"/>
      <c r="I55" s="426"/>
      <c r="J55" s="427"/>
      <c r="K55" s="386">
        <v>5</v>
      </c>
      <c r="L55" s="326"/>
      <c r="M55" s="326"/>
      <c r="N55" s="323"/>
      <c r="O55" s="232" t="s">
        <v>604</v>
      </c>
    </row>
    <row r="56" spans="1:15" ht="15" customHeight="1">
      <c r="A56" s="375"/>
      <c r="B56" s="252" t="s">
        <v>767</v>
      </c>
      <c r="C56" s="453"/>
      <c r="D56" s="453"/>
      <c r="E56" s="453"/>
      <c r="F56" s="453"/>
      <c r="G56" s="453"/>
      <c r="H56" s="453"/>
      <c r="I56" s="453"/>
      <c r="J56" s="450"/>
      <c r="K56" s="387"/>
      <c r="L56" s="327"/>
      <c r="M56" s="327"/>
      <c r="N56" s="324"/>
      <c r="O56" s="233"/>
    </row>
    <row r="57" spans="1:15" ht="15" customHeight="1">
      <c r="A57" s="375"/>
      <c r="B57" s="252" t="s">
        <v>768</v>
      </c>
      <c r="C57" s="453"/>
      <c r="D57" s="453"/>
      <c r="E57" s="453"/>
      <c r="F57" s="453"/>
      <c r="G57" s="453"/>
      <c r="H57" s="453"/>
      <c r="I57" s="453"/>
      <c r="J57" s="450"/>
      <c r="K57" s="387"/>
      <c r="L57" s="327"/>
      <c r="M57" s="327"/>
      <c r="N57" s="324"/>
      <c r="O57" s="233"/>
    </row>
    <row r="58" spans="1:15" ht="15" customHeight="1">
      <c r="A58" s="444"/>
      <c r="B58" s="254" t="s">
        <v>769</v>
      </c>
      <c r="C58" s="428"/>
      <c r="D58" s="428"/>
      <c r="E58" s="428"/>
      <c r="F58" s="428"/>
      <c r="G58" s="428"/>
      <c r="H58" s="428"/>
      <c r="I58" s="428"/>
      <c r="J58" s="429"/>
      <c r="K58" s="387"/>
      <c r="L58" s="327"/>
      <c r="M58" s="327"/>
      <c r="N58" s="324"/>
      <c r="O58" s="234"/>
    </row>
    <row r="59" spans="1:15" ht="15" customHeight="1">
      <c r="A59" s="361" t="s">
        <v>200</v>
      </c>
      <c r="B59" s="433" t="s">
        <v>762</v>
      </c>
      <c r="C59" s="434"/>
      <c r="D59" s="434"/>
      <c r="E59" s="434"/>
      <c r="F59" s="434"/>
      <c r="G59" s="434"/>
      <c r="H59" s="434"/>
      <c r="I59" s="434"/>
      <c r="J59" s="435"/>
      <c r="K59" s="232">
        <v>15</v>
      </c>
      <c r="L59" s="238"/>
      <c r="M59" s="238"/>
      <c r="N59" s="238"/>
      <c r="O59" s="232" t="s">
        <v>603</v>
      </c>
    </row>
    <row r="60" spans="1:15" ht="15" customHeight="1">
      <c r="A60" s="362"/>
      <c r="B60" s="436" t="s">
        <v>783</v>
      </c>
      <c r="C60" s="437"/>
      <c r="D60" s="437"/>
      <c r="E60" s="437"/>
      <c r="F60" s="437"/>
      <c r="G60" s="437"/>
      <c r="H60" s="437"/>
      <c r="I60" s="437"/>
      <c r="J60" s="438"/>
      <c r="K60" s="234"/>
      <c r="L60" s="240"/>
      <c r="M60" s="240"/>
      <c r="N60" s="240"/>
      <c r="O60" s="234"/>
    </row>
    <row r="61" spans="1:15" ht="15" customHeight="1">
      <c r="A61" s="361" t="s">
        <v>201</v>
      </c>
      <c r="B61" s="260" t="s">
        <v>770</v>
      </c>
      <c r="C61" s="426"/>
      <c r="D61" s="426"/>
      <c r="E61" s="426"/>
      <c r="F61" s="426"/>
      <c r="G61" s="426"/>
      <c r="H61" s="426"/>
      <c r="I61" s="426"/>
      <c r="J61" s="427"/>
      <c r="K61" s="386">
        <v>5</v>
      </c>
      <c r="L61" s="326"/>
      <c r="M61" s="326"/>
      <c r="N61" s="326"/>
      <c r="O61" s="238"/>
    </row>
    <row r="62" spans="1:15" ht="15" customHeight="1">
      <c r="A62" s="375"/>
      <c r="B62" s="252" t="s">
        <v>771</v>
      </c>
      <c r="C62" s="453"/>
      <c r="D62" s="453"/>
      <c r="E62" s="453"/>
      <c r="F62" s="453"/>
      <c r="G62" s="453"/>
      <c r="H62" s="453"/>
      <c r="I62" s="453"/>
      <c r="J62" s="450"/>
      <c r="K62" s="387"/>
      <c r="L62" s="327"/>
      <c r="M62" s="327"/>
      <c r="N62" s="327"/>
      <c r="O62" s="239"/>
    </row>
    <row r="63" spans="1:15" ht="15" customHeight="1">
      <c r="A63" s="444"/>
      <c r="B63" s="254" t="s">
        <v>772</v>
      </c>
      <c r="C63" s="428"/>
      <c r="D63" s="428"/>
      <c r="E63" s="428"/>
      <c r="F63" s="428"/>
      <c r="G63" s="428"/>
      <c r="H63" s="428"/>
      <c r="I63" s="428"/>
      <c r="J63" s="429"/>
      <c r="K63" s="387"/>
      <c r="L63" s="327"/>
      <c r="M63" s="327"/>
      <c r="N63" s="327"/>
      <c r="O63" s="240"/>
    </row>
    <row r="64" spans="1:15" ht="15" customHeight="1">
      <c r="A64" s="361" t="s">
        <v>202</v>
      </c>
      <c r="B64" s="260" t="s">
        <v>773</v>
      </c>
      <c r="C64" s="426"/>
      <c r="D64" s="426"/>
      <c r="E64" s="426"/>
      <c r="F64" s="426"/>
      <c r="G64" s="426"/>
      <c r="H64" s="426"/>
      <c r="I64" s="426"/>
      <c r="J64" s="427"/>
      <c r="K64" s="232">
        <v>10</v>
      </c>
      <c r="L64" s="238"/>
      <c r="M64" s="238"/>
      <c r="N64" s="238"/>
      <c r="O64" s="238"/>
    </row>
    <row r="65" spans="1:15" ht="15" customHeight="1">
      <c r="A65" s="375"/>
      <c r="B65" s="252" t="s">
        <v>774</v>
      </c>
      <c r="C65" s="453"/>
      <c r="D65" s="453"/>
      <c r="E65" s="453"/>
      <c r="F65" s="453"/>
      <c r="G65" s="453"/>
      <c r="H65" s="453"/>
      <c r="I65" s="453"/>
      <c r="J65" s="450"/>
      <c r="K65" s="233"/>
      <c r="L65" s="239"/>
      <c r="M65" s="239"/>
      <c r="N65" s="239"/>
      <c r="O65" s="239"/>
    </row>
    <row r="66" spans="1:15" ht="15" customHeight="1">
      <c r="A66" s="375"/>
      <c r="B66" s="252" t="s">
        <v>775</v>
      </c>
      <c r="C66" s="453"/>
      <c r="D66" s="453"/>
      <c r="E66" s="453"/>
      <c r="F66" s="453"/>
      <c r="G66" s="453"/>
      <c r="H66" s="453"/>
      <c r="I66" s="453"/>
      <c r="J66" s="450"/>
      <c r="K66" s="233"/>
      <c r="L66" s="239"/>
      <c r="M66" s="239"/>
      <c r="N66" s="239"/>
      <c r="O66" s="239"/>
    </row>
    <row r="67" spans="1:15" ht="15" customHeight="1">
      <c r="A67" s="444"/>
      <c r="B67" s="254" t="s">
        <v>776</v>
      </c>
      <c r="C67" s="428"/>
      <c r="D67" s="428"/>
      <c r="E67" s="428"/>
      <c r="F67" s="428"/>
      <c r="G67" s="428"/>
      <c r="H67" s="428"/>
      <c r="I67" s="428"/>
      <c r="J67" s="429"/>
      <c r="K67" s="234"/>
      <c r="L67" s="240"/>
      <c r="M67" s="240"/>
      <c r="N67" s="240"/>
      <c r="O67" s="240"/>
    </row>
    <row r="68" spans="1:15" ht="15" customHeight="1">
      <c r="A68" s="361" t="s">
        <v>615</v>
      </c>
      <c r="B68" s="260" t="s">
        <v>212</v>
      </c>
      <c r="C68" s="426"/>
      <c r="D68" s="426"/>
      <c r="E68" s="426"/>
      <c r="F68" s="426"/>
      <c r="G68" s="426"/>
      <c r="H68" s="426"/>
      <c r="I68" s="426"/>
      <c r="J68" s="427"/>
      <c r="K68" s="232">
        <v>5</v>
      </c>
      <c r="L68" s="238"/>
      <c r="M68" s="238"/>
      <c r="N68" s="318"/>
      <c r="O68" s="232" t="s">
        <v>604</v>
      </c>
    </row>
    <row r="69" spans="1:15" ht="15" customHeight="1">
      <c r="A69" s="375"/>
      <c r="B69" s="252" t="s">
        <v>213</v>
      </c>
      <c r="C69" s="453"/>
      <c r="D69" s="453"/>
      <c r="E69" s="453"/>
      <c r="F69" s="453"/>
      <c r="G69" s="453"/>
      <c r="H69" s="453"/>
      <c r="I69" s="453"/>
      <c r="J69" s="450"/>
      <c r="K69" s="233"/>
      <c r="L69" s="239"/>
      <c r="M69" s="239"/>
      <c r="N69" s="286"/>
      <c r="O69" s="233"/>
    </row>
    <row r="70" spans="1:15" ht="15" customHeight="1">
      <c r="A70" s="375"/>
      <c r="B70" s="252" t="s">
        <v>214</v>
      </c>
      <c r="C70" s="453"/>
      <c r="D70" s="453"/>
      <c r="E70" s="453"/>
      <c r="F70" s="453"/>
      <c r="G70" s="453"/>
      <c r="H70" s="453"/>
      <c r="I70" s="453"/>
      <c r="J70" s="450"/>
      <c r="K70" s="233"/>
      <c r="L70" s="239"/>
      <c r="M70" s="239"/>
      <c r="N70" s="286"/>
      <c r="O70" s="233"/>
    </row>
    <row r="71" spans="1:15" ht="15" customHeight="1">
      <c r="A71" s="454"/>
      <c r="B71" s="252" t="s">
        <v>618</v>
      </c>
      <c r="C71" s="449"/>
      <c r="D71" s="449"/>
      <c r="E71" s="449"/>
      <c r="F71" s="449"/>
      <c r="G71" s="449"/>
      <c r="H71" s="449"/>
      <c r="I71" s="449"/>
      <c r="J71" s="450"/>
      <c r="K71" s="233"/>
      <c r="L71" s="239"/>
      <c r="M71" s="239"/>
      <c r="N71" s="286"/>
      <c r="O71" s="233"/>
    </row>
    <row r="72" spans="1:15" s="45" customFormat="1" ht="15" customHeight="1">
      <c r="A72" s="361" t="s">
        <v>619</v>
      </c>
      <c r="B72" s="260" t="s">
        <v>777</v>
      </c>
      <c r="C72" s="426"/>
      <c r="D72" s="426"/>
      <c r="E72" s="426"/>
      <c r="F72" s="426"/>
      <c r="G72" s="426"/>
      <c r="H72" s="426"/>
      <c r="I72" s="426"/>
      <c r="J72" s="427"/>
      <c r="K72" s="315">
        <v>10</v>
      </c>
      <c r="L72" s="334"/>
      <c r="M72" s="334"/>
      <c r="N72" s="334"/>
      <c r="O72" s="315" t="s">
        <v>76</v>
      </c>
    </row>
    <row r="73" spans="1:15" s="53" customFormat="1" ht="15" customHeight="1">
      <c r="A73" s="375"/>
      <c r="B73" s="252" t="s">
        <v>778</v>
      </c>
      <c r="C73" s="172"/>
      <c r="D73" s="172"/>
      <c r="E73" s="172"/>
      <c r="F73" s="172"/>
      <c r="G73" s="172"/>
      <c r="H73" s="172"/>
      <c r="I73" s="172"/>
      <c r="J73" s="253"/>
      <c r="K73" s="315"/>
      <c r="L73" s="334"/>
      <c r="M73" s="334"/>
      <c r="N73" s="334"/>
      <c r="O73" s="315"/>
    </row>
    <row r="74" spans="1:15" s="45" customFormat="1" ht="15" customHeight="1">
      <c r="A74" s="362"/>
      <c r="B74" s="254" t="s">
        <v>628</v>
      </c>
      <c r="C74" s="428"/>
      <c r="D74" s="428"/>
      <c r="E74" s="428"/>
      <c r="F74" s="428"/>
      <c r="G74" s="428"/>
      <c r="H74" s="428"/>
      <c r="I74" s="428"/>
      <c r="J74" s="429"/>
      <c r="K74" s="315"/>
      <c r="L74" s="334"/>
      <c r="M74" s="334"/>
      <c r="N74" s="334"/>
      <c r="O74" s="315"/>
    </row>
    <row r="75" spans="1:15" s="45" customFormat="1" ht="15" customHeight="1">
      <c r="A75" s="361" t="s">
        <v>620</v>
      </c>
      <c r="B75" s="260" t="s">
        <v>779</v>
      </c>
      <c r="C75" s="426"/>
      <c r="D75" s="426"/>
      <c r="E75" s="426"/>
      <c r="F75" s="426"/>
      <c r="G75" s="426"/>
      <c r="H75" s="426"/>
      <c r="I75" s="426"/>
      <c r="J75" s="427"/>
      <c r="K75" s="315">
        <v>10</v>
      </c>
      <c r="L75" s="334"/>
      <c r="M75" s="334"/>
      <c r="N75" s="334"/>
      <c r="O75" s="334"/>
    </row>
    <row r="76" spans="1:15" s="53" customFormat="1" ht="15" customHeight="1">
      <c r="A76" s="375"/>
      <c r="B76" s="252" t="s">
        <v>780</v>
      </c>
      <c r="C76" s="172"/>
      <c r="D76" s="172"/>
      <c r="E76" s="172"/>
      <c r="F76" s="172"/>
      <c r="G76" s="172"/>
      <c r="H76" s="172"/>
      <c r="I76" s="172"/>
      <c r="J76" s="253"/>
      <c r="K76" s="315"/>
      <c r="L76" s="334"/>
      <c r="M76" s="334"/>
      <c r="N76" s="334"/>
      <c r="O76" s="334"/>
    </row>
    <row r="77" spans="1:15" s="45" customFormat="1" ht="15" customHeight="1">
      <c r="A77" s="362"/>
      <c r="B77" s="254" t="s">
        <v>781</v>
      </c>
      <c r="C77" s="428"/>
      <c r="D77" s="428"/>
      <c r="E77" s="428"/>
      <c r="F77" s="428"/>
      <c r="G77" s="428"/>
      <c r="H77" s="428"/>
      <c r="I77" s="428"/>
      <c r="J77" s="429"/>
      <c r="K77" s="315"/>
      <c r="L77" s="334"/>
      <c r="M77" s="334"/>
      <c r="N77" s="334"/>
      <c r="O77" s="334"/>
    </row>
    <row r="78" spans="1:15" s="45" customFormat="1" ht="15" customHeight="1">
      <c r="A78" s="361" t="s">
        <v>621</v>
      </c>
      <c r="B78" s="260" t="s">
        <v>782</v>
      </c>
      <c r="C78" s="426"/>
      <c r="D78" s="426"/>
      <c r="E78" s="426"/>
      <c r="F78" s="426"/>
      <c r="G78" s="426"/>
      <c r="H78" s="426"/>
      <c r="I78" s="426"/>
      <c r="J78" s="427"/>
      <c r="K78" s="315">
        <v>10</v>
      </c>
      <c r="L78" s="334"/>
      <c r="M78" s="334"/>
      <c r="N78" s="333"/>
      <c r="O78" s="315" t="s">
        <v>76</v>
      </c>
    </row>
    <row r="79" spans="1:15" s="85" customFormat="1" ht="15" customHeight="1">
      <c r="A79" s="375"/>
      <c r="B79" s="252" t="s">
        <v>898</v>
      </c>
      <c r="C79" s="172"/>
      <c r="D79" s="172"/>
      <c r="E79" s="172"/>
      <c r="F79" s="172"/>
      <c r="G79" s="172"/>
      <c r="H79" s="172"/>
      <c r="I79" s="172"/>
      <c r="J79" s="253"/>
      <c r="K79" s="315"/>
      <c r="L79" s="334"/>
      <c r="M79" s="334"/>
      <c r="N79" s="333"/>
      <c r="O79" s="315"/>
    </row>
    <row r="80" spans="1:15" s="45" customFormat="1" ht="15" customHeight="1">
      <c r="A80" s="362"/>
      <c r="B80" s="254" t="s">
        <v>897</v>
      </c>
      <c r="C80" s="428"/>
      <c r="D80" s="428"/>
      <c r="E80" s="428"/>
      <c r="F80" s="428"/>
      <c r="G80" s="428"/>
      <c r="H80" s="428"/>
      <c r="I80" s="428"/>
      <c r="J80" s="429"/>
      <c r="K80" s="315"/>
      <c r="L80" s="334"/>
      <c r="M80" s="334"/>
      <c r="N80" s="333"/>
      <c r="O80" s="315"/>
    </row>
    <row r="81" spans="1:20" s="53" customFormat="1" ht="6" customHeight="1">
      <c r="A81" s="265"/>
      <c r="B81" s="265"/>
      <c r="C81" s="265"/>
      <c r="D81" s="265"/>
      <c r="E81" s="265"/>
      <c r="F81" s="265"/>
      <c r="G81" s="265"/>
      <c r="H81" s="265"/>
      <c r="I81" s="265"/>
      <c r="J81" s="265"/>
      <c r="K81" s="265"/>
      <c r="L81" s="265"/>
      <c r="M81" s="265"/>
      <c r="N81" s="265"/>
      <c r="O81" s="265"/>
      <c r="P81" s="7"/>
    </row>
    <row r="82" spans="1:20" s="53" customFormat="1" ht="15" customHeight="1">
      <c r="A82" s="263" t="s">
        <v>112</v>
      </c>
      <c r="B82" s="264"/>
      <c r="C82" s="264"/>
      <c r="D82" s="84"/>
      <c r="E82" s="266"/>
      <c r="F82" s="266"/>
      <c r="G82" s="266"/>
      <c r="H82" s="266"/>
      <c r="I82" s="266"/>
      <c r="J82" s="266"/>
      <c r="K82" s="266"/>
      <c r="L82" s="266"/>
      <c r="M82" s="266"/>
      <c r="N82" s="266"/>
      <c r="O82" s="267"/>
      <c r="P82" s="7"/>
    </row>
    <row r="83" spans="1:20" s="53" customFormat="1" ht="27" customHeight="1">
      <c r="A83" s="231"/>
      <c r="B83" s="231"/>
      <c r="C83" s="231"/>
      <c r="D83" s="231"/>
      <c r="E83" s="231"/>
      <c r="F83" s="231"/>
      <c r="G83" s="231"/>
      <c r="H83" s="231"/>
      <c r="I83" s="231"/>
      <c r="J83" s="231"/>
      <c r="K83" s="231"/>
      <c r="L83" s="231"/>
      <c r="M83" s="231"/>
      <c r="N83" s="231"/>
      <c r="O83" s="231"/>
      <c r="P83" s="7"/>
    </row>
    <row r="84" spans="1:20" s="53" customFormat="1" ht="27" customHeight="1">
      <c r="A84" s="231"/>
      <c r="B84" s="231"/>
      <c r="C84" s="231"/>
      <c r="D84" s="231"/>
      <c r="E84" s="231"/>
      <c r="F84" s="231"/>
      <c r="G84" s="231"/>
      <c r="H84" s="231"/>
      <c r="I84" s="231"/>
      <c r="J84" s="231"/>
      <c r="K84" s="231"/>
      <c r="L84" s="231"/>
      <c r="M84" s="231"/>
      <c r="N84" s="231"/>
      <c r="O84" s="231"/>
      <c r="P84" s="7"/>
    </row>
    <row r="85" spans="1:20" s="53" customFormat="1" ht="27" customHeight="1">
      <c r="A85" s="231"/>
      <c r="B85" s="231"/>
      <c r="C85" s="231"/>
      <c r="D85" s="231"/>
      <c r="E85" s="231"/>
      <c r="F85" s="231"/>
      <c r="G85" s="231"/>
      <c r="H85" s="231"/>
      <c r="I85" s="231"/>
      <c r="J85" s="231"/>
      <c r="K85" s="231"/>
      <c r="L85" s="231"/>
      <c r="M85" s="231"/>
      <c r="N85" s="231"/>
      <c r="O85" s="231"/>
      <c r="P85" s="7"/>
    </row>
    <row r="86" spans="1:20" s="53" customFormat="1" ht="27" customHeight="1">
      <c r="A86" s="231"/>
      <c r="B86" s="231"/>
      <c r="C86" s="231"/>
      <c r="D86" s="231"/>
      <c r="E86" s="231"/>
      <c r="F86" s="231"/>
      <c r="G86" s="231"/>
      <c r="H86" s="231"/>
      <c r="I86" s="231"/>
      <c r="J86" s="231"/>
      <c r="K86" s="231"/>
      <c r="L86" s="231"/>
      <c r="M86" s="231"/>
      <c r="N86" s="231"/>
      <c r="O86" s="231"/>
      <c r="P86" s="7"/>
    </row>
    <row r="87" spans="1:20" s="53" customFormat="1" ht="27" customHeight="1">
      <c r="A87" s="231"/>
      <c r="B87" s="231"/>
      <c r="C87" s="231"/>
      <c r="D87" s="231"/>
      <c r="E87" s="231"/>
      <c r="F87" s="231"/>
      <c r="G87" s="231"/>
      <c r="H87" s="231"/>
      <c r="I87" s="231"/>
      <c r="J87" s="231"/>
      <c r="K87" s="231"/>
      <c r="L87" s="231"/>
      <c r="M87" s="231"/>
      <c r="N87" s="231"/>
      <c r="O87" s="231"/>
      <c r="P87" s="7"/>
    </row>
    <row r="88" spans="1:20" s="53" customFormat="1" ht="27" customHeight="1">
      <c r="A88" s="231"/>
      <c r="B88" s="231"/>
      <c r="C88" s="231"/>
      <c r="D88" s="231"/>
      <c r="E88" s="231"/>
      <c r="F88" s="231"/>
      <c r="G88" s="231"/>
      <c r="H88" s="231"/>
      <c r="I88" s="231"/>
      <c r="J88" s="231"/>
      <c r="K88" s="231"/>
      <c r="L88" s="231"/>
      <c r="M88" s="231"/>
      <c r="N88" s="231"/>
      <c r="O88" s="231"/>
      <c r="P88" s="7"/>
    </row>
    <row r="89" spans="1:20" s="53" customFormat="1" ht="27" customHeight="1">
      <c r="A89" s="231"/>
      <c r="B89" s="231"/>
      <c r="C89" s="231"/>
      <c r="D89" s="231"/>
      <c r="E89" s="231"/>
      <c r="F89" s="231"/>
      <c r="G89" s="231"/>
      <c r="H89" s="231"/>
      <c r="I89" s="231"/>
      <c r="J89" s="231"/>
      <c r="K89" s="231"/>
      <c r="L89" s="231"/>
      <c r="M89" s="231"/>
      <c r="N89" s="231"/>
      <c r="O89" s="231"/>
      <c r="Q89" s="34"/>
      <c r="R89" s="56"/>
      <c r="S89" s="56"/>
      <c r="T89" s="56"/>
    </row>
    <row r="90" spans="1:20" s="53" customFormat="1" ht="27" customHeight="1">
      <c r="A90" s="231"/>
      <c r="B90" s="231"/>
      <c r="C90" s="231"/>
      <c r="D90" s="231"/>
      <c r="E90" s="231"/>
      <c r="F90" s="231"/>
      <c r="G90" s="231"/>
      <c r="H90" s="231"/>
      <c r="I90" s="231"/>
      <c r="J90" s="231"/>
      <c r="K90" s="231"/>
      <c r="L90" s="231"/>
      <c r="M90" s="231"/>
      <c r="N90" s="231"/>
      <c r="O90" s="231"/>
      <c r="P90" s="7"/>
    </row>
    <row r="91" spans="1:20" s="53" customFormat="1" ht="27" customHeight="1">
      <c r="A91" s="231"/>
      <c r="B91" s="231"/>
      <c r="C91" s="231"/>
      <c r="D91" s="231"/>
      <c r="E91" s="231"/>
      <c r="F91" s="231"/>
      <c r="G91" s="231"/>
      <c r="H91" s="231"/>
      <c r="I91" s="231"/>
      <c r="J91" s="231"/>
      <c r="K91" s="231"/>
      <c r="L91" s="231"/>
      <c r="M91" s="231"/>
      <c r="N91" s="231"/>
      <c r="O91" s="231"/>
      <c r="P91" s="7"/>
    </row>
    <row r="92" spans="1:20" s="53" customFormat="1" ht="27" customHeight="1">
      <c r="A92" s="231"/>
      <c r="B92" s="231"/>
      <c r="C92" s="231"/>
      <c r="D92" s="231"/>
      <c r="E92" s="231"/>
      <c r="F92" s="231"/>
      <c r="G92" s="231"/>
      <c r="H92" s="231"/>
      <c r="I92" s="231"/>
      <c r="J92" s="231"/>
      <c r="K92" s="231"/>
      <c r="L92" s="231"/>
      <c r="M92" s="231"/>
      <c r="N92" s="231"/>
      <c r="O92" s="231"/>
      <c r="Q92" s="34"/>
      <c r="R92" s="56"/>
      <c r="S92" s="56"/>
      <c r="T92" s="56"/>
    </row>
    <row r="93" spans="1:20" s="53" customFormat="1" ht="27" customHeight="1">
      <c r="A93" s="231"/>
      <c r="B93" s="231"/>
      <c r="C93" s="231"/>
      <c r="D93" s="231"/>
      <c r="E93" s="231"/>
      <c r="F93" s="231"/>
      <c r="G93" s="231"/>
      <c r="H93" s="231"/>
      <c r="I93" s="231"/>
      <c r="J93" s="231"/>
      <c r="K93" s="231"/>
      <c r="L93" s="231"/>
      <c r="M93" s="231"/>
      <c r="N93" s="231"/>
      <c r="O93" s="231"/>
      <c r="P93" s="7"/>
    </row>
    <row r="94" spans="1:20" s="53" customFormat="1" ht="27" customHeight="1">
      <c r="A94" s="231"/>
      <c r="B94" s="231"/>
      <c r="C94" s="231"/>
      <c r="D94" s="231"/>
      <c r="E94" s="231"/>
      <c r="F94" s="231"/>
      <c r="G94" s="231"/>
      <c r="H94" s="231"/>
      <c r="I94" s="231"/>
      <c r="J94" s="231"/>
      <c r="K94" s="231"/>
      <c r="L94" s="231"/>
      <c r="M94" s="231"/>
      <c r="N94" s="231"/>
      <c r="O94" s="231"/>
      <c r="Q94" s="34"/>
      <c r="R94" s="56"/>
      <c r="S94" s="56"/>
      <c r="T94" s="56"/>
    </row>
    <row r="95" spans="1:20" s="53" customFormat="1" ht="27" customHeight="1">
      <c r="A95" s="231"/>
      <c r="B95" s="231"/>
      <c r="C95" s="231"/>
      <c r="D95" s="231"/>
      <c r="E95" s="231"/>
      <c r="F95" s="231"/>
      <c r="G95" s="231"/>
      <c r="H95" s="231"/>
      <c r="I95" s="231"/>
      <c r="J95" s="231"/>
      <c r="K95" s="231"/>
      <c r="L95" s="231"/>
      <c r="M95" s="231"/>
      <c r="N95" s="231"/>
      <c r="O95" s="231"/>
      <c r="Q95" s="34"/>
      <c r="R95" s="56"/>
      <c r="S95" s="56"/>
      <c r="T95" s="56"/>
    </row>
    <row r="96" spans="1:20" s="53" customFormat="1">
      <c r="A96" s="167"/>
      <c r="B96" s="167"/>
      <c r="C96" s="167"/>
      <c r="D96" s="167"/>
      <c r="E96" s="167"/>
      <c r="F96" s="167"/>
      <c r="G96" s="167"/>
      <c r="H96" s="167"/>
      <c r="I96" s="167"/>
      <c r="J96" s="167"/>
      <c r="K96" s="167"/>
      <c r="L96" s="167"/>
      <c r="M96" s="167"/>
      <c r="N96" s="167"/>
      <c r="O96" s="167"/>
    </row>
    <row r="97" spans="1:15" s="53" customFormat="1" ht="27" customHeight="1" thickBot="1">
      <c r="A97" s="424" t="s">
        <v>909</v>
      </c>
      <c r="B97" s="425"/>
      <c r="C97" s="425"/>
      <c r="D97" s="425"/>
      <c r="E97" s="425"/>
      <c r="F97" s="425"/>
      <c r="G97" s="425"/>
      <c r="H97" s="425"/>
      <c r="I97" s="425"/>
      <c r="J97" s="113">
        <f>L4+L8+L11+L14+L18+L23+L28+L32+L34+L37+L41+L46+L51+L55+L59+L61+L64+L68+L72+L75+L78</f>
        <v>0</v>
      </c>
      <c r="K97" s="151"/>
      <c r="L97" s="151"/>
      <c r="M97" s="151"/>
      <c r="N97" s="151"/>
      <c r="O97" s="151"/>
    </row>
    <row r="98" spans="1:15" s="53" customFormat="1" ht="27" customHeight="1" thickBot="1">
      <c r="A98" s="224" t="s">
        <v>707</v>
      </c>
      <c r="B98" s="224"/>
      <c r="C98" s="224"/>
      <c r="D98" s="116" t="s">
        <v>704</v>
      </c>
      <c r="E98" s="113">
        <v>185</v>
      </c>
      <c r="F98" s="103"/>
      <c r="G98" s="230" t="s">
        <v>708</v>
      </c>
      <c r="H98" s="230"/>
      <c r="I98" s="277"/>
      <c r="J98" s="277"/>
      <c r="K98" s="277"/>
      <c r="L98" s="277"/>
      <c r="M98" s="277"/>
      <c r="N98" s="277"/>
      <c r="O98" s="277"/>
    </row>
    <row r="99" spans="1:15" s="53" customFormat="1" ht="27" customHeight="1" thickBot="1">
      <c r="A99" s="174" t="s">
        <v>705</v>
      </c>
      <c r="B99" s="174"/>
      <c r="C99" s="174"/>
      <c r="D99" s="116" t="s">
        <v>704</v>
      </c>
      <c r="E99" s="114">
        <f>N8+N11+N14+N18+N28+N32+N34+N37+N41+N46+N51+N59+N61+N64+N72+N75</f>
        <v>0</v>
      </c>
      <c r="F99" s="103"/>
      <c r="G99" s="230" t="s">
        <v>712</v>
      </c>
      <c r="H99" s="230"/>
      <c r="I99" s="230"/>
      <c r="J99" s="230"/>
      <c r="K99" s="230"/>
      <c r="L99" s="230"/>
      <c r="M99" s="230"/>
      <c r="N99" s="230"/>
      <c r="O99" s="230"/>
    </row>
    <row r="100" spans="1:15" s="53" customFormat="1" ht="27" customHeight="1" thickBot="1">
      <c r="A100" s="174" t="s">
        <v>709</v>
      </c>
      <c r="B100" s="174"/>
      <c r="C100" s="174"/>
      <c r="D100" s="116" t="s">
        <v>704</v>
      </c>
      <c r="E100" s="114">
        <f>E98-E99</f>
        <v>185</v>
      </c>
      <c r="F100" s="103"/>
      <c r="G100" s="230" t="s">
        <v>713</v>
      </c>
      <c r="H100" s="230"/>
      <c r="I100" s="230"/>
      <c r="J100" s="230"/>
      <c r="K100" s="230"/>
      <c r="L100" s="230"/>
      <c r="M100" s="230"/>
      <c r="N100" s="230"/>
      <c r="O100" s="230"/>
    </row>
    <row r="101" spans="1:15" s="53" customFormat="1" ht="36" customHeight="1">
      <c r="A101" s="278" t="s">
        <v>710</v>
      </c>
      <c r="B101" s="278"/>
      <c r="C101" s="278"/>
      <c r="D101" s="151"/>
      <c r="E101" s="151"/>
      <c r="F101" s="151"/>
      <c r="G101" s="229" t="s">
        <v>714</v>
      </c>
      <c r="H101" s="229"/>
      <c r="I101" s="229"/>
      <c r="J101" s="229"/>
      <c r="K101" s="229"/>
      <c r="L101" s="229"/>
      <c r="M101" s="229"/>
      <c r="N101" s="229"/>
      <c r="O101" s="229"/>
    </row>
    <row r="102" spans="1:15" s="53" customFormat="1" ht="27" customHeight="1" thickBot="1">
      <c r="A102" s="174" t="s">
        <v>711</v>
      </c>
      <c r="B102" s="174"/>
      <c r="C102" s="174"/>
      <c r="D102" s="116" t="s">
        <v>704</v>
      </c>
      <c r="E102" s="113">
        <f>E100*0.8</f>
        <v>148</v>
      </c>
      <c r="F102" s="103"/>
      <c r="G102" s="230"/>
      <c r="H102" s="230"/>
      <c r="I102" s="230"/>
      <c r="J102" s="230"/>
      <c r="K102" s="230"/>
      <c r="L102" s="230"/>
      <c r="M102" s="230"/>
      <c r="N102" s="230"/>
      <c r="O102" s="230"/>
    </row>
    <row r="103" spans="1:15" s="53" customFormat="1" ht="15" customHeight="1">
      <c r="A103" s="167"/>
      <c r="B103" s="167"/>
      <c r="C103" s="167"/>
      <c r="D103" s="167"/>
      <c r="E103" s="167"/>
      <c r="F103" s="167"/>
      <c r="G103" s="167"/>
      <c r="H103" s="167"/>
      <c r="I103" s="167"/>
      <c r="J103" s="167"/>
      <c r="K103" s="167"/>
      <c r="L103" s="167"/>
      <c r="M103" s="167"/>
      <c r="N103" s="167"/>
      <c r="O103" s="167"/>
    </row>
    <row r="104" spans="1:15" s="53" customFormat="1" ht="18" customHeight="1">
      <c r="A104" s="167"/>
      <c r="B104" s="167"/>
      <c r="C104" s="154"/>
      <c r="D104" s="88"/>
      <c r="E104" s="70" t="s">
        <v>575</v>
      </c>
      <c r="F104" s="225"/>
      <c r="G104" s="226"/>
      <c r="H104" s="88"/>
      <c r="I104" s="174" t="s">
        <v>574</v>
      </c>
      <c r="J104" s="262"/>
      <c r="K104" s="224" t="s">
        <v>715</v>
      </c>
      <c r="L104" s="224"/>
      <c r="M104" s="224"/>
      <c r="N104" s="224"/>
      <c r="O104" s="224"/>
    </row>
    <row r="105" spans="1:15" s="53" customFormat="1">
      <c r="A105" s="180"/>
      <c r="B105" s="180"/>
      <c r="C105" s="180"/>
      <c r="D105" s="180"/>
      <c r="E105" s="180"/>
      <c r="F105" s="180"/>
      <c r="G105" s="180"/>
      <c r="H105" s="180"/>
      <c r="I105" s="180"/>
      <c r="J105" s="180"/>
      <c r="K105" s="180"/>
      <c r="L105" s="180"/>
      <c r="M105" s="180"/>
      <c r="N105" s="180"/>
      <c r="O105" s="180"/>
    </row>
    <row r="106" spans="1:15" s="53" customFormat="1">
      <c r="A106" s="417" t="s">
        <v>740</v>
      </c>
      <c r="B106" s="265"/>
      <c r="C106" s="265"/>
      <c r="D106" s="265"/>
      <c r="E106" s="265"/>
      <c r="F106" s="265"/>
      <c r="G106" s="265"/>
      <c r="H106" s="265"/>
      <c r="I106" s="265"/>
      <c r="J106" s="265"/>
      <c r="K106" s="265"/>
      <c r="L106" s="265"/>
      <c r="M106" s="265"/>
      <c r="N106" s="265"/>
      <c r="O106" s="418"/>
    </row>
    <row r="107" spans="1:15" s="53" customFormat="1">
      <c r="A107" s="397" t="s">
        <v>741</v>
      </c>
      <c r="B107" s="398"/>
      <c r="C107" s="398"/>
      <c r="D107" s="398"/>
      <c r="E107" s="398"/>
      <c r="F107" s="398"/>
      <c r="G107" s="398"/>
      <c r="H107" s="398"/>
      <c r="I107" s="398"/>
      <c r="J107" s="398"/>
      <c r="K107" s="398"/>
      <c r="L107" s="398"/>
      <c r="M107" s="398"/>
      <c r="N107" s="398"/>
      <c r="O107" s="399"/>
    </row>
    <row r="108" spans="1:15" s="53" customFormat="1">
      <c r="A108" s="397" t="s">
        <v>742</v>
      </c>
      <c r="B108" s="398"/>
      <c r="C108" s="398"/>
      <c r="D108" s="398"/>
      <c r="E108" s="398"/>
      <c r="F108" s="398"/>
      <c r="G108" s="398"/>
      <c r="H108" s="398"/>
      <c r="I108" s="398"/>
      <c r="J108" s="398"/>
      <c r="K108" s="398"/>
      <c r="L108" s="398"/>
      <c r="M108" s="398"/>
      <c r="N108" s="398"/>
      <c r="O108" s="399"/>
    </row>
    <row r="109" spans="1:15" s="53" customFormat="1">
      <c r="A109" s="400" t="s">
        <v>916</v>
      </c>
      <c r="B109" s="401"/>
      <c r="C109" s="401"/>
      <c r="D109" s="401"/>
      <c r="E109" s="401"/>
      <c r="F109" s="401"/>
      <c r="G109" s="401"/>
      <c r="H109" s="401"/>
      <c r="I109" s="401"/>
      <c r="J109" s="401"/>
      <c r="K109" s="401"/>
      <c r="L109" s="401"/>
      <c r="M109" s="401"/>
      <c r="N109" s="401"/>
      <c r="O109" s="402"/>
    </row>
  </sheetData>
  <sheetProtection password="D6D7" sheet="1" objects="1" scenarios="1"/>
  <mergeCells count="246">
    <mergeCell ref="B79:J79"/>
    <mergeCell ref="A99:C99"/>
    <mergeCell ref="G99:O99"/>
    <mergeCell ref="A100:C100"/>
    <mergeCell ref="G100:O100"/>
    <mergeCell ref="O4:O7"/>
    <mergeCell ref="A4:A7"/>
    <mergeCell ref="B4:J4"/>
    <mergeCell ref="B5:J5"/>
    <mergeCell ref="B7:J7"/>
    <mergeCell ref="K4:K7"/>
    <mergeCell ref="L4:L7"/>
    <mergeCell ref="M4:M7"/>
    <mergeCell ref="N4:N7"/>
    <mergeCell ref="B71:J71"/>
    <mergeCell ref="A96:O96"/>
    <mergeCell ref="A72:A74"/>
    <mergeCell ref="B72:J72"/>
    <mergeCell ref="K72:K74"/>
    <mergeCell ref="L72:L74"/>
    <mergeCell ref="M72:M74"/>
    <mergeCell ref="N72:N74"/>
    <mergeCell ref="O72:O74"/>
    <mergeCell ref="B74:J74"/>
    <mergeCell ref="B75:J75"/>
    <mergeCell ref="B77:J77"/>
    <mergeCell ref="A85:O85"/>
    <mergeCell ref="A86:O86"/>
    <mergeCell ref="A89:O89"/>
    <mergeCell ref="B57:J57"/>
    <mergeCell ref="B56:J56"/>
    <mergeCell ref="B55:J55"/>
    <mergeCell ref="B70:J70"/>
    <mergeCell ref="B69:J69"/>
    <mergeCell ref="B68:J68"/>
    <mergeCell ref="B67:J67"/>
    <mergeCell ref="B63:J63"/>
    <mergeCell ref="B62:J62"/>
    <mergeCell ref="B61:J61"/>
    <mergeCell ref="B66:J66"/>
    <mergeCell ref="B65:J65"/>
    <mergeCell ref="O64:O67"/>
    <mergeCell ref="K68:K71"/>
    <mergeCell ref="L68:L71"/>
    <mergeCell ref="M68:M71"/>
    <mergeCell ref="N68:N71"/>
    <mergeCell ref="O68:O71"/>
    <mergeCell ref="K64:K67"/>
    <mergeCell ref="L64:L67"/>
    <mergeCell ref="M64:M67"/>
    <mergeCell ref="N64:N67"/>
    <mergeCell ref="M51:M54"/>
    <mergeCell ref="N51:N54"/>
    <mergeCell ref="O51:O54"/>
    <mergeCell ref="K55:K58"/>
    <mergeCell ref="L55:L58"/>
    <mergeCell ref="M55:M58"/>
    <mergeCell ref="N55:N58"/>
    <mergeCell ref="O55:O58"/>
    <mergeCell ref="M61:M63"/>
    <mergeCell ref="N61:N63"/>
    <mergeCell ref="O61:O63"/>
    <mergeCell ref="A51:A54"/>
    <mergeCell ref="A55:A58"/>
    <mergeCell ref="A59:A60"/>
    <mergeCell ref="A61:A63"/>
    <mergeCell ref="A64:A67"/>
    <mergeCell ref="A68:A71"/>
    <mergeCell ref="K46:K50"/>
    <mergeCell ref="L46:L50"/>
    <mergeCell ref="K51:K54"/>
    <mergeCell ref="L51:L54"/>
    <mergeCell ref="K59:K60"/>
    <mergeCell ref="L59:L60"/>
    <mergeCell ref="K61:K63"/>
    <mergeCell ref="L61:L63"/>
    <mergeCell ref="B50:J50"/>
    <mergeCell ref="B49:J49"/>
    <mergeCell ref="B48:J48"/>
    <mergeCell ref="B47:J47"/>
    <mergeCell ref="B46:J46"/>
    <mergeCell ref="B64:J64"/>
    <mergeCell ref="B54:J54"/>
    <mergeCell ref="B52:J52"/>
    <mergeCell ref="B51:J51"/>
    <mergeCell ref="B58:J58"/>
    <mergeCell ref="A41:A45"/>
    <mergeCell ref="A46:A50"/>
    <mergeCell ref="M41:M45"/>
    <mergeCell ref="N41:N45"/>
    <mergeCell ref="O41:O45"/>
    <mergeCell ref="M46:M50"/>
    <mergeCell ref="N46:N50"/>
    <mergeCell ref="O46:O50"/>
    <mergeCell ref="K41:K45"/>
    <mergeCell ref="L41:L45"/>
    <mergeCell ref="B41:J41"/>
    <mergeCell ref="B45:J45"/>
    <mergeCell ref="B44:J44"/>
    <mergeCell ref="B43:J43"/>
    <mergeCell ref="B42:J42"/>
    <mergeCell ref="L28:L31"/>
    <mergeCell ref="M28:M31"/>
    <mergeCell ref="N28:N31"/>
    <mergeCell ref="O28:O31"/>
    <mergeCell ref="K32:K33"/>
    <mergeCell ref="K34:K36"/>
    <mergeCell ref="K37:K39"/>
    <mergeCell ref="L37:L39"/>
    <mergeCell ref="L32:L33"/>
    <mergeCell ref="M37:M39"/>
    <mergeCell ref="M32:M33"/>
    <mergeCell ref="N37:N39"/>
    <mergeCell ref="O37:O39"/>
    <mergeCell ref="L34:L36"/>
    <mergeCell ref="M34:M36"/>
    <mergeCell ref="N34:N36"/>
    <mergeCell ref="O34:O36"/>
    <mergeCell ref="N32:N33"/>
    <mergeCell ref="O32:O33"/>
    <mergeCell ref="A32:A33"/>
    <mergeCell ref="A34:A36"/>
    <mergeCell ref="A37:A39"/>
    <mergeCell ref="B27:J27"/>
    <mergeCell ref="B31:J31"/>
    <mergeCell ref="B29:J29"/>
    <mergeCell ref="B28:J28"/>
    <mergeCell ref="B33:J33"/>
    <mergeCell ref="B32:J32"/>
    <mergeCell ref="B36:J36"/>
    <mergeCell ref="B35:J35"/>
    <mergeCell ref="B34:J34"/>
    <mergeCell ref="B39:J39"/>
    <mergeCell ref="B38:J38"/>
    <mergeCell ref="B37:J37"/>
    <mergeCell ref="B30:J30"/>
    <mergeCell ref="O11:O13"/>
    <mergeCell ref="O14:O17"/>
    <mergeCell ref="L8:L10"/>
    <mergeCell ref="L14:L17"/>
    <mergeCell ref="M14:M17"/>
    <mergeCell ref="N14:N17"/>
    <mergeCell ref="A21:O21"/>
    <mergeCell ref="A23:A27"/>
    <mergeCell ref="B25:J25"/>
    <mergeCell ref="B24:J24"/>
    <mergeCell ref="B23:J23"/>
    <mergeCell ref="K23:K27"/>
    <mergeCell ref="L23:L27"/>
    <mergeCell ref="M23:M27"/>
    <mergeCell ref="A1:O1"/>
    <mergeCell ref="A2:O2"/>
    <mergeCell ref="A28:A31"/>
    <mergeCell ref="K28:K31"/>
    <mergeCell ref="N23:N27"/>
    <mergeCell ref="O23:O27"/>
    <mergeCell ref="A8:A10"/>
    <mergeCell ref="A11:A13"/>
    <mergeCell ref="A14:A17"/>
    <mergeCell ref="B11:J11"/>
    <mergeCell ref="K8:K10"/>
    <mergeCell ref="A18:A20"/>
    <mergeCell ref="B14:J14"/>
    <mergeCell ref="B10:J10"/>
    <mergeCell ref="B9:J9"/>
    <mergeCell ref="B18:J18"/>
    <mergeCell ref="B17:J17"/>
    <mergeCell ref="B16:J16"/>
    <mergeCell ref="B15:J15"/>
    <mergeCell ref="M8:M10"/>
    <mergeCell ref="K18:K20"/>
    <mergeCell ref="L18:L20"/>
    <mergeCell ref="M18:M20"/>
    <mergeCell ref="B20:J20"/>
    <mergeCell ref="A3:J3"/>
    <mergeCell ref="A22:J22"/>
    <mergeCell ref="A40:J40"/>
    <mergeCell ref="B6:J6"/>
    <mergeCell ref="B19:J19"/>
    <mergeCell ref="B26:J26"/>
    <mergeCell ref="O59:O60"/>
    <mergeCell ref="N59:N60"/>
    <mergeCell ref="M59:M60"/>
    <mergeCell ref="B59:J59"/>
    <mergeCell ref="B60:J60"/>
    <mergeCell ref="B53:J53"/>
    <mergeCell ref="N18:N20"/>
    <mergeCell ref="O18:O20"/>
    <mergeCell ref="B8:J8"/>
    <mergeCell ref="B13:J13"/>
    <mergeCell ref="B12:J12"/>
    <mergeCell ref="N8:N10"/>
    <mergeCell ref="O8:O10"/>
    <mergeCell ref="K11:K13"/>
    <mergeCell ref="K14:K17"/>
    <mergeCell ref="L11:L13"/>
    <mergeCell ref="M11:M13"/>
    <mergeCell ref="N11:N13"/>
    <mergeCell ref="B73:J73"/>
    <mergeCell ref="B76:J76"/>
    <mergeCell ref="A81:O81"/>
    <mergeCell ref="A82:C82"/>
    <mergeCell ref="E82:O82"/>
    <mergeCell ref="A83:O83"/>
    <mergeCell ref="A87:O87"/>
    <mergeCell ref="A88:O88"/>
    <mergeCell ref="A95:O95"/>
    <mergeCell ref="A75:A77"/>
    <mergeCell ref="K75:K77"/>
    <mergeCell ref="L75:L77"/>
    <mergeCell ref="M75:M77"/>
    <mergeCell ref="N75:N77"/>
    <mergeCell ref="O75:O77"/>
    <mergeCell ref="A78:A80"/>
    <mergeCell ref="B78:J78"/>
    <mergeCell ref="K78:K80"/>
    <mergeCell ref="L78:L80"/>
    <mergeCell ref="M78:M80"/>
    <mergeCell ref="N78:N80"/>
    <mergeCell ref="O78:O80"/>
    <mergeCell ref="B80:J80"/>
    <mergeCell ref="A84:O84"/>
    <mergeCell ref="A105:O105"/>
    <mergeCell ref="A106:O106"/>
    <mergeCell ref="A107:O107"/>
    <mergeCell ref="A108:O108"/>
    <mergeCell ref="A109:O109"/>
    <mergeCell ref="A90:O90"/>
    <mergeCell ref="A91:O91"/>
    <mergeCell ref="A92:O92"/>
    <mergeCell ref="A93:O93"/>
    <mergeCell ref="A94:O94"/>
    <mergeCell ref="A101:C101"/>
    <mergeCell ref="D101:F101"/>
    <mergeCell ref="G101:O101"/>
    <mergeCell ref="A102:C102"/>
    <mergeCell ref="G102:O102"/>
    <mergeCell ref="A103:O103"/>
    <mergeCell ref="A104:C104"/>
    <mergeCell ref="F104:G104"/>
    <mergeCell ref="I104:J104"/>
    <mergeCell ref="K104:O104"/>
    <mergeCell ref="A97:I97"/>
    <mergeCell ref="K97:O97"/>
    <mergeCell ref="A98:C98"/>
    <mergeCell ref="G98:O98"/>
  </mergeCells>
  <phoneticPr fontId="8" type="noConversion"/>
  <dataValidations disablePrompts="1" count="7">
    <dataValidation type="whole" operator="equal" allowBlank="1" showInputMessage="1" showErrorMessage="1" sqref="N23:N27 N55:N58 N68:N71 N78:N80">
      <formula1>5</formula1>
    </dataValidation>
    <dataValidation type="list" allowBlank="1" showInputMessage="1" showErrorMessage="1" sqref="L4:M7 L59:N60">
      <formula1>"15, -----"</formula1>
    </dataValidation>
    <dataValidation type="list" allowBlank="1" showInputMessage="1" showErrorMessage="1" sqref="L8:M20 L23:M31 N28:N31 L34:N39 L64:N67 L78:M80 N8:N20">
      <formula1>"10, -----"</formula1>
    </dataValidation>
    <dataValidation type="list" allowBlank="1" showInputMessage="1" showErrorMessage="1" sqref="L32:M33 N32:N33 L55:M58 L61:N63 L68:M71">
      <formula1>"5, -----"</formula1>
    </dataValidation>
    <dataValidation type="list" operator="equal" allowBlank="1" showInputMessage="1" showErrorMessage="1" sqref="L41:N54">
      <formula1>"5, -----"</formula1>
    </dataValidation>
    <dataValidation type="list" operator="equal" allowBlank="1" showInputMessage="1" showErrorMessage="1" sqref="L72:N77">
      <formula1>"10, -----"</formula1>
    </dataValidation>
    <dataValidation type="list" allowBlank="1" showInputMessage="1" showErrorMessage="1" sqref="D104 H104">
      <formula1>"✓, -----"</formula1>
    </dataValidation>
  </dataValidations>
  <pageMargins left="1" right="1" top="1" bottom="1" header="0" footer="0"/>
  <pageSetup firstPageNumber="11" orientation="portrait" useFirstPageNumber="1" r:id="rId1"/>
  <headerFooter>
    <oddFooter xml:space="preserve">&amp;LFor Official Government Use Only
USDA, AMS, FVP, Fresh Products Branch
&amp;RJanuary 26, 2012
Page &amp;P
</oddFooter>
  </headerFooter>
  <rowBreaks count="2" manualBreakCount="2">
    <brk id="39" max="16383" man="1"/>
    <brk id="81" max="16383" man="1"/>
  </rowBreaks>
</worksheet>
</file>

<file path=xl/worksheets/sheet5.xml><?xml version="1.0" encoding="utf-8"?>
<worksheet xmlns="http://schemas.openxmlformats.org/spreadsheetml/2006/main" xmlns:r="http://schemas.openxmlformats.org/officeDocument/2006/relationships">
  <sheetPr enableFormatConditionsCalculation="0">
    <tabColor indexed="43"/>
  </sheetPr>
  <dimension ref="A1:T139"/>
  <sheetViews>
    <sheetView view="pageLayout" zoomScale="160" zoomScaleNormal="90" zoomScalePageLayoutView="160" workbookViewId="0">
      <selection activeCell="N7" sqref="N7:N9"/>
    </sheetView>
  </sheetViews>
  <sheetFormatPr defaultRowHeight="12.75"/>
  <cols>
    <col min="1" max="1" width="5.5703125" customWidth="1"/>
    <col min="2" max="3" width="7.28515625" customWidth="1"/>
    <col min="4" max="4" width="2.7109375" style="53" customWidth="1"/>
    <col min="5" max="5" width="7.28515625" style="53" customWidth="1"/>
    <col min="6" max="6" width="2.7109375" style="53" customWidth="1"/>
    <col min="7" max="7" width="7.28515625" customWidth="1"/>
    <col min="8" max="8" width="2.7109375" customWidth="1"/>
    <col min="9" max="9" width="2.140625" customWidth="1"/>
    <col min="10" max="10" width="7.28515625" customWidth="1"/>
    <col min="11" max="15" width="6.42578125" customWidth="1"/>
  </cols>
  <sheetData>
    <row r="1" spans="1:16" ht="30" customHeight="1">
      <c r="A1" s="316" t="s">
        <v>3</v>
      </c>
      <c r="B1" s="442"/>
      <c r="C1" s="442"/>
      <c r="D1" s="442"/>
      <c r="E1" s="442"/>
      <c r="F1" s="442"/>
      <c r="G1" s="442"/>
      <c r="H1" s="442"/>
      <c r="I1" s="442"/>
      <c r="J1" s="442"/>
      <c r="K1" s="442"/>
      <c r="L1" s="442"/>
      <c r="M1" s="442"/>
      <c r="N1" s="442"/>
      <c r="O1" s="442"/>
    </row>
    <row r="2" spans="1:16" ht="30" customHeight="1">
      <c r="A2" s="443" t="s">
        <v>215</v>
      </c>
      <c r="B2" s="443"/>
      <c r="C2" s="443"/>
      <c r="D2" s="443"/>
      <c r="E2" s="443"/>
      <c r="F2" s="443"/>
      <c r="G2" s="443"/>
      <c r="H2" s="443"/>
      <c r="I2" s="443"/>
      <c r="J2" s="443"/>
      <c r="K2" s="443"/>
      <c r="L2" s="443"/>
      <c r="M2" s="443"/>
      <c r="N2" s="443"/>
      <c r="O2" s="443"/>
    </row>
    <row r="3" spans="1:16" s="41" customFormat="1" ht="15">
      <c r="A3" s="300" t="s">
        <v>66</v>
      </c>
      <c r="B3" s="301"/>
      <c r="C3" s="301"/>
      <c r="D3" s="301"/>
      <c r="E3" s="301"/>
      <c r="F3" s="301"/>
      <c r="G3" s="301"/>
      <c r="H3" s="301"/>
      <c r="I3" s="301"/>
      <c r="J3" s="302"/>
      <c r="K3" s="74" t="s">
        <v>65</v>
      </c>
      <c r="L3" s="75" t="s">
        <v>27</v>
      </c>
      <c r="M3" s="75" t="s">
        <v>64</v>
      </c>
      <c r="N3" s="75" t="s">
        <v>63</v>
      </c>
      <c r="O3" s="75" t="s">
        <v>62</v>
      </c>
      <c r="P3" s="40"/>
    </row>
    <row r="4" spans="1:16" ht="15" customHeight="1">
      <c r="A4" s="361" t="s">
        <v>216</v>
      </c>
      <c r="B4" s="260" t="s">
        <v>784</v>
      </c>
      <c r="C4" s="426"/>
      <c r="D4" s="426"/>
      <c r="E4" s="426"/>
      <c r="F4" s="426"/>
      <c r="G4" s="426"/>
      <c r="H4" s="426"/>
      <c r="I4" s="426"/>
      <c r="J4" s="427"/>
      <c r="K4" s="232">
        <v>5</v>
      </c>
      <c r="L4" s="238"/>
      <c r="M4" s="238"/>
      <c r="N4" s="394"/>
      <c r="O4" s="238"/>
    </row>
    <row r="5" spans="1:16" ht="15" customHeight="1">
      <c r="A5" s="465"/>
      <c r="B5" s="252" t="s">
        <v>785</v>
      </c>
      <c r="C5" s="453"/>
      <c r="D5" s="453"/>
      <c r="E5" s="453"/>
      <c r="F5" s="453"/>
      <c r="G5" s="453"/>
      <c r="H5" s="453"/>
      <c r="I5" s="453"/>
      <c r="J5" s="450"/>
      <c r="K5" s="233"/>
      <c r="L5" s="239"/>
      <c r="M5" s="239"/>
      <c r="N5" s="395"/>
      <c r="O5" s="451"/>
    </row>
    <row r="6" spans="1:16" ht="15" customHeight="1">
      <c r="A6" s="466"/>
      <c r="B6" s="254" t="s">
        <v>786</v>
      </c>
      <c r="C6" s="428"/>
      <c r="D6" s="428"/>
      <c r="E6" s="428"/>
      <c r="F6" s="428"/>
      <c r="G6" s="428"/>
      <c r="H6" s="428"/>
      <c r="I6" s="428"/>
      <c r="J6" s="429"/>
      <c r="K6" s="234"/>
      <c r="L6" s="240"/>
      <c r="M6" s="240"/>
      <c r="N6" s="396"/>
      <c r="O6" s="452"/>
    </row>
    <row r="7" spans="1:16" ht="15" customHeight="1">
      <c r="A7" s="361" t="s">
        <v>217</v>
      </c>
      <c r="B7" s="260" t="s">
        <v>229</v>
      </c>
      <c r="C7" s="426"/>
      <c r="D7" s="426"/>
      <c r="E7" s="426"/>
      <c r="F7" s="426"/>
      <c r="G7" s="426"/>
      <c r="H7" s="426"/>
      <c r="I7" s="426"/>
      <c r="J7" s="427"/>
      <c r="K7" s="232">
        <v>5</v>
      </c>
      <c r="L7" s="238"/>
      <c r="M7" s="238"/>
      <c r="N7" s="318"/>
      <c r="O7" s="238"/>
    </row>
    <row r="8" spans="1:16" ht="15" customHeight="1">
      <c r="A8" s="465"/>
      <c r="B8" s="252" t="s">
        <v>230</v>
      </c>
      <c r="C8" s="453"/>
      <c r="D8" s="453"/>
      <c r="E8" s="453"/>
      <c r="F8" s="453"/>
      <c r="G8" s="453"/>
      <c r="H8" s="453"/>
      <c r="I8" s="453"/>
      <c r="J8" s="450"/>
      <c r="K8" s="233"/>
      <c r="L8" s="239"/>
      <c r="M8" s="239"/>
      <c r="N8" s="286"/>
      <c r="O8" s="451"/>
    </row>
    <row r="9" spans="1:16" ht="15" customHeight="1">
      <c r="A9" s="466"/>
      <c r="B9" s="254" t="s">
        <v>120</v>
      </c>
      <c r="C9" s="428"/>
      <c r="D9" s="428"/>
      <c r="E9" s="428"/>
      <c r="F9" s="428"/>
      <c r="G9" s="428"/>
      <c r="H9" s="428"/>
      <c r="I9" s="428"/>
      <c r="J9" s="429"/>
      <c r="K9" s="234"/>
      <c r="L9" s="240"/>
      <c r="M9" s="240"/>
      <c r="N9" s="287"/>
      <c r="O9" s="452"/>
    </row>
    <row r="10" spans="1:16" ht="30" customHeight="1">
      <c r="A10" s="443" t="s">
        <v>218</v>
      </c>
      <c r="B10" s="443"/>
      <c r="C10" s="443"/>
      <c r="D10" s="443"/>
      <c r="E10" s="443"/>
      <c r="F10" s="443"/>
      <c r="G10" s="443"/>
      <c r="H10" s="443"/>
      <c r="I10" s="443"/>
      <c r="J10" s="443"/>
      <c r="K10" s="443"/>
      <c r="L10" s="443"/>
      <c r="M10" s="443"/>
      <c r="N10" s="443"/>
      <c r="O10" s="443"/>
    </row>
    <row r="11" spans="1:16" s="41" customFormat="1" ht="15">
      <c r="A11" s="300" t="s">
        <v>66</v>
      </c>
      <c r="B11" s="301"/>
      <c r="C11" s="301"/>
      <c r="D11" s="301"/>
      <c r="E11" s="301"/>
      <c r="F11" s="301"/>
      <c r="G11" s="301"/>
      <c r="H11" s="301"/>
      <c r="I11" s="301"/>
      <c r="J11" s="302"/>
      <c r="K11" s="74" t="s">
        <v>65</v>
      </c>
      <c r="L11" s="75" t="s">
        <v>27</v>
      </c>
      <c r="M11" s="75" t="s">
        <v>64</v>
      </c>
      <c r="N11" s="75" t="s">
        <v>63</v>
      </c>
      <c r="O11" s="75" t="s">
        <v>62</v>
      </c>
      <c r="P11" s="40"/>
    </row>
    <row r="12" spans="1:16" s="71" customFormat="1" ht="15" customHeight="1">
      <c r="A12" s="361" t="s">
        <v>219</v>
      </c>
      <c r="B12" s="260" t="s">
        <v>231</v>
      </c>
      <c r="C12" s="426"/>
      <c r="D12" s="426"/>
      <c r="E12" s="426"/>
      <c r="F12" s="426"/>
      <c r="G12" s="426"/>
      <c r="H12" s="426"/>
      <c r="I12" s="426"/>
      <c r="J12" s="427"/>
      <c r="K12" s="232">
        <v>15</v>
      </c>
      <c r="L12" s="238"/>
      <c r="M12" s="238"/>
      <c r="N12" s="238"/>
      <c r="O12" s="232" t="s">
        <v>603</v>
      </c>
    </row>
    <row r="13" spans="1:16" s="71" customFormat="1" ht="15" customHeight="1">
      <c r="A13" s="466"/>
      <c r="B13" s="254" t="s">
        <v>232</v>
      </c>
      <c r="C13" s="428"/>
      <c r="D13" s="428"/>
      <c r="E13" s="428"/>
      <c r="F13" s="428"/>
      <c r="G13" s="428"/>
      <c r="H13" s="428"/>
      <c r="I13" s="428"/>
      <c r="J13" s="429"/>
      <c r="K13" s="448"/>
      <c r="L13" s="452"/>
      <c r="M13" s="452"/>
      <c r="N13" s="452"/>
      <c r="O13" s="448"/>
    </row>
    <row r="14" spans="1:16" s="71" customFormat="1" ht="15" customHeight="1">
      <c r="A14" s="361" t="s">
        <v>220</v>
      </c>
      <c r="B14" s="260" t="s">
        <v>233</v>
      </c>
      <c r="C14" s="426"/>
      <c r="D14" s="426"/>
      <c r="E14" s="426"/>
      <c r="F14" s="426"/>
      <c r="G14" s="426"/>
      <c r="H14" s="426"/>
      <c r="I14" s="426"/>
      <c r="J14" s="427"/>
      <c r="K14" s="386">
        <v>10</v>
      </c>
      <c r="L14" s="326"/>
      <c r="M14" s="326"/>
      <c r="N14" s="326"/>
      <c r="O14" s="232" t="s">
        <v>76</v>
      </c>
    </row>
    <row r="15" spans="1:16" s="71" customFormat="1" ht="15" customHeight="1">
      <c r="A15" s="375"/>
      <c r="B15" s="252" t="s">
        <v>234</v>
      </c>
      <c r="C15" s="453"/>
      <c r="D15" s="453"/>
      <c r="E15" s="453"/>
      <c r="F15" s="453"/>
      <c r="G15" s="453"/>
      <c r="H15" s="453"/>
      <c r="I15" s="453"/>
      <c r="J15" s="450"/>
      <c r="K15" s="387"/>
      <c r="L15" s="327"/>
      <c r="M15" s="327"/>
      <c r="N15" s="327"/>
      <c r="O15" s="447"/>
    </row>
    <row r="16" spans="1:16" s="71" customFormat="1" ht="15" customHeight="1">
      <c r="A16" s="465"/>
      <c r="B16" s="252" t="s">
        <v>235</v>
      </c>
      <c r="C16" s="453"/>
      <c r="D16" s="453"/>
      <c r="E16" s="453"/>
      <c r="F16" s="453"/>
      <c r="G16" s="453"/>
      <c r="H16" s="453"/>
      <c r="I16" s="453"/>
      <c r="J16" s="450"/>
      <c r="K16" s="387"/>
      <c r="L16" s="327"/>
      <c r="M16" s="327"/>
      <c r="N16" s="327"/>
      <c r="O16" s="447"/>
    </row>
    <row r="17" spans="1:15" s="71" customFormat="1" ht="15" customHeight="1">
      <c r="A17" s="466"/>
      <c r="B17" s="254" t="s">
        <v>236</v>
      </c>
      <c r="C17" s="428"/>
      <c r="D17" s="428"/>
      <c r="E17" s="428"/>
      <c r="F17" s="428"/>
      <c r="G17" s="428"/>
      <c r="H17" s="428"/>
      <c r="I17" s="428"/>
      <c r="J17" s="429"/>
      <c r="K17" s="387"/>
      <c r="L17" s="327"/>
      <c r="M17" s="327"/>
      <c r="N17" s="327"/>
      <c r="O17" s="448"/>
    </row>
    <row r="18" spans="1:15" s="71" customFormat="1" ht="15" customHeight="1">
      <c r="A18" s="361" t="s">
        <v>221</v>
      </c>
      <c r="B18" s="260" t="s">
        <v>788</v>
      </c>
      <c r="C18" s="426"/>
      <c r="D18" s="426"/>
      <c r="E18" s="426"/>
      <c r="F18" s="426"/>
      <c r="G18" s="426"/>
      <c r="H18" s="426"/>
      <c r="I18" s="426"/>
      <c r="J18" s="427"/>
      <c r="K18" s="232">
        <v>10</v>
      </c>
      <c r="L18" s="238"/>
      <c r="M18" s="238"/>
      <c r="N18" s="238"/>
      <c r="O18" s="232" t="s">
        <v>76</v>
      </c>
    </row>
    <row r="19" spans="1:15" s="71" customFormat="1" ht="15" customHeight="1">
      <c r="A19" s="465"/>
      <c r="B19" s="254" t="s">
        <v>653</v>
      </c>
      <c r="C19" s="428"/>
      <c r="D19" s="428"/>
      <c r="E19" s="428"/>
      <c r="F19" s="428"/>
      <c r="G19" s="428"/>
      <c r="H19" s="428"/>
      <c r="I19" s="428"/>
      <c r="J19" s="429"/>
      <c r="K19" s="233"/>
      <c r="L19" s="239"/>
      <c r="M19" s="239"/>
      <c r="N19" s="239"/>
      <c r="O19" s="447"/>
    </row>
    <row r="20" spans="1:15" s="71" customFormat="1" ht="15" customHeight="1">
      <c r="A20" s="361" t="s">
        <v>222</v>
      </c>
      <c r="B20" s="260" t="s">
        <v>237</v>
      </c>
      <c r="C20" s="426"/>
      <c r="D20" s="426"/>
      <c r="E20" s="426"/>
      <c r="F20" s="426"/>
      <c r="G20" s="426"/>
      <c r="H20" s="426"/>
      <c r="I20" s="426"/>
      <c r="J20" s="427"/>
      <c r="K20" s="232">
        <v>10</v>
      </c>
      <c r="L20" s="238"/>
      <c r="M20" s="238"/>
      <c r="N20" s="238"/>
      <c r="O20" s="232" t="s">
        <v>76</v>
      </c>
    </row>
    <row r="21" spans="1:15" s="71" customFormat="1" ht="15" customHeight="1">
      <c r="A21" s="465"/>
      <c r="B21" s="252" t="s">
        <v>787</v>
      </c>
      <c r="C21" s="453"/>
      <c r="D21" s="453"/>
      <c r="E21" s="453"/>
      <c r="F21" s="453"/>
      <c r="G21" s="453"/>
      <c r="H21" s="453"/>
      <c r="I21" s="453"/>
      <c r="J21" s="450"/>
      <c r="K21" s="233"/>
      <c r="L21" s="239"/>
      <c r="M21" s="239"/>
      <c r="N21" s="239"/>
      <c r="O21" s="233"/>
    </row>
    <row r="22" spans="1:15" s="71" customFormat="1" ht="15" customHeight="1">
      <c r="A22" s="466"/>
      <c r="B22" s="254" t="s">
        <v>238</v>
      </c>
      <c r="C22" s="428"/>
      <c r="D22" s="428"/>
      <c r="E22" s="428"/>
      <c r="F22" s="428"/>
      <c r="G22" s="428"/>
      <c r="H22" s="428"/>
      <c r="I22" s="428"/>
      <c r="J22" s="429"/>
      <c r="K22" s="234"/>
      <c r="L22" s="240"/>
      <c r="M22" s="240"/>
      <c r="N22" s="240"/>
      <c r="O22" s="233"/>
    </row>
    <row r="23" spans="1:15" s="71" customFormat="1" ht="15" customHeight="1">
      <c r="A23" s="361" t="s">
        <v>223</v>
      </c>
      <c r="B23" s="260" t="s">
        <v>239</v>
      </c>
      <c r="C23" s="426"/>
      <c r="D23" s="426"/>
      <c r="E23" s="426"/>
      <c r="F23" s="426"/>
      <c r="G23" s="426"/>
      <c r="H23" s="426"/>
      <c r="I23" s="426"/>
      <c r="J23" s="427"/>
      <c r="K23" s="232">
        <v>10</v>
      </c>
      <c r="L23" s="238"/>
      <c r="M23" s="238"/>
      <c r="N23" s="238"/>
      <c r="O23" s="232" t="s">
        <v>76</v>
      </c>
    </row>
    <row r="24" spans="1:15" s="71" customFormat="1" ht="15" customHeight="1">
      <c r="A24" s="465"/>
      <c r="B24" s="252" t="s">
        <v>669</v>
      </c>
      <c r="C24" s="453"/>
      <c r="D24" s="453"/>
      <c r="E24" s="453"/>
      <c r="F24" s="453"/>
      <c r="G24" s="453"/>
      <c r="H24" s="453"/>
      <c r="I24" s="453"/>
      <c r="J24" s="450"/>
      <c r="K24" s="233"/>
      <c r="L24" s="239"/>
      <c r="M24" s="239"/>
      <c r="N24" s="239"/>
      <c r="O24" s="233"/>
    </row>
    <row r="25" spans="1:15" s="71" customFormat="1" ht="15" customHeight="1">
      <c r="A25" s="466"/>
      <c r="B25" s="252" t="s">
        <v>670</v>
      </c>
      <c r="C25" s="449"/>
      <c r="D25" s="449"/>
      <c r="E25" s="449"/>
      <c r="F25" s="449"/>
      <c r="G25" s="449"/>
      <c r="H25" s="449"/>
      <c r="I25" s="449"/>
      <c r="J25" s="450"/>
      <c r="K25" s="234"/>
      <c r="L25" s="240"/>
      <c r="M25" s="240"/>
      <c r="N25" s="240"/>
      <c r="O25" s="234"/>
    </row>
    <row r="26" spans="1:15" s="71" customFormat="1" ht="15" customHeight="1">
      <c r="A26" s="378" t="s">
        <v>224</v>
      </c>
      <c r="B26" s="260" t="s">
        <v>789</v>
      </c>
      <c r="C26" s="426"/>
      <c r="D26" s="426"/>
      <c r="E26" s="426"/>
      <c r="F26" s="426"/>
      <c r="G26" s="426"/>
      <c r="H26" s="426"/>
      <c r="I26" s="426"/>
      <c r="J26" s="427"/>
      <c r="K26" s="246">
        <v>15</v>
      </c>
      <c r="L26" s="238"/>
      <c r="M26" s="238"/>
      <c r="N26" s="394"/>
      <c r="O26" s="232" t="s">
        <v>76</v>
      </c>
    </row>
    <row r="27" spans="1:15" s="71" customFormat="1" ht="15" customHeight="1">
      <c r="A27" s="379"/>
      <c r="B27" s="252" t="s">
        <v>790</v>
      </c>
      <c r="C27" s="449"/>
      <c r="D27" s="449"/>
      <c r="E27" s="449"/>
      <c r="F27" s="449"/>
      <c r="G27" s="449"/>
      <c r="H27" s="449"/>
      <c r="I27" s="449"/>
      <c r="J27" s="450"/>
      <c r="K27" s="380"/>
      <c r="L27" s="239"/>
      <c r="M27" s="239"/>
      <c r="N27" s="395"/>
      <c r="O27" s="233"/>
    </row>
    <row r="28" spans="1:15" s="71" customFormat="1" ht="15" customHeight="1">
      <c r="A28" s="469"/>
      <c r="B28" s="254" t="s">
        <v>406</v>
      </c>
      <c r="C28" s="428"/>
      <c r="D28" s="428"/>
      <c r="E28" s="428"/>
      <c r="F28" s="428"/>
      <c r="G28" s="428"/>
      <c r="H28" s="428"/>
      <c r="I28" s="428"/>
      <c r="J28" s="429"/>
      <c r="K28" s="247"/>
      <c r="L28" s="240"/>
      <c r="M28" s="240"/>
      <c r="N28" s="396"/>
      <c r="O28" s="233"/>
    </row>
    <row r="29" spans="1:15" s="71" customFormat="1" ht="15" customHeight="1">
      <c r="A29" s="361" t="s">
        <v>225</v>
      </c>
      <c r="B29" s="252" t="s">
        <v>242</v>
      </c>
      <c r="C29" s="449"/>
      <c r="D29" s="449"/>
      <c r="E29" s="449"/>
      <c r="F29" s="449"/>
      <c r="G29" s="449"/>
      <c r="H29" s="449"/>
      <c r="I29" s="449"/>
      <c r="J29" s="450"/>
      <c r="K29" s="232">
        <v>10</v>
      </c>
      <c r="L29" s="238"/>
      <c r="M29" s="238"/>
      <c r="N29" s="318"/>
      <c r="O29" s="232"/>
    </row>
    <row r="30" spans="1:15" s="71" customFormat="1" ht="15" customHeight="1">
      <c r="A30" s="466"/>
      <c r="B30" s="254" t="s">
        <v>243</v>
      </c>
      <c r="C30" s="428"/>
      <c r="D30" s="428"/>
      <c r="E30" s="428"/>
      <c r="F30" s="428"/>
      <c r="G30" s="428"/>
      <c r="H30" s="428"/>
      <c r="I30" s="428"/>
      <c r="J30" s="429"/>
      <c r="K30" s="234"/>
      <c r="L30" s="240"/>
      <c r="M30" s="240"/>
      <c r="N30" s="287"/>
      <c r="O30" s="234"/>
    </row>
    <row r="31" spans="1:15" s="71" customFormat="1" ht="15" customHeight="1">
      <c r="A31" s="361" t="s">
        <v>226</v>
      </c>
      <c r="B31" s="260" t="s">
        <v>930</v>
      </c>
      <c r="C31" s="187"/>
      <c r="D31" s="187"/>
      <c r="E31" s="187"/>
      <c r="F31" s="187"/>
      <c r="G31" s="187"/>
      <c r="H31" s="187"/>
      <c r="I31" s="187"/>
      <c r="J31" s="261"/>
      <c r="K31" s="232">
        <v>15</v>
      </c>
      <c r="L31" s="238"/>
      <c r="M31" s="238"/>
      <c r="N31" s="394"/>
      <c r="O31" s="232" t="s">
        <v>603</v>
      </c>
    </row>
    <row r="32" spans="1:15" s="71" customFormat="1" ht="15" customHeight="1">
      <c r="A32" s="362"/>
      <c r="B32" s="436" t="s">
        <v>408</v>
      </c>
      <c r="C32" s="437"/>
      <c r="D32" s="437"/>
      <c r="E32" s="437"/>
      <c r="F32" s="437"/>
      <c r="G32" s="437"/>
      <c r="H32" s="437"/>
      <c r="I32" s="437"/>
      <c r="J32" s="438"/>
      <c r="K32" s="234"/>
      <c r="L32" s="240"/>
      <c r="M32" s="240"/>
      <c r="N32" s="396"/>
      <c r="O32" s="234"/>
    </row>
    <row r="33" spans="1:16" s="71" customFormat="1" ht="15" customHeight="1">
      <c r="A33" s="361" t="s">
        <v>227</v>
      </c>
      <c r="B33" s="260" t="s">
        <v>246</v>
      </c>
      <c r="C33" s="426"/>
      <c r="D33" s="426"/>
      <c r="E33" s="426"/>
      <c r="F33" s="426"/>
      <c r="G33" s="426"/>
      <c r="H33" s="426"/>
      <c r="I33" s="426"/>
      <c r="J33" s="427"/>
      <c r="K33" s="232">
        <v>10</v>
      </c>
      <c r="L33" s="238"/>
      <c r="M33" s="238"/>
      <c r="N33" s="238"/>
      <c r="O33" s="232" t="s">
        <v>603</v>
      </c>
    </row>
    <row r="34" spans="1:16" s="71" customFormat="1" ht="15" customHeight="1">
      <c r="A34" s="465"/>
      <c r="B34" s="252" t="s">
        <v>247</v>
      </c>
      <c r="C34" s="449"/>
      <c r="D34" s="449"/>
      <c r="E34" s="449"/>
      <c r="F34" s="449"/>
      <c r="G34" s="449"/>
      <c r="H34" s="449"/>
      <c r="I34" s="449"/>
      <c r="J34" s="450"/>
      <c r="K34" s="233"/>
      <c r="L34" s="239"/>
      <c r="M34" s="239"/>
      <c r="N34" s="239"/>
      <c r="O34" s="233"/>
    </row>
    <row r="35" spans="1:16" s="71" customFormat="1" ht="15" customHeight="1">
      <c r="A35" s="466"/>
      <c r="B35" s="254" t="s">
        <v>248</v>
      </c>
      <c r="C35" s="428"/>
      <c r="D35" s="428"/>
      <c r="E35" s="428"/>
      <c r="F35" s="428"/>
      <c r="G35" s="428"/>
      <c r="H35" s="428"/>
      <c r="I35" s="428"/>
      <c r="J35" s="429"/>
      <c r="K35" s="234"/>
      <c r="L35" s="240"/>
      <c r="M35" s="240"/>
      <c r="N35" s="240"/>
      <c r="O35" s="234"/>
    </row>
    <row r="36" spans="1:16" ht="30" customHeight="1">
      <c r="A36" s="443" t="s">
        <v>671</v>
      </c>
      <c r="B36" s="443"/>
      <c r="C36" s="443"/>
      <c r="D36" s="443"/>
      <c r="E36" s="443"/>
      <c r="F36" s="443"/>
      <c r="G36" s="443"/>
      <c r="H36" s="443"/>
      <c r="I36" s="443"/>
      <c r="J36" s="443"/>
      <c r="K36" s="443"/>
      <c r="L36" s="443"/>
      <c r="M36" s="443"/>
      <c r="N36" s="443"/>
      <c r="O36" s="443"/>
    </row>
    <row r="37" spans="1:16" s="41" customFormat="1" ht="15">
      <c r="A37" s="300" t="s">
        <v>66</v>
      </c>
      <c r="B37" s="301"/>
      <c r="C37" s="301"/>
      <c r="D37" s="301"/>
      <c r="E37" s="301"/>
      <c r="F37" s="301"/>
      <c r="G37" s="301"/>
      <c r="H37" s="301"/>
      <c r="I37" s="301"/>
      <c r="J37" s="302"/>
      <c r="K37" s="74" t="s">
        <v>65</v>
      </c>
      <c r="L37" s="75" t="s">
        <v>27</v>
      </c>
      <c r="M37" s="75" t="s">
        <v>64</v>
      </c>
      <c r="N37" s="75" t="s">
        <v>63</v>
      </c>
      <c r="O37" s="75" t="s">
        <v>62</v>
      </c>
      <c r="P37" s="40"/>
    </row>
    <row r="38" spans="1:16" s="71" customFormat="1" ht="15" customHeight="1">
      <c r="A38" s="361" t="s">
        <v>228</v>
      </c>
      <c r="B38" s="260" t="s">
        <v>252</v>
      </c>
      <c r="C38" s="426"/>
      <c r="D38" s="426"/>
      <c r="E38" s="426"/>
      <c r="F38" s="426"/>
      <c r="G38" s="426"/>
      <c r="H38" s="426"/>
      <c r="I38" s="426"/>
      <c r="J38" s="427"/>
      <c r="K38" s="232">
        <v>10</v>
      </c>
      <c r="L38" s="238"/>
      <c r="M38" s="238"/>
      <c r="N38" s="318"/>
      <c r="O38" s="238"/>
    </row>
    <row r="39" spans="1:16" s="71" customFormat="1" ht="15" customHeight="1">
      <c r="A39" s="465"/>
      <c r="B39" s="252" t="s">
        <v>253</v>
      </c>
      <c r="C39" s="449"/>
      <c r="D39" s="449"/>
      <c r="E39" s="449"/>
      <c r="F39" s="449"/>
      <c r="G39" s="449"/>
      <c r="H39" s="449"/>
      <c r="I39" s="449"/>
      <c r="J39" s="450"/>
      <c r="K39" s="447"/>
      <c r="L39" s="451"/>
      <c r="M39" s="451"/>
      <c r="N39" s="467"/>
      <c r="O39" s="239"/>
    </row>
    <row r="40" spans="1:16" s="71" customFormat="1" ht="15" customHeight="1">
      <c r="A40" s="466"/>
      <c r="B40" s="254" t="s">
        <v>254</v>
      </c>
      <c r="C40" s="428"/>
      <c r="D40" s="428"/>
      <c r="E40" s="428"/>
      <c r="F40" s="428"/>
      <c r="G40" s="428"/>
      <c r="H40" s="428"/>
      <c r="I40" s="428"/>
      <c r="J40" s="429"/>
      <c r="K40" s="448"/>
      <c r="L40" s="452"/>
      <c r="M40" s="452"/>
      <c r="N40" s="468"/>
      <c r="O40" s="240"/>
    </row>
    <row r="41" spans="1:16" s="71" customFormat="1" ht="15" customHeight="1">
      <c r="A41" s="470" t="s">
        <v>249</v>
      </c>
      <c r="B41" s="260" t="s">
        <v>672</v>
      </c>
      <c r="C41" s="426"/>
      <c r="D41" s="426"/>
      <c r="E41" s="426"/>
      <c r="F41" s="426"/>
      <c r="G41" s="426"/>
      <c r="H41" s="426"/>
      <c r="I41" s="426"/>
      <c r="J41" s="427"/>
      <c r="K41" s="232">
        <v>5</v>
      </c>
      <c r="L41" s="238"/>
      <c r="M41" s="238"/>
      <c r="N41" s="238"/>
      <c r="O41" s="232" t="s">
        <v>604</v>
      </c>
    </row>
    <row r="42" spans="1:16" s="71" customFormat="1" ht="15" customHeight="1">
      <c r="A42" s="471"/>
      <c r="B42" s="252" t="s">
        <v>673</v>
      </c>
      <c r="C42" s="453"/>
      <c r="D42" s="453"/>
      <c r="E42" s="453"/>
      <c r="F42" s="453"/>
      <c r="G42" s="453"/>
      <c r="H42" s="453"/>
      <c r="I42" s="453"/>
      <c r="J42" s="450"/>
      <c r="K42" s="473"/>
      <c r="L42" s="475"/>
      <c r="M42" s="475"/>
      <c r="N42" s="475"/>
      <c r="O42" s="233"/>
    </row>
    <row r="43" spans="1:16" s="71" customFormat="1" ht="15" customHeight="1">
      <c r="A43" s="472"/>
      <c r="B43" s="254" t="s">
        <v>674</v>
      </c>
      <c r="C43" s="428"/>
      <c r="D43" s="428"/>
      <c r="E43" s="428"/>
      <c r="F43" s="428"/>
      <c r="G43" s="428"/>
      <c r="H43" s="428"/>
      <c r="I43" s="428"/>
      <c r="J43" s="429"/>
      <c r="K43" s="474"/>
      <c r="L43" s="476"/>
      <c r="M43" s="476"/>
      <c r="N43" s="476"/>
      <c r="O43" s="234"/>
    </row>
    <row r="44" spans="1:16" s="71" customFormat="1" ht="15" customHeight="1">
      <c r="A44" s="361" t="s">
        <v>250</v>
      </c>
      <c r="B44" s="260" t="s">
        <v>791</v>
      </c>
      <c r="C44" s="426"/>
      <c r="D44" s="426"/>
      <c r="E44" s="426"/>
      <c r="F44" s="426"/>
      <c r="G44" s="426"/>
      <c r="H44" s="426"/>
      <c r="I44" s="426"/>
      <c r="J44" s="427"/>
      <c r="K44" s="232">
        <v>5</v>
      </c>
      <c r="L44" s="238"/>
      <c r="M44" s="238"/>
      <c r="N44" s="238"/>
      <c r="O44" s="232" t="s">
        <v>604</v>
      </c>
    </row>
    <row r="45" spans="1:16" s="71" customFormat="1" ht="15" customHeight="1">
      <c r="A45" s="465"/>
      <c r="B45" s="252" t="s">
        <v>792</v>
      </c>
      <c r="C45" s="453"/>
      <c r="D45" s="453"/>
      <c r="E45" s="453"/>
      <c r="F45" s="453"/>
      <c r="G45" s="453"/>
      <c r="H45" s="453"/>
      <c r="I45" s="453"/>
      <c r="J45" s="450"/>
      <c r="K45" s="447"/>
      <c r="L45" s="451"/>
      <c r="M45" s="451"/>
      <c r="N45" s="451"/>
      <c r="O45" s="233"/>
    </row>
    <row r="46" spans="1:16" s="71" customFormat="1" ht="15" customHeight="1">
      <c r="A46" s="466"/>
      <c r="B46" s="254" t="s">
        <v>643</v>
      </c>
      <c r="C46" s="428"/>
      <c r="D46" s="428"/>
      <c r="E46" s="428"/>
      <c r="F46" s="428"/>
      <c r="G46" s="428"/>
      <c r="H46" s="428"/>
      <c r="I46" s="428"/>
      <c r="J46" s="429"/>
      <c r="K46" s="448"/>
      <c r="L46" s="452"/>
      <c r="M46" s="452"/>
      <c r="N46" s="452"/>
      <c r="O46" s="234"/>
    </row>
    <row r="47" spans="1:16" ht="30" customHeight="1">
      <c r="A47" s="377" t="s">
        <v>255</v>
      </c>
      <c r="B47" s="377"/>
      <c r="C47" s="377"/>
      <c r="D47" s="377"/>
      <c r="E47" s="377"/>
      <c r="F47" s="377"/>
      <c r="G47" s="377"/>
      <c r="H47" s="377"/>
      <c r="I47" s="377"/>
      <c r="J47" s="377"/>
      <c r="K47" s="377"/>
      <c r="L47" s="377"/>
      <c r="M47" s="377"/>
      <c r="N47" s="377"/>
      <c r="O47" s="377"/>
    </row>
    <row r="48" spans="1:16" s="41" customFormat="1" ht="15">
      <c r="A48" s="300" t="s">
        <v>66</v>
      </c>
      <c r="B48" s="301"/>
      <c r="C48" s="301"/>
      <c r="D48" s="301"/>
      <c r="E48" s="301"/>
      <c r="F48" s="301"/>
      <c r="G48" s="301"/>
      <c r="H48" s="301"/>
      <c r="I48" s="301"/>
      <c r="J48" s="302"/>
      <c r="K48" s="74" t="s">
        <v>65</v>
      </c>
      <c r="L48" s="75" t="s">
        <v>27</v>
      </c>
      <c r="M48" s="75" t="s">
        <v>64</v>
      </c>
      <c r="N48" s="75" t="s">
        <v>63</v>
      </c>
      <c r="O48" s="75" t="s">
        <v>62</v>
      </c>
      <c r="P48" s="40"/>
    </row>
    <row r="49" spans="1:15" s="71" customFormat="1" ht="15" customHeight="1">
      <c r="A49" s="361" t="s">
        <v>251</v>
      </c>
      <c r="B49" s="260" t="s">
        <v>793</v>
      </c>
      <c r="C49" s="426"/>
      <c r="D49" s="426"/>
      <c r="E49" s="426"/>
      <c r="F49" s="426"/>
      <c r="G49" s="426"/>
      <c r="H49" s="426"/>
      <c r="I49" s="426"/>
      <c r="J49" s="427"/>
      <c r="K49" s="232">
        <v>10</v>
      </c>
      <c r="L49" s="238"/>
      <c r="M49" s="238"/>
      <c r="N49" s="394"/>
      <c r="O49" s="232" t="s">
        <v>603</v>
      </c>
    </row>
    <row r="50" spans="1:15" s="71" customFormat="1" ht="15" customHeight="1">
      <c r="A50" s="375"/>
      <c r="B50" s="252" t="s">
        <v>794</v>
      </c>
      <c r="C50" s="172"/>
      <c r="D50" s="172"/>
      <c r="E50" s="172"/>
      <c r="F50" s="172"/>
      <c r="G50" s="172"/>
      <c r="H50" s="172"/>
      <c r="I50" s="172"/>
      <c r="J50" s="253"/>
      <c r="K50" s="233"/>
      <c r="L50" s="239"/>
      <c r="M50" s="239"/>
      <c r="N50" s="395"/>
      <c r="O50" s="233"/>
    </row>
    <row r="51" spans="1:15" s="71" customFormat="1" ht="15" customHeight="1">
      <c r="A51" s="466"/>
      <c r="B51" s="254" t="s">
        <v>413</v>
      </c>
      <c r="C51" s="428"/>
      <c r="D51" s="428"/>
      <c r="E51" s="428"/>
      <c r="F51" s="428"/>
      <c r="G51" s="428"/>
      <c r="H51" s="428"/>
      <c r="I51" s="428"/>
      <c r="J51" s="429"/>
      <c r="K51" s="234"/>
      <c r="L51" s="240"/>
      <c r="M51" s="240"/>
      <c r="N51" s="396"/>
      <c r="O51" s="234"/>
    </row>
    <row r="52" spans="1:15" s="71" customFormat="1" ht="15" customHeight="1">
      <c r="A52" s="361" t="s">
        <v>256</v>
      </c>
      <c r="B52" s="260" t="s">
        <v>268</v>
      </c>
      <c r="C52" s="426"/>
      <c r="D52" s="426"/>
      <c r="E52" s="426"/>
      <c r="F52" s="426"/>
      <c r="G52" s="426"/>
      <c r="H52" s="426"/>
      <c r="I52" s="426"/>
      <c r="J52" s="427"/>
      <c r="K52" s="232">
        <v>10</v>
      </c>
      <c r="L52" s="238"/>
      <c r="M52" s="238"/>
      <c r="N52" s="238"/>
      <c r="O52" s="238"/>
    </row>
    <row r="53" spans="1:15" s="71" customFormat="1" ht="15" customHeight="1">
      <c r="A53" s="466"/>
      <c r="B53" s="254" t="s">
        <v>269</v>
      </c>
      <c r="C53" s="428"/>
      <c r="D53" s="428"/>
      <c r="E53" s="428"/>
      <c r="F53" s="428"/>
      <c r="G53" s="428"/>
      <c r="H53" s="428"/>
      <c r="I53" s="428"/>
      <c r="J53" s="429"/>
      <c r="K53" s="234"/>
      <c r="L53" s="240"/>
      <c r="M53" s="240"/>
      <c r="N53" s="240"/>
      <c r="O53" s="240"/>
    </row>
    <row r="54" spans="1:15" s="71" customFormat="1" ht="15" customHeight="1">
      <c r="A54" s="361" t="s">
        <v>257</v>
      </c>
      <c r="B54" s="260" t="s">
        <v>270</v>
      </c>
      <c r="C54" s="426"/>
      <c r="D54" s="426"/>
      <c r="E54" s="426"/>
      <c r="F54" s="426"/>
      <c r="G54" s="426"/>
      <c r="H54" s="426"/>
      <c r="I54" s="426"/>
      <c r="J54" s="427"/>
      <c r="K54" s="232">
        <v>5</v>
      </c>
      <c r="L54" s="238"/>
      <c r="M54" s="238"/>
      <c r="N54" s="318"/>
      <c r="O54" s="238"/>
    </row>
    <row r="55" spans="1:15" s="71" customFormat="1" ht="15" customHeight="1">
      <c r="A55" s="466"/>
      <c r="B55" s="254" t="s">
        <v>271</v>
      </c>
      <c r="C55" s="428"/>
      <c r="D55" s="428"/>
      <c r="E55" s="428"/>
      <c r="F55" s="428"/>
      <c r="G55" s="428"/>
      <c r="H55" s="428"/>
      <c r="I55" s="428"/>
      <c r="J55" s="429"/>
      <c r="K55" s="234"/>
      <c r="L55" s="240"/>
      <c r="M55" s="240"/>
      <c r="N55" s="287"/>
      <c r="O55" s="240"/>
    </row>
    <row r="56" spans="1:15" s="71" customFormat="1" ht="15" customHeight="1">
      <c r="A56" s="361" t="s">
        <v>258</v>
      </c>
      <c r="B56" s="260" t="s">
        <v>272</v>
      </c>
      <c r="C56" s="426"/>
      <c r="D56" s="426"/>
      <c r="E56" s="426"/>
      <c r="F56" s="426"/>
      <c r="G56" s="426"/>
      <c r="H56" s="426"/>
      <c r="I56" s="426"/>
      <c r="J56" s="427"/>
      <c r="K56" s="232">
        <v>5</v>
      </c>
      <c r="L56" s="238"/>
      <c r="M56" s="238"/>
      <c r="N56" s="318"/>
      <c r="O56" s="238"/>
    </row>
    <row r="57" spans="1:15" s="71" customFormat="1" ht="15" customHeight="1">
      <c r="A57" s="466"/>
      <c r="B57" s="254" t="s">
        <v>273</v>
      </c>
      <c r="C57" s="428"/>
      <c r="D57" s="428"/>
      <c r="E57" s="428"/>
      <c r="F57" s="428"/>
      <c r="G57" s="428"/>
      <c r="H57" s="428"/>
      <c r="I57" s="428"/>
      <c r="J57" s="429"/>
      <c r="K57" s="234"/>
      <c r="L57" s="240"/>
      <c r="M57" s="240"/>
      <c r="N57" s="287"/>
      <c r="O57" s="240"/>
    </row>
    <row r="58" spans="1:15" s="71" customFormat="1" ht="15" customHeight="1">
      <c r="A58" s="361" t="s">
        <v>259</v>
      </c>
      <c r="B58" s="260" t="s">
        <v>274</v>
      </c>
      <c r="C58" s="426"/>
      <c r="D58" s="426"/>
      <c r="E58" s="426"/>
      <c r="F58" s="426"/>
      <c r="G58" s="426"/>
      <c r="H58" s="426"/>
      <c r="I58" s="426"/>
      <c r="J58" s="427"/>
      <c r="K58" s="232">
        <v>5</v>
      </c>
      <c r="L58" s="238"/>
      <c r="M58" s="238"/>
      <c r="N58" s="238"/>
      <c r="O58" s="238"/>
    </row>
    <row r="59" spans="1:15" s="71" customFormat="1" ht="15" customHeight="1">
      <c r="A59" s="375"/>
      <c r="B59" s="252" t="s">
        <v>275</v>
      </c>
      <c r="C59" s="453"/>
      <c r="D59" s="453"/>
      <c r="E59" s="453"/>
      <c r="F59" s="453"/>
      <c r="G59" s="453"/>
      <c r="H59" s="453"/>
      <c r="I59" s="453"/>
      <c r="J59" s="450"/>
      <c r="K59" s="233"/>
      <c r="L59" s="239"/>
      <c r="M59" s="239"/>
      <c r="N59" s="239"/>
      <c r="O59" s="239"/>
    </row>
    <row r="60" spans="1:15" s="71" customFormat="1" ht="15" customHeight="1">
      <c r="A60" s="375"/>
      <c r="B60" s="252" t="s">
        <v>276</v>
      </c>
      <c r="C60" s="453"/>
      <c r="D60" s="453"/>
      <c r="E60" s="453"/>
      <c r="F60" s="453"/>
      <c r="G60" s="453"/>
      <c r="H60" s="453"/>
      <c r="I60" s="453"/>
      <c r="J60" s="450"/>
      <c r="K60" s="233"/>
      <c r="L60" s="239"/>
      <c r="M60" s="239"/>
      <c r="N60" s="239"/>
      <c r="O60" s="239"/>
    </row>
    <row r="61" spans="1:15" s="71" customFormat="1" ht="15" customHeight="1">
      <c r="A61" s="466"/>
      <c r="B61" s="254" t="s">
        <v>277</v>
      </c>
      <c r="C61" s="428"/>
      <c r="D61" s="428"/>
      <c r="E61" s="428"/>
      <c r="F61" s="428"/>
      <c r="G61" s="428"/>
      <c r="H61" s="428"/>
      <c r="I61" s="428"/>
      <c r="J61" s="429"/>
      <c r="K61" s="234"/>
      <c r="L61" s="240"/>
      <c r="M61" s="240"/>
      <c r="N61" s="240"/>
      <c r="O61" s="240"/>
    </row>
    <row r="62" spans="1:15" s="71" customFormat="1" ht="15" customHeight="1">
      <c r="A62" s="57" t="s">
        <v>260</v>
      </c>
      <c r="B62" s="477" t="s">
        <v>278</v>
      </c>
      <c r="C62" s="478"/>
      <c r="D62" s="478"/>
      <c r="E62" s="478"/>
      <c r="F62" s="478"/>
      <c r="G62" s="478"/>
      <c r="H62" s="478"/>
      <c r="I62" s="478"/>
      <c r="J62" s="479"/>
      <c r="K62" s="106">
        <v>5</v>
      </c>
      <c r="L62" s="55"/>
      <c r="M62" s="55"/>
      <c r="N62" s="104"/>
      <c r="O62" s="105"/>
    </row>
    <row r="63" spans="1:15" s="71" customFormat="1" ht="15" customHeight="1">
      <c r="A63" s="361" t="s">
        <v>261</v>
      </c>
      <c r="B63" s="260" t="s">
        <v>279</v>
      </c>
      <c r="C63" s="426"/>
      <c r="D63" s="426"/>
      <c r="E63" s="426"/>
      <c r="F63" s="426"/>
      <c r="G63" s="426"/>
      <c r="H63" s="426"/>
      <c r="I63" s="426"/>
      <c r="J63" s="427"/>
      <c r="K63" s="232">
        <v>5</v>
      </c>
      <c r="L63" s="238"/>
      <c r="M63" s="238"/>
      <c r="N63" s="318"/>
      <c r="O63" s="238"/>
    </row>
    <row r="64" spans="1:15" s="71" customFormat="1" ht="15" customHeight="1">
      <c r="A64" s="466"/>
      <c r="B64" s="254" t="s">
        <v>280</v>
      </c>
      <c r="C64" s="428"/>
      <c r="D64" s="428"/>
      <c r="E64" s="428"/>
      <c r="F64" s="428"/>
      <c r="G64" s="428"/>
      <c r="H64" s="428"/>
      <c r="I64" s="428"/>
      <c r="J64" s="429"/>
      <c r="K64" s="234"/>
      <c r="L64" s="240"/>
      <c r="M64" s="240"/>
      <c r="N64" s="287"/>
      <c r="O64" s="240"/>
    </row>
    <row r="65" spans="1:16" s="71" customFormat="1" ht="15" customHeight="1">
      <c r="A65" s="57" t="s">
        <v>262</v>
      </c>
      <c r="B65" s="477" t="s">
        <v>281</v>
      </c>
      <c r="C65" s="478"/>
      <c r="D65" s="478"/>
      <c r="E65" s="478"/>
      <c r="F65" s="478"/>
      <c r="G65" s="478"/>
      <c r="H65" s="478"/>
      <c r="I65" s="478"/>
      <c r="J65" s="479"/>
      <c r="K65" s="106">
        <v>5</v>
      </c>
      <c r="L65" s="55"/>
      <c r="M65" s="55"/>
      <c r="N65" s="55"/>
      <c r="O65" s="105"/>
    </row>
    <row r="66" spans="1:16" s="71" customFormat="1" ht="15" customHeight="1">
      <c r="A66" s="361" t="s">
        <v>263</v>
      </c>
      <c r="B66" s="260" t="s">
        <v>931</v>
      </c>
      <c r="C66" s="426"/>
      <c r="D66" s="426"/>
      <c r="E66" s="426"/>
      <c r="F66" s="426"/>
      <c r="G66" s="426"/>
      <c r="H66" s="426"/>
      <c r="I66" s="426"/>
      <c r="J66" s="427"/>
      <c r="K66" s="232">
        <v>5</v>
      </c>
      <c r="L66" s="238"/>
      <c r="M66" s="238"/>
      <c r="N66" s="318"/>
      <c r="O66" s="238"/>
    </row>
    <row r="67" spans="1:16" s="71" customFormat="1" ht="15" customHeight="1">
      <c r="A67" s="466"/>
      <c r="B67" s="254" t="s">
        <v>675</v>
      </c>
      <c r="C67" s="428"/>
      <c r="D67" s="428"/>
      <c r="E67" s="428"/>
      <c r="F67" s="428"/>
      <c r="G67" s="428"/>
      <c r="H67" s="428"/>
      <c r="I67" s="428"/>
      <c r="J67" s="429"/>
      <c r="K67" s="234"/>
      <c r="L67" s="240"/>
      <c r="M67" s="240"/>
      <c r="N67" s="287"/>
      <c r="O67" s="240"/>
    </row>
    <row r="68" spans="1:16" s="71" customFormat="1" ht="15" customHeight="1">
      <c r="A68" s="361" t="s">
        <v>264</v>
      </c>
      <c r="B68" s="260" t="s">
        <v>282</v>
      </c>
      <c r="C68" s="426"/>
      <c r="D68" s="426"/>
      <c r="E68" s="426"/>
      <c r="F68" s="426"/>
      <c r="G68" s="426"/>
      <c r="H68" s="426"/>
      <c r="I68" s="426"/>
      <c r="J68" s="427"/>
      <c r="K68" s="232">
        <v>10</v>
      </c>
      <c r="L68" s="238"/>
      <c r="M68" s="238"/>
      <c r="N68" s="238"/>
      <c r="O68" s="238"/>
    </row>
    <row r="69" spans="1:16" s="71" customFormat="1" ht="15" customHeight="1">
      <c r="A69" s="466"/>
      <c r="B69" s="254" t="s">
        <v>283</v>
      </c>
      <c r="C69" s="428"/>
      <c r="D69" s="428"/>
      <c r="E69" s="428"/>
      <c r="F69" s="428"/>
      <c r="G69" s="428"/>
      <c r="H69" s="428"/>
      <c r="I69" s="428"/>
      <c r="J69" s="429"/>
      <c r="K69" s="234"/>
      <c r="L69" s="240"/>
      <c r="M69" s="240"/>
      <c r="N69" s="240"/>
      <c r="O69" s="240"/>
    </row>
    <row r="70" spans="1:16" s="71" customFormat="1" ht="15" customHeight="1">
      <c r="A70" s="361" t="s">
        <v>265</v>
      </c>
      <c r="B70" s="260" t="s">
        <v>284</v>
      </c>
      <c r="C70" s="426"/>
      <c r="D70" s="426"/>
      <c r="E70" s="426"/>
      <c r="F70" s="426"/>
      <c r="G70" s="426"/>
      <c r="H70" s="426"/>
      <c r="I70" s="426"/>
      <c r="J70" s="427"/>
      <c r="K70" s="232">
        <v>10</v>
      </c>
      <c r="L70" s="238"/>
      <c r="M70" s="238"/>
      <c r="N70" s="318"/>
      <c r="O70" s="238"/>
    </row>
    <row r="71" spans="1:16" s="71" customFormat="1" ht="15" customHeight="1">
      <c r="A71" s="375"/>
      <c r="B71" s="252" t="s">
        <v>285</v>
      </c>
      <c r="C71" s="453"/>
      <c r="D71" s="453"/>
      <c r="E71" s="453"/>
      <c r="F71" s="453"/>
      <c r="G71" s="453"/>
      <c r="H71" s="453"/>
      <c r="I71" s="453"/>
      <c r="J71" s="450"/>
      <c r="K71" s="233"/>
      <c r="L71" s="239"/>
      <c r="M71" s="239"/>
      <c r="N71" s="286"/>
      <c r="O71" s="239"/>
    </row>
    <row r="72" spans="1:16" s="71" customFormat="1" ht="15" customHeight="1">
      <c r="A72" s="466"/>
      <c r="B72" s="252" t="s">
        <v>676</v>
      </c>
      <c r="C72" s="449"/>
      <c r="D72" s="449"/>
      <c r="E72" s="449"/>
      <c r="F72" s="449"/>
      <c r="G72" s="449"/>
      <c r="H72" s="449"/>
      <c r="I72" s="449"/>
      <c r="J72" s="450"/>
      <c r="K72" s="234"/>
      <c r="L72" s="240"/>
      <c r="M72" s="240"/>
      <c r="N72" s="287"/>
      <c r="O72" s="240"/>
    </row>
    <row r="73" spans="1:16" s="71" customFormat="1" ht="15" customHeight="1">
      <c r="A73" s="378" t="s">
        <v>266</v>
      </c>
      <c r="B73" s="260" t="s">
        <v>109</v>
      </c>
      <c r="C73" s="426"/>
      <c r="D73" s="426"/>
      <c r="E73" s="426"/>
      <c r="F73" s="426"/>
      <c r="G73" s="426"/>
      <c r="H73" s="426"/>
      <c r="I73" s="426"/>
      <c r="J73" s="427"/>
      <c r="K73" s="246">
        <v>15</v>
      </c>
      <c r="L73" s="238"/>
      <c r="M73" s="238"/>
      <c r="N73" s="318"/>
      <c r="O73" s="232" t="s">
        <v>604</v>
      </c>
    </row>
    <row r="74" spans="1:16" s="71" customFormat="1" ht="15" customHeight="1">
      <c r="A74" s="379"/>
      <c r="B74" s="252" t="s">
        <v>294</v>
      </c>
      <c r="C74" s="449"/>
      <c r="D74" s="449"/>
      <c r="E74" s="449"/>
      <c r="F74" s="449"/>
      <c r="G74" s="449"/>
      <c r="H74" s="449"/>
      <c r="I74" s="449"/>
      <c r="J74" s="450"/>
      <c r="K74" s="380"/>
      <c r="L74" s="239"/>
      <c r="M74" s="239"/>
      <c r="N74" s="286"/>
      <c r="O74" s="233"/>
    </row>
    <row r="75" spans="1:16" s="71" customFormat="1" ht="15" customHeight="1">
      <c r="A75" s="379"/>
      <c r="B75" s="252" t="s">
        <v>677</v>
      </c>
      <c r="C75" s="449"/>
      <c r="D75" s="449"/>
      <c r="E75" s="449"/>
      <c r="F75" s="449"/>
      <c r="G75" s="449"/>
      <c r="H75" s="449"/>
      <c r="I75" s="449"/>
      <c r="J75" s="450"/>
      <c r="K75" s="380"/>
      <c r="L75" s="239"/>
      <c r="M75" s="239"/>
      <c r="N75" s="286"/>
      <c r="O75" s="233"/>
    </row>
    <row r="76" spans="1:16" s="71" customFormat="1" ht="15" customHeight="1">
      <c r="A76" s="469"/>
      <c r="B76" s="254" t="s">
        <v>295</v>
      </c>
      <c r="C76" s="428"/>
      <c r="D76" s="428"/>
      <c r="E76" s="428"/>
      <c r="F76" s="428"/>
      <c r="G76" s="428"/>
      <c r="H76" s="428"/>
      <c r="I76" s="428"/>
      <c r="J76" s="429"/>
      <c r="K76" s="247"/>
      <c r="L76" s="240"/>
      <c r="M76" s="240"/>
      <c r="N76" s="287"/>
      <c r="O76" s="234"/>
    </row>
    <row r="77" spans="1:16" s="41" customFormat="1" ht="15">
      <c r="A77" s="300" t="s">
        <v>66</v>
      </c>
      <c r="B77" s="301"/>
      <c r="C77" s="301"/>
      <c r="D77" s="301"/>
      <c r="E77" s="301"/>
      <c r="F77" s="301"/>
      <c r="G77" s="301"/>
      <c r="H77" s="301"/>
      <c r="I77" s="301"/>
      <c r="J77" s="302"/>
      <c r="K77" s="74" t="s">
        <v>65</v>
      </c>
      <c r="L77" s="75" t="s">
        <v>27</v>
      </c>
      <c r="M77" s="75" t="s">
        <v>64</v>
      </c>
      <c r="N77" s="75" t="s">
        <v>63</v>
      </c>
      <c r="O77" s="75" t="s">
        <v>62</v>
      </c>
      <c r="P77" s="40"/>
    </row>
    <row r="78" spans="1:16" s="71" customFormat="1" ht="15" customHeight="1">
      <c r="A78" s="361" t="s">
        <v>267</v>
      </c>
      <c r="B78" s="309" t="s">
        <v>678</v>
      </c>
      <c r="C78" s="485"/>
      <c r="D78" s="485"/>
      <c r="E78" s="485"/>
      <c r="F78" s="485"/>
      <c r="G78" s="485"/>
      <c r="H78" s="485"/>
      <c r="I78" s="485"/>
      <c r="J78" s="486"/>
      <c r="K78" s="482">
        <v>10</v>
      </c>
      <c r="L78" s="480"/>
      <c r="M78" s="480"/>
      <c r="N78" s="481"/>
      <c r="O78" s="232" t="s">
        <v>76</v>
      </c>
    </row>
    <row r="79" spans="1:16" s="71" customFormat="1" ht="15" customHeight="1">
      <c r="A79" s="466"/>
      <c r="B79" s="243" t="s">
        <v>679</v>
      </c>
      <c r="C79" s="483"/>
      <c r="D79" s="483"/>
      <c r="E79" s="483"/>
      <c r="F79" s="483"/>
      <c r="G79" s="483"/>
      <c r="H79" s="483"/>
      <c r="I79" s="483"/>
      <c r="J79" s="484"/>
      <c r="K79" s="448"/>
      <c r="L79" s="452"/>
      <c r="M79" s="452"/>
      <c r="N79" s="468"/>
      <c r="O79" s="448"/>
    </row>
    <row r="80" spans="1:16" s="71" customFormat="1" ht="15" customHeight="1">
      <c r="A80" s="361" t="s">
        <v>287</v>
      </c>
      <c r="B80" s="309" t="s">
        <v>680</v>
      </c>
      <c r="C80" s="485"/>
      <c r="D80" s="485"/>
      <c r="E80" s="485"/>
      <c r="F80" s="485"/>
      <c r="G80" s="485"/>
      <c r="H80" s="485"/>
      <c r="I80" s="485"/>
      <c r="J80" s="486"/>
      <c r="K80" s="482">
        <v>5</v>
      </c>
      <c r="L80" s="480"/>
      <c r="M80" s="480"/>
      <c r="N80" s="480"/>
      <c r="O80" s="238"/>
    </row>
    <row r="81" spans="1:16" s="71" customFormat="1" ht="15" customHeight="1">
      <c r="A81" s="466"/>
      <c r="B81" s="298" t="s">
        <v>681</v>
      </c>
      <c r="C81" s="487"/>
      <c r="D81" s="487"/>
      <c r="E81" s="487"/>
      <c r="F81" s="487"/>
      <c r="G81" s="487"/>
      <c r="H81" s="487"/>
      <c r="I81" s="487"/>
      <c r="J81" s="488"/>
      <c r="K81" s="448"/>
      <c r="L81" s="452"/>
      <c r="M81" s="452"/>
      <c r="N81" s="452"/>
      <c r="O81" s="240"/>
    </row>
    <row r="82" spans="1:16" s="71" customFormat="1" ht="15" customHeight="1">
      <c r="A82" s="378" t="s">
        <v>288</v>
      </c>
      <c r="B82" s="309" t="s">
        <v>682</v>
      </c>
      <c r="C82" s="485"/>
      <c r="D82" s="485"/>
      <c r="E82" s="485"/>
      <c r="F82" s="485"/>
      <c r="G82" s="485"/>
      <c r="H82" s="485"/>
      <c r="I82" s="485"/>
      <c r="J82" s="486"/>
      <c r="K82" s="489">
        <v>10</v>
      </c>
      <c r="L82" s="480"/>
      <c r="M82" s="480"/>
      <c r="N82" s="493"/>
      <c r="O82" s="238"/>
    </row>
    <row r="83" spans="1:16" s="71" customFormat="1" ht="15" customHeight="1">
      <c r="A83" s="379"/>
      <c r="B83" s="298" t="s">
        <v>683</v>
      </c>
      <c r="C83" s="487"/>
      <c r="D83" s="487"/>
      <c r="E83" s="487"/>
      <c r="F83" s="487"/>
      <c r="G83" s="487"/>
      <c r="H83" s="487"/>
      <c r="I83" s="487"/>
      <c r="J83" s="488"/>
      <c r="K83" s="490"/>
      <c r="L83" s="492"/>
      <c r="M83" s="492"/>
      <c r="N83" s="494"/>
      <c r="O83" s="239"/>
    </row>
    <row r="84" spans="1:16" s="71" customFormat="1" ht="15" customHeight="1">
      <c r="A84" s="469"/>
      <c r="B84" s="243" t="s">
        <v>684</v>
      </c>
      <c r="C84" s="483"/>
      <c r="D84" s="483"/>
      <c r="E84" s="483"/>
      <c r="F84" s="483"/>
      <c r="G84" s="483"/>
      <c r="H84" s="483"/>
      <c r="I84" s="483"/>
      <c r="J84" s="484"/>
      <c r="K84" s="491"/>
      <c r="L84" s="452"/>
      <c r="M84" s="452"/>
      <c r="N84" s="446"/>
      <c r="O84" s="240"/>
    </row>
    <row r="85" spans="1:16" s="49" customFormat="1" ht="30" customHeight="1">
      <c r="A85" s="495" t="s">
        <v>305</v>
      </c>
      <c r="B85" s="495"/>
      <c r="C85" s="495"/>
      <c r="D85" s="495"/>
      <c r="E85" s="495"/>
      <c r="F85" s="495"/>
      <c r="G85" s="495"/>
      <c r="H85" s="495"/>
      <c r="I85" s="495"/>
      <c r="J85" s="495"/>
      <c r="K85" s="495"/>
      <c r="L85" s="495"/>
      <c r="M85" s="495"/>
      <c r="N85" s="495"/>
      <c r="O85" s="495"/>
    </row>
    <row r="86" spans="1:16" s="41" customFormat="1" ht="15">
      <c r="A86" s="300" t="s">
        <v>66</v>
      </c>
      <c r="B86" s="301"/>
      <c r="C86" s="301"/>
      <c r="D86" s="301"/>
      <c r="E86" s="301"/>
      <c r="F86" s="301"/>
      <c r="G86" s="301"/>
      <c r="H86" s="301"/>
      <c r="I86" s="301"/>
      <c r="J86" s="302"/>
      <c r="K86" s="74" t="s">
        <v>65</v>
      </c>
      <c r="L86" s="75" t="s">
        <v>27</v>
      </c>
      <c r="M86" s="75" t="s">
        <v>64</v>
      </c>
      <c r="N86" s="75" t="s">
        <v>63</v>
      </c>
      <c r="O86" s="75" t="s">
        <v>62</v>
      </c>
      <c r="P86" s="40"/>
    </row>
    <row r="87" spans="1:16" s="71" customFormat="1" ht="15" customHeight="1">
      <c r="A87" s="361" t="s">
        <v>289</v>
      </c>
      <c r="B87" s="298" t="s">
        <v>383</v>
      </c>
      <c r="C87" s="487"/>
      <c r="D87" s="487"/>
      <c r="E87" s="487"/>
      <c r="F87" s="487"/>
      <c r="G87" s="487"/>
      <c r="H87" s="487"/>
      <c r="I87" s="487"/>
      <c r="J87" s="488"/>
      <c r="K87" s="482">
        <v>10</v>
      </c>
      <c r="L87" s="480"/>
      <c r="M87" s="480"/>
      <c r="N87" s="493"/>
      <c r="O87" s="232" t="s">
        <v>76</v>
      </c>
    </row>
    <row r="88" spans="1:16" s="71" customFormat="1" ht="15" customHeight="1">
      <c r="A88" s="466"/>
      <c r="B88" s="243" t="s">
        <v>687</v>
      </c>
      <c r="C88" s="483"/>
      <c r="D88" s="483"/>
      <c r="E88" s="483"/>
      <c r="F88" s="483"/>
      <c r="G88" s="483"/>
      <c r="H88" s="483"/>
      <c r="I88" s="483"/>
      <c r="J88" s="484"/>
      <c r="K88" s="448"/>
      <c r="L88" s="452"/>
      <c r="M88" s="452"/>
      <c r="N88" s="446"/>
      <c r="O88" s="234"/>
    </row>
    <row r="89" spans="1:16" s="71" customFormat="1" ht="15" customHeight="1">
      <c r="A89" s="361" t="s">
        <v>290</v>
      </c>
      <c r="B89" s="298" t="s">
        <v>385</v>
      </c>
      <c r="C89" s="487"/>
      <c r="D89" s="487"/>
      <c r="E89" s="487"/>
      <c r="F89" s="487"/>
      <c r="G89" s="487"/>
      <c r="H89" s="487"/>
      <c r="I89" s="487"/>
      <c r="J89" s="488"/>
      <c r="K89" s="482">
        <v>10</v>
      </c>
      <c r="L89" s="480"/>
      <c r="M89" s="480"/>
      <c r="N89" s="493"/>
      <c r="O89" s="232" t="s">
        <v>76</v>
      </c>
    </row>
    <row r="90" spans="1:16" s="71" customFormat="1" ht="15" customHeight="1">
      <c r="A90" s="466"/>
      <c r="B90" s="243" t="s">
        <v>386</v>
      </c>
      <c r="C90" s="483"/>
      <c r="D90" s="483"/>
      <c r="E90" s="483"/>
      <c r="F90" s="483"/>
      <c r="G90" s="483"/>
      <c r="H90" s="483"/>
      <c r="I90" s="483"/>
      <c r="J90" s="484"/>
      <c r="K90" s="448"/>
      <c r="L90" s="452"/>
      <c r="M90" s="452"/>
      <c r="N90" s="446"/>
      <c r="O90" s="234"/>
    </row>
    <row r="91" spans="1:16" s="71" customFormat="1" ht="15" customHeight="1">
      <c r="A91" s="361" t="s">
        <v>685</v>
      </c>
      <c r="B91" s="298" t="s">
        <v>387</v>
      </c>
      <c r="C91" s="487"/>
      <c r="D91" s="487"/>
      <c r="E91" s="487"/>
      <c r="F91" s="487"/>
      <c r="G91" s="487"/>
      <c r="H91" s="487"/>
      <c r="I91" s="487"/>
      <c r="J91" s="488"/>
      <c r="K91" s="482">
        <v>5</v>
      </c>
      <c r="L91" s="480"/>
      <c r="M91" s="480"/>
      <c r="N91" s="480"/>
      <c r="O91" s="232" t="s">
        <v>603</v>
      </c>
    </row>
    <row r="92" spans="1:16" s="71" customFormat="1" ht="15" customHeight="1">
      <c r="A92" s="466"/>
      <c r="B92" s="243" t="s">
        <v>388</v>
      </c>
      <c r="C92" s="483"/>
      <c r="D92" s="483"/>
      <c r="E92" s="483"/>
      <c r="F92" s="483"/>
      <c r="G92" s="483"/>
      <c r="H92" s="483"/>
      <c r="I92" s="483"/>
      <c r="J92" s="484"/>
      <c r="K92" s="448"/>
      <c r="L92" s="452"/>
      <c r="M92" s="452"/>
      <c r="N92" s="452"/>
      <c r="O92" s="234"/>
    </row>
    <row r="93" spans="1:16" s="71" customFormat="1" ht="15" customHeight="1">
      <c r="A93" s="361" t="s">
        <v>686</v>
      </c>
      <c r="B93" s="309" t="s">
        <v>291</v>
      </c>
      <c r="C93" s="485"/>
      <c r="D93" s="485"/>
      <c r="E93" s="485"/>
      <c r="F93" s="485"/>
      <c r="G93" s="485"/>
      <c r="H93" s="485"/>
      <c r="I93" s="485"/>
      <c r="J93" s="486"/>
      <c r="K93" s="482">
        <v>5</v>
      </c>
      <c r="L93" s="480"/>
      <c r="M93" s="480"/>
      <c r="N93" s="481"/>
      <c r="O93" s="238"/>
    </row>
    <row r="94" spans="1:16" s="71" customFormat="1" ht="15" customHeight="1">
      <c r="A94" s="375"/>
      <c r="B94" s="298" t="s">
        <v>292</v>
      </c>
      <c r="C94" s="277"/>
      <c r="D94" s="277"/>
      <c r="E94" s="277"/>
      <c r="F94" s="277"/>
      <c r="G94" s="277"/>
      <c r="H94" s="277"/>
      <c r="I94" s="277"/>
      <c r="J94" s="488"/>
      <c r="K94" s="497"/>
      <c r="L94" s="498"/>
      <c r="M94" s="498"/>
      <c r="N94" s="499"/>
      <c r="O94" s="239"/>
    </row>
    <row r="95" spans="1:16" s="71" customFormat="1" ht="15" customHeight="1">
      <c r="A95" s="466"/>
      <c r="B95" s="243" t="s">
        <v>293</v>
      </c>
      <c r="C95" s="483"/>
      <c r="D95" s="483"/>
      <c r="E95" s="483"/>
      <c r="F95" s="483"/>
      <c r="G95" s="483"/>
      <c r="H95" s="483"/>
      <c r="I95" s="483"/>
      <c r="J95" s="484"/>
      <c r="K95" s="448"/>
      <c r="L95" s="452"/>
      <c r="M95" s="452"/>
      <c r="N95" s="468"/>
      <c r="O95" s="240"/>
    </row>
    <row r="96" spans="1:16" ht="30" customHeight="1">
      <c r="A96" s="496" t="s">
        <v>613</v>
      </c>
      <c r="B96" s="496"/>
      <c r="C96" s="496"/>
      <c r="D96" s="496"/>
      <c r="E96" s="496"/>
      <c r="F96" s="496"/>
      <c r="G96" s="496"/>
      <c r="H96" s="496"/>
      <c r="I96" s="496"/>
      <c r="J96" s="496"/>
      <c r="K96" s="496"/>
      <c r="L96" s="496"/>
      <c r="M96" s="496"/>
      <c r="N96" s="496"/>
      <c r="O96" s="496"/>
    </row>
    <row r="97" spans="1:20" s="41" customFormat="1" ht="15">
      <c r="A97" s="300" t="s">
        <v>66</v>
      </c>
      <c r="B97" s="301"/>
      <c r="C97" s="301"/>
      <c r="D97" s="301"/>
      <c r="E97" s="301"/>
      <c r="F97" s="301"/>
      <c r="G97" s="301"/>
      <c r="H97" s="301"/>
      <c r="I97" s="301"/>
      <c r="J97" s="302"/>
      <c r="K97" s="74" t="s">
        <v>65</v>
      </c>
      <c r="L97" s="75" t="s">
        <v>27</v>
      </c>
      <c r="M97" s="75" t="s">
        <v>64</v>
      </c>
      <c r="N97" s="75" t="s">
        <v>63</v>
      </c>
      <c r="O97" s="75" t="s">
        <v>62</v>
      </c>
      <c r="P97" s="40"/>
    </row>
    <row r="98" spans="1:20" s="71" customFormat="1" ht="15" customHeight="1">
      <c r="A98" s="378" t="s">
        <v>688</v>
      </c>
      <c r="B98" s="309" t="s">
        <v>689</v>
      </c>
      <c r="C98" s="485"/>
      <c r="D98" s="485"/>
      <c r="E98" s="485"/>
      <c r="F98" s="485"/>
      <c r="G98" s="485"/>
      <c r="H98" s="485"/>
      <c r="I98" s="485"/>
      <c r="J98" s="486"/>
      <c r="K98" s="489">
        <v>10</v>
      </c>
      <c r="L98" s="480"/>
      <c r="M98" s="480"/>
      <c r="N98" s="481"/>
      <c r="O98" s="232" t="s">
        <v>76</v>
      </c>
    </row>
    <row r="99" spans="1:20" s="71" customFormat="1" ht="15" customHeight="1">
      <c r="A99" s="379"/>
      <c r="B99" s="298" t="s">
        <v>795</v>
      </c>
      <c r="C99" s="487"/>
      <c r="D99" s="487"/>
      <c r="E99" s="487"/>
      <c r="F99" s="487"/>
      <c r="G99" s="487"/>
      <c r="H99" s="487"/>
      <c r="I99" s="487"/>
      <c r="J99" s="488"/>
      <c r="K99" s="500"/>
      <c r="L99" s="498"/>
      <c r="M99" s="498"/>
      <c r="N99" s="499"/>
      <c r="O99" s="233"/>
    </row>
    <row r="100" spans="1:20" s="71" customFormat="1" ht="15" customHeight="1">
      <c r="A100" s="379"/>
      <c r="B100" s="298" t="s">
        <v>796</v>
      </c>
      <c r="C100" s="487"/>
      <c r="D100" s="487"/>
      <c r="E100" s="487"/>
      <c r="F100" s="487"/>
      <c r="G100" s="487"/>
      <c r="H100" s="487"/>
      <c r="I100" s="487"/>
      <c r="J100" s="488"/>
      <c r="K100" s="500"/>
      <c r="L100" s="498"/>
      <c r="M100" s="498"/>
      <c r="N100" s="499"/>
      <c r="O100" s="233"/>
    </row>
    <row r="101" spans="1:20" s="71" customFormat="1" ht="15" customHeight="1">
      <c r="A101" s="469"/>
      <c r="B101" s="243" t="s">
        <v>797</v>
      </c>
      <c r="C101" s="483"/>
      <c r="D101" s="483"/>
      <c r="E101" s="483"/>
      <c r="F101" s="483"/>
      <c r="G101" s="483"/>
      <c r="H101" s="483"/>
      <c r="I101" s="483"/>
      <c r="J101" s="484"/>
      <c r="K101" s="491"/>
      <c r="L101" s="452"/>
      <c r="M101" s="452"/>
      <c r="N101" s="468"/>
      <c r="O101" s="234"/>
    </row>
    <row r="102" spans="1:20" s="53" customFormat="1" ht="6" customHeight="1">
      <c r="A102" s="265"/>
      <c r="B102" s="265"/>
      <c r="C102" s="265"/>
      <c r="D102" s="265"/>
      <c r="E102" s="265"/>
      <c r="F102" s="265"/>
      <c r="G102" s="265"/>
      <c r="H102" s="265"/>
      <c r="I102" s="265"/>
      <c r="J102" s="265"/>
      <c r="K102" s="265"/>
      <c r="L102" s="265"/>
      <c r="M102" s="265"/>
      <c r="N102" s="265"/>
      <c r="O102" s="265"/>
      <c r="P102" s="7"/>
    </row>
    <row r="103" spans="1:20" s="53" customFormat="1" ht="15" customHeight="1">
      <c r="A103" s="263" t="s">
        <v>112</v>
      </c>
      <c r="B103" s="264"/>
      <c r="C103" s="264"/>
      <c r="D103" s="84"/>
      <c r="E103" s="266"/>
      <c r="F103" s="266"/>
      <c r="G103" s="266"/>
      <c r="H103" s="266"/>
      <c r="I103" s="266"/>
      <c r="J103" s="266"/>
      <c r="K103" s="266"/>
      <c r="L103" s="266"/>
      <c r="M103" s="266"/>
      <c r="N103" s="266"/>
      <c r="O103" s="267"/>
      <c r="P103" s="7"/>
    </row>
    <row r="104" spans="1:20" s="53" customFormat="1" ht="27" customHeight="1">
      <c r="A104" s="231"/>
      <c r="B104" s="231"/>
      <c r="C104" s="231"/>
      <c r="D104" s="231"/>
      <c r="E104" s="231"/>
      <c r="F104" s="231"/>
      <c r="G104" s="231"/>
      <c r="H104" s="231"/>
      <c r="I104" s="231"/>
      <c r="J104" s="231"/>
      <c r="K104" s="231"/>
      <c r="L104" s="231"/>
      <c r="M104" s="231"/>
      <c r="N104" s="231"/>
      <c r="O104" s="231"/>
      <c r="P104" s="7"/>
    </row>
    <row r="105" spans="1:20" s="53" customFormat="1" ht="27" customHeight="1">
      <c r="A105" s="231"/>
      <c r="B105" s="231"/>
      <c r="C105" s="231"/>
      <c r="D105" s="231"/>
      <c r="E105" s="231"/>
      <c r="F105" s="231"/>
      <c r="G105" s="231"/>
      <c r="H105" s="231"/>
      <c r="I105" s="231"/>
      <c r="J105" s="231"/>
      <c r="K105" s="231"/>
      <c r="L105" s="231"/>
      <c r="M105" s="231"/>
      <c r="N105" s="231"/>
      <c r="O105" s="231"/>
      <c r="P105" s="7"/>
    </row>
    <row r="106" spans="1:20" s="53" customFormat="1" ht="27" customHeight="1">
      <c r="A106" s="231"/>
      <c r="B106" s="231"/>
      <c r="C106" s="231"/>
      <c r="D106" s="231"/>
      <c r="E106" s="231"/>
      <c r="F106" s="231"/>
      <c r="G106" s="231"/>
      <c r="H106" s="231"/>
      <c r="I106" s="231"/>
      <c r="J106" s="231"/>
      <c r="K106" s="231"/>
      <c r="L106" s="231"/>
      <c r="M106" s="231"/>
      <c r="N106" s="231"/>
      <c r="O106" s="231"/>
      <c r="P106" s="7"/>
    </row>
    <row r="107" spans="1:20" s="53" customFormat="1" ht="27" customHeight="1">
      <c r="A107" s="231"/>
      <c r="B107" s="231"/>
      <c r="C107" s="231"/>
      <c r="D107" s="231"/>
      <c r="E107" s="231"/>
      <c r="F107" s="231"/>
      <c r="G107" s="231"/>
      <c r="H107" s="231"/>
      <c r="I107" s="231"/>
      <c r="J107" s="231"/>
      <c r="K107" s="231"/>
      <c r="L107" s="231"/>
      <c r="M107" s="231"/>
      <c r="N107" s="231"/>
      <c r="O107" s="231"/>
      <c r="P107" s="7"/>
    </row>
    <row r="108" spans="1:20" s="53" customFormat="1" ht="27" customHeight="1">
      <c r="A108" s="231"/>
      <c r="B108" s="231"/>
      <c r="C108" s="231"/>
      <c r="D108" s="231"/>
      <c r="E108" s="231"/>
      <c r="F108" s="231"/>
      <c r="G108" s="231"/>
      <c r="H108" s="231"/>
      <c r="I108" s="231"/>
      <c r="J108" s="231"/>
      <c r="K108" s="231"/>
      <c r="L108" s="231"/>
      <c r="M108" s="231"/>
      <c r="N108" s="231"/>
      <c r="O108" s="231"/>
      <c r="P108" s="7"/>
    </row>
    <row r="109" spans="1:20" s="53" customFormat="1" ht="27" customHeight="1">
      <c r="A109" s="231"/>
      <c r="B109" s="231"/>
      <c r="C109" s="231"/>
      <c r="D109" s="231"/>
      <c r="E109" s="231"/>
      <c r="F109" s="231"/>
      <c r="G109" s="231"/>
      <c r="H109" s="231"/>
      <c r="I109" s="231"/>
      <c r="J109" s="231"/>
      <c r="K109" s="231"/>
      <c r="L109" s="231"/>
      <c r="M109" s="231"/>
      <c r="N109" s="231"/>
      <c r="O109" s="231"/>
      <c r="P109" s="7"/>
    </row>
    <row r="110" spans="1:20" s="53" customFormat="1" ht="27" customHeight="1">
      <c r="A110" s="231"/>
      <c r="B110" s="231"/>
      <c r="C110" s="231"/>
      <c r="D110" s="231"/>
      <c r="E110" s="231"/>
      <c r="F110" s="231"/>
      <c r="G110" s="231"/>
      <c r="H110" s="231"/>
      <c r="I110" s="231"/>
      <c r="J110" s="231"/>
      <c r="K110" s="231"/>
      <c r="L110" s="231"/>
      <c r="M110" s="231"/>
      <c r="N110" s="231"/>
      <c r="O110" s="231"/>
      <c r="Q110" s="34"/>
      <c r="R110" s="56"/>
      <c r="S110" s="56"/>
      <c r="T110" s="56"/>
    </row>
    <row r="111" spans="1:20" s="53" customFormat="1" ht="27" customHeight="1">
      <c r="A111" s="231"/>
      <c r="B111" s="231"/>
      <c r="C111" s="231"/>
      <c r="D111" s="231"/>
      <c r="E111" s="231"/>
      <c r="F111" s="231"/>
      <c r="G111" s="231"/>
      <c r="H111" s="231"/>
      <c r="I111" s="231"/>
      <c r="J111" s="231"/>
      <c r="K111" s="231"/>
      <c r="L111" s="231"/>
      <c r="M111" s="231"/>
      <c r="N111" s="231"/>
      <c r="O111" s="231"/>
      <c r="P111" s="7"/>
    </row>
    <row r="112" spans="1:20" s="53" customFormat="1" ht="27" customHeight="1">
      <c r="A112" s="231"/>
      <c r="B112" s="231"/>
      <c r="C112" s="231"/>
      <c r="D112" s="231"/>
      <c r="E112" s="231"/>
      <c r="F112" s="231"/>
      <c r="G112" s="231"/>
      <c r="H112" s="231"/>
      <c r="I112" s="231"/>
      <c r="J112" s="231"/>
      <c r="K112" s="231"/>
      <c r="L112" s="231"/>
      <c r="M112" s="231"/>
      <c r="N112" s="231"/>
      <c r="O112" s="231"/>
      <c r="P112" s="7"/>
    </row>
    <row r="113" spans="1:20" s="53" customFormat="1" ht="27" customHeight="1">
      <c r="A113" s="231"/>
      <c r="B113" s="231"/>
      <c r="C113" s="231"/>
      <c r="D113" s="231"/>
      <c r="E113" s="231"/>
      <c r="F113" s="231"/>
      <c r="G113" s="231"/>
      <c r="H113" s="231"/>
      <c r="I113" s="231"/>
      <c r="J113" s="231"/>
      <c r="K113" s="231"/>
      <c r="L113" s="231"/>
      <c r="M113" s="231"/>
      <c r="N113" s="231"/>
      <c r="O113" s="231"/>
      <c r="Q113" s="34"/>
      <c r="R113" s="56"/>
      <c r="S113" s="56"/>
      <c r="T113" s="56"/>
    </row>
    <row r="114" spans="1:20" s="53" customFormat="1" ht="27" customHeight="1">
      <c r="A114" s="231"/>
      <c r="B114" s="231"/>
      <c r="C114" s="231"/>
      <c r="D114" s="231"/>
      <c r="E114" s="231"/>
      <c r="F114" s="231"/>
      <c r="G114" s="231"/>
      <c r="H114" s="231"/>
      <c r="I114" s="231"/>
      <c r="J114" s="231"/>
      <c r="K114" s="231"/>
      <c r="L114" s="231"/>
      <c r="M114" s="231"/>
      <c r="N114" s="231"/>
      <c r="O114" s="231"/>
      <c r="P114" s="7"/>
    </row>
    <row r="115" spans="1:20" s="53" customFormat="1" ht="27" customHeight="1">
      <c r="A115" s="231"/>
      <c r="B115" s="231"/>
      <c r="C115" s="231"/>
      <c r="D115" s="231"/>
      <c r="E115" s="231"/>
      <c r="F115" s="231"/>
      <c r="G115" s="231"/>
      <c r="H115" s="231"/>
      <c r="I115" s="231"/>
      <c r="J115" s="231"/>
      <c r="K115" s="231"/>
      <c r="L115" s="231"/>
      <c r="M115" s="231"/>
      <c r="N115" s="231"/>
      <c r="O115" s="231"/>
      <c r="Q115" s="34"/>
      <c r="R115" s="56"/>
      <c r="S115" s="56"/>
      <c r="T115" s="56"/>
    </row>
    <row r="116" spans="1:20" s="53" customFormat="1" ht="27" customHeight="1">
      <c r="A116" s="231"/>
      <c r="B116" s="231"/>
      <c r="C116" s="231"/>
      <c r="D116" s="231"/>
      <c r="E116" s="231"/>
      <c r="F116" s="231"/>
      <c r="G116" s="231"/>
      <c r="H116" s="231"/>
      <c r="I116" s="231"/>
      <c r="J116" s="231"/>
      <c r="K116" s="231"/>
      <c r="L116" s="231"/>
      <c r="M116" s="231"/>
      <c r="N116" s="231"/>
      <c r="O116" s="231"/>
      <c r="Q116" s="34"/>
      <c r="R116" s="56"/>
      <c r="S116" s="56"/>
      <c r="T116" s="56"/>
    </row>
    <row r="117" spans="1:20" s="53" customFormat="1" ht="27" customHeight="1">
      <c r="A117" s="231"/>
      <c r="B117" s="231"/>
      <c r="C117" s="231"/>
      <c r="D117" s="231"/>
      <c r="E117" s="231"/>
      <c r="F117" s="231"/>
      <c r="G117" s="231"/>
      <c r="H117" s="231"/>
      <c r="I117" s="231"/>
      <c r="J117" s="231"/>
      <c r="K117" s="231"/>
      <c r="L117" s="231"/>
      <c r="M117" s="231"/>
      <c r="N117" s="231"/>
      <c r="O117" s="231"/>
      <c r="P117" s="7"/>
    </row>
    <row r="118" spans="1:20" s="53" customFormat="1" ht="27" customHeight="1">
      <c r="A118" s="231"/>
      <c r="B118" s="231"/>
      <c r="C118" s="231"/>
      <c r="D118" s="231"/>
      <c r="E118" s="231"/>
      <c r="F118" s="231"/>
      <c r="G118" s="231"/>
      <c r="H118" s="231"/>
      <c r="I118" s="231"/>
      <c r="J118" s="231"/>
      <c r="K118" s="231"/>
      <c r="L118" s="231"/>
      <c r="M118" s="231"/>
      <c r="N118" s="231"/>
      <c r="O118" s="231"/>
      <c r="Q118" s="34"/>
      <c r="R118" s="56"/>
      <c r="S118" s="56"/>
      <c r="T118" s="56"/>
    </row>
    <row r="119" spans="1:20" s="53" customFormat="1" ht="27" customHeight="1">
      <c r="A119" s="231"/>
      <c r="B119" s="231"/>
      <c r="C119" s="231"/>
      <c r="D119" s="231"/>
      <c r="E119" s="231"/>
      <c r="F119" s="231"/>
      <c r="G119" s="231"/>
      <c r="H119" s="231"/>
      <c r="I119" s="231"/>
      <c r="J119" s="231"/>
      <c r="K119" s="231"/>
      <c r="L119" s="231"/>
      <c r="M119" s="231"/>
      <c r="N119" s="231"/>
      <c r="O119" s="231"/>
      <c r="Q119" s="34"/>
      <c r="R119" s="56"/>
      <c r="S119" s="56"/>
      <c r="T119" s="56"/>
    </row>
    <row r="120" spans="1:20" s="53" customFormat="1" ht="27" customHeight="1">
      <c r="A120" s="231"/>
      <c r="B120" s="231"/>
      <c r="C120" s="231"/>
      <c r="D120" s="231"/>
      <c r="E120" s="231"/>
      <c r="F120" s="231"/>
      <c r="G120" s="231"/>
      <c r="H120" s="231"/>
      <c r="I120" s="231"/>
      <c r="J120" s="231"/>
      <c r="K120" s="231"/>
      <c r="L120" s="231"/>
      <c r="M120" s="231"/>
      <c r="N120" s="231"/>
      <c r="O120" s="231"/>
      <c r="P120" s="7"/>
    </row>
    <row r="121" spans="1:20" s="53" customFormat="1" ht="27" customHeight="1">
      <c r="A121" s="231"/>
      <c r="B121" s="231"/>
      <c r="C121" s="231"/>
      <c r="D121" s="231"/>
      <c r="E121" s="231"/>
      <c r="F121" s="231"/>
      <c r="G121" s="231"/>
      <c r="H121" s="231"/>
      <c r="I121" s="231"/>
      <c r="J121" s="231"/>
      <c r="K121" s="231"/>
      <c r="L121" s="231"/>
      <c r="M121" s="231"/>
      <c r="N121" s="231"/>
      <c r="O121" s="231"/>
      <c r="Q121" s="34"/>
      <c r="R121" s="56"/>
      <c r="S121" s="56"/>
      <c r="T121" s="56"/>
    </row>
    <row r="122" spans="1:20" s="53" customFormat="1" ht="27" customHeight="1">
      <c r="A122" s="231"/>
      <c r="B122" s="231"/>
      <c r="C122" s="231"/>
      <c r="D122" s="231"/>
      <c r="E122" s="231"/>
      <c r="F122" s="231"/>
      <c r="G122" s="231"/>
      <c r="H122" s="231"/>
      <c r="I122" s="231"/>
      <c r="J122" s="231"/>
      <c r="K122" s="231"/>
      <c r="L122" s="231"/>
      <c r="M122" s="231"/>
      <c r="N122" s="231"/>
      <c r="O122" s="231"/>
      <c r="Q122" s="34"/>
      <c r="R122" s="56"/>
      <c r="S122" s="56"/>
      <c r="T122" s="56"/>
    </row>
    <row r="123" spans="1:20" s="53" customFormat="1" ht="27" customHeight="1">
      <c r="A123" s="231"/>
      <c r="B123" s="231"/>
      <c r="C123" s="231"/>
      <c r="D123" s="231"/>
      <c r="E123" s="231"/>
      <c r="F123" s="231"/>
      <c r="G123" s="231"/>
      <c r="H123" s="231"/>
      <c r="I123" s="231"/>
      <c r="J123" s="231"/>
      <c r="K123" s="231"/>
      <c r="L123" s="231"/>
      <c r="M123" s="231"/>
      <c r="N123" s="231"/>
      <c r="O123" s="231"/>
      <c r="P123" s="7"/>
    </row>
    <row r="124" spans="1:20" s="53" customFormat="1" ht="27" customHeight="1">
      <c r="A124" s="231"/>
      <c r="B124" s="231"/>
      <c r="C124" s="231"/>
      <c r="D124" s="231"/>
      <c r="E124" s="231"/>
      <c r="F124" s="231"/>
      <c r="G124" s="231"/>
      <c r="H124" s="231"/>
      <c r="I124" s="231"/>
      <c r="J124" s="231"/>
      <c r="K124" s="231"/>
      <c r="L124" s="231"/>
      <c r="M124" s="231"/>
      <c r="N124" s="231"/>
      <c r="O124" s="231"/>
      <c r="Q124" s="34"/>
      <c r="R124" s="56"/>
      <c r="S124" s="56"/>
      <c r="T124" s="56"/>
    </row>
    <row r="125" spans="1:20" s="53" customFormat="1" ht="27" customHeight="1">
      <c r="A125" s="231"/>
      <c r="B125" s="231"/>
      <c r="C125" s="231"/>
      <c r="D125" s="231"/>
      <c r="E125" s="231"/>
      <c r="F125" s="231"/>
      <c r="G125" s="231"/>
      <c r="H125" s="231"/>
      <c r="I125" s="231"/>
      <c r="J125" s="231"/>
      <c r="K125" s="231"/>
      <c r="L125" s="231"/>
      <c r="M125" s="231"/>
      <c r="N125" s="231"/>
      <c r="O125" s="231"/>
      <c r="Q125" s="34"/>
      <c r="R125" s="56"/>
      <c r="S125" s="56"/>
      <c r="T125" s="56"/>
    </row>
    <row r="126" spans="1:20" s="53" customFormat="1">
      <c r="A126" s="167"/>
      <c r="B126" s="167"/>
      <c r="C126" s="167"/>
      <c r="D126" s="167"/>
      <c r="E126" s="167"/>
      <c r="F126" s="167"/>
      <c r="G126" s="167"/>
      <c r="H126" s="167"/>
      <c r="I126" s="167"/>
      <c r="J126" s="167"/>
      <c r="K126" s="167"/>
      <c r="L126" s="167"/>
      <c r="M126" s="167"/>
      <c r="N126" s="167"/>
      <c r="O126" s="167"/>
    </row>
    <row r="127" spans="1:20" s="53" customFormat="1" ht="27" customHeight="1" thickBot="1">
      <c r="A127" s="464" t="s">
        <v>910</v>
      </c>
      <c r="B127" s="179"/>
      <c r="C127" s="179"/>
      <c r="D127" s="179"/>
      <c r="E127" s="179"/>
      <c r="F127" s="179"/>
      <c r="G127" s="179"/>
      <c r="H127" s="179"/>
      <c r="I127" s="179"/>
      <c r="J127" s="117">
        <f>L4+L7+L12+L14+L18+L20+L23+L26+L29+L31+L33+L38+L41+L44+L49+L52+L54+L56+L58+L62+L63+L65+L66+L68+L70+L73+L78+L80+L82+L87+L89+L91+L93+L98</f>
        <v>0</v>
      </c>
      <c r="K127" s="151"/>
      <c r="L127" s="151"/>
      <c r="M127" s="151"/>
      <c r="N127" s="151"/>
      <c r="O127" s="151"/>
    </row>
    <row r="128" spans="1:20" s="53" customFormat="1" ht="27" customHeight="1" thickBot="1">
      <c r="A128" s="224" t="s">
        <v>707</v>
      </c>
      <c r="B128" s="224"/>
      <c r="C128" s="224"/>
      <c r="D128" s="116" t="s">
        <v>704</v>
      </c>
      <c r="E128" s="113">
        <v>290</v>
      </c>
      <c r="F128" s="103"/>
      <c r="G128" s="230" t="s">
        <v>708</v>
      </c>
      <c r="H128" s="230"/>
      <c r="I128" s="277"/>
      <c r="J128" s="277"/>
      <c r="K128" s="277"/>
      <c r="L128" s="277"/>
      <c r="M128" s="277"/>
      <c r="N128" s="277"/>
      <c r="O128" s="277"/>
    </row>
    <row r="129" spans="1:15" s="53" customFormat="1" ht="27" customHeight="1" thickBot="1">
      <c r="A129" s="174" t="s">
        <v>705</v>
      </c>
      <c r="B129" s="174"/>
      <c r="C129" s="174"/>
      <c r="D129" s="116" t="s">
        <v>704</v>
      </c>
      <c r="E129" s="114">
        <f>N4+N12+N14+N18+N20+N23+N26+N29+N31+N33+N41+N44+N49+N52+N58+N65+N68+N80+N91</f>
        <v>0</v>
      </c>
      <c r="F129" s="103"/>
      <c r="G129" s="230" t="s">
        <v>712</v>
      </c>
      <c r="H129" s="230"/>
      <c r="I129" s="230"/>
      <c r="J129" s="230"/>
      <c r="K129" s="230"/>
      <c r="L129" s="230"/>
      <c r="M129" s="230"/>
      <c r="N129" s="230"/>
      <c r="O129" s="230"/>
    </row>
    <row r="130" spans="1:15" s="53" customFormat="1" ht="27" customHeight="1" thickBot="1">
      <c r="A130" s="174" t="s">
        <v>709</v>
      </c>
      <c r="B130" s="174"/>
      <c r="C130" s="174"/>
      <c r="D130" s="116" t="s">
        <v>704</v>
      </c>
      <c r="E130" s="114">
        <f>E128-E129</f>
        <v>290</v>
      </c>
      <c r="F130" s="103"/>
      <c r="G130" s="230" t="s">
        <v>713</v>
      </c>
      <c r="H130" s="230"/>
      <c r="I130" s="230"/>
      <c r="J130" s="230"/>
      <c r="K130" s="230"/>
      <c r="L130" s="230"/>
      <c r="M130" s="230"/>
      <c r="N130" s="230"/>
      <c r="O130" s="230"/>
    </row>
    <row r="131" spans="1:15" s="53" customFormat="1" ht="36" customHeight="1">
      <c r="A131" s="278" t="s">
        <v>710</v>
      </c>
      <c r="B131" s="278"/>
      <c r="C131" s="278"/>
      <c r="D131" s="151"/>
      <c r="E131" s="151"/>
      <c r="F131" s="151"/>
      <c r="G131" s="229" t="s">
        <v>714</v>
      </c>
      <c r="H131" s="229"/>
      <c r="I131" s="229"/>
      <c r="J131" s="229"/>
      <c r="K131" s="229"/>
      <c r="L131" s="229"/>
      <c r="M131" s="229"/>
      <c r="N131" s="229"/>
      <c r="O131" s="229"/>
    </row>
    <row r="132" spans="1:15" s="53" customFormat="1" ht="27" customHeight="1" thickBot="1">
      <c r="A132" s="174" t="s">
        <v>711</v>
      </c>
      <c r="B132" s="174"/>
      <c r="C132" s="174"/>
      <c r="D132" s="116" t="s">
        <v>704</v>
      </c>
      <c r="E132" s="113">
        <f>E130*0.8</f>
        <v>232</v>
      </c>
      <c r="F132" s="103"/>
      <c r="G132" s="230"/>
      <c r="H132" s="230"/>
      <c r="I132" s="230"/>
      <c r="J132" s="230"/>
      <c r="K132" s="230"/>
      <c r="L132" s="230"/>
      <c r="M132" s="230"/>
      <c r="N132" s="230"/>
      <c r="O132" s="230"/>
    </row>
    <row r="133" spans="1:15" s="53" customFormat="1" ht="15" customHeight="1">
      <c r="A133" s="167"/>
      <c r="B133" s="167"/>
      <c r="C133" s="167"/>
      <c r="D133" s="167"/>
      <c r="E133" s="167"/>
      <c r="F133" s="167"/>
      <c r="G133" s="167"/>
      <c r="H133" s="167"/>
      <c r="I133" s="167"/>
      <c r="J133" s="167"/>
      <c r="K133" s="167"/>
      <c r="L133" s="167"/>
      <c r="M133" s="167"/>
      <c r="N133" s="167"/>
      <c r="O133" s="167"/>
    </row>
    <row r="134" spans="1:15" s="53" customFormat="1" ht="18" customHeight="1">
      <c r="A134" s="167"/>
      <c r="B134" s="167"/>
      <c r="C134" s="154"/>
      <c r="D134" s="88"/>
      <c r="E134" s="70" t="s">
        <v>575</v>
      </c>
      <c r="F134" s="225"/>
      <c r="G134" s="226"/>
      <c r="H134" s="88"/>
      <c r="I134" s="174" t="s">
        <v>574</v>
      </c>
      <c r="J134" s="262"/>
      <c r="K134" s="224" t="s">
        <v>715</v>
      </c>
      <c r="L134" s="224"/>
      <c r="M134" s="224"/>
      <c r="N134" s="224"/>
      <c r="O134" s="224"/>
    </row>
    <row r="135" spans="1:15" s="53" customFormat="1">
      <c r="A135" s="180"/>
      <c r="B135" s="180"/>
      <c r="C135" s="180"/>
      <c r="D135" s="180"/>
      <c r="E135" s="180"/>
      <c r="F135" s="180"/>
      <c r="G135" s="180"/>
      <c r="H135" s="180"/>
      <c r="I135" s="180"/>
      <c r="J135" s="180"/>
      <c r="K135" s="180"/>
      <c r="L135" s="180"/>
      <c r="M135" s="180"/>
      <c r="N135" s="180"/>
      <c r="O135" s="180"/>
    </row>
    <row r="136" spans="1:15" s="53" customFormat="1">
      <c r="A136" s="417" t="s">
        <v>740</v>
      </c>
      <c r="B136" s="265"/>
      <c r="C136" s="265"/>
      <c r="D136" s="265"/>
      <c r="E136" s="265"/>
      <c r="F136" s="265"/>
      <c r="G136" s="265"/>
      <c r="H136" s="265"/>
      <c r="I136" s="265"/>
      <c r="J136" s="265"/>
      <c r="K136" s="265"/>
      <c r="L136" s="265"/>
      <c r="M136" s="265"/>
      <c r="N136" s="265"/>
      <c r="O136" s="418"/>
    </row>
    <row r="137" spans="1:15" s="53" customFormat="1">
      <c r="A137" s="397" t="s">
        <v>741</v>
      </c>
      <c r="B137" s="398"/>
      <c r="C137" s="398"/>
      <c r="D137" s="398"/>
      <c r="E137" s="398"/>
      <c r="F137" s="398"/>
      <c r="G137" s="398"/>
      <c r="H137" s="398"/>
      <c r="I137" s="398"/>
      <c r="J137" s="398"/>
      <c r="K137" s="398"/>
      <c r="L137" s="398"/>
      <c r="M137" s="398"/>
      <c r="N137" s="398"/>
      <c r="O137" s="399"/>
    </row>
    <row r="138" spans="1:15" s="53" customFormat="1">
      <c r="A138" s="397" t="s">
        <v>742</v>
      </c>
      <c r="B138" s="398"/>
      <c r="C138" s="398"/>
      <c r="D138" s="398"/>
      <c r="E138" s="398"/>
      <c r="F138" s="398"/>
      <c r="G138" s="398"/>
      <c r="H138" s="398"/>
      <c r="I138" s="398"/>
      <c r="J138" s="398"/>
      <c r="K138" s="398"/>
      <c r="L138" s="398"/>
      <c r="M138" s="398"/>
      <c r="N138" s="398"/>
      <c r="O138" s="399"/>
    </row>
    <row r="139" spans="1:15" s="53" customFormat="1">
      <c r="A139" s="400" t="s">
        <v>916</v>
      </c>
      <c r="B139" s="401"/>
      <c r="C139" s="401"/>
      <c r="D139" s="401"/>
      <c r="E139" s="401"/>
      <c r="F139" s="401"/>
      <c r="G139" s="401"/>
      <c r="H139" s="401"/>
      <c r="I139" s="401"/>
      <c r="J139" s="401"/>
      <c r="K139" s="401"/>
      <c r="L139" s="401"/>
      <c r="M139" s="401"/>
      <c r="N139" s="401"/>
      <c r="O139" s="402"/>
    </row>
  </sheetData>
  <sheetProtection password="D6D7" sheet="1" objects="1" scenarios="1"/>
  <mergeCells count="342">
    <mergeCell ref="A98:A101"/>
    <mergeCell ref="B98:J98"/>
    <mergeCell ref="K98:K101"/>
    <mergeCell ref="L98:L101"/>
    <mergeCell ref="M98:M101"/>
    <mergeCell ref="N98:N101"/>
    <mergeCell ref="O98:O101"/>
    <mergeCell ref="B99:J99"/>
    <mergeCell ref="B101:J101"/>
    <mergeCell ref="B100:J100"/>
    <mergeCell ref="A91:A92"/>
    <mergeCell ref="B91:J91"/>
    <mergeCell ref="K91:K92"/>
    <mergeCell ref="L91:L92"/>
    <mergeCell ref="M91:M92"/>
    <mergeCell ref="N91:N92"/>
    <mergeCell ref="O91:O92"/>
    <mergeCell ref="B92:J92"/>
    <mergeCell ref="A97:J97"/>
    <mergeCell ref="A96:O96"/>
    <mergeCell ref="A93:A95"/>
    <mergeCell ref="B93:J93"/>
    <mergeCell ref="K93:K95"/>
    <mergeCell ref="L93:L95"/>
    <mergeCell ref="M93:M95"/>
    <mergeCell ref="N93:N95"/>
    <mergeCell ref="O93:O95"/>
    <mergeCell ref="B94:J94"/>
    <mergeCell ref="B95:J95"/>
    <mergeCell ref="M89:M90"/>
    <mergeCell ref="N89:N90"/>
    <mergeCell ref="O89:O90"/>
    <mergeCell ref="N80:N81"/>
    <mergeCell ref="O80:O81"/>
    <mergeCell ref="B81:J81"/>
    <mergeCell ref="L87:L88"/>
    <mergeCell ref="M87:M88"/>
    <mergeCell ref="N87:N88"/>
    <mergeCell ref="O87:O88"/>
    <mergeCell ref="B88:J88"/>
    <mergeCell ref="A86:J86"/>
    <mergeCell ref="O78:O79"/>
    <mergeCell ref="B90:J90"/>
    <mergeCell ref="B89:J89"/>
    <mergeCell ref="A82:A84"/>
    <mergeCell ref="B82:J82"/>
    <mergeCell ref="K82:K84"/>
    <mergeCell ref="L82:L84"/>
    <mergeCell ref="M82:M84"/>
    <mergeCell ref="N82:N84"/>
    <mergeCell ref="O82:O84"/>
    <mergeCell ref="B84:J84"/>
    <mergeCell ref="A80:A81"/>
    <mergeCell ref="B80:J80"/>
    <mergeCell ref="K80:K81"/>
    <mergeCell ref="L80:L81"/>
    <mergeCell ref="M80:M81"/>
    <mergeCell ref="B83:J83"/>
    <mergeCell ref="A85:O85"/>
    <mergeCell ref="A87:A88"/>
    <mergeCell ref="B87:J87"/>
    <mergeCell ref="K87:K88"/>
    <mergeCell ref="A89:A90"/>
    <mergeCell ref="K89:K90"/>
    <mergeCell ref="L89:L90"/>
    <mergeCell ref="M70:M72"/>
    <mergeCell ref="N70:N72"/>
    <mergeCell ref="O70:O72"/>
    <mergeCell ref="A78:A79"/>
    <mergeCell ref="L78:L79"/>
    <mergeCell ref="M78:M79"/>
    <mergeCell ref="N78:N79"/>
    <mergeCell ref="K78:K79"/>
    <mergeCell ref="B79:J79"/>
    <mergeCell ref="B78:J78"/>
    <mergeCell ref="B71:J71"/>
    <mergeCell ref="B70:J70"/>
    <mergeCell ref="B76:J76"/>
    <mergeCell ref="B73:J73"/>
    <mergeCell ref="L73:L76"/>
    <mergeCell ref="M73:M76"/>
    <mergeCell ref="N73:N76"/>
    <mergeCell ref="O73:O76"/>
    <mergeCell ref="L70:L72"/>
    <mergeCell ref="A73:A76"/>
    <mergeCell ref="B72:J72"/>
    <mergeCell ref="K73:K76"/>
    <mergeCell ref="B74:J74"/>
    <mergeCell ref="B75:J75"/>
    <mergeCell ref="B64:J64"/>
    <mergeCell ref="B63:J63"/>
    <mergeCell ref="B65:J65"/>
    <mergeCell ref="K66:K67"/>
    <mergeCell ref="B68:J68"/>
    <mergeCell ref="L68:L69"/>
    <mergeCell ref="M68:M69"/>
    <mergeCell ref="N68:N69"/>
    <mergeCell ref="N66:N67"/>
    <mergeCell ref="N58:N61"/>
    <mergeCell ref="O58:O61"/>
    <mergeCell ref="L54:L55"/>
    <mergeCell ref="L56:L57"/>
    <mergeCell ref="M56:M57"/>
    <mergeCell ref="N56:N57"/>
    <mergeCell ref="M54:M55"/>
    <mergeCell ref="N54:N55"/>
    <mergeCell ref="O68:O69"/>
    <mergeCell ref="L63:L64"/>
    <mergeCell ref="M63:M64"/>
    <mergeCell ref="N63:N64"/>
    <mergeCell ref="O63:O64"/>
    <mergeCell ref="L66:L67"/>
    <mergeCell ref="M66:M67"/>
    <mergeCell ref="O66:O67"/>
    <mergeCell ref="A66:A67"/>
    <mergeCell ref="A68:A69"/>
    <mergeCell ref="A70:A72"/>
    <mergeCell ref="K68:K69"/>
    <mergeCell ref="K70:K72"/>
    <mergeCell ref="B67:J67"/>
    <mergeCell ref="B66:J66"/>
    <mergeCell ref="B69:J69"/>
    <mergeCell ref="K52:K53"/>
    <mergeCell ref="K54:K55"/>
    <mergeCell ref="K56:K57"/>
    <mergeCell ref="K58:K61"/>
    <mergeCell ref="K63:K64"/>
    <mergeCell ref="B57:J57"/>
    <mergeCell ref="B56:J56"/>
    <mergeCell ref="B61:J61"/>
    <mergeCell ref="B60:J60"/>
    <mergeCell ref="B59:J59"/>
    <mergeCell ref="B58:J58"/>
    <mergeCell ref="B62:J62"/>
    <mergeCell ref="A52:A53"/>
    <mergeCell ref="A54:A55"/>
    <mergeCell ref="B53:J53"/>
    <mergeCell ref="B52:J52"/>
    <mergeCell ref="B55:J55"/>
    <mergeCell ref="B54:J54"/>
    <mergeCell ref="B51:J51"/>
    <mergeCell ref="A58:A61"/>
    <mergeCell ref="A63:A64"/>
    <mergeCell ref="A56:A57"/>
    <mergeCell ref="A47:O47"/>
    <mergeCell ref="O44:O46"/>
    <mergeCell ref="K44:K46"/>
    <mergeCell ref="L44:L46"/>
    <mergeCell ref="M44:M46"/>
    <mergeCell ref="N44:N46"/>
    <mergeCell ref="O52:O53"/>
    <mergeCell ref="L49:L51"/>
    <mergeCell ref="M49:M51"/>
    <mergeCell ref="N49:N51"/>
    <mergeCell ref="O49:O51"/>
    <mergeCell ref="L52:L53"/>
    <mergeCell ref="M52:M53"/>
    <mergeCell ref="N52:N53"/>
    <mergeCell ref="O54:O55"/>
    <mergeCell ref="O56:O57"/>
    <mergeCell ref="L58:L61"/>
    <mergeCell ref="M58:M61"/>
    <mergeCell ref="A48:J48"/>
    <mergeCell ref="A49:A51"/>
    <mergeCell ref="A41:A43"/>
    <mergeCell ref="A44:A46"/>
    <mergeCell ref="K49:K51"/>
    <mergeCell ref="B49:J49"/>
    <mergeCell ref="O41:O43"/>
    <mergeCell ref="B46:J46"/>
    <mergeCell ref="B45:J45"/>
    <mergeCell ref="B44:J44"/>
    <mergeCell ref="K41:K43"/>
    <mergeCell ref="L41:L43"/>
    <mergeCell ref="M41:M43"/>
    <mergeCell ref="N41:N43"/>
    <mergeCell ref="B43:J43"/>
    <mergeCell ref="B42:J42"/>
    <mergeCell ref="O14:O17"/>
    <mergeCell ref="K14:K17"/>
    <mergeCell ref="L14:L17"/>
    <mergeCell ref="L12:L13"/>
    <mergeCell ref="M12:M13"/>
    <mergeCell ref="O23:O25"/>
    <mergeCell ref="K26:K28"/>
    <mergeCell ref="L26:L28"/>
    <mergeCell ref="M26:M28"/>
    <mergeCell ref="N26:N28"/>
    <mergeCell ref="O26:O28"/>
    <mergeCell ref="O18:O19"/>
    <mergeCell ref="K20:K22"/>
    <mergeCell ref="O20:O22"/>
    <mergeCell ref="K18:K19"/>
    <mergeCell ref="L18:L19"/>
    <mergeCell ref="M18:M19"/>
    <mergeCell ref="N14:N17"/>
    <mergeCell ref="N18:N19"/>
    <mergeCell ref="A29:A30"/>
    <mergeCell ref="A26:A28"/>
    <mergeCell ref="L29:L30"/>
    <mergeCell ref="M29:M30"/>
    <mergeCell ref="B30:J30"/>
    <mergeCell ref="B29:J29"/>
    <mergeCell ref="B32:J32"/>
    <mergeCell ref="N29:N30"/>
    <mergeCell ref="K29:K30"/>
    <mergeCell ref="B27:J27"/>
    <mergeCell ref="A31:A32"/>
    <mergeCell ref="B31:J31"/>
    <mergeCell ref="K31:K32"/>
    <mergeCell ref="L31:L32"/>
    <mergeCell ref="M31:M32"/>
    <mergeCell ref="N31:N32"/>
    <mergeCell ref="O29:O30"/>
    <mergeCell ref="B21:J21"/>
    <mergeCell ref="B20:J20"/>
    <mergeCell ref="B25:J25"/>
    <mergeCell ref="B24:J24"/>
    <mergeCell ref="B23:J23"/>
    <mergeCell ref="B28:J28"/>
    <mergeCell ref="B26:J26"/>
    <mergeCell ref="K23:K25"/>
    <mergeCell ref="L23:L25"/>
    <mergeCell ref="M23:M25"/>
    <mergeCell ref="N23:N25"/>
    <mergeCell ref="N20:N22"/>
    <mergeCell ref="A14:A17"/>
    <mergeCell ref="M14:M17"/>
    <mergeCell ref="A18:A19"/>
    <mergeCell ref="A20:A22"/>
    <mergeCell ref="A23:A25"/>
    <mergeCell ref="B19:J19"/>
    <mergeCell ref="B18:J18"/>
    <mergeCell ref="B22:J22"/>
    <mergeCell ref="B15:J15"/>
    <mergeCell ref="B14:J14"/>
    <mergeCell ref="L20:L22"/>
    <mergeCell ref="M20:M22"/>
    <mergeCell ref="B17:J17"/>
    <mergeCell ref="B16:J16"/>
    <mergeCell ref="A7:A9"/>
    <mergeCell ref="A10:O10"/>
    <mergeCell ref="A12:A13"/>
    <mergeCell ref="O12:O13"/>
    <mergeCell ref="N7:N9"/>
    <mergeCell ref="B9:J9"/>
    <mergeCell ref="B8:J8"/>
    <mergeCell ref="B7:J7"/>
    <mergeCell ref="B13:J13"/>
    <mergeCell ref="N12:N13"/>
    <mergeCell ref="K12:K13"/>
    <mergeCell ref="O7:O9"/>
    <mergeCell ref="K7:K9"/>
    <mergeCell ref="L7:L9"/>
    <mergeCell ref="M7:M9"/>
    <mergeCell ref="B12:J12"/>
    <mergeCell ref="A11:J11"/>
    <mergeCell ref="A1:O1"/>
    <mergeCell ref="A2:O2"/>
    <mergeCell ref="A4:A6"/>
    <mergeCell ref="B6:J6"/>
    <mergeCell ref="B5:J5"/>
    <mergeCell ref="B4:J4"/>
    <mergeCell ref="O4:O6"/>
    <mergeCell ref="K4:K6"/>
    <mergeCell ref="L4:L6"/>
    <mergeCell ref="M4:M6"/>
    <mergeCell ref="N4:N6"/>
    <mergeCell ref="A3:J3"/>
    <mergeCell ref="O31:O32"/>
    <mergeCell ref="B50:J50"/>
    <mergeCell ref="A77:J77"/>
    <mergeCell ref="B35:J35"/>
    <mergeCell ref="B34:J34"/>
    <mergeCell ref="B33:J33"/>
    <mergeCell ref="O33:O35"/>
    <mergeCell ref="K33:K35"/>
    <mergeCell ref="L33:L35"/>
    <mergeCell ref="M33:M35"/>
    <mergeCell ref="N33:N35"/>
    <mergeCell ref="A33:A35"/>
    <mergeCell ref="K38:K40"/>
    <mergeCell ref="L38:L40"/>
    <mergeCell ref="B40:J40"/>
    <mergeCell ref="B39:J39"/>
    <mergeCell ref="B41:J41"/>
    <mergeCell ref="A36:O36"/>
    <mergeCell ref="A38:A40"/>
    <mergeCell ref="M38:M40"/>
    <mergeCell ref="N38:N40"/>
    <mergeCell ref="O38:O40"/>
    <mergeCell ref="B38:J38"/>
    <mergeCell ref="A37:J37"/>
    <mergeCell ref="A103:C103"/>
    <mergeCell ref="E103:O103"/>
    <mergeCell ref="A104:O104"/>
    <mergeCell ref="A105:O105"/>
    <mergeCell ref="A106:O106"/>
    <mergeCell ref="A107:O107"/>
    <mergeCell ref="A108:O108"/>
    <mergeCell ref="A109:O109"/>
    <mergeCell ref="A110:O110"/>
    <mergeCell ref="A129:C129"/>
    <mergeCell ref="G129:O129"/>
    <mergeCell ref="A130:C130"/>
    <mergeCell ref="G130:O130"/>
    <mergeCell ref="A131:C131"/>
    <mergeCell ref="D131:F131"/>
    <mergeCell ref="G131:O131"/>
    <mergeCell ref="A111:O111"/>
    <mergeCell ref="A112:O112"/>
    <mergeCell ref="A113:O113"/>
    <mergeCell ref="A114:O114"/>
    <mergeCell ref="A115:O115"/>
    <mergeCell ref="A125:O125"/>
    <mergeCell ref="A126:O126"/>
    <mergeCell ref="A127:I127"/>
    <mergeCell ref="K127:O127"/>
    <mergeCell ref="A137:O137"/>
    <mergeCell ref="A138:O138"/>
    <mergeCell ref="A139:O139"/>
    <mergeCell ref="A102:O102"/>
    <mergeCell ref="A116:O116"/>
    <mergeCell ref="A117:O117"/>
    <mergeCell ref="A118:O118"/>
    <mergeCell ref="A119:O119"/>
    <mergeCell ref="A120:O120"/>
    <mergeCell ref="A121:O121"/>
    <mergeCell ref="A122:O122"/>
    <mergeCell ref="A123:O123"/>
    <mergeCell ref="A124:O124"/>
    <mergeCell ref="A132:C132"/>
    <mergeCell ref="G132:O132"/>
    <mergeCell ref="A133:O133"/>
    <mergeCell ref="A134:C134"/>
    <mergeCell ref="F134:G134"/>
    <mergeCell ref="I134:J134"/>
    <mergeCell ref="K134:O134"/>
    <mergeCell ref="A135:O135"/>
    <mergeCell ref="A136:O136"/>
    <mergeCell ref="A128:C128"/>
    <mergeCell ref="G128:O128"/>
  </mergeCells>
  <phoneticPr fontId="8" type="noConversion"/>
  <dataValidations disablePrompts="1" count="10">
    <dataValidation type="list" allowBlank="1" showInputMessage="1" showErrorMessage="1" sqref="L7:M9 L54:M67 L80:M81 L91:M95">
      <formula1>"5, -----"</formula1>
    </dataValidation>
    <dataValidation type="whole" operator="equal" allowBlank="1" showInputMessage="1" showErrorMessage="1" sqref="N82:N84 N87:N90">
      <formula1>5</formula1>
    </dataValidation>
    <dataValidation type="list" operator="equal" allowBlank="1" showInputMessage="1" showErrorMessage="1" sqref="N80:N81">
      <formula1>"5, -----"</formula1>
    </dataValidation>
    <dataValidation type="list" operator="equal" allowBlank="1" showInputMessage="1" showErrorMessage="1" sqref="N65 N91:N92">
      <formula1>"5, -----"</formula1>
    </dataValidation>
    <dataValidation type="list" allowBlank="1" showInputMessage="1" showErrorMessage="1" sqref="L4:N6">
      <formula1>"5, -----"</formula1>
    </dataValidation>
    <dataValidation type="list" allowBlank="1" showInputMessage="1" showErrorMessage="1" sqref="L12:N13 L26:N28 L31:N32 L73:M76">
      <formula1>"15, -----"</formula1>
    </dataValidation>
    <dataValidation type="list" allowBlank="1" showInputMessage="1" showErrorMessage="1" sqref="L14:N25 L29:M30 L33:N35 L38:M40 L49:N53 L68:M72 L78:M79 L82:M84 L87:M90 L98:M101">
      <formula1>"10, -----"</formula1>
    </dataValidation>
    <dataValidation type="list" operator="equal" allowBlank="1" showInputMessage="1" showErrorMessage="1" sqref="L41:N46 N58:N61">
      <formula1>"5, -----"</formula1>
    </dataValidation>
    <dataValidation type="list" operator="equal" allowBlank="1" showInputMessage="1" showErrorMessage="1" sqref="N68:N69">
      <formula1>"10, -----"</formula1>
    </dataValidation>
    <dataValidation type="list" allowBlank="1" showInputMessage="1" showErrorMessage="1" sqref="D134 H134">
      <formula1>"✓, -----"</formula1>
    </dataValidation>
  </dataValidations>
  <pageMargins left="1" right="1" top="1" bottom="1" header="0" footer="0"/>
  <pageSetup firstPageNumber="14" orientation="portrait" useFirstPageNumber="1" r:id="rId1"/>
  <headerFooter>
    <oddFooter xml:space="preserve">&amp;LFor Official Government Use Only
USDA, AMS, FVP, Fresh Products Branch
&amp;RJanuary 26, 2012
Page &amp;P
</oddFooter>
  </headerFooter>
  <rowBreaks count="2" manualBreakCount="2">
    <brk id="35" max="16383" man="1"/>
    <brk id="76" max="16383" man="1"/>
  </rowBreaks>
</worksheet>
</file>

<file path=xl/worksheets/sheet6.xml><?xml version="1.0" encoding="utf-8"?>
<worksheet xmlns="http://schemas.openxmlformats.org/spreadsheetml/2006/main" xmlns:r="http://schemas.openxmlformats.org/officeDocument/2006/relationships">
  <sheetPr enableFormatConditionsCalculation="0">
    <tabColor indexed="44"/>
  </sheetPr>
  <dimension ref="A1:T138"/>
  <sheetViews>
    <sheetView view="pageLayout" zoomScaleNormal="90" workbookViewId="0">
      <selection activeCell="O46" sqref="O46:O48"/>
    </sheetView>
  </sheetViews>
  <sheetFormatPr defaultRowHeight="12.75"/>
  <cols>
    <col min="1" max="1" width="5.5703125" customWidth="1"/>
    <col min="2" max="3" width="7.28515625" customWidth="1"/>
    <col min="4" max="4" width="2.7109375" style="53" customWidth="1"/>
    <col min="5" max="5" width="7.28515625" style="53" customWidth="1"/>
    <col min="6" max="6" width="2.7109375" style="53" customWidth="1"/>
    <col min="7" max="7" width="7.28515625" customWidth="1"/>
    <col min="8" max="8" width="2.7109375" customWidth="1"/>
    <col min="9" max="9" width="2.140625" customWidth="1"/>
    <col min="10" max="10" width="8" customWidth="1"/>
    <col min="11" max="11" width="6.42578125" customWidth="1"/>
    <col min="12" max="12" width="5.85546875" customWidth="1"/>
    <col min="13" max="13" width="6" customWidth="1"/>
    <col min="14" max="14" width="6.140625" customWidth="1"/>
    <col min="15" max="15" width="6.42578125" customWidth="1"/>
  </cols>
  <sheetData>
    <row r="1" spans="1:16" ht="30" customHeight="1">
      <c r="A1" s="516" t="s">
        <v>4</v>
      </c>
      <c r="B1" s="517"/>
      <c r="C1" s="517"/>
      <c r="D1" s="517"/>
      <c r="E1" s="517"/>
      <c r="F1" s="517"/>
      <c r="G1" s="517"/>
      <c r="H1" s="517"/>
      <c r="I1" s="517"/>
      <c r="J1" s="517"/>
      <c r="K1" s="517"/>
      <c r="L1" s="517"/>
      <c r="M1" s="517"/>
      <c r="N1" s="517"/>
      <c r="O1" s="517"/>
    </row>
    <row r="2" spans="1:16" ht="30" customHeight="1">
      <c r="A2" s="329" t="s">
        <v>296</v>
      </c>
      <c r="B2" s="329"/>
      <c r="C2" s="329"/>
      <c r="D2" s="329"/>
      <c r="E2" s="329"/>
      <c r="F2" s="329"/>
      <c r="G2" s="329"/>
      <c r="H2" s="329"/>
      <c r="I2" s="329"/>
      <c r="J2" s="329"/>
      <c r="K2" s="329"/>
      <c r="L2" s="329"/>
      <c r="M2" s="329"/>
      <c r="N2" s="329"/>
      <c r="O2" s="329"/>
    </row>
    <row r="3" spans="1:16" s="41" customFormat="1" ht="15">
      <c r="A3" s="300" t="s">
        <v>66</v>
      </c>
      <c r="B3" s="301"/>
      <c r="C3" s="301"/>
      <c r="D3" s="301"/>
      <c r="E3" s="301"/>
      <c r="F3" s="301"/>
      <c r="G3" s="301"/>
      <c r="H3" s="301"/>
      <c r="I3" s="301"/>
      <c r="J3" s="302"/>
      <c r="K3" s="74" t="s">
        <v>65</v>
      </c>
      <c r="L3" s="75" t="s">
        <v>27</v>
      </c>
      <c r="M3" s="75" t="s">
        <v>64</v>
      </c>
      <c r="N3" s="75" t="s">
        <v>63</v>
      </c>
      <c r="O3" s="75" t="s">
        <v>62</v>
      </c>
      <c r="P3" s="40"/>
    </row>
    <row r="4" spans="1:16" ht="15" customHeight="1">
      <c r="A4" s="361" t="s">
        <v>297</v>
      </c>
      <c r="B4" s="260" t="s">
        <v>802</v>
      </c>
      <c r="C4" s="187"/>
      <c r="D4" s="187"/>
      <c r="E4" s="187"/>
      <c r="F4" s="187"/>
      <c r="G4" s="187"/>
      <c r="H4" s="187"/>
      <c r="I4" s="187"/>
      <c r="J4" s="261"/>
      <c r="K4" s="482">
        <v>5</v>
      </c>
      <c r="L4" s="480"/>
      <c r="M4" s="480"/>
      <c r="N4" s="481"/>
      <c r="O4" s="480"/>
    </row>
    <row r="5" spans="1:16" ht="15" customHeight="1">
      <c r="A5" s="375"/>
      <c r="B5" s="252" t="s">
        <v>803</v>
      </c>
      <c r="C5" s="168"/>
      <c r="D5" s="168"/>
      <c r="E5" s="168"/>
      <c r="F5" s="168"/>
      <c r="G5" s="168"/>
      <c r="H5" s="168"/>
      <c r="I5" s="168"/>
      <c r="J5" s="253"/>
      <c r="K5" s="497"/>
      <c r="L5" s="498"/>
      <c r="M5" s="498"/>
      <c r="N5" s="499"/>
      <c r="O5" s="498"/>
    </row>
    <row r="6" spans="1:16" ht="15" customHeight="1">
      <c r="A6" s="361" t="s">
        <v>298</v>
      </c>
      <c r="B6" s="260" t="s">
        <v>626</v>
      </c>
      <c r="C6" s="187"/>
      <c r="D6" s="187"/>
      <c r="E6" s="187"/>
      <c r="F6" s="187"/>
      <c r="G6" s="187"/>
      <c r="H6" s="187"/>
      <c r="I6" s="187"/>
      <c r="J6" s="261"/>
      <c r="K6" s="482">
        <v>5</v>
      </c>
      <c r="L6" s="480"/>
      <c r="M6" s="480"/>
      <c r="N6" s="518"/>
      <c r="O6" s="482" t="s">
        <v>603</v>
      </c>
    </row>
    <row r="7" spans="1:16" ht="15" customHeight="1">
      <c r="A7" s="375"/>
      <c r="B7" s="252" t="s">
        <v>627</v>
      </c>
      <c r="C7" s="168"/>
      <c r="D7" s="168"/>
      <c r="E7" s="168"/>
      <c r="F7" s="168"/>
      <c r="G7" s="168"/>
      <c r="H7" s="168"/>
      <c r="I7" s="168"/>
      <c r="J7" s="253"/>
      <c r="K7" s="497"/>
      <c r="L7" s="498"/>
      <c r="M7" s="498"/>
      <c r="N7" s="519"/>
      <c r="O7" s="497"/>
    </row>
    <row r="8" spans="1:16" ht="15" customHeight="1">
      <c r="A8" s="361" t="s">
        <v>299</v>
      </c>
      <c r="B8" s="260" t="s">
        <v>304</v>
      </c>
      <c r="C8" s="187"/>
      <c r="D8" s="187"/>
      <c r="E8" s="187"/>
      <c r="F8" s="187"/>
      <c r="G8" s="187"/>
      <c r="H8" s="187"/>
      <c r="I8" s="187"/>
      <c r="J8" s="261"/>
      <c r="K8" s="482">
        <v>10</v>
      </c>
      <c r="L8" s="480"/>
      <c r="M8" s="480"/>
      <c r="N8" s="493"/>
      <c r="O8" s="480"/>
    </row>
    <row r="9" spans="1:16" ht="15" customHeight="1">
      <c r="A9" s="291"/>
      <c r="B9" s="252" t="s">
        <v>804</v>
      </c>
      <c r="C9" s="168"/>
      <c r="D9" s="168"/>
      <c r="E9" s="168"/>
      <c r="F9" s="168"/>
      <c r="G9" s="168"/>
      <c r="H9" s="168"/>
      <c r="I9" s="168"/>
      <c r="J9" s="253"/>
      <c r="K9" s="447"/>
      <c r="L9" s="451"/>
      <c r="M9" s="451"/>
      <c r="N9" s="445"/>
      <c r="O9" s="451"/>
    </row>
    <row r="10" spans="1:16" ht="15" customHeight="1">
      <c r="A10" s="285"/>
      <c r="B10" s="254" t="s">
        <v>805</v>
      </c>
      <c r="C10" s="255"/>
      <c r="D10" s="255"/>
      <c r="E10" s="255"/>
      <c r="F10" s="255"/>
      <c r="G10" s="255"/>
      <c r="H10" s="255"/>
      <c r="I10" s="255"/>
      <c r="J10" s="256"/>
      <c r="K10" s="448"/>
      <c r="L10" s="452"/>
      <c r="M10" s="452"/>
      <c r="N10" s="446"/>
      <c r="O10" s="452"/>
    </row>
    <row r="11" spans="1:16" s="53" customFormat="1" ht="15" customHeight="1">
      <c r="A11" s="361" t="s">
        <v>300</v>
      </c>
      <c r="B11" s="260" t="s">
        <v>806</v>
      </c>
      <c r="C11" s="187"/>
      <c r="D11" s="187"/>
      <c r="E11" s="187"/>
      <c r="F11" s="187"/>
      <c r="G11" s="187"/>
      <c r="H11" s="187"/>
      <c r="I11" s="187"/>
      <c r="J11" s="261"/>
      <c r="K11" s="482">
        <v>5</v>
      </c>
      <c r="L11" s="238"/>
      <c r="M11" s="238"/>
      <c r="N11" s="508"/>
      <c r="O11" s="509"/>
    </row>
    <row r="12" spans="1:16" ht="15" customHeight="1">
      <c r="A12" s="362"/>
      <c r="B12" s="252" t="s">
        <v>271</v>
      </c>
      <c r="C12" s="172"/>
      <c r="D12" s="172"/>
      <c r="E12" s="172"/>
      <c r="F12" s="172"/>
      <c r="G12" s="172"/>
      <c r="H12" s="172"/>
      <c r="I12" s="172"/>
      <c r="J12" s="253"/>
      <c r="K12" s="507"/>
      <c r="L12" s="240"/>
      <c r="M12" s="240"/>
      <c r="N12" s="446"/>
      <c r="O12" s="452"/>
    </row>
    <row r="13" spans="1:16" ht="15" customHeight="1">
      <c r="A13" s="361" t="s">
        <v>301</v>
      </c>
      <c r="B13" s="260" t="s">
        <v>690</v>
      </c>
      <c r="C13" s="187"/>
      <c r="D13" s="187"/>
      <c r="E13" s="187"/>
      <c r="F13" s="187"/>
      <c r="G13" s="187"/>
      <c r="H13" s="187"/>
      <c r="I13" s="187"/>
      <c r="J13" s="261"/>
      <c r="K13" s="482">
        <v>5</v>
      </c>
      <c r="L13" s="480"/>
      <c r="M13" s="480"/>
      <c r="N13" s="481"/>
      <c r="O13" s="480"/>
    </row>
    <row r="14" spans="1:16" ht="15" customHeight="1">
      <c r="A14" s="291"/>
      <c r="B14" s="252" t="s">
        <v>691</v>
      </c>
      <c r="C14" s="168"/>
      <c r="D14" s="168"/>
      <c r="E14" s="168"/>
      <c r="F14" s="168"/>
      <c r="G14" s="168"/>
      <c r="H14" s="168"/>
      <c r="I14" s="168"/>
      <c r="J14" s="253"/>
      <c r="K14" s="447"/>
      <c r="L14" s="451"/>
      <c r="M14" s="451"/>
      <c r="N14" s="467"/>
      <c r="O14" s="451"/>
    </row>
    <row r="15" spans="1:16" ht="15" customHeight="1">
      <c r="A15" s="361" t="s">
        <v>302</v>
      </c>
      <c r="B15" s="260" t="s">
        <v>284</v>
      </c>
      <c r="C15" s="187"/>
      <c r="D15" s="187"/>
      <c r="E15" s="187"/>
      <c r="F15" s="187"/>
      <c r="G15" s="187"/>
      <c r="H15" s="187"/>
      <c r="I15" s="187"/>
      <c r="J15" s="261"/>
      <c r="K15" s="482">
        <v>10</v>
      </c>
      <c r="L15" s="480"/>
      <c r="M15" s="480"/>
      <c r="N15" s="493"/>
      <c r="O15" s="480"/>
    </row>
    <row r="16" spans="1:16" ht="15" customHeight="1">
      <c r="A16" s="375"/>
      <c r="B16" s="252" t="s">
        <v>807</v>
      </c>
      <c r="C16" s="168"/>
      <c r="D16" s="168"/>
      <c r="E16" s="168"/>
      <c r="F16" s="168"/>
      <c r="G16" s="168"/>
      <c r="H16" s="168"/>
      <c r="I16" s="168"/>
      <c r="J16" s="253"/>
      <c r="K16" s="497"/>
      <c r="L16" s="498"/>
      <c r="M16" s="498"/>
      <c r="N16" s="520"/>
      <c r="O16" s="498"/>
    </row>
    <row r="17" spans="1:15" ht="15" customHeight="1">
      <c r="A17" s="285"/>
      <c r="B17" s="254" t="s">
        <v>808</v>
      </c>
      <c r="C17" s="255"/>
      <c r="D17" s="255"/>
      <c r="E17" s="255"/>
      <c r="F17" s="255"/>
      <c r="G17" s="255"/>
      <c r="H17" s="255"/>
      <c r="I17" s="255"/>
      <c r="J17" s="256"/>
      <c r="K17" s="448"/>
      <c r="L17" s="452"/>
      <c r="M17" s="452"/>
      <c r="N17" s="446"/>
      <c r="O17" s="452"/>
    </row>
    <row r="18" spans="1:15" s="47" customFormat="1" ht="15" customHeight="1">
      <c r="A18" s="361" t="s">
        <v>303</v>
      </c>
      <c r="B18" s="260" t="s">
        <v>809</v>
      </c>
      <c r="C18" s="187"/>
      <c r="D18" s="187"/>
      <c r="E18" s="187"/>
      <c r="F18" s="187"/>
      <c r="G18" s="187"/>
      <c r="H18" s="187"/>
      <c r="I18" s="187"/>
      <c r="J18" s="261"/>
      <c r="K18" s="482">
        <v>15</v>
      </c>
      <c r="L18" s="480"/>
      <c r="M18" s="480"/>
      <c r="N18" s="513"/>
      <c r="O18" s="482" t="s">
        <v>604</v>
      </c>
    </row>
    <row r="19" spans="1:15" s="47" customFormat="1" ht="15" customHeight="1">
      <c r="A19" s="375"/>
      <c r="B19" s="252" t="s">
        <v>810</v>
      </c>
      <c r="C19" s="172"/>
      <c r="D19" s="172"/>
      <c r="E19" s="172"/>
      <c r="F19" s="172"/>
      <c r="G19" s="172"/>
      <c r="H19" s="172"/>
      <c r="I19" s="172"/>
      <c r="J19" s="253"/>
      <c r="K19" s="497"/>
      <c r="L19" s="498"/>
      <c r="M19" s="498"/>
      <c r="N19" s="514"/>
      <c r="O19" s="497"/>
    </row>
    <row r="20" spans="1:15" s="53" customFormat="1" ht="15" customHeight="1">
      <c r="A20" s="375"/>
      <c r="B20" s="252" t="s">
        <v>812</v>
      </c>
      <c r="C20" s="172"/>
      <c r="D20" s="172"/>
      <c r="E20" s="172"/>
      <c r="F20" s="172"/>
      <c r="G20" s="172"/>
      <c r="H20" s="172"/>
      <c r="I20" s="172"/>
      <c r="J20" s="253"/>
      <c r="K20" s="497"/>
      <c r="L20" s="498"/>
      <c r="M20" s="498"/>
      <c r="N20" s="514"/>
      <c r="O20" s="497"/>
    </row>
    <row r="21" spans="1:15" s="47" customFormat="1" ht="15" customHeight="1">
      <c r="A21" s="285"/>
      <c r="B21" s="254" t="s">
        <v>811</v>
      </c>
      <c r="C21" s="255"/>
      <c r="D21" s="255"/>
      <c r="E21" s="255"/>
      <c r="F21" s="255"/>
      <c r="G21" s="255"/>
      <c r="H21" s="255"/>
      <c r="I21" s="255"/>
      <c r="J21" s="256"/>
      <c r="K21" s="448"/>
      <c r="L21" s="452"/>
      <c r="M21" s="452"/>
      <c r="N21" s="515"/>
      <c r="O21" s="448"/>
    </row>
    <row r="22" spans="1:15" s="47" customFormat="1" ht="15" customHeight="1">
      <c r="A22" s="361" t="s">
        <v>306</v>
      </c>
      <c r="B22" s="260" t="s">
        <v>798</v>
      </c>
      <c r="C22" s="187"/>
      <c r="D22" s="187"/>
      <c r="E22" s="187"/>
      <c r="F22" s="187"/>
      <c r="G22" s="187"/>
      <c r="H22" s="187"/>
      <c r="I22" s="187"/>
      <c r="J22" s="261"/>
      <c r="K22" s="482">
        <v>10</v>
      </c>
      <c r="L22" s="480"/>
      <c r="M22" s="480"/>
      <c r="N22" s="513"/>
      <c r="O22" s="480"/>
    </row>
    <row r="23" spans="1:15" s="53" customFormat="1" ht="15" customHeight="1">
      <c r="A23" s="375"/>
      <c r="B23" s="252" t="s">
        <v>799</v>
      </c>
      <c r="C23" s="168"/>
      <c r="D23" s="168"/>
      <c r="E23" s="168"/>
      <c r="F23" s="168"/>
      <c r="G23" s="168"/>
      <c r="H23" s="168"/>
      <c r="I23" s="168"/>
      <c r="J23" s="253"/>
      <c r="K23" s="506"/>
      <c r="L23" s="492"/>
      <c r="M23" s="492"/>
      <c r="N23" s="536"/>
      <c r="O23" s="492"/>
    </row>
    <row r="24" spans="1:15" s="47" customFormat="1" ht="15" customHeight="1">
      <c r="A24" s="375"/>
      <c r="B24" s="510" t="s">
        <v>800</v>
      </c>
      <c r="C24" s="511"/>
      <c r="D24" s="511"/>
      <c r="E24" s="511"/>
      <c r="F24" s="511"/>
      <c r="G24" s="511"/>
      <c r="H24" s="511"/>
      <c r="I24" s="511"/>
      <c r="J24" s="512"/>
      <c r="K24" s="497"/>
      <c r="L24" s="498"/>
      <c r="M24" s="498"/>
      <c r="N24" s="514"/>
      <c r="O24" s="498"/>
    </row>
    <row r="25" spans="1:15" s="47" customFormat="1" ht="15" customHeight="1">
      <c r="A25" s="285"/>
      <c r="B25" s="254" t="s">
        <v>801</v>
      </c>
      <c r="C25" s="255"/>
      <c r="D25" s="255"/>
      <c r="E25" s="255"/>
      <c r="F25" s="255"/>
      <c r="G25" s="255"/>
      <c r="H25" s="255"/>
      <c r="I25" s="255"/>
      <c r="J25" s="256"/>
      <c r="K25" s="448"/>
      <c r="L25" s="452"/>
      <c r="M25" s="452"/>
      <c r="N25" s="515"/>
      <c r="O25" s="452"/>
    </row>
    <row r="26" spans="1:15" s="47" customFormat="1" ht="15" customHeight="1">
      <c r="A26" s="361" t="s">
        <v>307</v>
      </c>
      <c r="B26" s="260" t="s">
        <v>813</v>
      </c>
      <c r="C26" s="187"/>
      <c r="D26" s="187"/>
      <c r="E26" s="187"/>
      <c r="F26" s="187"/>
      <c r="G26" s="187"/>
      <c r="H26" s="187"/>
      <c r="I26" s="187"/>
      <c r="J26" s="261"/>
      <c r="K26" s="482">
        <v>5</v>
      </c>
      <c r="L26" s="480"/>
      <c r="M26" s="480"/>
      <c r="N26" s="513"/>
      <c r="O26" s="480"/>
    </row>
    <row r="27" spans="1:15" s="47" customFormat="1" ht="15" customHeight="1">
      <c r="A27" s="375"/>
      <c r="B27" s="252" t="s">
        <v>817</v>
      </c>
      <c r="C27" s="168"/>
      <c r="D27" s="168"/>
      <c r="E27" s="168"/>
      <c r="F27" s="168"/>
      <c r="G27" s="168"/>
      <c r="H27" s="168"/>
      <c r="I27" s="168"/>
      <c r="J27" s="253"/>
      <c r="K27" s="497"/>
      <c r="L27" s="498"/>
      <c r="M27" s="498"/>
      <c r="N27" s="514"/>
      <c r="O27" s="498"/>
    </row>
    <row r="28" spans="1:15" s="47" customFormat="1" ht="15" customHeight="1">
      <c r="A28" s="285"/>
      <c r="B28" s="254" t="s">
        <v>814</v>
      </c>
      <c r="C28" s="255"/>
      <c r="D28" s="255"/>
      <c r="E28" s="255"/>
      <c r="F28" s="255"/>
      <c r="G28" s="255"/>
      <c r="H28" s="255"/>
      <c r="I28" s="255"/>
      <c r="J28" s="256"/>
      <c r="K28" s="448"/>
      <c r="L28" s="452"/>
      <c r="M28" s="452"/>
      <c r="N28" s="515"/>
      <c r="O28" s="452"/>
    </row>
    <row r="29" spans="1:15" s="47" customFormat="1" ht="15" customHeight="1">
      <c r="A29" s="361" t="s">
        <v>308</v>
      </c>
      <c r="B29" s="260" t="s">
        <v>815</v>
      </c>
      <c r="C29" s="187"/>
      <c r="D29" s="187"/>
      <c r="E29" s="187"/>
      <c r="F29" s="187"/>
      <c r="G29" s="187"/>
      <c r="H29" s="187"/>
      <c r="I29" s="187"/>
      <c r="J29" s="261"/>
      <c r="K29" s="482">
        <v>10</v>
      </c>
      <c r="L29" s="480"/>
      <c r="M29" s="480"/>
      <c r="N29" s="513"/>
      <c r="O29" s="480"/>
    </row>
    <row r="30" spans="1:15" s="47" customFormat="1" ht="15" customHeight="1">
      <c r="A30" s="375"/>
      <c r="B30" s="252" t="s">
        <v>818</v>
      </c>
      <c r="C30" s="168"/>
      <c r="D30" s="168"/>
      <c r="E30" s="168"/>
      <c r="F30" s="168"/>
      <c r="G30" s="168"/>
      <c r="H30" s="168"/>
      <c r="I30" s="168"/>
      <c r="J30" s="253"/>
      <c r="K30" s="497"/>
      <c r="L30" s="498"/>
      <c r="M30" s="498"/>
      <c r="N30" s="514"/>
      <c r="O30" s="498"/>
    </row>
    <row r="31" spans="1:15" s="47" customFormat="1" ht="15" customHeight="1">
      <c r="A31" s="285"/>
      <c r="B31" s="254" t="s">
        <v>816</v>
      </c>
      <c r="C31" s="255"/>
      <c r="D31" s="255"/>
      <c r="E31" s="255"/>
      <c r="F31" s="255"/>
      <c r="G31" s="255"/>
      <c r="H31" s="255"/>
      <c r="I31" s="255"/>
      <c r="J31" s="256"/>
      <c r="K31" s="448"/>
      <c r="L31" s="452"/>
      <c r="M31" s="452"/>
      <c r="N31" s="515"/>
      <c r="O31" s="452"/>
    </row>
    <row r="32" spans="1:15" s="47" customFormat="1" ht="15" customHeight="1">
      <c r="A32" s="361" t="s">
        <v>309</v>
      </c>
      <c r="B32" s="260" t="s">
        <v>819</v>
      </c>
      <c r="C32" s="187"/>
      <c r="D32" s="187"/>
      <c r="E32" s="187"/>
      <c r="F32" s="187"/>
      <c r="G32" s="187"/>
      <c r="H32" s="187"/>
      <c r="I32" s="187"/>
      <c r="J32" s="261"/>
      <c r="K32" s="482">
        <v>10</v>
      </c>
      <c r="L32" s="480"/>
      <c r="M32" s="480"/>
      <c r="N32" s="513"/>
      <c r="O32" s="480"/>
    </row>
    <row r="33" spans="1:16" s="47" customFormat="1" ht="15" customHeight="1">
      <c r="A33" s="375"/>
      <c r="B33" s="252" t="s">
        <v>820</v>
      </c>
      <c r="C33" s="172"/>
      <c r="D33" s="172"/>
      <c r="E33" s="172"/>
      <c r="F33" s="172"/>
      <c r="G33" s="172"/>
      <c r="H33" s="172"/>
      <c r="I33" s="172"/>
      <c r="J33" s="253"/>
      <c r="K33" s="497"/>
      <c r="L33" s="498"/>
      <c r="M33" s="498"/>
      <c r="N33" s="514"/>
      <c r="O33" s="498"/>
    </row>
    <row r="34" spans="1:16" s="47" customFormat="1" ht="15" customHeight="1">
      <c r="A34" s="285"/>
      <c r="B34" s="254" t="s">
        <v>821</v>
      </c>
      <c r="C34" s="255"/>
      <c r="D34" s="255"/>
      <c r="E34" s="255"/>
      <c r="F34" s="255"/>
      <c r="G34" s="255"/>
      <c r="H34" s="255"/>
      <c r="I34" s="255"/>
      <c r="J34" s="256"/>
      <c r="K34" s="448"/>
      <c r="L34" s="452"/>
      <c r="M34" s="452"/>
      <c r="N34" s="515"/>
      <c r="O34" s="452"/>
    </row>
    <row r="35" spans="1:16" s="47" customFormat="1" ht="15" customHeight="1">
      <c r="A35" s="361" t="s">
        <v>314</v>
      </c>
      <c r="B35" s="260" t="s">
        <v>822</v>
      </c>
      <c r="C35" s="187"/>
      <c r="D35" s="187"/>
      <c r="E35" s="187"/>
      <c r="F35" s="187"/>
      <c r="G35" s="187"/>
      <c r="H35" s="187"/>
      <c r="I35" s="187"/>
      <c r="J35" s="261"/>
      <c r="K35" s="482">
        <v>5</v>
      </c>
      <c r="L35" s="480"/>
      <c r="M35" s="480"/>
      <c r="N35" s="513"/>
      <c r="O35" s="482" t="s">
        <v>76</v>
      </c>
    </row>
    <row r="36" spans="1:16" s="47" customFormat="1" ht="15" customHeight="1">
      <c r="A36" s="375"/>
      <c r="B36" s="252" t="s">
        <v>823</v>
      </c>
      <c r="C36" s="172"/>
      <c r="D36" s="172"/>
      <c r="E36" s="172"/>
      <c r="F36" s="172"/>
      <c r="G36" s="172"/>
      <c r="H36" s="172"/>
      <c r="I36" s="172"/>
      <c r="J36" s="253"/>
      <c r="K36" s="497"/>
      <c r="L36" s="498"/>
      <c r="M36" s="498"/>
      <c r="N36" s="514"/>
      <c r="O36" s="497"/>
    </row>
    <row r="37" spans="1:16" s="47" customFormat="1" ht="15" customHeight="1">
      <c r="A37" s="285"/>
      <c r="B37" s="254" t="s">
        <v>824</v>
      </c>
      <c r="C37" s="255"/>
      <c r="D37" s="255"/>
      <c r="E37" s="255"/>
      <c r="F37" s="255"/>
      <c r="G37" s="255"/>
      <c r="H37" s="255"/>
      <c r="I37" s="255"/>
      <c r="J37" s="256"/>
      <c r="K37" s="448"/>
      <c r="L37" s="452"/>
      <c r="M37" s="452"/>
      <c r="N37" s="515"/>
      <c r="O37" s="448"/>
    </row>
    <row r="38" spans="1:16" ht="30" customHeight="1">
      <c r="A38" s="443" t="s">
        <v>305</v>
      </c>
      <c r="B38" s="443"/>
      <c r="C38" s="443"/>
      <c r="D38" s="443"/>
      <c r="E38" s="443"/>
      <c r="F38" s="443"/>
      <c r="G38" s="443"/>
      <c r="H38" s="443"/>
      <c r="I38" s="443"/>
      <c r="J38" s="443"/>
      <c r="K38" s="443"/>
      <c r="L38" s="443"/>
      <c r="M38" s="443"/>
      <c r="N38" s="443"/>
      <c r="O38" s="443"/>
    </row>
    <row r="39" spans="1:16" s="41" customFormat="1" ht="15">
      <c r="A39" s="300" t="s">
        <v>66</v>
      </c>
      <c r="B39" s="301"/>
      <c r="C39" s="301"/>
      <c r="D39" s="301"/>
      <c r="E39" s="301"/>
      <c r="F39" s="301"/>
      <c r="G39" s="301"/>
      <c r="H39" s="301"/>
      <c r="I39" s="301"/>
      <c r="J39" s="302"/>
      <c r="K39" s="74" t="s">
        <v>65</v>
      </c>
      <c r="L39" s="75" t="s">
        <v>27</v>
      </c>
      <c r="M39" s="75" t="s">
        <v>64</v>
      </c>
      <c r="N39" s="75" t="s">
        <v>63</v>
      </c>
      <c r="O39" s="75" t="s">
        <v>62</v>
      </c>
      <c r="P39" s="40"/>
    </row>
    <row r="40" spans="1:16" s="71" customFormat="1" ht="15" customHeight="1">
      <c r="A40" s="361" t="s">
        <v>315</v>
      </c>
      <c r="B40" s="260" t="s">
        <v>286</v>
      </c>
      <c r="C40" s="426"/>
      <c r="D40" s="426"/>
      <c r="E40" s="426"/>
      <c r="F40" s="426"/>
      <c r="G40" s="426"/>
      <c r="H40" s="426"/>
      <c r="I40" s="426"/>
      <c r="J40" s="427"/>
      <c r="K40" s="482">
        <v>10</v>
      </c>
      <c r="L40" s="480"/>
      <c r="M40" s="480"/>
      <c r="N40" s="481"/>
      <c r="O40" s="482" t="s">
        <v>76</v>
      </c>
    </row>
    <row r="41" spans="1:16" s="71" customFormat="1" ht="15" customHeight="1">
      <c r="A41" s="466"/>
      <c r="B41" s="254" t="s">
        <v>310</v>
      </c>
      <c r="C41" s="428"/>
      <c r="D41" s="428"/>
      <c r="E41" s="428"/>
      <c r="F41" s="428"/>
      <c r="G41" s="428"/>
      <c r="H41" s="428"/>
      <c r="I41" s="428"/>
      <c r="J41" s="429"/>
      <c r="K41" s="448"/>
      <c r="L41" s="452"/>
      <c r="M41" s="452"/>
      <c r="N41" s="468"/>
      <c r="O41" s="448"/>
    </row>
    <row r="42" spans="1:16" s="71" customFormat="1" ht="15" customHeight="1">
      <c r="A42" s="361" t="s">
        <v>317</v>
      </c>
      <c r="B42" s="260" t="s">
        <v>825</v>
      </c>
      <c r="C42" s="426"/>
      <c r="D42" s="426"/>
      <c r="E42" s="426"/>
      <c r="F42" s="426"/>
      <c r="G42" s="426"/>
      <c r="H42" s="426"/>
      <c r="I42" s="426"/>
      <c r="J42" s="427"/>
      <c r="K42" s="482">
        <v>10</v>
      </c>
      <c r="L42" s="480"/>
      <c r="M42" s="480"/>
      <c r="N42" s="481"/>
      <c r="O42" s="482" t="s">
        <v>76</v>
      </c>
    </row>
    <row r="43" spans="1:16" s="71" customFormat="1" ht="15" customHeight="1">
      <c r="A43" s="466"/>
      <c r="B43" s="254" t="s">
        <v>386</v>
      </c>
      <c r="C43" s="428"/>
      <c r="D43" s="428"/>
      <c r="E43" s="428"/>
      <c r="F43" s="428"/>
      <c r="G43" s="428"/>
      <c r="H43" s="428"/>
      <c r="I43" s="428"/>
      <c r="J43" s="429"/>
      <c r="K43" s="448"/>
      <c r="L43" s="452"/>
      <c r="M43" s="452"/>
      <c r="N43" s="468"/>
      <c r="O43" s="448"/>
    </row>
    <row r="44" spans="1:16" s="71" customFormat="1" ht="15" customHeight="1">
      <c r="A44" s="361" t="s">
        <v>318</v>
      </c>
      <c r="B44" s="260" t="s">
        <v>312</v>
      </c>
      <c r="C44" s="426"/>
      <c r="D44" s="426"/>
      <c r="E44" s="426"/>
      <c r="F44" s="426"/>
      <c r="G44" s="426"/>
      <c r="H44" s="426"/>
      <c r="I44" s="426"/>
      <c r="J44" s="427"/>
      <c r="K44" s="482">
        <v>5</v>
      </c>
      <c r="L44" s="480"/>
      <c r="M44" s="480"/>
      <c r="N44" s="480"/>
      <c r="O44" s="482" t="s">
        <v>603</v>
      </c>
    </row>
    <row r="45" spans="1:16" s="71" customFormat="1" ht="15" customHeight="1">
      <c r="A45" s="466"/>
      <c r="B45" s="254" t="s">
        <v>313</v>
      </c>
      <c r="C45" s="428"/>
      <c r="D45" s="428"/>
      <c r="E45" s="428"/>
      <c r="F45" s="428"/>
      <c r="G45" s="428"/>
      <c r="H45" s="428"/>
      <c r="I45" s="428"/>
      <c r="J45" s="429"/>
      <c r="K45" s="448"/>
      <c r="L45" s="452"/>
      <c r="M45" s="452"/>
      <c r="N45" s="452"/>
      <c r="O45" s="448"/>
    </row>
    <row r="46" spans="1:16" s="71" customFormat="1" ht="15" customHeight="1">
      <c r="A46" s="361" t="s">
        <v>319</v>
      </c>
      <c r="B46" s="260" t="s">
        <v>629</v>
      </c>
      <c r="C46" s="426"/>
      <c r="D46" s="426"/>
      <c r="E46" s="426"/>
      <c r="F46" s="426"/>
      <c r="G46" s="426"/>
      <c r="H46" s="426"/>
      <c r="I46" s="426"/>
      <c r="J46" s="427"/>
      <c r="K46" s="482">
        <v>5</v>
      </c>
      <c r="L46" s="480"/>
      <c r="M46" s="480"/>
      <c r="N46" s="481"/>
      <c r="O46" s="480"/>
    </row>
    <row r="47" spans="1:16" s="71" customFormat="1" ht="15" customHeight="1">
      <c r="A47" s="375"/>
      <c r="B47" s="252" t="s">
        <v>292</v>
      </c>
      <c r="C47" s="453"/>
      <c r="D47" s="453"/>
      <c r="E47" s="453"/>
      <c r="F47" s="453"/>
      <c r="G47" s="453"/>
      <c r="H47" s="453"/>
      <c r="I47" s="453"/>
      <c r="J47" s="450"/>
      <c r="K47" s="506"/>
      <c r="L47" s="492"/>
      <c r="M47" s="492"/>
      <c r="N47" s="505"/>
      <c r="O47" s="492"/>
    </row>
    <row r="48" spans="1:16" s="71" customFormat="1" ht="15" customHeight="1">
      <c r="A48" s="362"/>
      <c r="B48" s="254" t="s">
        <v>293</v>
      </c>
      <c r="C48" s="428"/>
      <c r="D48" s="428"/>
      <c r="E48" s="428"/>
      <c r="F48" s="428"/>
      <c r="G48" s="428"/>
      <c r="H48" s="428"/>
      <c r="I48" s="428"/>
      <c r="J48" s="429"/>
      <c r="K48" s="448"/>
      <c r="L48" s="452"/>
      <c r="M48" s="452"/>
      <c r="N48" s="468"/>
      <c r="O48" s="452"/>
    </row>
    <row r="49" spans="1:16" ht="30" customHeight="1">
      <c r="A49" s="377" t="s">
        <v>630</v>
      </c>
      <c r="B49" s="504"/>
      <c r="C49" s="504"/>
      <c r="D49" s="504"/>
      <c r="E49" s="504"/>
      <c r="F49" s="504"/>
      <c r="G49" s="504"/>
      <c r="H49" s="504"/>
      <c r="I49" s="504"/>
      <c r="J49" s="504"/>
      <c r="K49" s="504"/>
      <c r="L49" s="504"/>
      <c r="M49" s="504"/>
      <c r="N49" s="504"/>
      <c r="O49" s="504"/>
    </row>
    <row r="50" spans="1:16" s="41" customFormat="1" ht="15">
      <c r="A50" s="300" t="s">
        <v>66</v>
      </c>
      <c r="B50" s="301"/>
      <c r="C50" s="301"/>
      <c r="D50" s="301"/>
      <c r="E50" s="301"/>
      <c r="F50" s="301"/>
      <c r="G50" s="301"/>
      <c r="H50" s="301"/>
      <c r="I50" s="301"/>
      <c r="J50" s="302"/>
      <c r="K50" s="74" t="s">
        <v>65</v>
      </c>
      <c r="L50" s="75" t="s">
        <v>27</v>
      </c>
      <c r="M50" s="75" t="s">
        <v>64</v>
      </c>
      <c r="N50" s="75" t="s">
        <v>63</v>
      </c>
      <c r="O50" s="75" t="s">
        <v>62</v>
      </c>
      <c r="P50" s="40"/>
    </row>
    <row r="51" spans="1:16" s="71" customFormat="1" ht="15" customHeight="1">
      <c r="A51" s="361" t="s">
        <v>320</v>
      </c>
      <c r="B51" s="433" t="s">
        <v>826</v>
      </c>
      <c r="C51" s="521"/>
      <c r="D51" s="521"/>
      <c r="E51" s="521"/>
      <c r="F51" s="521"/>
      <c r="G51" s="521"/>
      <c r="H51" s="521"/>
      <c r="I51" s="521"/>
      <c r="J51" s="522"/>
      <c r="K51" s="232">
        <v>15</v>
      </c>
      <c r="L51" s="238"/>
      <c r="M51" s="238"/>
      <c r="N51" s="238"/>
      <c r="O51" s="232" t="s">
        <v>603</v>
      </c>
    </row>
    <row r="52" spans="1:16" s="71" customFormat="1" ht="15" customHeight="1">
      <c r="A52" s="362"/>
      <c r="B52" s="436" t="s">
        <v>232</v>
      </c>
      <c r="C52" s="502"/>
      <c r="D52" s="502"/>
      <c r="E52" s="502"/>
      <c r="F52" s="502"/>
      <c r="G52" s="502"/>
      <c r="H52" s="502"/>
      <c r="I52" s="502"/>
      <c r="J52" s="503"/>
      <c r="K52" s="234"/>
      <c r="L52" s="240"/>
      <c r="M52" s="240"/>
      <c r="N52" s="240"/>
      <c r="O52" s="234"/>
    </row>
    <row r="53" spans="1:16" s="71" customFormat="1" ht="15" customHeight="1">
      <c r="A53" s="361" t="s">
        <v>324</v>
      </c>
      <c r="B53" s="260" t="s">
        <v>631</v>
      </c>
      <c r="C53" s="426"/>
      <c r="D53" s="426"/>
      <c r="E53" s="426"/>
      <c r="F53" s="426"/>
      <c r="G53" s="426"/>
      <c r="H53" s="426"/>
      <c r="I53" s="426"/>
      <c r="J53" s="427"/>
      <c r="K53" s="232">
        <v>10</v>
      </c>
      <c r="L53" s="238"/>
      <c r="M53" s="238"/>
      <c r="N53" s="238"/>
      <c r="O53" s="232" t="s">
        <v>603</v>
      </c>
    </row>
    <row r="54" spans="1:16" s="71" customFormat="1" ht="15" customHeight="1">
      <c r="A54" s="375"/>
      <c r="B54" s="252" t="s">
        <v>245</v>
      </c>
      <c r="C54" s="453"/>
      <c r="D54" s="453"/>
      <c r="E54" s="453"/>
      <c r="F54" s="453"/>
      <c r="G54" s="453"/>
      <c r="H54" s="453"/>
      <c r="I54" s="453"/>
      <c r="J54" s="450"/>
      <c r="K54" s="233"/>
      <c r="L54" s="239"/>
      <c r="M54" s="239"/>
      <c r="N54" s="239"/>
      <c r="O54" s="233"/>
    </row>
    <row r="55" spans="1:16" s="71" customFormat="1" ht="15" customHeight="1">
      <c r="A55" s="362"/>
      <c r="B55" s="254" t="s">
        <v>316</v>
      </c>
      <c r="C55" s="428"/>
      <c r="D55" s="428"/>
      <c r="E55" s="428"/>
      <c r="F55" s="428"/>
      <c r="G55" s="428"/>
      <c r="H55" s="428"/>
      <c r="I55" s="428"/>
      <c r="J55" s="429"/>
      <c r="K55" s="234"/>
      <c r="L55" s="240"/>
      <c r="M55" s="240"/>
      <c r="N55" s="240"/>
      <c r="O55" s="234"/>
    </row>
    <row r="56" spans="1:16" s="71" customFormat="1" ht="15" customHeight="1">
      <c r="A56" s="361" t="s">
        <v>325</v>
      </c>
      <c r="B56" s="260" t="s">
        <v>692</v>
      </c>
      <c r="C56" s="426"/>
      <c r="D56" s="426"/>
      <c r="E56" s="426"/>
      <c r="F56" s="426"/>
      <c r="G56" s="426"/>
      <c r="H56" s="426"/>
      <c r="I56" s="426"/>
      <c r="J56" s="427"/>
      <c r="K56" s="232">
        <v>5</v>
      </c>
      <c r="L56" s="238"/>
      <c r="M56" s="238"/>
      <c r="N56" s="238"/>
      <c r="O56" s="232" t="s">
        <v>76</v>
      </c>
    </row>
    <row r="57" spans="1:16" s="71" customFormat="1" ht="15" customHeight="1">
      <c r="A57" s="375"/>
      <c r="B57" s="252" t="s">
        <v>354</v>
      </c>
      <c r="C57" s="453"/>
      <c r="D57" s="453"/>
      <c r="E57" s="453"/>
      <c r="F57" s="453"/>
      <c r="G57" s="453"/>
      <c r="H57" s="453"/>
      <c r="I57" s="453"/>
      <c r="J57" s="450"/>
      <c r="K57" s="233"/>
      <c r="L57" s="239"/>
      <c r="M57" s="239"/>
      <c r="N57" s="239"/>
      <c r="O57" s="233"/>
    </row>
    <row r="58" spans="1:16" s="71" customFormat="1" ht="15" customHeight="1">
      <c r="A58" s="361" t="s">
        <v>326</v>
      </c>
      <c r="B58" s="260" t="s">
        <v>323</v>
      </c>
      <c r="C58" s="426"/>
      <c r="D58" s="426"/>
      <c r="E58" s="426"/>
      <c r="F58" s="426"/>
      <c r="G58" s="426"/>
      <c r="H58" s="426"/>
      <c r="I58" s="426"/>
      <c r="J58" s="427"/>
      <c r="K58" s="232">
        <v>5</v>
      </c>
      <c r="L58" s="238"/>
      <c r="M58" s="238"/>
      <c r="N58" s="238"/>
      <c r="O58" s="232" t="s">
        <v>76</v>
      </c>
    </row>
    <row r="59" spans="1:16" s="71" customFormat="1" ht="15" customHeight="1">
      <c r="A59" s="375"/>
      <c r="B59" s="252" t="s">
        <v>634</v>
      </c>
      <c r="C59" s="453"/>
      <c r="D59" s="453"/>
      <c r="E59" s="453"/>
      <c r="F59" s="453"/>
      <c r="G59" s="453"/>
      <c r="H59" s="453"/>
      <c r="I59" s="453"/>
      <c r="J59" s="450"/>
      <c r="K59" s="233"/>
      <c r="L59" s="239"/>
      <c r="M59" s="239"/>
      <c r="N59" s="239"/>
      <c r="O59" s="233"/>
    </row>
    <row r="60" spans="1:16" s="71" customFormat="1" ht="15" customHeight="1">
      <c r="A60" s="361" t="s">
        <v>327</v>
      </c>
      <c r="B60" s="260" t="s">
        <v>355</v>
      </c>
      <c r="C60" s="426"/>
      <c r="D60" s="426"/>
      <c r="E60" s="426"/>
      <c r="F60" s="426"/>
      <c r="G60" s="426"/>
      <c r="H60" s="426"/>
      <c r="I60" s="426"/>
      <c r="J60" s="427"/>
      <c r="K60" s="232">
        <v>10</v>
      </c>
      <c r="L60" s="238"/>
      <c r="M60" s="238"/>
      <c r="N60" s="238"/>
      <c r="O60" s="238"/>
    </row>
    <row r="61" spans="1:16" s="71" customFormat="1" ht="15" customHeight="1">
      <c r="A61" s="375"/>
      <c r="B61" s="252" t="s">
        <v>827</v>
      </c>
      <c r="C61" s="453"/>
      <c r="D61" s="453"/>
      <c r="E61" s="453"/>
      <c r="F61" s="453"/>
      <c r="G61" s="453"/>
      <c r="H61" s="453"/>
      <c r="I61" s="453"/>
      <c r="J61" s="450"/>
      <c r="K61" s="233"/>
      <c r="L61" s="239"/>
      <c r="M61" s="239"/>
      <c r="N61" s="239"/>
      <c r="O61" s="239"/>
    </row>
    <row r="62" spans="1:16" s="71" customFormat="1" ht="15" customHeight="1">
      <c r="A62" s="361" t="s">
        <v>632</v>
      </c>
      <c r="B62" s="260" t="s">
        <v>828</v>
      </c>
      <c r="C62" s="426"/>
      <c r="D62" s="426"/>
      <c r="E62" s="426"/>
      <c r="F62" s="426"/>
      <c r="G62" s="426"/>
      <c r="H62" s="426"/>
      <c r="I62" s="426"/>
      <c r="J62" s="427"/>
      <c r="K62" s="232">
        <v>10</v>
      </c>
      <c r="L62" s="238"/>
      <c r="M62" s="238"/>
      <c r="N62" s="238"/>
      <c r="O62" s="232" t="s">
        <v>76</v>
      </c>
    </row>
    <row r="63" spans="1:16" s="71" customFormat="1" ht="15" customHeight="1">
      <c r="A63" s="375"/>
      <c r="B63" s="252" t="s">
        <v>829</v>
      </c>
      <c r="C63" s="453"/>
      <c r="D63" s="453"/>
      <c r="E63" s="453"/>
      <c r="F63" s="453"/>
      <c r="G63" s="453"/>
      <c r="H63" s="453"/>
      <c r="I63" s="453"/>
      <c r="J63" s="450"/>
      <c r="K63" s="233"/>
      <c r="L63" s="239"/>
      <c r="M63" s="239"/>
      <c r="N63" s="239"/>
      <c r="O63" s="233"/>
    </row>
    <row r="64" spans="1:16" s="71" customFormat="1" ht="15" customHeight="1">
      <c r="A64" s="361" t="s">
        <v>633</v>
      </c>
      <c r="B64" s="260" t="s">
        <v>830</v>
      </c>
      <c r="C64" s="426"/>
      <c r="D64" s="426"/>
      <c r="E64" s="426"/>
      <c r="F64" s="426"/>
      <c r="G64" s="426"/>
      <c r="H64" s="426"/>
      <c r="I64" s="426"/>
      <c r="J64" s="427"/>
      <c r="K64" s="232">
        <v>10</v>
      </c>
      <c r="L64" s="238"/>
      <c r="M64" s="238"/>
      <c r="N64" s="238"/>
      <c r="O64" s="238"/>
    </row>
    <row r="65" spans="1:16" s="71" customFormat="1" ht="15" customHeight="1">
      <c r="A65" s="362"/>
      <c r="B65" s="254" t="s">
        <v>831</v>
      </c>
      <c r="C65" s="428"/>
      <c r="D65" s="428"/>
      <c r="E65" s="428"/>
      <c r="F65" s="428"/>
      <c r="G65" s="428"/>
      <c r="H65" s="428"/>
      <c r="I65" s="428"/>
      <c r="J65" s="429"/>
      <c r="K65" s="234"/>
      <c r="L65" s="240"/>
      <c r="M65" s="240"/>
      <c r="N65" s="240"/>
      <c r="O65" s="240"/>
    </row>
    <row r="66" spans="1:16" s="77" customFormat="1" ht="30" customHeight="1">
      <c r="A66" s="377" t="s">
        <v>456</v>
      </c>
      <c r="B66" s="504"/>
      <c r="C66" s="504"/>
      <c r="D66" s="504"/>
      <c r="E66" s="504"/>
      <c r="F66" s="504"/>
      <c r="G66" s="504"/>
      <c r="H66" s="504"/>
      <c r="I66" s="504"/>
      <c r="J66" s="504"/>
      <c r="K66" s="504"/>
      <c r="L66" s="504"/>
      <c r="M66" s="504"/>
      <c r="N66" s="504"/>
      <c r="O66" s="504"/>
    </row>
    <row r="67" spans="1:16" s="41" customFormat="1" ht="15">
      <c r="A67" s="300" t="s">
        <v>66</v>
      </c>
      <c r="B67" s="301"/>
      <c r="C67" s="301"/>
      <c r="D67" s="301"/>
      <c r="E67" s="301"/>
      <c r="F67" s="301"/>
      <c r="G67" s="301"/>
      <c r="H67" s="301"/>
      <c r="I67" s="301"/>
      <c r="J67" s="302"/>
      <c r="K67" s="74" t="s">
        <v>65</v>
      </c>
      <c r="L67" s="75" t="s">
        <v>27</v>
      </c>
      <c r="M67" s="75" t="s">
        <v>64</v>
      </c>
      <c r="N67" s="75" t="s">
        <v>63</v>
      </c>
      <c r="O67" s="75" t="s">
        <v>62</v>
      </c>
      <c r="P67" s="40"/>
    </row>
    <row r="68" spans="1:16" s="71" customFormat="1" ht="15" customHeight="1">
      <c r="A68" s="378" t="s">
        <v>635</v>
      </c>
      <c r="B68" s="260" t="s">
        <v>832</v>
      </c>
      <c r="C68" s="426"/>
      <c r="D68" s="426"/>
      <c r="E68" s="426"/>
      <c r="F68" s="426"/>
      <c r="G68" s="426"/>
      <c r="H68" s="426"/>
      <c r="I68" s="426"/>
      <c r="J68" s="427"/>
      <c r="K68" s="246">
        <v>10</v>
      </c>
      <c r="L68" s="238"/>
      <c r="M68" s="238"/>
      <c r="N68" s="318"/>
      <c r="O68" s="232" t="s">
        <v>604</v>
      </c>
    </row>
    <row r="69" spans="1:16" s="71" customFormat="1" ht="15" customHeight="1">
      <c r="A69" s="379"/>
      <c r="B69" s="252" t="s">
        <v>833</v>
      </c>
      <c r="C69" s="449"/>
      <c r="D69" s="449"/>
      <c r="E69" s="449"/>
      <c r="F69" s="449"/>
      <c r="G69" s="449"/>
      <c r="H69" s="449"/>
      <c r="I69" s="449"/>
      <c r="J69" s="450"/>
      <c r="K69" s="380"/>
      <c r="L69" s="239"/>
      <c r="M69" s="239"/>
      <c r="N69" s="286"/>
      <c r="O69" s="233"/>
    </row>
    <row r="70" spans="1:16" s="71" customFormat="1" ht="15" customHeight="1">
      <c r="A70" s="379"/>
      <c r="B70" s="252" t="s">
        <v>840</v>
      </c>
      <c r="C70" s="172"/>
      <c r="D70" s="172"/>
      <c r="E70" s="172"/>
      <c r="F70" s="172"/>
      <c r="G70" s="172"/>
      <c r="H70" s="172"/>
      <c r="I70" s="172"/>
      <c r="J70" s="253"/>
      <c r="K70" s="380"/>
      <c r="L70" s="239"/>
      <c r="M70" s="239"/>
      <c r="N70" s="286"/>
      <c r="O70" s="233"/>
    </row>
    <row r="71" spans="1:16" s="71" customFormat="1" ht="15" customHeight="1">
      <c r="A71" s="423"/>
      <c r="B71" s="254" t="s">
        <v>661</v>
      </c>
      <c r="C71" s="428"/>
      <c r="D71" s="428"/>
      <c r="E71" s="428"/>
      <c r="F71" s="428"/>
      <c r="G71" s="428"/>
      <c r="H71" s="428"/>
      <c r="I71" s="428"/>
      <c r="J71" s="429"/>
      <c r="K71" s="247"/>
      <c r="L71" s="240"/>
      <c r="M71" s="240"/>
      <c r="N71" s="287"/>
      <c r="O71" s="234"/>
    </row>
    <row r="72" spans="1:16" s="71" customFormat="1" ht="15" customHeight="1">
      <c r="A72" s="361" t="s">
        <v>636</v>
      </c>
      <c r="B72" s="260" t="s">
        <v>328</v>
      </c>
      <c r="C72" s="187"/>
      <c r="D72" s="187"/>
      <c r="E72" s="187"/>
      <c r="F72" s="187"/>
      <c r="G72" s="187"/>
      <c r="H72" s="187"/>
      <c r="I72" s="187"/>
      <c r="J72" s="261"/>
      <c r="K72" s="232">
        <v>10</v>
      </c>
      <c r="L72" s="238"/>
      <c r="M72" s="238"/>
      <c r="N72" s="318"/>
      <c r="O72" s="232" t="s">
        <v>604</v>
      </c>
    </row>
    <row r="73" spans="1:16" s="71" customFormat="1" ht="15" customHeight="1">
      <c r="A73" s="362"/>
      <c r="B73" s="254" t="s">
        <v>329</v>
      </c>
      <c r="C73" s="428"/>
      <c r="D73" s="428"/>
      <c r="E73" s="428"/>
      <c r="F73" s="428"/>
      <c r="G73" s="428"/>
      <c r="H73" s="428"/>
      <c r="I73" s="428"/>
      <c r="J73" s="429"/>
      <c r="K73" s="234"/>
      <c r="L73" s="240"/>
      <c r="M73" s="240"/>
      <c r="N73" s="287"/>
      <c r="O73" s="234"/>
    </row>
    <row r="74" spans="1:16" s="71" customFormat="1" ht="15" customHeight="1">
      <c r="A74" s="361" t="s">
        <v>637</v>
      </c>
      <c r="B74" s="260" t="s">
        <v>834</v>
      </c>
      <c r="C74" s="187"/>
      <c r="D74" s="187"/>
      <c r="E74" s="187"/>
      <c r="F74" s="187"/>
      <c r="G74" s="187"/>
      <c r="H74" s="187"/>
      <c r="I74" s="187"/>
      <c r="J74" s="261"/>
      <c r="K74" s="232">
        <v>10</v>
      </c>
      <c r="L74" s="238"/>
      <c r="M74" s="238"/>
      <c r="N74" s="394"/>
      <c r="O74" s="232" t="s">
        <v>604</v>
      </c>
    </row>
    <row r="75" spans="1:16" s="71" customFormat="1" ht="15" customHeight="1">
      <c r="A75" s="375"/>
      <c r="B75" s="252" t="s">
        <v>835</v>
      </c>
      <c r="C75" s="449"/>
      <c r="D75" s="449"/>
      <c r="E75" s="449"/>
      <c r="F75" s="449"/>
      <c r="G75" s="449"/>
      <c r="H75" s="449"/>
      <c r="I75" s="449"/>
      <c r="J75" s="450"/>
      <c r="K75" s="233"/>
      <c r="L75" s="239"/>
      <c r="M75" s="239"/>
      <c r="N75" s="395"/>
      <c r="O75" s="233"/>
    </row>
    <row r="76" spans="1:16" s="71" customFormat="1" ht="15" customHeight="1">
      <c r="A76" s="362"/>
      <c r="B76" s="254" t="s">
        <v>836</v>
      </c>
      <c r="C76" s="428"/>
      <c r="D76" s="428"/>
      <c r="E76" s="428"/>
      <c r="F76" s="428"/>
      <c r="G76" s="428"/>
      <c r="H76" s="428"/>
      <c r="I76" s="428"/>
      <c r="J76" s="429"/>
      <c r="K76" s="234"/>
      <c r="L76" s="240"/>
      <c r="M76" s="240"/>
      <c r="N76" s="396"/>
      <c r="O76" s="234"/>
    </row>
    <row r="77" spans="1:16" s="71" customFormat="1" ht="15" customHeight="1">
      <c r="A77" s="361" t="s">
        <v>638</v>
      </c>
      <c r="B77" s="260" t="s">
        <v>841</v>
      </c>
      <c r="C77" s="187"/>
      <c r="D77" s="187"/>
      <c r="E77" s="187"/>
      <c r="F77" s="187"/>
      <c r="G77" s="187"/>
      <c r="H77" s="187"/>
      <c r="I77" s="187"/>
      <c r="J77" s="261"/>
      <c r="K77" s="232">
        <v>5</v>
      </c>
      <c r="L77" s="238"/>
      <c r="M77" s="238"/>
      <c r="N77" s="318"/>
      <c r="O77" s="232" t="s">
        <v>604</v>
      </c>
    </row>
    <row r="78" spans="1:16" s="71" customFormat="1" ht="15" customHeight="1">
      <c r="A78" s="362"/>
      <c r="B78" s="254" t="s">
        <v>628</v>
      </c>
      <c r="C78" s="428"/>
      <c r="D78" s="428"/>
      <c r="E78" s="428"/>
      <c r="F78" s="428"/>
      <c r="G78" s="428"/>
      <c r="H78" s="428"/>
      <c r="I78" s="428"/>
      <c r="J78" s="429"/>
      <c r="K78" s="234"/>
      <c r="L78" s="240"/>
      <c r="M78" s="240"/>
      <c r="N78" s="287"/>
      <c r="O78" s="234"/>
    </row>
    <row r="79" spans="1:16" ht="30" customHeight="1">
      <c r="A79" s="443" t="s">
        <v>639</v>
      </c>
      <c r="B79" s="523"/>
      <c r="C79" s="523"/>
      <c r="D79" s="523"/>
      <c r="E79" s="523"/>
      <c r="F79" s="523"/>
      <c r="G79" s="523"/>
      <c r="H79" s="523"/>
      <c r="I79" s="523"/>
      <c r="J79" s="523"/>
      <c r="K79" s="523"/>
      <c r="L79" s="523"/>
      <c r="M79" s="523"/>
      <c r="N79" s="523"/>
      <c r="O79" s="523"/>
    </row>
    <row r="80" spans="1:16" s="41" customFormat="1" ht="15">
      <c r="A80" s="300" t="s">
        <v>66</v>
      </c>
      <c r="B80" s="301"/>
      <c r="C80" s="301"/>
      <c r="D80" s="301"/>
      <c r="E80" s="301"/>
      <c r="F80" s="301"/>
      <c r="G80" s="301"/>
      <c r="H80" s="301"/>
      <c r="I80" s="301"/>
      <c r="J80" s="302"/>
      <c r="K80" s="74" t="s">
        <v>65</v>
      </c>
      <c r="L80" s="75" t="s">
        <v>27</v>
      </c>
      <c r="M80" s="75" t="s">
        <v>64</v>
      </c>
      <c r="N80" s="75" t="s">
        <v>63</v>
      </c>
      <c r="O80" s="75" t="s">
        <v>62</v>
      </c>
      <c r="P80" s="40"/>
    </row>
    <row r="81" spans="1:16" s="71" customFormat="1" ht="15" customHeight="1">
      <c r="A81" s="361" t="s">
        <v>640</v>
      </c>
      <c r="B81" s="260" t="s">
        <v>837</v>
      </c>
      <c r="C81" s="426"/>
      <c r="D81" s="426"/>
      <c r="E81" s="426"/>
      <c r="F81" s="426"/>
      <c r="G81" s="426"/>
      <c r="H81" s="426"/>
      <c r="I81" s="426"/>
      <c r="J81" s="427"/>
      <c r="K81" s="232">
        <v>10</v>
      </c>
      <c r="L81" s="238"/>
      <c r="M81" s="238"/>
      <c r="N81" s="318"/>
      <c r="O81" s="238"/>
    </row>
    <row r="82" spans="1:16" s="71" customFormat="1" ht="15" customHeight="1">
      <c r="A82" s="375"/>
      <c r="B82" s="252" t="s">
        <v>838</v>
      </c>
      <c r="C82" s="453"/>
      <c r="D82" s="453"/>
      <c r="E82" s="453"/>
      <c r="F82" s="453"/>
      <c r="G82" s="453"/>
      <c r="H82" s="453"/>
      <c r="I82" s="453"/>
      <c r="J82" s="450"/>
      <c r="K82" s="233"/>
      <c r="L82" s="239"/>
      <c r="M82" s="239"/>
      <c r="N82" s="286"/>
      <c r="O82" s="239"/>
    </row>
    <row r="83" spans="1:16" s="71" customFormat="1" ht="15" customHeight="1">
      <c r="A83" s="375"/>
      <c r="B83" s="252" t="s">
        <v>839</v>
      </c>
      <c r="C83" s="453"/>
      <c r="D83" s="453"/>
      <c r="E83" s="453"/>
      <c r="F83" s="453"/>
      <c r="G83" s="453"/>
      <c r="H83" s="453"/>
      <c r="I83" s="453"/>
      <c r="J83" s="450"/>
      <c r="K83" s="233"/>
      <c r="L83" s="239"/>
      <c r="M83" s="239"/>
      <c r="N83" s="286"/>
      <c r="O83" s="239"/>
    </row>
    <row r="84" spans="1:16" s="71" customFormat="1" ht="15" customHeight="1">
      <c r="A84" s="378" t="s">
        <v>641</v>
      </c>
      <c r="B84" s="260" t="s">
        <v>842</v>
      </c>
      <c r="C84" s="426"/>
      <c r="D84" s="426"/>
      <c r="E84" s="426"/>
      <c r="F84" s="426"/>
      <c r="G84" s="426"/>
      <c r="H84" s="426"/>
      <c r="I84" s="426"/>
      <c r="J84" s="427"/>
      <c r="K84" s="246">
        <v>5</v>
      </c>
      <c r="L84" s="238"/>
      <c r="M84" s="238"/>
      <c r="N84" s="394"/>
      <c r="O84" s="232" t="s">
        <v>604</v>
      </c>
    </row>
    <row r="85" spans="1:16" s="71" customFormat="1" ht="15" customHeight="1">
      <c r="A85" s="379"/>
      <c r="B85" s="252" t="s">
        <v>843</v>
      </c>
      <c r="C85" s="449"/>
      <c r="D85" s="449"/>
      <c r="E85" s="449"/>
      <c r="F85" s="449"/>
      <c r="G85" s="449"/>
      <c r="H85" s="449"/>
      <c r="I85" s="449"/>
      <c r="J85" s="450"/>
      <c r="K85" s="380"/>
      <c r="L85" s="239"/>
      <c r="M85" s="239"/>
      <c r="N85" s="395"/>
      <c r="O85" s="233"/>
    </row>
    <row r="86" spans="1:16" s="71" customFormat="1" ht="15" customHeight="1">
      <c r="A86" s="379"/>
      <c r="B86" s="252" t="s">
        <v>844</v>
      </c>
      <c r="C86" s="172"/>
      <c r="D86" s="172"/>
      <c r="E86" s="172"/>
      <c r="F86" s="172"/>
      <c r="G86" s="172"/>
      <c r="H86" s="172"/>
      <c r="I86" s="172"/>
      <c r="J86" s="253"/>
      <c r="K86" s="380"/>
      <c r="L86" s="239"/>
      <c r="M86" s="239"/>
      <c r="N86" s="395"/>
      <c r="O86" s="233"/>
    </row>
    <row r="87" spans="1:16" s="71" customFormat="1" ht="15" customHeight="1">
      <c r="A87" s="423"/>
      <c r="B87" s="254" t="s">
        <v>845</v>
      </c>
      <c r="C87" s="428"/>
      <c r="D87" s="428"/>
      <c r="E87" s="428"/>
      <c r="F87" s="428"/>
      <c r="G87" s="428"/>
      <c r="H87" s="428"/>
      <c r="I87" s="428"/>
      <c r="J87" s="429"/>
      <c r="K87" s="247"/>
      <c r="L87" s="240"/>
      <c r="M87" s="240"/>
      <c r="N87" s="396"/>
      <c r="O87" s="234"/>
    </row>
    <row r="88" spans="1:16" s="71" customFormat="1" ht="15" customHeight="1">
      <c r="A88" s="361" t="s">
        <v>642</v>
      </c>
      <c r="B88" s="260" t="s">
        <v>846</v>
      </c>
      <c r="C88" s="426"/>
      <c r="D88" s="426"/>
      <c r="E88" s="426"/>
      <c r="F88" s="426"/>
      <c r="G88" s="426"/>
      <c r="H88" s="426"/>
      <c r="I88" s="426"/>
      <c r="J88" s="427"/>
      <c r="K88" s="232">
        <v>5</v>
      </c>
      <c r="L88" s="238"/>
      <c r="M88" s="238"/>
      <c r="N88" s="238"/>
      <c r="O88" s="232" t="s">
        <v>604</v>
      </c>
    </row>
    <row r="89" spans="1:16" s="71" customFormat="1" ht="15" customHeight="1">
      <c r="A89" s="375"/>
      <c r="B89" s="252" t="s">
        <v>847</v>
      </c>
      <c r="C89" s="453"/>
      <c r="D89" s="453"/>
      <c r="E89" s="453"/>
      <c r="F89" s="453"/>
      <c r="G89" s="453"/>
      <c r="H89" s="453"/>
      <c r="I89" s="453"/>
      <c r="J89" s="450"/>
      <c r="K89" s="233"/>
      <c r="L89" s="239"/>
      <c r="M89" s="239"/>
      <c r="N89" s="239"/>
      <c r="O89" s="233"/>
    </row>
    <row r="90" spans="1:16" s="71" customFormat="1" ht="15" customHeight="1">
      <c r="A90" s="375"/>
      <c r="B90" s="252" t="s">
        <v>844</v>
      </c>
      <c r="C90" s="172"/>
      <c r="D90" s="172"/>
      <c r="E90" s="172"/>
      <c r="F90" s="172"/>
      <c r="G90" s="172"/>
      <c r="H90" s="172"/>
      <c r="I90" s="172"/>
      <c r="J90" s="253"/>
      <c r="K90" s="233"/>
      <c r="L90" s="239"/>
      <c r="M90" s="239"/>
      <c r="N90" s="239"/>
      <c r="O90" s="233"/>
    </row>
    <row r="91" spans="1:16" s="71" customFormat="1" ht="15" customHeight="1">
      <c r="A91" s="362"/>
      <c r="B91" s="254" t="s">
        <v>845</v>
      </c>
      <c r="C91" s="428"/>
      <c r="D91" s="428"/>
      <c r="E91" s="428"/>
      <c r="F91" s="428"/>
      <c r="G91" s="428"/>
      <c r="H91" s="428"/>
      <c r="I91" s="428"/>
      <c r="J91" s="429"/>
      <c r="K91" s="234"/>
      <c r="L91" s="240"/>
      <c r="M91" s="240"/>
      <c r="N91" s="240"/>
      <c r="O91" s="234"/>
    </row>
    <row r="92" spans="1:16" s="47" customFormat="1" ht="30" customHeight="1">
      <c r="A92" s="496" t="s">
        <v>613</v>
      </c>
      <c r="B92" s="524"/>
      <c r="C92" s="524"/>
      <c r="D92" s="524"/>
      <c r="E92" s="524"/>
      <c r="F92" s="524"/>
      <c r="G92" s="524"/>
      <c r="H92" s="524"/>
      <c r="I92" s="524"/>
      <c r="J92" s="524"/>
      <c r="K92" s="524"/>
      <c r="L92" s="524"/>
      <c r="M92" s="524"/>
      <c r="N92" s="524"/>
      <c r="O92" s="524"/>
    </row>
    <row r="93" spans="1:16" s="41" customFormat="1" ht="15">
      <c r="A93" s="300" t="s">
        <v>66</v>
      </c>
      <c r="B93" s="301"/>
      <c r="C93" s="301"/>
      <c r="D93" s="301"/>
      <c r="E93" s="301"/>
      <c r="F93" s="301"/>
      <c r="G93" s="301"/>
      <c r="H93" s="301"/>
      <c r="I93" s="301"/>
      <c r="J93" s="302"/>
      <c r="K93" s="74" t="s">
        <v>65</v>
      </c>
      <c r="L93" s="75" t="s">
        <v>27</v>
      </c>
      <c r="M93" s="75" t="s">
        <v>64</v>
      </c>
      <c r="N93" s="75" t="s">
        <v>63</v>
      </c>
      <c r="O93" s="75" t="s">
        <v>62</v>
      </c>
      <c r="P93" s="40"/>
    </row>
    <row r="94" spans="1:16" s="71" customFormat="1" ht="15" customHeight="1">
      <c r="A94" s="378" t="s">
        <v>644</v>
      </c>
      <c r="B94" s="525" t="s">
        <v>848</v>
      </c>
      <c r="C94" s="526"/>
      <c r="D94" s="526"/>
      <c r="E94" s="526"/>
      <c r="F94" s="526"/>
      <c r="G94" s="526"/>
      <c r="H94" s="526"/>
      <c r="I94" s="526"/>
      <c r="J94" s="527"/>
      <c r="K94" s="246">
        <v>10</v>
      </c>
      <c r="L94" s="238"/>
      <c r="M94" s="238"/>
      <c r="N94" s="318"/>
      <c r="O94" s="232" t="s">
        <v>76</v>
      </c>
    </row>
    <row r="95" spans="1:16" s="71" customFormat="1" ht="15" customHeight="1">
      <c r="A95" s="379"/>
      <c r="B95" s="528" t="s">
        <v>795</v>
      </c>
      <c r="C95" s="529"/>
      <c r="D95" s="529"/>
      <c r="E95" s="529"/>
      <c r="F95" s="529"/>
      <c r="G95" s="529"/>
      <c r="H95" s="529"/>
      <c r="I95" s="529"/>
      <c r="J95" s="530"/>
      <c r="K95" s="380"/>
      <c r="L95" s="239"/>
      <c r="M95" s="239"/>
      <c r="N95" s="286"/>
      <c r="O95" s="233"/>
    </row>
    <row r="96" spans="1:16" s="71" customFormat="1" ht="15" customHeight="1">
      <c r="A96" s="379"/>
      <c r="B96" s="528" t="s">
        <v>900</v>
      </c>
      <c r="C96" s="534"/>
      <c r="D96" s="534"/>
      <c r="E96" s="534"/>
      <c r="F96" s="534"/>
      <c r="G96" s="534"/>
      <c r="H96" s="534"/>
      <c r="I96" s="534"/>
      <c r="J96" s="535"/>
      <c r="K96" s="380"/>
      <c r="L96" s="239"/>
      <c r="M96" s="239"/>
      <c r="N96" s="286"/>
      <c r="O96" s="233"/>
    </row>
    <row r="97" spans="1:20" s="71" customFormat="1" ht="15" customHeight="1">
      <c r="A97" s="423"/>
      <c r="B97" s="531" t="s">
        <v>899</v>
      </c>
      <c r="C97" s="532"/>
      <c r="D97" s="532"/>
      <c r="E97" s="532"/>
      <c r="F97" s="532"/>
      <c r="G97" s="532"/>
      <c r="H97" s="532"/>
      <c r="I97" s="532"/>
      <c r="J97" s="533"/>
      <c r="K97" s="247"/>
      <c r="L97" s="240"/>
      <c r="M97" s="240"/>
      <c r="N97" s="287"/>
      <c r="O97" s="234"/>
    </row>
    <row r="98" spans="1:20" s="53" customFormat="1" ht="6" customHeight="1">
      <c r="A98" s="265"/>
      <c r="B98" s="265"/>
      <c r="C98" s="265"/>
      <c r="D98" s="265"/>
      <c r="E98" s="265"/>
      <c r="F98" s="265"/>
      <c r="G98" s="265"/>
      <c r="H98" s="265"/>
      <c r="I98" s="265"/>
      <c r="J98" s="265"/>
      <c r="K98" s="265"/>
      <c r="L98" s="265"/>
      <c r="M98" s="265"/>
      <c r="N98" s="265"/>
      <c r="O98" s="265"/>
      <c r="P98" s="7"/>
    </row>
    <row r="99" spans="1:20" s="53" customFormat="1" ht="15" customHeight="1">
      <c r="A99" s="263" t="s">
        <v>112</v>
      </c>
      <c r="B99" s="264"/>
      <c r="C99" s="264"/>
      <c r="D99" s="84"/>
      <c r="E99" s="266"/>
      <c r="F99" s="266"/>
      <c r="G99" s="266"/>
      <c r="H99" s="266"/>
      <c r="I99" s="266"/>
      <c r="J99" s="266"/>
      <c r="K99" s="266"/>
      <c r="L99" s="266"/>
      <c r="M99" s="266"/>
      <c r="N99" s="266"/>
      <c r="O99" s="267"/>
      <c r="P99" s="7"/>
    </row>
    <row r="100" spans="1:20" s="53" customFormat="1" ht="27" customHeight="1">
      <c r="A100" s="231"/>
      <c r="B100" s="231"/>
      <c r="C100" s="231"/>
      <c r="D100" s="231"/>
      <c r="E100" s="231"/>
      <c r="F100" s="231"/>
      <c r="G100" s="231"/>
      <c r="H100" s="231"/>
      <c r="I100" s="231"/>
      <c r="J100" s="231"/>
      <c r="K100" s="231"/>
      <c r="L100" s="231"/>
      <c r="M100" s="231"/>
      <c r="N100" s="231"/>
      <c r="O100" s="231"/>
      <c r="P100" s="7"/>
    </row>
    <row r="101" spans="1:20" s="53" customFormat="1" ht="27" customHeight="1">
      <c r="A101" s="231"/>
      <c r="B101" s="231"/>
      <c r="C101" s="231"/>
      <c r="D101" s="231"/>
      <c r="E101" s="231"/>
      <c r="F101" s="231"/>
      <c r="G101" s="231"/>
      <c r="H101" s="231"/>
      <c r="I101" s="231"/>
      <c r="J101" s="231"/>
      <c r="K101" s="231"/>
      <c r="L101" s="231"/>
      <c r="M101" s="231"/>
      <c r="N101" s="231"/>
      <c r="O101" s="231"/>
      <c r="P101" s="7"/>
    </row>
    <row r="102" spans="1:20" s="53" customFormat="1" ht="27" customHeight="1">
      <c r="A102" s="231"/>
      <c r="B102" s="231"/>
      <c r="C102" s="231"/>
      <c r="D102" s="231"/>
      <c r="E102" s="231"/>
      <c r="F102" s="231"/>
      <c r="G102" s="231"/>
      <c r="H102" s="231"/>
      <c r="I102" s="231"/>
      <c r="J102" s="231"/>
      <c r="K102" s="231"/>
      <c r="L102" s="231"/>
      <c r="M102" s="231"/>
      <c r="N102" s="231"/>
      <c r="O102" s="231"/>
      <c r="P102" s="7"/>
    </row>
    <row r="103" spans="1:20" s="53" customFormat="1" ht="27" customHeight="1">
      <c r="A103" s="231"/>
      <c r="B103" s="231"/>
      <c r="C103" s="231"/>
      <c r="D103" s="231"/>
      <c r="E103" s="231"/>
      <c r="F103" s="231"/>
      <c r="G103" s="231"/>
      <c r="H103" s="231"/>
      <c r="I103" s="231"/>
      <c r="J103" s="231"/>
      <c r="K103" s="231"/>
      <c r="L103" s="231"/>
      <c r="M103" s="231"/>
      <c r="N103" s="231"/>
      <c r="O103" s="231"/>
      <c r="P103" s="7"/>
    </row>
    <row r="104" spans="1:20" s="53" customFormat="1" ht="27" customHeight="1">
      <c r="A104" s="231"/>
      <c r="B104" s="231"/>
      <c r="C104" s="231"/>
      <c r="D104" s="231"/>
      <c r="E104" s="231"/>
      <c r="F104" s="231"/>
      <c r="G104" s="231"/>
      <c r="H104" s="231"/>
      <c r="I104" s="231"/>
      <c r="J104" s="231"/>
      <c r="K104" s="231"/>
      <c r="L104" s="231"/>
      <c r="M104" s="231"/>
      <c r="N104" s="231"/>
      <c r="O104" s="231"/>
      <c r="P104" s="7"/>
    </row>
    <row r="105" spans="1:20" s="53" customFormat="1" ht="27" customHeight="1">
      <c r="A105" s="231"/>
      <c r="B105" s="231"/>
      <c r="C105" s="231"/>
      <c r="D105" s="231"/>
      <c r="E105" s="231"/>
      <c r="F105" s="231"/>
      <c r="G105" s="231"/>
      <c r="H105" s="231"/>
      <c r="I105" s="231"/>
      <c r="J105" s="231"/>
      <c r="K105" s="231"/>
      <c r="L105" s="231"/>
      <c r="M105" s="231"/>
      <c r="N105" s="231"/>
      <c r="O105" s="231"/>
      <c r="Q105" s="34"/>
      <c r="R105" s="56"/>
      <c r="S105" s="56"/>
      <c r="T105" s="56"/>
    </row>
    <row r="106" spans="1:20" s="53" customFormat="1" ht="27" customHeight="1">
      <c r="A106" s="231"/>
      <c r="B106" s="231"/>
      <c r="C106" s="231"/>
      <c r="D106" s="231"/>
      <c r="E106" s="231"/>
      <c r="F106" s="231"/>
      <c r="G106" s="231"/>
      <c r="H106" s="231"/>
      <c r="I106" s="231"/>
      <c r="J106" s="231"/>
      <c r="K106" s="231"/>
      <c r="L106" s="231"/>
      <c r="M106" s="231"/>
      <c r="N106" s="231"/>
      <c r="O106" s="231"/>
      <c r="P106" s="7"/>
    </row>
    <row r="107" spans="1:20" s="53" customFormat="1" ht="27" customHeight="1">
      <c r="A107" s="231"/>
      <c r="B107" s="231"/>
      <c r="C107" s="231"/>
      <c r="D107" s="231"/>
      <c r="E107" s="231"/>
      <c r="F107" s="231"/>
      <c r="G107" s="231"/>
      <c r="H107" s="231"/>
      <c r="I107" s="231"/>
      <c r="J107" s="231"/>
      <c r="K107" s="231"/>
      <c r="L107" s="231"/>
      <c r="M107" s="231"/>
      <c r="N107" s="231"/>
      <c r="O107" s="231"/>
      <c r="P107" s="7"/>
    </row>
    <row r="108" spans="1:20" s="53" customFormat="1" ht="27" customHeight="1">
      <c r="A108" s="231"/>
      <c r="B108" s="231"/>
      <c r="C108" s="231"/>
      <c r="D108" s="231"/>
      <c r="E108" s="231"/>
      <c r="F108" s="231"/>
      <c r="G108" s="231"/>
      <c r="H108" s="231"/>
      <c r="I108" s="231"/>
      <c r="J108" s="231"/>
      <c r="K108" s="231"/>
      <c r="L108" s="231"/>
      <c r="M108" s="231"/>
      <c r="N108" s="231"/>
      <c r="O108" s="231"/>
      <c r="P108" s="7"/>
    </row>
    <row r="109" spans="1:20" s="53" customFormat="1" ht="27" customHeight="1">
      <c r="A109" s="231"/>
      <c r="B109" s="231"/>
      <c r="C109" s="231"/>
      <c r="D109" s="231"/>
      <c r="E109" s="231"/>
      <c r="F109" s="231"/>
      <c r="G109" s="231"/>
      <c r="H109" s="231"/>
      <c r="I109" s="231"/>
      <c r="J109" s="231"/>
      <c r="K109" s="231"/>
      <c r="L109" s="231"/>
      <c r="M109" s="231"/>
      <c r="N109" s="231"/>
      <c r="O109" s="231"/>
      <c r="P109" s="7"/>
    </row>
    <row r="110" spans="1:20" s="53" customFormat="1" ht="27" customHeight="1">
      <c r="A110" s="231"/>
      <c r="B110" s="231"/>
      <c r="C110" s="231"/>
      <c r="D110" s="231"/>
      <c r="E110" s="231"/>
      <c r="F110" s="231"/>
      <c r="G110" s="231"/>
      <c r="H110" s="231"/>
      <c r="I110" s="231"/>
      <c r="J110" s="231"/>
      <c r="K110" s="231"/>
      <c r="L110" s="231"/>
      <c r="M110" s="231"/>
      <c r="N110" s="231"/>
      <c r="O110" s="231"/>
      <c r="Q110" s="34"/>
      <c r="R110" s="56"/>
      <c r="S110" s="56"/>
      <c r="T110" s="56"/>
    </row>
    <row r="111" spans="1:20" s="53" customFormat="1" ht="27" customHeight="1">
      <c r="A111" s="231"/>
      <c r="B111" s="231"/>
      <c r="C111" s="231"/>
      <c r="D111" s="231"/>
      <c r="E111" s="231"/>
      <c r="F111" s="231"/>
      <c r="G111" s="231"/>
      <c r="H111" s="231"/>
      <c r="I111" s="231"/>
      <c r="J111" s="231"/>
      <c r="K111" s="231"/>
      <c r="L111" s="231"/>
      <c r="M111" s="231"/>
      <c r="N111" s="231"/>
      <c r="O111" s="231"/>
      <c r="P111" s="7"/>
    </row>
    <row r="112" spans="1:20" s="53" customFormat="1" ht="27" customHeight="1">
      <c r="A112" s="231"/>
      <c r="B112" s="231"/>
      <c r="C112" s="231"/>
      <c r="D112" s="231"/>
      <c r="E112" s="231"/>
      <c r="F112" s="231"/>
      <c r="G112" s="231"/>
      <c r="H112" s="231"/>
      <c r="I112" s="231"/>
      <c r="J112" s="231"/>
      <c r="K112" s="231"/>
      <c r="L112" s="231"/>
      <c r="M112" s="231"/>
      <c r="N112" s="231"/>
      <c r="O112" s="231"/>
      <c r="Q112" s="34"/>
      <c r="R112" s="56"/>
      <c r="S112" s="56"/>
      <c r="T112" s="56"/>
    </row>
    <row r="113" spans="1:20" s="53" customFormat="1" ht="27" customHeight="1">
      <c r="A113" s="231"/>
      <c r="B113" s="231"/>
      <c r="C113" s="231"/>
      <c r="D113" s="231"/>
      <c r="E113" s="231"/>
      <c r="F113" s="231"/>
      <c r="G113" s="231"/>
      <c r="H113" s="231"/>
      <c r="I113" s="231"/>
      <c r="J113" s="231"/>
      <c r="K113" s="231"/>
      <c r="L113" s="231"/>
      <c r="M113" s="231"/>
      <c r="N113" s="231"/>
      <c r="O113" s="231"/>
      <c r="P113" s="7"/>
    </row>
    <row r="114" spans="1:20" s="53" customFormat="1" ht="27" customHeight="1">
      <c r="A114" s="231"/>
      <c r="B114" s="231"/>
      <c r="C114" s="231"/>
      <c r="D114" s="231"/>
      <c r="E114" s="231"/>
      <c r="F114" s="231"/>
      <c r="G114" s="231"/>
      <c r="H114" s="231"/>
      <c r="I114" s="231"/>
      <c r="J114" s="231"/>
      <c r="K114" s="231"/>
      <c r="L114" s="231"/>
      <c r="M114" s="231"/>
      <c r="N114" s="231"/>
      <c r="O114" s="231"/>
      <c r="Q114" s="34"/>
      <c r="R114" s="56"/>
      <c r="S114" s="56"/>
      <c r="T114" s="56"/>
    </row>
    <row r="115" spans="1:20" s="53" customFormat="1" ht="27" customHeight="1">
      <c r="A115" s="231"/>
      <c r="B115" s="231"/>
      <c r="C115" s="231"/>
      <c r="D115" s="231"/>
      <c r="E115" s="231"/>
      <c r="F115" s="231"/>
      <c r="G115" s="231"/>
      <c r="H115" s="231"/>
      <c r="I115" s="231"/>
      <c r="J115" s="231"/>
      <c r="K115" s="231"/>
      <c r="L115" s="231"/>
      <c r="M115" s="231"/>
      <c r="N115" s="231"/>
      <c r="O115" s="231"/>
      <c r="Q115" s="34"/>
      <c r="R115" s="56"/>
      <c r="S115" s="56"/>
      <c r="T115" s="56"/>
    </row>
    <row r="116" spans="1:20" s="53" customFormat="1" ht="27" customHeight="1">
      <c r="A116" s="231"/>
      <c r="B116" s="231"/>
      <c r="C116" s="231"/>
      <c r="D116" s="231"/>
      <c r="E116" s="231"/>
      <c r="F116" s="231"/>
      <c r="G116" s="231"/>
      <c r="H116" s="231"/>
      <c r="I116" s="231"/>
      <c r="J116" s="231"/>
      <c r="K116" s="231"/>
      <c r="L116" s="231"/>
      <c r="M116" s="231"/>
      <c r="N116" s="231"/>
      <c r="O116" s="231"/>
      <c r="P116" s="7"/>
    </row>
    <row r="117" spans="1:20" s="53" customFormat="1" ht="27" customHeight="1">
      <c r="A117" s="231"/>
      <c r="B117" s="231"/>
      <c r="C117" s="231"/>
      <c r="D117" s="231"/>
      <c r="E117" s="231"/>
      <c r="F117" s="231"/>
      <c r="G117" s="231"/>
      <c r="H117" s="231"/>
      <c r="I117" s="231"/>
      <c r="J117" s="231"/>
      <c r="K117" s="231"/>
      <c r="L117" s="231"/>
      <c r="M117" s="231"/>
      <c r="N117" s="231"/>
      <c r="O117" s="231"/>
      <c r="Q117" s="34"/>
      <c r="R117" s="56"/>
      <c r="S117" s="56"/>
      <c r="T117" s="56"/>
    </row>
    <row r="118" spans="1:20" s="53" customFormat="1" ht="27" customHeight="1">
      <c r="A118" s="231"/>
      <c r="B118" s="231"/>
      <c r="C118" s="231"/>
      <c r="D118" s="231"/>
      <c r="E118" s="231"/>
      <c r="F118" s="231"/>
      <c r="G118" s="231"/>
      <c r="H118" s="231"/>
      <c r="I118" s="231"/>
      <c r="J118" s="231"/>
      <c r="K118" s="231"/>
      <c r="L118" s="231"/>
      <c r="M118" s="231"/>
      <c r="N118" s="231"/>
      <c r="O118" s="231"/>
      <c r="Q118" s="34"/>
      <c r="R118" s="56"/>
      <c r="S118" s="56"/>
      <c r="T118" s="56"/>
    </row>
    <row r="119" spans="1:20" s="53" customFormat="1" ht="27" customHeight="1">
      <c r="A119" s="231"/>
      <c r="B119" s="231"/>
      <c r="C119" s="231"/>
      <c r="D119" s="231"/>
      <c r="E119" s="231"/>
      <c r="F119" s="231"/>
      <c r="G119" s="231"/>
      <c r="H119" s="231"/>
      <c r="I119" s="231"/>
      <c r="J119" s="231"/>
      <c r="K119" s="231"/>
      <c r="L119" s="231"/>
      <c r="M119" s="231"/>
      <c r="N119" s="231"/>
      <c r="O119" s="231"/>
      <c r="P119" s="7"/>
    </row>
    <row r="120" spans="1:20" s="53" customFormat="1" ht="27" customHeight="1">
      <c r="A120" s="231"/>
      <c r="B120" s="231"/>
      <c r="C120" s="231"/>
      <c r="D120" s="231"/>
      <c r="E120" s="231"/>
      <c r="F120" s="231"/>
      <c r="G120" s="231"/>
      <c r="H120" s="231"/>
      <c r="I120" s="231"/>
      <c r="J120" s="231"/>
      <c r="K120" s="231"/>
      <c r="L120" s="231"/>
      <c r="M120" s="231"/>
      <c r="N120" s="231"/>
      <c r="O120" s="231"/>
      <c r="Q120" s="34"/>
      <c r="R120" s="56"/>
      <c r="S120" s="56"/>
      <c r="T120" s="56"/>
    </row>
    <row r="121" spans="1:20" s="53" customFormat="1" ht="27" customHeight="1">
      <c r="A121" s="231"/>
      <c r="B121" s="231"/>
      <c r="C121" s="231"/>
      <c r="D121" s="231"/>
      <c r="E121" s="231"/>
      <c r="F121" s="231"/>
      <c r="G121" s="231"/>
      <c r="H121" s="231"/>
      <c r="I121" s="231"/>
      <c r="J121" s="231"/>
      <c r="K121" s="231"/>
      <c r="L121" s="231"/>
      <c r="M121" s="231"/>
      <c r="N121" s="231"/>
      <c r="O121" s="231"/>
      <c r="Q121" s="34"/>
      <c r="R121" s="56"/>
      <c r="S121" s="56"/>
      <c r="T121" s="56"/>
    </row>
    <row r="122" spans="1:20" s="53" customFormat="1" ht="27" customHeight="1">
      <c r="A122" s="231"/>
      <c r="B122" s="231"/>
      <c r="C122" s="231"/>
      <c r="D122" s="231"/>
      <c r="E122" s="231"/>
      <c r="F122" s="231"/>
      <c r="G122" s="231"/>
      <c r="H122" s="231"/>
      <c r="I122" s="231"/>
      <c r="J122" s="231"/>
      <c r="K122" s="231"/>
      <c r="L122" s="231"/>
      <c r="M122" s="231"/>
      <c r="N122" s="231"/>
      <c r="O122" s="231"/>
      <c r="P122" s="7"/>
    </row>
    <row r="123" spans="1:20" s="53" customFormat="1" ht="27" customHeight="1">
      <c r="A123" s="231"/>
      <c r="B123" s="231"/>
      <c r="C123" s="231"/>
      <c r="D123" s="231"/>
      <c r="E123" s="231"/>
      <c r="F123" s="231"/>
      <c r="G123" s="231"/>
      <c r="H123" s="231"/>
      <c r="I123" s="231"/>
      <c r="J123" s="231"/>
      <c r="K123" s="231"/>
      <c r="L123" s="231"/>
      <c r="M123" s="231"/>
      <c r="N123" s="231"/>
      <c r="O123" s="231"/>
      <c r="Q123" s="34"/>
      <c r="R123" s="56"/>
      <c r="S123" s="56"/>
      <c r="T123" s="56"/>
    </row>
    <row r="124" spans="1:20" s="53" customFormat="1" ht="27" customHeight="1">
      <c r="A124" s="231"/>
      <c r="B124" s="231"/>
      <c r="C124" s="231"/>
      <c r="D124" s="231"/>
      <c r="E124" s="231"/>
      <c r="F124" s="231"/>
      <c r="G124" s="231"/>
      <c r="H124" s="231"/>
      <c r="I124" s="231"/>
      <c r="J124" s="231"/>
      <c r="K124" s="231"/>
      <c r="L124" s="231"/>
      <c r="M124" s="231"/>
      <c r="N124" s="231"/>
      <c r="O124" s="231"/>
      <c r="Q124" s="34"/>
      <c r="R124" s="56"/>
      <c r="S124" s="56"/>
      <c r="T124" s="56"/>
    </row>
    <row r="125" spans="1:20" s="53" customFormat="1">
      <c r="A125" s="167"/>
      <c r="B125" s="167"/>
      <c r="C125" s="167"/>
      <c r="D125" s="167"/>
      <c r="E125" s="167"/>
      <c r="F125" s="167"/>
      <c r="G125" s="167"/>
      <c r="H125" s="167"/>
      <c r="I125" s="167"/>
      <c r="J125" s="167"/>
      <c r="K125" s="167"/>
      <c r="L125" s="167"/>
      <c r="M125" s="167"/>
      <c r="N125" s="167"/>
      <c r="O125" s="167"/>
    </row>
    <row r="126" spans="1:20" s="53" customFormat="1" ht="27" customHeight="1" thickBot="1">
      <c r="A126" s="501" t="s">
        <v>911</v>
      </c>
      <c r="B126" s="501"/>
      <c r="C126" s="501"/>
      <c r="D126" s="501"/>
      <c r="E126" s="501"/>
      <c r="F126" s="501"/>
      <c r="G126" s="501"/>
      <c r="H126" s="501"/>
      <c r="I126" s="501"/>
      <c r="J126" s="113">
        <f>SUM(L94+L88+L84+L81+L77+L74+L72+L68+L64+L62+L60+L58+L53+L51+L46+L44+L42+L40+L35+L32+L29+L22+L18+L15+L13+L11+L8+L6+L4+L26+L56)</f>
        <v>0</v>
      </c>
      <c r="K126" s="151"/>
      <c r="L126" s="151"/>
      <c r="M126" s="151"/>
      <c r="N126" s="151"/>
      <c r="O126" s="151"/>
    </row>
    <row r="127" spans="1:20" s="53" customFormat="1" ht="27" customHeight="1" thickBot="1">
      <c r="A127" s="224" t="s">
        <v>707</v>
      </c>
      <c r="B127" s="224"/>
      <c r="C127" s="224"/>
      <c r="D127" s="116" t="s">
        <v>704</v>
      </c>
      <c r="E127" s="113">
        <v>255</v>
      </c>
      <c r="F127" s="103"/>
      <c r="G127" s="230" t="s">
        <v>708</v>
      </c>
      <c r="H127" s="230"/>
      <c r="I127" s="277"/>
      <c r="J127" s="277"/>
      <c r="K127" s="277"/>
      <c r="L127" s="277"/>
      <c r="M127" s="277"/>
      <c r="N127" s="277"/>
      <c r="O127" s="277"/>
    </row>
    <row r="128" spans="1:20" s="53" customFormat="1" ht="27" customHeight="1" thickBot="1">
      <c r="A128" s="174" t="s">
        <v>705</v>
      </c>
      <c r="B128" s="174"/>
      <c r="C128" s="174"/>
      <c r="D128" s="116" t="s">
        <v>704</v>
      </c>
      <c r="E128" s="114">
        <f>SUM(N94+N88+N84+N81+N77+N74+N72+N68+N64+N62+N60+N58+N56+N53+N51+N46+N44+N42+N40+N35+N32+N29+N26+N22+N18+N15+N11+N13+N8+N6+N4)</f>
        <v>0</v>
      </c>
      <c r="F128" s="103"/>
      <c r="G128" s="230" t="s">
        <v>712</v>
      </c>
      <c r="H128" s="230"/>
      <c r="I128" s="230"/>
      <c r="J128" s="230"/>
      <c r="K128" s="230"/>
      <c r="L128" s="230"/>
      <c r="M128" s="230"/>
      <c r="N128" s="230"/>
      <c r="O128" s="230"/>
    </row>
    <row r="129" spans="1:15" s="53" customFormat="1" ht="27" customHeight="1" thickBot="1">
      <c r="A129" s="174" t="s">
        <v>709</v>
      </c>
      <c r="B129" s="174"/>
      <c r="C129" s="174"/>
      <c r="D129" s="116" t="s">
        <v>704</v>
      </c>
      <c r="E129" s="114">
        <f>E127-E128</f>
        <v>255</v>
      </c>
      <c r="F129" s="103"/>
      <c r="G129" s="230" t="s">
        <v>713</v>
      </c>
      <c r="H129" s="230"/>
      <c r="I129" s="230"/>
      <c r="J129" s="230"/>
      <c r="K129" s="230"/>
      <c r="L129" s="230"/>
      <c r="M129" s="230"/>
      <c r="N129" s="230"/>
      <c r="O129" s="230"/>
    </row>
    <row r="130" spans="1:15" s="53" customFormat="1" ht="36" customHeight="1">
      <c r="A130" s="278" t="s">
        <v>710</v>
      </c>
      <c r="B130" s="278"/>
      <c r="C130" s="278"/>
      <c r="D130" s="151"/>
      <c r="E130" s="151"/>
      <c r="F130" s="151"/>
      <c r="G130" s="229" t="s">
        <v>714</v>
      </c>
      <c r="H130" s="229"/>
      <c r="I130" s="229"/>
      <c r="J130" s="229"/>
      <c r="K130" s="229"/>
      <c r="L130" s="229"/>
      <c r="M130" s="229"/>
      <c r="N130" s="229"/>
      <c r="O130" s="229"/>
    </row>
    <row r="131" spans="1:15" s="53" customFormat="1" ht="27" customHeight="1" thickBot="1">
      <c r="A131" s="174" t="s">
        <v>711</v>
      </c>
      <c r="B131" s="174"/>
      <c r="C131" s="174"/>
      <c r="D131" s="116" t="s">
        <v>704</v>
      </c>
      <c r="E131" s="113">
        <f>E129*0.8</f>
        <v>204</v>
      </c>
      <c r="F131" s="103"/>
      <c r="G131" s="230"/>
      <c r="H131" s="230"/>
      <c r="I131" s="230"/>
      <c r="J131" s="230"/>
      <c r="K131" s="230"/>
      <c r="L131" s="230"/>
      <c r="M131" s="230"/>
      <c r="N131" s="230"/>
      <c r="O131" s="230"/>
    </row>
    <row r="132" spans="1:15" s="53" customFormat="1" ht="15" customHeight="1">
      <c r="A132" s="167"/>
      <c r="B132" s="167"/>
      <c r="C132" s="167"/>
      <c r="D132" s="167"/>
      <c r="E132" s="167"/>
      <c r="F132" s="167"/>
      <c r="G132" s="167"/>
      <c r="H132" s="167"/>
      <c r="I132" s="167"/>
      <c r="J132" s="167"/>
      <c r="K132" s="167"/>
      <c r="L132" s="167"/>
      <c r="M132" s="167"/>
      <c r="N132" s="167"/>
      <c r="O132" s="167"/>
    </row>
    <row r="133" spans="1:15" s="53" customFormat="1" ht="18" customHeight="1">
      <c r="A133" s="167"/>
      <c r="B133" s="167"/>
      <c r="C133" s="154"/>
      <c r="D133" s="88"/>
      <c r="E133" s="70" t="s">
        <v>575</v>
      </c>
      <c r="F133" s="225"/>
      <c r="G133" s="226"/>
      <c r="H133" s="88"/>
      <c r="I133" s="174" t="s">
        <v>574</v>
      </c>
      <c r="J133" s="262"/>
      <c r="K133" s="224" t="s">
        <v>715</v>
      </c>
      <c r="L133" s="224"/>
      <c r="M133" s="224"/>
      <c r="N133" s="224"/>
      <c r="O133" s="224"/>
    </row>
    <row r="134" spans="1:15" s="53" customFormat="1">
      <c r="A134" s="180"/>
      <c r="B134" s="180"/>
      <c r="C134" s="180"/>
      <c r="D134" s="180"/>
      <c r="E134" s="180"/>
      <c r="F134" s="180"/>
      <c r="G134" s="180"/>
      <c r="H134" s="180"/>
      <c r="I134" s="180"/>
      <c r="J134" s="180"/>
      <c r="K134" s="180"/>
      <c r="L134" s="180"/>
      <c r="M134" s="180"/>
      <c r="N134" s="180"/>
      <c r="O134" s="180"/>
    </row>
    <row r="135" spans="1:15" s="53" customFormat="1">
      <c r="A135" s="417" t="s">
        <v>740</v>
      </c>
      <c r="B135" s="265"/>
      <c r="C135" s="265"/>
      <c r="D135" s="265"/>
      <c r="E135" s="265"/>
      <c r="F135" s="265"/>
      <c r="G135" s="265"/>
      <c r="H135" s="265"/>
      <c r="I135" s="265"/>
      <c r="J135" s="265"/>
      <c r="K135" s="265"/>
      <c r="L135" s="265"/>
      <c r="M135" s="265"/>
      <c r="N135" s="265"/>
      <c r="O135" s="418"/>
    </row>
    <row r="136" spans="1:15" s="53" customFormat="1">
      <c r="A136" s="397" t="s">
        <v>741</v>
      </c>
      <c r="B136" s="398"/>
      <c r="C136" s="398"/>
      <c r="D136" s="398"/>
      <c r="E136" s="398"/>
      <c r="F136" s="398"/>
      <c r="G136" s="398"/>
      <c r="H136" s="398"/>
      <c r="I136" s="398"/>
      <c r="J136" s="398"/>
      <c r="K136" s="398"/>
      <c r="L136" s="398"/>
      <c r="M136" s="398"/>
      <c r="N136" s="398"/>
      <c r="O136" s="399"/>
    </row>
    <row r="137" spans="1:15" s="53" customFormat="1">
      <c r="A137" s="397" t="s">
        <v>742</v>
      </c>
      <c r="B137" s="398"/>
      <c r="C137" s="398"/>
      <c r="D137" s="398"/>
      <c r="E137" s="398"/>
      <c r="F137" s="398"/>
      <c r="G137" s="398"/>
      <c r="H137" s="398"/>
      <c r="I137" s="398"/>
      <c r="J137" s="398"/>
      <c r="K137" s="398"/>
      <c r="L137" s="398"/>
      <c r="M137" s="398"/>
      <c r="N137" s="398"/>
      <c r="O137" s="399"/>
    </row>
    <row r="138" spans="1:15" s="53" customFormat="1">
      <c r="A138" s="400" t="s">
        <v>916</v>
      </c>
      <c r="B138" s="401"/>
      <c r="C138" s="401"/>
      <c r="D138" s="401"/>
      <c r="E138" s="401"/>
      <c r="F138" s="401"/>
      <c r="G138" s="401"/>
      <c r="H138" s="401"/>
      <c r="I138" s="401"/>
      <c r="J138" s="401"/>
      <c r="K138" s="401"/>
      <c r="L138" s="401"/>
      <c r="M138" s="401"/>
      <c r="N138" s="401"/>
      <c r="O138" s="402"/>
    </row>
  </sheetData>
  <sheetProtection password="D6D7" sheet="1" objects="1" scenarios="1"/>
  <mergeCells count="335">
    <mergeCell ref="A56:A57"/>
    <mergeCell ref="B56:J56"/>
    <mergeCell ref="K56:K57"/>
    <mergeCell ref="L56:L57"/>
    <mergeCell ref="M56:M57"/>
    <mergeCell ref="N56:N57"/>
    <mergeCell ref="O56:O57"/>
    <mergeCell ref="B57:J57"/>
    <mergeCell ref="K53:K55"/>
    <mergeCell ref="L53:L55"/>
    <mergeCell ref="M53:M55"/>
    <mergeCell ref="N53:N55"/>
    <mergeCell ref="O53:O55"/>
    <mergeCell ref="B54:J54"/>
    <mergeCell ref="B55:J55"/>
    <mergeCell ref="A35:A37"/>
    <mergeCell ref="B35:J35"/>
    <mergeCell ref="K35:K37"/>
    <mergeCell ref="L35:L37"/>
    <mergeCell ref="M35:M37"/>
    <mergeCell ref="N35:N37"/>
    <mergeCell ref="O35:O37"/>
    <mergeCell ref="B36:J36"/>
    <mergeCell ref="B37:J37"/>
    <mergeCell ref="N29:N31"/>
    <mergeCell ref="O29:O31"/>
    <mergeCell ref="B30:J30"/>
    <mergeCell ref="B31:J31"/>
    <mergeCell ref="A26:A28"/>
    <mergeCell ref="B26:J26"/>
    <mergeCell ref="K26:K28"/>
    <mergeCell ref="L26:L28"/>
    <mergeCell ref="M26:M28"/>
    <mergeCell ref="N26:N28"/>
    <mergeCell ref="O26:O28"/>
    <mergeCell ref="B27:J27"/>
    <mergeCell ref="B28:J28"/>
    <mergeCell ref="B21:J21"/>
    <mergeCell ref="A32:A34"/>
    <mergeCell ref="B32:J32"/>
    <mergeCell ref="K32:K34"/>
    <mergeCell ref="L32:L34"/>
    <mergeCell ref="M32:M34"/>
    <mergeCell ref="N32:N34"/>
    <mergeCell ref="O32:O34"/>
    <mergeCell ref="B33:J33"/>
    <mergeCell ref="B34:J34"/>
    <mergeCell ref="A22:A25"/>
    <mergeCell ref="B22:J22"/>
    <mergeCell ref="K22:K25"/>
    <mergeCell ref="L22:L25"/>
    <mergeCell ref="M22:M25"/>
    <mergeCell ref="N22:N25"/>
    <mergeCell ref="O22:O25"/>
    <mergeCell ref="B23:J23"/>
    <mergeCell ref="B25:J25"/>
    <mergeCell ref="A29:A31"/>
    <mergeCell ref="B29:J29"/>
    <mergeCell ref="K29:K31"/>
    <mergeCell ref="L29:L31"/>
    <mergeCell ref="M29:M31"/>
    <mergeCell ref="A98:O98"/>
    <mergeCell ref="A101:O101"/>
    <mergeCell ref="O81:O83"/>
    <mergeCell ref="L84:L87"/>
    <mergeCell ref="M84:M87"/>
    <mergeCell ref="N84:N87"/>
    <mergeCell ref="O84:O87"/>
    <mergeCell ref="N88:N91"/>
    <mergeCell ref="A100:O100"/>
    <mergeCell ref="O88:O91"/>
    <mergeCell ref="K81:K83"/>
    <mergeCell ref="K84:K87"/>
    <mergeCell ref="A92:O92"/>
    <mergeCell ref="A94:A97"/>
    <mergeCell ref="B94:J94"/>
    <mergeCell ref="K94:K97"/>
    <mergeCell ref="L94:L97"/>
    <mergeCell ref="M94:M97"/>
    <mergeCell ref="N94:N97"/>
    <mergeCell ref="O94:O97"/>
    <mergeCell ref="B95:J95"/>
    <mergeCell ref="B97:J97"/>
    <mergeCell ref="A93:J93"/>
    <mergeCell ref="B96:J96"/>
    <mergeCell ref="A88:A91"/>
    <mergeCell ref="B87:J87"/>
    <mergeCell ref="B84:J84"/>
    <mergeCell ref="B91:J91"/>
    <mergeCell ref="B89:J89"/>
    <mergeCell ref="B88:J88"/>
    <mergeCell ref="B81:J81"/>
    <mergeCell ref="M77:M78"/>
    <mergeCell ref="N77:N78"/>
    <mergeCell ref="A80:J80"/>
    <mergeCell ref="B86:J86"/>
    <mergeCell ref="B90:J90"/>
    <mergeCell ref="A79:O79"/>
    <mergeCell ref="K77:K78"/>
    <mergeCell ref="L77:L78"/>
    <mergeCell ref="O77:O78"/>
    <mergeCell ref="A66:O66"/>
    <mergeCell ref="A68:A71"/>
    <mergeCell ref="M68:M71"/>
    <mergeCell ref="N68:N71"/>
    <mergeCell ref="O68:O71"/>
    <mergeCell ref="A77:A78"/>
    <mergeCell ref="K68:K71"/>
    <mergeCell ref="L68:L71"/>
    <mergeCell ref="B71:J71"/>
    <mergeCell ref="B78:J78"/>
    <mergeCell ref="B77:J77"/>
    <mergeCell ref="B69:J69"/>
    <mergeCell ref="A74:A76"/>
    <mergeCell ref="B74:J74"/>
    <mergeCell ref="K74:K76"/>
    <mergeCell ref="L74:L76"/>
    <mergeCell ref="A67:J67"/>
    <mergeCell ref="B70:J70"/>
    <mergeCell ref="B68:J68"/>
    <mergeCell ref="M74:M76"/>
    <mergeCell ref="N74:N76"/>
    <mergeCell ref="A64:A65"/>
    <mergeCell ref="B51:J51"/>
    <mergeCell ref="B65:J65"/>
    <mergeCell ref="B64:J64"/>
    <mergeCell ref="A62:A63"/>
    <mergeCell ref="B62:J62"/>
    <mergeCell ref="K62:K63"/>
    <mergeCell ref="L62:L63"/>
    <mergeCell ref="M62:M63"/>
    <mergeCell ref="B63:J63"/>
    <mergeCell ref="A53:A55"/>
    <mergeCell ref="B53:J53"/>
    <mergeCell ref="A60:A61"/>
    <mergeCell ref="B60:J60"/>
    <mergeCell ref="K60:K61"/>
    <mergeCell ref="L60:L61"/>
    <mergeCell ref="M60:M61"/>
    <mergeCell ref="B61:J61"/>
    <mergeCell ref="A58:A59"/>
    <mergeCell ref="B58:J58"/>
    <mergeCell ref="K58:K59"/>
    <mergeCell ref="L58:L59"/>
    <mergeCell ref="M58:M59"/>
    <mergeCell ref="B59:J59"/>
    <mergeCell ref="O46:O48"/>
    <mergeCell ref="L44:L45"/>
    <mergeCell ref="M44:M45"/>
    <mergeCell ref="N44:N45"/>
    <mergeCell ref="O44:O45"/>
    <mergeCell ref="K64:K65"/>
    <mergeCell ref="L64:L65"/>
    <mergeCell ref="M64:M65"/>
    <mergeCell ref="N64:N65"/>
    <mergeCell ref="O64:O65"/>
    <mergeCell ref="N62:N63"/>
    <mergeCell ref="O62:O63"/>
    <mergeCell ref="N60:N61"/>
    <mergeCell ref="O60:O61"/>
    <mergeCell ref="N58:N59"/>
    <mergeCell ref="O58:O59"/>
    <mergeCell ref="A6:A7"/>
    <mergeCell ref="A8:A10"/>
    <mergeCell ref="B8:J8"/>
    <mergeCell ref="N15:N17"/>
    <mergeCell ref="O15:O17"/>
    <mergeCell ref="B17:J17"/>
    <mergeCell ref="A40:A41"/>
    <mergeCell ref="A42:A43"/>
    <mergeCell ref="L40:L41"/>
    <mergeCell ref="M40:M41"/>
    <mergeCell ref="N40:N41"/>
    <mergeCell ref="B41:J41"/>
    <mergeCell ref="B40:J40"/>
    <mergeCell ref="B43:J43"/>
    <mergeCell ref="O40:O41"/>
    <mergeCell ref="L42:L43"/>
    <mergeCell ref="K40:K41"/>
    <mergeCell ref="K42:K43"/>
    <mergeCell ref="N42:N43"/>
    <mergeCell ref="O42:O43"/>
    <mergeCell ref="A18:A21"/>
    <mergeCell ref="B18:J18"/>
    <mergeCell ref="K18:K21"/>
    <mergeCell ref="L18:L21"/>
    <mergeCell ref="B6:J6"/>
    <mergeCell ref="B14:J14"/>
    <mergeCell ref="B13:J13"/>
    <mergeCell ref="B16:J16"/>
    <mergeCell ref="B15:J15"/>
    <mergeCell ref="B12:J12"/>
    <mergeCell ref="N6:N7"/>
    <mergeCell ref="O6:O7"/>
    <mergeCell ref="L8:L10"/>
    <mergeCell ref="M8:M10"/>
    <mergeCell ref="N8:N10"/>
    <mergeCell ref="O8:O10"/>
    <mergeCell ref="L6:L7"/>
    <mergeCell ref="M6:M7"/>
    <mergeCell ref="K6:K7"/>
    <mergeCell ref="K8:K10"/>
    <mergeCell ref="B10:J10"/>
    <mergeCell ref="B9:J9"/>
    <mergeCell ref="B7:J7"/>
    <mergeCell ref="A1:O1"/>
    <mergeCell ref="A2:O2"/>
    <mergeCell ref="A4:A5"/>
    <mergeCell ref="L4:L5"/>
    <mergeCell ref="M4:M5"/>
    <mergeCell ref="N4:N5"/>
    <mergeCell ref="O4:O5"/>
    <mergeCell ref="K4:K5"/>
    <mergeCell ref="B4:J4"/>
    <mergeCell ref="B5:J5"/>
    <mergeCell ref="A3:J3"/>
    <mergeCell ref="A11:A12"/>
    <mergeCell ref="B11:J11"/>
    <mergeCell ref="K11:K12"/>
    <mergeCell ref="L11:L12"/>
    <mergeCell ref="M11:M12"/>
    <mergeCell ref="N11:N12"/>
    <mergeCell ref="O11:O12"/>
    <mergeCell ref="A38:O38"/>
    <mergeCell ref="L13:L14"/>
    <mergeCell ref="M13:M14"/>
    <mergeCell ref="N13:N14"/>
    <mergeCell ref="O13:O14"/>
    <mergeCell ref="L15:L17"/>
    <mergeCell ref="M15:M17"/>
    <mergeCell ref="A13:A14"/>
    <mergeCell ref="A15:A17"/>
    <mergeCell ref="K13:K14"/>
    <mergeCell ref="K15:K17"/>
    <mergeCell ref="B24:J24"/>
    <mergeCell ref="B20:J20"/>
    <mergeCell ref="M18:M21"/>
    <mergeCell ref="N18:N21"/>
    <mergeCell ref="O18:O21"/>
    <mergeCell ref="B19:J19"/>
    <mergeCell ref="A39:J39"/>
    <mergeCell ref="A51:A52"/>
    <mergeCell ref="K51:K52"/>
    <mergeCell ref="L51:L52"/>
    <mergeCell ref="M51:M52"/>
    <mergeCell ref="N51:N52"/>
    <mergeCell ref="O51:O52"/>
    <mergeCell ref="B52:J52"/>
    <mergeCell ref="A50:J50"/>
    <mergeCell ref="A49:O49"/>
    <mergeCell ref="B42:J42"/>
    <mergeCell ref="B45:J45"/>
    <mergeCell ref="B44:J44"/>
    <mergeCell ref="B48:J48"/>
    <mergeCell ref="B47:J47"/>
    <mergeCell ref="B46:J46"/>
    <mergeCell ref="L46:L48"/>
    <mergeCell ref="M46:M48"/>
    <mergeCell ref="N46:N48"/>
    <mergeCell ref="A44:A45"/>
    <mergeCell ref="A46:A48"/>
    <mergeCell ref="M42:M43"/>
    <mergeCell ref="K44:K45"/>
    <mergeCell ref="K46:K48"/>
    <mergeCell ref="A102:O102"/>
    <mergeCell ref="A103:O103"/>
    <mergeCell ref="A107:O107"/>
    <mergeCell ref="A109:O109"/>
    <mergeCell ref="A110:O110"/>
    <mergeCell ref="A111:O111"/>
    <mergeCell ref="A104:O104"/>
    <mergeCell ref="A105:O105"/>
    <mergeCell ref="A106:O106"/>
    <mergeCell ref="A108:O108"/>
    <mergeCell ref="A99:C99"/>
    <mergeCell ref="E99:O99"/>
    <mergeCell ref="K72:K73"/>
    <mergeCell ref="L72:L73"/>
    <mergeCell ref="M72:M73"/>
    <mergeCell ref="N72:N73"/>
    <mergeCell ref="O72:O73"/>
    <mergeCell ref="B73:J73"/>
    <mergeCell ref="B75:J75"/>
    <mergeCell ref="O74:O76"/>
    <mergeCell ref="B76:J76"/>
    <mergeCell ref="A72:A73"/>
    <mergeCell ref="B72:J72"/>
    <mergeCell ref="A81:A83"/>
    <mergeCell ref="A84:A87"/>
    <mergeCell ref="B85:J85"/>
    <mergeCell ref="B83:J83"/>
    <mergeCell ref="B82:J82"/>
    <mergeCell ref="K88:K91"/>
    <mergeCell ref="L81:L83"/>
    <mergeCell ref="M81:M83"/>
    <mergeCell ref="L88:L91"/>
    <mergeCell ref="M88:M91"/>
    <mergeCell ref="N81:N83"/>
    <mergeCell ref="A112:O112"/>
    <mergeCell ref="A113:O113"/>
    <mergeCell ref="A114:O114"/>
    <mergeCell ref="A115:O115"/>
    <mergeCell ref="A116:O116"/>
    <mergeCell ref="A117:O117"/>
    <mergeCell ref="A118:O118"/>
    <mergeCell ref="A119:O119"/>
    <mergeCell ref="A120:O120"/>
    <mergeCell ref="A121:O121"/>
    <mergeCell ref="A122:O122"/>
    <mergeCell ref="A123:O123"/>
    <mergeCell ref="A124:O124"/>
    <mergeCell ref="A125:O125"/>
    <mergeCell ref="A126:I126"/>
    <mergeCell ref="K126:O126"/>
    <mergeCell ref="A127:C127"/>
    <mergeCell ref="G127:O127"/>
    <mergeCell ref="A128:C128"/>
    <mergeCell ref="G128:O128"/>
    <mergeCell ref="A129:C129"/>
    <mergeCell ref="G129:O129"/>
    <mergeCell ref="A130:C130"/>
    <mergeCell ref="D130:F130"/>
    <mergeCell ref="G130:O130"/>
    <mergeCell ref="A131:C131"/>
    <mergeCell ref="G131:O131"/>
    <mergeCell ref="A138:O138"/>
    <mergeCell ref="A132:O132"/>
    <mergeCell ref="A133:C133"/>
    <mergeCell ref="F133:G133"/>
    <mergeCell ref="I133:J133"/>
    <mergeCell ref="K133:O133"/>
    <mergeCell ref="A134:O134"/>
    <mergeCell ref="A135:O135"/>
    <mergeCell ref="A136:O136"/>
    <mergeCell ref="A137:O137"/>
  </mergeCells>
  <phoneticPr fontId="8" type="noConversion"/>
  <dataValidations disablePrompts="1" count="9">
    <dataValidation type="whole" operator="equal" allowBlank="1" showInputMessage="1" showErrorMessage="1" sqref="N8:N11 N15:N17">
      <formula1>10</formula1>
    </dataValidation>
    <dataValidation type="whole" operator="equal" allowBlank="1" showInputMessage="1" showErrorMessage="1" sqref="N72:N73 N77:N78">
      <formula1>5</formula1>
    </dataValidation>
    <dataValidation type="list" allowBlank="1" showInputMessage="1" showErrorMessage="1" sqref="L4:M7 N6:N7 L11:M14 L35:N37 L46:M48 L56:N59 L77:M78 L84:N91">
      <formula1>"5, -----"</formula1>
    </dataValidation>
    <dataValidation type="list" allowBlank="1" showInputMessage="1" showErrorMessage="1" sqref="L8:M10 L15:M17 L29:N34 L40:M43 L53:N55 L60:N63 L64:N65 L68:M76 N74:N76 L81:M83 L94:M97">
      <formula1>"10, -----"</formula1>
    </dataValidation>
    <dataValidation type="list" operator="equal" allowBlank="1" showInputMessage="1" showErrorMessage="1" sqref="L18:N21">
      <formula1>"15, -----"</formula1>
    </dataValidation>
    <dataValidation type="list" operator="equal" allowBlank="1" showInputMessage="1" showErrorMessage="1" sqref="L22:N25">
      <formula1>"10, -----"</formula1>
    </dataValidation>
    <dataValidation type="list" operator="equal" allowBlank="1" showInputMessage="1" showErrorMessage="1" sqref="L26:N28 L44:N45">
      <formula1>"5, -----"</formula1>
    </dataValidation>
    <dataValidation type="list" allowBlank="1" showInputMessage="1" showErrorMessage="1" sqref="L51:M52 N51:N52">
      <formula1>"15, -----"</formula1>
    </dataValidation>
    <dataValidation type="list" allowBlank="1" showInputMessage="1" showErrorMessage="1" sqref="D133 H133">
      <formula1>"✓, -----"</formula1>
    </dataValidation>
  </dataValidations>
  <pageMargins left="1" right="1" top="1" bottom="1" header="0" footer="0"/>
  <pageSetup firstPageNumber="18" orientation="portrait" useFirstPageNumber="1" r:id="rId1"/>
  <headerFooter>
    <oddFooter xml:space="preserve">&amp;LFor Official Government Use Only
USDA, AMS, FVP, Fresh Products Branch
&amp;RJanuary 26, 2012
Page &amp;P
</oddFooter>
  </headerFooter>
  <rowBreaks count="1" manualBreakCount="1">
    <brk id="37" max="16383" man="1"/>
  </rowBreaks>
</worksheet>
</file>

<file path=xl/worksheets/sheet7.xml><?xml version="1.0" encoding="utf-8"?>
<worksheet xmlns="http://schemas.openxmlformats.org/spreadsheetml/2006/main" xmlns:r="http://schemas.openxmlformats.org/officeDocument/2006/relationships">
  <sheetPr enableFormatConditionsCalculation="0">
    <tabColor indexed="42"/>
  </sheetPr>
  <dimension ref="A1:T189"/>
  <sheetViews>
    <sheetView view="pageLayout" zoomScale="130" zoomScaleNormal="115" zoomScalePageLayoutView="130" workbookViewId="0">
      <selection activeCell="L85" sqref="L85:L87"/>
    </sheetView>
  </sheetViews>
  <sheetFormatPr defaultRowHeight="12.75"/>
  <cols>
    <col min="1" max="1" width="5.5703125" customWidth="1"/>
    <col min="2" max="2" width="7.28515625" customWidth="1"/>
    <col min="3" max="3" width="7.28515625" style="59" customWidth="1"/>
    <col min="4" max="4" width="2.7109375" style="59" customWidth="1"/>
    <col min="5" max="5" width="7.28515625" style="59" customWidth="1"/>
    <col min="6" max="6" width="2.7109375" customWidth="1"/>
    <col min="7" max="7" width="7.28515625" customWidth="1"/>
    <col min="8" max="8" width="2.7109375" customWidth="1"/>
    <col min="9" max="9" width="2.140625" customWidth="1"/>
    <col min="10" max="10" width="7.28515625" customWidth="1"/>
    <col min="11" max="15" width="6.42578125" customWidth="1"/>
  </cols>
  <sheetData>
    <row r="1" spans="1:16" ht="30" customHeight="1">
      <c r="A1" s="329" t="s">
        <v>5</v>
      </c>
      <c r="B1" s="393"/>
      <c r="C1" s="393"/>
      <c r="D1" s="393"/>
      <c r="E1" s="393"/>
      <c r="F1" s="393"/>
      <c r="G1" s="393"/>
      <c r="H1" s="393"/>
      <c r="I1" s="393"/>
      <c r="J1" s="393"/>
      <c r="K1" s="393"/>
      <c r="L1" s="393"/>
      <c r="M1" s="393"/>
      <c r="N1" s="393"/>
      <c r="O1" s="393"/>
    </row>
    <row r="2" spans="1:16" ht="18">
      <c r="A2" s="215" t="s">
        <v>215</v>
      </c>
      <c r="B2" s="537"/>
      <c r="C2" s="537"/>
      <c r="D2" s="537"/>
      <c r="E2" s="537"/>
      <c r="F2" s="537"/>
      <c r="G2" s="537"/>
      <c r="H2" s="537"/>
      <c r="I2" s="537"/>
      <c r="J2" s="537"/>
      <c r="K2" s="537"/>
      <c r="L2" s="537"/>
      <c r="M2" s="537"/>
      <c r="N2" s="537"/>
      <c r="O2" s="537"/>
    </row>
    <row r="3" spans="1:16" s="41" customFormat="1" ht="15">
      <c r="A3" s="300" t="s">
        <v>66</v>
      </c>
      <c r="B3" s="301"/>
      <c r="C3" s="301"/>
      <c r="D3" s="301"/>
      <c r="E3" s="301"/>
      <c r="F3" s="301"/>
      <c r="G3" s="301"/>
      <c r="H3" s="301"/>
      <c r="I3" s="301"/>
      <c r="J3" s="302"/>
      <c r="K3" s="74" t="s">
        <v>65</v>
      </c>
      <c r="L3" s="75" t="s">
        <v>27</v>
      </c>
      <c r="M3" s="75" t="s">
        <v>64</v>
      </c>
      <c r="N3" s="75" t="s">
        <v>63</v>
      </c>
      <c r="O3" s="75" t="s">
        <v>62</v>
      </c>
      <c r="P3" s="40"/>
    </row>
    <row r="4" spans="1:16" s="71" customFormat="1" ht="15" customHeight="1">
      <c r="A4" s="361" t="s">
        <v>331</v>
      </c>
      <c r="B4" s="260" t="s">
        <v>335</v>
      </c>
      <c r="C4" s="187"/>
      <c r="D4" s="187"/>
      <c r="E4" s="187"/>
      <c r="F4" s="426"/>
      <c r="G4" s="426"/>
      <c r="H4" s="426"/>
      <c r="I4" s="426"/>
      <c r="J4" s="427"/>
      <c r="K4" s="232">
        <v>15</v>
      </c>
      <c r="L4" s="238"/>
      <c r="M4" s="238"/>
      <c r="N4" s="318"/>
      <c r="O4" s="232" t="s">
        <v>76</v>
      </c>
    </row>
    <row r="5" spans="1:16" s="71" customFormat="1" ht="15" customHeight="1">
      <c r="A5" s="375"/>
      <c r="B5" s="252" t="s">
        <v>336</v>
      </c>
      <c r="C5" s="172"/>
      <c r="D5" s="172"/>
      <c r="E5" s="172"/>
      <c r="F5" s="453"/>
      <c r="G5" s="453"/>
      <c r="H5" s="453"/>
      <c r="I5" s="453"/>
      <c r="J5" s="450"/>
      <c r="K5" s="447"/>
      <c r="L5" s="451"/>
      <c r="M5" s="451"/>
      <c r="N5" s="467"/>
      <c r="O5" s="447"/>
    </row>
    <row r="6" spans="1:16" s="71" customFormat="1" ht="15" customHeight="1">
      <c r="A6" s="466"/>
      <c r="B6" s="254" t="s">
        <v>337</v>
      </c>
      <c r="C6" s="255"/>
      <c r="D6" s="255"/>
      <c r="E6" s="255"/>
      <c r="F6" s="428"/>
      <c r="G6" s="428"/>
      <c r="H6" s="428"/>
      <c r="I6" s="428"/>
      <c r="J6" s="429"/>
      <c r="K6" s="448"/>
      <c r="L6" s="452"/>
      <c r="M6" s="452"/>
      <c r="N6" s="468"/>
      <c r="O6" s="448"/>
    </row>
    <row r="7" spans="1:16" s="71" customFormat="1" ht="15" customHeight="1">
      <c r="A7" s="361" t="s">
        <v>332</v>
      </c>
      <c r="B7" s="260" t="s">
        <v>850</v>
      </c>
      <c r="C7" s="187"/>
      <c r="D7" s="187"/>
      <c r="E7" s="187"/>
      <c r="F7" s="426"/>
      <c r="G7" s="426"/>
      <c r="H7" s="426"/>
      <c r="I7" s="426"/>
      <c r="J7" s="427"/>
      <c r="K7" s="232">
        <v>10</v>
      </c>
      <c r="L7" s="238"/>
      <c r="M7" s="238"/>
      <c r="N7" s="318"/>
      <c r="O7" s="232" t="s">
        <v>604</v>
      </c>
    </row>
    <row r="8" spans="1:16" s="71" customFormat="1" ht="15" customHeight="1">
      <c r="A8" s="375"/>
      <c r="B8" s="252" t="s">
        <v>851</v>
      </c>
      <c r="C8" s="172"/>
      <c r="D8" s="172"/>
      <c r="E8" s="172"/>
      <c r="F8" s="453"/>
      <c r="G8" s="453"/>
      <c r="H8" s="453"/>
      <c r="I8" s="453"/>
      <c r="J8" s="450"/>
      <c r="K8" s="447"/>
      <c r="L8" s="451"/>
      <c r="M8" s="451"/>
      <c r="N8" s="467"/>
      <c r="O8" s="447"/>
    </row>
    <row r="9" spans="1:16" s="71" customFormat="1" ht="15" customHeight="1">
      <c r="A9" s="375"/>
      <c r="B9" s="252" t="s">
        <v>852</v>
      </c>
      <c r="C9" s="172"/>
      <c r="D9" s="172"/>
      <c r="E9" s="172"/>
      <c r="F9" s="453"/>
      <c r="G9" s="453"/>
      <c r="H9" s="453"/>
      <c r="I9" s="453"/>
      <c r="J9" s="450"/>
      <c r="K9" s="447"/>
      <c r="L9" s="451"/>
      <c r="M9" s="451"/>
      <c r="N9" s="467"/>
      <c r="O9" s="447"/>
    </row>
    <row r="10" spans="1:16" s="71" customFormat="1" ht="15" customHeight="1">
      <c r="A10" s="466"/>
      <c r="B10" s="254" t="s">
        <v>853</v>
      </c>
      <c r="C10" s="255"/>
      <c r="D10" s="255"/>
      <c r="E10" s="255"/>
      <c r="F10" s="428"/>
      <c r="G10" s="428"/>
      <c r="H10" s="428"/>
      <c r="I10" s="428"/>
      <c r="J10" s="429"/>
      <c r="K10" s="448"/>
      <c r="L10" s="452"/>
      <c r="M10" s="452"/>
      <c r="N10" s="468"/>
      <c r="O10" s="448"/>
    </row>
    <row r="11" spans="1:16" s="71" customFormat="1" ht="15" customHeight="1">
      <c r="A11" s="361" t="s">
        <v>333</v>
      </c>
      <c r="B11" s="260" t="s">
        <v>338</v>
      </c>
      <c r="C11" s="187"/>
      <c r="D11" s="187"/>
      <c r="E11" s="187"/>
      <c r="F11" s="426"/>
      <c r="G11" s="426"/>
      <c r="H11" s="426"/>
      <c r="I11" s="426"/>
      <c r="J11" s="427"/>
      <c r="K11" s="232">
        <v>10</v>
      </c>
      <c r="L11" s="238"/>
      <c r="M11" s="238"/>
      <c r="N11" s="238"/>
      <c r="O11" s="232" t="s">
        <v>604</v>
      </c>
    </row>
    <row r="12" spans="1:16" s="71" customFormat="1" ht="15" customHeight="1">
      <c r="A12" s="375"/>
      <c r="B12" s="252" t="s">
        <v>849</v>
      </c>
      <c r="C12" s="172"/>
      <c r="D12" s="172"/>
      <c r="E12" s="172"/>
      <c r="F12" s="453"/>
      <c r="G12" s="453"/>
      <c r="H12" s="453"/>
      <c r="I12" s="453"/>
      <c r="J12" s="450"/>
      <c r="K12" s="447"/>
      <c r="L12" s="451"/>
      <c r="M12" s="451"/>
      <c r="N12" s="451"/>
      <c r="O12" s="447"/>
    </row>
    <row r="13" spans="1:16" s="71" customFormat="1" ht="15" customHeight="1">
      <c r="A13" s="466"/>
      <c r="B13" s="254" t="s">
        <v>339</v>
      </c>
      <c r="C13" s="255"/>
      <c r="D13" s="255"/>
      <c r="E13" s="255"/>
      <c r="F13" s="428"/>
      <c r="G13" s="428"/>
      <c r="H13" s="428"/>
      <c r="I13" s="428"/>
      <c r="J13" s="429"/>
      <c r="K13" s="448"/>
      <c r="L13" s="452"/>
      <c r="M13" s="452"/>
      <c r="N13" s="452"/>
      <c r="O13" s="448"/>
    </row>
    <row r="14" spans="1:16" s="71" customFormat="1" ht="15" customHeight="1">
      <c r="A14" s="361" t="s">
        <v>334</v>
      </c>
      <c r="B14" s="260" t="s">
        <v>340</v>
      </c>
      <c r="C14" s="187"/>
      <c r="D14" s="187"/>
      <c r="E14" s="187"/>
      <c r="F14" s="426"/>
      <c r="G14" s="426"/>
      <c r="H14" s="426"/>
      <c r="I14" s="426"/>
      <c r="J14" s="427"/>
      <c r="K14" s="232">
        <v>5</v>
      </c>
      <c r="L14" s="238"/>
      <c r="M14" s="238"/>
      <c r="N14" s="238"/>
      <c r="O14" s="232" t="s">
        <v>603</v>
      </c>
    </row>
    <row r="15" spans="1:16" s="71" customFormat="1" ht="15" customHeight="1">
      <c r="A15" s="466"/>
      <c r="B15" s="252" t="s">
        <v>645</v>
      </c>
      <c r="C15" s="172"/>
      <c r="D15" s="172"/>
      <c r="E15" s="172"/>
      <c r="F15" s="449"/>
      <c r="G15" s="449"/>
      <c r="H15" s="449"/>
      <c r="I15" s="449"/>
      <c r="J15" s="450"/>
      <c r="K15" s="448"/>
      <c r="L15" s="452"/>
      <c r="M15" s="452"/>
      <c r="N15" s="452"/>
      <c r="O15" s="448"/>
    </row>
    <row r="16" spans="1:16" s="71" customFormat="1" ht="15" customHeight="1">
      <c r="A16" s="378" t="s">
        <v>342</v>
      </c>
      <c r="B16" s="260" t="s">
        <v>854</v>
      </c>
      <c r="C16" s="187"/>
      <c r="D16" s="187"/>
      <c r="E16" s="187"/>
      <c r="F16" s="426"/>
      <c r="G16" s="426"/>
      <c r="H16" s="426"/>
      <c r="I16" s="426"/>
      <c r="J16" s="427"/>
      <c r="K16" s="246">
        <v>5</v>
      </c>
      <c r="L16" s="238"/>
      <c r="M16" s="238"/>
      <c r="N16" s="238"/>
      <c r="O16" s="232" t="s">
        <v>604</v>
      </c>
    </row>
    <row r="17" spans="1:16" s="71" customFormat="1" ht="15" customHeight="1">
      <c r="A17" s="379"/>
      <c r="B17" s="252" t="s">
        <v>855</v>
      </c>
      <c r="C17" s="172"/>
      <c r="D17" s="172"/>
      <c r="E17" s="172"/>
      <c r="F17" s="449"/>
      <c r="G17" s="449"/>
      <c r="H17" s="449"/>
      <c r="I17" s="449"/>
      <c r="J17" s="450"/>
      <c r="K17" s="380"/>
      <c r="L17" s="239"/>
      <c r="M17" s="239"/>
      <c r="N17" s="239"/>
      <c r="O17" s="233"/>
    </row>
    <row r="18" spans="1:16" s="71" customFormat="1" ht="15" customHeight="1">
      <c r="A18" s="379"/>
      <c r="B18" s="252" t="s">
        <v>857</v>
      </c>
      <c r="C18" s="172"/>
      <c r="D18" s="172"/>
      <c r="E18" s="172"/>
      <c r="F18" s="172"/>
      <c r="G18" s="172"/>
      <c r="H18" s="172"/>
      <c r="I18" s="172"/>
      <c r="J18" s="253"/>
      <c r="K18" s="380"/>
      <c r="L18" s="239"/>
      <c r="M18" s="239"/>
      <c r="N18" s="239"/>
      <c r="O18" s="233"/>
    </row>
    <row r="19" spans="1:16" s="71" customFormat="1" ht="15" customHeight="1">
      <c r="A19" s="469"/>
      <c r="B19" s="254" t="s">
        <v>856</v>
      </c>
      <c r="C19" s="255"/>
      <c r="D19" s="255"/>
      <c r="E19" s="255"/>
      <c r="F19" s="428"/>
      <c r="G19" s="428"/>
      <c r="H19" s="428"/>
      <c r="I19" s="428"/>
      <c r="J19" s="429"/>
      <c r="K19" s="491"/>
      <c r="L19" s="452"/>
      <c r="M19" s="452"/>
      <c r="N19" s="452"/>
      <c r="O19" s="448"/>
    </row>
    <row r="20" spans="1:16" ht="30" customHeight="1">
      <c r="A20" s="416" t="s">
        <v>341</v>
      </c>
      <c r="B20" s="360"/>
      <c r="C20" s="360"/>
      <c r="D20" s="360"/>
      <c r="E20" s="360"/>
      <c r="F20" s="360"/>
      <c r="G20" s="360"/>
      <c r="H20" s="360"/>
      <c r="I20" s="360"/>
      <c r="J20" s="360"/>
      <c r="K20" s="416"/>
      <c r="L20" s="416"/>
      <c r="M20" s="416"/>
      <c r="N20" s="416"/>
      <c r="O20" s="416"/>
    </row>
    <row r="21" spans="1:16" s="41" customFormat="1" ht="15">
      <c r="A21" s="300" t="s">
        <v>66</v>
      </c>
      <c r="B21" s="301"/>
      <c r="C21" s="301"/>
      <c r="D21" s="301"/>
      <c r="E21" s="301"/>
      <c r="F21" s="301"/>
      <c r="G21" s="301"/>
      <c r="H21" s="301"/>
      <c r="I21" s="301"/>
      <c r="J21" s="302"/>
      <c r="K21" s="74" t="s">
        <v>65</v>
      </c>
      <c r="L21" s="75" t="s">
        <v>27</v>
      </c>
      <c r="M21" s="75" t="s">
        <v>64</v>
      </c>
      <c r="N21" s="75" t="s">
        <v>63</v>
      </c>
      <c r="O21" s="75" t="s">
        <v>62</v>
      </c>
      <c r="P21" s="40"/>
    </row>
    <row r="22" spans="1:16" s="71" customFormat="1" ht="15" customHeight="1">
      <c r="A22" s="361" t="s">
        <v>343</v>
      </c>
      <c r="B22" s="260" t="s">
        <v>352</v>
      </c>
      <c r="C22" s="187"/>
      <c r="D22" s="187"/>
      <c r="E22" s="187"/>
      <c r="F22" s="426"/>
      <c r="G22" s="426"/>
      <c r="H22" s="426"/>
      <c r="I22" s="426"/>
      <c r="J22" s="427"/>
      <c r="K22" s="232">
        <v>5</v>
      </c>
      <c r="L22" s="238"/>
      <c r="M22" s="238"/>
      <c r="N22" s="318"/>
      <c r="O22" s="238"/>
    </row>
    <row r="23" spans="1:16" s="71" customFormat="1" ht="15" customHeight="1">
      <c r="A23" s="466"/>
      <c r="B23" s="254" t="s">
        <v>322</v>
      </c>
      <c r="C23" s="255"/>
      <c r="D23" s="255"/>
      <c r="E23" s="255"/>
      <c r="F23" s="428"/>
      <c r="G23" s="428"/>
      <c r="H23" s="428"/>
      <c r="I23" s="428"/>
      <c r="J23" s="429"/>
      <c r="K23" s="447"/>
      <c r="L23" s="451"/>
      <c r="M23" s="451"/>
      <c r="N23" s="467"/>
      <c r="O23" s="451"/>
    </row>
    <row r="24" spans="1:16" s="71" customFormat="1" ht="15" customHeight="1">
      <c r="A24" s="361" t="s">
        <v>344</v>
      </c>
      <c r="B24" s="260" t="s">
        <v>353</v>
      </c>
      <c r="C24" s="187"/>
      <c r="D24" s="187"/>
      <c r="E24" s="187"/>
      <c r="F24" s="426"/>
      <c r="G24" s="426"/>
      <c r="H24" s="426"/>
      <c r="I24" s="426"/>
      <c r="J24" s="427"/>
      <c r="K24" s="232">
        <v>5</v>
      </c>
      <c r="L24" s="238"/>
      <c r="M24" s="238"/>
      <c r="N24" s="238"/>
      <c r="O24" s="232" t="s">
        <v>76</v>
      </c>
    </row>
    <row r="25" spans="1:16" s="71" customFormat="1" ht="15" customHeight="1">
      <c r="A25" s="466"/>
      <c r="B25" s="254" t="s">
        <v>354</v>
      </c>
      <c r="C25" s="255"/>
      <c r="D25" s="255"/>
      <c r="E25" s="255"/>
      <c r="F25" s="428"/>
      <c r="G25" s="428"/>
      <c r="H25" s="428"/>
      <c r="I25" s="428"/>
      <c r="J25" s="429"/>
      <c r="K25" s="448"/>
      <c r="L25" s="452"/>
      <c r="M25" s="452"/>
      <c r="N25" s="452"/>
      <c r="O25" s="448"/>
    </row>
    <row r="26" spans="1:16" s="71" customFormat="1" ht="15" customHeight="1">
      <c r="A26" s="361" t="s">
        <v>345</v>
      </c>
      <c r="B26" s="260" t="s">
        <v>323</v>
      </c>
      <c r="C26" s="187"/>
      <c r="D26" s="187"/>
      <c r="E26" s="187"/>
      <c r="F26" s="426"/>
      <c r="G26" s="426"/>
      <c r="H26" s="426"/>
      <c r="I26" s="426"/>
      <c r="J26" s="427"/>
      <c r="K26" s="232">
        <v>5</v>
      </c>
      <c r="L26" s="238"/>
      <c r="M26" s="238"/>
      <c r="N26" s="238"/>
      <c r="O26" s="232" t="s">
        <v>76</v>
      </c>
    </row>
    <row r="27" spans="1:16" s="71" customFormat="1" ht="15" customHeight="1">
      <c r="A27" s="466"/>
      <c r="B27" s="254" t="s">
        <v>634</v>
      </c>
      <c r="C27" s="255"/>
      <c r="D27" s="255"/>
      <c r="E27" s="255"/>
      <c r="F27" s="428"/>
      <c r="G27" s="428"/>
      <c r="H27" s="428"/>
      <c r="I27" s="428"/>
      <c r="J27" s="429"/>
      <c r="K27" s="448"/>
      <c r="L27" s="452"/>
      <c r="M27" s="452"/>
      <c r="N27" s="452"/>
      <c r="O27" s="448"/>
    </row>
    <row r="28" spans="1:16" s="71" customFormat="1" ht="15" customHeight="1">
      <c r="A28" s="361" t="s">
        <v>346</v>
      </c>
      <c r="B28" s="260" t="s">
        <v>355</v>
      </c>
      <c r="C28" s="187"/>
      <c r="D28" s="187"/>
      <c r="E28" s="187"/>
      <c r="F28" s="426"/>
      <c r="G28" s="426"/>
      <c r="H28" s="426"/>
      <c r="I28" s="426"/>
      <c r="J28" s="427"/>
      <c r="K28" s="232">
        <v>10</v>
      </c>
      <c r="L28" s="238"/>
      <c r="M28" s="238"/>
      <c r="N28" s="238"/>
      <c r="O28" s="238"/>
    </row>
    <row r="29" spans="1:16" s="71" customFormat="1" ht="15" customHeight="1">
      <c r="A29" s="466"/>
      <c r="B29" s="254" t="s">
        <v>646</v>
      </c>
      <c r="C29" s="255"/>
      <c r="D29" s="255"/>
      <c r="E29" s="255"/>
      <c r="F29" s="428"/>
      <c r="G29" s="428"/>
      <c r="H29" s="428"/>
      <c r="I29" s="428"/>
      <c r="J29" s="429"/>
      <c r="K29" s="448"/>
      <c r="L29" s="452"/>
      <c r="M29" s="452"/>
      <c r="N29" s="452"/>
      <c r="O29" s="452"/>
    </row>
    <row r="30" spans="1:16" s="71" customFormat="1" ht="15" customHeight="1">
      <c r="A30" s="361" t="s">
        <v>347</v>
      </c>
      <c r="B30" s="260" t="s">
        <v>356</v>
      </c>
      <c r="C30" s="187"/>
      <c r="D30" s="187"/>
      <c r="E30" s="187"/>
      <c r="F30" s="426"/>
      <c r="G30" s="426"/>
      <c r="H30" s="426"/>
      <c r="I30" s="426"/>
      <c r="J30" s="427"/>
      <c r="K30" s="232">
        <v>10</v>
      </c>
      <c r="L30" s="238"/>
      <c r="M30" s="238"/>
      <c r="N30" s="238"/>
      <c r="O30" s="232" t="s">
        <v>76</v>
      </c>
    </row>
    <row r="31" spans="1:16" s="71" customFormat="1" ht="15" customHeight="1">
      <c r="A31" s="466"/>
      <c r="B31" s="254" t="s">
        <v>357</v>
      </c>
      <c r="C31" s="255"/>
      <c r="D31" s="255"/>
      <c r="E31" s="255"/>
      <c r="F31" s="428"/>
      <c r="G31" s="428"/>
      <c r="H31" s="428"/>
      <c r="I31" s="428"/>
      <c r="J31" s="429"/>
      <c r="K31" s="448"/>
      <c r="L31" s="452"/>
      <c r="M31" s="452"/>
      <c r="N31" s="452"/>
      <c r="O31" s="448"/>
    </row>
    <row r="32" spans="1:16" s="71" customFormat="1" ht="15" customHeight="1">
      <c r="A32" s="361" t="s">
        <v>348</v>
      </c>
      <c r="B32" s="260" t="s">
        <v>358</v>
      </c>
      <c r="C32" s="187"/>
      <c r="D32" s="187"/>
      <c r="E32" s="187"/>
      <c r="F32" s="426"/>
      <c r="G32" s="426"/>
      <c r="H32" s="426"/>
      <c r="I32" s="426"/>
      <c r="J32" s="427"/>
      <c r="K32" s="232">
        <v>10</v>
      </c>
      <c r="L32" s="238"/>
      <c r="M32" s="238"/>
      <c r="N32" s="238"/>
      <c r="O32" s="238"/>
    </row>
    <row r="33" spans="1:16" s="71" customFormat="1" ht="15" customHeight="1">
      <c r="A33" s="466"/>
      <c r="B33" s="254" t="s">
        <v>359</v>
      </c>
      <c r="C33" s="255"/>
      <c r="D33" s="255"/>
      <c r="E33" s="255"/>
      <c r="F33" s="428"/>
      <c r="G33" s="428"/>
      <c r="H33" s="428"/>
      <c r="I33" s="428"/>
      <c r="J33" s="429"/>
      <c r="K33" s="448"/>
      <c r="L33" s="452"/>
      <c r="M33" s="452"/>
      <c r="N33" s="452"/>
      <c r="O33" s="452"/>
    </row>
    <row r="34" spans="1:16" s="71" customFormat="1" ht="15" customHeight="1">
      <c r="A34" s="107" t="s">
        <v>349</v>
      </c>
      <c r="B34" s="346" t="s">
        <v>244</v>
      </c>
      <c r="C34" s="347"/>
      <c r="D34" s="347"/>
      <c r="E34" s="347"/>
      <c r="F34" s="538"/>
      <c r="G34" s="538"/>
      <c r="H34" s="538"/>
      <c r="I34" s="538"/>
      <c r="J34" s="539"/>
      <c r="K34" s="60">
        <v>10</v>
      </c>
      <c r="L34" s="61"/>
      <c r="M34" s="61"/>
      <c r="N34" s="61"/>
      <c r="O34" s="60" t="s">
        <v>603</v>
      </c>
    </row>
    <row r="35" spans="1:16" s="71" customFormat="1" ht="15" customHeight="1">
      <c r="A35" s="361" t="s">
        <v>350</v>
      </c>
      <c r="B35" s="260" t="s">
        <v>858</v>
      </c>
      <c r="C35" s="187"/>
      <c r="D35" s="187"/>
      <c r="E35" s="187"/>
      <c r="F35" s="426"/>
      <c r="G35" s="426"/>
      <c r="H35" s="426"/>
      <c r="I35" s="426"/>
      <c r="J35" s="427"/>
      <c r="K35" s="232">
        <v>10</v>
      </c>
      <c r="L35" s="238"/>
      <c r="M35" s="238"/>
      <c r="N35" s="238"/>
      <c r="O35" s="232" t="s">
        <v>76</v>
      </c>
    </row>
    <row r="36" spans="1:16" s="71" customFormat="1" ht="15" customHeight="1">
      <c r="A36" s="375"/>
      <c r="B36" s="252" t="s">
        <v>859</v>
      </c>
      <c r="C36" s="172"/>
      <c r="D36" s="172"/>
      <c r="E36" s="172"/>
      <c r="F36" s="453"/>
      <c r="G36" s="453"/>
      <c r="H36" s="453"/>
      <c r="I36" s="453"/>
      <c r="J36" s="450"/>
      <c r="K36" s="233"/>
      <c r="L36" s="239"/>
      <c r="M36" s="239"/>
      <c r="N36" s="239"/>
      <c r="O36" s="233"/>
    </row>
    <row r="37" spans="1:16" s="71" customFormat="1" ht="15" customHeight="1">
      <c r="A37" s="375"/>
      <c r="B37" s="252" t="s">
        <v>861</v>
      </c>
      <c r="C37" s="172"/>
      <c r="D37" s="172"/>
      <c r="E37" s="172"/>
      <c r="F37" s="172"/>
      <c r="G37" s="172"/>
      <c r="H37" s="172"/>
      <c r="I37" s="172"/>
      <c r="J37" s="253"/>
      <c r="K37" s="233"/>
      <c r="L37" s="239"/>
      <c r="M37" s="239"/>
      <c r="N37" s="239"/>
      <c r="O37" s="233"/>
    </row>
    <row r="38" spans="1:16" s="71" customFormat="1" ht="15" customHeight="1">
      <c r="A38" s="375"/>
      <c r="B38" s="252" t="s">
        <v>860</v>
      </c>
      <c r="C38" s="172"/>
      <c r="D38" s="172"/>
      <c r="E38" s="172"/>
      <c r="F38" s="453"/>
      <c r="G38" s="453"/>
      <c r="H38" s="453"/>
      <c r="I38" s="453"/>
      <c r="J38" s="450"/>
      <c r="K38" s="233"/>
      <c r="L38" s="239"/>
      <c r="M38" s="239"/>
      <c r="N38" s="239"/>
      <c r="O38" s="233"/>
    </row>
    <row r="39" spans="1:16" s="71" customFormat="1" ht="15" customHeight="1">
      <c r="A39" s="378" t="s">
        <v>351</v>
      </c>
      <c r="B39" s="260" t="s">
        <v>809</v>
      </c>
      <c r="C39" s="187"/>
      <c r="D39" s="187"/>
      <c r="E39" s="187"/>
      <c r="F39" s="426"/>
      <c r="G39" s="426"/>
      <c r="H39" s="426"/>
      <c r="I39" s="426"/>
      <c r="J39" s="427"/>
      <c r="K39" s="232">
        <v>15</v>
      </c>
      <c r="L39" s="238"/>
      <c r="M39" s="238"/>
      <c r="N39" s="318"/>
      <c r="O39" s="232" t="s">
        <v>604</v>
      </c>
    </row>
    <row r="40" spans="1:16" s="71" customFormat="1" ht="15" customHeight="1">
      <c r="A40" s="379"/>
      <c r="B40" s="252" t="s">
        <v>863</v>
      </c>
      <c r="C40" s="172"/>
      <c r="D40" s="172"/>
      <c r="E40" s="172"/>
      <c r="F40" s="449"/>
      <c r="G40" s="449"/>
      <c r="H40" s="449"/>
      <c r="I40" s="449"/>
      <c r="J40" s="450"/>
      <c r="K40" s="233"/>
      <c r="L40" s="239"/>
      <c r="M40" s="239"/>
      <c r="N40" s="286"/>
      <c r="O40" s="233"/>
    </row>
    <row r="41" spans="1:16" s="71" customFormat="1" ht="15" customHeight="1">
      <c r="A41" s="379"/>
      <c r="B41" s="252" t="s">
        <v>864</v>
      </c>
      <c r="C41" s="172"/>
      <c r="D41" s="172"/>
      <c r="E41" s="172"/>
      <c r="F41" s="172"/>
      <c r="G41" s="172"/>
      <c r="H41" s="172"/>
      <c r="I41" s="172"/>
      <c r="J41" s="253"/>
      <c r="K41" s="233"/>
      <c r="L41" s="239"/>
      <c r="M41" s="239"/>
      <c r="N41" s="286"/>
      <c r="O41" s="233"/>
    </row>
    <row r="42" spans="1:16" s="71" customFormat="1" ht="15" customHeight="1">
      <c r="A42" s="423"/>
      <c r="B42" s="254" t="s">
        <v>295</v>
      </c>
      <c r="C42" s="255"/>
      <c r="D42" s="255"/>
      <c r="E42" s="255"/>
      <c r="F42" s="428"/>
      <c r="G42" s="428"/>
      <c r="H42" s="428"/>
      <c r="I42" s="428"/>
      <c r="J42" s="429"/>
      <c r="K42" s="234"/>
      <c r="L42" s="240"/>
      <c r="M42" s="240"/>
      <c r="N42" s="287"/>
      <c r="O42" s="234"/>
    </row>
    <row r="43" spans="1:16" s="41" customFormat="1" ht="15">
      <c r="A43" s="300" t="s">
        <v>66</v>
      </c>
      <c r="B43" s="301"/>
      <c r="C43" s="301"/>
      <c r="D43" s="301"/>
      <c r="E43" s="301"/>
      <c r="F43" s="301"/>
      <c r="G43" s="301"/>
      <c r="H43" s="301"/>
      <c r="I43" s="301"/>
      <c r="J43" s="302"/>
      <c r="K43" s="74" t="s">
        <v>65</v>
      </c>
      <c r="L43" s="75" t="s">
        <v>27</v>
      </c>
      <c r="M43" s="75" t="s">
        <v>64</v>
      </c>
      <c r="N43" s="75" t="s">
        <v>63</v>
      </c>
      <c r="O43" s="75" t="s">
        <v>62</v>
      </c>
      <c r="P43" s="40"/>
    </row>
    <row r="44" spans="1:16" s="71" customFormat="1" ht="15" customHeight="1">
      <c r="A44" s="361" t="s">
        <v>360</v>
      </c>
      <c r="B44" s="260" t="s">
        <v>862</v>
      </c>
      <c r="C44" s="187"/>
      <c r="D44" s="187"/>
      <c r="E44" s="187"/>
      <c r="F44" s="187"/>
      <c r="G44" s="187"/>
      <c r="H44" s="187"/>
      <c r="I44" s="187"/>
      <c r="J44" s="261"/>
      <c r="K44" s="232">
        <v>10</v>
      </c>
      <c r="L44" s="238"/>
      <c r="M44" s="238"/>
      <c r="N44" s="318"/>
      <c r="O44" s="238"/>
    </row>
    <row r="45" spans="1:16" s="71" customFormat="1" ht="15" customHeight="1">
      <c r="A45" s="362"/>
      <c r="B45" s="254" t="s">
        <v>243</v>
      </c>
      <c r="C45" s="255"/>
      <c r="D45" s="255"/>
      <c r="E45" s="255"/>
      <c r="F45" s="255"/>
      <c r="G45" s="255"/>
      <c r="H45" s="255"/>
      <c r="I45" s="255"/>
      <c r="J45" s="256"/>
      <c r="K45" s="234"/>
      <c r="L45" s="240"/>
      <c r="M45" s="240"/>
      <c r="N45" s="287"/>
      <c r="O45" s="240"/>
    </row>
    <row r="46" spans="1:16" s="71" customFormat="1" ht="15" customHeight="1">
      <c r="A46" s="361" t="s">
        <v>361</v>
      </c>
      <c r="B46" s="260" t="s">
        <v>865</v>
      </c>
      <c r="C46" s="187"/>
      <c r="D46" s="187"/>
      <c r="E46" s="187"/>
      <c r="F46" s="187"/>
      <c r="G46" s="187"/>
      <c r="H46" s="187"/>
      <c r="I46" s="187"/>
      <c r="J46" s="261"/>
      <c r="K46" s="232">
        <v>10</v>
      </c>
      <c r="L46" s="238"/>
      <c r="M46" s="238"/>
      <c r="N46" s="394"/>
      <c r="O46" s="238"/>
    </row>
    <row r="47" spans="1:16" s="71" customFormat="1" ht="15" customHeight="1">
      <c r="A47" s="362"/>
      <c r="B47" s="254" t="s">
        <v>283</v>
      </c>
      <c r="C47" s="255"/>
      <c r="D47" s="255"/>
      <c r="E47" s="255"/>
      <c r="F47" s="255"/>
      <c r="G47" s="255"/>
      <c r="H47" s="255"/>
      <c r="I47" s="255"/>
      <c r="J47" s="256"/>
      <c r="K47" s="234"/>
      <c r="L47" s="240"/>
      <c r="M47" s="240"/>
      <c r="N47" s="396"/>
      <c r="O47" s="240"/>
    </row>
    <row r="48" spans="1:16" s="71" customFormat="1" ht="15" customHeight="1">
      <c r="A48" s="361" t="s">
        <v>362</v>
      </c>
      <c r="B48" s="260" t="s">
        <v>369</v>
      </c>
      <c r="C48" s="187"/>
      <c r="D48" s="187"/>
      <c r="E48" s="187"/>
      <c r="F48" s="187"/>
      <c r="G48" s="187"/>
      <c r="H48" s="187"/>
      <c r="I48" s="187"/>
      <c r="J48" s="261"/>
      <c r="K48" s="232">
        <v>5</v>
      </c>
      <c r="L48" s="238"/>
      <c r="M48" s="238"/>
      <c r="N48" s="318"/>
      <c r="O48" s="238"/>
    </row>
    <row r="49" spans="1:15" s="71" customFormat="1" ht="15" customHeight="1">
      <c r="A49" s="362"/>
      <c r="B49" s="254" t="s">
        <v>370</v>
      </c>
      <c r="C49" s="255"/>
      <c r="D49" s="255"/>
      <c r="E49" s="255"/>
      <c r="F49" s="255"/>
      <c r="G49" s="255"/>
      <c r="H49" s="255"/>
      <c r="I49" s="255"/>
      <c r="J49" s="256"/>
      <c r="K49" s="234"/>
      <c r="L49" s="240"/>
      <c r="M49" s="240"/>
      <c r="N49" s="287"/>
      <c r="O49" s="240"/>
    </row>
    <row r="50" spans="1:15" s="71" customFormat="1" ht="15" customHeight="1">
      <c r="A50" s="361" t="s">
        <v>363</v>
      </c>
      <c r="B50" s="260" t="s">
        <v>371</v>
      </c>
      <c r="C50" s="187"/>
      <c r="D50" s="187"/>
      <c r="E50" s="187"/>
      <c r="F50" s="426"/>
      <c r="G50" s="426"/>
      <c r="H50" s="426"/>
      <c r="I50" s="426"/>
      <c r="J50" s="427"/>
      <c r="K50" s="232">
        <v>5</v>
      </c>
      <c r="L50" s="238"/>
      <c r="M50" s="238"/>
      <c r="N50" s="318"/>
      <c r="O50" s="238"/>
    </row>
    <row r="51" spans="1:15" s="71" customFormat="1" ht="15" customHeight="1">
      <c r="A51" s="362"/>
      <c r="B51" s="254" t="s">
        <v>129</v>
      </c>
      <c r="C51" s="255"/>
      <c r="D51" s="255"/>
      <c r="E51" s="255"/>
      <c r="F51" s="428"/>
      <c r="G51" s="428"/>
      <c r="H51" s="428"/>
      <c r="I51" s="428"/>
      <c r="J51" s="429"/>
      <c r="K51" s="234"/>
      <c r="L51" s="240"/>
      <c r="M51" s="240"/>
      <c r="N51" s="287"/>
      <c r="O51" s="240"/>
    </row>
    <row r="52" spans="1:15" s="71" customFormat="1" ht="15" customHeight="1">
      <c r="A52" s="361" t="s">
        <v>364</v>
      </c>
      <c r="B52" s="260" t="s">
        <v>274</v>
      </c>
      <c r="C52" s="187"/>
      <c r="D52" s="187"/>
      <c r="E52" s="187"/>
      <c r="F52" s="426"/>
      <c r="G52" s="426"/>
      <c r="H52" s="426"/>
      <c r="I52" s="426"/>
      <c r="J52" s="427"/>
      <c r="K52" s="232">
        <v>5</v>
      </c>
      <c r="L52" s="238"/>
      <c r="M52" s="238"/>
      <c r="N52" s="238"/>
      <c r="O52" s="238"/>
    </row>
    <row r="53" spans="1:15" s="71" customFormat="1" ht="15" customHeight="1">
      <c r="A53" s="375"/>
      <c r="B53" s="252" t="s">
        <v>372</v>
      </c>
      <c r="C53" s="172"/>
      <c r="D53" s="172"/>
      <c r="E53" s="172"/>
      <c r="F53" s="453"/>
      <c r="G53" s="453"/>
      <c r="H53" s="453"/>
      <c r="I53" s="453"/>
      <c r="J53" s="450"/>
      <c r="K53" s="233"/>
      <c r="L53" s="239"/>
      <c r="M53" s="239"/>
      <c r="N53" s="239"/>
      <c r="O53" s="239"/>
    </row>
    <row r="54" spans="1:15" s="71" customFormat="1" ht="15" customHeight="1">
      <c r="A54" s="375"/>
      <c r="B54" s="252" t="s">
        <v>276</v>
      </c>
      <c r="C54" s="172"/>
      <c r="D54" s="172"/>
      <c r="E54" s="172"/>
      <c r="F54" s="453"/>
      <c r="G54" s="453"/>
      <c r="H54" s="453"/>
      <c r="I54" s="453"/>
      <c r="J54" s="450"/>
      <c r="K54" s="233"/>
      <c r="L54" s="239"/>
      <c r="M54" s="239"/>
      <c r="N54" s="239"/>
      <c r="O54" s="239"/>
    </row>
    <row r="55" spans="1:15" s="71" customFormat="1" ht="15" customHeight="1">
      <c r="A55" s="362"/>
      <c r="B55" s="254" t="s">
        <v>277</v>
      </c>
      <c r="C55" s="255"/>
      <c r="D55" s="255"/>
      <c r="E55" s="255"/>
      <c r="F55" s="428"/>
      <c r="G55" s="428"/>
      <c r="H55" s="428"/>
      <c r="I55" s="428"/>
      <c r="J55" s="429"/>
      <c r="K55" s="234"/>
      <c r="L55" s="240"/>
      <c r="M55" s="240"/>
      <c r="N55" s="240"/>
      <c r="O55" s="240"/>
    </row>
    <row r="56" spans="1:15" s="71" customFormat="1" ht="15" customHeight="1">
      <c r="A56" s="107" t="s">
        <v>365</v>
      </c>
      <c r="B56" s="477" t="s">
        <v>373</v>
      </c>
      <c r="C56" s="540"/>
      <c r="D56" s="540"/>
      <c r="E56" s="540"/>
      <c r="F56" s="478"/>
      <c r="G56" s="478"/>
      <c r="H56" s="478"/>
      <c r="I56" s="478"/>
      <c r="J56" s="479"/>
      <c r="K56" s="60">
        <v>5</v>
      </c>
      <c r="L56" s="105"/>
      <c r="M56" s="105"/>
      <c r="N56" s="104"/>
      <c r="O56" s="105"/>
    </row>
    <row r="57" spans="1:15" s="71" customFormat="1" ht="15" customHeight="1">
      <c r="A57" s="107" t="s">
        <v>366</v>
      </c>
      <c r="B57" s="260" t="s">
        <v>281</v>
      </c>
      <c r="C57" s="187"/>
      <c r="D57" s="187"/>
      <c r="E57" s="187"/>
      <c r="F57" s="426"/>
      <c r="G57" s="426"/>
      <c r="H57" s="426"/>
      <c r="I57" s="426"/>
      <c r="J57" s="427"/>
      <c r="K57" s="60">
        <v>5</v>
      </c>
      <c r="L57" s="105"/>
      <c r="M57" s="105"/>
      <c r="N57" s="61"/>
      <c r="O57" s="105"/>
    </row>
    <row r="58" spans="1:15" s="71" customFormat="1" ht="15" customHeight="1">
      <c r="A58" s="361" t="s">
        <v>367</v>
      </c>
      <c r="B58" s="260" t="s">
        <v>647</v>
      </c>
      <c r="C58" s="187"/>
      <c r="D58" s="187"/>
      <c r="E58" s="187"/>
      <c r="F58" s="426"/>
      <c r="G58" s="426"/>
      <c r="H58" s="426"/>
      <c r="I58" s="426"/>
      <c r="J58" s="427"/>
      <c r="K58" s="232">
        <v>5</v>
      </c>
      <c r="L58" s="238"/>
      <c r="M58" s="238"/>
      <c r="N58" s="318"/>
      <c r="O58" s="238"/>
    </row>
    <row r="59" spans="1:15" s="71" customFormat="1" ht="15" customHeight="1">
      <c r="A59" s="362"/>
      <c r="B59" s="254" t="s">
        <v>374</v>
      </c>
      <c r="C59" s="255"/>
      <c r="D59" s="255"/>
      <c r="E59" s="255"/>
      <c r="F59" s="428"/>
      <c r="G59" s="428"/>
      <c r="H59" s="428"/>
      <c r="I59" s="428"/>
      <c r="J59" s="429"/>
      <c r="K59" s="234"/>
      <c r="L59" s="240"/>
      <c r="M59" s="240"/>
      <c r="N59" s="287"/>
      <c r="O59" s="240"/>
    </row>
    <row r="60" spans="1:15" s="71" customFormat="1" ht="15" customHeight="1">
      <c r="A60" s="361" t="s">
        <v>368</v>
      </c>
      <c r="B60" s="260" t="s">
        <v>375</v>
      </c>
      <c r="C60" s="187"/>
      <c r="D60" s="187"/>
      <c r="E60" s="187"/>
      <c r="F60" s="426"/>
      <c r="G60" s="426"/>
      <c r="H60" s="426"/>
      <c r="I60" s="426"/>
      <c r="J60" s="427"/>
      <c r="K60" s="232">
        <v>10</v>
      </c>
      <c r="L60" s="238"/>
      <c r="M60" s="238"/>
      <c r="N60" s="318"/>
      <c r="O60" s="238"/>
    </row>
    <row r="61" spans="1:15" s="71" customFormat="1" ht="15" customHeight="1">
      <c r="A61" s="375"/>
      <c r="B61" s="252" t="s">
        <v>376</v>
      </c>
      <c r="C61" s="172"/>
      <c r="D61" s="172"/>
      <c r="E61" s="172"/>
      <c r="F61" s="453"/>
      <c r="G61" s="453"/>
      <c r="H61" s="453"/>
      <c r="I61" s="453"/>
      <c r="J61" s="450"/>
      <c r="K61" s="233"/>
      <c r="L61" s="239"/>
      <c r="M61" s="239"/>
      <c r="N61" s="286"/>
      <c r="O61" s="239"/>
    </row>
    <row r="62" spans="1:15" s="71" customFormat="1" ht="15" customHeight="1">
      <c r="A62" s="375"/>
      <c r="B62" s="252" t="s">
        <v>648</v>
      </c>
      <c r="C62" s="172"/>
      <c r="D62" s="172"/>
      <c r="E62" s="172"/>
      <c r="F62" s="453"/>
      <c r="G62" s="453"/>
      <c r="H62" s="453"/>
      <c r="I62" s="453"/>
      <c r="J62" s="450"/>
      <c r="K62" s="233"/>
      <c r="L62" s="239"/>
      <c r="M62" s="239"/>
      <c r="N62" s="286"/>
      <c r="O62" s="239"/>
    </row>
    <row r="63" spans="1:15" s="71" customFormat="1" ht="15" customHeight="1">
      <c r="A63" s="362"/>
      <c r="B63" s="254" t="s">
        <v>377</v>
      </c>
      <c r="C63" s="255"/>
      <c r="D63" s="255"/>
      <c r="E63" s="255"/>
      <c r="F63" s="428"/>
      <c r="G63" s="428"/>
      <c r="H63" s="428"/>
      <c r="I63" s="428"/>
      <c r="J63" s="429"/>
      <c r="K63" s="234"/>
      <c r="L63" s="240"/>
      <c r="M63" s="240"/>
      <c r="N63" s="287"/>
      <c r="O63" s="240"/>
    </row>
    <row r="64" spans="1:15" s="71" customFormat="1" ht="15" customHeight="1">
      <c r="A64" s="361" t="s">
        <v>378</v>
      </c>
      <c r="B64" s="260" t="s">
        <v>819</v>
      </c>
      <c r="C64" s="187"/>
      <c r="D64" s="187"/>
      <c r="E64" s="187"/>
      <c r="F64" s="426"/>
      <c r="G64" s="426"/>
      <c r="H64" s="426"/>
      <c r="I64" s="426"/>
      <c r="J64" s="427"/>
      <c r="K64" s="232">
        <v>10</v>
      </c>
      <c r="L64" s="238"/>
      <c r="M64" s="238"/>
      <c r="N64" s="318"/>
      <c r="O64" s="238"/>
    </row>
    <row r="65" spans="1:16" s="71" customFormat="1" ht="15" customHeight="1">
      <c r="A65" s="375"/>
      <c r="B65" s="252" t="s">
        <v>820</v>
      </c>
      <c r="C65" s="172"/>
      <c r="D65" s="172"/>
      <c r="E65" s="172"/>
      <c r="F65" s="453"/>
      <c r="G65" s="453"/>
      <c r="H65" s="453"/>
      <c r="I65" s="453"/>
      <c r="J65" s="450"/>
      <c r="K65" s="233"/>
      <c r="L65" s="239"/>
      <c r="M65" s="239"/>
      <c r="N65" s="286"/>
      <c r="O65" s="239"/>
    </row>
    <row r="66" spans="1:16" s="71" customFormat="1" ht="15" customHeight="1">
      <c r="A66" s="375"/>
      <c r="B66" s="252" t="s">
        <v>821</v>
      </c>
      <c r="C66" s="172"/>
      <c r="D66" s="172"/>
      <c r="E66" s="172"/>
      <c r="F66" s="453"/>
      <c r="G66" s="453"/>
      <c r="H66" s="453"/>
      <c r="I66" s="453"/>
      <c r="J66" s="450"/>
      <c r="K66" s="233"/>
      <c r="L66" s="239"/>
      <c r="M66" s="239"/>
      <c r="N66" s="286"/>
      <c r="O66" s="239"/>
    </row>
    <row r="67" spans="1:16" ht="30" customHeight="1">
      <c r="A67" s="416" t="s">
        <v>305</v>
      </c>
      <c r="B67" s="416"/>
      <c r="C67" s="416"/>
      <c r="D67" s="416"/>
      <c r="E67" s="416"/>
      <c r="F67" s="416"/>
      <c r="G67" s="416"/>
      <c r="H67" s="416"/>
      <c r="I67" s="416"/>
      <c r="J67" s="416"/>
      <c r="K67" s="416"/>
      <c r="L67" s="416"/>
      <c r="M67" s="416"/>
      <c r="N67" s="416"/>
      <c r="O67" s="416"/>
    </row>
    <row r="68" spans="1:16" s="41" customFormat="1" ht="15">
      <c r="A68" s="300" t="s">
        <v>66</v>
      </c>
      <c r="B68" s="301"/>
      <c r="C68" s="301"/>
      <c r="D68" s="301"/>
      <c r="E68" s="301"/>
      <c r="F68" s="301"/>
      <c r="G68" s="301"/>
      <c r="H68" s="301"/>
      <c r="I68" s="301"/>
      <c r="J68" s="302"/>
      <c r="K68" s="74" t="s">
        <v>65</v>
      </c>
      <c r="L68" s="75" t="s">
        <v>27</v>
      </c>
      <c r="M68" s="75" t="s">
        <v>64</v>
      </c>
      <c r="N68" s="75" t="s">
        <v>63</v>
      </c>
      <c r="O68" s="75" t="s">
        <v>62</v>
      </c>
      <c r="P68" s="40"/>
    </row>
    <row r="69" spans="1:16" s="71" customFormat="1" ht="15" customHeight="1">
      <c r="A69" s="361" t="s">
        <v>379</v>
      </c>
      <c r="B69" s="260" t="s">
        <v>383</v>
      </c>
      <c r="C69" s="187"/>
      <c r="D69" s="187"/>
      <c r="E69" s="187"/>
      <c r="F69" s="426"/>
      <c r="G69" s="426"/>
      <c r="H69" s="426"/>
      <c r="I69" s="426"/>
      <c r="J69" s="427"/>
      <c r="K69" s="232">
        <v>10</v>
      </c>
      <c r="L69" s="238"/>
      <c r="M69" s="238"/>
      <c r="N69" s="318"/>
      <c r="O69" s="232" t="s">
        <v>76</v>
      </c>
    </row>
    <row r="70" spans="1:16" s="71" customFormat="1" ht="15" customHeight="1">
      <c r="A70" s="362"/>
      <c r="B70" s="254" t="s">
        <v>384</v>
      </c>
      <c r="C70" s="255"/>
      <c r="D70" s="255"/>
      <c r="E70" s="255"/>
      <c r="F70" s="428"/>
      <c r="G70" s="428"/>
      <c r="H70" s="428"/>
      <c r="I70" s="428"/>
      <c r="J70" s="429"/>
      <c r="K70" s="234"/>
      <c r="L70" s="240"/>
      <c r="M70" s="240"/>
      <c r="N70" s="287"/>
      <c r="O70" s="234"/>
    </row>
    <row r="71" spans="1:16" s="71" customFormat="1" ht="15" customHeight="1">
      <c r="A71" s="361" t="s">
        <v>380</v>
      </c>
      <c r="B71" s="260" t="s">
        <v>385</v>
      </c>
      <c r="C71" s="187"/>
      <c r="D71" s="187"/>
      <c r="E71" s="187"/>
      <c r="F71" s="426"/>
      <c r="G71" s="426"/>
      <c r="H71" s="426"/>
      <c r="I71" s="426"/>
      <c r="J71" s="427"/>
      <c r="K71" s="232">
        <v>10</v>
      </c>
      <c r="L71" s="238"/>
      <c r="M71" s="238"/>
      <c r="N71" s="318"/>
      <c r="O71" s="232" t="s">
        <v>76</v>
      </c>
    </row>
    <row r="72" spans="1:16" s="71" customFormat="1" ht="15" customHeight="1">
      <c r="A72" s="362"/>
      <c r="B72" s="254" t="s">
        <v>386</v>
      </c>
      <c r="C72" s="255"/>
      <c r="D72" s="255"/>
      <c r="E72" s="255"/>
      <c r="F72" s="428"/>
      <c r="G72" s="428"/>
      <c r="H72" s="428"/>
      <c r="I72" s="428"/>
      <c r="J72" s="429"/>
      <c r="K72" s="234"/>
      <c r="L72" s="240"/>
      <c r="M72" s="240"/>
      <c r="N72" s="287"/>
      <c r="O72" s="234"/>
    </row>
    <row r="73" spans="1:16" s="71" customFormat="1" ht="15" customHeight="1">
      <c r="A73" s="361" t="s">
        <v>381</v>
      </c>
      <c r="B73" s="260" t="s">
        <v>387</v>
      </c>
      <c r="C73" s="187"/>
      <c r="D73" s="187"/>
      <c r="E73" s="187"/>
      <c r="F73" s="426"/>
      <c r="G73" s="426"/>
      <c r="H73" s="426"/>
      <c r="I73" s="426"/>
      <c r="J73" s="427"/>
      <c r="K73" s="232">
        <v>5</v>
      </c>
      <c r="L73" s="238"/>
      <c r="M73" s="238"/>
      <c r="N73" s="232"/>
      <c r="O73" s="232" t="s">
        <v>603</v>
      </c>
    </row>
    <row r="74" spans="1:16" s="71" customFormat="1" ht="15" customHeight="1">
      <c r="A74" s="362"/>
      <c r="B74" s="254" t="s">
        <v>388</v>
      </c>
      <c r="C74" s="255"/>
      <c r="D74" s="255"/>
      <c r="E74" s="255"/>
      <c r="F74" s="428"/>
      <c r="G74" s="428"/>
      <c r="H74" s="428"/>
      <c r="I74" s="428"/>
      <c r="J74" s="429"/>
      <c r="K74" s="234"/>
      <c r="L74" s="240"/>
      <c r="M74" s="240"/>
      <c r="N74" s="234"/>
      <c r="O74" s="234"/>
    </row>
    <row r="75" spans="1:16" s="71" customFormat="1" ht="15" customHeight="1">
      <c r="A75" s="361" t="s">
        <v>654</v>
      </c>
      <c r="B75" s="260" t="s">
        <v>655</v>
      </c>
      <c r="C75" s="187"/>
      <c r="D75" s="187"/>
      <c r="E75" s="187"/>
      <c r="F75" s="426"/>
      <c r="G75" s="426"/>
      <c r="H75" s="426"/>
      <c r="I75" s="426"/>
      <c r="J75" s="427"/>
      <c r="K75" s="232">
        <v>5</v>
      </c>
      <c r="L75" s="238"/>
      <c r="M75" s="238"/>
      <c r="N75" s="318"/>
      <c r="O75" s="232"/>
    </row>
    <row r="76" spans="1:16" s="71" customFormat="1" ht="15" customHeight="1">
      <c r="A76" s="375"/>
      <c r="B76" s="252" t="s">
        <v>389</v>
      </c>
      <c r="C76" s="172"/>
      <c r="D76" s="172"/>
      <c r="E76" s="172"/>
      <c r="F76" s="453"/>
      <c r="G76" s="453"/>
      <c r="H76" s="453"/>
      <c r="I76" s="453"/>
      <c r="J76" s="450"/>
      <c r="K76" s="233"/>
      <c r="L76" s="239"/>
      <c r="M76" s="239"/>
      <c r="N76" s="286"/>
      <c r="O76" s="233"/>
    </row>
    <row r="77" spans="1:16" s="71" customFormat="1" ht="15" customHeight="1">
      <c r="A77" s="362"/>
      <c r="B77" s="254" t="s">
        <v>293</v>
      </c>
      <c r="C77" s="255"/>
      <c r="D77" s="255"/>
      <c r="E77" s="255"/>
      <c r="F77" s="428"/>
      <c r="G77" s="428"/>
      <c r="H77" s="428"/>
      <c r="I77" s="428"/>
      <c r="J77" s="429"/>
      <c r="K77" s="234"/>
      <c r="L77" s="240"/>
      <c r="M77" s="240"/>
      <c r="N77" s="287"/>
      <c r="O77" s="234"/>
    </row>
    <row r="78" spans="1:16" s="77" customFormat="1" ht="30" customHeight="1">
      <c r="A78" s="416" t="s">
        <v>382</v>
      </c>
      <c r="B78" s="416"/>
      <c r="C78" s="416"/>
      <c r="D78" s="416"/>
      <c r="E78" s="416"/>
      <c r="F78" s="416"/>
      <c r="G78" s="416"/>
      <c r="H78" s="416"/>
      <c r="I78" s="416"/>
      <c r="J78" s="416"/>
      <c r="K78" s="416"/>
      <c r="L78" s="416"/>
      <c r="M78" s="416"/>
      <c r="N78" s="416"/>
      <c r="O78" s="416"/>
    </row>
    <row r="79" spans="1:16" s="71" customFormat="1" ht="15" customHeight="1">
      <c r="A79" s="168" t="s">
        <v>866</v>
      </c>
      <c r="B79" s="168"/>
      <c r="C79" s="168"/>
      <c r="D79" s="168"/>
      <c r="E79" s="168"/>
      <c r="F79" s="168"/>
      <c r="G79" s="168"/>
      <c r="H79" s="168"/>
      <c r="I79" s="168"/>
      <c r="J79" s="168"/>
      <c r="K79" s="168"/>
      <c r="L79" s="168"/>
      <c r="M79" s="168"/>
      <c r="N79" s="168"/>
      <c r="O79" s="168"/>
    </row>
    <row r="80" spans="1:16" s="71" customFormat="1" ht="15.75" customHeight="1">
      <c r="A80" s="511"/>
      <c r="B80" s="511"/>
      <c r="C80" s="512"/>
      <c r="D80" s="82"/>
      <c r="E80" s="87" t="s">
        <v>321</v>
      </c>
      <c r="F80" s="541"/>
      <c r="G80" s="542"/>
      <c r="H80" s="82"/>
      <c r="I80" s="168" t="s">
        <v>64</v>
      </c>
      <c r="J80" s="543"/>
      <c r="K80" s="544" t="s">
        <v>715</v>
      </c>
      <c r="L80" s="544"/>
      <c r="M80" s="544"/>
      <c r="N80" s="544"/>
      <c r="O80" s="544"/>
    </row>
    <row r="81" spans="1:16" s="71" customFormat="1" ht="15" customHeight="1">
      <c r="A81" s="168" t="s">
        <v>934</v>
      </c>
      <c r="B81" s="168"/>
      <c r="C81" s="168"/>
      <c r="D81" s="168"/>
      <c r="E81" s="168"/>
      <c r="F81" s="168"/>
      <c r="G81" s="168"/>
      <c r="H81" s="168"/>
      <c r="I81" s="168"/>
      <c r="J81" s="168"/>
      <c r="K81" s="168"/>
      <c r="L81" s="168"/>
      <c r="M81" s="168"/>
      <c r="N81" s="168"/>
      <c r="O81" s="168"/>
    </row>
    <row r="82" spans="1:16" s="71" customFormat="1" ht="15" customHeight="1">
      <c r="A82" s="172" t="s">
        <v>924</v>
      </c>
      <c r="B82" s="172"/>
      <c r="C82" s="172"/>
      <c r="D82" s="172"/>
      <c r="E82" s="172"/>
      <c r="F82" s="172"/>
      <c r="G82" s="172"/>
      <c r="H82" s="172"/>
      <c r="I82" s="172"/>
      <c r="J82" s="172"/>
      <c r="K82" s="172"/>
      <c r="L82" s="172"/>
      <c r="M82" s="172"/>
      <c r="N82" s="172"/>
      <c r="O82" s="172"/>
    </row>
    <row r="83" spans="1:16" s="73" customFormat="1" ht="6" customHeight="1">
      <c r="A83" s="398"/>
      <c r="B83" s="398"/>
      <c r="C83" s="398"/>
      <c r="D83" s="398"/>
      <c r="E83" s="398"/>
      <c r="F83" s="398"/>
      <c r="G83" s="398"/>
      <c r="H83" s="398"/>
      <c r="I83" s="398"/>
      <c r="J83" s="398"/>
      <c r="K83" s="398"/>
      <c r="L83" s="398"/>
      <c r="M83" s="398"/>
      <c r="N83" s="398"/>
      <c r="O83" s="398"/>
      <c r="P83" s="79"/>
    </row>
    <row r="84" spans="1:16" s="41" customFormat="1" ht="15">
      <c r="A84" s="300" t="s">
        <v>66</v>
      </c>
      <c r="B84" s="301"/>
      <c r="C84" s="301"/>
      <c r="D84" s="301"/>
      <c r="E84" s="301"/>
      <c r="F84" s="301"/>
      <c r="G84" s="301"/>
      <c r="H84" s="301"/>
      <c r="I84" s="301"/>
      <c r="J84" s="302"/>
      <c r="K84" s="74" t="s">
        <v>65</v>
      </c>
      <c r="L84" s="75" t="s">
        <v>27</v>
      </c>
      <c r="M84" s="75" t="s">
        <v>64</v>
      </c>
      <c r="N84" s="75" t="s">
        <v>63</v>
      </c>
      <c r="O84" s="75" t="s">
        <v>62</v>
      </c>
      <c r="P84" s="40"/>
    </row>
    <row r="85" spans="1:16" s="71" customFormat="1" ht="15" customHeight="1">
      <c r="A85" s="361" t="s">
        <v>392</v>
      </c>
      <c r="B85" s="260" t="s">
        <v>656</v>
      </c>
      <c r="C85" s="187"/>
      <c r="D85" s="187"/>
      <c r="E85" s="187"/>
      <c r="F85" s="426"/>
      <c r="G85" s="426"/>
      <c r="H85" s="426"/>
      <c r="I85" s="426"/>
      <c r="J85" s="427"/>
      <c r="K85" s="232">
        <v>5</v>
      </c>
      <c r="L85" s="238"/>
      <c r="M85" s="238"/>
      <c r="N85" s="394"/>
      <c r="O85" s="232" t="s">
        <v>604</v>
      </c>
    </row>
    <row r="86" spans="1:16" s="71" customFormat="1" ht="15" customHeight="1">
      <c r="A86" s="375"/>
      <c r="B86" s="252" t="s">
        <v>390</v>
      </c>
      <c r="C86" s="172"/>
      <c r="D86" s="172"/>
      <c r="E86" s="172"/>
      <c r="F86" s="453"/>
      <c r="G86" s="453"/>
      <c r="H86" s="453"/>
      <c r="I86" s="453"/>
      <c r="J86" s="450"/>
      <c r="K86" s="233"/>
      <c r="L86" s="239"/>
      <c r="M86" s="239"/>
      <c r="N86" s="395"/>
      <c r="O86" s="233"/>
    </row>
    <row r="87" spans="1:16" s="71" customFormat="1" ht="15" customHeight="1">
      <c r="A87" s="362"/>
      <c r="B87" s="254" t="s">
        <v>391</v>
      </c>
      <c r="C87" s="255"/>
      <c r="D87" s="255"/>
      <c r="E87" s="255"/>
      <c r="F87" s="428"/>
      <c r="G87" s="428"/>
      <c r="H87" s="428"/>
      <c r="I87" s="428"/>
      <c r="J87" s="429"/>
      <c r="K87" s="234"/>
      <c r="L87" s="240"/>
      <c r="M87" s="240"/>
      <c r="N87" s="396"/>
      <c r="O87" s="234"/>
    </row>
    <row r="88" spans="1:16" s="71" customFormat="1" ht="15" customHeight="1">
      <c r="A88" s="361" t="s">
        <v>393</v>
      </c>
      <c r="B88" s="260" t="s">
        <v>867</v>
      </c>
      <c r="C88" s="187"/>
      <c r="D88" s="187"/>
      <c r="E88" s="187"/>
      <c r="F88" s="426"/>
      <c r="G88" s="426"/>
      <c r="H88" s="426"/>
      <c r="I88" s="426"/>
      <c r="J88" s="427"/>
      <c r="K88" s="232">
        <v>15</v>
      </c>
      <c r="L88" s="238"/>
      <c r="M88" s="238"/>
      <c r="N88" s="394"/>
      <c r="O88" s="232" t="s">
        <v>76</v>
      </c>
    </row>
    <row r="89" spans="1:16" s="71" customFormat="1" ht="15" customHeight="1">
      <c r="A89" s="375"/>
      <c r="B89" s="252" t="s">
        <v>868</v>
      </c>
      <c r="C89" s="172"/>
      <c r="D89" s="172"/>
      <c r="E89" s="172"/>
      <c r="F89" s="453"/>
      <c r="G89" s="453"/>
      <c r="H89" s="453"/>
      <c r="I89" s="453"/>
      <c r="J89" s="450"/>
      <c r="K89" s="233"/>
      <c r="L89" s="239"/>
      <c r="M89" s="239"/>
      <c r="N89" s="395"/>
      <c r="O89" s="233"/>
    </row>
    <row r="90" spans="1:16" s="71" customFormat="1" ht="15" customHeight="1">
      <c r="A90" s="362"/>
      <c r="B90" s="254" t="s">
        <v>406</v>
      </c>
      <c r="C90" s="255"/>
      <c r="D90" s="255"/>
      <c r="E90" s="255"/>
      <c r="F90" s="428"/>
      <c r="G90" s="428"/>
      <c r="H90" s="428"/>
      <c r="I90" s="428"/>
      <c r="J90" s="429"/>
      <c r="K90" s="234"/>
      <c r="L90" s="240"/>
      <c r="M90" s="240"/>
      <c r="N90" s="396"/>
      <c r="O90" s="234"/>
    </row>
    <row r="91" spans="1:16" s="71" customFormat="1" ht="15" customHeight="1">
      <c r="A91" s="361" t="s">
        <v>394</v>
      </c>
      <c r="B91" s="260" t="s">
        <v>407</v>
      </c>
      <c r="C91" s="187"/>
      <c r="D91" s="187"/>
      <c r="E91" s="187"/>
      <c r="F91" s="426"/>
      <c r="G91" s="426"/>
      <c r="H91" s="426"/>
      <c r="I91" s="426"/>
      <c r="J91" s="427"/>
      <c r="K91" s="232">
        <v>15</v>
      </c>
      <c r="L91" s="238"/>
      <c r="M91" s="238"/>
      <c r="N91" s="238"/>
      <c r="O91" s="232" t="s">
        <v>603</v>
      </c>
    </row>
    <row r="92" spans="1:16" s="71" customFormat="1" ht="15" customHeight="1">
      <c r="A92" s="362"/>
      <c r="B92" s="254" t="s">
        <v>408</v>
      </c>
      <c r="C92" s="255"/>
      <c r="D92" s="255"/>
      <c r="E92" s="255"/>
      <c r="F92" s="428"/>
      <c r="G92" s="428"/>
      <c r="H92" s="428"/>
      <c r="I92" s="428"/>
      <c r="J92" s="429"/>
      <c r="K92" s="234"/>
      <c r="L92" s="240"/>
      <c r="M92" s="240"/>
      <c r="N92" s="240"/>
      <c r="O92" s="234"/>
    </row>
    <row r="93" spans="1:16" s="71" customFormat="1" ht="15" customHeight="1">
      <c r="A93" s="361" t="s">
        <v>395</v>
      </c>
      <c r="B93" s="260" t="s">
        <v>409</v>
      </c>
      <c r="C93" s="187"/>
      <c r="D93" s="187"/>
      <c r="E93" s="187"/>
      <c r="F93" s="426"/>
      <c r="G93" s="426"/>
      <c r="H93" s="426"/>
      <c r="I93" s="426"/>
      <c r="J93" s="427"/>
      <c r="K93" s="232">
        <v>10</v>
      </c>
      <c r="L93" s="238"/>
      <c r="M93" s="238"/>
      <c r="N93" s="238"/>
      <c r="O93" s="232" t="s">
        <v>76</v>
      </c>
    </row>
    <row r="94" spans="1:16" s="71" customFormat="1" ht="15" customHeight="1">
      <c r="A94" s="362"/>
      <c r="B94" s="254" t="s">
        <v>653</v>
      </c>
      <c r="C94" s="255"/>
      <c r="D94" s="255"/>
      <c r="E94" s="255"/>
      <c r="F94" s="428"/>
      <c r="G94" s="428"/>
      <c r="H94" s="428"/>
      <c r="I94" s="428"/>
      <c r="J94" s="429"/>
      <c r="K94" s="234"/>
      <c r="L94" s="240"/>
      <c r="M94" s="240"/>
      <c r="N94" s="240"/>
      <c r="O94" s="234"/>
    </row>
    <row r="95" spans="1:16" s="71" customFormat="1" ht="15" customHeight="1">
      <c r="A95" s="361" t="s">
        <v>396</v>
      </c>
      <c r="B95" s="260" t="s">
        <v>239</v>
      </c>
      <c r="C95" s="187"/>
      <c r="D95" s="187"/>
      <c r="E95" s="187"/>
      <c r="F95" s="426"/>
      <c r="G95" s="426"/>
      <c r="H95" s="426"/>
      <c r="I95" s="426"/>
      <c r="J95" s="427"/>
      <c r="K95" s="232">
        <v>10</v>
      </c>
      <c r="L95" s="238"/>
      <c r="M95" s="238"/>
      <c r="N95" s="238"/>
      <c r="O95" s="232" t="s">
        <v>76</v>
      </c>
    </row>
    <row r="96" spans="1:16" s="71" customFormat="1" ht="15" customHeight="1">
      <c r="A96" s="375"/>
      <c r="B96" s="252" t="s">
        <v>240</v>
      </c>
      <c r="C96" s="172"/>
      <c r="D96" s="172"/>
      <c r="E96" s="172"/>
      <c r="F96" s="453"/>
      <c r="G96" s="453"/>
      <c r="H96" s="453"/>
      <c r="I96" s="453"/>
      <c r="J96" s="450"/>
      <c r="K96" s="233"/>
      <c r="L96" s="239"/>
      <c r="M96" s="239"/>
      <c r="N96" s="239"/>
      <c r="O96" s="233"/>
    </row>
    <row r="97" spans="1:15" s="71" customFormat="1" ht="15" customHeight="1">
      <c r="A97" s="362"/>
      <c r="B97" s="254" t="s">
        <v>241</v>
      </c>
      <c r="C97" s="255"/>
      <c r="D97" s="255"/>
      <c r="E97" s="255"/>
      <c r="F97" s="428"/>
      <c r="G97" s="428"/>
      <c r="H97" s="428"/>
      <c r="I97" s="428"/>
      <c r="J97" s="429"/>
      <c r="K97" s="234"/>
      <c r="L97" s="240"/>
      <c r="M97" s="240"/>
      <c r="N97" s="240"/>
      <c r="O97" s="234"/>
    </row>
    <row r="98" spans="1:15" s="71" customFormat="1" ht="15" customHeight="1">
      <c r="A98" s="361" t="s">
        <v>397</v>
      </c>
      <c r="B98" s="260" t="s">
        <v>233</v>
      </c>
      <c r="C98" s="187"/>
      <c r="D98" s="187"/>
      <c r="E98" s="187"/>
      <c r="F98" s="426"/>
      <c r="G98" s="426"/>
      <c r="H98" s="426"/>
      <c r="I98" s="426"/>
      <c r="J98" s="427"/>
      <c r="K98" s="232">
        <v>10</v>
      </c>
      <c r="L98" s="238"/>
      <c r="M98" s="238"/>
      <c r="N98" s="238"/>
      <c r="O98" s="232" t="s">
        <v>76</v>
      </c>
    </row>
    <row r="99" spans="1:15" s="71" customFormat="1" ht="15" customHeight="1">
      <c r="A99" s="375"/>
      <c r="B99" s="252" t="s">
        <v>234</v>
      </c>
      <c r="C99" s="172"/>
      <c r="D99" s="172"/>
      <c r="E99" s="172"/>
      <c r="F99" s="453"/>
      <c r="G99" s="453"/>
      <c r="H99" s="453"/>
      <c r="I99" s="453"/>
      <c r="J99" s="450"/>
      <c r="K99" s="233"/>
      <c r="L99" s="239"/>
      <c r="M99" s="239"/>
      <c r="N99" s="239"/>
      <c r="O99" s="233"/>
    </row>
    <row r="100" spans="1:15" s="71" customFormat="1" ht="15" customHeight="1">
      <c r="A100" s="375"/>
      <c r="B100" s="252" t="s">
        <v>235</v>
      </c>
      <c r="C100" s="172"/>
      <c r="D100" s="172"/>
      <c r="E100" s="172"/>
      <c r="F100" s="449"/>
      <c r="G100" s="449"/>
      <c r="H100" s="449"/>
      <c r="I100" s="449"/>
      <c r="J100" s="450"/>
      <c r="K100" s="233"/>
      <c r="L100" s="239"/>
      <c r="M100" s="239"/>
      <c r="N100" s="239"/>
      <c r="O100" s="233"/>
    </row>
    <row r="101" spans="1:15" s="71" customFormat="1" ht="15" customHeight="1">
      <c r="A101" s="362"/>
      <c r="B101" s="254" t="s">
        <v>236</v>
      </c>
      <c r="C101" s="255"/>
      <c r="D101" s="255"/>
      <c r="E101" s="255"/>
      <c r="F101" s="428"/>
      <c r="G101" s="428"/>
      <c r="H101" s="428"/>
      <c r="I101" s="428"/>
      <c r="J101" s="429"/>
      <c r="K101" s="234"/>
      <c r="L101" s="240"/>
      <c r="M101" s="240"/>
      <c r="N101" s="240"/>
      <c r="O101" s="234"/>
    </row>
    <row r="102" spans="1:15" s="71" customFormat="1" ht="15" customHeight="1">
      <c r="A102" s="361" t="s">
        <v>398</v>
      </c>
      <c r="B102" s="260" t="s">
        <v>246</v>
      </c>
      <c r="C102" s="187"/>
      <c r="D102" s="187"/>
      <c r="E102" s="187"/>
      <c r="F102" s="426"/>
      <c r="G102" s="426"/>
      <c r="H102" s="426"/>
      <c r="I102" s="426"/>
      <c r="J102" s="427"/>
      <c r="K102" s="232">
        <v>10</v>
      </c>
      <c r="L102" s="238"/>
      <c r="M102" s="238"/>
      <c r="N102" s="238"/>
      <c r="O102" s="232" t="s">
        <v>603</v>
      </c>
    </row>
    <row r="103" spans="1:15" s="71" customFormat="1" ht="15" customHeight="1">
      <c r="A103" s="375"/>
      <c r="B103" s="252" t="s">
        <v>247</v>
      </c>
      <c r="C103" s="172"/>
      <c r="D103" s="172"/>
      <c r="E103" s="172"/>
      <c r="F103" s="453"/>
      <c r="G103" s="453"/>
      <c r="H103" s="453"/>
      <c r="I103" s="453"/>
      <c r="J103" s="450"/>
      <c r="K103" s="233"/>
      <c r="L103" s="239"/>
      <c r="M103" s="239"/>
      <c r="N103" s="239"/>
      <c r="O103" s="233"/>
    </row>
    <row r="104" spans="1:15" s="71" customFormat="1" ht="15" customHeight="1">
      <c r="A104" s="362"/>
      <c r="B104" s="254" t="s">
        <v>248</v>
      </c>
      <c r="C104" s="255"/>
      <c r="D104" s="255"/>
      <c r="E104" s="255"/>
      <c r="F104" s="428"/>
      <c r="G104" s="428"/>
      <c r="H104" s="428"/>
      <c r="I104" s="428"/>
      <c r="J104" s="429"/>
      <c r="K104" s="234"/>
      <c r="L104" s="240"/>
      <c r="M104" s="240"/>
      <c r="N104" s="240"/>
      <c r="O104" s="234"/>
    </row>
    <row r="105" spans="1:15" s="71" customFormat="1" ht="15" customHeight="1">
      <c r="A105" s="361" t="s">
        <v>399</v>
      </c>
      <c r="B105" s="260" t="s">
        <v>410</v>
      </c>
      <c r="C105" s="187"/>
      <c r="D105" s="187"/>
      <c r="E105" s="187"/>
      <c r="F105" s="426"/>
      <c r="G105" s="426"/>
      <c r="H105" s="426"/>
      <c r="I105" s="426"/>
      <c r="J105" s="427"/>
      <c r="K105" s="232">
        <v>15</v>
      </c>
      <c r="L105" s="238"/>
      <c r="M105" s="238"/>
      <c r="N105" s="238"/>
      <c r="O105" s="232" t="s">
        <v>603</v>
      </c>
    </row>
    <row r="106" spans="1:15" s="71" customFormat="1" ht="15" customHeight="1">
      <c r="A106" s="362"/>
      <c r="B106" s="254" t="s">
        <v>232</v>
      </c>
      <c r="C106" s="255"/>
      <c r="D106" s="255"/>
      <c r="E106" s="255"/>
      <c r="F106" s="428"/>
      <c r="G106" s="428"/>
      <c r="H106" s="428"/>
      <c r="I106" s="428"/>
      <c r="J106" s="429"/>
      <c r="K106" s="234"/>
      <c r="L106" s="240"/>
      <c r="M106" s="240"/>
      <c r="N106" s="240"/>
      <c r="O106" s="234"/>
    </row>
    <row r="107" spans="1:15" s="71" customFormat="1" ht="15" customHeight="1">
      <c r="A107" s="361" t="s">
        <v>400</v>
      </c>
      <c r="B107" s="260" t="s">
        <v>411</v>
      </c>
      <c r="C107" s="187"/>
      <c r="D107" s="187"/>
      <c r="E107" s="187"/>
      <c r="F107" s="426"/>
      <c r="G107" s="426"/>
      <c r="H107" s="426"/>
      <c r="I107" s="426"/>
      <c r="J107" s="427"/>
      <c r="K107" s="232">
        <v>10</v>
      </c>
      <c r="L107" s="238"/>
      <c r="M107" s="238"/>
      <c r="N107" s="238"/>
      <c r="O107" s="232" t="s">
        <v>76</v>
      </c>
    </row>
    <row r="108" spans="1:15" s="71" customFormat="1" ht="15" customHeight="1">
      <c r="A108" s="375"/>
      <c r="B108" s="252" t="s">
        <v>412</v>
      </c>
      <c r="C108" s="172"/>
      <c r="D108" s="172"/>
      <c r="E108" s="172"/>
      <c r="F108" s="453"/>
      <c r="G108" s="453"/>
      <c r="H108" s="453"/>
      <c r="I108" s="453"/>
      <c r="J108" s="450"/>
      <c r="K108" s="233"/>
      <c r="L108" s="239"/>
      <c r="M108" s="239"/>
      <c r="N108" s="239"/>
      <c r="O108" s="233"/>
    </row>
    <row r="109" spans="1:15" s="71" customFormat="1" ht="15" customHeight="1">
      <c r="A109" s="362"/>
      <c r="B109" s="254" t="s">
        <v>413</v>
      </c>
      <c r="C109" s="255"/>
      <c r="D109" s="255"/>
      <c r="E109" s="255"/>
      <c r="F109" s="428"/>
      <c r="G109" s="428"/>
      <c r="H109" s="428"/>
      <c r="I109" s="428"/>
      <c r="J109" s="429"/>
      <c r="K109" s="234"/>
      <c r="L109" s="240"/>
      <c r="M109" s="240"/>
      <c r="N109" s="240"/>
      <c r="O109" s="234"/>
    </row>
    <row r="110" spans="1:15" s="71" customFormat="1" ht="15" customHeight="1">
      <c r="A110" s="361" t="s">
        <v>401</v>
      </c>
      <c r="B110" s="260" t="s">
        <v>901</v>
      </c>
      <c r="C110" s="187"/>
      <c r="D110" s="187"/>
      <c r="E110" s="187"/>
      <c r="F110" s="426"/>
      <c r="G110" s="426"/>
      <c r="H110" s="426"/>
      <c r="I110" s="426"/>
      <c r="J110" s="427"/>
      <c r="K110" s="232">
        <v>10</v>
      </c>
      <c r="L110" s="238"/>
      <c r="M110" s="238"/>
      <c r="N110" s="394"/>
      <c r="O110" s="232" t="s">
        <v>604</v>
      </c>
    </row>
    <row r="111" spans="1:15" s="71" customFormat="1" ht="15" customHeight="1">
      <c r="A111" s="362"/>
      <c r="B111" s="254" t="s">
        <v>902</v>
      </c>
      <c r="C111" s="255"/>
      <c r="D111" s="255"/>
      <c r="E111" s="255"/>
      <c r="F111" s="428"/>
      <c r="G111" s="428"/>
      <c r="H111" s="428"/>
      <c r="I111" s="428"/>
      <c r="J111" s="429"/>
      <c r="K111" s="234"/>
      <c r="L111" s="240"/>
      <c r="M111" s="240"/>
      <c r="N111" s="396"/>
      <c r="O111" s="234"/>
    </row>
    <row r="112" spans="1:15" s="71" customFormat="1" ht="15" customHeight="1">
      <c r="A112" s="361" t="s">
        <v>402</v>
      </c>
      <c r="B112" s="260" t="s">
        <v>414</v>
      </c>
      <c r="C112" s="187"/>
      <c r="D112" s="187"/>
      <c r="E112" s="187"/>
      <c r="F112" s="426"/>
      <c r="G112" s="426"/>
      <c r="H112" s="426"/>
      <c r="I112" s="426"/>
      <c r="J112" s="427"/>
      <c r="K112" s="232">
        <v>5</v>
      </c>
      <c r="L112" s="238"/>
      <c r="M112" s="238"/>
      <c r="N112" s="394"/>
      <c r="O112" s="238"/>
    </row>
    <row r="113" spans="1:16" s="71" customFormat="1" ht="15" customHeight="1">
      <c r="A113" s="362"/>
      <c r="B113" s="254" t="s">
        <v>415</v>
      </c>
      <c r="C113" s="255"/>
      <c r="D113" s="255"/>
      <c r="E113" s="255"/>
      <c r="F113" s="428"/>
      <c r="G113" s="428"/>
      <c r="H113" s="428"/>
      <c r="I113" s="428"/>
      <c r="J113" s="429"/>
      <c r="K113" s="234"/>
      <c r="L113" s="240"/>
      <c r="M113" s="240"/>
      <c r="N113" s="396"/>
      <c r="O113" s="240"/>
    </row>
    <row r="114" spans="1:16" s="71" customFormat="1" ht="15" customHeight="1">
      <c r="A114" s="361" t="s">
        <v>403</v>
      </c>
      <c r="B114" s="260" t="s">
        <v>798</v>
      </c>
      <c r="C114" s="187"/>
      <c r="D114" s="187"/>
      <c r="E114" s="187"/>
      <c r="F114" s="426"/>
      <c r="G114" s="426"/>
      <c r="H114" s="426"/>
      <c r="I114" s="426"/>
      <c r="J114" s="427"/>
      <c r="K114" s="232">
        <v>10</v>
      </c>
      <c r="L114" s="238"/>
      <c r="M114" s="238"/>
      <c r="N114" s="238"/>
      <c r="O114" s="238"/>
    </row>
    <row r="115" spans="1:16" s="71" customFormat="1" ht="15" customHeight="1">
      <c r="A115" s="375"/>
      <c r="B115" s="252" t="s">
        <v>870</v>
      </c>
      <c r="C115" s="172"/>
      <c r="D115" s="172"/>
      <c r="E115" s="172"/>
      <c r="F115" s="172"/>
      <c r="G115" s="172"/>
      <c r="H115" s="172"/>
      <c r="I115" s="172"/>
      <c r="J115" s="253"/>
      <c r="K115" s="233"/>
      <c r="L115" s="239"/>
      <c r="M115" s="239"/>
      <c r="N115" s="239"/>
      <c r="O115" s="239"/>
    </row>
    <row r="116" spans="1:16" s="71" customFormat="1" ht="15" customHeight="1">
      <c r="A116" s="362"/>
      <c r="B116" s="254" t="s">
        <v>869</v>
      </c>
      <c r="C116" s="255"/>
      <c r="D116" s="255"/>
      <c r="E116" s="255"/>
      <c r="F116" s="428"/>
      <c r="G116" s="428"/>
      <c r="H116" s="428"/>
      <c r="I116" s="428"/>
      <c r="J116" s="429"/>
      <c r="K116" s="234"/>
      <c r="L116" s="240"/>
      <c r="M116" s="240"/>
      <c r="N116" s="240"/>
      <c r="O116" s="240"/>
    </row>
    <row r="117" spans="1:16" s="77" customFormat="1" ht="30" customHeight="1">
      <c r="A117" s="416" t="s">
        <v>639</v>
      </c>
      <c r="B117" s="416"/>
      <c r="C117" s="416"/>
      <c r="D117" s="416"/>
      <c r="E117" s="416"/>
      <c r="F117" s="416"/>
      <c r="G117" s="416"/>
      <c r="H117" s="416"/>
      <c r="I117" s="416"/>
      <c r="J117" s="416"/>
      <c r="K117" s="416"/>
      <c r="L117" s="416"/>
      <c r="M117" s="416"/>
      <c r="N117" s="416"/>
      <c r="O117" s="416"/>
    </row>
    <row r="118" spans="1:16" s="41" customFormat="1" ht="15">
      <c r="A118" s="300" t="s">
        <v>66</v>
      </c>
      <c r="B118" s="301"/>
      <c r="C118" s="301"/>
      <c r="D118" s="301"/>
      <c r="E118" s="301"/>
      <c r="F118" s="301"/>
      <c r="G118" s="301"/>
      <c r="H118" s="301"/>
      <c r="I118" s="301"/>
      <c r="J118" s="302"/>
      <c r="K118" s="74" t="s">
        <v>65</v>
      </c>
      <c r="L118" s="75" t="s">
        <v>27</v>
      </c>
      <c r="M118" s="75" t="s">
        <v>64</v>
      </c>
      <c r="N118" s="75" t="s">
        <v>63</v>
      </c>
      <c r="O118" s="75" t="s">
        <v>62</v>
      </c>
      <c r="P118" s="40"/>
    </row>
    <row r="119" spans="1:16" s="71" customFormat="1" ht="15" customHeight="1">
      <c r="A119" s="361" t="s">
        <v>404</v>
      </c>
      <c r="B119" s="260" t="s">
        <v>837</v>
      </c>
      <c r="C119" s="187"/>
      <c r="D119" s="187"/>
      <c r="E119" s="187"/>
      <c r="F119" s="426"/>
      <c r="G119" s="426"/>
      <c r="H119" s="426"/>
      <c r="I119" s="426"/>
      <c r="J119" s="427"/>
      <c r="K119" s="232">
        <v>10</v>
      </c>
      <c r="L119" s="238"/>
      <c r="M119" s="238"/>
      <c r="N119" s="318"/>
      <c r="O119" s="238"/>
    </row>
    <row r="120" spans="1:16" s="71" customFormat="1" ht="15" customHeight="1">
      <c r="A120" s="375"/>
      <c r="B120" s="252" t="s">
        <v>838</v>
      </c>
      <c r="C120" s="172"/>
      <c r="D120" s="172"/>
      <c r="E120" s="172"/>
      <c r="F120" s="449"/>
      <c r="G120" s="449"/>
      <c r="H120" s="449"/>
      <c r="I120" s="449"/>
      <c r="J120" s="450"/>
      <c r="K120" s="233"/>
      <c r="L120" s="239"/>
      <c r="M120" s="239"/>
      <c r="N120" s="286"/>
      <c r="O120" s="239"/>
    </row>
    <row r="121" spans="1:16" s="71" customFormat="1" ht="15" customHeight="1">
      <c r="A121" s="362"/>
      <c r="B121" s="254" t="s">
        <v>903</v>
      </c>
      <c r="C121" s="255"/>
      <c r="D121" s="255"/>
      <c r="E121" s="255"/>
      <c r="F121" s="428"/>
      <c r="G121" s="428"/>
      <c r="H121" s="428"/>
      <c r="I121" s="428"/>
      <c r="J121" s="429"/>
      <c r="K121" s="234"/>
      <c r="L121" s="240"/>
      <c r="M121" s="240"/>
      <c r="N121" s="287"/>
      <c r="O121" s="240"/>
    </row>
    <row r="122" spans="1:16" s="71" customFormat="1" ht="15" customHeight="1">
      <c r="A122" s="361" t="s">
        <v>405</v>
      </c>
      <c r="B122" s="260" t="s">
        <v>842</v>
      </c>
      <c r="C122" s="187"/>
      <c r="D122" s="187"/>
      <c r="E122" s="187"/>
      <c r="F122" s="426"/>
      <c r="G122" s="426"/>
      <c r="H122" s="426"/>
      <c r="I122" s="426"/>
      <c r="J122" s="427"/>
      <c r="K122" s="232">
        <v>5</v>
      </c>
      <c r="L122" s="238"/>
      <c r="M122" s="238"/>
      <c r="N122" s="238"/>
      <c r="O122" s="232" t="s">
        <v>604</v>
      </c>
    </row>
    <row r="123" spans="1:16" s="71" customFormat="1" ht="15" customHeight="1">
      <c r="A123" s="375"/>
      <c r="B123" s="252" t="s">
        <v>871</v>
      </c>
      <c r="C123" s="172"/>
      <c r="D123" s="172"/>
      <c r="E123" s="172"/>
      <c r="F123" s="449"/>
      <c r="G123" s="449"/>
      <c r="H123" s="449"/>
      <c r="I123" s="449"/>
      <c r="J123" s="450"/>
      <c r="K123" s="233"/>
      <c r="L123" s="239"/>
      <c r="M123" s="239"/>
      <c r="N123" s="239"/>
      <c r="O123" s="233"/>
    </row>
    <row r="124" spans="1:16" s="71" customFormat="1" ht="15" customHeight="1">
      <c r="A124" s="362"/>
      <c r="B124" s="254" t="s">
        <v>872</v>
      </c>
      <c r="C124" s="255"/>
      <c r="D124" s="255"/>
      <c r="E124" s="255"/>
      <c r="F124" s="428"/>
      <c r="G124" s="428"/>
      <c r="H124" s="428"/>
      <c r="I124" s="428"/>
      <c r="J124" s="429"/>
      <c r="K124" s="234"/>
      <c r="L124" s="240"/>
      <c r="M124" s="240"/>
      <c r="N124" s="240"/>
      <c r="O124" s="234"/>
    </row>
    <row r="125" spans="1:16" s="41" customFormat="1" ht="15">
      <c r="A125" s="300" t="s">
        <v>66</v>
      </c>
      <c r="B125" s="301"/>
      <c r="C125" s="301"/>
      <c r="D125" s="301"/>
      <c r="E125" s="301"/>
      <c r="F125" s="301"/>
      <c r="G125" s="301"/>
      <c r="H125" s="301"/>
      <c r="I125" s="301"/>
      <c r="J125" s="302"/>
      <c r="K125" s="74" t="s">
        <v>65</v>
      </c>
      <c r="L125" s="75" t="s">
        <v>27</v>
      </c>
      <c r="M125" s="75" t="s">
        <v>64</v>
      </c>
      <c r="N125" s="75" t="s">
        <v>63</v>
      </c>
      <c r="O125" s="75" t="s">
        <v>62</v>
      </c>
      <c r="P125" s="40"/>
    </row>
    <row r="126" spans="1:16" s="71" customFormat="1" ht="15" customHeight="1">
      <c r="A126" s="361" t="s">
        <v>417</v>
      </c>
      <c r="B126" s="260" t="s">
        <v>846</v>
      </c>
      <c r="C126" s="187"/>
      <c r="D126" s="187"/>
      <c r="E126" s="187"/>
      <c r="F126" s="426"/>
      <c r="G126" s="426"/>
      <c r="H126" s="426"/>
      <c r="I126" s="426"/>
      <c r="J126" s="427"/>
      <c r="K126" s="232">
        <v>5</v>
      </c>
      <c r="L126" s="238"/>
      <c r="M126" s="238"/>
      <c r="N126" s="238"/>
      <c r="O126" s="232" t="s">
        <v>604</v>
      </c>
    </row>
    <row r="127" spans="1:16" s="71" customFormat="1" ht="15" customHeight="1">
      <c r="A127" s="375"/>
      <c r="B127" s="252" t="s">
        <v>873</v>
      </c>
      <c r="C127" s="172"/>
      <c r="D127" s="172"/>
      <c r="E127" s="172"/>
      <c r="F127" s="453"/>
      <c r="G127" s="453"/>
      <c r="H127" s="453"/>
      <c r="I127" s="453"/>
      <c r="J127" s="450"/>
      <c r="K127" s="233"/>
      <c r="L127" s="239"/>
      <c r="M127" s="239"/>
      <c r="N127" s="239"/>
      <c r="O127" s="233"/>
    </row>
    <row r="128" spans="1:16" s="71" customFormat="1" ht="15" customHeight="1">
      <c r="A128" s="362"/>
      <c r="B128" s="254" t="s">
        <v>872</v>
      </c>
      <c r="C128" s="255"/>
      <c r="D128" s="255"/>
      <c r="E128" s="255"/>
      <c r="F128" s="428"/>
      <c r="G128" s="428"/>
      <c r="H128" s="428"/>
      <c r="I128" s="428"/>
      <c r="J128" s="429"/>
      <c r="K128" s="234"/>
      <c r="L128" s="240"/>
      <c r="M128" s="240"/>
      <c r="N128" s="240"/>
      <c r="O128" s="234"/>
    </row>
    <row r="129" spans="1:16" s="80" customFormat="1" ht="30" customHeight="1">
      <c r="A129" s="416" t="s">
        <v>416</v>
      </c>
      <c r="B129" s="416"/>
      <c r="C129" s="416"/>
      <c r="D129" s="416"/>
      <c r="E129" s="416"/>
      <c r="F129" s="416"/>
      <c r="G129" s="416"/>
      <c r="H129" s="416"/>
      <c r="I129" s="416"/>
      <c r="J129" s="416"/>
      <c r="K129" s="416"/>
      <c r="L129" s="416"/>
      <c r="M129" s="416"/>
      <c r="N129" s="416"/>
      <c r="O129" s="416"/>
    </row>
    <row r="130" spans="1:16" s="41" customFormat="1" ht="15">
      <c r="A130" s="300" t="s">
        <v>66</v>
      </c>
      <c r="B130" s="301"/>
      <c r="C130" s="301"/>
      <c r="D130" s="301"/>
      <c r="E130" s="301"/>
      <c r="F130" s="301"/>
      <c r="G130" s="301"/>
      <c r="H130" s="301"/>
      <c r="I130" s="301"/>
      <c r="J130" s="302"/>
      <c r="K130" s="74" t="s">
        <v>65</v>
      </c>
      <c r="L130" s="75" t="s">
        <v>27</v>
      </c>
      <c r="M130" s="75" t="s">
        <v>64</v>
      </c>
      <c r="N130" s="75" t="s">
        <v>63</v>
      </c>
      <c r="O130" s="75" t="s">
        <v>62</v>
      </c>
      <c r="P130" s="40"/>
    </row>
    <row r="131" spans="1:16" s="71" customFormat="1" ht="15" customHeight="1">
      <c r="A131" s="378" t="s">
        <v>418</v>
      </c>
      <c r="B131" s="260" t="s">
        <v>658</v>
      </c>
      <c r="C131" s="187"/>
      <c r="D131" s="187"/>
      <c r="E131" s="187"/>
      <c r="F131" s="426"/>
      <c r="G131" s="426"/>
      <c r="H131" s="426"/>
      <c r="I131" s="426"/>
      <c r="J131" s="427"/>
      <c r="K131" s="246">
        <v>10</v>
      </c>
      <c r="L131" s="238"/>
      <c r="M131" s="238"/>
      <c r="N131" s="318"/>
      <c r="O131" s="232" t="s">
        <v>604</v>
      </c>
    </row>
    <row r="132" spans="1:16" s="71" customFormat="1" ht="15" customHeight="1">
      <c r="A132" s="379"/>
      <c r="B132" s="252" t="s">
        <v>659</v>
      </c>
      <c r="C132" s="172"/>
      <c r="D132" s="172"/>
      <c r="E132" s="172"/>
      <c r="F132" s="449"/>
      <c r="G132" s="449"/>
      <c r="H132" s="449"/>
      <c r="I132" s="449"/>
      <c r="J132" s="450"/>
      <c r="K132" s="380"/>
      <c r="L132" s="239"/>
      <c r="M132" s="239"/>
      <c r="N132" s="286"/>
      <c r="O132" s="233"/>
    </row>
    <row r="133" spans="1:16" s="71" customFormat="1" ht="15" customHeight="1">
      <c r="A133" s="379"/>
      <c r="B133" s="252" t="s">
        <v>660</v>
      </c>
      <c r="C133" s="172"/>
      <c r="D133" s="172"/>
      <c r="E133" s="172"/>
      <c r="F133" s="449"/>
      <c r="G133" s="449"/>
      <c r="H133" s="449"/>
      <c r="I133" s="449"/>
      <c r="J133" s="450"/>
      <c r="K133" s="380"/>
      <c r="L133" s="239"/>
      <c r="M133" s="239"/>
      <c r="N133" s="286"/>
      <c r="O133" s="233"/>
    </row>
    <row r="134" spans="1:16" s="71" customFormat="1" ht="15" customHeight="1">
      <c r="A134" s="423"/>
      <c r="B134" s="254" t="s">
        <v>661</v>
      </c>
      <c r="C134" s="255"/>
      <c r="D134" s="255"/>
      <c r="E134" s="255"/>
      <c r="F134" s="428"/>
      <c r="G134" s="428"/>
      <c r="H134" s="428"/>
      <c r="I134" s="428"/>
      <c r="J134" s="429"/>
      <c r="K134" s="247"/>
      <c r="L134" s="240"/>
      <c r="M134" s="240"/>
      <c r="N134" s="287"/>
      <c r="O134" s="234"/>
    </row>
    <row r="135" spans="1:16" s="71" customFormat="1" ht="15" customHeight="1">
      <c r="A135" s="361" t="s">
        <v>419</v>
      </c>
      <c r="B135" s="252" t="s">
        <v>328</v>
      </c>
      <c r="C135" s="172"/>
      <c r="D135" s="172"/>
      <c r="E135" s="172"/>
      <c r="F135" s="449"/>
      <c r="G135" s="449"/>
      <c r="H135" s="449"/>
      <c r="I135" s="449"/>
      <c r="J135" s="450"/>
      <c r="K135" s="232">
        <v>10</v>
      </c>
      <c r="L135" s="238"/>
      <c r="M135" s="238"/>
      <c r="N135" s="318"/>
      <c r="O135" s="232" t="s">
        <v>604</v>
      </c>
    </row>
    <row r="136" spans="1:16" s="71" customFormat="1" ht="15" customHeight="1">
      <c r="A136" s="362"/>
      <c r="B136" s="254" t="s">
        <v>329</v>
      </c>
      <c r="C136" s="255"/>
      <c r="D136" s="255"/>
      <c r="E136" s="255"/>
      <c r="F136" s="428"/>
      <c r="G136" s="428"/>
      <c r="H136" s="428"/>
      <c r="I136" s="428"/>
      <c r="J136" s="429"/>
      <c r="K136" s="234"/>
      <c r="L136" s="240"/>
      <c r="M136" s="240"/>
      <c r="N136" s="287"/>
      <c r="O136" s="234"/>
    </row>
    <row r="137" spans="1:16" s="71" customFormat="1" ht="15" customHeight="1">
      <c r="A137" s="361" t="s">
        <v>657</v>
      </c>
      <c r="B137" s="260" t="s">
        <v>662</v>
      </c>
      <c r="C137" s="187"/>
      <c r="D137" s="187"/>
      <c r="E137" s="187"/>
      <c r="F137" s="426"/>
      <c r="G137" s="426"/>
      <c r="H137" s="426"/>
      <c r="I137" s="426"/>
      <c r="J137" s="427"/>
      <c r="K137" s="232">
        <v>10</v>
      </c>
      <c r="L137" s="238"/>
      <c r="M137" s="238"/>
      <c r="N137" s="238"/>
      <c r="O137" s="232" t="s">
        <v>604</v>
      </c>
    </row>
    <row r="138" spans="1:16" s="71" customFormat="1" ht="15" customHeight="1">
      <c r="A138" s="375"/>
      <c r="B138" s="252" t="s">
        <v>663</v>
      </c>
      <c r="C138" s="172"/>
      <c r="D138" s="172"/>
      <c r="E138" s="172"/>
      <c r="F138" s="453"/>
      <c r="G138" s="453"/>
      <c r="H138" s="453"/>
      <c r="I138" s="453"/>
      <c r="J138" s="450"/>
      <c r="K138" s="233"/>
      <c r="L138" s="239"/>
      <c r="M138" s="239"/>
      <c r="N138" s="239"/>
      <c r="O138" s="233"/>
    </row>
    <row r="139" spans="1:16" s="71" customFormat="1" ht="15" customHeight="1">
      <c r="A139" s="362"/>
      <c r="B139" s="254" t="s">
        <v>874</v>
      </c>
      <c r="C139" s="255"/>
      <c r="D139" s="255"/>
      <c r="E139" s="255"/>
      <c r="F139" s="428"/>
      <c r="G139" s="428"/>
      <c r="H139" s="428"/>
      <c r="I139" s="428"/>
      <c r="J139" s="429"/>
      <c r="K139" s="234"/>
      <c r="L139" s="240"/>
      <c r="M139" s="240"/>
      <c r="N139" s="240"/>
      <c r="O139" s="234"/>
    </row>
    <row r="140" spans="1:16" s="48" customFormat="1" ht="30" customHeight="1">
      <c r="A140" s="377" t="s">
        <v>613</v>
      </c>
      <c r="B140" s="377"/>
      <c r="C140" s="377"/>
      <c r="D140" s="377"/>
      <c r="E140" s="377"/>
      <c r="F140" s="377"/>
      <c r="G140" s="377"/>
      <c r="H140" s="377"/>
      <c r="I140" s="377"/>
      <c r="J140" s="377"/>
      <c r="K140" s="377"/>
      <c r="L140" s="377"/>
      <c r="M140" s="377"/>
      <c r="N140" s="377"/>
      <c r="O140" s="377"/>
    </row>
    <row r="141" spans="1:16" s="41" customFormat="1" ht="15">
      <c r="A141" s="300" t="s">
        <v>66</v>
      </c>
      <c r="B141" s="301"/>
      <c r="C141" s="301"/>
      <c r="D141" s="301"/>
      <c r="E141" s="301"/>
      <c r="F141" s="301"/>
      <c r="G141" s="301"/>
      <c r="H141" s="301"/>
      <c r="I141" s="301"/>
      <c r="J141" s="302"/>
      <c r="K141" s="74" t="s">
        <v>65</v>
      </c>
      <c r="L141" s="75" t="s">
        <v>27</v>
      </c>
      <c r="M141" s="75" t="s">
        <v>64</v>
      </c>
      <c r="N141" s="75" t="s">
        <v>63</v>
      </c>
      <c r="O141" s="75" t="s">
        <v>62</v>
      </c>
      <c r="P141" s="40"/>
    </row>
    <row r="142" spans="1:16" s="71" customFormat="1" ht="15" customHeight="1">
      <c r="A142" s="361" t="s">
        <v>664</v>
      </c>
      <c r="B142" s="260" t="s">
        <v>875</v>
      </c>
      <c r="C142" s="187"/>
      <c r="D142" s="187"/>
      <c r="E142" s="187"/>
      <c r="F142" s="426"/>
      <c r="G142" s="426"/>
      <c r="H142" s="426"/>
      <c r="I142" s="426"/>
      <c r="J142" s="427"/>
      <c r="K142" s="232">
        <v>10</v>
      </c>
      <c r="L142" s="238"/>
      <c r="M142" s="238"/>
      <c r="N142" s="318"/>
      <c r="O142" s="232" t="s">
        <v>76</v>
      </c>
    </row>
    <row r="143" spans="1:16" s="71" customFormat="1" ht="15" customHeight="1">
      <c r="A143" s="375"/>
      <c r="B143" s="252" t="s">
        <v>795</v>
      </c>
      <c r="C143" s="172"/>
      <c r="D143" s="172"/>
      <c r="E143" s="172"/>
      <c r="F143" s="453"/>
      <c r="G143" s="453"/>
      <c r="H143" s="453"/>
      <c r="I143" s="453"/>
      <c r="J143" s="450"/>
      <c r="K143" s="233"/>
      <c r="L143" s="239"/>
      <c r="M143" s="239"/>
      <c r="N143" s="286"/>
      <c r="O143" s="233"/>
    </row>
    <row r="144" spans="1:16" s="71" customFormat="1" ht="15" customHeight="1">
      <c r="A144" s="375"/>
      <c r="B144" s="252" t="s">
        <v>876</v>
      </c>
      <c r="C144" s="172"/>
      <c r="D144" s="172"/>
      <c r="E144" s="172"/>
      <c r="F144" s="172"/>
      <c r="G144" s="172"/>
      <c r="H144" s="172"/>
      <c r="I144" s="172"/>
      <c r="J144" s="253"/>
      <c r="K144" s="233"/>
      <c r="L144" s="239"/>
      <c r="M144" s="239"/>
      <c r="N144" s="286"/>
      <c r="O144" s="233"/>
    </row>
    <row r="145" spans="1:20" s="71" customFormat="1" ht="15" customHeight="1">
      <c r="A145" s="362"/>
      <c r="B145" s="254" t="s">
        <v>797</v>
      </c>
      <c r="C145" s="255"/>
      <c r="D145" s="255"/>
      <c r="E145" s="255"/>
      <c r="F145" s="428"/>
      <c r="G145" s="428"/>
      <c r="H145" s="428"/>
      <c r="I145" s="428"/>
      <c r="J145" s="429"/>
      <c r="K145" s="234"/>
      <c r="L145" s="240"/>
      <c r="M145" s="240"/>
      <c r="N145" s="287"/>
      <c r="O145" s="234"/>
    </row>
    <row r="146" spans="1:20" s="59" customFormat="1" ht="6" customHeight="1">
      <c r="A146" s="265"/>
      <c r="B146" s="265"/>
      <c r="C146" s="265"/>
      <c r="D146" s="265"/>
      <c r="E146" s="265"/>
      <c r="F146" s="265"/>
      <c r="G146" s="265"/>
      <c r="H146" s="265"/>
      <c r="I146" s="265"/>
      <c r="J146" s="265"/>
      <c r="K146" s="265"/>
      <c r="L146" s="265"/>
      <c r="M146" s="265"/>
      <c r="N146" s="265"/>
      <c r="O146" s="265"/>
      <c r="P146" s="66"/>
    </row>
    <row r="147" spans="1:20" s="59" customFormat="1" ht="15" customHeight="1">
      <c r="A147" s="263" t="s">
        <v>112</v>
      </c>
      <c r="B147" s="264"/>
      <c r="C147" s="264"/>
      <c r="D147" s="84"/>
      <c r="E147" s="266"/>
      <c r="F147" s="266"/>
      <c r="G147" s="266"/>
      <c r="H147" s="266"/>
      <c r="I147" s="266"/>
      <c r="J147" s="266"/>
      <c r="K147" s="266"/>
      <c r="L147" s="266"/>
      <c r="M147" s="266"/>
      <c r="N147" s="266"/>
      <c r="O147" s="267"/>
      <c r="P147" s="66"/>
    </row>
    <row r="148" spans="1:20" s="59" customFormat="1" ht="27" customHeight="1">
      <c r="A148" s="227"/>
      <c r="B148" s="227"/>
      <c r="C148" s="227"/>
      <c r="D148" s="227"/>
      <c r="E148" s="227"/>
      <c r="F148" s="227"/>
      <c r="G148" s="227"/>
      <c r="H148" s="227"/>
      <c r="I148" s="227"/>
      <c r="J148" s="227"/>
      <c r="K148" s="227"/>
      <c r="L148" s="227"/>
      <c r="M148" s="227"/>
      <c r="N148" s="227"/>
      <c r="O148" s="227"/>
      <c r="P148" s="66"/>
    </row>
    <row r="149" spans="1:20" s="59" customFormat="1" ht="27" customHeight="1">
      <c r="A149" s="227"/>
      <c r="B149" s="227"/>
      <c r="C149" s="227"/>
      <c r="D149" s="227"/>
      <c r="E149" s="227"/>
      <c r="F149" s="227"/>
      <c r="G149" s="227"/>
      <c r="H149" s="227"/>
      <c r="I149" s="227"/>
      <c r="J149" s="227"/>
      <c r="K149" s="227"/>
      <c r="L149" s="227"/>
      <c r="M149" s="227"/>
      <c r="N149" s="227"/>
      <c r="O149" s="227"/>
      <c r="P149" s="66"/>
    </row>
    <row r="150" spans="1:20" s="59" customFormat="1" ht="27" customHeight="1">
      <c r="A150" s="227"/>
      <c r="B150" s="227"/>
      <c r="C150" s="227"/>
      <c r="D150" s="227"/>
      <c r="E150" s="227"/>
      <c r="F150" s="227"/>
      <c r="G150" s="227"/>
      <c r="H150" s="227"/>
      <c r="I150" s="227"/>
      <c r="J150" s="227"/>
      <c r="K150" s="227"/>
      <c r="L150" s="227"/>
      <c r="M150" s="227"/>
      <c r="N150" s="227"/>
      <c r="O150" s="227"/>
      <c r="P150" s="66"/>
    </row>
    <row r="151" spans="1:20" s="59" customFormat="1" ht="27" customHeight="1">
      <c r="A151" s="227"/>
      <c r="B151" s="227"/>
      <c r="C151" s="227"/>
      <c r="D151" s="227"/>
      <c r="E151" s="227"/>
      <c r="F151" s="227"/>
      <c r="G151" s="227"/>
      <c r="H151" s="227"/>
      <c r="I151" s="227"/>
      <c r="J151" s="227"/>
      <c r="K151" s="227"/>
      <c r="L151" s="227"/>
      <c r="M151" s="227"/>
      <c r="N151" s="227"/>
      <c r="O151" s="227"/>
      <c r="P151" s="66"/>
    </row>
    <row r="152" spans="1:20" s="59" customFormat="1" ht="27" customHeight="1">
      <c r="A152" s="227"/>
      <c r="B152" s="227"/>
      <c r="C152" s="227"/>
      <c r="D152" s="227"/>
      <c r="E152" s="227"/>
      <c r="F152" s="227"/>
      <c r="G152" s="227"/>
      <c r="H152" s="227"/>
      <c r="I152" s="227"/>
      <c r="J152" s="227"/>
      <c r="K152" s="227"/>
      <c r="L152" s="227"/>
      <c r="M152" s="227"/>
      <c r="N152" s="227"/>
      <c r="O152" s="227"/>
      <c r="P152" s="66"/>
    </row>
    <row r="153" spans="1:20" s="59" customFormat="1" ht="27" customHeight="1">
      <c r="A153" s="227"/>
      <c r="B153" s="227"/>
      <c r="C153" s="227"/>
      <c r="D153" s="227"/>
      <c r="E153" s="227"/>
      <c r="F153" s="227"/>
      <c r="G153" s="227"/>
      <c r="H153" s="227"/>
      <c r="I153" s="227"/>
      <c r="J153" s="227"/>
      <c r="K153" s="227"/>
      <c r="L153" s="227"/>
      <c r="M153" s="227"/>
      <c r="N153" s="227"/>
      <c r="O153" s="227"/>
      <c r="Q153" s="34"/>
      <c r="R153" s="62"/>
      <c r="S153" s="62"/>
      <c r="T153" s="62"/>
    </row>
    <row r="154" spans="1:20" s="59" customFormat="1" ht="27" customHeight="1">
      <c r="A154" s="227"/>
      <c r="B154" s="227"/>
      <c r="C154" s="227"/>
      <c r="D154" s="227"/>
      <c r="E154" s="227"/>
      <c r="F154" s="227"/>
      <c r="G154" s="227"/>
      <c r="H154" s="227"/>
      <c r="I154" s="227"/>
      <c r="J154" s="227"/>
      <c r="K154" s="227"/>
      <c r="L154" s="227"/>
      <c r="M154" s="227"/>
      <c r="N154" s="227"/>
      <c r="O154" s="227"/>
      <c r="P154" s="66"/>
    </row>
    <row r="155" spans="1:20" s="59" customFormat="1" ht="27" customHeight="1">
      <c r="A155" s="227"/>
      <c r="B155" s="227"/>
      <c r="C155" s="227"/>
      <c r="D155" s="227"/>
      <c r="E155" s="227"/>
      <c r="F155" s="227"/>
      <c r="G155" s="227"/>
      <c r="H155" s="227"/>
      <c r="I155" s="227"/>
      <c r="J155" s="227"/>
      <c r="K155" s="227"/>
      <c r="L155" s="227"/>
      <c r="M155" s="227"/>
      <c r="N155" s="227"/>
      <c r="O155" s="227"/>
      <c r="P155" s="66"/>
    </row>
    <row r="156" spans="1:20" s="59" customFormat="1" ht="27" customHeight="1">
      <c r="A156" s="227"/>
      <c r="B156" s="227"/>
      <c r="C156" s="227"/>
      <c r="D156" s="227"/>
      <c r="E156" s="227"/>
      <c r="F156" s="227"/>
      <c r="G156" s="227"/>
      <c r="H156" s="227"/>
      <c r="I156" s="227"/>
      <c r="J156" s="227"/>
      <c r="K156" s="227"/>
      <c r="L156" s="227"/>
      <c r="M156" s="227"/>
      <c r="N156" s="227"/>
      <c r="O156" s="227"/>
      <c r="P156" s="66"/>
    </row>
    <row r="157" spans="1:20" s="59" customFormat="1" ht="27" customHeight="1">
      <c r="A157" s="227"/>
      <c r="B157" s="227"/>
      <c r="C157" s="227"/>
      <c r="D157" s="227"/>
      <c r="E157" s="227"/>
      <c r="F157" s="227"/>
      <c r="G157" s="227"/>
      <c r="H157" s="227"/>
      <c r="I157" s="227"/>
      <c r="J157" s="227"/>
      <c r="K157" s="227"/>
      <c r="L157" s="227"/>
      <c r="M157" s="227"/>
      <c r="N157" s="227"/>
      <c r="O157" s="227"/>
      <c r="P157" s="66"/>
    </row>
    <row r="158" spans="1:20" s="59" customFormat="1" ht="27" customHeight="1">
      <c r="A158" s="227"/>
      <c r="B158" s="227"/>
      <c r="C158" s="227"/>
      <c r="D158" s="227"/>
      <c r="E158" s="227"/>
      <c r="F158" s="227"/>
      <c r="G158" s="227"/>
      <c r="H158" s="227"/>
      <c r="I158" s="227"/>
      <c r="J158" s="227"/>
      <c r="K158" s="227"/>
      <c r="L158" s="227"/>
      <c r="M158" s="227"/>
      <c r="N158" s="227"/>
      <c r="O158" s="227"/>
      <c r="Q158" s="34"/>
      <c r="R158" s="62"/>
      <c r="S158" s="62"/>
      <c r="T158" s="62"/>
    </row>
    <row r="159" spans="1:20" s="59" customFormat="1" ht="27" customHeight="1">
      <c r="A159" s="231"/>
      <c r="B159" s="231"/>
      <c r="C159" s="231"/>
      <c r="D159" s="231"/>
      <c r="E159" s="231"/>
      <c r="F159" s="231"/>
      <c r="G159" s="231"/>
      <c r="H159" s="231"/>
      <c r="I159" s="231"/>
      <c r="J159" s="231"/>
      <c r="K159" s="231"/>
      <c r="L159" s="231"/>
      <c r="M159" s="231"/>
      <c r="N159" s="231"/>
      <c r="O159" s="231"/>
      <c r="P159" s="66"/>
    </row>
    <row r="160" spans="1:20" s="59" customFormat="1" ht="27" customHeight="1">
      <c r="A160" s="231"/>
      <c r="B160" s="231"/>
      <c r="C160" s="231"/>
      <c r="D160" s="231"/>
      <c r="E160" s="231"/>
      <c r="F160" s="231"/>
      <c r="G160" s="231"/>
      <c r="H160" s="231"/>
      <c r="I160" s="231"/>
      <c r="J160" s="231"/>
      <c r="K160" s="231"/>
      <c r="L160" s="231"/>
      <c r="M160" s="231"/>
      <c r="N160" s="231"/>
      <c r="O160" s="231"/>
      <c r="Q160" s="34"/>
      <c r="R160" s="62"/>
      <c r="S160" s="62"/>
      <c r="T160" s="62"/>
    </row>
    <row r="161" spans="1:20" s="59" customFormat="1" ht="27" customHeight="1">
      <c r="A161" s="231"/>
      <c r="B161" s="231"/>
      <c r="C161" s="231"/>
      <c r="D161" s="231"/>
      <c r="E161" s="231"/>
      <c r="F161" s="231"/>
      <c r="G161" s="231"/>
      <c r="H161" s="231"/>
      <c r="I161" s="231"/>
      <c r="J161" s="231"/>
      <c r="K161" s="231"/>
      <c r="L161" s="231"/>
      <c r="M161" s="231"/>
      <c r="N161" s="231"/>
      <c r="O161" s="231"/>
      <c r="P161" s="66"/>
    </row>
    <row r="162" spans="1:20" s="59" customFormat="1" ht="27" customHeight="1">
      <c r="A162" s="231"/>
      <c r="B162" s="231"/>
      <c r="C162" s="231"/>
      <c r="D162" s="231"/>
      <c r="E162" s="231"/>
      <c r="F162" s="231"/>
      <c r="G162" s="231"/>
      <c r="H162" s="231"/>
      <c r="I162" s="231"/>
      <c r="J162" s="231"/>
      <c r="K162" s="231"/>
      <c r="L162" s="231"/>
      <c r="M162" s="231"/>
      <c r="N162" s="231"/>
      <c r="O162" s="231"/>
      <c r="Q162" s="34"/>
      <c r="R162" s="62"/>
      <c r="S162" s="62"/>
      <c r="T162" s="62"/>
    </row>
    <row r="163" spans="1:20" s="59" customFormat="1" ht="27" customHeight="1">
      <c r="A163" s="231"/>
      <c r="B163" s="231"/>
      <c r="C163" s="231"/>
      <c r="D163" s="231"/>
      <c r="E163" s="231"/>
      <c r="F163" s="231"/>
      <c r="G163" s="231"/>
      <c r="H163" s="231"/>
      <c r="I163" s="231"/>
      <c r="J163" s="231"/>
      <c r="K163" s="231"/>
      <c r="L163" s="231"/>
      <c r="M163" s="231"/>
      <c r="N163" s="231"/>
      <c r="O163" s="231"/>
      <c r="Q163" s="34"/>
      <c r="R163" s="62"/>
      <c r="S163" s="62"/>
      <c r="T163" s="62"/>
    </row>
    <row r="164" spans="1:20" s="59" customFormat="1" ht="27" customHeight="1">
      <c r="A164" s="231"/>
      <c r="B164" s="231"/>
      <c r="C164" s="231"/>
      <c r="D164" s="231"/>
      <c r="E164" s="231"/>
      <c r="F164" s="231"/>
      <c r="G164" s="231"/>
      <c r="H164" s="231"/>
      <c r="I164" s="231"/>
      <c r="J164" s="231"/>
      <c r="K164" s="231"/>
      <c r="L164" s="231"/>
      <c r="M164" s="231"/>
      <c r="N164" s="231"/>
      <c r="O164" s="231"/>
      <c r="P164" s="66"/>
    </row>
    <row r="165" spans="1:20" s="59" customFormat="1" ht="27" customHeight="1">
      <c r="A165" s="231"/>
      <c r="B165" s="231"/>
      <c r="C165" s="231"/>
      <c r="D165" s="231"/>
      <c r="E165" s="231"/>
      <c r="F165" s="231"/>
      <c r="G165" s="231"/>
      <c r="H165" s="231"/>
      <c r="I165" s="231"/>
      <c r="J165" s="231"/>
      <c r="K165" s="231"/>
      <c r="L165" s="231"/>
      <c r="M165" s="231"/>
      <c r="N165" s="231"/>
      <c r="O165" s="231"/>
      <c r="Q165" s="34"/>
      <c r="R165" s="62"/>
      <c r="S165" s="62"/>
      <c r="T165" s="62"/>
    </row>
    <row r="166" spans="1:20" s="59" customFormat="1" ht="27" customHeight="1">
      <c r="A166" s="231"/>
      <c r="B166" s="231"/>
      <c r="C166" s="231"/>
      <c r="D166" s="231"/>
      <c r="E166" s="231"/>
      <c r="F166" s="231"/>
      <c r="G166" s="231"/>
      <c r="H166" s="231"/>
      <c r="I166" s="231"/>
      <c r="J166" s="231"/>
      <c r="K166" s="231"/>
      <c r="L166" s="231"/>
      <c r="M166" s="231"/>
      <c r="N166" s="231"/>
      <c r="O166" s="231"/>
      <c r="Q166" s="34"/>
      <c r="R166" s="62"/>
      <c r="S166" s="62"/>
      <c r="T166" s="62"/>
    </row>
    <row r="167" spans="1:20" s="59" customFormat="1" ht="27" customHeight="1">
      <c r="A167" s="231"/>
      <c r="B167" s="231"/>
      <c r="C167" s="231"/>
      <c r="D167" s="231"/>
      <c r="E167" s="231"/>
      <c r="F167" s="231"/>
      <c r="G167" s="231"/>
      <c r="H167" s="231"/>
      <c r="I167" s="231"/>
      <c r="J167" s="231"/>
      <c r="K167" s="231"/>
      <c r="L167" s="231"/>
      <c r="M167" s="231"/>
      <c r="N167" s="231"/>
      <c r="O167" s="231"/>
      <c r="P167" s="66"/>
    </row>
    <row r="168" spans="1:20" s="59" customFormat="1" ht="27" customHeight="1">
      <c r="A168" s="231"/>
      <c r="B168" s="231"/>
      <c r="C168" s="231"/>
      <c r="D168" s="231"/>
      <c r="E168" s="231"/>
      <c r="F168" s="231"/>
      <c r="G168" s="231"/>
      <c r="H168" s="231"/>
      <c r="I168" s="231"/>
      <c r="J168" s="231"/>
      <c r="K168" s="231"/>
      <c r="L168" s="231"/>
      <c r="M168" s="231"/>
      <c r="N168" s="231"/>
      <c r="O168" s="231"/>
      <c r="Q168" s="34"/>
      <c r="R168" s="62"/>
      <c r="S168" s="62"/>
      <c r="T168" s="62"/>
    </row>
    <row r="169" spans="1:20" s="59" customFormat="1" ht="27" customHeight="1">
      <c r="A169" s="231"/>
      <c r="B169" s="231"/>
      <c r="C169" s="231"/>
      <c r="D169" s="231"/>
      <c r="E169" s="231"/>
      <c r="F169" s="231"/>
      <c r="G169" s="231"/>
      <c r="H169" s="231"/>
      <c r="I169" s="231"/>
      <c r="J169" s="231"/>
      <c r="K169" s="231"/>
      <c r="L169" s="231"/>
      <c r="M169" s="231"/>
      <c r="N169" s="231"/>
      <c r="O169" s="231"/>
      <c r="Q169" s="34"/>
      <c r="R169" s="62"/>
      <c r="S169" s="62"/>
      <c r="T169" s="62"/>
    </row>
    <row r="170" spans="1:20" s="59" customFormat="1" ht="27" customHeight="1">
      <c r="A170" s="231"/>
      <c r="B170" s="231"/>
      <c r="C170" s="231"/>
      <c r="D170" s="231"/>
      <c r="E170" s="231"/>
      <c r="F170" s="231"/>
      <c r="G170" s="231"/>
      <c r="H170" s="231"/>
      <c r="I170" s="231"/>
      <c r="J170" s="231"/>
      <c r="K170" s="231"/>
      <c r="L170" s="231"/>
      <c r="M170" s="231"/>
      <c r="N170" s="231"/>
      <c r="O170" s="231"/>
      <c r="P170" s="66"/>
    </row>
    <row r="171" spans="1:20" s="59" customFormat="1" ht="27" customHeight="1">
      <c r="A171" s="231"/>
      <c r="B171" s="231"/>
      <c r="C171" s="231"/>
      <c r="D171" s="231"/>
      <c r="E171" s="231"/>
      <c r="F171" s="231"/>
      <c r="G171" s="231"/>
      <c r="H171" s="231"/>
      <c r="I171" s="231"/>
      <c r="J171" s="231"/>
      <c r="K171" s="231"/>
      <c r="L171" s="231"/>
      <c r="M171" s="231"/>
      <c r="N171" s="231"/>
      <c r="O171" s="231"/>
      <c r="Q171" s="34"/>
      <c r="R171" s="62"/>
      <c r="S171" s="62"/>
      <c r="T171" s="62"/>
    </row>
    <row r="172" spans="1:20" s="59" customFormat="1" ht="27" customHeight="1">
      <c r="A172" s="231"/>
      <c r="B172" s="231"/>
      <c r="C172" s="231"/>
      <c r="D172" s="231"/>
      <c r="E172" s="231"/>
      <c r="F172" s="231"/>
      <c r="G172" s="231"/>
      <c r="H172" s="231"/>
      <c r="I172" s="231"/>
      <c r="J172" s="231"/>
      <c r="K172" s="231"/>
      <c r="L172" s="231"/>
      <c r="M172" s="231"/>
      <c r="N172" s="231"/>
      <c r="O172" s="231"/>
      <c r="Q172" s="34"/>
      <c r="R172" s="62"/>
      <c r="S172" s="62"/>
      <c r="T172" s="62"/>
    </row>
    <row r="173" spans="1:20" s="59" customFormat="1">
      <c r="A173" s="167"/>
      <c r="B173" s="167"/>
      <c r="C173" s="167"/>
      <c r="D173" s="167"/>
      <c r="E173" s="167"/>
      <c r="F173" s="167"/>
      <c r="G173" s="167"/>
      <c r="H173" s="167"/>
      <c r="I173" s="167"/>
      <c r="J173" s="167"/>
      <c r="K173" s="167"/>
      <c r="L173" s="167"/>
      <c r="M173" s="167"/>
      <c r="N173" s="167"/>
      <c r="O173" s="167"/>
    </row>
    <row r="174" spans="1:20" s="59" customFormat="1" ht="27" customHeight="1" thickBot="1">
      <c r="A174" s="501" t="s">
        <v>912</v>
      </c>
      <c r="B174" s="501"/>
      <c r="C174" s="501"/>
      <c r="D174" s="501"/>
      <c r="E174" s="501"/>
      <c r="F174" s="501"/>
      <c r="G174" s="501"/>
      <c r="H174" s="501"/>
      <c r="I174" s="501"/>
      <c r="J174" s="113">
        <f>L4+L7+L11+L14+L16+L22+L24+L26+L28+L30+L32+L34+L35+L39+L44+L46+L48+L50+L52+L56+L57+L58+L60+L64+L69+L71+L73+L75+L85+L88+L91+L93+L95+L98+L102+L105+L107+L110+L112+L114+L119+L122+L126+L131+L135+L137+L142</f>
        <v>0</v>
      </c>
      <c r="K174" s="151"/>
      <c r="L174" s="151"/>
      <c r="M174" s="151"/>
      <c r="N174" s="151"/>
      <c r="O174" s="151"/>
    </row>
    <row r="175" spans="1:20" s="59" customFormat="1" ht="27" customHeight="1" thickBot="1">
      <c r="A175" s="224" t="s">
        <v>707</v>
      </c>
      <c r="B175" s="224"/>
      <c r="C175" s="224"/>
      <c r="D175" s="116" t="s">
        <v>704</v>
      </c>
      <c r="E175" s="113">
        <v>410</v>
      </c>
      <c r="F175" s="103"/>
      <c r="G175" s="230" t="s">
        <v>708</v>
      </c>
      <c r="H175" s="230"/>
      <c r="I175" s="277"/>
      <c r="J175" s="277"/>
      <c r="K175" s="277"/>
      <c r="L175" s="277"/>
      <c r="M175" s="277"/>
      <c r="N175" s="277"/>
      <c r="O175" s="277"/>
    </row>
    <row r="176" spans="1:20" s="59" customFormat="1" ht="27" customHeight="1" thickBot="1">
      <c r="A176" s="174" t="s">
        <v>705</v>
      </c>
      <c r="B176" s="174"/>
      <c r="C176" s="174"/>
      <c r="D176" s="116" t="s">
        <v>704</v>
      </c>
      <c r="E176" s="114">
        <f>N11+N14+N16+N24+N26+N28+N30+N32+N34+N35+N46+N52+N57+N73+N88+N91+N93+N95+N98+N102+N105+N107+N114+N122+N126+N137+N85+N110+N112</f>
        <v>0</v>
      </c>
      <c r="F176" s="103"/>
      <c r="G176" s="230" t="s">
        <v>712</v>
      </c>
      <c r="H176" s="230"/>
      <c r="I176" s="230"/>
      <c r="J176" s="230"/>
      <c r="K176" s="230"/>
      <c r="L176" s="230"/>
      <c r="M176" s="230"/>
      <c r="N176" s="230"/>
      <c r="O176" s="230"/>
    </row>
    <row r="177" spans="1:15" s="59" customFormat="1" ht="27" customHeight="1" thickBot="1">
      <c r="A177" s="174" t="s">
        <v>709</v>
      </c>
      <c r="B177" s="174"/>
      <c r="C177" s="174"/>
      <c r="D177" s="116" t="s">
        <v>704</v>
      </c>
      <c r="E177" s="114">
        <f>E175-E176</f>
        <v>410</v>
      </c>
      <c r="F177" s="103"/>
      <c r="G177" s="230" t="s">
        <v>713</v>
      </c>
      <c r="H177" s="230"/>
      <c r="I177" s="230"/>
      <c r="J177" s="230"/>
      <c r="K177" s="230"/>
      <c r="L177" s="230"/>
      <c r="M177" s="230"/>
      <c r="N177" s="230"/>
      <c r="O177" s="230"/>
    </row>
    <row r="178" spans="1:15" s="59" customFormat="1" ht="36" customHeight="1">
      <c r="A178" s="278" t="s">
        <v>710</v>
      </c>
      <c r="B178" s="278"/>
      <c r="C178" s="278"/>
      <c r="D178" s="151"/>
      <c r="E178" s="151"/>
      <c r="F178" s="151"/>
      <c r="G178" s="229" t="s">
        <v>714</v>
      </c>
      <c r="H178" s="229"/>
      <c r="I178" s="229"/>
      <c r="J178" s="229"/>
      <c r="K178" s="229"/>
      <c r="L178" s="229"/>
      <c r="M178" s="229"/>
      <c r="N178" s="229"/>
      <c r="O178" s="229"/>
    </row>
    <row r="179" spans="1:15" s="59" customFormat="1" ht="27" customHeight="1" thickBot="1">
      <c r="A179" s="174" t="s">
        <v>711</v>
      </c>
      <c r="B179" s="174"/>
      <c r="C179" s="174"/>
      <c r="D179" s="116" t="s">
        <v>704</v>
      </c>
      <c r="E179" s="113">
        <f>E177*0.8</f>
        <v>328</v>
      </c>
      <c r="F179" s="103"/>
      <c r="G179" s="230"/>
      <c r="H179" s="230"/>
      <c r="I179" s="230"/>
      <c r="J179" s="230"/>
      <c r="K179" s="230"/>
      <c r="L179" s="230"/>
      <c r="M179" s="230"/>
      <c r="N179" s="230"/>
      <c r="O179" s="230"/>
    </row>
    <row r="180" spans="1:15" s="59" customFormat="1" ht="15" customHeight="1">
      <c r="A180" s="167"/>
      <c r="B180" s="167"/>
      <c r="C180" s="167"/>
      <c r="D180" s="167"/>
      <c r="E180" s="167"/>
      <c r="F180" s="167"/>
      <c r="G180" s="167"/>
      <c r="H180" s="167"/>
      <c r="I180" s="167"/>
      <c r="J180" s="167"/>
      <c r="K180" s="167"/>
      <c r="L180" s="167"/>
      <c r="M180" s="167"/>
      <c r="N180" s="167"/>
      <c r="O180" s="167"/>
    </row>
    <row r="181" spans="1:15" s="59" customFormat="1" ht="18" customHeight="1">
      <c r="A181" s="167"/>
      <c r="B181" s="167"/>
      <c r="C181" s="154"/>
      <c r="D181" s="88"/>
      <c r="E181" s="70" t="s">
        <v>575</v>
      </c>
      <c r="F181" s="225"/>
      <c r="G181" s="226"/>
      <c r="H181" s="88"/>
      <c r="I181" s="174" t="s">
        <v>574</v>
      </c>
      <c r="J181" s="262"/>
      <c r="K181" s="224" t="s">
        <v>715</v>
      </c>
      <c r="L181" s="224"/>
      <c r="M181" s="224"/>
      <c r="N181" s="224"/>
      <c r="O181" s="224"/>
    </row>
    <row r="182" spans="1:15" s="59" customFormat="1">
      <c r="A182" s="180"/>
      <c r="B182" s="180"/>
      <c r="C182" s="180"/>
      <c r="D182" s="180"/>
      <c r="E182" s="180"/>
      <c r="F182" s="180"/>
      <c r="G182" s="180"/>
      <c r="H182" s="180"/>
      <c r="I182" s="180"/>
      <c r="J182" s="180"/>
      <c r="K182" s="180"/>
      <c r="L182" s="180"/>
      <c r="M182" s="180"/>
      <c r="N182" s="180"/>
      <c r="O182" s="180"/>
    </row>
    <row r="183" spans="1:15" s="59" customFormat="1">
      <c r="A183" s="417" t="s">
        <v>740</v>
      </c>
      <c r="B183" s="265"/>
      <c r="C183" s="265"/>
      <c r="D183" s="265"/>
      <c r="E183" s="265"/>
      <c r="F183" s="265"/>
      <c r="G183" s="265"/>
      <c r="H183" s="265"/>
      <c r="I183" s="265"/>
      <c r="J183" s="265"/>
      <c r="K183" s="265"/>
      <c r="L183" s="265"/>
      <c r="M183" s="265"/>
      <c r="N183" s="265"/>
      <c r="O183" s="418"/>
    </row>
    <row r="184" spans="1:15" s="59" customFormat="1">
      <c r="A184" s="397" t="s">
        <v>741</v>
      </c>
      <c r="B184" s="398"/>
      <c r="C184" s="398"/>
      <c r="D184" s="398"/>
      <c r="E184" s="398"/>
      <c r="F184" s="398"/>
      <c r="G184" s="398"/>
      <c r="H184" s="398"/>
      <c r="I184" s="398"/>
      <c r="J184" s="398"/>
      <c r="K184" s="398"/>
      <c r="L184" s="398"/>
      <c r="M184" s="398"/>
      <c r="N184" s="398"/>
      <c r="O184" s="399"/>
    </row>
    <row r="185" spans="1:15" s="59" customFormat="1">
      <c r="A185" s="397" t="s">
        <v>742</v>
      </c>
      <c r="B185" s="398"/>
      <c r="C185" s="398"/>
      <c r="D185" s="398"/>
      <c r="E185" s="398"/>
      <c r="F185" s="398"/>
      <c r="G185" s="398"/>
      <c r="H185" s="398"/>
      <c r="I185" s="398"/>
      <c r="J185" s="398"/>
      <c r="K185" s="398"/>
      <c r="L185" s="398"/>
      <c r="M185" s="398"/>
      <c r="N185" s="398"/>
      <c r="O185" s="399"/>
    </row>
    <row r="186" spans="1:15" s="59" customFormat="1">
      <c r="A186" s="400" t="s">
        <v>916</v>
      </c>
      <c r="B186" s="401"/>
      <c r="C186" s="401"/>
      <c r="D186" s="401"/>
      <c r="E186" s="401"/>
      <c r="F186" s="401"/>
      <c r="G186" s="401"/>
      <c r="H186" s="401"/>
      <c r="I186" s="401"/>
      <c r="J186" s="401"/>
      <c r="K186" s="401"/>
      <c r="L186" s="401"/>
      <c r="M186" s="401"/>
      <c r="N186" s="401"/>
      <c r="O186" s="402"/>
    </row>
    <row r="187" spans="1:15" ht="12.75" customHeight="1"/>
    <row r="189" spans="1:15">
      <c r="A189" s="9"/>
      <c r="B189" s="9"/>
      <c r="C189" s="58"/>
      <c r="D189" s="58"/>
      <c r="E189" s="58"/>
      <c r="F189" s="9"/>
      <c r="G189" s="9"/>
      <c r="H189" s="9"/>
      <c r="I189" s="9"/>
      <c r="J189" s="9"/>
      <c r="K189" s="9"/>
      <c r="L189" s="9"/>
      <c r="M189" s="9"/>
      <c r="N189" s="9"/>
      <c r="O189" s="9"/>
    </row>
  </sheetData>
  <sheetProtection password="D6D7" sheet="1" objects="1" scenarios="1" formatCells="0" formatColumns="0" formatRows="0"/>
  <mergeCells count="464">
    <mergeCell ref="A182:O182"/>
    <mergeCell ref="A183:O183"/>
    <mergeCell ref="A184:O184"/>
    <mergeCell ref="A185:O185"/>
    <mergeCell ref="A186:O186"/>
    <mergeCell ref="A177:C177"/>
    <mergeCell ref="G177:O177"/>
    <mergeCell ref="A178:C178"/>
    <mergeCell ref="D178:F178"/>
    <mergeCell ref="G178:O178"/>
    <mergeCell ref="A179:C179"/>
    <mergeCell ref="G179:O179"/>
    <mergeCell ref="A181:C181"/>
    <mergeCell ref="F181:G181"/>
    <mergeCell ref="I181:J181"/>
    <mergeCell ref="K181:O181"/>
    <mergeCell ref="A171:O171"/>
    <mergeCell ref="A172:O172"/>
    <mergeCell ref="A173:O173"/>
    <mergeCell ref="A174:I174"/>
    <mergeCell ref="K174:O174"/>
    <mergeCell ref="A175:C175"/>
    <mergeCell ref="G175:O175"/>
    <mergeCell ref="A176:C176"/>
    <mergeCell ref="G176:O176"/>
    <mergeCell ref="A162:O162"/>
    <mergeCell ref="A163:O163"/>
    <mergeCell ref="A164:O164"/>
    <mergeCell ref="A165:O165"/>
    <mergeCell ref="A166:O166"/>
    <mergeCell ref="A167:O167"/>
    <mergeCell ref="A168:O168"/>
    <mergeCell ref="A169:O169"/>
    <mergeCell ref="A170:O170"/>
    <mergeCell ref="A130:J130"/>
    <mergeCell ref="B144:J144"/>
    <mergeCell ref="A141:J141"/>
    <mergeCell ref="A146:O146"/>
    <mergeCell ref="A147:C147"/>
    <mergeCell ref="E147:O147"/>
    <mergeCell ref="O126:O128"/>
    <mergeCell ref="B121:J121"/>
    <mergeCell ref="B120:J120"/>
    <mergeCell ref="B124:J124"/>
    <mergeCell ref="B122:J122"/>
    <mergeCell ref="B128:J128"/>
    <mergeCell ref="B127:J127"/>
    <mergeCell ref="B126:J126"/>
    <mergeCell ref="O119:O121"/>
    <mergeCell ref="K126:K128"/>
    <mergeCell ref="L119:L121"/>
    <mergeCell ref="L126:L128"/>
    <mergeCell ref="M126:M128"/>
    <mergeCell ref="N126:N128"/>
    <mergeCell ref="O122:O124"/>
    <mergeCell ref="A129:O129"/>
    <mergeCell ref="M119:M121"/>
    <mergeCell ref="N119:N121"/>
    <mergeCell ref="M48:M49"/>
    <mergeCell ref="N48:N49"/>
    <mergeCell ref="O48:O49"/>
    <mergeCell ref="A43:J43"/>
    <mergeCell ref="A68:J68"/>
    <mergeCell ref="A79:O79"/>
    <mergeCell ref="A80:C80"/>
    <mergeCell ref="F80:G80"/>
    <mergeCell ref="I80:J80"/>
    <mergeCell ref="K80:O80"/>
    <mergeCell ref="B60:J60"/>
    <mergeCell ref="K60:K63"/>
    <mergeCell ref="L60:L63"/>
    <mergeCell ref="M60:M63"/>
    <mergeCell ref="N60:N63"/>
    <mergeCell ref="O60:O63"/>
    <mergeCell ref="B61:J61"/>
    <mergeCell ref="B62:J62"/>
    <mergeCell ref="A78:O78"/>
    <mergeCell ref="A75:A77"/>
    <mergeCell ref="K69:K70"/>
    <mergeCell ref="K71:K72"/>
    <mergeCell ref="K73:K74"/>
    <mergeCell ref="K75:K77"/>
    <mergeCell ref="A3:J3"/>
    <mergeCell ref="A21:J21"/>
    <mergeCell ref="B18:J18"/>
    <mergeCell ref="B37:J37"/>
    <mergeCell ref="B41:J41"/>
    <mergeCell ref="K44:K45"/>
    <mergeCell ref="L44:L45"/>
    <mergeCell ref="B47:J47"/>
    <mergeCell ref="B48:J48"/>
    <mergeCell ref="K46:K47"/>
    <mergeCell ref="A48:A49"/>
    <mergeCell ref="K48:K49"/>
    <mergeCell ref="L48:L49"/>
    <mergeCell ref="K39:K42"/>
    <mergeCell ref="B38:J38"/>
    <mergeCell ref="B36:J36"/>
    <mergeCell ref="B33:J33"/>
    <mergeCell ref="B32:J32"/>
    <mergeCell ref="K32:K33"/>
    <mergeCell ref="K35:K38"/>
    <mergeCell ref="B35:J35"/>
    <mergeCell ref="B23:J23"/>
    <mergeCell ref="B22:J22"/>
    <mergeCell ref="K22:K23"/>
    <mergeCell ref="L122:L124"/>
    <mergeCell ref="M122:M124"/>
    <mergeCell ref="N122:N124"/>
    <mergeCell ref="B109:J109"/>
    <mergeCell ref="B108:J108"/>
    <mergeCell ref="B107:J107"/>
    <mergeCell ref="B112:J112"/>
    <mergeCell ref="K119:K121"/>
    <mergeCell ref="K122:K124"/>
    <mergeCell ref="K114:K116"/>
    <mergeCell ref="B119:J119"/>
    <mergeCell ref="L114:L116"/>
    <mergeCell ref="B115:J115"/>
    <mergeCell ref="A118:J118"/>
    <mergeCell ref="A125:J125"/>
    <mergeCell ref="A180:O180"/>
    <mergeCell ref="O137:O139"/>
    <mergeCell ref="A137:A139"/>
    <mergeCell ref="K137:K139"/>
    <mergeCell ref="B139:J139"/>
    <mergeCell ref="B138:J138"/>
    <mergeCell ref="B137:J137"/>
    <mergeCell ref="L137:L139"/>
    <mergeCell ref="M137:M139"/>
    <mergeCell ref="N137:N139"/>
    <mergeCell ref="A148:O148"/>
    <mergeCell ref="A149:O149"/>
    <mergeCell ref="A150:O150"/>
    <mergeCell ref="A151:O151"/>
    <mergeCell ref="A152:O152"/>
    <mergeCell ref="A153:O153"/>
    <mergeCell ref="A154:O154"/>
    <mergeCell ref="A155:O155"/>
    <mergeCell ref="A156:O156"/>
    <mergeCell ref="A157:O157"/>
    <mergeCell ref="A158:O158"/>
    <mergeCell ref="A159:O159"/>
    <mergeCell ref="A160:O160"/>
    <mergeCell ref="A161:O161"/>
    <mergeCell ref="A131:A134"/>
    <mergeCell ref="O131:O134"/>
    <mergeCell ref="B131:J131"/>
    <mergeCell ref="K131:K134"/>
    <mergeCell ref="M131:M134"/>
    <mergeCell ref="N131:N134"/>
    <mergeCell ref="N135:N136"/>
    <mergeCell ref="O135:O136"/>
    <mergeCell ref="M135:M136"/>
    <mergeCell ref="A135:A136"/>
    <mergeCell ref="L131:L134"/>
    <mergeCell ref="B134:J134"/>
    <mergeCell ref="K135:K136"/>
    <mergeCell ref="B136:J136"/>
    <mergeCell ref="B135:J135"/>
    <mergeCell ref="L135:L136"/>
    <mergeCell ref="M105:M106"/>
    <mergeCell ref="N105:N106"/>
    <mergeCell ref="O105:O106"/>
    <mergeCell ref="L107:L109"/>
    <mergeCell ref="M107:M109"/>
    <mergeCell ref="N107:N109"/>
    <mergeCell ref="O107:O109"/>
    <mergeCell ref="L110:L111"/>
    <mergeCell ref="M110:M111"/>
    <mergeCell ref="N110:N111"/>
    <mergeCell ref="O110:O111"/>
    <mergeCell ref="L105:L106"/>
    <mergeCell ref="L93:L94"/>
    <mergeCell ref="M93:M94"/>
    <mergeCell ref="N93:N94"/>
    <mergeCell ref="O93:O94"/>
    <mergeCell ref="O95:O97"/>
    <mergeCell ref="L102:L104"/>
    <mergeCell ref="M102:M104"/>
    <mergeCell ref="N102:N104"/>
    <mergeCell ref="O102:O104"/>
    <mergeCell ref="L95:L97"/>
    <mergeCell ref="M95:M97"/>
    <mergeCell ref="N95:N97"/>
    <mergeCell ref="K93:K94"/>
    <mergeCell ref="K95:K97"/>
    <mergeCell ref="K102:K104"/>
    <mergeCell ref="K105:K106"/>
    <mergeCell ref="K107:K109"/>
    <mergeCell ref="K110:K111"/>
    <mergeCell ref="A93:A94"/>
    <mergeCell ref="A95:A97"/>
    <mergeCell ref="A102:A104"/>
    <mergeCell ref="A105:A106"/>
    <mergeCell ref="A107:A109"/>
    <mergeCell ref="A110:A111"/>
    <mergeCell ref="B111:J111"/>
    <mergeCell ref="B110:J110"/>
    <mergeCell ref="B94:J94"/>
    <mergeCell ref="B93:J93"/>
    <mergeCell ref="B97:J97"/>
    <mergeCell ref="B96:J96"/>
    <mergeCell ref="B95:J95"/>
    <mergeCell ref="B104:J104"/>
    <mergeCell ref="B103:J103"/>
    <mergeCell ref="B102:J102"/>
    <mergeCell ref="B106:J106"/>
    <mergeCell ref="B105:J105"/>
    <mergeCell ref="A88:A90"/>
    <mergeCell ref="K88:K90"/>
    <mergeCell ref="O88:O90"/>
    <mergeCell ref="L88:L90"/>
    <mergeCell ref="M88:M90"/>
    <mergeCell ref="N88:N90"/>
    <mergeCell ref="B89:J89"/>
    <mergeCell ref="B88:J88"/>
    <mergeCell ref="B90:J90"/>
    <mergeCell ref="B87:J87"/>
    <mergeCell ref="A85:A87"/>
    <mergeCell ref="N85:N87"/>
    <mergeCell ref="O85:O87"/>
    <mergeCell ref="K85:K87"/>
    <mergeCell ref="L85:L87"/>
    <mergeCell ref="M85:M87"/>
    <mergeCell ref="B86:J86"/>
    <mergeCell ref="B85:J85"/>
    <mergeCell ref="A81:O81"/>
    <mergeCell ref="A82:O82"/>
    <mergeCell ref="B77:J77"/>
    <mergeCell ref="L75:L77"/>
    <mergeCell ref="M75:M77"/>
    <mergeCell ref="N75:N77"/>
    <mergeCell ref="A83:O83"/>
    <mergeCell ref="A84:J84"/>
    <mergeCell ref="M69:M70"/>
    <mergeCell ref="N69:N70"/>
    <mergeCell ref="O69:O70"/>
    <mergeCell ref="N73:N74"/>
    <mergeCell ref="O73:O74"/>
    <mergeCell ref="L71:L72"/>
    <mergeCell ref="M71:M72"/>
    <mergeCell ref="N71:N72"/>
    <mergeCell ref="O75:O77"/>
    <mergeCell ref="L73:L74"/>
    <mergeCell ref="M73:M74"/>
    <mergeCell ref="O71:O72"/>
    <mergeCell ref="L69:L70"/>
    <mergeCell ref="A69:A70"/>
    <mergeCell ref="A71:A72"/>
    <mergeCell ref="A73:A74"/>
    <mergeCell ref="B75:J75"/>
    <mergeCell ref="B69:J69"/>
    <mergeCell ref="B70:J70"/>
    <mergeCell ref="B73:J73"/>
    <mergeCell ref="B72:J72"/>
    <mergeCell ref="B71:J71"/>
    <mergeCell ref="B76:J76"/>
    <mergeCell ref="B74:J74"/>
    <mergeCell ref="B44:J44"/>
    <mergeCell ref="A67:O67"/>
    <mergeCell ref="B49:J49"/>
    <mergeCell ref="B46:J46"/>
    <mergeCell ref="B45:J45"/>
    <mergeCell ref="B53:J53"/>
    <mergeCell ref="B52:J52"/>
    <mergeCell ref="O58:O59"/>
    <mergeCell ref="O64:O66"/>
    <mergeCell ref="N52:N55"/>
    <mergeCell ref="N58:N59"/>
    <mergeCell ref="L64:L66"/>
    <mergeCell ref="M64:M66"/>
    <mergeCell ref="L52:L55"/>
    <mergeCell ref="M52:M55"/>
    <mergeCell ref="L58:L59"/>
    <mergeCell ref="M58:M59"/>
    <mergeCell ref="B65:J65"/>
    <mergeCell ref="O50:O51"/>
    <mergeCell ref="B63:J63"/>
    <mergeCell ref="A60:A63"/>
    <mergeCell ref="O52:O55"/>
    <mergeCell ref="B66:J66"/>
    <mergeCell ref="B64:J64"/>
    <mergeCell ref="B59:J59"/>
    <mergeCell ref="B58:J58"/>
    <mergeCell ref="B56:J56"/>
    <mergeCell ref="B55:J55"/>
    <mergeCell ref="B54:J54"/>
    <mergeCell ref="A64:A66"/>
    <mergeCell ref="K50:K51"/>
    <mergeCell ref="K52:K55"/>
    <mergeCell ref="B51:J51"/>
    <mergeCell ref="B50:J50"/>
    <mergeCell ref="K58:K59"/>
    <mergeCell ref="K64:K66"/>
    <mergeCell ref="B57:J57"/>
    <mergeCell ref="N64:N66"/>
    <mergeCell ref="N32:N33"/>
    <mergeCell ref="O32:O33"/>
    <mergeCell ref="A44:A45"/>
    <mergeCell ref="A46:A47"/>
    <mergeCell ref="A50:A51"/>
    <mergeCell ref="A52:A55"/>
    <mergeCell ref="A58:A59"/>
    <mergeCell ref="M44:M45"/>
    <mergeCell ref="N44:N45"/>
    <mergeCell ref="L46:L47"/>
    <mergeCell ref="M46:M47"/>
    <mergeCell ref="N46:N47"/>
    <mergeCell ref="L50:L51"/>
    <mergeCell ref="M50:M51"/>
    <mergeCell ref="N50:N51"/>
    <mergeCell ref="O44:O45"/>
    <mergeCell ref="O46:O47"/>
    <mergeCell ref="N35:N38"/>
    <mergeCell ref="O35:O38"/>
    <mergeCell ref="M39:M42"/>
    <mergeCell ref="N39:N42"/>
    <mergeCell ref="O39:O42"/>
    <mergeCell ref="L35:L38"/>
    <mergeCell ref="B34:J34"/>
    <mergeCell ref="N24:N25"/>
    <mergeCell ref="O24:O25"/>
    <mergeCell ref="M26:M27"/>
    <mergeCell ref="N26:N27"/>
    <mergeCell ref="O26:O27"/>
    <mergeCell ref="M28:M29"/>
    <mergeCell ref="N28:N29"/>
    <mergeCell ref="L24:L25"/>
    <mergeCell ref="B31:J31"/>
    <mergeCell ref="O28:O29"/>
    <mergeCell ref="N30:N31"/>
    <mergeCell ref="O30:O31"/>
    <mergeCell ref="K26:K27"/>
    <mergeCell ref="K28:K29"/>
    <mergeCell ref="M24:M25"/>
    <mergeCell ref="B29:J29"/>
    <mergeCell ref="B28:J28"/>
    <mergeCell ref="K30:K31"/>
    <mergeCell ref="M35:M38"/>
    <mergeCell ref="L32:L33"/>
    <mergeCell ref="M32:M33"/>
    <mergeCell ref="M30:M31"/>
    <mergeCell ref="B25:J25"/>
    <mergeCell ref="B24:J24"/>
    <mergeCell ref="A24:A25"/>
    <mergeCell ref="K24:K25"/>
    <mergeCell ref="A39:A42"/>
    <mergeCell ref="B42:J42"/>
    <mergeCell ref="B40:J40"/>
    <mergeCell ref="B39:J39"/>
    <mergeCell ref="A32:A33"/>
    <mergeCell ref="A35:A38"/>
    <mergeCell ref="L26:L27"/>
    <mergeCell ref="L30:L31"/>
    <mergeCell ref="L28:L29"/>
    <mergeCell ref="L39:L42"/>
    <mergeCell ref="B27:J27"/>
    <mergeCell ref="B26:J26"/>
    <mergeCell ref="A26:A27"/>
    <mergeCell ref="A28:A29"/>
    <mergeCell ref="A30:A31"/>
    <mergeCell ref="B30:J30"/>
    <mergeCell ref="K7:K10"/>
    <mergeCell ref="K11:K13"/>
    <mergeCell ref="B6:J6"/>
    <mergeCell ref="L22:L23"/>
    <mergeCell ref="L11:L13"/>
    <mergeCell ref="M11:M13"/>
    <mergeCell ref="B8:J8"/>
    <mergeCell ref="B7:J7"/>
    <mergeCell ref="K4:K6"/>
    <mergeCell ref="B14:J14"/>
    <mergeCell ref="K14:K15"/>
    <mergeCell ref="L14:L15"/>
    <mergeCell ref="M14:M15"/>
    <mergeCell ref="B15:J15"/>
    <mergeCell ref="B17:J17"/>
    <mergeCell ref="K16:K19"/>
    <mergeCell ref="O11:O13"/>
    <mergeCell ref="B19:J19"/>
    <mergeCell ref="B16:J16"/>
    <mergeCell ref="A20:O20"/>
    <mergeCell ref="L16:L19"/>
    <mergeCell ref="M16:M19"/>
    <mergeCell ref="N16:N19"/>
    <mergeCell ref="O16:O19"/>
    <mergeCell ref="A11:A13"/>
    <mergeCell ref="A14:A15"/>
    <mergeCell ref="N14:N15"/>
    <mergeCell ref="O14:O15"/>
    <mergeCell ref="A16:A19"/>
    <mergeCell ref="A22:A23"/>
    <mergeCell ref="M22:M23"/>
    <mergeCell ref="N22:N23"/>
    <mergeCell ref="O22:O23"/>
    <mergeCell ref="B13:J13"/>
    <mergeCell ref="B12:J12"/>
    <mergeCell ref="B11:J11"/>
    <mergeCell ref="A1:O1"/>
    <mergeCell ref="A2:O2"/>
    <mergeCell ref="A4:A6"/>
    <mergeCell ref="L4:L6"/>
    <mergeCell ref="M4:M6"/>
    <mergeCell ref="N4:N6"/>
    <mergeCell ref="O4:O6"/>
    <mergeCell ref="A7:A10"/>
    <mergeCell ref="L7:L10"/>
    <mergeCell ref="M7:M10"/>
    <mergeCell ref="N7:N10"/>
    <mergeCell ref="O7:O10"/>
    <mergeCell ref="B5:J5"/>
    <mergeCell ref="B4:J4"/>
    <mergeCell ref="B10:J10"/>
    <mergeCell ref="B9:J9"/>
    <mergeCell ref="N11:N13"/>
    <mergeCell ref="A91:A92"/>
    <mergeCell ref="B91:J91"/>
    <mergeCell ref="K91:K92"/>
    <mergeCell ref="L91:L92"/>
    <mergeCell ref="M91:M92"/>
    <mergeCell ref="N91:N92"/>
    <mergeCell ref="O91:O92"/>
    <mergeCell ref="B92:J92"/>
    <mergeCell ref="A117:O117"/>
    <mergeCell ref="A98:A101"/>
    <mergeCell ref="B98:J98"/>
    <mergeCell ref="K98:K101"/>
    <mergeCell ref="L98:L101"/>
    <mergeCell ref="M98:M101"/>
    <mergeCell ref="N98:N101"/>
    <mergeCell ref="O98:O101"/>
    <mergeCell ref="B99:J99"/>
    <mergeCell ref="B101:J101"/>
    <mergeCell ref="B100:J100"/>
    <mergeCell ref="A112:A113"/>
    <mergeCell ref="K112:K113"/>
    <mergeCell ref="L112:L113"/>
    <mergeCell ref="M112:M113"/>
    <mergeCell ref="N112:N113"/>
    <mergeCell ref="O112:O113"/>
    <mergeCell ref="B113:J113"/>
    <mergeCell ref="B123:J123"/>
    <mergeCell ref="B132:J132"/>
    <mergeCell ref="B133:J133"/>
    <mergeCell ref="A140:O140"/>
    <mergeCell ref="A142:A145"/>
    <mergeCell ref="B142:J142"/>
    <mergeCell ref="K142:K145"/>
    <mergeCell ref="L142:L145"/>
    <mergeCell ref="M142:M145"/>
    <mergeCell ref="N142:N145"/>
    <mergeCell ref="O142:O145"/>
    <mergeCell ref="B143:J143"/>
    <mergeCell ref="B145:J145"/>
    <mergeCell ref="A119:A121"/>
    <mergeCell ref="A122:A124"/>
    <mergeCell ref="A126:A128"/>
    <mergeCell ref="A114:A116"/>
    <mergeCell ref="B116:J116"/>
    <mergeCell ref="B114:J114"/>
    <mergeCell ref="M114:M116"/>
    <mergeCell ref="N114:N116"/>
    <mergeCell ref="O114:O116"/>
  </mergeCells>
  <phoneticPr fontId="8" type="noConversion"/>
  <dataValidations count="6">
    <dataValidation type="whole" allowBlank="1" showInputMessage="1" showErrorMessage="1" sqref="N22:N23 N4:N6 N119:N121 N142:N145">
      <formula1>5</formula1>
      <formula2>5</formula2>
    </dataValidation>
    <dataValidation type="whole" allowBlank="1" showInputMessage="1" showErrorMessage="1" sqref="N131:N136">
      <formula1>10</formula1>
      <formula2>10</formula2>
    </dataValidation>
    <dataValidation type="list" allowBlank="1" showInputMessage="1" showErrorMessage="1" sqref="L4:M6 L39:M42 L88:N92 L105:N106">
      <formula1>"15, -----"</formula1>
    </dataValidation>
    <dataValidation type="list" allowBlank="1" showInputMessage="1" showErrorMessage="1" sqref="L7:M13 N11:N13 L28:N38 L44:M47 L60:M66 N46:N47 L69:M72 L93:N104 L107:N111 L114:N116 L119:M121 L131:M139 N137:N139 L142:M145">
      <formula1>"10, -----"</formula1>
    </dataValidation>
    <dataValidation type="list" allowBlank="1" showInputMessage="1" showErrorMessage="1" sqref="L14:N19 L22:M25 N24:N25 L26:N27 L48:M51 L52:N55 L56:M57 N57 L58:M59 L73:M77 N73:N74 L85:N87 L112:N113 L122:N124 L126:N128">
      <formula1>"5, -----"</formula1>
    </dataValidation>
    <dataValidation type="list" allowBlank="1" showInputMessage="1" showErrorMessage="1" sqref="D80 H80 D181 H181">
      <formula1>"✓, -----"</formula1>
    </dataValidation>
  </dataValidations>
  <pageMargins left="1" right="1" top="1" bottom="1" header="0" footer="0"/>
  <pageSetup firstPageNumber="22" orientation="portrait" useFirstPageNumber="1" r:id="rId1"/>
  <headerFooter>
    <oddFooter xml:space="preserve">&amp;LFor Official Government Use Only
USDA, AMS, FVP, Fresh Products Branch
&amp;RJanuary 26, 2012
Page &amp;P
</oddFooter>
  </headerFooter>
  <rowBreaks count="2" manualBreakCount="2">
    <brk id="83" max="16383" man="1"/>
    <brk id="124" max="16383" man="1"/>
  </rowBreaks>
  <ignoredErrors>
    <ignoredError sqref="A122 A119 A114 A112 A110 A107 A105 A102 A98 A95 A93 A91 A88 A142 A137 A135 A131 A126" twoDigitTextYear="1"/>
  </ignoredErrors>
</worksheet>
</file>

<file path=xl/worksheets/sheet8.xml><?xml version="1.0" encoding="utf-8"?>
<worksheet xmlns="http://schemas.openxmlformats.org/spreadsheetml/2006/main" xmlns:r="http://schemas.openxmlformats.org/officeDocument/2006/relationships">
  <sheetPr enableFormatConditionsCalculation="0">
    <tabColor indexed="41"/>
  </sheetPr>
  <dimension ref="A1:T544"/>
  <sheetViews>
    <sheetView view="pageLayout" zoomScale="140" zoomScaleNormal="100" zoomScalePageLayoutView="140" workbookViewId="0">
      <selection activeCell="B84" sqref="B84:L85"/>
    </sheetView>
  </sheetViews>
  <sheetFormatPr defaultRowHeight="12.75"/>
  <cols>
    <col min="1" max="1" width="5.42578125" customWidth="1"/>
    <col min="2" max="2" width="7.28515625" customWidth="1"/>
    <col min="3" max="3" width="7.28515625" style="59" customWidth="1"/>
    <col min="4" max="4" width="2.7109375" style="59" customWidth="1"/>
    <col min="5" max="5" width="7.28515625" style="59" customWidth="1"/>
    <col min="6" max="6" width="2.7109375" customWidth="1"/>
    <col min="7" max="7" width="7.28515625" customWidth="1"/>
    <col min="8" max="8" width="2.7109375" customWidth="1"/>
    <col min="9" max="9" width="2.140625" customWidth="1"/>
    <col min="10" max="10" width="7.28515625" customWidth="1"/>
    <col min="11" max="15" width="6.28515625" customWidth="1"/>
  </cols>
  <sheetData>
    <row r="1" spans="1:16" s="78" customFormat="1" ht="30" customHeight="1">
      <c r="A1" s="516" t="s">
        <v>6</v>
      </c>
      <c r="B1" s="517"/>
      <c r="C1" s="517"/>
      <c r="D1" s="517"/>
      <c r="E1" s="517"/>
      <c r="F1" s="517"/>
      <c r="G1" s="517"/>
      <c r="H1" s="517"/>
      <c r="I1" s="517"/>
      <c r="J1" s="517"/>
      <c r="K1" s="517"/>
      <c r="L1" s="517"/>
      <c r="M1" s="517"/>
      <c r="N1" s="517"/>
      <c r="O1" s="517"/>
    </row>
    <row r="2" spans="1:16" s="78" customFormat="1" ht="15" customHeight="1">
      <c r="A2" s="546" t="s">
        <v>883</v>
      </c>
      <c r="B2" s="546"/>
      <c r="C2" s="546"/>
      <c r="D2" s="546"/>
      <c r="E2" s="546"/>
      <c r="F2" s="546"/>
      <c r="G2" s="546"/>
      <c r="H2" s="546"/>
      <c r="I2" s="546"/>
      <c r="J2" s="546"/>
      <c r="K2" s="546"/>
      <c r="L2" s="546"/>
      <c r="M2" s="546"/>
      <c r="N2" s="546"/>
      <c r="O2" s="546"/>
    </row>
    <row r="3" spans="1:16" s="64" customFormat="1" ht="15" customHeight="1">
      <c r="A3" s="546" t="s">
        <v>884</v>
      </c>
      <c r="B3" s="546"/>
      <c r="C3" s="546"/>
      <c r="D3" s="546"/>
      <c r="E3" s="546"/>
      <c r="F3" s="546"/>
      <c r="G3" s="546"/>
      <c r="H3" s="546"/>
      <c r="I3" s="546"/>
      <c r="J3" s="546"/>
      <c r="K3" s="546"/>
      <c r="L3" s="546"/>
      <c r="M3" s="546"/>
      <c r="N3" s="546"/>
      <c r="O3" s="546"/>
    </row>
    <row r="4" spans="1:16" s="78" customFormat="1" ht="30" customHeight="1">
      <c r="A4" s="443" t="s">
        <v>420</v>
      </c>
      <c r="B4" s="443"/>
      <c r="C4" s="443"/>
      <c r="D4" s="443"/>
      <c r="E4" s="443"/>
      <c r="F4" s="443"/>
      <c r="G4" s="443"/>
      <c r="H4" s="443"/>
      <c r="I4" s="443"/>
      <c r="J4" s="443"/>
      <c r="K4" s="443"/>
      <c r="L4" s="443"/>
      <c r="M4" s="443"/>
      <c r="N4" s="443"/>
      <c r="O4" s="443"/>
    </row>
    <row r="5" spans="1:16" s="41" customFormat="1" ht="15">
      <c r="A5" s="300" t="s">
        <v>66</v>
      </c>
      <c r="B5" s="301"/>
      <c r="C5" s="301"/>
      <c r="D5" s="301"/>
      <c r="E5" s="301"/>
      <c r="F5" s="301"/>
      <c r="G5" s="301"/>
      <c r="H5" s="301"/>
      <c r="I5" s="301"/>
      <c r="J5" s="302"/>
      <c r="K5" s="74" t="s">
        <v>65</v>
      </c>
      <c r="L5" s="75" t="s">
        <v>27</v>
      </c>
      <c r="M5" s="75" t="s">
        <v>64</v>
      </c>
      <c r="N5" s="75" t="s">
        <v>63</v>
      </c>
      <c r="O5" s="75" t="s">
        <v>62</v>
      </c>
      <c r="P5" s="40"/>
    </row>
    <row r="6" spans="1:16" s="71" customFormat="1" ht="15" customHeight="1">
      <c r="A6" s="361" t="s">
        <v>421</v>
      </c>
      <c r="B6" s="260" t="s">
        <v>665</v>
      </c>
      <c r="C6" s="187"/>
      <c r="D6" s="187"/>
      <c r="E6" s="187"/>
      <c r="F6" s="426"/>
      <c r="G6" s="426"/>
      <c r="H6" s="426"/>
      <c r="I6" s="426"/>
      <c r="J6" s="427"/>
      <c r="K6" s="232">
        <v>5</v>
      </c>
      <c r="L6" s="238"/>
      <c r="M6" s="238"/>
      <c r="N6" s="318"/>
      <c r="O6" s="232" t="s">
        <v>76</v>
      </c>
    </row>
    <row r="7" spans="1:16" s="71" customFormat="1" ht="15" customHeight="1">
      <c r="A7" s="375"/>
      <c r="B7" s="252" t="s">
        <v>433</v>
      </c>
      <c r="C7" s="172"/>
      <c r="D7" s="172"/>
      <c r="E7" s="172"/>
      <c r="F7" s="172"/>
      <c r="G7" s="172"/>
      <c r="H7" s="172"/>
      <c r="I7" s="172"/>
      <c r="J7" s="253"/>
      <c r="K7" s="233"/>
      <c r="L7" s="239"/>
      <c r="M7" s="239"/>
      <c r="N7" s="286"/>
      <c r="O7" s="233"/>
    </row>
    <row r="8" spans="1:16" s="71" customFormat="1" ht="15" customHeight="1">
      <c r="A8" s="375"/>
      <c r="B8" s="252" t="s">
        <v>434</v>
      </c>
      <c r="C8" s="172"/>
      <c r="D8" s="172"/>
      <c r="E8" s="172"/>
      <c r="F8" s="453"/>
      <c r="G8" s="453"/>
      <c r="H8" s="453"/>
      <c r="I8" s="453"/>
      <c r="J8" s="450"/>
      <c r="K8" s="233"/>
      <c r="L8" s="239"/>
      <c r="M8" s="239"/>
      <c r="N8" s="286"/>
      <c r="O8" s="233"/>
    </row>
    <row r="9" spans="1:16" s="71" customFormat="1" ht="15" customHeight="1" thickBot="1">
      <c r="A9" s="465"/>
      <c r="B9" s="38" t="s">
        <v>435</v>
      </c>
      <c r="C9" s="556"/>
      <c r="D9" s="556"/>
      <c r="E9" s="556"/>
      <c r="F9" s="556"/>
      <c r="G9" s="556"/>
      <c r="H9" s="556"/>
      <c r="I9" s="556"/>
      <c r="J9" s="557"/>
      <c r="K9" s="233"/>
      <c r="L9" s="239"/>
      <c r="M9" s="239"/>
      <c r="N9" s="286"/>
      <c r="O9" s="233"/>
    </row>
    <row r="10" spans="1:16" s="71" customFormat="1" ht="6" customHeight="1">
      <c r="A10" s="466"/>
      <c r="B10" s="547"/>
      <c r="C10" s="428"/>
      <c r="D10" s="428"/>
      <c r="E10" s="428"/>
      <c r="F10" s="428"/>
      <c r="G10" s="428"/>
      <c r="H10" s="428"/>
      <c r="I10" s="428"/>
      <c r="J10" s="429"/>
      <c r="K10" s="448"/>
      <c r="L10" s="452"/>
      <c r="M10" s="452"/>
      <c r="N10" s="468"/>
      <c r="O10" s="448"/>
    </row>
    <row r="11" spans="1:16" s="71" customFormat="1" ht="15" customHeight="1">
      <c r="A11" s="375" t="s">
        <v>422</v>
      </c>
      <c r="B11" s="260" t="s">
        <v>473</v>
      </c>
      <c r="C11" s="187"/>
      <c r="D11" s="187"/>
      <c r="E11" s="187"/>
      <c r="F11" s="426"/>
      <c r="G11" s="426"/>
      <c r="H11" s="426"/>
      <c r="I11" s="426"/>
      <c r="J11" s="427"/>
      <c r="K11" s="232">
        <v>5</v>
      </c>
      <c r="L11" s="238"/>
      <c r="M11" s="238"/>
      <c r="N11" s="318"/>
      <c r="O11" s="232" t="s">
        <v>76</v>
      </c>
    </row>
    <row r="12" spans="1:16" s="71" customFormat="1" ht="15" customHeight="1">
      <c r="A12" s="466"/>
      <c r="B12" s="252" t="s">
        <v>474</v>
      </c>
      <c r="C12" s="172"/>
      <c r="D12" s="172"/>
      <c r="E12" s="172"/>
      <c r="F12" s="449"/>
      <c r="G12" s="449"/>
      <c r="H12" s="449"/>
      <c r="I12" s="449"/>
      <c r="J12" s="450"/>
      <c r="K12" s="234"/>
      <c r="L12" s="240"/>
      <c r="M12" s="240"/>
      <c r="N12" s="287"/>
      <c r="O12" s="234"/>
    </row>
    <row r="13" spans="1:16" s="71" customFormat="1" ht="15" customHeight="1">
      <c r="A13" s="378" t="s">
        <v>423</v>
      </c>
      <c r="B13" s="260" t="s">
        <v>475</v>
      </c>
      <c r="C13" s="187"/>
      <c r="D13" s="187"/>
      <c r="E13" s="187"/>
      <c r="F13" s="426"/>
      <c r="G13" s="426"/>
      <c r="H13" s="426"/>
      <c r="I13" s="426"/>
      <c r="J13" s="427"/>
      <c r="K13" s="246">
        <v>5</v>
      </c>
      <c r="L13" s="238"/>
      <c r="M13" s="238"/>
      <c r="N13" s="238"/>
      <c r="O13" s="238"/>
    </row>
    <row r="14" spans="1:16" s="71" customFormat="1" ht="15" customHeight="1">
      <c r="A14" s="379"/>
      <c r="B14" s="252" t="s">
        <v>476</v>
      </c>
      <c r="C14" s="172"/>
      <c r="D14" s="172"/>
      <c r="E14" s="172"/>
      <c r="F14" s="449"/>
      <c r="G14" s="449"/>
      <c r="H14" s="449"/>
      <c r="I14" s="449"/>
      <c r="J14" s="450"/>
      <c r="K14" s="380"/>
      <c r="L14" s="239"/>
      <c r="M14" s="239"/>
      <c r="N14" s="239"/>
      <c r="O14" s="239"/>
    </row>
    <row r="15" spans="1:16" s="71" customFormat="1" ht="15" customHeight="1">
      <c r="A15" s="379"/>
      <c r="B15" s="252" t="s">
        <v>477</v>
      </c>
      <c r="C15" s="172"/>
      <c r="D15" s="172"/>
      <c r="E15" s="172"/>
      <c r="F15" s="449"/>
      <c r="G15" s="449"/>
      <c r="H15" s="449"/>
      <c r="I15" s="449"/>
      <c r="J15" s="450"/>
      <c r="K15" s="380"/>
      <c r="L15" s="239"/>
      <c r="M15" s="239"/>
      <c r="N15" s="239"/>
      <c r="O15" s="239"/>
    </row>
    <row r="16" spans="1:16" s="71" customFormat="1" ht="15" customHeight="1">
      <c r="A16" s="379"/>
      <c r="B16" s="252" t="s">
        <v>666</v>
      </c>
      <c r="C16" s="172"/>
      <c r="D16" s="172"/>
      <c r="E16" s="172"/>
      <c r="F16" s="449"/>
      <c r="G16" s="449"/>
      <c r="H16" s="449"/>
      <c r="I16" s="449"/>
      <c r="J16" s="450"/>
      <c r="K16" s="380"/>
      <c r="L16" s="239"/>
      <c r="M16" s="239"/>
      <c r="N16" s="239"/>
      <c r="O16" s="239"/>
    </row>
    <row r="17" spans="1:15" s="71" customFormat="1" ht="15" customHeight="1" thickBot="1">
      <c r="A17" s="379"/>
      <c r="B17" s="548"/>
      <c r="C17" s="549"/>
      <c r="D17" s="549"/>
      <c r="E17" s="549"/>
      <c r="F17" s="550"/>
      <c r="G17" s="550"/>
      <c r="H17" s="550"/>
      <c r="I17" s="550"/>
      <c r="J17" s="551"/>
      <c r="K17" s="380"/>
      <c r="L17" s="239"/>
      <c r="M17" s="239"/>
      <c r="N17" s="239"/>
      <c r="O17" s="239"/>
    </row>
    <row r="18" spans="1:15" s="71" customFormat="1" ht="6" customHeight="1">
      <c r="A18" s="469"/>
      <c r="B18" s="552"/>
      <c r="C18" s="553"/>
      <c r="D18" s="553"/>
      <c r="E18" s="553"/>
      <c r="F18" s="554"/>
      <c r="G18" s="554"/>
      <c r="H18" s="554"/>
      <c r="I18" s="554"/>
      <c r="J18" s="555"/>
      <c r="K18" s="247"/>
      <c r="L18" s="240"/>
      <c r="M18" s="240"/>
      <c r="N18" s="240"/>
      <c r="O18" s="240"/>
    </row>
    <row r="19" spans="1:15" s="71" customFormat="1" ht="15" customHeight="1">
      <c r="A19" s="361" t="s">
        <v>424</v>
      </c>
      <c r="B19" s="252" t="s">
        <v>478</v>
      </c>
      <c r="C19" s="172"/>
      <c r="D19" s="172"/>
      <c r="E19" s="172"/>
      <c r="F19" s="449"/>
      <c r="G19" s="449"/>
      <c r="H19" s="449"/>
      <c r="I19" s="449"/>
      <c r="J19" s="450"/>
      <c r="K19" s="232">
        <v>5</v>
      </c>
      <c r="L19" s="238"/>
      <c r="M19" s="238"/>
      <c r="N19" s="238"/>
      <c r="O19" s="232" t="s">
        <v>76</v>
      </c>
    </row>
    <row r="20" spans="1:15" s="71" customFormat="1" ht="15" customHeight="1">
      <c r="A20" s="375"/>
      <c r="B20" s="252" t="s">
        <v>479</v>
      </c>
      <c r="C20" s="172"/>
      <c r="D20" s="172"/>
      <c r="E20" s="172"/>
      <c r="F20" s="453"/>
      <c r="G20" s="453"/>
      <c r="H20" s="453"/>
      <c r="I20" s="453"/>
      <c r="J20" s="450"/>
      <c r="K20" s="233"/>
      <c r="L20" s="239"/>
      <c r="M20" s="239"/>
      <c r="N20" s="239"/>
      <c r="O20" s="233"/>
    </row>
    <row r="21" spans="1:15" s="71" customFormat="1" ht="15" customHeight="1">
      <c r="A21" s="466"/>
      <c r="B21" s="254" t="s">
        <v>480</v>
      </c>
      <c r="C21" s="255"/>
      <c r="D21" s="255"/>
      <c r="E21" s="255"/>
      <c r="F21" s="428"/>
      <c r="G21" s="428"/>
      <c r="H21" s="428"/>
      <c r="I21" s="428"/>
      <c r="J21" s="429"/>
      <c r="K21" s="234"/>
      <c r="L21" s="240"/>
      <c r="M21" s="240"/>
      <c r="N21" s="240"/>
      <c r="O21" s="234"/>
    </row>
    <row r="22" spans="1:15" s="71" customFormat="1" ht="15" customHeight="1">
      <c r="A22" s="361" t="s">
        <v>425</v>
      </c>
      <c r="B22" s="260" t="s">
        <v>481</v>
      </c>
      <c r="C22" s="187"/>
      <c r="D22" s="187"/>
      <c r="E22" s="187"/>
      <c r="F22" s="426"/>
      <c r="G22" s="426"/>
      <c r="H22" s="426"/>
      <c r="I22" s="426"/>
      <c r="J22" s="427"/>
      <c r="K22" s="232">
        <v>5</v>
      </c>
      <c r="L22" s="238"/>
      <c r="M22" s="238"/>
      <c r="N22" s="238"/>
      <c r="O22" s="232" t="s">
        <v>76</v>
      </c>
    </row>
    <row r="23" spans="1:15" s="71" customFormat="1" ht="15" customHeight="1">
      <c r="A23" s="466"/>
      <c r="B23" s="254" t="s">
        <v>482</v>
      </c>
      <c r="C23" s="255"/>
      <c r="D23" s="255"/>
      <c r="E23" s="255"/>
      <c r="F23" s="428"/>
      <c r="G23" s="428"/>
      <c r="H23" s="428"/>
      <c r="I23" s="428"/>
      <c r="J23" s="429"/>
      <c r="K23" s="234"/>
      <c r="L23" s="240"/>
      <c r="M23" s="240"/>
      <c r="N23" s="240"/>
      <c r="O23" s="234"/>
    </row>
    <row r="24" spans="1:15" s="71" customFormat="1" ht="15" customHeight="1">
      <c r="A24" s="361" t="s">
        <v>426</v>
      </c>
      <c r="B24" s="260" t="s">
        <v>483</v>
      </c>
      <c r="C24" s="187"/>
      <c r="D24" s="187"/>
      <c r="E24" s="187"/>
      <c r="F24" s="426"/>
      <c r="G24" s="426"/>
      <c r="H24" s="426"/>
      <c r="I24" s="426"/>
      <c r="J24" s="427"/>
      <c r="K24" s="232">
        <v>5</v>
      </c>
      <c r="L24" s="238"/>
      <c r="M24" s="238"/>
      <c r="N24" s="238"/>
      <c r="O24" s="232" t="s">
        <v>76</v>
      </c>
    </row>
    <row r="25" spans="1:15" s="71" customFormat="1" ht="15" customHeight="1">
      <c r="A25" s="375"/>
      <c r="B25" s="252" t="s">
        <v>484</v>
      </c>
      <c r="C25" s="172"/>
      <c r="D25" s="172"/>
      <c r="E25" s="172"/>
      <c r="F25" s="453"/>
      <c r="G25" s="453"/>
      <c r="H25" s="453"/>
      <c r="I25" s="453"/>
      <c r="J25" s="450"/>
      <c r="K25" s="233"/>
      <c r="L25" s="239"/>
      <c r="M25" s="239"/>
      <c r="N25" s="239"/>
      <c r="O25" s="233"/>
    </row>
    <row r="26" spans="1:15" s="71" customFormat="1" ht="15" customHeight="1">
      <c r="A26" s="466"/>
      <c r="B26" s="254" t="s">
        <v>485</v>
      </c>
      <c r="C26" s="255"/>
      <c r="D26" s="255"/>
      <c r="E26" s="255"/>
      <c r="F26" s="428"/>
      <c r="G26" s="428"/>
      <c r="H26" s="428"/>
      <c r="I26" s="428"/>
      <c r="J26" s="429"/>
      <c r="K26" s="234"/>
      <c r="L26" s="240"/>
      <c r="M26" s="240"/>
      <c r="N26" s="240"/>
      <c r="O26" s="234"/>
    </row>
    <row r="27" spans="1:15" s="71" customFormat="1" ht="15" customHeight="1">
      <c r="A27" s="361" t="s">
        <v>427</v>
      </c>
      <c r="B27" s="260" t="s">
        <v>486</v>
      </c>
      <c r="C27" s="187"/>
      <c r="D27" s="187"/>
      <c r="E27" s="187"/>
      <c r="F27" s="426"/>
      <c r="G27" s="426"/>
      <c r="H27" s="426"/>
      <c r="I27" s="426"/>
      <c r="J27" s="427"/>
      <c r="K27" s="232">
        <v>5</v>
      </c>
      <c r="L27" s="238"/>
      <c r="M27" s="238"/>
      <c r="N27" s="238"/>
      <c r="O27" s="232" t="s">
        <v>76</v>
      </c>
    </row>
    <row r="28" spans="1:15" s="71" customFormat="1" ht="15" customHeight="1">
      <c r="A28" s="375"/>
      <c r="B28" s="252" t="s">
        <v>487</v>
      </c>
      <c r="C28" s="172"/>
      <c r="D28" s="172"/>
      <c r="E28" s="172"/>
      <c r="F28" s="453"/>
      <c r="G28" s="453"/>
      <c r="H28" s="453"/>
      <c r="I28" s="453"/>
      <c r="J28" s="450"/>
      <c r="K28" s="447"/>
      <c r="L28" s="451"/>
      <c r="M28" s="451"/>
      <c r="N28" s="451"/>
      <c r="O28" s="447"/>
    </row>
    <row r="29" spans="1:15" s="71" customFormat="1" ht="15" customHeight="1">
      <c r="A29" s="466"/>
      <c r="B29" s="254" t="s">
        <v>488</v>
      </c>
      <c r="C29" s="255"/>
      <c r="D29" s="255"/>
      <c r="E29" s="255"/>
      <c r="F29" s="428"/>
      <c r="G29" s="428"/>
      <c r="H29" s="428"/>
      <c r="I29" s="428"/>
      <c r="J29" s="429"/>
      <c r="K29" s="448"/>
      <c r="L29" s="452"/>
      <c r="M29" s="452"/>
      <c r="N29" s="452"/>
      <c r="O29" s="448"/>
    </row>
    <row r="30" spans="1:15" s="71" customFormat="1" ht="15" customHeight="1">
      <c r="A30" s="361" t="s">
        <v>428</v>
      </c>
      <c r="B30" s="260" t="s">
        <v>489</v>
      </c>
      <c r="C30" s="187"/>
      <c r="D30" s="187"/>
      <c r="E30" s="187"/>
      <c r="F30" s="426"/>
      <c r="G30" s="426"/>
      <c r="H30" s="426"/>
      <c r="I30" s="426"/>
      <c r="J30" s="427"/>
      <c r="K30" s="232">
        <v>5</v>
      </c>
      <c r="L30" s="238"/>
      <c r="M30" s="238"/>
      <c r="N30" s="238"/>
      <c r="O30" s="238"/>
    </row>
    <row r="31" spans="1:15" s="71" customFormat="1" ht="15" customHeight="1">
      <c r="A31" s="375"/>
      <c r="B31" s="252" t="s">
        <v>490</v>
      </c>
      <c r="C31" s="172"/>
      <c r="D31" s="172"/>
      <c r="E31" s="172"/>
      <c r="F31" s="453"/>
      <c r="G31" s="453"/>
      <c r="H31" s="453"/>
      <c r="I31" s="453"/>
      <c r="J31" s="450"/>
      <c r="K31" s="447"/>
      <c r="L31" s="451"/>
      <c r="M31" s="451"/>
      <c r="N31" s="451"/>
      <c r="O31" s="451"/>
    </row>
    <row r="32" spans="1:15" s="71" customFormat="1" ht="15" customHeight="1">
      <c r="A32" s="466"/>
      <c r="B32" s="254" t="s">
        <v>311</v>
      </c>
      <c r="C32" s="255"/>
      <c r="D32" s="255"/>
      <c r="E32" s="255"/>
      <c r="F32" s="428"/>
      <c r="G32" s="428"/>
      <c r="H32" s="428"/>
      <c r="I32" s="428"/>
      <c r="J32" s="429"/>
      <c r="K32" s="448"/>
      <c r="L32" s="452"/>
      <c r="M32" s="452"/>
      <c r="N32" s="452"/>
      <c r="O32" s="452"/>
    </row>
    <row r="33" spans="1:16" s="71" customFormat="1" ht="15" customHeight="1">
      <c r="A33" s="361" t="s">
        <v>429</v>
      </c>
      <c r="B33" s="260" t="s">
        <v>491</v>
      </c>
      <c r="C33" s="187"/>
      <c r="D33" s="187"/>
      <c r="E33" s="187"/>
      <c r="F33" s="426"/>
      <c r="G33" s="426"/>
      <c r="H33" s="426"/>
      <c r="I33" s="426"/>
      <c r="J33" s="427"/>
      <c r="K33" s="232">
        <v>5</v>
      </c>
      <c r="L33" s="238"/>
      <c r="M33" s="238"/>
      <c r="N33" s="238"/>
      <c r="O33" s="232" t="s">
        <v>76</v>
      </c>
    </row>
    <row r="34" spans="1:16" s="71" customFormat="1" ht="15" customHeight="1">
      <c r="A34" s="466"/>
      <c r="B34" s="252" t="s">
        <v>492</v>
      </c>
      <c r="C34" s="172"/>
      <c r="D34" s="172"/>
      <c r="E34" s="172"/>
      <c r="F34" s="449"/>
      <c r="G34" s="449"/>
      <c r="H34" s="449"/>
      <c r="I34" s="449"/>
      <c r="J34" s="450"/>
      <c r="K34" s="448"/>
      <c r="L34" s="452"/>
      <c r="M34" s="452"/>
      <c r="N34" s="452"/>
      <c r="O34" s="448"/>
    </row>
    <row r="35" spans="1:16" s="71" customFormat="1" ht="15" customHeight="1">
      <c r="A35" s="378" t="s">
        <v>430</v>
      </c>
      <c r="B35" s="260" t="s">
        <v>667</v>
      </c>
      <c r="C35" s="187"/>
      <c r="D35" s="187"/>
      <c r="E35" s="187"/>
      <c r="F35" s="426"/>
      <c r="G35" s="426"/>
      <c r="H35" s="426"/>
      <c r="I35" s="426"/>
      <c r="J35" s="427"/>
      <c r="K35" s="246">
        <v>5</v>
      </c>
      <c r="L35" s="238"/>
      <c r="M35" s="238"/>
      <c r="N35" s="238"/>
      <c r="O35" s="232" t="s">
        <v>76</v>
      </c>
    </row>
    <row r="36" spans="1:16" s="71" customFormat="1" ht="15" customHeight="1">
      <c r="A36" s="379"/>
      <c r="B36" s="254" t="s">
        <v>920</v>
      </c>
      <c r="C36" s="255"/>
      <c r="D36" s="255"/>
      <c r="E36" s="255"/>
      <c r="F36" s="428"/>
      <c r="G36" s="428"/>
      <c r="H36" s="428"/>
      <c r="I36" s="428"/>
      <c r="J36" s="429"/>
      <c r="K36" s="380"/>
      <c r="L36" s="239"/>
      <c r="M36" s="239"/>
      <c r="N36" s="239"/>
      <c r="O36" s="233"/>
    </row>
    <row r="37" spans="1:16" s="71" customFormat="1" ht="15" customHeight="1">
      <c r="A37" s="361" t="s">
        <v>431</v>
      </c>
      <c r="B37" s="252" t="s">
        <v>493</v>
      </c>
      <c r="C37" s="172"/>
      <c r="D37" s="172"/>
      <c r="E37" s="172"/>
      <c r="F37" s="449"/>
      <c r="G37" s="449"/>
      <c r="H37" s="449"/>
      <c r="I37" s="449"/>
      <c r="J37" s="450"/>
      <c r="K37" s="232">
        <v>5</v>
      </c>
      <c r="L37" s="238"/>
      <c r="M37" s="238"/>
      <c r="N37" s="238"/>
      <c r="O37" s="232" t="s">
        <v>76</v>
      </c>
    </row>
    <row r="38" spans="1:16" s="71" customFormat="1" ht="15" customHeight="1">
      <c r="A38" s="375"/>
      <c r="B38" s="252" t="s">
        <v>905</v>
      </c>
      <c r="C38" s="172"/>
      <c r="D38" s="172"/>
      <c r="E38" s="172"/>
      <c r="F38" s="453"/>
      <c r="G38" s="453"/>
      <c r="H38" s="453"/>
      <c r="I38" s="453"/>
      <c r="J38" s="450"/>
      <c r="K38" s="447"/>
      <c r="L38" s="451"/>
      <c r="M38" s="451"/>
      <c r="N38" s="451"/>
      <c r="O38" s="447"/>
    </row>
    <row r="39" spans="1:16" s="71" customFormat="1" ht="15" customHeight="1">
      <c r="A39" s="466"/>
      <c r="B39" s="254" t="s">
        <v>904</v>
      </c>
      <c r="C39" s="255"/>
      <c r="D39" s="255"/>
      <c r="E39" s="255"/>
      <c r="F39" s="428"/>
      <c r="G39" s="428"/>
      <c r="H39" s="428"/>
      <c r="I39" s="428"/>
      <c r="J39" s="429"/>
      <c r="K39" s="448"/>
      <c r="L39" s="452"/>
      <c r="M39" s="452"/>
      <c r="N39" s="452"/>
      <c r="O39" s="448"/>
    </row>
    <row r="40" spans="1:16" s="71" customFormat="1" ht="15" customHeight="1">
      <c r="A40" s="361" t="s">
        <v>432</v>
      </c>
      <c r="B40" s="260" t="s">
        <v>494</v>
      </c>
      <c r="C40" s="187"/>
      <c r="D40" s="187"/>
      <c r="E40" s="187"/>
      <c r="F40" s="426"/>
      <c r="G40" s="426"/>
      <c r="H40" s="426"/>
      <c r="I40" s="426"/>
      <c r="J40" s="427"/>
      <c r="K40" s="232">
        <v>5</v>
      </c>
      <c r="L40" s="238"/>
      <c r="M40" s="238"/>
      <c r="N40" s="238"/>
      <c r="O40" s="238"/>
    </row>
    <row r="41" spans="1:16" s="71" customFormat="1" ht="15" customHeight="1">
      <c r="A41" s="375"/>
      <c r="B41" s="252" t="s">
        <v>495</v>
      </c>
      <c r="C41" s="172"/>
      <c r="D41" s="172"/>
      <c r="E41" s="172"/>
      <c r="F41" s="449"/>
      <c r="G41" s="449"/>
      <c r="H41" s="449"/>
      <c r="I41" s="449"/>
      <c r="J41" s="450"/>
      <c r="K41" s="447"/>
      <c r="L41" s="451"/>
      <c r="M41" s="451"/>
      <c r="N41" s="451"/>
      <c r="O41" s="451"/>
    </row>
    <row r="42" spans="1:16" s="71" customFormat="1" ht="15" customHeight="1">
      <c r="A42" s="466"/>
      <c r="B42" s="254" t="s">
        <v>496</v>
      </c>
      <c r="C42" s="255"/>
      <c r="D42" s="255"/>
      <c r="E42" s="255"/>
      <c r="F42" s="428"/>
      <c r="G42" s="428"/>
      <c r="H42" s="428"/>
      <c r="I42" s="428"/>
      <c r="J42" s="429"/>
      <c r="K42" s="448"/>
      <c r="L42" s="452"/>
      <c r="M42" s="452"/>
      <c r="N42" s="452"/>
      <c r="O42" s="452"/>
    </row>
    <row r="43" spans="1:16" s="78" customFormat="1" ht="30" customHeight="1">
      <c r="A43" s="443" t="s">
        <v>497</v>
      </c>
      <c r="B43" s="443"/>
      <c r="C43" s="443"/>
      <c r="D43" s="443"/>
      <c r="E43" s="443"/>
      <c r="F43" s="443"/>
      <c r="G43" s="443"/>
      <c r="H43" s="443"/>
      <c r="I43" s="443"/>
      <c r="J43" s="443"/>
      <c r="K43" s="443"/>
      <c r="L43" s="443"/>
      <c r="M43" s="443"/>
      <c r="N43" s="443"/>
      <c r="O43" s="443"/>
    </row>
    <row r="44" spans="1:16" s="41" customFormat="1" ht="15">
      <c r="A44" s="300" t="s">
        <v>66</v>
      </c>
      <c r="B44" s="301"/>
      <c r="C44" s="301"/>
      <c r="D44" s="301"/>
      <c r="E44" s="301"/>
      <c r="F44" s="301"/>
      <c r="G44" s="301"/>
      <c r="H44" s="301"/>
      <c r="I44" s="301"/>
      <c r="J44" s="302"/>
      <c r="K44" s="74" t="s">
        <v>65</v>
      </c>
      <c r="L44" s="75" t="s">
        <v>27</v>
      </c>
      <c r="M44" s="75" t="s">
        <v>64</v>
      </c>
      <c r="N44" s="75" t="s">
        <v>63</v>
      </c>
      <c r="O44" s="75" t="s">
        <v>62</v>
      </c>
      <c r="P44" s="40"/>
    </row>
    <row r="45" spans="1:16" s="71" customFormat="1" ht="15" customHeight="1">
      <c r="A45" s="361" t="s">
        <v>498</v>
      </c>
      <c r="B45" s="260" t="s">
        <v>518</v>
      </c>
      <c r="C45" s="187"/>
      <c r="D45" s="187"/>
      <c r="E45" s="187"/>
      <c r="F45" s="426"/>
      <c r="G45" s="426"/>
      <c r="H45" s="426"/>
      <c r="I45" s="426"/>
      <c r="J45" s="427"/>
      <c r="K45" s="232">
        <v>5</v>
      </c>
      <c r="L45" s="238"/>
      <c r="M45" s="238"/>
      <c r="N45" s="238"/>
      <c r="O45" s="232" t="s">
        <v>76</v>
      </c>
    </row>
    <row r="46" spans="1:16" s="71" customFormat="1" ht="15" customHeight="1">
      <c r="A46" s="375"/>
      <c r="B46" s="252" t="s">
        <v>519</v>
      </c>
      <c r="C46" s="172"/>
      <c r="D46" s="172"/>
      <c r="E46" s="172"/>
      <c r="F46" s="453"/>
      <c r="G46" s="453"/>
      <c r="H46" s="453"/>
      <c r="I46" s="453"/>
      <c r="J46" s="450"/>
      <c r="K46" s="447"/>
      <c r="L46" s="451"/>
      <c r="M46" s="451"/>
      <c r="N46" s="451"/>
      <c r="O46" s="447"/>
    </row>
    <row r="47" spans="1:16" s="71" customFormat="1" ht="15" customHeight="1">
      <c r="A47" s="466"/>
      <c r="B47" s="254" t="s">
        <v>520</v>
      </c>
      <c r="C47" s="255"/>
      <c r="D47" s="255"/>
      <c r="E47" s="255"/>
      <c r="F47" s="428"/>
      <c r="G47" s="428"/>
      <c r="H47" s="428"/>
      <c r="I47" s="428"/>
      <c r="J47" s="429"/>
      <c r="K47" s="448"/>
      <c r="L47" s="452"/>
      <c r="M47" s="452"/>
      <c r="N47" s="452"/>
      <c r="O47" s="448"/>
    </row>
    <row r="48" spans="1:16" s="71" customFormat="1" ht="15" customHeight="1">
      <c r="A48" s="361" t="s">
        <v>499</v>
      </c>
      <c r="B48" s="260" t="s">
        <v>521</v>
      </c>
      <c r="C48" s="187"/>
      <c r="D48" s="187"/>
      <c r="E48" s="187"/>
      <c r="F48" s="426"/>
      <c r="G48" s="426"/>
      <c r="H48" s="426"/>
      <c r="I48" s="426"/>
      <c r="J48" s="427"/>
      <c r="K48" s="232">
        <v>5</v>
      </c>
      <c r="L48" s="238"/>
      <c r="M48" s="238"/>
      <c r="N48" s="238"/>
      <c r="O48" s="238"/>
    </row>
    <row r="49" spans="1:15" s="71" customFormat="1" ht="15" customHeight="1">
      <c r="A49" s="466"/>
      <c r="B49" s="254" t="s">
        <v>522</v>
      </c>
      <c r="C49" s="255"/>
      <c r="D49" s="255"/>
      <c r="E49" s="255"/>
      <c r="F49" s="428"/>
      <c r="G49" s="428"/>
      <c r="H49" s="428"/>
      <c r="I49" s="428"/>
      <c r="J49" s="429"/>
      <c r="K49" s="448"/>
      <c r="L49" s="452"/>
      <c r="M49" s="452"/>
      <c r="N49" s="452"/>
      <c r="O49" s="452"/>
    </row>
    <row r="50" spans="1:15" s="71" customFormat="1" ht="15" customHeight="1">
      <c r="A50" s="361" t="s">
        <v>500</v>
      </c>
      <c r="B50" s="260" t="s">
        <v>523</v>
      </c>
      <c r="C50" s="187"/>
      <c r="D50" s="187"/>
      <c r="E50" s="187"/>
      <c r="F50" s="426"/>
      <c r="G50" s="426"/>
      <c r="H50" s="426"/>
      <c r="I50" s="426"/>
      <c r="J50" s="427"/>
      <c r="K50" s="232">
        <v>5</v>
      </c>
      <c r="L50" s="238"/>
      <c r="M50" s="238"/>
      <c r="N50" s="238"/>
      <c r="O50" s="232" t="s">
        <v>76</v>
      </c>
    </row>
    <row r="51" spans="1:15" s="71" customFormat="1" ht="15" customHeight="1">
      <c r="A51" s="466"/>
      <c r="B51" s="254" t="s">
        <v>524</v>
      </c>
      <c r="C51" s="255"/>
      <c r="D51" s="255"/>
      <c r="E51" s="255"/>
      <c r="F51" s="428"/>
      <c r="G51" s="428"/>
      <c r="H51" s="428"/>
      <c r="I51" s="428"/>
      <c r="J51" s="429"/>
      <c r="K51" s="448"/>
      <c r="L51" s="452"/>
      <c r="M51" s="452"/>
      <c r="N51" s="452"/>
      <c r="O51" s="448"/>
    </row>
    <row r="52" spans="1:15" s="71" customFormat="1" ht="15" customHeight="1">
      <c r="A52" s="361" t="s">
        <v>501</v>
      </c>
      <c r="B52" s="260" t="s">
        <v>525</v>
      </c>
      <c r="C52" s="187"/>
      <c r="D52" s="187"/>
      <c r="E52" s="187"/>
      <c r="F52" s="426"/>
      <c r="G52" s="426"/>
      <c r="H52" s="426"/>
      <c r="I52" s="426"/>
      <c r="J52" s="427"/>
      <c r="K52" s="232">
        <v>5</v>
      </c>
      <c r="L52" s="238"/>
      <c r="M52" s="238"/>
      <c r="N52" s="238"/>
      <c r="O52" s="238"/>
    </row>
    <row r="53" spans="1:15" s="71" customFormat="1" ht="15" customHeight="1">
      <c r="A53" s="466"/>
      <c r="B53" s="254" t="s">
        <v>526</v>
      </c>
      <c r="C53" s="255"/>
      <c r="D53" s="255"/>
      <c r="E53" s="255"/>
      <c r="F53" s="428"/>
      <c r="G53" s="428"/>
      <c r="H53" s="428"/>
      <c r="I53" s="428"/>
      <c r="J53" s="429"/>
      <c r="K53" s="448"/>
      <c r="L53" s="452"/>
      <c r="M53" s="452"/>
      <c r="N53" s="452"/>
      <c r="O53" s="452"/>
    </row>
    <row r="54" spans="1:15" s="71" customFormat="1" ht="15" customHeight="1">
      <c r="A54" s="361" t="s">
        <v>502</v>
      </c>
      <c r="B54" s="260" t="s">
        <v>527</v>
      </c>
      <c r="C54" s="187"/>
      <c r="D54" s="187"/>
      <c r="E54" s="187"/>
      <c r="F54" s="426"/>
      <c r="G54" s="426"/>
      <c r="H54" s="426"/>
      <c r="I54" s="426"/>
      <c r="J54" s="427"/>
      <c r="K54" s="232">
        <v>5</v>
      </c>
      <c r="L54" s="238"/>
      <c r="M54" s="238"/>
      <c r="N54" s="238"/>
      <c r="O54" s="232" t="s">
        <v>76</v>
      </c>
    </row>
    <row r="55" spans="1:15" s="71" customFormat="1" ht="15" customHeight="1">
      <c r="A55" s="466"/>
      <c r="B55" s="254" t="s">
        <v>528</v>
      </c>
      <c r="C55" s="255"/>
      <c r="D55" s="255"/>
      <c r="E55" s="255"/>
      <c r="F55" s="428"/>
      <c r="G55" s="428"/>
      <c r="H55" s="428"/>
      <c r="I55" s="428"/>
      <c r="J55" s="429"/>
      <c r="K55" s="448"/>
      <c r="L55" s="452"/>
      <c r="M55" s="452"/>
      <c r="N55" s="452"/>
      <c r="O55" s="448"/>
    </row>
    <row r="56" spans="1:15" s="71" customFormat="1" ht="15" customHeight="1">
      <c r="A56" s="361" t="s">
        <v>503</v>
      </c>
      <c r="B56" s="260" t="s">
        <v>529</v>
      </c>
      <c r="C56" s="187"/>
      <c r="D56" s="187"/>
      <c r="E56" s="187"/>
      <c r="F56" s="426"/>
      <c r="G56" s="426"/>
      <c r="H56" s="426"/>
      <c r="I56" s="426"/>
      <c r="J56" s="427"/>
      <c r="K56" s="232">
        <v>5</v>
      </c>
      <c r="L56" s="238"/>
      <c r="M56" s="238"/>
      <c r="N56" s="238"/>
      <c r="O56" s="232" t="s">
        <v>76</v>
      </c>
    </row>
    <row r="57" spans="1:15" s="71" customFormat="1" ht="15" customHeight="1">
      <c r="A57" s="375"/>
      <c r="B57" s="252" t="s">
        <v>530</v>
      </c>
      <c r="C57" s="172"/>
      <c r="D57" s="172"/>
      <c r="E57" s="172"/>
      <c r="F57" s="453"/>
      <c r="G57" s="453"/>
      <c r="H57" s="453"/>
      <c r="I57" s="453"/>
      <c r="J57" s="450"/>
      <c r="K57" s="233"/>
      <c r="L57" s="239"/>
      <c r="M57" s="239"/>
      <c r="N57" s="239"/>
      <c r="O57" s="233"/>
    </row>
    <row r="58" spans="1:15" s="71" customFormat="1" ht="15" customHeight="1">
      <c r="A58" s="466"/>
      <c r="B58" s="254" t="s">
        <v>668</v>
      </c>
      <c r="C58" s="255"/>
      <c r="D58" s="255"/>
      <c r="E58" s="255"/>
      <c r="F58" s="428"/>
      <c r="G58" s="428"/>
      <c r="H58" s="428"/>
      <c r="I58" s="428"/>
      <c r="J58" s="429"/>
      <c r="K58" s="234"/>
      <c r="L58" s="240"/>
      <c r="M58" s="240"/>
      <c r="N58" s="240"/>
      <c r="O58" s="234"/>
    </row>
    <row r="59" spans="1:15" s="71" customFormat="1" ht="15" customHeight="1">
      <c r="A59" s="361" t="s">
        <v>504</v>
      </c>
      <c r="B59" s="260" t="s">
        <v>531</v>
      </c>
      <c r="C59" s="187"/>
      <c r="D59" s="187"/>
      <c r="E59" s="187"/>
      <c r="F59" s="426"/>
      <c r="G59" s="426"/>
      <c r="H59" s="426"/>
      <c r="I59" s="426"/>
      <c r="J59" s="427"/>
      <c r="K59" s="232">
        <v>5</v>
      </c>
      <c r="L59" s="238"/>
      <c r="M59" s="238"/>
      <c r="N59" s="238"/>
      <c r="O59" s="238"/>
    </row>
    <row r="60" spans="1:15" s="71" customFormat="1" ht="15" customHeight="1">
      <c r="A60" s="466"/>
      <c r="B60" s="254" t="s">
        <v>532</v>
      </c>
      <c r="C60" s="255"/>
      <c r="D60" s="255"/>
      <c r="E60" s="255"/>
      <c r="F60" s="428"/>
      <c r="G60" s="428"/>
      <c r="H60" s="428"/>
      <c r="I60" s="428"/>
      <c r="J60" s="429"/>
      <c r="K60" s="234"/>
      <c r="L60" s="240"/>
      <c r="M60" s="240"/>
      <c r="N60" s="240"/>
      <c r="O60" s="240"/>
    </row>
    <row r="61" spans="1:15" s="71" customFormat="1" ht="15" customHeight="1">
      <c r="A61" s="361" t="s">
        <v>505</v>
      </c>
      <c r="B61" s="260" t="s">
        <v>533</v>
      </c>
      <c r="C61" s="187"/>
      <c r="D61" s="187"/>
      <c r="E61" s="187"/>
      <c r="F61" s="426"/>
      <c r="G61" s="426"/>
      <c r="H61" s="426"/>
      <c r="I61" s="426"/>
      <c r="J61" s="427"/>
      <c r="K61" s="232">
        <v>5</v>
      </c>
      <c r="L61" s="238"/>
      <c r="M61" s="238"/>
      <c r="N61" s="238"/>
      <c r="O61" s="232" t="s">
        <v>76</v>
      </c>
    </row>
    <row r="62" spans="1:15" s="71" customFormat="1" ht="15" customHeight="1">
      <c r="A62" s="466"/>
      <c r="B62" s="254" t="s">
        <v>534</v>
      </c>
      <c r="C62" s="255"/>
      <c r="D62" s="255"/>
      <c r="E62" s="255"/>
      <c r="F62" s="428"/>
      <c r="G62" s="428"/>
      <c r="H62" s="428"/>
      <c r="I62" s="428"/>
      <c r="J62" s="429"/>
      <c r="K62" s="234"/>
      <c r="L62" s="240"/>
      <c r="M62" s="240"/>
      <c r="N62" s="240"/>
      <c r="O62" s="234"/>
    </row>
    <row r="63" spans="1:15" s="71" customFormat="1" ht="15" customHeight="1">
      <c r="A63" s="361" t="s">
        <v>506</v>
      </c>
      <c r="B63" s="260" t="s">
        <v>535</v>
      </c>
      <c r="C63" s="187"/>
      <c r="D63" s="187"/>
      <c r="E63" s="187"/>
      <c r="F63" s="426"/>
      <c r="G63" s="426"/>
      <c r="H63" s="426"/>
      <c r="I63" s="426"/>
      <c r="J63" s="427"/>
      <c r="K63" s="232">
        <v>5</v>
      </c>
      <c r="L63" s="238"/>
      <c r="M63" s="238"/>
      <c r="N63" s="238"/>
      <c r="O63" s="232" t="s">
        <v>76</v>
      </c>
    </row>
    <row r="64" spans="1:15" s="71" customFormat="1" ht="15" customHeight="1">
      <c r="A64" s="466"/>
      <c r="B64" s="254" t="s">
        <v>536</v>
      </c>
      <c r="C64" s="255"/>
      <c r="D64" s="255"/>
      <c r="E64" s="255"/>
      <c r="F64" s="428"/>
      <c r="G64" s="428"/>
      <c r="H64" s="428"/>
      <c r="I64" s="428"/>
      <c r="J64" s="429"/>
      <c r="K64" s="234"/>
      <c r="L64" s="240"/>
      <c r="M64" s="240"/>
      <c r="N64" s="240"/>
      <c r="O64" s="234"/>
    </row>
    <row r="65" spans="1:15" s="71" customFormat="1" ht="15" customHeight="1">
      <c r="A65" s="107" t="s">
        <v>507</v>
      </c>
      <c r="B65" s="346" t="s">
        <v>537</v>
      </c>
      <c r="C65" s="347"/>
      <c r="D65" s="347"/>
      <c r="E65" s="347"/>
      <c r="F65" s="538"/>
      <c r="G65" s="538"/>
      <c r="H65" s="538"/>
      <c r="I65" s="538"/>
      <c r="J65" s="539"/>
      <c r="K65" s="29">
        <v>5</v>
      </c>
      <c r="L65" s="82"/>
      <c r="M65" s="82"/>
      <c r="N65" s="82"/>
      <c r="O65" s="82"/>
    </row>
    <row r="66" spans="1:15" s="71" customFormat="1" ht="15" customHeight="1">
      <c r="A66" s="107" t="s">
        <v>508</v>
      </c>
      <c r="B66" s="346" t="s">
        <v>373</v>
      </c>
      <c r="C66" s="347"/>
      <c r="D66" s="347"/>
      <c r="E66" s="347"/>
      <c r="F66" s="538"/>
      <c r="G66" s="538"/>
      <c r="H66" s="538"/>
      <c r="I66" s="538"/>
      <c r="J66" s="539"/>
      <c r="K66" s="29">
        <v>5</v>
      </c>
      <c r="L66" s="82"/>
      <c r="M66" s="82"/>
      <c r="N66" s="82"/>
      <c r="O66" s="82"/>
    </row>
    <row r="67" spans="1:15" s="71" customFormat="1" ht="15" customHeight="1">
      <c r="A67" s="361" t="s">
        <v>509</v>
      </c>
      <c r="B67" s="260" t="s">
        <v>538</v>
      </c>
      <c r="C67" s="187"/>
      <c r="D67" s="187"/>
      <c r="E67" s="187"/>
      <c r="F67" s="426"/>
      <c r="G67" s="426"/>
      <c r="H67" s="426"/>
      <c r="I67" s="426"/>
      <c r="J67" s="427"/>
      <c r="K67" s="232">
        <v>5</v>
      </c>
      <c r="L67" s="238"/>
      <c r="M67" s="238"/>
      <c r="N67" s="238"/>
      <c r="O67" s="238"/>
    </row>
    <row r="68" spans="1:15" s="71" customFormat="1" ht="15" customHeight="1">
      <c r="A68" s="466"/>
      <c r="B68" s="254" t="s">
        <v>539</v>
      </c>
      <c r="C68" s="255"/>
      <c r="D68" s="255"/>
      <c r="E68" s="255"/>
      <c r="F68" s="428"/>
      <c r="G68" s="428"/>
      <c r="H68" s="428"/>
      <c r="I68" s="428"/>
      <c r="J68" s="429"/>
      <c r="K68" s="234"/>
      <c r="L68" s="240"/>
      <c r="M68" s="240"/>
      <c r="N68" s="240"/>
      <c r="O68" s="240"/>
    </row>
    <row r="69" spans="1:15" s="71" customFormat="1" ht="15" customHeight="1">
      <c r="A69" s="107" t="s">
        <v>510</v>
      </c>
      <c r="B69" s="346" t="s">
        <v>540</v>
      </c>
      <c r="C69" s="347"/>
      <c r="D69" s="347"/>
      <c r="E69" s="347"/>
      <c r="F69" s="538"/>
      <c r="G69" s="538"/>
      <c r="H69" s="538"/>
      <c r="I69" s="538"/>
      <c r="J69" s="539"/>
      <c r="K69" s="29">
        <v>5</v>
      </c>
      <c r="L69" s="82"/>
      <c r="M69" s="82"/>
      <c r="N69" s="82"/>
      <c r="O69" s="82"/>
    </row>
    <row r="70" spans="1:15" s="71" customFormat="1" ht="15" customHeight="1">
      <c r="A70" s="361" t="s">
        <v>511</v>
      </c>
      <c r="B70" s="260" t="s">
        <v>541</v>
      </c>
      <c r="C70" s="187"/>
      <c r="D70" s="187"/>
      <c r="E70" s="187"/>
      <c r="F70" s="426"/>
      <c r="G70" s="426"/>
      <c r="H70" s="426"/>
      <c r="I70" s="426"/>
      <c r="J70" s="427"/>
      <c r="K70" s="232">
        <v>5</v>
      </c>
      <c r="L70" s="238"/>
      <c r="M70" s="238"/>
      <c r="N70" s="238"/>
      <c r="O70" s="238"/>
    </row>
    <row r="71" spans="1:15" s="71" customFormat="1" ht="15" customHeight="1">
      <c r="A71" s="466"/>
      <c r="B71" s="254" t="s">
        <v>542</v>
      </c>
      <c r="C71" s="255"/>
      <c r="D71" s="255"/>
      <c r="E71" s="255"/>
      <c r="F71" s="428"/>
      <c r="G71" s="428"/>
      <c r="H71" s="428"/>
      <c r="I71" s="428"/>
      <c r="J71" s="429"/>
      <c r="K71" s="234"/>
      <c r="L71" s="240"/>
      <c r="M71" s="240"/>
      <c r="N71" s="240"/>
      <c r="O71" s="240"/>
    </row>
    <row r="72" spans="1:15" s="71" customFormat="1" ht="15" customHeight="1">
      <c r="A72" s="361" t="s">
        <v>512</v>
      </c>
      <c r="B72" s="260" t="s">
        <v>543</v>
      </c>
      <c r="C72" s="187"/>
      <c r="D72" s="187"/>
      <c r="E72" s="187"/>
      <c r="F72" s="426"/>
      <c r="G72" s="426"/>
      <c r="H72" s="426"/>
      <c r="I72" s="426"/>
      <c r="J72" s="427"/>
      <c r="K72" s="232">
        <v>5</v>
      </c>
      <c r="L72" s="238"/>
      <c r="M72" s="238"/>
      <c r="N72" s="238"/>
      <c r="O72" s="232" t="s">
        <v>76</v>
      </c>
    </row>
    <row r="73" spans="1:15" s="71" customFormat="1" ht="15" customHeight="1">
      <c r="A73" s="466"/>
      <c r="B73" s="254" t="s">
        <v>544</v>
      </c>
      <c r="C73" s="255"/>
      <c r="D73" s="255"/>
      <c r="E73" s="255"/>
      <c r="F73" s="428"/>
      <c r="G73" s="428"/>
      <c r="H73" s="428"/>
      <c r="I73" s="428"/>
      <c r="J73" s="429"/>
      <c r="K73" s="234"/>
      <c r="L73" s="240"/>
      <c r="M73" s="240"/>
      <c r="N73" s="240"/>
      <c r="O73" s="234"/>
    </row>
    <row r="74" spans="1:15" s="71" customFormat="1" ht="15" customHeight="1">
      <c r="A74" s="107" t="s">
        <v>513</v>
      </c>
      <c r="B74" s="346" t="s">
        <v>545</v>
      </c>
      <c r="C74" s="347"/>
      <c r="D74" s="347"/>
      <c r="E74" s="347"/>
      <c r="F74" s="538"/>
      <c r="G74" s="538"/>
      <c r="H74" s="538"/>
      <c r="I74" s="538"/>
      <c r="J74" s="539"/>
      <c r="K74" s="29">
        <v>5</v>
      </c>
      <c r="L74" s="82"/>
      <c r="M74" s="82"/>
      <c r="N74" s="82"/>
      <c r="O74" s="29" t="s">
        <v>76</v>
      </c>
    </row>
    <row r="75" spans="1:15" s="71" customFormat="1" ht="15" customHeight="1">
      <c r="A75" s="361" t="s">
        <v>514</v>
      </c>
      <c r="B75" s="260" t="s">
        <v>546</v>
      </c>
      <c r="C75" s="187"/>
      <c r="D75" s="187"/>
      <c r="E75" s="187"/>
      <c r="F75" s="426"/>
      <c r="G75" s="426"/>
      <c r="H75" s="426"/>
      <c r="I75" s="426"/>
      <c r="J75" s="427"/>
      <c r="K75" s="232">
        <v>5</v>
      </c>
      <c r="L75" s="238"/>
      <c r="M75" s="238"/>
      <c r="N75" s="238"/>
      <c r="O75" s="232" t="s">
        <v>76</v>
      </c>
    </row>
    <row r="76" spans="1:15" s="71" customFormat="1" ht="15" customHeight="1">
      <c r="A76" s="375"/>
      <c r="B76" s="252" t="s">
        <v>547</v>
      </c>
      <c r="C76" s="172"/>
      <c r="D76" s="172"/>
      <c r="E76" s="172"/>
      <c r="F76" s="453"/>
      <c r="G76" s="453"/>
      <c r="H76" s="453"/>
      <c r="I76" s="453"/>
      <c r="J76" s="450"/>
      <c r="K76" s="233"/>
      <c r="L76" s="239"/>
      <c r="M76" s="239"/>
      <c r="N76" s="239"/>
      <c r="O76" s="233"/>
    </row>
    <row r="77" spans="1:15" s="71" customFormat="1" ht="15" customHeight="1">
      <c r="A77" s="375"/>
      <c r="B77" s="252" t="s">
        <v>548</v>
      </c>
      <c r="C77" s="172"/>
      <c r="D77" s="172"/>
      <c r="E77" s="172"/>
      <c r="F77" s="453"/>
      <c r="G77" s="453"/>
      <c r="H77" s="453"/>
      <c r="I77" s="453"/>
      <c r="J77" s="450"/>
      <c r="K77" s="233"/>
      <c r="L77" s="239"/>
      <c r="M77" s="239"/>
      <c r="N77" s="239"/>
      <c r="O77" s="233"/>
    </row>
    <row r="78" spans="1:15" s="71" customFormat="1" ht="15" customHeight="1">
      <c r="A78" s="466"/>
      <c r="B78" s="254" t="s">
        <v>549</v>
      </c>
      <c r="C78" s="255"/>
      <c r="D78" s="255"/>
      <c r="E78" s="255"/>
      <c r="F78" s="428"/>
      <c r="G78" s="428"/>
      <c r="H78" s="428"/>
      <c r="I78" s="428"/>
      <c r="J78" s="429"/>
      <c r="K78" s="234"/>
      <c r="L78" s="240"/>
      <c r="M78" s="240"/>
      <c r="N78" s="240"/>
      <c r="O78" s="234"/>
    </row>
    <row r="79" spans="1:15" s="71" customFormat="1" ht="15" customHeight="1">
      <c r="A79" s="361" t="s">
        <v>515</v>
      </c>
      <c r="B79" s="260" t="s">
        <v>550</v>
      </c>
      <c r="C79" s="187"/>
      <c r="D79" s="187"/>
      <c r="E79" s="187"/>
      <c r="F79" s="426"/>
      <c r="G79" s="426"/>
      <c r="H79" s="426"/>
      <c r="I79" s="426"/>
      <c r="J79" s="427"/>
      <c r="K79" s="232">
        <v>5</v>
      </c>
      <c r="L79" s="238"/>
      <c r="M79" s="238"/>
      <c r="N79" s="238"/>
      <c r="O79" s="232" t="s">
        <v>76</v>
      </c>
    </row>
    <row r="80" spans="1:15" s="71" customFormat="1" ht="15" customHeight="1">
      <c r="A80" s="466"/>
      <c r="B80" s="254" t="s">
        <v>551</v>
      </c>
      <c r="C80" s="255"/>
      <c r="D80" s="255"/>
      <c r="E80" s="255"/>
      <c r="F80" s="428"/>
      <c r="G80" s="428"/>
      <c r="H80" s="428"/>
      <c r="I80" s="428"/>
      <c r="J80" s="429"/>
      <c r="K80" s="234"/>
      <c r="L80" s="240"/>
      <c r="M80" s="240"/>
      <c r="N80" s="240"/>
      <c r="O80" s="234"/>
    </row>
    <row r="81" spans="1:16" s="71" customFormat="1" ht="15" customHeight="1">
      <c r="A81" s="361" t="s">
        <v>516</v>
      </c>
      <c r="B81" s="260" t="s">
        <v>552</v>
      </c>
      <c r="C81" s="187"/>
      <c r="D81" s="187"/>
      <c r="E81" s="187"/>
      <c r="F81" s="426"/>
      <c r="G81" s="426"/>
      <c r="H81" s="426"/>
      <c r="I81" s="426"/>
      <c r="J81" s="427"/>
      <c r="K81" s="232">
        <v>5</v>
      </c>
      <c r="L81" s="238"/>
      <c r="M81" s="238"/>
      <c r="N81" s="238"/>
      <c r="O81" s="232" t="s">
        <v>76</v>
      </c>
    </row>
    <row r="82" spans="1:16" s="71" customFormat="1" ht="15" customHeight="1">
      <c r="A82" s="375"/>
      <c r="B82" s="252" t="s">
        <v>553</v>
      </c>
      <c r="C82" s="172"/>
      <c r="D82" s="172"/>
      <c r="E82" s="172"/>
      <c r="F82" s="453"/>
      <c r="G82" s="453"/>
      <c r="H82" s="453"/>
      <c r="I82" s="453"/>
      <c r="J82" s="450"/>
      <c r="K82" s="233"/>
      <c r="L82" s="239"/>
      <c r="M82" s="239"/>
      <c r="N82" s="239"/>
      <c r="O82" s="233"/>
    </row>
    <row r="83" spans="1:16" s="71" customFormat="1" ht="15" customHeight="1">
      <c r="A83" s="466"/>
      <c r="B83" s="254" t="s">
        <v>554</v>
      </c>
      <c r="C83" s="255"/>
      <c r="D83" s="255"/>
      <c r="E83" s="255"/>
      <c r="F83" s="428"/>
      <c r="G83" s="428"/>
      <c r="H83" s="428"/>
      <c r="I83" s="428"/>
      <c r="J83" s="429"/>
      <c r="K83" s="234"/>
      <c r="L83" s="240"/>
      <c r="M83" s="240"/>
      <c r="N83" s="240"/>
      <c r="O83" s="234"/>
    </row>
    <row r="84" spans="1:16" s="71" customFormat="1" ht="15" customHeight="1">
      <c r="A84" s="361" t="s">
        <v>517</v>
      </c>
      <c r="B84" s="260" t="s">
        <v>881</v>
      </c>
      <c r="C84" s="187"/>
      <c r="D84" s="187"/>
      <c r="E84" s="187"/>
      <c r="F84" s="426"/>
      <c r="G84" s="426"/>
      <c r="H84" s="426"/>
      <c r="I84" s="426"/>
      <c r="J84" s="427"/>
      <c r="K84" s="232">
        <v>5</v>
      </c>
      <c r="L84" s="238"/>
      <c r="M84" s="238"/>
      <c r="N84" s="238"/>
      <c r="O84" s="232" t="s">
        <v>76</v>
      </c>
    </row>
    <row r="85" spans="1:16" s="71" customFormat="1" ht="15" customHeight="1">
      <c r="A85" s="466"/>
      <c r="B85" s="254" t="s">
        <v>882</v>
      </c>
      <c r="C85" s="255"/>
      <c r="D85" s="255"/>
      <c r="E85" s="255"/>
      <c r="F85" s="428"/>
      <c r="G85" s="428"/>
      <c r="H85" s="428"/>
      <c r="I85" s="428"/>
      <c r="J85" s="429"/>
      <c r="K85" s="234"/>
      <c r="L85" s="240"/>
      <c r="M85" s="240"/>
      <c r="N85" s="240"/>
      <c r="O85" s="234"/>
    </row>
    <row r="86" spans="1:16" s="41" customFormat="1" ht="15">
      <c r="A86" s="300" t="s">
        <v>66</v>
      </c>
      <c r="B86" s="301"/>
      <c r="C86" s="301"/>
      <c r="D86" s="301"/>
      <c r="E86" s="301"/>
      <c r="F86" s="301"/>
      <c r="G86" s="301"/>
      <c r="H86" s="301"/>
      <c r="I86" s="301"/>
      <c r="J86" s="302"/>
      <c r="K86" s="74" t="s">
        <v>65</v>
      </c>
      <c r="L86" s="75" t="s">
        <v>27</v>
      </c>
      <c r="M86" s="75" t="s">
        <v>64</v>
      </c>
      <c r="N86" s="75" t="s">
        <v>63</v>
      </c>
      <c r="O86" s="75" t="s">
        <v>62</v>
      </c>
      <c r="P86" s="40"/>
    </row>
    <row r="87" spans="1:16" s="71" customFormat="1" ht="15" customHeight="1">
      <c r="A87" s="361" t="s">
        <v>555</v>
      </c>
      <c r="B87" s="260" t="s">
        <v>559</v>
      </c>
      <c r="C87" s="187"/>
      <c r="D87" s="187"/>
      <c r="E87" s="187"/>
      <c r="F87" s="426"/>
      <c r="G87" s="426"/>
      <c r="H87" s="426"/>
      <c r="I87" s="426"/>
      <c r="J87" s="427"/>
      <c r="K87" s="232">
        <v>5</v>
      </c>
      <c r="L87" s="238"/>
      <c r="M87" s="238"/>
      <c r="N87" s="238"/>
      <c r="O87" s="232" t="s">
        <v>76</v>
      </c>
    </row>
    <row r="88" spans="1:16" s="71" customFormat="1" ht="15" customHeight="1">
      <c r="A88" s="466"/>
      <c r="B88" s="254" t="s">
        <v>560</v>
      </c>
      <c r="C88" s="255"/>
      <c r="D88" s="255"/>
      <c r="E88" s="255"/>
      <c r="F88" s="428"/>
      <c r="G88" s="428"/>
      <c r="H88" s="428"/>
      <c r="I88" s="428"/>
      <c r="J88" s="429"/>
      <c r="K88" s="448"/>
      <c r="L88" s="452"/>
      <c r="M88" s="452"/>
      <c r="N88" s="452"/>
      <c r="O88" s="234"/>
    </row>
    <row r="89" spans="1:16" s="71" customFormat="1" ht="15" customHeight="1">
      <c r="A89" s="361" t="s">
        <v>556</v>
      </c>
      <c r="B89" s="260" t="s">
        <v>561</v>
      </c>
      <c r="C89" s="187"/>
      <c r="D89" s="187"/>
      <c r="E89" s="187"/>
      <c r="F89" s="426"/>
      <c r="G89" s="426"/>
      <c r="H89" s="426"/>
      <c r="I89" s="426"/>
      <c r="J89" s="427"/>
      <c r="K89" s="232">
        <v>5</v>
      </c>
      <c r="L89" s="238"/>
      <c r="M89" s="238"/>
      <c r="N89" s="238"/>
      <c r="O89" s="232" t="s">
        <v>76</v>
      </c>
    </row>
    <row r="90" spans="1:16" s="71" customFormat="1" ht="15" customHeight="1">
      <c r="A90" s="375"/>
      <c r="B90" s="252" t="s">
        <v>562</v>
      </c>
      <c r="C90" s="172"/>
      <c r="D90" s="172"/>
      <c r="E90" s="172"/>
      <c r="F90" s="453"/>
      <c r="G90" s="453"/>
      <c r="H90" s="453"/>
      <c r="I90" s="453"/>
      <c r="J90" s="450"/>
      <c r="K90" s="233"/>
      <c r="L90" s="239"/>
      <c r="M90" s="239"/>
      <c r="N90" s="239"/>
      <c r="O90" s="233"/>
    </row>
    <row r="91" spans="1:16" s="71" customFormat="1" ht="15" customHeight="1">
      <c r="A91" s="466"/>
      <c r="B91" s="254" t="s">
        <v>120</v>
      </c>
      <c r="C91" s="255"/>
      <c r="D91" s="255"/>
      <c r="E91" s="255"/>
      <c r="F91" s="428"/>
      <c r="G91" s="428"/>
      <c r="H91" s="428"/>
      <c r="I91" s="428"/>
      <c r="J91" s="429"/>
      <c r="K91" s="234"/>
      <c r="L91" s="240"/>
      <c r="M91" s="240"/>
      <c r="N91" s="240"/>
      <c r="O91" s="234"/>
    </row>
    <row r="92" spans="1:16" s="71" customFormat="1" ht="15" customHeight="1">
      <c r="A92" s="361" t="s">
        <v>557</v>
      </c>
      <c r="B92" s="260" t="s">
        <v>563</v>
      </c>
      <c r="C92" s="187"/>
      <c r="D92" s="187"/>
      <c r="E92" s="187"/>
      <c r="F92" s="426"/>
      <c r="G92" s="426"/>
      <c r="H92" s="426"/>
      <c r="I92" s="426"/>
      <c r="J92" s="427"/>
      <c r="K92" s="232">
        <v>5</v>
      </c>
      <c r="L92" s="238"/>
      <c r="M92" s="238"/>
      <c r="N92" s="238"/>
      <c r="O92" s="232" t="s">
        <v>76</v>
      </c>
    </row>
    <row r="93" spans="1:16" s="71" customFormat="1" ht="15" customHeight="1">
      <c r="A93" s="466"/>
      <c r="B93" s="254" t="s">
        <v>564</v>
      </c>
      <c r="C93" s="255"/>
      <c r="D93" s="255"/>
      <c r="E93" s="255"/>
      <c r="F93" s="428"/>
      <c r="G93" s="428"/>
      <c r="H93" s="428"/>
      <c r="I93" s="428"/>
      <c r="J93" s="429"/>
      <c r="K93" s="448"/>
      <c r="L93" s="452"/>
      <c r="M93" s="452"/>
      <c r="N93" s="452"/>
      <c r="O93" s="234"/>
    </row>
    <row r="94" spans="1:16" s="71" customFormat="1" ht="15" customHeight="1">
      <c r="A94" s="361" t="s">
        <v>558</v>
      </c>
      <c r="B94" s="260" t="s">
        <v>565</v>
      </c>
      <c r="C94" s="187"/>
      <c r="D94" s="187"/>
      <c r="E94" s="187"/>
      <c r="F94" s="426"/>
      <c r="G94" s="426"/>
      <c r="H94" s="426"/>
      <c r="I94" s="426"/>
      <c r="J94" s="427"/>
      <c r="K94" s="232">
        <v>5</v>
      </c>
      <c r="L94" s="238"/>
      <c r="M94" s="238"/>
      <c r="N94" s="238"/>
      <c r="O94" s="232" t="s">
        <v>76</v>
      </c>
    </row>
    <row r="95" spans="1:16" s="71" customFormat="1" ht="15" customHeight="1">
      <c r="A95" s="375"/>
      <c r="B95" s="252" t="s">
        <v>566</v>
      </c>
      <c r="C95" s="172"/>
      <c r="D95" s="172"/>
      <c r="E95" s="172"/>
      <c r="F95" s="453"/>
      <c r="G95" s="453"/>
      <c r="H95" s="453"/>
      <c r="I95" s="453"/>
      <c r="J95" s="450"/>
      <c r="K95" s="233"/>
      <c r="L95" s="239"/>
      <c r="M95" s="239"/>
      <c r="N95" s="239"/>
      <c r="O95" s="233"/>
    </row>
    <row r="96" spans="1:16" s="71" customFormat="1" ht="15" customHeight="1">
      <c r="A96" s="466"/>
      <c r="B96" s="254" t="s">
        <v>567</v>
      </c>
      <c r="C96" s="255"/>
      <c r="D96" s="255"/>
      <c r="E96" s="255"/>
      <c r="F96" s="428"/>
      <c r="G96" s="428"/>
      <c r="H96" s="428"/>
      <c r="I96" s="428"/>
      <c r="J96" s="429"/>
      <c r="K96" s="234"/>
      <c r="L96" s="240"/>
      <c r="M96" s="240"/>
      <c r="N96" s="240"/>
      <c r="O96" s="234"/>
    </row>
    <row r="97" spans="1:20" s="59" customFormat="1" ht="6" customHeight="1">
      <c r="A97" s="265"/>
      <c r="B97" s="265"/>
      <c r="C97" s="265"/>
      <c r="D97" s="265"/>
      <c r="E97" s="265"/>
      <c r="F97" s="265"/>
      <c r="G97" s="265"/>
      <c r="H97" s="265"/>
      <c r="I97" s="265"/>
      <c r="J97" s="265"/>
      <c r="K97" s="265"/>
      <c r="L97" s="265"/>
      <c r="M97" s="265"/>
      <c r="N97" s="265"/>
      <c r="O97" s="265"/>
      <c r="P97" s="66"/>
    </row>
    <row r="98" spans="1:20" s="59" customFormat="1" ht="15" customHeight="1">
      <c r="A98" s="263" t="s">
        <v>112</v>
      </c>
      <c r="B98" s="264"/>
      <c r="C98" s="264"/>
      <c r="D98" s="84"/>
      <c r="E98" s="266"/>
      <c r="F98" s="266"/>
      <c r="G98" s="266"/>
      <c r="H98" s="266"/>
      <c r="I98" s="266"/>
      <c r="J98" s="266"/>
      <c r="K98" s="266"/>
      <c r="L98" s="266"/>
      <c r="M98" s="266"/>
      <c r="N98" s="266"/>
      <c r="O98" s="267"/>
      <c r="P98" s="66"/>
    </row>
    <row r="99" spans="1:20" s="59" customFormat="1" ht="27" customHeight="1">
      <c r="A99" s="227"/>
      <c r="B99" s="227"/>
      <c r="C99" s="227"/>
      <c r="D99" s="227"/>
      <c r="E99" s="227"/>
      <c r="F99" s="227"/>
      <c r="G99" s="227"/>
      <c r="H99" s="227"/>
      <c r="I99" s="227"/>
      <c r="J99" s="227"/>
      <c r="K99" s="227"/>
      <c r="L99" s="227"/>
      <c r="M99" s="227"/>
      <c r="N99" s="227"/>
      <c r="O99" s="227"/>
      <c r="P99" s="66"/>
    </row>
    <row r="100" spans="1:20" s="59" customFormat="1" ht="27" customHeight="1">
      <c r="A100" s="227"/>
      <c r="B100" s="227"/>
      <c r="C100" s="227"/>
      <c r="D100" s="227"/>
      <c r="E100" s="227"/>
      <c r="F100" s="227"/>
      <c r="G100" s="227"/>
      <c r="H100" s="227"/>
      <c r="I100" s="227"/>
      <c r="J100" s="227"/>
      <c r="K100" s="227"/>
      <c r="L100" s="227"/>
      <c r="M100" s="227"/>
      <c r="N100" s="227"/>
      <c r="O100" s="227"/>
      <c r="P100" s="66"/>
    </row>
    <row r="101" spans="1:20" s="59" customFormat="1" ht="27" customHeight="1">
      <c r="A101" s="227"/>
      <c r="B101" s="227"/>
      <c r="C101" s="227"/>
      <c r="D101" s="227"/>
      <c r="E101" s="227"/>
      <c r="F101" s="227"/>
      <c r="G101" s="227"/>
      <c r="H101" s="227"/>
      <c r="I101" s="227"/>
      <c r="J101" s="227"/>
      <c r="K101" s="227"/>
      <c r="L101" s="227"/>
      <c r="M101" s="227"/>
      <c r="N101" s="227"/>
      <c r="O101" s="227"/>
      <c r="P101" s="66"/>
    </row>
    <row r="102" spans="1:20" s="59" customFormat="1" ht="27" customHeight="1">
      <c r="A102" s="227"/>
      <c r="B102" s="227"/>
      <c r="C102" s="227"/>
      <c r="D102" s="227"/>
      <c r="E102" s="227"/>
      <c r="F102" s="227"/>
      <c r="G102" s="227"/>
      <c r="H102" s="227"/>
      <c r="I102" s="227"/>
      <c r="J102" s="227"/>
      <c r="K102" s="227"/>
      <c r="L102" s="227"/>
      <c r="M102" s="227"/>
      <c r="N102" s="227"/>
      <c r="O102" s="227"/>
      <c r="P102" s="66"/>
    </row>
    <row r="103" spans="1:20" s="59" customFormat="1" ht="27" customHeight="1">
      <c r="A103" s="227"/>
      <c r="B103" s="227"/>
      <c r="C103" s="227"/>
      <c r="D103" s="227"/>
      <c r="E103" s="227"/>
      <c r="F103" s="227"/>
      <c r="G103" s="227"/>
      <c r="H103" s="227"/>
      <c r="I103" s="227"/>
      <c r="J103" s="227"/>
      <c r="K103" s="227"/>
      <c r="L103" s="227"/>
      <c r="M103" s="227"/>
      <c r="N103" s="227"/>
      <c r="O103" s="227"/>
      <c r="P103" s="66"/>
    </row>
    <row r="104" spans="1:20" s="59" customFormat="1" ht="27" customHeight="1">
      <c r="A104" s="227"/>
      <c r="B104" s="227"/>
      <c r="C104" s="227"/>
      <c r="D104" s="227"/>
      <c r="E104" s="227"/>
      <c r="F104" s="227"/>
      <c r="G104" s="227"/>
      <c r="H104" s="227"/>
      <c r="I104" s="227"/>
      <c r="J104" s="227"/>
      <c r="K104" s="227"/>
      <c r="L104" s="227"/>
      <c r="M104" s="227"/>
      <c r="N104" s="227"/>
      <c r="O104" s="227"/>
      <c r="Q104" s="34"/>
      <c r="R104" s="62"/>
      <c r="S104" s="62"/>
      <c r="T104" s="62"/>
    </row>
    <row r="105" spans="1:20" s="59" customFormat="1" ht="27" customHeight="1">
      <c r="A105" s="227"/>
      <c r="B105" s="227"/>
      <c r="C105" s="227"/>
      <c r="D105" s="227"/>
      <c r="E105" s="227"/>
      <c r="F105" s="227"/>
      <c r="G105" s="227"/>
      <c r="H105" s="227"/>
      <c r="I105" s="227"/>
      <c r="J105" s="227"/>
      <c r="K105" s="227"/>
      <c r="L105" s="227"/>
      <c r="M105" s="227"/>
      <c r="N105" s="227"/>
      <c r="O105" s="227"/>
      <c r="P105" s="66"/>
    </row>
    <row r="106" spans="1:20" s="59" customFormat="1" ht="27" customHeight="1">
      <c r="A106" s="227"/>
      <c r="B106" s="227"/>
      <c r="C106" s="227"/>
      <c r="D106" s="227"/>
      <c r="E106" s="227"/>
      <c r="F106" s="227"/>
      <c r="G106" s="227"/>
      <c r="H106" s="227"/>
      <c r="I106" s="227"/>
      <c r="J106" s="227"/>
      <c r="K106" s="227"/>
      <c r="L106" s="227"/>
      <c r="M106" s="227"/>
      <c r="N106" s="227"/>
      <c r="O106" s="227"/>
      <c r="P106" s="66"/>
    </row>
    <row r="107" spans="1:20" s="59" customFormat="1" ht="27" customHeight="1">
      <c r="A107" s="227"/>
      <c r="B107" s="227"/>
      <c r="C107" s="227"/>
      <c r="D107" s="227"/>
      <c r="E107" s="227"/>
      <c r="F107" s="227"/>
      <c r="G107" s="227"/>
      <c r="H107" s="227"/>
      <c r="I107" s="227"/>
      <c r="J107" s="227"/>
      <c r="K107" s="227"/>
      <c r="L107" s="227"/>
      <c r="M107" s="227"/>
      <c r="N107" s="227"/>
      <c r="O107" s="227"/>
      <c r="P107" s="66"/>
    </row>
    <row r="108" spans="1:20" s="59" customFormat="1" ht="27" customHeight="1">
      <c r="A108" s="227"/>
      <c r="B108" s="227"/>
      <c r="C108" s="227"/>
      <c r="D108" s="227"/>
      <c r="E108" s="227"/>
      <c r="F108" s="227"/>
      <c r="G108" s="227"/>
      <c r="H108" s="227"/>
      <c r="I108" s="227"/>
      <c r="J108" s="227"/>
      <c r="K108" s="227"/>
      <c r="L108" s="227"/>
      <c r="M108" s="227"/>
      <c r="N108" s="227"/>
      <c r="O108" s="227"/>
      <c r="P108" s="66"/>
    </row>
    <row r="109" spans="1:20" s="59" customFormat="1" ht="27" customHeight="1">
      <c r="A109" s="227"/>
      <c r="B109" s="227"/>
      <c r="C109" s="227"/>
      <c r="D109" s="227"/>
      <c r="E109" s="227"/>
      <c r="F109" s="227"/>
      <c r="G109" s="227"/>
      <c r="H109" s="227"/>
      <c r="I109" s="227"/>
      <c r="J109" s="227"/>
      <c r="K109" s="227"/>
      <c r="L109" s="227"/>
      <c r="M109" s="227"/>
      <c r="N109" s="227"/>
      <c r="O109" s="227"/>
      <c r="Q109" s="34"/>
      <c r="R109" s="62"/>
      <c r="S109" s="62"/>
      <c r="T109" s="62"/>
    </row>
    <row r="110" spans="1:20" s="59" customFormat="1" ht="27" customHeight="1">
      <c r="A110" s="227"/>
      <c r="B110" s="227"/>
      <c r="C110" s="227"/>
      <c r="D110" s="227"/>
      <c r="E110" s="227"/>
      <c r="F110" s="227"/>
      <c r="G110" s="227"/>
      <c r="H110" s="227"/>
      <c r="I110" s="227"/>
      <c r="J110" s="227"/>
      <c r="K110" s="227"/>
      <c r="L110" s="227"/>
      <c r="M110" s="227"/>
      <c r="N110" s="227"/>
      <c r="O110" s="227"/>
      <c r="P110" s="66"/>
    </row>
    <row r="111" spans="1:20" s="59" customFormat="1" ht="27" customHeight="1">
      <c r="A111" s="227"/>
      <c r="B111" s="227"/>
      <c r="C111" s="227"/>
      <c r="D111" s="227"/>
      <c r="E111" s="227"/>
      <c r="F111" s="227"/>
      <c r="G111" s="227"/>
      <c r="H111" s="227"/>
      <c r="I111" s="227"/>
      <c r="J111" s="227"/>
      <c r="K111" s="227"/>
      <c r="L111" s="227"/>
      <c r="M111" s="227"/>
      <c r="N111" s="227"/>
      <c r="O111" s="227"/>
      <c r="Q111" s="34"/>
      <c r="R111" s="62"/>
      <c r="S111" s="62"/>
      <c r="T111" s="62"/>
    </row>
    <row r="112" spans="1:20" s="59" customFormat="1" ht="27" customHeight="1">
      <c r="A112" s="227"/>
      <c r="B112" s="227"/>
      <c r="C112" s="227"/>
      <c r="D112" s="227"/>
      <c r="E112" s="227"/>
      <c r="F112" s="227"/>
      <c r="G112" s="227"/>
      <c r="H112" s="227"/>
      <c r="I112" s="227"/>
      <c r="J112" s="227"/>
      <c r="K112" s="227"/>
      <c r="L112" s="227"/>
      <c r="M112" s="227"/>
      <c r="N112" s="227"/>
      <c r="O112" s="227"/>
      <c r="P112" s="66"/>
    </row>
    <row r="113" spans="1:20" s="59" customFormat="1" ht="27" customHeight="1">
      <c r="A113" s="227"/>
      <c r="B113" s="227"/>
      <c r="C113" s="227"/>
      <c r="D113" s="227"/>
      <c r="E113" s="227"/>
      <c r="F113" s="227"/>
      <c r="G113" s="227"/>
      <c r="H113" s="227"/>
      <c r="I113" s="227"/>
      <c r="J113" s="227"/>
      <c r="K113" s="227"/>
      <c r="L113" s="227"/>
      <c r="M113" s="227"/>
      <c r="N113" s="227"/>
      <c r="O113" s="227"/>
      <c r="Q113" s="34"/>
      <c r="R113" s="62"/>
      <c r="S113" s="62"/>
      <c r="T113" s="62"/>
    </row>
    <row r="114" spans="1:20" s="59" customFormat="1" ht="27" customHeight="1">
      <c r="A114" s="227"/>
      <c r="B114" s="227"/>
      <c r="C114" s="227"/>
      <c r="D114" s="227"/>
      <c r="E114" s="227"/>
      <c r="F114" s="227"/>
      <c r="G114" s="227"/>
      <c r="H114" s="227"/>
      <c r="I114" s="227"/>
      <c r="J114" s="227"/>
      <c r="K114" s="227"/>
      <c r="L114" s="227"/>
      <c r="M114" s="227"/>
      <c r="N114" s="227"/>
      <c r="O114" s="227"/>
      <c r="Q114" s="34"/>
      <c r="R114" s="62"/>
      <c r="S114" s="62"/>
      <c r="T114" s="62"/>
    </row>
    <row r="115" spans="1:20" s="59" customFormat="1" ht="27" customHeight="1">
      <c r="A115" s="227"/>
      <c r="B115" s="227"/>
      <c r="C115" s="227"/>
      <c r="D115" s="227"/>
      <c r="E115" s="227"/>
      <c r="F115" s="227"/>
      <c r="G115" s="227"/>
      <c r="H115" s="227"/>
      <c r="I115" s="227"/>
      <c r="J115" s="227"/>
      <c r="K115" s="227"/>
      <c r="L115" s="227"/>
      <c r="M115" s="227"/>
      <c r="N115" s="227"/>
      <c r="O115" s="227"/>
      <c r="P115" s="66"/>
    </row>
    <row r="116" spans="1:20" s="59" customFormat="1" ht="27" customHeight="1">
      <c r="A116" s="231"/>
      <c r="B116" s="231"/>
      <c r="C116" s="231"/>
      <c r="D116" s="231"/>
      <c r="E116" s="231"/>
      <c r="F116" s="231"/>
      <c r="G116" s="231"/>
      <c r="H116" s="231"/>
      <c r="I116" s="231"/>
      <c r="J116" s="231"/>
      <c r="K116" s="231"/>
      <c r="L116" s="231"/>
      <c r="M116" s="231"/>
      <c r="N116" s="231"/>
      <c r="O116" s="231"/>
      <c r="Q116" s="34"/>
      <c r="R116" s="62"/>
      <c r="S116" s="62"/>
      <c r="T116" s="62"/>
    </row>
    <row r="117" spans="1:20" s="59" customFormat="1" ht="27" customHeight="1">
      <c r="A117" s="231"/>
      <c r="B117" s="231"/>
      <c r="C117" s="231"/>
      <c r="D117" s="231"/>
      <c r="E117" s="231"/>
      <c r="F117" s="231"/>
      <c r="G117" s="231"/>
      <c r="H117" s="231"/>
      <c r="I117" s="231"/>
      <c r="J117" s="231"/>
      <c r="K117" s="231"/>
      <c r="L117" s="231"/>
      <c r="M117" s="231"/>
      <c r="N117" s="231"/>
      <c r="O117" s="231"/>
      <c r="Q117" s="34"/>
      <c r="R117" s="62"/>
      <c r="S117" s="62"/>
      <c r="T117" s="62"/>
    </row>
    <row r="118" spans="1:20" s="59" customFormat="1" ht="27" customHeight="1">
      <c r="A118" s="231"/>
      <c r="B118" s="231"/>
      <c r="C118" s="231"/>
      <c r="D118" s="231"/>
      <c r="E118" s="231"/>
      <c r="F118" s="231"/>
      <c r="G118" s="231"/>
      <c r="H118" s="231"/>
      <c r="I118" s="231"/>
      <c r="J118" s="231"/>
      <c r="K118" s="231"/>
      <c r="L118" s="231"/>
      <c r="M118" s="231"/>
      <c r="N118" s="231"/>
      <c r="O118" s="231"/>
      <c r="P118" s="66"/>
    </row>
    <row r="119" spans="1:20" s="59" customFormat="1" ht="27" customHeight="1">
      <c r="A119" s="231"/>
      <c r="B119" s="231"/>
      <c r="C119" s="231"/>
      <c r="D119" s="231"/>
      <c r="E119" s="231"/>
      <c r="F119" s="231"/>
      <c r="G119" s="231"/>
      <c r="H119" s="231"/>
      <c r="I119" s="231"/>
      <c r="J119" s="231"/>
      <c r="K119" s="231"/>
      <c r="L119" s="231"/>
      <c r="M119" s="231"/>
      <c r="N119" s="231"/>
      <c r="O119" s="231"/>
      <c r="Q119" s="34"/>
      <c r="R119" s="62"/>
      <c r="S119" s="62"/>
      <c r="T119" s="62"/>
    </row>
    <row r="120" spans="1:20" s="59" customFormat="1" ht="27" customHeight="1">
      <c r="A120" s="231"/>
      <c r="B120" s="231"/>
      <c r="C120" s="231"/>
      <c r="D120" s="231"/>
      <c r="E120" s="231"/>
      <c r="F120" s="231"/>
      <c r="G120" s="231"/>
      <c r="H120" s="231"/>
      <c r="I120" s="231"/>
      <c r="J120" s="231"/>
      <c r="K120" s="231"/>
      <c r="L120" s="231"/>
      <c r="M120" s="231"/>
      <c r="N120" s="231"/>
      <c r="O120" s="231"/>
      <c r="Q120" s="34"/>
      <c r="R120" s="62"/>
      <c r="S120" s="62"/>
      <c r="T120" s="62"/>
    </row>
    <row r="121" spans="1:20" s="59" customFormat="1" ht="27" customHeight="1">
      <c r="A121" s="231"/>
      <c r="B121" s="231"/>
      <c r="C121" s="231"/>
      <c r="D121" s="231"/>
      <c r="E121" s="231"/>
      <c r="F121" s="231"/>
      <c r="G121" s="231"/>
      <c r="H121" s="231"/>
      <c r="I121" s="231"/>
      <c r="J121" s="231"/>
      <c r="K121" s="231"/>
      <c r="L121" s="231"/>
      <c r="M121" s="231"/>
      <c r="N121" s="231"/>
      <c r="O121" s="231"/>
      <c r="P121" s="66"/>
    </row>
    <row r="122" spans="1:20" s="59" customFormat="1">
      <c r="A122" s="167"/>
      <c r="B122" s="167"/>
      <c r="C122" s="167"/>
      <c r="D122" s="167"/>
      <c r="E122" s="167"/>
      <c r="F122" s="167"/>
      <c r="G122" s="167"/>
      <c r="H122" s="167"/>
      <c r="I122" s="167"/>
      <c r="J122" s="167"/>
      <c r="K122" s="167"/>
      <c r="L122" s="167"/>
      <c r="M122" s="167"/>
      <c r="N122" s="167"/>
      <c r="O122" s="167"/>
    </row>
    <row r="123" spans="1:20" s="59" customFormat="1" ht="27" customHeight="1" thickBot="1">
      <c r="A123" s="563" t="s">
        <v>913</v>
      </c>
      <c r="B123" s="563"/>
      <c r="C123" s="563"/>
      <c r="D123" s="563"/>
      <c r="E123" s="563"/>
      <c r="F123" s="563"/>
      <c r="G123" s="563"/>
      <c r="H123" s="563"/>
      <c r="I123" s="563"/>
      <c r="J123" s="113">
        <f>L6+L11+L13+L19+L22+L24+L27+L30+L33+L35+L37+L40+L45+L48+L50+L52+L54+L56+L59+L61+L63+L65+L66+L67+L69+L70+L72+L74+L75+L79+L81+L84+L87+L89+L92+L94</f>
        <v>0</v>
      </c>
      <c r="K123" s="167"/>
      <c r="L123" s="167"/>
      <c r="M123" s="167"/>
      <c r="N123" s="167"/>
      <c r="O123" s="167"/>
    </row>
    <row r="124" spans="1:20" s="59" customFormat="1" ht="27" customHeight="1" thickBot="1">
      <c r="A124" s="353" t="s">
        <v>707</v>
      </c>
      <c r="B124" s="353"/>
      <c r="C124" s="353"/>
      <c r="D124" s="70" t="s">
        <v>704</v>
      </c>
      <c r="E124" s="113">
        <v>180</v>
      </c>
      <c r="G124" s="350" t="s">
        <v>708</v>
      </c>
      <c r="H124" s="350"/>
      <c r="I124" s="354"/>
      <c r="J124" s="354"/>
      <c r="K124" s="354"/>
      <c r="L124" s="354"/>
      <c r="M124" s="354"/>
      <c r="N124" s="354"/>
      <c r="O124" s="354"/>
    </row>
    <row r="125" spans="1:20" s="59" customFormat="1" ht="27" customHeight="1" thickBot="1">
      <c r="A125" s="262" t="s">
        <v>705</v>
      </c>
      <c r="B125" s="262"/>
      <c r="C125" s="262"/>
      <c r="D125" s="70" t="s">
        <v>704</v>
      </c>
      <c r="E125" s="114">
        <f>N13+N19+N22+N24+N27+N30+N33+N35+N37+N40+N45+N48+N50+N52+N54+N56+N59+N61+N63+N65+N66+N67+N69+N70+N72+N74+N75+N79+N81+N84+N87+N89+N92+N94</f>
        <v>0</v>
      </c>
      <c r="G125" s="350" t="s">
        <v>712</v>
      </c>
      <c r="H125" s="350"/>
      <c r="I125" s="350"/>
      <c r="J125" s="350"/>
      <c r="K125" s="350"/>
      <c r="L125" s="350"/>
      <c r="M125" s="350"/>
      <c r="N125" s="350"/>
      <c r="O125" s="350"/>
    </row>
    <row r="126" spans="1:20" s="59" customFormat="1" ht="27" customHeight="1" thickBot="1">
      <c r="A126" s="262" t="s">
        <v>709</v>
      </c>
      <c r="B126" s="262"/>
      <c r="C126" s="262"/>
      <c r="D126" s="70" t="s">
        <v>704</v>
      </c>
      <c r="E126" s="114">
        <f>E124-E125</f>
        <v>180</v>
      </c>
      <c r="G126" s="350" t="s">
        <v>713</v>
      </c>
      <c r="H126" s="350"/>
      <c r="I126" s="350"/>
      <c r="J126" s="350"/>
      <c r="K126" s="350"/>
      <c r="L126" s="350"/>
      <c r="M126" s="350"/>
      <c r="N126" s="350"/>
      <c r="O126" s="350"/>
    </row>
    <row r="127" spans="1:20" s="59" customFormat="1" ht="36" customHeight="1">
      <c r="A127" s="351" t="s">
        <v>710</v>
      </c>
      <c r="B127" s="351"/>
      <c r="C127" s="351"/>
      <c r="D127" s="167"/>
      <c r="E127" s="167"/>
      <c r="F127" s="167"/>
      <c r="G127" s="352" t="s">
        <v>714</v>
      </c>
      <c r="H127" s="352"/>
      <c r="I127" s="352"/>
      <c r="J127" s="352"/>
      <c r="K127" s="352"/>
      <c r="L127" s="352"/>
      <c r="M127" s="352"/>
      <c r="N127" s="352"/>
      <c r="O127" s="352"/>
    </row>
    <row r="128" spans="1:20" s="59" customFormat="1" ht="27" customHeight="1" thickBot="1">
      <c r="A128" s="262" t="s">
        <v>711</v>
      </c>
      <c r="B128" s="262"/>
      <c r="C128" s="262"/>
      <c r="D128" s="70" t="s">
        <v>704</v>
      </c>
      <c r="E128" s="113">
        <f>E126*0.8</f>
        <v>144</v>
      </c>
      <c r="G128" s="350"/>
      <c r="H128" s="350"/>
      <c r="I128" s="350"/>
      <c r="J128" s="350"/>
      <c r="K128" s="350"/>
      <c r="L128" s="350"/>
      <c r="M128" s="350"/>
      <c r="N128" s="350"/>
      <c r="O128" s="350"/>
    </row>
    <row r="129" spans="1:15" s="59" customFormat="1" ht="15" customHeight="1">
      <c r="A129" s="167"/>
      <c r="B129" s="167"/>
      <c r="C129" s="167"/>
      <c r="D129" s="167"/>
      <c r="E129" s="167"/>
      <c r="F129" s="167"/>
      <c r="G129" s="167"/>
      <c r="H129" s="167"/>
      <c r="I129" s="167"/>
      <c r="J129" s="167"/>
      <c r="K129" s="167"/>
      <c r="L129" s="167"/>
      <c r="M129" s="167"/>
      <c r="N129" s="167"/>
      <c r="O129" s="167"/>
    </row>
    <row r="130" spans="1:15" s="59" customFormat="1" ht="18" customHeight="1">
      <c r="A130" s="167"/>
      <c r="B130" s="167"/>
      <c r="C130" s="154"/>
      <c r="D130" s="88"/>
      <c r="E130" s="70" t="s">
        <v>575</v>
      </c>
      <c r="F130" s="225"/>
      <c r="G130" s="226"/>
      <c r="H130" s="88"/>
      <c r="I130" s="174" t="s">
        <v>574</v>
      </c>
      <c r="J130" s="262"/>
      <c r="K130" s="224" t="s">
        <v>715</v>
      </c>
      <c r="L130" s="224"/>
      <c r="M130" s="224"/>
      <c r="N130" s="224"/>
      <c r="O130" s="224"/>
    </row>
    <row r="131" spans="1:15" s="78" customFormat="1" ht="15" customHeight="1">
      <c r="A131" s="560"/>
      <c r="B131" s="560"/>
      <c r="C131" s="560"/>
      <c r="D131" s="560"/>
      <c r="E131" s="560"/>
      <c r="F131" s="560"/>
      <c r="G131" s="560"/>
      <c r="H131" s="560"/>
      <c r="I131" s="560"/>
      <c r="J131" s="560"/>
      <c r="K131" s="560"/>
      <c r="L131" s="560"/>
      <c r="M131" s="560"/>
      <c r="N131" s="560"/>
      <c r="O131" s="560"/>
    </row>
    <row r="132" spans="1:15" s="78" customFormat="1" ht="18">
      <c r="A132" s="558" t="s">
        <v>568</v>
      </c>
      <c r="B132" s="558"/>
      <c r="C132" s="558"/>
      <c r="D132" s="558"/>
      <c r="E132" s="558"/>
      <c r="F132" s="558"/>
      <c r="G132" s="558"/>
      <c r="H132" s="558"/>
      <c r="I132" s="558"/>
      <c r="J132" s="558"/>
      <c r="K132" s="558"/>
      <c r="L132" s="558"/>
      <c r="M132" s="558"/>
      <c r="N132" s="558"/>
      <c r="O132" s="558"/>
    </row>
    <row r="133" spans="1:15" s="78" customFormat="1" ht="18">
      <c r="A133" s="558" t="s">
        <v>569</v>
      </c>
      <c r="B133" s="558"/>
      <c r="C133" s="558"/>
      <c r="D133" s="558"/>
      <c r="E133" s="558"/>
      <c r="F133" s="558"/>
      <c r="G133" s="558"/>
      <c r="H133" s="558"/>
      <c r="I133" s="558"/>
      <c r="J133" s="558"/>
      <c r="K133" s="558"/>
      <c r="L133" s="558"/>
      <c r="M133" s="558"/>
      <c r="N133" s="558"/>
      <c r="O133" s="558"/>
    </row>
    <row r="134" spans="1:15" s="78" customFormat="1" ht="15" customHeight="1">
      <c r="A134" s="560"/>
      <c r="B134" s="560"/>
      <c r="C134" s="560"/>
      <c r="D134" s="560"/>
      <c r="E134" s="560"/>
      <c r="F134" s="560"/>
      <c r="G134" s="560"/>
      <c r="H134" s="560"/>
      <c r="I134" s="560"/>
      <c r="J134" s="560"/>
      <c r="K134" s="560"/>
      <c r="L134" s="560"/>
      <c r="M134" s="560"/>
      <c r="N134" s="560"/>
      <c r="O134" s="560"/>
    </row>
    <row r="135" spans="1:15" s="78" customFormat="1" ht="39" customHeight="1">
      <c r="A135" s="561" t="s">
        <v>914</v>
      </c>
      <c r="B135" s="562"/>
      <c r="C135" s="562"/>
      <c r="D135" s="562"/>
      <c r="E135" s="562"/>
      <c r="F135" s="562"/>
      <c r="G135" s="562"/>
      <c r="H135" s="562"/>
      <c r="I135" s="562"/>
      <c r="J135" s="562"/>
      <c r="K135" s="562"/>
      <c r="L135" s="562"/>
      <c r="M135" s="562"/>
      <c r="N135" s="562"/>
      <c r="O135" s="562"/>
    </row>
    <row r="136" spans="1:15" s="78" customFormat="1" ht="18">
      <c r="A136" s="559"/>
      <c r="B136" s="560"/>
      <c r="C136" s="560"/>
      <c r="D136" s="560"/>
      <c r="E136" s="560"/>
      <c r="F136" s="560"/>
      <c r="G136" s="560"/>
      <c r="H136" s="560"/>
      <c r="I136" s="560"/>
      <c r="J136" s="560"/>
      <c r="K136" s="560"/>
      <c r="L136" s="560"/>
      <c r="M136" s="560"/>
      <c r="N136" s="560"/>
      <c r="O136" s="560"/>
    </row>
    <row r="137" spans="1:15" s="78" customFormat="1" ht="66" customHeight="1">
      <c r="A137" s="545"/>
      <c r="B137" s="545"/>
      <c r="C137" s="545"/>
      <c r="D137" s="545"/>
      <c r="E137" s="545"/>
      <c r="F137" s="545"/>
      <c r="G137" s="545"/>
      <c r="H137" s="545"/>
      <c r="I137" s="545"/>
      <c r="J137" s="545"/>
      <c r="K137" s="545"/>
      <c r="L137" s="545"/>
      <c r="M137" s="545"/>
      <c r="N137" s="545"/>
      <c r="O137" s="545"/>
    </row>
    <row r="138" spans="1:15" s="78" customFormat="1">
      <c r="A138" s="545"/>
      <c r="B138" s="545"/>
      <c r="C138" s="545"/>
      <c r="D138" s="545"/>
      <c r="E138" s="545"/>
      <c r="F138" s="545"/>
      <c r="G138" s="545"/>
      <c r="H138" s="545"/>
      <c r="I138" s="545"/>
      <c r="J138" s="545"/>
      <c r="K138" s="545"/>
      <c r="L138" s="545"/>
      <c r="M138" s="545"/>
      <c r="N138" s="545"/>
      <c r="O138" s="545"/>
    </row>
    <row r="139" spans="1:15" s="78" customFormat="1">
      <c r="A139" s="545"/>
      <c r="B139" s="545"/>
      <c r="C139" s="545"/>
      <c r="D139" s="545"/>
      <c r="E139" s="545"/>
      <c r="F139" s="545"/>
      <c r="G139" s="545"/>
      <c r="H139" s="545"/>
      <c r="I139" s="545"/>
      <c r="J139" s="545"/>
      <c r="K139" s="545"/>
      <c r="L139" s="545"/>
      <c r="M139" s="545"/>
      <c r="N139" s="545"/>
      <c r="O139" s="545"/>
    </row>
    <row r="140" spans="1:15" s="78" customFormat="1">
      <c r="A140" s="545"/>
      <c r="B140" s="545"/>
      <c r="C140" s="545"/>
      <c r="D140" s="545"/>
      <c r="E140" s="545"/>
      <c r="F140" s="545"/>
      <c r="G140" s="545"/>
      <c r="H140" s="545"/>
      <c r="I140" s="545"/>
      <c r="J140" s="545"/>
      <c r="K140" s="545"/>
      <c r="L140" s="545"/>
      <c r="M140" s="545"/>
      <c r="N140" s="545"/>
      <c r="O140" s="545"/>
    </row>
    <row r="141" spans="1:15" s="78" customFormat="1">
      <c r="A141" s="545"/>
      <c r="B141" s="545"/>
      <c r="C141" s="545"/>
      <c r="D141" s="545"/>
      <c r="E141" s="545"/>
      <c r="F141" s="545"/>
      <c r="G141" s="545"/>
      <c r="H141" s="545"/>
      <c r="I141" s="545"/>
      <c r="J141" s="545"/>
      <c r="K141" s="545"/>
      <c r="L141" s="545"/>
      <c r="M141" s="545"/>
      <c r="N141" s="545"/>
      <c r="O141" s="545"/>
    </row>
    <row r="142" spans="1:15" s="78" customFormat="1">
      <c r="A142" s="545"/>
      <c r="B142" s="545"/>
      <c r="C142" s="545"/>
      <c r="D142" s="545"/>
      <c r="E142" s="545"/>
      <c r="F142" s="545"/>
      <c r="G142" s="545"/>
      <c r="H142" s="545"/>
      <c r="I142" s="545"/>
      <c r="J142" s="545"/>
      <c r="K142" s="545"/>
      <c r="L142" s="545"/>
      <c r="M142" s="545"/>
      <c r="N142" s="545"/>
      <c r="O142" s="545"/>
    </row>
    <row r="143" spans="1:15" s="78" customFormat="1">
      <c r="A143" s="545"/>
      <c r="B143" s="545"/>
      <c r="C143" s="545"/>
      <c r="D143" s="545"/>
      <c r="E143" s="545"/>
      <c r="F143" s="545"/>
      <c r="G143" s="545"/>
      <c r="H143" s="545"/>
      <c r="I143" s="545"/>
      <c r="J143" s="545"/>
      <c r="K143" s="545"/>
      <c r="L143" s="545"/>
      <c r="M143" s="545"/>
      <c r="N143" s="545"/>
      <c r="O143" s="545"/>
    </row>
    <row r="144" spans="1:15" s="78" customFormat="1">
      <c r="A144" s="545"/>
      <c r="B144" s="545"/>
      <c r="C144" s="545"/>
      <c r="D144" s="545"/>
      <c r="E144" s="545"/>
      <c r="F144" s="545"/>
      <c r="G144" s="545"/>
      <c r="H144" s="545"/>
      <c r="I144" s="545"/>
      <c r="J144" s="545"/>
      <c r="K144" s="545"/>
      <c r="L144" s="545"/>
      <c r="M144" s="545"/>
      <c r="N144" s="545"/>
      <c r="O144" s="545"/>
    </row>
    <row r="145" spans="1:15" s="78" customFormat="1">
      <c r="A145" s="97"/>
      <c r="B145" s="97"/>
      <c r="C145" s="97"/>
      <c r="D145" s="97"/>
      <c r="E145" s="97"/>
      <c r="F145" s="97"/>
      <c r="G145" s="97"/>
      <c r="H145" s="97"/>
      <c r="I145" s="97"/>
      <c r="J145" s="97"/>
      <c r="K145" s="97"/>
      <c r="L145" s="97"/>
      <c r="M145" s="97"/>
      <c r="N145" s="97"/>
      <c r="O145" s="97"/>
    </row>
    <row r="146" spans="1:15" s="78" customFormat="1"/>
    <row r="147" spans="1:15" s="78" customFormat="1"/>
    <row r="148" spans="1:15" s="78" customFormat="1"/>
    <row r="149" spans="1:15" s="78" customFormat="1"/>
    <row r="150" spans="1:15" s="78" customFormat="1"/>
    <row r="151" spans="1:15" s="78" customFormat="1"/>
    <row r="152" spans="1:15" s="78" customFormat="1"/>
    <row r="153" spans="1:15" s="78" customFormat="1"/>
    <row r="154" spans="1:15" s="78" customFormat="1"/>
    <row r="155" spans="1:15" s="78" customFormat="1"/>
    <row r="156" spans="1:15" s="78" customFormat="1"/>
    <row r="157" spans="1:15" s="78" customFormat="1"/>
    <row r="158" spans="1:15" s="78" customFormat="1"/>
    <row r="159" spans="1:15" s="78" customFormat="1"/>
    <row r="160" spans="1:15" s="78" customFormat="1"/>
    <row r="161" s="78" customFormat="1"/>
    <row r="162" s="78" customFormat="1"/>
    <row r="163" s="78" customFormat="1"/>
    <row r="164" s="78" customFormat="1"/>
    <row r="165" s="78" customFormat="1"/>
    <row r="166" s="78" customFormat="1"/>
    <row r="167" s="78" customFormat="1"/>
    <row r="168" s="78" customFormat="1"/>
    <row r="169" s="78" customFormat="1"/>
    <row r="170" s="78" customFormat="1"/>
    <row r="171" s="78" customFormat="1"/>
    <row r="172" s="78" customFormat="1"/>
    <row r="173" s="78" customFormat="1"/>
    <row r="174" s="78" customFormat="1"/>
    <row r="175" s="78" customFormat="1"/>
    <row r="176" s="78" customFormat="1"/>
    <row r="177" s="78" customFormat="1"/>
    <row r="178" s="78" customFormat="1"/>
    <row r="179" s="78" customFormat="1"/>
    <row r="180" s="78" customFormat="1"/>
    <row r="181" s="78" customFormat="1"/>
    <row r="182" s="78" customFormat="1"/>
    <row r="183" s="78" customFormat="1"/>
    <row r="184" s="78" customFormat="1"/>
    <row r="185" s="78" customFormat="1"/>
    <row r="186" s="78" customFormat="1"/>
    <row r="187" s="78" customFormat="1"/>
    <row r="188" s="78" customFormat="1"/>
    <row r="189" s="78" customFormat="1"/>
    <row r="190" s="78" customFormat="1"/>
    <row r="191" s="78" customFormat="1"/>
    <row r="192" s="78" customFormat="1"/>
    <row r="193" s="78" customFormat="1"/>
    <row r="194" s="78" customFormat="1"/>
    <row r="195" s="78" customFormat="1"/>
    <row r="196" s="78" customFormat="1"/>
    <row r="197" s="78" customFormat="1"/>
    <row r="198" s="78" customFormat="1"/>
    <row r="199" s="78" customFormat="1"/>
    <row r="200" s="78" customFormat="1"/>
    <row r="201" s="78" customFormat="1"/>
    <row r="202" s="78" customFormat="1"/>
    <row r="203" s="78" customFormat="1"/>
    <row r="204" s="78" customFormat="1"/>
    <row r="205" s="78" customFormat="1"/>
    <row r="206" s="78" customFormat="1"/>
    <row r="207" s="78" customFormat="1"/>
    <row r="208" s="78" customFormat="1"/>
    <row r="209" s="78" customFormat="1"/>
    <row r="210" s="78" customFormat="1"/>
    <row r="211" s="78" customFormat="1"/>
    <row r="212" s="78" customFormat="1"/>
    <row r="213" s="78" customFormat="1"/>
    <row r="214" s="78" customFormat="1"/>
    <row r="215" s="78" customFormat="1"/>
    <row r="216" s="78" customFormat="1"/>
    <row r="217" s="78" customFormat="1"/>
    <row r="218" s="78" customFormat="1"/>
    <row r="219" s="78" customFormat="1"/>
    <row r="220" s="78" customFormat="1"/>
    <row r="221" s="78" customFormat="1"/>
    <row r="222" s="78" customFormat="1"/>
    <row r="223" s="78" customFormat="1"/>
    <row r="224" s="78" customFormat="1"/>
    <row r="225" s="78" customFormat="1"/>
    <row r="226" s="78" customFormat="1"/>
    <row r="227" s="78" customFormat="1"/>
    <row r="228" s="78" customFormat="1"/>
    <row r="229" s="78" customFormat="1"/>
    <row r="230" s="78" customFormat="1"/>
    <row r="231" s="78" customFormat="1"/>
    <row r="232" s="78" customFormat="1"/>
    <row r="233" s="78" customFormat="1"/>
    <row r="234" s="78" customFormat="1"/>
    <row r="235" s="78" customFormat="1"/>
    <row r="236" s="78" customFormat="1"/>
    <row r="237" s="78" customFormat="1"/>
    <row r="238" s="78" customFormat="1"/>
    <row r="239" s="78" customFormat="1"/>
    <row r="240" s="78" customFormat="1"/>
    <row r="241" s="78" customFormat="1"/>
    <row r="242" s="78" customFormat="1"/>
    <row r="243" s="78" customFormat="1"/>
    <row r="244" s="78" customFormat="1"/>
    <row r="245" s="78" customFormat="1"/>
    <row r="246" s="78" customFormat="1"/>
    <row r="247" s="78" customFormat="1"/>
    <row r="248" s="78" customFormat="1"/>
    <row r="249" s="78" customFormat="1"/>
    <row r="250" s="78" customFormat="1"/>
    <row r="251" s="78" customFormat="1"/>
    <row r="252" s="78" customFormat="1"/>
    <row r="253" s="78" customFormat="1"/>
    <row r="254" s="78" customFormat="1"/>
    <row r="255" s="78" customFormat="1"/>
    <row r="256" s="78" customFormat="1"/>
    <row r="257" s="78" customFormat="1"/>
    <row r="258" s="78" customFormat="1"/>
    <row r="259" s="78" customFormat="1"/>
    <row r="260" s="78" customFormat="1"/>
    <row r="261" s="78" customFormat="1"/>
    <row r="262" s="78" customFormat="1"/>
    <row r="263" s="78" customFormat="1"/>
    <row r="264" s="78" customFormat="1"/>
    <row r="265" s="78" customFormat="1"/>
    <row r="266" s="78" customFormat="1"/>
    <row r="267" s="78" customFormat="1"/>
    <row r="268" s="78" customFormat="1"/>
    <row r="269" s="78" customFormat="1"/>
    <row r="270" s="78" customFormat="1"/>
    <row r="271" s="78" customFormat="1"/>
    <row r="272" s="78" customFormat="1"/>
    <row r="273" s="78" customFormat="1"/>
    <row r="274" s="78" customFormat="1"/>
    <row r="275" s="78" customFormat="1"/>
    <row r="276" s="78" customFormat="1"/>
    <row r="277" s="78" customFormat="1"/>
    <row r="278" s="78" customFormat="1"/>
    <row r="279" s="78" customFormat="1"/>
    <row r="280" s="78" customFormat="1"/>
    <row r="281" s="78" customFormat="1"/>
    <row r="282" s="78" customFormat="1"/>
    <row r="283" s="78" customFormat="1"/>
    <row r="284" s="78" customFormat="1"/>
    <row r="285" s="78" customFormat="1"/>
    <row r="286" s="78" customFormat="1"/>
    <row r="287" s="78" customFormat="1"/>
    <row r="288" s="78" customFormat="1"/>
    <row r="289" s="78" customFormat="1"/>
    <row r="290" s="78" customFormat="1"/>
    <row r="291" s="78" customFormat="1"/>
    <row r="292" s="78" customFormat="1"/>
    <row r="293" s="78" customFormat="1"/>
    <row r="294" s="78" customFormat="1"/>
    <row r="295" s="78" customFormat="1"/>
    <row r="296" s="78" customFormat="1"/>
    <row r="297" s="78" customFormat="1"/>
    <row r="298" s="78" customFormat="1"/>
    <row r="299" s="78" customFormat="1"/>
    <row r="300" s="78" customFormat="1"/>
    <row r="301" s="78" customFormat="1"/>
    <row r="302" s="78" customFormat="1"/>
    <row r="303" s="78" customFormat="1"/>
    <row r="304" s="78" customFormat="1"/>
    <row r="305" s="78" customFormat="1"/>
    <row r="306" s="78" customFormat="1"/>
    <row r="307" s="78" customFormat="1"/>
    <row r="308" s="78" customFormat="1"/>
    <row r="309" s="78" customFormat="1"/>
    <row r="310" s="78" customFormat="1"/>
    <row r="311" s="78" customFormat="1"/>
    <row r="312" s="78" customFormat="1"/>
    <row r="313" s="78" customFormat="1"/>
    <row r="314" s="78" customFormat="1"/>
    <row r="315" s="78" customFormat="1"/>
    <row r="316" s="78" customFormat="1"/>
    <row r="317" s="78" customFormat="1"/>
    <row r="318" s="78" customFormat="1"/>
    <row r="319" s="78" customFormat="1"/>
    <row r="320" s="78" customFormat="1"/>
    <row r="321" s="78" customFormat="1"/>
    <row r="322" s="78" customFormat="1"/>
    <row r="323" s="78" customFormat="1"/>
    <row r="324" s="78" customFormat="1"/>
    <row r="325" s="78" customFormat="1"/>
    <row r="326" s="78" customFormat="1"/>
    <row r="327" s="78" customFormat="1"/>
    <row r="328" s="78" customFormat="1"/>
    <row r="329" s="78" customFormat="1"/>
    <row r="330" s="78" customFormat="1"/>
    <row r="331" s="78" customFormat="1"/>
    <row r="332" s="78" customFormat="1"/>
    <row r="333" s="78" customFormat="1"/>
    <row r="334" s="78" customFormat="1"/>
    <row r="335" s="78" customFormat="1"/>
    <row r="336" s="78" customFormat="1"/>
    <row r="337" s="78" customFormat="1"/>
    <row r="338" s="78" customFormat="1"/>
    <row r="339" s="78" customFormat="1"/>
    <row r="340" s="78" customFormat="1"/>
    <row r="341" s="78" customFormat="1"/>
    <row r="342" s="78" customFormat="1"/>
    <row r="343" s="78" customFormat="1"/>
    <row r="344" s="78" customFormat="1"/>
    <row r="345" s="78" customFormat="1"/>
    <row r="346" s="78" customFormat="1"/>
    <row r="347" s="78" customFormat="1"/>
    <row r="348" s="78" customFormat="1"/>
    <row r="349" s="78" customFormat="1"/>
    <row r="350" s="78" customFormat="1"/>
    <row r="351" s="78" customFormat="1"/>
    <row r="352" s="78" customFormat="1"/>
    <row r="353" s="78" customFormat="1"/>
    <row r="354" s="78" customFormat="1"/>
    <row r="355" s="78" customFormat="1"/>
    <row r="356" s="78" customFormat="1"/>
    <row r="357" s="78" customFormat="1"/>
    <row r="358" s="78" customFormat="1"/>
    <row r="359" s="78" customFormat="1"/>
    <row r="360" s="78" customFormat="1"/>
    <row r="361" s="78" customFormat="1"/>
    <row r="362" s="78" customFormat="1"/>
    <row r="363" s="78" customFormat="1"/>
    <row r="364" s="78" customFormat="1"/>
    <row r="365" s="78" customFormat="1"/>
    <row r="366" s="78" customFormat="1"/>
    <row r="367" s="78" customFormat="1"/>
    <row r="368" s="78" customFormat="1"/>
    <row r="369" s="78" customFormat="1"/>
    <row r="370" s="78" customFormat="1"/>
    <row r="371" s="78" customFormat="1"/>
    <row r="372" s="78" customFormat="1"/>
    <row r="373" s="78" customFormat="1"/>
    <row r="374" s="78" customFormat="1"/>
    <row r="375" s="78" customFormat="1"/>
    <row r="376" s="78" customFormat="1"/>
    <row r="377" s="78" customFormat="1"/>
    <row r="378" s="78" customFormat="1"/>
    <row r="379" s="78" customFormat="1"/>
    <row r="380" s="78" customFormat="1"/>
    <row r="381" s="78" customFormat="1"/>
    <row r="382" s="78" customFormat="1"/>
    <row r="383" s="78" customFormat="1"/>
    <row r="384" s="78" customFormat="1"/>
    <row r="385" s="78" customFormat="1"/>
    <row r="386" s="78" customFormat="1"/>
    <row r="387" s="78" customFormat="1"/>
    <row r="388" s="78" customFormat="1"/>
    <row r="389" s="78" customFormat="1"/>
    <row r="390" s="78" customFormat="1"/>
    <row r="391" s="78" customFormat="1"/>
    <row r="392" s="78" customFormat="1"/>
    <row r="393" s="78" customFormat="1"/>
    <row r="394" s="78" customFormat="1"/>
    <row r="395" s="78" customFormat="1"/>
    <row r="396" s="78" customFormat="1"/>
    <row r="397" s="78" customFormat="1"/>
    <row r="398" s="78" customFormat="1"/>
    <row r="399" s="78" customFormat="1"/>
    <row r="400" s="78" customFormat="1"/>
    <row r="401" s="78" customFormat="1"/>
    <row r="402" s="78" customFormat="1"/>
    <row r="403" s="78" customFormat="1"/>
    <row r="404" s="78" customFormat="1"/>
    <row r="405" s="78" customFormat="1"/>
    <row r="406" s="78" customFormat="1"/>
    <row r="407" s="78" customFormat="1"/>
    <row r="408" s="78" customFormat="1"/>
    <row r="409" s="78" customFormat="1"/>
    <row r="410" s="78" customFormat="1"/>
    <row r="411" s="78" customFormat="1"/>
    <row r="412" s="78" customFormat="1"/>
    <row r="413" s="78" customFormat="1"/>
    <row r="414" s="78" customFormat="1"/>
    <row r="415" s="78" customFormat="1"/>
    <row r="416" s="78" customFormat="1"/>
    <row r="417" s="78" customFormat="1"/>
    <row r="418" s="78" customFormat="1"/>
    <row r="419" s="78" customFormat="1"/>
    <row r="420" s="78" customFormat="1"/>
    <row r="421" s="78" customFormat="1"/>
    <row r="422" s="78" customFormat="1"/>
    <row r="423" s="78" customFormat="1"/>
    <row r="424" s="78" customFormat="1"/>
    <row r="425" s="78" customFormat="1"/>
    <row r="426" s="78" customFormat="1"/>
    <row r="427" s="78" customFormat="1"/>
    <row r="428" s="78" customFormat="1"/>
    <row r="429" s="78" customFormat="1"/>
    <row r="430" s="78" customFormat="1"/>
    <row r="431" s="78" customFormat="1"/>
    <row r="432" s="78" customFormat="1"/>
    <row r="433" s="78" customFormat="1"/>
    <row r="434" s="78" customFormat="1"/>
    <row r="435" s="78" customFormat="1"/>
    <row r="436" s="78" customFormat="1"/>
    <row r="437" s="78" customFormat="1"/>
    <row r="438" s="78" customFormat="1"/>
    <row r="439" s="78" customFormat="1"/>
    <row r="440" s="78" customFormat="1"/>
    <row r="441" s="78" customFormat="1"/>
    <row r="442" s="78" customFormat="1"/>
    <row r="443" s="78" customFormat="1"/>
    <row r="444" s="78" customFormat="1"/>
    <row r="445" s="78" customFormat="1"/>
    <row r="446" s="78" customFormat="1"/>
    <row r="447" s="78" customFormat="1"/>
    <row r="448" s="78" customFormat="1"/>
    <row r="449" s="78" customFormat="1"/>
    <row r="450" s="78" customFormat="1"/>
    <row r="451" s="78" customFormat="1"/>
    <row r="452" s="78" customFormat="1"/>
    <row r="453" s="78" customFormat="1"/>
    <row r="454" s="78" customFormat="1"/>
    <row r="455" s="78" customFormat="1"/>
    <row r="456" s="78" customFormat="1"/>
    <row r="457" s="78" customFormat="1"/>
    <row r="458" s="78" customFormat="1"/>
    <row r="459" s="78" customFormat="1"/>
    <row r="460" s="78" customFormat="1"/>
    <row r="461" s="78" customFormat="1"/>
    <row r="462" s="78" customFormat="1"/>
    <row r="463" s="78" customFormat="1"/>
    <row r="464" s="78" customFormat="1"/>
    <row r="465" s="78" customFormat="1"/>
    <row r="466" s="78" customFormat="1"/>
    <row r="467" s="78" customFormat="1"/>
    <row r="468" s="78" customFormat="1"/>
    <row r="469" s="78" customFormat="1"/>
    <row r="470" s="78" customFormat="1"/>
    <row r="471" s="78" customFormat="1"/>
    <row r="472" s="78" customFormat="1"/>
    <row r="473" s="78" customFormat="1"/>
    <row r="474" s="78" customFormat="1"/>
    <row r="475" s="78" customFormat="1"/>
    <row r="476" s="78" customFormat="1"/>
    <row r="477" s="78" customFormat="1"/>
    <row r="478" s="78" customFormat="1"/>
    <row r="479" s="78" customFormat="1"/>
    <row r="480" s="78" customFormat="1"/>
    <row r="481" s="78" customFormat="1"/>
    <row r="482" s="78" customFormat="1"/>
    <row r="483" s="78" customFormat="1"/>
    <row r="484" s="78" customFormat="1"/>
    <row r="485" s="78" customFormat="1"/>
    <row r="486" s="78" customFormat="1"/>
    <row r="487" s="78" customFormat="1"/>
    <row r="488" s="78" customFormat="1"/>
    <row r="489" s="78" customFormat="1"/>
    <row r="490" s="78" customFormat="1"/>
    <row r="491" s="78" customFormat="1"/>
    <row r="492" s="78" customFormat="1"/>
    <row r="493" s="78" customFormat="1"/>
    <row r="494" s="78" customFormat="1"/>
    <row r="495" s="78" customFormat="1"/>
    <row r="496" s="78" customFormat="1"/>
    <row r="497" s="78" customFormat="1"/>
    <row r="498" s="78" customFormat="1"/>
    <row r="499" s="78" customFormat="1"/>
    <row r="500" s="78" customFormat="1"/>
    <row r="501" s="78" customFormat="1"/>
    <row r="502" s="78" customFormat="1"/>
    <row r="503" s="78" customFormat="1"/>
    <row r="504" s="78" customFormat="1"/>
    <row r="505" s="78" customFormat="1"/>
    <row r="506" s="78" customFormat="1"/>
    <row r="507" s="78" customFormat="1"/>
    <row r="508" s="78" customFormat="1"/>
    <row r="509" s="78" customFormat="1"/>
    <row r="510" s="78" customFormat="1"/>
    <row r="511" s="78" customFormat="1"/>
    <row r="512" s="78" customFormat="1"/>
    <row r="513" s="78" customFormat="1"/>
    <row r="514" s="78" customFormat="1"/>
    <row r="515" s="78" customFormat="1"/>
    <row r="516" s="78" customFormat="1"/>
    <row r="517" s="78" customFormat="1"/>
    <row r="518" s="78" customFormat="1"/>
    <row r="519" s="78" customFormat="1"/>
    <row r="520" s="78" customFormat="1"/>
    <row r="521" s="78" customFormat="1"/>
    <row r="522" s="78" customFormat="1"/>
    <row r="523" s="78" customFormat="1"/>
    <row r="524" s="78" customFormat="1"/>
    <row r="525" s="78" customFormat="1"/>
    <row r="526" s="78" customFormat="1"/>
    <row r="527" s="78" customFormat="1"/>
    <row r="528" s="78" customFormat="1"/>
    <row r="529" s="78" customFormat="1"/>
    <row r="530" s="78" customFormat="1"/>
    <row r="531" s="78" customFormat="1"/>
    <row r="532" s="78" customFormat="1"/>
    <row r="533" s="78" customFormat="1"/>
    <row r="534" s="78" customFormat="1"/>
    <row r="535" s="78" customFormat="1"/>
    <row r="536" s="78" customFormat="1"/>
    <row r="537" s="78" customFormat="1"/>
    <row r="538" s="78" customFormat="1"/>
    <row r="539" s="78" customFormat="1"/>
    <row r="540" s="78" customFormat="1"/>
    <row r="541" s="78" customFormat="1"/>
    <row r="542" s="78" customFormat="1"/>
    <row r="543" s="78" customFormat="1"/>
    <row r="544" s="78" customFormat="1"/>
  </sheetData>
  <sheetProtection password="D6D7" sheet="1" objects="1" scenarios="1"/>
  <mergeCells count="340">
    <mergeCell ref="N94:N96"/>
    <mergeCell ref="B96:J96"/>
    <mergeCell ref="B95:J95"/>
    <mergeCell ref="K94:K96"/>
    <mergeCell ref="L94:L96"/>
    <mergeCell ref="M94:M96"/>
    <mergeCell ref="O94:O96"/>
    <mergeCell ref="A136:O136"/>
    <mergeCell ref="A135:O135"/>
    <mergeCell ref="A134:O134"/>
    <mergeCell ref="A131:O131"/>
    <mergeCell ref="G126:O126"/>
    <mergeCell ref="A97:O97"/>
    <mergeCell ref="A111:O111"/>
    <mergeCell ref="A99:O99"/>
    <mergeCell ref="A100:O100"/>
    <mergeCell ref="A115:O115"/>
    <mergeCell ref="A120:O120"/>
    <mergeCell ref="A118:O118"/>
    <mergeCell ref="A116:O116"/>
    <mergeCell ref="A117:O117"/>
    <mergeCell ref="A119:O119"/>
    <mergeCell ref="A123:I123"/>
    <mergeCell ref="K123:O123"/>
    <mergeCell ref="A113:O113"/>
    <mergeCell ref="A114:O114"/>
    <mergeCell ref="A112:O112"/>
    <mergeCell ref="A107:O107"/>
    <mergeCell ref="A108:O108"/>
    <mergeCell ref="A109:O109"/>
    <mergeCell ref="A121:O121"/>
    <mergeCell ref="A122:O122"/>
    <mergeCell ref="A133:O133"/>
    <mergeCell ref="A132:O132"/>
    <mergeCell ref="A127:C127"/>
    <mergeCell ref="D127:F127"/>
    <mergeCell ref="G127:O127"/>
    <mergeCell ref="A128:C128"/>
    <mergeCell ref="G128:O128"/>
    <mergeCell ref="A129:O129"/>
    <mergeCell ref="A130:C130"/>
    <mergeCell ref="F130:G130"/>
    <mergeCell ref="I130:J130"/>
    <mergeCell ref="K130:O130"/>
    <mergeCell ref="A124:C124"/>
    <mergeCell ref="G124:O124"/>
    <mergeCell ref="A125:C125"/>
    <mergeCell ref="G125:O125"/>
    <mergeCell ref="A126:C126"/>
    <mergeCell ref="A110:O110"/>
    <mergeCell ref="A101:O101"/>
    <mergeCell ref="N87:N88"/>
    <mergeCell ref="N89:N91"/>
    <mergeCell ref="B88:J88"/>
    <mergeCell ref="B87:J87"/>
    <mergeCell ref="B91:J91"/>
    <mergeCell ref="B90:J90"/>
    <mergeCell ref="B93:J93"/>
    <mergeCell ref="O89:O91"/>
    <mergeCell ref="A92:A93"/>
    <mergeCell ref="L87:L88"/>
    <mergeCell ref="M87:M88"/>
    <mergeCell ref="B92:J92"/>
    <mergeCell ref="M89:M91"/>
    <mergeCell ref="O92:O93"/>
    <mergeCell ref="A89:A91"/>
    <mergeCell ref="A103:O103"/>
    <mergeCell ref="A102:O102"/>
    <mergeCell ref="A104:O104"/>
    <mergeCell ref="A105:O105"/>
    <mergeCell ref="A106:O106"/>
    <mergeCell ref="A98:C98"/>
    <mergeCell ref="E98:O98"/>
    <mergeCell ref="A79:A80"/>
    <mergeCell ref="B89:J89"/>
    <mergeCell ref="A87:A88"/>
    <mergeCell ref="B80:J80"/>
    <mergeCell ref="B79:J79"/>
    <mergeCell ref="B83:J83"/>
    <mergeCell ref="K89:K91"/>
    <mergeCell ref="L89:L91"/>
    <mergeCell ref="L84:L85"/>
    <mergeCell ref="M84:M85"/>
    <mergeCell ref="N84:N85"/>
    <mergeCell ref="O84:O85"/>
    <mergeCell ref="L81:L83"/>
    <mergeCell ref="M81:M83"/>
    <mergeCell ref="N81:N83"/>
    <mergeCell ref="O81:O83"/>
    <mergeCell ref="A94:A96"/>
    <mergeCell ref="B94:J94"/>
    <mergeCell ref="K87:K88"/>
    <mergeCell ref="B85:J85"/>
    <mergeCell ref="B84:J84"/>
    <mergeCell ref="A81:A83"/>
    <mergeCell ref="A84:A85"/>
    <mergeCell ref="K84:K85"/>
    <mergeCell ref="B82:J82"/>
    <mergeCell ref="B81:J81"/>
    <mergeCell ref="A86:J86"/>
    <mergeCell ref="K81:K83"/>
    <mergeCell ref="O87:O88"/>
    <mergeCell ref="K92:K93"/>
    <mergeCell ref="L92:L93"/>
    <mergeCell ref="M92:M93"/>
    <mergeCell ref="N92:N93"/>
    <mergeCell ref="A75:A78"/>
    <mergeCell ref="A72:A73"/>
    <mergeCell ref="A67:A68"/>
    <mergeCell ref="B64:J64"/>
    <mergeCell ref="B63:J63"/>
    <mergeCell ref="B69:J69"/>
    <mergeCell ref="B71:J71"/>
    <mergeCell ref="B70:J70"/>
    <mergeCell ref="B73:J73"/>
    <mergeCell ref="A63:A64"/>
    <mergeCell ref="B74:J74"/>
    <mergeCell ref="B78:J78"/>
    <mergeCell ref="B77:J77"/>
    <mergeCell ref="B76:J76"/>
    <mergeCell ref="B75:J75"/>
    <mergeCell ref="B72:J72"/>
    <mergeCell ref="B68:J68"/>
    <mergeCell ref="B67:J67"/>
    <mergeCell ref="B65:J65"/>
    <mergeCell ref="B66:J66"/>
    <mergeCell ref="N75:N78"/>
    <mergeCell ref="O75:O78"/>
    <mergeCell ref="N72:N73"/>
    <mergeCell ref="K79:K80"/>
    <mergeCell ref="L79:L80"/>
    <mergeCell ref="M79:M80"/>
    <mergeCell ref="N79:N80"/>
    <mergeCell ref="O79:O80"/>
    <mergeCell ref="K75:K78"/>
    <mergeCell ref="L75:L78"/>
    <mergeCell ref="M72:M73"/>
    <mergeCell ref="O72:O73"/>
    <mergeCell ref="M75:M78"/>
    <mergeCell ref="K72:K73"/>
    <mergeCell ref="L72:L73"/>
    <mergeCell ref="O67:O68"/>
    <mergeCell ref="A70:A71"/>
    <mergeCell ref="N59:N60"/>
    <mergeCell ref="K67:K68"/>
    <mergeCell ref="L67:L68"/>
    <mergeCell ref="M70:M71"/>
    <mergeCell ref="N70:N71"/>
    <mergeCell ref="M67:M68"/>
    <mergeCell ref="K61:K62"/>
    <mergeCell ref="L61:L62"/>
    <mergeCell ref="K59:K60"/>
    <mergeCell ref="O70:O71"/>
    <mergeCell ref="N67:N68"/>
    <mergeCell ref="N63:N64"/>
    <mergeCell ref="O63:O64"/>
    <mergeCell ref="M63:M64"/>
    <mergeCell ref="K63:K64"/>
    <mergeCell ref="L63:L64"/>
    <mergeCell ref="K70:K71"/>
    <mergeCell ref="L70:L71"/>
    <mergeCell ref="B62:J62"/>
    <mergeCell ref="B61:J61"/>
    <mergeCell ref="B60:J60"/>
    <mergeCell ref="B59:J59"/>
    <mergeCell ref="A56:A58"/>
    <mergeCell ref="O59:O60"/>
    <mergeCell ref="M59:M60"/>
    <mergeCell ref="M54:M55"/>
    <mergeCell ref="N54:N55"/>
    <mergeCell ref="O54:O55"/>
    <mergeCell ref="O61:O62"/>
    <mergeCell ref="K54:K55"/>
    <mergeCell ref="L54:L55"/>
    <mergeCell ref="M56:M58"/>
    <mergeCell ref="N56:N58"/>
    <mergeCell ref="O56:O58"/>
    <mergeCell ref="A59:A60"/>
    <mergeCell ref="A61:A62"/>
    <mergeCell ref="N61:N62"/>
    <mergeCell ref="L59:L60"/>
    <mergeCell ref="M61:M62"/>
    <mergeCell ref="K56:K58"/>
    <mergeCell ref="L56:L58"/>
    <mergeCell ref="B55:J55"/>
    <mergeCell ref="B54:J54"/>
    <mergeCell ref="B58:J58"/>
    <mergeCell ref="B57:J57"/>
    <mergeCell ref="B56:J56"/>
    <mergeCell ref="A52:A53"/>
    <mergeCell ref="A54:A55"/>
    <mergeCell ref="N45:N47"/>
    <mergeCell ref="M50:M51"/>
    <mergeCell ref="N50:N51"/>
    <mergeCell ref="O50:O51"/>
    <mergeCell ref="M52:M53"/>
    <mergeCell ref="N52:N53"/>
    <mergeCell ref="O52:O53"/>
    <mergeCell ref="K45:K47"/>
    <mergeCell ref="L45:L47"/>
    <mergeCell ref="K52:K53"/>
    <mergeCell ref="L52:L53"/>
    <mergeCell ref="K50:K51"/>
    <mergeCell ref="L50:L51"/>
    <mergeCell ref="B48:J48"/>
    <mergeCell ref="A50:A51"/>
    <mergeCell ref="B51:J51"/>
    <mergeCell ref="B50:J50"/>
    <mergeCell ref="B52:J52"/>
    <mergeCell ref="B53:J53"/>
    <mergeCell ref="L40:L42"/>
    <mergeCell ref="M40:M42"/>
    <mergeCell ref="N40:N42"/>
    <mergeCell ref="O45:O47"/>
    <mergeCell ref="K48:K49"/>
    <mergeCell ref="L48:L49"/>
    <mergeCell ref="M48:M49"/>
    <mergeCell ref="N48:N49"/>
    <mergeCell ref="O48:O49"/>
    <mergeCell ref="K40:K42"/>
    <mergeCell ref="A43:O43"/>
    <mergeCell ref="M45:M47"/>
    <mergeCell ref="A45:A47"/>
    <mergeCell ref="A48:A49"/>
    <mergeCell ref="B47:J47"/>
    <mergeCell ref="B46:J46"/>
    <mergeCell ref="B45:J45"/>
    <mergeCell ref="B49:J49"/>
    <mergeCell ref="A40:A42"/>
    <mergeCell ref="A44:J44"/>
    <mergeCell ref="O40:O42"/>
    <mergeCell ref="B42:J42"/>
    <mergeCell ref="B41:J41"/>
    <mergeCell ref="B40:J40"/>
    <mergeCell ref="M30:M32"/>
    <mergeCell ref="N30:N32"/>
    <mergeCell ref="L27:L29"/>
    <mergeCell ref="M27:M29"/>
    <mergeCell ref="K30:K32"/>
    <mergeCell ref="N6:N10"/>
    <mergeCell ref="B20:J20"/>
    <mergeCell ref="B19:J19"/>
    <mergeCell ref="B25:J25"/>
    <mergeCell ref="B29:J29"/>
    <mergeCell ref="B28:J28"/>
    <mergeCell ref="B27:J27"/>
    <mergeCell ref="B6:J6"/>
    <mergeCell ref="B23:J23"/>
    <mergeCell ref="B22:J22"/>
    <mergeCell ref="B11:J11"/>
    <mergeCell ref="B12:J12"/>
    <mergeCell ref="B8:J8"/>
    <mergeCell ref="B7:J7"/>
    <mergeCell ref="B13:J13"/>
    <mergeCell ref="B21:J21"/>
    <mergeCell ref="K22:K23"/>
    <mergeCell ref="K24:K26"/>
    <mergeCell ref="K27:K29"/>
    <mergeCell ref="M37:M39"/>
    <mergeCell ref="B26:J26"/>
    <mergeCell ref="N37:N39"/>
    <mergeCell ref="O37:O39"/>
    <mergeCell ref="L24:L26"/>
    <mergeCell ref="B30:J30"/>
    <mergeCell ref="B34:J34"/>
    <mergeCell ref="O22:O23"/>
    <mergeCell ref="O13:O18"/>
    <mergeCell ref="O30:O32"/>
    <mergeCell ref="M24:M26"/>
    <mergeCell ref="N24:N26"/>
    <mergeCell ref="O24:O26"/>
    <mergeCell ref="N27:N29"/>
    <mergeCell ref="O27:O29"/>
    <mergeCell ref="N33:N34"/>
    <mergeCell ref="O33:O34"/>
    <mergeCell ref="L35:L36"/>
    <mergeCell ref="M35:M36"/>
    <mergeCell ref="N35:N36"/>
    <mergeCell ref="O35:O36"/>
    <mergeCell ref="L33:L34"/>
    <mergeCell ref="M33:M34"/>
    <mergeCell ref="O19:O21"/>
    <mergeCell ref="A1:O1"/>
    <mergeCell ref="A2:O2"/>
    <mergeCell ref="A4:O4"/>
    <mergeCell ref="A6:A10"/>
    <mergeCell ref="B10:J10"/>
    <mergeCell ref="B15:J15"/>
    <mergeCell ref="B16:J16"/>
    <mergeCell ref="B17:J17"/>
    <mergeCell ref="K13:K18"/>
    <mergeCell ref="B18:J18"/>
    <mergeCell ref="B14:J14"/>
    <mergeCell ref="A3:O3"/>
    <mergeCell ref="A5:J5"/>
    <mergeCell ref="C9:J9"/>
    <mergeCell ref="A11:A12"/>
    <mergeCell ref="A13:A18"/>
    <mergeCell ref="L13:L18"/>
    <mergeCell ref="M13:M18"/>
    <mergeCell ref="K6:K10"/>
    <mergeCell ref="L6:L10"/>
    <mergeCell ref="O6:O10"/>
    <mergeCell ref="N13:N18"/>
    <mergeCell ref="O11:O12"/>
    <mergeCell ref="N11:N12"/>
    <mergeCell ref="B36:J36"/>
    <mergeCell ref="L37:L39"/>
    <mergeCell ref="B33:J33"/>
    <mergeCell ref="B39:J39"/>
    <mergeCell ref="B38:J38"/>
    <mergeCell ref="K37:K39"/>
    <mergeCell ref="B32:J32"/>
    <mergeCell ref="B31:J31"/>
    <mergeCell ref="B35:J35"/>
    <mergeCell ref="L30:L32"/>
    <mergeCell ref="A137:O144"/>
    <mergeCell ref="M6:M10"/>
    <mergeCell ref="K11:K12"/>
    <mergeCell ref="L11:L12"/>
    <mergeCell ref="M11:M12"/>
    <mergeCell ref="A19:A21"/>
    <mergeCell ref="A37:A39"/>
    <mergeCell ref="A22:A23"/>
    <mergeCell ref="A24:A26"/>
    <mergeCell ref="A33:A34"/>
    <mergeCell ref="A35:A36"/>
    <mergeCell ref="K33:K34"/>
    <mergeCell ref="K35:K36"/>
    <mergeCell ref="L22:L23"/>
    <mergeCell ref="L19:L21"/>
    <mergeCell ref="A27:A29"/>
    <mergeCell ref="A30:A32"/>
    <mergeCell ref="K19:K21"/>
    <mergeCell ref="N22:N23"/>
    <mergeCell ref="B37:J37"/>
    <mergeCell ref="M22:M23"/>
    <mergeCell ref="M19:M21"/>
    <mergeCell ref="N19:N21"/>
    <mergeCell ref="B24:J24"/>
  </mergeCells>
  <phoneticPr fontId="8" type="noConversion"/>
  <dataValidations disablePrompts="1" count="2">
    <dataValidation type="list" allowBlank="1" showInputMessage="1" showErrorMessage="1" sqref="L87:N96 L13:N42 L6:M12 L45:N85">
      <formula1>"5, -----"</formula1>
    </dataValidation>
    <dataValidation type="list" allowBlank="1" showInputMessage="1" showErrorMessage="1" sqref="D130 H130">
      <formula1>"✓, -----"</formula1>
    </dataValidation>
  </dataValidations>
  <pageMargins left="1" right="1" top="1" bottom="1" header="0" footer="0"/>
  <pageSetup firstPageNumber="27" orientation="portrait" useFirstPageNumber="1" horizontalDpi="4294967293" r:id="rId1"/>
  <headerFooter>
    <oddFooter xml:space="preserve">&amp;LFor Official Government Use Only
USDA, AMS, FVP, Fresh Products Branch
&amp;RJanuary 26, 2012
Page &amp;P
</oddFooter>
  </headerFooter>
  <ignoredErrors>
    <ignoredError sqref="A84 A87 A94 A92 A89" twoDigitTextYear="1"/>
  </ignoredErrors>
  <drawing r:id="rId2"/>
</worksheet>
</file>

<file path=xl/worksheets/sheet9.xml><?xml version="1.0" encoding="utf-8"?>
<worksheet xmlns="http://schemas.openxmlformats.org/spreadsheetml/2006/main" xmlns:r="http://schemas.openxmlformats.org/officeDocument/2006/relationships">
  <sheetPr enableFormatConditionsCalculation="0">
    <tabColor indexed="14"/>
  </sheetPr>
  <dimension ref="A1:BS80"/>
  <sheetViews>
    <sheetView zoomScaleNormal="100" workbookViewId="0">
      <selection activeCell="W21" sqref="W21:W22"/>
    </sheetView>
  </sheetViews>
  <sheetFormatPr defaultRowHeight="12.75"/>
  <cols>
    <col min="2" max="2" width="4.28515625" customWidth="1"/>
    <col min="3" max="3" width="12.140625" customWidth="1"/>
    <col min="4" max="4" width="6" customWidth="1"/>
    <col min="5" max="5" width="4.28515625" customWidth="1"/>
    <col min="6" max="6" width="10" customWidth="1"/>
    <col min="7" max="7" width="4.85546875" customWidth="1"/>
    <col min="8" max="8" width="5.42578125" customWidth="1"/>
    <col min="9" max="9" width="3.5703125" customWidth="1"/>
    <col min="10" max="10" width="4.28515625" customWidth="1"/>
    <col min="11" max="11" width="5.28515625" customWidth="1"/>
    <col min="12" max="12" width="3.140625" customWidth="1"/>
    <col min="13" max="13" width="7.7109375" customWidth="1"/>
    <col min="14" max="14" width="2.85546875" customWidth="1"/>
    <col min="15" max="15" width="5.42578125" customWidth="1"/>
    <col min="16" max="17" width="5.7109375" customWidth="1"/>
    <col min="18" max="18" width="4.85546875" customWidth="1"/>
    <col min="19" max="19" width="5.85546875" customWidth="1"/>
    <col min="20" max="20" width="2.7109375" customWidth="1"/>
    <col min="21" max="21" width="4.42578125" customWidth="1"/>
    <col min="22" max="22" width="2.42578125" customWidth="1"/>
    <col min="23" max="23" width="11.28515625" customWidth="1"/>
  </cols>
  <sheetData>
    <row r="1" spans="1:71" ht="12.75" customHeight="1">
      <c r="A1" s="643" t="s">
        <v>593</v>
      </c>
      <c r="B1" s="644"/>
      <c r="C1" s="644"/>
      <c r="D1" s="644"/>
      <c r="E1" s="644"/>
      <c r="F1" s="607" t="s">
        <v>906</v>
      </c>
      <c r="G1" s="607"/>
      <c r="H1" s="607"/>
      <c r="I1" s="607"/>
      <c r="J1" s="607"/>
      <c r="K1" s="607"/>
      <c r="L1" s="607"/>
      <c r="M1" s="607"/>
      <c r="N1" s="607"/>
      <c r="O1" s="607"/>
      <c r="P1" s="607"/>
      <c r="Q1" s="607"/>
      <c r="R1" s="607"/>
      <c r="S1" s="607"/>
      <c r="T1" s="607"/>
      <c r="U1" s="607"/>
      <c r="V1" s="111"/>
      <c r="W1" s="19"/>
      <c r="X1" s="166"/>
      <c r="Y1" s="166"/>
      <c r="Z1" s="166"/>
      <c r="AA1" s="166"/>
      <c r="AB1" s="166"/>
      <c r="AC1" s="166"/>
      <c r="AD1" s="166"/>
      <c r="AE1" s="166"/>
      <c r="AF1" s="166"/>
      <c r="AG1" s="166"/>
      <c r="AH1" s="166"/>
      <c r="AI1" s="166"/>
    </row>
    <row r="2" spans="1:71" ht="13.5" customHeight="1">
      <c r="A2" s="645" t="s">
        <v>594</v>
      </c>
      <c r="B2" s="646"/>
      <c r="C2" s="646"/>
      <c r="D2" s="646"/>
      <c r="E2" s="646"/>
      <c r="F2" s="634" t="s">
        <v>888</v>
      </c>
      <c r="G2" s="634"/>
      <c r="H2" s="634"/>
      <c r="I2" s="634"/>
      <c r="J2" s="634"/>
      <c r="K2" s="634"/>
      <c r="L2" s="634"/>
      <c r="M2" s="634"/>
      <c r="N2" s="634"/>
      <c r="O2" s="634"/>
      <c r="P2" s="634"/>
      <c r="Q2" s="635"/>
      <c r="R2" s="635"/>
      <c r="S2" s="635"/>
      <c r="T2" s="635"/>
      <c r="U2" s="635"/>
      <c r="V2" s="635"/>
      <c r="W2" s="19"/>
      <c r="X2" s="166"/>
      <c r="Y2" s="166"/>
      <c r="Z2" s="166"/>
      <c r="AA2" s="166"/>
      <c r="AB2" s="166"/>
      <c r="AC2" s="166"/>
      <c r="AD2" s="166"/>
      <c r="AE2" s="166"/>
      <c r="AF2" s="166"/>
      <c r="AG2" s="166"/>
      <c r="AH2" s="166"/>
      <c r="AI2" s="166"/>
    </row>
    <row r="3" spans="1:71" ht="13.5" customHeight="1">
      <c r="A3" s="647" t="s">
        <v>7</v>
      </c>
      <c r="B3" s="648"/>
      <c r="C3" s="648"/>
      <c r="D3" s="648"/>
      <c r="E3" s="648"/>
      <c r="F3" s="608"/>
      <c r="G3" s="609"/>
      <c r="H3" s="609"/>
      <c r="I3" s="609"/>
      <c r="J3" s="609"/>
      <c r="K3" s="609"/>
      <c r="L3" s="609"/>
      <c r="M3" s="609"/>
      <c r="N3" s="609"/>
      <c r="O3" s="609"/>
      <c r="P3" s="609"/>
      <c r="Q3" s="609"/>
      <c r="R3" s="609"/>
      <c r="S3" s="609"/>
      <c r="T3" s="609"/>
      <c r="U3" s="166"/>
      <c r="V3" s="112"/>
      <c r="W3" s="21"/>
      <c r="X3" s="166"/>
      <c r="Y3" s="166"/>
      <c r="Z3" s="166"/>
      <c r="AA3" s="166"/>
      <c r="AB3" s="166"/>
      <c r="AC3" s="166"/>
      <c r="AD3" s="166"/>
      <c r="AE3" s="166"/>
      <c r="AF3" s="166"/>
      <c r="AG3" s="166"/>
      <c r="AH3" s="166"/>
      <c r="AI3" s="166"/>
    </row>
    <row r="4" spans="1:71" s="10" customFormat="1" ht="10.5" customHeight="1">
      <c r="A4" s="574" t="s">
        <v>576</v>
      </c>
      <c r="B4" s="575"/>
      <c r="C4" s="575"/>
      <c r="D4" s="575"/>
      <c r="E4" s="575"/>
      <c r="F4" s="575"/>
      <c r="G4" s="575"/>
      <c r="H4" s="575"/>
      <c r="I4" s="575"/>
      <c r="J4" s="575"/>
      <c r="K4" s="575"/>
      <c r="L4" s="575"/>
      <c r="M4" s="575"/>
      <c r="N4" s="575"/>
      <c r="O4" s="575"/>
      <c r="P4" s="575"/>
      <c r="Q4" s="575"/>
      <c r="R4" s="575"/>
      <c r="S4" s="576"/>
      <c r="T4" s="630"/>
      <c r="U4" s="631"/>
      <c r="V4" s="609"/>
      <c r="W4" s="609"/>
      <c r="X4" s="166"/>
      <c r="Y4" s="166"/>
      <c r="Z4" s="166"/>
      <c r="AA4" s="166"/>
      <c r="AB4" s="166"/>
      <c r="AC4" s="166"/>
      <c r="AD4" s="166"/>
      <c r="AE4" s="166"/>
      <c r="AF4" s="166"/>
      <c r="AG4" s="166"/>
      <c r="AH4" s="166"/>
      <c r="AI4" s="166"/>
    </row>
    <row r="5" spans="1:71" s="11" customFormat="1" ht="14.25" customHeight="1">
      <c r="A5" s="651"/>
      <c r="B5" s="652"/>
      <c r="C5" s="636">
        <f>'Page 1-3'!D17</f>
        <v>0</v>
      </c>
      <c r="D5" s="636"/>
      <c r="E5" s="636"/>
      <c r="F5" s="636"/>
      <c r="G5" s="636"/>
      <c r="H5" s="637"/>
      <c r="I5" s="637"/>
      <c r="J5" s="637"/>
      <c r="K5" s="637"/>
      <c r="L5" s="637"/>
      <c r="M5" s="637"/>
      <c r="N5" s="637"/>
      <c r="O5" s="637"/>
      <c r="P5" s="637"/>
      <c r="Q5" s="636"/>
      <c r="R5" s="636"/>
      <c r="S5" s="638"/>
      <c r="T5" s="632"/>
      <c r="U5" s="633"/>
      <c r="V5" s="633"/>
      <c r="W5" s="633"/>
      <c r="X5" s="166"/>
      <c r="Y5" s="166"/>
      <c r="Z5" s="166"/>
      <c r="AA5" s="166"/>
      <c r="AB5" s="166"/>
      <c r="AC5" s="166"/>
      <c r="AD5" s="166"/>
      <c r="AE5" s="166"/>
      <c r="AF5" s="166"/>
      <c r="AG5" s="166"/>
      <c r="AH5" s="166"/>
      <c r="AI5" s="166"/>
    </row>
    <row r="6" spans="1:71" ht="10.5" customHeight="1">
      <c r="A6" s="574" t="s">
        <v>462</v>
      </c>
      <c r="B6" s="641"/>
      <c r="C6" s="641"/>
      <c r="D6" s="641"/>
      <c r="E6" s="641"/>
      <c r="F6" s="641"/>
      <c r="G6" s="641"/>
      <c r="H6" s="594" t="s">
        <v>463</v>
      </c>
      <c r="I6" s="578"/>
      <c r="J6" s="641"/>
      <c r="K6" s="641"/>
      <c r="L6" s="641"/>
      <c r="M6" s="641"/>
      <c r="N6" s="188"/>
      <c r="O6" s="188"/>
      <c r="P6" s="579"/>
      <c r="Q6" s="594" t="s">
        <v>464</v>
      </c>
      <c r="R6" s="188"/>
      <c r="S6" s="579"/>
      <c r="T6" s="594" t="s">
        <v>578</v>
      </c>
      <c r="U6" s="578"/>
      <c r="V6" s="641"/>
      <c r="W6" s="642"/>
      <c r="X6" s="166"/>
      <c r="Y6" s="166"/>
      <c r="Z6" s="166"/>
      <c r="AA6" s="166"/>
      <c r="AB6" s="166"/>
      <c r="AC6" s="166"/>
      <c r="AD6" s="166"/>
      <c r="AE6" s="166"/>
      <c r="AF6" s="166"/>
      <c r="AG6" s="166"/>
      <c r="AH6" s="166"/>
      <c r="AI6" s="166"/>
    </row>
    <row r="7" spans="1:71" ht="14.25" customHeight="1">
      <c r="A7" s="595">
        <f>'Page 1-3'!D20</f>
        <v>0</v>
      </c>
      <c r="B7" s="169"/>
      <c r="C7" s="169"/>
      <c r="D7" s="169"/>
      <c r="E7" s="169"/>
      <c r="F7" s="169"/>
      <c r="G7" s="169"/>
      <c r="H7" s="655">
        <f>'Page 1-3'!B21</f>
        <v>0</v>
      </c>
      <c r="I7" s="656"/>
      <c r="J7" s="656"/>
      <c r="K7" s="656"/>
      <c r="L7" s="656"/>
      <c r="M7" s="656"/>
      <c r="N7" s="657"/>
      <c r="O7" s="657"/>
      <c r="P7" s="658"/>
      <c r="Q7" s="595">
        <f>'Page 1-3'!H21</f>
        <v>0</v>
      </c>
      <c r="R7" s="585"/>
      <c r="S7" s="596"/>
      <c r="T7" s="595">
        <f>'Page 1-3'!M21</f>
        <v>0</v>
      </c>
      <c r="U7" s="169"/>
      <c r="V7" s="169"/>
      <c r="W7" s="596"/>
      <c r="X7" s="166"/>
      <c r="Y7" s="166"/>
      <c r="Z7" s="166"/>
      <c r="AA7" s="166"/>
      <c r="AB7" s="166"/>
      <c r="AC7" s="166"/>
      <c r="AD7" s="166"/>
      <c r="AE7" s="166"/>
      <c r="AF7" s="166"/>
      <c r="AG7" s="166"/>
      <c r="AH7" s="166"/>
      <c r="AI7" s="166"/>
    </row>
    <row r="8" spans="1:71" ht="13.5" customHeight="1">
      <c r="A8" s="574" t="s">
        <v>579</v>
      </c>
      <c r="B8" s="641"/>
      <c r="C8" s="641"/>
      <c r="D8" s="641"/>
      <c r="E8" s="641"/>
      <c r="F8" s="641"/>
      <c r="G8" s="642"/>
      <c r="H8" s="594" t="s">
        <v>577</v>
      </c>
      <c r="I8" s="578"/>
      <c r="J8" s="641"/>
      <c r="K8" s="641"/>
      <c r="L8" s="641"/>
      <c r="M8" s="641"/>
      <c r="N8" s="188"/>
      <c r="O8" s="188"/>
      <c r="P8" s="579"/>
      <c r="Q8" s="578" t="s">
        <v>465</v>
      </c>
      <c r="R8" s="188"/>
      <c r="S8" s="579"/>
      <c r="T8" s="571"/>
      <c r="U8" s="572"/>
      <c r="V8" s="572"/>
      <c r="W8" s="573"/>
      <c r="X8" s="166"/>
      <c r="Y8" s="166"/>
      <c r="Z8" s="166"/>
      <c r="AA8" s="166"/>
      <c r="AB8" s="166"/>
      <c r="AC8" s="166"/>
      <c r="AD8" s="166"/>
      <c r="AE8" s="166"/>
      <c r="AF8" s="166"/>
      <c r="AG8" s="166"/>
      <c r="AH8" s="166"/>
      <c r="AI8" s="166"/>
    </row>
    <row r="9" spans="1:71" ht="13.5" customHeight="1">
      <c r="A9" s="595">
        <f>'Page 1-3'!C23</f>
        <v>0</v>
      </c>
      <c r="B9" s="169"/>
      <c r="C9" s="169"/>
      <c r="D9" s="169"/>
      <c r="E9" s="169"/>
      <c r="F9" s="169"/>
      <c r="G9" s="596"/>
      <c r="H9" s="659">
        <f>'Page 1-3'!J22</f>
        <v>0</v>
      </c>
      <c r="I9" s="660"/>
      <c r="J9" s="660"/>
      <c r="K9" s="660"/>
      <c r="L9" s="660"/>
      <c r="M9" s="660"/>
      <c r="N9" s="660"/>
      <c r="O9" s="661"/>
      <c r="P9" s="662"/>
      <c r="Q9" s="578" t="s">
        <v>580</v>
      </c>
      <c r="R9" s="188"/>
      <c r="S9" s="579"/>
      <c r="T9" s="571"/>
      <c r="U9" s="572"/>
      <c r="V9" s="572"/>
      <c r="W9" s="573"/>
      <c r="X9" s="166"/>
      <c r="Y9" s="166"/>
      <c r="Z9" s="166"/>
      <c r="AA9" s="166"/>
      <c r="AB9" s="166"/>
      <c r="AC9" s="166"/>
      <c r="AD9" s="166"/>
      <c r="AE9" s="166"/>
      <c r="AF9" s="166"/>
      <c r="AG9" s="166"/>
      <c r="AH9" s="166"/>
      <c r="AI9" s="166"/>
    </row>
    <row r="10" spans="1:71" ht="14.25" customHeight="1">
      <c r="A10" s="653" t="s">
        <v>466</v>
      </c>
      <c r="B10" s="654"/>
      <c r="C10" s="571">
        <f>'Page 1-3'!E27</f>
        <v>0</v>
      </c>
      <c r="D10" s="572"/>
      <c r="E10" s="572"/>
      <c r="F10" s="572"/>
      <c r="G10" s="639"/>
      <c r="H10" s="640"/>
      <c r="I10" s="649" t="s">
        <v>467</v>
      </c>
      <c r="J10" s="650"/>
      <c r="K10" s="650"/>
      <c r="L10" s="650"/>
      <c r="M10" s="571">
        <f>'Page 1-3'!E28</f>
        <v>0</v>
      </c>
      <c r="N10" s="147"/>
      <c r="O10" s="147"/>
      <c r="P10" s="587"/>
      <c r="Q10" s="597" t="s">
        <v>14</v>
      </c>
      <c r="R10" s="598"/>
      <c r="S10" s="598"/>
      <c r="T10" s="598"/>
      <c r="U10" s="598"/>
      <c r="V10" s="598"/>
      <c r="W10" s="599"/>
      <c r="X10" s="166"/>
      <c r="Y10" s="166"/>
      <c r="Z10" s="166"/>
      <c r="AA10" s="166"/>
      <c r="AB10" s="166"/>
      <c r="AC10" s="166"/>
      <c r="AD10" s="166"/>
      <c r="AE10" s="166"/>
      <c r="AF10" s="166"/>
      <c r="AG10" s="166"/>
      <c r="AH10" s="166"/>
      <c r="AI10" s="166"/>
    </row>
    <row r="11" spans="1:71" ht="12" customHeight="1">
      <c r="A11" s="574" t="s">
        <v>468</v>
      </c>
      <c r="B11" s="575"/>
      <c r="C11" s="580">
        <f>'Page 1-3'!J27</f>
        <v>0</v>
      </c>
      <c r="D11" s="581"/>
      <c r="E11" s="581"/>
      <c r="F11" s="581"/>
      <c r="G11" s="582"/>
      <c r="H11" s="583"/>
      <c r="I11" s="594" t="s">
        <v>469</v>
      </c>
      <c r="J11" s="575"/>
      <c r="K11" s="575"/>
      <c r="L11" s="188"/>
      <c r="M11" s="588">
        <f>'Page 1-3'!J28</f>
        <v>0</v>
      </c>
      <c r="N11" s="589"/>
      <c r="O11" s="589"/>
      <c r="P11" s="590"/>
      <c r="Q11" s="600" t="s">
        <v>15</v>
      </c>
      <c r="R11" s="601"/>
      <c r="S11" s="604" t="s">
        <v>27</v>
      </c>
      <c r="T11" s="25"/>
      <c r="U11" s="604" t="s">
        <v>28</v>
      </c>
      <c r="V11" s="25"/>
      <c r="W11" s="149"/>
      <c r="X11" s="166"/>
      <c r="Y11" s="166"/>
      <c r="Z11" s="166"/>
      <c r="AA11" s="166"/>
      <c r="AB11" s="166"/>
      <c r="AC11" s="166"/>
      <c r="AD11" s="166"/>
      <c r="AE11" s="166"/>
      <c r="AF11" s="166"/>
      <c r="AG11" s="166"/>
      <c r="AH11" s="166"/>
      <c r="AI11" s="166"/>
    </row>
    <row r="12" spans="1:71" ht="3.75" customHeight="1">
      <c r="A12" s="632"/>
      <c r="B12" s="633"/>
      <c r="C12" s="584"/>
      <c r="D12" s="585"/>
      <c r="E12" s="585"/>
      <c r="F12" s="585"/>
      <c r="G12" s="585"/>
      <c r="H12" s="586"/>
      <c r="I12" s="632"/>
      <c r="J12" s="633"/>
      <c r="K12" s="633"/>
      <c r="L12" s="633"/>
      <c r="M12" s="591"/>
      <c r="N12" s="592"/>
      <c r="O12" s="592"/>
      <c r="P12" s="593"/>
      <c r="Q12" s="602"/>
      <c r="R12" s="603"/>
      <c r="S12" s="605"/>
      <c r="T12" s="20"/>
      <c r="U12" s="605"/>
      <c r="V12" s="20"/>
      <c r="W12" s="772"/>
      <c r="X12" s="166"/>
      <c r="Y12" s="166"/>
      <c r="Z12" s="166"/>
      <c r="AA12" s="166"/>
      <c r="AB12" s="166"/>
      <c r="AC12" s="166"/>
      <c r="AD12" s="166"/>
      <c r="AE12" s="166"/>
      <c r="AF12" s="166"/>
      <c r="AG12" s="166"/>
      <c r="AH12" s="166"/>
      <c r="AI12" s="166"/>
      <c r="AJ12" s="11"/>
      <c r="AK12" s="11"/>
      <c r="AL12" s="11"/>
      <c r="AM12" s="11"/>
      <c r="AN12" s="11"/>
      <c r="AO12" s="11"/>
      <c r="AP12" s="11"/>
      <c r="AQ12" s="11"/>
      <c r="AR12" s="11"/>
      <c r="AS12" s="11"/>
      <c r="AT12" s="11"/>
    </row>
    <row r="13" spans="1:71" ht="19.5" customHeight="1">
      <c r="A13" s="780" t="s">
        <v>460</v>
      </c>
      <c r="B13" s="780"/>
      <c r="C13" s="780"/>
      <c r="D13" s="780"/>
      <c r="E13" s="780"/>
      <c r="F13" s="780"/>
      <c r="G13" s="780"/>
      <c r="H13" s="780"/>
      <c r="I13" s="780"/>
      <c r="J13" s="780"/>
      <c r="K13" s="780"/>
      <c r="L13" s="780"/>
      <c r="M13" s="780"/>
      <c r="N13" s="780"/>
      <c r="O13" s="780"/>
      <c r="P13" s="780"/>
      <c r="Q13" s="780"/>
      <c r="R13" s="780"/>
      <c r="S13" s="780"/>
      <c r="T13" s="780"/>
      <c r="U13" s="780"/>
      <c r="V13" s="780"/>
      <c r="W13" s="780"/>
      <c r="X13" s="166"/>
      <c r="Y13" s="166"/>
      <c r="Z13" s="166"/>
      <c r="AA13" s="166"/>
      <c r="AB13" s="166"/>
      <c r="AC13" s="166"/>
      <c r="AD13" s="166"/>
      <c r="AE13" s="166"/>
      <c r="AF13" s="166"/>
      <c r="AG13" s="166"/>
      <c r="AH13" s="166"/>
      <c r="AI13" s="166"/>
      <c r="AJ13" s="11"/>
      <c r="AK13" s="11"/>
      <c r="AL13" s="11"/>
      <c r="AM13" s="11"/>
      <c r="AN13" s="11"/>
      <c r="AO13" s="11"/>
      <c r="AP13" s="11"/>
      <c r="AQ13" s="11"/>
      <c r="AR13" s="11"/>
      <c r="AS13" s="11"/>
      <c r="AT13" s="11"/>
    </row>
    <row r="14" spans="1:71">
      <c r="A14" s="15" t="s">
        <v>436</v>
      </c>
      <c r="B14" s="670" t="s">
        <v>438</v>
      </c>
      <c r="C14" s="671"/>
      <c r="D14" s="671"/>
      <c r="E14" s="672"/>
      <c r="F14" s="15" t="s">
        <v>439</v>
      </c>
      <c r="G14" s="750" t="s">
        <v>440</v>
      </c>
      <c r="H14" s="642"/>
      <c r="I14" s="750" t="s">
        <v>441</v>
      </c>
      <c r="J14" s="688"/>
      <c r="K14" s="750" t="s">
        <v>442</v>
      </c>
      <c r="L14" s="642"/>
      <c r="M14" s="109" t="s">
        <v>444</v>
      </c>
      <c r="N14" s="750" t="s">
        <v>575</v>
      </c>
      <c r="O14" s="777"/>
      <c r="P14" s="750" t="s">
        <v>446</v>
      </c>
      <c r="Q14" s="688"/>
      <c r="R14" s="750" t="s">
        <v>448</v>
      </c>
      <c r="S14" s="642"/>
      <c r="T14" s="687" t="s">
        <v>449</v>
      </c>
      <c r="U14" s="687"/>
      <c r="V14" s="688"/>
      <c r="W14" s="773" t="s">
        <v>581</v>
      </c>
      <c r="X14" s="166"/>
      <c r="Y14" s="166"/>
      <c r="Z14" s="166"/>
      <c r="AA14" s="166"/>
      <c r="AB14" s="166"/>
      <c r="AC14" s="166"/>
      <c r="AD14" s="166"/>
      <c r="AE14" s="166"/>
      <c r="AF14" s="166"/>
      <c r="AG14" s="166"/>
      <c r="AH14" s="166"/>
      <c r="AI14" s="166"/>
      <c r="AJ14" s="11"/>
      <c r="AK14" s="11"/>
      <c r="AL14" s="11"/>
      <c r="AM14" s="11"/>
      <c r="AN14" s="11"/>
      <c r="AO14" s="11"/>
      <c r="AP14" s="11"/>
      <c r="AQ14" s="11"/>
      <c r="AR14" s="11"/>
      <c r="AS14" s="11"/>
      <c r="AT14" s="11"/>
    </row>
    <row r="15" spans="1:71">
      <c r="A15" s="16" t="s">
        <v>437</v>
      </c>
      <c r="B15" s="673"/>
      <c r="C15" s="674"/>
      <c r="D15" s="674"/>
      <c r="E15" s="675"/>
      <c r="F15" s="16" t="s">
        <v>65</v>
      </c>
      <c r="G15" s="778" t="s">
        <v>65</v>
      </c>
      <c r="H15" s="781"/>
      <c r="I15" s="778" t="s">
        <v>65</v>
      </c>
      <c r="J15" s="781"/>
      <c r="K15" s="778" t="s">
        <v>443</v>
      </c>
      <c r="L15" s="779"/>
      <c r="M15" s="110" t="s">
        <v>445</v>
      </c>
      <c r="N15" s="775" t="s">
        <v>574</v>
      </c>
      <c r="O15" s="776"/>
      <c r="P15" s="778" t="s">
        <v>447</v>
      </c>
      <c r="Q15" s="779"/>
      <c r="R15" s="778" t="s">
        <v>66</v>
      </c>
      <c r="S15" s="779"/>
      <c r="T15" s="694" t="s">
        <v>450</v>
      </c>
      <c r="U15" s="694"/>
      <c r="V15" s="695"/>
      <c r="W15" s="774"/>
      <c r="X15" s="166"/>
      <c r="Y15" s="166"/>
      <c r="Z15" s="166"/>
      <c r="AA15" s="166"/>
      <c r="AB15" s="166"/>
      <c r="AC15" s="166"/>
      <c r="AD15" s="166"/>
      <c r="AE15" s="166"/>
      <c r="AF15" s="166"/>
      <c r="AG15" s="166"/>
      <c r="AH15" s="166"/>
      <c r="AI15" s="166"/>
      <c r="AJ15" s="11"/>
      <c r="AK15" s="11"/>
      <c r="AL15" s="11"/>
      <c r="AM15" s="11"/>
      <c r="AN15" s="11"/>
      <c r="AO15" s="11"/>
      <c r="AP15" s="11"/>
      <c r="AQ15" s="11"/>
      <c r="AR15" s="11"/>
      <c r="AS15" s="11"/>
      <c r="AT15" s="11"/>
      <c r="AU15" s="11"/>
      <c r="AV15" s="11"/>
      <c r="AW15" s="11"/>
      <c r="AX15" s="11"/>
      <c r="AY15" s="11"/>
      <c r="AZ15" s="11"/>
      <c r="BA15" s="23"/>
      <c r="BB15" s="23"/>
      <c r="BC15" s="23"/>
      <c r="BD15" s="23"/>
      <c r="BE15" s="23"/>
      <c r="BF15" s="23"/>
      <c r="BG15" s="23"/>
      <c r="BH15" s="23"/>
      <c r="BI15" s="23"/>
      <c r="BJ15" s="23"/>
      <c r="BK15" s="23"/>
      <c r="BL15" s="23"/>
      <c r="BM15" s="23"/>
      <c r="BN15" s="23"/>
      <c r="BO15" s="23"/>
      <c r="BP15" s="23"/>
      <c r="BQ15" s="23"/>
      <c r="BR15" s="23"/>
      <c r="BS15" s="23"/>
    </row>
    <row r="16" spans="1:71" ht="15" customHeight="1">
      <c r="A16" s="99" t="s">
        <v>919</v>
      </c>
      <c r="B16" s="610" t="s">
        <v>452</v>
      </c>
      <c r="C16" s="611"/>
      <c r="D16" s="611"/>
      <c r="E16" s="612"/>
      <c r="F16" s="24">
        <v>180</v>
      </c>
      <c r="G16" s="782">
        <f>'Pg. 4 General Questions'!E92</f>
        <v>0</v>
      </c>
      <c r="H16" s="189"/>
      <c r="I16" s="712">
        <f>'Pg. 4 General Questions'!E93</f>
        <v>180</v>
      </c>
      <c r="J16" s="573"/>
      <c r="K16" s="712">
        <f>'Pg. 4 General Questions'!E95</f>
        <v>144</v>
      </c>
      <c r="L16" s="573"/>
      <c r="M16" s="98">
        <f>'Pg. 4 General Questions'!J90</f>
        <v>0</v>
      </c>
      <c r="N16" s="712"/>
      <c r="O16" s="573"/>
      <c r="P16" s="737"/>
      <c r="Q16" s="691"/>
      <c r="R16" s="689"/>
      <c r="S16" s="690"/>
      <c r="T16" s="203"/>
      <c r="U16" s="203"/>
      <c r="V16" s="691"/>
      <c r="W16" s="123"/>
      <c r="X16" s="166"/>
      <c r="Y16" s="166"/>
      <c r="Z16" s="166"/>
      <c r="AA16" s="166"/>
      <c r="AB16" s="166"/>
      <c r="AC16" s="166"/>
      <c r="AD16" s="166"/>
      <c r="AE16" s="166"/>
      <c r="AF16" s="166"/>
      <c r="AG16" s="166"/>
      <c r="AH16" s="166"/>
      <c r="AI16" s="166"/>
      <c r="AJ16" s="11"/>
      <c r="AK16" s="11"/>
      <c r="AL16" s="11"/>
      <c r="AM16" s="11"/>
      <c r="AN16" s="11"/>
      <c r="AO16" s="11"/>
      <c r="AP16" s="11"/>
      <c r="AQ16" s="11"/>
      <c r="AR16" s="11"/>
      <c r="AS16" s="11"/>
      <c r="AT16" s="11"/>
    </row>
    <row r="17" spans="1:46" ht="15" customHeight="1">
      <c r="A17" s="100">
        <f>'Page 1-3'!P58</f>
        <v>0</v>
      </c>
      <c r="B17" s="610" t="s">
        <v>451</v>
      </c>
      <c r="C17" s="611"/>
      <c r="D17" s="611"/>
      <c r="E17" s="612"/>
      <c r="F17" s="24">
        <v>190</v>
      </c>
      <c r="G17" s="712">
        <f>'Part 1-Farm Review'!E131</f>
        <v>0</v>
      </c>
      <c r="H17" s="691"/>
      <c r="I17" s="712">
        <f>'Part 1-Farm Review'!E132</f>
        <v>190</v>
      </c>
      <c r="J17" s="573"/>
      <c r="K17" s="712">
        <f>'Part 1-Farm Review'!E134</f>
        <v>152</v>
      </c>
      <c r="L17" s="573"/>
      <c r="M17" s="98">
        <f>'Part 1-Farm Review'!J129</f>
        <v>0</v>
      </c>
      <c r="N17" s="708"/>
      <c r="O17" s="709"/>
      <c r="P17" s="737"/>
      <c r="Q17" s="691"/>
      <c r="R17" s="692"/>
      <c r="S17" s="693"/>
      <c r="T17" s="696"/>
      <c r="U17" s="697"/>
      <c r="V17" s="698"/>
      <c r="W17" s="123"/>
      <c r="X17" s="166"/>
      <c r="Y17" s="166"/>
      <c r="Z17" s="166"/>
      <c r="AA17" s="166"/>
      <c r="AB17" s="166"/>
      <c r="AC17" s="166"/>
      <c r="AD17" s="166"/>
      <c r="AE17" s="166"/>
      <c r="AF17" s="166"/>
      <c r="AG17" s="166"/>
      <c r="AH17" s="166"/>
      <c r="AI17" s="166"/>
      <c r="AJ17" s="11"/>
      <c r="AK17" s="11"/>
      <c r="AL17" s="11"/>
      <c r="AM17" s="11"/>
      <c r="AN17" s="11"/>
      <c r="AO17" s="11"/>
      <c r="AP17" s="11"/>
      <c r="AQ17" s="11"/>
      <c r="AR17" s="11"/>
      <c r="AS17" s="11"/>
      <c r="AT17" s="11"/>
    </row>
    <row r="18" spans="1:46" ht="13.5" customHeight="1">
      <c r="A18" s="621">
        <f>'Page 1-3'!P60</f>
        <v>0</v>
      </c>
      <c r="B18" s="627" t="s">
        <v>453</v>
      </c>
      <c r="C18" s="628"/>
      <c r="D18" s="628"/>
      <c r="E18" s="629"/>
      <c r="F18" s="619">
        <v>185</v>
      </c>
      <c r="G18" s="683">
        <f>'Part 2-Field Harvest &amp; Packing '!E99</f>
        <v>0</v>
      </c>
      <c r="H18" s="714"/>
      <c r="I18" s="683">
        <f>'Part 2-Field Harvest &amp; Packing '!E100</f>
        <v>185</v>
      </c>
      <c r="J18" s="684"/>
      <c r="K18" s="683">
        <f>'Part 2-Field Harvest &amp; Packing '!E102</f>
        <v>148</v>
      </c>
      <c r="L18" s="684"/>
      <c r="M18" s="710">
        <f>'Part 2-Field Harvest &amp; Packing '!J97</f>
        <v>0</v>
      </c>
      <c r="N18" s="699"/>
      <c r="O18" s="700"/>
      <c r="P18" s="738"/>
      <c r="Q18" s="739"/>
      <c r="R18" s="683"/>
      <c r="S18" s="684"/>
      <c r="T18" s="683"/>
      <c r="U18" s="705"/>
      <c r="V18" s="684"/>
      <c r="W18" s="704"/>
      <c r="X18" s="166"/>
      <c r="Y18" s="166"/>
      <c r="Z18" s="166"/>
      <c r="AA18" s="166"/>
      <c r="AB18" s="166"/>
      <c r="AC18" s="166"/>
      <c r="AD18" s="166"/>
      <c r="AE18" s="166"/>
      <c r="AF18" s="166"/>
      <c r="AG18" s="166"/>
      <c r="AH18" s="166"/>
      <c r="AI18" s="166"/>
      <c r="AJ18" s="11"/>
      <c r="AK18" s="11"/>
      <c r="AL18" s="11"/>
      <c r="AM18" s="11"/>
      <c r="AN18" s="11"/>
      <c r="AO18" s="11"/>
      <c r="AP18" s="11"/>
      <c r="AQ18" s="11"/>
      <c r="AR18" s="11"/>
      <c r="AS18" s="11"/>
      <c r="AT18" s="11"/>
    </row>
    <row r="19" spans="1:46" ht="13.5" customHeight="1">
      <c r="A19" s="622"/>
      <c r="B19" s="623" t="s">
        <v>454</v>
      </c>
      <c r="C19" s="624"/>
      <c r="D19" s="624"/>
      <c r="E19" s="625"/>
      <c r="F19" s="620"/>
      <c r="G19" s="715"/>
      <c r="H19" s="716"/>
      <c r="I19" s="685"/>
      <c r="J19" s="686"/>
      <c r="K19" s="685"/>
      <c r="L19" s="686"/>
      <c r="M19" s="711"/>
      <c r="N19" s="701"/>
      <c r="O19" s="702"/>
      <c r="P19" s="740"/>
      <c r="Q19" s="741"/>
      <c r="R19" s="685"/>
      <c r="S19" s="686"/>
      <c r="T19" s="685"/>
      <c r="U19" s="706"/>
      <c r="V19" s="686"/>
      <c r="W19" s="704"/>
      <c r="X19" s="166"/>
      <c r="Y19" s="166"/>
      <c r="Z19" s="166"/>
      <c r="AA19" s="166"/>
      <c r="AB19" s="166"/>
      <c r="AC19" s="166"/>
      <c r="AD19" s="166"/>
      <c r="AE19" s="166"/>
      <c r="AF19" s="166"/>
      <c r="AG19" s="166"/>
      <c r="AH19" s="166"/>
      <c r="AI19" s="166"/>
      <c r="AJ19" s="11"/>
      <c r="AK19" s="11"/>
      <c r="AL19" s="11"/>
      <c r="AM19" s="11"/>
      <c r="AN19" s="11"/>
      <c r="AO19" s="11"/>
      <c r="AP19" s="11"/>
      <c r="AQ19" s="11"/>
      <c r="AR19" s="11"/>
      <c r="AS19" s="11"/>
      <c r="AT19" s="11"/>
    </row>
    <row r="20" spans="1:46" ht="15" customHeight="1">
      <c r="A20" s="100">
        <f>'Page 1-3'!P62</f>
        <v>0</v>
      </c>
      <c r="B20" s="680" t="s">
        <v>457</v>
      </c>
      <c r="C20" s="681"/>
      <c r="D20" s="681"/>
      <c r="E20" s="682"/>
      <c r="F20" s="24">
        <v>290</v>
      </c>
      <c r="G20" s="712">
        <f>'Part 3-House Packing Facilty'!E129</f>
        <v>0</v>
      </c>
      <c r="H20" s="691"/>
      <c r="I20" s="712">
        <f>'Part 3-House Packing Facilty'!E130</f>
        <v>290</v>
      </c>
      <c r="J20" s="573"/>
      <c r="K20" s="712">
        <f>'Part 3-House Packing Facilty'!E132</f>
        <v>232</v>
      </c>
      <c r="L20" s="573"/>
      <c r="M20" s="124">
        <f>'Part 3-House Packing Facilty'!J127</f>
        <v>0</v>
      </c>
      <c r="N20" s="708"/>
      <c r="O20" s="709"/>
      <c r="P20" s="737"/>
      <c r="Q20" s="691"/>
      <c r="R20" s="712"/>
      <c r="S20" s="573"/>
      <c r="T20" s="707"/>
      <c r="U20" s="203"/>
      <c r="V20" s="691"/>
      <c r="W20" s="123"/>
      <c r="X20" s="166"/>
      <c r="Y20" s="166"/>
      <c r="Z20" s="166"/>
      <c r="AA20" s="166"/>
      <c r="AB20" s="166"/>
      <c r="AC20" s="166"/>
      <c r="AD20" s="166"/>
      <c r="AE20" s="166"/>
      <c r="AF20" s="166"/>
      <c r="AG20" s="166"/>
      <c r="AH20" s="166"/>
      <c r="AI20" s="166"/>
      <c r="AJ20" s="11"/>
      <c r="AK20" s="11"/>
      <c r="AL20" s="11"/>
      <c r="AM20" s="11"/>
      <c r="AN20" s="11"/>
      <c r="AO20" s="11"/>
      <c r="AP20" s="11"/>
      <c r="AQ20" s="11"/>
      <c r="AR20" s="11"/>
      <c r="AS20" s="11"/>
      <c r="AT20" s="11"/>
    </row>
    <row r="21" spans="1:46" ht="13.5" customHeight="1">
      <c r="A21" s="621">
        <f>'Page 1-3'!P64</f>
        <v>0</v>
      </c>
      <c r="B21" s="626" t="s">
        <v>455</v>
      </c>
      <c r="C21" s="191"/>
      <c r="D21" s="191"/>
      <c r="E21" s="191"/>
      <c r="F21" s="619">
        <v>255</v>
      </c>
      <c r="G21" s="683">
        <f>'Part 4-Storage &amp; Transportation'!E128</f>
        <v>0</v>
      </c>
      <c r="H21" s="714"/>
      <c r="I21" s="683">
        <f>'Part 4-Storage &amp; Transportation'!E129</f>
        <v>255</v>
      </c>
      <c r="J21" s="684"/>
      <c r="K21" s="683">
        <f>'Part 4-Storage &amp; Transportation'!E131</f>
        <v>204</v>
      </c>
      <c r="L21" s="684"/>
      <c r="M21" s="710">
        <f>'Part 4-Storage &amp; Transportation'!J126</f>
        <v>0</v>
      </c>
      <c r="N21" s="699"/>
      <c r="O21" s="700"/>
      <c r="P21" s="738"/>
      <c r="Q21" s="739"/>
      <c r="R21" s="683"/>
      <c r="S21" s="684"/>
      <c r="T21" s="683"/>
      <c r="U21" s="705"/>
      <c r="V21" s="684"/>
      <c r="W21" s="704"/>
      <c r="X21" s="166"/>
      <c r="Y21" s="166"/>
      <c r="Z21" s="166"/>
      <c r="AA21" s="166"/>
      <c r="AB21" s="166"/>
      <c r="AC21" s="166"/>
      <c r="AD21" s="166"/>
      <c r="AE21" s="166"/>
      <c r="AF21" s="166"/>
      <c r="AG21" s="166"/>
      <c r="AH21" s="166"/>
      <c r="AI21" s="166"/>
      <c r="AJ21" s="11"/>
      <c r="AK21" s="11"/>
      <c r="AL21" s="11"/>
      <c r="AM21" s="11"/>
      <c r="AN21" s="11"/>
      <c r="AO21" s="11"/>
      <c r="AP21" s="11"/>
      <c r="AQ21" s="11"/>
      <c r="AR21" s="11"/>
      <c r="AS21" s="11"/>
      <c r="AT21" s="11"/>
    </row>
    <row r="22" spans="1:46" ht="13.5" customHeight="1">
      <c r="A22" s="622"/>
      <c r="B22" s="626" t="s">
        <v>456</v>
      </c>
      <c r="C22" s="626"/>
      <c r="D22" s="626"/>
      <c r="E22" s="191"/>
      <c r="F22" s="703"/>
      <c r="G22" s="715"/>
      <c r="H22" s="716"/>
      <c r="I22" s="685"/>
      <c r="J22" s="686"/>
      <c r="K22" s="685"/>
      <c r="L22" s="686"/>
      <c r="M22" s="711"/>
      <c r="N22" s="701"/>
      <c r="O22" s="702"/>
      <c r="P22" s="740"/>
      <c r="Q22" s="741"/>
      <c r="R22" s="685"/>
      <c r="S22" s="686"/>
      <c r="T22" s="685"/>
      <c r="U22" s="706"/>
      <c r="V22" s="686"/>
      <c r="W22" s="704"/>
      <c r="X22" s="166"/>
      <c r="Y22" s="166"/>
      <c r="Z22" s="166"/>
      <c r="AA22" s="166"/>
      <c r="AB22" s="166"/>
      <c r="AC22" s="166"/>
      <c r="AD22" s="166"/>
      <c r="AE22" s="166"/>
      <c r="AF22" s="166"/>
      <c r="AG22" s="166"/>
      <c r="AH22" s="166"/>
      <c r="AI22" s="166"/>
      <c r="AJ22" s="11"/>
      <c r="AK22" s="11"/>
      <c r="AL22" s="11"/>
      <c r="AM22" s="11"/>
      <c r="AN22" s="11"/>
      <c r="AO22" s="11"/>
      <c r="AP22" s="11"/>
      <c r="AQ22" s="11"/>
      <c r="AR22" s="11"/>
      <c r="AS22" s="11"/>
      <c r="AT22" s="11"/>
    </row>
    <row r="23" spans="1:46" ht="13.5" customHeight="1">
      <c r="A23" s="621">
        <f>'Page 1-3'!P68</f>
        <v>0</v>
      </c>
      <c r="B23" s="613" t="s">
        <v>458</v>
      </c>
      <c r="C23" s="614"/>
      <c r="D23" s="614"/>
      <c r="E23" s="615"/>
      <c r="F23" s="619">
        <v>410</v>
      </c>
      <c r="G23" s="683">
        <f>'Part 6-Wholesale Distribution'!E176</f>
        <v>0</v>
      </c>
      <c r="H23" s="714"/>
      <c r="I23" s="683">
        <f>'Part 6-Wholesale Distribution'!E177</f>
        <v>410</v>
      </c>
      <c r="J23" s="684"/>
      <c r="K23" s="683">
        <f>'Part 6-Wholesale Distribution'!E179</f>
        <v>328</v>
      </c>
      <c r="L23" s="684"/>
      <c r="M23" s="710">
        <f>'Part 6-Wholesale Distribution'!J174</f>
        <v>0</v>
      </c>
      <c r="N23" s="699"/>
      <c r="O23" s="700"/>
      <c r="P23" s="713"/>
      <c r="Q23" s="714"/>
      <c r="R23" s="683"/>
      <c r="S23" s="684"/>
      <c r="T23" s="683"/>
      <c r="U23" s="705"/>
      <c r="V23" s="684"/>
      <c r="W23" s="704"/>
      <c r="X23" s="166"/>
      <c r="Y23" s="166"/>
      <c r="Z23" s="166"/>
      <c r="AA23" s="166"/>
      <c r="AB23" s="166"/>
      <c r="AC23" s="166"/>
      <c r="AD23" s="166"/>
      <c r="AE23" s="166"/>
      <c r="AF23" s="166"/>
      <c r="AG23" s="166"/>
      <c r="AH23" s="166"/>
      <c r="AI23" s="166"/>
      <c r="AJ23" s="11"/>
      <c r="AK23" s="11"/>
      <c r="AL23" s="11"/>
      <c r="AM23" s="11"/>
      <c r="AN23" s="11"/>
      <c r="AO23" s="11"/>
      <c r="AP23" s="11"/>
      <c r="AQ23" s="11"/>
      <c r="AR23" s="11"/>
      <c r="AS23" s="11"/>
      <c r="AT23" s="11"/>
    </row>
    <row r="24" spans="1:46" ht="13.5" customHeight="1">
      <c r="A24" s="622"/>
      <c r="B24" s="616" t="s">
        <v>8</v>
      </c>
      <c r="C24" s="617"/>
      <c r="D24" s="617"/>
      <c r="E24" s="618"/>
      <c r="F24" s="703"/>
      <c r="G24" s="715"/>
      <c r="H24" s="716"/>
      <c r="I24" s="685"/>
      <c r="J24" s="686"/>
      <c r="K24" s="685"/>
      <c r="L24" s="686"/>
      <c r="M24" s="711"/>
      <c r="N24" s="701"/>
      <c r="O24" s="702"/>
      <c r="P24" s="715"/>
      <c r="Q24" s="716"/>
      <c r="R24" s="685"/>
      <c r="S24" s="686"/>
      <c r="T24" s="685"/>
      <c r="U24" s="706"/>
      <c r="V24" s="686"/>
      <c r="W24" s="704"/>
      <c r="X24" s="166"/>
      <c r="Y24" s="166"/>
      <c r="Z24" s="166"/>
      <c r="AA24" s="166"/>
      <c r="AB24" s="166"/>
      <c r="AC24" s="166"/>
      <c r="AD24" s="166"/>
      <c r="AE24" s="166"/>
      <c r="AF24" s="166"/>
      <c r="AG24" s="166"/>
      <c r="AH24" s="166"/>
      <c r="AI24" s="166"/>
      <c r="AJ24" s="11"/>
      <c r="AK24" s="11"/>
      <c r="AL24" s="11"/>
      <c r="AM24" s="11"/>
      <c r="AN24" s="11"/>
      <c r="AO24" s="11"/>
      <c r="AP24" s="11"/>
      <c r="AQ24" s="11"/>
      <c r="AR24" s="11"/>
      <c r="AS24" s="11"/>
      <c r="AT24" s="11"/>
    </row>
    <row r="25" spans="1:46" ht="13.5" customHeight="1">
      <c r="A25" s="621">
        <f>'Page 1-3'!P70</f>
        <v>0</v>
      </c>
      <c r="B25" s="613" t="s">
        <v>459</v>
      </c>
      <c r="C25" s="614"/>
      <c r="D25" s="614"/>
      <c r="E25" s="615"/>
      <c r="F25" s="619">
        <v>180</v>
      </c>
      <c r="G25" s="683">
        <f>'Part 7-Preventive Food Defense'!E125</f>
        <v>0</v>
      </c>
      <c r="H25" s="714"/>
      <c r="I25" s="683">
        <f>'Part 7-Preventive Food Defense'!E126</f>
        <v>180</v>
      </c>
      <c r="J25" s="684"/>
      <c r="K25" s="683">
        <f>'Part 7-Preventive Food Defense'!E128</f>
        <v>144</v>
      </c>
      <c r="L25" s="684"/>
      <c r="M25" s="710">
        <f>'Part 7-Preventive Food Defense'!J123</f>
        <v>0</v>
      </c>
      <c r="N25" s="699"/>
      <c r="O25" s="700"/>
      <c r="P25" s="733"/>
      <c r="Q25" s="734"/>
      <c r="R25" s="726"/>
      <c r="S25" s="727"/>
      <c r="T25" s="683"/>
      <c r="U25" s="705"/>
      <c r="V25" s="684"/>
      <c r="W25" s="732"/>
      <c r="X25" s="166"/>
      <c r="Y25" s="166"/>
      <c r="Z25" s="166"/>
      <c r="AA25" s="166"/>
      <c r="AB25" s="166"/>
      <c r="AC25" s="166"/>
      <c r="AD25" s="166"/>
      <c r="AE25" s="166"/>
      <c r="AF25" s="166"/>
      <c r="AG25" s="166"/>
      <c r="AH25" s="166"/>
      <c r="AI25" s="166"/>
      <c r="AJ25" s="11"/>
      <c r="AK25" s="11"/>
      <c r="AL25" s="11"/>
      <c r="AM25" s="11"/>
      <c r="AN25" s="11"/>
      <c r="AO25" s="11"/>
      <c r="AP25" s="11"/>
      <c r="AQ25" s="11"/>
      <c r="AR25" s="11"/>
      <c r="AS25" s="11"/>
      <c r="AT25" s="11"/>
    </row>
    <row r="26" spans="1:46" ht="13.5" customHeight="1">
      <c r="A26" s="622"/>
      <c r="B26" s="616" t="s">
        <v>9</v>
      </c>
      <c r="C26" s="617"/>
      <c r="D26" s="617"/>
      <c r="E26" s="618"/>
      <c r="F26" s="703"/>
      <c r="G26" s="715"/>
      <c r="H26" s="716"/>
      <c r="I26" s="685"/>
      <c r="J26" s="686"/>
      <c r="K26" s="685"/>
      <c r="L26" s="686"/>
      <c r="M26" s="711"/>
      <c r="N26" s="701"/>
      <c r="O26" s="702"/>
      <c r="P26" s="735"/>
      <c r="Q26" s="736"/>
      <c r="R26" s="728"/>
      <c r="S26" s="729"/>
      <c r="T26" s="685"/>
      <c r="U26" s="706"/>
      <c r="V26" s="686"/>
      <c r="W26" s="732"/>
      <c r="X26" s="166"/>
      <c r="Y26" s="166"/>
      <c r="Z26" s="166"/>
      <c r="AA26" s="166"/>
      <c r="AB26" s="166"/>
      <c r="AC26" s="166"/>
      <c r="AD26" s="166"/>
      <c r="AE26" s="166"/>
      <c r="AF26" s="166"/>
      <c r="AG26" s="166"/>
      <c r="AH26" s="166"/>
      <c r="AI26" s="166"/>
    </row>
    <row r="27" spans="1:46" ht="18.75" customHeight="1">
      <c r="A27" s="730" t="s">
        <v>10</v>
      </c>
      <c r="B27" s="731"/>
      <c r="C27" s="731"/>
      <c r="D27" s="731"/>
      <c r="E27" s="731"/>
      <c r="F27" s="731"/>
      <c r="G27" s="731"/>
      <c r="H27" s="731"/>
      <c r="I27" s="731"/>
      <c r="J27" s="731"/>
      <c r="K27" s="731"/>
      <c r="L27" s="731"/>
      <c r="M27" s="731"/>
      <c r="N27" s="731"/>
      <c r="O27" s="731"/>
      <c r="P27" s="731"/>
      <c r="Q27" s="731"/>
      <c r="R27" s="731"/>
      <c r="S27" s="731"/>
      <c r="T27" s="731"/>
      <c r="U27" s="731"/>
      <c r="V27" s="731"/>
      <c r="W27" s="731"/>
      <c r="X27" s="166"/>
      <c r="Y27" s="166"/>
      <c r="Z27" s="166"/>
      <c r="AA27" s="166"/>
      <c r="AB27" s="166"/>
      <c r="AC27" s="166"/>
      <c r="AD27" s="166"/>
      <c r="AE27" s="166"/>
      <c r="AF27" s="166"/>
      <c r="AG27" s="166"/>
      <c r="AH27" s="166"/>
      <c r="AI27" s="166"/>
    </row>
    <row r="28" spans="1:46" ht="10.5" customHeight="1">
      <c r="A28" s="750" t="s">
        <v>461</v>
      </c>
      <c r="B28" s="751"/>
      <c r="C28" s="745" t="s">
        <v>583</v>
      </c>
      <c r="D28" s="725"/>
      <c r="E28" s="718"/>
      <c r="F28" s="725"/>
      <c r="G28" s="719"/>
      <c r="H28" s="725"/>
      <c r="I28" s="718"/>
      <c r="J28" s="719"/>
      <c r="K28" s="725"/>
      <c r="L28" s="718"/>
      <c r="M28" s="719"/>
      <c r="N28" s="717"/>
      <c r="O28" s="718"/>
      <c r="P28" s="719"/>
      <c r="Q28" s="717"/>
      <c r="R28" s="719"/>
      <c r="S28" s="717"/>
      <c r="T28" s="718"/>
      <c r="U28" s="719"/>
      <c r="V28" s="717"/>
      <c r="W28" s="719"/>
      <c r="X28" s="166"/>
      <c r="Y28" s="166"/>
      <c r="Z28" s="166"/>
      <c r="AA28" s="166"/>
      <c r="AB28" s="166"/>
      <c r="AC28" s="166"/>
      <c r="AD28" s="166"/>
      <c r="AE28" s="166"/>
      <c r="AF28" s="166"/>
      <c r="AG28" s="166"/>
      <c r="AH28" s="166"/>
      <c r="AI28" s="166"/>
    </row>
    <row r="29" spans="1:46" ht="8.25" customHeight="1">
      <c r="A29" s="752"/>
      <c r="B29" s="753"/>
      <c r="C29" s="746"/>
      <c r="D29" s="720"/>
      <c r="E29" s="721"/>
      <c r="F29" s="720"/>
      <c r="G29" s="722"/>
      <c r="H29" s="720"/>
      <c r="I29" s="721"/>
      <c r="J29" s="722"/>
      <c r="K29" s="720"/>
      <c r="L29" s="721"/>
      <c r="M29" s="722"/>
      <c r="N29" s="720"/>
      <c r="O29" s="721"/>
      <c r="P29" s="722"/>
      <c r="Q29" s="720"/>
      <c r="R29" s="722"/>
      <c r="S29" s="720"/>
      <c r="T29" s="721"/>
      <c r="U29" s="722"/>
      <c r="V29" s="720"/>
      <c r="W29" s="722"/>
      <c r="X29" s="166"/>
      <c r="Y29" s="166"/>
      <c r="Z29" s="166"/>
      <c r="AA29" s="166"/>
      <c r="AB29" s="166"/>
      <c r="AC29" s="166"/>
      <c r="AD29" s="166"/>
      <c r="AE29" s="166"/>
      <c r="AF29" s="166"/>
      <c r="AG29" s="166"/>
      <c r="AH29" s="166"/>
      <c r="AI29" s="166"/>
    </row>
    <row r="30" spans="1:46" ht="8.25" customHeight="1">
      <c r="A30" s="754" t="s">
        <v>886</v>
      </c>
      <c r="B30" s="755"/>
      <c r="C30" s="747" t="s">
        <v>885</v>
      </c>
      <c r="D30" s="663"/>
      <c r="E30" s="723"/>
      <c r="F30" s="663"/>
      <c r="G30" s="664"/>
      <c r="H30" s="663"/>
      <c r="I30" s="723"/>
      <c r="J30" s="664"/>
      <c r="K30" s="663"/>
      <c r="L30" s="723"/>
      <c r="M30" s="664"/>
      <c r="N30" s="663"/>
      <c r="O30" s="723"/>
      <c r="P30" s="664"/>
      <c r="Q30" s="663"/>
      <c r="R30" s="664"/>
      <c r="S30" s="663"/>
      <c r="T30" s="723"/>
      <c r="U30" s="664"/>
      <c r="V30" s="663"/>
      <c r="W30" s="664"/>
      <c r="X30" s="166"/>
      <c r="Y30" s="166"/>
      <c r="Z30" s="166"/>
      <c r="AA30" s="166"/>
      <c r="AB30" s="166"/>
      <c r="AC30" s="166"/>
      <c r="AD30" s="166"/>
      <c r="AE30" s="166"/>
      <c r="AF30" s="166"/>
      <c r="AG30" s="166"/>
      <c r="AH30" s="166"/>
      <c r="AI30" s="166"/>
    </row>
    <row r="31" spans="1:46" ht="10.5" customHeight="1">
      <c r="A31" s="756"/>
      <c r="B31" s="757"/>
      <c r="C31" s="748"/>
      <c r="D31" s="665"/>
      <c r="E31" s="724"/>
      <c r="F31" s="665"/>
      <c r="G31" s="666"/>
      <c r="H31" s="665"/>
      <c r="I31" s="724"/>
      <c r="J31" s="666"/>
      <c r="K31" s="665"/>
      <c r="L31" s="724"/>
      <c r="M31" s="666"/>
      <c r="N31" s="665"/>
      <c r="O31" s="724"/>
      <c r="P31" s="666"/>
      <c r="Q31" s="665"/>
      <c r="R31" s="666"/>
      <c r="S31" s="665"/>
      <c r="T31" s="724"/>
      <c r="U31" s="666"/>
      <c r="V31" s="665"/>
      <c r="W31" s="666"/>
      <c r="X31" s="166"/>
      <c r="Y31" s="166"/>
      <c r="Z31" s="166"/>
      <c r="AA31" s="166"/>
      <c r="AB31" s="166"/>
      <c r="AC31" s="166"/>
      <c r="AD31" s="166"/>
      <c r="AE31" s="166"/>
      <c r="AF31" s="166"/>
      <c r="AG31" s="166"/>
      <c r="AH31" s="166"/>
      <c r="AI31" s="166"/>
    </row>
    <row r="32" spans="1:46" ht="24" customHeight="1">
      <c r="A32" s="742" t="s">
        <v>586</v>
      </c>
      <c r="B32" s="633"/>
      <c r="C32" s="743"/>
      <c r="D32" s="743"/>
      <c r="E32" s="743"/>
      <c r="F32" s="743"/>
      <c r="G32" s="667" t="s">
        <v>587</v>
      </c>
      <c r="H32" s="667"/>
      <c r="I32" s="667"/>
      <c r="J32" s="667"/>
      <c r="K32" s="667"/>
      <c r="L32" s="668"/>
      <c r="M32" s="668"/>
      <c r="N32" s="668"/>
      <c r="O32" s="668"/>
      <c r="P32" s="668"/>
      <c r="Q32" s="667" t="s">
        <v>588</v>
      </c>
      <c r="R32" s="667"/>
      <c r="S32" s="667"/>
      <c r="T32" s="667"/>
      <c r="U32" s="668"/>
      <c r="V32" s="668"/>
      <c r="W32" s="669"/>
      <c r="X32" s="166"/>
      <c r="Y32" s="166"/>
      <c r="Z32" s="166"/>
      <c r="AA32" s="166"/>
      <c r="AB32" s="166"/>
      <c r="AC32" s="166"/>
      <c r="AD32" s="166"/>
      <c r="AE32" s="166"/>
      <c r="AF32" s="166"/>
      <c r="AG32" s="166"/>
      <c r="AH32" s="166"/>
      <c r="AI32" s="166"/>
    </row>
    <row r="33" spans="1:35" ht="27" customHeight="1">
      <c r="A33" s="749" t="s">
        <v>582</v>
      </c>
      <c r="B33" s="749"/>
      <c r="C33" s="749"/>
      <c r="D33" s="676"/>
      <c r="E33" s="175"/>
      <c r="F33" s="175"/>
      <c r="G33" s="175"/>
      <c r="H33" s="175"/>
      <c r="I33" s="758" t="s">
        <v>584</v>
      </c>
      <c r="J33" s="758"/>
      <c r="K33" s="758"/>
      <c r="L33" s="572"/>
      <c r="M33" s="572"/>
      <c r="N33" s="572"/>
      <c r="O33" s="572"/>
      <c r="P33" s="744" t="s">
        <v>887</v>
      </c>
      <c r="Q33" s="744"/>
      <c r="R33" s="572"/>
      <c r="S33" s="203"/>
      <c r="T33" s="203"/>
      <c r="U33" s="203"/>
      <c r="V33" s="203"/>
      <c r="W33" s="203"/>
      <c r="X33" s="166"/>
      <c r="Y33" s="166"/>
      <c r="Z33" s="166"/>
      <c r="AA33" s="166"/>
      <c r="AB33" s="166"/>
      <c r="AC33" s="166"/>
      <c r="AD33" s="166"/>
      <c r="AE33" s="166"/>
      <c r="AF33" s="166"/>
      <c r="AG33" s="166"/>
      <c r="AH33" s="166"/>
      <c r="AI33" s="166"/>
    </row>
    <row r="34" spans="1:35" ht="21.75" customHeight="1">
      <c r="A34" s="606" t="s">
        <v>589</v>
      </c>
      <c r="B34" s="166"/>
      <c r="C34" s="166"/>
      <c r="D34" s="166"/>
      <c r="E34" s="676"/>
      <c r="F34" s="175"/>
      <c r="G34" s="175"/>
      <c r="H34" s="175"/>
      <c r="I34" s="175"/>
      <c r="J34" s="175"/>
      <c r="K34" s="175"/>
      <c r="L34" s="175"/>
      <c r="M34" s="17" t="s">
        <v>470</v>
      </c>
      <c r="N34" s="677"/>
      <c r="O34" s="677"/>
      <c r="P34" s="677"/>
      <c r="Q34" s="677"/>
      <c r="R34" s="678" t="s">
        <v>590</v>
      </c>
      <c r="S34" s="678"/>
      <c r="T34" s="678"/>
      <c r="U34" s="678"/>
      <c r="V34" s="679"/>
      <c r="W34" s="91"/>
      <c r="X34" s="166"/>
      <c r="Y34" s="166"/>
      <c r="Z34" s="166"/>
      <c r="AA34" s="166"/>
      <c r="AB34" s="166"/>
      <c r="AC34" s="166"/>
      <c r="AD34" s="166"/>
      <c r="AE34" s="166"/>
      <c r="AF34" s="166"/>
      <c r="AG34" s="166"/>
      <c r="AH34" s="166"/>
      <c r="AI34" s="166"/>
    </row>
    <row r="35" spans="1:35">
      <c r="A35" s="191"/>
      <c r="B35" s="191"/>
      <c r="C35" s="191"/>
      <c r="D35" s="191"/>
      <c r="E35" s="191"/>
      <c r="F35" s="191"/>
      <c r="G35" s="191"/>
      <c r="H35" s="191"/>
      <c r="I35" s="191"/>
      <c r="J35" s="191"/>
      <c r="K35" s="191"/>
      <c r="L35" s="191"/>
      <c r="M35" s="191"/>
      <c r="N35" s="191"/>
      <c r="O35" s="191"/>
      <c r="P35" s="191"/>
      <c r="Q35" s="191"/>
      <c r="R35" s="191"/>
      <c r="S35" s="191"/>
      <c r="T35" s="191"/>
      <c r="U35" s="191"/>
      <c r="V35" s="191"/>
      <c r="W35" s="191"/>
      <c r="X35" s="166"/>
      <c r="Y35" s="166"/>
      <c r="Z35" s="166"/>
      <c r="AA35" s="166"/>
      <c r="AB35" s="166"/>
      <c r="AC35" s="166"/>
      <c r="AD35" s="166"/>
      <c r="AE35" s="166"/>
      <c r="AF35" s="166"/>
      <c r="AG35" s="166"/>
      <c r="AH35" s="166"/>
      <c r="AI35" s="166"/>
    </row>
    <row r="36" spans="1:35" ht="13.5" customHeight="1" thickBot="1">
      <c r="A36" s="762" t="s">
        <v>907</v>
      </c>
      <c r="B36" s="763"/>
      <c r="C36" s="763"/>
      <c r="D36" s="763"/>
      <c r="E36" s="763"/>
      <c r="F36" s="763"/>
      <c r="G36" s="763"/>
      <c r="H36" s="763"/>
      <c r="I36" s="763"/>
      <c r="J36" s="763"/>
      <c r="K36" s="763"/>
      <c r="L36" s="763"/>
      <c r="M36" s="763"/>
      <c r="N36" s="763"/>
      <c r="O36" s="763"/>
      <c r="P36" s="763"/>
      <c r="Q36" s="763"/>
      <c r="R36" s="763"/>
      <c r="S36" s="763"/>
      <c r="T36" s="763"/>
      <c r="U36" s="763"/>
      <c r="V36" s="763"/>
      <c r="W36" s="763"/>
      <c r="X36" s="166"/>
      <c r="Y36" s="166"/>
      <c r="Z36" s="166"/>
      <c r="AA36" s="166"/>
      <c r="AB36" s="166"/>
      <c r="AC36" s="166"/>
      <c r="AD36" s="166"/>
      <c r="AE36" s="166"/>
      <c r="AF36" s="166"/>
      <c r="AG36" s="166"/>
      <c r="AH36" s="166"/>
      <c r="AI36" s="166"/>
    </row>
    <row r="37" spans="1:35" ht="15.75" customHeight="1">
      <c r="A37" s="567" t="s">
        <v>11</v>
      </c>
      <c r="B37" s="568"/>
      <c r="C37" s="569"/>
      <c r="D37" s="569"/>
      <c r="E37" s="569"/>
      <c r="F37" s="569"/>
      <c r="G37" s="569"/>
      <c r="H37" s="569"/>
      <c r="I37" s="569"/>
      <c r="J37" s="569"/>
      <c r="K37" s="569"/>
      <c r="L37" s="569"/>
      <c r="M37" s="569"/>
      <c r="N37" s="569"/>
      <c r="O37" s="569"/>
      <c r="P37" s="569"/>
      <c r="Q37" s="569"/>
      <c r="R37" s="569"/>
      <c r="S37" s="569"/>
      <c r="T37" s="569"/>
      <c r="U37" s="569"/>
      <c r="V37" s="569"/>
      <c r="W37" s="569"/>
      <c r="X37" s="166"/>
      <c r="Y37" s="166"/>
      <c r="Z37" s="166"/>
      <c r="AA37" s="166"/>
      <c r="AB37" s="166"/>
      <c r="AC37" s="166"/>
      <c r="AD37" s="166"/>
      <c r="AE37" s="166"/>
      <c r="AF37" s="166"/>
      <c r="AG37" s="166"/>
      <c r="AH37" s="166"/>
      <c r="AI37" s="166"/>
    </row>
    <row r="38" spans="1:35" ht="14.25" customHeight="1">
      <c r="A38" s="764" t="s">
        <v>12</v>
      </c>
      <c r="B38" s="765"/>
      <c r="C38" s="765"/>
      <c r="D38" s="175"/>
      <c r="E38" s="175"/>
      <c r="F38" s="175"/>
      <c r="G38" s="175"/>
      <c r="H38" s="175"/>
      <c r="I38" s="175"/>
      <c r="J38" s="175"/>
      <c r="K38" s="767" t="s">
        <v>585</v>
      </c>
      <c r="L38" s="767"/>
      <c r="M38" s="767"/>
      <c r="N38" s="18"/>
      <c r="O38" s="566"/>
      <c r="P38" s="566"/>
      <c r="Q38" s="566"/>
      <c r="R38" s="566"/>
      <c r="S38" s="566"/>
      <c r="T38" s="566"/>
      <c r="U38" s="566"/>
      <c r="V38" s="566"/>
      <c r="W38" s="566"/>
      <c r="X38" s="166"/>
      <c r="Y38" s="166"/>
      <c r="Z38" s="166"/>
      <c r="AA38" s="166"/>
      <c r="AB38" s="166"/>
      <c r="AC38" s="166"/>
      <c r="AD38" s="166"/>
      <c r="AE38" s="166"/>
      <c r="AF38" s="166"/>
      <c r="AG38" s="166"/>
      <c r="AH38" s="166"/>
      <c r="AI38" s="166"/>
    </row>
    <row r="39" spans="1:35" ht="17.25" customHeight="1">
      <c r="A39" s="766" t="s">
        <v>13</v>
      </c>
      <c r="B39" s="766"/>
      <c r="C39" s="125"/>
      <c r="D39" s="768" t="s">
        <v>471</v>
      </c>
      <c r="E39" s="769"/>
      <c r="F39" s="769"/>
      <c r="G39" s="770"/>
      <c r="H39" s="771"/>
      <c r="I39" s="771"/>
      <c r="J39" s="126" t="s">
        <v>472</v>
      </c>
      <c r="K39" s="126"/>
      <c r="L39" s="126"/>
      <c r="M39" s="127"/>
      <c r="N39" s="127"/>
      <c r="O39" s="759"/>
      <c r="P39" s="572"/>
      <c r="Q39" s="572"/>
      <c r="R39" s="22"/>
      <c r="S39" s="760" t="s">
        <v>937</v>
      </c>
      <c r="T39" s="761"/>
      <c r="U39" s="761"/>
      <c r="V39" s="761"/>
      <c r="W39" s="761"/>
      <c r="X39" s="166"/>
      <c r="Y39" s="166"/>
      <c r="Z39" s="166"/>
      <c r="AA39" s="166"/>
      <c r="AB39" s="166"/>
      <c r="AC39" s="166"/>
      <c r="AD39" s="166"/>
      <c r="AE39" s="166"/>
      <c r="AF39" s="166"/>
      <c r="AG39" s="166"/>
      <c r="AH39" s="166"/>
      <c r="AI39" s="166"/>
    </row>
    <row r="40" spans="1:35" ht="12" customHeight="1">
      <c r="A40" s="191"/>
      <c r="B40" s="191"/>
      <c r="C40" s="191"/>
      <c r="D40" s="191"/>
      <c r="E40" s="191"/>
      <c r="F40" s="191"/>
      <c r="G40" s="191"/>
      <c r="H40" s="191"/>
      <c r="I40" s="191"/>
      <c r="J40" s="191"/>
      <c r="K40" s="191"/>
      <c r="L40" s="191"/>
      <c r="M40" s="191"/>
      <c r="N40" s="191"/>
      <c r="O40" s="191"/>
      <c r="P40" s="191"/>
      <c r="Q40" s="191"/>
      <c r="R40" s="8"/>
      <c r="S40" s="577" t="s">
        <v>591</v>
      </c>
      <c r="T40" s="565"/>
      <c r="U40" s="565"/>
      <c r="V40" s="565"/>
      <c r="W40" s="565"/>
      <c r="X40" s="166"/>
      <c r="Y40" s="166"/>
      <c r="Z40" s="166"/>
      <c r="AA40" s="166"/>
      <c r="AB40" s="166"/>
      <c r="AC40" s="166"/>
      <c r="AD40" s="166"/>
      <c r="AE40" s="166"/>
      <c r="AF40" s="166"/>
      <c r="AG40" s="166"/>
      <c r="AH40" s="166"/>
      <c r="AI40" s="166"/>
    </row>
    <row r="41" spans="1:35" ht="11.25" customHeight="1">
      <c r="A41" s="570" t="s">
        <v>592</v>
      </c>
      <c r="B41" s="166"/>
      <c r="C41" s="166"/>
      <c r="D41" s="166"/>
      <c r="E41" s="166"/>
      <c r="F41" s="166"/>
      <c r="G41" s="166"/>
      <c r="H41" s="166"/>
      <c r="I41" s="166"/>
      <c r="J41" s="166"/>
      <c r="K41" s="166"/>
      <c r="L41" s="166"/>
      <c r="M41" s="166"/>
      <c r="N41" s="166"/>
      <c r="O41" s="166"/>
      <c r="P41" s="166"/>
      <c r="Q41" s="166"/>
      <c r="R41" s="1"/>
      <c r="S41" s="577" t="s">
        <v>30</v>
      </c>
      <c r="T41" s="577"/>
      <c r="U41" s="577"/>
      <c r="V41" s="577"/>
      <c r="W41" s="577"/>
      <c r="X41" s="166"/>
      <c r="Y41" s="166"/>
      <c r="Z41" s="166"/>
      <c r="AA41" s="166"/>
      <c r="AB41" s="166"/>
      <c r="AC41" s="166"/>
      <c r="AD41" s="166"/>
      <c r="AE41" s="166"/>
      <c r="AF41" s="166"/>
      <c r="AG41" s="166"/>
      <c r="AH41" s="166"/>
      <c r="AI41" s="166"/>
    </row>
    <row r="42" spans="1:35">
      <c r="A42" s="564"/>
      <c r="B42" s="565"/>
      <c r="C42" s="565"/>
      <c r="D42" s="565"/>
      <c r="E42" s="565"/>
      <c r="F42" s="565"/>
      <c r="G42" s="565"/>
      <c r="H42" s="565"/>
      <c r="I42" s="565"/>
      <c r="J42" s="565"/>
      <c r="K42" s="565"/>
      <c r="L42" s="565"/>
      <c r="M42" s="565"/>
      <c r="N42" s="565"/>
      <c r="O42" s="565"/>
      <c r="P42" s="565"/>
      <c r="Q42" s="565"/>
      <c r="R42" s="565"/>
      <c r="S42" s="565"/>
      <c r="T42" s="565"/>
      <c r="U42" s="565"/>
      <c r="V42" s="565"/>
      <c r="W42" s="565"/>
      <c r="X42" s="166"/>
      <c r="Y42" s="166"/>
      <c r="Z42" s="166"/>
      <c r="AA42" s="166"/>
      <c r="AB42" s="166"/>
      <c r="AC42" s="166"/>
      <c r="AD42" s="166"/>
      <c r="AE42" s="166"/>
      <c r="AF42" s="166"/>
      <c r="AG42" s="166"/>
      <c r="AH42" s="166"/>
      <c r="AI42" s="166"/>
    </row>
    <row r="43" spans="1:35">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row>
    <row r="44" spans="1:35">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row>
    <row r="45" spans="1:35">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c r="AG45" s="166"/>
      <c r="AH45" s="166"/>
      <c r="AI45" s="166"/>
    </row>
    <row r="46" spans="1:35">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c r="AG46" s="166"/>
      <c r="AH46" s="166"/>
      <c r="AI46" s="166"/>
    </row>
    <row r="47" spans="1:35">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c r="AG47" s="166"/>
      <c r="AH47" s="166"/>
      <c r="AI47" s="166"/>
    </row>
    <row r="48" spans="1:35">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row>
    <row r="49" spans="1:35">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row>
    <row r="50" spans="1:35">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c r="AG50" s="166"/>
      <c r="AH50" s="166"/>
      <c r="AI50" s="166"/>
    </row>
    <row r="51" spans="1:35">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c r="AG51" s="166"/>
      <c r="AH51" s="166"/>
      <c r="AI51" s="166"/>
    </row>
    <row r="52" spans="1:35">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c r="AG52" s="166"/>
      <c r="AH52" s="166"/>
      <c r="AI52" s="166"/>
    </row>
    <row r="53" spans="1:35">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c r="AG53" s="166"/>
      <c r="AH53" s="166"/>
      <c r="AI53" s="166"/>
    </row>
    <row r="54" spans="1:35">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row>
    <row r="55" spans="1:35">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c r="AI55" s="166"/>
    </row>
    <row r="56" spans="1:35">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row>
    <row r="57" spans="1:35">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c r="AG57" s="166"/>
      <c r="AH57" s="166"/>
      <c r="AI57" s="166"/>
    </row>
    <row r="58" spans="1:35">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c r="AH58" s="166"/>
      <c r="AI58" s="166"/>
    </row>
    <row r="59" spans="1:35">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row>
    <row r="60" spans="1:35">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c r="AA60" s="166"/>
      <c r="AB60" s="166"/>
      <c r="AC60" s="166"/>
      <c r="AD60" s="166"/>
      <c r="AE60" s="166"/>
      <c r="AF60" s="166"/>
      <c r="AG60" s="166"/>
      <c r="AH60" s="166"/>
      <c r="AI60" s="166"/>
    </row>
    <row r="61" spans="1:35">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c r="AH61" s="166"/>
      <c r="AI61" s="166"/>
    </row>
    <row r="62" spans="1:35">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c r="AG62" s="166"/>
      <c r="AH62" s="166"/>
      <c r="AI62" s="166"/>
    </row>
    <row r="63" spans="1:35">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6"/>
      <c r="AC63" s="166"/>
      <c r="AD63" s="166"/>
      <c r="AE63" s="166"/>
      <c r="AF63" s="166"/>
      <c r="AG63" s="166"/>
      <c r="AH63" s="166"/>
      <c r="AI63" s="166"/>
    </row>
    <row r="64" spans="1:35">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row>
    <row r="65" spans="1:3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row>
    <row r="66" spans="1:35">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row>
    <row r="67" spans="1:35">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row>
    <row r="68" spans="1:35">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row>
    <row r="69" spans="1:35">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row>
    <row r="70" spans="1:35">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row>
    <row r="71" spans="1:35">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row>
    <row r="72" spans="1:35">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row>
    <row r="73" spans="1:35">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row>
    <row r="74" spans="1:35">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row>
    <row r="75" spans="1:3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row>
    <row r="76" spans="1:35">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row>
    <row r="77" spans="1:35">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row>
    <row r="78" spans="1:35">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row>
    <row r="79" spans="1:35">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66"/>
      <c r="AH79" s="166"/>
      <c r="AI79" s="166"/>
    </row>
    <row r="80" spans="1:35">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c r="AB80" s="166"/>
      <c r="AC80" s="166"/>
      <c r="AD80" s="166"/>
      <c r="AE80" s="166"/>
      <c r="AF80" s="166"/>
      <c r="AG80" s="166"/>
      <c r="AH80" s="166"/>
      <c r="AI80" s="166"/>
    </row>
  </sheetData>
  <sheetProtection password="D6D7" sheet="1" objects="1" scenarios="1"/>
  <dataConsolidate link="1">
    <dataRefs count="1">
      <dataRef ref="A4" sheet="Audit Scoresheet" r:id="rId1"/>
    </dataRefs>
  </dataConsolidate>
  <mergeCells count="187">
    <mergeCell ref="W11:W12"/>
    <mergeCell ref="W14:W15"/>
    <mergeCell ref="N15:O15"/>
    <mergeCell ref="N14:O14"/>
    <mergeCell ref="R14:S14"/>
    <mergeCell ref="R15:S15"/>
    <mergeCell ref="U11:U12"/>
    <mergeCell ref="I11:L12"/>
    <mergeCell ref="B25:E25"/>
    <mergeCell ref="F25:F26"/>
    <mergeCell ref="G14:H14"/>
    <mergeCell ref="P14:Q14"/>
    <mergeCell ref="P15:Q15"/>
    <mergeCell ref="A11:B12"/>
    <mergeCell ref="A13:W13"/>
    <mergeCell ref="I14:J14"/>
    <mergeCell ref="I15:J15"/>
    <mergeCell ref="K14:L14"/>
    <mergeCell ref="K15:L15"/>
    <mergeCell ref="G15:H15"/>
    <mergeCell ref="G21:H22"/>
    <mergeCell ref="P16:Q16"/>
    <mergeCell ref="N16:O16"/>
    <mergeCell ref="G16:H16"/>
    <mergeCell ref="O39:Q39"/>
    <mergeCell ref="S39:W39"/>
    <mergeCell ref="A36:W36"/>
    <mergeCell ref="A38:C38"/>
    <mergeCell ref="A39:B39"/>
    <mergeCell ref="D38:J38"/>
    <mergeCell ref="K38:M38"/>
    <mergeCell ref="D39:F39"/>
    <mergeCell ref="G39:I39"/>
    <mergeCell ref="D33:H33"/>
    <mergeCell ref="A32:F32"/>
    <mergeCell ref="G32:K32"/>
    <mergeCell ref="P33:Q33"/>
    <mergeCell ref="C28:C29"/>
    <mergeCell ref="L33:O33"/>
    <mergeCell ref="D28:E29"/>
    <mergeCell ref="C30:C31"/>
    <mergeCell ref="A33:C33"/>
    <mergeCell ref="H28:J29"/>
    <mergeCell ref="H30:J31"/>
    <mergeCell ref="K28:M29"/>
    <mergeCell ref="K30:M31"/>
    <mergeCell ref="L32:P32"/>
    <mergeCell ref="D30:E31"/>
    <mergeCell ref="F30:G31"/>
    <mergeCell ref="A28:B29"/>
    <mergeCell ref="A30:B31"/>
    <mergeCell ref="I33:K33"/>
    <mergeCell ref="I17:J17"/>
    <mergeCell ref="K16:L16"/>
    <mergeCell ref="I16:J16"/>
    <mergeCell ref="G17:H17"/>
    <mergeCell ref="N17:O17"/>
    <mergeCell ref="K17:L17"/>
    <mergeCell ref="P20:Q20"/>
    <mergeCell ref="P21:Q22"/>
    <mergeCell ref="M21:M22"/>
    <mergeCell ref="I21:J22"/>
    <mergeCell ref="I18:J19"/>
    <mergeCell ref="I20:J20"/>
    <mergeCell ref="P17:Q17"/>
    <mergeCell ref="P18:Q19"/>
    <mergeCell ref="N18:O19"/>
    <mergeCell ref="K18:L19"/>
    <mergeCell ref="M18:M19"/>
    <mergeCell ref="K20:L20"/>
    <mergeCell ref="G18:H19"/>
    <mergeCell ref="G20:H20"/>
    <mergeCell ref="S28:U29"/>
    <mergeCell ref="S30:U31"/>
    <mergeCell ref="V28:W29"/>
    <mergeCell ref="F28:G29"/>
    <mergeCell ref="R25:S26"/>
    <mergeCell ref="Q28:R29"/>
    <mergeCell ref="N28:P29"/>
    <mergeCell ref="F23:F24"/>
    <mergeCell ref="M23:M24"/>
    <mergeCell ref="I23:J24"/>
    <mergeCell ref="G25:H26"/>
    <mergeCell ref="G23:H24"/>
    <mergeCell ref="A27:W27"/>
    <mergeCell ref="W23:W24"/>
    <mergeCell ref="W25:W26"/>
    <mergeCell ref="K25:L26"/>
    <mergeCell ref="P25:Q26"/>
    <mergeCell ref="Q30:R31"/>
    <mergeCell ref="N30:P31"/>
    <mergeCell ref="I25:J26"/>
    <mergeCell ref="K23:L24"/>
    <mergeCell ref="A25:A26"/>
    <mergeCell ref="W18:W19"/>
    <mergeCell ref="W21:W22"/>
    <mergeCell ref="T18:V19"/>
    <mergeCell ref="T20:V20"/>
    <mergeCell ref="T21:V22"/>
    <mergeCell ref="R21:S22"/>
    <mergeCell ref="N20:O20"/>
    <mergeCell ref="M25:M26"/>
    <mergeCell ref="N25:O26"/>
    <mergeCell ref="R20:S20"/>
    <mergeCell ref="T25:V26"/>
    <mergeCell ref="R23:S24"/>
    <mergeCell ref="N23:O24"/>
    <mergeCell ref="P23:Q24"/>
    <mergeCell ref="T23:V24"/>
    <mergeCell ref="S41:W41"/>
    <mergeCell ref="V30:W31"/>
    <mergeCell ref="Q32:T32"/>
    <mergeCell ref="U32:W32"/>
    <mergeCell ref="A35:W35"/>
    <mergeCell ref="B14:E15"/>
    <mergeCell ref="E34:L34"/>
    <mergeCell ref="R33:W33"/>
    <mergeCell ref="N34:Q34"/>
    <mergeCell ref="R34:V34"/>
    <mergeCell ref="B20:E20"/>
    <mergeCell ref="A23:A24"/>
    <mergeCell ref="B26:E26"/>
    <mergeCell ref="R18:S19"/>
    <mergeCell ref="T14:V14"/>
    <mergeCell ref="R16:S16"/>
    <mergeCell ref="T16:V16"/>
    <mergeCell ref="R17:S17"/>
    <mergeCell ref="T15:V15"/>
    <mergeCell ref="T17:V17"/>
    <mergeCell ref="N21:O22"/>
    <mergeCell ref="K21:L22"/>
    <mergeCell ref="F21:F22"/>
    <mergeCell ref="A21:A22"/>
    <mergeCell ref="T4:W5"/>
    <mergeCell ref="F2:V2"/>
    <mergeCell ref="A7:G7"/>
    <mergeCell ref="C5:S5"/>
    <mergeCell ref="C10:H10"/>
    <mergeCell ref="T6:W6"/>
    <mergeCell ref="A1:E1"/>
    <mergeCell ref="F1:P1"/>
    <mergeCell ref="A2:E2"/>
    <mergeCell ref="A3:E3"/>
    <mergeCell ref="T7:W7"/>
    <mergeCell ref="I10:L10"/>
    <mergeCell ref="H6:P6"/>
    <mergeCell ref="A6:G6"/>
    <mergeCell ref="A5:B5"/>
    <mergeCell ref="A8:G8"/>
    <mergeCell ref="A9:G9"/>
    <mergeCell ref="A10:B10"/>
    <mergeCell ref="H7:P7"/>
    <mergeCell ref="H8:P8"/>
    <mergeCell ref="H9:P9"/>
    <mergeCell ref="B17:E17"/>
    <mergeCell ref="B23:E23"/>
    <mergeCell ref="B24:E24"/>
    <mergeCell ref="F18:F19"/>
    <mergeCell ref="A18:A19"/>
    <mergeCell ref="B19:E19"/>
    <mergeCell ref="B21:E21"/>
    <mergeCell ref="B22:E22"/>
    <mergeCell ref="B18:E18"/>
    <mergeCell ref="A42:AI80"/>
    <mergeCell ref="X1:AI41"/>
    <mergeCell ref="O38:W38"/>
    <mergeCell ref="A37:W37"/>
    <mergeCell ref="A41:Q41"/>
    <mergeCell ref="T8:W8"/>
    <mergeCell ref="A4:S4"/>
    <mergeCell ref="S40:W40"/>
    <mergeCell ref="A40:Q40"/>
    <mergeCell ref="Q8:S8"/>
    <mergeCell ref="C11:H12"/>
    <mergeCell ref="M10:P10"/>
    <mergeCell ref="M11:P12"/>
    <mergeCell ref="Q6:S6"/>
    <mergeCell ref="Q7:S7"/>
    <mergeCell ref="Q10:W10"/>
    <mergeCell ref="Q11:R12"/>
    <mergeCell ref="S11:S12"/>
    <mergeCell ref="A34:D34"/>
    <mergeCell ref="T9:W9"/>
    <mergeCell ref="Q9:S9"/>
    <mergeCell ref="Q1:U1"/>
    <mergeCell ref="F3:U3"/>
    <mergeCell ref="B16:E16"/>
  </mergeCells>
  <phoneticPr fontId="8" type="noConversion"/>
  <dataValidations count="2">
    <dataValidation type="list" allowBlank="1" showInputMessage="1" showErrorMessage="1" sqref="N16:O26">
      <formula1>$N$14:$N$15</formula1>
    </dataValidation>
    <dataValidation type="list" allowBlank="1" showInputMessage="1" showErrorMessage="1" sqref="T11 V11">
      <formula1>"✓, -----"</formula1>
    </dataValidation>
  </dataValidations>
  <pageMargins left="0.5" right="0" top="0.25" bottom="0" header="0" footer="0"/>
  <pageSetup orientation="landscape" r:id="rId2"/>
  <headerFooter alignWithMargins="0"/>
  <drawing r:id="rId3"/>
</worksheet>
</file>

<file path=xl/worksheets/sheet10.xml><?xml version="1.0" encoding="utf-8"?>
<worksheet xmlns="http://schemas.openxmlformats.org/spreadsheetml/2006/main" xmlns:r="http://schemas.openxmlformats.org/officeDocument/2006/relationships">
  <dimension ref="A1:I13"/>
  <sheetViews>
    <sheetView view="pageLayout" zoomScaleNormal="100" workbookViewId="0">
      <selection activeCell="A3" sqref="A3:I3"/>
    </sheetView>
  </sheetViews>
  <sheetFormatPr defaultRowHeight="15"/>
  <cols>
    <col min="1" max="16384" width="9.140625" style="128"/>
  </cols>
  <sheetData>
    <row r="1" spans="1:9" ht="18">
      <c r="A1" s="784" t="s">
        <v>938</v>
      </c>
      <c r="B1" s="784"/>
      <c r="C1" s="784"/>
      <c r="D1" s="784"/>
      <c r="E1" s="784"/>
      <c r="F1" s="784"/>
      <c r="G1" s="784"/>
      <c r="H1" s="784"/>
      <c r="I1" s="784"/>
    </row>
    <row r="2" spans="1:9" ht="18">
      <c r="A2" s="784"/>
      <c r="B2" s="784"/>
      <c r="C2" s="784"/>
      <c r="D2" s="784"/>
      <c r="E2" s="784"/>
      <c r="F2" s="784"/>
      <c r="G2" s="784"/>
      <c r="H2" s="784"/>
      <c r="I2" s="784"/>
    </row>
    <row r="3" spans="1:9" ht="75.75" customHeight="1">
      <c r="A3" s="785" t="s">
        <v>939</v>
      </c>
      <c r="B3" s="785"/>
      <c r="C3" s="785"/>
      <c r="D3" s="785"/>
      <c r="E3" s="785"/>
      <c r="F3" s="785"/>
      <c r="G3" s="785"/>
      <c r="H3" s="785"/>
      <c r="I3" s="785"/>
    </row>
    <row r="4" spans="1:9">
      <c r="B4" s="785" t="s">
        <v>940</v>
      </c>
      <c r="C4" s="785"/>
      <c r="D4" s="785"/>
      <c r="E4" s="785"/>
      <c r="F4" s="785"/>
      <c r="G4" s="785"/>
    </row>
    <row r="5" spans="1:9" ht="15.75" customHeight="1">
      <c r="B5" s="785"/>
      <c r="C5" s="785"/>
      <c r="D5" s="785"/>
      <c r="E5" s="785"/>
      <c r="F5" s="785"/>
      <c r="G5" s="785"/>
    </row>
    <row r="6" spans="1:9">
      <c r="B6" s="783" t="s">
        <v>941</v>
      </c>
      <c r="C6" s="783"/>
      <c r="D6" s="783"/>
      <c r="E6" s="783"/>
      <c r="F6" s="783"/>
      <c r="G6" s="783"/>
    </row>
    <row r="7" spans="1:9" ht="2.25" customHeight="1">
      <c r="B7" s="783"/>
      <c r="C7" s="783"/>
      <c r="D7" s="783"/>
      <c r="E7" s="783"/>
      <c r="F7" s="783"/>
      <c r="G7" s="783"/>
    </row>
    <row r="8" spans="1:9">
      <c r="B8" s="783" t="s">
        <v>942</v>
      </c>
      <c r="C8" s="783"/>
      <c r="D8" s="783"/>
      <c r="E8" s="783"/>
      <c r="F8" s="783"/>
      <c r="G8" s="783"/>
    </row>
    <row r="9" spans="1:9" ht="4.5" customHeight="1">
      <c r="B9" s="783"/>
      <c r="C9" s="783"/>
      <c r="D9" s="783"/>
      <c r="E9" s="783"/>
      <c r="F9" s="783"/>
      <c r="G9" s="783"/>
    </row>
    <row r="10" spans="1:9">
      <c r="B10" s="783" t="s">
        <v>943</v>
      </c>
      <c r="C10" s="783"/>
      <c r="D10" s="783"/>
      <c r="E10" s="783"/>
      <c r="F10" s="783"/>
      <c r="G10" s="783"/>
    </row>
    <row r="11" spans="1:9" ht="3.75" customHeight="1">
      <c r="B11" s="783"/>
      <c r="C11" s="783"/>
      <c r="D11" s="783"/>
      <c r="E11" s="783"/>
      <c r="F11" s="783"/>
      <c r="G11" s="783"/>
    </row>
    <row r="12" spans="1:9">
      <c r="B12" s="783" t="s">
        <v>944</v>
      </c>
      <c r="C12" s="783"/>
      <c r="D12" s="783"/>
      <c r="E12" s="783"/>
      <c r="F12" s="783"/>
      <c r="G12" s="783"/>
    </row>
    <row r="13" spans="1:9">
      <c r="B13" s="783"/>
      <c r="C13" s="783"/>
      <c r="D13" s="783"/>
      <c r="E13" s="783"/>
      <c r="F13" s="783"/>
      <c r="G13" s="783"/>
    </row>
  </sheetData>
  <sheetProtection password="D6D7" sheet="1" objects="1" scenarios="1"/>
  <mergeCells count="8">
    <mergeCell ref="B10:G11"/>
    <mergeCell ref="B12:G13"/>
    <mergeCell ref="A1:I1"/>
    <mergeCell ref="A2:I2"/>
    <mergeCell ref="A3:I3"/>
    <mergeCell ref="B4:G5"/>
    <mergeCell ref="B6:G7"/>
    <mergeCell ref="B8:G9"/>
  </mergeCells>
  <printOptions horizontalCentered="1"/>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I40"/>
  <sheetViews>
    <sheetView tabSelected="1" view="pageLayout" zoomScaleNormal="100" workbookViewId="0">
      <selection activeCell="C7" sqref="C7:E8"/>
    </sheetView>
  </sheetViews>
  <sheetFormatPr defaultRowHeight="15"/>
  <cols>
    <col min="1" max="1" width="15.140625" style="128" customWidth="1"/>
    <col min="2" max="2" width="7.140625" style="128" customWidth="1"/>
    <col min="3" max="3" width="9.140625" style="128"/>
    <col min="4" max="4" width="12.28515625" style="128" customWidth="1"/>
    <col min="5" max="5" width="12.85546875" style="128" customWidth="1"/>
    <col min="6" max="6" width="8.5703125" style="128" customWidth="1"/>
    <col min="7" max="7" width="9.140625" style="128" customWidth="1"/>
    <col min="8" max="8" width="3.42578125" style="128" customWidth="1"/>
    <col min="9" max="9" width="9.140625" style="128" customWidth="1"/>
    <col min="10" max="16384" width="9.140625" style="128"/>
  </cols>
  <sheetData>
    <row r="1" spans="1:9" ht="18.75">
      <c r="A1" s="790" t="s">
        <v>945</v>
      </c>
      <c r="B1" s="791"/>
      <c r="C1" s="791"/>
      <c r="D1" s="791"/>
      <c r="E1" s="791"/>
      <c r="F1" s="791"/>
      <c r="G1" s="791"/>
      <c r="H1" s="791"/>
      <c r="I1" s="791"/>
    </row>
    <row r="2" spans="1:9" ht="18">
      <c r="A2" s="790" t="s">
        <v>946</v>
      </c>
      <c r="B2" s="790"/>
      <c r="C2" s="790"/>
      <c r="D2" s="790"/>
      <c r="E2" s="790"/>
      <c r="F2" s="790"/>
      <c r="G2" s="790"/>
      <c r="H2" s="790"/>
      <c r="I2" s="790"/>
    </row>
    <row r="3" spans="1:9" ht="7.5" customHeight="1">
      <c r="A3" s="129"/>
      <c r="B3" s="129"/>
      <c r="C3" s="129"/>
      <c r="D3" s="129"/>
      <c r="E3" s="129"/>
      <c r="F3" s="129"/>
      <c r="G3" s="129"/>
      <c r="H3" s="129"/>
      <c r="I3" s="129"/>
    </row>
    <row r="4" spans="1:9">
      <c r="A4" s="792" t="s">
        <v>947</v>
      </c>
      <c r="B4" s="793"/>
      <c r="C4" s="793"/>
      <c r="D4" s="793"/>
      <c r="E4" s="794"/>
      <c r="F4" s="795" t="s">
        <v>948</v>
      </c>
      <c r="G4" s="796"/>
      <c r="H4" s="796"/>
      <c r="I4" s="797"/>
    </row>
    <row r="5" spans="1:9" ht="15.75" customHeight="1">
      <c r="A5" s="798" t="s">
        <v>949</v>
      </c>
      <c r="B5" s="799"/>
      <c r="C5" s="799"/>
      <c r="D5" s="799"/>
      <c r="E5" s="800"/>
      <c r="F5" s="130"/>
      <c r="G5" s="131"/>
      <c r="H5" s="132" t="s">
        <v>950</v>
      </c>
      <c r="I5" s="133"/>
    </row>
    <row r="6" spans="1:9">
      <c r="A6" s="801" t="s">
        <v>951</v>
      </c>
      <c r="B6" s="802"/>
      <c r="C6" s="802"/>
      <c r="D6" s="802"/>
      <c r="E6" s="803"/>
      <c r="F6" s="804"/>
      <c r="G6" s="805"/>
      <c r="H6" s="805"/>
      <c r="I6" s="806"/>
    </row>
    <row r="7" spans="1:9">
      <c r="A7" s="134" t="s">
        <v>952</v>
      </c>
      <c r="B7" s="135"/>
      <c r="C7" s="807">
        <f>'Page 1-3'!D17</f>
        <v>0</v>
      </c>
      <c r="D7" s="807"/>
      <c r="E7" s="808"/>
      <c r="F7" s="134" t="s">
        <v>470</v>
      </c>
      <c r="G7" s="811"/>
      <c r="H7" s="811"/>
      <c r="I7" s="812"/>
    </row>
    <row r="8" spans="1:9">
      <c r="A8" s="136"/>
      <c r="B8" s="137"/>
      <c r="C8" s="809"/>
      <c r="D8" s="809"/>
      <c r="E8" s="810"/>
      <c r="F8" s="138"/>
      <c r="G8" s="813"/>
      <c r="H8" s="813"/>
      <c r="I8" s="814"/>
    </row>
    <row r="9" spans="1:9">
      <c r="A9" s="795" t="s">
        <v>953</v>
      </c>
      <c r="B9" s="796"/>
      <c r="C9" s="815"/>
      <c r="D9" s="815"/>
      <c r="E9" s="815"/>
      <c r="F9" s="815"/>
      <c r="G9" s="815"/>
      <c r="H9" s="815"/>
      <c r="I9" s="816"/>
    </row>
    <row r="10" spans="1:9">
      <c r="A10" s="804"/>
      <c r="B10" s="805"/>
      <c r="C10" s="817"/>
      <c r="D10" s="817"/>
      <c r="E10" s="817"/>
      <c r="F10" s="817"/>
      <c r="G10" s="817"/>
      <c r="H10" s="817"/>
      <c r="I10" s="818"/>
    </row>
    <row r="11" spans="1:9">
      <c r="A11" s="134" t="s">
        <v>954</v>
      </c>
      <c r="B11" s="786"/>
      <c r="C11" s="786"/>
      <c r="D11" s="786"/>
      <c r="E11" s="786"/>
      <c r="F11" s="786"/>
      <c r="G11" s="786"/>
      <c r="H11" s="786"/>
      <c r="I11" s="787"/>
    </row>
    <row r="12" spans="1:9">
      <c r="A12" s="136"/>
      <c r="B12" s="788"/>
      <c r="C12" s="788"/>
      <c r="D12" s="788"/>
      <c r="E12" s="788"/>
      <c r="F12" s="788"/>
      <c r="G12" s="788"/>
      <c r="H12" s="788"/>
      <c r="I12" s="789"/>
    </row>
    <row r="13" spans="1:9" ht="24.75" customHeight="1">
      <c r="A13" s="139" t="s">
        <v>955</v>
      </c>
      <c r="B13" s="825"/>
      <c r="C13" s="825"/>
      <c r="D13" s="825"/>
      <c r="E13" s="825"/>
      <c r="F13" s="825"/>
      <c r="G13" s="825"/>
      <c r="H13" s="825"/>
      <c r="I13" s="826"/>
    </row>
    <row r="14" spans="1:9">
      <c r="A14" s="138"/>
      <c r="B14" s="827"/>
      <c r="C14" s="827"/>
      <c r="D14" s="827"/>
      <c r="E14" s="827"/>
      <c r="F14" s="827"/>
      <c r="G14" s="827"/>
      <c r="H14" s="827"/>
      <c r="I14" s="828"/>
    </row>
    <row r="15" spans="1:9">
      <c r="A15" s="138"/>
      <c r="B15" s="827"/>
      <c r="C15" s="827"/>
      <c r="D15" s="827"/>
      <c r="E15" s="827"/>
      <c r="F15" s="827"/>
      <c r="G15" s="827"/>
      <c r="H15" s="827"/>
      <c r="I15" s="828"/>
    </row>
    <row r="16" spans="1:9">
      <c r="A16" s="138"/>
      <c r="B16" s="827"/>
      <c r="C16" s="827"/>
      <c r="D16" s="827"/>
      <c r="E16" s="827"/>
      <c r="F16" s="827"/>
      <c r="G16" s="827"/>
      <c r="H16" s="827"/>
      <c r="I16" s="828"/>
    </row>
    <row r="17" spans="1:9">
      <c r="A17" s="138"/>
      <c r="B17" s="827"/>
      <c r="C17" s="827"/>
      <c r="D17" s="827"/>
      <c r="E17" s="827"/>
      <c r="F17" s="827"/>
      <c r="G17" s="827"/>
      <c r="H17" s="827"/>
      <c r="I17" s="828"/>
    </row>
    <row r="18" spans="1:9">
      <c r="A18" s="138"/>
      <c r="B18" s="827"/>
      <c r="C18" s="827"/>
      <c r="D18" s="827"/>
      <c r="E18" s="827"/>
      <c r="F18" s="827"/>
      <c r="G18" s="827"/>
      <c r="H18" s="827"/>
      <c r="I18" s="828"/>
    </row>
    <row r="19" spans="1:9">
      <c r="A19" s="138"/>
      <c r="B19" s="827"/>
      <c r="C19" s="827"/>
      <c r="D19" s="827"/>
      <c r="E19" s="827"/>
      <c r="F19" s="827"/>
      <c r="G19" s="827"/>
      <c r="H19" s="827"/>
      <c r="I19" s="828"/>
    </row>
    <row r="20" spans="1:9">
      <c r="A20" s="138"/>
      <c r="B20" s="827"/>
      <c r="C20" s="827"/>
      <c r="D20" s="827"/>
      <c r="E20" s="827"/>
      <c r="F20" s="827"/>
      <c r="G20" s="827"/>
      <c r="H20" s="827"/>
      <c r="I20" s="828"/>
    </row>
    <row r="21" spans="1:9">
      <c r="A21" s="829" t="s">
        <v>956</v>
      </c>
      <c r="B21" s="830"/>
      <c r="C21" s="830"/>
      <c r="D21" s="830"/>
      <c r="E21" s="131"/>
      <c r="F21" s="140"/>
      <c r="G21" s="140"/>
      <c r="H21" s="140"/>
      <c r="I21" s="141"/>
    </row>
    <row r="22" spans="1:9" ht="4.5" customHeight="1">
      <c r="A22" s="136"/>
      <c r="B22" s="137"/>
      <c r="C22" s="137"/>
      <c r="D22" s="137"/>
      <c r="E22" s="137"/>
      <c r="F22" s="137"/>
      <c r="G22" s="137"/>
      <c r="H22" s="137"/>
      <c r="I22" s="142"/>
    </row>
    <row r="23" spans="1:9" ht="15.75" customHeight="1">
      <c r="A23" s="143" t="s">
        <v>957</v>
      </c>
      <c r="I23" s="144"/>
    </row>
    <row r="24" spans="1:9" ht="4.5" customHeight="1" thickBot="1">
      <c r="A24" s="138"/>
      <c r="B24" s="140"/>
      <c r="C24" s="140"/>
      <c r="D24" s="140"/>
      <c r="E24" s="140"/>
      <c r="F24" s="140"/>
      <c r="G24" s="140"/>
      <c r="H24" s="140"/>
      <c r="I24" s="141"/>
    </row>
    <row r="25" spans="1:9">
      <c r="A25" s="831" t="s">
        <v>958</v>
      </c>
      <c r="B25" s="832"/>
      <c r="C25" s="832"/>
      <c r="D25" s="833"/>
      <c r="E25" s="833"/>
      <c r="F25" s="833"/>
      <c r="G25" s="833"/>
      <c r="H25" s="833"/>
      <c r="I25" s="834"/>
    </row>
    <row r="26" spans="1:9">
      <c r="A26" s="138"/>
      <c r="B26" s="140"/>
      <c r="C26" s="140"/>
      <c r="D26" s="820"/>
      <c r="E26" s="820"/>
      <c r="F26" s="820"/>
      <c r="G26" s="820"/>
      <c r="H26" s="820"/>
      <c r="I26" s="821"/>
    </row>
    <row r="27" spans="1:9">
      <c r="A27" s="136"/>
      <c r="B27" s="137"/>
      <c r="C27" s="145" t="s">
        <v>959</v>
      </c>
      <c r="D27" s="137"/>
      <c r="E27" s="137"/>
      <c r="F27" s="137"/>
      <c r="G27" s="137"/>
      <c r="H27" s="137"/>
      <c r="I27" s="142"/>
    </row>
    <row r="28" spans="1:9">
      <c r="A28" s="134" t="s">
        <v>960</v>
      </c>
      <c r="B28" s="135"/>
      <c r="C28" s="135"/>
      <c r="D28" s="135"/>
      <c r="E28" s="135"/>
      <c r="F28" s="135"/>
      <c r="G28" s="135"/>
      <c r="H28" s="135"/>
      <c r="I28" s="146"/>
    </row>
    <row r="29" spans="1:9" ht="15" customHeight="1">
      <c r="A29" s="835"/>
      <c r="B29" s="836"/>
      <c r="C29" s="836"/>
      <c r="D29" s="836"/>
      <c r="E29" s="836"/>
      <c r="F29" s="836"/>
      <c r="G29" s="836"/>
      <c r="H29" s="836"/>
      <c r="I29" s="837"/>
    </row>
    <row r="30" spans="1:9">
      <c r="A30" s="838"/>
      <c r="B30" s="836"/>
      <c r="C30" s="836"/>
      <c r="D30" s="836"/>
      <c r="E30" s="836"/>
      <c r="F30" s="836"/>
      <c r="G30" s="836"/>
      <c r="H30" s="836"/>
      <c r="I30" s="837"/>
    </row>
    <row r="31" spans="1:9">
      <c r="A31" s="838"/>
      <c r="B31" s="836"/>
      <c r="C31" s="836"/>
      <c r="D31" s="836"/>
      <c r="E31" s="836"/>
      <c r="F31" s="836"/>
      <c r="G31" s="836"/>
      <c r="H31" s="836"/>
      <c r="I31" s="837"/>
    </row>
    <row r="32" spans="1:9">
      <c r="A32" s="838"/>
      <c r="B32" s="836"/>
      <c r="C32" s="836"/>
      <c r="D32" s="836"/>
      <c r="E32" s="836"/>
      <c r="F32" s="836"/>
      <c r="G32" s="836"/>
      <c r="H32" s="836"/>
      <c r="I32" s="837"/>
    </row>
    <row r="33" spans="1:9">
      <c r="A33" s="838"/>
      <c r="B33" s="836"/>
      <c r="C33" s="836"/>
      <c r="D33" s="836"/>
      <c r="E33" s="836"/>
      <c r="F33" s="836"/>
      <c r="G33" s="836"/>
      <c r="H33" s="836"/>
      <c r="I33" s="837"/>
    </row>
    <row r="34" spans="1:9">
      <c r="A34" s="838"/>
      <c r="B34" s="836"/>
      <c r="C34" s="836"/>
      <c r="D34" s="836"/>
      <c r="E34" s="836"/>
      <c r="F34" s="836"/>
      <c r="G34" s="836"/>
      <c r="H34" s="836"/>
      <c r="I34" s="837"/>
    </row>
    <row r="35" spans="1:9">
      <c r="A35" s="838"/>
      <c r="B35" s="836"/>
      <c r="C35" s="836"/>
      <c r="D35" s="836"/>
      <c r="E35" s="836"/>
      <c r="F35" s="836"/>
      <c r="G35" s="836"/>
      <c r="H35" s="836"/>
      <c r="I35" s="837"/>
    </row>
    <row r="36" spans="1:9">
      <c r="A36" s="838"/>
      <c r="B36" s="836"/>
      <c r="C36" s="836"/>
      <c r="D36" s="836"/>
      <c r="E36" s="836"/>
      <c r="F36" s="836"/>
      <c r="G36" s="836"/>
      <c r="H36" s="836"/>
      <c r="I36" s="837"/>
    </row>
    <row r="37" spans="1:9">
      <c r="A37" s="804"/>
      <c r="B37" s="805"/>
      <c r="C37" s="805"/>
      <c r="D37" s="805"/>
      <c r="E37" s="805"/>
      <c r="F37" s="805"/>
      <c r="G37" s="805"/>
      <c r="H37" s="805"/>
      <c r="I37" s="806"/>
    </row>
    <row r="38" spans="1:9">
      <c r="A38" s="839" t="s">
        <v>961</v>
      </c>
      <c r="B38" s="840"/>
      <c r="C38" s="840"/>
      <c r="D38" s="840"/>
      <c r="E38" s="840"/>
      <c r="F38" s="840"/>
      <c r="G38" s="840"/>
      <c r="H38" s="840"/>
      <c r="I38" s="841"/>
    </row>
    <row r="39" spans="1:9">
      <c r="A39" s="819"/>
      <c r="B39" s="820"/>
      <c r="C39" s="820"/>
      <c r="D39" s="820"/>
      <c r="E39" s="820"/>
      <c r="F39" s="820"/>
      <c r="G39" s="820"/>
      <c r="H39" s="820"/>
      <c r="I39" s="821"/>
    </row>
    <row r="40" spans="1:9">
      <c r="A40" s="822"/>
      <c r="B40" s="823"/>
      <c r="C40" s="823"/>
      <c r="D40" s="823"/>
      <c r="E40" s="823"/>
      <c r="F40" s="823"/>
      <c r="G40" s="823"/>
      <c r="H40" s="823"/>
      <c r="I40" s="824"/>
    </row>
  </sheetData>
  <sheetProtection password="D6D7" sheet="1" objects="1" scenarios="1"/>
  <dataConsolidate/>
  <mergeCells count="20">
    <mergeCell ref="A39:I40"/>
    <mergeCell ref="B13:I20"/>
    <mergeCell ref="A21:D21"/>
    <mergeCell ref="A25:C25"/>
    <mergeCell ref="D25:I26"/>
    <mergeCell ref="A29:I37"/>
    <mergeCell ref="A38:I38"/>
    <mergeCell ref="B11:I12"/>
    <mergeCell ref="A1:I1"/>
    <mergeCell ref="A2:I2"/>
    <mergeCell ref="A4:E4"/>
    <mergeCell ref="F4:I4"/>
    <mergeCell ref="A5:E5"/>
    <mergeCell ref="A6:E6"/>
    <mergeCell ref="F6:I6"/>
    <mergeCell ref="C7:E8"/>
    <mergeCell ref="G7:I8"/>
    <mergeCell ref="A9:B9"/>
    <mergeCell ref="C9:I10"/>
    <mergeCell ref="A10:B10"/>
  </mergeCells>
  <dataValidations count="1">
    <dataValidation type="list" allowBlank="1" showErrorMessage="1" sqref="E21">
      <formula1>"Yes, No"</formula1>
    </dataValidation>
  </dataValidations>
  <printOptions horizontalCentered="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Page 1-3</vt:lpstr>
      <vt:lpstr>Pg. 4 General Questions</vt:lpstr>
      <vt:lpstr>Part 1-Farm Review</vt:lpstr>
      <vt:lpstr>Part 2-Field Harvest &amp; Packing </vt:lpstr>
      <vt:lpstr>Part 3-House Packing Facilty</vt:lpstr>
      <vt:lpstr>Part 4-Storage &amp; Transportation</vt:lpstr>
      <vt:lpstr>Part 6-Wholesale Distribution</vt:lpstr>
      <vt:lpstr>Part 7-Preventive Food Defense</vt:lpstr>
      <vt:lpstr>Audit Scoresheet</vt:lpstr>
      <vt:lpstr>CAR Duplication Instructions</vt:lpstr>
      <vt:lpstr>Corrective Action Report</vt:lpstr>
      <vt:lpstr>Facility</vt:lpstr>
      <vt:lpstr>'Audit Scoresheet'!Print_Area</vt:lpstr>
      <vt:lpstr>'Page 1-3'!Print_Area</vt:lpstr>
      <vt:lpstr>'Pg. 4 General Questions'!Print_Area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dc:creator>
  <cp:lastModifiedBy>Donna L. Burke-Fonda</cp:lastModifiedBy>
  <cp:lastPrinted>2012-01-26T14:08:11Z</cp:lastPrinted>
  <dcterms:created xsi:type="dcterms:W3CDTF">2009-02-16T23:21:18Z</dcterms:created>
  <dcterms:modified xsi:type="dcterms:W3CDTF">2012-08-28T11:43:56Z</dcterms:modified>
</cp:coreProperties>
</file>