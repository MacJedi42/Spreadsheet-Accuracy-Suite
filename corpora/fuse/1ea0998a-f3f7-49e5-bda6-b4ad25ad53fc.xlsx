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630" windowWidth="18555" windowHeight="112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T37" i="1"/>
  <c r="T38" s="1"/>
  <c r="S37"/>
  <c r="S38" s="1"/>
  <c r="R37"/>
  <c r="R38" s="1"/>
  <c r="Q37"/>
  <c r="Q38" s="1"/>
  <c r="P37"/>
  <c r="P38" s="1"/>
  <c r="O37"/>
  <c r="O38" s="1"/>
  <c r="N37"/>
  <c r="N38" s="1"/>
  <c r="M37"/>
  <c r="M38" s="1"/>
  <c r="L37"/>
  <c r="L38" s="1"/>
  <c r="T36"/>
  <c r="S36"/>
  <c r="R36"/>
  <c r="Q36"/>
  <c r="P36"/>
  <c r="O36"/>
  <c r="N36"/>
  <c r="M36"/>
  <c r="L36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V37" s="1"/>
  <c r="U5"/>
  <c r="U36" s="1"/>
  <c r="V36" l="1"/>
  <c r="V38" s="1"/>
  <c r="U37"/>
  <c r="U38" s="1"/>
</calcChain>
</file>

<file path=xl/sharedStrings.xml><?xml version="1.0" encoding="utf-8"?>
<sst xmlns="http://schemas.openxmlformats.org/spreadsheetml/2006/main" count="207" uniqueCount="119">
  <si>
    <t>AngioTool v 0.5a (May 25, 2011)</t>
  </si>
  <si>
    <t>Analysis of 5HPP33_LC (4.44 uM) simulation outputs (N=30)</t>
  </si>
  <si>
    <t>Sample</t>
  </si>
  <si>
    <t>Date</t>
  </si>
  <si>
    <t>Time</t>
  </si>
  <si>
    <t>Image Location</t>
  </si>
  <si>
    <t>Low Threshold</t>
  </si>
  <si>
    <t>High Threshold</t>
  </si>
  <si>
    <t>Vessel Thickness</t>
  </si>
  <si>
    <t>Small Particles</t>
  </si>
  <si>
    <t>Fill Holes</t>
  </si>
  <si>
    <t>Scaling factor</t>
  </si>
  <si>
    <t/>
  </si>
  <si>
    <t>Explant area</t>
  </si>
  <si>
    <t>Vessels area</t>
  </si>
  <si>
    <t>Vessels percentage area</t>
  </si>
  <si>
    <t>Total Number of Junctions</t>
  </si>
  <si>
    <t>Junctions density</t>
  </si>
  <si>
    <t>Total Vessels Length</t>
  </si>
  <si>
    <t>Average Vessels Length</t>
  </si>
  <si>
    <t>Total Number of End Points</t>
  </si>
  <si>
    <t>Average Lacunarity</t>
  </si>
  <si>
    <t>Connectivity</t>
  </si>
  <si>
    <t>Segments</t>
  </si>
  <si>
    <t>5HPP33_LC_1</t>
  </si>
  <si>
    <t>Oct 29, 2012</t>
  </si>
  <si>
    <t>11:01:36 AM</t>
  </si>
  <si>
    <t>C:\Program Files\AngioTool\images\5HPP33\LD\5HPP33_LC_1.png</t>
  </si>
  <si>
    <t>2</t>
  </si>
  <si>
    <t>5HPP33_LC_2</t>
  </si>
  <si>
    <t>11:01:47 AM</t>
  </si>
  <si>
    <t>C:\Program Files\AngioTool\images\5HPP33\LD\5HPP33_LC_2.png</t>
  </si>
  <si>
    <t>5HPP33_LC_3</t>
  </si>
  <si>
    <t>11:01:55 AM</t>
  </si>
  <si>
    <t>C:\Program Files\AngioTool\images\5HPP33\LD\5HPP33_LC_3.png</t>
  </si>
  <si>
    <t>5HPP33_LC_4</t>
  </si>
  <si>
    <t>11:02:03 AM</t>
  </si>
  <si>
    <t>C:\Program Files\AngioTool\images\5HPP33\LD\5HPP33_LC_4.png</t>
  </si>
  <si>
    <t>5HPP33_LC_5</t>
  </si>
  <si>
    <t>11:02:10 AM</t>
  </si>
  <si>
    <t>C:\Program Files\AngioTool\images\5HPP33\LD\5HPP33_LC_5.png</t>
  </si>
  <si>
    <t>5HPP33_LC_6</t>
  </si>
  <si>
    <t>11:02:19 AM</t>
  </si>
  <si>
    <t>C:\Program Files\AngioTool\images\5HPP33\LD\5HPP33_LC_6.png</t>
  </si>
  <si>
    <t>5HPP33_LC_7</t>
  </si>
  <si>
    <t>11:02:27 AM</t>
  </si>
  <si>
    <t>C:\Program Files\AngioTool\images\5HPP33\LD\5HPP33_LC_7.png</t>
  </si>
  <si>
    <t>5HPP33_LC_8</t>
  </si>
  <si>
    <t>11:02:37 AM</t>
  </si>
  <si>
    <t>C:\Program Files\AngioTool\images\5HPP33\LD\5HPP33_LC_8.png</t>
  </si>
  <si>
    <t>5HPP33_LC_9</t>
  </si>
  <si>
    <t>11:02:46 AM</t>
  </si>
  <si>
    <t>C:\Program Files\AngioTool\images\5HPP33\LD\5HPP33_LC_9.png</t>
  </si>
  <si>
    <t>5HPP33_LC_10</t>
  </si>
  <si>
    <t>11:02:58 AM</t>
  </si>
  <si>
    <t>C:\Program Files\AngioTool\images\5HPP33\LD\5HPP33_LC_10.png</t>
  </si>
  <si>
    <t>5HPP33_LC_11</t>
  </si>
  <si>
    <t>11:03:08 AM</t>
  </si>
  <si>
    <t>C:\Program Files\AngioTool\images\5HPP33\LD\5HPP33_LC_11.png</t>
  </si>
  <si>
    <t>5HPP33_LC_12</t>
  </si>
  <si>
    <t>11:03:16 AM</t>
  </si>
  <si>
    <t>C:\Program Files\AngioTool\images\5HPP33\LD\5HPP33_LC_12.png</t>
  </si>
  <si>
    <t>5HPP33_LC_13</t>
  </si>
  <si>
    <t>11:03:25 AM</t>
  </si>
  <si>
    <t>C:\Program Files\AngioTool\images\5HPP33\LD\5HPP33_LC_13.png</t>
  </si>
  <si>
    <t>5HPP33_LC_14</t>
  </si>
  <si>
    <t>11:03:37 AM</t>
  </si>
  <si>
    <t>C:\Program Files\AngioTool\images\5HPP33\LD\5HPP33_LC_14.png</t>
  </si>
  <si>
    <t>5HPP33_LC_15</t>
  </si>
  <si>
    <t>11:03:49 AM</t>
  </si>
  <si>
    <t>C:\Program Files\AngioTool\images\5HPP33\LD\5HPP33_LC_15.png</t>
  </si>
  <si>
    <t>5HPP33_LC_16</t>
  </si>
  <si>
    <t>11:04:00 AM</t>
  </si>
  <si>
    <t>C:\Program Files\AngioTool\images\5HPP33\LD\5HPP33_LC_16.png</t>
  </si>
  <si>
    <t>5HPP33_LC_17</t>
  </si>
  <si>
    <t>11:04:10 AM</t>
  </si>
  <si>
    <t>C:\Program Files\AngioTool\images\5HPP33\LD\5HPP33_LC_17.png</t>
  </si>
  <si>
    <t>5HPP33_LC_18</t>
  </si>
  <si>
    <t>11:04:36 AM</t>
  </si>
  <si>
    <t>C:\Program Files\AngioTool\images\5HPP33\LD\5HPP33_LC_18.png</t>
  </si>
  <si>
    <t>5HPP33_LC_19</t>
  </si>
  <si>
    <t>11:04:47 AM</t>
  </si>
  <si>
    <t>C:\Program Files\AngioTool\images\5HPP33\LD\5HPP33_LC_19.png</t>
  </si>
  <si>
    <t>5HPP33_LC_21</t>
  </si>
  <si>
    <t>11:05:00 AM</t>
  </si>
  <si>
    <t>C:\Program Files\AngioTool\images\5HPP33\LD\5HPP33_LC_21.png</t>
  </si>
  <si>
    <t>5HPP33_LC_20</t>
  </si>
  <si>
    <t>11:05:14 AM</t>
  </si>
  <si>
    <t>C:\Program Files\AngioTool\images\5HPP33\LD\5HPP33_LC_20.png</t>
  </si>
  <si>
    <t>5HPP33_LC_22</t>
  </si>
  <si>
    <t>11:05:26 AM</t>
  </si>
  <si>
    <t>C:\Program Files\AngioTool\images\5HPP33\LD\5HPP33_LC_22.png</t>
  </si>
  <si>
    <t>5HPP33_LC_23</t>
  </si>
  <si>
    <t>11:05:36 AM</t>
  </si>
  <si>
    <t>C:\Program Files\AngioTool\images\5HPP33\LD\5HPP33_LC_23.png</t>
  </si>
  <si>
    <t>5HPP33_LC_24</t>
  </si>
  <si>
    <t>11:05:46 AM</t>
  </si>
  <si>
    <t>C:\Program Files\AngioTool\images\5HPP33\LD\5HPP33_LC_24.png</t>
  </si>
  <si>
    <t>5HPP33_LC_25</t>
  </si>
  <si>
    <t>11:05:58 AM</t>
  </si>
  <si>
    <t>C:\Program Files\AngioTool\images\5HPP33\LD\5HPP33_LC_25.png</t>
  </si>
  <si>
    <t>5HPP33_LC_26</t>
  </si>
  <si>
    <t>11:06:13 AM</t>
  </si>
  <si>
    <t>C:\Program Files\AngioTool\images\5HPP33\LD\5HPP33_LC_26.png</t>
  </si>
  <si>
    <t>5HPP33_LC_27</t>
  </si>
  <si>
    <t>11:06:22 AM</t>
  </si>
  <si>
    <t>C:\Program Files\AngioTool\images\5HPP33\LD\5HPP33_LC_27.png</t>
  </si>
  <si>
    <t>5HPP33_LC_28</t>
  </si>
  <si>
    <t>11:06:33 AM</t>
  </si>
  <si>
    <t>C:\Program Files\AngioTool\images\5HPP33\LD\5HPP33_LC_28.png</t>
  </si>
  <si>
    <t>5HPP33_LC_29</t>
  </si>
  <si>
    <t>11:06:43 AM</t>
  </si>
  <si>
    <t>C:\Program Files\AngioTool\images\5HPP33\LD\5HPP33_LC_29.png</t>
  </si>
  <si>
    <t>5HPP33_LC_30</t>
  </si>
  <si>
    <t>11:06:55 AM</t>
  </si>
  <si>
    <t>C:\Program Files\AngioTool\images\5HPP33\LD\5HPP33_LC_30.png</t>
  </si>
  <si>
    <t>Mean</t>
  </si>
  <si>
    <t>Std Dev</t>
  </si>
  <si>
    <t>CV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</si>
</sst>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>
      <selection sqref="A1:XFD1048576"/>
    </sheetView>
  </sheetViews>
  <sheetFormatPr defaultRowHeight="15"/>
  <cols>
    <col min="1" max="1" width="18.140625" customWidth="1"/>
    <col min="5" max="5" width="10.140625" customWidth="1"/>
    <col min="6" max="6" width="11" customWidth="1"/>
    <col min="7" max="7" width="10.7109375" customWidth="1"/>
    <col min="14" max="14" width="12.28515625" customWidth="1"/>
    <col min="15" max="15" width="10.28515625" customWidth="1"/>
    <col min="16" max="16" width="9.85546875" customWidth="1"/>
    <col min="20" max="20" width="11.7109375" customWidth="1"/>
    <col min="21" max="21" width="12.28515625" customWidth="1"/>
    <col min="22" max="22" width="10.7109375" customWidth="1"/>
  </cols>
  <sheetData>
    <row r="1" spans="1:22" ht="26.25">
      <c r="A1" s="1" t="s">
        <v>0</v>
      </c>
    </row>
    <row r="2" spans="1:22">
      <c r="A2" s="2" t="s">
        <v>1</v>
      </c>
    </row>
    <row r="4" spans="1:22" s="4" customFormat="1" ht="51.7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3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>
      <c r="A5" s="5" t="s">
        <v>24</v>
      </c>
      <c r="B5" s="5" t="s">
        <v>25</v>
      </c>
      <c r="C5" s="5" t="s">
        <v>26</v>
      </c>
      <c r="D5" s="5" t="s">
        <v>27</v>
      </c>
      <c r="E5" s="5">
        <v>15</v>
      </c>
      <c r="F5" s="5">
        <v>255</v>
      </c>
      <c r="G5" s="5" t="s">
        <v>28</v>
      </c>
      <c r="H5" s="5">
        <v>0</v>
      </c>
      <c r="I5" s="5">
        <v>0</v>
      </c>
      <c r="J5" s="5">
        <v>3.0000000000000001E-3</v>
      </c>
      <c r="K5" s="5" t="s">
        <v>12</v>
      </c>
      <c r="L5" s="5">
        <v>1.2124935000000001</v>
      </c>
      <c r="M5" s="5">
        <v>0.76284000000000007</v>
      </c>
      <c r="N5" s="5">
        <v>62.914976451420152</v>
      </c>
      <c r="O5" s="5">
        <v>62</v>
      </c>
      <c r="P5" s="5">
        <v>51.134294740549123</v>
      </c>
      <c r="Q5" s="5">
        <v>13.199828129771184</v>
      </c>
      <c r="R5" s="5">
        <v>4.399942709923728</v>
      </c>
      <c r="S5" s="5">
        <v>10</v>
      </c>
      <c r="T5" s="5">
        <v>6.5515924787690777E-2</v>
      </c>
      <c r="U5">
        <f>R5/Q5</f>
        <v>0.33333333333333331</v>
      </c>
      <c r="V5">
        <f>Q5/R5</f>
        <v>3</v>
      </c>
    </row>
    <row r="6" spans="1:22">
      <c r="A6" s="5" t="s">
        <v>29</v>
      </c>
      <c r="B6" s="5" t="s">
        <v>25</v>
      </c>
      <c r="C6" s="5" t="s">
        <v>30</v>
      </c>
      <c r="D6" s="5" t="s">
        <v>31</v>
      </c>
      <c r="E6" s="5">
        <v>15</v>
      </c>
      <c r="F6" s="5">
        <v>255</v>
      </c>
      <c r="G6" s="5" t="s">
        <v>28</v>
      </c>
      <c r="H6" s="5">
        <v>0</v>
      </c>
      <c r="I6" s="5">
        <v>0</v>
      </c>
      <c r="J6" s="5">
        <v>3.0000000000000001E-3</v>
      </c>
      <c r="K6" s="5" t="s">
        <v>12</v>
      </c>
      <c r="L6" s="5">
        <v>1.2124935000000001</v>
      </c>
      <c r="M6" s="5">
        <v>0.76284000000000007</v>
      </c>
      <c r="N6" s="5">
        <v>62.914976451420152</v>
      </c>
      <c r="O6" s="5">
        <v>62</v>
      </c>
      <c r="P6" s="5">
        <v>51.134294740549123</v>
      </c>
      <c r="Q6" s="5">
        <v>13.199828129771184</v>
      </c>
      <c r="R6" s="5">
        <v>4.399942709923728</v>
      </c>
      <c r="S6" s="5">
        <v>10</v>
      </c>
      <c r="T6" s="5">
        <v>6.5515924787690777E-2</v>
      </c>
      <c r="U6">
        <f t="shared" ref="U6:U34" si="0">R6/Q6</f>
        <v>0.33333333333333331</v>
      </c>
      <c r="V6">
        <f t="shared" ref="V6:V34" si="1">Q6/R6</f>
        <v>3</v>
      </c>
    </row>
    <row r="7" spans="1:22">
      <c r="A7" s="5" t="s">
        <v>32</v>
      </c>
      <c r="B7" s="5" t="s">
        <v>25</v>
      </c>
      <c r="C7" s="5" t="s">
        <v>33</v>
      </c>
      <c r="D7" s="5" t="s">
        <v>34</v>
      </c>
      <c r="E7" s="5">
        <v>15</v>
      </c>
      <c r="F7" s="5">
        <v>255</v>
      </c>
      <c r="G7" s="5" t="s">
        <v>28</v>
      </c>
      <c r="H7" s="5">
        <v>0</v>
      </c>
      <c r="I7" s="5">
        <v>0</v>
      </c>
      <c r="J7" s="5">
        <v>3.0000000000000001E-3</v>
      </c>
      <c r="K7" s="5" t="s">
        <v>12</v>
      </c>
      <c r="L7" s="5">
        <v>1.1609864999999999</v>
      </c>
      <c r="M7" s="5">
        <v>0.71810099999999999</v>
      </c>
      <c r="N7" s="5">
        <v>61.852657201440337</v>
      </c>
      <c r="O7" s="5">
        <v>64</v>
      </c>
      <c r="P7" s="5">
        <v>55.125533328768256</v>
      </c>
      <c r="Q7" s="5">
        <v>13.010614926335588</v>
      </c>
      <c r="R7" s="5">
        <v>6.5053074631677941</v>
      </c>
      <c r="S7" s="5">
        <v>15</v>
      </c>
      <c r="T7" s="5">
        <v>5.9301154564701641E-2</v>
      </c>
      <c r="U7">
        <f t="shared" si="0"/>
        <v>0.5</v>
      </c>
      <c r="V7">
        <f t="shared" si="1"/>
        <v>2</v>
      </c>
    </row>
    <row r="8" spans="1:22">
      <c r="A8" s="5" t="s">
        <v>35</v>
      </c>
      <c r="B8" s="5" t="s">
        <v>25</v>
      </c>
      <c r="C8" s="5" t="s">
        <v>36</v>
      </c>
      <c r="D8" s="5" t="s">
        <v>37</v>
      </c>
      <c r="E8" s="5">
        <v>15</v>
      </c>
      <c r="F8" s="5">
        <v>255</v>
      </c>
      <c r="G8" s="5" t="s">
        <v>28</v>
      </c>
      <c r="H8" s="5">
        <v>0</v>
      </c>
      <c r="I8" s="5">
        <v>0</v>
      </c>
      <c r="J8" s="5">
        <v>3.0000000000000001E-3</v>
      </c>
      <c r="K8" s="5" t="s">
        <v>12</v>
      </c>
      <c r="L8" s="5">
        <v>1.1919330000000001</v>
      </c>
      <c r="M8" s="5">
        <v>0.75434400000000001</v>
      </c>
      <c r="N8" s="5">
        <v>63.287449881830597</v>
      </c>
      <c r="O8" s="5">
        <v>70</v>
      </c>
      <c r="P8" s="5">
        <v>58.728133208829682</v>
      </c>
      <c r="Q8" s="5">
        <v>13.554842415121053</v>
      </c>
      <c r="R8" s="5">
        <v>6.7774212075605265</v>
      </c>
      <c r="S8" s="5">
        <v>16</v>
      </c>
      <c r="T8" s="5">
        <v>6.1058187457661797E-2</v>
      </c>
      <c r="U8">
        <f t="shared" si="0"/>
        <v>0.5</v>
      </c>
      <c r="V8">
        <f t="shared" si="1"/>
        <v>2</v>
      </c>
    </row>
    <row r="9" spans="1:22">
      <c r="A9" s="5" t="s">
        <v>38</v>
      </c>
      <c r="B9" s="5" t="s">
        <v>25</v>
      </c>
      <c r="C9" s="5" t="s">
        <v>39</v>
      </c>
      <c r="D9" s="5" t="s">
        <v>40</v>
      </c>
      <c r="E9" s="5">
        <v>15</v>
      </c>
      <c r="F9" s="5">
        <v>255</v>
      </c>
      <c r="G9" s="5" t="s">
        <v>28</v>
      </c>
      <c r="H9" s="5">
        <v>0</v>
      </c>
      <c r="I9" s="5">
        <v>0</v>
      </c>
      <c r="J9" s="5">
        <v>3.0000000000000001E-3</v>
      </c>
      <c r="K9" s="5" t="s">
        <v>12</v>
      </c>
      <c r="L9" s="5">
        <v>1.26441</v>
      </c>
      <c r="M9" s="5">
        <v>0.80527500000000007</v>
      </c>
      <c r="N9" s="5">
        <v>63.687806961349565</v>
      </c>
      <c r="O9" s="5">
        <v>58</v>
      </c>
      <c r="P9" s="5">
        <v>45.871196842796245</v>
      </c>
      <c r="Q9" s="5">
        <v>12.828144796863004</v>
      </c>
      <c r="R9" s="5">
        <v>12.828144796863004</v>
      </c>
      <c r="S9" s="5">
        <v>15</v>
      </c>
      <c r="T9" s="5">
        <v>6.1436599785445543E-2</v>
      </c>
      <c r="U9">
        <f t="shared" si="0"/>
        <v>1</v>
      </c>
      <c r="V9">
        <f t="shared" si="1"/>
        <v>1</v>
      </c>
    </row>
    <row r="10" spans="1:22">
      <c r="A10" s="5" t="s">
        <v>41</v>
      </c>
      <c r="B10" s="5" t="s">
        <v>25</v>
      </c>
      <c r="C10" s="5" t="s">
        <v>42</v>
      </c>
      <c r="D10" s="5" t="s">
        <v>43</v>
      </c>
      <c r="E10" s="5">
        <v>15</v>
      </c>
      <c r="F10" s="5">
        <v>255</v>
      </c>
      <c r="G10" s="5" t="s">
        <v>28</v>
      </c>
      <c r="H10" s="5">
        <v>0</v>
      </c>
      <c r="I10" s="5">
        <v>0</v>
      </c>
      <c r="J10" s="5">
        <v>3.0000000000000001E-3</v>
      </c>
      <c r="K10" s="5" t="s">
        <v>12</v>
      </c>
      <c r="L10" s="5">
        <v>1.2896235</v>
      </c>
      <c r="M10" s="5">
        <v>0.81690300000000005</v>
      </c>
      <c r="N10" s="5">
        <v>63.344301650830651</v>
      </c>
      <c r="O10" s="5">
        <v>63</v>
      </c>
      <c r="P10" s="5">
        <v>48.851467114239156</v>
      </c>
      <c r="Q10" s="5">
        <v>13.417820120544466</v>
      </c>
      <c r="R10" s="5">
        <v>4.472606706848155</v>
      </c>
      <c r="S10" s="5">
        <v>16</v>
      </c>
      <c r="T10" s="5">
        <v>6.4912420408513388E-2</v>
      </c>
      <c r="U10">
        <f t="shared" si="0"/>
        <v>0.33333333333333331</v>
      </c>
      <c r="V10">
        <f t="shared" si="1"/>
        <v>3</v>
      </c>
    </row>
    <row r="11" spans="1:22">
      <c r="A11" s="5" t="s">
        <v>44</v>
      </c>
      <c r="B11" s="5" t="s">
        <v>25</v>
      </c>
      <c r="C11" s="5" t="s">
        <v>45</v>
      </c>
      <c r="D11" s="5" t="s">
        <v>46</v>
      </c>
      <c r="E11" s="5">
        <v>15</v>
      </c>
      <c r="F11" s="5">
        <v>255</v>
      </c>
      <c r="G11" s="5" t="s">
        <v>28</v>
      </c>
      <c r="H11" s="5">
        <v>0</v>
      </c>
      <c r="I11" s="5">
        <v>0</v>
      </c>
      <c r="J11" s="5">
        <v>3.0000000000000001E-3</v>
      </c>
      <c r="K11" s="5" t="s">
        <v>12</v>
      </c>
      <c r="L11" s="5">
        <v>1.2465539999999999</v>
      </c>
      <c r="M11" s="5">
        <v>0.81681300000000001</v>
      </c>
      <c r="N11" s="5">
        <v>65.52568119792646</v>
      </c>
      <c r="O11" s="5">
        <v>66</v>
      </c>
      <c r="P11" s="5">
        <v>52.945961426460471</v>
      </c>
      <c r="Q11" s="5">
        <v>14.004467740077974</v>
      </c>
      <c r="R11" s="5">
        <v>14.004467740077974</v>
      </c>
      <c r="S11" s="5">
        <v>5</v>
      </c>
      <c r="T11" s="5">
        <v>4.8792988396096158E-2</v>
      </c>
      <c r="U11">
        <f t="shared" si="0"/>
        <v>1</v>
      </c>
      <c r="V11">
        <f t="shared" si="1"/>
        <v>1</v>
      </c>
    </row>
    <row r="12" spans="1:22">
      <c r="A12" s="5" t="s">
        <v>47</v>
      </c>
      <c r="B12" s="5" t="s">
        <v>25</v>
      </c>
      <c r="C12" s="5" t="s">
        <v>48</v>
      </c>
      <c r="D12" s="5" t="s">
        <v>49</v>
      </c>
      <c r="E12" s="5">
        <v>15</v>
      </c>
      <c r="F12" s="5">
        <v>255</v>
      </c>
      <c r="G12" s="5" t="s">
        <v>28</v>
      </c>
      <c r="H12" s="5">
        <v>0</v>
      </c>
      <c r="I12" s="5">
        <v>0</v>
      </c>
      <c r="J12" s="5">
        <v>3.0000000000000001E-3</v>
      </c>
      <c r="K12" s="5" t="s">
        <v>12</v>
      </c>
      <c r="L12" s="5">
        <v>1.3535550000000001</v>
      </c>
      <c r="M12" s="5">
        <v>0.83503800000000006</v>
      </c>
      <c r="N12" s="5">
        <v>61.692210512317573</v>
      </c>
      <c r="O12" s="5">
        <v>63</v>
      </c>
      <c r="P12" s="5">
        <v>46.544100535257151</v>
      </c>
      <c r="Q12" s="5">
        <v>13.58056319450748</v>
      </c>
      <c r="R12" s="5">
        <v>13.58056319450748</v>
      </c>
      <c r="S12" s="5">
        <v>14</v>
      </c>
      <c r="T12" s="5">
        <v>6.6874582261841467E-2</v>
      </c>
      <c r="U12">
        <f t="shared" si="0"/>
        <v>1</v>
      </c>
      <c r="V12">
        <f t="shared" si="1"/>
        <v>1</v>
      </c>
    </row>
    <row r="13" spans="1:22">
      <c r="A13" s="5" t="s">
        <v>50</v>
      </c>
      <c r="B13" s="5" t="s">
        <v>25</v>
      </c>
      <c r="C13" s="5" t="s">
        <v>51</v>
      </c>
      <c r="D13" s="5" t="s">
        <v>52</v>
      </c>
      <c r="E13" s="5">
        <v>15</v>
      </c>
      <c r="F13" s="5">
        <v>255</v>
      </c>
      <c r="G13" s="5" t="s">
        <v>28</v>
      </c>
      <c r="H13" s="5">
        <v>0</v>
      </c>
      <c r="I13" s="5">
        <v>0</v>
      </c>
      <c r="J13" s="5">
        <v>3.0000000000000001E-3</v>
      </c>
      <c r="K13" s="5" t="s">
        <v>12</v>
      </c>
      <c r="L13" s="5">
        <v>1.413054</v>
      </c>
      <c r="M13" s="5">
        <v>0.85843800000000003</v>
      </c>
      <c r="N13" s="5">
        <v>60.750544565175851</v>
      </c>
      <c r="O13" s="5">
        <v>71</v>
      </c>
      <c r="P13" s="5">
        <v>50.245779708348017</v>
      </c>
      <c r="Q13" s="5">
        <v>14.085400856348212</v>
      </c>
      <c r="R13" s="5">
        <v>14.085400856348212</v>
      </c>
      <c r="S13" s="5">
        <v>13</v>
      </c>
      <c r="T13" s="5">
        <v>7.9704571849617017E-2</v>
      </c>
      <c r="U13">
        <f t="shared" si="0"/>
        <v>1</v>
      </c>
      <c r="V13">
        <f t="shared" si="1"/>
        <v>1</v>
      </c>
    </row>
    <row r="14" spans="1:22">
      <c r="A14" s="5" t="s">
        <v>53</v>
      </c>
      <c r="B14" s="5" t="s">
        <v>25</v>
      </c>
      <c r="C14" s="5" t="s">
        <v>54</v>
      </c>
      <c r="D14" s="5" t="s">
        <v>55</v>
      </c>
      <c r="E14" s="5">
        <v>15</v>
      </c>
      <c r="F14" s="5">
        <v>255</v>
      </c>
      <c r="G14" s="5" t="s">
        <v>28</v>
      </c>
      <c r="H14" s="5">
        <v>0</v>
      </c>
      <c r="I14" s="5">
        <v>0</v>
      </c>
      <c r="J14" s="5">
        <v>3.0000000000000001E-3</v>
      </c>
      <c r="K14" s="5" t="s">
        <v>12</v>
      </c>
      <c r="L14" s="5">
        <v>1.3689180000000001</v>
      </c>
      <c r="M14" s="5">
        <v>0.86277599999999999</v>
      </c>
      <c r="N14" s="5">
        <v>63.026127204113017</v>
      </c>
      <c r="O14" s="5">
        <v>70</v>
      </c>
      <c r="P14" s="5">
        <v>51.135276181626651</v>
      </c>
      <c r="Q14" s="5">
        <v>14.394260812765527</v>
      </c>
      <c r="R14" s="5">
        <v>7.1971304063827635</v>
      </c>
      <c r="S14" s="5">
        <v>9</v>
      </c>
      <c r="T14" s="5">
        <v>6.7540974382588354E-2</v>
      </c>
      <c r="U14">
        <f t="shared" si="0"/>
        <v>0.5</v>
      </c>
      <c r="V14">
        <f t="shared" si="1"/>
        <v>2</v>
      </c>
    </row>
    <row r="15" spans="1:22">
      <c r="A15" s="5" t="s">
        <v>56</v>
      </c>
      <c r="B15" s="5" t="s">
        <v>25</v>
      </c>
      <c r="C15" s="5" t="s">
        <v>57</v>
      </c>
      <c r="D15" s="5" t="s">
        <v>58</v>
      </c>
      <c r="E15" s="5">
        <v>15</v>
      </c>
      <c r="F15" s="5">
        <v>255</v>
      </c>
      <c r="G15" s="5" t="s">
        <v>28</v>
      </c>
      <c r="H15" s="5">
        <v>0</v>
      </c>
      <c r="I15" s="5">
        <v>0</v>
      </c>
      <c r="J15" s="5">
        <v>3.0000000000000001E-3</v>
      </c>
      <c r="K15" s="5" t="s">
        <v>12</v>
      </c>
      <c r="L15" s="5">
        <v>1.3093515</v>
      </c>
      <c r="M15" s="5">
        <v>0.79445699999999997</v>
      </c>
      <c r="N15" s="5">
        <v>60.675609261531378</v>
      </c>
      <c r="O15" s="5">
        <v>55</v>
      </c>
      <c r="P15" s="5">
        <v>42.005527163637879</v>
      </c>
      <c r="Q15" s="5">
        <v>12.524011895955256</v>
      </c>
      <c r="R15" s="5">
        <v>12.524011895955256</v>
      </c>
      <c r="S15" s="5">
        <v>16</v>
      </c>
      <c r="T15" s="5">
        <v>7.8927034741326646E-2</v>
      </c>
      <c r="U15">
        <f t="shared" si="0"/>
        <v>1</v>
      </c>
      <c r="V15">
        <f t="shared" si="1"/>
        <v>1</v>
      </c>
    </row>
    <row r="16" spans="1:22">
      <c r="A16" s="5" t="s">
        <v>59</v>
      </c>
      <c r="B16" s="5" t="s">
        <v>25</v>
      </c>
      <c r="C16" s="5" t="s">
        <v>60</v>
      </c>
      <c r="D16" s="5" t="s">
        <v>61</v>
      </c>
      <c r="E16" s="5">
        <v>15</v>
      </c>
      <c r="F16" s="5">
        <v>255</v>
      </c>
      <c r="G16" s="5" t="s">
        <v>28</v>
      </c>
      <c r="H16" s="5">
        <v>0</v>
      </c>
      <c r="I16" s="5">
        <v>0</v>
      </c>
      <c r="J16" s="5">
        <v>3.0000000000000001E-3</v>
      </c>
      <c r="K16" s="5" t="s">
        <v>12</v>
      </c>
      <c r="L16" s="5">
        <v>1.2914955000000001</v>
      </c>
      <c r="M16" s="5">
        <v>0.80613000000000001</v>
      </c>
      <c r="N16" s="5">
        <v>62.418335952390073</v>
      </c>
      <c r="O16" s="5">
        <v>65</v>
      </c>
      <c r="P16" s="5">
        <v>50.329250082559319</v>
      </c>
      <c r="Q16" s="5">
        <v>13.377504320004421</v>
      </c>
      <c r="R16" s="5">
        <v>13.377504320004421</v>
      </c>
      <c r="S16" s="5">
        <v>12</v>
      </c>
      <c r="T16" s="5">
        <v>6.346938752333145E-2</v>
      </c>
      <c r="U16">
        <f t="shared" si="0"/>
        <v>1</v>
      </c>
      <c r="V16">
        <f t="shared" si="1"/>
        <v>1</v>
      </c>
    </row>
    <row r="17" spans="1:22">
      <c r="A17" s="5" t="s">
        <v>62</v>
      </c>
      <c r="B17" s="5" t="s">
        <v>25</v>
      </c>
      <c r="C17" s="5" t="s">
        <v>63</v>
      </c>
      <c r="D17" s="5" t="s">
        <v>64</v>
      </c>
      <c r="E17" s="5">
        <v>15</v>
      </c>
      <c r="F17" s="5">
        <v>255</v>
      </c>
      <c r="G17" s="5" t="s">
        <v>28</v>
      </c>
      <c r="H17" s="5">
        <v>0</v>
      </c>
      <c r="I17" s="5">
        <v>0</v>
      </c>
      <c r="J17" s="5">
        <v>3.0000000000000001E-3</v>
      </c>
      <c r="K17" s="5" t="s">
        <v>12</v>
      </c>
      <c r="L17" s="5">
        <v>1.3312619999999999</v>
      </c>
      <c r="M17" s="5">
        <v>0.81954899999999997</v>
      </c>
      <c r="N17" s="5">
        <v>61.561811273813866</v>
      </c>
      <c r="O17" s="5">
        <v>56</v>
      </c>
      <c r="P17" s="5">
        <v>42.065348518924154</v>
      </c>
      <c r="Q17" s="5">
        <v>12.67804133320678</v>
      </c>
      <c r="R17" s="5">
        <v>4.2260137777355933</v>
      </c>
      <c r="S17" s="5">
        <v>19</v>
      </c>
      <c r="T17" s="5">
        <v>7.2130502420745882E-2</v>
      </c>
      <c r="U17">
        <f t="shared" si="0"/>
        <v>0.33333333333333331</v>
      </c>
      <c r="V17">
        <f t="shared" si="1"/>
        <v>3</v>
      </c>
    </row>
    <row r="18" spans="1:22">
      <c r="A18" s="5" t="s">
        <v>65</v>
      </c>
      <c r="B18" s="5" t="s">
        <v>25</v>
      </c>
      <c r="C18" s="5" t="s">
        <v>66</v>
      </c>
      <c r="D18" s="5" t="s">
        <v>67</v>
      </c>
      <c r="E18" s="5">
        <v>15</v>
      </c>
      <c r="F18" s="5">
        <v>255</v>
      </c>
      <c r="G18" s="5" t="s">
        <v>28</v>
      </c>
      <c r="H18" s="5">
        <v>0</v>
      </c>
      <c r="I18" s="5">
        <v>0</v>
      </c>
      <c r="J18" s="5">
        <v>3.0000000000000001E-3</v>
      </c>
      <c r="K18" s="5" t="s">
        <v>12</v>
      </c>
      <c r="L18" s="5">
        <v>1.2338685</v>
      </c>
      <c r="M18" s="5">
        <v>0.78326099999999999</v>
      </c>
      <c r="N18" s="5">
        <v>63.48010343079509</v>
      </c>
      <c r="O18" s="5">
        <v>72</v>
      </c>
      <c r="P18" s="5">
        <v>58.353057882586349</v>
      </c>
      <c r="Q18" s="5">
        <v>13.995598907882158</v>
      </c>
      <c r="R18" s="5">
        <v>6.9977994539410791</v>
      </c>
      <c r="S18" s="5">
        <v>12</v>
      </c>
      <c r="T18" s="5">
        <v>5.2602485938304147E-2</v>
      </c>
      <c r="U18">
        <f t="shared" si="0"/>
        <v>0.5</v>
      </c>
      <c r="V18">
        <f t="shared" si="1"/>
        <v>2</v>
      </c>
    </row>
    <row r="19" spans="1:22">
      <c r="A19" s="5" t="s">
        <v>68</v>
      </c>
      <c r="B19" s="5" t="s">
        <v>25</v>
      </c>
      <c r="C19" s="5" t="s">
        <v>69</v>
      </c>
      <c r="D19" s="5" t="s">
        <v>70</v>
      </c>
      <c r="E19" s="5">
        <v>15</v>
      </c>
      <c r="F19" s="5">
        <v>255</v>
      </c>
      <c r="G19" s="5" t="s">
        <v>28</v>
      </c>
      <c r="H19" s="5">
        <v>0</v>
      </c>
      <c r="I19" s="5">
        <v>0</v>
      </c>
      <c r="J19" s="5">
        <v>3.0000000000000001E-3</v>
      </c>
      <c r="K19" s="5" t="s">
        <v>12</v>
      </c>
      <c r="L19" s="5">
        <v>1.2638655000000001</v>
      </c>
      <c r="M19" s="5">
        <v>0.76599000000000006</v>
      </c>
      <c r="N19" s="5">
        <v>60.606923758896812</v>
      </c>
      <c r="O19" s="5">
        <v>54</v>
      </c>
      <c r="P19" s="5">
        <v>42.726065392243079</v>
      </c>
      <c r="Q19" s="5">
        <v>12.383953021452205</v>
      </c>
      <c r="R19" s="5">
        <v>6.1919765107261027</v>
      </c>
      <c r="S19" s="5">
        <v>14</v>
      </c>
      <c r="T19" s="5">
        <v>6.5256988554135364E-2</v>
      </c>
      <c r="U19">
        <f t="shared" si="0"/>
        <v>0.5</v>
      </c>
      <c r="V19">
        <f t="shared" si="1"/>
        <v>2</v>
      </c>
    </row>
    <row r="20" spans="1:22">
      <c r="A20" s="5" t="s">
        <v>71</v>
      </c>
      <c r="B20" s="5" t="s">
        <v>25</v>
      </c>
      <c r="C20" s="5" t="s">
        <v>72</v>
      </c>
      <c r="D20" s="5" t="s">
        <v>73</v>
      </c>
      <c r="E20" s="5">
        <v>15</v>
      </c>
      <c r="F20" s="5">
        <v>255</v>
      </c>
      <c r="G20" s="5" t="s">
        <v>28</v>
      </c>
      <c r="H20" s="5">
        <v>0</v>
      </c>
      <c r="I20" s="5">
        <v>0</v>
      </c>
      <c r="J20" s="5">
        <v>3.0000000000000001E-3</v>
      </c>
      <c r="K20" s="5" t="s">
        <v>12</v>
      </c>
      <c r="L20" s="5">
        <v>1.2855734999999999</v>
      </c>
      <c r="M20" s="5">
        <v>0.79217100000000007</v>
      </c>
      <c r="N20" s="5">
        <v>61.620047395189779</v>
      </c>
      <c r="O20" s="5">
        <v>68</v>
      </c>
      <c r="P20" s="5">
        <v>52.894680856442669</v>
      </c>
      <c r="Q20" s="5">
        <v>13.684606917108871</v>
      </c>
      <c r="R20" s="5">
        <v>6.8423034585544356</v>
      </c>
      <c r="S20" s="5">
        <v>13</v>
      </c>
      <c r="T20" s="5">
        <v>6.1913335187383775E-2</v>
      </c>
      <c r="U20">
        <f t="shared" si="0"/>
        <v>0.5</v>
      </c>
      <c r="V20">
        <f t="shared" si="1"/>
        <v>2</v>
      </c>
    </row>
    <row r="21" spans="1:22">
      <c r="A21" s="5" t="s">
        <v>74</v>
      </c>
      <c r="B21" s="5" t="s">
        <v>25</v>
      </c>
      <c r="C21" s="5" t="s">
        <v>75</v>
      </c>
      <c r="D21" s="5" t="s">
        <v>76</v>
      </c>
      <c r="E21" s="5">
        <v>15</v>
      </c>
      <c r="F21" s="5">
        <v>255</v>
      </c>
      <c r="G21" s="5" t="s">
        <v>28</v>
      </c>
      <c r="H21" s="5">
        <v>0</v>
      </c>
      <c r="I21" s="5">
        <v>0</v>
      </c>
      <c r="J21" s="5">
        <v>3.0000000000000001E-3</v>
      </c>
      <c r="K21" s="5" t="s">
        <v>12</v>
      </c>
      <c r="L21" s="5">
        <v>1.2708495</v>
      </c>
      <c r="M21" s="5">
        <v>0.78534900000000007</v>
      </c>
      <c r="N21" s="5">
        <v>61.797167957338779</v>
      </c>
      <c r="O21" s="5">
        <v>60</v>
      </c>
      <c r="P21" s="5">
        <v>47.212514149000334</v>
      </c>
      <c r="Q21" s="5">
        <v>13.218291116568832</v>
      </c>
      <c r="R21" s="5">
        <v>6.6091455582844159</v>
      </c>
      <c r="S21" s="5">
        <v>14</v>
      </c>
      <c r="T21" s="5">
        <v>6.4111350879730897E-2</v>
      </c>
      <c r="U21">
        <f t="shared" si="0"/>
        <v>0.5</v>
      </c>
      <c r="V21">
        <f t="shared" si="1"/>
        <v>2</v>
      </c>
    </row>
    <row r="22" spans="1:22">
      <c r="A22" s="5" t="s">
        <v>77</v>
      </c>
      <c r="B22" s="5" t="s">
        <v>25</v>
      </c>
      <c r="C22" s="5" t="s">
        <v>78</v>
      </c>
      <c r="D22" s="5" t="s">
        <v>79</v>
      </c>
      <c r="E22" s="5">
        <v>15</v>
      </c>
      <c r="F22" s="5">
        <v>255</v>
      </c>
      <c r="G22" s="5" t="s">
        <v>28</v>
      </c>
      <c r="H22" s="5">
        <v>0</v>
      </c>
      <c r="I22" s="5">
        <v>0</v>
      </c>
      <c r="J22" s="5">
        <v>3.0000000000000001E-3</v>
      </c>
      <c r="K22" s="5" t="s">
        <v>12</v>
      </c>
      <c r="L22" s="5">
        <v>1.2920085000000001</v>
      </c>
      <c r="M22" s="5">
        <v>0.77756400000000003</v>
      </c>
      <c r="N22" s="5">
        <v>60.182576198221604</v>
      </c>
      <c r="O22" s="5">
        <v>56</v>
      </c>
      <c r="P22" s="5">
        <v>43.34336809703651</v>
      </c>
      <c r="Q22" s="5">
        <v>12.750394580225052</v>
      </c>
      <c r="R22" s="5">
        <v>6.375197290112526</v>
      </c>
      <c r="S22" s="5">
        <v>15</v>
      </c>
      <c r="T22" s="5">
        <v>7.6976656145538794E-2</v>
      </c>
      <c r="U22">
        <f t="shared" si="0"/>
        <v>0.5</v>
      </c>
      <c r="V22">
        <f t="shared" si="1"/>
        <v>2</v>
      </c>
    </row>
    <row r="23" spans="1:22">
      <c r="A23" s="5" t="s">
        <v>80</v>
      </c>
      <c r="B23" s="5" t="s">
        <v>25</v>
      </c>
      <c r="C23" s="5" t="s">
        <v>81</v>
      </c>
      <c r="D23" s="5" t="s">
        <v>82</v>
      </c>
      <c r="E23" s="5">
        <v>15</v>
      </c>
      <c r="F23" s="5">
        <v>255</v>
      </c>
      <c r="G23" s="5" t="s">
        <v>28</v>
      </c>
      <c r="H23" s="5">
        <v>0</v>
      </c>
      <c r="I23" s="5">
        <v>0</v>
      </c>
      <c r="J23" s="5">
        <v>3.0000000000000001E-3</v>
      </c>
      <c r="K23" s="5" t="s">
        <v>12</v>
      </c>
      <c r="L23" s="5">
        <v>1.2482955</v>
      </c>
      <c r="M23" s="5">
        <v>0.79205400000000004</v>
      </c>
      <c r="N23" s="5">
        <v>63.450841567561525</v>
      </c>
      <c r="O23" s="5">
        <v>59</v>
      </c>
      <c r="P23" s="5">
        <v>47.264449803752399</v>
      </c>
      <c r="Q23" s="5">
        <v>12.550615792887369</v>
      </c>
      <c r="R23" s="5">
        <v>12.550615792887369</v>
      </c>
      <c r="S23" s="5">
        <v>15</v>
      </c>
      <c r="T23" s="5">
        <v>6.0388699907220143E-2</v>
      </c>
      <c r="U23">
        <f t="shared" si="0"/>
        <v>1</v>
      </c>
      <c r="V23">
        <f t="shared" si="1"/>
        <v>1</v>
      </c>
    </row>
    <row r="24" spans="1:22">
      <c r="A24" s="5" t="s">
        <v>83</v>
      </c>
      <c r="B24" s="5" t="s">
        <v>25</v>
      </c>
      <c r="C24" s="5" t="s">
        <v>84</v>
      </c>
      <c r="D24" s="5" t="s">
        <v>85</v>
      </c>
      <c r="E24" s="5">
        <v>15</v>
      </c>
      <c r="F24" s="5">
        <v>255</v>
      </c>
      <c r="G24" s="5" t="s">
        <v>28</v>
      </c>
      <c r="H24" s="5">
        <v>0</v>
      </c>
      <c r="I24" s="5">
        <v>0</v>
      </c>
      <c r="J24" s="5">
        <v>3.0000000000000001E-3</v>
      </c>
      <c r="K24" s="5" t="s">
        <v>12</v>
      </c>
      <c r="L24" s="5">
        <v>1.2720825</v>
      </c>
      <c r="M24" s="5">
        <v>0.78435900000000003</v>
      </c>
      <c r="N24" s="5">
        <v>61.65944425774272</v>
      </c>
      <c r="O24" s="5">
        <v>62</v>
      </c>
      <c r="P24" s="5">
        <v>48.738977228285115</v>
      </c>
      <c r="Q24" s="5">
        <v>12.607975316028799</v>
      </c>
      <c r="R24" s="5">
        <v>4.2026584386762655</v>
      </c>
      <c r="S24" s="5">
        <v>16</v>
      </c>
      <c r="T24" s="5">
        <v>6.4695014708577109E-2</v>
      </c>
      <c r="U24">
        <f t="shared" si="0"/>
        <v>0.33333333333333326</v>
      </c>
      <c r="V24">
        <f t="shared" si="1"/>
        <v>3.0000000000000004</v>
      </c>
    </row>
    <row r="25" spans="1:22">
      <c r="A25" s="5" t="s">
        <v>86</v>
      </c>
      <c r="B25" s="5" t="s">
        <v>25</v>
      </c>
      <c r="C25" s="5" t="s">
        <v>87</v>
      </c>
      <c r="D25" s="5" t="s">
        <v>88</v>
      </c>
      <c r="E25" s="5">
        <v>15</v>
      </c>
      <c r="F25" s="5">
        <v>255</v>
      </c>
      <c r="G25" s="5" t="s">
        <v>28</v>
      </c>
      <c r="H25" s="5">
        <v>0</v>
      </c>
      <c r="I25" s="5">
        <v>0</v>
      </c>
      <c r="J25" s="5">
        <v>3.0000000000000001E-3</v>
      </c>
      <c r="K25" s="5" t="s">
        <v>12</v>
      </c>
      <c r="L25" s="5">
        <v>1.2603599999999999</v>
      </c>
      <c r="M25" s="5">
        <v>0.80376300000000001</v>
      </c>
      <c r="N25" s="5">
        <v>63.772493573264782</v>
      </c>
      <c r="O25" s="5">
        <v>65</v>
      </c>
      <c r="P25" s="5">
        <v>51.572566568282085</v>
      </c>
      <c r="Q25" s="5">
        <v>12.930836138997893</v>
      </c>
      <c r="R25" s="5">
        <v>6.4654180694989467</v>
      </c>
      <c r="S25" s="5">
        <v>15</v>
      </c>
      <c r="T25" s="5">
        <v>5.7895906067180515E-2</v>
      </c>
      <c r="U25">
        <f t="shared" si="0"/>
        <v>0.5</v>
      </c>
      <c r="V25">
        <f t="shared" si="1"/>
        <v>2</v>
      </c>
    </row>
    <row r="26" spans="1:22">
      <c r="A26" s="5" t="s">
        <v>89</v>
      </c>
      <c r="B26" s="5" t="s">
        <v>25</v>
      </c>
      <c r="C26" s="5" t="s">
        <v>90</v>
      </c>
      <c r="D26" s="5" t="s">
        <v>91</v>
      </c>
      <c r="E26" s="5">
        <v>15</v>
      </c>
      <c r="F26" s="5">
        <v>255</v>
      </c>
      <c r="G26" s="5" t="s">
        <v>28</v>
      </c>
      <c r="H26" s="5">
        <v>0</v>
      </c>
      <c r="I26" s="5">
        <v>0</v>
      </c>
      <c r="J26" s="5">
        <v>3.0000000000000001E-3</v>
      </c>
      <c r="K26" s="5" t="s">
        <v>12</v>
      </c>
      <c r="L26" s="5">
        <v>1.2804255</v>
      </c>
      <c r="M26" s="5">
        <v>0.80382600000000004</v>
      </c>
      <c r="N26" s="5">
        <v>62.778037457079705</v>
      </c>
      <c r="O26" s="5">
        <v>56</v>
      </c>
      <c r="P26" s="5">
        <v>43.735461375925425</v>
      </c>
      <c r="Q26" s="5">
        <v>12.693997610605386</v>
      </c>
      <c r="R26" s="5">
        <v>4.2313325368684618</v>
      </c>
      <c r="S26" s="5">
        <v>14</v>
      </c>
      <c r="T26" s="5">
        <v>6.5059462361373402E-2</v>
      </c>
      <c r="U26">
        <f t="shared" si="0"/>
        <v>0.33333333333333331</v>
      </c>
      <c r="V26">
        <f t="shared" si="1"/>
        <v>3</v>
      </c>
    </row>
    <row r="27" spans="1:22">
      <c r="A27" s="5" t="s">
        <v>92</v>
      </c>
      <c r="B27" s="5" t="s">
        <v>25</v>
      </c>
      <c r="C27" s="5" t="s">
        <v>93</v>
      </c>
      <c r="D27" s="5" t="s">
        <v>94</v>
      </c>
      <c r="E27" s="5">
        <v>15</v>
      </c>
      <c r="F27" s="5">
        <v>255</v>
      </c>
      <c r="G27" s="5" t="s">
        <v>28</v>
      </c>
      <c r="H27" s="5">
        <v>0</v>
      </c>
      <c r="I27" s="5">
        <v>0</v>
      </c>
      <c r="J27" s="5">
        <v>3.0000000000000001E-3</v>
      </c>
      <c r="K27" s="5" t="s">
        <v>12</v>
      </c>
      <c r="L27" s="5">
        <v>1.3589820000000001</v>
      </c>
      <c r="M27" s="5">
        <v>0.84560400000000002</v>
      </c>
      <c r="N27" s="5">
        <v>62.223340706499421</v>
      </c>
      <c r="O27" s="5">
        <v>66</v>
      </c>
      <c r="P27" s="5">
        <v>48.565764667964693</v>
      </c>
      <c r="Q27" s="5">
        <v>13.8471582156611</v>
      </c>
      <c r="R27" s="5">
        <v>4.6157194052203669</v>
      </c>
      <c r="S27" s="5">
        <v>12</v>
      </c>
      <c r="T27" s="5">
        <v>7.7547013279198787E-2</v>
      </c>
      <c r="U27">
        <f t="shared" si="0"/>
        <v>0.33333333333333337</v>
      </c>
      <c r="V27">
        <f t="shared" si="1"/>
        <v>3</v>
      </c>
    </row>
    <row r="28" spans="1:22">
      <c r="A28" s="5" t="s">
        <v>95</v>
      </c>
      <c r="B28" s="5" t="s">
        <v>25</v>
      </c>
      <c r="C28" s="5" t="s">
        <v>96</v>
      </c>
      <c r="D28" s="5" t="s">
        <v>97</v>
      </c>
      <c r="E28" s="5">
        <v>15</v>
      </c>
      <c r="F28" s="5">
        <v>255</v>
      </c>
      <c r="G28" s="5" t="s">
        <v>28</v>
      </c>
      <c r="H28" s="5">
        <v>0</v>
      </c>
      <c r="I28" s="5">
        <v>0</v>
      </c>
      <c r="J28" s="5">
        <v>3.0000000000000001E-3</v>
      </c>
      <c r="K28" s="5" t="s">
        <v>12</v>
      </c>
      <c r="L28" s="5">
        <v>1.2079755000000001</v>
      </c>
      <c r="M28" s="5">
        <v>0.74271600000000004</v>
      </c>
      <c r="N28" s="5">
        <v>61.484359575173507</v>
      </c>
      <c r="O28" s="5">
        <v>63</v>
      </c>
      <c r="P28" s="5">
        <v>52.153375627237466</v>
      </c>
      <c r="Q28" s="5">
        <v>12.814262545869093</v>
      </c>
      <c r="R28" s="5">
        <v>4.2714208486230305</v>
      </c>
      <c r="S28" s="5">
        <v>16</v>
      </c>
      <c r="T28" s="5">
        <v>6.2766400541335921E-2</v>
      </c>
      <c r="U28">
        <f t="shared" si="0"/>
        <v>0.33333333333333331</v>
      </c>
      <c r="V28">
        <f t="shared" si="1"/>
        <v>3.0000000000000004</v>
      </c>
    </row>
    <row r="29" spans="1:22">
      <c r="A29" s="5" t="s">
        <v>98</v>
      </c>
      <c r="B29" s="5" t="s">
        <v>25</v>
      </c>
      <c r="C29" s="5" t="s">
        <v>99</v>
      </c>
      <c r="D29" s="5" t="s">
        <v>100</v>
      </c>
      <c r="E29" s="5">
        <v>15</v>
      </c>
      <c r="F29" s="5">
        <v>255</v>
      </c>
      <c r="G29" s="5" t="s">
        <v>28</v>
      </c>
      <c r="H29" s="5">
        <v>0</v>
      </c>
      <c r="I29" s="5">
        <v>0</v>
      </c>
      <c r="J29" s="5">
        <v>3.0000000000000001E-3</v>
      </c>
      <c r="K29" s="5" t="s">
        <v>12</v>
      </c>
      <c r="L29" s="5">
        <v>1.3234905000000001</v>
      </c>
      <c r="M29" s="5">
        <v>0.84000600000000003</v>
      </c>
      <c r="N29" s="5">
        <v>63.468985988188052</v>
      </c>
      <c r="O29" s="5">
        <v>78</v>
      </c>
      <c r="P29" s="5">
        <v>58.935066024274441</v>
      </c>
      <c r="Q29" s="5">
        <v>14.436672067735079</v>
      </c>
      <c r="R29" s="5">
        <v>4.8122240225783601</v>
      </c>
      <c r="S29" s="5">
        <v>19</v>
      </c>
      <c r="T29" s="5">
        <v>6.5525902046503159E-2</v>
      </c>
      <c r="U29">
        <f t="shared" si="0"/>
        <v>0.33333333333333337</v>
      </c>
      <c r="V29">
        <f t="shared" si="1"/>
        <v>3</v>
      </c>
    </row>
    <row r="30" spans="1:22">
      <c r="A30" s="5" t="s">
        <v>101</v>
      </c>
      <c r="B30" s="5" t="s">
        <v>25</v>
      </c>
      <c r="C30" s="5" t="s">
        <v>102</v>
      </c>
      <c r="D30" s="5" t="s">
        <v>103</v>
      </c>
      <c r="E30" s="5">
        <v>15</v>
      </c>
      <c r="F30" s="5">
        <v>255</v>
      </c>
      <c r="G30" s="5" t="s">
        <v>28</v>
      </c>
      <c r="H30" s="5">
        <v>0</v>
      </c>
      <c r="I30" s="5">
        <v>0</v>
      </c>
      <c r="J30" s="5">
        <v>3.0000000000000001E-3</v>
      </c>
      <c r="K30" s="5" t="s">
        <v>12</v>
      </c>
      <c r="L30" s="5">
        <v>1.3341419999999999</v>
      </c>
      <c r="M30" s="5">
        <v>0.84435300000000002</v>
      </c>
      <c r="N30" s="5">
        <v>63.288090772946212</v>
      </c>
      <c r="O30" s="5">
        <v>76</v>
      </c>
      <c r="P30" s="5">
        <v>56.965450454299472</v>
      </c>
      <c r="Q30" s="5">
        <v>14.740738084913064</v>
      </c>
      <c r="R30" s="5">
        <v>14.740738084913064</v>
      </c>
      <c r="S30" s="5">
        <v>14</v>
      </c>
      <c r="T30" s="5">
        <v>6.3978160820981872E-2</v>
      </c>
      <c r="U30">
        <f t="shared" si="0"/>
        <v>1</v>
      </c>
      <c r="V30">
        <f t="shared" si="1"/>
        <v>1</v>
      </c>
    </row>
    <row r="31" spans="1:22">
      <c r="A31" s="5" t="s">
        <v>104</v>
      </c>
      <c r="B31" s="5" t="s">
        <v>25</v>
      </c>
      <c r="C31" s="5" t="s">
        <v>105</v>
      </c>
      <c r="D31" s="5" t="s">
        <v>106</v>
      </c>
      <c r="E31" s="5">
        <v>15</v>
      </c>
      <c r="F31" s="5">
        <v>255</v>
      </c>
      <c r="G31" s="5" t="s">
        <v>28</v>
      </c>
      <c r="H31" s="5">
        <v>0</v>
      </c>
      <c r="I31" s="5">
        <v>0</v>
      </c>
      <c r="J31" s="5">
        <v>3.0000000000000001E-3</v>
      </c>
      <c r="K31" s="5" t="s">
        <v>12</v>
      </c>
      <c r="L31" s="5">
        <v>1.2839670000000001</v>
      </c>
      <c r="M31" s="5">
        <v>0.82985399999999998</v>
      </c>
      <c r="N31" s="5">
        <v>64.632034935477307</v>
      </c>
      <c r="O31" s="5">
        <v>69</v>
      </c>
      <c r="P31" s="5">
        <v>53.739698917495538</v>
      </c>
      <c r="Q31" s="5">
        <v>13.975393713673279</v>
      </c>
      <c r="R31" s="5">
        <v>13.975393713673279</v>
      </c>
      <c r="S31" s="5">
        <v>12</v>
      </c>
      <c r="T31" s="5">
        <v>6.0643571548417027E-2</v>
      </c>
      <c r="U31">
        <f t="shared" si="0"/>
        <v>1</v>
      </c>
      <c r="V31">
        <f t="shared" si="1"/>
        <v>1</v>
      </c>
    </row>
    <row r="32" spans="1:22">
      <c r="A32" s="5" t="s">
        <v>107</v>
      </c>
      <c r="B32" s="5" t="s">
        <v>25</v>
      </c>
      <c r="C32" s="5" t="s">
        <v>108</v>
      </c>
      <c r="D32" s="5" t="s">
        <v>109</v>
      </c>
      <c r="E32" s="5">
        <v>15</v>
      </c>
      <c r="F32" s="5">
        <v>255</v>
      </c>
      <c r="G32" s="5" t="s">
        <v>28</v>
      </c>
      <c r="H32" s="5">
        <v>0</v>
      </c>
      <c r="I32" s="5">
        <v>0</v>
      </c>
      <c r="J32" s="5">
        <v>3.0000000000000001E-3</v>
      </c>
      <c r="K32" s="5" t="s">
        <v>12</v>
      </c>
      <c r="L32" s="5">
        <v>1.25901</v>
      </c>
      <c r="M32" s="5">
        <v>0.77427900000000005</v>
      </c>
      <c r="N32" s="5">
        <v>61.499034956036894</v>
      </c>
      <c r="O32" s="5">
        <v>68</v>
      </c>
      <c r="P32" s="5">
        <v>54.010690939706599</v>
      </c>
      <c r="Q32" s="5">
        <v>13.231887004274228</v>
      </c>
      <c r="R32" s="5">
        <v>13.231887004274228</v>
      </c>
      <c r="S32" s="5">
        <v>16</v>
      </c>
      <c r="T32" s="5">
        <v>6.0649786420581664E-2</v>
      </c>
      <c r="U32">
        <f t="shared" si="0"/>
        <v>1</v>
      </c>
      <c r="V32">
        <f t="shared" si="1"/>
        <v>1</v>
      </c>
    </row>
    <row r="33" spans="1:22">
      <c r="A33" s="5" t="s">
        <v>110</v>
      </c>
      <c r="B33" s="5" t="s">
        <v>25</v>
      </c>
      <c r="C33" s="5" t="s">
        <v>111</v>
      </c>
      <c r="D33" s="5" t="s">
        <v>112</v>
      </c>
      <c r="E33" s="5">
        <v>15</v>
      </c>
      <c r="F33" s="5">
        <v>255</v>
      </c>
      <c r="G33" s="5" t="s">
        <v>28</v>
      </c>
      <c r="H33" s="5">
        <v>0</v>
      </c>
      <c r="I33" s="5">
        <v>0</v>
      </c>
      <c r="J33" s="5">
        <v>3.0000000000000001E-3</v>
      </c>
      <c r="K33" s="5" t="s">
        <v>12</v>
      </c>
      <c r="L33" s="5">
        <v>1.4118120000000001</v>
      </c>
      <c r="M33" s="5">
        <v>0.84491099999999997</v>
      </c>
      <c r="N33" s="5">
        <v>59.845857663768264</v>
      </c>
      <c r="O33" s="5">
        <v>75</v>
      </c>
      <c r="P33" s="5">
        <v>53.12322037211753</v>
      </c>
      <c r="Q33" s="5">
        <v>14.631422284373018</v>
      </c>
      <c r="R33" s="5">
        <v>4.8771407614576736</v>
      </c>
      <c r="S33" s="5">
        <v>17</v>
      </c>
      <c r="T33" s="5">
        <v>7.2933244957944884E-2</v>
      </c>
      <c r="U33">
        <f t="shared" si="0"/>
        <v>0.33333333333333337</v>
      </c>
      <c r="V33">
        <f t="shared" si="1"/>
        <v>2.9999999999999996</v>
      </c>
    </row>
    <row r="34" spans="1:22">
      <c r="A34" s="5" t="s">
        <v>113</v>
      </c>
      <c r="B34" s="5" t="s">
        <v>25</v>
      </c>
      <c r="C34" s="5" t="s">
        <v>114</v>
      </c>
      <c r="D34" s="5" t="s">
        <v>115</v>
      </c>
      <c r="E34" s="5">
        <v>15</v>
      </c>
      <c r="F34" s="5">
        <v>255</v>
      </c>
      <c r="G34" s="5" t="s">
        <v>28</v>
      </c>
      <c r="H34" s="5">
        <v>0</v>
      </c>
      <c r="I34" s="5">
        <v>0</v>
      </c>
      <c r="J34" s="5">
        <v>3.0000000000000001E-3</v>
      </c>
      <c r="K34" s="5" t="s">
        <v>12</v>
      </c>
      <c r="L34" s="5">
        <v>1.2666330000000001</v>
      </c>
      <c r="M34" s="5">
        <v>0.79100100000000007</v>
      </c>
      <c r="N34" s="5">
        <v>62.449107199954526</v>
      </c>
      <c r="O34" s="5">
        <v>68</v>
      </c>
      <c r="P34" s="5">
        <v>53.685637434047585</v>
      </c>
      <c r="Q34" s="5">
        <v>13.722717523440021</v>
      </c>
      <c r="R34" s="5">
        <v>13.722717523440021</v>
      </c>
      <c r="S34" s="5">
        <v>14</v>
      </c>
      <c r="T34" s="5">
        <v>7.3099289878701332E-2</v>
      </c>
      <c r="U34">
        <f t="shared" si="0"/>
        <v>1</v>
      </c>
      <c r="V34">
        <f t="shared" si="1"/>
        <v>1</v>
      </c>
    </row>
    <row r="35" spans="1:2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2">
      <c r="K36" t="s">
        <v>116</v>
      </c>
      <c r="L36">
        <f>AVERAGE(L5:L34)</f>
        <v>1.2833156999999999</v>
      </c>
      <c r="M36">
        <f t="shared" ref="M36:T36" si="2">AVERAGE(M5:M34)</f>
        <v>0.80048550000000018</v>
      </c>
      <c r="N36">
        <f t="shared" si="2"/>
        <v>62.396364531989818</v>
      </c>
      <c r="O36">
        <f t="shared" si="2"/>
        <v>64.666666666666671</v>
      </c>
      <c r="P36">
        <f t="shared" si="2"/>
        <v>50.437873646108081</v>
      </c>
      <c r="Q36">
        <f t="shared" si="2"/>
        <v>13.402394983765586</v>
      </c>
      <c r="R36">
        <f t="shared" si="2"/>
        <v>8.4364048753009406</v>
      </c>
      <c r="S36">
        <f t="shared" si="2"/>
        <v>13.933333333333334</v>
      </c>
      <c r="T36">
        <f t="shared" si="2"/>
        <v>6.5374117420345323E-2</v>
      </c>
      <c r="U36">
        <f>AVERAGE(U5:U34)</f>
        <v>0.62777777777777788</v>
      </c>
      <c r="V36">
        <f>AVERAGE(V5:V34)</f>
        <v>1.9666666666666666</v>
      </c>
    </row>
    <row r="37" spans="1:22">
      <c r="K37" t="s">
        <v>117</v>
      </c>
      <c r="L37">
        <f>STDEV(L5:L34)</f>
        <v>6.0217817444416552E-2</v>
      </c>
      <c r="M37">
        <f t="shared" ref="M37:T37" si="3">STDEV(M5:M34)</f>
        <v>3.5384184974749773E-2</v>
      </c>
      <c r="N37">
        <f t="shared" si="3"/>
        <v>1.3169703910251001</v>
      </c>
      <c r="O37">
        <f t="shared" si="3"/>
        <v>6.3806460235748137</v>
      </c>
      <c r="P37">
        <f t="shared" si="3"/>
        <v>4.8742093493729737</v>
      </c>
      <c r="Q37">
        <f t="shared" si="3"/>
        <v>0.67246067705581503</v>
      </c>
      <c r="R37">
        <f t="shared" si="3"/>
        <v>4.0539401378595246</v>
      </c>
      <c r="S37">
        <f t="shared" si="3"/>
        <v>2.8998612729402855</v>
      </c>
      <c r="T37">
        <f t="shared" si="3"/>
        <v>7.1981575145915388E-3</v>
      </c>
      <c r="U37">
        <f>STDEV(U5:U34)</f>
        <v>0.29583097241516476</v>
      </c>
      <c r="V37">
        <f>STDEV(V5:V34)</f>
        <v>0.85028730776551431</v>
      </c>
    </row>
    <row r="38" spans="1:22">
      <c r="K38" t="s">
        <v>118</v>
      </c>
      <c r="L38">
        <f>L37/L36</f>
        <v>4.6923619374731058E-2</v>
      </c>
      <c r="M38">
        <f t="shared" ref="M38:V38" si="4">M37/M36</f>
        <v>4.4203405276859814E-2</v>
      </c>
      <c r="N38">
        <f t="shared" si="4"/>
        <v>2.1106524408964662E-2</v>
      </c>
      <c r="O38">
        <f t="shared" si="4"/>
        <v>9.8669783869713604E-2</v>
      </c>
      <c r="P38">
        <f t="shared" si="4"/>
        <v>9.6637883340846997E-2</v>
      </c>
      <c r="Q38">
        <f t="shared" si="4"/>
        <v>5.01746648916385E-2</v>
      </c>
      <c r="R38">
        <f t="shared" si="4"/>
        <v>0.4805293484346807</v>
      </c>
      <c r="S38">
        <f t="shared" si="4"/>
        <v>0.20812401480432671</v>
      </c>
      <c r="T38">
        <f t="shared" si="4"/>
        <v>0.11010714635439764</v>
      </c>
      <c r="U38">
        <f t="shared" si="4"/>
        <v>0.47123517729849246</v>
      </c>
      <c r="V38">
        <f t="shared" si="4"/>
        <v>0.43234947852483779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US-EPA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NKleinst</dc:creator>
  <cp:lastModifiedBy>NKleinst</cp:lastModifiedBy>
  <dcterms:created xsi:type="dcterms:W3CDTF">2012-11-07T20:24:23Z</dcterms:created>
  <dcterms:modified xsi:type="dcterms:W3CDTF">2012-11-07T20:24:34Z</dcterms:modified>
</cp:coreProperties>
</file>