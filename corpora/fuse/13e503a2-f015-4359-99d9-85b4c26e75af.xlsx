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721"/>
  <workbookPr date1904="1" showInkAnnotation="0" autoCompressPictures="0"/>
  <bookViews>
    <workbookView xWindow="100" yWindow="0" windowWidth="27460" windowHeight="17880" tabRatio="500"/>
  </bookViews>
  <sheets>
    <sheet name="Online Data" sheetId="1" r:id="rId1"/>
    <sheet name="Data from NR" sheetId="4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51" i="4" l="1"/>
  <c r="C50" i="4"/>
  <c r="C49" i="4"/>
  <c r="C48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AZ19" i="1"/>
  <c r="AZ16" i="1"/>
  <c r="AZ24" i="1"/>
  <c r="AZ12" i="1"/>
  <c r="AY19" i="1"/>
  <c r="AY16" i="1"/>
  <c r="AY1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B23" i="1"/>
  <c r="AB22" i="1"/>
  <c r="AB24" i="1"/>
  <c r="AC8" i="1"/>
  <c r="AD8" i="1"/>
  <c r="AE8" i="1"/>
  <c r="AF8" i="1"/>
  <c r="AG8" i="1"/>
  <c r="AH8" i="1"/>
  <c r="AB4" i="1"/>
  <c r="AC4" i="1"/>
  <c r="AD4" i="1"/>
  <c r="AE4" i="1"/>
  <c r="AF4" i="1"/>
  <c r="AG4" i="1"/>
  <c r="AH4" i="1"/>
  <c r="AI4" i="1"/>
  <c r="AP8" i="1"/>
  <c r="AI8" i="1"/>
  <c r="AJ8" i="1"/>
  <c r="AK8" i="1"/>
  <c r="AL8" i="1"/>
  <c r="AM8" i="1"/>
  <c r="AN8" i="1"/>
  <c r="AO8" i="1"/>
  <c r="AP12" i="1"/>
  <c r="AQ12" i="1"/>
  <c r="AR12" i="1"/>
  <c r="AS12" i="1"/>
  <c r="AT12" i="1"/>
  <c r="AU12" i="1"/>
  <c r="AV12" i="1"/>
  <c r="AW12" i="1"/>
  <c r="AX12" i="1"/>
  <c r="AQ19" i="1"/>
  <c r="AR19" i="1"/>
  <c r="AS19" i="1"/>
  <c r="AT19" i="1"/>
  <c r="AU19" i="1"/>
  <c r="AV19" i="1"/>
  <c r="AW19" i="1"/>
  <c r="AQ16" i="1"/>
  <c r="AR16" i="1"/>
  <c r="AS16" i="1"/>
  <c r="AT16" i="1"/>
  <c r="AU16" i="1"/>
  <c r="AV16" i="1"/>
  <c r="AW16" i="1"/>
  <c r="AX16" i="1"/>
  <c r="AX19" i="1"/>
</calcChain>
</file>

<file path=xl/sharedStrings.xml><?xml version="1.0" encoding="utf-8"?>
<sst xmlns="http://schemas.openxmlformats.org/spreadsheetml/2006/main" count="24" uniqueCount="24">
  <si>
    <t>Higher Maths Entries</t>
    <phoneticPr fontId="2" type="noConversion"/>
  </si>
  <si>
    <t xml:space="preserve">Higher Maths Passes </t>
    <phoneticPr fontId="2" type="noConversion"/>
  </si>
  <si>
    <t>Higher Maths Pass Rate</t>
    <phoneticPr fontId="2" type="noConversion"/>
  </si>
  <si>
    <t>Higher Maths Revised Entries</t>
    <phoneticPr fontId="2" type="noConversion"/>
  </si>
  <si>
    <t>Higher Maths Revised Passes</t>
    <phoneticPr fontId="2" type="noConversion"/>
  </si>
  <si>
    <t>Higher Maths Revised Pass Rate</t>
    <phoneticPr fontId="2" type="noConversion"/>
  </si>
  <si>
    <t>New Higher Maths Entries</t>
    <phoneticPr fontId="2" type="noConversion"/>
  </si>
  <si>
    <t>New Higher Maths Passes</t>
    <phoneticPr fontId="2" type="noConversion"/>
  </si>
  <si>
    <t>New Higher Maths Pass Rate</t>
    <phoneticPr fontId="2" type="noConversion"/>
  </si>
  <si>
    <t xml:space="preserve">Applied Maths Advanced Higher Entries </t>
    <phoneticPr fontId="2" type="noConversion"/>
  </si>
  <si>
    <t xml:space="preserve">Applied Maths Advanced Higher Passes </t>
    <phoneticPr fontId="2" type="noConversion"/>
  </si>
  <si>
    <t xml:space="preserve">Applied Maths Advanced Higher Pass Rate </t>
    <phoneticPr fontId="2" type="noConversion"/>
  </si>
  <si>
    <t>Maths Advanced Entries</t>
    <phoneticPr fontId="2" type="noConversion"/>
  </si>
  <si>
    <t xml:space="preserve">Maths Advanced Passes </t>
    <phoneticPr fontId="2" type="noConversion"/>
  </si>
  <si>
    <t>Maths Advanced Pass Rate</t>
    <phoneticPr fontId="2" type="noConversion"/>
  </si>
  <si>
    <t>Higher Mathematics Entries</t>
    <phoneticPr fontId="2" type="noConversion"/>
  </si>
  <si>
    <t>Higher Mathematics Passes</t>
    <phoneticPr fontId="2" type="noConversion"/>
  </si>
  <si>
    <t>Higher Mathematics Pass Rate %</t>
    <phoneticPr fontId="2" type="noConversion"/>
  </si>
  <si>
    <t xml:space="preserve">SQA Online Reports </t>
    <phoneticPr fontId="2" type="noConversion"/>
  </si>
  <si>
    <t>http://www.sqa.org.uk/sqa/42887.html</t>
  </si>
  <si>
    <t>Number of Higher Level Mathematics Entries</t>
    <phoneticPr fontId="3" type="noConversion"/>
  </si>
  <si>
    <t>Total Entries</t>
  </si>
  <si>
    <t>Higher Level Mathematics Entries as Proportion of Total Entries</t>
  </si>
  <si>
    <t>Higher Level Mathematics Entries as Proportion of English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</si>
</sst>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0"/>
      <name val="Verdana"/>
    </font>
    <font>
      <b/>
      <sz val="10"/>
      <name val="Verdana"/>
    </font>
    <font>
      <sz val="8"/>
      <name val="Verdana"/>
    </font>
    <font>
      <b/>
      <sz val="18"/>
      <color theme="3"/>
      <name val="Cambri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2" borderId="1" xfId="0" applyNumberForma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8"/>
  <sheetViews>
    <sheetView tabSelected="1" workbookViewId="0">
      <pane xSplit="1" ySplit="1" topLeftCell="AM2" activePane="bottomRight" state="frozen"/>
      <selection pane="topRight" activeCell="B1" sqref="B1"/>
      <selection pane="bottomLeft" activeCell="A2" sqref="A2"/>
      <selection pane="bottomRight" activeCell="F7" sqref="F7"/>
    </sheetView>
  </sheetViews>
  <sheetFormatPr baseColWidth="10" defaultRowHeight="13" x14ac:dyDescent="0"/>
  <cols>
    <col min="1" max="1" width="36.85546875" style="7" customWidth="1"/>
    <col min="2" max="5" width="5.85546875" style="7" customWidth="1"/>
    <col min="6" max="27" width="7.140625" style="7" customWidth="1"/>
    <col min="28" max="51" width="6.85546875" style="1" customWidth="1"/>
  </cols>
  <sheetData>
    <row r="1" spans="1:52" s="7" customFormat="1">
      <c r="B1" s="8">
        <v>1960</v>
      </c>
      <c r="C1" s="8">
        <v>1961</v>
      </c>
      <c r="D1" s="8">
        <v>1962</v>
      </c>
      <c r="E1" s="8">
        <v>1963</v>
      </c>
      <c r="F1" s="8">
        <v>1964</v>
      </c>
      <c r="G1" s="8">
        <v>1965</v>
      </c>
      <c r="H1" s="8">
        <v>1966</v>
      </c>
      <c r="I1" s="8">
        <v>1967</v>
      </c>
      <c r="J1" s="8">
        <v>1968</v>
      </c>
      <c r="K1" s="8">
        <v>1969</v>
      </c>
      <c r="L1" s="8">
        <v>1970</v>
      </c>
      <c r="M1" s="8">
        <v>1971</v>
      </c>
      <c r="N1" s="8">
        <v>1972</v>
      </c>
      <c r="O1" s="8">
        <v>1973</v>
      </c>
      <c r="P1" s="8">
        <v>1974</v>
      </c>
      <c r="Q1" s="8">
        <v>1975</v>
      </c>
      <c r="R1" s="8">
        <v>1976</v>
      </c>
      <c r="S1" s="8">
        <v>1977</v>
      </c>
      <c r="T1" s="8">
        <v>1978</v>
      </c>
      <c r="U1" s="8">
        <v>1979</v>
      </c>
      <c r="V1" s="8">
        <v>1980</v>
      </c>
      <c r="W1" s="8">
        <v>1981</v>
      </c>
      <c r="X1" s="8">
        <v>1982</v>
      </c>
      <c r="Y1" s="8">
        <v>1983</v>
      </c>
      <c r="Z1" s="8">
        <v>1984</v>
      </c>
      <c r="AA1" s="8">
        <v>1985</v>
      </c>
      <c r="AB1" s="8">
        <v>1986</v>
      </c>
      <c r="AC1" s="8">
        <v>1987</v>
      </c>
      <c r="AD1" s="8">
        <v>1988</v>
      </c>
      <c r="AE1" s="8">
        <v>1989</v>
      </c>
      <c r="AF1" s="8">
        <v>1990</v>
      </c>
      <c r="AG1" s="8">
        <v>1991</v>
      </c>
      <c r="AH1" s="8">
        <v>1992</v>
      </c>
      <c r="AI1" s="8">
        <v>1993</v>
      </c>
      <c r="AJ1" s="8">
        <v>1994</v>
      </c>
      <c r="AK1" s="8">
        <v>1995</v>
      </c>
      <c r="AL1" s="8">
        <v>1996</v>
      </c>
      <c r="AM1" s="8">
        <v>1997</v>
      </c>
      <c r="AN1" s="8">
        <v>1998</v>
      </c>
      <c r="AO1" s="8">
        <v>1999</v>
      </c>
      <c r="AP1" s="8">
        <v>2000</v>
      </c>
      <c r="AQ1" s="8">
        <v>2001</v>
      </c>
      <c r="AR1" s="8">
        <v>2002</v>
      </c>
      <c r="AS1" s="8">
        <v>2003</v>
      </c>
      <c r="AT1" s="8">
        <v>2004</v>
      </c>
      <c r="AU1" s="8">
        <v>2005</v>
      </c>
      <c r="AV1" s="8">
        <v>2006</v>
      </c>
      <c r="AW1" s="8">
        <v>2007</v>
      </c>
      <c r="AX1" s="8">
        <v>2008</v>
      </c>
      <c r="AY1" s="8">
        <v>2009</v>
      </c>
      <c r="AZ1" s="8">
        <v>2010</v>
      </c>
    </row>
    <row r="2" spans="1:52">
      <c r="A2" s="7" t="s">
        <v>0</v>
      </c>
      <c r="AB2" s="1">
        <v>23437</v>
      </c>
      <c r="AC2" s="1">
        <v>21454</v>
      </c>
      <c r="AD2" s="1">
        <v>21251</v>
      </c>
      <c r="AE2" s="1">
        <v>20053</v>
      </c>
      <c r="AF2" s="1">
        <v>15889</v>
      </c>
      <c r="AG2" s="1">
        <v>6932</v>
      </c>
      <c r="AH2" s="1">
        <v>2031</v>
      </c>
      <c r="AI2" s="1">
        <v>466</v>
      </c>
    </row>
    <row r="3" spans="1:52">
      <c r="A3" s="7" t="s">
        <v>1</v>
      </c>
      <c r="AB3" s="1">
        <v>14775</v>
      </c>
      <c r="AC3" s="1">
        <v>13519</v>
      </c>
      <c r="AD3" s="1">
        <v>13401</v>
      </c>
      <c r="AE3" s="1">
        <v>13104</v>
      </c>
      <c r="AF3" s="1">
        <v>10166</v>
      </c>
      <c r="AG3" s="1">
        <v>4116</v>
      </c>
      <c r="AH3" s="1">
        <v>1221</v>
      </c>
      <c r="AI3" s="1">
        <v>177</v>
      </c>
    </row>
    <row r="4" spans="1:52">
      <c r="A4" s="7" t="s">
        <v>2</v>
      </c>
      <c r="AB4" s="5">
        <f t="shared" ref="AB4:AH4" si="0">AB3/AB2*100</f>
        <v>63.041344882024156</v>
      </c>
      <c r="AC4" s="5">
        <f t="shared" si="0"/>
        <v>63.013890183648734</v>
      </c>
      <c r="AD4" s="5">
        <f t="shared" si="0"/>
        <v>63.060561855912667</v>
      </c>
      <c r="AE4" s="5">
        <f t="shared" si="0"/>
        <v>65.346830898119975</v>
      </c>
      <c r="AF4" s="5">
        <f t="shared" si="0"/>
        <v>63.981370759645039</v>
      </c>
      <c r="AG4" s="5">
        <f t="shared" si="0"/>
        <v>59.376803231390653</v>
      </c>
      <c r="AH4" s="5">
        <f t="shared" si="0"/>
        <v>60.118168389955684</v>
      </c>
      <c r="AI4" s="5">
        <f>AI3/AI2*100</f>
        <v>37.982832618025753</v>
      </c>
    </row>
    <row r="6" spans="1:52">
      <c r="A6" s="7" t="s">
        <v>3</v>
      </c>
      <c r="AC6" s="1">
        <v>415</v>
      </c>
      <c r="AD6" s="1">
        <v>864</v>
      </c>
      <c r="AE6" s="1">
        <v>1498</v>
      </c>
      <c r="AF6" s="1">
        <v>4289</v>
      </c>
      <c r="AG6" s="1">
        <v>12064</v>
      </c>
      <c r="AH6" s="1">
        <v>17081</v>
      </c>
      <c r="AI6" s="1">
        <v>19089</v>
      </c>
      <c r="AJ6" s="1">
        <v>19730</v>
      </c>
      <c r="AK6" s="1">
        <v>20262</v>
      </c>
      <c r="AL6" s="1">
        <v>20375</v>
      </c>
      <c r="AM6" s="1">
        <v>20469</v>
      </c>
      <c r="AN6" s="1">
        <v>20221</v>
      </c>
      <c r="AO6" s="1">
        <v>20038</v>
      </c>
      <c r="AP6" s="1">
        <v>732</v>
      </c>
    </row>
    <row r="7" spans="1:52">
      <c r="A7" s="7" t="s">
        <v>4</v>
      </c>
      <c r="AC7" s="1">
        <v>278</v>
      </c>
      <c r="AD7" s="1">
        <v>565</v>
      </c>
      <c r="AE7" s="1">
        <v>1030</v>
      </c>
      <c r="AF7" s="1">
        <v>2914</v>
      </c>
      <c r="AG7" s="1">
        <v>8310</v>
      </c>
      <c r="AH7" s="1">
        <v>11802</v>
      </c>
      <c r="AI7" s="1">
        <v>13162</v>
      </c>
      <c r="AJ7" s="1">
        <v>13276</v>
      </c>
      <c r="AK7" s="1">
        <v>13574</v>
      </c>
      <c r="AL7" s="1">
        <v>13692</v>
      </c>
      <c r="AM7" s="1">
        <v>13888</v>
      </c>
      <c r="AN7" s="1">
        <v>13809</v>
      </c>
      <c r="AO7" s="1">
        <v>13781</v>
      </c>
      <c r="AP7" s="1">
        <v>492</v>
      </c>
    </row>
    <row r="8" spans="1:52">
      <c r="A8" s="7" t="s">
        <v>5</v>
      </c>
      <c r="AB8" s="3"/>
      <c r="AC8" s="3">
        <f t="shared" ref="AC8:AD8" si="1">AC7/AC6*100</f>
        <v>66.987951807228924</v>
      </c>
      <c r="AD8" s="3">
        <f t="shared" si="1"/>
        <v>65.393518518518519</v>
      </c>
      <c r="AE8" s="3">
        <f>AE7/AE6*100</f>
        <v>68.758344459279044</v>
      </c>
      <c r="AF8" s="3">
        <f>AF7/AF6*100</f>
        <v>67.941245045465152</v>
      </c>
      <c r="AG8" s="3">
        <f>AG7/AG6*100</f>
        <v>68.882625994694962</v>
      </c>
      <c r="AH8" s="3">
        <f t="shared" ref="AH8:AP8" si="2">AH7/AH6*100</f>
        <v>69.094315321117023</v>
      </c>
      <c r="AI8" s="3">
        <f t="shared" si="2"/>
        <v>68.950704594268956</v>
      </c>
      <c r="AJ8" s="3">
        <f t="shared" si="2"/>
        <v>67.2883933096807</v>
      </c>
      <c r="AK8" s="3">
        <f t="shared" si="2"/>
        <v>66.992399565689468</v>
      </c>
      <c r="AL8" s="3">
        <f t="shared" si="2"/>
        <v>67.2</v>
      </c>
      <c r="AM8" s="3">
        <f t="shared" si="2"/>
        <v>67.848942302994772</v>
      </c>
      <c r="AN8" s="3">
        <f t="shared" si="2"/>
        <v>68.290391177488758</v>
      </c>
      <c r="AO8" s="3">
        <f>AO7/AO6*100</f>
        <v>68.774328775326879</v>
      </c>
      <c r="AP8" s="3">
        <f t="shared" si="2"/>
        <v>67.213114754098356</v>
      </c>
    </row>
    <row r="9" spans="1:52"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52">
      <c r="A10" s="7" t="s">
        <v>6</v>
      </c>
      <c r="AP10" s="1">
        <v>20050</v>
      </c>
      <c r="AQ10" s="1">
        <v>20730</v>
      </c>
      <c r="AR10" s="1">
        <v>19790</v>
      </c>
      <c r="AS10" s="2">
        <v>19966</v>
      </c>
      <c r="AT10" s="2">
        <v>19394</v>
      </c>
      <c r="AU10" s="2">
        <v>19181</v>
      </c>
      <c r="AV10" s="2">
        <v>18623</v>
      </c>
      <c r="AW10" s="2">
        <v>18792</v>
      </c>
      <c r="AX10" s="1">
        <v>19636</v>
      </c>
      <c r="AY10" s="1">
        <v>19638</v>
      </c>
      <c r="AZ10" s="1">
        <v>20657</v>
      </c>
    </row>
    <row r="11" spans="1:52">
      <c r="A11" s="7" t="s">
        <v>7</v>
      </c>
      <c r="AP11" s="1">
        <v>14304</v>
      </c>
      <c r="AQ11" s="1">
        <v>14536</v>
      </c>
      <c r="AR11" s="1">
        <v>13055</v>
      </c>
      <c r="AS11" s="2">
        <v>13473</v>
      </c>
      <c r="AT11" s="2">
        <v>13284</v>
      </c>
      <c r="AU11" s="2">
        <v>13229</v>
      </c>
      <c r="AV11" s="2">
        <v>13064</v>
      </c>
      <c r="AW11" s="2">
        <v>13263</v>
      </c>
      <c r="AX11" s="1">
        <v>14176</v>
      </c>
      <c r="AY11" s="1">
        <v>13806</v>
      </c>
      <c r="AZ11" s="1">
        <v>14955</v>
      </c>
    </row>
    <row r="12" spans="1:52">
      <c r="A12" s="7" t="s">
        <v>8</v>
      </c>
      <c r="AP12" s="3">
        <f t="shared" ref="AP12:AW12" si="3">AP11/AP10*100</f>
        <v>71.341645885286781</v>
      </c>
      <c r="AQ12" s="3">
        <f t="shared" si="3"/>
        <v>70.120598166907868</v>
      </c>
      <c r="AR12" s="3">
        <f t="shared" si="3"/>
        <v>65.967660434562916</v>
      </c>
      <c r="AS12" s="4">
        <f t="shared" si="3"/>
        <v>67.479715516377851</v>
      </c>
      <c r="AT12" s="3">
        <f t="shared" si="3"/>
        <v>68.495410951840768</v>
      </c>
      <c r="AU12" s="3">
        <f t="shared" si="3"/>
        <v>68.969292529065214</v>
      </c>
      <c r="AV12" s="3">
        <f t="shared" si="3"/>
        <v>70.149814745207536</v>
      </c>
      <c r="AW12" s="3">
        <f t="shared" si="3"/>
        <v>70.577905491698601</v>
      </c>
      <c r="AX12" s="3">
        <f>AX11/AX10*100</f>
        <v>72.193929517213292</v>
      </c>
      <c r="AY12" s="3">
        <f>AY11/AY10*100</f>
        <v>70.302474793767189</v>
      </c>
      <c r="AZ12" s="6">
        <f>AZ11/AZ10*100</f>
        <v>72.396766229365355</v>
      </c>
    </row>
    <row r="13" spans="1:52">
      <c r="AS13" s="2"/>
      <c r="AT13" s="2"/>
      <c r="AU13" s="2"/>
      <c r="AV13" s="2"/>
      <c r="AW13" s="2"/>
    </row>
    <row r="14" spans="1:52">
      <c r="A14" s="7" t="s">
        <v>9</v>
      </c>
      <c r="AQ14" s="1">
        <v>152</v>
      </c>
      <c r="AR14" s="1">
        <v>416</v>
      </c>
      <c r="AS14" s="2">
        <v>320</v>
      </c>
      <c r="AT14" s="2">
        <v>234</v>
      </c>
      <c r="AU14" s="2">
        <v>314</v>
      </c>
      <c r="AV14" s="2">
        <v>281</v>
      </c>
      <c r="AW14" s="2">
        <v>285</v>
      </c>
      <c r="AX14" s="1">
        <v>305</v>
      </c>
      <c r="AY14" s="1">
        <v>305</v>
      </c>
      <c r="AZ14" s="1">
        <v>263</v>
      </c>
    </row>
    <row r="15" spans="1:52">
      <c r="A15" s="7" t="s">
        <v>10</v>
      </c>
      <c r="AQ15" s="1">
        <v>118</v>
      </c>
      <c r="AR15" s="1">
        <v>278</v>
      </c>
      <c r="AS15" s="2">
        <v>225</v>
      </c>
      <c r="AT15" s="2">
        <v>161</v>
      </c>
      <c r="AU15" s="2">
        <v>231</v>
      </c>
      <c r="AV15" s="2">
        <v>189</v>
      </c>
      <c r="AW15" s="2">
        <v>205</v>
      </c>
      <c r="AX15" s="1">
        <v>237</v>
      </c>
      <c r="AY15" s="1">
        <v>230</v>
      </c>
      <c r="AZ15" s="1">
        <v>190</v>
      </c>
    </row>
    <row r="16" spans="1:52">
      <c r="A16" s="7" t="s">
        <v>11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>
        <f t="shared" ref="AQ16:AW16" si="4">AQ15/AQ14*100</f>
        <v>77.631578947368425</v>
      </c>
      <c r="AR16" s="3">
        <f t="shared" si="4"/>
        <v>66.826923076923066</v>
      </c>
      <c r="AS16" s="4">
        <f t="shared" si="4"/>
        <v>70.3125</v>
      </c>
      <c r="AT16" s="3">
        <f t="shared" si="4"/>
        <v>68.803418803418808</v>
      </c>
      <c r="AU16" s="3">
        <f t="shared" si="4"/>
        <v>73.566878980891715</v>
      </c>
      <c r="AV16" s="3">
        <f t="shared" si="4"/>
        <v>67.259786476868328</v>
      </c>
      <c r="AW16" s="3">
        <f t="shared" si="4"/>
        <v>71.929824561403507</v>
      </c>
      <c r="AX16" s="3">
        <f>AX15/AX14*100</f>
        <v>77.704918032786878</v>
      </c>
      <c r="AY16" s="3">
        <f>AY15/AY14*100</f>
        <v>75.409836065573771</v>
      </c>
      <c r="AZ16" s="6">
        <f>AZ15/AZ14*100</f>
        <v>72.243346007604558</v>
      </c>
    </row>
    <row r="17" spans="1:52">
      <c r="A17" s="7" t="s">
        <v>12</v>
      </c>
      <c r="AQ17" s="1">
        <v>1199</v>
      </c>
      <c r="AR17" s="1">
        <v>2553</v>
      </c>
      <c r="AS17" s="2">
        <v>2519</v>
      </c>
      <c r="AT17" s="2">
        <v>2416</v>
      </c>
      <c r="AU17" s="2">
        <v>2318</v>
      </c>
      <c r="AV17" s="2">
        <v>2598</v>
      </c>
      <c r="AW17" s="2">
        <v>2484</v>
      </c>
      <c r="AX17" s="1">
        <v>2752</v>
      </c>
      <c r="AY17" s="1">
        <v>3027</v>
      </c>
      <c r="AZ17" s="1">
        <v>2936</v>
      </c>
    </row>
    <row r="18" spans="1:52">
      <c r="A18" s="7" t="s">
        <v>13</v>
      </c>
      <c r="AQ18" s="1">
        <v>790</v>
      </c>
      <c r="AR18" s="1">
        <v>1476</v>
      </c>
      <c r="AS18" s="2">
        <v>1529</v>
      </c>
      <c r="AT18" s="2">
        <v>1633</v>
      </c>
      <c r="AU18" s="2">
        <v>1549</v>
      </c>
      <c r="AV18" s="2">
        <v>1703</v>
      </c>
      <c r="AW18" s="2">
        <v>1676</v>
      </c>
      <c r="AX18" s="1">
        <v>1939</v>
      </c>
      <c r="AY18" s="1">
        <v>2053</v>
      </c>
      <c r="AZ18" s="1">
        <v>1978</v>
      </c>
    </row>
    <row r="19" spans="1:52">
      <c r="A19" s="7" t="s">
        <v>14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>
        <f t="shared" ref="AQ19:AW19" si="5">AQ18/AQ17*100</f>
        <v>65.888240200166805</v>
      </c>
      <c r="AR19" s="3">
        <f t="shared" si="5"/>
        <v>57.814336075205638</v>
      </c>
      <c r="AS19" s="4">
        <f t="shared" si="5"/>
        <v>60.698689956331876</v>
      </c>
      <c r="AT19" s="3">
        <f t="shared" si="5"/>
        <v>67.591059602649011</v>
      </c>
      <c r="AU19" s="3">
        <f t="shared" si="5"/>
        <v>66.824849007765323</v>
      </c>
      <c r="AV19" s="3">
        <f t="shared" si="5"/>
        <v>65.550423402617398</v>
      </c>
      <c r="AW19" s="3">
        <f t="shared" si="5"/>
        <v>67.471819645732694</v>
      </c>
      <c r="AX19" s="3">
        <f>AX18/AX17*100</f>
        <v>70.457848837209298</v>
      </c>
      <c r="AY19" s="3">
        <f>AY18/AY17*100</f>
        <v>67.822926990419546</v>
      </c>
      <c r="AZ19" s="6">
        <f>AZ18/AZ17*100</f>
        <v>67.370572207084464</v>
      </c>
    </row>
    <row r="20" spans="1:52">
      <c r="AU20" s="2"/>
      <c r="AV20" s="2"/>
    </row>
    <row r="22" spans="1:52">
      <c r="A22" s="7" t="s">
        <v>15</v>
      </c>
      <c r="AB22" s="1">
        <f>AB10+AB6+AB2</f>
        <v>23437</v>
      </c>
      <c r="AC22" s="1">
        <f t="shared" ref="AC22:AY22" si="6">AC10+AC6+AC2</f>
        <v>21869</v>
      </c>
      <c r="AD22" s="1">
        <f t="shared" si="6"/>
        <v>22115</v>
      </c>
      <c r="AE22" s="1">
        <f t="shared" si="6"/>
        <v>21551</v>
      </c>
      <c r="AF22" s="1">
        <f t="shared" si="6"/>
        <v>20178</v>
      </c>
      <c r="AG22" s="1">
        <f t="shared" si="6"/>
        <v>18996</v>
      </c>
      <c r="AH22" s="1">
        <f t="shared" si="6"/>
        <v>19112</v>
      </c>
      <c r="AI22" s="1">
        <f t="shared" si="6"/>
        <v>19555</v>
      </c>
      <c r="AJ22" s="1">
        <f t="shared" si="6"/>
        <v>19730</v>
      </c>
      <c r="AK22" s="1">
        <f t="shared" si="6"/>
        <v>20262</v>
      </c>
      <c r="AL22" s="1">
        <f t="shared" si="6"/>
        <v>20375</v>
      </c>
      <c r="AM22" s="1">
        <f t="shared" si="6"/>
        <v>20469</v>
      </c>
      <c r="AN22" s="1">
        <f t="shared" si="6"/>
        <v>20221</v>
      </c>
      <c r="AO22" s="1">
        <f t="shared" si="6"/>
        <v>20038</v>
      </c>
      <c r="AP22" s="1">
        <f t="shared" si="6"/>
        <v>20782</v>
      </c>
      <c r="AQ22" s="1">
        <f t="shared" si="6"/>
        <v>20730</v>
      </c>
      <c r="AR22" s="1">
        <f t="shared" si="6"/>
        <v>19790</v>
      </c>
      <c r="AS22" s="1">
        <f t="shared" si="6"/>
        <v>19966</v>
      </c>
      <c r="AT22" s="1">
        <f t="shared" si="6"/>
        <v>19394</v>
      </c>
      <c r="AU22" s="1">
        <f t="shared" si="6"/>
        <v>19181</v>
      </c>
      <c r="AV22" s="1">
        <f t="shared" si="6"/>
        <v>18623</v>
      </c>
      <c r="AW22" s="1">
        <f t="shared" si="6"/>
        <v>18792</v>
      </c>
      <c r="AX22" s="1">
        <f t="shared" si="6"/>
        <v>19636</v>
      </c>
      <c r="AY22" s="1">
        <f t="shared" si="6"/>
        <v>19638</v>
      </c>
      <c r="AZ22" s="1">
        <v>20657</v>
      </c>
    </row>
    <row r="23" spans="1:52">
      <c r="A23" s="7" t="s">
        <v>16</v>
      </c>
      <c r="AB23" s="1">
        <f>AB11+AB7+AB3</f>
        <v>14775</v>
      </c>
      <c r="AC23" s="1">
        <f t="shared" ref="AC23:AY23" si="7">AC11+AC7+AC3</f>
        <v>13797</v>
      </c>
      <c r="AD23" s="1">
        <f t="shared" si="7"/>
        <v>13966</v>
      </c>
      <c r="AE23" s="1">
        <f t="shared" si="7"/>
        <v>14134</v>
      </c>
      <c r="AF23" s="1">
        <f t="shared" si="7"/>
        <v>13080</v>
      </c>
      <c r="AG23" s="1">
        <f t="shared" si="7"/>
        <v>12426</v>
      </c>
      <c r="AH23" s="1">
        <f t="shared" si="7"/>
        <v>13023</v>
      </c>
      <c r="AI23" s="1">
        <f t="shared" si="7"/>
        <v>13339</v>
      </c>
      <c r="AJ23" s="1">
        <f t="shared" si="7"/>
        <v>13276</v>
      </c>
      <c r="AK23" s="1">
        <f t="shared" si="7"/>
        <v>13574</v>
      </c>
      <c r="AL23" s="1">
        <f t="shared" si="7"/>
        <v>13692</v>
      </c>
      <c r="AM23" s="1">
        <f t="shared" si="7"/>
        <v>13888</v>
      </c>
      <c r="AN23" s="1">
        <f t="shared" si="7"/>
        <v>13809</v>
      </c>
      <c r="AO23" s="1">
        <f t="shared" si="7"/>
        <v>13781</v>
      </c>
      <c r="AP23" s="1">
        <f t="shared" si="7"/>
        <v>14796</v>
      </c>
      <c r="AQ23" s="1">
        <f t="shared" si="7"/>
        <v>14536</v>
      </c>
      <c r="AR23" s="1">
        <f t="shared" si="7"/>
        <v>13055</v>
      </c>
      <c r="AS23" s="1">
        <f t="shared" si="7"/>
        <v>13473</v>
      </c>
      <c r="AT23" s="1">
        <f t="shared" si="7"/>
        <v>13284</v>
      </c>
      <c r="AU23" s="1">
        <f t="shared" si="7"/>
        <v>13229</v>
      </c>
      <c r="AV23" s="1">
        <f t="shared" si="7"/>
        <v>13064</v>
      </c>
      <c r="AW23" s="1">
        <f t="shared" si="7"/>
        <v>13263</v>
      </c>
      <c r="AX23" s="1">
        <f t="shared" si="7"/>
        <v>14176</v>
      </c>
      <c r="AY23" s="1">
        <f t="shared" si="7"/>
        <v>13806</v>
      </c>
      <c r="AZ23" s="1">
        <v>14955</v>
      </c>
    </row>
    <row r="24" spans="1:52">
      <c r="A24" s="7" t="s">
        <v>17</v>
      </c>
      <c r="AB24" s="6">
        <f>AB23/AB22*100</f>
        <v>63.041344882024156</v>
      </c>
      <c r="AC24" s="6">
        <f t="shared" ref="AC24:AY24" si="8">AC23/AC22*100</f>
        <v>63.089304494947186</v>
      </c>
      <c r="AD24" s="6">
        <f t="shared" si="8"/>
        <v>63.151706986208453</v>
      </c>
      <c r="AE24" s="6">
        <f t="shared" si="8"/>
        <v>65.583963621177674</v>
      </c>
      <c r="AF24" s="6">
        <f t="shared" si="8"/>
        <v>64.823074635741889</v>
      </c>
      <c r="AG24" s="6">
        <f t="shared" si="8"/>
        <v>65.413771320277959</v>
      </c>
      <c r="AH24" s="6">
        <f t="shared" si="8"/>
        <v>68.140435328589362</v>
      </c>
      <c r="AI24" s="6">
        <f t="shared" si="8"/>
        <v>68.212733316287398</v>
      </c>
      <c r="AJ24" s="6">
        <f t="shared" si="8"/>
        <v>67.2883933096807</v>
      </c>
      <c r="AK24" s="6">
        <f t="shared" si="8"/>
        <v>66.992399565689468</v>
      </c>
      <c r="AL24" s="6">
        <f t="shared" si="8"/>
        <v>67.2</v>
      </c>
      <c r="AM24" s="6">
        <f t="shared" si="8"/>
        <v>67.848942302994772</v>
      </c>
      <c r="AN24" s="6">
        <f t="shared" si="8"/>
        <v>68.290391177488758</v>
      </c>
      <c r="AO24" s="6">
        <f t="shared" si="8"/>
        <v>68.774328775326879</v>
      </c>
      <c r="AP24" s="6">
        <f t="shared" si="8"/>
        <v>71.196227504571269</v>
      </c>
      <c r="AQ24" s="6">
        <f t="shared" si="8"/>
        <v>70.120598166907868</v>
      </c>
      <c r="AR24" s="6">
        <f t="shared" si="8"/>
        <v>65.967660434562916</v>
      </c>
      <c r="AS24" s="6">
        <f t="shared" si="8"/>
        <v>67.479715516377851</v>
      </c>
      <c r="AT24" s="6">
        <f t="shared" si="8"/>
        <v>68.495410951840768</v>
      </c>
      <c r="AU24" s="6">
        <f t="shared" si="8"/>
        <v>68.969292529065214</v>
      </c>
      <c r="AV24" s="6">
        <f t="shared" si="8"/>
        <v>70.149814745207536</v>
      </c>
      <c r="AW24" s="6">
        <f t="shared" si="8"/>
        <v>70.577905491698601</v>
      </c>
      <c r="AX24" s="6">
        <f t="shared" si="8"/>
        <v>72.193929517213292</v>
      </c>
      <c r="AY24" s="6">
        <f t="shared" si="8"/>
        <v>70.302474793767189</v>
      </c>
      <c r="AZ24" s="6">
        <f>AZ23/AZ22*100</f>
        <v>72.396766229365355</v>
      </c>
    </row>
    <row r="27" spans="1:52">
      <c r="A27" s="7" t="s">
        <v>18</v>
      </c>
    </row>
    <row r="28" spans="1:52">
      <c r="A28" s="7" t="s">
        <v>19</v>
      </c>
    </row>
  </sheetData>
  <phoneticPr fontId="2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selection sqref="A1:D51"/>
    </sheetView>
  </sheetViews>
  <sheetFormatPr baseColWidth="10" defaultRowHeight="13" x14ac:dyDescent="0"/>
  <sheetData>
    <row r="1" spans="1:6" ht="78">
      <c r="A1" s="9"/>
      <c r="B1" s="10" t="s">
        <v>22</v>
      </c>
      <c r="C1" s="11" t="s">
        <v>20</v>
      </c>
      <c r="D1" s="9" t="s">
        <v>23</v>
      </c>
      <c r="E1" s="9" t="s">
        <v>21</v>
      </c>
      <c r="F1" s="9"/>
    </row>
    <row r="2" spans="1:6">
      <c r="A2">
        <v>1960</v>
      </c>
      <c r="B2" s="10"/>
      <c r="C2" s="11"/>
      <c r="D2" s="9"/>
      <c r="E2" s="9"/>
      <c r="F2" s="9"/>
    </row>
    <row r="3" spans="1:6">
      <c r="A3">
        <v>1961</v>
      </c>
      <c r="B3" s="10"/>
      <c r="C3" s="11"/>
      <c r="D3" s="9"/>
      <c r="E3" s="9"/>
      <c r="F3" s="9"/>
    </row>
    <row r="4" spans="1:6">
      <c r="A4">
        <v>1962</v>
      </c>
      <c r="B4" s="6">
        <v>13.2</v>
      </c>
      <c r="C4" s="12"/>
      <c r="D4" s="6">
        <v>13.2</v>
      </c>
      <c r="E4" s="13"/>
    </row>
    <row r="5" spans="1:6">
      <c r="A5">
        <v>1963</v>
      </c>
      <c r="B5" s="6">
        <v>13.1</v>
      </c>
      <c r="C5" s="12"/>
      <c r="D5" s="6">
        <v>13.246096654275092</v>
      </c>
      <c r="E5" s="13"/>
    </row>
    <row r="6" spans="1:6">
      <c r="A6">
        <v>1964</v>
      </c>
      <c r="B6" s="6">
        <v>12.7</v>
      </c>
      <c r="C6" s="12"/>
      <c r="D6" s="6">
        <v>12.841635687732341</v>
      </c>
      <c r="E6" s="13"/>
    </row>
    <row r="7" spans="1:6">
      <c r="A7">
        <v>1965</v>
      </c>
      <c r="B7" s="6">
        <v>12.1</v>
      </c>
      <c r="C7" s="12"/>
      <c r="D7" s="6">
        <v>12.561832061068701</v>
      </c>
      <c r="E7" s="13"/>
    </row>
    <row r="8" spans="1:6">
      <c r="A8">
        <v>1966</v>
      </c>
      <c r="B8" s="6">
        <v>11.8</v>
      </c>
      <c r="C8" s="12"/>
      <c r="D8" s="6">
        <v>12.111698113207547</v>
      </c>
      <c r="E8" s="13"/>
    </row>
    <row r="9" spans="1:6">
      <c r="A9">
        <v>1967</v>
      </c>
      <c r="B9" s="6">
        <v>11.6</v>
      </c>
      <c r="C9" s="12">
        <f>B9*E9/100</f>
        <v>3013.9120000000003</v>
      </c>
      <c r="D9" s="6">
        <v>11.951515151515151</v>
      </c>
      <c r="E9" s="13">
        <v>25982</v>
      </c>
    </row>
    <row r="10" spans="1:6">
      <c r="A10">
        <v>1968</v>
      </c>
      <c r="B10" s="6">
        <v>11</v>
      </c>
      <c r="C10" s="12">
        <f t="shared" ref="C10:C51" si="0">B10*E10/100</f>
        <v>3135.6321839080465</v>
      </c>
      <c r="D10" s="6">
        <v>11.376425855513308</v>
      </c>
      <c r="E10" s="13">
        <v>28505.747126436785</v>
      </c>
    </row>
    <row r="11" spans="1:6">
      <c r="A11">
        <v>1969</v>
      </c>
      <c r="B11" s="6">
        <v>11</v>
      </c>
      <c r="C11" s="12">
        <f t="shared" si="0"/>
        <v>3416.49</v>
      </c>
      <c r="D11" s="6">
        <v>11.596899224806201</v>
      </c>
      <c r="E11" s="13">
        <v>31059</v>
      </c>
    </row>
    <row r="12" spans="1:6">
      <c r="A12">
        <v>1970</v>
      </c>
      <c r="B12" s="6">
        <v>11.5</v>
      </c>
      <c r="C12" s="12">
        <f t="shared" si="0"/>
        <v>3879.0650000000001</v>
      </c>
      <c r="D12" s="6">
        <v>12.412698412698411</v>
      </c>
      <c r="E12" s="13">
        <v>33731</v>
      </c>
    </row>
    <row r="13" spans="1:6">
      <c r="A13">
        <v>1971</v>
      </c>
      <c r="B13" s="6">
        <v>11.4</v>
      </c>
      <c r="C13" s="12">
        <f t="shared" si="0"/>
        <v>4375.4340000000002</v>
      </c>
      <c r="D13" s="6">
        <v>12.453012048192772</v>
      </c>
      <c r="E13" s="13">
        <v>38381</v>
      </c>
    </row>
    <row r="14" spans="1:6">
      <c r="A14">
        <v>1972</v>
      </c>
      <c r="B14" s="6">
        <v>12</v>
      </c>
      <c r="C14" s="12">
        <f t="shared" si="0"/>
        <v>4605.72</v>
      </c>
      <c r="D14" s="6">
        <v>13.268292682926827</v>
      </c>
      <c r="E14" s="13">
        <v>38381</v>
      </c>
    </row>
    <row r="15" spans="1:6">
      <c r="A15">
        <v>1973</v>
      </c>
      <c r="B15" s="6">
        <v>11.7</v>
      </c>
      <c r="C15" s="12">
        <f t="shared" si="0"/>
        <v>6162.39</v>
      </c>
      <c r="D15" s="6">
        <v>12.98938775510204</v>
      </c>
      <c r="E15" s="13">
        <v>52670</v>
      </c>
    </row>
    <row r="16" spans="1:6">
      <c r="A16">
        <v>1974</v>
      </c>
      <c r="B16" s="6">
        <v>11.9</v>
      </c>
      <c r="C16" s="12">
        <f t="shared" si="0"/>
        <v>6260.1140000000005</v>
      </c>
      <c r="D16" s="6">
        <v>13.157723577235771</v>
      </c>
      <c r="E16" s="13">
        <v>52606</v>
      </c>
    </row>
    <row r="17" spans="1:5">
      <c r="A17">
        <v>1975</v>
      </c>
      <c r="B17" s="6">
        <v>12.2</v>
      </c>
      <c r="C17" s="12">
        <f t="shared" si="0"/>
        <v>6286.5379999999996</v>
      </c>
      <c r="D17" s="6">
        <v>13.712396694214876</v>
      </c>
      <c r="E17" s="13">
        <v>51529</v>
      </c>
    </row>
    <row r="18" spans="1:5">
      <c r="A18">
        <v>1976</v>
      </c>
      <c r="B18" s="6">
        <v>12.1</v>
      </c>
      <c r="C18" s="12">
        <f t="shared" si="0"/>
        <v>6447.7508650519039</v>
      </c>
      <c r="D18" s="6">
        <v>13.270967741935483</v>
      </c>
      <c r="E18" s="13">
        <v>53287.19723183391</v>
      </c>
    </row>
    <row r="19" spans="1:5">
      <c r="A19">
        <v>1977</v>
      </c>
      <c r="B19" s="6">
        <v>12.6</v>
      </c>
      <c r="C19" s="12">
        <f t="shared" si="0"/>
        <v>6703.326</v>
      </c>
      <c r="D19" s="6">
        <v>14.045901639344264</v>
      </c>
      <c r="E19" s="13">
        <v>53201</v>
      </c>
    </row>
    <row r="20" spans="1:5">
      <c r="A20">
        <v>1978</v>
      </c>
      <c r="B20" s="6">
        <v>13.6</v>
      </c>
      <c r="C20" s="12">
        <f t="shared" si="0"/>
        <v>6854.1279999999997</v>
      </c>
      <c r="D20" s="6">
        <v>15.542857142857141</v>
      </c>
      <c r="E20" s="13">
        <v>50398</v>
      </c>
    </row>
    <row r="21" spans="1:5">
      <c r="A21">
        <v>1979</v>
      </c>
      <c r="B21" s="6">
        <v>14.1</v>
      </c>
      <c r="C21" s="12">
        <f t="shared" si="0"/>
        <v>7209.6119999999992</v>
      </c>
      <c r="D21" s="6">
        <v>15.979999999999999</v>
      </c>
      <c r="E21" s="13">
        <v>51132</v>
      </c>
    </row>
    <row r="22" spans="1:5">
      <c r="A22">
        <v>1980</v>
      </c>
      <c r="B22" s="6">
        <v>14.4</v>
      </c>
      <c r="C22" s="12">
        <f t="shared" si="0"/>
        <v>7635.4639175257735</v>
      </c>
      <c r="D22" s="6">
        <v>16.526582278481012</v>
      </c>
      <c r="E22" s="13">
        <v>53024.05498281787</v>
      </c>
    </row>
    <row r="23" spans="1:5">
      <c r="A23">
        <v>1981</v>
      </c>
      <c r="B23" s="6">
        <v>14.3</v>
      </c>
      <c r="C23" s="12">
        <f t="shared" si="0"/>
        <v>8127.1190000000006</v>
      </c>
      <c r="D23" s="6">
        <v>16.693562231759657</v>
      </c>
      <c r="E23" s="13">
        <v>56833</v>
      </c>
    </row>
    <row r="24" spans="1:5">
      <c r="A24">
        <v>1982</v>
      </c>
      <c r="B24" s="6">
        <v>14</v>
      </c>
      <c r="C24" s="12">
        <f t="shared" si="0"/>
        <v>8528.1</v>
      </c>
      <c r="D24" s="6">
        <v>16.413793103448274</v>
      </c>
      <c r="E24" s="13">
        <v>60915</v>
      </c>
    </row>
    <row r="25" spans="1:5">
      <c r="A25">
        <v>1983</v>
      </c>
      <c r="B25" s="6">
        <v>14</v>
      </c>
      <c r="C25" s="12">
        <f t="shared" si="0"/>
        <v>8900.92</v>
      </c>
      <c r="D25" s="6">
        <v>16.343347639484975</v>
      </c>
      <c r="E25" s="13">
        <v>63578</v>
      </c>
    </row>
    <row r="26" spans="1:5">
      <c r="A26">
        <v>1984</v>
      </c>
      <c r="B26" s="6">
        <v>14.1</v>
      </c>
      <c r="C26" s="12">
        <f t="shared" si="0"/>
        <v>8741.4359999999997</v>
      </c>
      <c r="D26" s="6">
        <v>16.6025974025974</v>
      </c>
      <c r="E26" s="13">
        <v>61996</v>
      </c>
    </row>
    <row r="27" spans="1:5">
      <c r="A27">
        <v>1985</v>
      </c>
      <c r="B27" s="6">
        <v>14</v>
      </c>
      <c r="C27" s="12">
        <f t="shared" si="0"/>
        <v>8568</v>
      </c>
      <c r="D27" s="6">
        <v>16.556521739130435</v>
      </c>
      <c r="E27" s="13">
        <v>61200</v>
      </c>
    </row>
    <row r="28" spans="1:5">
      <c r="A28">
        <v>1986</v>
      </c>
      <c r="B28" s="6">
        <v>14.1</v>
      </c>
      <c r="C28" s="12">
        <f t="shared" si="0"/>
        <v>8625.8823529411748</v>
      </c>
      <c r="D28" s="6">
        <v>16.250847457627117</v>
      </c>
      <c r="E28" s="13">
        <v>61176.470588235286</v>
      </c>
    </row>
    <row r="29" spans="1:5">
      <c r="A29">
        <v>1987</v>
      </c>
      <c r="B29" s="6">
        <v>13.2</v>
      </c>
      <c r="C29" s="12">
        <f t="shared" si="0"/>
        <v>8140.8178438661698</v>
      </c>
      <c r="D29" s="6">
        <v>15.085714285714284</v>
      </c>
      <c r="E29" s="13">
        <v>61672.862453531598</v>
      </c>
    </row>
    <row r="30" spans="1:5">
      <c r="A30">
        <v>1988</v>
      </c>
      <c r="B30" s="6">
        <v>13</v>
      </c>
      <c r="C30" s="12">
        <f t="shared" si="0"/>
        <v>8253.57</v>
      </c>
      <c r="D30" s="6">
        <v>14.983050847457624</v>
      </c>
      <c r="E30" s="13">
        <v>63489</v>
      </c>
    </row>
    <row r="31" spans="1:5">
      <c r="A31">
        <v>1989</v>
      </c>
      <c r="B31" s="6">
        <v>12.9</v>
      </c>
      <c r="C31" s="12">
        <f t="shared" si="0"/>
        <v>8180.0190000000002</v>
      </c>
      <c r="D31" s="6">
        <v>15.32227074235808</v>
      </c>
      <c r="E31" s="13">
        <v>63411</v>
      </c>
    </row>
    <row r="32" spans="1:5">
      <c r="A32">
        <v>1990</v>
      </c>
      <c r="B32" s="6">
        <v>12.8</v>
      </c>
      <c r="C32" s="12">
        <f t="shared" si="0"/>
        <v>7663.7440000000006</v>
      </c>
      <c r="D32" s="6">
        <v>15.203493449781661</v>
      </c>
      <c r="E32" s="13">
        <v>59873</v>
      </c>
    </row>
    <row r="33" spans="1:5">
      <c r="A33">
        <v>1991</v>
      </c>
      <c r="B33" s="6">
        <v>12.2</v>
      </c>
      <c r="C33" s="12">
        <f t="shared" si="0"/>
        <v>7263.88</v>
      </c>
      <c r="D33" s="6">
        <v>14.618502202643171</v>
      </c>
      <c r="E33" s="13">
        <v>59540</v>
      </c>
    </row>
    <row r="34" spans="1:5">
      <c r="A34">
        <v>1992</v>
      </c>
      <c r="B34" s="6">
        <v>12.1</v>
      </c>
      <c r="C34" s="12">
        <f t="shared" si="0"/>
        <v>7324.9042145593876</v>
      </c>
      <c r="D34" s="6">
        <v>14.892307692307689</v>
      </c>
      <c r="E34" s="13">
        <v>60536.398467432955</v>
      </c>
    </row>
    <row r="35" spans="1:5">
      <c r="A35">
        <v>1993</v>
      </c>
      <c r="B35" s="6">
        <v>12.3</v>
      </c>
      <c r="C35" s="12">
        <f t="shared" si="0"/>
        <v>7558.9650000000001</v>
      </c>
      <c r="D35" s="6">
        <v>15.346788990825686</v>
      </c>
      <c r="E35" s="13">
        <v>61455</v>
      </c>
    </row>
    <row r="36" spans="1:5">
      <c r="A36">
        <v>1994</v>
      </c>
      <c r="B36" s="6">
        <v>12.294735007407592</v>
      </c>
      <c r="C36" s="12">
        <f t="shared" si="0"/>
        <v>7478.2725682556675</v>
      </c>
      <c r="D36" s="6">
        <v>15.675854220769747</v>
      </c>
      <c r="E36" s="13">
        <v>60825</v>
      </c>
    </row>
    <row r="37" spans="1:5">
      <c r="A37">
        <v>1995</v>
      </c>
      <c r="B37" s="6">
        <v>12.585679457117568</v>
      </c>
      <c r="C37" s="12">
        <f t="shared" si="0"/>
        <v>7572.4257589639274</v>
      </c>
      <c r="D37" s="6">
        <v>16.231082314828452</v>
      </c>
      <c r="E37" s="13">
        <v>60167</v>
      </c>
    </row>
    <row r="38" spans="1:5">
      <c r="A38">
        <v>1996</v>
      </c>
      <c r="B38" s="6">
        <v>12.370902423178972</v>
      </c>
      <c r="C38" s="12">
        <f t="shared" si="0"/>
        <v>7535.7352110794709</v>
      </c>
      <c r="D38" s="6">
        <v>16.091286548009638</v>
      </c>
      <c r="E38" s="13">
        <v>60915</v>
      </c>
    </row>
    <row r="39" spans="1:5">
      <c r="A39">
        <v>1997</v>
      </c>
      <c r="B39" s="6">
        <v>12.2349073520621</v>
      </c>
      <c r="C39" s="12">
        <f t="shared" si="0"/>
        <v>7581.1111111110713</v>
      </c>
      <c r="D39" s="6">
        <v>15.912338163422703</v>
      </c>
      <c r="E39" s="13">
        <v>61962.962962962964</v>
      </c>
    </row>
    <row r="40" spans="1:5">
      <c r="A40">
        <v>1998</v>
      </c>
      <c r="B40" s="6">
        <v>12.344932844932799</v>
      </c>
      <c r="C40" s="12">
        <f t="shared" si="0"/>
        <v>7489.2592592592318</v>
      </c>
      <c r="D40" s="6">
        <v>16.101030444964856</v>
      </c>
      <c r="E40" s="13">
        <v>60666.666666666664</v>
      </c>
    </row>
    <row r="41" spans="1:5">
      <c r="A41">
        <v>1999</v>
      </c>
      <c r="B41" s="6">
        <v>12.5</v>
      </c>
      <c r="C41" s="12">
        <f t="shared" si="0"/>
        <v>7449.0740740740739</v>
      </c>
      <c r="D41" s="6">
        <v>16.267942583732058</v>
      </c>
      <c r="E41" s="13">
        <v>59592.592592592591</v>
      </c>
    </row>
    <row r="42" spans="1:5">
      <c r="A42">
        <v>2000</v>
      </c>
      <c r="B42" s="6">
        <v>12.737424689103133</v>
      </c>
      <c r="C42" s="12">
        <f t="shared" si="0"/>
        <v>6623.9703353211935</v>
      </c>
      <c r="D42" s="6">
        <v>17.374224681112647</v>
      </c>
      <c r="E42" s="13">
        <v>52004</v>
      </c>
    </row>
    <row r="43" spans="1:5">
      <c r="A43">
        <v>2001</v>
      </c>
      <c r="B43" s="6">
        <v>12.90028185802799</v>
      </c>
      <c r="C43" s="12">
        <f t="shared" si="0"/>
        <v>7198.486279598199</v>
      </c>
      <c r="D43" s="6">
        <v>19.522929188255613</v>
      </c>
      <c r="E43" s="13">
        <v>55801</v>
      </c>
    </row>
    <row r="44" spans="1:5">
      <c r="A44">
        <v>2002</v>
      </c>
      <c r="B44" s="6">
        <v>12.066778859052219</v>
      </c>
      <c r="C44" s="12">
        <f t="shared" si="0"/>
        <v>7050.2568839784399</v>
      </c>
      <c r="D44" s="6">
        <v>18.322202934068549</v>
      </c>
      <c r="E44" s="13">
        <v>58427</v>
      </c>
    </row>
    <row r="45" spans="1:5">
      <c r="A45">
        <v>2003</v>
      </c>
      <c r="B45" s="6">
        <v>11.960931180153999</v>
      </c>
      <c r="C45" s="12">
        <f t="shared" si="0"/>
        <v>7092.5929712077186</v>
      </c>
      <c r="D45" s="6">
        <v>18.335107388896393</v>
      </c>
      <c r="E45" s="13">
        <v>59298</v>
      </c>
    </row>
    <row r="46" spans="1:5">
      <c r="A46">
        <v>2004</v>
      </c>
      <c r="B46" s="6">
        <v>11.713120942171221</v>
      </c>
      <c r="C46" s="12">
        <f t="shared" si="0"/>
        <v>6882.0442095727012</v>
      </c>
      <c r="D46" s="6">
        <v>18.270245558133894</v>
      </c>
      <c r="E46" s="13">
        <v>58755</v>
      </c>
    </row>
    <row r="47" spans="1:5">
      <c r="A47">
        <v>2005</v>
      </c>
      <c r="B47" s="6">
        <v>11.7</v>
      </c>
      <c r="C47" s="12"/>
      <c r="D47" s="6">
        <v>18.184866448148405</v>
      </c>
      <c r="E47" s="13"/>
    </row>
    <row r="48" spans="1:5">
      <c r="A48">
        <v>2006</v>
      </c>
      <c r="B48" s="6">
        <v>11.705216844751728</v>
      </c>
      <c r="C48" s="12">
        <f t="shared" si="0"/>
        <v>6673.8464362036448</v>
      </c>
      <c r="D48" s="6">
        <v>18.409129233900273</v>
      </c>
      <c r="E48" s="13">
        <v>57016</v>
      </c>
    </row>
    <row r="49" spans="1:5">
      <c r="A49">
        <v>2007</v>
      </c>
      <c r="B49" s="6">
        <v>11.664804469273744</v>
      </c>
      <c r="C49" s="12">
        <f t="shared" si="0"/>
        <v>6735.8413407821236</v>
      </c>
      <c r="D49" s="6">
        <v>18.396343350728809</v>
      </c>
      <c r="E49" s="13">
        <v>57745</v>
      </c>
    </row>
    <row r="50" spans="1:5">
      <c r="A50">
        <v>2008</v>
      </c>
      <c r="B50" s="6">
        <v>12.078712161754845</v>
      </c>
      <c r="C50" s="12">
        <f t="shared" si="0"/>
        <v>6974.8523378053351</v>
      </c>
      <c r="D50" s="6">
        <v>19.6316694846725</v>
      </c>
      <c r="E50" s="13">
        <v>57745</v>
      </c>
    </row>
    <row r="51" spans="1:5">
      <c r="A51">
        <v>2009</v>
      </c>
      <c r="B51" s="6">
        <v>11.710561636889672</v>
      </c>
      <c r="C51" s="12">
        <f t="shared" si="0"/>
        <v>6762.2638172219413</v>
      </c>
      <c r="D51" s="6">
        <v>18.808806227764276</v>
      </c>
      <c r="E51" s="13">
        <v>57745</v>
      </c>
    </row>
    <row r="52" spans="1:5">
      <c r="B52" s="6"/>
      <c r="C52" s="12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Online Data</vt:lpstr>
      <vt:lpstr>Data from NR</vt:lpstr>
    </vt:vector>
  </TitlesOfParts>
  <Company>University of Auckland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Sheryn</dc:creator>
  <cp:lastModifiedBy>Louise Sheryn</cp:lastModifiedBy>
  <dcterms:created xsi:type="dcterms:W3CDTF">2009-11-09T02:36:08Z</dcterms:created>
  <dcterms:modified xsi:type="dcterms:W3CDTF">2012-01-04T00:06:17Z</dcterms:modified>
</cp:coreProperties>
</file>