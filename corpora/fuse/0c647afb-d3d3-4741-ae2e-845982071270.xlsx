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18192" windowHeight="1233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Sheet1!$A$1:$H$64</definedName>
  </definedNames>
  <calcPr calcId="125725"/>
</workbook>
</file>

<file path=xl/calcChain.xml><?xml version="1.0" encoding="utf-8"?>
<calcChain xmlns="http://schemas.openxmlformats.org/spreadsheetml/2006/main">
  <c r="D26" i="1"/>
  <c r="E26" s="1"/>
  <c r="D25"/>
  <c r="E18"/>
  <c r="D18"/>
  <c r="D17"/>
  <c r="E17" s="1"/>
  <c r="D11"/>
  <c r="E12" s="1"/>
  <c r="B53" s="1"/>
  <c r="D19" l="1"/>
  <c r="D27"/>
  <c r="E27" s="1"/>
  <c r="E28" s="1"/>
  <c r="B55" s="1"/>
  <c r="E25"/>
  <c r="E19" l="1"/>
  <c r="E20" s="1"/>
  <c r="B54" s="1"/>
  <c r="B56" s="1"/>
</calcChain>
</file>

<file path=xl/sharedStrings.xml><?xml version="1.0" encoding="utf-8"?>
<sst xmlns="http://schemas.openxmlformats.org/spreadsheetml/2006/main" count="57" uniqueCount="42">
  <si>
    <t>OFFICIAL PRICE SHEET</t>
  </si>
  <si>
    <t>E-Rate SPIN #</t>
  </si>
  <si>
    <t>From Location</t>
  </si>
  <si>
    <t>To Location</t>
  </si>
  <si>
    <t>Cost per Unit/Month</t>
  </si>
  <si>
    <t>12 Month Cost</t>
  </si>
  <si>
    <t>Installation Cost</t>
  </si>
  <si>
    <t>AT&amp;T C.O. at 720 Beech St, Pine Bluff, AR (870-534) ATM SW CLLI, PNBLARJEHD1</t>
  </si>
  <si>
    <t>Total 12 Month Cost</t>
  </si>
  <si>
    <t>Table 1: ATM OC3 Transport</t>
  </si>
  <si>
    <t>Table 2: Miscellaneous Recurring Cost</t>
  </si>
  <si>
    <t>Description: Other Recurring Cost</t>
  </si>
  <si>
    <t>Total</t>
  </si>
  <si>
    <t>Description: Other Non-Recurring Cost</t>
  </si>
  <si>
    <t>Table 3: Miscellaneous Non-Recurring Cost</t>
  </si>
  <si>
    <t>Service Description</t>
  </si>
  <si>
    <t>Provider</t>
  </si>
  <si>
    <t>Monthly Rate</t>
  </si>
  <si>
    <t>Nonrecurring Charge</t>
  </si>
  <si>
    <t>Priority Installation (Per Circuit, Line or Trunk)</t>
  </si>
  <si>
    <t>Prime Service Vendor*</t>
  </si>
  <si>
    <t>Subcontractor**</t>
  </si>
  <si>
    <t>Priority Restoration Level Implementation (Per Circuit, Line or Trunk)</t>
  </si>
  <si>
    <t>Priority Restoration Level Change on Existing TSP System Access Service (Per Circuit, Line or Trunk)</t>
  </si>
  <si>
    <t>Administration and Maintenance of Priority Restoration (Per Circuit, Line or Trunk)</t>
  </si>
  <si>
    <t>* Prime Service Vendor denotes status of the Telephone Company when it contracts directly with a TSP System end user, or the end-user's authorized agent, to provide all, or a portion, of a TSP system</t>
  </si>
  <si>
    <t>**Subcontractor denotes status of the Telephone Company when it contracts with a Prime Service Vendor to provide a portion of a TSP system to a TSP System end-user.</t>
  </si>
  <si>
    <t>Table: 4 Telecommunication Service Priority (TSP) System</t>
  </si>
  <si>
    <t xml:space="preserve">Mandatory Option </t>
  </si>
  <si>
    <t>AT&amp;T C.O. at 120 W. 8Th, Little Rock, AR, (501-372),ATM SW CLLI, LTRKARFRHJ2</t>
  </si>
  <si>
    <t>Table 5: Summary Table</t>
  </si>
  <si>
    <t>Cost</t>
  </si>
  <si>
    <t>Table 1</t>
  </si>
  <si>
    <t xml:space="preserve">Table </t>
  </si>
  <si>
    <t>Table 2</t>
  </si>
  <si>
    <t>Table 3</t>
  </si>
  <si>
    <t>Grand Total</t>
  </si>
  <si>
    <t>SP-13-0151 LTRK-PNBL OC3</t>
  </si>
  <si>
    <t>Page 2</t>
  </si>
  <si>
    <t>SP-13-0151</t>
  </si>
  <si>
    <t>Delivery:</t>
  </si>
  <si>
    <t>days ARO (initial order)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</si>
</sst>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0" fontId="2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164" fontId="2" fillId="0" borderId="8" xfId="0" applyNumberFormat="1" applyFont="1" applyBorder="1" applyAlignment="1"/>
    <xf numFmtId="164" fontId="2" fillId="0" borderId="8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164" fontId="2" fillId="0" borderId="6" xfId="0" applyNumberFormat="1" applyFont="1" applyBorder="1" applyAlignment="1"/>
    <xf numFmtId="164" fontId="2" fillId="0" borderId="6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2" fillId="0" borderId="13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4" fontId="2" fillId="0" borderId="5" xfId="0" applyNumberFormat="1" applyFont="1" applyBorder="1" applyAlignment="1"/>
    <xf numFmtId="164" fontId="2" fillId="0" borderId="5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2" fillId="0" borderId="14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64" fontId="2" fillId="0" borderId="4" xfId="0" applyNumberFormat="1" applyFont="1" applyBorder="1" applyAlignment="1"/>
    <xf numFmtId="164" fontId="2" fillId="0" borderId="4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0" fontId="2" fillId="0" borderId="11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6" xfId="0" applyFont="1" applyBorder="1" applyAlignment="1"/>
    <xf numFmtId="0" fontId="2" fillId="0" borderId="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/>
    <xf numFmtId="164" fontId="1" fillId="0" borderId="1" xfId="0" applyNumberFormat="1" applyFont="1" applyBorder="1"/>
    <xf numFmtId="0" fontId="1" fillId="3" borderId="20" xfId="0" applyFont="1" applyFill="1" applyBorder="1"/>
    <xf numFmtId="0" fontId="5" fillId="0" borderId="0" xfId="0" applyFont="1" applyFill="1"/>
    <xf numFmtId="0" fontId="4" fillId="3" borderId="20" xfId="0" applyFont="1" applyFill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61"/>
  <sheetViews>
    <sheetView tabSelected="1" view="pageBreakPreview" zoomScale="60" zoomScaleNormal="100" workbookViewId="0">
      <selection activeCell="E57" sqref="E57"/>
    </sheetView>
  </sheetViews>
  <sheetFormatPr defaultRowHeight="13.8"/>
  <cols>
    <col min="1" max="1" width="32.109375" style="2" customWidth="1"/>
    <col min="2" max="2" width="26.109375" style="2" customWidth="1"/>
    <col min="3" max="3" width="12.5546875" style="2" customWidth="1"/>
    <col min="4" max="4" width="11.5546875" style="2" customWidth="1"/>
    <col min="5" max="5" width="12.5546875" style="2" customWidth="1"/>
    <col min="6" max="7" width="8.88671875" style="2"/>
    <col min="8" max="8" width="12.88671875" style="2" customWidth="1"/>
    <col min="9" max="16384" width="8.88671875" style="2"/>
  </cols>
  <sheetData>
    <row r="3" spans="1:5">
      <c r="A3" s="1" t="s">
        <v>37</v>
      </c>
      <c r="B3" s="1"/>
      <c r="C3" s="1"/>
      <c r="D3" s="1"/>
      <c r="E3" s="1"/>
    </row>
    <row r="5" spans="1:5">
      <c r="A5" s="1" t="s">
        <v>0</v>
      </c>
      <c r="B5" s="1"/>
      <c r="C5" s="1"/>
      <c r="D5" s="1"/>
      <c r="E5" s="1"/>
    </row>
    <row r="9" spans="1:5">
      <c r="A9" s="4" t="s">
        <v>9</v>
      </c>
    </row>
    <row r="10" spans="1:5" ht="27.6">
      <c r="A10" s="5" t="s">
        <v>2</v>
      </c>
      <c r="B10" s="5" t="s">
        <v>3</v>
      </c>
      <c r="C10" s="6" t="s">
        <v>4</v>
      </c>
      <c r="D10" s="6" t="s">
        <v>5</v>
      </c>
      <c r="E10" s="6" t="s">
        <v>6</v>
      </c>
    </row>
    <row r="11" spans="1:5" ht="55.2">
      <c r="A11" s="7" t="s">
        <v>29</v>
      </c>
      <c r="B11" s="7" t="s">
        <v>7</v>
      </c>
      <c r="C11" s="8"/>
      <c r="D11" s="8">
        <f>C11*12</f>
        <v>0</v>
      </c>
      <c r="E11" s="8"/>
    </row>
    <row r="12" spans="1:5">
      <c r="A12" s="9"/>
      <c r="B12" s="9"/>
      <c r="C12" s="10" t="s">
        <v>8</v>
      </c>
      <c r="D12" s="11"/>
      <c r="E12" s="8">
        <f>D11+ E11</f>
        <v>0</v>
      </c>
    </row>
    <row r="15" spans="1:5" ht="30" customHeight="1">
      <c r="A15" s="12" t="s">
        <v>10</v>
      </c>
      <c r="B15" s="12"/>
    </row>
    <row r="16" spans="1:5" ht="27.6">
      <c r="A16" s="13" t="s">
        <v>11</v>
      </c>
      <c r="B16" s="13"/>
      <c r="C16" s="7" t="s">
        <v>4</v>
      </c>
      <c r="D16" s="7" t="s">
        <v>5</v>
      </c>
      <c r="E16" s="7" t="s">
        <v>6</v>
      </c>
    </row>
    <row r="17" spans="1:7">
      <c r="A17" s="13"/>
      <c r="B17" s="13"/>
      <c r="C17" s="14"/>
      <c r="D17" s="14">
        <f>C17*12</f>
        <v>0</v>
      </c>
      <c r="E17" s="14">
        <f t="shared" ref="E17:E19" si="0">SUM(D17)</f>
        <v>0</v>
      </c>
    </row>
    <row r="18" spans="1:7">
      <c r="A18" s="13"/>
      <c r="B18" s="13"/>
      <c r="C18" s="14"/>
      <c r="D18" s="14">
        <f>C18*12</f>
        <v>0</v>
      </c>
      <c r="E18" s="14">
        <f t="shared" si="0"/>
        <v>0</v>
      </c>
    </row>
    <row r="19" spans="1:7">
      <c r="A19" s="15"/>
      <c r="B19" s="15"/>
      <c r="C19" s="7" t="s">
        <v>12</v>
      </c>
      <c r="D19" s="14">
        <f>SUM(D17:D18)</f>
        <v>0</v>
      </c>
      <c r="E19" s="14">
        <f t="shared" si="0"/>
        <v>0</v>
      </c>
    </row>
    <row r="20" spans="1:7">
      <c r="A20" s="9"/>
      <c r="B20" s="9"/>
      <c r="C20" s="16" t="s">
        <v>8</v>
      </c>
      <c r="D20" s="16"/>
      <c r="E20" s="8">
        <f>D19+E19</f>
        <v>0</v>
      </c>
    </row>
    <row r="23" spans="1:7">
      <c r="A23" s="12" t="s">
        <v>14</v>
      </c>
      <c r="B23" s="12"/>
    </row>
    <row r="24" spans="1:7" ht="27.6">
      <c r="A24" s="13" t="s">
        <v>13</v>
      </c>
      <c r="B24" s="13"/>
      <c r="C24" s="7" t="s">
        <v>4</v>
      </c>
      <c r="D24" s="7" t="s">
        <v>5</v>
      </c>
      <c r="E24" s="7" t="s">
        <v>6</v>
      </c>
    </row>
    <row r="25" spans="1:7">
      <c r="A25" s="13"/>
      <c r="B25" s="13"/>
      <c r="C25" s="14"/>
      <c r="D25" s="14">
        <f>C25*12</f>
        <v>0</v>
      </c>
      <c r="E25" s="14">
        <f t="shared" ref="E25:E27" si="1">SUM(D25)</f>
        <v>0</v>
      </c>
    </row>
    <row r="26" spans="1:7">
      <c r="A26" s="13"/>
      <c r="B26" s="13"/>
      <c r="C26" s="14"/>
      <c r="D26" s="14">
        <f>C26*12</f>
        <v>0</v>
      </c>
      <c r="E26" s="14">
        <f t="shared" si="1"/>
        <v>0</v>
      </c>
    </row>
    <row r="27" spans="1:7">
      <c r="A27" s="15"/>
      <c r="B27" s="15"/>
      <c r="C27" s="7" t="s">
        <v>12</v>
      </c>
      <c r="D27" s="14">
        <f>SUM(D25:D26)</f>
        <v>0</v>
      </c>
      <c r="E27" s="14">
        <f t="shared" si="1"/>
        <v>0</v>
      </c>
    </row>
    <row r="28" spans="1:7">
      <c r="A28" s="9"/>
      <c r="B28" s="9"/>
      <c r="C28" s="16" t="s">
        <v>8</v>
      </c>
      <c r="D28" s="16"/>
      <c r="E28" s="8">
        <f>D27+E27</f>
        <v>0</v>
      </c>
    </row>
    <row r="32" spans="1:7">
      <c r="E32" s="4"/>
      <c r="F32" s="2" t="s">
        <v>38</v>
      </c>
      <c r="G32" s="2" t="s">
        <v>39</v>
      </c>
    </row>
    <row r="33" spans="1:8">
      <c r="A33" s="17" t="s">
        <v>28</v>
      </c>
    </row>
    <row r="34" spans="1:8" ht="14.4" thickBot="1">
      <c r="A34" s="17" t="s">
        <v>27</v>
      </c>
    </row>
    <row r="35" spans="1:8" ht="14.4" thickBot="1">
      <c r="A35" s="18" t="s">
        <v>15</v>
      </c>
      <c r="B35" s="19"/>
      <c r="C35" s="19"/>
      <c r="D35" s="19" t="s">
        <v>16</v>
      </c>
      <c r="E35" s="19"/>
      <c r="F35" s="20" t="s">
        <v>17</v>
      </c>
      <c r="G35" s="21" t="s">
        <v>18</v>
      </c>
      <c r="H35" s="22"/>
    </row>
    <row r="36" spans="1:8">
      <c r="A36" s="23" t="s">
        <v>19</v>
      </c>
      <c r="B36" s="24"/>
      <c r="C36" s="24"/>
      <c r="D36" s="25" t="s">
        <v>20</v>
      </c>
      <c r="E36" s="25"/>
      <c r="F36" s="26"/>
      <c r="G36" s="27"/>
      <c r="H36" s="28"/>
    </row>
    <row r="37" spans="1:8" ht="14.4" thickBot="1">
      <c r="A37" s="29"/>
      <c r="B37" s="30"/>
      <c r="C37" s="30"/>
      <c r="D37" s="31" t="s">
        <v>21</v>
      </c>
      <c r="E37" s="31"/>
      <c r="F37" s="32"/>
      <c r="G37" s="33"/>
      <c r="H37" s="34"/>
    </row>
    <row r="38" spans="1:8">
      <c r="A38" s="35" t="s">
        <v>22</v>
      </c>
      <c r="B38" s="36"/>
      <c r="C38" s="36"/>
      <c r="D38" s="37" t="s">
        <v>20</v>
      </c>
      <c r="E38" s="37"/>
      <c r="F38" s="38"/>
      <c r="G38" s="39"/>
      <c r="H38" s="40"/>
    </row>
    <row r="39" spans="1:8" ht="14.4" thickBot="1">
      <c r="A39" s="41"/>
      <c r="B39" s="42"/>
      <c r="C39" s="42"/>
      <c r="D39" s="43" t="s">
        <v>21</v>
      </c>
      <c r="E39" s="43"/>
      <c r="F39" s="44"/>
      <c r="G39" s="45"/>
      <c r="H39" s="46"/>
    </row>
    <row r="40" spans="1:8">
      <c r="A40" s="47" t="s">
        <v>23</v>
      </c>
      <c r="B40" s="48"/>
      <c r="C40" s="48"/>
      <c r="D40" s="25" t="s">
        <v>20</v>
      </c>
      <c r="E40" s="25"/>
      <c r="F40" s="26"/>
      <c r="G40" s="27"/>
      <c r="H40" s="28"/>
    </row>
    <row r="41" spans="1:8" ht="14.4" thickBot="1">
      <c r="A41" s="49"/>
      <c r="B41" s="50"/>
      <c r="C41" s="50"/>
      <c r="D41" s="31" t="s">
        <v>21</v>
      </c>
      <c r="E41" s="31"/>
      <c r="F41" s="32"/>
      <c r="G41" s="33"/>
      <c r="H41" s="34"/>
    </row>
    <row r="42" spans="1:8">
      <c r="A42" s="35" t="s">
        <v>24</v>
      </c>
      <c r="B42" s="36"/>
      <c r="C42" s="36"/>
      <c r="D42" s="37" t="s">
        <v>20</v>
      </c>
      <c r="E42" s="37"/>
      <c r="F42" s="38"/>
      <c r="G42" s="39"/>
      <c r="H42" s="40"/>
    </row>
    <row r="43" spans="1:8" ht="14.4" thickBot="1">
      <c r="A43" s="49"/>
      <c r="B43" s="50"/>
      <c r="C43" s="50"/>
      <c r="D43" s="31" t="s">
        <v>21</v>
      </c>
      <c r="E43" s="31"/>
      <c r="F43" s="51"/>
      <c r="G43" s="52"/>
      <c r="H43" s="53"/>
    </row>
    <row r="44" spans="1:8">
      <c r="A44" s="54" t="s">
        <v>25</v>
      </c>
      <c r="B44" s="54"/>
      <c r="C44" s="54"/>
      <c r="D44" s="54"/>
      <c r="E44" s="54"/>
      <c r="F44" s="54"/>
      <c r="G44" s="54"/>
      <c r="H44" s="54"/>
    </row>
    <row r="45" spans="1:8">
      <c r="A45" s="55"/>
      <c r="B45" s="55"/>
      <c r="C45" s="55"/>
      <c r="D45" s="55"/>
      <c r="E45" s="55"/>
      <c r="F45" s="55"/>
      <c r="G45" s="55"/>
      <c r="H45" s="55"/>
    </row>
    <row r="47" spans="1:8">
      <c r="A47" s="56" t="s">
        <v>26</v>
      </c>
      <c r="B47" s="56"/>
      <c r="C47" s="56"/>
      <c r="D47" s="56"/>
      <c r="E47" s="56"/>
      <c r="F47" s="56"/>
      <c r="G47" s="56"/>
      <c r="H47" s="56"/>
    </row>
    <row r="48" spans="1:8">
      <c r="A48" s="56"/>
      <c r="B48" s="56"/>
      <c r="C48" s="56"/>
      <c r="D48" s="56"/>
      <c r="E48" s="56"/>
      <c r="F48" s="56"/>
      <c r="G48" s="56"/>
      <c r="H48" s="56"/>
    </row>
    <row r="51" spans="1:3">
      <c r="A51" s="4" t="s">
        <v>30</v>
      </c>
    </row>
    <row r="52" spans="1:3">
      <c r="A52" s="5" t="s">
        <v>33</v>
      </c>
      <c r="B52" s="5" t="s">
        <v>31</v>
      </c>
    </row>
    <row r="53" spans="1:3">
      <c r="A53" s="57" t="s">
        <v>32</v>
      </c>
      <c r="B53" s="8">
        <f>E12</f>
        <v>0</v>
      </c>
    </row>
    <row r="54" spans="1:3">
      <c r="A54" s="57" t="s">
        <v>34</v>
      </c>
      <c r="B54" s="8">
        <f>E20</f>
        <v>0</v>
      </c>
    </row>
    <row r="55" spans="1:3">
      <c r="A55" s="57" t="s">
        <v>35</v>
      </c>
      <c r="B55" s="8">
        <f>E28</f>
        <v>0</v>
      </c>
    </row>
    <row r="56" spans="1:3">
      <c r="A56" s="5" t="s">
        <v>36</v>
      </c>
      <c r="B56" s="58">
        <f>SUM(B53:B55)</f>
        <v>0</v>
      </c>
    </row>
    <row r="59" spans="1:3" s="4" customFormat="1">
      <c r="A59" s="59" t="s">
        <v>1</v>
      </c>
      <c r="B59" s="59"/>
      <c r="C59" s="3"/>
    </row>
    <row r="61" spans="1:3" ht="14.4">
      <c r="A61" s="61" t="s">
        <v>40</v>
      </c>
      <c r="B61" s="62" t="s">
        <v>41</v>
      </c>
      <c r="C61" s="60"/>
    </row>
  </sheetData>
  <mergeCells count="40">
    <mergeCell ref="A26:B26"/>
    <mergeCell ref="A27:B27"/>
    <mergeCell ref="C28:D28"/>
    <mergeCell ref="A3:E3"/>
    <mergeCell ref="A5:E5"/>
    <mergeCell ref="A19:B19"/>
    <mergeCell ref="C20:D20"/>
    <mergeCell ref="A23:B23"/>
    <mergeCell ref="A24:B24"/>
    <mergeCell ref="A25:B25"/>
    <mergeCell ref="C12:D12"/>
    <mergeCell ref="A15:B15"/>
    <mergeCell ref="A16:B16"/>
    <mergeCell ref="A17:B17"/>
    <mergeCell ref="A18:B18"/>
    <mergeCell ref="G35:H35"/>
    <mergeCell ref="A36:C37"/>
    <mergeCell ref="A38:C39"/>
    <mergeCell ref="G37:H37"/>
    <mergeCell ref="A35:C35"/>
    <mergeCell ref="G39:H39"/>
    <mergeCell ref="D35:E35"/>
    <mergeCell ref="G36:H36"/>
    <mergeCell ref="D38:E38"/>
    <mergeCell ref="D39:E39"/>
    <mergeCell ref="D36:E36"/>
    <mergeCell ref="D37:E37"/>
    <mergeCell ref="G40:H40"/>
    <mergeCell ref="A40:C41"/>
    <mergeCell ref="G38:H38"/>
    <mergeCell ref="G41:H41"/>
    <mergeCell ref="D41:E41"/>
    <mergeCell ref="D40:E40"/>
    <mergeCell ref="A44:H45"/>
    <mergeCell ref="A47:H48"/>
    <mergeCell ref="D43:E43"/>
    <mergeCell ref="A42:C43"/>
    <mergeCell ref="G42:H42"/>
    <mergeCell ref="G43:H43"/>
    <mergeCell ref="D42:E42"/>
  </mergeCells>
  <printOptions horizontalCentered="1"/>
  <pageMargins left="0.2" right="0.2" top="0.5" bottom="0.5" header="0.3" footer="0.3"/>
  <pageSetup orientation="landscape" r:id="rId1"/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Tipton</dc:creator>
  <cp:lastModifiedBy>julie lombard</cp:lastModifiedBy>
  <cp:lastPrinted>2012-12-17T15:42:08Z</cp:lastPrinted>
  <dcterms:created xsi:type="dcterms:W3CDTF">2012-12-04T19:16:20Z</dcterms:created>
  <dcterms:modified xsi:type="dcterms:W3CDTF">2012-12-17T15:42:12Z</dcterms:modified>
</cp:coreProperties>
</file>