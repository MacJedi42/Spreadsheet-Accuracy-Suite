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300" windowWidth="1548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D11" i="1"/>
  <c r="D6" l="1"/>
  <c r="E12" l="1"/>
</calcChain>
</file>

<file path=xl/sharedStrings.xml><?xml version="1.0" encoding="utf-8"?>
<sst xmlns="http://schemas.openxmlformats.org/spreadsheetml/2006/main" count="88" uniqueCount="87">
  <si>
    <t>Line</t>
  </si>
  <si>
    <t>Loans:</t>
  </si>
  <si>
    <t>Score (ATI less ALB)</t>
  </si>
  <si>
    <t>Cost of Living Index (COLI)</t>
  </si>
  <si>
    <t>Instructions for filling out application:</t>
  </si>
  <si>
    <t>Income:</t>
  </si>
  <si>
    <r>
      <t>Adjusted Taxable Income (ATI)</t>
    </r>
    <r>
      <rPr>
        <sz val="8"/>
        <color theme="1"/>
        <rFont val="Calibri"/>
        <family val="2"/>
        <scheme val="minor"/>
      </rPr>
      <t>(FTI/COLI)</t>
    </r>
  </si>
  <si>
    <t>You should provide numbers only for shaded cells.  Other values will automatically calculate</t>
  </si>
  <si>
    <t xml:space="preserve">Total of All Eligible Loan Balances </t>
  </si>
  <si>
    <t>Line 3: (Auto Calculates)</t>
  </si>
  <si>
    <t>Line 5: (Auto Calculates)</t>
  </si>
  <si>
    <t>Line 6: (Auto Calculates)</t>
  </si>
  <si>
    <t>John R. Justice Student Loan Assistance WORKSHEET</t>
  </si>
  <si>
    <t>Cost of Living Index by County</t>
  </si>
  <si>
    <t>County</t>
  </si>
  <si>
    <t>Adams</t>
  </si>
  <si>
    <t>Allegheny</t>
  </si>
  <si>
    <t>Beaver</t>
  </si>
  <si>
    <t>Bedford</t>
  </si>
  <si>
    <t>Berks</t>
  </si>
  <si>
    <t>Blair</t>
  </si>
  <si>
    <t>Bucks</t>
  </si>
  <si>
    <t>Butler</t>
  </si>
  <si>
    <t>Cambria</t>
  </si>
  <si>
    <t>Cameron</t>
  </si>
  <si>
    <t>Carbon</t>
  </si>
  <si>
    <t>Centre</t>
  </si>
  <si>
    <t>Chester</t>
  </si>
  <si>
    <t>Clarion</t>
  </si>
  <si>
    <t>Clearfield</t>
  </si>
  <si>
    <t>Clinton</t>
  </si>
  <si>
    <t>Columbia</t>
  </si>
  <si>
    <t>Crawford</t>
  </si>
  <si>
    <t>Cumberland</t>
  </si>
  <si>
    <t>Dauphin</t>
  </si>
  <si>
    <t>Delaware</t>
  </si>
  <si>
    <t>Elk</t>
  </si>
  <si>
    <t>Erie</t>
  </si>
  <si>
    <t>Fayette</t>
  </si>
  <si>
    <t>Forest</t>
  </si>
  <si>
    <t>Franklin</t>
  </si>
  <si>
    <t>Fulton</t>
  </si>
  <si>
    <t>Greene</t>
  </si>
  <si>
    <t>Huntingdon</t>
  </si>
  <si>
    <t>Indiana</t>
  </si>
  <si>
    <t>Jefferson</t>
  </si>
  <si>
    <t>Juniata</t>
  </si>
  <si>
    <t>Lackawanna</t>
  </si>
  <si>
    <t>Lancaster</t>
  </si>
  <si>
    <t>Lawrence</t>
  </si>
  <si>
    <t>Lebanon</t>
  </si>
  <si>
    <t>Lehigh</t>
  </si>
  <si>
    <t>Luzerne</t>
  </si>
  <si>
    <t>Lycoming</t>
  </si>
  <si>
    <t>McKean</t>
  </si>
  <si>
    <t>Mercer</t>
  </si>
  <si>
    <t>Mifflin</t>
  </si>
  <si>
    <t>Monroe</t>
  </si>
  <si>
    <t>Montgomery</t>
  </si>
  <si>
    <t>Montour</t>
  </si>
  <si>
    <t>Northampton</t>
  </si>
  <si>
    <t>Northumberland</t>
  </si>
  <si>
    <t>Perry</t>
  </si>
  <si>
    <t>Philadelphia</t>
  </si>
  <si>
    <t>Pike</t>
  </si>
  <si>
    <t>Potter</t>
  </si>
  <si>
    <t>Schuylkill</t>
  </si>
  <si>
    <t>Snyder</t>
  </si>
  <si>
    <t>Somerset</t>
  </si>
  <si>
    <t>Sullivan</t>
  </si>
  <si>
    <t>Susquehanna</t>
  </si>
  <si>
    <t>Tioga</t>
  </si>
  <si>
    <t>Union</t>
  </si>
  <si>
    <t>Venango</t>
  </si>
  <si>
    <t>Warren</t>
  </si>
  <si>
    <t>Washington</t>
  </si>
  <si>
    <t>Wayne</t>
  </si>
  <si>
    <t>Westmoreland</t>
  </si>
  <si>
    <t>Wyoming</t>
  </si>
  <si>
    <t>York</t>
  </si>
  <si>
    <t>Line 2: Enter the number for your County's Cost of Living Index from the chart below.</t>
  </si>
  <si>
    <r>
      <t xml:space="preserve">3 Year Amortized Loan Balance (ALB) </t>
    </r>
    <r>
      <rPr>
        <sz val="8"/>
        <color theme="1"/>
        <rFont val="Calibri"/>
        <family val="2"/>
        <scheme val="minor"/>
      </rPr>
      <t>(Line 4 divided by 3)</t>
    </r>
  </si>
  <si>
    <t>Armstrong</t>
  </si>
  <si>
    <t>Bradford</t>
  </si>
  <si>
    <t>2011 Federal Taxable Income From Line 43, Form 1040; Line 27, Form 1040A or Line 6, Form 1040EZ</t>
  </si>
  <si>
    <t xml:space="preserve">Line 4:  Enter the Total Principal Balances as of December 31, 2011 for all eligible loans.  See introduction for list of Eligible Loans. </t>
  </si>
  <si>
    <t>Line 1:  Insert the amount of your 2011 Federal Taxable Income from the appropriate line in your 2011 Federal Tax Return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</si>
</sst>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4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2" borderId="0" xfId="0" applyFill="1"/>
    <xf numFmtId="0" fontId="1" fillId="0" borderId="0" xfId="0" applyFont="1" applyAlignment="1">
      <alignment wrapText="1"/>
    </xf>
    <xf numFmtId="0" fontId="3" fillId="0" borderId="0" xfId="0" applyFont="1"/>
    <xf numFmtId="2" fontId="5" fillId="0" borderId="0" xfId="0" applyNumberFormat="1" applyFont="1"/>
    <xf numFmtId="2" fontId="0" fillId="0" borderId="0" xfId="0" applyNumberFormat="1"/>
    <xf numFmtId="0" fontId="4" fillId="0" borderId="0" xfId="0" applyFont="1" applyAlignment="1">
      <alignment horizontal="center" wrapText="1"/>
    </xf>
    <xf numFmtId="2" fontId="6" fillId="0" borderId="0" xfId="0" applyNumberFormat="1" applyFont="1"/>
    <xf numFmtId="0" fontId="6" fillId="0" borderId="0" xfId="0" applyFont="1"/>
    <xf numFmtId="0" fontId="0" fillId="0" borderId="0" xfId="0"/>
    <xf numFmtId="2" fontId="4" fillId="0" borderId="0" xfId="0" applyNumberFormat="1" applyFont="1" applyFill="1" applyAlignment="1">
      <alignment horizontal="center" wrapText="1"/>
    </xf>
    <xf numFmtId="2" fontId="5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2"/>
  <sheetViews>
    <sheetView tabSelected="1" topLeftCell="A41" workbookViewId="0">
      <selection activeCell="B18" sqref="B18"/>
    </sheetView>
  </sheetViews>
  <sheetFormatPr defaultRowHeight="15"/>
  <cols>
    <col min="2" max="2" width="39.7109375" customWidth="1"/>
    <col min="3" max="3" width="11.7109375" customWidth="1"/>
    <col min="4" max="4" width="8.42578125" customWidth="1"/>
    <col min="5" max="5" width="14.7109375" customWidth="1"/>
  </cols>
  <sheetData>
    <row r="1" spans="1:5" ht="18.75">
      <c r="B1" s="7" t="s">
        <v>12</v>
      </c>
    </row>
    <row r="2" spans="1:5">
      <c r="A2" s="1" t="s">
        <v>0</v>
      </c>
    </row>
    <row r="3" spans="1:5">
      <c r="A3" s="1"/>
      <c r="B3" s="1" t="s">
        <v>5</v>
      </c>
    </row>
    <row r="4" spans="1:5" ht="45">
      <c r="A4" s="3">
        <v>1</v>
      </c>
      <c r="B4" s="4" t="s">
        <v>84</v>
      </c>
      <c r="C4" s="5">
        <v>1</v>
      </c>
    </row>
    <row r="5" spans="1:5">
      <c r="A5" s="3">
        <v>2</v>
      </c>
      <c r="B5" t="s">
        <v>3</v>
      </c>
      <c r="C5" s="5">
        <v>1</v>
      </c>
    </row>
    <row r="6" spans="1:5">
      <c r="A6" s="3">
        <v>3</v>
      </c>
      <c r="B6" s="4" t="s">
        <v>6</v>
      </c>
      <c r="D6">
        <f>+C4/C5</f>
        <v>1</v>
      </c>
    </row>
    <row r="7" spans="1:5">
      <c r="A7" s="3"/>
      <c r="B7" s="4"/>
    </row>
    <row r="8" spans="1:5">
      <c r="A8" s="3"/>
      <c r="B8" s="4"/>
    </row>
    <row r="9" spans="1:5">
      <c r="A9" s="3"/>
      <c r="B9" s="6" t="s">
        <v>1</v>
      </c>
    </row>
    <row r="10" spans="1:5">
      <c r="A10" s="3">
        <v>4</v>
      </c>
      <c r="B10" t="s">
        <v>8</v>
      </c>
      <c r="C10" s="5">
        <v>1</v>
      </c>
    </row>
    <row r="11" spans="1:5" ht="27">
      <c r="A11" s="3">
        <v>5</v>
      </c>
      <c r="B11" s="4" t="s">
        <v>81</v>
      </c>
      <c r="D11">
        <f>C10/3</f>
        <v>0.33333333333333331</v>
      </c>
    </row>
    <row r="12" spans="1:5">
      <c r="A12" s="3">
        <v>6</v>
      </c>
      <c r="B12" s="2" t="s">
        <v>2</v>
      </c>
      <c r="E12">
        <f>+D6-D11</f>
        <v>0.66666666666666674</v>
      </c>
    </row>
    <row r="16" spans="1:5" ht="18.75">
      <c r="B16" s="7" t="s">
        <v>4</v>
      </c>
    </row>
    <row r="17" spans="2:7">
      <c r="B17" t="s">
        <v>7</v>
      </c>
    </row>
    <row r="18" spans="2:7">
      <c r="B18" s="13" t="s">
        <v>86</v>
      </c>
    </row>
    <row r="19" spans="2:7">
      <c r="B19" s="13" t="s">
        <v>80</v>
      </c>
    </row>
    <row r="20" spans="2:7">
      <c r="B20" t="s">
        <v>9</v>
      </c>
    </row>
    <row r="21" spans="2:7">
      <c r="B21" s="13" t="s">
        <v>85</v>
      </c>
    </row>
    <row r="22" spans="2:7">
      <c r="B22" t="s">
        <v>10</v>
      </c>
    </row>
    <row r="23" spans="2:7">
      <c r="B23" t="s">
        <v>11</v>
      </c>
    </row>
    <row r="25" spans="2:7" ht="18.75">
      <c r="C25" s="12"/>
      <c r="D25" s="11" t="s">
        <v>13</v>
      </c>
    </row>
    <row r="26" spans="2:7">
      <c r="C26" s="14" t="s">
        <v>14</v>
      </c>
      <c r="D26" s="10"/>
      <c r="E26" s="1" t="s">
        <v>14</v>
      </c>
    </row>
    <row r="27" spans="2:7">
      <c r="C27" s="8" t="s">
        <v>15</v>
      </c>
      <c r="D27" s="9">
        <v>0.96</v>
      </c>
      <c r="E27" s="15" t="s">
        <v>46</v>
      </c>
      <c r="F27" s="16">
        <v>0.96</v>
      </c>
      <c r="G27" s="16"/>
    </row>
    <row r="28" spans="2:7">
      <c r="C28" s="8" t="s">
        <v>16</v>
      </c>
      <c r="D28" s="9">
        <v>1</v>
      </c>
      <c r="E28" s="15" t="s">
        <v>47</v>
      </c>
      <c r="F28" s="16">
        <v>0.98</v>
      </c>
      <c r="G28" s="16"/>
    </row>
    <row r="29" spans="2:7" s="13" customFormat="1">
      <c r="C29" s="15" t="s">
        <v>82</v>
      </c>
      <c r="D29" s="16">
        <v>0.95</v>
      </c>
      <c r="E29" s="15"/>
      <c r="F29" s="16"/>
      <c r="G29" s="16"/>
    </row>
    <row r="30" spans="2:7">
      <c r="C30" s="8" t="s">
        <v>17</v>
      </c>
      <c r="D30" s="9">
        <v>1</v>
      </c>
      <c r="E30" s="15" t="s">
        <v>48</v>
      </c>
      <c r="F30" s="16">
        <v>1.01</v>
      </c>
      <c r="G30" s="16"/>
    </row>
    <row r="31" spans="2:7">
      <c r="C31" s="8" t="s">
        <v>18</v>
      </c>
      <c r="D31" s="9">
        <v>0.94</v>
      </c>
      <c r="E31" s="15" t="s">
        <v>49</v>
      </c>
      <c r="F31" s="16">
        <v>0.97</v>
      </c>
      <c r="G31" s="16"/>
    </row>
    <row r="32" spans="2:7">
      <c r="C32" s="8" t="s">
        <v>19</v>
      </c>
      <c r="D32" s="9">
        <v>1.03</v>
      </c>
      <c r="E32" s="15" t="s">
        <v>50</v>
      </c>
      <c r="F32" s="16">
        <v>0.99</v>
      </c>
      <c r="G32" s="16"/>
    </row>
    <row r="33" spans="3:7">
      <c r="C33" s="8" t="s">
        <v>20</v>
      </c>
      <c r="D33" s="9">
        <v>0.96</v>
      </c>
      <c r="E33" s="15" t="s">
        <v>51</v>
      </c>
      <c r="F33" s="16">
        <v>1.06</v>
      </c>
      <c r="G33" s="16"/>
    </row>
    <row r="34" spans="3:7" s="13" customFormat="1">
      <c r="C34" s="15" t="s">
        <v>83</v>
      </c>
      <c r="D34" s="16">
        <v>0.94</v>
      </c>
      <c r="E34" s="15"/>
      <c r="F34" s="16"/>
      <c r="G34" s="16"/>
    </row>
    <row r="35" spans="3:7">
      <c r="C35" s="8" t="s">
        <v>21</v>
      </c>
      <c r="D35" s="9">
        <v>1.1299999999999999</v>
      </c>
      <c r="E35" s="15" t="s">
        <v>52</v>
      </c>
      <c r="F35" s="16">
        <v>0.98</v>
      </c>
      <c r="G35" s="16"/>
    </row>
    <row r="36" spans="3:7">
      <c r="C36" s="8" t="s">
        <v>22</v>
      </c>
      <c r="D36" s="9">
        <v>1</v>
      </c>
      <c r="E36" s="15" t="s">
        <v>53</v>
      </c>
      <c r="F36" s="16">
        <v>0.97</v>
      </c>
      <c r="G36" s="16"/>
    </row>
    <row r="37" spans="3:7">
      <c r="C37" s="8" t="s">
        <v>23</v>
      </c>
      <c r="D37" s="9">
        <v>0.93</v>
      </c>
      <c r="E37" s="15" t="s">
        <v>54</v>
      </c>
      <c r="F37" s="16">
        <v>0.93</v>
      </c>
      <c r="G37" s="16"/>
    </row>
    <row r="38" spans="3:7">
      <c r="C38" s="8" t="s">
        <v>24</v>
      </c>
      <c r="D38" s="9">
        <v>0.93</v>
      </c>
      <c r="E38" s="15" t="s">
        <v>55</v>
      </c>
      <c r="F38" s="16">
        <v>0.98</v>
      </c>
      <c r="G38" s="16"/>
    </row>
    <row r="39" spans="3:7">
      <c r="C39" s="8" t="s">
        <v>25</v>
      </c>
      <c r="D39" s="9">
        <v>1.06</v>
      </c>
      <c r="E39" s="15" t="s">
        <v>56</v>
      </c>
      <c r="F39" s="16">
        <v>0.96</v>
      </c>
      <c r="G39" s="16"/>
    </row>
    <row r="40" spans="3:7">
      <c r="C40" s="8" t="s">
        <v>26</v>
      </c>
      <c r="D40" s="9">
        <v>1</v>
      </c>
      <c r="E40" s="15" t="s">
        <v>57</v>
      </c>
      <c r="F40" s="16">
        <v>1</v>
      </c>
      <c r="G40" s="16"/>
    </row>
    <row r="41" spans="3:7">
      <c r="C41" s="8" t="s">
        <v>27</v>
      </c>
      <c r="D41" s="9">
        <v>1.1299999999999999</v>
      </c>
      <c r="E41" s="15" t="s">
        <v>58</v>
      </c>
      <c r="F41" s="16">
        <v>1.1299999999999999</v>
      </c>
      <c r="G41" s="16"/>
    </row>
    <row r="42" spans="3:7">
      <c r="C42" s="8" t="s">
        <v>28</v>
      </c>
      <c r="D42" s="9">
        <v>0.93</v>
      </c>
      <c r="E42" s="15" t="s">
        <v>59</v>
      </c>
      <c r="F42" s="16">
        <v>0.98</v>
      </c>
      <c r="G42" s="16"/>
    </row>
    <row r="43" spans="3:7">
      <c r="C43" s="8" t="s">
        <v>29</v>
      </c>
      <c r="D43" s="9">
        <v>0.93</v>
      </c>
      <c r="E43" s="15" t="s">
        <v>60</v>
      </c>
      <c r="F43" s="16">
        <v>1.06</v>
      </c>
      <c r="G43" s="16"/>
    </row>
    <row r="44" spans="3:7">
      <c r="C44" s="8" t="s">
        <v>30</v>
      </c>
      <c r="D44" s="9">
        <v>0.97</v>
      </c>
      <c r="E44" s="15" t="s">
        <v>61</v>
      </c>
      <c r="F44" s="16">
        <v>0.97</v>
      </c>
      <c r="G44" s="16"/>
    </row>
    <row r="45" spans="3:7">
      <c r="C45" s="8" t="s">
        <v>31</v>
      </c>
      <c r="D45" s="9">
        <v>0.97</v>
      </c>
      <c r="E45" s="15" t="s">
        <v>62</v>
      </c>
      <c r="F45" s="16">
        <v>1.04</v>
      </c>
      <c r="G45" s="16"/>
    </row>
    <row r="46" spans="3:7">
      <c r="C46" s="8" t="s">
        <v>32</v>
      </c>
      <c r="D46" s="9">
        <v>0.94</v>
      </c>
      <c r="E46" s="15" t="s">
        <v>63</v>
      </c>
      <c r="F46" s="16">
        <v>1.1299999999999999</v>
      </c>
      <c r="G46" s="16"/>
    </row>
    <row r="47" spans="3:7">
      <c r="C47" s="8" t="s">
        <v>33</v>
      </c>
      <c r="D47" s="9">
        <v>1.04</v>
      </c>
      <c r="E47" s="15" t="s">
        <v>64</v>
      </c>
      <c r="F47" s="16">
        <v>1.1599999999999999</v>
      </c>
      <c r="G47" s="16"/>
    </row>
    <row r="48" spans="3:7">
      <c r="C48" s="8" t="s">
        <v>34</v>
      </c>
      <c r="D48" s="9">
        <v>1.04</v>
      </c>
      <c r="E48" s="15" t="s">
        <v>65</v>
      </c>
      <c r="F48" s="16">
        <v>0.93</v>
      </c>
      <c r="G48" s="16"/>
    </row>
    <row r="49" spans="3:7">
      <c r="C49" s="8" t="s">
        <v>35</v>
      </c>
      <c r="D49" s="9">
        <v>1.1299999999999999</v>
      </c>
      <c r="E49" s="15" t="s">
        <v>66</v>
      </c>
      <c r="F49" s="16">
        <v>0.94</v>
      </c>
      <c r="G49" s="16"/>
    </row>
    <row r="50" spans="3:7">
      <c r="C50" s="8" t="s">
        <v>36</v>
      </c>
      <c r="D50" s="9">
        <v>0.93</v>
      </c>
      <c r="E50" s="15" t="s">
        <v>67</v>
      </c>
      <c r="F50" s="16">
        <v>0.97</v>
      </c>
      <c r="G50" s="16"/>
    </row>
    <row r="51" spans="3:7">
      <c r="C51" s="8" t="s">
        <v>37</v>
      </c>
      <c r="D51" s="9">
        <v>0.97</v>
      </c>
      <c r="E51" s="15" t="s">
        <v>68</v>
      </c>
      <c r="F51" s="16">
        <v>0.93</v>
      </c>
      <c r="G51" s="16"/>
    </row>
    <row r="52" spans="3:7">
      <c r="C52" s="8" t="s">
        <v>38</v>
      </c>
      <c r="D52" s="9">
        <v>1</v>
      </c>
      <c r="E52" s="15" t="s">
        <v>69</v>
      </c>
      <c r="F52" s="16">
        <v>0.93</v>
      </c>
      <c r="G52" s="16"/>
    </row>
    <row r="53" spans="3:7">
      <c r="C53" s="8" t="s">
        <v>39</v>
      </c>
      <c r="D53" s="9">
        <v>0.93</v>
      </c>
      <c r="E53" s="15" t="s">
        <v>70</v>
      </c>
      <c r="F53" s="16">
        <v>0.93</v>
      </c>
      <c r="G53" s="16"/>
    </row>
    <row r="54" spans="3:7">
      <c r="C54" s="8" t="s">
        <v>40</v>
      </c>
      <c r="D54" s="9">
        <v>0.96</v>
      </c>
      <c r="E54" s="15" t="s">
        <v>71</v>
      </c>
      <c r="F54" s="16">
        <v>0.93</v>
      </c>
      <c r="G54" s="16"/>
    </row>
    <row r="55" spans="3:7">
      <c r="C55" s="8" t="s">
        <v>41</v>
      </c>
      <c r="D55" s="9">
        <v>0.93</v>
      </c>
      <c r="E55" s="15" t="s">
        <v>72</v>
      </c>
      <c r="F55" s="16">
        <v>0.97</v>
      </c>
      <c r="G55" s="16"/>
    </row>
    <row r="56" spans="3:7">
      <c r="C56" s="8" t="s">
        <v>42</v>
      </c>
      <c r="D56" s="9">
        <v>0.95</v>
      </c>
      <c r="E56" s="15" t="s">
        <v>73</v>
      </c>
      <c r="F56" s="16">
        <v>0.93</v>
      </c>
      <c r="G56" s="16"/>
    </row>
    <row r="57" spans="3:7">
      <c r="C57" s="8" t="s">
        <v>43</v>
      </c>
      <c r="D57" s="9">
        <v>0.94</v>
      </c>
      <c r="E57" s="15" t="s">
        <v>74</v>
      </c>
      <c r="F57" s="16">
        <v>0.94</v>
      </c>
      <c r="G57" s="16"/>
    </row>
    <row r="58" spans="3:7">
      <c r="C58" s="8" t="s">
        <v>44</v>
      </c>
      <c r="D58" s="9">
        <v>0.94</v>
      </c>
      <c r="E58" s="15" t="s">
        <v>75</v>
      </c>
      <c r="F58" s="16">
        <v>1</v>
      </c>
      <c r="G58" s="16"/>
    </row>
    <row r="59" spans="3:7">
      <c r="C59" s="8" t="s">
        <v>45</v>
      </c>
      <c r="D59" s="9">
        <v>0.93</v>
      </c>
      <c r="E59" s="15" t="s">
        <v>76</v>
      </c>
      <c r="F59" s="16">
        <v>0.95</v>
      </c>
      <c r="G59" s="16"/>
    </row>
    <row r="60" spans="3:7">
      <c r="E60" s="15" t="s">
        <v>77</v>
      </c>
      <c r="F60" s="16">
        <v>1</v>
      </c>
      <c r="G60" s="16"/>
    </row>
    <row r="61" spans="3:7">
      <c r="E61" s="15" t="s">
        <v>78</v>
      </c>
      <c r="F61" s="16">
        <v>0.98</v>
      </c>
      <c r="G61" s="16"/>
    </row>
    <row r="62" spans="3:7">
      <c r="E62" s="15" t="s">
        <v>79</v>
      </c>
      <c r="F62" s="16">
        <v>1</v>
      </c>
      <c r="G62" s="1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Pennsylvania Commission on Crime and Delinquency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PCCDUser</dc:creator>
  <cp:lastModifiedBy>c-lweaber</cp:lastModifiedBy>
  <dcterms:created xsi:type="dcterms:W3CDTF">2010-07-23T16:26:46Z</dcterms:created>
  <dcterms:modified xsi:type="dcterms:W3CDTF">2012-05-30T18:09:22Z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1415839220</vt:i4>
  </property>
  <property fmtid="{D5CDD505-2E9C-101B-9397-08002B2CF9AE}" pid="3" name="_NewReviewCycle">
    <vt:lpwstr/>
  </property>
  <property fmtid="{D5CDD505-2E9C-101B-9397-08002B2CF9AE}" pid="4" name="_EmailSubject">
    <vt:lpwstr>this is what is on the web right now</vt:lpwstr>
  </property>
  <property fmtid="{D5CDD505-2E9C-101B-9397-08002B2CF9AE}" pid="5" name="_AuthorEmail">
    <vt:lpwstr>c-lweaber@state.pa.us</vt:lpwstr>
  </property>
  <property fmtid="{D5CDD505-2E9C-101B-9397-08002B2CF9AE}" pid="6" name="_AuthorEmailDisplayName">
    <vt:lpwstr>Weaber, Linda</vt:lpwstr>
  </property>
  <property fmtid="{D5CDD505-2E9C-101B-9397-08002B2CF9AE}" pid="7" name="_PreviousAdHocReviewCycleID">
    <vt:i4>1694018010</vt:i4>
  </property>
</Properties>
</file>