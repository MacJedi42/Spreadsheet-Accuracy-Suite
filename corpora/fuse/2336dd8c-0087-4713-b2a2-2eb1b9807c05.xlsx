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emf" ContentType="image/x-emf"/>
  <Override PartName="/xl/embeddings/oleObject3.bin" ContentType="application/vnd.openxmlformats-officedocument.oleObject"/>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0" yWindow="105" windowWidth="15195" windowHeight="7935"/>
  </bookViews>
  <sheets>
    <sheet name="INPUT" sheetId="1" r:id="rId1"/>
    <sheet name="OUTPUT" sheetId="3" r:id="rId2"/>
    <sheet name="FACTORS" sheetId="2" r:id="rId3"/>
    <sheet name="REVISIONS" sheetId="4" r:id="rId4"/>
  </sheets>
  <definedNames>
    <definedName name="_xlnm.Print_Area" localSheetId="1">OUTPUT!$A$1:$I$159</definedName>
    <definedName name="_xlnm.Print_Titles" localSheetId="1">OUTPUT!$1:$8</definedName>
  </definedNames>
  <calcPr calcId="125725" fullCalcOnLoad="1"/>
</workbook>
</file>

<file path=xl/calcChain.xml><?xml version="1.0" encoding="utf-8"?>
<calcChain xmlns="http://schemas.openxmlformats.org/spreadsheetml/2006/main">
  <c r="A2" i="3"/>
  <c r="C3"/>
  <c r="F12"/>
  <c r="F13"/>
  <c r="F14"/>
  <c r="F15"/>
  <c r="F16"/>
  <c r="F17"/>
  <c r="F20"/>
  <c r="F21"/>
  <c r="F22"/>
  <c r="F25"/>
  <c r="F26"/>
  <c r="F29"/>
  <c r="F30"/>
  <c r="F33"/>
  <c r="F34"/>
  <c r="F35"/>
  <c r="F36"/>
  <c r="F37"/>
  <c r="F38"/>
  <c r="D46"/>
  <c r="E46"/>
  <c r="F46"/>
  <c r="G46"/>
  <c r="H46"/>
  <c r="I46"/>
  <c r="D47"/>
  <c r="E47"/>
  <c r="F47"/>
  <c r="G47"/>
  <c r="H47"/>
  <c r="I47"/>
  <c r="D48"/>
  <c r="E48"/>
  <c r="F48"/>
  <c r="G48"/>
  <c r="H48"/>
  <c r="I48"/>
  <c r="D49"/>
  <c r="E49"/>
  <c r="F49"/>
  <c r="G49"/>
  <c r="H49"/>
  <c r="I49"/>
  <c r="D50"/>
  <c r="E50"/>
  <c r="F50"/>
  <c r="G50"/>
  <c r="H50"/>
  <c r="I50"/>
  <c r="D51"/>
  <c r="E51"/>
  <c r="F51"/>
  <c r="G51"/>
  <c r="H51"/>
  <c r="I51"/>
  <c r="D52"/>
  <c r="E52"/>
  <c r="F52"/>
  <c r="G52"/>
  <c r="H52"/>
  <c r="I52"/>
  <c r="D53"/>
  <c r="E53"/>
  <c r="F53"/>
  <c r="G53"/>
  <c r="H53"/>
  <c r="I53"/>
  <c r="D54"/>
  <c r="E54"/>
  <c r="F54"/>
  <c r="G54"/>
  <c r="D55"/>
  <c r="E55"/>
  <c r="F55"/>
  <c r="F59" s="1"/>
  <c r="G55"/>
  <c r="D56"/>
  <c r="E56"/>
  <c r="F56"/>
  <c r="G56"/>
  <c r="H56"/>
  <c r="I56"/>
  <c r="D57"/>
  <c r="D59" s="1"/>
  <c r="E57"/>
  <c r="F57"/>
  <c r="G57"/>
  <c r="H57"/>
  <c r="I57"/>
  <c r="D58"/>
  <c r="E58"/>
  <c r="F58"/>
  <c r="G58"/>
  <c r="E59"/>
  <c r="H59"/>
  <c r="I59"/>
  <c r="E68"/>
  <c r="H68"/>
  <c r="H72" s="1"/>
  <c r="E69"/>
  <c r="H69"/>
  <c r="E70"/>
  <c r="H70"/>
  <c r="E71"/>
  <c r="H71"/>
  <c r="E79"/>
  <c r="H79"/>
  <c r="H83" s="1"/>
  <c r="E81"/>
  <c r="H81"/>
  <c r="E82"/>
  <c r="H82"/>
  <c r="E90"/>
  <c r="H90"/>
  <c r="E91"/>
  <c r="E94" s="1"/>
  <c r="H91"/>
  <c r="E92"/>
  <c r="H92"/>
  <c r="E93"/>
  <c r="H93"/>
  <c r="E101"/>
  <c r="H101"/>
  <c r="H105" s="1"/>
  <c r="E102"/>
  <c r="H102"/>
  <c r="E103"/>
  <c r="H103"/>
  <c r="E104"/>
  <c r="H104"/>
  <c r="E112"/>
  <c r="H112"/>
  <c r="E113"/>
  <c r="H113"/>
  <c r="E114"/>
  <c r="H114"/>
  <c r="E115"/>
  <c r="H115"/>
  <c r="E116"/>
  <c r="E122"/>
  <c r="H122"/>
  <c r="E123"/>
  <c r="H123"/>
  <c r="H126" s="1"/>
  <c r="E124"/>
  <c r="H124"/>
  <c r="E125"/>
  <c r="H125"/>
  <c r="E133"/>
  <c r="H133"/>
  <c r="E134"/>
  <c r="H134"/>
  <c r="E135"/>
  <c r="H135"/>
  <c r="E136"/>
  <c r="H136"/>
  <c r="E144"/>
  <c r="H144"/>
  <c r="E145"/>
  <c r="E148" s="1"/>
  <c r="H145"/>
  <c r="E147"/>
  <c r="H147"/>
  <c r="E154"/>
  <c r="H154"/>
  <c r="E157"/>
  <c r="H157"/>
  <c r="A2" i="4"/>
  <c r="H137" i="3" l="1"/>
  <c r="E105"/>
  <c r="H94"/>
  <c r="G59"/>
  <c r="I58"/>
  <c r="H158"/>
  <c r="E158"/>
  <c r="E137"/>
  <c r="H148"/>
  <c r="E126"/>
  <c r="H116"/>
  <c r="E83"/>
  <c r="G61"/>
  <c r="E72"/>
  <c r="H58"/>
</calcChain>
</file>

<file path=xl/sharedStrings.xml><?xml version="1.0" encoding="utf-8"?>
<sst xmlns="http://schemas.openxmlformats.org/spreadsheetml/2006/main" count="697" uniqueCount="168">
  <si>
    <t>PM Emission Factors</t>
  </si>
  <si>
    <t>Cement Silo without controls</t>
  </si>
  <si>
    <t>lb/ton cement</t>
  </si>
  <si>
    <t>Cement Silo with controls</t>
  </si>
  <si>
    <t xml:space="preserve">Suppl Silo without controls </t>
  </si>
  <si>
    <t>lb/ton suppl</t>
  </si>
  <si>
    <t>No Data</t>
  </si>
  <si>
    <t>Suppl Silo with controls</t>
  </si>
  <si>
    <t>Weigh Hopper without controls</t>
  </si>
  <si>
    <t>Truck Mix without controls</t>
  </si>
  <si>
    <t>lb/ton aggr+sand</t>
  </si>
  <si>
    <t>lb/ton cement+suppl</t>
  </si>
  <si>
    <t>Weigh Hopper with controls</t>
  </si>
  <si>
    <t>Truck Mix with controls</t>
  </si>
  <si>
    <t>Central Mix without controls</t>
  </si>
  <si>
    <t>Central Mix with controls</t>
  </si>
  <si>
    <t>Sand &amp; Aggr Plant-Wide</t>
  </si>
  <si>
    <t>lb/yd3 concrete</t>
  </si>
  <si>
    <t>Syn Minor Cutoff for typical NC</t>
  </si>
  <si>
    <t>yd3/hr</t>
  </si>
  <si>
    <t>lbs</t>
  </si>
  <si>
    <t>Total</t>
  </si>
  <si>
    <t>PARTICULATE EMISSIONS</t>
  </si>
  <si>
    <t xml:space="preserve">     Expected Actual</t>
  </si>
  <si>
    <t>Potential Emissions</t>
  </si>
  <si>
    <t xml:space="preserve">   After Controls/Limit</t>
  </si>
  <si>
    <t>Before Controls/Limit</t>
  </si>
  <si>
    <t>After Controls/Limit</t>
  </si>
  <si>
    <t>Pollutant</t>
  </si>
  <si>
    <t>lb/hr</t>
  </si>
  <si>
    <t>tons/yr</t>
  </si>
  <si>
    <t>PM</t>
  </si>
  <si>
    <t>PM10</t>
  </si>
  <si>
    <t xml:space="preserve">    [sand &amp; aggr.]</t>
  </si>
  <si>
    <t>TOTAL PM</t>
  </si>
  <si>
    <t>TOTAL PM10</t>
  </si>
  <si>
    <t>Title V Potential</t>
  </si>
  <si>
    <t>ARSENIC EMISSIONS</t>
  </si>
  <si>
    <t>Actuals w/Controls/Limits</t>
  </si>
  <si>
    <t>Potentials w/Controls/Limits</t>
  </si>
  <si>
    <t>Arsenic</t>
  </si>
  <si>
    <t xml:space="preserve">        Source</t>
  </si>
  <si>
    <t>Ref.</t>
  </si>
  <si>
    <t>lb/yr</t>
  </si>
  <si>
    <t>truck mix</t>
  </si>
  <si>
    <t>(ATC2005)</t>
  </si>
  <si>
    <t>central mix</t>
  </si>
  <si>
    <t>cement silo</t>
  </si>
  <si>
    <t>(EPA2001)</t>
  </si>
  <si>
    <t>supplement silo</t>
  </si>
  <si>
    <t>TOTAL</t>
  </si>
  <si>
    <t>Emission Source Description</t>
  </si>
  <si>
    <r>
      <t>PM</t>
    </r>
    <r>
      <rPr>
        <b/>
        <vertAlign val="subscript"/>
        <sz val="10"/>
        <rFont val="Arial"/>
        <family val="2"/>
      </rPr>
      <t>10</t>
    </r>
    <r>
      <rPr>
        <b/>
        <sz val="10"/>
        <rFont val="Arial"/>
        <family val="2"/>
      </rPr>
      <t xml:space="preserve"> Emission Factors</t>
    </r>
  </si>
  <si>
    <t xml:space="preserve"> - </t>
  </si>
  <si>
    <t>Arsenic Emission Factors</t>
  </si>
  <si>
    <t>References</t>
  </si>
  <si>
    <t>U.S. EPA, Office of Air Quality Planning and Standards.  AP-42; Chapter 11.12 (Oct. 2001), Table 11.12-3 (PM/PM10)</t>
  </si>
  <si>
    <t>* North Carolina typical material composition is based on data from industry contacts.  User may enter site-specific data.</t>
  </si>
  <si>
    <t>**Actual weigh hopper (sand &amp; aggr) emissions assumed uncontrolled since AP-42 reports "no data" for controlled.</t>
  </si>
  <si>
    <t>EMISSION FACTOR SUMMARY FOR READY-MIXED CONCRETE BATCH FACILITIES</t>
  </si>
  <si>
    <r>
      <t>(</t>
    </r>
    <r>
      <rPr>
        <sz val="8"/>
        <rFont val="Arial"/>
        <family val="2"/>
      </rPr>
      <t>Arsenic TPER:</t>
    </r>
    <r>
      <rPr>
        <sz val="9"/>
        <rFont val="Arial"/>
        <family val="2"/>
      </rPr>
      <t xml:space="preserve"> </t>
    </r>
    <r>
      <rPr>
        <sz val="10"/>
        <rFont val="Arial"/>
        <family val="2"/>
      </rPr>
      <t>0.016 lb/yr)</t>
    </r>
  </si>
  <si>
    <t xml:space="preserve"> Source </t>
  </si>
  <si>
    <t>suppl. Silo</t>
  </si>
  <si>
    <t>sand &amp; aggr.</t>
  </si>
  <si>
    <r>
      <t>weigh hopper</t>
    </r>
    <r>
      <rPr>
        <sz val="10"/>
        <rFont val="Arial"/>
        <family val="2"/>
      </rPr>
      <t>**</t>
    </r>
  </si>
  <si>
    <t>Instructions:  Enter emission source / facility data on the "INPUT" tab/screen.  The air emission results and summary of input data are viewed / printed on the "OUTPUT" tab/screen.  The different tabs are on the bottom of this screen.</t>
  </si>
  <si>
    <t>This spreadsheet is for your use only and should be used with caution. DENR does not guarantee the accuracy of the information contained.  This spreadsheet is subject to continual revision and updating.  It is your responsibility to be aware of the most current information available.  DENR is not responsible for errors or omissions that may be contained herein.</t>
  </si>
  <si>
    <t>Directions: Enter and select information in the boxes that are highlighted in blue:</t>
  </si>
  <si>
    <t>COMPANY NAME:</t>
  </si>
  <si>
    <t>Company Name</t>
  </si>
  <si>
    <t>FACILITY ID NUMBER:</t>
  </si>
  <si>
    <t>04/01/12345</t>
  </si>
  <si>
    <t>PERMIT NUMBER</t>
  </si>
  <si>
    <t>01234R00</t>
  </si>
  <si>
    <t>FACILITY CITY:</t>
  </si>
  <si>
    <t>City</t>
  </si>
  <si>
    <t>FACILITY COUNTY:</t>
  </si>
  <si>
    <t>County</t>
  </si>
  <si>
    <t>SPREADSHEET PREPARED BY:</t>
  </si>
  <si>
    <t>Your Name</t>
  </si>
  <si>
    <t>MAXIMUM HOURLY THROUGHPUT AT TRUCK LOAD OUT</t>
  </si>
  <si>
    <t>IS THE MAXIMUM THROUGHPUT A SYNTHETIC LIMIT?</t>
  </si>
  <si>
    <t>ACTUAL ANNUAL PRODUCTION</t>
  </si>
  <si>
    <t>IS THERE A CONTROL DEVICE ON THE CENTRAL MIX?</t>
  </si>
  <si>
    <t>IS THERE A CONTROL DEVICE ON THE TRUCK MIX?</t>
  </si>
  <si>
    <t>PERCENT OF ANNUAL LOADOUT THROUGH TRUCK MIX</t>
  </si>
  <si>
    <t xml:space="preserve">PERCENT OF ANNUAL LOADOUT THROUGH CENTRAL MIX </t>
  </si>
  <si>
    <r>
      <t>(yd</t>
    </r>
    <r>
      <rPr>
        <vertAlign val="superscript"/>
        <sz val="10"/>
        <rFont val="Arial"/>
        <family val="2"/>
      </rPr>
      <t>3</t>
    </r>
    <r>
      <rPr>
        <sz val="10"/>
        <rFont val="Arial"/>
        <family val="2"/>
      </rPr>
      <t>/hour)</t>
    </r>
  </si>
  <si>
    <t>(1=No, 2=Yes)</t>
  </si>
  <si>
    <r>
      <t>(yd</t>
    </r>
    <r>
      <rPr>
        <vertAlign val="superscript"/>
        <sz val="10"/>
        <rFont val="Arial"/>
        <family val="2"/>
      </rPr>
      <t>3</t>
    </r>
    <r>
      <rPr>
        <sz val="10"/>
        <rFont val="Arial"/>
        <family val="2"/>
      </rPr>
      <t>/year)</t>
    </r>
  </si>
  <si>
    <t>(% by volume)</t>
  </si>
  <si>
    <t>General Facility Information</t>
  </si>
  <si>
    <t>Facility Production Information</t>
  </si>
  <si>
    <t>Facility Emissions Control Information</t>
  </si>
  <si>
    <t>Material Composition Information</t>
  </si>
  <si>
    <t>Cement</t>
  </si>
  <si>
    <t>Supplement</t>
  </si>
  <si>
    <t>Coarse Aggregate</t>
  </si>
  <si>
    <t>Sand</t>
  </si>
  <si>
    <t>Water</t>
  </si>
  <si>
    <t>410 lbs</t>
  </si>
  <si>
    <t>120 lbs</t>
  </si>
  <si>
    <t>1884 lbs</t>
  </si>
  <si>
    <t>1443 lbs</t>
  </si>
  <si>
    <t>167 lbs</t>
  </si>
  <si>
    <t>4024 lbs</t>
  </si>
  <si>
    <t>Typical NC Comp.*</t>
  </si>
  <si>
    <t>CONCRETE BATCH PLANT EMISSIONS CALCULATOR - INPUT SCREEN</t>
  </si>
  <si>
    <t>CONCRETE BATCH PLANT EMISSIONS CALCULATOR - OUTPUT SCREEN</t>
  </si>
  <si>
    <t>CONCRETE BATCH PLANT EMISSIONS CALCULATOR - REVISIONS SCREEN</t>
  </si>
  <si>
    <t>Version</t>
  </si>
  <si>
    <t>Date</t>
  </si>
  <si>
    <t>Author</t>
  </si>
  <si>
    <t>Revisions</t>
  </si>
  <si>
    <t>Revision A</t>
  </si>
  <si>
    <t>Tom McKinney</t>
  </si>
  <si>
    <t>Ken Lumsden, P.E.</t>
  </si>
  <si>
    <t>N/A</t>
  </si>
  <si>
    <t xml:space="preserve">Added metals listed in U.S. EPA's AP-42, Table 11.12-6. </t>
  </si>
  <si>
    <r>
      <t>Revised emission factors for PM, PM</t>
    </r>
    <r>
      <rPr>
        <vertAlign val="subscript"/>
        <sz val="10"/>
        <rFont val="Arial"/>
        <family val="2"/>
      </rPr>
      <t>10</t>
    </r>
    <r>
      <rPr>
        <sz val="10"/>
        <rFont val="Arial"/>
        <family val="2"/>
      </rPr>
      <t>, and Arsenic based on memorandum from DAQ's Keith Overcash, dated June 8, 2005.</t>
    </r>
  </si>
  <si>
    <t>Revised formatting to be consistent with DAQ protocol.</t>
  </si>
  <si>
    <t>SOURCE / FACILITY / USER INPUT SUMMARY (FROM INPUT SCREEN)</t>
  </si>
  <si>
    <t>PARTICULATE MATTER EMISSIONS INFORMATION</t>
  </si>
  <si>
    <t>ARSENIC EMISSIONS INFORMATION</t>
  </si>
  <si>
    <t>Beryllium Emission Factors</t>
  </si>
  <si>
    <t>Cadmium Emission Factors</t>
  </si>
  <si>
    <t>Chromium Emission Factors</t>
  </si>
  <si>
    <t>Lead Emission Factors</t>
  </si>
  <si>
    <t>Manganese Emission Factors</t>
  </si>
  <si>
    <t>Nickel Emission Factors</t>
  </si>
  <si>
    <t>Phosporous Emission Factors</t>
  </si>
  <si>
    <t>Selenium Emission Factors</t>
  </si>
  <si>
    <t>U.S. EPA, Office of Air Quality Planning and Standards.  AP-42; Chapter 11.12 (Oct. 2001), Table 11.12-2 (PM/PM10) &amp; Table 11.12-6 (As)</t>
  </si>
  <si>
    <t>U.S. EPA, Office of Air Quality Planning and Standards.  AP-42; Chapter 11.12 (Oct. 2001), Table 11.12-2 (PM/PM10)</t>
  </si>
  <si>
    <t>Memorandum, Emission Factors for Ready-Mixed Concrete Facilities.  From Mr. Keith Overcash (NC DAQ, Director) to Section Chiefs/Regional Supervisors.  June 8, 2005.</t>
  </si>
  <si>
    <t>BERYLLIUM EMISSIONS INFORMATION</t>
  </si>
  <si>
    <t>CADMIUM EMISSIONS INFORMATION</t>
  </si>
  <si>
    <t>CHROMIUM EMISSIONS INFORMATION</t>
  </si>
  <si>
    <t>LEAD EMISSIONS INFORMATION</t>
  </si>
  <si>
    <t>MANGANESE EMISSIONS INFORMATION</t>
  </si>
  <si>
    <t>NICKEL EMISSIONS INFORMATION</t>
  </si>
  <si>
    <t>PHOSPHOROUS EMISSIONS INFORMATION</t>
  </si>
  <si>
    <t>SELENIUM EMISSIONS INFORMATION</t>
  </si>
  <si>
    <t>BERYLLIUM EMISSIONS</t>
  </si>
  <si>
    <t>Beryllium</t>
  </si>
  <si>
    <t>CADMIUM EMISSIONS</t>
  </si>
  <si>
    <t>CHROMIUM EMISSIONS</t>
  </si>
  <si>
    <t>LEAD EMISSIONS</t>
  </si>
  <si>
    <t>MANGANESE EMISSIONS</t>
  </si>
  <si>
    <t>NICKEL EMISSIONS</t>
  </si>
  <si>
    <t>PHOSPHOROUS EMISSIONS</t>
  </si>
  <si>
    <t>SELENIUM EMISSIONS</t>
  </si>
  <si>
    <t>Cadmium</t>
  </si>
  <si>
    <t>Chromium</t>
  </si>
  <si>
    <t>Lead</t>
  </si>
  <si>
    <t>Phosphorous</t>
  </si>
  <si>
    <t>Nickel</t>
  </si>
  <si>
    <t>Manganese</t>
  </si>
  <si>
    <t>Selenium</t>
  </si>
  <si>
    <t>U.S. EPA, Office of Air Quality Planning and Standards.  AP-42; Chapter 11.12 (Oct. 2001), Table 11.12-6</t>
  </si>
  <si>
    <r>
      <t>(</t>
    </r>
    <r>
      <rPr>
        <sz val="8"/>
        <rFont val="Arial"/>
        <family val="2"/>
      </rPr>
      <t>Beryllium TPER:</t>
    </r>
    <r>
      <rPr>
        <sz val="9"/>
        <rFont val="Arial"/>
        <family val="2"/>
      </rPr>
      <t xml:space="preserve"> </t>
    </r>
    <r>
      <rPr>
        <sz val="10"/>
        <rFont val="Arial"/>
        <family val="2"/>
      </rPr>
      <t>0.28 lb/yr)</t>
    </r>
  </si>
  <si>
    <r>
      <t>(</t>
    </r>
    <r>
      <rPr>
        <sz val="8"/>
        <rFont val="Arial"/>
        <family val="2"/>
      </rPr>
      <t>Cadmium TPER:</t>
    </r>
    <r>
      <rPr>
        <sz val="9"/>
        <rFont val="Arial"/>
        <family val="2"/>
      </rPr>
      <t xml:space="preserve"> </t>
    </r>
    <r>
      <rPr>
        <sz val="10"/>
        <rFont val="Arial"/>
        <family val="2"/>
      </rPr>
      <t>0.37 lb/yr)</t>
    </r>
  </si>
  <si>
    <r>
      <t>(</t>
    </r>
    <r>
      <rPr>
        <sz val="8"/>
        <rFont val="Arial"/>
        <family val="2"/>
      </rPr>
      <t>Chromium TPER:</t>
    </r>
    <r>
      <rPr>
        <sz val="9"/>
        <rFont val="Arial"/>
        <family val="2"/>
      </rPr>
      <t xml:space="preserve"> </t>
    </r>
    <r>
      <rPr>
        <sz val="10"/>
        <rFont val="Arial"/>
        <family val="2"/>
      </rPr>
      <t>0.013 lb/day)</t>
    </r>
  </si>
  <si>
    <r>
      <t>(</t>
    </r>
    <r>
      <rPr>
        <sz val="8"/>
        <rFont val="Arial"/>
        <family val="2"/>
      </rPr>
      <t>Manganese TPER:</t>
    </r>
    <r>
      <rPr>
        <sz val="9"/>
        <rFont val="Arial"/>
        <family val="2"/>
      </rPr>
      <t xml:space="preserve"> </t>
    </r>
    <r>
      <rPr>
        <sz val="10"/>
        <rFont val="Arial"/>
        <family val="2"/>
      </rPr>
      <t>0.063 lb/day)</t>
    </r>
  </si>
  <si>
    <r>
      <t>(</t>
    </r>
    <r>
      <rPr>
        <sz val="8"/>
        <rFont val="Arial"/>
        <family val="2"/>
      </rPr>
      <t>Nickel TPER:</t>
    </r>
    <r>
      <rPr>
        <sz val="9"/>
        <rFont val="Arial"/>
        <family val="2"/>
      </rPr>
      <t xml:space="preserve"> </t>
    </r>
    <r>
      <rPr>
        <sz val="10"/>
        <rFont val="Arial"/>
        <family val="2"/>
      </rPr>
      <t>0.13 lb/day)</t>
    </r>
  </si>
  <si>
    <t>(No Data)</t>
  </si>
  <si>
    <t xml:space="preserve"> </t>
  </si>
  <si>
    <t>REVISION A; Issued 01/23/2006</t>
  </si>
</sst>
</file>

<file path=xl/styles.xml><?xml version="1.0" encoding="utf-8"?>
<styleSheet xmlns="http://schemas.openxmlformats.org/spreadsheetml/2006/main">
  <numFmts count="3">
    <numFmt numFmtId="164" formatCode="0.000"/>
    <numFmt numFmtId="165" formatCode="0.0000"/>
    <numFmt numFmtId="166" formatCode="0.00000"/>
  </numFmts>
  <fonts count="26">
    <font>
      <sz val="10"/>
      <name val="Arial"/>
    </font>
    <font>
      <b/>
      <sz val="10"/>
      <name val="Arial"/>
      <family val="2"/>
    </font>
    <font>
      <sz val="8"/>
      <name val="Arial"/>
      <family val="2"/>
    </font>
    <font>
      <u/>
      <sz val="10"/>
      <name val="Arial"/>
      <family val="2"/>
    </font>
    <font>
      <i/>
      <sz val="10"/>
      <name val="Arial"/>
      <family val="2"/>
    </font>
    <font>
      <b/>
      <sz val="8"/>
      <name val="Arial"/>
      <family val="2"/>
    </font>
    <font>
      <sz val="10"/>
      <name val="Arial"/>
      <family val="2"/>
    </font>
    <font>
      <b/>
      <vertAlign val="subscript"/>
      <sz val="10"/>
      <name val="Arial"/>
      <family val="2"/>
    </font>
    <font>
      <b/>
      <sz val="11"/>
      <name val="Arial"/>
      <family val="2"/>
    </font>
    <font>
      <sz val="11"/>
      <name val="Arial"/>
      <family val="2"/>
    </font>
    <font>
      <sz val="9"/>
      <name val="Arial"/>
      <family val="2"/>
    </font>
    <font>
      <i/>
      <sz val="8"/>
      <name val="Arial"/>
      <family val="2"/>
    </font>
    <font>
      <b/>
      <u/>
      <sz val="10"/>
      <name val="Arial"/>
      <family val="2"/>
    </font>
    <font>
      <b/>
      <u/>
      <sz val="11"/>
      <name val="Arial"/>
      <family val="2"/>
    </font>
    <font>
      <b/>
      <sz val="12"/>
      <color indexed="12"/>
      <name val="Arial"/>
      <family val="2"/>
    </font>
    <font>
      <b/>
      <sz val="10"/>
      <color indexed="12"/>
      <name val="Arial"/>
      <family val="2"/>
    </font>
    <font>
      <b/>
      <sz val="8"/>
      <color indexed="10"/>
      <name val="Arial"/>
      <family val="2"/>
    </font>
    <font>
      <b/>
      <sz val="8"/>
      <color indexed="12"/>
      <name val="Arial"/>
      <family val="2"/>
    </font>
    <font>
      <b/>
      <i/>
      <sz val="10"/>
      <color indexed="12"/>
      <name val="Arial"/>
      <family val="2"/>
    </font>
    <font>
      <b/>
      <i/>
      <sz val="10"/>
      <name val="Arial"/>
      <family val="2"/>
    </font>
    <font>
      <b/>
      <i/>
      <u/>
      <sz val="12"/>
      <name val="Arial"/>
      <family val="2"/>
    </font>
    <font>
      <sz val="10"/>
      <color indexed="12"/>
      <name val="Arial"/>
      <family val="2"/>
    </font>
    <font>
      <vertAlign val="superscript"/>
      <sz val="10"/>
      <name val="Arial"/>
      <family val="2"/>
    </font>
    <font>
      <b/>
      <i/>
      <u/>
      <sz val="10"/>
      <name val="Arial"/>
      <family val="2"/>
    </font>
    <font>
      <vertAlign val="subscript"/>
      <sz val="10"/>
      <name val="Arial"/>
      <family val="2"/>
    </font>
    <font>
      <b/>
      <sz val="10"/>
      <color indexed="8"/>
      <name val="Arial"/>
      <family val="2"/>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indexed="22"/>
        <bgColor indexed="64"/>
      </patternFill>
    </fill>
  </fills>
  <borders count="57">
    <border>
      <left/>
      <right/>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63">
    <xf numFmtId="0" fontId="0" fillId="0" borderId="0" xfId="0"/>
    <xf numFmtId="0" fontId="0" fillId="0" borderId="1" xfId="0" applyBorder="1"/>
    <xf numFmtId="0" fontId="0" fillId="0" borderId="0" xfId="0" applyBorder="1"/>
    <xf numFmtId="0" fontId="0" fillId="0" borderId="2" xfId="0" applyBorder="1"/>
    <xf numFmtId="0" fontId="0" fillId="0" borderId="3" xfId="0" applyBorder="1"/>
    <xf numFmtId="0" fontId="1" fillId="0" borderId="0" xfId="0" applyFont="1"/>
    <xf numFmtId="0" fontId="0" fillId="0" borderId="4" xfId="0" applyBorder="1"/>
    <xf numFmtId="0" fontId="0" fillId="0" borderId="5" xfId="0" applyBorder="1"/>
    <xf numFmtId="0" fontId="0" fillId="2" borderId="1" xfId="0" applyFill="1" applyBorder="1"/>
    <xf numFmtId="0" fontId="0" fillId="2" borderId="4" xfId="0" applyFill="1" applyBorder="1"/>
    <xf numFmtId="164" fontId="0" fillId="2" borderId="4" xfId="0" applyNumberFormat="1" applyFill="1" applyBorder="1"/>
    <xf numFmtId="0" fontId="0" fillId="2" borderId="3" xfId="0" applyFill="1" applyBorder="1"/>
    <xf numFmtId="164" fontId="0" fillId="0" borderId="4" xfId="0" applyNumberFormat="1" applyBorder="1"/>
    <xf numFmtId="164" fontId="0" fillId="0" borderId="4" xfId="0" applyNumberFormat="1" applyBorder="1" applyAlignment="1">
      <alignment horizontal="right"/>
    </xf>
    <xf numFmtId="0" fontId="0" fillId="3" borderId="5" xfId="0" applyFill="1" applyBorder="1"/>
    <xf numFmtId="0" fontId="0" fillId="3" borderId="4" xfId="0" applyFill="1" applyBorder="1"/>
    <xf numFmtId="164" fontId="0" fillId="3" borderId="4" xfId="0" applyNumberFormat="1" applyFill="1" applyBorder="1"/>
    <xf numFmtId="164" fontId="1" fillId="3" borderId="4" xfId="0" applyNumberFormat="1" applyFont="1" applyFill="1" applyBorder="1"/>
    <xf numFmtId="0" fontId="0" fillId="0" borderId="6" xfId="0" applyBorder="1"/>
    <xf numFmtId="165" fontId="2" fillId="0" borderId="4" xfId="0" applyNumberFormat="1" applyFont="1" applyBorder="1"/>
    <xf numFmtId="166" fontId="0" fillId="3" borderId="4" xfId="0" applyNumberFormat="1" applyFill="1" applyBorder="1"/>
    <xf numFmtId="166" fontId="0" fillId="2" borderId="4" xfId="0" applyNumberFormat="1" applyFill="1" applyBorder="1"/>
    <xf numFmtId="0" fontId="2" fillId="0" borderId="4" xfId="0" applyFont="1" applyBorder="1"/>
    <xf numFmtId="0" fontId="1" fillId="0" borderId="5" xfId="0" applyFont="1" applyBorder="1"/>
    <xf numFmtId="0" fontId="6" fillId="0" borderId="4" xfId="0" applyFont="1" applyBorder="1"/>
    <xf numFmtId="0" fontId="1" fillId="0" borderId="0" xfId="0" applyFont="1" applyBorder="1"/>
    <xf numFmtId="0" fontId="2" fillId="0" borderId="0" xfId="0" applyFont="1"/>
    <xf numFmtId="0" fontId="1" fillId="0" borderId="7" xfId="0" applyFont="1" applyBorder="1"/>
    <xf numFmtId="0" fontId="1" fillId="0" borderId="8" xfId="0" applyFont="1" applyBorder="1"/>
    <xf numFmtId="0" fontId="8" fillId="0" borderId="7" xfId="0" applyFont="1" applyBorder="1"/>
    <xf numFmtId="0" fontId="9" fillId="0" borderId="8" xfId="0" applyFont="1" applyBorder="1"/>
    <xf numFmtId="0" fontId="8" fillId="0" borderId="5" xfId="0" applyFont="1" applyBorder="1"/>
    <xf numFmtId="0" fontId="5" fillId="0" borderId="0" xfId="0" applyFont="1" applyBorder="1"/>
    <xf numFmtId="0" fontId="0" fillId="0" borderId="9" xfId="0" applyBorder="1" applyAlignment="1">
      <alignment vertical="top"/>
    </xf>
    <xf numFmtId="0" fontId="0" fillId="0" borderId="9" xfId="0" applyBorder="1" applyAlignment="1">
      <alignment horizontal="center" vertical="top"/>
    </xf>
    <xf numFmtId="0" fontId="0" fillId="0" borderId="10" xfId="0" applyBorder="1" applyAlignment="1">
      <alignment vertical="top"/>
    </xf>
    <xf numFmtId="0" fontId="0" fillId="0" borderId="11" xfId="0" applyBorder="1" applyAlignment="1">
      <alignment vertical="top"/>
    </xf>
    <xf numFmtId="0" fontId="0" fillId="0" borderId="10" xfId="0" applyBorder="1" applyAlignment="1">
      <alignment horizontal="center" vertical="top"/>
    </xf>
    <xf numFmtId="0" fontId="0" fillId="0" borderId="12" xfId="0" applyBorder="1" applyAlignment="1">
      <alignment vertical="top"/>
    </xf>
    <xf numFmtId="0" fontId="0" fillId="0" borderId="12" xfId="0" applyBorder="1" applyAlignment="1">
      <alignment horizontal="center" vertical="top"/>
    </xf>
    <xf numFmtId="0" fontId="0" fillId="0" borderId="13" xfId="0" applyBorder="1" applyAlignment="1">
      <alignment vertical="top"/>
    </xf>
    <xf numFmtId="0" fontId="0" fillId="0" borderId="14" xfId="0" applyBorder="1" applyAlignment="1">
      <alignment vertical="top"/>
    </xf>
    <xf numFmtId="0" fontId="0" fillId="0" borderId="13" xfId="0" applyBorder="1" applyAlignment="1">
      <alignment horizontal="center" vertical="top"/>
    </xf>
    <xf numFmtId="0" fontId="0" fillId="0" borderId="12" xfId="0" applyFill="1" applyBorder="1" applyAlignment="1">
      <alignment vertical="top"/>
    </xf>
    <xf numFmtId="0" fontId="0" fillId="0" borderId="12" xfId="0" applyFill="1" applyBorder="1" applyAlignment="1">
      <alignment horizontal="center" vertical="top"/>
    </xf>
    <xf numFmtId="0" fontId="0" fillId="0" borderId="13" xfId="0" applyFill="1" applyBorder="1" applyAlignment="1">
      <alignment vertical="top"/>
    </xf>
    <xf numFmtId="0" fontId="0" fillId="0" borderId="14" xfId="0" applyFill="1" applyBorder="1" applyAlignment="1">
      <alignment vertical="top"/>
    </xf>
    <xf numFmtId="11" fontId="0" fillId="0" borderId="12" xfId="0" applyNumberFormat="1" applyFill="1" applyBorder="1" applyAlignment="1">
      <alignment horizontal="center" vertical="top"/>
    </xf>
    <xf numFmtId="0" fontId="6" fillId="0" borderId="0" xfId="0" applyFont="1" applyBorder="1"/>
    <xf numFmtId="0" fontId="6" fillId="0" borderId="15" xfId="0" applyFont="1" applyBorder="1"/>
    <xf numFmtId="0" fontId="6" fillId="0" borderId="5" xfId="0" applyFont="1" applyBorder="1"/>
    <xf numFmtId="0" fontId="13" fillId="0" borderId="0" xfId="0" applyFont="1"/>
    <xf numFmtId="0" fontId="1" fillId="0" borderId="16" xfId="0" applyFont="1" applyBorder="1"/>
    <xf numFmtId="0" fontId="6" fillId="0" borderId="17" xfId="0" applyFont="1" applyBorder="1"/>
    <xf numFmtId="0" fontId="6" fillId="0" borderId="18" xfId="0" applyFont="1" applyBorder="1"/>
    <xf numFmtId="0" fontId="6" fillId="0" borderId="19" xfId="0" applyFont="1" applyBorder="1"/>
    <xf numFmtId="0" fontId="6" fillId="0" borderId="20" xfId="0" applyFont="1" applyBorder="1"/>
    <xf numFmtId="0" fontId="6" fillId="0" borderId="21" xfId="0" applyFont="1" applyBorder="1"/>
    <xf numFmtId="0" fontId="6" fillId="0" borderId="22" xfId="0" applyFont="1" applyBorder="1"/>
    <xf numFmtId="164" fontId="0" fillId="2" borderId="22" xfId="0" applyNumberFormat="1" applyFill="1" applyBorder="1"/>
    <xf numFmtId="164" fontId="0" fillId="0" borderId="22" xfId="0" applyNumberFormat="1" applyBorder="1"/>
    <xf numFmtId="0" fontId="0" fillId="0" borderId="23" xfId="0" applyBorder="1"/>
    <xf numFmtId="164" fontId="0" fillId="0" borderId="22" xfId="0" applyNumberFormat="1" applyBorder="1" applyAlignment="1">
      <alignment horizontal="right"/>
    </xf>
    <xf numFmtId="164" fontId="1" fillId="3" borderId="22" xfId="0" applyNumberFormat="1" applyFont="1" applyFill="1" applyBorder="1"/>
    <xf numFmtId="0" fontId="1" fillId="3" borderId="24" xfId="0" applyFont="1" applyFill="1" applyBorder="1"/>
    <xf numFmtId="0" fontId="1" fillId="3" borderId="25" xfId="0" applyFont="1" applyFill="1" applyBorder="1"/>
    <xf numFmtId="0" fontId="6" fillId="3" borderId="25" xfId="0" applyFont="1" applyFill="1" applyBorder="1"/>
    <xf numFmtId="164" fontId="0" fillId="3" borderId="25" xfId="0" applyNumberFormat="1" applyFill="1" applyBorder="1"/>
    <xf numFmtId="164" fontId="1" fillId="3" borderId="25" xfId="0" applyNumberFormat="1" applyFont="1" applyFill="1" applyBorder="1" applyAlignment="1">
      <alignment horizontal="center"/>
    </xf>
    <xf numFmtId="164" fontId="0" fillId="3" borderId="26" xfId="0" applyNumberFormat="1" applyFill="1" applyBorder="1"/>
    <xf numFmtId="0" fontId="6" fillId="0" borderId="25" xfId="0" applyFont="1" applyBorder="1" applyAlignment="1">
      <alignment horizontal="center"/>
    </xf>
    <xf numFmtId="0" fontId="6" fillId="0" borderId="26" xfId="0" applyFont="1" applyBorder="1" applyAlignment="1">
      <alignment horizontal="center"/>
    </xf>
    <xf numFmtId="0" fontId="0" fillId="3" borderId="3" xfId="0" applyFill="1" applyBorder="1"/>
    <xf numFmtId="0" fontId="0" fillId="3" borderId="6" xfId="0" applyFill="1" applyBorder="1"/>
    <xf numFmtId="164" fontId="0" fillId="3" borderId="6" xfId="0" applyNumberFormat="1" applyFill="1" applyBorder="1"/>
    <xf numFmtId="164" fontId="1" fillId="3" borderId="6" xfId="0" applyNumberFormat="1" applyFont="1" applyFill="1" applyBorder="1"/>
    <xf numFmtId="164" fontId="1" fillId="3" borderId="27" xfId="0" applyNumberFormat="1" applyFont="1" applyFill="1" applyBorder="1"/>
    <xf numFmtId="0" fontId="0" fillId="2" borderId="18" xfId="0" applyFill="1" applyBorder="1"/>
    <xf numFmtId="0" fontId="0" fillId="2" borderId="28" xfId="0" applyFill="1" applyBorder="1"/>
    <xf numFmtId="164" fontId="0" fillId="2" borderId="28" xfId="0" applyNumberFormat="1" applyFill="1" applyBorder="1"/>
    <xf numFmtId="164" fontId="0" fillId="2" borderId="29" xfId="0" applyNumberFormat="1" applyFill="1" applyBorder="1"/>
    <xf numFmtId="0" fontId="0" fillId="0" borderId="30" xfId="0" applyBorder="1"/>
    <xf numFmtId="0" fontId="0" fillId="0" borderId="25" xfId="0" applyBorder="1"/>
    <xf numFmtId="164" fontId="0" fillId="0" borderId="25" xfId="0" applyNumberFormat="1" applyBorder="1"/>
    <xf numFmtId="164" fontId="0" fillId="0" borderId="26" xfId="0" applyNumberFormat="1" applyBorder="1"/>
    <xf numFmtId="0" fontId="6" fillId="3" borderId="31" xfId="0" applyFont="1" applyFill="1" applyBorder="1"/>
    <xf numFmtId="0" fontId="6" fillId="3" borderId="3" xfId="0" applyFont="1" applyFill="1" applyBorder="1"/>
    <xf numFmtId="0" fontId="0" fillId="0" borderId="28" xfId="0" applyBorder="1"/>
    <xf numFmtId="0" fontId="0" fillId="0" borderId="29" xfId="0" applyBorder="1"/>
    <xf numFmtId="0" fontId="0" fillId="0" borderId="22" xfId="0" applyBorder="1"/>
    <xf numFmtId="165" fontId="0" fillId="0" borderId="22" xfId="0" applyNumberFormat="1" applyBorder="1"/>
    <xf numFmtId="0" fontId="1" fillId="0" borderId="32" xfId="0" applyFont="1" applyBorder="1"/>
    <xf numFmtId="0" fontId="1" fillId="0" borderId="33" xfId="0" applyFont="1" applyBorder="1"/>
    <xf numFmtId="0" fontId="1" fillId="0" borderId="25" xfId="0" applyFont="1" applyBorder="1"/>
    <xf numFmtId="0" fontId="1" fillId="0" borderId="34" xfId="0" applyFont="1" applyBorder="1"/>
    <xf numFmtId="0" fontId="0" fillId="0" borderId="19" xfId="0" applyBorder="1"/>
    <xf numFmtId="0" fontId="1" fillId="0" borderId="35" xfId="0" applyFont="1" applyBorder="1"/>
    <xf numFmtId="0" fontId="1" fillId="0" borderId="30" xfId="0" applyFont="1" applyBorder="1"/>
    <xf numFmtId="0" fontId="1" fillId="0" borderId="36" xfId="0" applyFont="1" applyBorder="1"/>
    <xf numFmtId="165" fontId="1" fillId="0" borderId="36" xfId="0" applyNumberFormat="1" applyFont="1" applyBorder="1"/>
    <xf numFmtId="166" fontId="1" fillId="3" borderId="36" xfId="0" applyNumberFormat="1" applyFont="1" applyFill="1" applyBorder="1"/>
    <xf numFmtId="166" fontId="1" fillId="2" borderId="36" xfId="0" applyNumberFormat="1" applyFont="1" applyFill="1" applyBorder="1"/>
    <xf numFmtId="165" fontId="1" fillId="0" borderId="37" xfId="0" applyNumberFormat="1" applyFont="1" applyBorder="1"/>
    <xf numFmtId="0" fontId="0" fillId="0" borderId="17" xfId="0" applyBorder="1"/>
    <xf numFmtId="0" fontId="2" fillId="0" borderId="25" xfId="0" applyFont="1" applyBorder="1"/>
    <xf numFmtId="166" fontId="0" fillId="3" borderId="25" xfId="0" applyNumberFormat="1" applyFill="1" applyBorder="1"/>
    <xf numFmtId="166" fontId="0" fillId="2" borderId="25" xfId="0" applyNumberFormat="1" applyFill="1" applyBorder="1"/>
    <xf numFmtId="0" fontId="0" fillId="0" borderId="26" xfId="0" applyBorder="1"/>
    <xf numFmtId="0" fontId="1" fillId="0" borderId="38" xfId="0" applyFont="1" applyBorder="1"/>
    <xf numFmtId="0" fontId="1" fillId="0" borderId="23" xfId="0" applyFont="1" applyBorder="1"/>
    <xf numFmtId="165" fontId="2" fillId="0" borderId="6" xfId="0" applyNumberFormat="1" applyFont="1" applyBorder="1"/>
    <xf numFmtId="166" fontId="0" fillId="3" borderId="6" xfId="0" applyNumberFormat="1" applyFill="1" applyBorder="1"/>
    <xf numFmtId="164" fontId="0" fillId="0" borderId="6" xfId="0" applyNumberFormat="1" applyBorder="1"/>
    <xf numFmtId="166" fontId="0" fillId="2" borderId="6" xfId="0" applyNumberFormat="1" applyFill="1" applyBorder="1"/>
    <xf numFmtId="165" fontId="0" fillId="0" borderId="27" xfId="0" applyNumberFormat="1" applyBorder="1"/>
    <xf numFmtId="0" fontId="0" fillId="0" borderId="39" xfId="0" applyBorder="1"/>
    <xf numFmtId="0" fontId="0" fillId="0" borderId="25" xfId="0" applyBorder="1" applyAlignment="1">
      <alignment horizontal="center"/>
    </xf>
    <xf numFmtId="0" fontId="0" fillId="3" borderId="25" xfId="0" applyFill="1" applyBorder="1" applyAlignment="1">
      <alignment horizontal="center"/>
    </xf>
    <xf numFmtId="0" fontId="0" fillId="2" borderId="25" xfId="0" applyFill="1" applyBorder="1" applyAlignment="1">
      <alignment horizontal="center"/>
    </xf>
    <xf numFmtId="0" fontId="0" fillId="3" borderId="6" xfId="0" applyFill="1" applyBorder="1" applyAlignment="1">
      <alignment horizontal="center"/>
    </xf>
    <xf numFmtId="0" fontId="0" fillId="0" borderId="27" xfId="0" applyBorder="1"/>
    <xf numFmtId="0" fontId="0" fillId="0" borderId="40" xfId="0" applyBorder="1"/>
    <xf numFmtId="0" fontId="1" fillId="0" borderId="41" xfId="0" applyFont="1" applyBorder="1"/>
    <xf numFmtId="0" fontId="0" fillId="0" borderId="6" xfId="0" applyBorder="1" applyAlignment="1">
      <alignment horizontal="center"/>
    </xf>
    <xf numFmtId="0" fontId="0" fillId="0" borderId="32" xfId="0" applyBorder="1"/>
    <xf numFmtId="0" fontId="1" fillId="2" borderId="16" xfId="0" applyFont="1" applyFill="1" applyBorder="1"/>
    <xf numFmtId="0" fontId="6" fillId="2" borderId="23" xfId="0" applyFont="1" applyFill="1" applyBorder="1"/>
    <xf numFmtId="0" fontId="1" fillId="2" borderId="42" xfId="0" applyFont="1" applyFill="1" applyBorder="1"/>
    <xf numFmtId="0" fontId="1" fillId="0" borderId="42" xfId="0" applyFont="1" applyBorder="1"/>
    <xf numFmtId="0" fontId="6" fillId="0" borderId="23" xfId="0" applyFont="1" applyBorder="1"/>
    <xf numFmtId="0" fontId="6" fillId="0" borderId="35" xfId="0" applyFont="1" applyBorder="1"/>
    <xf numFmtId="0" fontId="1" fillId="3" borderId="23" xfId="0" applyFont="1" applyFill="1" applyBorder="1"/>
    <xf numFmtId="0" fontId="1" fillId="3" borderId="38" xfId="0" applyFont="1" applyFill="1" applyBorder="1"/>
    <xf numFmtId="0" fontId="1" fillId="0" borderId="43" xfId="0" applyFont="1" applyBorder="1"/>
    <xf numFmtId="0" fontId="0" fillId="0" borderId="0" xfId="0" applyProtection="1">
      <protection locked="0"/>
    </xf>
    <xf numFmtId="0" fontId="15" fillId="0" borderId="21" xfId="0" applyFont="1" applyBorder="1" applyAlignment="1">
      <alignment horizontal="left"/>
    </xf>
    <xf numFmtId="0" fontId="15" fillId="0" borderId="0" xfId="0" applyFont="1" applyBorder="1" applyAlignment="1">
      <alignment horizontal="center"/>
    </xf>
    <xf numFmtId="0" fontId="15" fillId="0" borderId="21" xfId="0" applyFont="1" applyBorder="1" applyAlignment="1">
      <alignment horizontal="center"/>
    </xf>
    <xf numFmtId="0" fontId="0" fillId="0" borderId="21" xfId="0" applyBorder="1" applyAlignment="1">
      <alignment horizontal="center"/>
    </xf>
    <xf numFmtId="0" fontId="0" fillId="0" borderId="0" xfId="0" applyBorder="1" applyAlignment="1">
      <alignment horizontal="center"/>
    </xf>
    <xf numFmtId="0" fontId="15" fillId="0" borderId="16" xfId="0" applyFont="1" applyBorder="1" applyAlignment="1">
      <alignment horizontal="left"/>
    </xf>
    <xf numFmtId="0" fontId="15" fillId="0" borderId="17" xfId="0" applyFont="1" applyBorder="1" applyAlignment="1">
      <alignment horizontal="center"/>
    </xf>
    <xf numFmtId="0" fontId="0" fillId="0" borderId="21" xfId="0" applyBorder="1"/>
    <xf numFmtId="0" fontId="0" fillId="0" borderId="35" xfId="0" applyBorder="1" applyAlignment="1">
      <alignment horizontal="center"/>
    </xf>
    <xf numFmtId="0" fontId="0" fillId="0" borderId="39" xfId="0" applyBorder="1" applyAlignment="1">
      <alignment horizontal="center"/>
    </xf>
    <xf numFmtId="0" fontId="0" fillId="0" borderId="17" xfId="0" applyBorder="1" applyAlignment="1">
      <alignment horizontal="center"/>
    </xf>
    <xf numFmtId="0" fontId="16" fillId="0" borderId="17" xfId="0" applyFont="1" applyBorder="1" applyAlignment="1">
      <alignment horizontal="left" vertical="top" wrapText="1"/>
    </xf>
    <xf numFmtId="0" fontId="18" fillId="0" borderId="17" xfId="0" applyFont="1" applyFill="1" applyBorder="1" applyAlignment="1" applyProtection="1">
      <alignment horizontal="left"/>
    </xf>
    <xf numFmtId="0" fontId="19" fillId="0" borderId="17" xfId="0" applyFont="1" applyFill="1" applyBorder="1" applyAlignment="1" applyProtection="1">
      <alignment horizontal="center"/>
    </xf>
    <xf numFmtId="0" fontId="20" fillId="0" borderId="0" xfId="0" applyFont="1" applyBorder="1" applyAlignment="1" applyProtection="1">
      <alignment vertical="top"/>
    </xf>
    <xf numFmtId="0" fontId="6" fillId="0" borderId="0" xfId="0" applyFont="1" applyBorder="1" applyAlignment="1" applyProtection="1">
      <alignment vertical="center"/>
    </xf>
    <xf numFmtId="0" fontId="21" fillId="0" borderId="0" xfId="0" applyFont="1" applyBorder="1" applyAlignment="1" applyProtection="1">
      <alignment horizontal="left" vertical="center"/>
    </xf>
    <xf numFmtId="0" fontId="6" fillId="0" borderId="0" xfId="0" applyFont="1" applyBorder="1" applyAlignment="1" applyProtection="1">
      <alignment horizontal="left" vertical="center"/>
    </xf>
    <xf numFmtId="0" fontId="0" fillId="0" borderId="0" xfId="0" applyBorder="1" applyAlignment="1" applyProtection="1"/>
    <xf numFmtId="0" fontId="0" fillId="0" borderId="0" xfId="0" applyBorder="1" applyProtection="1"/>
    <xf numFmtId="0" fontId="6" fillId="0" borderId="0" xfId="0" applyFont="1" applyBorder="1" applyAlignment="1" applyProtection="1"/>
    <xf numFmtId="0" fontId="6" fillId="0" borderId="0" xfId="0" applyFont="1" applyBorder="1" applyAlignment="1" applyProtection="1">
      <alignment vertical="top"/>
    </xf>
    <xf numFmtId="0" fontId="6" fillId="0" borderId="0" xfId="0" applyFont="1" applyBorder="1" applyAlignment="1" applyProtection="1">
      <alignment horizontal="left" vertical="top"/>
    </xf>
    <xf numFmtId="0" fontId="6" fillId="0" borderId="0" xfId="0" applyFont="1" applyBorder="1" applyAlignment="1" applyProtection="1">
      <alignment horizontal="center"/>
    </xf>
    <xf numFmtId="0" fontId="21" fillId="0" borderId="0" xfId="0" applyFont="1" applyBorder="1" applyAlignment="1" applyProtection="1"/>
    <xf numFmtId="0" fontId="6" fillId="0" borderId="0" xfId="0" applyFont="1" applyFill="1" applyBorder="1" applyAlignment="1" applyProtection="1"/>
    <xf numFmtId="0" fontId="21" fillId="0" borderId="0" xfId="0" applyFont="1" applyBorder="1" applyAlignment="1" applyProtection="1">
      <alignment horizontal="center"/>
    </xf>
    <xf numFmtId="0" fontId="21" fillId="0" borderId="0" xfId="0" applyFont="1" applyBorder="1" applyAlignment="1" applyProtection="1">
      <alignment horizontal="left"/>
    </xf>
    <xf numFmtId="0" fontId="0" fillId="0" borderId="0" xfId="0" applyBorder="1" applyAlignment="1" applyProtection="1">
      <alignment horizontal="left"/>
    </xf>
    <xf numFmtId="0" fontId="0" fillId="0" borderId="0" xfId="0" applyBorder="1" applyProtection="1">
      <protection locked="0"/>
    </xf>
    <xf numFmtId="0" fontId="0" fillId="0" borderId="8" xfId="0" applyBorder="1" applyAlignment="1" applyProtection="1">
      <protection locked="0"/>
    </xf>
    <xf numFmtId="0" fontId="0" fillId="0" borderId="5" xfId="0" applyBorder="1" applyAlignment="1" applyProtection="1">
      <protection locked="0"/>
    </xf>
    <xf numFmtId="0" fontId="6" fillId="0" borderId="0" xfId="0" applyFont="1"/>
    <xf numFmtId="0" fontId="6" fillId="0" borderId="8" xfId="0" applyFont="1" applyBorder="1"/>
    <xf numFmtId="0" fontId="21" fillId="0" borderId="0" xfId="0" applyFont="1" applyFill="1" applyBorder="1" applyAlignment="1" applyProtection="1">
      <alignment horizontal="center"/>
      <protection locked="0"/>
    </xf>
    <xf numFmtId="0" fontId="19" fillId="0" borderId="0" xfId="0" applyFont="1" applyFill="1" applyBorder="1" applyAlignment="1" applyProtection="1">
      <alignment horizontal="center"/>
    </xf>
    <xf numFmtId="0" fontId="0" fillId="0" borderId="0" xfId="0" applyBorder="1" applyAlignment="1" applyProtection="1">
      <protection locked="0"/>
    </xf>
    <xf numFmtId="0" fontId="12" fillId="0" borderId="0" xfId="0" applyFont="1" applyBorder="1"/>
    <xf numFmtId="0" fontId="23" fillId="0" borderId="0" xfId="0" applyFont="1" applyBorder="1"/>
    <xf numFmtId="0" fontId="21" fillId="0" borderId="44" xfId="0" applyFont="1" applyBorder="1" applyAlignment="1" applyProtection="1">
      <alignment horizontal="left"/>
      <protection locked="0"/>
    </xf>
    <xf numFmtId="0" fontId="0" fillId="0" borderId="44" xfId="0" applyBorder="1" applyAlignment="1" applyProtection="1">
      <protection locked="0"/>
    </xf>
    <xf numFmtId="0" fontId="3" fillId="0" borderId="0" xfId="0" applyFont="1" applyBorder="1"/>
    <xf numFmtId="0" fontId="4" fillId="0" borderId="5" xfId="0" applyFont="1" applyBorder="1" applyAlignment="1">
      <alignment horizontal="centerContinuous"/>
    </xf>
    <xf numFmtId="0" fontId="4" fillId="0" borderId="1" xfId="0" applyFont="1" applyBorder="1" applyAlignment="1">
      <alignment horizontal="centerContinuous"/>
    </xf>
    <xf numFmtId="0" fontId="4" fillId="0" borderId="7" xfId="0" applyFont="1" applyBorder="1" applyAlignment="1">
      <alignment horizontal="centerContinuous"/>
    </xf>
    <xf numFmtId="0" fontId="3" fillId="0" borderId="45" xfId="0" applyFont="1" applyBorder="1" applyAlignment="1">
      <alignment horizontal="centerContinuous"/>
    </xf>
    <xf numFmtId="0" fontId="11" fillId="0" borderId="0" xfId="0" applyFont="1" applyBorder="1"/>
    <xf numFmtId="0" fontId="6" fillId="0" borderId="46" xfId="0" applyFont="1" applyFill="1" applyBorder="1" applyAlignment="1">
      <alignment vertical="top"/>
    </xf>
    <xf numFmtId="0" fontId="6" fillId="0" borderId="46" xfId="0" applyFont="1" applyFill="1" applyBorder="1" applyAlignment="1">
      <alignment horizontal="center" vertical="top"/>
    </xf>
    <xf numFmtId="0" fontId="6" fillId="0" borderId="47" xfId="0" applyFont="1" applyFill="1" applyBorder="1" applyAlignment="1">
      <alignment vertical="top"/>
    </xf>
    <xf numFmtId="0" fontId="6" fillId="0" borderId="48" xfId="0" applyFont="1" applyFill="1" applyBorder="1" applyAlignment="1">
      <alignment vertical="top"/>
    </xf>
    <xf numFmtId="0" fontId="6" fillId="0" borderId="47" xfId="0" applyFont="1" applyFill="1" applyBorder="1" applyAlignment="1">
      <alignment horizontal="center" vertical="top"/>
    </xf>
    <xf numFmtId="0" fontId="1" fillId="0" borderId="0" xfId="0" applyFont="1" applyFill="1"/>
    <xf numFmtId="0" fontId="0" fillId="0" borderId="0" xfId="0" applyFill="1"/>
    <xf numFmtId="0" fontId="0" fillId="0" borderId="0" xfId="0" applyProtection="1"/>
    <xf numFmtId="0" fontId="10" fillId="0" borderId="0" xfId="0" applyFont="1" applyAlignment="1" applyProtection="1"/>
    <xf numFmtId="0" fontId="10" fillId="0" borderId="0" xfId="0" applyFont="1" applyProtection="1"/>
    <xf numFmtId="14" fontId="0" fillId="0" borderId="0" xfId="0" applyNumberFormat="1" applyProtection="1"/>
    <xf numFmtId="0" fontId="0" fillId="0" borderId="0" xfId="0" applyAlignment="1">
      <alignment vertical="top"/>
    </xf>
    <xf numFmtId="0" fontId="3" fillId="0" borderId="0" xfId="0" applyFont="1" applyAlignment="1" applyProtection="1">
      <alignment horizontal="left" vertical="top"/>
    </xf>
    <xf numFmtId="0" fontId="0" fillId="0" borderId="0" xfId="0" applyAlignment="1" applyProtection="1">
      <alignment vertical="top"/>
    </xf>
    <xf numFmtId="0" fontId="0" fillId="0" borderId="0" xfId="0" applyBorder="1" applyAlignment="1">
      <alignment vertical="top"/>
    </xf>
    <xf numFmtId="0" fontId="3" fillId="0" borderId="0" xfId="0" applyFont="1" applyAlignment="1">
      <alignment vertical="top"/>
    </xf>
    <xf numFmtId="0" fontId="6" fillId="0" borderId="0" xfId="0" applyFont="1" applyAlignment="1" applyProtection="1">
      <alignment horizontal="left" vertical="top"/>
    </xf>
    <xf numFmtId="14" fontId="6" fillId="0" borderId="0" xfId="0" applyNumberFormat="1" applyFont="1" applyAlignment="1" applyProtection="1">
      <alignment horizontal="left" vertical="top"/>
    </xf>
    <xf numFmtId="0" fontId="3" fillId="0" borderId="0" xfId="0" applyFont="1" applyAlignment="1" applyProtection="1">
      <alignment vertical="top"/>
    </xf>
    <xf numFmtId="0" fontId="3" fillId="0" borderId="0" xfId="0" applyFont="1" applyBorder="1" applyAlignment="1">
      <alignment vertical="top"/>
    </xf>
    <xf numFmtId="0" fontId="0" fillId="0" borderId="0" xfId="0" applyAlignment="1" applyProtection="1">
      <alignment horizontal="left" vertical="top"/>
    </xf>
    <xf numFmtId="14" fontId="0" fillId="0" borderId="0" xfId="0" applyNumberFormat="1" applyAlignment="1" applyProtection="1">
      <alignment horizontal="left" vertical="top"/>
    </xf>
    <xf numFmtId="0" fontId="6" fillId="0" borderId="0" xfId="0" applyFont="1" applyAlignment="1" applyProtection="1">
      <alignment vertical="top"/>
    </xf>
    <xf numFmtId="0" fontId="10" fillId="0" borderId="0" xfId="0" applyFont="1" applyAlignment="1" applyProtection="1">
      <alignment horizontal="left" vertical="top"/>
    </xf>
    <xf numFmtId="0" fontId="10" fillId="0" borderId="0" xfId="0" applyFont="1" applyAlignment="1" applyProtection="1">
      <alignment vertical="top"/>
    </xf>
    <xf numFmtId="0" fontId="25" fillId="0" borderId="7" xfId="0" applyFont="1" applyBorder="1" applyAlignment="1" applyProtection="1">
      <alignment horizontal="left"/>
      <protection locked="0"/>
    </xf>
    <xf numFmtId="0" fontId="25" fillId="0" borderId="8" xfId="0" applyFont="1" applyBorder="1" applyAlignment="1" applyProtection="1">
      <protection locked="0"/>
    </xf>
    <xf numFmtId="0" fontId="25" fillId="0" borderId="5" xfId="0" applyFont="1" applyBorder="1" applyAlignment="1" applyProtection="1">
      <protection locked="0"/>
    </xf>
    <xf numFmtId="0" fontId="2" fillId="0" borderId="0" xfId="0" applyFont="1" applyBorder="1"/>
    <xf numFmtId="0" fontId="1" fillId="0" borderId="0" xfId="0" applyFont="1" applyBorder="1" applyAlignment="1">
      <alignment horizontal="left"/>
    </xf>
    <xf numFmtId="0" fontId="0" fillId="2" borderId="6" xfId="0" applyFill="1" applyBorder="1" applyAlignment="1">
      <alignment horizontal="center"/>
    </xf>
    <xf numFmtId="0" fontId="21" fillId="4" borderId="7" xfId="0" applyFont="1" applyFill="1" applyBorder="1" applyAlignment="1" applyProtection="1">
      <alignment horizontal="left"/>
      <protection locked="0"/>
    </xf>
    <xf numFmtId="0" fontId="0" fillId="4" borderId="8" xfId="0" applyFill="1" applyBorder="1" applyAlignment="1" applyProtection="1">
      <protection locked="0"/>
    </xf>
    <xf numFmtId="0" fontId="0" fillId="4" borderId="5" xfId="0" applyFill="1" applyBorder="1" applyAlignment="1" applyProtection="1">
      <protection locked="0"/>
    </xf>
    <xf numFmtId="0" fontId="14" fillId="0" borderId="16" xfId="0" applyFont="1" applyBorder="1" applyAlignment="1">
      <alignment horizontal="center"/>
    </xf>
    <xf numFmtId="0" fontId="14" fillId="0" borderId="17" xfId="0" applyFont="1" applyBorder="1" applyAlignment="1">
      <alignment horizontal="center"/>
    </xf>
    <xf numFmtId="0" fontId="14" fillId="0" borderId="20" xfId="0" applyFont="1" applyBorder="1" applyAlignment="1">
      <alignment horizontal="center"/>
    </xf>
    <xf numFmtId="0" fontId="15" fillId="0" borderId="35" xfId="0" applyFont="1" applyBorder="1" applyAlignment="1">
      <alignment horizontal="center"/>
    </xf>
    <xf numFmtId="0" fontId="15" fillId="0" borderId="39" xfId="0" applyFont="1" applyBorder="1" applyAlignment="1">
      <alignment horizontal="center"/>
    </xf>
    <xf numFmtId="0" fontId="15" fillId="0" borderId="49" xfId="0" applyFont="1" applyBorder="1" applyAlignment="1">
      <alignment horizontal="center"/>
    </xf>
    <xf numFmtId="0" fontId="17" fillId="0" borderId="19" xfId="0" applyFont="1" applyBorder="1" applyAlignment="1">
      <alignment horizontal="left" vertical="top" wrapText="1"/>
    </xf>
    <xf numFmtId="0" fontId="2" fillId="0" borderId="17" xfId="0" applyFont="1" applyBorder="1" applyAlignment="1">
      <alignment wrapText="1"/>
    </xf>
    <xf numFmtId="0" fontId="2" fillId="0" borderId="20" xfId="0" applyFont="1" applyBorder="1" applyAlignment="1">
      <alignment wrapText="1"/>
    </xf>
    <xf numFmtId="0" fontId="2" fillId="0" borderId="50" xfId="0" applyFont="1" applyBorder="1" applyAlignment="1">
      <alignment wrapText="1"/>
    </xf>
    <xf numFmtId="0" fontId="2" fillId="0" borderId="0" xfId="0" applyFont="1" applyBorder="1" applyAlignment="1">
      <alignment wrapText="1"/>
    </xf>
    <xf numFmtId="0" fontId="2" fillId="0" borderId="51" xfId="0" applyFont="1" applyBorder="1" applyAlignment="1">
      <alignment wrapText="1"/>
    </xf>
    <xf numFmtId="0" fontId="2" fillId="0" borderId="31" xfId="0" applyFont="1" applyBorder="1" applyAlignment="1">
      <alignment wrapText="1"/>
    </xf>
    <xf numFmtId="0" fontId="2" fillId="0" borderId="2" xfId="0" applyFont="1" applyBorder="1" applyAlignment="1">
      <alignment wrapText="1"/>
    </xf>
    <xf numFmtId="0" fontId="2" fillId="0" borderId="52" xfId="0" applyFont="1" applyBorder="1" applyAlignment="1">
      <alignment wrapText="1"/>
    </xf>
    <xf numFmtId="0" fontId="16" fillId="0" borderId="50" xfId="0" applyFont="1" applyBorder="1" applyAlignment="1">
      <alignment horizontal="left" vertical="top" wrapText="1"/>
    </xf>
    <xf numFmtId="0" fontId="0" fillId="0" borderId="0" xfId="0" applyBorder="1" applyAlignment="1">
      <alignment wrapText="1"/>
    </xf>
    <xf numFmtId="0" fontId="0" fillId="0" borderId="51" xfId="0" applyBorder="1" applyAlignment="1">
      <alignment wrapText="1"/>
    </xf>
    <xf numFmtId="0" fontId="0" fillId="0" borderId="50" xfId="0" applyBorder="1" applyAlignment="1">
      <alignment wrapText="1"/>
    </xf>
    <xf numFmtId="0" fontId="0" fillId="0" borderId="53" xfId="0" applyBorder="1" applyAlignment="1"/>
    <xf numFmtId="0" fontId="0" fillId="0" borderId="39" xfId="0" applyBorder="1" applyAlignment="1"/>
    <xf numFmtId="0" fontId="0" fillId="0" borderId="49" xfId="0" applyBorder="1" applyAlignment="1"/>
    <xf numFmtId="0" fontId="19" fillId="5" borderId="54" xfId="0" applyFont="1" applyFill="1" applyBorder="1" applyAlignment="1">
      <alignment horizontal="center"/>
    </xf>
    <xf numFmtId="0" fontId="19" fillId="5" borderId="55" xfId="0" applyFont="1" applyFill="1" applyBorder="1" applyAlignment="1">
      <alignment horizontal="center"/>
    </xf>
    <xf numFmtId="0" fontId="19" fillId="5" borderId="56" xfId="0" applyFont="1" applyFill="1" applyBorder="1" applyAlignment="1">
      <alignment horizontal="center"/>
    </xf>
    <xf numFmtId="0" fontId="16" fillId="0" borderId="19" xfId="0" applyFont="1" applyBorder="1" applyAlignment="1">
      <alignment horizontal="left" vertical="top" wrapText="1"/>
    </xf>
    <xf numFmtId="0" fontId="0" fillId="0" borderId="17" xfId="0" applyBorder="1" applyAlignment="1">
      <alignment horizontal="left" vertical="top" wrapText="1"/>
    </xf>
    <xf numFmtId="0" fontId="0" fillId="0" borderId="20" xfId="0" applyBorder="1" applyAlignment="1">
      <alignment horizontal="left" vertical="top" wrapText="1"/>
    </xf>
    <xf numFmtId="0" fontId="0" fillId="0" borderId="50" xfId="0" applyBorder="1" applyAlignment="1">
      <alignment horizontal="left" vertical="top" wrapText="1"/>
    </xf>
    <xf numFmtId="0" fontId="0" fillId="0" borderId="0" xfId="0" applyAlignment="1">
      <alignment horizontal="left" vertical="top" wrapText="1"/>
    </xf>
    <xf numFmtId="0" fontId="0" fillId="0" borderId="51" xfId="0" applyBorder="1" applyAlignment="1">
      <alignment horizontal="left" vertical="top" wrapText="1"/>
    </xf>
    <xf numFmtId="0" fontId="0" fillId="0" borderId="53" xfId="0" applyBorder="1" applyAlignment="1">
      <alignment horizontal="left" vertical="top" wrapText="1"/>
    </xf>
    <xf numFmtId="0" fontId="0" fillId="0" borderId="39" xfId="0" applyBorder="1" applyAlignment="1">
      <alignment horizontal="left" vertical="top" wrapText="1"/>
    </xf>
    <xf numFmtId="0" fontId="0" fillId="0" borderId="49" xfId="0" applyBorder="1" applyAlignment="1">
      <alignment horizontal="left" vertical="top" wrapText="1"/>
    </xf>
    <xf numFmtId="0" fontId="1" fillId="0" borderId="7" xfId="0" applyFont="1" applyBorder="1" applyAlignment="1">
      <alignment horizontal="left" wrapText="1"/>
    </xf>
    <xf numFmtId="0" fontId="1" fillId="0" borderId="8" xfId="0" applyFont="1" applyBorder="1" applyAlignment="1">
      <alignment horizontal="left" wrapText="1"/>
    </xf>
    <xf numFmtId="0" fontId="1" fillId="0" borderId="5" xfId="0" applyFont="1" applyBorder="1" applyAlignment="1">
      <alignment horizontal="left"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46" xfId="0" applyFont="1" applyBorder="1" applyAlignment="1">
      <alignment horizontal="left" vertical="top" wrapText="1"/>
    </xf>
    <xf numFmtId="0" fontId="2" fillId="0" borderId="47" xfId="0" applyFont="1" applyBorder="1" applyAlignment="1">
      <alignment horizontal="left" vertical="top" wrapText="1"/>
    </xf>
    <xf numFmtId="0" fontId="2" fillId="0" borderId="48" xfId="0" applyFont="1" applyBorder="1" applyAlignment="1">
      <alignment horizontal="left" vertical="top" wrapText="1"/>
    </xf>
    <xf numFmtId="0" fontId="6" fillId="0" borderId="0" xfId="0" applyFont="1" applyAlignment="1" applyProtection="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pageSetUpPr fitToPage="1"/>
  </sheetPr>
  <dimension ref="A1:S78"/>
  <sheetViews>
    <sheetView tabSelected="1" workbookViewId="0">
      <selection activeCell="F27" sqref="F27"/>
    </sheetView>
  </sheetViews>
  <sheetFormatPr defaultRowHeight="12.75"/>
  <cols>
    <col min="1" max="1" width="10.5703125" customWidth="1"/>
    <col min="2" max="2" width="11.28515625" customWidth="1"/>
    <col min="4" max="4" width="10.140625" customWidth="1"/>
    <col min="5" max="5" width="12.42578125" bestFit="1" customWidth="1"/>
    <col min="10" max="13" width="9.140625" style="2"/>
  </cols>
  <sheetData>
    <row r="1" spans="1:13" s="2" customFormat="1" ht="15.75">
      <c r="A1" s="216" t="s">
        <v>107</v>
      </c>
      <c r="B1" s="217"/>
      <c r="C1" s="217"/>
      <c r="D1" s="217"/>
      <c r="E1" s="217"/>
      <c r="F1" s="217"/>
      <c r="G1" s="217"/>
      <c r="H1" s="217"/>
      <c r="I1" s="218"/>
    </row>
    <row r="2" spans="1:13" s="2" customFormat="1" ht="13.5" thickBot="1">
      <c r="A2" s="219" t="s">
        <v>167</v>
      </c>
      <c r="B2" s="220"/>
      <c r="C2" s="220"/>
      <c r="D2" s="220"/>
      <c r="E2" s="220"/>
      <c r="F2" s="220"/>
      <c r="G2" s="220"/>
      <c r="H2" s="220"/>
      <c r="I2" s="221"/>
    </row>
    <row r="3" spans="1:13">
      <c r="A3" s="140"/>
      <c r="B3" s="141"/>
      <c r="C3" s="222" t="s">
        <v>65</v>
      </c>
      <c r="D3" s="223"/>
      <c r="E3" s="223"/>
      <c r="F3" s="223"/>
      <c r="G3" s="223"/>
      <c r="H3" s="223"/>
      <c r="I3" s="224"/>
    </row>
    <row r="4" spans="1:13">
      <c r="A4" s="135"/>
      <c r="B4" s="136"/>
      <c r="C4" s="225"/>
      <c r="D4" s="226"/>
      <c r="E4" s="226"/>
      <c r="F4" s="226"/>
      <c r="G4" s="226"/>
      <c r="H4" s="226"/>
      <c r="I4" s="227"/>
    </row>
    <row r="5" spans="1:13">
      <c r="A5" s="135"/>
      <c r="B5" s="136"/>
      <c r="C5" s="228"/>
      <c r="D5" s="229"/>
      <c r="E5" s="229"/>
      <c r="F5" s="229"/>
      <c r="G5" s="229"/>
      <c r="H5" s="229"/>
      <c r="I5" s="230"/>
    </row>
    <row r="6" spans="1:13">
      <c r="A6" s="142"/>
      <c r="B6" s="136"/>
      <c r="C6" s="231" t="s">
        <v>66</v>
      </c>
      <c r="D6" s="232"/>
      <c r="E6" s="232"/>
      <c r="F6" s="232"/>
      <c r="G6" s="232"/>
      <c r="H6" s="232"/>
      <c r="I6" s="233"/>
    </row>
    <row r="7" spans="1:13">
      <c r="A7" s="137"/>
      <c r="B7" s="136"/>
      <c r="C7" s="234"/>
      <c r="D7" s="232"/>
      <c r="E7" s="232"/>
      <c r="F7" s="232"/>
      <c r="G7" s="232"/>
      <c r="H7" s="232"/>
      <c r="I7" s="233"/>
    </row>
    <row r="8" spans="1:13">
      <c r="A8" s="138"/>
      <c r="B8" s="139"/>
      <c r="C8" s="234"/>
      <c r="D8" s="232"/>
      <c r="E8" s="232"/>
      <c r="F8" s="232"/>
      <c r="G8" s="232"/>
      <c r="H8" s="232"/>
      <c r="I8" s="233"/>
    </row>
    <row r="9" spans="1:13" ht="20.25" customHeight="1" thickBot="1">
      <c r="A9" s="143"/>
      <c r="B9" s="144"/>
      <c r="C9" s="235"/>
      <c r="D9" s="236"/>
      <c r="E9" s="236"/>
      <c r="F9" s="236"/>
      <c r="G9" s="236"/>
      <c r="H9" s="236"/>
      <c r="I9" s="237"/>
    </row>
    <row r="10" spans="1:13" s="2" customFormat="1" ht="13.5" thickBot="1">
      <c r="A10" s="145"/>
      <c r="B10" s="145"/>
      <c r="C10" s="145"/>
      <c r="D10" s="146"/>
      <c r="E10" s="146"/>
      <c r="F10" s="146"/>
      <c r="G10" s="146"/>
      <c r="H10" s="146"/>
      <c r="I10" s="146"/>
    </row>
    <row r="11" spans="1:13" s="134" customFormat="1" ht="15.75" customHeight="1">
      <c r="A11" s="147" t="s">
        <v>67</v>
      </c>
      <c r="B11" s="148"/>
      <c r="C11" s="148"/>
      <c r="D11" s="148"/>
      <c r="E11" s="148"/>
      <c r="F11" s="148"/>
      <c r="G11" s="148"/>
      <c r="H11" s="148"/>
      <c r="I11" s="148"/>
      <c r="J11" s="170"/>
      <c r="K11" s="170"/>
      <c r="L11" s="170"/>
      <c r="M11" s="170"/>
    </row>
    <row r="12" spans="1:13" s="134" customFormat="1" ht="9" customHeight="1">
      <c r="A12" s="149"/>
      <c r="B12" s="150"/>
      <c r="C12" s="151"/>
      <c r="D12" s="151"/>
      <c r="E12" s="151"/>
      <c r="F12" s="151"/>
      <c r="G12" s="151"/>
      <c r="H12" s="149"/>
      <c r="I12" s="152"/>
      <c r="J12" s="152"/>
      <c r="K12" s="153"/>
      <c r="L12" s="154"/>
      <c r="M12" s="154"/>
    </row>
    <row r="13" spans="1:13" s="172" customFormat="1">
      <c r="A13" s="173" t="s">
        <v>91</v>
      </c>
    </row>
    <row r="14" spans="1:13" s="134" customFormat="1" ht="20.100000000000001" customHeight="1">
      <c r="A14" s="155" t="s">
        <v>68</v>
      </c>
      <c r="B14" s="156"/>
      <c r="C14" s="156"/>
      <c r="D14" s="156"/>
      <c r="E14" s="157"/>
      <c r="F14" s="213" t="s">
        <v>69</v>
      </c>
      <c r="G14" s="214"/>
      <c r="H14" s="214"/>
      <c r="I14" s="215"/>
      <c r="J14" s="171"/>
      <c r="K14" s="164"/>
      <c r="L14" s="164"/>
      <c r="M14" s="154"/>
    </row>
    <row r="15" spans="1:13" s="134" customFormat="1" ht="20.100000000000001" customHeight="1">
      <c r="A15" s="155" t="s">
        <v>70</v>
      </c>
      <c r="B15" s="154"/>
      <c r="C15" s="158"/>
      <c r="D15" s="158"/>
      <c r="E15" s="159"/>
      <c r="F15" s="213" t="s">
        <v>71</v>
      </c>
      <c r="G15" s="214"/>
      <c r="H15" s="214"/>
      <c r="I15" s="215"/>
      <c r="J15" s="171"/>
      <c r="K15" s="164"/>
      <c r="L15" s="164"/>
      <c r="M15" s="154"/>
    </row>
    <row r="16" spans="1:13" s="134" customFormat="1" ht="20.100000000000001" customHeight="1">
      <c r="A16" s="154" t="s">
        <v>72</v>
      </c>
      <c r="B16" s="154"/>
      <c r="C16" s="155"/>
      <c r="D16" s="155"/>
      <c r="E16" s="159"/>
      <c r="F16" s="213" t="s">
        <v>73</v>
      </c>
      <c r="G16" s="214"/>
      <c r="H16" s="214"/>
      <c r="I16" s="215"/>
      <c r="J16" s="171"/>
      <c r="K16" s="164"/>
      <c r="L16" s="164"/>
      <c r="M16" s="154"/>
    </row>
    <row r="17" spans="1:19" s="134" customFormat="1" ht="20.100000000000001" customHeight="1">
      <c r="A17" s="155" t="s">
        <v>74</v>
      </c>
      <c r="B17" s="154"/>
      <c r="C17" s="155"/>
      <c r="D17" s="155"/>
      <c r="E17" s="159"/>
      <c r="F17" s="213" t="s">
        <v>75</v>
      </c>
      <c r="G17" s="214"/>
      <c r="H17" s="214"/>
      <c r="I17" s="215"/>
      <c r="J17" s="171"/>
      <c r="K17" s="164"/>
      <c r="L17" s="164"/>
      <c r="M17" s="154"/>
    </row>
    <row r="18" spans="1:19" s="134" customFormat="1" ht="20.100000000000001" customHeight="1">
      <c r="A18" s="155" t="s">
        <v>76</v>
      </c>
      <c r="B18" s="154"/>
      <c r="C18" s="155"/>
      <c r="D18" s="155"/>
      <c r="E18" s="159"/>
      <c r="F18" s="213" t="s">
        <v>77</v>
      </c>
      <c r="G18" s="214"/>
      <c r="H18" s="214"/>
      <c r="I18" s="215"/>
      <c r="J18" s="171"/>
      <c r="K18" s="164"/>
      <c r="L18" s="164"/>
      <c r="M18" s="154"/>
    </row>
    <row r="19" spans="1:19" s="134" customFormat="1" ht="20.100000000000001" customHeight="1">
      <c r="A19" s="160" t="s">
        <v>78</v>
      </c>
      <c r="B19" s="154"/>
      <c r="C19" s="155"/>
      <c r="D19" s="155"/>
      <c r="E19" s="161"/>
      <c r="F19" s="213" t="s">
        <v>79</v>
      </c>
      <c r="G19" s="214"/>
      <c r="H19" s="214"/>
      <c r="I19" s="215"/>
      <c r="J19" s="171"/>
      <c r="K19" s="164"/>
      <c r="L19" s="164"/>
      <c r="M19" s="154"/>
    </row>
    <row r="20" spans="1:19" s="134" customFormat="1" ht="11.25" customHeight="1">
      <c r="A20" s="155"/>
      <c r="B20" s="154"/>
      <c r="C20" s="155"/>
      <c r="D20" s="155"/>
      <c r="E20" s="161"/>
      <c r="F20" s="162"/>
      <c r="G20" s="163"/>
      <c r="H20" s="163"/>
      <c r="I20" s="163"/>
      <c r="J20" s="153"/>
      <c r="K20" s="164"/>
      <c r="L20" s="164"/>
      <c r="M20" s="154"/>
      <c r="S20" s="164"/>
    </row>
    <row r="21" spans="1:19" s="172" customFormat="1">
      <c r="A21" s="173" t="s">
        <v>91</v>
      </c>
    </row>
    <row r="22" spans="1:19" ht="19.5" customHeight="1">
      <c r="A22" s="48" t="s">
        <v>80</v>
      </c>
      <c r="B22" s="48"/>
      <c r="C22" s="2"/>
      <c r="D22" s="2"/>
      <c r="E22" s="2"/>
      <c r="F22" s="213">
        <v>1</v>
      </c>
      <c r="G22" s="165" t="s">
        <v>87</v>
      </c>
      <c r="H22" s="165"/>
      <c r="I22" s="166"/>
      <c r="J22" s="48"/>
    </row>
    <row r="23" spans="1:19" ht="19.5" customHeight="1">
      <c r="A23" s="48" t="s">
        <v>81</v>
      </c>
      <c r="B23" s="48"/>
      <c r="C23" s="2"/>
      <c r="D23" s="2"/>
      <c r="E23" s="2"/>
      <c r="F23" s="213">
        <v>1</v>
      </c>
      <c r="G23" s="165" t="s">
        <v>88</v>
      </c>
      <c r="H23" s="165"/>
      <c r="I23" s="166"/>
      <c r="J23" s="48"/>
    </row>
    <row r="24" spans="1:19" ht="19.5" customHeight="1">
      <c r="A24" s="48" t="s">
        <v>82</v>
      </c>
      <c r="B24" s="48"/>
      <c r="C24" s="2"/>
      <c r="D24" s="2"/>
      <c r="E24" s="2"/>
      <c r="F24" s="213">
        <v>1</v>
      </c>
      <c r="G24" s="165" t="s">
        <v>89</v>
      </c>
      <c r="H24" s="165"/>
      <c r="I24" s="166"/>
      <c r="J24" s="48"/>
    </row>
    <row r="25" spans="1:19">
      <c r="A25" s="48"/>
      <c r="B25" s="48"/>
      <c r="C25" s="2"/>
      <c r="D25" s="2"/>
      <c r="E25" s="2"/>
      <c r="F25" s="169"/>
      <c r="G25" s="48"/>
      <c r="J25" s="48"/>
    </row>
    <row r="26" spans="1:19" s="172" customFormat="1">
      <c r="A26" s="173" t="s">
        <v>92</v>
      </c>
    </row>
    <row r="27" spans="1:19" ht="19.5" customHeight="1">
      <c r="A27" s="48" t="s">
        <v>85</v>
      </c>
      <c r="B27" s="48"/>
      <c r="C27" s="2"/>
      <c r="D27" s="2"/>
      <c r="E27" s="2"/>
      <c r="F27" s="213">
        <v>100</v>
      </c>
      <c r="G27" s="165" t="s">
        <v>90</v>
      </c>
      <c r="H27" s="165"/>
      <c r="I27" s="166"/>
      <c r="J27" s="48"/>
    </row>
    <row r="28" spans="1:19" ht="19.5" customHeight="1">
      <c r="A28" s="48" t="s">
        <v>86</v>
      </c>
      <c r="B28" s="48"/>
      <c r="C28" s="2"/>
      <c r="D28" s="2"/>
      <c r="E28" s="2"/>
      <c r="F28" s="213">
        <v>0</v>
      </c>
      <c r="G28" s="165" t="s">
        <v>90</v>
      </c>
      <c r="H28" s="165"/>
      <c r="I28" s="166"/>
      <c r="J28" s="48"/>
    </row>
    <row r="29" spans="1:19" s="2" customFormat="1">
      <c r="A29" s="48"/>
      <c r="B29" s="48"/>
      <c r="F29" s="174"/>
      <c r="G29" s="175"/>
      <c r="H29" s="175"/>
      <c r="I29" s="175"/>
      <c r="J29" s="48"/>
    </row>
    <row r="30" spans="1:19" s="172" customFormat="1">
      <c r="A30" s="173" t="s">
        <v>93</v>
      </c>
    </row>
    <row r="31" spans="1:19" ht="19.5" customHeight="1">
      <c r="A31" s="48" t="s">
        <v>84</v>
      </c>
      <c r="B31" s="48"/>
      <c r="C31" s="2"/>
      <c r="D31" s="2"/>
      <c r="E31" s="2"/>
      <c r="F31" s="213">
        <v>1</v>
      </c>
      <c r="G31" s="165" t="s">
        <v>88</v>
      </c>
      <c r="H31" s="165"/>
      <c r="I31" s="166"/>
      <c r="J31" s="48"/>
    </row>
    <row r="32" spans="1:19" ht="19.5" customHeight="1">
      <c r="A32" s="48" t="s">
        <v>83</v>
      </c>
      <c r="B32" s="48"/>
      <c r="C32" s="2"/>
      <c r="D32" s="2"/>
      <c r="E32" s="2"/>
      <c r="F32" s="213">
        <v>1</v>
      </c>
      <c r="G32" s="165" t="s">
        <v>88</v>
      </c>
      <c r="H32" s="165"/>
      <c r="I32" s="166"/>
      <c r="J32" s="48"/>
    </row>
    <row r="33" spans="1:10" s="172" customFormat="1"/>
    <row r="34" spans="1:10">
      <c r="A34" s="173" t="s">
        <v>94</v>
      </c>
      <c r="B34" s="48"/>
      <c r="C34" s="48"/>
      <c r="D34" s="48"/>
      <c r="E34" s="48"/>
      <c r="F34" s="2"/>
      <c r="G34" s="176"/>
      <c r="H34" s="180" t="s">
        <v>106</v>
      </c>
      <c r="I34" s="178"/>
      <c r="J34" s="48"/>
    </row>
    <row r="35" spans="1:10" ht="19.5" customHeight="1">
      <c r="A35" s="48" t="s">
        <v>95</v>
      </c>
      <c r="B35" s="48"/>
      <c r="C35" s="2"/>
      <c r="D35" s="2"/>
      <c r="E35" s="48"/>
      <c r="F35" s="213">
        <v>410</v>
      </c>
      <c r="G35" s="168" t="s">
        <v>20</v>
      </c>
      <c r="H35" s="179" t="s">
        <v>100</v>
      </c>
      <c r="I35" s="177"/>
      <c r="J35" s="48"/>
    </row>
    <row r="36" spans="1:10" ht="19.5" customHeight="1">
      <c r="A36" s="48" t="s">
        <v>96</v>
      </c>
      <c r="B36" s="48"/>
      <c r="C36" s="2"/>
      <c r="D36" s="2"/>
      <c r="E36" s="48"/>
      <c r="F36" s="213">
        <v>120</v>
      </c>
      <c r="G36" s="168" t="s">
        <v>20</v>
      </c>
      <c r="H36" s="179" t="s">
        <v>101</v>
      </c>
      <c r="I36" s="177"/>
      <c r="J36" s="48"/>
    </row>
    <row r="37" spans="1:10" ht="19.5" customHeight="1">
      <c r="A37" s="48" t="s">
        <v>97</v>
      </c>
      <c r="B37" s="48"/>
      <c r="C37" s="2"/>
      <c r="D37" s="2"/>
      <c r="E37" s="48"/>
      <c r="F37" s="213">
        <v>1884</v>
      </c>
      <c r="G37" s="168" t="s">
        <v>20</v>
      </c>
      <c r="H37" s="179" t="s">
        <v>102</v>
      </c>
      <c r="I37" s="177"/>
      <c r="J37" s="48"/>
    </row>
    <row r="38" spans="1:10" ht="19.5" customHeight="1">
      <c r="A38" s="48" t="s">
        <v>98</v>
      </c>
      <c r="B38" s="48"/>
      <c r="C38" s="2"/>
      <c r="D38" s="2"/>
      <c r="E38" s="48"/>
      <c r="F38" s="213">
        <v>1443</v>
      </c>
      <c r="G38" s="168" t="s">
        <v>20</v>
      </c>
      <c r="H38" s="179" t="s">
        <v>103</v>
      </c>
      <c r="I38" s="177"/>
      <c r="J38" s="48"/>
    </row>
    <row r="39" spans="1:10" ht="19.5" customHeight="1">
      <c r="A39" s="48" t="s">
        <v>99</v>
      </c>
      <c r="B39" s="48"/>
      <c r="C39" s="2"/>
      <c r="D39" s="2"/>
      <c r="E39" s="48"/>
      <c r="F39" s="213">
        <v>167</v>
      </c>
      <c r="G39" s="168" t="s">
        <v>20</v>
      </c>
      <c r="H39" s="179" t="s">
        <v>104</v>
      </c>
      <c r="I39" s="177"/>
      <c r="J39" s="48"/>
    </row>
    <row r="40" spans="1:10" ht="19.5" customHeight="1">
      <c r="A40" s="48" t="s">
        <v>21</v>
      </c>
      <c r="B40" s="48"/>
      <c r="C40" s="2"/>
      <c r="D40" s="2"/>
      <c r="E40" s="48"/>
      <c r="F40" s="213">
        <v>4024</v>
      </c>
      <c r="G40" s="168" t="s">
        <v>20</v>
      </c>
      <c r="H40" s="179" t="s">
        <v>105</v>
      </c>
      <c r="I40" s="177"/>
      <c r="J40" s="48"/>
    </row>
    <row r="41" spans="1:10" ht="14.25" customHeight="1">
      <c r="A41" s="181" t="s">
        <v>57</v>
      </c>
      <c r="B41" s="2"/>
      <c r="C41" s="2"/>
      <c r="D41" s="2"/>
      <c r="E41" s="2"/>
      <c r="F41" s="2"/>
      <c r="G41" s="2"/>
      <c r="H41" s="2"/>
      <c r="I41" s="2"/>
    </row>
    <row r="61" ht="4.5" customHeight="1"/>
    <row r="78" spans="1:1">
      <c r="A78" s="26"/>
    </row>
  </sheetData>
  <mergeCells count="4">
    <mergeCell ref="A1:I1"/>
    <mergeCell ref="A2:I2"/>
    <mergeCell ref="C3:I5"/>
    <mergeCell ref="C6:I9"/>
  </mergeCells>
  <phoneticPr fontId="0" type="noConversion"/>
  <pageMargins left="0.75" right="0.75" top="1" bottom="1" header="0.5" footer="0.5"/>
  <pageSetup orientation="portrait" r:id="rId1"/>
  <headerFooter alignWithMargins="0"/>
  <legacyDrawing r:id="rId2"/>
  <oleObjects>
    <oleObject progId="Word.Picture.8" shapeId="1025" r:id="rId3"/>
  </oleObjects>
</worksheet>
</file>

<file path=xl/worksheets/sheet2.xml><?xml version="1.0" encoding="utf-8"?>
<worksheet xmlns="http://schemas.openxmlformats.org/spreadsheetml/2006/main" xmlns:r="http://schemas.openxmlformats.org/officeDocument/2006/relationships">
  <dimension ref="A1:V160"/>
  <sheetViews>
    <sheetView view="pageBreakPreview" topLeftCell="A10" zoomScaleNormal="100" workbookViewId="0">
      <selection activeCell="F20" sqref="F20"/>
    </sheetView>
  </sheetViews>
  <sheetFormatPr defaultRowHeight="12.75"/>
  <cols>
    <col min="1" max="1" width="10.5703125" customWidth="1"/>
    <col min="2" max="2" width="9.85546875" customWidth="1"/>
    <col min="3" max="3" width="11.85546875" customWidth="1"/>
    <col min="4" max="4" width="10.140625" customWidth="1"/>
    <col min="5" max="5" width="12.5703125" bestFit="1" customWidth="1"/>
    <col min="6" max="6" width="9.28515625" bestFit="1" customWidth="1"/>
    <col min="7" max="7" width="11.140625" bestFit="1" customWidth="1"/>
    <col min="8" max="8" width="9.85546875" bestFit="1" customWidth="1"/>
    <col min="9" max="9" width="11.140625" bestFit="1" customWidth="1"/>
    <col min="10" max="13" width="9.140625" style="2"/>
  </cols>
  <sheetData>
    <row r="1" spans="1:22" ht="15.75">
      <c r="A1" s="216" t="s">
        <v>108</v>
      </c>
      <c r="B1" s="217"/>
      <c r="C1" s="217"/>
      <c r="D1" s="217"/>
      <c r="E1" s="217"/>
      <c r="F1" s="217"/>
      <c r="G1" s="217"/>
      <c r="H1" s="217"/>
      <c r="I1" s="218"/>
    </row>
    <row r="2" spans="1:22" ht="13.5" thickBot="1">
      <c r="A2" s="219" t="str">
        <f>INPUT!A2</f>
        <v>REVISION A; Issued 01/23/2006</v>
      </c>
      <c r="B2" s="220"/>
      <c r="C2" s="220"/>
      <c r="D2" s="220"/>
      <c r="E2" s="220"/>
      <c r="F2" s="220"/>
      <c r="G2" s="220"/>
      <c r="H2" s="220"/>
      <c r="I2" s="221"/>
    </row>
    <row r="3" spans="1:22">
      <c r="A3" s="140"/>
      <c r="B3" s="141"/>
      <c r="C3" s="241" t="str">
        <f>INPUT!C6</f>
        <v>This spreadsheet is for your use only and should be used with caution. DENR does not guarantee the accuracy of the information contained.  This spreadsheet is subject to continual revision and updating.  It is your responsibility to be aware of the most current information available.  DENR is not responsible for errors or omissions that may be contained herein.</v>
      </c>
      <c r="D3" s="242"/>
      <c r="E3" s="242"/>
      <c r="F3" s="242"/>
      <c r="G3" s="242"/>
      <c r="H3" s="242"/>
      <c r="I3" s="243"/>
    </row>
    <row r="4" spans="1:22">
      <c r="A4" s="135"/>
      <c r="B4" s="136"/>
      <c r="C4" s="244"/>
      <c r="D4" s="245"/>
      <c r="E4" s="245"/>
      <c r="F4" s="245"/>
      <c r="G4" s="245"/>
      <c r="H4" s="245"/>
      <c r="I4" s="246"/>
    </row>
    <row r="5" spans="1:22">
      <c r="A5" s="135"/>
      <c r="B5" s="136"/>
      <c r="C5" s="244"/>
      <c r="D5" s="245"/>
      <c r="E5" s="245"/>
      <c r="F5" s="245"/>
      <c r="G5" s="245"/>
      <c r="H5" s="245"/>
      <c r="I5" s="246"/>
    </row>
    <row r="6" spans="1:22" ht="12.75" customHeight="1">
      <c r="A6" s="142"/>
      <c r="B6" s="136"/>
      <c r="C6" s="244"/>
      <c r="D6" s="245"/>
      <c r="E6" s="245"/>
      <c r="F6" s="245"/>
      <c r="G6" s="245"/>
      <c r="H6" s="245"/>
      <c r="I6" s="246"/>
    </row>
    <row r="7" spans="1:22">
      <c r="A7" s="137"/>
      <c r="B7" s="136"/>
      <c r="C7" s="244"/>
      <c r="D7" s="245"/>
      <c r="E7" s="245"/>
      <c r="F7" s="245"/>
      <c r="G7" s="245"/>
      <c r="H7" s="245"/>
      <c r="I7" s="246"/>
    </row>
    <row r="8" spans="1:22" ht="13.5" thickBot="1">
      <c r="A8" s="138"/>
      <c r="B8" s="139"/>
      <c r="C8" s="247"/>
      <c r="D8" s="248"/>
      <c r="E8" s="248"/>
      <c r="F8" s="248"/>
      <c r="G8" s="248"/>
      <c r="H8" s="248"/>
      <c r="I8" s="249"/>
    </row>
    <row r="9" spans="1:22" s="2" customFormat="1" ht="13.5" thickBot="1">
      <c r="A9" s="145"/>
      <c r="B9" s="145"/>
      <c r="C9" s="145"/>
      <c r="D9" s="146"/>
      <c r="E9" s="146"/>
      <c r="F9" s="146"/>
      <c r="G9" s="146"/>
      <c r="H9" s="146"/>
      <c r="I9" s="146"/>
      <c r="N9"/>
      <c r="O9"/>
      <c r="P9"/>
      <c r="Q9"/>
      <c r="R9"/>
      <c r="S9"/>
      <c r="T9"/>
      <c r="U9"/>
      <c r="V9"/>
    </row>
    <row r="10" spans="1:22" ht="13.5" thickBot="1">
      <c r="A10" s="238" t="s">
        <v>121</v>
      </c>
      <c r="B10" s="239"/>
      <c r="C10" s="239"/>
      <c r="D10" s="239"/>
      <c r="E10" s="239"/>
      <c r="F10" s="239"/>
      <c r="G10" s="239"/>
      <c r="H10" s="239"/>
      <c r="I10" s="240"/>
    </row>
    <row r="11" spans="1:22" s="172" customFormat="1">
      <c r="A11" s="173" t="s">
        <v>91</v>
      </c>
    </row>
    <row r="12" spans="1:22" s="134" customFormat="1" ht="15" customHeight="1">
      <c r="A12" s="155" t="s">
        <v>68</v>
      </c>
      <c r="B12" s="156"/>
      <c r="C12" s="156"/>
      <c r="D12" s="156"/>
      <c r="E12" s="157"/>
      <c r="F12" s="207" t="str">
        <f>INPUT!F14</f>
        <v>Company Name</v>
      </c>
      <c r="G12" s="208"/>
      <c r="H12" s="208"/>
      <c r="I12" s="209"/>
      <c r="J12" s="171"/>
      <c r="K12" s="164"/>
      <c r="L12" s="164"/>
      <c r="M12" s="154"/>
    </row>
    <row r="13" spans="1:22" s="134" customFormat="1" ht="15" customHeight="1">
      <c r="A13" s="155" t="s">
        <v>70</v>
      </c>
      <c r="B13" s="154"/>
      <c r="C13" s="158"/>
      <c r="D13" s="158"/>
      <c r="E13" s="159"/>
      <c r="F13" s="207" t="str">
        <f>INPUT!F15</f>
        <v>04/01/12345</v>
      </c>
      <c r="G13" s="208"/>
      <c r="H13" s="208"/>
      <c r="I13" s="209"/>
      <c r="J13" s="171"/>
      <c r="K13" s="164"/>
      <c r="L13" s="164"/>
      <c r="M13" s="154"/>
    </row>
    <row r="14" spans="1:22" s="134" customFormat="1" ht="15" customHeight="1">
      <c r="A14" s="154" t="s">
        <v>72</v>
      </c>
      <c r="B14" s="154"/>
      <c r="C14" s="155"/>
      <c r="D14" s="155"/>
      <c r="E14" s="159"/>
      <c r="F14" s="207" t="str">
        <f>INPUT!F16</f>
        <v>01234R00</v>
      </c>
      <c r="G14" s="208"/>
      <c r="H14" s="208"/>
      <c r="I14" s="209"/>
      <c r="J14" s="171"/>
      <c r="K14" s="164"/>
      <c r="L14" s="164"/>
      <c r="M14" s="154"/>
    </row>
    <row r="15" spans="1:22" s="134" customFormat="1" ht="15" customHeight="1">
      <c r="A15" s="155" t="s">
        <v>74</v>
      </c>
      <c r="B15" s="154"/>
      <c r="C15" s="155"/>
      <c r="D15" s="155"/>
      <c r="E15" s="159"/>
      <c r="F15" s="207" t="str">
        <f>INPUT!F17</f>
        <v>City</v>
      </c>
      <c r="G15" s="208"/>
      <c r="H15" s="208"/>
      <c r="I15" s="209"/>
      <c r="J15" s="171"/>
      <c r="K15" s="164"/>
      <c r="L15" s="164"/>
      <c r="M15" s="154"/>
    </row>
    <row r="16" spans="1:22" s="134" customFormat="1" ht="15" customHeight="1">
      <c r="A16" s="155" t="s">
        <v>76</v>
      </c>
      <c r="B16" s="154"/>
      <c r="C16" s="155"/>
      <c r="D16" s="155"/>
      <c r="E16" s="159"/>
      <c r="F16" s="207" t="str">
        <f>INPUT!F18</f>
        <v>County</v>
      </c>
      <c r="G16" s="208"/>
      <c r="H16" s="208"/>
      <c r="I16" s="209"/>
      <c r="J16" s="171"/>
      <c r="K16" s="164"/>
      <c r="L16" s="164"/>
      <c r="M16" s="154"/>
    </row>
    <row r="17" spans="1:19" s="134" customFormat="1" ht="15" customHeight="1">
      <c r="A17" s="160" t="s">
        <v>78</v>
      </c>
      <c r="B17" s="154"/>
      <c r="C17" s="155"/>
      <c r="D17" s="155"/>
      <c r="E17" s="161"/>
      <c r="F17" s="207" t="str">
        <f>INPUT!F19</f>
        <v>Your Name</v>
      </c>
      <c r="G17" s="208"/>
      <c r="H17" s="208"/>
      <c r="I17" s="209"/>
      <c r="J17" s="171"/>
      <c r="K17" s="164"/>
      <c r="L17" s="164"/>
      <c r="M17" s="154"/>
    </row>
    <row r="18" spans="1:19" s="134" customFormat="1" ht="11.25" customHeight="1">
      <c r="A18" s="155"/>
      <c r="B18" s="154"/>
      <c r="C18" s="155"/>
      <c r="D18" s="155"/>
      <c r="E18" s="161"/>
      <c r="F18" s="162"/>
      <c r="G18" s="163"/>
      <c r="H18" s="163"/>
      <c r="I18" s="163"/>
      <c r="J18" s="153"/>
      <c r="K18" s="164"/>
      <c r="L18" s="164"/>
      <c r="M18" s="154"/>
      <c r="S18" s="164"/>
    </row>
    <row r="19" spans="1:19" s="172" customFormat="1">
      <c r="A19" s="173" t="s">
        <v>91</v>
      </c>
    </row>
    <row r="20" spans="1:19" ht="15" customHeight="1">
      <c r="A20" s="48" t="s">
        <v>80</v>
      </c>
      <c r="B20" s="48"/>
      <c r="C20" s="2"/>
      <c r="D20" s="2"/>
      <c r="E20" s="2"/>
      <c r="F20" s="207">
        <f>INPUT!F22</f>
        <v>1</v>
      </c>
      <c r="G20" s="165" t="s">
        <v>87</v>
      </c>
      <c r="H20" s="165"/>
      <c r="I20" s="166"/>
      <c r="J20" s="48"/>
    </row>
    <row r="21" spans="1:19" ht="15" customHeight="1">
      <c r="A21" s="48" t="s">
        <v>81</v>
      </c>
      <c r="B21" s="48"/>
      <c r="C21" s="2"/>
      <c r="D21" s="2"/>
      <c r="E21" s="2"/>
      <c r="F21" s="207">
        <f>INPUT!F23</f>
        <v>1</v>
      </c>
      <c r="G21" s="165" t="s">
        <v>88</v>
      </c>
      <c r="H21" s="165"/>
      <c r="I21" s="166"/>
      <c r="J21" s="48"/>
    </row>
    <row r="22" spans="1:19" ht="15" customHeight="1">
      <c r="A22" s="48" t="s">
        <v>82</v>
      </c>
      <c r="B22" s="48"/>
      <c r="C22" s="2"/>
      <c r="D22" s="2"/>
      <c r="E22" s="2"/>
      <c r="F22" s="207">
        <f>INPUT!F24</f>
        <v>1</v>
      </c>
      <c r="G22" s="165" t="s">
        <v>89</v>
      </c>
      <c r="H22" s="165"/>
      <c r="I22" s="166"/>
      <c r="J22" s="48"/>
    </row>
    <row r="23" spans="1:19">
      <c r="A23" s="48"/>
      <c r="B23" s="48"/>
      <c r="C23" s="2"/>
      <c r="D23" s="2"/>
      <c r="E23" s="2"/>
      <c r="F23" s="169"/>
      <c r="G23" s="48"/>
      <c r="J23" s="48"/>
    </row>
    <row r="24" spans="1:19" s="172" customFormat="1">
      <c r="A24" s="173" t="s">
        <v>92</v>
      </c>
    </row>
    <row r="25" spans="1:19" ht="15" customHeight="1">
      <c r="A25" s="48" t="s">
        <v>85</v>
      </c>
      <c r="B25" s="48"/>
      <c r="C25" s="2"/>
      <c r="D25" s="2"/>
      <c r="E25" s="2"/>
      <c r="F25" s="207">
        <f>INPUT!F27</f>
        <v>100</v>
      </c>
      <c r="G25" s="165" t="s">
        <v>90</v>
      </c>
      <c r="H25" s="165"/>
      <c r="I25" s="166"/>
      <c r="J25" s="48"/>
    </row>
    <row r="26" spans="1:19" ht="15" customHeight="1">
      <c r="A26" s="48" t="s">
        <v>86</v>
      </c>
      <c r="B26" s="48"/>
      <c r="C26" s="2"/>
      <c r="D26" s="2"/>
      <c r="E26" s="2"/>
      <c r="F26" s="207">
        <f>INPUT!F28</f>
        <v>0</v>
      </c>
      <c r="G26" s="165" t="s">
        <v>90</v>
      </c>
      <c r="H26" s="165"/>
      <c r="I26" s="166"/>
      <c r="J26" s="48"/>
    </row>
    <row r="27" spans="1:19" s="2" customFormat="1">
      <c r="A27" s="48"/>
      <c r="B27" s="48"/>
      <c r="F27" s="174"/>
      <c r="G27" s="175"/>
      <c r="H27" s="175"/>
      <c r="I27" s="175"/>
      <c r="J27" s="48"/>
    </row>
    <row r="28" spans="1:19" s="172" customFormat="1">
      <c r="A28" s="173" t="s">
        <v>93</v>
      </c>
    </row>
    <row r="29" spans="1:19" ht="15" customHeight="1">
      <c r="A29" s="48" t="s">
        <v>84</v>
      </c>
      <c r="B29" s="48"/>
      <c r="C29" s="2"/>
      <c r="D29" s="2"/>
      <c r="E29" s="2"/>
      <c r="F29" s="207">
        <f>INPUT!F31</f>
        <v>1</v>
      </c>
      <c r="G29" s="165" t="s">
        <v>88</v>
      </c>
      <c r="H29" s="165"/>
      <c r="I29" s="166"/>
      <c r="J29" s="48"/>
    </row>
    <row r="30" spans="1:19" ht="15" customHeight="1">
      <c r="A30" s="48" t="s">
        <v>83</v>
      </c>
      <c r="B30" s="48"/>
      <c r="C30" s="2"/>
      <c r="D30" s="2"/>
      <c r="E30" s="2"/>
      <c r="F30" s="207">
        <f>INPUT!F32</f>
        <v>1</v>
      </c>
      <c r="G30" s="165" t="s">
        <v>88</v>
      </c>
      <c r="H30" s="165"/>
      <c r="I30" s="166"/>
      <c r="J30" s="48"/>
    </row>
    <row r="31" spans="1:19" s="172" customFormat="1"/>
    <row r="32" spans="1:19">
      <c r="A32" s="173" t="s">
        <v>94</v>
      </c>
      <c r="B32" s="48"/>
      <c r="C32" s="48"/>
      <c r="D32" s="48"/>
      <c r="E32" s="48"/>
      <c r="F32" s="2"/>
      <c r="G32" s="176"/>
      <c r="H32" s="180" t="s">
        <v>106</v>
      </c>
      <c r="I32" s="178"/>
      <c r="J32" s="48"/>
    </row>
    <row r="33" spans="1:10" ht="15" customHeight="1">
      <c r="A33" s="48" t="s">
        <v>95</v>
      </c>
      <c r="B33" s="48"/>
      <c r="C33" s="2"/>
      <c r="D33" s="2"/>
      <c r="E33" s="48"/>
      <c r="F33" s="207">
        <f>INPUT!F35</f>
        <v>410</v>
      </c>
      <c r="G33" s="168" t="s">
        <v>20</v>
      </c>
      <c r="H33" s="179" t="s">
        <v>100</v>
      </c>
      <c r="I33" s="177"/>
      <c r="J33" s="48"/>
    </row>
    <row r="34" spans="1:10" ht="15" customHeight="1">
      <c r="A34" s="48" t="s">
        <v>96</v>
      </c>
      <c r="B34" s="48"/>
      <c r="C34" s="2"/>
      <c r="D34" s="2"/>
      <c r="E34" s="48"/>
      <c r="F34" s="207">
        <f>INPUT!F36</f>
        <v>120</v>
      </c>
      <c r="G34" s="168" t="s">
        <v>20</v>
      </c>
      <c r="H34" s="179" t="s">
        <v>101</v>
      </c>
      <c r="I34" s="177"/>
      <c r="J34" s="48"/>
    </row>
    <row r="35" spans="1:10" ht="15" customHeight="1">
      <c r="A35" s="48" t="s">
        <v>97</v>
      </c>
      <c r="B35" s="48"/>
      <c r="C35" s="2"/>
      <c r="D35" s="2"/>
      <c r="E35" s="48"/>
      <c r="F35" s="207">
        <f>INPUT!F37</f>
        <v>1884</v>
      </c>
      <c r="G35" s="168" t="s">
        <v>20</v>
      </c>
      <c r="H35" s="179" t="s">
        <v>102</v>
      </c>
      <c r="I35" s="177"/>
      <c r="J35" s="48"/>
    </row>
    <row r="36" spans="1:10" ht="15" customHeight="1">
      <c r="A36" s="48" t="s">
        <v>98</v>
      </c>
      <c r="B36" s="48"/>
      <c r="C36" s="2"/>
      <c r="D36" s="2"/>
      <c r="E36" s="48"/>
      <c r="F36" s="207">
        <f>INPUT!F38</f>
        <v>1443</v>
      </c>
      <c r="G36" s="168" t="s">
        <v>20</v>
      </c>
      <c r="H36" s="179" t="s">
        <v>103</v>
      </c>
      <c r="I36" s="177"/>
      <c r="J36" s="48"/>
    </row>
    <row r="37" spans="1:10" ht="15" customHeight="1">
      <c r="A37" s="48" t="s">
        <v>99</v>
      </c>
      <c r="B37" s="48"/>
      <c r="C37" s="2"/>
      <c r="D37" s="2"/>
      <c r="E37" s="48"/>
      <c r="F37" s="207">
        <f>INPUT!F39</f>
        <v>167</v>
      </c>
      <c r="G37" s="168" t="s">
        <v>20</v>
      </c>
      <c r="H37" s="179" t="s">
        <v>104</v>
      </c>
      <c r="I37" s="177"/>
      <c r="J37" s="48"/>
    </row>
    <row r="38" spans="1:10" ht="15" customHeight="1">
      <c r="A38" s="48" t="s">
        <v>21</v>
      </c>
      <c r="B38" s="48"/>
      <c r="C38" s="2"/>
      <c r="D38" s="2"/>
      <c r="E38" s="48"/>
      <c r="F38" s="207">
        <f>INPUT!F40</f>
        <v>4024</v>
      </c>
      <c r="G38" s="168" t="s">
        <v>20</v>
      </c>
      <c r="H38" s="179" t="s">
        <v>105</v>
      </c>
      <c r="I38" s="177"/>
      <c r="J38" s="48"/>
    </row>
    <row r="39" spans="1:10" ht="14.25" customHeight="1">
      <c r="A39" s="181" t="s">
        <v>57</v>
      </c>
      <c r="B39" s="2"/>
      <c r="C39" s="2"/>
      <c r="D39" s="2"/>
      <c r="E39" s="2"/>
      <c r="F39" s="2"/>
      <c r="G39" s="2"/>
      <c r="H39" s="2"/>
      <c r="I39" s="2"/>
    </row>
    <row r="40" spans="1:10">
      <c r="A40" s="167"/>
      <c r="B40" s="167"/>
      <c r="C40" s="167"/>
      <c r="D40" s="167"/>
      <c r="E40" s="167"/>
      <c r="F40" s="167"/>
      <c r="G40" s="167"/>
      <c r="H40" s="167"/>
      <c r="I40" s="167"/>
      <c r="J40" s="48"/>
    </row>
    <row r="41" spans="1:10" ht="13.5" thickBot="1"/>
    <row r="42" spans="1:10" ht="13.5" thickBot="1">
      <c r="A42" s="238" t="s">
        <v>122</v>
      </c>
      <c r="B42" s="239"/>
      <c r="C42" s="239"/>
      <c r="D42" s="239"/>
      <c r="E42" s="239"/>
      <c r="F42" s="239"/>
      <c r="G42" s="239"/>
      <c r="H42" s="239"/>
      <c r="I42" s="240"/>
    </row>
    <row r="43" spans="1:10">
      <c r="A43" s="52" t="s">
        <v>22</v>
      </c>
      <c r="B43" s="53"/>
      <c r="C43" s="54"/>
      <c r="D43" s="55" t="s">
        <v>23</v>
      </c>
      <c r="E43" s="54"/>
      <c r="F43" s="55"/>
      <c r="G43" s="53" t="s">
        <v>24</v>
      </c>
      <c r="H43" s="53"/>
      <c r="I43" s="56"/>
    </row>
    <row r="44" spans="1:10">
      <c r="A44" s="57"/>
      <c r="B44" s="48"/>
      <c r="C44" s="49"/>
      <c r="D44" s="24" t="s">
        <v>25</v>
      </c>
      <c r="E44" s="50"/>
      <c r="F44" s="24" t="s">
        <v>26</v>
      </c>
      <c r="G44" s="24"/>
      <c r="H44" s="24" t="s">
        <v>27</v>
      </c>
      <c r="I44" s="58"/>
    </row>
    <row r="45" spans="1:10" ht="13.5" thickBot="1">
      <c r="A45" s="92" t="s">
        <v>61</v>
      </c>
      <c r="B45" s="91"/>
      <c r="C45" s="93" t="s">
        <v>28</v>
      </c>
      <c r="D45" s="70" t="s">
        <v>29</v>
      </c>
      <c r="E45" s="70" t="s">
        <v>30</v>
      </c>
      <c r="F45" s="70" t="s">
        <v>29</v>
      </c>
      <c r="G45" s="70" t="s">
        <v>30</v>
      </c>
      <c r="H45" s="70" t="s">
        <v>29</v>
      </c>
      <c r="I45" s="71" t="s">
        <v>30</v>
      </c>
    </row>
    <row r="46" spans="1:10">
      <c r="A46" s="125" t="s">
        <v>44</v>
      </c>
      <c r="B46" s="77"/>
      <c r="C46" s="78" t="s">
        <v>31</v>
      </c>
      <c r="D46" s="79">
        <f>INPUT!$F$22*2.012*INPUT!$F$27/100*CHOOSE(INPUT!$F$31,FACTORS!$B$10,FACTORS!$B$11)*(INPUT!$F$35+INPUT!$F$36)/INPUT!$F$40</f>
        <v>0.38690000000000002</v>
      </c>
      <c r="E46" s="79">
        <f>INPUT!$F$24*2.012*INPUT!$F$27/100*CHOOSE(INPUT!$F$31,FACTORS!$B$10,FACTORS!$B$11)*(INPUT!$F$35+INPUT!$F$36)/INPUT!$F$40/2000</f>
        <v>1.9345000000000001E-4</v>
      </c>
      <c r="F46" s="79">
        <f>INPUT!$F$22*2.012*INPUT!$F$27/100*FACTORS!$B$10*(INPUT!$F$35+INPUT!$F$36)/INPUT!$F$40</f>
        <v>0.38690000000000002</v>
      </c>
      <c r="G46" s="79">
        <f>INPUT!$F$22*2.012*INPUT!$F$27/100*FACTORS!$B$10*(INPUT!$F$35+INPUT!$F$36)/INPUT!$F$40*8760/2000</f>
        <v>1.6946220000000001</v>
      </c>
      <c r="H46" s="79">
        <f>CHOOSE(INPUT!$F$23,INPUT!$F$22,FACTORS!$C$44)*2.012*INPUT!$F$27/100*CHOOSE(INPUT!$F$31,FACTORS!$B$10,FACTORS!$B$11)*(INPUT!$F$35+INPUT!$F$36)/INPUT!$F$40</f>
        <v>0.38690000000000002</v>
      </c>
      <c r="I46" s="80">
        <f>CHOOSE(INPUT!$F$23,INPUT!$F$22,FACTORS!$C$44)*2.012*INPUT!$F$27/100*CHOOSE(INPUT!$F$31,FACTORS!$B$10,FACTORS!$B$11)*(INPUT!$F$35+INPUT!$F$36)/INPUT!$F$40*8760/2000</f>
        <v>1.6946220000000001</v>
      </c>
    </row>
    <row r="47" spans="1:10">
      <c r="A47" s="126"/>
      <c r="B47" s="11"/>
      <c r="C47" s="9" t="s">
        <v>32</v>
      </c>
      <c r="D47" s="10">
        <f>INPUT!$F$22*2.012*INPUT!$F$27/100*CHOOSE(INPUT!$F$31,FACTORS!$D$10,FACTORS!$D$11)*(INPUT!$F$35+INPUT!$F$36)/INPUT!$F$40</f>
        <v>0.11050500000000001</v>
      </c>
      <c r="E47" s="10">
        <f>INPUT!$F$24*2.012*INPUT!$F$27/100*CHOOSE(INPUT!$F$31,FACTORS!$D$10,FACTORS!$D$11)*(INPUT!$F$35+INPUT!$F$36)/INPUT!$F$40/2000</f>
        <v>5.52525E-5</v>
      </c>
      <c r="F47" s="10">
        <f>INPUT!$F$22*2.012*INPUT!$F$27/100*FACTORS!$D$10*(INPUT!$F$35+INPUT!$F$36)/INPUT!$F$40</f>
        <v>0.11050500000000001</v>
      </c>
      <c r="G47" s="10">
        <f>INPUT!$F$22*2.012*INPUT!$F$27/100*FACTORS!$D$10*(INPUT!$F$35+INPUT!$F$36)/INPUT!$F$40*8760/2000</f>
        <v>0.48401190000000005</v>
      </c>
      <c r="H47" s="10">
        <f>CHOOSE(INPUT!$F$23,INPUT!$F$22,FACTORS!$C$44)*2.012*INPUT!$F$27/100*CHOOSE(INPUT!$F$31,FACTORS!$D$10,FACTORS!$D$11)*(INPUT!$F$35+INPUT!$F$36)/INPUT!$F$40</f>
        <v>0.11050500000000001</v>
      </c>
      <c r="I47" s="59">
        <f>CHOOSE(INPUT!$F$23,INPUT!$F$22,FACTORS!$C$44)*2.012*INPUT!$F$27/100*CHOOSE(INPUT!$F$31,FACTORS!$D$10,FACTORS!$D$11)*(INPUT!$F$35+INPUT!$F$36)/INPUT!$F$40*8760/2000</f>
        <v>0.48401190000000005</v>
      </c>
    </row>
    <row r="48" spans="1:10">
      <c r="A48" s="127" t="s">
        <v>46</v>
      </c>
      <c r="B48" s="8"/>
      <c r="C48" s="9" t="s">
        <v>31</v>
      </c>
      <c r="D48" s="10">
        <f>INPUT!$F$22*2.012*INPUT!$F$28/100*CHOOSE(INPUT!$F$32,FACTORS!$B$12,FACTORS!$B$13)*(INPUT!$F$35+INPUT!$F$36)/INPUT!$F$40</f>
        <v>0</v>
      </c>
      <c r="E48" s="10">
        <f>INPUT!$F$24*2.012*INPUT!$F$28/100*CHOOSE(INPUT!$F$32,FACTORS!$B$12,FACTORS!$B$13)*(INPUT!$F$35+INPUT!$F$36)/INPUT!$F$40/2000</f>
        <v>0</v>
      </c>
      <c r="F48" s="10">
        <f>INPUT!$F$22*2.012*INPUT!$F$28/100*FACTORS!$B$12*(INPUT!$F$35+INPUT!$F$36)/INPUT!$F$40</f>
        <v>0</v>
      </c>
      <c r="G48" s="10">
        <f>INPUT!$F$22*2.012*INPUT!$F$28/100*FACTORS!$B$12*(INPUT!$F$35+INPUT!$F$36)/INPUT!$F$40*8760/2000</f>
        <v>0</v>
      </c>
      <c r="H48" s="10">
        <f>CHOOSE(INPUT!$F$23,INPUT!$F$22,FACTORS!$C$44)*2.012*INPUT!$F$28/100*CHOOSE(INPUT!$F$32,FACTORS!$B$12,FACTORS!$B$13)*(INPUT!$F$35+INPUT!$F$36)/INPUT!$F$40</f>
        <v>0</v>
      </c>
      <c r="I48" s="59">
        <f>CHOOSE(INPUT!$F$23,INPUT!$F$22,FACTORS!$C$44)*2.012*INPUT!$F$28/100*CHOOSE(INPUT!$F$32,FACTORS!$B$12,FACTORS!$B$13)*(INPUT!$F$35+INPUT!$F$36)/INPUT!$F$40*8760/2000</f>
        <v>0</v>
      </c>
    </row>
    <row r="49" spans="1:9">
      <c r="A49" s="126"/>
      <c r="B49" s="11"/>
      <c r="C49" s="9" t="s">
        <v>32</v>
      </c>
      <c r="D49" s="10">
        <f>INPUT!$F$22*2.012*INPUT!$F$28/100*CHOOSE(INPUT!$F$32,FACTORS!$D$12,FACTORS!$D$13)*(INPUT!$F$35+INPUT!$F$36)/INPUT!$F$40</f>
        <v>0</v>
      </c>
      <c r="E49" s="10">
        <f>INPUT!$F$24*2.012*INPUT!$F$28/100*CHOOSE(INPUT!$F$32,FACTORS!$D$12,FACTORS!$D$13)*(INPUT!$F$35+INPUT!$F$36)/INPUT!$F$40/2000</f>
        <v>0</v>
      </c>
      <c r="F49" s="10">
        <f>INPUT!$F$22*2.012*INPUT!$F$28/100*FACTORS!$D$12*(INPUT!$F$35+INPUT!$F$36)/INPUT!$F$40</f>
        <v>0</v>
      </c>
      <c r="G49" s="10">
        <f>INPUT!$F$22*2.012*INPUT!$F$28/100*FACTORS!$D$12*(INPUT!$F$35+INPUT!$F$36)/INPUT!$F$40*8760/2000</f>
        <v>0</v>
      </c>
      <c r="H49" s="10">
        <f>CHOOSE(INPUT!$F$23,INPUT!$F$22,FACTORS!$C$44)*2.012*INPUT!$F$28/100*CHOOSE(INPUT!$F$32,FACTORS!$D$12,FACTORS!$D$13)*(INPUT!$F$35+INPUT!$F$36)/INPUT!$F$40</f>
        <v>0</v>
      </c>
      <c r="I49" s="59">
        <f>CHOOSE(INPUT!$F$23,INPUT!$F$22,FACTORS!$C$44)*2.012*INPUT!$F$28/100*CHOOSE(INPUT!$F$32,FACTORS!$D$12,FACTORS!$D$13)*(INPUT!$F$35+INPUT!$F$36)/INPUT!$F$40*8760/2000</f>
        <v>0</v>
      </c>
    </row>
    <row r="50" spans="1:9">
      <c r="A50" s="128" t="s">
        <v>47</v>
      </c>
      <c r="B50" s="1"/>
      <c r="C50" s="6" t="s">
        <v>31</v>
      </c>
      <c r="D50" s="12">
        <f>INPUT!$F$22*2.012*FACTORS!$B$5*INPUT!$F$35/INPUT!$F$40</f>
        <v>2.0295E-4</v>
      </c>
      <c r="E50" s="12">
        <f>INPUT!$F$24*2.012*FACTORS!$B$5*INPUT!$F$35/INPUT!$F$40/2000</f>
        <v>1.01475E-7</v>
      </c>
      <c r="F50" s="12">
        <f>INPUT!$F$22*2.012*FACTORS!$B$4*INPUT!$F$35/INPUT!$F$40</f>
        <v>0.14760000000000001</v>
      </c>
      <c r="G50" s="12">
        <f>INPUT!$F$22*2.012*FACTORS!$B$4*INPUT!$F$35/INPUT!$F$40*8760/2000</f>
        <v>0.64648800000000006</v>
      </c>
      <c r="H50" s="12">
        <f>CHOOSE(INPUT!$F$23,INPUT!$F$22,FACTORS!$C$44)*2.012*FACTORS!$B$5*INPUT!$F$35/INPUT!$F$40</f>
        <v>2.0295E-4</v>
      </c>
      <c r="I50" s="60">
        <f>CHOOSE(INPUT!$F$23,INPUT!$F$22,FACTORS!$C$44)*2.012*FACTORS!$B$5*INPUT!$F$35/INPUT!$F$40*8760/2000</f>
        <v>8.8892099999999998E-4</v>
      </c>
    </row>
    <row r="51" spans="1:9">
      <c r="A51" s="129"/>
      <c r="B51" s="4"/>
      <c r="C51" s="6" t="s">
        <v>32</v>
      </c>
      <c r="D51" s="12">
        <f>INPUT!$F$22*2.012*FACTORS!$D$5*INPUT!$F$35/INPUT!$F$40</f>
        <v>6.97E-5</v>
      </c>
      <c r="E51" s="12">
        <f>INPUT!$F$24*2.012*FACTORS!$D$5*INPUT!$F$35/INPUT!$F$40/2000</f>
        <v>3.4849999999999998E-8</v>
      </c>
      <c r="F51" s="12">
        <f>INPUT!$F$22*2.012*FACTORS!$D$4*INPUT!$F$35/INPUT!$F$40</f>
        <v>9.4300000000000009E-2</v>
      </c>
      <c r="G51" s="12">
        <f>INPUT!$F$22*2.012*FACTORS!$D$4*INPUT!$F$35/INPUT!$F$40*8760/2000</f>
        <v>0.41303400000000007</v>
      </c>
      <c r="H51" s="12">
        <f>CHOOSE(INPUT!$F$23,INPUT!$F$22,FACTORS!$C$44)*2.012*FACTORS!$D$5*INPUT!$F$35/INPUT!$F$40</f>
        <v>6.97E-5</v>
      </c>
      <c r="I51" s="60">
        <f>CHOOSE(INPUT!$F$23,INPUT!$F$22,FACTORS!$C$44)*2.012*FACTORS!$D$5*INPUT!$F$35/INPUT!$F$40*8760/2000</f>
        <v>3.0528599999999999E-4</v>
      </c>
    </row>
    <row r="52" spans="1:9">
      <c r="A52" s="128" t="s">
        <v>62</v>
      </c>
      <c r="B52" s="1"/>
      <c r="C52" s="6" t="s">
        <v>31</v>
      </c>
      <c r="D52" s="12">
        <f>INPUT!$F$22*2.012*FACTORS!$B$7*INPUT!$F$36/INPUT!$F$40</f>
        <v>5.3399999999999997E-4</v>
      </c>
      <c r="E52" s="12">
        <f>INPUT!$F$24*2.012*FACTORS!$B$7*INPUT!$F$36/INPUT!$F$40/2000</f>
        <v>2.67E-7</v>
      </c>
      <c r="F52" s="12">
        <f>INPUT!$F$22*2.012*FACTORS!$B$6*INPUT!$F$36/INPUT!$F$40</f>
        <v>0.18840000000000001</v>
      </c>
      <c r="G52" s="12">
        <f>INPUT!$F$22*2.012*FACTORS!$B$6*INPUT!$F$36/INPUT!$F$40*8760/2000</f>
        <v>0.82519200000000004</v>
      </c>
      <c r="H52" s="12">
        <f>CHOOSE(INPUT!$F$23,INPUT!$F$22,FACTORS!$C$44)*2.012*FACTORS!$B$7*INPUT!$F$36/INPUT!$F$40</f>
        <v>5.3399999999999997E-4</v>
      </c>
      <c r="I52" s="60">
        <f>CHOOSE(INPUT!$F$23,INPUT!$F$22,FACTORS!$C$44)*2.012*FACTORS!$B$7*INPUT!$F$36/INPUT!$F$40*8760/2000</f>
        <v>2.33892E-3</v>
      </c>
    </row>
    <row r="53" spans="1:9">
      <c r="A53" s="129"/>
      <c r="B53" s="4"/>
      <c r="C53" s="6" t="s">
        <v>32</v>
      </c>
      <c r="D53" s="12">
        <f>INPUT!$F$22*2.012*FACTORS!$D$7*INPUT!$F$36/INPUT!$F$40</f>
        <v>2.9399999999999999E-4</v>
      </c>
      <c r="E53" s="12">
        <f>INPUT!$F$24*2.012*FACTORS!$D$7*INPUT!$F$36/INPUT!$F$40/2000</f>
        <v>1.4700000000000001E-7</v>
      </c>
      <c r="F53" s="12">
        <f>INPUT!$F$22*2.012*FACTORS!$D$6*INPUT!$F$36/INPUT!$F$40</f>
        <v>6.6000000000000003E-2</v>
      </c>
      <c r="G53" s="12">
        <f>INPUT!$F$22*2.012*FACTORS!$D$6*INPUT!$F$36/INPUT!$F$40*8760/2000</f>
        <v>0.28908000000000006</v>
      </c>
      <c r="H53" s="12">
        <f>CHOOSE(INPUT!$F$23,INPUT!$F$22,FACTORS!$C$44)*2.012*FACTORS!$D$7*INPUT!$F$36/INPUT!$F$40</f>
        <v>2.9399999999999999E-4</v>
      </c>
      <c r="I53" s="60">
        <f>CHOOSE(INPUT!$F$23,INPUT!$F$22,FACTORS!$C$44)*2.012*FACTORS!$D$7*INPUT!$F$36/INPUT!$F$40*8760/2000</f>
        <v>1.28772E-3</v>
      </c>
    </row>
    <row r="54" spans="1:9">
      <c r="A54" s="128" t="s">
        <v>64</v>
      </c>
      <c r="B54" s="1"/>
      <c r="C54" s="6" t="s">
        <v>31</v>
      </c>
      <c r="D54" s="12">
        <f>INPUT!$F$22*2.012*FACTORS!$B$8*(INPUT!$F$37+INPUT!$F$38)/INPUT!$F$40</f>
        <v>8.4838500000000011E-3</v>
      </c>
      <c r="E54" s="12">
        <f>INPUT!$F$24*2.012*FACTORS!$B$8*(INPUT!$F$37+INPUT!$F$38)/INPUT!$F$40/2000</f>
        <v>4.2419250000000009E-6</v>
      </c>
      <c r="F54" s="12">
        <f>INPUT!$F$22*2.012*FACTORS!$B$8*(INPUT!$F$37+INPUT!$F$38)/INPUT!$F$40</f>
        <v>8.4838500000000011E-3</v>
      </c>
      <c r="G54" s="12">
        <f>INPUT!$F$22*2.012*FACTORS!$B$8*(INPUT!$F$37+INPUT!$F$38)/INPUT!$F$40*8760/2000</f>
        <v>3.7159263000000005E-2</v>
      </c>
      <c r="H54" s="13" t="s">
        <v>6</v>
      </c>
      <c r="I54" s="62" t="s">
        <v>6</v>
      </c>
    </row>
    <row r="55" spans="1:9">
      <c r="A55" s="129" t="s">
        <v>33</v>
      </c>
      <c r="B55" s="4"/>
      <c r="C55" s="6" t="s">
        <v>32</v>
      </c>
      <c r="D55" s="12">
        <f>INPUT!$F$22*2.012*FACTORS!$D$8*(INPUT!$F$37+INPUT!$F$38)/INPUT!$F$40</f>
        <v>3.9923999999999992E-3</v>
      </c>
      <c r="E55" s="12">
        <f>INPUT!$F$24*2.012*FACTORS!$D$8*(INPUT!$F$37+INPUT!$F$38)/INPUT!$F$40/2000</f>
        <v>1.9961999999999996E-6</v>
      </c>
      <c r="F55" s="12">
        <f>INPUT!$F$22*2.012*FACTORS!$D$8*(INPUT!$F$37+INPUT!$F$38)/INPUT!$F$40</f>
        <v>3.9923999999999992E-3</v>
      </c>
      <c r="G55" s="12">
        <f>INPUT!$F$22*2.012*FACTORS!$D$8*(INPUT!$F$37+INPUT!$F$38)/INPUT!$F$40*8760/2000</f>
        <v>1.7486711999999998E-2</v>
      </c>
      <c r="H55" s="13" t="s">
        <v>6</v>
      </c>
      <c r="I55" s="62" t="s">
        <v>6</v>
      </c>
    </row>
    <row r="56" spans="1:9">
      <c r="A56" s="128" t="s">
        <v>63</v>
      </c>
      <c r="B56" s="1"/>
      <c r="C56" s="6" t="s">
        <v>31</v>
      </c>
      <c r="D56" s="12">
        <f>INPUT!$F$22*FACTORS!$B$14</f>
        <v>2.3699999999999999E-2</v>
      </c>
      <c r="E56" s="12">
        <f>INPUT!$F$24*FACTORS!$B$14/2000</f>
        <v>1.185E-5</v>
      </c>
      <c r="F56" s="12">
        <f>INPUT!$F$22*FACTORS!$B$14</f>
        <v>2.3699999999999999E-2</v>
      </c>
      <c r="G56" s="12">
        <f>INPUT!$F$22*FACTORS!$B$14*8760/2000</f>
        <v>0.103806</v>
      </c>
      <c r="H56" s="12">
        <f>CHOOSE(INPUT!$F$23,INPUT!$F$22,FACTORS!$C$44)*FACTORS!$B$14</f>
        <v>2.3699999999999999E-2</v>
      </c>
      <c r="I56" s="60">
        <f>CHOOSE(INPUT!$F$23,INPUT!$F$22,FACTORS!$C$44)*FACTORS!$B$14*8760/2000</f>
        <v>0.103806</v>
      </c>
    </row>
    <row r="57" spans="1:9" ht="13.5" thickBot="1">
      <c r="A57" s="130"/>
      <c r="B57" s="81"/>
      <c r="C57" s="82" t="s">
        <v>32</v>
      </c>
      <c r="D57" s="83">
        <f>INPUT!$F$22*FACTORS!$D$14</f>
        <v>1.14E-2</v>
      </c>
      <c r="E57" s="83">
        <f>INPUT!$F$24*FACTORS!$D$14/2000</f>
        <v>5.7000000000000005E-6</v>
      </c>
      <c r="F57" s="83">
        <f>INPUT!$F$22*FACTORS!$D$14</f>
        <v>1.14E-2</v>
      </c>
      <c r="G57" s="83">
        <f>INPUT!$F$22*FACTORS!$D$14*8760/2000</f>
        <v>4.9932000000000004E-2</v>
      </c>
      <c r="H57" s="83">
        <f>CHOOSE(INPUT!$F$23,INPUT!$F$22,FACTORS!$C$44)*FACTORS!$D$14</f>
        <v>1.14E-2</v>
      </c>
      <c r="I57" s="84">
        <f>CHOOSE(INPUT!$F$23,INPUT!$F$22,FACTORS!$C$44)*FACTORS!$D$14*8760/2000</f>
        <v>4.9932000000000004E-2</v>
      </c>
    </row>
    <row r="58" spans="1:9">
      <c r="A58" s="131" t="s">
        <v>34</v>
      </c>
      <c r="B58" s="72"/>
      <c r="C58" s="73" t="s">
        <v>31</v>
      </c>
      <c r="D58" s="74">
        <f t="shared" ref="D58:G59" si="0">D46+D48+D50+D52+D54+D56</f>
        <v>0.41982079999999999</v>
      </c>
      <c r="E58" s="75">
        <f t="shared" si="0"/>
        <v>2.099104E-4</v>
      </c>
      <c r="F58" s="74">
        <f t="shared" si="0"/>
        <v>0.75508384999999989</v>
      </c>
      <c r="G58" s="75">
        <f t="shared" si="0"/>
        <v>3.307267263</v>
      </c>
      <c r="H58" s="74">
        <f>H46+H48+H50+H52+F54+H56</f>
        <v>0.41982079999999999</v>
      </c>
      <c r="I58" s="76">
        <f>I46+I48+I50+I52+G54+I56</f>
        <v>1.838815104</v>
      </c>
    </row>
    <row r="59" spans="1:9">
      <c r="A59" s="132" t="s">
        <v>35</v>
      </c>
      <c r="B59" s="14"/>
      <c r="C59" s="15" t="s">
        <v>32</v>
      </c>
      <c r="D59" s="16">
        <f t="shared" si="0"/>
        <v>0.12626110000000001</v>
      </c>
      <c r="E59" s="17">
        <f t="shared" si="0"/>
        <v>6.3130549999999998E-5</v>
      </c>
      <c r="F59" s="16">
        <f t="shared" si="0"/>
        <v>0.28619740000000005</v>
      </c>
      <c r="G59" s="17">
        <f t="shared" si="0"/>
        <v>1.2535446120000002</v>
      </c>
      <c r="H59" s="16">
        <f>H47+H49+H51+H53+F55+H57</f>
        <v>0.12626110000000001</v>
      </c>
      <c r="I59" s="63">
        <f>I47+I49+I51+I53+G55+I57</f>
        <v>0.55302361799999999</v>
      </c>
    </row>
    <row r="60" spans="1:9">
      <c r="A60" s="61"/>
      <c r="B60" s="4"/>
      <c r="C60" s="18"/>
      <c r="D60" s="12"/>
      <c r="E60" s="12"/>
      <c r="F60" s="12"/>
      <c r="G60" s="12"/>
      <c r="H60" s="12"/>
      <c r="I60" s="60"/>
    </row>
    <row r="61" spans="1:9" ht="13.5" thickBot="1">
      <c r="A61" s="64" t="s">
        <v>36</v>
      </c>
      <c r="B61" s="65"/>
      <c r="C61" s="66" t="s">
        <v>32</v>
      </c>
      <c r="D61" s="67"/>
      <c r="E61" s="67"/>
      <c r="F61" s="67"/>
      <c r="G61" s="68">
        <f>G51+G53+G55</f>
        <v>0.71960071200000009</v>
      </c>
      <c r="H61" s="67"/>
      <c r="I61" s="69"/>
    </row>
    <row r="62" spans="1:9">
      <c r="A62" s="26" t="s">
        <v>58</v>
      </c>
    </row>
    <row r="63" spans="1:9" ht="13.5" thickBot="1"/>
    <row r="64" spans="1:9" ht="13.5" thickBot="1">
      <c r="A64" s="238" t="s">
        <v>123</v>
      </c>
      <c r="B64" s="239"/>
      <c r="C64" s="239"/>
      <c r="D64" s="239"/>
      <c r="E64" s="239"/>
      <c r="F64" s="239"/>
      <c r="G64" s="239"/>
      <c r="H64" s="239"/>
      <c r="I64" s="240"/>
    </row>
    <row r="65" spans="1:9">
      <c r="A65" s="94" t="s">
        <v>37</v>
      </c>
      <c r="B65" s="95"/>
      <c r="C65" s="103"/>
      <c r="D65" s="87" t="s">
        <v>38</v>
      </c>
      <c r="E65" s="87"/>
      <c r="F65" s="87"/>
      <c r="G65" s="87" t="s">
        <v>39</v>
      </c>
      <c r="H65" s="87"/>
      <c r="I65" s="88"/>
    </row>
    <row r="66" spans="1:9">
      <c r="A66" s="61"/>
      <c r="B66" s="3"/>
      <c r="C66" s="3"/>
      <c r="D66" s="123"/>
      <c r="E66" s="119" t="s">
        <v>40</v>
      </c>
      <c r="F66" s="18"/>
      <c r="G66" s="18"/>
      <c r="H66" s="212" t="s">
        <v>40</v>
      </c>
      <c r="I66" s="120"/>
    </row>
    <row r="67" spans="1:9" ht="13.5" thickBot="1">
      <c r="A67" s="96" t="s">
        <v>41</v>
      </c>
      <c r="B67" s="115"/>
      <c r="C67" s="122" t="s">
        <v>28</v>
      </c>
      <c r="D67" s="116" t="s">
        <v>42</v>
      </c>
      <c r="E67" s="117" t="s">
        <v>43</v>
      </c>
      <c r="F67" s="82"/>
      <c r="G67" s="116" t="s">
        <v>42</v>
      </c>
      <c r="H67" s="118" t="s">
        <v>43</v>
      </c>
      <c r="I67" s="107"/>
    </row>
    <row r="68" spans="1:9">
      <c r="A68" s="133" t="s">
        <v>44</v>
      </c>
      <c r="B68" s="121"/>
      <c r="C68" s="18" t="s">
        <v>40</v>
      </c>
      <c r="D68" s="110" t="s">
        <v>45</v>
      </c>
      <c r="E68" s="111">
        <f>INPUT!$F$24*2.012*INPUT!$F$27/100*CHOOSE(INPUT!$F$31,FACTORS!$F$10,FACTORS!$F$11)*(INPUT!$F$35+INPUT!$F$36)/INPUT!$F$40</f>
        <v>1.802E-5</v>
      </c>
      <c r="F68" s="112"/>
      <c r="G68" s="110" t="s">
        <v>45</v>
      </c>
      <c r="H68" s="113">
        <f>CHOOSE(INPUT!$F$23,INPUT!$F$22,FACTORS!$C$44)*2.012*INPUT!$F$27/100*CHOOSE(INPUT!$F$31,FACTORS!$F$10,FACTORS!$F$11)*(INPUT!$F$35+INPUT!$F$36)/INPUT!$F$40*8760</f>
        <v>0.1578552</v>
      </c>
      <c r="I68" s="114"/>
    </row>
    <row r="69" spans="1:9">
      <c r="A69" s="109" t="s">
        <v>46</v>
      </c>
      <c r="B69" s="4"/>
      <c r="C69" s="6" t="s">
        <v>40</v>
      </c>
      <c r="D69" s="19" t="s">
        <v>45</v>
      </c>
      <c r="E69" s="20">
        <f>INPUT!$F$24*2.012*INPUT!$F$28/100*CHOOSE(INPUT!$F$32,FACTORS!$F$12,FACTORS!$F$13)*(INPUT!$F$35+INPUT!$F$36)/INPUT!$F$40</f>
        <v>0</v>
      </c>
      <c r="F69" s="6"/>
      <c r="G69" s="19" t="s">
        <v>45</v>
      </c>
      <c r="H69" s="21">
        <f>CHOOSE(INPUT!$F$23,INPUT!$F$22,FACTORS!$C$44)*2.012*INPUT!$F$28/100*CHOOSE(INPUT!$F$32,FACTORS!$F$12,FACTORS!$F$13)*(INPUT!$F$35+INPUT!$F$36)/INPUT!$F$40*8760</f>
        <v>0</v>
      </c>
      <c r="I69" s="90"/>
    </row>
    <row r="70" spans="1:9">
      <c r="A70" s="108" t="s">
        <v>47</v>
      </c>
      <c r="B70" s="7"/>
      <c r="C70" s="6" t="s">
        <v>40</v>
      </c>
      <c r="D70" s="22" t="s">
        <v>48</v>
      </c>
      <c r="E70" s="20">
        <f>INPUT!$F$24*2.012*FACTORS!$F$5*INPUT!$F$35/INPUT!$F$40</f>
        <v>8.6920000000000006E-10</v>
      </c>
      <c r="F70" s="6"/>
      <c r="G70" s="22" t="s">
        <v>48</v>
      </c>
      <c r="H70" s="21">
        <f>CHOOSE(INPUT!$F$23,INPUT!$F$22,FACTORS!$C$44)*2.012*FACTORS!$F$5*INPUT!$F$35/INPUT!$F$40*8760</f>
        <v>7.6141920000000005E-6</v>
      </c>
      <c r="I70" s="89"/>
    </row>
    <row r="71" spans="1:9" ht="13.5" thickBot="1">
      <c r="A71" s="92" t="s">
        <v>49</v>
      </c>
      <c r="B71" s="124"/>
      <c r="C71" s="82" t="s">
        <v>40</v>
      </c>
      <c r="D71" s="104" t="s">
        <v>48</v>
      </c>
      <c r="E71" s="105">
        <f>INPUT!$F$24*2.012*FACTORS!$F$7*INPUT!$F$36/INPUT!$F$40</f>
        <v>5.9999999999999995E-8</v>
      </c>
      <c r="F71" s="82"/>
      <c r="G71" s="104" t="s">
        <v>48</v>
      </c>
      <c r="H71" s="106">
        <f>CHOOSE(INPUT!$F$23,INPUT!$F$22,FACTORS!$C$44)*2.012*FACTORS!$F$7*INPUT!$F$36/INPUT!$F$40*8760</f>
        <v>5.2559999999999998E-4</v>
      </c>
      <c r="I71" s="107"/>
    </row>
    <row r="72" spans="1:9" ht="13.5" thickBot="1">
      <c r="A72" s="96" t="s">
        <v>50</v>
      </c>
      <c r="B72" s="97"/>
      <c r="C72" s="98" t="s">
        <v>40</v>
      </c>
      <c r="D72" s="99"/>
      <c r="E72" s="100">
        <f>E68+E69+E70+E71</f>
        <v>1.80808692E-5</v>
      </c>
      <c r="F72" s="98"/>
      <c r="G72" s="99"/>
      <c r="H72" s="101">
        <f>H68+H69+H70+H71</f>
        <v>0.15838841419199998</v>
      </c>
      <c r="I72" s="102"/>
    </row>
    <row r="73" spans="1:9">
      <c r="A73" s="2"/>
      <c r="B73" s="2"/>
      <c r="C73" s="25"/>
      <c r="D73" s="85" t="s">
        <v>60</v>
      </c>
      <c r="E73" s="86"/>
      <c r="F73" s="25"/>
      <c r="G73" s="2"/>
      <c r="H73" s="2"/>
      <c r="I73" s="2"/>
    </row>
    <row r="74" spans="1:9" ht="13.5" thickBot="1"/>
    <row r="75" spans="1:9" ht="13.5" thickBot="1">
      <c r="A75" s="238" t="s">
        <v>135</v>
      </c>
      <c r="B75" s="239"/>
      <c r="C75" s="239"/>
      <c r="D75" s="239"/>
      <c r="E75" s="239"/>
      <c r="F75" s="239"/>
      <c r="G75" s="239"/>
      <c r="H75" s="239"/>
      <c r="I75" s="240"/>
    </row>
    <row r="76" spans="1:9">
      <c r="A76" s="94" t="s">
        <v>143</v>
      </c>
      <c r="B76" s="95"/>
      <c r="C76" s="103"/>
      <c r="D76" s="87" t="s">
        <v>38</v>
      </c>
      <c r="E76" s="87"/>
      <c r="F76" s="87"/>
      <c r="G76" s="87" t="s">
        <v>39</v>
      </c>
      <c r="H76" s="87"/>
      <c r="I76" s="88"/>
    </row>
    <row r="77" spans="1:9">
      <c r="A77" s="61"/>
      <c r="B77" s="3"/>
      <c r="C77" s="3"/>
      <c r="D77" s="123"/>
      <c r="E77" s="119" t="s">
        <v>144</v>
      </c>
      <c r="F77" s="18"/>
      <c r="G77" s="18"/>
      <c r="H77" s="212" t="s">
        <v>144</v>
      </c>
      <c r="I77" s="120"/>
    </row>
    <row r="78" spans="1:9" ht="13.5" thickBot="1">
      <c r="A78" s="96" t="s">
        <v>41</v>
      </c>
      <c r="B78" s="115"/>
      <c r="C78" s="122" t="s">
        <v>28</v>
      </c>
      <c r="D78" s="116" t="s">
        <v>42</v>
      </c>
      <c r="E78" s="117" t="s">
        <v>43</v>
      </c>
      <c r="F78" s="82"/>
      <c r="G78" s="116" t="s">
        <v>42</v>
      </c>
      <c r="H78" s="118" t="s">
        <v>43</v>
      </c>
      <c r="I78" s="107"/>
    </row>
    <row r="79" spans="1:9">
      <c r="A79" s="133" t="s">
        <v>44</v>
      </c>
      <c r="B79" s="121"/>
      <c r="C79" s="18" t="s">
        <v>144</v>
      </c>
      <c r="D79" s="110" t="s">
        <v>48</v>
      </c>
      <c r="E79" s="111">
        <f>INPUT!$F$24*2.012*INPUT!$F$27/100*CHOOSE(INPUT!$F$31,FACTORS!$B$23,FACTORS!$B$24)*(INPUT!$F$35+INPUT!$F$36)/INPUT!$F$40</f>
        <v>6.4660000000000011E-8</v>
      </c>
      <c r="F79" s="112"/>
      <c r="G79" s="110" t="s">
        <v>48</v>
      </c>
      <c r="H79" s="113">
        <f>CHOOSE(INPUT!$F$23,INPUT!$F$22,FACTORS!$C$44)*2.012*INPUT!$F$27/100*CHOOSE(INPUT!$F$31,FACTORS!$B$23,FACTORS!$B$24)*(INPUT!$F$35+INPUT!$F$36)/INPUT!$F$40*8760</f>
        <v>5.664216000000001E-4</v>
      </c>
      <c r="I79" s="114"/>
    </row>
    <row r="80" spans="1:9">
      <c r="A80" s="109" t="s">
        <v>46</v>
      </c>
      <c r="B80" s="4"/>
      <c r="C80" s="6" t="s">
        <v>144</v>
      </c>
      <c r="D80" s="22" t="s">
        <v>165</v>
      </c>
      <c r="E80" s="20" t="s">
        <v>53</v>
      </c>
      <c r="F80" s="6" t="s">
        <v>166</v>
      </c>
      <c r="G80" s="22" t="s">
        <v>165</v>
      </c>
      <c r="H80" s="21" t="s">
        <v>53</v>
      </c>
      <c r="I80" s="90"/>
    </row>
    <row r="81" spans="1:9">
      <c r="A81" s="108" t="s">
        <v>47</v>
      </c>
      <c r="B81" s="7"/>
      <c r="C81" s="6" t="s">
        <v>144</v>
      </c>
      <c r="D81" s="22" t="s">
        <v>48</v>
      </c>
      <c r="E81" s="20">
        <f>INPUT!$F$24*2.012*FACTORS!$B$18*INPUT!$F$35/INPUT!$F$40</f>
        <v>9.9629999999999996E-11</v>
      </c>
      <c r="F81" s="6"/>
      <c r="G81" s="22" t="s">
        <v>48</v>
      </c>
      <c r="H81" s="21">
        <f>CHOOSE(INPUT!$F$23,INPUT!$F$22,FACTORS!$C$44)*2.012*FACTORS!$B$18*INPUT!$F$35/INPUT!$F$40*8760</f>
        <v>8.7275879999999998E-7</v>
      </c>
      <c r="I81" s="89"/>
    </row>
    <row r="82" spans="1:9" ht="13.5" thickBot="1">
      <c r="A82" s="92" t="s">
        <v>49</v>
      </c>
      <c r="B82" s="124"/>
      <c r="C82" s="82" t="s">
        <v>144</v>
      </c>
      <c r="D82" s="104" t="s">
        <v>48</v>
      </c>
      <c r="E82" s="105">
        <f>INPUT!$F$24*2.012*FACTORS!$B$20*INPUT!$F$36/INPUT!$F$40</f>
        <v>5.4240000000000003E-9</v>
      </c>
      <c r="F82" s="82"/>
      <c r="G82" s="104" t="s">
        <v>48</v>
      </c>
      <c r="H82" s="106">
        <f>CHOOSE(INPUT!$F$23,INPUT!$F$22,FACTORS!$C$44)*2.012*FACTORS!$B$20*INPUT!$F$36/INPUT!$F$40*8760</f>
        <v>4.7514240000000003E-5</v>
      </c>
      <c r="I82" s="107"/>
    </row>
    <row r="83" spans="1:9" ht="13.5" thickBot="1">
      <c r="A83" s="96" t="s">
        <v>50</v>
      </c>
      <c r="B83" s="97"/>
      <c r="C83" s="98" t="s">
        <v>144</v>
      </c>
      <c r="D83" s="99"/>
      <c r="E83" s="100">
        <f>E79+E81+E82</f>
        <v>7.0183630000000009E-8</v>
      </c>
      <c r="F83" s="98"/>
      <c r="G83" s="99"/>
      <c r="H83" s="101">
        <f>H79+H81+H82</f>
        <v>6.1480859880000014E-4</v>
      </c>
      <c r="I83" s="102"/>
    </row>
    <row r="84" spans="1:9">
      <c r="A84" s="2"/>
      <c r="B84" s="2"/>
      <c r="C84" s="25"/>
      <c r="D84" s="85" t="s">
        <v>160</v>
      </c>
      <c r="E84" s="86"/>
      <c r="F84" s="25"/>
      <c r="G84" s="2"/>
      <c r="H84" s="2"/>
      <c r="I84" s="2"/>
    </row>
    <row r="85" spans="1:9" ht="13.5" thickBot="1"/>
    <row r="86" spans="1:9" ht="13.5" thickBot="1">
      <c r="A86" s="238" t="s">
        <v>136</v>
      </c>
      <c r="B86" s="239"/>
      <c r="C86" s="239"/>
      <c r="D86" s="239"/>
      <c r="E86" s="239"/>
      <c r="F86" s="239"/>
      <c r="G86" s="239"/>
      <c r="H86" s="239"/>
      <c r="I86" s="240"/>
    </row>
    <row r="87" spans="1:9">
      <c r="A87" s="94" t="s">
        <v>145</v>
      </c>
      <c r="B87" s="95"/>
      <c r="C87" s="103"/>
      <c r="D87" s="87" t="s">
        <v>38</v>
      </c>
      <c r="E87" s="87"/>
      <c r="F87" s="87"/>
      <c r="G87" s="87" t="s">
        <v>39</v>
      </c>
      <c r="H87" s="87"/>
      <c r="I87" s="88"/>
    </row>
    <row r="88" spans="1:9">
      <c r="A88" s="61"/>
      <c r="B88" s="3"/>
      <c r="C88" s="3"/>
      <c r="D88" s="123"/>
      <c r="E88" s="119" t="s">
        <v>152</v>
      </c>
      <c r="F88" s="18"/>
      <c r="G88" s="18"/>
      <c r="H88" s="212" t="s">
        <v>152</v>
      </c>
      <c r="I88" s="120"/>
    </row>
    <row r="89" spans="1:9" ht="13.5" thickBot="1">
      <c r="A89" s="96" t="s">
        <v>41</v>
      </c>
      <c r="B89" s="115"/>
      <c r="C89" s="122" t="s">
        <v>28</v>
      </c>
      <c r="D89" s="116" t="s">
        <v>42</v>
      </c>
      <c r="E89" s="117" t="s">
        <v>43</v>
      </c>
      <c r="F89" s="82"/>
      <c r="G89" s="116" t="s">
        <v>42</v>
      </c>
      <c r="H89" s="118" t="s">
        <v>43</v>
      </c>
      <c r="I89" s="107"/>
    </row>
    <row r="90" spans="1:9">
      <c r="A90" s="133" t="s">
        <v>44</v>
      </c>
      <c r="B90" s="121"/>
      <c r="C90" s="18" t="s">
        <v>152</v>
      </c>
      <c r="D90" s="110" t="s">
        <v>48</v>
      </c>
      <c r="E90" s="111">
        <f>INPUT!$F$24*2.012*INPUT!$F$27/100*CHOOSE(INPUT!$F$31,FACTORS!$D$23,FACTORS!$D$24)*(INPUT!$F$35+INPUT!$F$36)/INPUT!$F$40</f>
        <v>9.0629999999999998E-9</v>
      </c>
      <c r="F90" s="112"/>
      <c r="G90" s="110" t="s">
        <v>48</v>
      </c>
      <c r="H90" s="113">
        <f>CHOOSE(INPUT!$F$23,INPUT!$F$22,FACTORS!$C$44)*2.012*INPUT!$F$27/100*CHOOSE(INPUT!$F$31,FACTORS!$D$23,FACTORS!$D$24)*(INPUT!$F$35+INPUT!$F$36)/INPUT!$F$40*8760</f>
        <v>7.9391879999999993E-5</v>
      </c>
      <c r="I90" s="114"/>
    </row>
    <row r="91" spans="1:9">
      <c r="A91" s="109" t="s">
        <v>46</v>
      </c>
      <c r="B91" s="4"/>
      <c r="C91" s="6" t="s">
        <v>152</v>
      </c>
      <c r="D91" s="22" t="s">
        <v>48</v>
      </c>
      <c r="E91" s="20">
        <f>INPUT!$F$24*2.012*INPUT!$F$28/100*CHOOSE(INPUT!$F$32,FACTORS!$D$25,FACTORS!$D$26)*(INPUT!$F$35+INPUT!$F$36)/INPUT!$F$40</f>
        <v>0</v>
      </c>
      <c r="F91" s="6"/>
      <c r="G91" s="22" t="s">
        <v>48</v>
      </c>
      <c r="H91" s="21">
        <f>CHOOSE(INPUT!$F$23,INPUT!$F$22,FACTORS!$C$44)*2.012*INPUT!$F$28/100*CHOOSE(INPUT!$F$32,FACTORS!$D$25,FACTORS!$D$26)*(INPUT!$F$35+INPUT!$F$36)/INPUT!$F$40*8760</f>
        <v>0</v>
      </c>
      <c r="I91" s="90"/>
    </row>
    <row r="92" spans="1:9">
      <c r="A92" s="108" t="s">
        <v>47</v>
      </c>
      <c r="B92" s="7"/>
      <c r="C92" s="6" t="s">
        <v>152</v>
      </c>
      <c r="D92" s="22" t="s">
        <v>48</v>
      </c>
      <c r="E92" s="20">
        <f>INPUT!$F$24*2.012*FACTORS!$D$18*INPUT!$F$35/INPUT!$F$40</f>
        <v>9.9629999999999996E-11</v>
      </c>
      <c r="F92" s="6"/>
      <c r="G92" s="22" t="s">
        <v>48</v>
      </c>
      <c r="H92" s="21">
        <f>CHOOSE(INPUT!$F$23,INPUT!$F$22,FACTORS!$C$44)*2.012*FACTORS!$D$18*INPUT!$F$35/INPUT!$F$40*8760</f>
        <v>8.7275879999999998E-7</v>
      </c>
      <c r="I92" s="89"/>
    </row>
    <row r="93" spans="1:9" ht="13.5" thickBot="1">
      <c r="A93" s="92" t="s">
        <v>49</v>
      </c>
      <c r="B93" s="124"/>
      <c r="C93" s="82" t="s">
        <v>152</v>
      </c>
      <c r="D93" s="104" t="s">
        <v>48</v>
      </c>
      <c r="E93" s="105">
        <f>INPUT!$F$24*2.012*FACTORS!$D$20*INPUT!$F$36/INPUT!$F$40</f>
        <v>1.1879999999999998E-9</v>
      </c>
      <c r="F93" s="82"/>
      <c r="G93" s="104" t="s">
        <v>48</v>
      </c>
      <c r="H93" s="106">
        <f>CHOOSE(INPUT!$F$23,INPUT!$F$22,FACTORS!$C$44)*2.012*FACTORS!$D$20*INPUT!$F$36/INPUT!$F$40*8760</f>
        <v>1.0406879999999999E-5</v>
      </c>
      <c r="I93" s="107"/>
    </row>
    <row r="94" spans="1:9" ht="13.5" thickBot="1">
      <c r="A94" s="96" t="s">
        <v>50</v>
      </c>
      <c r="B94" s="97"/>
      <c r="C94" s="98" t="s">
        <v>152</v>
      </c>
      <c r="D94" s="99"/>
      <c r="E94" s="100">
        <f>E90+E91+E92+E93</f>
        <v>1.0350630000000001E-8</v>
      </c>
      <c r="F94" s="98"/>
      <c r="G94" s="99"/>
      <c r="H94" s="101">
        <f>H90+H91+H92+H93</f>
        <v>9.0671518799999989E-5</v>
      </c>
      <c r="I94" s="102"/>
    </row>
    <row r="95" spans="1:9">
      <c r="A95" s="2"/>
      <c r="B95" s="2"/>
      <c r="C95" s="25"/>
      <c r="D95" s="85" t="s">
        <v>161</v>
      </c>
      <c r="E95" s="86"/>
      <c r="F95" s="25"/>
      <c r="G95" s="2"/>
      <c r="H95" s="2"/>
      <c r="I95" s="2"/>
    </row>
    <row r="96" spans="1:9" ht="13.5" thickBot="1"/>
    <row r="97" spans="1:9" ht="13.5" thickBot="1">
      <c r="A97" s="238" t="s">
        <v>137</v>
      </c>
      <c r="B97" s="239"/>
      <c r="C97" s="239"/>
      <c r="D97" s="239"/>
      <c r="E97" s="239"/>
      <c r="F97" s="239"/>
      <c r="G97" s="239"/>
      <c r="H97" s="239"/>
      <c r="I97" s="240"/>
    </row>
    <row r="98" spans="1:9">
      <c r="A98" s="94" t="s">
        <v>146</v>
      </c>
      <c r="B98" s="95"/>
      <c r="C98" s="103"/>
      <c r="D98" s="87" t="s">
        <v>38</v>
      </c>
      <c r="E98" s="87"/>
      <c r="F98" s="87"/>
      <c r="G98" s="87" t="s">
        <v>39</v>
      </c>
      <c r="H98" s="87"/>
      <c r="I98" s="88"/>
    </row>
    <row r="99" spans="1:9">
      <c r="A99" s="61"/>
      <c r="B99" s="3"/>
      <c r="C99" s="3"/>
      <c r="D99" s="123"/>
      <c r="E99" s="119" t="s">
        <v>153</v>
      </c>
      <c r="F99" s="18"/>
      <c r="G99" s="18"/>
      <c r="H99" s="212" t="s">
        <v>153</v>
      </c>
      <c r="I99" s="120"/>
    </row>
    <row r="100" spans="1:9" ht="13.5" thickBot="1">
      <c r="A100" s="96" t="s">
        <v>41</v>
      </c>
      <c r="B100" s="115"/>
      <c r="C100" s="122" t="s">
        <v>28</v>
      </c>
      <c r="D100" s="116" t="s">
        <v>42</v>
      </c>
      <c r="E100" s="117" t="s">
        <v>43</v>
      </c>
      <c r="F100" s="82"/>
      <c r="G100" s="116" t="s">
        <v>42</v>
      </c>
      <c r="H100" s="118" t="s">
        <v>43</v>
      </c>
      <c r="I100" s="107"/>
    </row>
    <row r="101" spans="1:9">
      <c r="A101" s="133" t="s">
        <v>44</v>
      </c>
      <c r="B101" s="121"/>
      <c r="C101" s="18" t="s">
        <v>153</v>
      </c>
      <c r="D101" s="110" t="s">
        <v>48</v>
      </c>
      <c r="E101" s="111">
        <f>INPUT!$F$24*2.012*INPUT!$F$27/100*CHOOSE(INPUT!$F$31,FACTORS!$F$23,FACTORS!$F$24)*(INPUT!$F$35+INPUT!$F$36)/INPUT!$F$40</f>
        <v>3.021E-6</v>
      </c>
      <c r="F101" s="112"/>
      <c r="G101" s="110" t="s">
        <v>48</v>
      </c>
      <c r="H101" s="113">
        <f>CHOOSE(INPUT!$F$23,INPUT!$F$22,FACTORS!$C$44)*2.012*INPUT!$F$27/100*CHOOSE(INPUT!$F$31,FACTORS!$F$23,FACTORS!$F$24)*(INPUT!$F$35+INPUT!$F$36)/INPUT!$F$40*8760</f>
        <v>2.6463959999999998E-2</v>
      </c>
      <c r="I101" s="114"/>
    </row>
    <row r="102" spans="1:9">
      <c r="A102" s="109" t="s">
        <v>46</v>
      </c>
      <c r="B102" s="4"/>
      <c r="C102" s="6" t="s">
        <v>153</v>
      </c>
      <c r="D102" s="22" t="s">
        <v>48</v>
      </c>
      <c r="E102" s="20">
        <f>INPUT!$F$24*2.012*INPUT!$F$28/100*CHOOSE(INPUT!$F$32,FACTORS!$F$25,FACTORS!$F$26)*(INPUT!$F$35+INPUT!$F$36)/INPUT!$F$40</f>
        <v>0</v>
      </c>
      <c r="F102" s="6"/>
      <c r="G102" s="22" t="s">
        <v>48</v>
      </c>
      <c r="H102" s="21">
        <f>CHOOSE(INPUT!$F$23,INPUT!$F$22,FACTORS!$C$44)*2.012*INPUT!$F$28/100*CHOOSE(INPUT!$F$32,FACTORS!$F$25,FACTORS!$F$26)*(INPUT!$F$35+INPUT!$F$36)/INPUT!$F$40*8760</f>
        <v>0</v>
      </c>
      <c r="I102" s="90"/>
    </row>
    <row r="103" spans="1:9">
      <c r="A103" s="108" t="s">
        <v>47</v>
      </c>
      <c r="B103" s="7"/>
      <c r="C103" s="6" t="s">
        <v>153</v>
      </c>
      <c r="D103" s="22" t="s">
        <v>48</v>
      </c>
      <c r="E103" s="20">
        <f>INPUT!$F$24*2.012*FACTORS!$F$18*INPUT!$F$35/INPUT!$F$40</f>
        <v>5.9449999999999996E-9</v>
      </c>
      <c r="F103" s="6"/>
      <c r="G103" s="22" t="s">
        <v>48</v>
      </c>
      <c r="H103" s="21">
        <f>CHOOSE(INPUT!$F$23,INPUT!$F$22,FACTORS!$C$44)*2.012*FACTORS!$F$18*INPUT!$F$35/INPUT!$F$40*8760</f>
        <v>5.2078199999999999E-5</v>
      </c>
      <c r="I103" s="89"/>
    </row>
    <row r="104" spans="1:9" ht="13.5" thickBot="1">
      <c r="A104" s="92" t="s">
        <v>49</v>
      </c>
      <c r="B104" s="124"/>
      <c r="C104" s="82" t="s">
        <v>153</v>
      </c>
      <c r="D104" s="104" t="s">
        <v>48</v>
      </c>
      <c r="E104" s="105">
        <f>INPUT!$F$24*2.012*FACTORS!$F$20*INPUT!$F$36/INPUT!$F$40</f>
        <v>7.3200000000000007E-8</v>
      </c>
      <c r="F104" s="82"/>
      <c r="G104" s="104" t="s">
        <v>48</v>
      </c>
      <c r="H104" s="106">
        <f>CHOOSE(INPUT!$F$23,INPUT!$F$22,FACTORS!$C$44)*2.012*FACTORS!$F$20*INPUT!$F$36/INPUT!$F$40*8760</f>
        <v>6.4123200000000004E-4</v>
      </c>
      <c r="I104" s="107"/>
    </row>
    <row r="105" spans="1:9" ht="13.5" thickBot="1">
      <c r="A105" s="96" t="s">
        <v>50</v>
      </c>
      <c r="B105" s="97"/>
      <c r="C105" s="98" t="s">
        <v>153</v>
      </c>
      <c r="D105" s="99"/>
      <c r="E105" s="100">
        <f>E101+E102+E103+E104</f>
        <v>3.1001449999999999E-6</v>
      </c>
      <c r="F105" s="98"/>
      <c r="G105" s="99"/>
      <c r="H105" s="101">
        <f>H101+H102+H103+H104</f>
        <v>2.7157270199999996E-2</v>
      </c>
      <c r="I105" s="102"/>
    </row>
    <row r="106" spans="1:9">
      <c r="A106" s="2"/>
      <c r="B106" s="2"/>
      <c r="C106" s="25"/>
      <c r="D106" s="85" t="s">
        <v>162</v>
      </c>
      <c r="E106" s="86"/>
      <c r="F106" s="25"/>
      <c r="G106" s="2"/>
      <c r="H106" s="2"/>
      <c r="I106" s="2"/>
    </row>
    <row r="107" spans="1:9" ht="13.5" thickBot="1"/>
    <row r="108" spans="1:9" ht="13.5" thickBot="1">
      <c r="A108" s="238" t="s">
        <v>138</v>
      </c>
      <c r="B108" s="239"/>
      <c r="C108" s="239"/>
      <c r="D108" s="239"/>
      <c r="E108" s="239"/>
      <c r="F108" s="239"/>
      <c r="G108" s="239"/>
      <c r="H108" s="239"/>
      <c r="I108" s="240"/>
    </row>
    <row r="109" spans="1:9">
      <c r="A109" s="94" t="s">
        <v>147</v>
      </c>
      <c r="B109" s="95"/>
      <c r="C109" s="103"/>
      <c r="D109" s="87" t="s">
        <v>38</v>
      </c>
      <c r="E109" s="87"/>
      <c r="F109" s="87"/>
      <c r="G109" s="87" t="s">
        <v>39</v>
      </c>
      <c r="H109" s="87"/>
      <c r="I109" s="88"/>
    </row>
    <row r="110" spans="1:9">
      <c r="A110" s="61"/>
      <c r="B110" s="3"/>
      <c r="C110" s="3"/>
      <c r="D110" s="123"/>
      <c r="E110" s="119" t="s">
        <v>154</v>
      </c>
      <c r="F110" s="18"/>
      <c r="G110" s="18"/>
      <c r="H110" s="212" t="s">
        <v>154</v>
      </c>
      <c r="I110" s="120"/>
    </row>
    <row r="111" spans="1:9" ht="13.5" thickBot="1">
      <c r="A111" s="96" t="s">
        <v>41</v>
      </c>
      <c r="B111" s="115"/>
      <c r="C111" s="122" t="s">
        <v>28</v>
      </c>
      <c r="D111" s="116" t="s">
        <v>42</v>
      </c>
      <c r="E111" s="117" t="s">
        <v>43</v>
      </c>
      <c r="F111" s="82"/>
      <c r="G111" s="116" t="s">
        <v>42</v>
      </c>
      <c r="H111" s="118" t="s">
        <v>43</v>
      </c>
      <c r="I111" s="107"/>
    </row>
    <row r="112" spans="1:9">
      <c r="A112" s="133" t="s">
        <v>44</v>
      </c>
      <c r="B112" s="121"/>
      <c r="C112" s="18" t="s">
        <v>154</v>
      </c>
      <c r="D112" s="110" t="s">
        <v>48</v>
      </c>
      <c r="E112" s="111">
        <f>INPUT!$F$24*2.012*INPUT!$F$27/100*CHOOSE(INPUT!$F$31,FACTORS!$H$23,FACTORS!$H$24)*(INPUT!$F$35+INPUT!$F$36)/INPUT!$F$40</f>
        <v>9.5929999999999995E-6</v>
      </c>
      <c r="F112" s="112"/>
      <c r="G112" s="110" t="s">
        <v>48</v>
      </c>
      <c r="H112" s="113">
        <f>CHOOSE(INPUT!$F$23,INPUT!$F$22,FACTORS!$C$44)*2.012*INPUT!$F$27/100*CHOOSE(INPUT!$F$31,FACTORS!$H$23,FACTORS!$H$24)*(INPUT!$F$35+INPUT!$F$36)/INPUT!$F$40*8760</f>
        <v>8.403468E-2</v>
      </c>
      <c r="I112" s="114"/>
    </row>
    <row r="113" spans="1:9">
      <c r="A113" s="109" t="s">
        <v>46</v>
      </c>
      <c r="B113" s="4"/>
      <c r="C113" s="6" t="s">
        <v>154</v>
      </c>
      <c r="D113" s="22" t="s">
        <v>48</v>
      </c>
      <c r="E113" s="20">
        <f>INPUT!$F$24*2.012*INPUT!$F$28/100*CHOOSE(INPUT!$F$32,FACTORS!$H$25,FACTORS!$H$26)*(INPUT!$F$35+INPUT!$F$36)/INPUT!$F$40</f>
        <v>0</v>
      </c>
      <c r="F113" s="6"/>
      <c r="G113" s="22" t="s">
        <v>48</v>
      </c>
      <c r="H113" s="21">
        <f>CHOOSE(INPUT!$F$23,INPUT!$F$22,FACTORS!$C$44)*2.012*INPUT!$F$28/100*CHOOSE(INPUT!$F$32,FACTORS!$H$25,FACTORS!$H$26)*(INPUT!$F$35+INPUT!$F$36)/INPUT!$F$40*8760</f>
        <v>0</v>
      </c>
      <c r="I113" s="90"/>
    </row>
    <row r="114" spans="1:9">
      <c r="A114" s="108" t="s">
        <v>47</v>
      </c>
      <c r="B114" s="7"/>
      <c r="C114" s="6" t="s">
        <v>154</v>
      </c>
      <c r="D114" s="22" t="s">
        <v>48</v>
      </c>
      <c r="E114" s="20">
        <f>INPUT!$F$24*2.012*FACTORS!$H$18*INPUT!$F$35/INPUT!$F$40</f>
        <v>2.2344999999999997E-9</v>
      </c>
      <c r="F114" s="6"/>
      <c r="G114" s="22" t="s">
        <v>48</v>
      </c>
      <c r="H114" s="21">
        <f>CHOOSE(INPUT!$F$23,INPUT!$F$22,FACTORS!$C$44)*2.012*FACTORS!$H$18*INPUT!$F$35/INPUT!$F$40*8760</f>
        <v>1.9574219999999998E-5</v>
      </c>
      <c r="I114" s="89"/>
    </row>
    <row r="115" spans="1:9" ht="13.5" thickBot="1">
      <c r="A115" s="92" t="s">
        <v>49</v>
      </c>
      <c r="B115" s="124"/>
      <c r="C115" s="82" t="s">
        <v>154</v>
      </c>
      <c r="D115" s="104" t="s">
        <v>48</v>
      </c>
      <c r="E115" s="105">
        <f>INPUT!$F$24*2.012*FACTORS!$H$20*INPUT!$F$36/INPUT!$F$40</f>
        <v>3.1200000000000001E-8</v>
      </c>
      <c r="F115" s="82"/>
      <c r="G115" s="104" t="s">
        <v>48</v>
      </c>
      <c r="H115" s="106">
        <f>CHOOSE(INPUT!$F$23,INPUT!$F$22,FACTORS!$C$44)*2.012*FACTORS!$H$20*INPUT!$F$36/INPUT!$F$40*8760</f>
        <v>2.73312E-4</v>
      </c>
      <c r="I115" s="107"/>
    </row>
    <row r="116" spans="1:9" ht="13.5" thickBot="1">
      <c r="A116" s="96" t="s">
        <v>50</v>
      </c>
      <c r="B116" s="97"/>
      <c r="C116" s="98" t="s">
        <v>40</v>
      </c>
      <c r="D116" s="99"/>
      <c r="E116" s="100">
        <f>E112+E113+E114+E115</f>
        <v>9.6264345000000009E-6</v>
      </c>
      <c r="F116" s="98"/>
      <c r="G116" s="99"/>
      <c r="H116" s="101">
        <f>H112+H113+H114+H115</f>
        <v>8.4327566219999997E-2</v>
      </c>
      <c r="I116" s="102"/>
    </row>
    <row r="117" spans="1:9" ht="13.5" thickBot="1"/>
    <row r="118" spans="1:9" ht="13.5" thickBot="1">
      <c r="A118" s="238" t="s">
        <v>139</v>
      </c>
      <c r="B118" s="239"/>
      <c r="C118" s="239"/>
      <c r="D118" s="239"/>
      <c r="E118" s="239"/>
      <c r="F118" s="239"/>
      <c r="G118" s="239"/>
      <c r="H118" s="239"/>
      <c r="I118" s="240"/>
    </row>
    <row r="119" spans="1:9">
      <c r="A119" s="94" t="s">
        <v>148</v>
      </c>
      <c r="B119" s="95"/>
      <c r="C119" s="103"/>
      <c r="D119" s="87" t="s">
        <v>38</v>
      </c>
      <c r="E119" s="87"/>
      <c r="F119" s="87"/>
      <c r="G119" s="87" t="s">
        <v>39</v>
      </c>
      <c r="H119" s="87"/>
      <c r="I119" s="88"/>
    </row>
    <row r="120" spans="1:9">
      <c r="A120" s="61"/>
      <c r="B120" s="3"/>
      <c r="C120" s="3"/>
      <c r="D120" s="123"/>
      <c r="E120" s="119" t="s">
        <v>157</v>
      </c>
      <c r="F120" s="18"/>
      <c r="G120" s="18"/>
      <c r="H120" s="212" t="s">
        <v>157</v>
      </c>
      <c r="I120" s="120"/>
    </row>
    <row r="121" spans="1:9" ht="13.5" thickBot="1">
      <c r="A121" s="96" t="s">
        <v>41</v>
      </c>
      <c r="B121" s="115"/>
      <c r="C121" s="122" t="s">
        <v>28</v>
      </c>
      <c r="D121" s="116" t="s">
        <v>42</v>
      </c>
      <c r="E121" s="117" t="s">
        <v>43</v>
      </c>
      <c r="F121" s="82"/>
      <c r="G121" s="116" t="s">
        <v>42</v>
      </c>
      <c r="H121" s="118" t="s">
        <v>43</v>
      </c>
      <c r="I121" s="107"/>
    </row>
    <row r="122" spans="1:9">
      <c r="A122" s="133" t="s">
        <v>44</v>
      </c>
      <c r="B122" s="121"/>
      <c r="C122" s="18" t="s">
        <v>157</v>
      </c>
      <c r="D122" s="110" t="s">
        <v>48</v>
      </c>
      <c r="E122" s="111">
        <f>INPUT!$F$24*2.012*INPUT!$F$27/100*CHOOSE(INPUT!$F$31,FACTORS!$B$37,FACTORS!$B$38)*(INPUT!$F$35+INPUT!$F$36)/INPUT!$F$40</f>
        <v>1.6218E-5</v>
      </c>
      <c r="F122" s="112"/>
      <c r="G122" s="110" t="s">
        <v>48</v>
      </c>
      <c r="H122" s="113">
        <f>CHOOSE(INPUT!$F$23,INPUT!$F$22,FACTORS!$C$44)*2.012*INPUT!$F$27/100*CHOOSE(INPUT!$F$31,FACTORS!$B$37,FACTORS!$B$38)*(INPUT!$F$35+INPUT!$F$36)/INPUT!$F$40*8760</f>
        <v>0.14206968</v>
      </c>
      <c r="I122" s="114"/>
    </row>
    <row r="123" spans="1:9">
      <c r="A123" s="109" t="s">
        <v>46</v>
      </c>
      <c r="B123" s="4"/>
      <c r="C123" s="6" t="s">
        <v>157</v>
      </c>
      <c r="D123" s="22" t="s">
        <v>48</v>
      </c>
      <c r="E123" s="20">
        <f>INPUT!$F$24*2.012*INPUT!$F$28/100*CHOOSE(INPUT!$F$32,FACTORS!$B$39,FACTORS!$B$40)*(INPUT!$F$35+INPUT!$F$36)/INPUT!$F$40</f>
        <v>0</v>
      </c>
      <c r="F123" s="6"/>
      <c r="G123" s="22" t="s">
        <v>48</v>
      </c>
      <c r="H123" s="21">
        <f>CHOOSE(INPUT!$F$23,INPUT!$F$22,FACTORS!$C$44)*2.012*INPUT!$F$28/100*CHOOSE(INPUT!$F$32,FACTORS!$B$39,FACTORS!$B$40)*(INPUT!$F$35+INPUT!$F$36)/INPUT!$F$40*8760</f>
        <v>0</v>
      </c>
      <c r="I123" s="90"/>
    </row>
    <row r="124" spans="1:9">
      <c r="A124" s="108" t="s">
        <v>47</v>
      </c>
      <c r="B124" s="7"/>
      <c r="C124" s="6" t="s">
        <v>157</v>
      </c>
      <c r="D124" s="22" t="s">
        <v>48</v>
      </c>
      <c r="E124" s="20">
        <f>INPUT!$F$24*2.012*FACTORS!$B$32*INPUT!$F$35/INPUT!$F$40</f>
        <v>2.3984999999999999E-8</v>
      </c>
      <c r="F124" s="6"/>
      <c r="G124" s="22" t="s">
        <v>48</v>
      </c>
      <c r="H124" s="21">
        <f>CHOOSE(INPUT!$F$23,INPUT!$F$22,FACTORS!$C$44)*2.012*FACTORS!$B$32*INPUT!$F$35/INPUT!$F$40*8760</f>
        <v>2.1010859999999999E-4</v>
      </c>
      <c r="I124" s="89"/>
    </row>
    <row r="125" spans="1:9" ht="13.5" thickBot="1">
      <c r="A125" s="92" t="s">
        <v>49</v>
      </c>
      <c r="B125" s="124"/>
      <c r="C125" s="82" t="s">
        <v>157</v>
      </c>
      <c r="D125" s="104" t="s">
        <v>48</v>
      </c>
      <c r="E125" s="105">
        <f>INPUT!$F$24*2.012*FACTORS!$B$34*INPUT!$F$36/INPUT!$F$40</f>
        <v>1.536E-8</v>
      </c>
      <c r="F125" s="82"/>
      <c r="G125" s="104" t="s">
        <v>48</v>
      </c>
      <c r="H125" s="106">
        <f>CHOOSE(INPUT!$F$23,INPUT!$F$22,FACTORS!$C$44)*2.012*FACTORS!$B$34*INPUT!$F$36/INPUT!$F$40*8760</f>
        <v>1.345536E-4</v>
      </c>
      <c r="I125" s="107"/>
    </row>
    <row r="126" spans="1:9" ht="13.5" thickBot="1">
      <c r="A126" s="96" t="s">
        <v>50</v>
      </c>
      <c r="B126" s="97"/>
      <c r="C126" s="98" t="s">
        <v>157</v>
      </c>
      <c r="D126" s="99"/>
      <c r="E126" s="100">
        <f>E122+E123+E124+E125</f>
        <v>1.6257345000000001E-5</v>
      </c>
      <c r="F126" s="98"/>
      <c r="G126" s="99"/>
      <c r="H126" s="101">
        <f>H122+H123+H124+H125</f>
        <v>0.14241434220000002</v>
      </c>
      <c r="I126" s="102"/>
    </row>
    <row r="127" spans="1:9">
      <c r="A127" s="2"/>
      <c r="B127" s="2"/>
      <c r="C127" s="25"/>
      <c r="D127" s="85" t="s">
        <v>163</v>
      </c>
      <c r="E127" s="86"/>
      <c r="F127" s="25"/>
      <c r="G127" s="2"/>
      <c r="H127" s="2"/>
      <c r="I127" s="2"/>
    </row>
    <row r="128" spans="1:9" ht="13.5" thickBot="1"/>
    <row r="129" spans="1:9" ht="13.5" thickBot="1">
      <c r="A129" s="238" t="s">
        <v>140</v>
      </c>
      <c r="B129" s="239"/>
      <c r="C129" s="239"/>
      <c r="D129" s="239"/>
      <c r="E129" s="239"/>
      <c r="F129" s="239"/>
      <c r="G129" s="239"/>
      <c r="H129" s="239"/>
      <c r="I129" s="240"/>
    </row>
    <row r="130" spans="1:9">
      <c r="A130" s="94" t="s">
        <v>149</v>
      </c>
      <c r="B130" s="95"/>
      <c r="C130" s="103"/>
      <c r="D130" s="87" t="s">
        <v>38</v>
      </c>
      <c r="E130" s="87"/>
      <c r="F130" s="87"/>
      <c r="G130" s="87" t="s">
        <v>39</v>
      </c>
      <c r="H130" s="87"/>
      <c r="I130" s="88"/>
    </row>
    <row r="131" spans="1:9">
      <c r="A131" s="61"/>
      <c r="B131" s="3"/>
      <c r="C131" s="3"/>
      <c r="D131" s="123"/>
      <c r="E131" s="119" t="s">
        <v>156</v>
      </c>
      <c r="F131" s="18"/>
      <c r="G131" s="18"/>
      <c r="H131" s="212" t="s">
        <v>156</v>
      </c>
      <c r="I131" s="120"/>
    </row>
    <row r="132" spans="1:9" ht="13.5" thickBot="1">
      <c r="A132" s="96" t="s">
        <v>41</v>
      </c>
      <c r="B132" s="115"/>
      <c r="C132" s="122" t="s">
        <v>28</v>
      </c>
      <c r="D132" s="116" t="s">
        <v>42</v>
      </c>
      <c r="E132" s="117" t="s">
        <v>43</v>
      </c>
      <c r="F132" s="82"/>
      <c r="G132" s="116" t="s">
        <v>42</v>
      </c>
      <c r="H132" s="118" t="s">
        <v>43</v>
      </c>
      <c r="I132" s="107"/>
    </row>
    <row r="133" spans="1:9">
      <c r="A133" s="133" t="s">
        <v>44</v>
      </c>
      <c r="B133" s="121"/>
      <c r="C133" s="18" t="s">
        <v>156</v>
      </c>
      <c r="D133" s="110" t="s">
        <v>48</v>
      </c>
      <c r="E133" s="111">
        <f>INPUT!$F$24*2.012*INPUT!$F$27/100*CHOOSE(INPUT!$F$31,FACTORS!$D$37,FACTORS!$D$38)*(INPUT!$F$35+INPUT!$F$36)/INPUT!$F$40</f>
        <v>3.1535E-6</v>
      </c>
      <c r="F133" s="112"/>
      <c r="G133" s="110" t="s">
        <v>48</v>
      </c>
      <c r="H133" s="113">
        <f>CHOOSE(INPUT!$F$23,INPUT!$F$22,FACTORS!$C$44)*2.012*INPUT!$F$27/100*CHOOSE(INPUT!$F$31,FACTORS!$D$37,FACTORS!$D$38)*(INPUT!$F$35+INPUT!$F$36)/INPUT!$F$40*8760</f>
        <v>2.7624659999999999E-2</v>
      </c>
      <c r="I133" s="114"/>
    </row>
    <row r="134" spans="1:9">
      <c r="A134" s="109" t="s">
        <v>46</v>
      </c>
      <c r="B134" s="4"/>
      <c r="C134" s="6" t="s">
        <v>156</v>
      </c>
      <c r="D134" s="22" t="s">
        <v>48</v>
      </c>
      <c r="E134" s="20">
        <f>INPUT!$F$24*2.012*INPUT!$F$28/100*CHOOSE(INPUT!$F$32,FACTORS!$D$39,FACTORS!$D$40)*(INPUT!$F$35+INPUT!$F$36)/INPUT!$F$40</f>
        <v>0</v>
      </c>
      <c r="F134" s="6"/>
      <c r="G134" s="22" t="s">
        <v>48</v>
      </c>
      <c r="H134" s="21">
        <f>CHOOSE(INPUT!$F$23,INPUT!$F$22,FACTORS!$C$44)*2.012*INPUT!$F$28/100*CHOOSE(INPUT!$F$32,FACTORS!$D$39,FACTORS!$D$40)*(INPUT!$F$35+INPUT!$F$36)/INPUT!$F$40*8760</f>
        <v>0</v>
      </c>
      <c r="I134" s="90"/>
    </row>
    <row r="135" spans="1:9">
      <c r="A135" s="108" t="s">
        <v>47</v>
      </c>
      <c r="B135" s="7"/>
      <c r="C135" s="6" t="s">
        <v>156</v>
      </c>
      <c r="D135" s="22" t="s">
        <v>48</v>
      </c>
      <c r="E135" s="20">
        <f>INPUT!$F$24*2.012*FACTORS!$D$32*INPUT!$F$35/INPUT!$F$40</f>
        <v>8.5689999999999988E-9</v>
      </c>
      <c r="F135" s="6"/>
      <c r="G135" s="22" t="s">
        <v>48</v>
      </c>
      <c r="H135" s="21">
        <f>CHOOSE(INPUT!$F$23,INPUT!$F$22,FACTORS!$C$44)*2.012*FACTORS!$D$32*INPUT!$F$35/INPUT!$F$40*8760</f>
        <v>7.5064439999999988E-5</v>
      </c>
      <c r="I135" s="89"/>
    </row>
    <row r="136" spans="1:9" ht="13.5" thickBot="1">
      <c r="A136" s="92" t="s">
        <v>49</v>
      </c>
      <c r="B136" s="124"/>
      <c r="C136" s="82" t="s">
        <v>156</v>
      </c>
      <c r="D136" s="104" t="s">
        <v>48</v>
      </c>
      <c r="E136" s="105">
        <f>INPUT!$F$24*2.012*FACTORS!$D$34*INPUT!$F$36/INPUT!$F$40</f>
        <v>1.3680000000000001E-7</v>
      </c>
      <c r="F136" s="82"/>
      <c r="G136" s="104" t="s">
        <v>48</v>
      </c>
      <c r="H136" s="106">
        <f>CHOOSE(INPUT!$F$23,INPUT!$F$22,FACTORS!$C$44)*2.012*FACTORS!$D$34*INPUT!$F$36/INPUT!$F$40*8760</f>
        <v>1.198368E-3</v>
      </c>
      <c r="I136" s="107"/>
    </row>
    <row r="137" spans="1:9" ht="13.5" thickBot="1">
      <c r="A137" s="96" t="s">
        <v>50</v>
      </c>
      <c r="B137" s="97"/>
      <c r="C137" s="98" t="s">
        <v>156</v>
      </c>
      <c r="D137" s="99"/>
      <c r="E137" s="100">
        <f>E133+E134+E135+E136</f>
        <v>3.2988690000000001E-6</v>
      </c>
      <c r="F137" s="98"/>
      <c r="G137" s="99"/>
      <c r="H137" s="101">
        <f>H133+H134+H135+H136</f>
        <v>2.8898092440000002E-2</v>
      </c>
      <c r="I137" s="102"/>
    </row>
    <row r="138" spans="1:9">
      <c r="A138" s="2"/>
      <c r="B138" s="2"/>
      <c r="C138" s="25"/>
      <c r="D138" s="85" t="s">
        <v>164</v>
      </c>
      <c r="E138" s="86"/>
      <c r="F138" s="25"/>
      <c r="G138" s="2"/>
      <c r="H138" s="2"/>
      <c r="I138" s="2"/>
    </row>
    <row r="139" spans="1:9" ht="13.5" thickBot="1"/>
    <row r="140" spans="1:9" ht="13.5" thickBot="1">
      <c r="A140" s="238" t="s">
        <v>141</v>
      </c>
      <c r="B140" s="239"/>
      <c r="C140" s="239"/>
      <c r="D140" s="239"/>
      <c r="E140" s="239"/>
      <c r="F140" s="239"/>
      <c r="G140" s="239"/>
      <c r="H140" s="239"/>
      <c r="I140" s="240"/>
    </row>
    <row r="141" spans="1:9">
      <c r="A141" s="94" t="s">
        <v>150</v>
      </c>
      <c r="B141" s="95"/>
      <c r="C141" s="103"/>
      <c r="D141" s="87" t="s">
        <v>38</v>
      </c>
      <c r="E141" s="87"/>
      <c r="F141" s="87"/>
      <c r="G141" s="87" t="s">
        <v>39</v>
      </c>
      <c r="H141" s="87"/>
      <c r="I141" s="88"/>
    </row>
    <row r="142" spans="1:9">
      <c r="A142" s="61"/>
      <c r="B142" s="3"/>
      <c r="C142" s="3"/>
      <c r="D142" s="123"/>
      <c r="E142" s="119" t="s">
        <v>155</v>
      </c>
      <c r="F142" s="18"/>
      <c r="G142" s="18"/>
      <c r="H142" s="212" t="s">
        <v>155</v>
      </c>
      <c r="I142" s="120"/>
    </row>
    <row r="143" spans="1:9" ht="13.5" thickBot="1">
      <c r="A143" s="96" t="s">
        <v>41</v>
      </c>
      <c r="B143" s="115"/>
      <c r="C143" s="122" t="s">
        <v>28</v>
      </c>
      <c r="D143" s="116" t="s">
        <v>42</v>
      </c>
      <c r="E143" s="117" t="s">
        <v>43</v>
      </c>
      <c r="F143" s="82"/>
      <c r="G143" s="116" t="s">
        <v>42</v>
      </c>
      <c r="H143" s="118" t="s">
        <v>43</v>
      </c>
      <c r="I143" s="107"/>
    </row>
    <row r="144" spans="1:9">
      <c r="A144" s="133" t="s">
        <v>44</v>
      </c>
      <c r="B144" s="121"/>
      <c r="C144" s="18" t="s">
        <v>155</v>
      </c>
      <c r="D144" s="110" t="s">
        <v>48</v>
      </c>
      <c r="E144" s="111">
        <f>INPUT!$F$24*2.012*INPUT!$F$27/100*CHOOSE(INPUT!$F$31,FACTORS!$F$37,FACTORS!$F$38)*(INPUT!$F$35+INPUT!$F$36)/INPUT!$F$40</f>
        <v>1.0175999999999999E-5</v>
      </c>
      <c r="F144" s="112"/>
      <c r="G144" s="110" t="s">
        <v>48</v>
      </c>
      <c r="H144" s="113">
        <f>CHOOSE(INPUT!$F$23,INPUT!$F$22,FACTORS!$C$44)*2.012*INPUT!$F$27/100*CHOOSE(INPUT!$F$31,FACTORS!$F$37,FACTORS!$F$38)*(INPUT!$F$35+INPUT!$F$36)/INPUT!$F$40*8760</f>
        <v>8.9141759999999987E-2</v>
      </c>
      <c r="I144" s="114"/>
    </row>
    <row r="145" spans="1:9">
      <c r="A145" s="109" t="s">
        <v>46</v>
      </c>
      <c r="B145" s="4"/>
      <c r="C145" s="6" t="s">
        <v>155</v>
      </c>
      <c r="D145" s="22" t="s">
        <v>48</v>
      </c>
      <c r="E145" s="20">
        <f>INPUT!$F$24*2.012*INPUT!$F$28/100*CHOOSE(INPUT!$F$32,FACTORS!$F$39,FACTORS!$F$40)*(INPUT!$F$35+INPUT!$F$36)/INPUT!$F$40</f>
        <v>0</v>
      </c>
      <c r="F145" s="6"/>
      <c r="G145" s="22" t="s">
        <v>48</v>
      </c>
      <c r="H145" s="21">
        <f>CHOOSE(INPUT!$F$23,INPUT!$F$22,FACTORS!$C$44)*2.012*INPUT!$F$28/100*CHOOSE(INPUT!$F$32,FACTORS!$F$39,FACTORS!$F$40)*(INPUT!$F$35+INPUT!$F$36)/INPUT!$F$40*8760</f>
        <v>0</v>
      </c>
      <c r="I145" s="90"/>
    </row>
    <row r="146" spans="1:9">
      <c r="A146" s="108" t="s">
        <v>47</v>
      </c>
      <c r="B146" s="7"/>
      <c r="C146" s="6" t="s">
        <v>155</v>
      </c>
      <c r="D146" s="22" t="s">
        <v>165</v>
      </c>
      <c r="E146" s="20" t="s">
        <v>53</v>
      </c>
      <c r="F146" s="6"/>
      <c r="G146" s="22" t="s">
        <v>165</v>
      </c>
      <c r="H146" s="21" t="s">
        <v>53</v>
      </c>
      <c r="I146" s="89"/>
    </row>
    <row r="147" spans="1:9" ht="13.5" thickBot="1">
      <c r="A147" s="92" t="s">
        <v>49</v>
      </c>
      <c r="B147" s="124"/>
      <c r="C147" s="82" t="s">
        <v>155</v>
      </c>
      <c r="D147" s="104" t="s">
        <v>48</v>
      </c>
      <c r="E147" s="105">
        <f>INPUT!$F$24*2.012*FACTORS!$F$34*INPUT!$F$36/INPUT!$F$40</f>
        <v>2.1240000000000002E-7</v>
      </c>
      <c r="F147" s="82"/>
      <c r="G147" s="104" t="s">
        <v>48</v>
      </c>
      <c r="H147" s="106">
        <f>CHOOSE(INPUT!$F$23,INPUT!$F$22,FACTORS!$C$44)*2.012*FACTORS!$F$34*INPUT!$F$36/INPUT!$F$40*8760</f>
        <v>1.8606240000000002E-3</v>
      </c>
      <c r="I147" s="107"/>
    </row>
    <row r="148" spans="1:9" ht="13.5" thickBot="1">
      <c r="A148" s="96" t="s">
        <v>50</v>
      </c>
      <c r="B148" s="97"/>
      <c r="C148" s="98" t="s">
        <v>155</v>
      </c>
      <c r="D148" s="99"/>
      <c r="E148" s="100">
        <f>E144+E145+E147</f>
        <v>1.0388399999999999E-5</v>
      </c>
      <c r="F148" s="98"/>
      <c r="G148" s="99"/>
      <c r="H148" s="101">
        <f>H144+H145+H147</f>
        <v>9.1002383999999992E-2</v>
      </c>
      <c r="I148" s="102"/>
    </row>
    <row r="149" spans="1:9" ht="13.5" thickBot="1"/>
    <row r="150" spans="1:9" ht="13.5" thickBot="1">
      <c r="A150" s="238" t="s">
        <v>142</v>
      </c>
      <c r="B150" s="239"/>
      <c r="C150" s="239"/>
      <c r="D150" s="239"/>
      <c r="E150" s="239"/>
      <c r="F150" s="239"/>
      <c r="G150" s="239"/>
      <c r="H150" s="239"/>
      <c r="I150" s="240"/>
    </row>
    <row r="151" spans="1:9">
      <c r="A151" s="94" t="s">
        <v>151</v>
      </c>
      <c r="B151" s="95"/>
      <c r="C151" s="103"/>
      <c r="D151" s="87" t="s">
        <v>38</v>
      </c>
      <c r="E151" s="87"/>
      <c r="F151" s="87"/>
      <c r="G151" s="87" t="s">
        <v>39</v>
      </c>
      <c r="H151" s="87"/>
      <c r="I151" s="88"/>
    </row>
    <row r="152" spans="1:9">
      <c r="A152" s="61"/>
      <c r="B152" s="3"/>
      <c r="C152" s="3"/>
      <c r="D152" s="123"/>
      <c r="E152" s="119" t="s">
        <v>158</v>
      </c>
      <c r="F152" s="18"/>
      <c r="G152" s="18"/>
      <c r="H152" s="212" t="s">
        <v>158</v>
      </c>
      <c r="I152" s="120"/>
    </row>
    <row r="153" spans="1:9" ht="13.5" thickBot="1">
      <c r="A153" s="96" t="s">
        <v>41</v>
      </c>
      <c r="B153" s="115"/>
      <c r="C153" s="122" t="s">
        <v>28</v>
      </c>
      <c r="D153" s="116" t="s">
        <v>42</v>
      </c>
      <c r="E153" s="117" t="s">
        <v>43</v>
      </c>
      <c r="F153" s="82"/>
      <c r="G153" s="116" t="s">
        <v>42</v>
      </c>
      <c r="H153" s="118" t="s">
        <v>43</v>
      </c>
      <c r="I153" s="107"/>
    </row>
    <row r="154" spans="1:9">
      <c r="A154" s="133" t="s">
        <v>44</v>
      </c>
      <c r="B154" s="121"/>
      <c r="C154" s="18" t="s">
        <v>158</v>
      </c>
      <c r="D154" s="110" t="s">
        <v>48</v>
      </c>
      <c r="E154" s="111">
        <f>INPUT!$F$24*2.012*INPUT!$F$27/100*CHOOSE(INPUT!$F$31,FACTORS!$H$37,FACTORS!$H$38)*(INPUT!$F$35+INPUT!$F$36)/INPUT!$F$40</f>
        <v>6.9429999999999996E-7</v>
      </c>
      <c r="F154" s="112"/>
      <c r="G154" s="110" t="s">
        <v>48</v>
      </c>
      <c r="H154" s="113">
        <f>CHOOSE(INPUT!$F$23,INPUT!$F$22,FACTORS!$C$44)*2.012*INPUT!$F$27/100*CHOOSE(INPUT!$F$31,FACTORS!$H$37,FACTORS!$H$38)*(INPUT!$F$35+INPUT!$F$36)/INPUT!$F$40*8760</f>
        <v>6.0820679999999995E-3</v>
      </c>
      <c r="I154" s="114"/>
    </row>
    <row r="155" spans="1:9">
      <c r="A155" s="109" t="s">
        <v>46</v>
      </c>
      <c r="B155" s="4"/>
      <c r="C155" s="6" t="s">
        <v>158</v>
      </c>
      <c r="D155" s="22" t="s">
        <v>165</v>
      </c>
      <c r="E155" s="20" t="s">
        <v>53</v>
      </c>
      <c r="F155" s="6"/>
      <c r="G155" s="22" t="s">
        <v>165</v>
      </c>
      <c r="H155" s="21" t="s">
        <v>53</v>
      </c>
      <c r="I155" s="89"/>
    </row>
    <row r="156" spans="1:9">
      <c r="A156" s="108" t="s">
        <v>47</v>
      </c>
      <c r="B156" s="7"/>
      <c r="C156" s="6" t="s">
        <v>158</v>
      </c>
      <c r="D156" s="22" t="s">
        <v>165</v>
      </c>
      <c r="E156" s="20" t="s">
        <v>53</v>
      </c>
      <c r="F156" s="6"/>
      <c r="G156" s="22" t="s">
        <v>165</v>
      </c>
      <c r="H156" s="21" t="s">
        <v>53</v>
      </c>
      <c r="I156" s="89"/>
    </row>
    <row r="157" spans="1:9" ht="13.5" thickBot="1">
      <c r="A157" s="92" t="s">
        <v>49</v>
      </c>
      <c r="B157" s="124"/>
      <c r="C157" s="82" t="s">
        <v>158</v>
      </c>
      <c r="D157" s="104" t="s">
        <v>48</v>
      </c>
      <c r="E157" s="105">
        <f>INPUT!$F$24*2.012*FACTORS!$H$34*INPUT!$F$36/INPUT!$F$40</f>
        <v>4.3439999999999999E-9</v>
      </c>
      <c r="F157" s="82"/>
      <c r="G157" s="104" t="s">
        <v>48</v>
      </c>
      <c r="H157" s="106">
        <f>CHOOSE(INPUT!$F$23,INPUT!$F$22,FACTORS!$C$44)*2.012*FACTORS!$H$34*INPUT!$F$36/INPUT!$F$40*8760</f>
        <v>3.805344E-5</v>
      </c>
      <c r="I157" s="107"/>
    </row>
    <row r="158" spans="1:9" ht="13.5" thickBot="1">
      <c r="A158" s="96" t="s">
        <v>50</v>
      </c>
      <c r="B158" s="97"/>
      <c r="C158" s="98" t="s">
        <v>158</v>
      </c>
      <c r="D158" s="99"/>
      <c r="E158" s="100">
        <f>E154+E157</f>
        <v>6.9864399999999991E-7</v>
      </c>
      <c r="F158" s="98"/>
      <c r="G158" s="99"/>
      <c r="H158" s="101">
        <f>H154+H157</f>
        <v>6.1201214399999992E-3</v>
      </c>
      <c r="I158" s="102"/>
    </row>
    <row r="159" spans="1:9">
      <c r="A159" s="26"/>
    </row>
    <row r="160" spans="1:9">
      <c r="A160" s="26"/>
    </row>
  </sheetData>
  <sheetProtection sheet="1" objects="1" scenarios="1"/>
  <mergeCells count="14">
    <mergeCell ref="A97:I97"/>
    <mergeCell ref="A108:I108"/>
    <mergeCell ref="A140:I140"/>
    <mergeCell ref="A150:I150"/>
    <mergeCell ref="A118:I118"/>
    <mergeCell ref="A129:I129"/>
    <mergeCell ref="A1:I1"/>
    <mergeCell ref="A2:I2"/>
    <mergeCell ref="A75:I75"/>
    <mergeCell ref="A86:I86"/>
    <mergeCell ref="A10:I10"/>
    <mergeCell ref="C3:I8"/>
    <mergeCell ref="A42:I42"/>
    <mergeCell ref="A64:I64"/>
  </mergeCells>
  <phoneticPr fontId="0" type="noConversion"/>
  <pageMargins left="0.75" right="0.75" top="1" bottom="1" header="0.5" footer="0.5"/>
  <pageSetup scale="93" orientation="portrait" r:id="rId1"/>
  <headerFooter alignWithMargins="0">
    <oddFooter>&amp;RPage &amp;P of &amp;N</oddFooter>
  </headerFooter>
  <rowBreaks count="3" manualBreakCount="3">
    <brk id="40" max="16383" man="1"/>
    <brk id="84" max="8" man="1"/>
    <brk id="127" max="8" man="1"/>
  </rowBreaks>
  <legacyDrawing r:id="rId2"/>
  <oleObjects>
    <oleObject progId="Word.Picture.8" shapeId="2049" r:id="rId3"/>
  </oleObjects>
</worksheet>
</file>

<file path=xl/worksheets/sheet3.xml><?xml version="1.0" encoding="utf-8"?>
<worksheet xmlns="http://schemas.openxmlformats.org/spreadsheetml/2006/main" xmlns:r="http://schemas.openxmlformats.org/officeDocument/2006/relationships">
  <sheetPr>
    <pageSetUpPr fitToPage="1"/>
  </sheetPr>
  <dimension ref="A1:P239"/>
  <sheetViews>
    <sheetView workbookViewId="0">
      <selection activeCell="D13" sqref="D13"/>
    </sheetView>
  </sheetViews>
  <sheetFormatPr defaultRowHeight="12.75"/>
  <cols>
    <col min="1" max="1" width="27.7109375" customWidth="1"/>
    <col min="2" max="2" width="9.85546875" customWidth="1"/>
    <col min="3" max="3" width="18.140625" customWidth="1"/>
    <col min="4" max="4" width="9.85546875" customWidth="1"/>
    <col min="5" max="5" width="18.140625" customWidth="1"/>
    <col min="6" max="6" width="9.85546875" customWidth="1"/>
    <col min="7" max="7" width="18.140625" customWidth="1"/>
    <col min="8" max="8" width="9.85546875" customWidth="1"/>
    <col min="9" max="9" width="18.140625" customWidth="1"/>
    <col min="10" max="10" width="31.85546875" customWidth="1"/>
    <col min="11" max="11" width="12.5703125" customWidth="1"/>
    <col min="12" max="12" width="9.140625" style="26"/>
    <col min="14" max="14" width="12" bestFit="1" customWidth="1"/>
  </cols>
  <sheetData>
    <row r="1" spans="1:12" ht="15">
      <c r="A1" s="51" t="s">
        <v>59</v>
      </c>
    </row>
    <row r="2" spans="1:12" s="5" customFormat="1">
      <c r="A2" s="25"/>
      <c r="B2" s="25"/>
      <c r="C2" s="25"/>
      <c r="D2" s="25"/>
      <c r="E2" s="25"/>
      <c r="F2" s="25"/>
      <c r="G2" s="25"/>
      <c r="H2" s="25"/>
      <c r="I2" s="25"/>
      <c r="J2" s="25"/>
      <c r="K2" s="25"/>
      <c r="L2" s="32"/>
    </row>
    <row r="3" spans="1:12" ht="14.25">
      <c r="A3" s="27" t="s">
        <v>51</v>
      </c>
      <c r="B3" s="27" t="s">
        <v>0</v>
      </c>
      <c r="C3" s="28"/>
      <c r="D3" s="27" t="s">
        <v>52</v>
      </c>
      <c r="E3" s="23"/>
      <c r="F3" s="28" t="s">
        <v>54</v>
      </c>
      <c r="G3" s="23"/>
      <c r="H3" s="250" t="s">
        <v>55</v>
      </c>
      <c r="I3" s="251"/>
      <c r="J3" s="252"/>
      <c r="L3"/>
    </row>
    <row r="4" spans="1:12" ht="22.5" customHeight="1">
      <c r="A4" s="33" t="s">
        <v>1</v>
      </c>
      <c r="B4" s="34">
        <v>0.72</v>
      </c>
      <c r="C4" s="35" t="s">
        <v>2</v>
      </c>
      <c r="D4" s="34">
        <v>0.46</v>
      </c>
      <c r="E4" s="36" t="s">
        <v>2</v>
      </c>
      <c r="F4" s="37">
        <v>1.68E-6</v>
      </c>
      <c r="G4" s="36" t="s">
        <v>2</v>
      </c>
      <c r="H4" s="253" t="s">
        <v>132</v>
      </c>
      <c r="I4" s="254"/>
      <c r="J4" s="255"/>
      <c r="L4"/>
    </row>
    <row r="5" spans="1:12" ht="22.5" customHeight="1">
      <c r="A5" s="38" t="s">
        <v>3</v>
      </c>
      <c r="B5" s="39">
        <v>9.8999999999999999E-4</v>
      </c>
      <c r="C5" s="40" t="s">
        <v>2</v>
      </c>
      <c r="D5" s="39">
        <v>3.4000000000000002E-4</v>
      </c>
      <c r="E5" s="41" t="s">
        <v>2</v>
      </c>
      <c r="F5" s="42">
        <v>4.2400000000000002E-9</v>
      </c>
      <c r="G5" s="41" t="s">
        <v>2</v>
      </c>
      <c r="H5" s="256" t="s">
        <v>132</v>
      </c>
      <c r="I5" s="257"/>
      <c r="J5" s="258"/>
      <c r="L5"/>
    </row>
    <row r="6" spans="1:12" ht="22.5" customHeight="1">
      <c r="A6" s="38" t="s">
        <v>4</v>
      </c>
      <c r="B6" s="39">
        <v>3.14</v>
      </c>
      <c r="C6" s="40" t="s">
        <v>5</v>
      </c>
      <c r="D6" s="39">
        <v>1.1000000000000001</v>
      </c>
      <c r="E6" s="41" t="s">
        <v>5</v>
      </c>
      <c r="F6" s="42" t="s">
        <v>6</v>
      </c>
      <c r="G6" s="41" t="s">
        <v>53</v>
      </c>
      <c r="H6" s="256" t="s">
        <v>133</v>
      </c>
      <c r="I6" s="257"/>
      <c r="J6" s="258"/>
      <c r="L6"/>
    </row>
    <row r="7" spans="1:12" ht="22.5" customHeight="1">
      <c r="A7" s="38" t="s">
        <v>7</v>
      </c>
      <c r="B7" s="39">
        <v>8.8999999999999999E-3</v>
      </c>
      <c r="C7" s="40" t="s">
        <v>5</v>
      </c>
      <c r="D7" s="39">
        <v>4.8999999999999998E-3</v>
      </c>
      <c r="E7" s="41" t="s">
        <v>5</v>
      </c>
      <c r="F7" s="42">
        <v>9.9999999999999995E-7</v>
      </c>
      <c r="G7" s="41" t="s">
        <v>5</v>
      </c>
      <c r="H7" s="256" t="s">
        <v>132</v>
      </c>
      <c r="I7" s="257"/>
      <c r="J7" s="258"/>
      <c r="L7"/>
    </row>
    <row r="8" spans="1:12" ht="22.5" customHeight="1">
      <c r="A8" s="38" t="s">
        <v>8</v>
      </c>
      <c r="B8" s="39">
        <v>5.1000000000000004E-3</v>
      </c>
      <c r="C8" s="40" t="s">
        <v>10</v>
      </c>
      <c r="D8" s="39">
        <v>2.3999999999999998E-3</v>
      </c>
      <c r="E8" s="41" t="s">
        <v>10</v>
      </c>
      <c r="F8" s="42" t="s">
        <v>6</v>
      </c>
      <c r="G8" s="41" t="s">
        <v>53</v>
      </c>
      <c r="H8" s="256" t="s">
        <v>133</v>
      </c>
      <c r="I8" s="257"/>
      <c r="J8" s="258"/>
      <c r="L8"/>
    </row>
    <row r="9" spans="1:12">
      <c r="A9" s="38" t="s">
        <v>12</v>
      </c>
      <c r="B9" s="39" t="s">
        <v>6</v>
      </c>
      <c r="C9" s="40" t="s">
        <v>53</v>
      </c>
      <c r="D9" s="39" t="s">
        <v>6</v>
      </c>
      <c r="E9" s="41" t="s">
        <v>53</v>
      </c>
      <c r="F9" s="42" t="s">
        <v>6</v>
      </c>
      <c r="G9" s="41" t="s">
        <v>53</v>
      </c>
      <c r="H9" s="256" t="s">
        <v>53</v>
      </c>
      <c r="I9" s="257"/>
      <c r="J9" s="258"/>
      <c r="L9"/>
    </row>
    <row r="10" spans="1:12" ht="22.5" customHeight="1">
      <c r="A10" s="43" t="s">
        <v>9</v>
      </c>
      <c r="B10" s="44">
        <v>1.46</v>
      </c>
      <c r="C10" s="45" t="s">
        <v>11</v>
      </c>
      <c r="D10" s="44">
        <v>0.41699999999999998</v>
      </c>
      <c r="E10" s="46" t="s">
        <v>11</v>
      </c>
      <c r="F10" s="47">
        <v>6.7999999999999999E-5</v>
      </c>
      <c r="G10" s="46" t="s">
        <v>11</v>
      </c>
      <c r="H10" s="256" t="s">
        <v>134</v>
      </c>
      <c r="I10" s="257"/>
      <c r="J10" s="258"/>
      <c r="L10"/>
    </row>
    <row r="11" spans="1:12" ht="22.5" customHeight="1">
      <c r="A11" s="43" t="s">
        <v>13</v>
      </c>
      <c r="B11" s="44">
        <v>2.8000000000000001E-2</v>
      </c>
      <c r="C11" s="45" t="s">
        <v>11</v>
      </c>
      <c r="D11" s="44">
        <v>1.0500000000000001E-2</v>
      </c>
      <c r="E11" s="46" t="s">
        <v>11</v>
      </c>
      <c r="F11" s="47">
        <v>1.59E-6</v>
      </c>
      <c r="G11" s="46" t="s">
        <v>11</v>
      </c>
      <c r="H11" s="256" t="s">
        <v>134</v>
      </c>
      <c r="I11" s="257"/>
      <c r="J11" s="258"/>
      <c r="L11"/>
    </row>
    <row r="12" spans="1:12" ht="22.5" customHeight="1">
      <c r="A12" s="43" t="s">
        <v>14</v>
      </c>
      <c r="B12" s="44">
        <v>0.68300000000000005</v>
      </c>
      <c r="C12" s="45" t="s">
        <v>11</v>
      </c>
      <c r="D12" s="44">
        <v>0.18099999999999999</v>
      </c>
      <c r="E12" s="46" t="s">
        <v>11</v>
      </c>
      <c r="F12" s="47">
        <v>2.8E-5</v>
      </c>
      <c r="G12" s="46" t="s">
        <v>11</v>
      </c>
      <c r="H12" s="256" t="s">
        <v>134</v>
      </c>
      <c r="I12" s="257"/>
      <c r="J12" s="258"/>
      <c r="L12"/>
    </row>
    <row r="13" spans="1:12" ht="22.5" customHeight="1">
      <c r="A13" s="43" t="s">
        <v>15</v>
      </c>
      <c r="B13" s="44">
        <v>2.12E-2</v>
      </c>
      <c r="C13" s="45" t="s">
        <v>11</v>
      </c>
      <c r="D13" s="44">
        <v>5.77E-3</v>
      </c>
      <c r="E13" s="46" t="s">
        <v>11</v>
      </c>
      <c r="F13" s="47">
        <v>8.85E-7</v>
      </c>
      <c r="G13" s="46" t="s">
        <v>11</v>
      </c>
      <c r="H13" s="256" t="s">
        <v>134</v>
      </c>
      <c r="I13" s="257"/>
      <c r="J13" s="258"/>
      <c r="L13"/>
    </row>
    <row r="14" spans="1:12" s="188" customFormat="1" ht="22.5" customHeight="1">
      <c r="A14" s="182" t="s">
        <v>16</v>
      </c>
      <c r="B14" s="183">
        <v>2.3699999999999999E-2</v>
      </c>
      <c r="C14" s="184" t="s">
        <v>17</v>
      </c>
      <c r="D14" s="183">
        <v>1.14E-2</v>
      </c>
      <c r="E14" s="185" t="s">
        <v>17</v>
      </c>
      <c r="F14" s="186" t="s">
        <v>6</v>
      </c>
      <c r="G14" s="185" t="s">
        <v>53</v>
      </c>
      <c r="H14" s="259" t="s">
        <v>56</v>
      </c>
      <c r="I14" s="260"/>
      <c r="J14" s="261"/>
    </row>
    <row r="15" spans="1:12">
      <c r="B15" s="2"/>
      <c r="C15" s="2"/>
    </row>
    <row r="16" spans="1:12">
      <c r="A16" s="27" t="s">
        <v>51</v>
      </c>
      <c r="B16" s="27" t="s">
        <v>124</v>
      </c>
      <c r="C16" s="23"/>
      <c r="D16" s="28" t="s">
        <v>125</v>
      </c>
      <c r="E16" s="23"/>
      <c r="F16" s="28" t="s">
        <v>126</v>
      </c>
      <c r="G16" s="23"/>
      <c r="H16" s="28" t="s">
        <v>127</v>
      </c>
      <c r="I16" s="23"/>
      <c r="J16" s="250" t="s">
        <v>55</v>
      </c>
      <c r="K16" s="251"/>
      <c r="L16" s="252"/>
    </row>
    <row r="17" spans="1:16" ht="22.5" customHeight="1">
      <c r="A17" s="33" t="s">
        <v>1</v>
      </c>
      <c r="B17" s="34">
        <v>1.7900000000000001E-8</v>
      </c>
      <c r="C17" s="36" t="s">
        <v>2</v>
      </c>
      <c r="D17" s="37">
        <v>2.34E-7</v>
      </c>
      <c r="E17" s="36" t="s">
        <v>2</v>
      </c>
      <c r="F17" s="37">
        <v>2.5199999999999998E-7</v>
      </c>
      <c r="G17" s="36" t="s">
        <v>2</v>
      </c>
      <c r="H17" s="37">
        <v>7.3600000000000003E-7</v>
      </c>
      <c r="I17" s="36" t="s">
        <v>2</v>
      </c>
      <c r="J17" s="253" t="s">
        <v>159</v>
      </c>
      <c r="K17" s="254"/>
      <c r="L17" s="255"/>
    </row>
    <row r="18" spans="1:16" ht="22.5" customHeight="1">
      <c r="A18" s="38" t="s">
        <v>3</v>
      </c>
      <c r="B18" s="39">
        <v>4.8599999999999998E-10</v>
      </c>
      <c r="C18" s="41" t="s">
        <v>2</v>
      </c>
      <c r="D18" s="42">
        <v>4.8599999999999998E-10</v>
      </c>
      <c r="E18" s="41" t="s">
        <v>2</v>
      </c>
      <c r="F18" s="42">
        <v>2.9000000000000002E-8</v>
      </c>
      <c r="G18" s="41" t="s">
        <v>2</v>
      </c>
      <c r="H18" s="42">
        <v>1.09E-8</v>
      </c>
      <c r="I18" s="41" t="s">
        <v>2</v>
      </c>
      <c r="J18" s="256" t="s">
        <v>159</v>
      </c>
      <c r="K18" s="257"/>
      <c r="L18" s="258"/>
    </row>
    <row r="19" spans="1:16" ht="22.5" customHeight="1">
      <c r="A19" s="38" t="s">
        <v>4</v>
      </c>
      <c r="B19" s="39" t="s">
        <v>6</v>
      </c>
      <c r="C19" s="41" t="s">
        <v>53</v>
      </c>
      <c r="D19" s="39" t="s">
        <v>6</v>
      </c>
      <c r="E19" s="41" t="s">
        <v>53</v>
      </c>
      <c r="F19" s="39" t="s">
        <v>6</v>
      </c>
      <c r="G19" s="41" t="s">
        <v>53</v>
      </c>
      <c r="H19" s="39" t="s">
        <v>6</v>
      </c>
      <c r="I19" s="41" t="s">
        <v>53</v>
      </c>
      <c r="J19" s="256" t="s">
        <v>159</v>
      </c>
      <c r="K19" s="257"/>
      <c r="L19" s="258"/>
    </row>
    <row r="20" spans="1:16" ht="22.5" customHeight="1">
      <c r="A20" s="38" t="s">
        <v>7</v>
      </c>
      <c r="B20" s="39">
        <v>9.0400000000000002E-8</v>
      </c>
      <c r="C20" s="41" t="s">
        <v>5</v>
      </c>
      <c r="D20" s="42">
        <v>1.9799999999999999E-8</v>
      </c>
      <c r="E20" s="41" t="s">
        <v>5</v>
      </c>
      <c r="F20" s="42">
        <v>1.22E-6</v>
      </c>
      <c r="G20" s="41" t="s">
        <v>5</v>
      </c>
      <c r="H20" s="42">
        <v>5.2E-7</v>
      </c>
      <c r="I20" s="41" t="s">
        <v>5</v>
      </c>
      <c r="J20" s="256" t="s">
        <v>159</v>
      </c>
      <c r="K20" s="257"/>
      <c r="L20" s="258"/>
    </row>
    <row r="21" spans="1:16">
      <c r="A21" s="38" t="s">
        <v>8</v>
      </c>
      <c r="B21" s="39" t="s">
        <v>6</v>
      </c>
      <c r="C21" s="41" t="s">
        <v>53</v>
      </c>
      <c r="D21" s="42" t="s">
        <v>6</v>
      </c>
      <c r="E21" s="41" t="s">
        <v>53</v>
      </c>
      <c r="F21" s="42" t="s">
        <v>6</v>
      </c>
      <c r="G21" s="41" t="s">
        <v>53</v>
      </c>
      <c r="H21" s="42" t="s">
        <v>6</v>
      </c>
      <c r="I21" s="41" t="s">
        <v>53</v>
      </c>
      <c r="J21" s="256" t="s">
        <v>53</v>
      </c>
      <c r="K21" s="257"/>
      <c r="L21" s="258"/>
    </row>
    <row r="22" spans="1:16">
      <c r="A22" s="38" t="s">
        <v>12</v>
      </c>
      <c r="B22" s="39" t="s">
        <v>6</v>
      </c>
      <c r="C22" s="41" t="s">
        <v>53</v>
      </c>
      <c r="D22" s="42" t="s">
        <v>6</v>
      </c>
      <c r="E22" s="41" t="s">
        <v>53</v>
      </c>
      <c r="F22" s="42" t="s">
        <v>6</v>
      </c>
      <c r="G22" s="41" t="s">
        <v>53</v>
      </c>
      <c r="H22" s="42" t="s">
        <v>6</v>
      </c>
      <c r="I22" s="41" t="s">
        <v>53</v>
      </c>
      <c r="J22" s="256" t="s">
        <v>53</v>
      </c>
      <c r="K22" s="257"/>
      <c r="L22" s="258"/>
    </row>
    <row r="23" spans="1:16" ht="22.5" customHeight="1">
      <c r="A23" s="43" t="s">
        <v>9</v>
      </c>
      <c r="B23" s="47">
        <v>2.4400000000000001E-7</v>
      </c>
      <c r="C23" s="46" t="s">
        <v>11</v>
      </c>
      <c r="D23" s="47">
        <v>3.4200000000000002E-8</v>
      </c>
      <c r="E23" s="46" t="s">
        <v>11</v>
      </c>
      <c r="F23" s="47">
        <v>1.1399999999999999E-5</v>
      </c>
      <c r="G23" s="46" t="s">
        <v>11</v>
      </c>
      <c r="H23" s="47">
        <v>3.6199999999999999E-5</v>
      </c>
      <c r="I23" s="46" t="s">
        <v>11</v>
      </c>
      <c r="J23" s="256" t="s">
        <v>159</v>
      </c>
      <c r="K23" s="257"/>
      <c r="L23" s="258"/>
    </row>
    <row r="24" spans="1:16" ht="22.5" customHeight="1">
      <c r="A24" s="43" t="s">
        <v>13</v>
      </c>
      <c r="B24" s="47">
        <v>1.04E-7</v>
      </c>
      <c r="C24" s="46" t="s">
        <v>11</v>
      </c>
      <c r="D24" s="47">
        <v>9.0599999999999997E-9</v>
      </c>
      <c r="E24" s="46" t="s">
        <v>11</v>
      </c>
      <c r="F24" s="47">
        <v>4.0999999999999997E-6</v>
      </c>
      <c r="G24" s="46" t="s">
        <v>11</v>
      </c>
      <c r="H24" s="47">
        <v>1.53E-6</v>
      </c>
      <c r="I24" s="46" t="s">
        <v>11</v>
      </c>
      <c r="J24" s="256" t="s">
        <v>159</v>
      </c>
      <c r="K24" s="257"/>
      <c r="L24" s="258"/>
    </row>
    <row r="25" spans="1:16" ht="22.5" customHeight="1">
      <c r="A25" s="43" t="s">
        <v>14</v>
      </c>
      <c r="B25" s="39" t="s">
        <v>6</v>
      </c>
      <c r="C25" s="41" t="s">
        <v>53</v>
      </c>
      <c r="D25" s="47">
        <v>1.18E-8</v>
      </c>
      <c r="E25" s="46" t="s">
        <v>11</v>
      </c>
      <c r="F25" s="47">
        <v>1.42E-6</v>
      </c>
      <c r="G25" s="46" t="s">
        <v>11</v>
      </c>
      <c r="H25" s="47">
        <v>3.8200000000000001E-7</v>
      </c>
      <c r="I25" s="46" t="s">
        <v>11</v>
      </c>
      <c r="J25" s="256" t="s">
        <v>159</v>
      </c>
      <c r="K25" s="257"/>
      <c r="L25" s="258"/>
    </row>
    <row r="26" spans="1:16" ht="22.5" customHeight="1">
      <c r="A26" s="43" t="s">
        <v>15</v>
      </c>
      <c r="B26" s="39" t="s">
        <v>6</v>
      </c>
      <c r="C26" s="41" t="s">
        <v>53</v>
      </c>
      <c r="D26" s="47">
        <v>7.1000000000000003E-10</v>
      </c>
      <c r="E26" s="46" t="s">
        <v>11</v>
      </c>
      <c r="F26" s="47">
        <v>1.2700000000000001E-7</v>
      </c>
      <c r="G26" s="46" t="s">
        <v>11</v>
      </c>
      <c r="H26" s="47">
        <v>3.6599999999999997E-8</v>
      </c>
      <c r="I26" s="46" t="s">
        <v>11</v>
      </c>
      <c r="J26" s="256" t="s">
        <v>159</v>
      </c>
      <c r="K26" s="257"/>
      <c r="L26" s="258"/>
    </row>
    <row r="27" spans="1:16" s="188" customFormat="1">
      <c r="A27" s="182" t="s">
        <v>16</v>
      </c>
      <c r="B27" s="183" t="s">
        <v>6</v>
      </c>
      <c r="C27" s="185" t="s">
        <v>53</v>
      </c>
      <c r="D27" s="186" t="s">
        <v>6</v>
      </c>
      <c r="E27" s="185" t="s">
        <v>53</v>
      </c>
      <c r="F27" s="186" t="s">
        <v>6</v>
      </c>
      <c r="G27" s="185" t="s">
        <v>53</v>
      </c>
      <c r="H27" s="186" t="s">
        <v>6</v>
      </c>
      <c r="I27" s="185" t="s">
        <v>53</v>
      </c>
      <c r="J27" s="259" t="s">
        <v>53</v>
      </c>
      <c r="K27" s="260"/>
      <c r="L27" s="261"/>
      <c r="P27" s="187"/>
    </row>
    <row r="28" spans="1:16">
      <c r="B28" s="2"/>
      <c r="C28" s="2"/>
    </row>
    <row r="30" spans="1:16">
      <c r="A30" s="27" t="s">
        <v>51</v>
      </c>
      <c r="B30" s="27" t="s">
        <v>128</v>
      </c>
      <c r="C30" s="23"/>
      <c r="D30" s="27" t="s">
        <v>129</v>
      </c>
      <c r="E30" s="23"/>
      <c r="F30" s="28" t="s">
        <v>130</v>
      </c>
      <c r="G30" s="23"/>
      <c r="H30" s="28" t="s">
        <v>131</v>
      </c>
      <c r="I30" s="23"/>
      <c r="J30" s="250" t="s">
        <v>55</v>
      </c>
      <c r="K30" s="251"/>
      <c r="L30" s="252"/>
    </row>
    <row r="31" spans="1:16" ht="22.5" customHeight="1">
      <c r="A31" s="33" t="s">
        <v>1</v>
      </c>
      <c r="B31" s="34">
        <v>2.04E-4</v>
      </c>
      <c r="C31" s="36" t="s">
        <v>2</v>
      </c>
      <c r="D31" s="34">
        <v>1.7600000000000001E-5</v>
      </c>
      <c r="E31" s="36" t="s">
        <v>2</v>
      </c>
      <c r="F31" s="37">
        <v>1.1800000000000001E-5</v>
      </c>
      <c r="G31" s="36" t="s">
        <v>2</v>
      </c>
      <c r="H31" s="39" t="s">
        <v>6</v>
      </c>
      <c r="I31" s="41" t="s">
        <v>53</v>
      </c>
      <c r="J31" s="253" t="s">
        <v>159</v>
      </c>
      <c r="K31" s="254"/>
      <c r="L31" s="255"/>
    </row>
    <row r="32" spans="1:16" ht="22.5" customHeight="1">
      <c r="A32" s="38" t="s">
        <v>3</v>
      </c>
      <c r="B32" s="39">
        <v>1.17E-7</v>
      </c>
      <c r="C32" s="41" t="s">
        <v>2</v>
      </c>
      <c r="D32" s="39">
        <v>4.1799999999999997E-8</v>
      </c>
      <c r="E32" s="41" t="s">
        <v>2</v>
      </c>
      <c r="F32" s="39" t="s">
        <v>6</v>
      </c>
      <c r="G32" s="41" t="s">
        <v>53</v>
      </c>
      <c r="H32" s="39" t="s">
        <v>6</v>
      </c>
      <c r="I32" s="41" t="s">
        <v>53</v>
      </c>
      <c r="J32" s="256" t="s">
        <v>159</v>
      </c>
      <c r="K32" s="257"/>
      <c r="L32" s="258"/>
    </row>
    <row r="33" spans="1:12">
      <c r="A33" s="38" t="s">
        <v>4</v>
      </c>
      <c r="B33" s="39" t="s">
        <v>6</v>
      </c>
      <c r="C33" s="41" t="s">
        <v>53</v>
      </c>
      <c r="D33" s="39" t="s">
        <v>6</v>
      </c>
      <c r="E33" s="41" t="s">
        <v>53</v>
      </c>
      <c r="F33" s="39" t="s">
        <v>6</v>
      </c>
      <c r="G33" s="41" t="s">
        <v>53</v>
      </c>
      <c r="H33" s="39" t="s">
        <v>6</v>
      </c>
      <c r="I33" s="41" t="s">
        <v>53</v>
      </c>
      <c r="J33" s="256" t="s">
        <v>53</v>
      </c>
      <c r="K33" s="257"/>
      <c r="L33" s="258"/>
    </row>
    <row r="34" spans="1:12" ht="22.5" customHeight="1">
      <c r="A34" s="38" t="s">
        <v>7</v>
      </c>
      <c r="B34" s="39">
        <v>2.5600000000000002E-7</v>
      </c>
      <c r="C34" s="41" t="s">
        <v>5</v>
      </c>
      <c r="D34" s="39">
        <v>2.2800000000000002E-6</v>
      </c>
      <c r="E34" s="41" t="s">
        <v>5</v>
      </c>
      <c r="F34" s="42">
        <v>3.54E-6</v>
      </c>
      <c r="G34" s="41" t="s">
        <v>5</v>
      </c>
      <c r="H34" s="42">
        <v>7.24E-8</v>
      </c>
      <c r="I34" s="41" t="s">
        <v>5</v>
      </c>
      <c r="J34" s="256" t="s">
        <v>159</v>
      </c>
      <c r="K34" s="257"/>
      <c r="L34" s="258"/>
    </row>
    <row r="35" spans="1:12">
      <c r="A35" s="38" t="s">
        <v>8</v>
      </c>
      <c r="B35" s="39" t="s">
        <v>6</v>
      </c>
      <c r="C35" s="41" t="s">
        <v>53</v>
      </c>
      <c r="D35" s="39" t="s">
        <v>6</v>
      </c>
      <c r="E35" s="41" t="s">
        <v>53</v>
      </c>
      <c r="F35" s="42" t="s">
        <v>6</v>
      </c>
      <c r="G35" s="41" t="s">
        <v>53</v>
      </c>
      <c r="H35" s="42" t="s">
        <v>6</v>
      </c>
      <c r="I35" s="41" t="s">
        <v>53</v>
      </c>
      <c r="J35" s="256" t="s">
        <v>53</v>
      </c>
      <c r="K35" s="257"/>
      <c r="L35" s="258"/>
    </row>
    <row r="36" spans="1:12">
      <c r="A36" s="38" t="s">
        <v>12</v>
      </c>
      <c r="B36" s="39" t="s">
        <v>6</v>
      </c>
      <c r="C36" s="41" t="s">
        <v>53</v>
      </c>
      <c r="D36" s="39" t="s">
        <v>6</v>
      </c>
      <c r="E36" s="41" t="s">
        <v>53</v>
      </c>
      <c r="F36" s="42" t="s">
        <v>6</v>
      </c>
      <c r="G36" s="41" t="s">
        <v>53</v>
      </c>
      <c r="H36" s="42" t="s">
        <v>6</v>
      </c>
      <c r="I36" s="41" t="s">
        <v>53</v>
      </c>
      <c r="J36" s="256" t="s">
        <v>53</v>
      </c>
      <c r="K36" s="257"/>
      <c r="L36" s="258"/>
    </row>
    <row r="37" spans="1:12" ht="22.5" customHeight="1">
      <c r="A37" s="43" t="s">
        <v>9</v>
      </c>
      <c r="B37" s="47">
        <v>6.1199999999999997E-5</v>
      </c>
      <c r="C37" s="46" t="s">
        <v>11</v>
      </c>
      <c r="D37" s="47">
        <v>1.19E-5</v>
      </c>
      <c r="E37" s="46" t="s">
        <v>11</v>
      </c>
      <c r="F37" s="47">
        <v>3.8399999999999998E-5</v>
      </c>
      <c r="G37" s="46" t="s">
        <v>11</v>
      </c>
      <c r="H37" s="47">
        <v>2.6199999999999999E-6</v>
      </c>
      <c r="I37" s="46" t="s">
        <v>11</v>
      </c>
      <c r="J37" s="256" t="s">
        <v>159</v>
      </c>
      <c r="K37" s="257"/>
      <c r="L37" s="258"/>
    </row>
    <row r="38" spans="1:12" s="211" customFormat="1" ht="22.5" customHeight="1">
      <c r="A38" s="43" t="s">
        <v>13</v>
      </c>
      <c r="B38" s="47">
        <v>2.0800000000000001E-5</v>
      </c>
      <c r="C38" s="46" t="s">
        <v>11</v>
      </c>
      <c r="D38" s="47">
        <v>4.78E-6</v>
      </c>
      <c r="E38" s="46" t="s">
        <v>11</v>
      </c>
      <c r="F38" s="47">
        <v>1.2300000000000001E-5</v>
      </c>
      <c r="G38" s="46" t="s">
        <v>11</v>
      </c>
      <c r="H38" s="47">
        <v>1.1300000000000001E-7</v>
      </c>
      <c r="I38" s="46" t="s">
        <v>11</v>
      </c>
      <c r="J38" s="256" t="s">
        <v>159</v>
      </c>
      <c r="K38" s="257"/>
      <c r="L38" s="258"/>
    </row>
    <row r="39" spans="1:12" s="2" customFormat="1" ht="22.5" customHeight="1">
      <c r="A39" s="43" t="s">
        <v>14</v>
      </c>
      <c r="B39" s="47">
        <v>6.1199999999999997E-5</v>
      </c>
      <c r="C39" s="46" t="s">
        <v>11</v>
      </c>
      <c r="D39" s="47">
        <v>3.2799999999999999E-6</v>
      </c>
      <c r="E39" s="46" t="s">
        <v>11</v>
      </c>
      <c r="F39" s="47">
        <v>2.02E-5</v>
      </c>
      <c r="G39" s="46" t="s">
        <v>11</v>
      </c>
      <c r="H39" s="42" t="s">
        <v>6</v>
      </c>
      <c r="I39" s="41" t="s">
        <v>53</v>
      </c>
      <c r="J39" s="256" t="s">
        <v>159</v>
      </c>
      <c r="K39" s="257"/>
      <c r="L39" s="258"/>
    </row>
    <row r="40" spans="1:12" s="2" customFormat="1" ht="22.5" customHeight="1">
      <c r="A40" s="43" t="s">
        <v>15</v>
      </c>
      <c r="B40" s="47">
        <v>3.7799999999999998E-6</v>
      </c>
      <c r="C40" s="46" t="s">
        <v>11</v>
      </c>
      <c r="D40" s="47">
        <v>2.48E-7</v>
      </c>
      <c r="E40" s="46" t="s">
        <v>11</v>
      </c>
      <c r="F40" s="47">
        <v>1.1999999999999999E-6</v>
      </c>
      <c r="G40" s="46" t="s">
        <v>11</v>
      </c>
      <c r="H40" s="42" t="s">
        <v>6</v>
      </c>
      <c r="I40" s="41" t="s">
        <v>53</v>
      </c>
      <c r="J40" s="256" t="s">
        <v>159</v>
      </c>
      <c r="K40" s="257"/>
      <c r="L40" s="258"/>
    </row>
    <row r="41" spans="1:12" s="2" customFormat="1">
      <c r="A41" s="182" t="s">
        <v>16</v>
      </c>
      <c r="B41" s="183" t="s">
        <v>6</v>
      </c>
      <c r="C41" s="185" t="s">
        <v>53</v>
      </c>
      <c r="D41" s="183" t="s">
        <v>6</v>
      </c>
      <c r="E41" s="185" t="s">
        <v>53</v>
      </c>
      <c r="F41" s="186" t="s">
        <v>6</v>
      </c>
      <c r="G41" s="185" t="s">
        <v>53</v>
      </c>
      <c r="H41" s="186" t="s">
        <v>6</v>
      </c>
      <c r="I41" s="185" t="s">
        <v>53</v>
      </c>
      <c r="J41" s="259" t="s">
        <v>53</v>
      </c>
      <c r="K41" s="260"/>
      <c r="L41" s="261"/>
    </row>
    <row r="42" spans="1:12" s="2" customFormat="1"/>
    <row r="43" spans="1:12" s="2" customFormat="1"/>
    <row r="44" spans="1:12" s="2" customFormat="1" ht="15">
      <c r="A44" s="29" t="s">
        <v>18</v>
      </c>
      <c r="B44" s="30"/>
      <c r="C44" s="29">
        <v>138.96600000000001</v>
      </c>
      <c r="D44" s="31" t="s">
        <v>19</v>
      </c>
    </row>
    <row r="45" spans="1:12" s="2" customFormat="1">
      <c r="L45" s="210"/>
    </row>
    <row r="46" spans="1:12" s="2" customFormat="1">
      <c r="L46" s="210"/>
    </row>
    <row r="47" spans="1:12" s="2" customFormat="1">
      <c r="L47" s="210"/>
    </row>
    <row r="48" spans="1:12" s="2" customFormat="1">
      <c r="L48" s="210"/>
    </row>
    <row r="49" spans="12:12" s="2" customFormat="1">
      <c r="L49" s="210"/>
    </row>
    <row r="50" spans="12:12" s="2" customFormat="1">
      <c r="L50" s="210"/>
    </row>
    <row r="51" spans="12:12" s="2" customFormat="1">
      <c r="L51" s="210"/>
    </row>
    <row r="52" spans="12:12" s="2" customFormat="1">
      <c r="L52" s="210"/>
    </row>
    <row r="53" spans="12:12" s="2" customFormat="1">
      <c r="L53" s="210"/>
    </row>
    <row r="54" spans="12:12" s="2" customFormat="1">
      <c r="L54" s="210"/>
    </row>
    <row r="55" spans="12:12" s="2" customFormat="1">
      <c r="L55" s="210"/>
    </row>
    <row r="56" spans="12:12" s="2" customFormat="1">
      <c r="L56" s="210"/>
    </row>
    <row r="57" spans="12:12" s="2" customFormat="1">
      <c r="L57" s="210"/>
    </row>
    <row r="58" spans="12:12" s="2" customFormat="1">
      <c r="L58" s="210"/>
    </row>
    <row r="59" spans="12:12" s="2" customFormat="1">
      <c r="L59" s="210"/>
    </row>
    <row r="60" spans="12:12" s="2" customFormat="1">
      <c r="L60" s="210"/>
    </row>
    <row r="61" spans="12:12" s="2" customFormat="1">
      <c r="L61" s="210"/>
    </row>
    <row r="62" spans="12:12" s="2" customFormat="1">
      <c r="L62" s="210"/>
    </row>
    <row r="63" spans="12:12" s="2" customFormat="1">
      <c r="L63" s="210"/>
    </row>
    <row r="64" spans="12:12" s="2" customFormat="1">
      <c r="L64" s="210"/>
    </row>
    <row r="65" spans="12:12" s="2" customFormat="1">
      <c r="L65" s="210"/>
    </row>
    <row r="66" spans="12:12" s="2" customFormat="1">
      <c r="L66" s="210"/>
    </row>
    <row r="67" spans="12:12" s="2" customFormat="1">
      <c r="L67" s="210"/>
    </row>
    <row r="68" spans="12:12" s="2" customFormat="1">
      <c r="L68" s="210"/>
    </row>
    <row r="69" spans="12:12" s="2" customFormat="1">
      <c r="L69" s="210"/>
    </row>
    <row r="70" spans="12:12" s="2" customFormat="1">
      <c r="L70" s="210"/>
    </row>
    <row r="71" spans="12:12" s="2" customFormat="1">
      <c r="L71" s="210"/>
    </row>
    <row r="72" spans="12:12" s="2" customFormat="1">
      <c r="L72" s="210"/>
    </row>
    <row r="73" spans="12:12" s="2" customFormat="1">
      <c r="L73" s="210"/>
    </row>
    <row r="74" spans="12:12" s="2" customFormat="1">
      <c r="L74" s="210"/>
    </row>
    <row r="75" spans="12:12" s="2" customFormat="1">
      <c r="L75" s="210"/>
    </row>
    <row r="76" spans="12:12" s="2" customFormat="1">
      <c r="L76" s="210"/>
    </row>
    <row r="77" spans="12:12" s="2" customFormat="1">
      <c r="L77" s="210"/>
    </row>
    <row r="78" spans="12:12" s="2" customFormat="1">
      <c r="L78" s="210"/>
    </row>
    <row r="79" spans="12:12" s="2" customFormat="1">
      <c r="L79" s="210"/>
    </row>
    <row r="80" spans="12:12" s="2" customFormat="1">
      <c r="L80" s="210"/>
    </row>
    <row r="81" spans="12:12" s="2" customFormat="1">
      <c r="L81" s="210"/>
    </row>
    <row r="82" spans="12:12" s="2" customFormat="1">
      <c r="L82" s="210"/>
    </row>
    <row r="83" spans="12:12" s="2" customFormat="1">
      <c r="L83" s="210"/>
    </row>
    <row r="84" spans="12:12" s="2" customFormat="1">
      <c r="L84" s="210"/>
    </row>
    <row r="85" spans="12:12" s="2" customFormat="1">
      <c r="L85" s="210"/>
    </row>
    <row r="86" spans="12:12" s="2" customFormat="1">
      <c r="L86" s="210"/>
    </row>
    <row r="87" spans="12:12" s="2" customFormat="1">
      <c r="L87" s="210"/>
    </row>
    <row r="88" spans="12:12" s="2" customFormat="1">
      <c r="L88" s="210"/>
    </row>
    <row r="89" spans="12:12" s="2" customFormat="1">
      <c r="L89" s="210"/>
    </row>
    <row r="90" spans="12:12" s="2" customFormat="1">
      <c r="L90" s="210"/>
    </row>
    <row r="91" spans="12:12" s="2" customFormat="1">
      <c r="L91" s="210"/>
    </row>
    <row r="92" spans="12:12" s="2" customFormat="1">
      <c r="L92" s="210"/>
    </row>
    <row r="93" spans="12:12" s="2" customFormat="1">
      <c r="L93" s="210"/>
    </row>
    <row r="94" spans="12:12" s="2" customFormat="1">
      <c r="L94" s="210"/>
    </row>
    <row r="95" spans="12:12" s="2" customFormat="1">
      <c r="L95" s="210"/>
    </row>
    <row r="96" spans="12:12" s="2" customFormat="1">
      <c r="L96" s="210"/>
    </row>
    <row r="97" spans="12:12" s="2" customFormat="1">
      <c r="L97" s="210"/>
    </row>
    <row r="98" spans="12:12" s="2" customFormat="1">
      <c r="L98" s="210"/>
    </row>
    <row r="99" spans="12:12" s="2" customFormat="1">
      <c r="L99" s="210"/>
    </row>
    <row r="100" spans="12:12" s="2" customFormat="1">
      <c r="L100" s="210"/>
    </row>
    <row r="101" spans="12:12" s="2" customFormat="1">
      <c r="L101" s="210"/>
    </row>
    <row r="102" spans="12:12" s="2" customFormat="1">
      <c r="L102" s="210"/>
    </row>
    <row r="103" spans="12:12" s="2" customFormat="1">
      <c r="L103" s="210"/>
    </row>
    <row r="104" spans="12:12" s="2" customFormat="1">
      <c r="L104" s="210"/>
    </row>
    <row r="105" spans="12:12" s="2" customFormat="1">
      <c r="L105" s="210"/>
    </row>
    <row r="106" spans="12:12" s="2" customFormat="1">
      <c r="L106" s="210"/>
    </row>
    <row r="107" spans="12:12" s="2" customFormat="1">
      <c r="L107" s="210"/>
    </row>
    <row r="108" spans="12:12" s="2" customFormat="1">
      <c r="L108" s="210"/>
    </row>
    <row r="109" spans="12:12" s="2" customFormat="1">
      <c r="L109" s="210"/>
    </row>
    <row r="110" spans="12:12" s="2" customFormat="1">
      <c r="L110" s="210"/>
    </row>
    <row r="111" spans="12:12" s="2" customFormat="1">
      <c r="L111" s="210"/>
    </row>
    <row r="112" spans="12:12" s="2" customFormat="1">
      <c r="L112" s="210"/>
    </row>
    <row r="113" spans="12:12" s="2" customFormat="1">
      <c r="L113" s="210"/>
    </row>
    <row r="114" spans="12:12" s="2" customFormat="1">
      <c r="L114" s="210"/>
    </row>
    <row r="115" spans="12:12" s="2" customFormat="1">
      <c r="L115" s="210"/>
    </row>
    <row r="116" spans="12:12" s="2" customFormat="1">
      <c r="L116" s="210"/>
    </row>
    <row r="117" spans="12:12" s="2" customFormat="1">
      <c r="L117" s="210"/>
    </row>
    <row r="118" spans="12:12" s="2" customFormat="1">
      <c r="L118" s="210"/>
    </row>
    <row r="119" spans="12:12" s="2" customFormat="1">
      <c r="L119" s="210"/>
    </row>
    <row r="120" spans="12:12" s="2" customFormat="1">
      <c r="L120" s="210"/>
    </row>
    <row r="121" spans="12:12" s="2" customFormat="1">
      <c r="L121" s="210"/>
    </row>
    <row r="122" spans="12:12" s="2" customFormat="1">
      <c r="L122" s="210"/>
    </row>
    <row r="123" spans="12:12" s="2" customFormat="1">
      <c r="L123" s="210"/>
    </row>
    <row r="124" spans="12:12" s="2" customFormat="1">
      <c r="L124" s="210"/>
    </row>
    <row r="125" spans="12:12" s="2" customFormat="1">
      <c r="L125" s="210"/>
    </row>
    <row r="126" spans="12:12" s="2" customFormat="1">
      <c r="L126" s="210"/>
    </row>
    <row r="127" spans="12:12" s="2" customFormat="1">
      <c r="L127" s="210"/>
    </row>
    <row r="128" spans="12:12" s="2" customFormat="1">
      <c r="L128" s="210"/>
    </row>
    <row r="129" spans="12:12" s="2" customFormat="1">
      <c r="L129" s="210"/>
    </row>
    <row r="130" spans="12:12" s="2" customFormat="1">
      <c r="L130" s="210"/>
    </row>
    <row r="131" spans="12:12" s="2" customFormat="1">
      <c r="L131" s="210"/>
    </row>
    <row r="132" spans="12:12" s="2" customFormat="1">
      <c r="L132" s="210"/>
    </row>
    <row r="133" spans="12:12" s="2" customFormat="1">
      <c r="L133" s="210"/>
    </row>
    <row r="134" spans="12:12" s="2" customFormat="1">
      <c r="L134" s="210"/>
    </row>
    <row r="135" spans="12:12" s="2" customFormat="1">
      <c r="L135" s="210"/>
    </row>
    <row r="136" spans="12:12" s="2" customFormat="1">
      <c r="L136" s="210"/>
    </row>
    <row r="137" spans="12:12" s="2" customFormat="1">
      <c r="L137" s="210"/>
    </row>
    <row r="138" spans="12:12" s="2" customFormat="1">
      <c r="L138" s="210"/>
    </row>
    <row r="139" spans="12:12" s="2" customFormat="1">
      <c r="L139" s="210"/>
    </row>
    <row r="140" spans="12:12" s="2" customFormat="1">
      <c r="L140" s="210"/>
    </row>
    <row r="141" spans="12:12" s="2" customFormat="1">
      <c r="L141" s="210"/>
    </row>
    <row r="142" spans="12:12" s="2" customFormat="1">
      <c r="L142" s="210"/>
    </row>
    <row r="143" spans="12:12" s="2" customFormat="1">
      <c r="L143" s="210"/>
    </row>
    <row r="144" spans="12:12" s="2" customFormat="1">
      <c r="L144" s="210"/>
    </row>
    <row r="145" spans="12:12" s="2" customFormat="1">
      <c r="L145" s="210"/>
    </row>
    <row r="146" spans="12:12" s="2" customFormat="1">
      <c r="L146" s="210"/>
    </row>
    <row r="147" spans="12:12" s="2" customFormat="1">
      <c r="L147" s="210"/>
    </row>
    <row r="148" spans="12:12" s="2" customFormat="1">
      <c r="L148" s="210"/>
    </row>
    <row r="149" spans="12:12" s="2" customFormat="1">
      <c r="L149" s="210"/>
    </row>
    <row r="150" spans="12:12" s="2" customFormat="1">
      <c r="L150" s="210"/>
    </row>
    <row r="151" spans="12:12" s="2" customFormat="1">
      <c r="L151" s="210"/>
    </row>
    <row r="152" spans="12:12" s="2" customFormat="1">
      <c r="L152" s="210"/>
    </row>
    <row r="153" spans="12:12" s="2" customFormat="1">
      <c r="L153" s="210"/>
    </row>
    <row r="154" spans="12:12" s="2" customFormat="1">
      <c r="L154" s="210"/>
    </row>
    <row r="155" spans="12:12" s="2" customFormat="1">
      <c r="L155" s="210"/>
    </row>
    <row r="156" spans="12:12" s="2" customFormat="1">
      <c r="L156" s="210"/>
    </row>
    <row r="157" spans="12:12" s="2" customFormat="1">
      <c r="L157" s="210"/>
    </row>
    <row r="158" spans="12:12" s="2" customFormat="1">
      <c r="L158" s="210"/>
    </row>
    <row r="159" spans="12:12" s="2" customFormat="1">
      <c r="L159" s="210"/>
    </row>
    <row r="160" spans="12:12" s="2" customFormat="1">
      <c r="L160" s="210"/>
    </row>
    <row r="161" spans="12:12" s="2" customFormat="1">
      <c r="L161" s="210"/>
    </row>
    <row r="162" spans="12:12" s="2" customFormat="1">
      <c r="L162" s="210"/>
    </row>
    <row r="163" spans="12:12" s="2" customFormat="1">
      <c r="L163" s="210"/>
    </row>
    <row r="164" spans="12:12" s="2" customFormat="1">
      <c r="L164" s="210"/>
    </row>
    <row r="165" spans="12:12" s="2" customFormat="1">
      <c r="L165" s="210"/>
    </row>
    <row r="166" spans="12:12" s="2" customFormat="1">
      <c r="L166" s="210"/>
    </row>
    <row r="167" spans="12:12" s="2" customFormat="1">
      <c r="L167" s="210"/>
    </row>
    <row r="168" spans="12:12" s="2" customFormat="1">
      <c r="L168" s="210"/>
    </row>
    <row r="169" spans="12:12" s="2" customFormat="1">
      <c r="L169" s="210"/>
    </row>
    <row r="170" spans="12:12" s="2" customFormat="1">
      <c r="L170" s="210"/>
    </row>
    <row r="171" spans="12:12" s="2" customFormat="1">
      <c r="L171" s="210"/>
    </row>
    <row r="172" spans="12:12" s="2" customFormat="1">
      <c r="L172" s="210"/>
    </row>
    <row r="173" spans="12:12" s="2" customFormat="1">
      <c r="L173" s="210"/>
    </row>
    <row r="174" spans="12:12" s="2" customFormat="1">
      <c r="L174" s="210"/>
    </row>
    <row r="175" spans="12:12" s="2" customFormat="1">
      <c r="L175" s="210"/>
    </row>
    <row r="176" spans="12:12" s="2" customFormat="1">
      <c r="L176" s="210"/>
    </row>
    <row r="177" spans="12:12" s="2" customFormat="1">
      <c r="L177" s="210"/>
    </row>
    <row r="178" spans="12:12" s="2" customFormat="1">
      <c r="L178" s="210"/>
    </row>
    <row r="179" spans="12:12" s="2" customFormat="1">
      <c r="L179" s="210"/>
    </row>
    <row r="180" spans="12:12" s="2" customFormat="1">
      <c r="L180" s="210"/>
    </row>
    <row r="181" spans="12:12" s="2" customFormat="1">
      <c r="L181" s="210"/>
    </row>
    <row r="182" spans="12:12" s="2" customFormat="1">
      <c r="L182" s="210"/>
    </row>
    <row r="183" spans="12:12" s="2" customFormat="1">
      <c r="L183" s="210"/>
    </row>
    <row r="184" spans="12:12" s="2" customFormat="1">
      <c r="L184" s="210"/>
    </row>
    <row r="185" spans="12:12" s="2" customFormat="1">
      <c r="L185" s="210"/>
    </row>
    <row r="186" spans="12:12" s="2" customFormat="1">
      <c r="L186" s="210"/>
    </row>
    <row r="187" spans="12:12" s="2" customFormat="1">
      <c r="L187" s="210"/>
    </row>
    <row r="188" spans="12:12" s="2" customFormat="1">
      <c r="L188" s="210"/>
    </row>
    <row r="189" spans="12:12" s="2" customFormat="1">
      <c r="L189" s="210"/>
    </row>
    <row r="190" spans="12:12" s="2" customFormat="1">
      <c r="L190" s="210"/>
    </row>
    <row r="191" spans="12:12" s="2" customFormat="1">
      <c r="L191" s="210"/>
    </row>
    <row r="192" spans="12:12" s="2" customFormat="1">
      <c r="L192" s="210"/>
    </row>
    <row r="193" spans="12:12" s="2" customFormat="1">
      <c r="L193" s="210"/>
    </row>
    <row r="194" spans="12:12" s="2" customFormat="1">
      <c r="L194" s="210"/>
    </row>
    <row r="195" spans="12:12" s="2" customFormat="1">
      <c r="L195" s="210"/>
    </row>
    <row r="196" spans="12:12" s="2" customFormat="1">
      <c r="L196" s="210"/>
    </row>
    <row r="197" spans="12:12" s="2" customFormat="1">
      <c r="L197" s="210"/>
    </row>
    <row r="198" spans="12:12" s="2" customFormat="1">
      <c r="L198" s="210"/>
    </row>
    <row r="199" spans="12:12" s="2" customFormat="1">
      <c r="L199" s="210"/>
    </row>
    <row r="200" spans="12:12" s="2" customFormat="1">
      <c r="L200" s="210"/>
    </row>
    <row r="201" spans="12:12" s="2" customFormat="1">
      <c r="L201" s="210"/>
    </row>
    <row r="202" spans="12:12" s="2" customFormat="1">
      <c r="L202" s="210"/>
    </row>
    <row r="203" spans="12:12" s="2" customFormat="1">
      <c r="L203" s="210"/>
    </row>
    <row r="204" spans="12:12" s="2" customFormat="1">
      <c r="L204" s="210"/>
    </row>
    <row r="205" spans="12:12" s="2" customFormat="1">
      <c r="L205" s="210"/>
    </row>
    <row r="206" spans="12:12" s="2" customFormat="1">
      <c r="L206" s="210"/>
    </row>
    <row r="207" spans="12:12" s="2" customFormat="1">
      <c r="L207" s="210"/>
    </row>
    <row r="208" spans="12:12" s="2" customFormat="1">
      <c r="L208" s="210"/>
    </row>
    <row r="209" spans="12:12" s="2" customFormat="1">
      <c r="L209" s="210"/>
    </row>
    <row r="210" spans="12:12" s="2" customFormat="1">
      <c r="L210" s="210"/>
    </row>
    <row r="211" spans="12:12" s="2" customFormat="1">
      <c r="L211" s="210"/>
    </row>
    <row r="212" spans="12:12" s="2" customFormat="1">
      <c r="L212" s="210"/>
    </row>
    <row r="213" spans="12:12" s="2" customFormat="1">
      <c r="L213" s="210"/>
    </row>
    <row r="214" spans="12:12" s="2" customFormat="1">
      <c r="L214" s="210"/>
    </row>
    <row r="215" spans="12:12" s="2" customFormat="1">
      <c r="L215" s="210"/>
    </row>
    <row r="216" spans="12:12" s="2" customFormat="1">
      <c r="L216" s="210"/>
    </row>
    <row r="217" spans="12:12" s="2" customFormat="1">
      <c r="L217" s="210"/>
    </row>
    <row r="218" spans="12:12" s="2" customFormat="1">
      <c r="L218" s="210"/>
    </row>
    <row r="219" spans="12:12" s="2" customFormat="1">
      <c r="L219" s="210"/>
    </row>
    <row r="220" spans="12:12" s="2" customFormat="1">
      <c r="L220" s="210"/>
    </row>
    <row r="221" spans="12:12" s="2" customFormat="1">
      <c r="L221" s="210"/>
    </row>
    <row r="222" spans="12:12" s="2" customFormat="1">
      <c r="L222" s="210"/>
    </row>
    <row r="223" spans="12:12" s="2" customFormat="1">
      <c r="L223" s="210"/>
    </row>
    <row r="224" spans="12:12" s="2" customFormat="1">
      <c r="L224" s="210"/>
    </row>
    <row r="225" spans="12:12" s="2" customFormat="1">
      <c r="L225" s="210"/>
    </row>
    <row r="226" spans="12:12" s="2" customFormat="1">
      <c r="L226" s="210"/>
    </row>
    <row r="227" spans="12:12" s="2" customFormat="1">
      <c r="L227" s="210"/>
    </row>
    <row r="228" spans="12:12" s="2" customFormat="1">
      <c r="L228" s="210"/>
    </row>
    <row r="229" spans="12:12" s="2" customFormat="1">
      <c r="L229" s="210"/>
    </row>
    <row r="230" spans="12:12" s="2" customFormat="1">
      <c r="L230" s="210"/>
    </row>
    <row r="231" spans="12:12" s="2" customFormat="1">
      <c r="L231" s="210"/>
    </row>
    <row r="232" spans="12:12" s="2" customFormat="1">
      <c r="L232" s="210"/>
    </row>
    <row r="233" spans="12:12" s="2" customFormat="1">
      <c r="L233" s="210"/>
    </row>
    <row r="234" spans="12:12" s="2" customFormat="1">
      <c r="L234" s="210"/>
    </row>
    <row r="235" spans="12:12" s="2" customFormat="1">
      <c r="L235" s="210"/>
    </row>
    <row r="236" spans="12:12" s="2" customFormat="1">
      <c r="L236" s="210"/>
    </row>
    <row r="237" spans="12:12" s="2" customFormat="1">
      <c r="L237" s="210"/>
    </row>
    <row r="238" spans="12:12" s="2" customFormat="1">
      <c r="L238" s="210"/>
    </row>
    <row r="239" spans="12:12" s="2" customFormat="1">
      <c r="L239" s="210"/>
    </row>
  </sheetData>
  <sheetProtection sheet="1" objects="1" scenarios="1"/>
  <mergeCells count="36">
    <mergeCell ref="J33:L33"/>
    <mergeCell ref="J34:L34"/>
    <mergeCell ref="J35:L35"/>
    <mergeCell ref="J36:L36"/>
    <mergeCell ref="J41:L41"/>
    <mergeCell ref="J37:L37"/>
    <mergeCell ref="J38:L38"/>
    <mergeCell ref="J39:L39"/>
    <mergeCell ref="J40:L40"/>
    <mergeCell ref="J25:L25"/>
    <mergeCell ref="J26:L26"/>
    <mergeCell ref="J27:L27"/>
    <mergeCell ref="J30:L30"/>
    <mergeCell ref="J31:L31"/>
    <mergeCell ref="J32:L32"/>
    <mergeCell ref="J19:L19"/>
    <mergeCell ref="J20:L20"/>
    <mergeCell ref="J21:L21"/>
    <mergeCell ref="J22:L22"/>
    <mergeCell ref="J23:L23"/>
    <mergeCell ref="J24:L24"/>
    <mergeCell ref="H9:J9"/>
    <mergeCell ref="H10:J10"/>
    <mergeCell ref="J16:L16"/>
    <mergeCell ref="J17:L17"/>
    <mergeCell ref="J18:L18"/>
    <mergeCell ref="H11:J11"/>
    <mergeCell ref="H12:J12"/>
    <mergeCell ref="H13:J13"/>
    <mergeCell ref="H14:J14"/>
    <mergeCell ref="H3:J3"/>
    <mergeCell ref="H4:J4"/>
    <mergeCell ref="H5:J5"/>
    <mergeCell ref="H6:J6"/>
    <mergeCell ref="H7:J7"/>
    <mergeCell ref="H8:J8"/>
  </mergeCells>
  <phoneticPr fontId="0" type="noConversion"/>
  <printOptions headings="1"/>
  <pageMargins left="0.75" right="0.75" top="1" bottom="1" header="0.5" footer="0.5"/>
  <pageSetup scale="56" orientation="landscape" r:id="rId1"/>
  <headerFooter alignWithMargins="0"/>
</worksheet>
</file>

<file path=xl/worksheets/sheet4.xml><?xml version="1.0" encoding="utf-8"?>
<worksheet xmlns="http://schemas.openxmlformats.org/spreadsheetml/2006/main" xmlns:r="http://schemas.openxmlformats.org/officeDocument/2006/relationships">
  <sheetPr>
    <pageSetUpPr fitToPage="1"/>
  </sheetPr>
  <dimension ref="A1:M35"/>
  <sheetViews>
    <sheetView workbookViewId="0">
      <selection activeCell="A2" sqref="A2:I2"/>
    </sheetView>
  </sheetViews>
  <sheetFormatPr defaultRowHeight="12.75"/>
  <cols>
    <col min="1" max="1" width="10.5703125" customWidth="1"/>
    <col min="2" max="2" width="11.28515625" customWidth="1"/>
    <col min="3" max="3" width="12" customWidth="1"/>
    <col min="4" max="4" width="17.7109375" customWidth="1"/>
    <col min="5" max="5" width="12.42578125" bestFit="1" customWidth="1"/>
    <col min="10" max="13" width="9.140625" style="2"/>
  </cols>
  <sheetData>
    <row r="1" spans="1:13" s="2" customFormat="1" ht="15.75">
      <c r="A1" s="216" t="s">
        <v>109</v>
      </c>
      <c r="B1" s="217"/>
      <c r="C1" s="217"/>
      <c r="D1" s="217"/>
      <c r="E1" s="217"/>
      <c r="F1" s="217"/>
      <c r="G1" s="217"/>
      <c r="H1" s="217"/>
      <c r="I1" s="218"/>
    </row>
    <row r="2" spans="1:13" s="2" customFormat="1" ht="13.5" thickBot="1">
      <c r="A2" s="219" t="str">
        <f>INPUT!A2</f>
        <v>REVISION A; Issued 01/23/2006</v>
      </c>
      <c r="B2" s="220"/>
      <c r="C2" s="220"/>
      <c r="D2" s="220"/>
      <c r="E2" s="220"/>
      <c r="F2" s="220"/>
      <c r="G2" s="220"/>
      <c r="H2" s="220"/>
      <c r="I2" s="221"/>
    </row>
    <row r="3" spans="1:13" s="2" customFormat="1">
      <c r="A3" s="145"/>
      <c r="B3" s="145"/>
      <c r="C3" s="145"/>
      <c r="D3" s="146"/>
      <c r="E3" s="146"/>
      <c r="F3" s="146"/>
      <c r="G3" s="146"/>
      <c r="H3" s="146"/>
      <c r="I3" s="146"/>
    </row>
    <row r="6" spans="1:13" s="193" customFormat="1">
      <c r="B6" s="194" t="s">
        <v>110</v>
      </c>
      <c r="C6" s="194" t="s">
        <v>111</v>
      </c>
      <c r="D6" s="194" t="s">
        <v>112</v>
      </c>
      <c r="E6" s="194" t="s">
        <v>113</v>
      </c>
      <c r="F6" s="195"/>
      <c r="G6" s="195"/>
      <c r="H6" s="195"/>
      <c r="I6" s="195"/>
      <c r="J6" s="195"/>
      <c r="K6" s="195"/>
      <c r="L6" s="195"/>
      <c r="M6" s="196"/>
    </row>
    <row r="7" spans="1:13" s="197" customFormat="1">
      <c r="B7" s="198" t="s">
        <v>117</v>
      </c>
      <c r="C7" s="199">
        <v>37330</v>
      </c>
      <c r="D7" s="198" t="s">
        <v>116</v>
      </c>
      <c r="E7" s="198" t="s">
        <v>118</v>
      </c>
      <c r="F7" s="200"/>
      <c r="G7" s="200"/>
      <c r="H7" s="200"/>
      <c r="I7" s="200"/>
      <c r="J7" s="200"/>
      <c r="K7" s="200"/>
      <c r="L7" s="200"/>
      <c r="M7" s="201"/>
    </row>
    <row r="8" spans="1:13" s="193" customFormat="1">
      <c r="B8" s="194"/>
      <c r="C8" s="194"/>
      <c r="D8" s="194"/>
      <c r="E8" s="194"/>
      <c r="F8" s="195"/>
      <c r="G8" s="195"/>
      <c r="H8" s="195"/>
      <c r="I8" s="195"/>
      <c r="J8" s="195"/>
      <c r="K8" s="195"/>
      <c r="L8" s="195"/>
      <c r="M8" s="196"/>
    </row>
    <row r="9" spans="1:13" s="193" customFormat="1" ht="41.25" customHeight="1">
      <c r="B9" s="202" t="s">
        <v>114</v>
      </c>
      <c r="C9" s="203">
        <v>38740</v>
      </c>
      <c r="D9" s="202" t="s">
        <v>115</v>
      </c>
      <c r="E9" s="262" t="s">
        <v>119</v>
      </c>
      <c r="F9" s="262"/>
      <c r="G9" s="262"/>
      <c r="H9" s="262"/>
      <c r="I9" s="262"/>
      <c r="J9" s="195"/>
      <c r="K9" s="195"/>
      <c r="L9" s="195"/>
      <c r="M9" s="196"/>
    </row>
    <row r="10" spans="1:13" s="193" customFormat="1">
      <c r="B10" s="202"/>
      <c r="C10" s="203"/>
      <c r="D10" s="202"/>
      <c r="E10" s="204" t="s">
        <v>120</v>
      </c>
      <c r="F10" s="195"/>
      <c r="G10" s="195"/>
      <c r="H10" s="195"/>
      <c r="I10" s="195"/>
      <c r="J10" s="195"/>
      <c r="K10" s="195"/>
      <c r="L10" s="195"/>
      <c r="M10" s="196"/>
    </row>
    <row r="11" spans="1:13" s="193" customFormat="1">
      <c r="B11" s="202"/>
      <c r="C11" s="202"/>
      <c r="D11" s="202"/>
      <c r="E11" s="195"/>
      <c r="F11" s="195"/>
      <c r="G11" s="195"/>
      <c r="H11" s="195"/>
      <c r="I11" s="195"/>
      <c r="J11" s="195"/>
      <c r="K11" s="195"/>
      <c r="L11" s="195"/>
      <c r="M11" s="196"/>
    </row>
    <row r="12" spans="1:13" s="193" customFormat="1">
      <c r="B12" s="202"/>
      <c r="C12" s="202"/>
      <c r="D12" s="202"/>
      <c r="E12" s="195"/>
      <c r="F12" s="195"/>
      <c r="G12" s="195"/>
      <c r="H12" s="195"/>
      <c r="I12" s="195"/>
      <c r="J12" s="195"/>
      <c r="K12" s="195"/>
      <c r="L12" s="195"/>
      <c r="M12" s="196"/>
    </row>
    <row r="13" spans="1:13" s="193" customFormat="1">
      <c r="B13" s="202"/>
      <c r="C13" s="202"/>
      <c r="D13" s="202"/>
      <c r="E13" s="195"/>
      <c r="F13" s="195"/>
      <c r="G13" s="195"/>
      <c r="H13" s="195"/>
      <c r="I13" s="195"/>
      <c r="J13" s="195"/>
      <c r="K13" s="195"/>
      <c r="L13" s="195"/>
      <c r="M13" s="196"/>
    </row>
    <row r="14" spans="1:13" s="193" customFormat="1">
      <c r="B14" s="202"/>
      <c r="C14" s="202"/>
      <c r="D14" s="202"/>
      <c r="E14" s="195"/>
      <c r="F14" s="195"/>
      <c r="G14" s="195"/>
      <c r="H14" s="195"/>
      <c r="I14" s="195"/>
      <c r="J14" s="195"/>
      <c r="K14" s="195"/>
      <c r="L14" s="195"/>
      <c r="M14" s="196"/>
    </row>
    <row r="15" spans="1:13" s="193" customFormat="1">
      <c r="B15" s="205"/>
      <c r="C15" s="203"/>
      <c r="D15" s="205"/>
      <c r="E15" s="206"/>
      <c r="F15" s="195"/>
      <c r="G15" s="195"/>
      <c r="H15" s="195"/>
      <c r="I15" s="195"/>
      <c r="J15" s="195"/>
      <c r="K15" s="195"/>
      <c r="L15" s="195"/>
      <c r="M15" s="196"/>
    </row>
    <row r="16" spans="1:13" s="193" customFormat="1">
      <c r="B16" s="205"/>
      <c r="C16" s="202"/>
      <c r="D16" s="205"/>
      <c r="E16" s="206"/>
      <c r="F16" s="195"/>
      <c r="G16" s="195"/>
      <c r="H16" s="195"/>
      <c r="I16" s="195"/>
      <c r="J16" s="195"/>
      <c r="K16" s="195"/>
      <c r="L16" s="195"/>
      <c r="M16" s="196"/>
    </row>
    <row r="17" spans="2:13" s="193" customFormat="1">
      <c r="B17" s="205"/>
      <c r="C17" s="202"/>
      <c r="D17" s="205"/>
      <c r="E17" s="206"/>
      <c r="F17" s="195"/>
      <c r="G17" s="195"/>
      <c r="H17" s="195"/>
      <c r="I17" s="195"/>
      <c r="J17" s="195"/>
      <c r="K17" s="195"/>
      <c r="L17" s="195"/>
      <c r="M17" s="196"/>
    </row>
    <row r="18" spans="2:13" s="193" customFormat="1">
      <c r="B18" s="206"/>
      <c r="C18" s="195"/>
      <c r="D18" s="206"/>
      <c r="E18" s="206"/>
      <c r="F18" s="195"/>
      <c r="G18" s="195"/>
      <c r="H18" s="195"/>
      <c r="I18" s="195"/>
      <c r="J18" s="195"/>
      <c r="K18" s="195"/>
      <c r="L18" s="195"/>
      <c r="M18" s="196"/>
    </row>
    <row r="19" spans="2:13" s="193" customFormat="1">
      <c r="B19" s="206"/>
      <c r="C19" s="195"/>
      <c r="D19" s="206"/>
      <c r="E19" s="206"/>
      <c r="F19" s="195"/>
      <c r="G19" s="195"/>
      <c r="H19" s="195"/>
      <c r="I19" s="195"/>
      <c r="J19" s="195"/>
      <c r="K19" s="195"/>
      <c r="L19" s="195"/>
      <c r="M19" s="196"/>
    </row>
    <row r="20" spans="2:13" s="193" customFormat="1">
      <c r="B20" s="206"/>
      <c r="C20" s="195"/>
      <c r="D20" s="206"/>
      <c r="E20" s="206"/>
      <c r="F20" s="195"/>
      <c r="G20" s="195"/>
      <c r="H20" s="195"/>
      <c r="I20" s="195"/>
      <c r="J20" s="195"/>
      <c r="K20" s="195"/>
      <c r="L20" s="195"/>
      <c r="M20" s="196"/>
    </row>
    <row r="21" spans="2:13" s="193" customFormat="1">
      <c r="B21" s="206"/>
      <c r="C21" s="195"/>
      <c r="D21" s="206"/>
      <c r="E21" s="206"/>
      <c r="F21" s="195"/>
      <c r="G21" s="195"/>
      <c r="H21" s="195"/>
      <c r="I21" s="195"/>
      <c r="J21" s="195"/>
      <c r="K21" s="195"/>
      <c r="L21" s="195"/>
      <c r="M21" s="196"/>
    </row>
    <row r="22" spans="2:13" s="193" customFormat="1">
      <c r="B22" s="206"/>
      <c r="C22" s="195"/>
      <c r="D22" s="206"/>
      <c r="E22" s="206"/>
      <c r="F22" s="195"/>
      <c r="G22" s="195"/>
      <c r="H22" s="195"/>
      <c r="I22" s="195"/>
      <c r="J22" s="195"/>
      <c r="K22" s="195"/>
      <c r="L22" s="195"/>
      <c r="M22" s="196"/>
    </row>
    <row r="23" spans="2:13" s="193" customFormat="1">
      <c r="B23" s="206"/>
      <c r="C23" s="195"/>
      <c r="D23" s="206"/>
      <c r="E23" s="206"/>
      <c r="F23" s="195"/>
      <c r="G23" s="195"/>
      <c r="H23" s="195"/>
      <c r="I23" s="195"/>
      <c r="J23" s="195"/>
      <c r="K23" s="195"/>
      <c r="L23" s="195"/>
      <c r="M23" s="196"/>
    </row>
    <row r="24" spans="2:13" s="193" customFormat="1">
      <c r="B24" s="206"/>
      <c r="C24" s="195"/>
      <c r="D24" s="206"/>
      <c r="E24" s="206"/>
      <c r="F24" s="195"/>
      <c r="G24" s="195"/>
      <c r="H24" s="195"/>
      <c r="I24" s="195"/>
      <c r="J24" s="195"/>
      <c r="K24" s="195"/>
      <c r="L24" s="195"/>
      <c r="M24" s="196"/>
    </row>
    <row r="25" spans="2:13" s="193" customFormat="1">
      <c r="B25" s="206"/>
      <c r="C25" s="195"/>
      <c r="D25" s="206"/>
      <c r="E25" s="206"/>
      <c r="F25" s="195"/>
      <c r="G25" s="195"/>
      <c r="H25" s="195"/>
      <c r="I25" s="195"/>
      <c r="J25" s="195"/>
      <c r="K25" s="195"/>
      <c r="L25" s="195"/>
      <c r="M25" s="196"/>
    </row>
    <row r="26" spans="2:13">
      <c r="B26" s="191"/>
      <c r="C26" s="189"/>
      <c r="D26" s="191"/>
      <c r="E26" s="190"/>
      <c r="F26" s="189"/>
      <c r="G26" s="189"/>
      <c r="H26" s="189"/>
      <c r="I26" s="189"/>
      <c r="J26" s="189"/>
      <c r="K26" s="189"/>
      <c r="L26" s="189"/>
    </row>
    <row r="27" spans="2:13">
      <c r="B27" s="191"/>
      <c r="C27" s="189"/>
      <c r="D27" s="191"/>
      <c r="E27" s="190"/>
      <c r="F27" s="189"/>
      <c r="G27" s="189"/>
      <c r="H27" s="189"/>
      <c r="I27" s="189"/>
      <c r="J27" s="189"/>
      <c r="K27" s="189"/>
      <c r="L27" s="189"/>
    </row>
    <row r="28" spans="2:13">
      <c r="B28" s="191"/>
      <c r="C28" s="189"/>
      <c r="D28" s="191"/>
      <c r="E28" s="190"/>
      <c r="F28" s="189"/>
      <c r="G28" s="189"/>
      <c r="H28" s="189"/>
      <c r="I28" s="189"/>
      <c r="J28" s="189"/>
      <c r="K28" s="189"/>
      <c r="L28" s="189"/>
    </row>
    <row r="29" spans="2:13">
      <c r="B29" s="191"/>
      <c r="C29" s="189"/>
      <c r="D29" s="191"/>
      <c r="E29" s="190"/>
      <c r="F29" s="189"/>
      <c r="G29" s="189"/>
      <c r="H29" s="189"/>
      <c r="I29" s="189"/>
      <c r="J29" s="189"/>
      <c r="K29" s="189"/>
      <c r="L29" s="189"/>
    </row>
    <row r="30" spans="2:13">
      <c r="B30" s="191"/>
      <c r="C30" s="189"/>
      <c r="D30" s="191"/>
      <c r="E30" s="190"/>
      <c r="F30" s="189"/>
      <c r="G30" s="189"/>
      <c r="H30" s="189"/>
      <c r="I30" s="189"/>
      <c r="J30" s="189"/>
      <c r="K30" s="189"/>
      <c r="L30" s="189"/>
    </row>
    <row r="31" spans="2:13">
      <c r="B31" s="189"/>
      <c r="C31" s="189"/>
      <c r="D31" s="189"/>
      <c r="E31" s="189"/>
      <c r="F31" s="189"/>
      <c r="G31" s="189"/>
      <c r="H31" s="189"/>
      <c r="I31" s="189"/>
      <c r="J31" s="189"/>
      <c r="K31" s="189"/>
      <c r="L31" s="189"/>
    </row>
    <row r="32" spans="2:13">
      <c r="B32" s="189"/>
      <c r="C32" s="192"/>
      <c r="D32" s="189"/>
      <c r="E32" s="190"/>
      <c r="F32" s="189"/>
      <c r="G32" s="189"/>
      <c r="H32" s="189"/>
      <c r="I32" s="189"/>
      <c r="J32" s="189"/>
      <c r="K32" s="189"/>
      <c r="L32" s="189"/>
    </row>
    <row r="33" spans="2:12">
      <c r="B33" s="189"/>
      <c r="C33" s="189"/>
      <c r="D33" s="189"/>
      <c r="E33" s="190"/>
      <c r="F33" s="189"/>
      <c r="G33" s="189"/>
      <c r="H33" s="189"/>
      <c r="I33" s="189"/>
      <c r="J33" s="189"/>
      <c r="K33" s="189"/>
      <c r="L33" s="189"/>
    </row>
    <row r="34" spans="2:12">
      <c r="B34" s="189"/>
      <c r="C34" s="189"/>
      <c r="D34" s="189"/>
      <c r="E34" s="189"/>
      <c r="F34" s="189"/>
      <c r="G34" s="189"/>
      <c r="H34" s="189"/>
      <c r="I34" s="189"/>
      <c r="J34" s="189"/>
      <c r="K34" s="189"/>
      <c r="L34" s="189"/>
    </row>
    <row r="35" spans="2:12">
      <c r="B35" s="189"/>
      <c r="C35" s="192"/>
      <c r="D35" s="189"/>
      <c r="E35" s="190"/>
      <c r="F35" s="189"/>
      <c r="G35" s="189"/>
      <c r="H35" s="189"/>
      <c r="I35" s="189"/>
      <c r="J35" s="189"/>
      <c r="K35" s="189"/>
      <c r="L35" s="189"/>
    </row>
  </sheetData>
  <mergeCells count="3">
    <mergeCell ref="E9:I9"/>
    <mergeCell ref="A1:I1"/>
    <mergeCell ref="A2:I2"/>
  </mergeCells>
  <phoneticPr fontId="0" type="noConversion"/>
  <pageMargins left="0.75" right="0.75" top="1" bottom="1" header="0.5" footer="0.5"/>
  <pageSetup orientation="landscape" r:id="rId1"/>
  <headerFooter alignWithMargins="0"/>
  <legacyDrawing r:id="rId2"/>
  <oleObjects>
    <oleObject progId="Word.Picture.8" shapeId="3073" r:id="rId3"/>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INPUT</vt:lpstr>
      <vt:lpstr>OUTPUT</vt:lpstr>
      <vt:lpstr>FACTORS</vt:lpstr>
      <vt:lpstr>REVISIONS</vt:lpstr>
      <vt:lpstr>OUTPUT!Print_Area</vt:lpstr>
      <vt:lpstr>OUTPUT!Print_Titles</vt:lpstr>
    </vt:vector>
  </TitlesOfParts>
  <Company>DAQ</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Fern_Paterson</dc:creator>
  <cp:lastModifiedBy>Alison Davidson</cp:lastModifiedBy>
  <cp:lastPrinted>2006-01-23T22:21:22Z</cp:lastPrinted>
  <dcterms:created xsi:type="dcterms:W3CDTF">2005-07-27T16:34:44Z</dcterms:created>
  <dcterms:modified xsi:type="dcterms:W3CDTF">2011-06-14T14:56:27Z</dcterms:modified>
</cp:coreProperties>
</file>