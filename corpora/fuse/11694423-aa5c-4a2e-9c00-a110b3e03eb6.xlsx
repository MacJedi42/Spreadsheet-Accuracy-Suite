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120" windowWidth="16260" windowHeight="9468"/>
  </bookViews>
  <sheets>
    <sheet name="SchoolType" sheetId="1" r:id="rId1"/>
    <sheet name="Instructions" sheetId="2" state="hidden" r:id="rId2"/>
    <sheet name="SQL" sheetId="3" state="hidden" r:id="rId3"/>
  </sheets>
  <definedNames>
    <definedName name="_xlnm._FilterDatabase" localSheetId="0" hidden="1">SchoolType!$A$2:$M$46</definedName>
  </definedNames>
  <calcPr calcId="145621"/>
</workbook>
</file>

<file path=xl/calcChain.xml><?xml version="1.0" encoding="utf-8"?>
<calcChain xmlns="http://schemas.openxmlformats.org/spreadsheetml/2006/main">
  <c r="B47" i="1" l="1"/>
  <c r="C47" i="1"/>
  <c r="D47" i="1"/>
  <c r="E47" i="1"/>
  <c r="F47" i="1"/>
  <c r="G47" i="1"/>
  <c r="H47" i="1"/>
  <c r="I47" i="1"/>
  <c r="J47" i="1"/>
  <c r="K47" i="1"/>
  <c r="L47" i="1"/>
  <c r="M47" i="1"/>
  <c r="M48" i="1"/>
  <c r="L48" i="1"/>
  <c r="K48" i="1"/>
  <c r="J48" i="1"/>
  <c r="I48" i="1"/>
  <c r="H48" i="1"/>
  <c r="G48" i="1"/>
  <c r="F48" i="1"/>
  <c r="E48" i="1"/>
  <c r="D48" i="1"/>
  <c r="C48" i="1"/>
  <c r="B48" i="1"/>
</calcChain>
</file>

<file path=xl/sharedStrings.xml><?xml version="1.0" encoding="utf-8"?>
<sst xmlns="http://schemas.openxmlformats.org/spreadsheetml/2006/main" count="423" uniqueCount="155">
  <si>
    <t>PREK</t>
  </si>
  <si>
    <t>ELEMENTARY</t>
  </si>
  <si>
    <t>MIDDLE</t>
  </si>
  <si>
    <t>HIGH</t>
  </si>
  <si>
    <t>K12</t>
  </si>
  <si>
    <t>TOTAL REGULAR EDUCATION</t>
  </si>
  <si>
    <t>VIRTUAL</t>
  </si>
  <si>
    <t>TOTAL SPECIAL PURPOSE</t>
  </si>
  <si>
    <t>PUBLIC SCHOOLS</t>
  </si>
  <si>
    <t>(SELECT 1,</t>
  </si>
  <si>
    <t>a.institution_name as 'LOCAL EDUCATION AGENCY',</t>
  </si>
  <si>
    <t>a.PREK,</t>
  </si>
  <si>
    <t>a.ELEMENTARY,</t>
  </si>
  <si>
    <t>a.MIDDLE,</t>
  </si>
  <si>
    <t>a.HIGH,</t>
  </si>
  <si>
    <t>a.K12,</t>
  </si>
  <si>
    <t>a.PREK+a.ELEMENTARY+a.MIDDLE+a.HIGH as 'TOTAL REGULAR EDUCATION',</t>
  </si>
  <si>
    <t>b.SPECIALEDUCATION,</t>
  </si>
  <si>
    <t>b.VOCATIONALEDUCATION,</t>
  </si>
  <si>
    <t>b.ALTERNATEEDUCATION,</t>
  </si>
  <si>
    <t>b.YIC,</t>
  </si>
  <si>
    <t>c.VIRTUAL,</t>
  </si>
  <si>
    <t>b.SPECIALEDUCATION+b.VOCATIONALEDUCATION+b.ALTERNATEEDUCATION+b.YIC as 'TOTAL SPECIAL PURPOSE',</t>
  </si>
  <si>
    <t>PREK+a.ELEMENTARY+a.MIDDLE+a.HIGH+SPECIALEDUCATION+b.VOCATIONALEDUCATION+</t>
  </si>
  <si>
    <t>b.ALTERNATEEDUCATION+b.YIC as 'GRAND TOTAL'</t>
  </si>
  <si>
    <t>FROM</t>
  </si>
  <si>
    <t>(select SUM (case when v.grade_level_summary = 'PREK' then 1 ELSE 0 END) as 'PREK',</t>
  </si>
  <si>
    <t>SUM (case when v.grade_level_summary = 'ELEM' then 1 Else 0 END) as 'ELEMENTARY',</t>
  </si>
  <si>
    <t>SUM (case when v.grade_level_summary = 'MID' then 1 Else 0 END) as 'MIDDLE',</t>
  </si>
  <si>
    <t>SUM (case when v.grade_level_summary = 'HIGH' then 1 Else 0 END) as 'HIGH',</t>
  </si>
  <si>
    <t>sum (case when y.grade_low &lt;= 0 AND y.grade_high = 12 then 1 else 0 END) as 'K12',</t>
  </si>
  <si>
    <t>i.institution_name</t>
  </si>
  <si>
    <t>from v_be_school v</t>
  </si>
  <si>
    <t>join v_be_institution i</t>
  </si>
  <si>
    <t>on v.district_id=i.institution_id</t>
  </si>
  <si>
    <t>left outer join v_be_school_year y</t>
  </si>
  <si>
    <t>on v.school_id=y.school_id</t>
  </si>
  <si>
    <t>AND v.district_id=y.district_id</t>
  </si>
  <si>
    <t>AND v.school_nbr=y.school_nbr</t>
  </si>
  <si>
    <t>AND y.school_year=2013</t>
  </si>
  <si>
    <t>where v.date_opened &lt; '7/1/2013'</t>
  </si>
  <si>
    <t>AND v.date_closed &gt; '6/30/2012'</t>
  </si>
  <si>
    <t>AND v.school_type = 1</t>
  </si>
  <si>
    <t>AND v.private_flag = 0</t>
  </si>
  <si>
    <t>AND v.charter_flag = 0</t>
  </si>
  <si>
    <t>AND v.online_flag = 0</t>
  </si>
  <si>
    <t>AND v.virtual_flag = 0</t>
  </si>
  <si>
    <t>group by i.institution_name)</t>
  </si>
  <si>
    <t>AS a</t>
  </si>
  <si>
    <t>LEFT OUTER JOIN</t>
  </si>
  <si>
    <t>(</t>
  </si>
  <si>
    <t>select i.institution_name</t>
  </si>
  <si>
    <t>,</t>
  </si>
  <si>
    <t>SUM (case when v.school_type = 2 then 1 ELSE 0 END) as 'SPECIALEDUCATION',</t>
  </si>
  <si>
    <t>SUM (case when v.school_type = 3 then 1 Else 0 END) as 'VOCATIONALEDUCATION',</t>
  </si>
  <si>
    <t>SUM (case when v.school_type = 4 then 1 Else 0 END) as 'ALTERNATEEDUCATION',</t>
  </si>
  <si>
    <t>SUM (case when v.school_type = 5 then 1 Else 0 END) as 'YIC'</t>
  </si>
  <si>
    <t>join v_be_school_year y</t>
  </si>
  <si>
    <t>AND v.school_type not in ('0','6','7')</t>
  </si>
  <si>
    <t>AND v.district_id not in ('1296','5522','186050')</t>
  </si>
  <si>
    <t>AS b</t>
  </si>
  <si>
    <t>ON a.institution_name=b.institution_name</t>
  </si>
  <si>
    <t>(select i.institution_name,</t>
  </si>
  <si>
    <t>SUM (case when v.virtual_flag = 1 OR v.online_flag=1 then 1 ELSE 0 END) as 'VIRTUAL'</t>
  </si>
  <si>
    <t>AND v.district_id not in ('1296','5522','186050','186166')</t>
  </si>
  <si>
    <t>as c</t>
  </si>
  <si>
    <t>on b.institution_name = c.institution_name</t>
  </si>
  <si>
    <t>union</t>
  </si>
  <si>
    <t>SELECT 2,</t>
  </si>
  <si>
    <t>b.institution_name as 'LOCAL EDUCATION AGENCY',</t>
  </si>
  <si>
    <t>SPECIALEDUCATION+b.VOCATIONALEDUCATION+</t>
  </si>
  <si>
    <t>AND v.district_id = 1296</t>
  </si>
  <si>
    <t>RIGHT OUTER JOIN</t>
  </si>
  <si>
    <t>SELECT 3,</t>
  </si>
  <si>
    <t>AND v.district_id = 186166</t>
  </si>
  <si>
    <t>on b.institution_name = c.institution_name)</t>
  </si>
  <si>
    <t>order by 1</t>
  </si>
  <si>
    <t>CHARTER SCHOOLS</t>
  </si>
  <si>
    <t>SELECT a.charter_flag as 'CHARTER',</t>
  </si>
  <si>
    <t>v.charter_flag</t>
  </si>
  <si>
    <t>AND v.charter_flag = 1</t>
  </si>
  <si>
    <t>group by v.charter_flag)</t>
  </si>
  <si>
    <t xml:space="preserve">select </t>
  </si>
  <si>
    <t>SUM (case when v.school_type = 5 then 1 Else 0 END) as 'YIC',</t>
  </si>
  <si>
    <t>AND y.school_year=2012</t>
  </si>
  <si>
    <t>where v.date_opened &lt; '7/1/2012'</t>
  </si>
  <si>
    <t>AND v.date_closed &gt; '6/30/2011'</t>
  </si>
  <si>
    <t>on a.charter_flag=b.charter_flag</t>
  </si>
  <si>
    <t>(select SUM (case when v.virtual_flag = 1 OR v.online_flag=1 then 1 ELSE 0 END) as 'VIRTUAL',</t>
  </si>
  <si>
    <t>on b.charter_flag=c.charter_flag</t>
  </si>
  <si>
    <t>1. Run SQL</t>
  </si>
  <si>
    <t>2. Add charter sql to regular sql</t>
  </si>
  <si>
    <t>3. Subtract k-12 schools out of the elementary, middle, and high counts</t>
  </si>
  <si>
    <t>4. Create district and grand totals</t>
  </si>
  <si>
    <t>5. Format</t>
  </si>
  <si>
    <t>TO REMOVE K-12</t>
  </si>
  <si>
    <t>select case when v.grade_level_summary = 'PREK' then 1 ELSE 0 END as 'PREK',</t>
  </si>
  <si>
    <t>case when v.grade_level_summary = 'ELEM' then 1 Else 0 END as 'ELEMENTARY',</t>
  </si>
  <si>
    <t>case when v.grade_level_summary = 'MID' then 1 Else 0 END as 'MIDDLE',</t>
  </si>
  <si>
    <t>case when v.grade_level_summary = 'HIGH' then 1 Else 0 END as 'HIGH',</t>
  </si>
  <si>
    <t>case when y.grade_low &lt;= 0 AND y.grade_high = 12 then 1 else 0 END as 'K12',</t>
  </si>
  <si>
    <t xml:space="preserve">                                             Regular Education</t>
  </si>
  <si>
    <t xml:space="preserve">                                                               Special Purpose</t>
  </si>
  <si>
    <t>District</t>
  </si>
  <si>
    <t>VOCATIONAL EDUCATION</t>
  </si>
  <si>
    <r>
      <t>GRAND TOTAL</t>
    </r>
    <r>
      <rPr>
        <vertAlign val="superscript"/>
        <sz val="10"/>
        <color theme="1"/>
        <rFont val="Calibri"/>
        <family val="2"/>
        <scheme val="minor"/>
      </rPr>
      <t>1</t>
    </r>
  </si>
  <si>
    <r>
      <t>GRAND TOTALS</t>
    </r>
    <r>
      <rPr>
        <b/>
        <vertAlign val="superscript"/>
        <sz val="10"/>
        <color theme="1"/>
        <rFont val="Calibri"/>
        <family val="2"/>
        <scheme val="minor"/>
      </rPr>
      <t>2</t>
    </r>
  </si>
  <si>
    <t>SPECIAL EDUCATION</t>
  </si>
  <si>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</si>
  <si>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</si>
  <si>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</si>
  <si>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</si>
  <si>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</si>
  <si>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</si>
  <si>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</si>
  <si>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</si>
  <si>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</si>
  <si>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</si>
  <si>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</si>
  <si>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</si>
  <si>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</si>
  <si>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</si>
  <si>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</si>
  <si>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</si>
  <si>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</si>
  <si>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Logan City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</si>
  <si>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</si>
  <si>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</si>
  <si>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</si>
  <si>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</si>
  <si>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</si>
  <si>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</si>
  <si>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Ogden City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</si>
  <si>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</si>
  <si>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</si>
  <si>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</si>
  <si>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</si>
  <si>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</si>
  <si>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</si>
  <si>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</si>
  <si>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</si>
  <si>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</si>
  <si>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</si>
  <si>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</si>
  <si>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</si>
  <si>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</si>
  <si>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</si>
  <si>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</si>
  <si>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</si>
  <si>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Utah Schools For Deaf &amp; Blind</t>
  </si>
  <si>
    <t>Utah Electronic High School</t>
  </si>
  <si>
    <t>Charter</t>
  </si>
  <si>
    <r>
      <t>ALTERNATIVE EDUCATION</t>
    </r>
    <r>
      <rPr>
        <vertAlign val="superscript"/>
        <sz val="10"/>
        <color theme="1"/>
        <rFont val="Calibri"/>
        <family val="2"/>
        <scheme val="minor"/>
      </rPr>
      <t>3</t>
    </r>
  </si>
  <si>
    <r>
      <t xml:space="preserve"> </t>
    </r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In order to provide a distinct count, virtual schools were excluded in total counts.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</si>
  <si>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Specialized Programs were combined with accredited schools at the end of the 2011-2012 school year, thereby decreasing some overall school counts.
</t>
    </r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YIC schools are no longer counted under their own cateogry. They are included with Alternative Education schools.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</si>
</sst>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6" fillId="0" borderId="10" xfId="0" applyFont="1" applyBorder="1"/>
    <xf numFmtId="0" fontId="19" fillId="0" borderId="10" xfId="0" applyFont="1" applyBorder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0"/>
  <sheetViews>
    <sheetView tabSelected="1" view="pageLayout" zoomScaleNormal="100" workbookViewId="0">
      <selection activeCell="H50" sqref="H50"/>
    </sheetView>
  </sheetViews>
  <sheetFormatPr defaultRowHeight="14.4" x14ac:dyDescent="0.3"/>
  <cols>
    <col min="1" max="1" width="37.44140625" customWidth="1"/>
    <col min="2" max="2" width="7.44140625" customWidth="1"/>
    <col min="3" max="3" width="11.5546875" customWidth="1"/>
    <col min="4" max="6" width="7.44140625" customWidth="1"/>
    <col min="7" max="10" width="11.5546875" customWidth="1"/>
    <col min="11" max="11" width="7.5546875" customWidth="1"/>
    <col min="12" max="13" width="11.5546875" customWidth="1"/>
  </cols>
  <sheetData>
    <row r="1" spans="1:13" s="1" customFormat="1" x14ac:dyDescent="0.3">
      <c r="A1" s="3"/>
      <c r="B1" s="3" t="s">
        <v>101</v>
      </c>
      <c r="C1" s="4"/>
      <c r="D1" s="4"/>
      <c r="E1" s="4"/>
      <c r="F1" s="4"/>
      <c r="G1" s="5"/>
      <c r="H1" s="3" t="s">
        <v>102</v>
      </c>
      <c r="I1" s="4"/>
      <c r="J1" s="4"/>
      <c r="K1" s="4"/>
      <c r="L1" s="5"/>
      <c r="M1" s="5"/>
    </row>
    <row r="2" spans="1:13" ht="42" customHeight="1" x14ac:dyDescent="0.3">
      <c r="A2" s="17" t="s">
        <v>103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107</v>
      </c>
      <c r="I2" s="2" t="s">
        <v>104</v>
      </c>
      <c r="J2" s="2" t="s">
        <v>152</v>
      </c>
      <c r="K2" s="2" t="s">
        <v>6</v>
      </c>
      <c r="L2" s="2" t="s">
        <v>7</v>
      </c>
      <c r="M2" s="2" t="s">
        <v>105</v>
      </c>
    </row>
    <row r="3" spans="1:13" x14ac:dyDescent="0.3">
      <c r="A3" s="6" t="s">
        <v>108</v>
      </c>
      <c r="B3" s="12">
        <v>0</v>
      </c>
      <c r="C3" s="12">
        <v>54</v>
      </c>
      <c r="D3" s="12">
        <v>11</v>
      </c>
      <c r="E3" s="12">
        <v>8</v>
      </c>
      <c r="F3" s="12">
        <v>0</v>
      </c>
      <c r="G3" s="7">
        <v>73</v>
      </c>
      <c r="H3" s="12">
        <v>3</v>
      </c>
      <c r="I3" s="12">
        <v>9</v>
      </c>
      <c r="J3" s="12">
        <v>2</v>
      </c>
      <c r="K3" s="12">
        <v>2</v>
      </c>
      <c r="L3" s="7">
        <v>14</v>
      </c>
      <c r="M3" s="7">
        <v>87</v>
      </c>
    </row>
    <row r="4" spans="1:13" x14ac:dyDescent="0.3">
      <c r="A4" s="8" t="s">
        <v>109</v>
      </c>
      <c r="B4" s="13">
        <v>0</v>
      </c>
      <c r="C4" s="13">
        <v>3</v>
      </c>
      <c r="D4" s="13">
        <v>1</v>
      </c>
      <c r="E4" s="13">
        <v>2</v>
      </c>
      <c r="F4" s="13">
        <v>0</v>
      </c>
      <c r="G4" s="9">
        <v>6</v>
      </c>
      <c r="H4" s="13">
        <v>1</v>
      </c>
      <c r="I4" s="13">
        <v>1</v>
      </c>
      <c r="J4" s="13">
        <v>0</v>
      </c>
      <c r="K4" s="13">
        <v>0</v>
      </c>
      <c r="L4" s="9">
        <v>2</v>
      </c>
      <c r="M4" s="9">
        <v>8</v>
      </c>
    </row>
    <row r="5" spans="1:13" x14ac:dyDescent="0.3">
      <c r="A5" s="8" t="s">
        <v>110</v>
      </c>
      <c r="B5" s="13">
        <v>1</v>
      </c>
      <c r="C5" s="13">
        <v>15</v>
      </c>
      <c r="D5" s="13">
        <v>6</v>
      </c>
      <c r="E5" s="13">
        <v>3</v>
      </c>
      <c r="F5" s="13">
        <v>0</v>
      </c>
      <c r="G5" s="9">
        <v>25</v>
      </c>
      <c r="H5" s="13">
        <v>0</v>
      </c>
      <c r="I5" s="13">
        <v>3</v>
      </c>
      <c r="J5" s="13">
        <v>1</v>
      </c>
      <c r="K5" s="13">
        <v>0</v>
      </c>
      <c r="L5" s="9">
        <v>4</v>
      </c>
      <c r="M5" s="9">
        <v>29</v>
      </c>
    </row>
    <row r="6" spans="1:13" x14ac:dyDescent="0.3">
      <c r="A6" s="8" t="s">
        <v>111</v>
      </c>
      <c r="B6" s="13">
        <v>0</v>
      </c>
      <c r="C6" s="13">
        <v>16</v>
      </c>
      <c r="D6" s="13">
        <v>6</v>
      </c>
      <c r="E6" s="13">
        <v>2</v>
      </c>
      <c r="F6" s="13">
        <v>0</v>
      </c>
      <c r="G6" s="9">
        <v>24</v>
      </c>
      <c r="H6" s="13">
        <v>2</v>
      </c>
      <c r="I6" s="13">
        <v>3</v>
      </c>
      <c r="J6" s="13">
        <v>1</v>
      </c>
      <c r="K6" s="13">
        <v>0</v>
      </c>
      <c r="L6" s="9">
        <v>6</v>
      </c>
      <c r="M6" s="9">
        <v>30</v>
      </c>
    </row>
    <row r="7" spans="1:13" x14ac:dyDescent="0.3">
      <c r="A7" s="10" t="s">
        <v>112</v>
      </c>
      <c r="B7" s="14">
        <v>0</v>
      </c>
      <c r="C7" s="14">
        <v>30</v>
      </c>
      <c r="D7" s="14">
        <v>8</v>
      </c>
      <c r="E7" s="14">
        <v>5</v>
      </c>
      <c r="F7" s="14">
        <v>0</v>
      </c>
      <c r="G7" s="11">
        <v>43</v>
      </c>
      <c r="H7" s="14">
        <v>5</v>
      </c>
      <c r="I7" s="14">
        <v>1</v>
      </c>
      <c r="J7" s="14">
        <v>0</v>
      </c>
      <c r="K7" s="14">
        <v>0</v>
      </c>
      <c r="L7" s="11">
        <v>6</v>
      </c>
      <c r="M7" s="11">
        <v>49</v>
      </c>
    </row>
    <row r="8" spans="1:13" x14ac:dyDescent="0.3">
      <c r="A8" s="6" t="s">
        <v>113</v>
      </c>
      <c r="B8" s="12">
        <v>0</v>
      </c>
      <c r="C8" s="12">
        <v>5</v>
      </c>
      <c r="D8" s="12">
        <v>2</v>
      </c>
      <c r="E8" s="12">
        <v>1</v>
      </c>
      <c r="F8" s="12">
        <v>0</v>
      </c>
      <c r="G8" s="7">
        <v>8</v>
      </c>
      <c r="H8" s="12">
        <v>1</v>
      </c>
      <c r="I8" s="12">
        <v>1</v>
      </c>
      <c r="J8" s="12">
        <v>1</v>
      </c>
      <c r="K8" s="12">
        <v>0</v>
      </c>
      <c r="L8" s="7">
        <v>3</v>
      </c>
      <c r="M8" s="7">
        <v>11</v>
      </c>
    </row>
    <row r="9" spans="1:13" x14ac:dyDescent="0.3">
      <c r="A9" s="8" t="s">
        <v>114</v>
      </c>
      <c r="B9" s="13">
        <v>0</v>
      </c>
      <c r="C9" s="13">
        <v>2</v>
      </c>
      <c r="D9" s="13">
        <v>0</v>
      </c>
      <c r="E9" s="13">
        <v>1</v>
      </c>
      <c r="F9" s="13">
        <v>0</v>
      </c>
      <c r="G9" s="9">
        <v>3</v>
      </c>
      <c r="H9" s="13">
        <v>1</v>
      </c>
      <c r="I9" s="13">
        <v>1</v>
      </c>
      <c r="J9" s="13">
        <v>0</v>
      </c>
      <c r="K9" s="13">
        <v>0</v>
      </c>
      <c r="L9" s="9">
        <v>2</v>
      </c>
      <c r="M9" s="9">
        <v>5</v>
      </c>
    </row>
    <row r="10" spans="1:13" x14ac:dyDescent="0.3">
      <c r="A10" s="8" t="s">
        <v>115</v>
      </c>
      <c r="B10" s="13">
        <v>0</v>
      </c>
      <c r="C10" s="13">
        <v>59</v>
      </c>
      <c r="D10" s="13">
        <v>15</v>
      </c>
      <c r="E10" s="13">
        <v>9</v>
      </c>
      <c r="F10" s="13">
        <v>0</v>
      </c>
      <c r="G10" s="9">
        <v>83</v>
      </c>
      <c r="H10" s="13">
        <v>2</v>
      </c>
      <c r="I10" s="13">
        <v>2</v>
      </c>
      <c r="J10" s="13">
        <v>3</v>
      </c>
      <c r="K10" s="13">
        <v>1</v>
      </c>
      <c r="L10" s="9">
        <v>7</v>
      </c>
      <c r="M10" s="9">
        <v>90</v>
      </c>
    </row>
    <row r="11" spans="1:13" x14ac:dyDescent="0.3">
      <c r="A11" s="8" t="s">
        <v>116</v>
      </c>
      <c r="B11" s="13">
        <v>0</v>
      </c>
      <c r="C11" s="13">
        <v>7</v>
      </c>
      <c r="D11" s="13">
        <v>1</v>
      </c>
      <c r="E11" s="13">
        <v>4</v>
      </c>
      <c r="F11" s="13">
        <v>0</v>
      </c>
      <c r="G11" s="9">
        <v>12</v>
      </c>
      <c r="H11" s="13">
        <v>2</v>
      </c>
      <c r="I11" s="13">
        <v>1</v>
      </c>
      <c r="J11" s="13">
        <v>0</v>
      </c>
      <c r="K11" s="13">
        <v>0</v>
      </c>
      <c r="L11" s="9">
        <v>3</v>
      </c>
      <c r="M11" s="9">
        <v>15</v>
      </c>
    </row>
    <row r="12" spans="1:13" x14ac:dyDescent="0.3">
      <c r="A12" s="10" t="s">
        <v>117</v>
      </c>
      <c r="B12" s="14">
        <v>0</v>
      </c>
      <c r="C12" s="14">
        <v>6</v>
      </c>
      <c r="D12" s="14">
        <v>2</v>
      </c>
      <c r="E12" s="14">
        <v>2</v>
      </c>
      <c r="F12" s="14">
        <v>0</v>
      </c>
      <c r="G12" s="11">
        <v>10</v>
      </c>
      <c r="H12" s="14">
        <v>0</v>
      </c>
      <c r="I12" s="14">
        <v>1</v>
      </c>
      <c r="J12" s="14">
        <v>0</v>
      </c>
      <c r="K12" s="14">
        <v>0</v>
      </c>
      <c r="L12" s="11">
        <v>1</v>
      </c>
      <c r="M12" s="11">
        <v>11</v>
      </c>
    </row>
    <row r="13" spans="1:13" x14ac:dyDescent="0.3">
      <c r="A13" s="6" t="s">
        <v>118</v>
      </c>
      <c r="B13" s="12">
        <v>0</v>
      </c>
      <c r="C13" s="12">
        <v>5</v>
      </c>
      <c r="D13" s="12">
        <v>1</v>
      </c>
      <c r="E13" s="12">
        <v>3</v>
      </c>
      <c r="F13" s="12">
        <v>0</v>
      </c>
      <c r="G13" s="7">
        <v>9</v>
      </c>
      <c r="H13" s="12">
        <v>0</v>
      </c>
      <c r="I13" s="12">
        <v>1</v>
      </c>
      <c r="J13" s="12">
        <v>0</v>
      </c>
      <c r="K13" s="12">
        <v>0</v>
      </c>
      <c r="L13" s="7">
        <v>1</v>
      </c>
      <c r="M13" s="7">
        <v>10</v>
      </c>
    </row>
    <row r="14" spans="1:13" x14ac:dyDescent="0.3">
      <c r="A14" s="8" t="s">
        <v>119</v>
      </c>
      <c r="B14" s="13">
        <v>0</v>
      </c>
      <c r="C14" s="13">
        <v>1</v>
      </c>
      <c r="D14" s="13">
        <v>1</v>
      </c>
      <c r="E14" s="13">
        <v>1</v>
      </c>
      <c r="F14" s="13">
        <v>0</v>
      </c>
      <c r="G14" s="9">
        <v>3</v>
      </c>
      <c r="H14" s="13">
        <v>1</v>
      </c>
      <c r="I14" s="13">
        <v>1</v>
      </c>
      <c r="J14" s="13">
        <v>0</v>
      </c>
      <c r="K14" s="13">
        <v>0</v>
      </c>
      <c r="L14" s="9">
        <v>2</v>
      </c>
      <c r="M14" s="9">
        <v>5</v>
      </c>
    </row>
    <row r="15" spans="1:13" x14ac:dyDescent="0.3">
      <c r="A15" s="8" t="s">
        <v>120</v>
      </c>
      <c r="B15" s="13">
        <v>0</v>
      </c>
      <c r="C15" s="13">
        <v>63</v>
      </c>
      <c r="D15" s="13">
        <v>16</v>
      </c>
      <c r="E15" s="13">
        <v>8</v>
      </c>
      <c r="F15" s="13">
        <v>0</v>
      </c>
      <c r="G15" s="9">
        <v>87</v>
      </c>
      <c r="H15" s="13">
        <v>2</v>
      </c>
      <c r="I15" s="13">
        <v>2</v>
      </c>
      <c r="J15" s="13">
        <v>2</v>
      </c>
      <c r="K15" s="13">
        <v>0</v>
      </c>
      <c r="L15" s="9">
        <v>6</v>
      </c>
      <c r="M15" s="9">
        <v>93</v>
      </c>
    </row>
    <row r="16" spans="1:13" x14ac:dyDescent="0.3">
      <c r="A16" s="8" t="s">
        <v>121</v>
      </c>
      <c r="B16" s="13">
        <v>0</v>
      </c>
      <c r="C16" s="13">
        <v>9</v>
      </c>
      <c r="D16" s="13">
        <v>2</v>
      </c>
      <c r="E16" s="13">
        <v>3</v>
      </c>
      <c r="F16" s="13">
        <v>0</v>
      </c>
      <c r="G16" s="9">
        <v>14</v>
      </c>
      <c r="H16" s="13">
        <v>2</v>
      </c>
      <c r="I16" s="13">
        <v>1</v>
      </c>
      <c r="J16" s="13">
        <v>1</v>
      </c>
      <c r="K16" s="13">
        <v>0</v>
      </c>
      <c r="L16" s="9">
        <v>4</v>
      </c>
      <c r="M16" s="9">
        <v>18</v>
      </c>
    </row>
    <row r="17" spans="1:13" x14ac:dyDescent="0.3">
      <c r="A17" s="10" t="s">
        <v>122</v>
      </c>
      <c r="B17" s="14">
        <v>0</v>
      </c>
      <c r="C17" s="14">
        <v>33</v>
      </c>
      <c r="D17" s="14">
        <v>9</v>
      </c>
      <c r="E17" s="14">
        <v>5</v>
      </c>
      <c r="F17" s="14">
        <v>0</v>
      </c>
      <c r="G17" s="11">
        <v>47</v>
      </c>
      <c r="H17" s="14">
        <v>4</v>
      </c>
      <c r="I17" s="14">
        <v>3</v>
      </c>
      <c r="J17" s="14">
        <v>2</v>
      </c>
      <c r="K17" s="14">
        <v>0</v>
      </c>
      <c r="L17" s="11">
        <v>9</v>
      </c>
      <c r="M17" s="11">
        <v>56</v>
      </c>
    </row>
    <row r="18" spans="1:13" x14ac:dyDescent="0.3">
      <c r="A18" s="6" t="s">
        <v>123</v>
      </c>
      <c r="B18" s="12">
        <v>0</v>
      </c>
      <c r="C18" s="12">
        <v>3</v>
      </c>
      <c r="D18" s="12">
        <v>1</v>
      </c>
      <c r="E18" s="12">
        <v>1</v>
      </c>
      <c r="F18" s="12">
        <v>0</v>
      </c>
      <c r="G18" s="7">
        <v>5</v>
      </c>
      <c r="H18" s="12">
        <v>0</v>
      </c>
      <c r="I18" s="12">
        <v>1</v>
      </c>
      <c r="J18" s="12">
        <v>0</v>
      </c>
      <c r="K18" s="12">
        <v>0</v>
      </c>
      <c r="L18" s="7">
        <v>1</v>
      </c>
      <c r="M18" s="7">
        <v>6</v>
      </c>
    </row>
    <row r="19" spans="1:13" x14ac:dyDescent="0.3">
      <c r="A19" s="8" t="s">
        <v>124</v>
      </c>
      <c r="B19" s="13">
        <v>0</v>
      </c>
      <c r="C19" s="13">
        <v>4</v>
      </c>
      <c r="D19" s="13">
        <v>1</v>
      </c>
      <c r="E19" s="13">
        <v>4</v>
      </c>
      <c r="F19" s="13">
        <v>0</v>
      </c>
      <c r="G19" s="9">
        <v>9</v>
      </c>
      <c r="H19" s="13">
        <v>1</v>
      </c>
      <c r="I19" s="13">
        <v>1</v>
      </c>
      <c r="J19" s="13">
        <v>0</v>
      </c>
      <c r="K19" s="13">
        <v>0</v>
      </c>
      <c r="L19" s="9">
        <v>2</v>
      </c>
      <c r="M19" s="9">
        <v>11</v>
      </c>
    </row>
    <row r="20" spans="1:13" x14ac:dyDescent="0.3">
      <c r="A20" s="8" t="s">
        <v>125</v>
      </c>
      <c r="B20" s="13">
        <v>0</v>
      </c>
      <c r="C20" s="13">
        <v>6</v>
      </c>
      <c r="D20" s="13">
        <v>1</v>
      </c>
      <c r="E20" s="13">
        <v>1</v>
      </c>
      <c r="F20" s="13">
        <v>0</v>
      </c>
      <c r="G20" s="9">
        <v>8</v>
      </c>
      <c r="H20" s="13">
        <v>1</v>
      </c>
      <c r="I20" s="13">
        <v>2</v>
      </c>
      <c r="J20" s="13">
        <v>0</v>
      </c>
      <c r="K20" s="13">
        <v>0</v>
      </c>
      <c r="L20" s="9">
        <v>3</v>
      </c>
      <c r="M20" s="9">
        <v>11</v>
      </c>
    </row>
    <row r="21" spans="1:13" x14ac:dyDescent="0.3">
      <c r="A21" s="8" t="s">
        <v>126</v>
      </c>
      <c r="B21" s="13">
        <v>0</v>
      </c>
      <c r="C21" s="13">
        <v>5</v>
      </c>
      <c r="D21" s="13">
        <v>2</v>
      </c>
      <c r="E21" s="13">
        <v>3</v>
      </c>
      <c r="F21" s="13">
        <v>0</v>
      </c>
      <c r="G21" s="9">
        <v>10</v>
      </c>
      <c r="H21" s="13">
        <v>0</v>
      </c>
      <c r="I21" s="13">
        <v>0</v>
      </c>
      <c r="J21" s="13">
        <v>0</v>
      </c>
      <c r="K21" s="13">
        <v>0</v>
      </c>
      <c r="L21" s="9">
        <v>0</v>
      </c>
      <c r="M21" s="9">
        <v>10</v>
      </c>
    </row>
    <row r="22" spans="1:13" x14ac:dyDescent="0.3">
      <c r="A22" s="10" t="s">
        <v>127</v>
      </c>
      <c r="B22" s="14">
        <v>0</v>
      </c>
      <c r="C22" s="14">
        <v>2</v>
      </c>
      <c r="D22" s="14">
        <v>1</v>
      </c>
      <c r="E22" s="14">
        <v>1</v>
      </c>
      <c r="F22" s="14">
        <v>0</v>
      </c>
      <c r="G22" s="11">
        <v>4</v>
      </c>
      <c r="H22" s="14">
        <v>1</v>
      </c>
      <c r="I22" s="14">
        <v>1</v>
      </c>
      <c r="J22" s="14">
        <v>0</v>
      </c>
      <c r="K22" s="14">
        <v>0</v>
      </c>
      <c r="L22" s="11">
        <v>2</v>
      </c>
      <c r="M22" s="11">
        <v>6</v>
      </c>
    </row>
    <row r="23" spans="1:13" x14ac:dyDescent="0.3">
      <c r="A23" s="6" t="s">
        <v>128</v>
      </c>
      <c r="B23" s="12">
        <v>0</v>
      </c>
      <c r="C23" s="12">
        <v>7</v>
      </c>
      <c r="D23" s="12">
        <v>2</v>
      </c>
      <c r="E23" s="12">
        <v>1</v>
      </c>
      <c r="F23" s="12">
        <v>0</v>
      </c>
      <c r="G23" s="7">
        <v>10</v>
      </c>
      <c r="H23" s="12">
        <v>2</v>
      </c>
      <c r="I23" s="12">
        <v>2</v>
      </c>
      <c r="J23" s="12">
        <v>0</v>
      </c>
      <c r="K23" s="12">
        <v>0</v>
      </c>
      <c r="L23" s="7">
        <v>4</v>
      </c>
      <c r="M23" s="7">
        <v>14</v>
      </c>
    </row>
    <row r="24" spans="1:13" x14ac:dyDescent="0.3">
      <c r="A24" s="8" t="s">
        <v>129</v>
      </c>
      <c r="B24" s="13">
        <v>0</v>
      </c>
      <c r="C24" s="13">
        <v>26</v>
      </c>
      <c r="D24" s="13">
        <v>7</v>
      </c>
      <c r="E24" s="13">
        <v>5</v>
      </c>
      <c r="F24" s="13">
        <v>1</v>
      </c>
      <c r="G24" s="9">
        <v>39</v>
      </c>
      <c r="H24" s="13">
        <v>2</v>
      </c>
      <c r="I24" s="13">
        <v>2</v>
      </c>
      <c r="J24" s="13">
        <v>1</v>
      </c>
      <c r="K24" s="13">
        <v>0</v>
      </c>
      <c r="L24" s="9">
        <v>5</v>
      </c>
      <c r="M24" s="9">
        <v>44</v>
      </c>
    </row>
    <row r="25" spans="1:13" x14ac:dyDescent="0.3">
      <c r="A25" s="8" t="s">
        <v>130</v>
      </c>
      <c r="B25" s="13">
        <v>0</v>
      </c>
      <c r="C25" s="13">
        <v>5</v>
      </c>
      <c r="D25" s="13">
        <v>1</v>
      </c>
      <c r="E25" s="13">
        <v>1</v>
      </c>
      <c r="F25" s="13">
        <v>0</v>
      </c>
      <c r="G25" s="9">
        <v>7</v>
      </c>
      <c r="H25" s="13">
        <v>0</v>
      </c>
      <c r="I25" s="13">
        <v>2</v>
      </c>
      <c r="J25" s="13">
        <v>1</v>
      </c>
      <c r="K25" s="13">
        <v>0</v>
      </c>
      <c r="L25" s="9">
        <v>3</v>
      </c>
      <c r="M25" s="9">
        <v>10</v>
      </c>
    </row>
    <row r="26" spans="1:13" x14ac:dyDescent="0.3">
      <c r="A26" s="8" t="s">
        <v>131</v>
      </c>
      <c r="B26" s="13">
        <v>0</v>
      </c>
      <c r="C26" s="13">
        <v>1</v>
      </c>
      <c r="D26" s="13">
        <v>1</v>
      </c>
      <c r="E26" s="13">
        <v>1</v>
      </c>
      <c r="F26" s="13">
        <v>0</v>
      </c>
      <c r="G26" s="9">
        <v>3</v>
      </c>
      <c r="H26" s="13">
        <v>1</v>
      </c>
      <c r="I26" s="13">
        <v>2</v>
      </c>
      <c r="J26" s="13">
        <v>0</v>
      </c>
      <c r="K26" s="13">
        <v>0</v>
      </c>
      <c r="L26" s="9">
        <v>3</v>
      </c>
      <c r="M26" s="9">
        <v>6</v>
      </c>
    </row>
    <row r="27" spans="1:13" x14ac:dyDescent="0.3">
      <c r="A27" s="10" t="s">
        <v>132</v>
      </c>
      <c r="B27" s="14">
        <v>0</v>
      </c>
      <c r="C27" s="14">
        <v>14</v>
      </c>
      <c r="D27" s="14">
        <v>3</v>
      </c>
      <c r="E27" s="14">
        <v>3</v>
      </c>
      <c r="F27" s="14">
        <v>0</v>
      </c>
      <c r="G27" s="11">
        <v>20</v>
      </c>
      <c r="H27" s="14">
        <v>3</v>
      </c>
      <c r="I27" s="14">
        <v>2</v>
      </c>
      <c r="J27" s="14">
        <v>0</v>
      </c>
      <c r="K27" s="14">
        <v>0</v>
      </c>
      <c r="L27" s="11">
        <v>5</v>
      </c>
      <c r="M27" s="11">
        <v>25</v>
      </c>
    </row>
    <row r="28" spans="1:13" x14ac:dyDescent="0.3">
      <c r="A28" s="6" t="s">
        <v>133</v>
      </c>
      <c r="B28" s="12">
        <v>0</v>
      </c>
      <c r="C28" s="12">
        <v>4</v>
      </c>
      <c r="D28" s="12">
        <v>2</v>
      </c>
      <c r="E28" s="12">
        <v>1</v>
      </c>
      <c r="F28" s="12">
        <v>0</v>
      </c>
      <c r="G28" s="7">
        <v>7</v>
      </c>
      <c r="H28" s="12">
        <v>5</v>
      </c>
      <c r="I28" s="12">
        <v>1</v>
      </c>
      <c r="J28" s="12">
        <v>0</v>
      </c>
      <c r="K28" s="12">
        <v>0</v>
      </c>
      <c r="L28" s="7">
        <v>6</v>
      </c>
      <c r="M28" s="7">
        <v>13</v>
      </c>
    </row>
    <row r="29" spans="1:13" x14ac:dyDescent="0.3">
      <c r="A29" s="8" t="s">
        <v>134</v>
      </c>
      <c r="B29" s="13">
        <v>0</v>
      </c>
      <c r="C29" s="13">
        <v>2</v>
      </c>
      <c r="D29" s="13">
        <v>0</v>
      </c>
      <c r="E29" s="13">
        <v>1</v>
      </c>
      <c r="F29" s="13">
        <v>0</v>
      </c>
      <c r="G29" s="9">
        <v>3</v>
      </c>
      <c r="H29" s="13">
        <v>2</v>
      </c>
      <c r="I29" s="13">
        <v>1</v>
      </c>
      <c r="J29" s="13">
        <v>0</v>
      </c>
      <c r="K29" s="13">
        <v>0</v>
      </c>
      <c r="L29" s="9">
        <v>3</v>
      </c>
      <c r="M29" s="9">
        <v>6</v>
      </c>
    </row>
    <row r="30" spans="1:13" x14ac:dyDescent="0.3">
      <c r="A30" s="8" t="s">
        <v>135</v>
      </c>
      <c r="B30" s="13">
        <v>0</v>
      </c>
      <c r="C30" s="13">
        <v>13</v>
      </c>
      <c r="D30" s="13">
        <v>2</v>
      </c>
      <c r="E30" s="13">
        <v>2</v>
      </c>
      <c r="F30" s="13">
        <v>0</v>
      </c>
      <c r="G30" s="9">
        <v>17</v>
      </c>
      <c r="H30" s="13">
        <v>4</v>
      </c>
      <c r="I30" s="13">
        <v>1</v>
      </c>
      <c r="J30" s="13">
        <v>2</v>
      </c>
      <c r="K30" s="13">
        <v>1</v>
      </c>
      <c r="L30" s="9">
        <v>7</v>
      </c>
      <c r="M30" s="9">
        <v>24</v>
      </c>
    </row>
    <row r="31" spans="1:13" x14ac:dyDescent="0.3">
      <c r="A31" s="8" t="s">
        <v>136</v>
      </c>
      <c r="B31" s="13">
        <v>0</v>
      </c>
      <c r="C31" s="13">
        <v>2</v>
      </c>
      <c r="D31" s="13">
        <v>1</v>
      </c>
      <c r="E31" s="13">
        <v>1</v>
      </c>
      <c r="F31" s="13">
        <v>0</v>
      </c>
      <c r="G31" s="9">
        <v>4</v>
      </c>
      <c r="H31" s="13">
        <v>1</v>
      </c>
      <c r="I31" s="13">
        <v>2</v>
      </c>
      <c r="J31" s="13">
        <v>0</v>
      </c>
      <c r="K31" s="13">
        <v>0</v>
      </c>
      <c r="L31" s="9">
        <v>3</v>
      </c>
      <c r="M31" s="9">
        <v>7</v>
      </c>
    </row>
    <row r="32" spans="1:13" x14ac:dyDescent="0.3">
      <c r="A32" s="10" t="s">
        <v>137</v>
      </c>
      <c r="B32" s="14">
        <v>1</v>
      </c>
      <c r="C32" s="14">
        <v>28</v>
      </c>
      <c r="D32" s="14">
        <v>5</v>
      </c>
      <c r="E32" s="14">
        <v>4</v>
      </c>
      <c r="F32" s="14">
        <v>0</v>
      </c>
      <c r="G32" s="11">
        <v>38</v>
      </c>
      <c r="H32" s="14">
        <v>2</v>
      </c>
      <c r="I32" s="14">
        <v>2</v>
      </c>
      <c r="J32" s="14">
        <v>1</v>
      </c>
      <c r="K32" s="14">
        <v>1</v>
      </c>
      <c r="L32" s="11">
        <v>5</v>
      </c>
      <c r="M32" s="11">
        <v>43</v>
      </c>
    </row>
    <row r="33" spans="1:13" x14ac:dyDescent="0.3">
      <c r="A33" s="6" t="s">
        <v>138</v>
      </c>
      <c r="B33" s="12">
        <v>0</v>
      </c>
      <c r="C33" s="12">
        <v>7</v>
      </c>
      <c r="D33" s="12">
        <v>1</v>
      </c>
      <c r="E33" s="12">
        <v>4</v>
      </c>
      <c r="F33" s="12">
        <v>1</v>
      </c>
      <c r="G33" s="7">
        <v>13</v>
      </c>
      <c r="H33" s="12">
        <v>0</v>
      </c>
      <c r="I33" s="12">
        <v>1</v>
      </c>
      <c r="J33" s="12">
        <v>0</v>
      </c>
      <c r="K33" s="12">
        <v>1</v>
      </c>
      <c r="L33" s="7">
        <v>1</v>
      </c>
      <c r="M33" s="7">
        <v>14</v>
      </c>
    </row>
    <row r="34" spans="1:13" x14ac:dyDescent="0.3">
      <c r="A34" s="8" t="s">
        <v>139</v>
      </c>
      <c r="B34" s="13">
        <v>0</v>
      </c>
      <c r="C34" s="13">
        <v>5</v>
      </c>
      <c r="D34" s="13">
        <v>3</v>
      </c>
      <c r="E34" s="13">
        <v>3</v>
      </c>
      <c r="F34" s="13">
        <v>0</v>
      </c>
      <c r="G34" s="9">
        <v>11</v>
      </c>
      <c r="H34" s="13">
        <v>1</v>
      </c>
      <c r="I34" s="13">
        <v>2</v>
      </c>
      <c r="J34" s="13">
        <v>1</v>
      </c>
      <c r="K34" s="13">
        <v>1</v>
      </c>
      <c r="L34" s="9">
        <v>4</v>
      </c>
      <c r="M34" s="9">
        <v>15</v>
      </c>
    </row>
    <row r="35" spans="1:13" x14ac:dyDescent="0.3">
      <c r="A35" s="8" t="s">
        <v>140</v>
      </c>
      <c r="B35" s="13">
        <v>0</v>
      </c>
      <c r="C35" s="13">
        <v>3</v>
      </c>
      <c r="D35" s="13">
        <v>2</v>
      </c>
      <c r="E35" s="13">
        <v>2</v>
      </c>
      <c r="F35" s="13">
        <v>0</v>
      </c>
      <c r="G35" s="9">
        <v>7</v>
      </c>
      <c r="H35" s="13">
        <v>0</v>
      </c>
      <c r="I35" s="13">
        <v>2</v>
      </c>
      <c r="J35" s="13">
        <v>0</v>
      </c>
      <c r="K35" s="13">
        <v>1</v>
      </c>
      <c r="L35" s="9">
        <v>2</v>
      </c>
      <c r="M35" s="9">
        <v>9</v>
      </c>
    </row>
    <row r="36" spans="1:13" x14ac:dyDescent="0.3">
      <c r="A36" s="8" t="s">
        <v>141</v>
      </c>
      <c r="B36" s="13">
        <v>0</v>
      </c>
      <c r="C36" s="13">
        <v>2</v>
      </c>
      <c r="D36" s="13">
        <v>1</v>
      </c>
      <c r="E36" s="13">
        <v>2</v>
      </c>
      <c r="F36" s="13">
        <v>0</v>
      </c>
      <c r="G36" s="9">
        <v>5</v>
      </c>
      <c r="H36" s="13">
        <v>1</v>
      </c>
      <c r="I36" s="13">
        <v>1</v>
      </c>
      <c r="J36" s="13">
        <v>0</v>
      </c>
      <c r="K36" s="13">
        <v>0</v>
      </c>
      <c r="L36" s="9">
        <v>2</v>
      </c>
      <c r="M36" s="9">
        <v>7</v>
      </c>
    </row>
    <row r="37" spans="1:13" x14ac:dyDescent="0.3">
      <c r="A37" s="10" t="s">
        <v>142</v>
      </c>
      <c r="B37" s="14">
        <v>0</v>
      </c>
      <c r="C37" s="14">
        <v>3</v>
      </c>
      <c r="D37" s="14">
        <v>1</v>
      </c>
      <c r="E37" s="14">
        <v>2</v>
      </c>
      <c r="F37" s="14">
        <v>0</v>
      </c>
      <c r="G37" s="11">
        <v>6</v>
      </c>
      <c r="H37" s="14">
        <v>1</v>
      </c>
      <c r="I37" s="14">
        <v>0</v>
      </c>
      <c r="J37" s="14">
        <v>0</v>
      </c>
      <c r="K37" s="14">
        <v>0</v>
      </c>
      <c r="L37" s="11">
        <v>1</v>
      </c>
      <c r="M37" s="11">
        <v>7</v>
      </c>
    </row>
    <row r="38" spans="1:13" x14ac:dyDescent="0.3">
      <c r="A38" s="6" t="s">
        <v>143</v>
      </c>
      <c r="B38" s="12">
        <v>0</v>
      </c>
      <c r="C38" s="12">
        <v>16</v>
      </c>
      <c r="D38" s="12">
        <v>3</v>
      </c>
      <c r="E38" s="12">
        <v>6</v>
      </c>
      <c r="F38" s="12">
        <v>0</v>
      </c>
      <c r="G38" s="7">
        <v>25</v>
      </c>
      <c r="H38" s="12">
        <v>1</v>
      </c>
      <c r="I38" s="12">
        <v>0</v>
      </c>
      <c r="J38" s="12">
        <v>1</v>
      </c>
      <c r="K38" s="12">
        <v>1</v>
      </c>
      <c r="L38" s="7">
        <v>2</v>
      </c>
      <c r="M38" s="7">
        <v>27</v>
      </c>
    </row>
    <row r="39" spans="1:13" x14ac:dyDescent="0.3">
      <c r="A39" s="8" t="s">
        <v>144</v>
      </c>
      <c r="B39" s="13">
        <v>0</v>
      </c>
      <c r="C39" s="13">
        <v>7</v>
      </c>
      <c r="D39" s="13">
        <v>2</v>
      </c>
      <c r="E39" s="13">
        <v>1</v>
      </c>
      <c r="F39" s="13">
        <v>0</v>
      </c>
      <c r="G39" s="9">
        <v>10</v>
      </c>
      <c r="H39" s="13">
        <v>1</v>
      </c>
      <c r="I39" s="13">
        <v>1</v>
      </c>
      <c r="J39" s="13">
        <v>1</v>
      </c>
      <c r="K39" s="13">
        <v>1</v>
      </c>
      <c r="L39" s="9">
        <v>3</v>
      </c>
      <c r="M39" s="9">
        <v>13</v>
      </c>
    </row>
    <row r="40" spans="1:13" x14ac:dyDescent="0.3">
      <c r="A40" s="8" t="s">
        <v>145</v>
      </c>
      <c r="B40" s="13">
        <v>0</v>
      </c>
      <c r="C40" s="13">
        <v>5</v>
      </c>
      <c r="D40" s="13">
        <v>1</v>
      </c>
      <c r="E40" s="13">
        <v>1</v>
      </c>
      <c r="F40" s="13">
        <v>0</v>
      </c>
      <c r="G40" s="9">
        <v>7</v>
      </c>
      <c r="H40" s="13">
        <v>0</v>
      </c>
      <c r="I40" s="13">
        <v>1</v>
      </c>
      <c r="J40" s="13">
        <v>0</v>
      </c>
      <c r="K40" s="13">
        <v>1</v>
      </c>
      <c r="L40" s="9">
        <v>1</v>
      </c>
      <c r="M40" s="9">
        <v>8</v>
      </c>
    </row>
    <row r="41" spans="1:13" x14ac:dyDescent="0.3">
      <c r="A41" s="8" t="s">
        <v>146</v>
      </c>
      <c r="B41" s="13">
        <v>0</v>
      </c>
      <c r="C41" s="13">
        <v>23</v>
      </c>
      <c r="D41" s="13">
        <v>10</v>
      </c>
      <c r="E41" s="13">
        <v>6</v>
      </c>
      <c r="F41" s="13">
        <v>1</v>
      </c>
      <c r="G41" s="9">
        <v>40</v>
      </c>
      <c r="H41" s="13">
        <v>2</v>
      </c>
      <c r="I41" s="13">
        <v>1</v>
      </c>
      <c r="J41" s="13">
        <v>2</v>
      </c>
      <c r="K41" s="13">
        <v>2</v>
      </c>
      <c r="L41" s="9">
        <v>5</v>
      </c>
      <c r="M41" s="9">
        <v>45</v>
      </c>
    </row>
    <row r="42" spans="1:13" x14ac:dyDescent="0.3">
      <c r="A42" s="8" t="s">
        <v>147</v>
      </c>
      <c r="B42" s="13">
        <v>0</v>
      </c>
      <c r="C42" s="13">
        <v>2</v>
      </c>
      <c r="D42" s="13">
        <v>1</v>
      </c>
      <c r="E42" s="13">
        <v>1</v>
      </c>
      <c r="F42" s="13">
        <v>0</v>
      </c>
      <c r="G42" s="9">
        <v>4</v>
      </c>
      <c r="H42" s="13">
        <v>0</v>
      </c>
      <c r="I42" s="13">
        <v>1</v>
      </c>
      <c r="J42" s="13">
        <v>0</v>
      </c>
      <c r="K42" s="13">
        <v>0</v>
      </c>
      <c r="L42" s="9">
        <v>1</v>
      </c>
      <c r="M42" s="9">
        <v>5</v>
      </c>
    </row>
    <row r="43" spans="1:13" x14ac:dyDescent="0.3">
      <c r="A43" s="14" t="s">
        <v>148</v>
      </c>
      <c r="B43" s="14">
        <v>0</v>
      </c>
      <c r="C43" s="14">
        <v>28</v>
      </c>
      <c r="D43" s="14">
        <v>9</v>
      </c>
      <c r="E43" s="14">
        <v>4</v>
      </c>
      <c r="F43" s="14">
        <v>0</v>
      </c>
      <c r="G43" s="14">
        <v>41</v>
      </c>
      <c r="H43" s="14">
        <v>4</v>
      </c>
      <c r="I43" s="14">
        <v>3</v>
      </c>
      <c r="J43" s="14">
        <v>2</v>
      </c>
      <c r="K43" s="14">
        <v>1</v>
      </c>
      <c r="L43" s="14">
        <v>9</v>
      </c>
      <c r="M43" s="11">
        <v>50</v>
      </c>
    </row>
    <row r="44" spans="1:13" x14ac:dyDescent="0.3">
      <c r="A44" s="12" t="s">
        <v>149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6</v>
      </c>
      <c r="I44" s="12">
        <v>0</v>
      </c>
      <c r="J44" s="12">
        <v>0</v>
      </c>
      <c r="K44" s="12">
        <v>0</v>
      </c>
      <c r="L44" s="12">
        <v>6</v>
      </c>
      <c r="M44" s="7">
        <v>6</v>
      </c>
    </row>
    <row r="45" spans="1:13" x14ac:dyDescent="0.3">
      <c r="A45" s="14" t="s">
        <v>150</v>
      </c>
      <c r="B45" s="14">
        <v>0</v>
      </c>
      <c r="C45" s="14">
        <v>0</v>
      </c>
      <c r="D45" s="14">
        <v>0</v>
      </c>
      <c r="E45" s="14">
        <v>1</v>
      </c>
      <c r="F45" s="14">
        <v>0</v>
      </c>
      <c r="G45" s="14">
        <v>1</v>
      </c>
      <c r="H45" s="14">
        <v>0</v>
      </c>
      <c r="I45" s="14">
        <v>0</v>
      </c>
      <c r="J45" s="14">
        <v>0</v>
      </c>
      <c r="K45" s="14">
        <v>1</v>
      </c>
      <c r="L45" s="14">
        <v>0</v>
      </c>
      <c r="M45" s="11">
        <v>1</v>
      </c>
    </row>
    <row r="46" spans="1:13" x14ac:dyDescent="0.3">
      <c r="A46" s="15" t="s">
        <v>151</v>
      </c>
      <c r="B46" s="15">
        <v>0</v>
      </c>
      <c r="C46" s="15">
        <v>29</v>
      </c>
      <c r="D46" s="15">
        <v>26</v>
      </c>
      <c r="E46" s="15">
        <v>21</v>
      </c>
      <c r="F46" s="15">
        <v>6</v>
      </c>
      <c r="G46" s="15">
        <v>82</v>
      </c>
      <c r="H46" s="15">
        <v>1</v>
      </c>
      <c r="I46" s="15">
        <v>0</v>
      </c>
      <c r="J46" s="15">
        <v>1</v>
      </c>
      <c r="K46" s="15">
        <v>4</v>
      </c>
      <c r="L46" s="15">
        <v>2</v>
      </c>
      <c r="M46" s="15">
        <v>84</v>
      </c>
    </row>
    <row r="47" spans="1:13" s="1" customFormat="1" x14ac:dyDescent="0.3">
      <c r="A47" s="15" t="s">
        <v>103</v>
      </c>
      <c r="B47" s="15">
        <f t="shared" ref="B47:M47" si="0">SUM(B3:B43)</f>
        <v>2</v>
      </c>
      <c r="C47" s="15">
        <f t="shared" si="0"/>
        <v>531</v>
      </c>
      <c r="D47" s="15">
        <f t="shared" si="0"/>
        <v>145</v>
      </c>
      <c r="E47" s="15">
        <f t="shared" si="0"/>
        <v>119</v>
      </c>
      <c r="F47" s="15">
        <f t="shared" si="0"/>
        <v>3</v>
      </c>
      <c r="G47" s="15">
        <f t="shared" si="0"/>
        <v>800</v>
      </c>
      <c r="H47" s="15">
        <f t="shared" si="0"/>
        <v>62</v>
      </c>
      <c r="I47" s="15">
        <f t="shared" si="0"/>
        <v>66</v>
      </c>
      <c r="J47" s="15">
        <f t="shared" si="0"/>
        <v>25</v>
      </c>
      <c r="K47" s="15">
        <f t="shared" si="0"/>
        <v>14</v>
      </c>
      <c r="L47" s="15">
        <f t="shared" si="0"/>
        <v>153</v>
      </c>
      <c r="M47" s="15">
        <f t="shared" si="0"/>
        <v>953</v>
      </c>
    </row>
    <row r="48" spans="1:13" ht="15" x14ac:dyDescent="0.3">
      <c r="A48" s="15" t="s">
        <v>106</v>
      </c>
      <c r="B48" s="16">
        <f t="shared" ref="B48:M48" si="1">SUM(B3:B46)</f>
        <v>2</v>
      </c>
      <c r="C48" s="16">
        <f t="shared" si="1"/>
        <v>560</v>
      </c>
      <c r="D48" s="16">
        <f t="shared" si="1"/>
        <v>171</v>
      </c>
      <c r="E48" s="16">
        <f t="shared" si="1"/>
        <v>141</v>
      </c>
      <c r="F48" s="16">
        <f t="shared" si="1"/>
        <v>9</v>
      </c>
      <c r="G48" s="16">
        <f t="shared" si="1"/>
        <v>883</v>
      </c>
      <c r="H48" s="16">
        <f t="shared" si="1"/>
        <v>69</v>
      </c>
      <c r="I48" s="16">
        <f t="shared" si="1"/>
        <v>66</v>
      </c>
      <c r="J48" s="16">
        <f t="shared" si="1"/>
        <v>26</v>
      </c>
      <c r="K48" s="16">
        <f t="shared" si="1"/>
        <v>19</v>
      </c>
      <c r="L48" s="16">
        <f t="shared" si="1"/>
        <v>161</v>
      </c>
      <c r="M48" s="16">
        <f t="shared" si="1"/>
        <v>1044</v>
      </c>
    </row>
    <row r="49" spans="1:7" x14ac:dyDescent="0.3">
      <c r="A49" s="18" t="s">
        <v>153</v>
      </c>
    </row>
    <row r="50" spans="1:7" ht="38.4" customHeight="1" x14ac:dyDescent="0.3">
      <c r="A50" s="19" t="s">
        <v>154</v>
      </c>
      <c r="B50" s="19"/>
      <c r="C50" s="19"/>
      <c r="D50" s="19"/>
      <c r="E50" s="19"/>
      <c r="F50" s="19"/>
      <c r="G50" s="19"/>
    </row>
  </sheetData>
  <mergeCells count="1">
    <mergeCell ref="A50:G50"/>
  </mergeCells>
  <pageMargins left="0.7" right="2.3508333333333336" top="0.75" bottom="0.627" header="0.3" footer="0.3"/>
  <pageSetup scale="65" fitToWidth="0" orientation="landscape" r:id="rId1"/>
  <headerFooter>
    <oddHeader xml:space="preserve">&amp;C&amp;"-,Bold"&amp;12Schools by District, Grade and Type: Fall 2013
</oddHeader>
    <oddFooter xml:space="preserve">&amp;L&amp;8
Compiler: USOE/Data and Statistics
Source: CACTUS school and institution tables
</oddFooter>
  </headerFooter>
  <colBreaks count="1" manualBreakCount="1">
    <brk id="13" max="1048575" man="1"/>
  </colBreaks>
  <ignoredErrors>
    <ignoredError sqref="B47 C47:J47 K47:M4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25" sqref="A25"/>
    </sheetView>
  </sheetViews>
  <sheetFormatPr defaultRowHeight="14.4" x14ac:dyDescent="0.3"/>
  <sheetData>
    <row r="1" spans="1:1" x14ac:dyDescent="0.3">
      <c r="A1" s="1" t="s">
        <v>90</v>
      </c>
    </row>
    <row r="2" spans="1:1" x14ac:dyDescent="0.3">
      <c r="A2" s="1" t="s">
        <v>91</v>
      </c>
    </row>
    <row r="3" spans="1:1" x14ac:dyDescent="0.3">
      <c r="A3" s="1" t="s">
        <v>92</v>
      </c>
    </row>
    <row r="4" spans="1:1" x14ac:dyDescent="0.3">
      <c r="A4" s="1" t="s">
        <v>93</v>
      </c>
    </row>
    <row r="5" spans="1:1" x14ac:dyDescent="0.3">
      <c r="A5" s="1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2"/>
  <sheetViews>
    <sheetView workbookViewId="0">
      <selection activeCell="C13" sqref="C13"/>
    </sheetView>
  </sheetViews>
  <sheetFormatPr defaultRowHeight="14.4" x14ac:dyDescent="0.3"/>
  <sheetData>
    <row r="1" spans="1:31" x14ac:dyDescent="0.3">
      <c r="A1" t="s">
        <v>8</v>
      </c>
      <c r="O1" t="s">
        <v>77</v>
      </c>
      <c r="AC1" t="s">
        <v>95</v>
      </c>
    </row>
    <row r="2" spans="1:31" x14ac:dyDescent="0.3">
      <c r="A2" t="s">
        <v>9</v>
      </c>
      <c r="O2" t="s">
        <v>78</v>
      </c>
      <c r="AC2" t="s">
        <v>96</v>
      </c>
    </row>
    <row r="3" spans="1:31" x14ac:dyDescent="0.3">
      <c r="C3" t="s">
        <v>10</v>
      </c>
      <c r="Q3" t="s">
        <v>11</v>
      </c>
      <c r="AD3" t="s">
        <v>97</v>
      </c>
    </row>
    <row r="4" spans="1:31" x14ac:dyDescent="0.3">
      <c r="C4" t="s">
        <v>11</v>
      </c>
      <c r="Q4" t="s">
        <v>12</v>
      </c>
      <c r="AD4" t="s">
        <v>98</v>
      </c>
    </row>
    <row r="5" spans="1:31" x14ac:dyDescent="0.3">
      <c r="C5" t="s">
        <v>12</v>
      </c>
      <c r="Q5" t="s">
        <v>13</v>
      </c>
      <c r="AD5" t="s">
        <v>99</v>
      </c>
    </row>
    <row r="6" spans="1:31" x14ac:dyDescent="0.3">
      <c r="C6" t="s">
        <v>13</v>
      </c>
      <c r="Q6" t="s">
        <v>14</v>
      </c>
      <c r="AD6" t="s">
        <v>100</v>
      </c>
    </row>
    <row r="7" spans="1:31" x14ac:dyDescent="0.3">
      <c r="C7" t="s">
        <v>14</v>
      </c>
      <c r="Q7" t="s">
        <v>15</v>
      </c>
      <c r="AE7" t="s">
        <v>31</v>
      </c>
    </row>
    <row r="8" spans="1:31" x14ac:dyDescent="0.3">
      <c r="C8" t="s">
        <v>15</v>
      </c>
      <c r="Q8" t="s">
        <v>16</v>
      </c>
      <c r="AC8" t="s">
        <v>32</v>
      </c>
    </row>
    <row r="9" spans="1:31" x14ac:dyDescent="0.3">
      <c r="C9" t="s">
        <v>16</v>
      </c>
      <c r="Q9" t="s">
        <v>17</v>
      </c>
      <c r="AD9" t="s">
        <v>33</v>
      </c>
    </row>
    <row r="10" spans="1:31" x14ac:dyDescent="0.3">
      <c r="C10" t="s">
        <v>17</v>
      </c>
      <c r="Q10" t="s">
        <v>18</v>
      </c>
      <c r="AD10" t="s">
        <v>34</v>
      </c>
    </row>
    <row r="11" spans="1:31" x14ac:dyDescent="0.3">
      <c r="C11" t="s">
        <v>18</v>
      </c>
      <c r="Q11" t="s">
        <v>19</v>
      </c>
      <c r="AD11" t="s">
        <v>35</v>
      </c>
    </row>
    <row r="12" spans="1:31" x14ac:dyDescent="0.3">
      <c r="C12" t="s">
        <v>19</v>
      </c>
      <c r="Q12" t="s">
        <v>20</v>
      </c>
      <c r="AD12" t="s">
        <v>36</v>
      </c>
    </row>
    <row r="13" spans="1:31" x14ac:dyDescent="0.3">
      <c r="C13" t="s">
        <v>20</v>
      </c>
      <c r="Q13" t="s">
        <v>21</v>
      </c>
      <c r="AD13" t="s">
        <v>37</v>
      </c>
    </row>
    <row r="14" spans="1:31" x14ac:dyDescent="0.3">
      <c r="C14" t="s">
        <v>21</v>
      </c>
      <c r="Q14" t="s">
        <v>22</v>
      </c>
      <c r="AD14" t="s">
        <v>38</v>
      </c>
    </row>
    <row r="15" spans="1:31" x14ac:dyDescent="0.3">
      <c r="C15" t="s">
        <v>22</v>
      </c>
      <c r="Q15" t="s">
        <v>23</v>
      </c>
      <c r="AD15" t="s">
        <v>39</v>
      </c>
    </row>
    <row r="16" spans="1:31" x14ac:dyDescent="0.3">
      <c r="C16" t="s">
        <v>23</v>
      </c>
      <c r="R16" t="s">
        <v>24</v>
      </c>
      <c r="AC16" t="s">
        <v>40</v>
      </c>
    </row>
    <row r="17" spans="1:30" ht="15" x14ac:dyDescent="0.25">
      <c r="D17" t="s">
        <v>24</v>
      </c>
      <c r="O17" t="s">
        <v>25</v>
      </c>
      <c r="AD17" t="s">
        <v>41</v>
      </c>
    </row>
    <row r="18" spans="1:30" ht="15" x14ac:dyDescent="0.25">
      <c r="A18" t="s">
        <v>25</v>
      </c>
      <c r="P18" t="s">
        <v>26</v>
      </c>
      <c r="AD18" t="s">
        <v>42</v>
      </c>
    </row>
    <row r="19" spans="1:30" ht="15" x14ac:dyDescent="0.25">
      <c r="B19" t="s">
        <v>26</v>
      </c>
      <c r="Q19" t="s">
        <v>27</v>
      </c>
      <c r="AD19" t="s">
        <v>43</v>
      </c>
    </row>
    <row r="20" spans="1:30" ht="15" x14ac:dyDescent="0.25">
      <c r="C20" t="s">
        <v>27</v>
      </c>
      <c r="Q20" t="s">
        <v>28</v>
      </c>
      <c r="AD20" t="s">
        <v>45</v>
      </c>
    </row>
    <row r="21" spans="1:30" ht="15" x14ac:dyDescent="0.25">
      <c r="C21" t="s">
        <v>28</v>
      </c>
      <c r="Q21" t="s">
        <v>29</v>
      </c>
      <c r="AD21" t="s">
        <v>46</v>
      </c>
    </row>
    <row r="22" spans="1:30" ht="15" x14ac:dyDescent="0.25">
      <c r="C22" t="s">
        <v>29</v>
      </c>
      <c r="Q22" t="s">
        <v>30</v>
      </c>
    </row>
    <row r="23" spans="1:30" ht="15" x14ac:dyDescent="0.25">
      <c r="C23" t="s">
        <v>30</v>
      </c>
      <c r="Q23" t="s">
        <v>79</v>
      </c>
    </row>
    <row r="24" spans="1:30" ht="15" x14ac:dyDescent="0.25">
      <c r="C24" t="s">
        <v>31</v>
      </c>
      <c r="O24" t="s">
        <v>32</v>
      </c>
    </row>
    <row r="25" spans="1:30" ht="15" x14ac:dyDescent="0.25">
      <c r="A25" t="s">
        <v>32</v>
      </c>
      <c r="P25" t="s">
        <v>33</v>
      </c>
    </row>
    <row r="26" spans="1:30" ht="15" x14ac:dyDescent="0.25">
      <c r="B26" t="s">
        <v>33</v>
      </c>
      <c r="P26" t="s">
        <v>34</v>
      </c>
    </row>
    <row r="27" spans="1:30" ht="15" x14ac:dyDescent="0.25">
      <c r="B27" t="s">
        <v>34</v>
      </c>
      <c r="P27" t="s">
        <v>35</v>
      </c>
    </row>
    <row r="28" spans="1:30" ht="15" x14ac:dyDescent="0.25">
      <c r="B28" t="s">
        <v>35</v>
      </c>
      <c r="P28" t="s">
        <v>36</v>
      </c>
    </row>
    <row r="29" spans="1:30" ht="15" x14ac:dyDescent="0.25">
      <c r="B29" t="s">
        <v>36</v>
      </c>
      <c r="P29" t="s">
        <v>37</v>
      </c>
    </row>
    <row r="30" spans="1:30" x14ac:dyDescent="0.3">
      <c r="B30" t="s">
        <v>37</v>
      </c>
      <c r="P30" t="s">
        <v>38</v>
      </c>
    </row>
    <row r="31" spans="1:30" x14ac:dyDescent="0.3">
      <c r="B31" t="s">
        <v>38</v>
      </c>
      <c r="P31" t="s">
        <v>39</v>
      </c>
    </row>
    <row r="32" spans="1:30" x14ac:dyDescent="0.3">
      <c r="B32" t="s">
        <v>39</v>
      </c>
      <c r="O32" t="s">
        <v>40</v>
      </c>
    </row>
    <row r="33" spans="1:17" x14ac:dyDescent="0.3">
      <c r="A33" t="s">
        <v>40</v>
      </c>
      <c r="P33" t="s">
        <v>41</v>
      </c>
    </row>
    <row r="34" spans="1:17" x14ac:dyDescent="0.3">
      <c r="B34" t="s">
        <v>41</v>
      </c>
      <c r="P34" t="s">
        <v>42</v>
      </c>
    </row>
    <row r="35" spans="1:17" x14ac:dyDescent="0.3">
      <c r="B35" t="s">
        <v>42</v>
      </c>
      <c r="P35" t="s">
        <v>43</v>
      </c>
    </row>
    <row r="36" spans="1:17" x14ac:dyDescent="0.3">
      <c r="B36" t="s">
        <v>43</v>
      </c>
      <c r="P36" t="s">
        <v>80</v>
      </c>
    </row>
    <row r="37" spans="1:17" x14ac:dyDescent="0.3">
      <c r="B37" t="s">
        <v>44</v>
      </c>
      <c r="P37" t="s">
        <v>45</v>
      </c>
    </row>
    <row r="38" spans="1:17" x14ac:dyDescent="0.3">
      <c r="B38" t="s">
        <v>45</v>
      </c>
      <c r="P38" t="s">
        <v>46</v>
      </c>
    </row>
    <row r="39" spans="1:17" x14ac:dyDescent="0.3">
      <c r="B39" t="s">
        <v>46</v>
      </c>
      <c r="O39" t="s">
        <v>81</v>
      </c>
    </row>
    <row r="40" spans="1:17" x14ac:dyDescent="0.3">
      <c r="A40" t="s">
        <v>47</v>
      </c>
      <c r="O40" t="s">
        <v>48</v>
      </c>
    </row>
    <row r="41" spans="1:17" x14ac:dyDescent="0.3">
      <c r="A41" t="s">
        <v>48</v>
      </c>
      <c r="O41" t="s">
        <v>49</v>
      </c>
    </row>
    <row r="42" spans="1:17" x14ac:dyDescent="0.3">
      <c r="A42" t="s">
        <v>49</v>
      </c>
      <c r="O42" t="s">
        <v>50</v>
      </c>
    </row>
    <row r="43" spans="1:17" x14ac:dyDescent="0.3">
      <c r="A43" t="s">
        <v>50</v>
      </c>
      <c r="O43" t="s">
        <v>82</v>
      </c>
      <c r="P43" t="s">
        <v>53</v>
      </c>
    </row>
    <row r="44" spans="1:17" x14ac:dyDescent="0.3">
      <c r="A44" t="s">
        <v>51</v>
      </c>
      <c r="B44" t="s">
        <v>52</v>
      </c>
      <c r="Q44" t="s">
        <v>54</v>
      </c>
    </row>
    <row r="45" spans="1:17" x14ac:dyDescent="0.3">
      <c r="C45" t="s">
        <v>53</v>
      </c>
      <c r="Q45" t="s">
        <v>55</v>
      </c>
    </row>
    <row r="46" spans="1:17" x14ac:dyDescent="0.3">
      <c r="C46" t="s">
        <v>54</v>
      </c>
      <c r="Q46" t="s">
        <v>83</v>
      </c>
    </row>
    <row r="47" spans="1:17" x14ac:dyDescent="0.3">
      <c r="C47" t="s">
        <v>55</v>
      </c>
      <c r="Q47" t="s">
        <v>79</v>
      </c>
    </row>
    <row r="48" spans="1:17" x14ac:dyDescent="0.3">
      <c r="C48" t="s">
        <v>56</v>
      </c>
    </row>
    <row r="49" spans="1:16" x14ac:dyDescent="0.3">
      <c r="O49" t="s">
        <v>32</v>
      </c>
    </row>
    <row r="50" spans="1:16" x14ac:dyDescent="0.3">
      <c r="A50" t="s">
        <v>32</v>
      </c>
      <c r="P50" t="s">
        <v>33</v>
      </c>
    </row>
    <row r="51" spans="1:16" x14ac:dyDescent="0.3">
      <c r="B51" t="s">
        <v>33</v>
      </c>
      <c r="P51" t="s">
        <v>34</v>
      </c>
    </row>
    <row r="52" spans="1:16" x14ac:dyDescent="0.3">
      <c r="B52" t="s">
        <v>34</v>
      </c>
      <c r="P52" t="s">
        <v>57</v>
      </c>
    </row>
    <row r="53" spans="1:16" x14ac:dyDescent="0.3">
      <c r="B53" t="s">
        <v>57</v>
      </c>
      <c r="P53" t="s">
        <v>36</v>
      </c>
    </row>
    <row r="54" spans="1:16" x14ac:dyDescent="0.3">
      <c r="B54" t="s">
        <v>36</v>
      </c>
      <c r="P54" t="s">
        <v>37</v>
      </c>
    </row>
    <row r="55" spans="1:16" x14ac:dyDescent="0.3">
      <c r="B55" t="s">
        <v>37</v>
      </c>
      <c r="P55" t="s">
        <v>38</v>
      </c>
    </row>
    <row r="56" spans="1:16" x14ac:dyDescent="0.3">
      <c r="B56" t="s">
        <v>38</v>
      </c>
      <c r="P56" t="s">
        <v>84</v>
      </c>
    </row>
    <row r="57" spans="1:16" x14ac:dyDescent="0.3">
      <c r="B57" t="s">
        <v>39</v>
      </c>
      <c r="O57" t="s">
        <v>85</v>
      </c>
    </row>
    <row r="58" spans="1:16" x14ac:dyDescent="0.3">
      <c r="A58" t="s">
        <v>40</v>
      </c>
      <c r="P58" t="s">
        <v>86</v>
      </c>
    </row>
    <row r="59" spans="1:16" x14ac:dyDescent="0.3">
      <c r="B59" t="s">
        <v>41</v>
      </c>
      <c r="P59" t="s">
        <v>43</v>
      </c>
    </row>
    <row r="60" spans="1:16" x14ac:dyDescent="0.3">
      <c r="B60" t="s">
        <v>43</v>
      </c>
      <c r="P60" t="s">
        <v>58</v>
      </c>
    </row>
    <row r="61" spans="1:16" x14ac:dyDescent="0.3">
      <c r="B61" t="s">
        <v>58</v>
      </c>
      <c r="P61" t="s">
        <v>80</v>
      </c>
    </row>
    <row r="62" spans="1:16" x14ac:dyDescent="0.3">
      <c r="B62" t="s">
        <v>44</v>
      </c>
      <c r="P62" t="s">
        <v>45</v>
      </c>
    </row>
    <row r="63" spans="1:16" x14ac:dyDescent="0.3">
      <c r="B63" t="s">
        <v>45</v>
      </c>
      <c r="P63" t="s">
        <v>46</v>
      </c>
    </row>
    <row r="64" spans="1:16" x14ac:dyDescent="0.3">
      <c r="B64" t="s">
        <v>46</v>
      </c>
      <c r="P64" t="s">
        <v>81</v>
      </c>
    </row>
    <row r="65" spans="1:16" x14ac:dyDescent="0.3">
      <c r="B65" t="s">
        <v>59</v>
      </c>
      <c r="O65" t="s">
        <v>60</v>
      </c>
    </row>
    <row r="66" spans="1:16" x14ac:dyDescent="0.3">
      <c r="A66" t="s">
        <v>47</v>
      </c>
      <c r="O66" t="s">
        <v>87</v>
      </c>
    </row>
    <row r="67" spans="1:16" x14ac:dyDescent="0.3">
      <c r="A67" t="s">
        <v>60</v>
      </c>
      <c r="O67" t="s">
        <v>49</v>
      </c>
    </row>
    <row r="68" spans="1:16" x14ac:dyDescent="0.3">
      <c r="A68" t="s">
        <v>61</v>
      </c>
      <c r="O68" t="s">
        <v>88</v>
      </c>
    </row>
    <row r="69" spans="1:16" x14ac:dyDescent="0.3">
      <c r="A69" t="s">
        <v>49</v>
      </c>
      <c r="P69" t="s">
        <v>79</v>
      </c>
    </row>
    <row r="70" spans="1:16" x14ac:dyDescent="0.3">
      <c r="A70" t="s">
        <v>62</v>
      </c>
      <c r="O70" t="s">
        <v>32</v>
      </c>
    </row>
    <row r="71" spans="1:16" x14ac:dyDescent="0.3">
      <c r="C71" t="s">
        <v>63</v>
      </c>
      <c r="P71" t="s">
        <v>33</v>
      </c>
    </row>
    <row r="72" spans="1:16" x14ac:dyDescent="0.3">
      <c r="A72" t="s">
        <v>32</v>
      </c>
      <c r="P72" t="s">
        <v>34</v>
      </c>
    </row>
    <row r="73" spans="1:16" x14ac:dyDescent="0.3">
      <c r="B73" t="s">
        <v>33</v>
      </c>
      <c r="P73" t="s">
        <v>57</v>
      </c>
    </row>
    <row r="74" spans="1:16" x14ac:dyDescent="0.3">
      <c r="B74" t="s">
        <v>34</v>
      </c>
      <c r="P74" t="s">
        <v>36</v>
      </c>
    </row>
    <row r="75" spans="1:16" x14ac:dyDescent="0.3">
      <c r="B75" t="s">
        <v>57</v>
      </c>
      <c r="P75" t="s">
        <v>37</v>
      </c>
    </row>
    <row r="76" spans="1:16" x14ac:dyDescent="0.3">
      <c r="B76" t="s">
        <v>36</v>
      </c>
      <c r="P76" t="s">
        <v>38</v>
      </c>
    </row>
    <row r="77" spans="1:16" x14ac:dyDescent="0.3">
      <c r="B77" t="s">
        <v>37</v>
      </c>
      <c r="P77" t="s">
        <v>39</v>
      </c>
    </row>
    <row r="78" spans="1:16" x14ac:dyDescent="0.3">
      <c r="B78" t="s">
        <v>38</v>
      </c>
      <c r="O78" t="s">
        <v>40</v>
      </c>
    </row>
    <row r="79" spans="1:16" x14ac:dyDescent="0.3">
      <c r="B79" t="s">
        <v>39</v>
      </c>
      <c r="P79" t="s">
        <v>41</v>
      </c>
    </row>
    <row r="80" spans="1:16" x14ac:dyDescent="0.3">
      <c r="A80" t="s">
        <v>40</v>
      </c>
      <c r="P80" t="s">
        <v>43</v>
      </c>
    </row>
    <row r="81" spans="1:16" x14ac:dyDescent="0.3">
      <c r="B81" t="s">
        <v>41</v>
      </c>
      <c r="P81" t="s">
        <v>58</v>
      </c>
    </row>
    <row r="82" spans="1:16" x14ac:dyDescent="0.3">
      <c r="B82" t="s">
        <v>43</v>
      </c>
      <c r="P82" t="s">
        <v>80</v>
      </c>
    </row>
    <row r="83" spans="1:16" x14ac:dyDescent="0.3">
      <c r="B83" t="s">
        <v>58</v>
      </c>
      <c r="P83" t="s">
        <v>81</v>
      </c>
    </row>
    <row r="84" spans="1:16" x14ac:dyDescent="0.3">
      <c r="B84" t="s">
        <v>44</v>
      </c>
      <c r="O84" t="s">
        <v>65</v>
      </c>
    </row>
    <row r="85" spans="1:16" x14ac:dyDescent="0.3">
      <c r="B85" t="s">
        <v>64</v>
      </c>
      <c r="O85" t="s">
        <v>89</v>
      </c>
    </row>
    <row r="86" spans="1:16" x14ac:dyDescent="0.3">
      <c r="A86" t="s">
        <v>47</v>
      </c>
    </row>
    <row r="87" spans="1:16" x14ac:dyDescent="0.3">
      <c r="A87" t="s">
        <v>65</v>
      </c>
    </row>
    <row r="88" spans="1:16" x14ac:dyDescent="0.3">
      <c r="A88" t="s">
        <v>66</v>
      </c>
    </row>
    <row r="90" spans="1:16" x14ac:dyDescent="0.3">
      <c r="A90" t="s">
        <v>67</v>
      </c>
    </row>
    <row r="92" spans="1:16" x14ac:dyDescent="0.3">
      <c r="A92" t="s">
        <v>68</v>
      </c>
    </row>
    <row r="93" spans="1:16" x14ac:dyDescent="0.3">
      <c r="C93" t="s">
        <v>69</v>
      </c>
    </row>
    <row r="94" spans="1:16" x14ac:dyDescent="0.3">
      <c r="C94" t="s">
        <v>11</v>
      </c>
    </row>
    <row r="95" spans="1:16" x14ac:dyDescent="0.3">
      <c r="C95" t="s">
        <v>12</v>
      </c>
    </row>
    <row r="96" spans="1:16" x14ac:dyDescent="0.3">
      <c r="C96" t="s">
        <v>13</v>
      </c>
    </row>
    <row r="97" spans="1:4" x14ac:dyDescent="0.3">
      <c r="C97" t="s">
        <v>14</v>
      </c>
    </row>
    <row r="98" spans="1:4" x14ac:dyDescent="0.3">
      <c r="C98" t="s">
        <v>15</v>
      </c>
    </row>
    <row r="99" spans="1:4" x14ac:dyDescent="0.3">
      <c r="C99" t="s">
        <v>16</v>
      </c>
    </row>
    <row r="100" spans="1:4" x14ac:dyDescent="0.3">
      <c r="C100" t="s">
        <v>17</v>
      </c>
    </row>
    <row r="101" spans="1:4" x14ac:dyDescent="0.3">
      <c r="C101" t="s">
        <v>18</v>
      </c>
    </row>
    <row r="102" spans="1:4" x14ac:dyDescent="0.3">
      <c r="C102" t="s">
        <v>19</v>
      </c>
    </row>
    <row r="103" spans="1:4" x14ac:dyDescent="0.3">
      <c r="C103" t="s">
        <v>20</v>
      </c>
    </row>
    <row r="104" spans="1:4" x14ac:dyDescent="0.3">
      <c r="C104" t="s">
        <v>21</v>
      </c>
    </row>
    <row r="105" spans="1:4" x14ac:dyDescent="0.3">
      <c r="C105" t="s">
        <v>22</v>
      </c>
    </row>
    <row r="106" spans="1:4" x14ac:dyDescent="0.3">
      <c r="C106" t="s">
        <v>70</v>
      </c>
      <c r="D106" t="s">
        <v>24</v>
      </c>
    </row>
    <row r="107" spans="1:4" x14ac:dyDescent="0.3">
      <c r="A107" t="s">
        <v>25</v>
      </c>
    </row>
    <row r="108" spans="1:4" x14ac:dyDescent="0.3">
      <c r="B108" t="s">
        <v>26</v>
      </c>
    </row>
    <row r="109" spans="1:4" x14ac:dyDescent="0.3">
      <c r="C109" t="s">
        <v>27</v>
      </c>
    </row>
    <row r="110" spans="1:4" x14ac:dyDescent="0.3">
      <c r="C110" t="s">
        <v>28</v>
      </c>
    </row>
    <row r="111" spans="1:4" x14ac:dyDescent="0.3">
      <c r="C111" t="s">
        <v>29</v>
      </c>
    </row>
    <row r="112" spans="1:4" x14ac:dyDescent="0.3">
      <c r="C112" t="s">
        <v>30</v>
      </c>
    </row>
    <row r="113" spans="1:3" x14ac:dyDescent="0.3">
      <c r="C113" t="s">
        <v>31</v>
      </c>
    </row>
    <row r="114" spans="1:3" x14ac:dyDescent="0.3">
      <c r="A114" t="s">
        <v>32</v>
      </c>
    </row>
    <row r="115" spans="1:3" x14ac:dyDescent="0.3">
      <c r="B115" t="s">
        <v>33</v>
      </c>
    </row>
    <row r="116" spans="1:3" x14ac:dyDescent="0.3">
      <c r="B116" t="s">
        <v>34</v>
      </c>
    </row>
    <row r="117" spans="1:3" x14ac:dyDescent="0.3">
      <c r="B117" t="s">
        <v>35</v>
      </c>
    </row>
    <row r="118" spans="1:3" x14ac:dyDescent="0.3">
      <c r="B118" t="s">
        <v>36</v>
      </c>
    </row>
    <row r="119" spans="1:3" x14ac:dyDescent="0.3">
      <c r="B119" t="s">
        <v>37</v>
      </c>
    </row>
    <row r="120" spans="1:3" x14ac:dyDescent="0.3">
      <c r="B120" t="s">
        <v>38</v>
      </c>
    </row>
    <row r="121" spans="1:3" x14ac:dyDescent="0.3">
      <c r="B121" t="s">
        <v>39</v>
      </c>
    </row>
    <row r="122" spans="1:3" x14ac:dyDescent="0.3">
      <c r="A122" t="s">
        <v>40</v>
      </c>
    </row>
    <row r="123" spans="1:3" x14ac:dyDescent="0.3">
      <c r="B123" t="s">
        <v>41</v>
      </c>
    </row>
    <row r="124" spans="1:3" x14ac:dyDescent="0.3">
      <c r="B124" t="s">
        <v>42</v>
      </c>
    </row>
    <row r="125" spans="1:3" x14ac:dyDescent="0.3">
      <c r="B125" t="s">
        <v>71</v>
      </c>
    </row>
    <row r="126" spans="1:3" x14ac:dyDescent="0.3">
      <c r="A126" t="s">
        <v>47</v>
      </c>
    </row>
    <row r="127" spans="1:3" x14ac:dyDescent="0.3">
      <c r="A127" t="s">
        <v>48</v>
      </c>
    </row>
    <row r="128" spans="1:3" x14ac:dyDescent="0.3">
      <c r="A128" t="s">
        <v>72</v>
      </c>
    </row>
    <row r="129" spans="1:3" x14ac:dyDescent="0.3">
      <c r="A129" t="s">
        <v>50</v>
      </c>
    </row>
    <row r="130" spans="1:3" x14ac:dyDescent="0.3">
      <c r="A130" t="s">
        <v>51</v>
      </c>
      <c r="B130" t="s">
        <v>52</v>
      </c>
    </row>
    <row r="131" spans="1:3" x14ac:dyDescent="0.3">
      <c r="C131" t="s">
        <v>53</v>
      </c>
    </row>
    <row r="132" spans="1:3" x14ac:dyDescent="0.3">
      <c r="C132" t="s">
        <v>54</v>
      </c>
    </row>
    <row r="133" spans="1:3" x14ac:dyDescent="0.3">
      <c r="C133" t="s">
        <v>55</v>
      </c>
    </row>
    <row r="134" spans="1:3" x14ac:dyDescent="0.3">
      <c r="C134" t="s">
        <v>56</v>
      </c>
    </row>
    <row r="136" spans="1:3" x14ac:dyDescent="0.3">
      <c r="A136" t="s">
        <v>32</v>
      </c>
    </row>
    <row r="137" spans="1:3" x14ac:dyDescent="0.3">
      <c r="B137" t="s">
        <v>33</v>
      </c>
    </row>
    <row r="138" spans="1:3" x14ac:dyDescent="0.3">
      <c r="B138" t="s">
        <v>34</v>
      </c>
    </row>
    <row r="139" spans="1:3" x14ac:dyDescent="0.3">
      <c r="B139" t="s">
        <v>57</v>
      </c>
    </row>
    <row r="140" spans="1:3" x14ac:dyDescent="0.3">
      <c r="B140" t="s">
        <v>36</v>
      </c>
    </row>
    <row r="141" spans="1:3" x14ac:dyDescent="0.3">
      <c r="B141" t="s">
        <v>37</v>
      </c>
    </row>
    <row r="142" spans="1:3" x14ac:dyDescent="0.3">
      <c r="B142" t="s">
        <v>38</v>
      </c>
    </row>
    <row r="143" spans="1:3" x14ac:dyDescent="0.3">
      <c r="B143" t="s">
        <v>39</v>
      </c>
    </row>
    <row r="144" spans="1:3" x14ac:dyDescent="0.3">
      <c r="A144" t="s">
        <v>40</v>
      </c>
    </row>
    <row r="145" spans="1:3" x14ac:dyDescent="0.3">
      <c r="B145" t="s">
        <v>41</v>
      </c>
    </row>
    <row r="146" spans="1:3" x14ac:dyDescent="0.3">
      <c r="B146" t="s">
        <v>43</v>
      </c>
    </row>
    <row r="147" spans="1:3" x14ac:dyDescent="0.3">
      <c r="B147" t="s">
        <v>58</v>
      </c>
    </row>
    <row r="148" spans="1:3" x14ac:dyDescent="0.3">
      <c r="B148" t="s">
        <v>71</v>
      </c>
    </row>
    <row r="149" spans="1:3" x14ac:dyDescent="0.3">
      <c r="A149" t="s">
        <v>47</v>
      </c>
    </row>
    <row r="150" spans="1:3" x14ac:dyDescent="0.3">
      <c r="A150" t="s">
        <v>60</v>
      </c>
    </row>
    <row r="151" spans="1:3" x14ac:dyDescent="0.3">
      <c r="A151" t="s">
        <v>61</v>
      </c>
    </row>
    <row r="152" spans="1:3" x14ac:dyDescent="0.3">
      <c r="A152" t="s">
        <v>49</v>
      </c>
    </row>
    <row r="153" spans="1:3" x14ac:dyDescent="0.3">
      <c r="A153" t="s">
        <v>62</v>
      </c>
    </row>
    <row r="154" spans="1:3" x14ac:dyDescent="0.3">
      <c r="C154" t="s">
        <v>63</v>
      </c>
    </row>
    <row r="155" spans="1:3" x14ac:dyDescent="0.3">
      <c r="A155" t="s">
        <v>32</v>
      </c>
    </row>
    <row r="156" spans="1:3" x14ac:dyDescent="0.3">
      <c r="B156" t="s">
        <v>33</v>
      </c>
    </row>
    <row r="157" spans="1:3" x14ac:dyDescent="0.3">
      <c r="B157" t="s">
        <v>34</v>
      </c>
    </row>
    <row r="158" spans="1:3" x14ac:dyDescent="0.3">
      <c r="B158" t="s">
        <v>57</v>
      </c>
    </row>
    <row r="159" spans="1:3" x14ac:dyDescent="0.3">
      <c r="B159" t="s">
        <v>36</v>
      </c>
    </row>
    <row r="160" spans="1:3" x14ac:dyDescent="0.3">
      <c r="B160" t="s">
        <v>37</v>
      </c>
    </row>
    <row r="161" spans="1:3" x14ac:dyDescent="0.3">
      <c r="B161" t="s">
        <v>38</v>
      </c>
    </row>
    <row r="162" spans="1:3" x14ac:dyDescent="0.3">
      <c r="B162" t="s">
        <v>39</v>
      </c>
    </row>
    <row r="163" spans="1:3" x14ac:dyDescent="0.3">
      <c r="A163" t="s">
        <v>40</v>
      </c>
    </row>
    <row r="164" spans="1:3" x14ac:dyDescent="0.3">
      <c r="B164" t="s">
        <v>41</v>
      </c>
    </row>
    <row r="165" spans="1:3" x14ac:dyDescent="0.3">
      <c r="B165" t="s">
        <v>71</v>
      </c>
    </row>
    <row r="166" spans="1:3" x14ac:dyDescent="0.3">
      <c r="B166" t="s">
        <v>58</v>
      </c>
    </row>
    <row r="167" spans="1:3" x14ac:dyDescent="0.3">
      <c r="A167" t="s">
        <v>47</v>
      </c>
    </row>
    <row r="168" spans="1:3" x14ac:dyDescent="0.3">
      <c r="A168" t="s">
        <v>65</v>
      </c>
    </row>
    <row r="169" spans="1:3" x14ac:dyDescent="0.3">
      <c r="A169" t="s">
        <v>66</v>
      </c>
    </row>
    <row r="171" spans="1:3" x14ac:dyDescent="0.3">
      <c r="A171" t="s">
        <v>67</v>
      </c>
    </row>
    <row r="173" spans="1:3" x14ac:dyDescent="0.3">
      <c r="A173" t="s">
        <v>73</v>
      </c>
    </row>
    <row r="174" spans="1:3" x14ac:dyDescent="0.3">
      <c r="C174" t="s">
        <v>69</v>
      </c>
    </row>
    <row r="175" spans="1:3" x14ac:dyDescent="0.3">
      <c r="C175" t="s">
        <v>11</v>
      </c>
    </row>
    <row r="176" spans="1:3" x14ac:dyDescent="0.3">
      <c r="C176" t="s">
        <v>12</v>
      </c>
    </row>
    <row r="177" spans="1:4" x14ac:dyDescent="0.3">
      <c r="C177" t="s">
        <v>13</v>
      </c>
    </row>
    <row r="178" spans="1:4" x14ac:dyDescent="0.3">
      <c r="C178" t="s">
        <v>14</v>
      </c>
    </row>
    <row r="179" spans="1:4" x14ac:dyDescent="0.3">
      <c r="C179" t="s">
        <v>15</v>
      </c>
    </row>
    <row r="180" spans="1:4" x14ac:dyDescent="0.3">
      <c r="C180" t="s">
        <v>16</v>
      </c>
    </row>
    <row r="181" spans="1:4" x14ac:dyDescent="0.3">
      <c r="C181" t="s">
        <v>17</v>
      </c>
    </row>
    <row r="182" spans="1:4" x14ac:dyDescent="0.3">
      <c r="C182" t="s">
        <v>18</v>
      </c>
    </row>
    <row r="183" spans="1:4" x14ac:dyDescent="0.3">
      <c r="C183" t="s">
        <v>19</v>
      </c>
    </row>
    <row r="184" spans="1:4" x14ac:dyDescent="0.3">
      <c r="C184" t="s">
        <v>20</v>
      </c>
    </row>
    <row r="185" spans="1:4" x14ac:dyDescent="0.3">
      <c r="C185" t="s">
        <v>21</v>
      </c>
    </row>
    <row r="186" spans="1:4" x14ac:dyDescent="0.3">
      <c r="C186" t="s">
        <v>22</v>
      </c>
    </row>
    <row r="187" spans="1:4" x14ac:dyDescent="0.3">
      <c r="C187" t="s">
        <v>23</v>
      </c>
    </row>
    <row r="188" spans="1:4" x14ac:dyDescent="0.3">
      <c r="D188" t="s">
        <v>24</v>
      </c>
    </row>
    <row r="189" spans="1:4" x14ac:dyDescent="0.3">
      <c r="A189" t="s">
        <v>25</v>
      </c>
    </row>
    <row r="190" spans="1:4" x14ac:dyDescent="0.3">
      <c r="B190" t="s">
        <v>26</v>
      </c>
    </row>
    <row r="191" spans="1:4" x14ac:dyDescent="0.3">
      <c r="C191" t="s">
        <v>27</v>
      </c>
    </row>
    <row r="192" spans="1:4" x14ac:dyDescent="0.3">
      <c r="C192" t="s">
        <v>28</v>
      </c>
    </row>
    <row r="193" spans="1:3" x14ac:dyDescent="0.3">
      <c r="C193" t="s">
        <v>29</v>
      </c>
    </row>
    <row r="194" spans="1:3" x14ac:dyDescent="0.3">
      <c r="C194" t="s">
        <v>30</v>
      </c>
    </row>
    <row r="195" spans="1:3" x14ac:dyDescent="0.3">
      <c r="C195" t="s">
        <v>31</v>
      </c>
    </row>
    <row r="196" spans="1:3" x14ac:dyDescent="0.3">
      <c r="A196" t="s">
        <v>32</v>
      </c>
    </row>
    <row r="197" spans="1:3" x14ac:dyDescent="0.3">
      <c r="B197" t="s">
        <v>33</v>
      </c>
    </row>
    <row r="198" spans="1:3" x14ac:dyDescent="0.3">
      <c r="B198" t="s">
        <v>34</v>
      </c>
    </row>
    <row r="199" spans="1:3" x14ac:dyDescent="0.3">
      <c r="B199" t="s">
        <v>35</v>
      </c>
    </row>
    <row r="200" spans="1:3" x14ac:dyDescent="0.3">
      <c r="B200" t="s">
        <v>36</v>
      </c>
    </row>
    <row r="201" spans="1:3" x14ac:dyDescent="0.3">
      <c r="B201" t="s">
        <v>37</v>
      </c>
    </row>
    <row r="202" spans="1:3" x14ac:dyDescent="0.3">
      <c r="B202" t="s">
        <v>38</v>
      </c>
    </row>
    <row r="203" spans="1:3" x14ac:dyDescent="0.3">
      <c r="B203" t="s">
        <v>39</v>
      </c>
    </row>
    <row r="204" spans="1:3" x14ac:dyDescent="0.3">
      <c r="A204" t="s">
        <v>40</v>
      </c>
    </row>
    <row r="205" spans="1:3" x14ac:dyDescent="0.3">
      <c r="B205" t="s">
        <v>41</v>
      </c>
    </row>
    <row r="206" spans="1:3" x14ac:dyDescent="0.3">
      <c r="B206" t="s">
        <v>42</v>
      </c>
    </row>
    <row r="207" spans="1:3" x14ac:dyDescent="0.3">
      <c r="B207" t="s">
        <v>74</v>
      </c>
    </row>
    <row r="208" spans="1:3" x14ac:dyDescent="0.3">
      <c r="A208" t="s">
        <v>47</v>
      </c>
    </row>
    <row r="209" spans="1:3" x14ac:dyDescent="0.3">
      <c r="A209" t="s">
        <v>48</v>
      </c>
    </row>
    <row r="210" spans="1:3" x14ac:dyDescent="0.3">
      <c r="A210" t="s">
        <v>49</v>
      </c>
    </row>
    <row r="211" spans="1:3" x14ac:dyDescent="0.3">
      <c r="A211" t="s">
        <v>50</v>
      </c>
    </row>
    <row r="212" spans="1:3" x14ac:dyDescent="0.3">
      <c r="A212" t="s">
        <v>51</v>
      </c>
      <c r="B212" t="s">
        <v>52</v>
      </c>
    </row>
    <row r="213" spans="1:3" x14ac:dyDescent="0.3">
      <c r="C213" t="s">
        <v>53</v>
      </c>
    </row>
    <row r="214" spans="1:3" x14ac:dyDescent="0.3">
      <c r="C214" t="s">
        <v>54</v>
      </c>
    </row>
    <row r="215" spans="1:3" x14ac:dyDescent="0.3">
      <c r="C215" t="s">
        <v>55</v>
      </c>
    </row>
    <row r="216" spans="1:3" x14ac:dyDescent="0.3">
      <c r="C216" t="s">
        <v>56</v>
      </c>
    </row>
    <row r="218" spans="1:3" x14ac:dyDescent="0.3">
      <c r="A218" t="s">
        <v>32</v>
      </c>
    </row>
    <row r="219" spans="1:3" x14ac:dyDescent="0.3">
      <c r="B219" t="s">
        <v>33</v>
      </c>
    </row>
    <row r="220" spans="1:3" x14ac:dyDescent="0.3">
      <c r="B220" t="s">
        <v>34</v>
      </c>
    </row>
    <row r="221" spans="1:3" x14ac:dyDescent="0.3">
      <c r="B221" t="s">
        <v>57</v>
      </c>
    </row>
    <row r="222" spans="1:3" x14ac:dyDescent="0.3">
      <c r="B222" t="s">
        <v>36</v>
      </c>
    </row>
    <row r="223" spans="1:3" x14ac:dyDescent="0.3">
      <c r="B223" t="s">
        <v>37</v>
      </c>
    </row>
    <row r="224" spans="1:3" x14ac:dyDescent="0.3">
      <c r="B224" t="s">
        <v>38</v>
      </c>
    </row>
    <row r="225" spans="1:3" x14ac:dyDescent="0.3">
      <c r="B225" t="s">
        <v>39</v>
      </c>
    </row>
    <row r="226" spans="1:3" x14ac:dyDescent="0.3">
      <c r="A226" t="s">
        <v>40</v>
      </c>
    </row>
    <row r="227" spans="1:3" x14ac:dyDescent="0.3">
      <c r="B227" t="s">
        <v>41</v>
      </c>
    </row>
    <row r="228" spans="1:3" x14ac:dyDescent="0.3">
      <c r="B228" t="s">
        <v>43</v>
      </c>
    </row>
    <row r="229" spans="1:3" x14ac:dyDescent="0.3">
      <c r="B229" t="s">
        <v>58</v>
      </c>
    </row>
    <row r="230" spans="1:3" x14ac:dyDescent="0.3">
      <c r="B230" t="s">
        <v>74</v>
      </c>
    </row>
    <row r="231" spans="1:3" x14ac:dyDescent="0.3">
      <c r="A231" t="s">
        <v>47</v>
      </c>
    </row>
    <row r="232" spans="1:3" x14ac:dyDescent="0.3">
      <c r="A232" t="s">
        <v>60</v>
      </c>
    </row>
    <row r="233" spans="1:3" x14ac:dyDescent="0.3">
      <c r="A233" t="s">
        <v>61</v>
      </c>
    </row>
    <row r="234" spans="1:3" x14ac:dyDescent="0.3">
      <c r="A234" t="s">
        <v>49</v>
      </c>
    </row>
    <row r="235" spans="1:3" x14ac:dyDescent="0.3">
      <c r="A235" t="s">
        <v>62</v>
      </c>
    </row>
    <row r="236" spans="1:3" x14ac:dyDescent="0.3">
      <c r="C236" t="s">
        <v>63</v>
      </c>
    </row>
    <row r="237" spans="1:3" x14ac:dyDescent="0.3">
      <c r="A237" t="s">
        <v>32</v>
      </c>
    </row>
    <row r="238" spans="1:3" x14ac:dyDescent="0.3">
      <c r="B238" t="s">
        <v>33</v>
      </c>
    </row>
    <row r="239" spans="1:3" x14ac:dyDescent="0.3">
      <c r="B239" t="s">
        <v>34</v>
      </c>
    </row>
    <row r="240" spans="1:3" x14ac:dyDescent="0.3">
      <c r="B240" t="s">
        <v>57</v>
      </c>
    </row>
    <row r="241" spans="1:2" x14ac:dyDescent="0.3">
      <c r="B241" t="s">
        <v>36</v>
      </c>
    </row>
    <row r="242" spans="1:2" x14ac:dyDescent="0.3">
      <c r="B242" t="s">
        <v>37</v>
      </c>
    </row>
    <row r="243" spans="1:2" x14ac:dyDescent="0.3">
      <c r="B243" t="s">
        <v>38</v>
      </c>
    </row>
    <row r="244" spans="1:2" x14ac:dyDescent="0.3">
      <c r="B244" t="s">
        <v>39</v>
      </c>
    </row>
    <row r="245" spans="1:2" x14ac:dyDescent="0.3">
      <c r="A245" t="s">
        <v>40</v>
      </c>
    </row>
    <row r="246" spans="1:2" x14ac:dyDescent="0.3">
      <c r="B246" t="s">
        <v>41</v>
      </c>
    </row>
    <row r="247" spans="1:2" x14ac:dyDescent="0.3">
      <c r="B247" t="s">
        <v>74</v>
      </c>
    </row>
    <row r="248" spans="1:2" x14ac:dyDescent="0.3">
      <c r="B248" t="s">
        <v>58</v>
      </c>
    </row>
    <row r="249" spans="1:2" x14ac:dyDescent="0.3">
      <c r="A249" t="s">
        <v>47</v>
      </c>
    </row>
    <row r="250" spans="1:2" x14ac:dyDescent="0.3">
      <c r="A250" t="s">
        <v>65</v>
      </c>
    </row>
    <row r="251" spans="1:2" x14ac:dyDescent="0.3">
      <c r="A251" t="s">
        <v>75</v>
      </c>
    </row>
    <row r="252" spans="1:2" x14ac:dyDescent="0.3">
      <c r="A25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SchoolType</vt:lpstr>
      <vt:lpstr>Instructions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Wald, Sarah</dc:creator>
  <cp:lastModifiedBy>Wald, Sarah</cp:lastModifiedBy>
  <cp:lastPrinted>2013-12-17T22:58:29Z</cp:lastPrinted>
  <dcterms:created xsi:type="dcterms:W3CDTF">2013-12-09T20:47:23Z</dcterms:created>
  <dcterms:modified xsi:type="dcterms:W3CDTF">2014-01-29T19:28:15Z</dcterms:modified>
</cp:coreProperties>
</file>