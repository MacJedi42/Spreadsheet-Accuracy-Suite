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-135" windowWidth="15135" windowHeight="9300" activeTab="1"/>
  </bookViews>
  <sheets>
    <sheet name="EVAP BALANCE SPRING CONDITION" sheetId="1" r:id="rId1"/>
    <sheet name="EVAP BALANCE FALL CONDITION" sheetId="2" r:id="rId2"/>
  </sheets>
  <definedNames>
    <definedName name="_xlnm.Print_Area" localSheetId="1">'EVAP BALANCE FALL CONDITION'!$A$1:$L$64</definedName>
    <definedName name="_xlnm.Print_Area" localSheetId="0">'EVAP BALANCE SPRING CONDITION'!$A$1:$L$63</definedName>
  </definedNames>
  <calcPr calcId="145621" iterate="1" iterateCount="1"/>
</workbook>
</file>

<file path=xl/calcChain.xml><?xml version="1.0" encoding="utf-8"?>
<calcChain xmlns="http://schemas.openxmlformats.org/spreadsheetml/2006/main">
  <c r="F57" i="2" l="1"/>
  <c r="D57" i="2"/>
  <c r="F56" i="2"/>
  <c r="D56" i="2"/>
  <c r="F55" i="2"/>
  <c r="D55" i="2"/>
  <c r="F54" i="2"/>
  <c r="G54" i="2" s="1"/>
  <c r="D54" i="2"/>
  <c r="F53" i="2"/>
  <c r="D53" i="2"/>
  <c r="G53" i="2" s="1"/>
  <c r="F52" i="2"/>
  <c r="D52" i="2"/>
  <c r="F51" i="2"/>
  <c r="D51" i="2"/>
  <c r="G50" i="2"/>
  <c r="F50" i="2"/>
  <c r="D50" i="2"/>
  <c r="F49" i="2"/>
  <c r="D49" i="2"/>
  <c r="G49" i="2" s="1"/>
  <c r="F48" i="2"/>
  <c r="D48" i="2"/>
  <c r="F47" i="2"/>
  <c r="D47" i="2"/>
  <c r="F46" i="2"/>
  <c r="D46" i="2"/>
  <c r="F45" i="2"/>
  <c r="D45" i="2"/>
  <c r="G45" i="2" s="1"/>
  <c r="F44" i="2"/>
  <c r="D44" i="2"/>
  <c r="F43" i="2"/>
  <c r="G43" i="2" s="1"/>
  <c r="D43" i="2"/>
  <c r="F42" i="2"/>
  <c r="D42" i="2"/>
  <c r="F41" i="2"/>
  <c r="D41" i="2"/>
  <c r="G41" i="2" s="1"/>
  <c r="F40" i="2"/>
  <c r="D40" i="2"/>
  <c r="F39" i="2"/>
  <c r="D39" i="2"/>
  <c r="G38" i="2"/>
  <c r="F38" i="2"/>
  <c r="D38" i="2"/>
  <c r="F37" i="2"/>
  <c r="D37" i="2"/>
  <c r="F36" i="2"/>
  <c r="D36" i="2"/>
  <c r="F35" i="2"/>
  <c r="D35" i="2"/>
  <c r="F34" i="2"/>
  <c r="G34" i="2" s="1"/>
  <c r="D34" i="2"/>
  <c r="F33" i="2"/>
  <c r="D33" i="2"/>
  <c r="F32" i="2"/>
  <c r="D32" i="2"/>
  <c r="F31" i="2"/>
  <c r="D31" i="2"/>
  <c r="F30" i="2"/>
  <c r="D30" i="2"/>
  <c r="G30" i="2" s="1"/>
  <c r="F29" i="2"/>
  <c r="D29" i="2"/>
  <c r="F28" i="2"/>
  <c r="D28" i="2"/>
  <c r="F27" i="2"/>
  <c r="G27" i="2" s="1"/>
  <c r="D27" i="2"/>
  <c r="F26" i="2"/>
  <c r="D26" i="2"/>
  <c r="G26" i="2" s="1"/>
  <c r="F25" i="2"/>
  <c r="D25" i="2"/>
  <c r="F24" i="2"/>
  <c r="D24" i="2"/>
  <c r="F23" i="2"/>
  <c r="D23" i="2"/>
  <c r="F22" i="2"/>
  <c r="D22" i="2"/>
  <c r="D13" i="2"/>
  <c r="G13" i="2" s="1"/>
  <c r="I62" i="2" s="1"/>
  <c r="I64" i="2" s="1"/>
  <c r="C13" i="2"/>
  <c r="G12" i="2"/>
  <c r="G22" i="2" l="1"/>
  <c r="G25" i="2"/>
  <c r="G29" i="2"/>
  <c r="G33" i="2"/>
  <c r="G42" i="2"/>
  <c r="G46" i="2"/>
  <c r="G57" i="2"/>
  <c r="G37" i="2"/>
  <c r="G31" i="2"/>
  <c r="G47" i="2"/>
  <c r="G35" i="2"/>
  <c r="G51" i="2"/>
  <c r="G23" i="2"/>
  <c r="G39" i="2"/>
  <c r="G55" i="2"/>
  <c r="H24" i="2"/>
  <c r="H26" i="2"/>
  <c r="H40" i="2"/>
  <c r="H42" i="2"/>
  <c r="H56" i="2"/>
  <c r="H28" i="2"/>
  <c r="H30" i="2"/>
  <c r="H44" i="2"/>
  <c r="H46" i="2"/>
  <c r="H55" i="2"/>
  <c r="H51" i="2"/>
  <c r="H47" i="2"/>
  <c r="H43" i="2"/>
  <c r="H39" i="2"/>
  <c r="H35" i="2"/>
  <c r="H31" i="2"/>
  <c r="H27" i="2"/>
  <c r="H23" i="2"/>
  <c r="H33" i="2"/>
  <c r="H25" i="2"/>
  <c r="H57" i="2"/>
  <c r="H53" i="2"/>
  <c r="H49" i="2"/>
  <c r="H45" i="2"/>
  <c r="H41" i="2"/>
  <c r="H37" i="2"/>
  <c r="H29" i="2"/>
  <c r="H32" i="2"/>
  <c r="H34" i="2"/>
  <c r="H48" i="2"/>
  <c r="H50" i="2"/>
  <c r="H22" i="2"/>
  <c r="L22" i="2" s="1"/>
  <c r="H36" i="2"/>
  <c r="H38" i="2"/>
  <c r="H52" i="2"/>
  <c r="H54" i="2"/>
  <c r="G24" i="2"/>
  <c r="G28" i="2"/>
  <c r="G32" i="2"/>
  <c r="G36" i="2"/>
  <c r="G40" i="2"/>
  <c r="G44" i="2"/>
  <c r="G48" i="2"/>
  <c r="G52" i="2"/>
  <c r="G56" i="2"/>
  <c r="L23" i="2" l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D56" i="1" l="1"/>
  <c r="F56" i="1"/>
  <c r="G56" i="1" s="1"/>
  <c r="C13" i="1"/>
  <c r="D13" i="1"/>
  <c r="G12" i="1"/>
  <c r="D21" i="1"/>
  <c r="F21" i="1"/>
  <c r="D22" i="1"/>
  <c r="F22" i="1"/>
  <c r="D23" i="1"/>
  <c r="F23" i="1"/>
  <c r="D24" i="1"/>
  <c r="F24" i="1"/>
  <c r="D25" i="1"/>
  <c r="F25" i="1"/>
  <c r="D26" i="1"/>
  <c r="F26" i="1"/>
  <c r="D27" i="1"/>
  <c r="F27" i="1"/>
  <c r="D28" i="1"/>
  <c r="F28" i="1"/>
  <c r="G28" i="1" s="1"/>
  <c r="D29" i="1"/>
  <c r="F29" i="1"/>
  <c r="D30" i="1"/>
  <c r="F30" i="1"/>
  <c r="D31" i="1"/>
  <c r="F31" i="1"/>
  <c r="D32" i="1"/>
  <c r="F32" i="1"/>
  <c r="D33" i="1"/>
  <c r="F33" i="1"/>
  <c r="D34" i="1"/>
  <c r="F34" i="1"/>
  <c r="D35" i="1"/>
  <c r="F35" i="1"/>
  <c r="D36" i="1"/>
  <c r="G36" i="1" s="1"/>
  <c r="F36" i="1"/>
  <c r="D37" i="1"/>
  <c r="F37" i="1"/>
  <c r="D38" i="1"/>
  <c r="F38" i="1"/>
  <c r="D39" i="1"/>
  <c r="F39" i="1"/>
  <c r="D40" i="1"/>
  <c r="F40" i="1"/>
  <c r="D41" i="1"/>
  <c r="F41" i="1"/>
  <c r="D42" i="1"/>
  <c r="F42" i="1"/>
  <c r="D43" i="1"/>
  <c r="F43" i="1"/>
  <c r="D44" i="1"/>
  <c r="F44" i="1"/>
  <c r="D45" i="1"/>
  <c r="F45" i="1"/>
  <c r="D46" i="1"/>
  <c r="F46" i="1"/>
  <c r="D47" i="1"/>
  <c r="F47" i="1"/>
  <c r="D48" i="1"/>
  <c r="G48" i="1" s="1"/>
  <c r="F48" i="1"/>
  <c r="D49" i="1"/>
  <c r="F49" i="1"/>
  <c r="D50" i="1"/>
  <c r="F50" i="1"/>
  <c r="D51" i="1"/>
  <c r="F51" i="1"/>
  <c r="D52" i="1"/>
  <c r="F52" i="1"/>
  <c r="D53" i="1"/>
  <c r="F53" i="1"/>
  <c r="D54" i="1"/>
  <c r="F54" i="1"/>
  <c r="D55" i="1"/>
  <c r="F55" i="1"/>
  <c r="G52" i="1"/>
  <c r="G44" i="1"/>
  <c r="G24" i="1"/>
  <c r="G54" i="1" l="1"/>
  <c r="G50" i="1"/>
  <c r="G46" i="1"/>
  <c r="G40" i="1"/>
  <c r="G21" i="1"/>
  <c r="G32" i="1"/>
  <c r="G55" i="1"/>
  <c r="G51" i="1"/>
  <c r="G45" i="1"/>
  <c r="G53" i="1"/>
  <c r="G49" i="1"/>
  <c r="G47" i="1"/>
  <c r="G41" i="1"/>
  <c r="G37" i="1"/>
  <c r="G33" i="1"/>
  <c r="G42" i="1"/>
  <c r="G38" i="1"/>
  <c r="G34" i="1"/>
  <c r="G43" i="1"/>
  <c r="G39" i="1"/>
  <c r="G35" i="1"/>
  <c r="G31" i="1"/>
  <c r="G30" i="1"/>
  <c r="G29" i="1"/>
  <c r="G27" i="1"/>
  <c r="G26" i="1"/>
  <c r="G25" i="1"/>
  <c r="G23" i="1"/>
  <c r="G22" i="1"/>
  <c r="G13" i="1"/>
  <c r="I61" i="1" s="1"/>
  <c r="I63" i="1" s="1"/>
  <c r="H33" i="1" l="1"/>
  <c r="H23" i="1"/>
  <c r="H49" i="1"/>
  <c r="H29" i="1"/>
  <c r="H34" i="1"/>
  <c r="H27" i="1"/>
  <c r="H56" i="1"/>
  <c r="H48" i="1"/>
  <c r="H41" i="1"/>
  <c r="H55" i="1"/>
  <c r="H37" i="1"/>
  <c r="H28" i="1"/>
  <c r="H50" i="1"/>
  <c r="H42" i="1"/>
  <c r="H21" i="1"/>
  <c r="L21" i="1" s="1"/>
  <c r="H43" i="1"/>
  <c r="H30" i="1"/>
  <c r="H24" i="1"/>
  <c r="H53" i="1"/>
  <c r="H44" i="1"/>
  <c r="H46" i="1"/>
  <c r="H32" i="1"/>
  <c r="H25" i="1"/>
  <c r="H54" i="1"/>
  <c r="H47" i="1"/>
  <c r="H38" i="1"/>
  <c r="H36" i="1"/>
  <c r="H35" i="1"/>
  <c r="H52" i="1"/>
  <c r="H40" i="1"/>
  <c r="H31" i="1"/>
  <c r="H26" i="1"/>
  <c r="H22" i="1"/>
  <c r="H51" i="1"/>
  <c r="H45" i="1"/>
  <c r="H39" i="1"/>
  <c r="L22" i="1" l="1"/>
  <c r="L23" i="1" s="1"/>
  <c r="L24" i="1" s="1"/>
  <c r="L25" i="1" l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</calcChain>
</file>

<file path=xl/sharedStrings.xml><?xml version="1.0" encoding="utf-8"?>
<sst xmlns="http://schemas.openxmlformats.org/spreadsheetml/2006/main" count="240" uniqueCount="69">
  <si>
    <t xml:space="preserve"> </t>
  </si>
  <si>
    <t xml:space="preserve">                   NATURAL RESOURCES CONSERVATION SERVICE</t>
  </si>
  <si>
    <t xml:space="preserve">                    U.S. DEPARTMENT OF AGRICULTURE</t>
  </si>
  <si>
    <t>STATE</t>
  </si>
  <si>
    <t>BY</t>
  </si>
  <si>
    <t>SUBJECT</t>
  </si>
  <si>
    <t>PROJECT</t>
  </si>
  <si>
    <t>DATE</t>
  </si>
  <si>
    <t>CHECKED BY</t>
  </si>
  <si>
    <t>JOB NO.</t>
  </si>
  <si>
    <t>SHEET___________ OF___________</t>
  </si>
  <si>
    <t>MT</t>
  </si>
  <si>
    <t>EXCEL SPREADSHEET</t>
  </si>
  <si>
    <t>Pond Dimensions</t>
  </si>
  <si>
    <t xml:space="preserve">Surface </t>
  </si>
  <si>
    <t>Volume</t>
  </si>
  <si>
    <t>W</t>
  </si>
  <si>
    <t>L</t>
  </si>
  <si>
    <t>d</t>
  </si>
  <si>
    <t>S:S</t>
  </si>
  <si>
    <t>Area Ft^2</t>
  </si>
  <si>
    <t>(Pitcalc)</t>
  </si>
  <si>
    <t>Bottom of Pond</t>
  </si>
  <si>
    <t>Top of Liner</t>
  </si>
  <si>
    <t>Required</t>
  </si>
  <si>
    <t xml:space="preserve">Ave. </t>
  </si>
  <si>
    <t>Ave.</t>
  </si>
  <si>
    <t>25-yr</t>
  </si>
  <si>
    <t xml:space="preserve">Normal </t>
  </si>
  <si>
    <t xml:space="preserve">Pond </t>
  </si>
  <si>
    <t>Precip.</t>
  </si>
  <si>
    <t>Evap</t>
  </si>
  <si>
    <t>Balance</t>
  </si>
  <si>
    <t>Runoff</t>
  </si>
  <si>
    <t>Month</t>
  </si>
  <si>
    <t>in.</t>
  </si>
  <si>
    <t>ft.</t>
  </si>
  <si>
    <t>ft^3</t>
  </si>
  <si>
    <t>Jan</t>
  </si>
  <si>
    <t>Feb</t>
  </si>
  <si>
    <t>Mar</t>
  </si>
  <si>
    <t>Apr</t>
  </si>
  <si>
    <t xml:space="preserve">May </t>
  </si>
  <si>
    <t>June</t>
  </si>
  <si>
    <t>July</t>
  </si>
  <si>
    <t>Aug</t>
  </si>
  <si>
    <t>Sep</t>
  </si>
  <si>
    <t>Oct</t>
  </si>
  <si>
    <t>Nov</t>
  </si>
  <si>
    <t>Dec</t>
  </si>
  <si>
    <t>Pond</t>
  </si>
  <si>
    <t xml:space="preserve"> Net</t>
  </si>
  <si>
    <t xml:space="preserve">Net </t>
  </si>
  <si>
    <r>
      <t>Evapaporation/Precipitaion Balance   SPRING</t>
    </r>
    <r>
      <rPr>
        <b/>
        <i/>
        <sz val="9"/>
        <rFont val="Arial"/>
        <family val="2"/>
      </rPr>
      <t xml:space="preserve"> Condition</t>
    </r>
  </si>
  <si>
    <t>W d=2.5'</t>
  </si>
  <si>
    <t>W d=3.5'</t>
  </si>
  <si>
    <t>Volume for 25-yr 24-hr Storm Depth falling directly on the Pond Surface</t>
  </si>
  <si>
    <r>
      <t>ft</t>
    </r>
    <r>
      <rPr>
        <vertAlign val="superscript"/>
        <sz val="8"/>
        <rFont val="Arial"/>
        <family val="2"/>
      </rPr>
      <t>3</t>
    </r>
  </si>
  <si>
    <t>Silage</t>
  </si>
  <si>
    <t>Leachage</t>
  </si>
  <si>
    <t>Feedlot/Road</t>
  </si>
  <si>
    <t>25 yr 24 hr ppt:</t>
  </si>
  <si>
    <t>inches</t>
  </si>
  <si>
    <t>Volume Required for liquid portion of capacity:</t>
  </si>
  <si>
    <t>Storage volume needed for runoff portion of capacity:</t>
  </si>
  <si>
    <r>
      <t xml:space="preserve">Evapaporation/Precipitaion Balance   FALL </t>
    </r>
    <r>
      <rPr>
        <b/>
        <i/>
        <sz val="9"/>
        <rFont val="Arial"/>
        <family val="2"/>
      </rPr>
      <t>Condition</t>
    </r>
  </si>
  <si>
    <t>Average Annual Evaporation:</t>
  </si>
  <si>
    <t>Average Yearly Precipitation:</t>
  </si>
  <si>
    <t>Weather Data From: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</si>
</sst>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i/>
      <sz val="7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vertAlign val="superscript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1" fillId="0" borderId="0" xfId="0" applyFont="1" applyBorder="1"/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1" xfId="0" applyBorder="1"/>
    <xf numFmtId="0" fontId="5" fillId="2" borderId="0" xfId="0" applyFont="1" applyFill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0" xfId="0" applyAlignment="1"/>
    <xf numFmtId="3" fontId="5" fillId="2" borderId="0" xfId="0" applyNumberFormat="1" applyFont="1" applyFill="1" applyBorder="1" applyAlignment="1">
      <alignment horizontal="center"/>
    </xf>
    <xf numFmtId="3" fontId="5" fillId="2" borderId="0" xfId="0" applyNumberFormat="1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left"/>
    </xf>
    <xf numFmtId="3" fontId="1" fillId="3" borderId="10" xfId="0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left"/>
    </xf>
    <xf numFmtId="3" fontId="1" fillId="0" borderId="0" xfId="0" applyNumberFormat="1" applyFont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5" fillId="4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3" fontId="1" fillId="4" borderId="0" xfId="0" applyNumberFormat="1" applyFont="1" applyFill="1" applyAlignment="1">
      <alignment horizontal="center"/>
    </xf>
    <xf numFmtId="0" fontId="1" fillId="4" borderId="0" xfId="0" applyFont="1" applyFill="1" applyAlignment="1"/>
    <xf numFmtId="0" fontId="5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9"/>
  <sheetViews>
    <sheetView topLeftCell="A25" workbookViewId="0">
      <selection activeCell="H68" sqref="H68"/>
    </sheetView>
  </sheetViews>
  <sheetFormatPr defaultRowHeight="12.75" x14ac:dyDescent="0.2"/>
  <cols>
    <col min="1" max="8" width="7.7109375" customWidth="1"/>
    <col min="9" max="9" width="13.42578125" customWidth="1"/>
    <col min="10" max="10" width="11.140625" customWidth="1"/>
    <col min="11" max="11" width="13.5703125" customWidth="1"/>
    <col min="12" max="12" width="9.5703125" customWidth="1"/>
    <col min="13" max="16" width="7.28515625" customWidth="1"/>
  </cols>
  <sheetData>
    <row r="1" spans="1:15" ht="9.9499999999999993" customHeight="1" x14ac:dyDescent="0.2">
      <c r="A1" s="9" t="s">
        <v>12</v>
      </c>
      <c r="B1" s="9"/>
      <c r="C1" s="9"/>
      <c r="D1" s="9"/>
      <c r="E1" s="9"/>
      <c r="F1" s="9"/>
      <c r="G1" s="9" t="s">
        <v>2</v>
      </c>
      <c r="H1" s="9"/>
      <c r="I1" s="9"/>
      <c r="J1" s="9"/>
      <c r="K1" s="9"/>
      <c r="L1" s="3"/>
      <c r="M1" s="1"/>
      <c r="N1" s="1"/>
      <c r="O1" s="1"/>
    </row>
    <row r="2" spans="1:15" ht="9.9499999999999993" customHeight="1" x14ac:dyDescent="0.2">
      <c r="A2" s="10" t="s">
        <v>0</v>
      </c>
      <c r="B2" s="10"/>
      <c r="C2" s="10"/>
      <c r="D2" s="10"/>
      <c r="E2" s="10"/>
      <c r="F2" s="10"/>
      <c r="G2" s="10" t="s">
        <v>1</v>
      </c>
      <c r="H2" s="10"/>
      <c r="I2" s="10"/>
      <c r="J2" s="10"/>
      <c r="K2" s="11"/>
      <c r="L2" s="3"/>
      <c r="M2" s="1"/>
      <c r="N2" s="1"/>
      <c r="O2" s="1"/>
    </row>
    <row r="3" spans="1:15" ht="9.9499999999999993" customHeight="1" x14ac:dyDescent="0.2">
      <c r="A3" s="12" t="s">
        <v>3</v>
      </c>
      <c r="B3" s="12"/>
      <c r="C3" s="12" t="s">
        <v>0</v>
      </c>
      <c r="D3" s="12"/>
      <c r="E3" s="17" t="s">
        <v>6</v>
      </c>
      <c r="F3" s="12"/>
      <c r="G3" s="12"/>
      <c r="H3" s="12"/>
      <c r="I3" s="12"/>
      <c r="J3" s="12"/>
      <c r="K3" s="13"/>
      <c r="L3" s="3"/>
      <c r="M3" s="1"/>
      <c r="N3" s="1"/>
      <c r="O3" s="1"/>
    </row>
    <row r="4" spans="1:15" ht="9.9499999999999993" customHeight="1" x14ac:dyDescent="0.2">
      <c r="A4" s="10"/>
      <c r="B4" s="33" t="s">
        <v>11</v>
      </c>
      <c r="C4" s="10"/>
      <c r="D4" s="10"/>
      <c r="E4" s="18"/>
      <c r="F4" s="60"/>
      <c r="G4" s="61"/>
      <c r="H4" s="61"/>
      <c r="I4" s="61"/>
      <c r="J4" s="61"/>
      <c r="K4" s="61"/>
      <c r="L4" s="3"/>
      <c r="M4" s="1"/>
      <c r="N4" s="1"/>
      <c r="O4" s="1"/>
    </row>
    <row r="5" spans="1:15" ht="9.9499999999999993" customHeight="1" x14ac:dyDescent="0.2">
      <c r="A5" s="12" t="s">
        <v>4</v>
      </c>
      <c r="B5" s="16"/>
      <c r="C5" s="12" t="s">
        <v>7</v>
      </c>
      <c r="D5" s="12"/>
      <c r="E5" s="19" t="s">
        <v>8</v>
      </c>
      <c r="F5" s="14"/>
      <c r="G5" s="12" t="s">
        <v>7</v>
      </c>
      <c r="H5" s="14"/>
      <c r="I5" s="12" t="s">
        <v>9</v>
      </c>
      <c r="J5" s="12"/>
      <c r="K5" s="13"/>
      <c r="L5" s="3"/>
      <c r="M5" s="1"/>
      <c r="N5" s="1"/>
      <c r="O5" s="1"/>
    </row>
    <row r="6" spans="1:15" ht="9.9499999999999993" customHeight="1" x14ac:dyDescent="0.2">
      <c r="A6" s="58"/>
      <c r="B6" s="65"/>
      <c r="C6" s="66"/>
      <c r="D6" s="65"/>
      <c r="E6" s="18"/>
      <c r="F6" s="15"/>
      <c r="G6" s="10"/>
      <c r="H6" s="15"/>
      <c r="I6" s="10"/>
      <c r="J6" s="10"/>
      <c r="K6" s="10"/>
      <c r="L6" s="3"/>
      <c r="M6" s="1"/>
      <c r="N6" s="1"/>
      <c r="O6" s="1"/>
    </row>
    <row r="7" spans="1:15" ht="9.9499999999999993" customHeight="1" x14ac:dyDescent="0.2">
      <c r="A7" s="9" t="s">
        <v>5</v>
      </c>
      <c r="B7" s="9"/>
      <c r="C7" s="9"/>
      <c r="D7" s="9"/>
      <c r="E7" s="9"/>
      <c r="F7" s="9"/>
      <c r="G7" s="9"/>
      <c r="H7" s="16"/>
      <c r="I7" s="9"/>
      <c r="J7" s="9"/>
      <c r="K7" s="9"/>
      <c r="L7" s="3"/>
      <c r="M7" s="1"/>
      <c r="N7" s="1"/>
      <c r="O7" s="1"/>
    </row>
    <row r="8" spans="1:15" ht="9.9499999999999993" customHeight="1" x14ac:dyDescent="0.2">
      <c r="A8" s="10"/>
      <c r="B8" s="60" t="s">
        <v>53</v>
      </c>
      <c r="C8" s="61"/>
      <c r="D8" s="61"/>
      <c r="E8" s="61"/>
      <c r="F8" s="61"/>
      <c r="G8" s="61"/>
      <c r="H8" s="62"/>
      <c r="I8" s="63" t="s">
        <v>10</v>
      </c>
      <c r="J8" s="64"/>
      <c r="K8" s="64"/>
      <c r="L8" s="3"/>
      <c r="M8" s="1"/>
      <c r="N8" s="1"/>
      <c r="O8" s="1"/>
    </row>
    <row r="9" spans="1:15" ht="12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3"/>
      <c r="M9" s="1"/>
      <c r="N9" s="1"/>
      <c r="O9" s="1"/>
    </row>
    <row r="10" spans="1:15" ht="12.75" customHeight="1" x14ac:dyDescent="0.2">
      <c r="A10" s="20"/>
      <c r="B10" s="21" t="s">
        <v>0</v>
      </c>
      <c r="C10" s="58" t="s">
        <v>13</v>
      </c>
      <c r="D10" s="59"/>
      <c r="E10" s="59"/>
      <c r="F10" s="59"/>
      <c r="G10" s="22" t="s">
        <v>14</v>
      </c>
      <c r="I10" s="22" t="s">
        <v>54</v>
      </c>
      <c r="J10" s="23"/>
      <c r="K10" s="22" t="s">
        <v>55</v>
      </c>
      <c r="L10" s="21"/>
      <c r="M10" s="1"/>
      <c r="N10" s="1"/>
      <c r="O10" s="1"/>
    </row>
    <row r="11" spans="1:15" x14ac:dyDescent="0.2">
      <c r="A11" s="20"/>
      <c r="B11" s="21" t="s">
        <v>0</v>
      </c>
      <c r="C11" s="22" t="s">
        <v>16</v>
      </c>
      <c r="D11" s="22" t="s">
        <v>17</v>
      </c>
      <c r="E11" s="22" t="s">
        <v>18</v>
      </c>
      <c r="F11" s="22" t="s">
        <v>19</v>
      </c>
      <c r="G11" s="22" t="s">
        <v>20</v>
      </c>
      <c r="I11" s="22" t="s">
        <v>21</v>
      </c>
      <c r="J11" s="23"/>
      <c r="K11" s="22" t="s">
        <v>21</v>
      </c>
      <c r="L11" s="21"/>
      <c r="M11" s="1"/>
      <c r="N11" s="1"/>
      <c r="O11" s="1"/>
    </row>
    <row r="12" spans="1:15" x14ac:dyDescent="0.2">
      <c r="A12" s="55" t="s">
        <v>22</v>
      </c>
      <c r="B12" s="56"/>
      <c r="C12" s="24"/>
      <c r="D12" s="24"/>
      <c r="E12" s="25"/>
      <c r="F12" s="26"/>
      <c r="G12" s="21">
        <f>C12*D12</f>
        <v>0</v>
      </c>
      <c r="I12" s="35"/>
      <c r="J12" s="23" t="s">
        <v>0</v>
      </c>
      <c r="K12" s="35"/>
      <c r="L12" s="34"/>
      <c r="M12" s="34" t="s">
        <v>0</v>
      </c>
      <c r="N12" s="1"/>
      <c r="O12" s="1"/>
    </row>
    <row r="13" spans="1:15" x14ac:dyDescent="0.2">
      <c r="A13" s="55" t="s">
        <v>23</v>
      </c>
      <c r="B13" s="56"/>
      <c r="C13" s="27">
        <f>2*($E$12*$F$12)+C12</f>
        <v>0</v>
      </c>
      <c r="D13" s="27">
        <f>2*($E$12*$F$12)+D12</f>
        <v>0</v>
      </c>
      <c r="E13" s="28"/>
      <c r="F13" s="21"/>
      <c r="G13" s="21">
        <f>C13*D13</f>
        <v>0</v>
      </c>
      <c r="H13" s="23"/>
      <c r="I13" s="23"/>
      <c r="J13" s="23"/>
      <c r="K13" s="23"/>
      <c r="L13" s="21"/>
      <c r="M13" s="1"/>
      <c r="N13" s="1"/>
      <c r="O13" s="1"/>
    </row>
    <row r="14" spans="1:15" x14ac:dyDescent="0.2">
      <c r="A14" s="48"/>
      <c r="B14" s="49"/>
      <c r="C14" s="28"/>
      <c r="D14" s="28"/>
      <c r="E14" s="28"/>
      <c r="F14" s="48"/>
      <c r="G14" s="48"/>
      <c r="H14" s="23"/>
      <c r="I14" s="23"/>
      <c r="J14" s="23"/>
      <c r="K14" s="23"/>
      <c r="L14" s="48"/>
      <c r="M14" s="1"/>
      <c r="N14" s="1"/>
      <c r="O14" s="1"/>
    </row>
    <row r="15" spans="1:15" x14ac:dyDescent="0.2">
      <c r="A15" s="55" t="s">
        <v>61</v>
      </c>
      <c r="B15" s="55"/>
      <c r="C15" s="51"/>
      <c r="D15" s="52" t="s">
        <v>62</v>
      </c>
      <c r="E15" s="28"/>
      <c r="F15" s="48"/>
      <c r="G15" s="48"/>
      <c r="H15" s="23"/>
      <c r="I15" s="23"/>
      <c r="J15" s="23"/>
      <c r="K15" s="23"/>
      <c r="L15" s="48"/>
      <c r="M15" s="1"/>
      <c r="N15" s="1"/>
      <c r="O15" s="1"/>
    </row>
    <row r="16" spans="1:15" x14ac:dyDescent="0.2">
      <c r="A16" s="20"/>
      <c r="B16" s="21"/>
      <c r="C16" s="21"/>
      <c r="D16" s="21"/>
      <c r="E16" s="21"/>
      <c r="F16" s="21"/>
      <c r="G16" s="55" t="s">
        <v>50</v>
      </c>
      <c r="H16" s="56"/>
      <c r="I16" s="47" t="s">
        <v>60</v>
      </c>
      <c r="J16" s="23" t="s">
        <v>58</v>
      </c>
      <c r="K16" s="47" t="s">
        <v>60</v>
      </c>
      <c r="L16" s="23" t="s">
        <v>24</v>
      </c>
      <c r="M16" s="1"/>
      <c r="N16" s="1"/>
      <c r="O16" s="1"/>
    </row>
    <row r="17" spans="1:18" x14ac:dyDescent="0.2">
      <c r="A17" s="21"/>
      <c r="B17" s="21"/>
      <c r="C17" s="23" t="s">
        <v>25</v>
      </c>
      <c r="D17" s="23" t="s">
        <v>25</v>
      </c>
      <c r="E17" s="21" t="s">
        <v>26</v>
      </c>
      <c r="F17" s="21" t="s">
        <v>0</v>
      </c>
      <c r="G17" s="21" t="s">
        <v>51</v>
      </c>
      <c r="H17" s="23" t="s">
        <v>52</v>
      </c>
      <c r="I17" s="23" t="s">
        <v>27</v>
      </c>
      <c r="J17" s="23" t="s">
        <v>59</v>
      </c>
      <c r="K17" s="23" t="s">
        <v>28</v>
      </c>
      <c r="L17" s="23" t="s">
        <v>29</v>
      </c>
      <c r="M17" s="1"/>
      <c r="N17" s="1"/>
      <c r="O17" s="1"/>
    </row>
    <row r="18" spans="1:18" x14ac:dyDescent="0.2">
      <c r="A18" s="21"/>
      <c r="B18" s="21" t="s">
        <v>0</v>
      </c>
      <c r="C18" s="23" t="s">
        <v>30</v>
      </c>
      <c r="D18" s="23" t="s">
        <v>30</v>
      </c>
      <c r="E18" s="21" t="s">
        <v>31</v>
      </c>
      <c r="F18" s="21" t="s">
        <v>31</v>
      </c>
      <c r="G18" s="21" t="s">
        <v>32</v>
      </c>
      <c r="H18" s="23" t="s">
        <v>32</v>
      </c>
      <c r="I18" s="23" t="s">
        <v>15</v>
      </c>
      <c r="J18" s="23"/>
      <c r="K18" s="23" t="s">
        <v>33</v>
      </c>
      <c r="L18" s="23" t="s">
        <v>15</v>
      </c>
      <c r="M18" s="1"/>
      <c r="N18" s="1"/>
      <c r="O18" s="1"/>
    </row>
    <row r="19" spans="1:18" x14ac:dyDescent="0.2">
      <c r="A19" s="21"/>
      <c r="B19" s="22" t="s">
        <v>34</v>
      </c>
      <c r="C19" s="22" t="s">
        <v>35</v>
      </c>
      <c r="D19" s="22" t="s">
        <v>36</v>
      </c>
      <c r="E19" s="22" t="s">
        <v>35</v>
      </c>
      <c r="F19" s="22" t="s">
        <v>36</v>
      </c>
      <c r="G19" s="22" t="s">
        <v>36</v>
      </c>
      <c r="H19" s="22" t="s">
        <v>37</v>
      </c>
      <c r="I19" s="22" t="s">
        <v>37</v>
      </c>
      <c r="J19" s="22" t="s">
        <v>37</v>
      </c>
      <c r="K19" s="29"/>
      <c r="L19" s="22" t="s">
        <v>37</v>
      </c>
      <c r="M19" s="1"/>
      <c r="N19" s="7"/>
      <c r="O19" s="7"/>
      <c r="P19" s="7"/>
    </row>
    <row r="20" spans="1:18" x14ac:dyDescent="0.2">
      <c r="A20" s="21"/>
      <c r="B20" s="21"/>
      <c r="C20" s="23"/>
      <c r="D20" s="23"/>
      <c r="E20" s="21"/>
      <c r="F20" s="21"/>
      <c r="G20" s="21"/>
      <c r="H20" s="23"/>
      <c r="I20" s="23"/>
      <c r="J20" s="23"/>
      <c r="K20" s="23"/>
      <c r="L20" s="23">
        <v>0</v>
      </c>
      <c r="M20" s="1"/>
      <c r="N20" s="7"/>
      <c r="O20" s="7"/>
      <c r="P20" s="7"/>
      <c r="Q20" s="6"/>
      <c r="R20" s="6"/>
    </row>
    <row r="21" spans="1:18" x14ac:dyDescent="0.2">
      <c r="A21" s="21"/>
      <c r="B21" s="21" t="s">
        <v>38</v>
      </c>
      <c r="C21" s="30"/>
      <c r="D21" s="31">
        <f>C21/12</f>
        <v>0</v>
      </c>
      <c r="E21" s="26"/>
      <c r="F21" s="31">
        <f>E21/12</f>
        <v>0</v>
      </c>
      <c r="G21" s="31">
        <f>D21-F21</f>
        <v>0</v>
      </c>
      <c r="H21" s="32">
        <f>(D21*$G$13)-(($G$12+$G$13)/2)*F21</f>
        <v>0</v>
      </c>
      <c r="I21" s="36">
        <v>0</v>
      </c>
      <c r="J21" s="36">
        <v>0</v>
      </c>
      <c r="K21" s="36">
        <v>0</v>
      </c>
      <c r="L21" s="37">
        <f t="shared" ref="L21:L29" si="0">(IF(L20+H21+I21+J21+K21&lt;0,0,H21+I21+J21+K21+L20))</f>
        <v>0</v>
      </c>
      <c r="M21" s="1"/>
      <c r="N21" s="7"/>
      <c r="O21" s="7"/>
      <c r="P21" s="7"/>
      <c r="Q21" s="6"/>
      <c r="R21" s="6"/>
    </row>
    <row r="22" spans="1:18" x14ac:dyDescent="0.2">
      <c r="A22" s="21"/>
      <c r="B22" s="21" t="s">
        <v>39</v>
      </c>
      <c r="C22" s="30"/>
      <c r="D22" s="31">
        <f t="shared" ref="D22:D56" si="1">C22/12</f>
        <v>0</v>
      </c>
      <c r="E22" s="26"/>
      <c r="F22" s="31">
        <f t="shared" ref="F22:F56" si="2">E22/12</f>
        <v>0</v>
      </c>
      <c r="G22" s="31">
        <f t="shared" ref="G22:G55" si="3">D22-F22</f>
        <v>0</v>
      </c>
      <c r="H22" s="32">
        <f t="shared" ref="H22:H55" si="4">(D22*$G$13)-(($G$12+$G$13)/2)*F22</f>
        <v>0</v>
      </c>
      <c r="I22" s="36">
        <v>0</v>
      </c>
      <c r="J22" s="36">
        <v>0</v>
      </c>
      <c r="K22" s="36">
        <v>0</v>
      </c>
      <c r="L22" s="37">
        <f t="shared" si="0"/>
        <v>0</v>
      </c>
      <c r="M22" s="1"/>
      <c r="N22" s="7"/>
      <c r="O22" s="7"/>
      <c r="P22" s="7"/>
      <c r="Q22" s="2"/>
      <c r="R22" s="6"/>
    </row>
    <row r="23" spans="1:18" x14ac:dyDescent="0.2">
      <c r="A23" s="21"/>
      <c r="B23" s="21" t="s">
        <v>40</v>
      </c>
      <c r="C23" s="30"/>
      <c r="D23" s="31">
        <f t="shared" si="1"/>
        <v>0</v>
      </c>
      <c r="E23" s="26"/>
      <c r="F23" s="31">
        <f t="shared" si="2"/>
        <v>0</v>
      </c>
      <c r="G23" s="31">
        <f t="shared" si="3"/>
        <v>0</v>
      </c>
      <c r="H23" s="32">
        <f t="shared" si="4"/>
        <v>0</v>
      </c>
      <c r="I23" s="36">
        <v>0</v>
      </c>
      <c r="J23" s="36">
        <v>0</v>
      </c>
      <c r="K23" s="36">
        <v>0</v>
      </c>
      <c r="L23" s="37">
        <f t="shared" si="0"/>
        <v>0</v>
      </c>
      <c r="M23" s="1"/>
      <c r="N23" s="7"/>
      <c r="O23" s="7"/>
      <c r="P23" s="7"/>
      <c r="Q23" s="2"/>
      <c r="R23" s="6"/>
    </row>
    <row r="24" spans="1:18" x14ac:dyDescent="0.2">
      <c r="A24" s="21"/>
      <c r="B24" s="21" t="s">
        <v>41</v>
      </c>
      <c r="C24" s="30"/>
      <c r="D24" s="31">
        <f t="shared" si="1"/>
        <v>0</v>
      </c>
      <c r="E24" s="26"/>
      <c r="F24" s="31">
        <f t="shared" si="2"/>
        <v>0</v>
      </c>
      <c r="G24" s="31">
        <f t="shared" si="3"/>
        <v>0</v>
      </c>
      <c r="H24" s="32">
        <f t="shared" si="4"/>
        <v>0</v>
      </c>
      <c r="I24" s="36">
        <v>0</v>
      </c>
      <c r="J24" s="36">
        <v>0</v>
      </c>
      <c r="K24" s="36">
        <v>0</v>
      </c>
      <c r="L24" s="37">
        <f t="shared" si="0"/>
        <v>0</v>
      </c>
      <c r="M24" s="1"/>
      <c r="N24" s="7"/>
      <c r="O24" s="7"/>
      <c r="P24" s="7"/>
      <c r="Q24" s="2"/>
      <c r="R24" s="6"/>
    </row>
    <row r="25" spans="1:18" x14ac:dyDescent="0.2">
      <c r="A25" s="21"/>
      <c r="B25" s="21" t="s">
        <v>42</v>
      </c>
      <c r="C25" s="30"/>
      <c r="D25" s="31">
        <f t="shared" si="1"/>
        <v>0</v>
      </c>
      <c r="E25" s="26"/>
      <c r="F25" s="31">
        <f t="shared" si="2"/>
        <v>0</v>
      </c>
      <c r="G25" s="31">
        <f t="shared" si="3"/>
        <v>0</v>
      </c>
      <c r="H25" s="32">
        <f t="shared" si="4"/>
        <v>0</v>
      </c>
      <c r="I25" s="36">
        <v>0</v>
      </c>
      <c r="J25" s="36">
        <v>0</v>
      </c>
      <c r="K25" s="36">
        <v>0</v>
      </c>
      <c r="L25" s="37">
        <f t="shared" si="0"/>
        <v>0</v>
      </c>
      <c r="M25" s="1"/>
      <c r="N25" s="7"/>
      <c r="O25" s="7"/>
      <c r="P25" s="7"/>
      <c r="Q25" s="2"/>
      <c r="R25" s="6"/>
    </row>
    <row r="26" spans="1:18" x14ac:dyDescent="0.2">
      <c r="A26" s="21"/>
      <c r="B26" s="21" t="s">
        <v>43</v>
      </c>
      <c r="C26" s="30"/>
      <c r="D26" s="31">
        <f t="shared" si="1"/>
        <v>0</v>
      </c>
      <c r="E26" s="26"/>
      <c r="F26" s="31">
        <f t="shared" si="2"/>
        <v>0</v>
      </c>
      <c r="G26" s="31">
        <f t="shared" si="3"/>
        <v>0</v>
      </c>
      <c r="H26" s="32">
        <f t="shared" si="4"/>
        <v>0</v>
      </c>
      <c r="I26" s="36">
        <v>0</v>
      </c>
      <c r="J26" s="36">
        <v>0</v>
      </c>
      <c r="K26" s="36">
        <v>0</v>
      </c>
      <c r="L26" s="37">
        <f t="shared" si="0"/>
        <v>0</v>
      </c>
      <c r="M26" s="1"/>
      <c r="N26" s="7"/>
      <c r="O26" s="7"/>
      <c r="P26" s="7"/>
      <c r="Q26" s="2"/>
      <c r="R26" s="6"/>
    </row>
    <row r="27" spans="1:18" x14ac:dyDescent="0.2">
      <c r="A27" s="21"/>
      <c r="B27" s="21" t="s">
        <v>44</v>
      </c>
      <c r="C27" s="30"/>
      <c r="D27" s="31">
        <f t="shared" si="1"/>
        <v>0</v>
      </c>
      <c r="E27" s="26"/>
      <c r="F27" s="31">
        <f t="shared" si="2"/>
        <v>0</v>
      </c>
      <c r="G27" s="31">
        <f t="shared" si="3"/>
        <v>0</v>
      </c>
      <c r="H27" s="32">
        <f t="shared" si="4"/>
        <v>0</v>
      </c>
      <c r="I27" s="36">
        <v>0</v>
      </c>
      <c r="J27" s="36">
        <v>0</v>
      </c>
      <c r="K27" s="36">
        <v>0</v>
      </c>
      <c r="L27" s="37">
        <f t="shared" si="0"/>
        <v>0</v>
      </c>
      <c r="M27" s="1"/>
      <c r="N27" s="7"/>
      <c r="O27" s="7"/>
      <c r="P27" s="7"/>
      <c r="Q27" s="2"/>
      <c r="R27" s="6"/>
    </row>
    <row r="28" spans="1:18" x14ac:dyDescent="0.2">
      <c r="A28" s="21"/>
      <c r="B28" s="21" t="s">
        <v>45</v>
      </c>
      <c r="C28" s="30"/>
      <c r="D28" s="31">
        <f t="shared" si="1"/>
        <v>0</v>
      </c>
      <c r="E28" s="26"/>
      <c r="F28" s="31">
        <f t="shared" si="2"/>
        <v>0</v>
      </c>
      <c r="G28" s="31">
        <f t="shared" si="3"/>
        <v>0</v>
      </c>
      <c r="H28" s="32">
        <f t="shared" si="4"/>
        <v>0</v>
      </c>
      <c r="I28" s="36">
        <v>0</v>
      </c>
      <c r="J28" s="36">
        <v>0</v>
      </c>
      <c r="K28" s="36">
        <v>0</v>
      </c>
      <c r="L28" s="37">
        <f t="shared" si="0"/>
        <v>0</v>
      </c>
      <c r="M28" s="1"/>
      <c r="N28" s="7"/>
      <c r="O28" s="7"/>
      <c r="P28" s="7"/>
      <c r="Q28" s="2"/>
      <c r="R28" s="6"/>
    </row>
    <row r="29" spans="1:18" x14ac:dyDescent="0.2">
      <c r="A29" s="21"/>
      <c r="B29" s="21" t="s">
        <v>46</v>
      </c>
      <c r="C29" s="30"/>
      <c r="D29" s="31">
        <f t="shared" si="1"/>
        <v>0</v>
      </c>
      <c r="E29" s="26"/>
      <c r="F29" s="31">
        <f t="shared" si="2"/>
        <v>0</v>
      </c>
      <c r="G29" s="31">
        <f t="shared" si="3"/>
        <v>0</v>
      </c>
      <c r="H29" s="32">
        <f t="shared" si="4"/>
        <v>0</v>
      </c>
      <c r="I29" s="36">
        <v>0</v>
      </c>
      <c r="J29" s="36">
        <v>0</v>
      </c>
      <c r="K29" s="36">
        <v>0</v>
      </c>
      <c r="L29" s="37">
        <f t="shared" si="0"/>
        <v>0</v>
      </c>
      <c r="M29" s="1"/>
      <c r="N29" s="7"/>
      <c r="O29" s="7"/>
      <c r="P29" s="7"/>
      <c r="Q29" s="2"/>
      <c r="R29" s="6"/>
    </row>
    <row r="30" spans="1:18" x14ac:dyDescent="0.2">
      <c r="A30" s="21"/>
      <c r="B30" s="21" t="s">
        <v>47</v>
      </c>
      <c r="C30" s="30"/>
      <c r="D30" s="31">
        <f t="shared" si="1"/>
        <v>0</v>
      </c>
      <c r="E30" s="26"/>
      <c r="F30" s="31">
        <f t="shared" si="2"/>
        <v>0</v>
      </c>
      <c r="G30" s="31">
        <f t="shared" si="3"/>
        <v>0</v>
      </c>
      <c r="H30" s="32">
        <f t="shared" si="4"/>
        <v>0</v>
      </c>
      <c r="I30" s="36">
        <v>0</v>
      </c>
      <c r="J30" s="36">
        <v>0</v>
      </c>
      <c r="K30" s="36">
        <v>0</v>
      </c>
      <c r="L30" s="37">
        <f>(IF(L29+H30+I30+J30+K30&lt;0,0,H30+I30+J30+K30+L29))</f>
        <v>0</v>
      </c>
      <c r="M30" s="1"/>
      <c r="N30" s="5" t="s">
        <v>0</v>
      </c>
      <c r="O30" s="5" t="s">
        <v>0</v>
      </c>
      <c r="P30" s="5" t="s">
        <v>0</v>
      </c>
      <c r="Q30" s="2"/>
      <c r="R30" s="6"/>
    </row>
    <row r="31" spans="1:18" x14ac:dyDescent="0.2">
      <c r="A31" s="21"/>
      <c r="B31" s="21" t="s">
        <v>48</v>
      </c>
      <c r="C31" s="30"/>
      <c r="D31" s="31">
        <f t="shared" si="1"/>
        <v>0</v>
      </c>
      <c r="E31" s="26"/>
      <c r="F31" s="31">
        <f t="shared" si="2"/>
        <v>0</v>
      </c>
      <c r="G31" s="31">
        <f t="shared" si="3"/>
        <v>0</v>
      </c>
      <c r="H31" s="32">
        <f t="shared" si="4"/>
        <v>0</v>
      </c>
      <c r="I31" s="36">
        <v>0</v>
      </c>
      <c r="J31" s="36">
        <v>0</v>
      </c>
      <c r="K31" s="36">
        <v>0</v>
      </c>
      <c r="L31" s="37">
        <f t="shared" ref="L31:L55" si="5">(IF(L30+H31+I31+J31+K31&lt;0,0,H31+I31+J31+K31+L30))</f>
        <v>0</v>
      </c>
      <c r="M31" s="1"/>
      <c r="N31" s="2"/>
      <c r="O31" s="8"/>
      <c r="P31" s="4"/>
      <c r="Q31" s="2"/>
      <c r="R31" s="6"/>
    </row>
    <row r="32" spans="1:18" x14ac:dyDescent="0.2">
      <c r="A32" s="21"/>
      <c r="B32" s="21" t="s">
        <v>49</v>
      </c>
      <c r="C32" s="26"/>
      <c r="D32" s="31">
        <f t="shared" si="1"/>
        <v>0</v>
      </c>
      <c r="E32" s="26"/>
      <c r="F32" s="31">
        <f t="shared" si="2"/>
        <v>0</v>
      </c>
      <c r="G32" s="31">
        <f t="shared" si="3"/>
        <v>0</v>
      </c>
      <c r="H32" s="32">
        <f t="shared" si="4"/>
        <v>0</v>
      </c>
      <c r="I32" s="36">
        <v>0</v>
      </c>
      <c r="J32" s="36">
        <v>0</v>
      </c>
      <c r="K32" s="36">
        <v>0</v>
      </c>
      <c r="L32" s="37">
        <f t="shared" si="5"/>
        <v>0</v>
      </c>
      <c r="M32" s="1"/>
      <c r="N32" s="2"/>
      <c r="O32" s="8"/>
      <c r="P32" s="4"/>
      <c r="Q32" s="2"/>
      <c r="R32" s="6"/>
    </row>
    <row r="33" spans="1:18" x14ac:dyDescent="0.2">
      <c r="A33" s="21"/>
      <c r="B33" s="21" t="s">
        <v>38</v>
      </c>
      <c r="C33" s="30"/>
      <c r="D33" s="31">
        <f t="shared" si="1"/>
        <v>0</v>
      </c>
      <c r="E33" s="26"/>
      <c r="F33" s="31">
        <f t="shared" si="2"/>
        <v>0</v>
      </c>
      <c r="G33" s="31">
        <f t="shared" si="3"/>
        <v>0</v>
      </c>
      <c r="H33" s="32">
        <f t="shared" si="4"/>
        <v>0</v>
      </c>
      <c r="I33" s="36">
        <v>0</v>
      </c>
      <c r="J33" s="36">
        <v>0</v>
      </c>
      <c r="K33" s="36">
        <v>0</v>
      </c>
      <c r="L33" s="37">
        <f t="shared" si="5"/>
        <v>0</v>
      </c>
      <c r="M33" s="1"/>
      <c r="N33" s="2"/>
      <c r="O33" s="8"/>
      <c r="P33" s="4"/>
      <c r="Q33" s="2"/>
      <c r="R33" s="6"/>
    </row>
    <row r="34" spans="1:18" x14ac:dyDescent="0.2">
      <c r="B34" s="21" t="s">
        <v>39</v>
      </c>
      <c r="C34" s="30"/>
      <c r="D34" s="31">
        <f t="shared" si="1"/>
        <v>0</v>
      </c>
      <c r="E34" s="26"/>
      <c r="F34" s="31">
        <f t="shared" si="2"/>
        <v>0</v>
      </c>
      <c r="G34" s="31">
        <f t="shared" si="3"/>
        <v>0</v>
      </c>
      <c r="H34" s="32">
        <f t="shared" si="4"/>
        <v>0</v>
      </c>
      <c r="I34" s="36">
        <v>0</v>
      </c>
      <c r="J34" s="36">
        <v>0</v>
      </c>
      <c r="K34" s="36">
        <v>0</v>
      </c>
      <c r="L34" s="37">
        <f t="shared" si="5"/>
        <v>0</v>
      </c>
      <c r="M34" s="1"/>
      <c r="N34" s="2"/>
      <c r="O34" s="8"/>
      <c r="P34" s="4"/>
      <c r="Q34" s="2"/>
      <c r="R34" s="6"/>
    </row>
    <row r="35" spans="1:18" x14ac:dyDescent="0.2">
      <c r="B35" s="21" t="s">
        <v>40</v>
      </c>
      <c r="C35" s="30"/>
      <c r="D35" s="31">
        <f t="shared" si="1"/>
        <v>0</v>
      </c>
      <c r="E35" s="26"/>
      <c r="F35" s="31">
        <f t="shared" si="2"/>
        <v>0</v>
      </c>
      <c r="G35" s="31">
        <f t="shared" si="3"/>
        <v>0</v>
      </c>
      <c r="H35" s="32">
        <f t="shared" si="4"/>
        <v>0</v>
      </c>
      <c r="I35" s="36">
        <v>0</v>
      </c>
      <c r="J35" s="36">
        <v>0</v>
      </c>
      <c r="K35" s="36">
        <v>0</v>
      </c>
      <c r="L35" s="37">
        <f t="shared" si="5"/>
        <v>0</v>
      </c>
      <c r="M35" s="1"/>
      <c r="N35" s="2"/>
      <c r="O35" s="8"/>
      <c r="P35" s="4"/>
      <c r="Q35" s="2"/>
      <c r="R35" s="6"/>
    </row>
    <row r="36" spans="1:18" x14ac:dyDescent="0.2">
      <c r="A36" s="21"/>
      <c r="B36" s="21" t="s">
        <v>41</v>
      </c>
      <c r="C36" s="30"/>
      <c r="D36" s="31">
        <f t="shared" si="1"/>
        <v>0</v>
      </c>
      <c r="E36" s="26"/>
      <c r="F36" s="31">
        <f t="shared" si="2"/>
        <v>0</v>
      </c>
      <c r="G36" s="31">
        <f t="shared" si="3"/>
        <v>0</v>
      </c>
      <c r="H36" s="32">
        <f t="shared" si="4"/>
        <v>0</v>
      </c>
      <c r="I36" s="36">
        <v>0</v>
      </c>
      <c r="J36" s="36">
        <v>0</v>
      </c>
      <c r="K36" s="36">
        <v>0</v>
      </c>
      <c r="L36" s="37">
        <f t="shared" si="5"/>
        <v>0</v>
      </c>
      <c r="M36" s="1"/>
      <c r="N36" s="2"/>
      <c r="O36" s="8"/>
      <c r="P36" s="4"/>
      <c r="Q36" s="2"/>
      <c r="R36" s="6"/>
    </row>
    <row r="37" spans="1:18" x14ac:dyDescent="0.2">
      <c r="B37" s="21" t="s">
        <v>42</v>
      </c>
      <c r="C37" s="30"/>
      <c r="D37" s="31">
        <f t="shared" si="1"/>
        <v>0</v>
      </c>
      <c r="E37" s="26"/>
      <c r="F37" s="31">
        <f t="shared" si="2"/>
        <v>0</v>
      </c>
      <c r="G37" s="31">
        <f t="shared" si="3"/>
        <v>0</v>
      </c>
      <c r="H37" s="32">
        <f t="shared" si="4"/>
        <v>0</v>
      </c>
      <c r="I37" s="36">
        <v>0</v>
      </c>
      <c r="J37" s="36">
        <v>0</v>
      </c>
      <c r="K37" s="36">
        <v>0</v>
      </c>
      <c r="L37" s="37">
        <f t="shared" si="5"/>
        <v>0</v>
      </c>
      <c r="M37" s="1"/>
      <c r="N37" s="2"/>
      <c r="O37" s="8"/>
      <c r="P37" s="4"/>
      <c r="Q37" s="2"/>
      <c r="R37" s="6"/>
    </row>
    <row r="38" spans="1:18" x14ac:dyDescent="0.2">
      <c r="B38" s="21" t="s">
        <v>43</v>
      </c>
      <c r="C38" s="30"/>
      <c r="D38" s="31">
        <f t="shared" si="1"/>
        <v>0</v>
      </c>
      <c r="E38" s="26"/>
      <c r="F38" s="31">
        <f t="shared" si="2"/>
        <v>0</v>
      </c>
      <c r="G38" s="31">
        <f t="shared" si="3"/>
        <v>0</v>
      </c>
      <c r="H38" s="32">
        <f t="shared" si="4"/>
        <v>0</v>
      </c>
      <c r="I38" s="36">
        <v>0</v>
      </c>
      <c r="J38" s="36">
        <v>0</v>
      </c>
      <c r="K38" s="36">
        <v>0</v>
      </c>
      <c r="L38" s="37">
        <f t="shared" si="5"/>
        <v>0</v>
      </c>
      <c r="M38" s="1"/>
      <c r="N38" s="2"/>
      <c r="O38" s="8"/>
      <c r="P38" s="4"/>
      <c r="Q38" s="2"/>
      <c r="R38" s="6"/>
    </row>
    <row r="39" spans="1:18" x14ac:dyDescent="0.2">
      <c r="B39" s="21" t="s">
        <v>44</v>
      </c>
      <c r="C39" s="30"/>
      <c r="D39" s="31">
        <f t="shared" si="1"/>
        <v>0</v>
      </c>
      <c r="E39" s="26"/>
      <c r="F39" s="31">
        <f t="shared" si="2"/>
        <v>0</v>
      </c>
      <c r="G39" s="31">
        <f t="shared" si="3"/>
        <v>0</v>
      </c>
      <c r="H39" s="32">
        <f t="shared" si="4"/>
        <v>0</v>
      </c>
      <c r="I39" s="36">
        <v>0</v>
      </c>
      <c r="J39" s="36">
        <v>0</v>
      </c>
      <c r="K39" s="36">
        <v>0</v>
      </c>
      <c r="L39" s="37">
        <f t="shared" si="5"/>
        <v>0</v>
      </c>
      <c r="M39" s="1"/>
      <c r="N39" s="2"/>
      <c r="O39" s="8"/>
      <c r="P39" s="4"/>
      <c r="Q39" s="2"/>
      <c r="R39" s="6"/>
    </row>
    <row r="40" spans="1:18" x14ac:dyDescent="0.2">
      <c r="B40" s="21" t="s">
        <v>45</v>
      </c>
      <c r="C40" s="30"/>
      <c r="D40" s="31">
        <f t="shared" si="1"/>
        <v>0</v>
      </c>
      <c r="E40" s="26"/>
      <c r="F40" s="31">
        <f t="shared" si="2"/>
        <v>0</v>
      </c>
      <c r="G40" s="31">
        <f t="shared" si="3"/>
        <v>0</v>
      </c>
      <c r="H40" s="32">
        <f t="shared" si="4"/>
        <v>0</v>
      </c>
      <c r="I40" s="36">
        <v>0</v>
      </c>
      <c r="J40" s="36">
        <v>0</v>
      </c>
      <c r="K40" s="36">
        <v>0</v>
      </c>
      <c r="L40" s="37">
        <f t="shared" si="5"/>
        <v>0</v>
      </c>
      <c r="M40" s="1"/>
      <c r="N40" s="2"/>
      <c r="O40" s="8"/>
      <c r="P40" s="4"/>
      <c r="Q40" s="2"/>
      <c r="R40" s="6"/>
    </row>
    <row r="41" spans="1:18" x14ac:dyDescent="0.2">
      <c r="B41" s="21" t="s">
        <v>46</v>
      </c>
      <c r="C41" s="30"/>
      <c r="D41" s="31">
        <f t="shared" si="1"/>
        <v>0</v>
      </c>
      <c r="E41" s="26"/>
      <c r="F41" s="31">
        <f t="shared" si="2"/>
        <v>0</v>
      </c>
      <c r="G41" s="31">
        <f t="shared" si="3"/>
        <v>0</v>
      </c>
      <c r="H41" s="32">
        <f t="shared" si="4"/>
        <v>0</v>
      </c>
      <c r="I41" s="36">
        <v>0</v>
      </c>
      <c r="J41" s="36">
        <v>0</v>
      </c>
      <c r="K41" s="36">
        <v>0</v>
      </c>
      <c r="L41" s="37">
        <f t="shared" si="5"/>
        <v>0</v>
      </c>
      <c r="M41" s="1"/>
      <c r="N41" s="2"/>
      <c r="O41" s="8"/>
      <c r="P41" s="4"/>
      <c r="Q41" s="2"/>
      <c r="R41" s="6"/>
    </row>
    <row r="42" spans="1:18" x14ac:dyDescent="0.2">
      <c r="B42" s="21" t="s">
        <v>47</v>
      </c>
      <c r="C42" s="30"/>
      <c r="D42" s="31">
        <f t="shared" si="1"/>
        <v>0</v>
      </c>
      <c r="E42" s="26"/>
      <c r="F42" s="31">
        <f t="shared" si="2"/>
        <v>0</v>
      </c>
      <c r="G42" s="31">
        <f t="shared" si="3"/>
        <v>0</v>
      </c>
      <c r="H42" s="32">
        <f t="shared" si="4"/>
        <v>0</v>
      </c>
      <c r="I42" s="36">
        <v>0</v>
      </c>
      <c r="J42" s="36">
        <v>0</v>
      </c>
      <c r="K42" s="36">
        <v>0</v>
      </c>
      <c r="L42" s="37">
        <f t="shared" si="5"/>
        <v>0</v>
      </c>
      <c r="M42" s="1"/>
      <c r="N42" s="2"/>
      <c r="O42" s="8"/>
      <c r="P42" s="4"/>
      <c r="Q42" s="2"/>
      <c r="R42" s="6"/>
    </row>
    <row r="43" spans="1:18" x14ac:dyDescent="0.2">
      <c r="B43" s="21" t="s">
        <v>48</v>
      </c>
      <c r="C43" s="30"/>
      <c r="D43" s="31">
        <f t="shared" si="1"/>
        <v>0</v>
      </c>
      <c r="E43" s="26"/>
      <c r="F43" s="31">
        <f t="shared" si="2"/>
        <v>0</v>
      </c>
      <c r="G43" s="31">
        <f t="shared" si="3"/>
        <v>0</v>
      </c>
      <c r="H43" s="32">
        <f t="shared" si="4"/>
        <v>0</v>
      </c>
      <c r="I43" s="36">
        <v>0</v>
      </c>
      <c r="J43" s="36">
        <v>0</v>
      </c>
      <c r="K43" s="36">
        <v>0</v>
      </c>
      <c r="L43" s="37">
        <f t="shared" si="5"/>
        <v>0</v>
      </c>
      <c r="M43" s="1"/>
      <c r="N43" s="2"/>
      <c r="O43" s="8"/>
      <c r="P43" s="4"/>
      <c r="Q43" s="2"/>
      <c r="R43" s="6"/>
    </row>
    <row r="44" spans="1:18" x14ac:dyDescent="0.2">
      <c r="A44" s="21"/>
      <c r="B44" s="21" t="s">
        <v>49</v>
      </c>
      <c r="C44" s="26"/>
      <c r="D44" s="31">
        <f t="shared" si="1"/>
        <v>0</v>
      </c>
      <c r="E44" s="26"/>
      <c r="F44" s="31">
        <f t="shared" si="2"/>
        <v>0</v>
      </c>
      <c r="G44" s="31">
        <f t="shared" si="3"/>
        <v>0</v>
      </c>
      <c r="H44" s="32">
        <f t="shared" si="4"/>
        <v>0</v>
      </c>
      <c r="I44" s="36">
        <v>0</v>
      </c>
      <c r="J44" s="36">
        <v>0</v>
      </c>
      <c r="K44" s="36">
        <v>0</v>
      </c>
      <c r="L44" s="37">
        <f t="shared" si="5"/>
        <v>0</v>
      </c>
      <c r="M44" s="1"/>
      <c r="N44" s="2"/>
      <c r="O44" s="8"/>
      <c r="P44" s="4"/>
      <c r="Q44" s="2"/>
      <c r="R44" s="6"/>
    </row>
    <row r="45" spans="1:18" x14ac:dyDescent="0.2">
      <c r="B45" s="21" t="s">
        <v>38</v>
      </c>
      <c r="C45" s="30"/>
      <c r="D45" s="31">
        <f t="shared" si="1"/>
        <v>0</v>
      </c>
      <c r="E45" s="26"/>
      <c r="F45" s="31">
        <f t="shared" si="2"/>
        <v>0</v>
      </c>
      <c r="G45" s="31">
        <f t="shared" si="3"/>
        <v>0</v>
      </c>
      <c r="H45" s="32">
        <f t="shared" si="4"/>
        <v>0</v>
      </c>
      <c r="I45" s="36">
        <v>0</v>
      </c>
      <c r="J45" s="36">
        <v>0</v>
      </c>
      <c r="K45" s="36">
        <v>0</v>
      </c>
      <c r="L45" s="37">
        <f t="shared" si="5"/>
        <v>0</v>
      </c>
      <c r="M45" s="1"/>
      <c r="N45" s="2"/>
      <c r="O45" s="8"/>
      <c r="P45" s="4"/>
      <c r="Q45" s="2"/>
      <c r="R45" s="6"/>
    </row>
    <row r="46" spans="1:18" x14ac:dyDescent="0.2">
      <c r="B46" s="21" t="s">
        <v>39</v>
      </c>
      <c r="C46" s="30"/>
      <c r="D46" s="31">
        <f t="shared" si="1"/>
        <v>0</v>
      </c>
      <c r="E46" s="26"/>
      <c r="F46" s="31">
        <f t="shared" si="2"/>
        <v>0</v>
      </c>
      <c r="G46" s="31">
        <f t="shared" si="3"/>
        <v>0</v>
      </c>
      <c r="H46" s="32">
        <f t="shared" si="4"/>
        <v>0</v>
      </c>
      <c r="I46" s="36">
        <v>0</v>
      </c>
      <c r="J46" s="36">
        <v>0</v>
      </c>
      <c r="K46" s="36">
        <v>0</v>
      </c>
      <c r="L46" s="37">
        <f t="shared" si="5"/>
        <v>0</v>
      </c>
      <c r="M46" s="1"/>
      <c r="N46" s="2"/>
      <c r="O46" s="8"/>
      <c r="P46" s="4"/>
      <c r="Q46" s="2"/>
      <c r="R46" s="6"/>
    </row>
    <row r="47" spans="1:18" x14ac:dyDescent="0.2">
      <c r="B47" s="21" t="s">
        <v>40</v>
      </c>
      <c r="C47" s="30"/>
      <c r="D47" s="31">
        <f t="shared" si="1"/>
        <v>0</v>
      </c>
      <c r="E47" s="26"/>
      <c r="F47" s="31">
        <f t="shared" si="2"/>
        <v>0</v>
      </c>
      <c r="G47" s="31">
        <f t="shared" si="3"/>
        <v>0</v>
      </c>
      <c r="H47" s="32">
        <f t="shared" si="4"/>
        <v>0</v>
      </c>
      <c r="I47" s="36">
        <v>0</v>
      </c>
      <c r="J47" s="36">
        <v>0</v>
      </c>
      <c r="K47" s="36">
        <v>0</v>
      </c>
      <c r="L47" s="37">
        <f t="shared" si="5"/>
        <v>0</v>
      </c>
      <c r="M47" s="1"/>
      <c r="N47" s="2"/>
      <c r="O47" s="8"/>
      <c r="P47" s="4"/>
      <c r="Q47" s="2"/>
      <c r="R47" s="6"/>
    </row>
    <row r="48" spans="1:18" x14ac:dyDescent="0.2">
      <c r="A48" s="21"/>
      <c r="B48" s="21" t="s">
        <v>41</v>
      </c>
      <c r="C48" s="30"/>
      <c r="D48" s="31">
        <f t="shared" si="1"/>
        <v>0</v>
      </c>
      <c r="E48" s="26"/>
      <c r="F48" s="31">
        <f t="shared" si="2"/>
        <v>0</v>
      </c>
      <c r="G48" s="31">
        <f t="shared" si="3"/>
        <v>0</v>
      </c>
      <c r="H48" s="32">
        <f t="shared" si="4"/>
        <v>0</v>
      </c>
      <c r="I48" s="36">
        <v>0</v>
      </c>
      <c r="J48" s="36">
        <v>0</v>
      </c>
      <c r="K48" s="36">
        <v>0</v>
      </c>
      <c r="L48" s="37">
        <f t="shared" si="5"/>
        <v>0</v>
      </c>
      <c r="M48" s="1"/>
      <c r="N48" s="2"/>
      <c r="O48" s="8"/>
      <c r="P48" s="4"/>
      <c r="Q48" s="2"/>
      <c r="R48" s="6"/>
    </row>
    <row r="49" spans="1:15" x14ac:dyDescent="0.2">
      <c r="A49" s="21"/>
      <c r="B49" s="21" t="s">
        <v>42</v>
      </c>
      <c r="C49" s="30"/>
      <c r="D49" s="31">
        <f t="shared" si="1"/>
        <v>0</v>
      </c>
      <c r="E49" s="26"/>
      <c r="F49" s="31">
        <f t="shared" si="2"/>
        <v>0</v>
      </c>
      <c r="G49" s="31">
        <f t="shared" si="3"/>
        <v>0</v>
      </c>
      <c r="H49" s="32">
        <f t="shared" si="4"/>
        <v>0</v>
      </c>
      <c r="I49" s="36">
        <v>0</v>
      </c>
      <c r="J49" s="36">
        <v>0</v>
      </c>
      <c r="K49" s="36">
        <v>0</v>
      </c>
      <c r="L49" s="37">
        <f t="shared" si="5"/>
        <v>0</v>
      </c>
      <c r="M49" s="1"/>
      <c r="N49" s="2"/>
      <c r="O49" s="2"/>
    </row>
    <row r="50" spans="1:15" x14ac:dyDescent="0.2">
      <c r="A50" s="21"/>
      <c r="B50" s="21" t="s">
        <v>43</v>
      </c>
      <c r="C50" s="30"/>
      <c r="D50" s="31">
        <f t="shared" si="1"/>
        <v>0</v>
      </c>
      <c r="E50" s="26"/>
      <c r="F50" s="31">
        <f t="shared" si="2"/>
        <v>0</v>
      </c>
      <c r="G50" s="31">
        <f t="shared" si="3"/>
        <v>0</v>
      </c>
      <c r="H50" s="32">
        <f t="shared" si="4"/>
        <v>0</v>
      </c>
      <c r="I50" s="36">
        <v>0</v>
      </c>
      <c r="J50" s="36">
        <v>0</v>
      </c>
      <c r="K50" s="36">
        <v>0</v>
      </c>
      <c r="L50" s="37">
        <f t="shared" si="5"/>
        <v>0</v>
      </c>
      <c r="M50" s="1"/>
      <c r="N50" s="2"/>
      <c r="O50" s="2"/>
    </row>
    <row r="51" spans="1:15" x14ac:dyDescent="0.2">
      <c r="A51" s="21"/>
      <c r="B51" s="21" t="s">
        <v>44</v>
      </c>
      <c r="C51" s="30"/>
      <c r="D51" s="31">
        <f t="shared" si="1"/>
        <v>0</v>
      </c>
      <c r="E51" s="26"/>
      <c r="F51" s="31">
        <f t="shared" si="2"/>
        <v>0</v>
      </c>
      <c r="G51" s="31">
        <f t="shared" si="3"/>
        <v>0</v>
      </c>
      <c r="H51" s="32">
        <f t="shared" si="4"/>
        <v>0</v>
      </c>
      <c r="I51" s="36">
        <v>0</v>
      </c>
      <c r="J51" s="36">
        <v>0</v>
      </c>
      <c r="K51" s="36">
        <v>0</v>
      </c>
      <c r="L51" s="37">
        <f t="shared" si="5"/>
        <v>0</v>
      </c>
      <c r="M51" s="1"/>
      <c r="N51" s="2"/>
      <c r="O51" s="2"/>
    </row>
    <row r="52" spans="1:15" x14ac:dyDescent="0.2">
      <c r="A52" s="21"/>
      <c r="B52" s="21" t="s">
        <v>45</v>
      </c>
      <c r="C52" s="30"/>
      <c r="D52" s="31">
        <f t="shared" si="1"/>
        <v>0</v>
      </c>
      <c r="E52" s="26"/>
      <c r="F52" s="31">
        <f t="shared" si="2"/>
        <v>0</v>
      </c>
      <c r="G52" s="31">
        <f t="shared" si="3"/>
        <v>0</v>
      </c>
      <c r="H52" s="32">
        <f t="shared" si="4"/>
        <v>0</v>
      </c>
      <c r="I52" s="36">
        <v>0</v>
      </c>
      <c r="J52" s="36">
        <v>0</v>
      </c>
      <c r="K52" s="36">
        <v>0</v>
      </c>
      <c r="L52" s="37">
        <f t="shared" si="5"/>
        <v>0</v>
      </c>
      <c r="M52" s="1"/>
      <c r="N52" s="2"/>
      <c r="O52" s="2"/>
    </row>
    <row r="53" spans="1:15" x14ac:dyDescent="0.2">
      <c r="A53" s="21"/>
      <c r="B53" s="21" t="s">
        <v>46</v>
      </c>
      <c r="C53" s="30"/>
      <c r="D53" s="31">
        <f t="shared" si="1"/>
        <v>0</v>
      </c>
      <c r="E53" s="26"/>
      <c r="F53" s="31">
        <f t="shared" si="2"/>
        <v>0</v>
      </c>
      <c r="G53" s="31">
        <f t="shared" si="3"/>
        <v>0</v>
      </c>
      <c r="H53" s="32">
        <f t="shared" si="4"/>
        <v>0</v>
      </c>
      <c r="I53" s="36">
        <v>0</v>
      </c>
      <c r="J53" s="36">
        <v>0</v>
      </c>
      <c r="K53" s="36">
        <v>0</v>
      </c>
      <c r="L53" s="37">
        <f t="shared" si="5"/>
        <v>0</v>
      </c>
      <c r="M53" s="1"/>
      <c r="N53" s="2"/>
      <c r="O53" s="2"/>
    </row>
    <row r="54" spans="1:15" x14ac:dyDescent="0.2">
      <c r="A54" s="21"/>
      <c r="B54" s="21" t="s">
        <v>47</v>
      </c>
      <c r="C54" s="30"/>
      <c r="D54" s="31">
        <f t="shared" si="1"/>
        <v>0</v>
      </c>
      <c r="E54" s="26"/>
      <c r="F54" s="31">
        <f t="shared" si="2"/>
        <v>0</v>
      </c>
      <c r="G54" s="31">
        <f t="shared" si="3"/>
        <v>0</v>
      </c>
      <c r="H54" s="32">
        <f t="shared" si="4"/>
        <v>0</v>
      </c>
      <c r="I54" s="36">
        <v>0</v>
      </c>
      <c r="J54" s="36">
        <v>0</v>
      </c>
      <c r="K54" s="36">
        <v>0</v>
      </c>
      <c r="L54" s="37">
        <f t="shared" si="5"/>
        <v>0</v>
      </c>
      <c r="M54" s="1"/>
      <c r="N54" s="2"/>
      <c r="O54" s="2"/>
    </row>
    <row r="55" spans="1:15" x14ac:dyDescent="0.2">
      <c r="A55" s="21"/>
      <c r="B55" s="21" t="s">
        <v>48</v>
      </c>
      <c r="C55" s="30"/>
      <c r="D55" s="31">
        <f t="shared" si="1"/>
        <v>0</v>
      </c>
      <c r="E55" s="26"/>
      <c r="F55" s="31">
        <f t="shared" si="2"/>
        <v>0</v>
      </c>
      <c r="G55" s="31">
        <f t="shared" si="3"/>
        <v>0</v>
      </c>
      <c r="H55" s="32">
        <f t="shared" si="4"/>
        <v>0</v>
      </c>
      <c r="I55" s="36">
        <v>0</v>
      </c>
      <c r="J55" s="36">
        <v>0</v>
      </c>
      <c r="K55" s="36">
        <v>0</v>
      </c>
      <c r="L55" s="37">
        <f t="shared" si="5"/>
        <v>0</v>
      </c>
      <c r="M55" s="1"/>
      <c r="N55" s="2"/>
      <c r="O55" s="2"/>
    </row>
    <row r="56" spans="1:15" x14ac:dyDescent="0.2">
      <c r="A56" s="21"/>
      <c r="B56" s="21" t="s">
        <v>49</v>
      </c>
      <c r="C56" s="26"/>
      <c r="D56" s="31">
        <f t="shared" si="1"/>
        <v>0</v>
      </c>
      <c r="E56" s="26"/>
      <c r="F56" s="31">
        <f t="shared" si="2"/>
        <v>0</v>
      </c>
      <c r="G56" s="31">
        <f>D56-F56</f>
        <v>0</v>
      </c>
      <c r="H56" s="32">
        <f>(D56*$G$13)-(($G$12+$G$13)/2)*F56</f>
        <v>0</v>
      </c>
      <c r="I56" s="36">
        <v>0</v>
      </c>
      <c r="J56" s="36">
        <v>0</v>
      </c>
      <c r="K56" s="36">
        <v>0</v>
      </c>
      <c r="L56" s="37">
        <f>(IF(L55+H56+I56+J56+K56&lt;0,0,H56+I56+J56+K56+L55))</f>
        <v>0</v>
      </c>
      <c r="M56" s="1"/>
      <c r="N56" s="2"/>
      <c r="O56" s="2"/>
    </row>
    <row r="57" spans="1:15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1"/>
      <c r="N57" s="2"/>
      <c r="O57" s="2"/>
    </row>
    <row r="58" spans="1:15" x14ac:dyDescent="0.2">
      <c r="A58" s="21"/>
      <c r="B58" s="57" t="s">
        <v>67</v>
      </c>
      <c r="C58" s="57"/>
      <c r="D58" s="57"/>
      <c r="E58" s="54"/>
      <c r="F58" s="50" t="s">
        <v>62</v>
      </c>
      <c r="G58" s="57" t="s">
        <v>66</v>
      </c>
      <c r="H58" s="57"/>
      <c r="I58" s="57"/>
      <c r="J58" s="54"/>
      <c r="K58" s="50" t="s">
        <v>62</v>
      </c>
      <c r="L58" s="50"/>
      <c r="M58" s="1"/>
      <c r="N58" s="2"/>
      <c r="O58" s="2"/>
    </row>
    <row r="59" spans="1:15" x14ac:dyDescent="0.2">
      <c r="A59" s="1"/>
      <c r="B59" s="57" t="s">
        <v>68</v>
      </c>
      <c r="C59" s="57"/>
      <c r="D59" s="57"/>
      <c r="E59" s="50"/>
      <c r="F59" s="50"/>
      <c r="G59" s="50"/>
      <c r="H59" s="50"/>
      <c r="I59" s="50"/>
      <c r="J59" s="50"/>
      <c r="K59" s="50"/>
      <c r="L59" s="50"/>
      <c r="M59" s="1"/>
      <c r="N59" s="2"/>
      <c r="O59" s="2"/>
    </row>
    <row r="60" spans="1: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">
      <c r="A61" s="2"/>
      <c r="B61" s="3" t="s">
        <v>56</v>
      </c>
      <c r="C61" s="2"/>
      <c r="D61" s="2"/>
      <c r="E61" s="2"/>
      <c r="F61" s="2"/>
      <c r="G61" s="2"/>
      <c r="H61" s="2"/>
      <c r="I61" s="41">
        <f>G13*$C$15/12</f>
        <v>0</v>
      </c>
      <c r="J61" s="3" t="s">
        <v>57</v>
      </c>
      <c r="K61" s="2"/>
      <c r="L61" s="2"/>
      <c r="M61" s="2"/>
      <c r="N61" s="2"/>
      <c r="O61" s="2"/>
    </row>
    <row r="62" spans="1:15" x14ac:dyDescent="0.2">
      <c r="A62" s="2"/>
      <c r="B62" s="3" t="s">
        <v>64</v>
      </c>
      <c r="C62" s="2"/>
      <c r="D62" s="2"/>
      <c r="E62" s="2"/>
      <c r="F62" s="2"/>
      <c r="G62" s="2"/>
      <c r="H62" s="2"/>
      <c r="I62" s="53"/>
      <c r="J62" s="3" t="s">
        <v>57</v>
      </c>
      <c r="K62" s="2"/>
      <c r="L62" s="2"/>
      <c r="M62" s="2"/>
      <c r="N62" s="2"/>
      <c r="O62" s="2"/>
    </row>
    <row r="63" spans="1:15" x14ac:dyDescent="0.2">
      <c r="A63" s="2"/>
      <c r="B63" s="3" t="s">
        <v>63</v>
      </c>
      <c r="C63" s="2"/>
      <c r="D63" s="2"/>
      <c r="E63" s="38"/>
      <c r="F63" s="2"/>
      <c r="G63" s="2"/>
      <c r="H63" s="2"/>
      <c r="I63" s="39">
        <f>I62+I61</f>
        <v>0</v>
      </c>
      <c r="J63" s="40" t="s">
        <v>57</v>
      </c>
      <c r="K63" s="2"/>
      <c r="L63" s="2"/>
      <c r="M63" s="2"/>
      <c r="N63" s="2"/>
      <c r="O63" s="2"/>
    </row>
    <row r="64" spans="1: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2:15" x14ac:dyDescent="0.2">
      <c r="L65" s="2"/>
      <c r="M65" s="2"/>
      <c r="N65" s="2"/>
      <c r="O65" s="2"/>
    </row>
    <row r="66" spans="12:15" x14ac:dyDescent="0.2">
      <c r="L66" s="2"/>
      <c r="M66" s="2"/>
      <c r="N66" s="2"/>
      <c r="O66" s="2"/>
    </row>
    <row r="67" spans="12:15" x14ac:dyDescent="0.2">
      <c r="L67" s="2"/>
      <c r="M67" s="2"/>
      <c r="N67" s="2"/>
      <c r="O67" s="2"/>
    </row>
    <row r="68" spans="12:15" x14ac:dyDescent="0.2">
      <c r="L68" s="2"/>
      <c r="M68" s="2"/>
      <c r="N68" s="2"/>
      <c r="O68" s="2"/>
    </row>
    <row r="69" spans="12:15" x14ac:dyDescent="0.2">
      <c r="L69" s="2"/>
      <c r="M69" s="2"/>
      <c r="N69" s="2"/>
      <c r="O69" s="2"/>
    </row>
  </sheetData>
  <mergeCells count="13">
    <mergeCell ref="B59:D59"/>
    <mergeCell ref="C10:F10"/>
    <mergeCell ref="B8:H8"/>
    <mergeCell ref="I8:K8"/>
    <mergeCell ref="F4:K4"/>
    <mergeCell ref="A6:B6"/>
    <mergeCell ref="C6:D6"/>
    <mergeCell ref="A13:B13"/>
    <mergeCell ref="G16:H16"/>
    <mergeCell ref="A12:B12"/>
    <mergeCell ref="A15:B15"/>
    <mergeCell ref="B58:D58"/>
    <mergeCell ref="G58:I58"/>
  </mergeCells>
  <phoneticPr fontId="0" type="noConversion"/>
  <pageMargins left="0.5" right="0.25" top="0.5" bottom="0.5" header="0.5" footer="0.5"/>
  <pageSetup scale="92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0"/>
  <sheetViews>
    <sheetView tabSelected="1" workbookViewId="0">
      <selection activeCell="Q39" sqref="Q39"/>
    </sheetView>
  </sheetViews>
  <sheetFormatPr defaultRowHeight="12.75" x14ac:dyDescent="0.2"/>
  <cols>
    <col min="1" max="8" width="7.7109375" customWidth="1"/>
    <col min="9" max="9" width="13.42578125" customWidth="1"/>
    <col min="10" max="10" width="11.140625" customWidth="1"/>
    <col min="11" max="11" width="13.5703125" customWidth="1"/>
    <col min="12" max="12" width="9.5703125" customWidth="1"/>
    <col min="13" max="16" width="7.28515625" customWidth="1"/>
  </cols>
  <sheetData>
    <row r="1" spans="1:15" ht="9.9499999999999993" customHeight="1" x14ac:dyDescent="0.2">
      <c r="A1" s="9" t="s">
        <v>12</v>
      </c>
      <c r="B1" s="9"/>
      <c r="C1" s="9"/>
      <c r="D1" s="9"/>
      <c r="E1" s="9"/>
      <c r="F1" s="9"/>
      <c r="G1" s="9" t="s">
        <v>2</v>
      </c>
      <c r="H1" s="9"/>
      <c r="I1" s="9"/>
      <c r="J1" s="9"/>
      <c r="K1" s="9"/>
      <c r="L1" s="3"/>
      <c r="M1" s="1"/>
      <c r="N1" s="1"/>
      <c r="O1" s="1"/>
    </row>
    <row r="2" spans="1:15" ht="9.9499999999999993" customHeight="1" x14ac:dyDescent="0.2">
      <c r="A2" s="46" t="s">
        <v>0</v>
      </c>
      <c r="B2" s="46"/>
      <c r="C2" s="46"/>
      <c r="D2" s="46"/>
      <c r="E2" s="46"/>
      <c r="F2" s="46"/>
      <c r="G2" s="46" t="s">
        <v>1</v>
      </c>
      <c r="H2" s="46"/>
      <c r="I2" s="46"/>
      <c r="J2" s="46"/>
      <c r="K2" s="11"/>
      <c r="L2" s="3"/>
      <c r="M2" s="1"/>
      <c r="N2" s="1"/>
      <c r="O2" s="1"/>
    </row>
    <row r="3" spans="1:15" ht="9.9499999999999993" customHeight="1" x14ac:dyDescent="0.2">
      <c r="A3" s="12" t="s">
        <v>3</v>
      </c>
      <c r="B3" s="12"/>
      <c r="C3" s="12" t="s">
        <v>0</v>
      </c>
      <c r="D3" s="12"/>
      <c r="E3" s="17" t="s">
        <v>6</v>
      </c>
      <c r="F3" s="12"/>
      <c r="G3" s="12"/>
      <c r="H3" s="12"/>
      <c r="I3" s="12"/>
      <c r="J3" s="12"/>
      <c r="K3" s="13"/>
      <c r="L3" s="3"/>
      <c r="M3" s="1"/>
      <c r="N3" s="1"/>
      <c r="O3" s="1"/>
    </row>
    <row r="4" spans="1:15" ht="9.9499999999999993" customHeight="1" x14ac:dyDescent="0.2">
      <c r="A4" s="46"/>
      <c r="B4" s="44" t="s">
        <v>11</v>
      </c>
      <c r="C4" s="46"/>
      <c r="D4" s="46"/>
      <c r="E4" s="45"/>
      <c r="F4" s="60"/>
      <c r="G4" s="61"/>
      <c r="H4" s="61"/>
      <c r="I4" s="61"/>
      <c r="J4" s="61"/>
      <c r="K4" s="61"/>
      <c r="L4" s="3"/>
      <c r="M4" s="1"/>
      <c r="N4" s="1"/>
      <c r="O4" s="1"/>
    </row>
    <row r="5" spans="1:15" ht="9.9499999999999993" customHeight="1" x14ac:dyDescent="0.2">
      <c r="A5" s="12" t="s">
        <v>4</v>
      </c>
      <c r="B5" s="16"/>
      <c r="C5" s="12" t="s">
        <v>7</v>
      </c>
      <c r="D5" s="12"/>
      <c r="E5" s="19" t="s">
        <v>8</v>
      </c>
      <c r="F5" s="14"/>
      <c r="G5" s="12" t="s">
        <v>7</v>
      </c>
      <c r="H5" s="14"/>
      <c r="I5" s="12" t="s">
        <v>9</v>
      </c>
      <c r="J5" s="12"/>
      <c r="K5" s="13"/>
      <c r="L5" s="3"/>
      <c r="M5" s="1"/>
      <c r="N5" s="1"/>
      <c r="O5" s="1"/>
    </row>
    <row r="6" spans="1:15" ht="9.9499999999999993" customHeight="1" x14ac:dyDescent="0.2">
      <c r="A6" s="58"/>
      <c r="B6" s="65"/>
      <c r="C6" s="66"/>
      <c r="D6" s="65"/>
      <c r="E6" s="45"/>
      <c r="F6" s="15"/>
      <c r="G6" s="46"/>
      <c r="H6" s="15"/>
      <c r="I6" s="46"/>
      <c r="J6" s="46"/>
      <c r="K6" s="46"/>
      <c r="L6" s="3"/>
      <c r="M6" s="1"/>
      <c r="N6" s="1"/>
      <c r="O6" s="1"/>
    </row>
    <row r="7" spans="1:15" ht="9.9499999999999993" customHeight="1" x14ac:dyDescent="0.2">
      <c r="A7" s="9" t="s">
        <v>5</v>
      </c>
      <c r="B7" s="9"/>
      <c r="C7" s="9"/>
      <c r="D7" s="9"/>
      <c r="E7" s="9"/>
      <c r="F7" s="9"/>
      <c r="G7" s="9"/>
      <c r="H7" s="16"/>
      <c r="I7" s="9"/>
      <c r="J7" s="9"/>
      <c r="K7" s="9"/>
      <c r="L7" s="3"/>
      <c r="M7" s="1"/>
      <c r="N7" s="1"/>
      <c r="O7" s="1"/>
    </row>
    <row r="8" spans="1:15" ht="9.9499999999999993" customHeight="1" x14ac:dyDescent="0.2">
      <c r="A8" s="46"/>
      <c r="B8" s="60" t="s">
        <v>65</v>
      </c>
      <c r="C8" s="61"/>
      <c r="D8" s="61"/>
      <c r="E8" s="61"/>
      <c r="F8" s="61"/>
      <c r="G8" s="61"/>
      <c r="H8" s="62"/>
      <c r="I8" s="63" t="s">
        <v>10</v>
      </c>
      <c r="J8" s="64"/>
      <c r="K8" s="64"/>
      <c r="L8" s="3"/>
      <c r="M8" s="1"/>
      <c r="N8" s="1"/>
      <c r="O8" s="1"/>
    </row>
    <row r="9" spans="1:15" ht="12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3"/>
      <c r="M9" s="1"/>
      <c r="N9" s="1"/>
      <c r="O9" s="1"/>
    </row>
    <row r="10" spans="1:15" ht="12.75" customHeight="1" x14ac:dyDescent="0.2">
      <c r="A10" s="20"/>
      <c r="B10" s="42" t="s">
        <v>0</v>
      </c>
      <c r="C10" s="58" t="s">
        <v>13</v>
      </c>
      <c r="D10" s="59"/>
      <c r="E10" s="59"/>
      <c r="F10" s="59"/>
      <c r="G10" s="43" t="s">
        <v>14</v>
      </c>
      <c r="I10" s="43" t="s">
        <v>54</v>
      </c>
      <c r="J10" s="23"/>
      <c r="K10" s="43" t="s">
        <v>55</v>
      </c>
      <c r="L10" s="42"/>
      <c r="M10" s="1"/>
      <c r="N10" s="1"/>
      <c r="O10" s="1"/>
    </row>
    <row r="11" spans="1:15" x14ac:dyDescent="0.2">
      <c r="A11" s="20"/>
      <c r="B11" s="42" t="s">
        <v>0</v>
      </c>
      <c r="C11" s="43" t="s">
        <v>16</v>
      </c>
      <c r="D11" s="43" t="s">
        <v>17</v>
      </c>
      <c r="E11" s="43" t="s">
        <v>18</v>
      </c>
      <c r="F11" s="43" t="s">
        <v>19</v>
      </c>
      <c r="G11" s="43" t="s">
        <v>20</v>
      </c>
      <c r="I11" s="43" t="s">
        <v>21</v>
      </c>
      <c r="J11" s="23"/>
      <c r="K11" s="43" t="s">
        <v>21</v>
      </c>
      <c r="L11" s="42"/>
      <c r="M11" s="1"/>
      <c r="N11" s="1"/>
      <c r="O11" s="1"/>
    </row>
    <row r="12" spans="1:15" x14ac:dyDescent="0.2">
      <c r="A12" s="55" t="s">
        <v>22</v>
      </c>
      <c r="B12" s="56"/>
      <c r="C12" s="24"/>
      <c r="D12" s="24"/>
      <c r="E12" s="25"/>
      <c r="F12" s="26"/>
      <c r="G12" s="42">
        <f>C12*D12</f>
        <v>0</v>
      </c>
      <c r="I12" s="35"/>
      <c r="J12" s="23" t="s">
        <v>0</v>
      </c>
      <c r="K12" s="35"/>
      <c r="L12" s="34"/>
      <c r="M12" s="34" t="s">
        <v>0</v>
      </c>
      <c r="N12" s="1"/>
      <c r="O12" s="1"/>
    </row>
    <row r="13" spans="1:15" x14ac:dyDescent="0.2">
      <c r="A13" s="55" t="s">
        <v>23</v>
      </c>
      <c r="B13" s="56"/>
      <c r="C13" s="27">
        <f>2*($E$12*$F$12)+C12</f>
        <v>0</v>
      </c>
      <c r="D13" s="27">
        <f>2*($E$12*$F$12)+D12</f>
        <v>0</v>
      </c>
      <c r="E13" s="28"/>
      <c r="F13" s="42"/>
      <c r="G13" s="42">
        <f>C13*D13</f>
        <v>0</v>
      </c>
      <c r="H13" s="23"/>
      <c r="I13" s="23"/>
      <c r="J13" s="23"/>
      <c r="K13" s="23"/>
      <c r="L13" s="42"/>
      <c r="M13" s="1"/>
      <c r="N13" s="1"/>
      <c r="O13" s="1"/>
    </row>
    <row r="14" spans="1:15" x14ac:dyDescent="0.2">
      <c r="A14" s="48"/>
      <c r="B14" s="49"/>
      <c r="C14" s="28"/>
      <c r="D14" s="28"/>
      <c r="E14" s="28"/>
      <c r="F14" s="48"/>
      <c r="G14" s="48"/>
      <c r="H14" s="23"/>
      <c r="I14" s="23"/>
      <c r="J14" s="23"/>
      <c r="K14" s="23"/>
      <c r="L14" s="48"/>
      <c r="M14" s="1"/>
      <c r="N14" s="1"/>
      <c r="O14" s="1"/>
    </row>
    <row r="15" spans="1:15" x14ac:dyDescent="0.2">
      <c r="A15" s="55" t="s">
        <v>61</v>
      </c>
      <c r="B15" s="55"/>
      <c r="C15" s="51"/>
      <c r="D15" s="52" t="s">
        <v>62</v>
      </c>
      <c r="E15" s="28"/>
      <c r="F15" s="48"/>
      <c r="G15" s="48"/>
      <c r="H15" s="23"/>
      <c r="I15" s="23"/>
      <c r="J15" s="23"/>
      <c r="K15" s="23"/>
      <c r="L15" s="48"/>
      <c r="M15" s="1"/>
      <c r="N15" s="1"/>
      <c r="O15" s="1"/>
    </row>
    <row r="16" spans="1:15" x14ac:dyDescent="0.2">
      <c r="A16" s="48"/>
      <c r="B16" s="48"/>
      <c r="C16" s="28"/>
      <c r="D16" s="52"/>
      <c r="E16" s="28"/>
      <c r="F16" s="48"/>
      <c r="G16" s="48"/>
      <c r="H16" s="23"/>
      <c r="I16" s="23"/>
      <c r="J16" s="23"/>
      <c r="K16" s="23"/>
      <c r="L16" s="48"/>
      <c r="M16" s="1"/>
      <c r="N16" s="1"/>
      <c r="O16" s="1"/>
    </row>
    <row r="17" spans="1:18" x14ac:dyDescent="0.2">
      <c r="A17" s="20"/>
      <c r="B17" s="42"/>
      <c r="C17" s="42"/>
      <c r="D17" s="42"/>
      <c r="E17" s="42"/>
      <c r="F17" s="42"/>
      <c r="G17" s="55" t="s">
        <v>50</v>
      </c>
      <c r="H17" s="56"/>
      <c r="I17" s="47" t="s">
        <v>60</v>
      </c>
      <c r="J17" s="23" t="s">
        <v>58</v>
      </c>
      <c r="K17" s="47" t="s">
        <v>60</v>
      </c>
      <c r="L17" s="23" t="s">
        <v>24</v>
      </c>
      <c r="M17" s="1"/>
      <c r="N17" s="1"/>
      <c r="O17" s="1"/>
    </row>
    <row r="18" spans="1:18" x14ac:dyDescent="0.2">
      <c r="A18" s="42"/>
      <c r="B18" s="42"/>
      <c r="C18" s="23" t="s">
        <v>25</v>
      </c>
      <c r="D18" s="23" t="s">
        <v>25</v>
      </c>
      <c r="E18" s="42" t="s">
        <v>26</v>
      </c>
      <c r="F18" s="42" t="s">
        <v>0</v>
      </c>
      <c r="G18" s="42" t="s">
        <v>51</v>
      </c>
      <c r="H18" s="23" t="s">
        <v>52</v>
      </c>
      <c r="I18" s="23" t="s">
        <v>27</v>
      </c>
      <c r="J18" s="23" t="s">
        <v>59</v>
      </c>
      <c r="K18" s="23" t="s">
        <v>28</v>
      </c>
      <c r="L18" s="23" t="s">
        <v>29</v>
      </c>
      <c r="M18" s="1"/>
      <c r="N18" s="1"/>
      <c r="O18" s="1"/>
    </row>
    <row r="19" spans="1:18" x14ac:dyDescent="0.2">
      <c r="A19" s="42"/>
      <c r="B19" s="42" t="s">
        <v>0</v>
      </c>
      <c r="C19" s="23" t="s">
        <v>30</v>
      </c>
      <c r="D19" s="23" t="s">
        <v>30</v>
      </c>
      <c r="E19" s="42" t="s">
        <v>31</v>
      </c>
      <c r="F19" s="42" t="s">
        <v>31</v>
      </c>
      <c r="G19" s="42" t="s">
        <v>32</v>
      </c>
      <c r="H19" s="23" t="s">
        <v>32</v>
      </c>
      <c r="I19" s="23" t="s">
        <v>15</v>
      </c>
      <c r="J19" s="23"/>
      <c r="K19" s="23" t="s">
        <v>33</v>
      </c>
      <c r="L19" s="23" t="s">
        <v>15</v>
      </c>
      <c r="M19" s="1"/>
      <c r="N19" s="1"/>
      <c r="O19" s="1"/>
    </row>
    <row r="20" spans="1:18" x14ac:dyDescent="0.2">
      <c r="A20" s="42"/>
      <c r="B20" s="43" t="s">
        <v>34</v>
      </c>
      <c r="C20" s="43" t="s">
        <v>35</v>
      </c>
      <c r="D20" s="43" t="s">
        <v>36</v>
      </c>
      <c r="E20" s="43" t="s">
        <v>35</v>
      </c>
      <c r="F20" s="43" t="s">
        <v>36</v>
      </c>
      <c r="G20" s="43" t="s">
        <v>36</v>
      </c>
      <c r="H20" s="43" t="s">
        <v>37</v>
      </c>
      <c r="I20" s="43" t="s">
        <v>37</v>
      </c>
      <c r="J20" s="43" t="s">
        <v>37</v>
      </c>
      <c r="K20" s="29"/>
      <c r="L20" s="43" t="s">
        <v>37</v>
      </c>
      <c r="M20" s="1"/>
      <c r="N20" s="7"/>
      <c r="O20" s="7"/>
      <c r="P20" s="7"/>
    </row>
    <row r="21" spans="1:18" x14ac:dyDescent="0.2">
      <c r="A21" s="42"/>
      <c r="B21" s="42"/>
      <c r="C21" s="23"/>
      <c r="D21" s="23"/>
      <c r="E21" s="42"/>
      <c r="F21" s="42"/>
      <c r="G21" s="42"/>
      <c r="H21" s="23"/>
      <c r="I21" s="23"/>
      <c r="J21" s="23"/>
      <c r="K21" s="23"/>
      <c r="L21" s="23">
        <v>0</v>
      </c>
      <c r="M21" s="1"/>
      <c r="N21" s="7"/>
      <c r="O21" s="7"/>
      <c r="P21" s="7"/>
      <c r="Q21" s="6"/>
      <c r="R21" s="6"/>
    </row>
    <row r="22" spans="1:18" x14ac:dyDescent="0.2">
      <c r="A22" s="42"/>
      <c r="B22" s="42" t="s">
        <v>38</v>
      </c>
      <c r="C22" s="30"/>
      <c r="D22" s="31">
        <f>C22/12</f>
        <v>0</v>
      </c>
      <c r="E22" s="26"/>
      <c r="F22" s="31">
        <f>E22/12</f>
        <v>0</v>
      </c>
      <c r="G22" s="31">
        <f>D22-F22</f>
        <v>0</v>
      </c>
      <c r="H22" s="32">
        <f>(D22*$G$13)-(($G$12+$G$13)/2)*F22</f>
        <v>0</v>
      </c>
      <c r="I22" s="36">
        <v>0</v>
      </c>
      <c r="J22" s="36">
        <v>0</v>
      </c>
      <c r="K22" s="36">
        <v>0</v>
      </c>
      <c r="L22" s="37">
        <f t="shared" ref="L22:L30" si="0">(IF(L21+H22+I22+J22+K22&lt;0,0,H22+I22+J22+K22+L21))</f>
        <v>0</v>
      </c>
      <c r="M22" s="1"/>
      <c r="N22" s="7"/>
      <c r="O22" s="7"/>
      <c r="P22" s="7"/>
      <c r="Q22" s="6"/>
      <c r="R22" s="6"/>
    </row>
    <row r="23" spans="1:18" x14ac:dyDescent="0.2">
      <c r="A23" s="42"/>
      <c r="B23" s="42" t="s">
        <v>39</v>
      </c>
      <c r="C23" s="30"/>
      <c r="D23" s="31">
        <f t="shared" ref="D23:D57" si="1">C23/12</f>
        <v>0</v>
      </c>
      <c r="E23" s="26"/>
      <c r="F23" s="31">
        <f t="shared" ref="F23:F57" si="2">E23/12</f>
        <v>0</v>
      </c>
      <c r="G23" s="31">
        <f t="shared" ref="G23:G56" si="3">D23-F23</f>
        <v>0</v>
      </c>
      <c r="H23" s="32">
        <f t="shared" ref="H23:H56" si="4">(D23*$G$13)-(($G$12+$G$13)/2)*F23</f>
        <v>0</v>
      </c>
      <c r="I23" s="36">
        <v>0</v>
      </c>
      <c r="J23" s="36">
        <v>0</v>
      </c>
      <c r="K23" s="36">
        <v>0</v>
      </c>
      <c r="L23" s="37">
        <f t="shared" si="0"/>
        <v>0</v>
      </c>
      <c r="M23" s="1"/>
      <c r="N23" s="7"/>
      <c r="O23" s="7"/>
      <c r="P23" s="7"/>
      <c r="Q23" s="2"/>
      <c r="R23" s="6"/>
    </row>
    <row r="24" spans="1:18" x14ac:dyDescent="0.2">
      <c r="A24" s="42"/>
      <c r="B24" s="42" t="s">
        <v>40</v>
      </c>
      <c r="C24" s="30"/>
      <c r="D24" s="31">
        <f t="shared" si="1"/>
        <v>0</v>
      </c>
      <c r="E24" s="26"/>
      <c r="F24" s="31">
        <f t="shared" si="2"/>
        <v>0</v>
      </c>
      <c r="G24" s="31">
        <f t="shared" si="3"/>
        <v>0</v>
      </c>
      <c r="H24" s="32">
        <f t="shared" si="4"/>
        <v>0</v>
      </c>
      <c r="I24" s="36">
        <v>0</v>
      </c>
      <c r="J24" s="36">
        <v>0</v>
      </c>
      <c r="K24" s="36">
        <v>0</v>
      </c>
      <c r="L24" s="37">
        <f t="shared" si="0"/>
        <v>0</v>
      </c>
      <c r="M24" s="1"/>
      <c r="N24" s="7"/>
      <c r="O24" s="7"/>
      <c r="P24" s="7"/>
      <c r="Q24" s="2"/>
      <c r="R24" s="6"/>
    </row>
    <row r="25" spans="1:18" x14ac:dyDescent="0.2">
      <c r="A25" s="42"/>
      <c r="B25" s="42" t="s">
        <v>41</v>
      </c>
      <c r="C25" s="30"/>
      <c r="D25" s="31">
        <f t="shared" si="1"/>
        <v>0</v>
      </c>
      <c r="E25" s="26"/>
      <c r="F25" s="31">
        <f t="shared" si="2"/>
        <v>0</v>
      </c>
      <c r="G25" s="31">
        <f t="shared" si="3"/>
        <v>0</v>
      </c>
      <c r="H25" s="32">
        <f t="shared" si="4"/>
        <v>0</v>
      </c>
      <c r="I25" s="36">
        <v>0</v>
      </c>
      <c r="J25" s="36">
        <v>0</v>
      </c>
      <c r="K25" s="36">
        <v>0</v>
      </c>
      <c r="L25" s="37">
        <f t="shared" si="0"/>
        <v>0</v>
      </c>
      <c r="M25" s="1"/>
      <c r="N25" s="7"/>
      <c r="O25" s="7"/>
      <c r="P25" s="7"/>
      <c r="Q25" s="2"/>
      <c r="R25" s="6"/>
    </row>
    <row r="26" spans="1:18" x14ac:dyDescent="0.2">
      <c r="A26" s="42"/>
      <c r="B26" s="42" t="s">
        <v>42</v>
      </c>
      <c r="C26" s="30"/>
      <c r="D26" s="31">
        <f t="shared" si="1"/>
        <v>0</v>
      </c>
      <c r="E26" s="26"/>
      <c r="F26" s="31">
        <f t="shared" si="2"/>
        <v>0</v>
      </c>
      <c r="G26" s="31">
        <f t="shared" si="3"/>
        <v>0</v>
      </c>
      <c r="H26" s="32">
        <f t="shared" si="4"/>
        <v>0</v>
      </c>
      <c r="I26" s="36">
        <v>0</v>
      </c>
      <c r="J26" s="36">
        <v>0</v>
      </c>
      <c r="K26" s="36">
        <v>0</v>
      </c>
      <c r="L26" s="37">
        <f t="shared" si="0"/>
        <v>0</v>
      </c>
      <c r="M26" s="1"/>
      <c r="N26" s="7"/>
      <c r="O26" s="7"/>
      <c r="P26" s="7"/>
      <c r="Q26" s="2"/>
      <c r="R26" s="6"/>
    </row>
    <row r="27" spans="1:18" x14ac:dyDescent="0.2">
      <c r="A27" s="42"/>
      <c r="B27" s="42" t="s">
        <v>43</v>
      </c>
      <c r="C27" s="30"/>
      <c r="D27" s="31">
        <f t="shared" si="1"/>
        <v>0</v>
      </c>
      <c r="E27" s="26"/>
      <c r="F27" s="31">
        <f t="shared" si="2"/>
        <v>0</v>
      </c>
      <c r="G27" s="31">
        <f t="shared" si="3"/>
        <v>0</v>
      </c>
      <c r="H27" s="32">
        <f t="shared" si="4"/>
        <v>0</v>
      </c>
      <c r="I27" s="36">
        <v>0</v>
      </c>
      <c r="J27" s="36">
        <v>0</v>
      </c>
      <c r="K27" s="36">
        <v>0</v>
      </c>
      <c r="L27" s="37">
        <f t="shared" si="0"/>
        <v>0</v>
      </c>
      <c r="M27" s="1"/>
      <c r="N27" s="7"/>
      <c r="O27" s="7"/>
      <c r="P27" s="7"/>
      <c r="Q27" s="2"/>
      <c r="R27" s="6"/>
    </row>
    <row r="28" spans="1:18" x14ac:dyDescent="0.2">
      <c r="A28" s="42"/>
      <c r="B28" s="42" t="s">
        <v>44</v>
      </c>
      <c r="C28" s="30"/>
      <c r="D28" s="31">
        <f t="shared" si="1"/>
        <v>0</v>
      </c>
      <c r="E28" s="26"/>
      <c r="F28" s="31">
        <f t="shared" si="2"/>
        <v>0</v>
      </c>
      <c r="G28" s="31">
        <f t="shared" si="3"/>
        <v>0</v>
      </c>
      <c r="H28" s="32">
        <f t="shared" si="4"/>
        <v>0</v>
      </c>
      <c r="I28" s="36">
        <v>0</v>
      </c>
      <c r="J28" s="36">
        <v>0</v>
      </c>
      <c r="K28" s="36">
        <v>0</v>
      </c>
      <c r="L28" s="37">
        <f t="shared" si="0"/>
        <v>0</v>
      </c>
      <c r="M28" s="1"/>
      <c r="N28" s="7"/>
      <c r="O28" s="7"/>
      <c r="P28" s="7"/>
      <c r="Q28" s="2"/>
      <c r="R28" s="6"/>
    </row>
    <row r="29" spans="1:18" x14ac:dyDescent="0.2">
      <c r="A29" s="42"/>
      <c r="B29" s="42" t="s">
        <v>45</v>
      </c>
      <c r="C29" s="30"/>
      <c r="D29" s="31">
        <f t="shared" si="1"/>
        <v>0</v>
      </c>
      <c r="E29" s="26"/>
      <c r="F29" s="31">
        <f t="shared" si="2"/>
        <v>0</v>
      </c>
      <c r="G29" s="31">
        <f t="shared" si="3"/>
        <v>0</v>
      </c>
      <c r="H29" s="32">
        <f t="shared" si="4"/>
        <v>0</v>
      </c>
      <c r="I29" s="36">
        <v>0</v>
      </c>
      <c r="J29" s="36">
        <v>0</v>
      </c>
      <c r="K29" s="36">
        <v>0</v>
      </c>
      <c r="L29" s="37">
        <f t="shared" si="0"/>
        <v>0</v>
      </c>
      <c r="M29" s="1"/>
      <c r="N29" s="7"/>
      <c r="O29" s="7"/>
      <c r="P29" s="7"/>
      <c r="Q29" s="2"/>
      <c r="R29" s="6"/>
    </row>
    <row r="30" spans="1:18" x14ac:dyDescent="0.2">
      <c r="A30" s="42"/>
      <c r="B30" s="42" t="s">
        <v>46</v>
      </c>
      <c r="C30" s="30"/>
      <c r="D30" s="31">
        <f t="shared" si="1"/>
        <v>0</v>
      </c>
      <c r="E30" s="26"/>
      <c r="F30" s="31">
        <f t="shared" si="2"/>
        <v>0</v>
      </c>
      <c r="G30" s="31">
        <f t="shared" si="3"/>
        <v>0</v>
      </c>
      <c r="H30" s="32">
        <f t="shared" si="4"/>
        <v>0</v>
      </c>
      <c r="I30" s="36">
        <v>0</v>
      </c>
      <c r="J30" s="36">
        <v>0</v>
      </c>
      <c r="K30" s="36">
        <v>0</v>
      </c>
      <c r="L30" s="37">
        <f t="shared" si="0"/>
        <v>0</v>
      </c>
      <c r="M30" s="1"/>
      <c r="N30" s="7"/>
      <c r="O30" s="7"/>
      <c r="P30" s="7"/>
      <c r="Q30" s="2"/>
      <c r="R30" s="6"/>
    </row>
    <row r="31" spans="1:18" x14ac:dyDescent="0.2">
      <c r="A31" s="42"/>
      <c r="B31" s="42" t="s">
        <v>47</v>
      </c>
      <c r="C31" s="30"/>
      <c r="D31" s="31">
        <f t="shared" si="1"/>
        <v>0</v>
      </c>
      <c r="E31" s="26"/>
      <c r="F31" s="31">
        <f t="shared" si="2"/>
        <v>0</v>
      </c>
      <c r="G31" s="31">
        <f t="shared" si="3"/>
        <v>0</v>
      </c>
      <c r="H31" s="32">
        <f t="shared" si="4"/>
        <v>0</v>
      </c>
      <c r="I31" s="36">
        <v>0</v>
      </c>
      <c r="J31" s="36">
        <v>0</v>
      </c>
      <c r="K31" s="36">
        <v>0</v>
      </c>
      <c r="L31" s="37">
        <f>(IF(L30+H31+I31+J31+K31&lt;0,0,H31+I31+J31+K31+L30))</f>
        <v>0</v>
      </c>
      <c r="M31" s="1"/>
      <c r="N31" s="5" t="s">
        <v>0</v>
      </c>
      <c r="O31" s="5" t="s">
        <v>0</v>
      </c>
      <c r="P31" s="5" t="s">
        <v>0</v>
      </c>
      <c r="Q31" s="2"/>
      <c r="R31" s="6"/>
    </row>
    <row r="32" spans="1:18" x14ac:dyDescent="0.2">
      <c r="A32" s="42"/>
      <c r="B32" s="42" t="s">
        <v>48</v>
      </c>
      <c r="C32" s="30"/>
      <c r="D32" s="31">
        <f t="shared" si="1"/>
        <v>0</v>
      </c>
      <c r="E32" s="26"/>
      <c r="F32" s="31">
        <f t="shared" si="2"/>
        <v>0</v>
      </c>
      <c r="G32" s="31">
        <f t="shared" si="3"/>
        <v>0</v>
      </c>
      <c r="H32" s="32">
        <f t="shared" si="4"/>
        <v>0</v>
      </c>
      <c r="I32" s="36">
        <v>0</v>
      </c>
      <c r="J32" s="36">
        <v>0</v>
      </c>
      <c r="K32" s="36">
        <v>0</v>
      </c>
      <c r="L32" s="37">
        <f t="shared" ref="L32:L56" si="5">(IF(L31+H32+I32+J32+K32&lt;0,0,H32+I32+J32+K32+L31))</f>
        <v>0</v>
      </c>
      <c r="M32" s="1"/>
      <c r="N32" s="2"/>
      <c r="O32" s="8"/>
      <c r="P32" s="4"/>
      <c r="Q32" s="2"/>
      <c r="R32" s="6"/>
    </row>
    <row r="33" spans="1:18" x14ac:dyDescent="0.2">
      <c r="A33" s="42"/>
      <c r="B33" s="42" t="s">
        <v>49</v>
      </c>
      <c r="C33" s="26"/>
      <c r="D33" s="31">
        <f t="shared" si="1"/>
        <v>0</v>
      </c>
      <c r="E33" s="26"/>
      <c r="F33" s="31">
        <f t="shared" si="2"/>
        <v>0</v>
      </c>
      <c r="G33" s="31">
        <f t="shared" si="3"/>
        <v>0</v>
      </c>
      <c r="H33" s="32">
        <f t="shared" si="4"/>
        <v>0</v>
      </c>
      <c r="I33" s="36">
        <v>0</v>
      </c>
      <c r="J33" s="36">
        <v>0</v>
      </c>
      <c r="K33" s="36">
        <v>0</v>
      </c>
      <c r="L33" s="37">
        <f t="shared" si="5"/>
        <v>0</v>
      </c>
      <c r="M33" s="1"/>
      <c r="N33" s="2"/>
      <c r="O33" s="8"/>
      <c r="P33" s="4"/>
      <c r="Q33" s="2"/>
      <c r="R33" s="6"/>
    </row>
    <row r="34" spans="1:18" x14ac:dyDescent="0.2">
      <c r="A34" s="42"/>
      <c r="B34" s="42" t="s">
        <v>38</v>
      </c>
      <c r="C34" s="30"/>
      <c r="D34" s="31">
        <f t="shared" si="1"/>
        <v>0</v>
      </c>
      <c r="E34" s="26"/>
      <c r="F34" s="31">
        <f t="shared" si="2"/>
        <v>0</v>
      </c>
      <c r="G34" s="31">
        <f t="shared" si="3"/>
        <v>0</v>
      </c>
      <c r="H34" s="32">
        <f t="shared" si="4"/>
        <v>0</v>
      </c>
      <c r="I34" s="36">
        <v>0</v>
      </c>
      <c r="J34" s="36">
        <v>0</v>
      </c>
      <c r="K34" s="36">
        <v>0</v>
      </c>
      <c r="L34" s="37">
        <f t="shared" si="5"/>
        <v>0</v>
      </c>
      <c r="M34" s="1"/>
      <c r="N34" s="2"/>
      <c r="O34" s="8"/>
      <c r="P34" s="4"/>
      <c r="Q34" s="2"/>
      <c r="R34" s="6"/>
    </row>
    <row r="35" spans="1:18" x14ac:dyDescent="0.2">
      <c r="B35" s="42" t="s">
        <v>39</v>
      </c>
      <c r="C35" s="30"/>
      <c r="D35" s="31">
        <f t="shared" si="1"/>
        <v>0</v>
      </c>
      <c r="E35" s="26"/>
      <c r="F35" s="31">
        <f t="shared" si="2"/>
        <v>0</v>
      </c>
      <c r="G35" s="31">
        <f t="shared" si="3"/>
        <v>0</v>
      </c>
      <c r="H35" s="32">
        <f t="shared" si="4"/>
        <v>0</v>
      </c>
      <c r="I35" s="36">
        <v>0</v>
      </c>
      <c r="J35" s="36">
        <v>0</v>
      </c>
      <c r="K35" s="36">
        <v>0</v>
      </c>
      <c r="L35" s="37">
        <f t="shared" si="5"/>
        <v>0</v>
      </c>
      <c r="M35" s="1"/>
      <c r="N35" s="2"/>
      <c r="O35" s="8"/>
      <c r="P35" s="4"/>
      <c r="Q35" s="2"/>
      <c r="R35" s="6"/>
    </row>
    <row r="36" spans="1:18" x14ac:dyDescent="0.2">
      <c r="B36" s="42" t="s">
        <v>40</v>
      </c>
      <c r="C36" s="30"/>
      <c r="D36" s="31">
        <f t="shared" si="1"/>
        <v>0</v>
      </c>
      <c r="E36" s="26"/>
      <c r="F36" s="31">
        <f t="shared" si="2"/>
        <v>0</v>
      </c>
      <c r="G36" s="31">
        <f t="shared" si="3"/>
        <v>0</v>
      </c>
      <c r="H36" s="32">
        <f t="shared" si="4"/>
        <v>0</v>
      </c>
      <c r="I36" s="36">
        <v>0</v>
      </c>
      <c r="J36" s="36">
        <v>0</v>
      </c>
      <c r="K36" s="36">
        <v>0</v>
      </c>
      <c r="L36" s="37">
        <f t="shared" si="5"/>
        <v>0</v>
      </c>
      <c r="M36" s="1"/>
      <c r="N36" s="2"/>
      <c r="O36" s="8"/>
      <c r="P36" s="4"/>
      <c r="Q36" s="2"/>
      <c r="R36" s="6"/>
    </row>
    <row r="37" spans="1:18" x14ac:dyDescent="0.2">
      <c r="A37" s="42"/>
      <c r="B37" s="42" t="s">
        <v>41</v>
      </c>
      <c r="C37" s="30"/>
      <c r="D37" s="31">
        <f t="shared" si="1"/>
        <v>0</v>
      </c>
      <c r="E37" s="26"/>
      <c r="F37" s="31">
        <f t="shared" si="2"/>
        <v>0</v>
      </c>
      <c r="G37" s="31">
        <f t="shared" si="3"/>
        <v>0</v>
      </c>
      <c r="H37" s="32">
        <f t="shared" si="4"/>
        <v>0</v>
      </c>
      <c r="I37" s="36">
        <v>0</v>
      </c>
      <c r="J37" s="36">
        <v>0</v>
      </c>
      <c r="K37" s="36">
        <v>0</v>
      </c>
      <c r="L37" s="37">
        <f t="shared" si="5"/>
        <v>0</v>
      </c>
      <c r="M37" s="1"/>
      <c r="N37" s="2"/>
      <c r="O37" s="8"/>
      <c r="P37" s="4"/>
      <c r="Q37" s="2"/>
      <c r="R37" s="6"/>
    </row>
    <row r="38" spans="1:18" x14ac:dyDescent="0.2">
      <c r="B38" s="42" t="s">
        <v>42</v>
      </c>
      <c r="C38" s="30"/>
      <c r="D38" s="31">
        <f t="shared" si="1"/>
        <v>0</v>
      </c>
      <c r="E38" s="26"/>
      <c r="F38" s="31">
        <f t="shared" si="2"/>
        <v>0</v>
      </c>
      <c r="G38" s="31">
        <f t="shared" si="3"/>
        <v>0</v>
      </c>
      <c r="H38" s="32">
        <f t="shared" si="4"/>
        <v>0</v>
      </c>
      <c r="I38" s="36">
        <v>0</v>
      </c>
      <c r="J38" s="36">
        <v>0</v>
      </c>
      <c r="K38" s="36">
        <v>0</v>
      </c>
      <c r="L38" s="37">
        <f t="shared" si="5"/>
        <v>0</v>
      </c>
      <c r="M38" s="1"/>
      <c r="N38" s="2"/>
      <c r="O38" s="8"/>
      <c r="P38" s="4"/>
      <c r="Q38" s="2"/>
      <c r="R38" s="6"/>
    </row>
    <row r="39" spans="1:18" x14ac:dyDescent="0.2">
      <c r="B39" s="42" t="s">
        <v>43</v>
      </c>
      <c r="C39" s="30"/>
      <c r="D39" s="31">
        <f t="shared" si="1"/>
        <v>0</v>
      </c>
      <c r="E39" s="26"/>
      <c r="F39" s="31">
        <f t="shared" si="2"/>
        <v>0</v>
      </c>
      <c r="G39" s="31">
        <f t="shared" si="3"/>
        <v>0</v>
      </c>
      <c r="H39" s="32">
        <f t="shared" si="4"/>
        <v>0</v>
      </c>
      <c r="I39" s="36">
        <v>0</v>
      </c>
      <c r="J39" s="36">
        <v>0</v>
      </c>
      <c r="K39" s="36">
        <v>0</v>
      </c>
      <c r="L39" s="37">
        <f t="shared" si="5"/>
        <v>0</v>
      </c>
      <c r="M39" s="1"/>
      <c r="N39" s="2"/>
      <c r="O39" s="8"/>
      <c r="P39" s="4"/>
      <c r="Q39" s="2"/>
      <c r="R39" s="6"/>
    </row>
    <row r="40" spans="1:18" x14ac:dyDescent="0.2">
      <c r="B40" s="42" t="s">
        <v>44</v>
      </c>
      <c r="C40" s="30"/>
      <c r="D40" s="31">
        <f t="shared" si="1"/>
        <v>0</v>
      </c>
      <c r="E40" s="26"/>
      <c r="F40" s="31">
        <f t="shared" si="2"/>
        <v>0</v>
      </c>
      <c r="G40" s="31">
        <f t="shared" si="3"/>
        <v>0</v>
      </c>
      <c r="H40" s="32">
        <f t="shared" si="4"/>
        <v>0</v>
      </c>
      <c r="I40" s="36">
        <v>0</v>
      </c>
      <c r="J40" s="36">
        <v>0</v>
      </c>
      <c r="K40" s="36">
        <v>0</v>
      </c>
      <c r="L40" s="37">
        <f t="shared" si="5"/>
        <v>0</v>
      </c>
      <c r="M40" s="1"/>
      <c r="N40" s="2"/>
      <c r="O40" s="8"/>
      <c r="P40" s="4"/>
      <c r="Q40" s="2"/>
      <c r="R40" s="6"/>
    </row>
    <row r="41" spans="1:18" x14ac:dyDescent="0.2">
      <c r="B41" s="42" t="s">
        <v>45</v>
      </c>
      <c r="C41" s="30"/>
      <c r="D41" s="31">
        <f t="shared" si="1"/>
        <v>0</v>
      </c>
      <c r="E41" s="26"/>
      <c r="F41" s="31">
        <f t="shared" si="2"/>
        <v>0</v>
      </c>
      <c r="G41" s="31">
        <f t="shared" si="3"/>
        <v>0</v>
      </c>
      <c r="H41" s="32">
        <f t="shared" si="4"/>
        <v>0</v>
      </c>
      <c r="I41" s="36">
        <v>0</v>
      </c>
      <c r="J41" s="36">
        <v>0</v>
      </c>
      <c r="K41" s="36">
        <v>0</v>
      </c>
      <c r="L41" s="37">
        <f t="shared" si="5"/>
        <v>0</v>
      </c>
      <c r="M41" s="1"/>
      <c r="N41" s="2"/>
      <c r="O41" s="8"/>
      <c r="P41" s="4"/>
      <c r="Q41" s="2"/>
      <c r="R41" s="6"/>
    </row>
    <row r="42" spans="1:18" x14ac:dyDescent="0.2">
      <c r="B42" s="42" t="s">
        <v>46</v>
      </c>
      <c r="C42" s="30"/>
      <c r="D42" s="31">
        <f t="shared" si="1"/>
        <v>0</v>
      </c>
      <c r="E42" s="26"/>
      <c r="F42" s="31">
        <f t="shared" si="2"/>
        <v>0</v>
      </c>
      <c r="G42" s="31">
        <f t="shared" si="3"/>
        <v>0</v>
      </c>
      <c r="H42" s="32">
        <f t="shared" si="4"/>
        <v>0</v>
      </c>
      <c r="I42" s="36">
        <v>0</v>
      </c>
      <c r="J42" s="36">
        <v>0</v>
      </c>
      <c r="K42" s="36">
        <v>0</v>
      </c>
      <c r="L42" s="37">
        <f t="shared" si="5"/>
        <v>0</v>
      </c>
      <c r="M42" s="1"/>
      <c r="N42" s="2"/>
      <c r="O42" s="8"/>
      <c r="P42" s="4"/>
      <c r="Q42" s="2"/>
      <c r="R42" s="6"/>
    </row>
    <row r="43" spans="1:18" x14ac:dyDescent="0.2">
      <c r="B43" s="42" t="s">
        <v>47</v>
      </c>
      <c r="C43" s="30"/>
      <c r="D43" s="31">
        <f t="shared" si="1"/>
        <v>0</v>
      </c>
      <c r="E43" s="26"/>
      <c r="F43" s="31">
        <f t="shared" si="2"/>
        <v>0</v>
      </c>
      <c r="G43" s="31">
        <f t="shared" si="3"/>
        <v>0</v>
      </c>
      <c r="H43" s="32">
        <f t="shared" si="4"/>
        <v>0</v>
      </c>
      <c r="I43" s="36">
        <v>0</v>
      </c>
      <c r="J43" s="36">
        <v>0</v>
      </c>
      <c r="K43" s="36">
        <v>0</v>
      </c>
      <c r="L43" s="37">
        <f t="shared" si="5"/>
        <v>0</v>
      </c>
      <c r="M43" s="1"/>
      <c r="N43" s="2"/>
      <c r="O43" s="8"/>
      <c r="P43" s="4"/>
      <c r="Q43" s="2"/>
      <c r="R43" s="6"/>
    </row>
    <row r="44" spans="1:18" x14ac:dyDescent="0.2">
      <c r="B44" s="42" t="s">
        <v>48</v>
      </c>
      <c r="C44" s="30"/>
      <c r="D44" s="31">
        <f t="shared" si="1"/>
        <v>0</v>
      </c>
      <c r="E44" s="26"/>
      <c r="F44" s="31">
        <f t="shared" si="2"/>
        <v>0</v>
      </c>
      <c r="G44" s="31">
        <f t="shared" si="3"/>
        <v>0</v>
      </c>
      <c r="H44" s="32">
        <f t="shared" si="4"/>
        <v>0</v>
      </c>
      <c r="I44" s="36">
        <v>0</v>
      </c>
      <c r="J44" s="36">
        <v>0</v>
      </c>
      <c r="K44" s="36">
        <v>0</v>
      </c>
      <c r="L44" s="37">
        <f t="shared" si="5"/>
        <v>0</v>
      </c>
      <c r="M44" s="1"/>
      <c r="N44" s="2"/>
      <c r="O44" s="8"/>
      <c r="P44" s="4"/>
      <c r="Q44" s="2"/>
      <c r="R44" s="6"/>
    </row>
    <row r="45" spans="1:18" x14ac:dyDescent="0.2">
      <c r="A45" s="42"/>
      <c r="B45" s="42" t="s">
        <v>49</v>
      </c>
      <c r="C45" s="26"/>
      <c r="D45" s="31">
        <f t="shared" si="1"/>
        <v>0</v>
      </c>
      <c r="E45" s="26"/>
      <c r="F45" s="31">
        <f t="shared" si="2"/>
        <v>0</v>
      </c>
      <c r="G45" s="31">
        <f t="shared" si="3"/>
        <v>0</v>
      </c>
      <c r="H45" s="32">
        <f t="shared" si="4"/>
        <v>0</v>
      </c>
      <c r="I45" s="36">
        <v>0</v>
      </c>
      <c r="J45" s="36">
        <v>0</v>
      </c>
      <c r="K45" s="36">
        <v>0</v>
      </c>
      <c r="L45" s="37">
        <f t="shared" si="5"/>
        <v>0</v>
      </c>
      <c r="M45" s="1"/>
      <c r="N45" s="2"/>
      <c r="O45" s="8"/>
      <c r="P45" s="4"/>
      <c r="Q45" s="2"/>
      <c r="R45" s="6"/>
    </row>
    <row r="46" spans="1:18" x14ac:dyDescent="0.2">
      <c r="B46" s="42" t="s">
        <v>38</v>
      </c>
      <c r="C46" s="30"/>
      <c r="D46" s="31">
        <f t="shared" si="1"/>
        <v>0</v>
      </c>
      <c r="E46" s="26"/>
      <c r="F46" s="31">
        <f t="shared" si="2"/>
        <v>0</v>
      </c>
      <c r="G46" s="31">
        <f t="shared" si="3"/>
        <v>0</v>
      </c>
      <c r="H46" s="32">
        <f t="shared" si="4"/>
        <v>0</v>
      </c>
      <c r="I46" s="36">
        <v>0</v>
      </c>
      <c r="J46" s="36">
        <v>0</v>
      </c>
      <c r="K46" s="36">
        <v>0</v>
      </c>
      <c r="L46" s="37">
        <f t="shared" si="5"/>
        <v>0</v>
      </c>
      <c r="M46" s="1"/>
      <c r="N46" s="2"/>
      <c r="O46" s="8"/>
      <c r="P46" s="4"/>
      <c r="Q46" s="2"/>
      <c r="R46" s="6"/>
    </row>
    <row r="47" spans="1:18" x14ac:dyDescent="0.2">
      <c r="B47" s="42" t="s">
        <v>39</v>
      </c>
      <c r="C47" s="30"/>
      <c r="D47" s="31">
        <f t="shared" si="1"/>
        <v>0</v>
      </c>
      <c r="E47" s="26"/>
      <c r="F47" s="31">
        <f t="shared" si="2"/>
        <v>0</v>
      </c>
      <c r="G47" s="31">
        <f t="shared" si="3"/>
        <v>0</v>
      </c>
      <c r="H47" s="32">
        <f t="shared" si="4"/>
        <v>0</v>
      </c>
      <c r="I47" s="36">
        <v>0</v>
      </c>
      <c r="J47" s="36">
        <v>0</v>
      </c>
      <c r="K47" s="36">
        <v>0</v>
      </c>
      <c r="L47" s="37">
        <f t="shared" si="5"/>
        <v>0</v>
      </c>
      <c r="M47" s="1"/>
      <c r="N47" s="2"/>
      <c r="O47" s="8"/>
      <c r="P47" s="4"/>
      <c r="Q47" s="2"/>
      <c r="R47" s="6"/>
    </row>
    <row r="48" spans="1:18" x14ac:dyDescent="0.2">
      <c r="B48" s="42" t="s">
        <v>40</v>
      </c>
      <c r="C48" s="30"/>
      <c r="D48" s="31">
        <f t="shared" si="1"/>
        <v>0</v>
      </c>
      <c r="E48" s="26"/>
      <c r="F48" s="31">
        <f t="shared" si="2"/>
        <v>0</v>
      </c>
      <c r="G48" s="31">
        <f t="shared" si="3"/>
        <v>0</v>
      </c>
      <c r="H48" s="32">
        <f t="shared" si="4"/>
        <v>0</v>
      </c>
      <c r="I48" s="36">
        <v>0</v>
      </c>
      <c r="J48" s="36">
        <v>0</v>
      </c>
      <c r="K48" s="36">
        <v>0</v>
      </c>
      <c r="L48" s="37">
        <f t="shared" si="5"/>
        <v>0</v>
      </c>
      <c r="M48" s="1"/>
      <c r="N48" s="2"/>
      <c r="O48" s="8"/>
      <c r="P48" s="4"/>
      <c r="Q48" s="2"/>
      <c r="R48" s="6"/>
    </row>
    <row r="49" spans="1:18" x14ac:dyDescent="0.2">
      <c r="A49" s="42"/>
      <c r="B49" s="42" t="s">
        <v>41</v>
      </c>
      <c r="C49" s="30"/>
      <c r="D49" s="31">
        <f t="shared" si="1"/>
        <v>0</v>
      </c>
      <c r="E49" s="26"/>
      <c r="F49" s="31">
        <f t="shared" si="2"/>
        <v>0</v>
      </c>
      <c r="G49" s="31">
        <f t="shared" si="3"/>
        <v>0</v>
      </c>
      <c r="H49" s="32">
        <f t="shared" si="4"/>
        <v>0</v>
      </c>
      <c r="I49" s="36">
        <v>0</v>
      </c>
      <c r="J49" s="36">
        <v>0</v>
      </c>
      <c r="K49" s="36">
        <v>0</v>
      </c>
      <c r="L49" s="37">
        <f t="shared" si="5"/>
        <v>0</v>
      </c>
      <c r="M49" s="1"/>
      <c r="N49" s="2"/>
      <c r="O49" s="8"/>
      <c r="P49" s="4"/>
      <c r="Q49" s="2"/>
      <c r="R49" s="6"/>
    </row>
    <row r="50" spans="1:18" x14ac:dyDescent="0.2">
      <c r="A50" s="42"/>
      <c r="B50" s="42" t="s">
        <v>42</v>
      </c>
      <c r="C50" s="30"/>
      <c r="D50" s="31">
        <f t="shared" si="1"/>
        <v>0</v>
      </c>
      <c r="E50" s="26"/>
      <c r="F50" s="31">
        <f t="shared" si="2"/>
        <v>0</v>
      </c>
      <c r="G50" s="31">
        <f t="shared" si="3"/>
        <v>0</v>
      </c>
      <c r="H50" s="32">
        <f t="shared" si="4"/>
        <v>0</v>
      </c>
      <c r="I50" s="36">
        <v>0</v>
      </c>
      <c r="J50" s="36">
        <v>0</v>
      </c>
      <c r="K50" s="36">
        <v>0</v>
      </c>
      <c r="L50" s="37">
        <f t="shared" si="5"/>
        <v>0</v>
      </c>
      <c r="M50" s="1"/>
      <c r="N50" s="2"/>
      <c r="O50" s="2"/>
    </row>
    <row r="51" spans="1:18" x14ac:dyDescent="0.2">
      <c r="A51" s="42"/>
      <c r="B51" s="42" t="s">
        <v>43</v>
      </c>
      <c r="C51" s="30"/>
      <c r="D51" s="31">
        <f t="shared" si="1"/>
        <v>0</v>
      </c>
      <c r="E51" s="26"/>
      <c r="F51" s="31">
        <f t="shared" si="2"/>
        <v>0</v>
      </c>
      <c r="G51" s="31">
        <f t="shared" si="3"/>
        <v>0</v>
      </c>
      <c r="H51" s="32">
        <f t="shared" si="4"/>
        <v>0</v>
      </c>
      <c r="I51" s="36">
        <v>0</v>
      </c>
      <c r="J51" s="36">
        <v>0</v>
      </c>
      <c r="K51" s="36">
        <v>0</v>
      </c>
      <c r="L51" s="37">
        <f t="shared" si="5"/>
        <v>0</v>
      </c>
      <c r="M51" s="1"/>
      <c r="N51" s="2"/>
      <c r="O51" s="2"/>
    </row>
    <row r="52" spans="1:18" x14ac:dyDescent="0.2">
      <c r="A52" s="42"/>
      <c r="B52" s="42" t="s">
        <v>44</v>
      </c>
      <c r="C52" s="30"/>
      <c r="D52" s="31">
        <f t="shared" si="1"/>
        <v>0</v>
      </c>
      <c r="E52" s="26"/>
      <c r="F52" s="31">
        <f t="shared" si="2"/>
        <v>0</v>
      </c>
      <c r="G52" s="31">
        <f t="shared" si="3"/>
        <v>0</v>
      </c>
      <c r="H52" s="32">
        <f t="shared" si="4"/>
        <v>0</v>
      </c>
      <c r="I52" s="36">
        <v>0</v>
      </c>
      <c r="J52" s="36">
        <v>0</v>
      </c>
      <c r="K52" s="36">
        <v>0</v>
      </c>
      <c r="L52" s="37">
        <f t="shared" si="5"/>
        <v>0</v>
      </c>
      <c r="M52" s="1"/>
      <c r="N52" s="2"/>
      <c r="O52" s="2"/>
    </row>
    <row r="53" spans="1:18" x14ac:dyDescent="0.2">
      <c r="A53" s="42"/>
      <c r="B53" s="42" t="s">
        <v>45</v>
      </c>
      <c r="C53" s="30"/>
      <c r="D53" s="31">
        <f t="shared" si="1"/>
        <v>0</v>
      </c>
      <c r="E53" s="26"/>
      <c r="F53" s="31">
        <f t="shared" si="2"/>
        <v>0</v>
      </c>
      <c r="G53" s="31">
        <f t="shared" si="3"/>
        <v>0</v>
      </c>
      <c r="H53" s="32">
        <f t="shared" si="4"/>
        <v>0</v>
      </c>
      <c r="I53" s="36">
        <v>0</v>
      </c>
      <c r="J53" s="36">
        <v>0</v>
      </c>
      <c r="K53" s="36">
        <v>0</v>
      </c>
      <c r="L53" s="37">
        <f t="shared" si="5"/>
        <v>0</v>
      </c>
      <c r="M53" s="1"/>
      <c r="N53" s="2"/>
      <c r="O53" s="2"/>
    </row>
    <row r="54" spans="1:18" x14ac:dyDescent="0.2">
      <c r="A54" s="42"/>
      <c r="B54" s="42" t="s">
        <v>46</v>
      </c>
      <c r="C54" s="30"/>
      <c r="D54" s="31">
        <f t="shared" si="1"/>
        <v>0</v>
      </c>
      <c r="E54" s="26"/>
      <c r="F54" s="31">
        <f t="shared" si="2"/>
        <v>0</v>
      </c>
      <c r="G54" s="31">
        <f t="shared" si="3"/>
        <v>0</v>
      </c>
      <c r="H54" s="32">
        <f t="shared" si="4"/>
        <v>0</v>
      </c>
      <c r="I54" s="36">
        <v>0</v>
      </c>
      <c r="J54" s="36">
        <v>0</v>
      </c>
      <c r="K54" s="36">
        <v>0</v>
      </c>
      <c r="L54" s="37">
        <f t="shared" si="5"/>
        <v>0</v>
      </c>
      <c r="M54" s="1"/>
      <c r="N54" s="2"/>
      <c r="O54" s="2"/>
    </row>
    <row r="55" spans="1:18" x14ac:dyDescent="0.2">
      <c r="A55" s="42"/>
      <c r="B55" s="42" t="s">
        <v>47</v>
      </c>
      <c r="C55" s="30"/>
      <c r="D55" s="31">
        <f t="shared" si="1"/>
        <v>0</v>
      </c>
      <c r="E55" s="26"/>
      <c r="F55" s="31">
        <f t="shared" si="2"/>
        <v>0</v>
      </c>
      <c r="G55" s="31">
        <f t="shared" si="3"/>
        <v>0</v>
      </c>
      <c r="H55" s="32">
        <f t="shared" si="4"/>
        <v>0</v>
      </c>
      <c r="I55" s="36">
        <v>0</v>
      </c>
      <c r="J55" s="36">
        <v>0</v>
      </c>
      <c r="K55" s="36">
        <v>0</v>
      </c>
      <c r="L55" s="37">
        <f t="shared" si="5"/>
        <v>0</v>
      </c>
      <c r="M55" s="1"/>
      <c r="N55" s="2"/>
      <c r="O55" s="2"/>
    </row>
    <row r="56" spans="1:18" x14ac:dyDescent="0.2">
      <c r="A56" s="42"/>
      <c r="B56" s="42" t="s">
        <v>48</v>
      </c>
      <c r="C56" s="30"/>
      <c r="D56" s="31">
        <f t="shared" si="1"/>
        <v>0</v>
      </c>
      <c r="E56" s="26"/>
      <c r="F56" s="31">
        <f t="shared" si="2"/>
        <v>0</v>
      </c>
      <c r="G56" s="31">
        <f t="shared" si="3"/>
        <v>0</v>
      </c>
      <c r="H56" s="32">
        <f t="shared" si="4"/>
        <v>0</v>
      </c>
      <c r="I56" s="36">
        <v>0</v>
      </c>
      <c r="J56" s="36">
        <v>0</v>
      </c>
      <c r="K56" s="36">
        <v>0</v>
      </c>
      <c r="L56" s="37">
        <f t="shared" si="5"/>
        <v>0</v>
      </c>
      <c r="M56" s="1"/>
      <c r="N56" s="2"/>
      <c r="O56" s="2"/>
    </row>
    <row r="57" spans="1:18" x14ac:dyDescent="0.2">
      <c r="A57" s="42"/>
      <c r="B57" s="42" t="s">
        <v>49</v>
      </c>
      <c r="C57" s="26"/>
      <c r="D57" s="31">
        <f t="shared" si="1"/>
        <v>0</v>
      </c>
      <c r="E57" s="26"/>
      <c r="F57" s="31">
        <f t="shared" si="2"/>
        <v>0</v>
      </c>
      <c r="G57" s="31">
        <f>D57-F57</f>
        <v>0</v>
      </c>
      <c r="H57" s="32">
        <f>(D57*$G$13)-(($G$12+$G$13)/2)*F57</f>
        <v>0</v>
      </c>
      <c r="I57" s="36">
        <v>0</v>
      </c>
      <c r="J57" s="36">
        <v>0</v>
      </c>
      <c r="K57" s="36">
        <v>0</v>
      </c>
      <c r="L57" s="37">
        <f>(IF(L56+H57+I57+J57+K57&lt;0,0,H57+I57+J57+K57+L56))</f>
        <v>0</v>
      </c>
      <c r="M57" s="1"/>
      <c r="N57" s="2"/>
      <c r="O57" s="2"/>
    </row>
    <row r="58" spans="1:18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1"/>
      <c r="N58" s="2"/>
      <c r="O58" s="2"/>
    </row>
    <row r="59" spans="1:18" x14ac:dyDescent="0.2">
      <c r="A59" s="42"/>
      <c r="B59" s="57" t="s">
        <v>67</v>
      </c>
      <c r="C59" s="57"/>
      <c r="D59" s="57"/>
      <c r="E59" s="54"/>
      <c r="F59" s="50" t="s">
        <v>62</v>
      </c>
      <c r="G59" s="57" t="s">
        <v>66</v>
      </c>
      <c r="H59" s="57"/>
      <c r="I59" s="57"/>
      <c r="J59" s="54"/>
      <c r="K59" s="50" t="s">
        <v>62</v>
      </c>
      <c r="L59" s="50"/>
      <c r="M59" s="1"/>
      <c r="N59" s="2"/>
      <c r="O59" s="2"/>
    </row>
    <row r="60" spans="1:18" x14ac:dyDescent="0.2">
      <c r="A60" s="1"/>
      <c r="B60" s="57" t="s">
        <v>68</v>
      </c>
      <c r="C60" s="57"/>
      <c r="D60" s="57"/>
      <c r="E60" s="50"/>
      <c r="F60" s="50"/>
      <c r="G60" s="50"/>
      <c r="H60" s="50"/>
      <c r="I60" s="50"/>
      <c r="J60" s="50"/>
      <c r="K60" s="50"/>
      <c r="L60" s="50"/>
      <c r="M60" s="1"/>
      <c r="N60" s="2"/>
      <c r="O60" s="2"/>
    </row>
    <row r="61" spans="1:18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8" x14ac:dyDescent="0.2">
      <c r="A62" s="2"/>
      <c r="B62" s="3" t="s">
        <v>56</v>
      </c>
      <c r="C62" s="2"/>
      <c r="D62" s="2"/>
      <c r="E62" s="2"/>
      <c r="F62" s="2"/>
      <c r="G62" s="2"/>
      <c r="H62" s="2"/>
      <c r="I62" s="41">
        <f>G13*$C$15/12</f>
        <v>0</v>
      </c>
      <c r="J62" s="3" t="s">
        <v>57</v>
      </c>
      <c r="K62" s="2"/>
      <c r="L62" s="2"/>
      <c r="M62" s="2"/>
      <c r="N62" s="2"/>
      <c r="O62" s="2"/>
    </row>
    <row r="63" spans="1:18" x14ac:dyDescent="0.2">
      <c r="A63" s="2"/>
      <c r="B63" s="3" t="s">
        <v>64</v>
      </c>
      <c r="C63" s="2"/>
      <c r="D63" s="2"/>
      <c r="E63" s="2"/>
      <c r="F63" s="2"/>
      <c r="G63" s="2"/>
      <c r="H63" s="2"/>
      <c r="I63" s="53"/>
      <c r="J63" s="3" t="s">
        <v>57</v>
      </c>
      <c r="K63" s="2"/>
      <c r="L63" s="2"/>
      <c r="M63" s="2"/>
      <c r="N63" s="2"/>
      <c r="O63" s="2"/>
    </row>
    <row r="64" spans="1:18" x14ac:dyDescent="0.2">
      <c r="A64" s="2"/>
      <c r="B64" s="3" t="s">
        <v>63</v>
      </c>
      <c r="C64" s="2"/>
      <c r="D64" s="2"/>
      <c r="E64" s="38"/>
      <c r="F64" s="2"/>
      <c r="G64" s="2"/>
      <c r="H64" s="2"/>
      <c r="I64" s="39">
        <f>I63+I62</f>
        <v>0</v>
      </c>
      <c r="J64" s="40" t="s">
        <v>57</v>
      </c>
      <c r="K64" s="2"/>
      <c r="L64" s="2"/>
      <c r="M64" s="2"/>
      <c r="N64" s="2"/>
      <c r="O64" s="2"/>
    </row>
    <row r="65" spans="1: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">
      <c r="L66" s="2"/>
      <c r="M66" s="2"/>
      <c r="N66" s="2"/>
      <c r="O66" s="2"/>
    </row>
    <row r="67" spans="1:15" x14ac:dyDescent="0.2">
      <c r="L67" s="2"/>
      <c r="M67" s="2"/>
      <c r="N67" s="2"/>
      <c r="O67" s="2"/>
    </row>
    <row r="68" spans="1:15" x14ac:dyDescent="0.2">
      <c r="L68" s="2"/>
      <c r="M68" s="2"/>
      <c r="N68" s="2"/>
      <c r="O68" s="2"/>
    </row>
    <row r="69" spans="1:15" x14ac:dyDescent="0.2">
      <c r="L69" s="2"/>
      <c r="M69" s="2"/>
      <c r="N69" s="2"/>
      <c r="O69" s="2"/>
    </row>
    <row r="70" spans="1:15" x14ac:dyDescent="0.2">
      <c r="L70" s="2"/>
      <c r="M70" s="2"/>
      <c r="N70" s="2"/>
      <c r="O70" s="2"/>
    </row>
  </sheetData>
  <mergeCells count="13">
    <mergeCell ref="F4:K4"/>
    <mergeCell ref="A6:B6"/>
    <mergeCell ref="C6:D6"/>
    <mergeCell ref="B8:H8"/>
    <mergeCell ref="I8:K8"/>
    <mergeCell ref="G17:H17"/>
    <mergeCell ref="G59:I59"/>
    <mergeCell ref="B59:D59"/>
    <mergeCell ref="B60:D60"/>
    <mergeCell ref="C10:F10"/>
    <mergeCell ref="A15:B15"/>
    <mergeCell ref="A12:B12"/>
    <mergeCell ref="A13:B13"/>
  </mergeCells>
  <pageMargins left="0.5" right="0.25" top="0.5" bottom="0.5" header="0.5" footer="0.5"/>
  <pageSetup scale="92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EVAP BALANCE SPRING CONDITION</vt:lpstr>
      <vt:lpstr>EVAP BALANCE FALL CONDITION</vt:lpstr>
      <vt:lpstr>'EVAP BALANCE FALL CONDITION'!Print_Area</vt:lpstr>
      <vt:lpstr>'EVAP BALANCE SPRING CONDITION'!Print_Area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NRCS</dc:creator>
  <cp:lastModifiedBy>Karen Hoffman</cp:lastModifiedBy>
  <cp:lastPrinted>2014-04-24T17:09:53Z</cp:lastPrinted>
  <dcterms:created xsi:type="dcterms:W3CDTF">1999-11-08T23:00:58Z</dcterms:created>
  <dcterms:modified xsi:type="dcterms:W3CDTF">2014-04-24T22:40:38Z</dcterms:modified>
</cp:coreProperties>
</file>