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Operating!$A$47:$L$53</definedName>
    <definedName name="_xlnm.Print_Area" localSheetId="1">Capital!$A$1:$L$54</definedName>
    <definedName name="_xlnm.Print_Area" localSheetId="0">Operating!$A$1:$L$51</definedName>
  </definedNames>
  <calcPr calcId="145621"/>
</workbook>
</file>

<file path=xl/calcChain.xml><?xml version="1.0" encoding="utf-8"?>
<calcChain xmlns="http://schemas.openxmlformats.org/spreadsheetml/2006/main">
  <c r="I26" i="1" l="1"/>
  <c r="F15" i="1"/>
  <c r="I15" i="1"/>
  <c r="F28" i="1"/>
  <c r="I28" i="1"/>
</calcChain>
</file>

<file path=xl/sharedStrings.xml><?xml version="1.0" encoding="utf-8"?>
<sst xmlns="http://schemas.openxmlformats.org/spreadsheetml/2006/main" count="89" uniqueCount="61">
  <si>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</si>
  <si>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</si>
  <si>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</si>
  <si>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</si>
  <si>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</si>
  <si>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</si>
  <si>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</si>
  <si>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</si>
  <si>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</si>
  <si>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</si>
  <si>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</si>
  <si>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</si>
  <si>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</si>
  <si>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</si>
  <si>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</si>
  <si>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</si>
  <si>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</si>
  <si>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</si>
  <si>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</si>
  <si>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</si>
  <si>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</si>
  <si>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</si>
  <si>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</si>
  <si>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</si>
  <si>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</si>
  <si>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</si>
  <si>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</si>
  <si>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</si>
  <si>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</si>
  <si>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</si>
  <si>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</si>
  <si>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</si>
  <si>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</si>
  <si>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</si>
  <si>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</si>
  <si>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</si>
  <si>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</si>
  <si>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</si>
  <si>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</si>
  <si>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</si>
  <si>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</si>
  <si>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</si>
  <si>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</si>
  <si>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</si>
  <si>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</si>
  <si>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</si>
  <si>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</si>
  <si>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</si>
  <si>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</si>
  <si>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</si>
  <si>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</si>
  <si>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</si>
  <si>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</si>
  <si>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>Justice Assistance Grant funds</t>
  </si>
  <si>
    <t>X</t>
  </si>
  <si>
    <t>FY 2010-11</t>
  </si>
  <si>
    <t>FY 2011-12</t>
  </si>
  <si>
    <t xml:space="preserve"> </t>
  </si>
  <si>
    <t xml:space="preserve">  and initiatives which prevent and deter crime and improve the criminal justice system.</t>
  </si>
  <si>
    <t>This grant program allows state and local law enforcement agencies to support a broad range of activities</t>
  </si>
  <si>
    <t xml:space="preserve">Congestion Mitigation and Air Quality (CMAQ No. 3301),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</si>
</sst>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4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5" fillId="0" borderId="20" xfId="0" applyFont="1" applyBorder="1"/>
    <xf numFmtId="164" fontId="11" fillId="0" borderId="0" xfId="1" applyNumberFormat="1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 applyAlignment="1">
      <alignment horizontal="fill"/>
    </xf>
    <xf numFmtId="0" fontId="1" fillId="0" borderId="1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2"/>
  <sheetViews>
    <sheetView showGridLines="0" tabSelected="1" zoomScaleNormal="100" workbookViewId="0">
      <selection activeCell="F11" sqref="F11"/>
    </sheetView>
  </sheetViews>
  <sheetFormatPr defaultColWidth="9.83203125" defaultRowHeight="12.75" x14ac:dyDescent="0.2"/>
  <cols>
    <col min="1" max="1" width="2.16406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79" t="s">
        <v>60</v>
      </c>
      <c r="C5" s="67"/>
      <c r="D5" s="79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 x14ac:dyDescent="0.2">
      <c r="A8" s="77" t="s">
        <v>22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81" t="s">
        <v>52</v>
      </c>
      <c r="L8" s="54" t="s">
        <v>2</v>
      </c>
    </row>
    <row r="9" spans="1:13" s="15" customFormat="1" x14ac:dyDescent="0.2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 x14ac:dyDescent="0.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 t="s">
        <v>10</v>
      </c>
      <c r="C11" s="21"/>
      <c r="D11" s="21"/>
      <c r="E11" s="21"/>
      <c r="F11" s="48" t="s">
        <v>55</v>
      </c>
      <c r="G11" s="21"/>
      <c r="H11" s="21"/>
      <c r="I11" s="48" t="s">
        <v>56</v>
      </c>
      <c r="J11" s="21"/>
      <c r="K11" s="21"/>
      <c r="L11" s="40"/>
    </row>
    <row r="12" spans="1:13" s="15" customFormat="1" ht="12" x14ac:dyDescent="0.2">
      <c r="A12" s="38"/>
      <c r="B12" s="20" t="s">
        <v>14</v>
      </c>
      <c r="C12" s="21"/>
      <c r="D12" s="21"/>
      <c r="E12" s="21"/>
      <c r="F12" s="50"/>
      <c r="G12" s="21"/>
      <c r="H12" s="21"/>
      <c r="I12" s="50"/>
      <c r="J12" s="21"/>
      <c r="K12" s="21"/>
      <c r="L12" s="40"/>
    </row>
    <row r="13" spans="1:13" s="15" customFormat="1" ht="12" x14ac:dyDescent="0.2">
      <c r="A13" s="38"/>
      <c r="B13" s="20" t="s">
        <v>16</v>
      </c>
      <c r="C13" s="21"/>
      <c r="D13" s="21"/>
      <c r="E13" s="21"/>
      <c r="F13" s="50"/>
      <c r="G13" s="21"/>
      <c r="H13" s="21"/>
      <c r="I13" s="50">
        <v>670000</v>
      </c>
      <c r="J13" s="21"/>
      <c r="K13" s="21"/>
      <c r="L13" s="40"/>
    </row>
    <row r="14" spans="1:13" s="15" customFormat="1" ht="13.5" customHeight="1" x14ac:dyDescent="0.2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 x14ac:dyDescent="0.2">
      <c r="A15" s="38"/>
      <c r="B15" s="19"/>
      <c r="C15" s="20"/>
      <c r="D15" s="49" t="s">
        <v>15</v>
      </c>
      <c r="E15" s="20" t="s">
        <v>4</v>
      </c>
      <c r="F15" s="80">
        <f>SUM(F12:F14)</f>
        <v>0</v>
      </c>
      <c r="G15" s="20"/>
      <c r="H15" s="20" t="s">
        <v>4</v>
      </c>
      <c r="I15" s="50">
        <f>SUM(I12:I14)</f>
        <v>670000</v>
      </c>
      <c r="J15" s="20"/>
      <c r="K15" s="20"/>
      <c r="L15" s="41"/>
    </row>
    <row r="16" spans="1:13" s="15" customFormat="1" ht="12" x14ac:dyDescent="0.2">
      <c r="A16" s="38"/>
      <c r="B16" s="17" t="s">
        <v>18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 x14ac:dyDescent="0.2">
      <c r="A17" s="38"/>
      <c r="B17" s="17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 x14ac:dyDescent="0.2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 x14ac:dyDescent="0.2">
      <c r="A19" s="60"/>
      <c r="B19" s="82" t="s">
        <v>53</v>
      </c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 x14ac:dyDescent="0.2">
      <c r="A20" s="6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 x14ac:dyDescent="0.2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 x14ac:dyDescent="0.2">
      <c r="A22" s="77" t="s">
        <v>23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81" t="s">
        <v>54</v>
      </c>
      <c r="L22" s="54" t="s">
        <v>2</v>
      </c>
    </row>
    <row r="23" spans="1:12" ht="15.75" customHeight="1" x14ac:dyDescent="0.2">
      <c r="A23" s="42"/>
      <c r="B23" s="20" t="s">
        <v>27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 x14ac:dyDescent="0.2">
      <c r="A24" s="42"/>
      <c r="B24" s="13" t="s">
        <v>20</v>
      </c>
      <c r="C24" s="21"/>
      <c r="D24" s="21"/>
      <c r="E24" s="21"/>
      <c r="F24" s="48" t="s">
        <v>55</v>
      </c>
      <c r="G24" s="21"/>
      <c r="H24" s="21"/>
      <c r="I24" s="48" t="s">
        <v>56</v>
      </c>
      <c r="J24" s="16"/>
      <c r="K24" s="16"/>
      <c r="L24" s="33"/>
    </row>
    <row r="25" spans="1:12" ht="15.75" customHeight="1" x14ac:dyDescent="0.2">
      <c r="A25" s="42"/>
      <c r="B25" s="20" t="s">
        <v>14</v>
      </c>
      <c r="C25" s="21"/>
      <c r="D25" s="21"/>
      <c r="E25" s="21"/>
      <c r="F25" s="50"/>
      <c r="G25" s="21"/>
      <c r="H25" s="21"/>
      <c r="I25" s="50">
        <v>0</v>
      </c>
      <c r="J25" s="16"/>
      <c r="K25" s="16"/>
      <c r="L25" s="33"/>
    </row>
    <row r="26" spans="1:12" ht="15.75" customHeight="1" x14ac:dyDescent="0.2">
      <c r="A26" s="42"/>
      <c r="B26" s="20" t="s">
        <v>16</v>
      </c>
      <c r="C26" s="21"/>
      <c r="D26" s="21"/>
      <c r="E26" s="21"/>
      <c r="F26" s="50"/>
      <c r="G26" s="21"/>
      <c r="H26" s="21"/>
      <c r="I26" s="50">
        <f>I13</f>
        <v>670000</v>
      </c>
      <c r="J26" s="16"/>
      <c r="K26" s="16"/>
      <c r="L26" s="33"/>
    </row>
    <row r="27" spans="1:12" ht="15.75" customHeight="1" x14ac:dyDescent="0.2">
      <c r="A27" s="42"/>
      <c r="B27" s="20" t="s">
        <v>17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 x14ac:dyDescent="0.2">
      <c r="A28" s="42"/>
      <c r="B28" s="19"/>
      <c r="C28" s="20"/>
      <c r="D28" s="49" t="s">
        <v>15</v>
      </c>
      <c r="E28" s="20" t="s">
        <v>4</v>
      </c>
      <c r="F28" s="80">
        <f>SUM(F25:F27)</f>
        <v>0</v>
      </c>
      <c r="G28" s="20"/>
      <c r="H28" s="20" t="s">
        <v>4</v>
      </c>
      <c r="I28" s="50">
        <f>SUM(I25:I27)</f>
        <v>670000</v>
      </c>
      <c r="J28" s="16"/>
      <c r="K28" s="16"/>
      <c r="L28" s="33"/>
    </row>
    <row r="29" spans="1:12" ht="15.75" customHeight="1" x14ac:dyDescent="0.2">
      <c r="A29" s="42"/>
      <c r="B29" s="17" t="s">
        <v>21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 x14ac:dyDescent="0.2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 x14ac:dyDescent="0.2">
      <c r="A31" s="6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 x14ac:dyDescent="0.2">
      <c r="A32" s="84" t="s">
        <v>57</v>
      </c>
      <c r="B32" s="82" t="s">
        <v>59</v>
      </c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 x14ac:dyDescent="0.2">
      <c r="A33" s="84" t="s">
        <v>58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 x14ac:dyDescent="0.2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 x14ac:dyDescent="0.2">
      <c r="A35" s="77" t="s">
        <v>24</v>
      </c>
      <c r="B35" s="14"/>
      <c r="C35" s="14"/>
      <c r="D35" s="14"/>
      <c r="E35" s="14"/>
      <c r="F35" s="9"/>
      <c r="G35" s="16"/>
      <c r="H35" s="83" t="s">
        <v>52</v>
      </c>
      <c r="I35" s="13" t="s">
        <v>1</v>
      </c>
      <c r="J35" s="16"/>
      <c r="K35" s="11"/>
      <c r="L35" s="54" t="s">
        <v>2</v>
      </c>
    </row>
    <row r="36" spans="1:12" ht="12" customHeight="1" x14ac:dyDescent="0.2">
      <c r="A36" s="32"/>
      <c r="B36" s="19" t="s">
        <v>25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 x14ac:dyDescent="0.2">
      <c r="A37" s="32"/>
      <c r="B37" s="19" t="s">
        <v>26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 x14ac:dyDescent="0.2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 x14ac:dyDescent="0.2">
      <c r="A39" s="84"/>
      <c r="B39" s="82" t="s">
        <v>57</v>
      </c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 x14ac:dyDescent="0.2">
      <c r="A40" s="60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 x14ac:dyDescent="0.2">
      <c r="A41" s="60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 x14ac:dyDescent="0.2">
      <c r="A43" s="57" t="s">
        <v>50</v>
      </c>
      <c r="B43" s="16"/>
      <c r="C43" s="16"/>
      <c r="D43" s="16"/>
      <c r="E43" s="16"/>
      <c r="F43" s="16"/>
      <c r="G43" s="16"/>
      <c r="H43" s="83" t="s">
        <v>54</v>
      </c>
      <c r="I43" s="13" t="s">
        <v>1</v>
      </c>
      <c r="J43" s="16"/>
      <c r="K43" s="11"/>
      <c r="L43" s="54" t="s">
        <v>2</v>
      </c>
    </row>
    <row r="44" spans="1:12" ht="13.5" customHeight="1" x14ac:dyDescent="0.2">
      <c r="A44" s="57"/>
      <c r="B44" s="19" t="s">
        <v>51</v>
      </c>
      <c r="C44" s="16"/>
      <c r="D44" s="16"/>
      <c r="E44" s="16"/>
      <c r="F44" s="16"/>
      <c r="G44" s="16"/>
      <c r="L44" s="37"/>
    </row>
    <row r="45" spans="1:12" ht="13.5" customHeight="1" x14ac:dyDescent="0.2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 x14ac:dyDescent="0.2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 x14ac:dyDescent="0.2">
      <c r="A47" s="78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 x14ac:dyDescent="0.2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 x14ac:dyDescent="0.2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 x14ac:dyDescent="0.2">
      <c r="A50" s="42"/>
      <c r="B50" s="19" t="s">
        <v>5</v>
      </c>
      <c r="C50" s="9"/>
      <c r="D50" s="9"/>
      <c r="E50" s="19" t="s">
        <v>13</v>
      </c>
      <c r="F50" s="16"/>
      <c r="G50" s="16"/>
      <c r="H50" s="23"/>
      <c r="I50" s="23"/>
      <c r="J50" s="23"/>
      <c r="K50" s="23"/>
      <c r="L50" s="37"/>
    </row>
    <row r="51" spans="1:12" ht="15" x14ac:dyDescent="0.2">
      <c r="A51" s="45"/>
      <c r="B51" s="46"/>
      <c r="C51" s="43"/>
      <c r="D51" s="43"/>
      <c r="E51" s="43"/>
      <c r="F51" s="46"/>
      <c r="G51" s="23"/>
      <c r="H51" s="44"/>
      <c r="I51" s="44"/>
      <c r="J51" s="44"/>
      <c r="K51" s="44"/>
      <c r="L51" s="36"/>
    </row>
    <row r="52" spans="1:12" ht="15" x14ac:dyDescent="0.2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phoneticPr fontId="13" type="noConversion"/>
  <printOptions horizontalCentered="1" verticalCentered="1" gridLinesSet="0"/>
  <pageMargins left="0.5" right="0.5" top="0.5" bottom="0.5" header="0.5" footer="0.5"/>
  <pageSetup scale="9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workbookViewId="0">
      <selection activeCell="D17" sqref="D17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x14ac:dyDescent="0.2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 x14ac:dyDescent="0.2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 x14ac:dyDescent="0.2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 x14ac:dyDescent="0.2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 x14ac:dyDescent="0.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 x14ac:dyDescent="0.2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 x14ac:dyDescent="0.2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 x14ac:dyDescent="0.2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 x14ac:dyDescent="0.2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 x14ac:dyDescent="0.2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 x14ac:dyDescent="0.2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 x14ac:dyDescent="0.2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 x14ac:dyDescent="0.2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 x14ac:dyDescent="0.2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 x14ac:dyDescent="0.2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 x14ac:dyDescent="0.2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 x14ac:dyDescent="0.2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 x14ac:dyDescent="0.2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 x14ac:dyDescent="0.2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 x14ac:dyDescent="0.2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 x14ac:dyDescent="0.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 x14ac:dyDescent="0.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 x14ac:dyDescent="0.2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 x14ac:dyDescent="0.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 x14ac:dyDescent="0.2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 x14ac:dyDescent="0.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 x14ac:dyDescent="0.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 x14ac:dyDescent="0.2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x14ac:dyDescent="0.2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x14ac:dyDescent="0.2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x14ac:dyDescent="0.2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 x14ac:dyDescent="0.2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 x14ac:dyDescent="0.2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 x14ac:dyDescent="0.2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 x14ac:dyDescent="0.2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 x14ac:dyDescent="0.2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 x14ac:dyDescent="0.2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 x14ac:dyDescent="0.2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 x14ac:dyDescent="0.2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 x14ac:dyDescent="0.2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 x14ac:dyDescent="0.2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 x14ac:dyDescent="0.2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 x14ac:dyDescent="0.2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3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ymckinzy</cp:lastModifiedBy>
  <cp:lastPrinted>2006-06-01T14:48:29Z</cp:lastPrinted>
  <dcterms:created xsi:type="dcterms:W3CDTF">1998-07-23T17:04:07Z</dcterms:created>
  <dcterms:modified xsi:type="dcterms:W3CDTF">2011-11-15T18:49:53Z</dcterms:modified>
</cp:coreProperties>
</file>