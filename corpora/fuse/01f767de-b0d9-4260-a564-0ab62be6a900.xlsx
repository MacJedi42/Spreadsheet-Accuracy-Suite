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8975" windowHeight="11955"/>
  </bookViews>
  <sheets>
    <sheet name="SOM Support Staff" sheetId="1" r:id="rId1"/>
  </sheets>
  <definedNames>
    <definedName name="_xlnm.Print_Area" localSheetId="0">'SOM Support Staff'!$B$2:$G$96</definedName>
    <definedName name="_xlnm.Print_Titles" localSheetId="0">'SOM Support Staff'!$3:$4</definedName>
  </definedNames>
  <calcPr calcId="145621"/>
</workbook>
</file>

<file path=xl/calcChain.xml><?xml version="1.0" encoding="utf-8"?>
<calcChain xmlns="http://schemas.openxmlformats.org/spreadsheetml/2006/main">
  <c r="G77" i="1" l="1"/>
  <c r="G20" i="1"/>
  <c r="G9" i="1"/>
  <c r="G8" i="1"/>
  <c r="G14" i="1"/>
  <c r="G11" i="1"/>
  <c r="G10" i="1"/>
  <c r="G70" i="1"/>
  <c r="G64" i="1"/>
  <c r="G63" i="1"/>
  <c r="G62" i="1"/>
  <c r="G61" i="1"/>
  <c r="G60" i="1"/>
  <c r="G59" i="1"/>
  <c r="G58" i="1"/>
  <c r="G57" i="1"/>
  <c r="G69" i="1"/>
  <c r="G67" i="1"/>
  <c r="G66" i="1"/>
  <c r="G43" i="1"/>
  <c r="G36" i="1"/>
  <c r="G35" i="1"/>
  <c r="G82" i="1"/>
  <c r="G81" i="1"/>
  <c r="G79" i="1"/>
  <c r="G78" i="1"/>
  <c r="G54" i="1"/>
  <c r="G53" i="1"/>
  <c r="G51" i="1"/>
  <c r="G50" i="1"/>
  <c r="G49" i="1"/>
  <c r="G48" i="1"/>
  <c r="G47" i="1"/>
  <c r="G33" i="1"/>
  <c r="G32" i="1"/>
  <c r="G31" i="1"/>
  <c r="G29" i="1"/>
  <c r="G28" i="1"/>
  <c r="G27" i="1"/>
  <c r="G26" i="1"/>
  <c r="G25" i="1"/>
  <c r="G24" i="1"/>
  <c r="G23" i="1"/>
  <c r="G19" i="1"/>
  <c r="G17" i="1"/>
  <c r="G16" i="1"/>
  <c r="G13" i="1"/>
  <c r="G7" i="1"/>
</calcChain>
</file>

<file path=xl/sharedStrings.xml><?xml version="1.0" encoding="utf-8"?>
<sst xmlns="http://schemas.openxmlformats.org/spreadsheetml/2006/main" count="198" uniqueCount="133">
  <si>
    <t>Security</t>
  </si>
  <si>
    <t>Tax forms (I-9, W-4 and NC-4)</t>
  </si>
  <si>
    <t xml:space="preserve">Direct deposit </t>
  </si>
  <si>
    <t>LMS: Learning Management System</t>
  </si>
  <si>
    <t>Work schedule</t>
  </si>
  <si>
    <t>Distribution list updates</t>
  </si>
  <si>
    <t>Personnel list updates</t>
  </si>
  <si>
    <t>TB Skin test</t>
  </si>
  <si>
    <t>Immunization review</t>
  </si>
  <si>
    <t>ISDREB0104 - Introduction and Access to REG EWS BAR</t>
  </si>
  <si>
    <t>ISDREB0119 - Physician Charge Entry &amp; Cash Collection</t>
  </si>
  <si>
    <t>ISDINBASX1 - Insurance Basics</t>
  </si>
  <si>
    <t>ISDWCIS100 - WebCIS Basics Introduction</t>
  </si>
  <si>
    <r>
      <t xml:space="preserve">WebCIS - Web-based Clinical Information System </t>
    </r>
    <r>
      <rPr>
        <i/>
        <sz val="10"/>
        <rFont val="Calibri"/>
        <family val="2"/>
        <scheme val="minor"/>
      </rPr>
      <t>(requires SARF)</t>
    </r>
  </si>
  <si>
    <t>GENERAL INTERNAL MEDICINE - ORIENTATION ACTIVITIES</t>
  </si>
  <si>
    <t>Work area orientation</t>
  </si>
  <si>
    <t>Safety: Exits and fire protection procedures</t>
  </si>
  <si>
    <t>Phones, fax machines, and photocopiers</t>
  </si>
  <si>
    <t>Time and attendance</t>
  </si>
  <si>
    <t>Reporting absences due to illness</t>
  </si>
  <si>
    <t>Probationary status</t>
  </si>
  <si>
    <t>Performance expectations</t>
  </si>
  <si>
    <t>Annual performance reviews</t>
  </si>
  <si>
    <t>Dress code</t>
  </si>
  <si>
    <t>Smoke-free workplace</t>
  </si>
  <si>
    <t>Bathrooms, food, lounge</t>
  </si>
  <si>
    <t>Confidentiality and security</t>
  </si>
  <si>
    <t>Job description and duties</t>
  </si>
  <si>
    <t>Policy &amp; Procedure Manual</t>
  </si>
  <si>
    <t>Requesting time away</t>
  </si>
  <si>
    <t xml:space="preserve">Map of clinic </t>
  </si>
  <si>
    <t>Due By</t>
  </si>
  <si>
    <t>Transportation &amp; Parking</t>
  </si>
  <si>
    <t>Optional</t>
  </si>
  <si>
    <t>Leave</t>
  </si>
  <si>
    <t>Location/Contact</t>
  </si>
  <si>
    <t>ISDREB0109 - Patient Registration, Scheduling &amp; Check-In</t>
  </si>
  <si>
    <t>classroom, 3 days</t>
  </si>
  <si>
    <t>classroom</t>
  </si>
  <si>
    <t>ISDREB0127 - Medicare Medical Necessity (MMN) for ABN</t>
  </si>
  <si>
    <t>classroom, 4 hours</t>
  </si>
  <si>
    <t>online, LMS</t>
  </si>
  <si>
    <t>ISDWCIS250 - WebCIS Basics (same content as class above)</t>
  </si>
  <si>
    <r>
      <rPr>
        <b/>
        <sz val="10"/>
        <rFont val="Calibri"/>
        <family val="2"/>
        <scheme val="minor"/>
      </rPr>
      <t>SOM Photo</t>
    </r>
    <r>
      <rPr>
        <u/>
        <sz val="10"/>
        <rFont val="Calibri"/>
        <family val="2"/>
        <scheme val="minor"/>
      </rPr>
      <t/>
    </r>
  </si>
  <si>
    <t>Appropriate email and internet use</t>
  </si>
  <si>
    <t>Communication</t>
  </si>
  <si>
    <t>Who's who in clinic</t>
  </si>
  <si>
    <t>Days</t>
  </si>
  <si>
    <t>Health Insurance</t>
  </si>
  <si>
    <t>Supplemental Retirement, Flexible Spending, etc</t>
  </si>
  <si>
    <t>FreedomPay - discount debit card for meals</t>
  </si>
  <si>
    <r>
      <t xml:space="preserve">click </t>
    </r>
    <r>
      <rPr>
        <b/>
        <u/>
        <sz val="10"/>
        <rFont val="Calibri"/>
        <family val="2"/>
      </rPr>
      <t>here</t>
    </r>
    <r>
      <rPr>
        <sz val="10"/>
        <rFont val="Calibri"/>
        <family val="2"/>
      </rPr>
      <t xml:space="preserve"> for more info</t>
    </r>
  </si>
  <si>
    <r>
      <t xml:space="preserve">click </t>
    </r>
    <r>
      <rPr>
        <b/>
        <u/>
        <sz val="10"/>
        <rFont val="Calibri"/>
        <family val="2"/>
      </rPr>
      <t>here</t>
    </r>
    <r>
      <rPr>
        <sz val="10"/>
        <rFont val="Calibri"/>
        <family val="2"/>
      </rPr>
      <t xml:space="preserve"> for SARF</t>
    </r>
  </si>
  <si>
    <t>Parking permit and prices; transportation/campus maps</t>
  </si>
  <si>
    <r>
      <t xml:space="preserve">click </t>
    </r>
    <r>
      <rPr>
        <b/>
        <u/>
        <sz val="10"/>
        <rFont val="Calibri"/>
        <family val="2"/>
      </rPr>
      <t>here</t>
    </r>
    <r>
      <rPr>
        <sz val="10"/>
        <rFont val="Calibri"/>
        <family val="2"/>
      </rPr>
      <t xml:space="preserve"> for LMS</t>
    </r>
  </si>
  <si>
    <t>Assigned work area, mailing address with CB#</t>
  </si>
  <si>
    <r>
      <t xml:space="preserve">click </t>
    </r>
    <r>
      <rPr>
        <b/>
        <u/>
        <sz val="10"/>
        <rFont val="Calibri"/>
        <family val="2"/>
      </rPr>
      <t>here</t>
    </r>
    <r>
      <rPr>
        <sz val="10"/>
        <rFont val="Calibri"/>
        <family val="2"/>
      </rPr>
      <t xml:space="preserve"> for info</t>
    </r>
  </si>
  <si>
    <r>
      <t xml:space="preserve">click </t>
    </r>
    <r>
      <rPr>
        <b/>
        <u/>
        <sz val="10"/>
        <rFont val="Calibri"/>
        <family val="2"/>
      </rPr>
      <t>here</t>
    </r>
    <r>
      <rPr>
        <sz val="10"/>
        <rFont val="Calibri"/>
        <family val="2"/>
      </rPr>
      <t xml:space="preserve"> for P&amp;P Manual</t>
    </r>
  </si>
  <si>
    <t>Training</t>
  </si>
  <si>
    <t>Protocol training</t>
  </si>
  <si>
    <t>Phone/fax protocol training</t>
  </si>
  <si>
    <t>UNC Code of Conduct</t>
  </si>
  <si>
    <t>Info to come</t>
  </si>
  <si>
    <t>Department of Medicine Clinic Support Website</t>
  </si>
  <si>
    <r>
      <rPr>
        <b/>
        <sz val="10"/>
        <rFont val="Calibri"/>
        <family val="2"/>
        <scheme val="minor"/>
      </rPr>
      <t xml:space="preserve">CSW Access: </t>
    </r>
    <r>
      <rPr>
        <sz val="10"/>
        <rFont val="Calibri"/>
        <family val="2"/>
        <scheme val="minor"/>
      </rPr>
      <t>Visit site to obtain credentials</t>
    </r>
  </si>
  <si>
    <t>Jo Williams</t>
  </si>
  <si>
    <t>Responsible party</t>
  </si>
  <si>
    <t xml:space="preserve">EMPLOYEE NAME:  </t>
  </si>
  <si>
    <t>PID: Personal identification number</t>
  </si>
  <si>
    <t>Self</t>
  </si>
  <si>
    <r>
      <t xml:space="preserve">Meadowmont
</t>
    </r>
    <r>
      <rPr>
        <sz val="10"/>
        <rFont val="Calibri"/>
        <family val="2"/>
        <scheme val="minor"/>
      </rPr>
      <t>966-4444</t>
    </r>
  </si>
  <si>
    <t>INFORMATION SYSTEMS ACCESS</t>
  </si>
  <si>
    <t>INFORMATION SYSTEMS TRAINING</t>
  </si>
  <si>
    <t>Malinda Williams</t>
  </si>
  <si>
    <t>UNC OneCard (need PID/EID)</t>
  </si>
  <si>
    <r>
      <t xml:space="preserve">Confidentiality Statement  </t>
    </r>
    <r>
      <rPr>
        <i/>
        <sz val="10"/>
        <rFont val="Calibri"/>
        <family val="2"/>
        <scheme val="minor"/>
      </rPr>
      <t>(submit at orientation)</t>
    </r>
  </si>
  <si>
    <r>
      <t>Payroll</t>
    </r>
    <r>
      <rPr>
        <i/>
        <sz val="10"/>
        <rFont val="Calibri"/>
        <family val="2"/>
        <scheme val="minor"/>
      </rPr>
      <t xml:space="preserve"> (submit at orientation)</t>
    </r>
  </si>
  <si>
    <t>Yellow belt training  (Lean Six Sigma)</t>
  </si>
  <si>
    <t>Supply ordering</t>
  </si>
  <si>
    <t>Onboarding matrix for SOM SPA</t>
  </si>
  <si>
    <t>Penny Chumley</t>
  </si>
  <si>
    <t>Pager number assignment</t>
  </si>
  <si>
    <t>Telecommunications</t>
  </si>
  <si>
    <t>UNC SCHOOL OF MEDICINE - ORIENTATION</t>
  </si>
  <si>
    <t>UNC SCHOOL OF MEDICINE - COMPLETE AFTER ORIENTATION</t>
  </si>
  <si>
    <t>General Privacy</t>
  </si>
  <si>
    <r>
      <rPr>
        <sz val="10"/>
        <rFont val="Calibri"/>
        <family val="2"/>
      </rPr>
      <t xml:space="preserve">Click </t>
    </r>
    <r>
      <rPr>
        <b/>
        <u/>
        <sz val="10"/>
        <rFont val="Calibri"/>
        <family val="2"/>
      </rPr>
      <t>here</t>
    </r>
    <r>
      <rPr>
        <sz val="10"/>
        <rFont val="Calibri"/>
        <family val="2"/>
      </rPr>
      <t xml:space="preserve"> for HIPAA tests</t>
    </r>
  </si>
  <si>
    <t>General Information Security</t>
  </si>
  <si>
    <t>Patients' Rights</t>
  </si>
  <si>
    <t>Patients' Rights to Accounting of Disclosures</t>
  </si>
  <si>
    <t>Patients' Rights to Object of Disclosures</t>
  </si>
  <si>
    <t>Guidelines for Contacting Patients</t>
  </si>
  <si>
    <t>Healthcare Workers / Joint Commission</t>
  </si>
  <si>
    <r>
      <rPr>
        <sz val="10"/>
        <rFont val="Calibri"/>
        <family val="2"/>
      </rPr>
      <t xml:space="preserve">Click </t>
    </r>
    <r>
      <rPr>
        <b/>
        <u/>
        <sz val="10"/>
        <rFont val="Calibri"/>
        <family val="2"/>
      </rPr>
      <t>here</t>
    </r>
    <r>
      <rPr>
        <sz val="10"/>
        <rFont val="Calibri"/>
        <family val="2"/>
      </rPr>
      <t xml:space="preserve"> for EHS tests</t>
    </r>
  </si>
  <si>
    <t>Tuberculosis &amp; Infection Control</t>
  </si>
  <si>
    <t>School of Medicine network credentials / Outlook email account</t>
  </si>
  <si>
    <r>
      <rPr>
        <b/>
        <u/>
        <sz val="10"/>
        <rFont val="Calibri"/>
        <family val="2"/>
        <scheme val="minor"/>
      </rPr>
      <t>ANNUAL</t>
    </r>
    <r>
      <rPr>
        <b/>
        <sz val="10"/>
        <rFont val="Calibri"/>
        <family val="2"/>
        <scheme val="minor"/>
      </rPr>
      <t xml:space="preserve"> Occupational Health Services</t>
    </r>
    <r>
      <rPr>
        <sz val="10"/>
        <rFont val="Calibri"/>
        <family val="2"/>
        <scheme val="minor"/>
      </rPr>
      <t xml:space="preserve"> (call to schedule appointment) - After initial session, must complete annually</t>
    </r>
  </si>
  <si>
    <t>Park and Ride, campus maps</t>
  </si>
  <si>
    <t>ONYEN (UNC ID used for timecard system)</t>
  </si>
  <si>
    <t>Bonnie Hayes, 843-6218</t>
  </si>
  <si>
    <r>
      <t xml:space="preserve">click </t>
    </r>
    <r>
      <rPr>
        <b/>
        <u/>
        <sz val="10"/>
        <rFont val="Calibri"/>
        <family val="2"/>
      </rPr>
      <t>here</t>
    </r>
    <r>
      <rPr>
        <sz val="10"/>
        <rFont val="Calibri"/>
        <family val="2"/>
      </rPr>
      <t xml:space="preserve"> for ID form</t>
    </r>
  </si>
  <si>
    <r>
      <rPr>
        <u/>
        <sz val="10"/>
        <rFont val="Calibri"/>
        <family val="2"/>
        <scheme val="minor"/>
      </rPr>
      <t>ANNUAL</t>
    </r>
    <r>
      <rPr>
        <b/>
        <sz val="10"/>
        <rFont val="Calibri"/>
        <family val="2"/>
        <scheme val="minor"/>
      </rPr>
      <t xml:space="preserve"> HIPAA Compliance</t>
    </r>
    <r>
      <rPr>
        <sz val="10"/>
        <rFont val="Calibri"/>
        <family val="2"/>
        <scheme val="minor"/>
      </rPr>
      <t xml:space="preserve"> (requires PID or State abbreviation plus last 7 digits of driver's license, e.g NC1234567) - After initial session, must complete annually</t>
    </r>
  </si>
  <si>
    <t>Research Disclosures for Data Custodians (mandatory only for researchers and research assistants)</t>
  </si>
  <si>
    <r>
      <rPr>
        <b/>
        <u/>
        <sz val="10"/>
        <rFont val="Calibri"/>
        <family val="2"/>
        <scheme val="minor"/>
      </rPr>
      <t>ANNUAL</t>
    </r>
    <r>
      <rPr>
        <b/>
        <sz val="10"/>
        <rFont val="Calibri"/>
        <family val="2"/>
        <scheme val="minor"/>
      </rPr>
      <t xml:space="preserve"> Environmental Health and Safety Compliance</t>
    </r>
    <r>
      <rPr>
        <sz val="10"/>
        <rFont val="Calibri"/>
        <family val="2"/>
        <scheme val="minor"/>
      </rPr>
      <t xml:space="preserve"> (requires PID or ONYEN) - After initial session, must complete annually</t>
    </r>
  </si>
  <si>
    <t>Respiratory Protection for Tuberculosis (mandatory only for residents and researchers working with TB)</t>
  </si>
  <si>
    <r>
      <t xml:space="preserve">click </t>
    </r>
    <r>
      <rPr>
        <b/>
        <u/>
        <sz val="10"/>
        <rFont val="Calibri"/>
        <family val="2"/>
      </rPr>
      <t>here</t>
    </r>
    <r>
      <rPr>
        <sz val="10"/>
        <rFont val="Calibri"/>
        <family val="2"/>
      </rPr>
      <t xml:space="preserve"> for TIM</t>
    </r>
  </si>
  <si>
    <t>My Timecard Access (the version you select from the 'Select OS' drop down menu will depend on the operating system of your computer.  Users of Windows XP and Vista should select UNCTIM 5.1, and Windows 7 users should select UNCTIMWin7.)</t>
  </si>
  <si>
    <r>
      <t xml:space="preserve">click </t>
    </r>
    <r>
      <rPr>
        <b/>
        <u/>
        <sz val="10"/>
        <rFont val="Calibri"/>
        <family val="2"/>
      </rPr>
      <t>here</t>
    </r>
    <r>
      <rPr>
        <sz val="10"/>
        <rFont val="Calibri"/>
        <family val="2"/>
      </rPr>
      <t xml:space="preserve"> for Confidentiality Statement</t>
    </r>
  </si>
  <si>
    <t>Clinic tour</t>
  </si>
  <si>
    <t>Campus tour</t>
  </si>
  <si>
    <t>Scavenger Hunt</t>
  </si>
  <si>
    <r>
      <t xml:space="preserve">Employee Entry on Duty Date (EOD): </t>
    </r>
    <r>
      <rPr>
        <sz val="10"/>
        <rFont val="Calibri"/>
        <family val="2"/>
        <scheme val="minor"/>
      </rPr>
      <t>(please change to correct start date)</t>
    </r>
  </si>
  <si>
    <r>
      <t xml:space="preserve">145 N Medical Dr, 2nd fl </t>
    </r>
    <r>
      <rPr>
        <sz val="8"/>
        <rFont val="Calibri"/>
        <family val="2"/>
        <scheme val="minor"/>
      </rPr>
      <t xml:space="preserve">(old Health Affairs Bookstore)
</t>
    </r>
    <r>
      <rPr>
        <sz val="10"/>
        <rFont val="Calibri"/>
        <family val="2"/>
        <scheme val="minor"/>
      </rPr>
      <t>966-9119</t>
    </r>
  </si>
  <si>
    <r>
      <t xml:space="preserve">GE - Patient Scheduling, Registration &amp; Billing system </t>
    </r>
    <r>
      <rPr>
        <i/>
        <sz val="10"/>
        <rFont val="Calibri"/>
        <family val="2"/>
        <scheme val="minor"/>
      </rPr>
      <t>(requires SARF)
Employee must take classes in this order</t>
    </r>
  </si>
  <si>
    <t>Clock-in/clock-out using TIM</t>
  </si>
  <si>
    <r>
      <rPr>
        <sz val="10"/>
        <rFont val="Calibri"/>
        <family val="2"/>
      </rPr>
      <t xml:space="preserve">click </t>
    </r>
    <r>
      <rPr>
        <b/>
        <u/>
        <sz val="10"/>
        <rFont val="Calibri"/>
        <family val="2"/>
      </rPr>
      <t>here</t>
    </r>
    <r>
      <rPr>
        <sz val="10"/>
        <rFont val="Calibri"/>
        <family val="2"/>
      </rPr>
      <t xml:space="preserve"> for Scavenger Hunt</t>
    </r>
  </si>
  <si>
    <r>
      <rPr>
        <sz val="10"/>
        <rFont val="Calibri"/>
        <family val="2"/>
      </rPr>
      <t xml:space="preserve">click </t>
    </r>
    <r>
      <rPr>
        <b/>
        <u/>
        <sz val="10"/>
        <rFont val="Calibri"/>
        <family val="2"/>
      </rPr>
      <t>here</t>
    </r>
    <r>
      <rPr>
        <sz val="10"/>
        <rFont val="Calibri"/>
        <family val="2"/>
      </rPr>
      <t xml:space="preserve"> for Campus Tour</t>
    </r>
  </si>
  <si>
    <t>Take completed/signed ID form to ID Badge office</t>
  </si>
  <si>
    <t>41 Macnider Hall
M-F, 8a-12p; 1p-4:30p</t>
  </si>
  <si>
    <t>SOM Photo ID badge</t>
  </si>
  <si>
    <r>
      <t xml:space="preserve">click </t>
    </r>
    <r>
      <rPr>
        <b/>
        <u/>
        <sz val="10"/>
        <rFont val="Calibri"/>
        <family val="2"/>
      </rPr>
      <t>here</t>
    </r>
    <r>
      <rPr>
        <sz val="10"/>
        <rFont val="Calibri"/>
        <family val="2"/>
      </rPr>
      <t xml:space="preserve"> for Benefits forms</t>
    </r>
  </si>
  <si>
    <r>
      <t xml:space="preserve">SARF: Systems Access Request Form; Info Security Administration
      </t>
    </r>
    <r>
      <rPr>
        <sz val="10"/>
        <color theme="1"/>
        <rFont val="Calibri"/>
        <family val="2"/>
        <scheme val="minor"/>
      </rPr>
      <t>(LMS, GE, WebCIS, Citrix, Report2Web, TIM, etc)</t>
    </r>
  </si>
  <si>
    <t>Paul Njagu</t>
  </si>
  <si>
    <r>
      <rPr>
        <sz val="10"/>
        <rFont val="Calibri"/>
        <family val="2"/>
      </rPr>
      <t xml:space="preserve">click </t>
    </r>
    <r>
      <rPr>
        <b/>
        <u/>
        <sz val="10"/>
        <rFont val="Calibri"/>
        <family val="2"/>
      </rPr>
      <t>here</t>
    </r>
    <r>
      <rPr>
        <b/>
        <sz val="10"/>
        <rFont val="Calibri"/>
        <family val="2"/>
      </rPr>
      <t xml:space="preserve"> </t>
    </r>
    <r>
      <rPr>
        <sz val="10"/>
        <rFont val="Calibri"/>
        <family val="2"/>
      </rPr>
      <t>for more info</t>
    </r>
  </si>
  <si>
    <t xml:space="preserve">Administrative Office Bldg
104 Airport Drive, Rm 3101
</t>
  </si>
  <si>
    <t>Administrative Office Bldg,
104 Airport Drive, Rm 3101</t>
  </si>
  <si>
    <r>
      <t xml:space="preserve">SOM Benefits </t>
    </r>
    <r>
      <rPr>
        <i/>
        <sz val="10"/>
        <rFont val="Calibri"/>
        <family val="2"/>
        <scheme val="minor"/>
      </rPr>
      <t>(submit at orientation)</t>
    </r>
  </si>
  <si>
    <t xml:space="preserve">  Install TIM on your computer</t>
  </si>
  <si>
    <r>
      <t xml:space="preserve">UNC Shareware - Click </t>
    </r>
    <r>
      <rPr>
        <b/>
        <u/>
        <sz val="10"/>
        <rFont val="Calibri"/>
        <family val="2"/>
      </rPr>
      <t>here</t>
    </r>
  </si>
  <si>
    <t>OIS Client Services
65 MacNider
M-F  9am-4pm</t>
  </si>
  <si>
    <t>Tonya Kimrey</t>
  </si>
  <si>
    <t>Brooke McGuirt</t>
  </si>
  <si>
    <t>Staples - office supply ordering</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</si>
</sst>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u/>
      <sz val="11"/>
      <color theme="10"/>
      <name val="Calibri"/>
      <family val="2"/>
    </font>
    <font>
      <b/>
      <sz val="10"/>
      <color theme="1"/>
      <name val="Calibri"/>
      <family val="2"/>
      <scheme val="minor"/>
    </font>
    <font>
      <b/>
      <sz val="10"/>
      <color theme="0"/>
      <name val="Calibri"/>
      <family val="2"/>
      <scheme val="minor"/>
    </font>
    <font>
      <sz val="10"/>
      <color theme="0"/>
      <name val="Calibri"/>
      <family val="2"/>
      <scheme val="minor"/>
    </font>
    <font>
      <sz val="10"/>
      <name val="Calibri"/>
      <family val="2"/>
      <scheme val="minor"/>
    </font>
    <font>
      <b/>
      <sz val="10"/>
      <name val="Calibri"/>
      <family val="2"/>
      <scheme val="minor"/>
    </font>
    <font>
      <b/>
      <u/>
      <sz val="10"/>
      <name val="Calibri"/>
      <family val="2"/>
      <scheme val="minor"/>
    </font>
    <font>
      <u/>
      <sz val="10"/>
      <name val="Calibri"/>
      <family val="2"/>
      <scheme val="minor"/>
    </font>
    <font>
      <i/>
      <sz val="10"/>
      <name val="Calibri"/>
      <family val="2"/>
      <scheme val="minor"/>
    </font>
    <font>
      <sz val="10"/>
      <name val="Calibri"/>
      <family val="2"/>
    </font>
    <font>
      <b/>
      <u/>
      <sz val="10"/>
      <name val="Calibri"/>
      <family val="2"/>
    </font>
    <font>
      <b/>
      <sz val="14"/>
      <color theme="0"/>
      <name val="Calibri"/>
      <family val="2"/>
      <scheme val="minor"/>
    </font>
    <font>
      <sz val="10"/>
      <color theme="1"/>
      <name val="Calibri"/>
      <family val="2"/>
      <scheme val="minor"/>
    </font>
    <font>
      <u/>
      <sz val="10"/>
      <color theme="10"/>
      <name val="Calibri"/>
      <family val="2"/>
    </font>
    <font>
      <u/>
      <sz val="10"/>
      <name val="Calibri"/>
      <family val="2"/>
    </font>
    <font>
      <b/>
      <sz val="10"/>
      <name val="Calibri"/>
      <family val="2"/>
    </font>
    <font>
      <sz val="8"/>
      <name val="Calibri"/>
      <family val="2"/>
      <scheme val="minor"/>
    </font>
    <font>
      <sz val="9"/>
      <name val="Calibri"/>
      <family val="2"/>
      <scheme val="minor"/>
    </font>
    <font>
      <sz val="10"/>
      <color indexed="8"/>
      <name val="Calibri"/>
      <family val="2"/>
    </font>
  </fonts>
  <fills count="6">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theme="5" tint="-0.249977111117893"/>
        <bgColor indexed="64"/>
      </patternFill>
    </fill>
    <fill>
      <patternFill patternType="solid">
        <fgColor theme="0" tint="-4.9989318521683403E-2"/>
        <bgColor indexed="64"/>
      </patternFill>
    </fill>
  </fills>
  <borders count="21">
    <border>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8">
    <xf numFmtId="0" fontId="0" fillId="0" borderId="0" xfId="0"/>
    <xf numFmtId="0" fontId="5" fillId="0" borderId="0" xfId="0" applyFont="1" applyFill="1" applyBorder="1" applyAlignment="1">
      <alignment horizontal="center" vertical="top"/>
    </xf>
    <xf numFmtId="0" fontId="5" fillId="0" borderId="0" xfId="0" applyFont="1" applyFill="1" applyBorder="1" applyAlignment="1">
      <alignment horizontal="left" vertical="top" wrapText="1"/>
    </xf>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5" fillId="0" borderId="0" xfId="0" applyFont="1" applyFill="1" applyBorder="1" applyAlignment="1">
      <alignment horizontal="right" vertical="top"/>
    </xf>
    <xf numFmtId="0" fontId="6" fillId="3" borderId="0" xfId="0" applyFont="1" applyFill="1" applyBorder="1" applyAlignment="1">
      <alignment horizontal="left" vertical="top"/>
    </xf>
    <xf numFmtId="0" fontId="5" fillId="0" borderId="0" xfId="0" applyFont="1" applyFill="1" applyBorder="1" applyAlignment="1">
      <alignment vertical="top"/>
    </xf>
    <xf numFmtId="0" fontId="5" fillId="0" borderId="0" xfId="0" applyFont="1" applyFill="1" applyBorder="1" applyAlignment="1">
      <alignment vertical="top" wrapText="1"/>
    </xf>
    <xf numFmtId="0" fontId="1" fillId="0" borderId="0" xfId="1" applyFill="1" applyBorder="1" applyAlignment="1" applyProtection="1">
      <alignment horizontal="left" vertical="top"/>
    </xf>
    <xf numFmtId="0" fontId="5" fillId="3" borderId="0" xfId="0" applyFont="1" applyFill="1" applyBorder="1" applyAlignment="1">
      <alignment horizontal="left" vertical="top"/>
    </xf>
    <xf numFmtId="0" fontId="6" fillId="0" borderId="0" xfId="0" applyFont="1" applyFill="1" applyBorder="1" applyAlignment="1">
      <alignment horizontal="left" vertical="top"/>
    </xf>
    <xf numFmtId="0" fontId="3" fillId="2" borderId="2" xfId="0" applyFont="1" applyFill="1" applyBorder="1" applyAlignment="1">
      <alignment vertical="top"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top"/>
    </xf>
    <xf numFmtId="0" fontId="5" fillId="0" borderId="2" xfId="0" applyFont="1" applyFill="1" applyBorder="1" applyAlignment="1">
      <alignment horizontal="left" vertical="top"/>
    </xf>
    <xf numFmtId="0" fontId="5" fillId="0" borderId="2" xfId="0" applyFont="1" applyFill="1" applyBorder="1" applyAlignment="1">
      <alignment vertical="top"/>
    </xf>
    <xf numFmtId="0" fontId="5" fillId="0" borderId="2" xfId="0" applyFont="1" applyFill="1" applyBorder="1" applyAlignment="1">
      <alignment horizontal="center" vertical="top"/>
    </xf>
    <xf numFmtId="0" fontId="5" fillId="0" borderId="2" xfId="0" applyFont="1" applyFill="1" applyBorder="1" applyAlignment="1">
      <alignment horizontal="right" vertical="top"/>
    </xf>
    <xf numFmtId="0" fontId="10" fillId="0" borderId="2" xfId="1" applyFont="1" applyFill="1" applyBorder="1" applyAlignment="1" applyProtection="1">
      <alignment vertical="top" wrapText="1"/>
    </xf>
    <xf numFmtId="0" fontId="14" fillId="0" borderId="2" xfId="1" applyFont="1" applyFill="1" applyBorder="1" applyAlignment="1" applyProtection="1">
      <alignment horizontal="center" vertical="top"/>
    </xf>
    <xf numFmtId="14" fontId="5" fillId="0" borderId="2" xfId="0" applyNumberFormat="1" applyFont="1" applyFill="1" applyBorder="1" applyAlignment="1">
      <alignment horizontal="right" vertical="top"/>
    </xf>
    <xf numFmtId="0" fontId="5" fillId="0" borderId="2" xfId="1" applyFont="1" applyFill="1" applyBorder="1" applyAlignment="1" applyProtection="1">
      <alignment horizontal="center" vertical="top"/>
    </xf>
    <xf numFmtId="0" fontId="5" fillId="0" borderId="2" xfId="0" applyFont="1" applyFill="1" applyBorder="1" applyAlignment="1">
      <alignment horizontal="left" vertical="top" wrapText="1"/>
    </xf>
    <xf numFmtId="0" fontId="6" fillId="0" borderId="2" xfId="0" applyFont="1" applyFill="1" applyBorder="1" applyAlignment="1">
      <alignment vertical="top" wrapText="1"/>
    </xf>
    <xf numFmtId="0" fontId="6" fillId="0" borderId="2" xfId="1" applyFont="1" applyFill="1" applyBorder="1" applyAlignment="1" applyProtection="1">
      <alignment horizontal="left" vertical="top"/>
    </xf>
    <xf numFmtId="0" fontId="3" fillId="2" borderId="2" xfId="0" applyFont="1" applyFill="1" applyBorder="1" applyAlignment="1">
      <alignment horizontal="left" vertical="top"/>
    </xf>
    <xf numFmtId="0" fontId="4" fillId="2" borderId="2" xfId="0" applyFont="1" applyFill="1" applyBorder="1" applyAlignment="1">
      <alignment horizontal="left" vertical="top"/>
    </xf>
    <xf numFmtId="0" fontId="14" fillId="0" borderId="2" xfId="1" applyFont="1" applyFill="1" applyBorder="1" applyAlignment="1" applyProtection="1">
      <alignment vertical="center"/>
    </xf>
    <xf numFmtId="0" fontId="5" fillId="0" borderId="2" xfId="0" applyFont="1" applyFill="1" applyBorder="1" applyAlignment="1">
      <alignment horizontal="left" vertical="top" indent="1"/>
    </xf>
    <xf numFmtId="0" fontId="14" fillId="0" borderId="2" xfId="1" applyFont="1" applyFill="1" applyBorder="1" applyAlignment="1" applyProtection="1">
      <alignment horizontal="center" vertical="center"/>
    </xf>
    <xf numFmtId="0" fontId="10" fillId="0" borderId="2" xfId="1" applyFont="1" applyFill="1" applyBorder="1" applyAlignment="1" applyProtection="1">
      <alignment vertical="center"/>
    </xf>
    <xf numFmtId="0" fontId="5" fillId="3" borderId="2" xfId="0" applyFont="1" applyFill="1" applyBorder="1" applyAlignment="1">
      <alignment horizontal="center" vertical="top"/>
    </xf>
    <xf numFmtId="0" fontId="14" fillId="3" borderId="2" xfId="1" applyFont="1" applyFill="1" applyBorder="1" applyAlignment="1" applyProtection="1">
      <alignment horizontal="center" vertical="top"/>
    </xf>
    <xf numFmtId="0" fontId="6" fillId="3" borderId="2" xfId="0" applyFont="1" applyFill="1" applyBorder="1" applyAlignment="1">
      <alignment vertical="top"/>
    </xf>
    <xf numFmtId="0" fontId="6" fillId="3" borderId="6" xfId="0" applyFont="1" applyFill="1" applyBorder="1" applyAlignment="1">
      <alignment horizontal="left" vertical="top"/>
    </xf>
    <xf numFmtId="0" fontId="5" fillId="3" borderId="6" xfId="0" applyFont="1" applyFill="1" applyBorder="1" applyAlignment="1">
      <alignment horizontal="left" vertical="top"/>
    </xf>
    <xf numFmtId="0" fontId="5" fillId="3" borderId="6" xfId="0" applyFont="1" applyFill="1" applyBorder="1" applyAlignment="1">
      <alignment horizontal="center" vertical="top"/>
    </xf>
    <xf numFmtId="0" fontId="5" fillId="3" borderId="6" xfId="0" applyFont="1" applyFill="1" applyBorder="1" applyAlignment="1">
      <alignment horizontal="right" vertical="top"/>
    </xf>
    <xf numFmtId="0" fontId="5" fillId="0" borderId="6" xfId="0" applyFont="1" applyFill="1" applyBorder="1" applyAlignment="1">
      <alignment horizontal="left" vertical="top"/>
    </xf>
    <xf numFmtId="0" fontId="5" fillId="0" borderId="6" xfId="0" applyFont="1" applyFill="1" applyBorder="1" applyAlignment="1">
      <alignment vertical="top" wrapText="1"/>
    </xf>
    <xf numFmtId="0" fontId="14" fillId="0" borderId="6" xfId="1" applyFont="1" applyFill="1" applyBorder="1" applyAlignment="1" applyProtection="1">
      <alignment horizontal="center" vertical="center" wrapText="1"/>
    </xf>
    <xf numFmtId="0" fontId="5" fillId="0" borderId="6" xfId="0" applyFont="1" applyFill="1" applyBorder="1" applyAlignment="1">
      <alignment horizontal="center" vertical="top"/>
    </xf>
    <xf numFmtId="0" fontId="5" fillId="0" borderId="6" xfId="0" applyFont="1" applyFill="1" applyBorder="1" applyAlignment="1">
      <alignment horizontal="right" vertical="top"/>
    </xf>
    <xf numFmtId="0" fontId="5" fillId="0" borderId="6" xfId="0" applyFont="1" applyFill="1" applyBorder="1" applyAlignment="1">
      <alignment vertical="top"/>
    </xf>
    <xf numFmtId="14" fontId="5" fillId="0" borderId="6" xfId="0" applyNumberFormat="1" applyFont="1" applyFill="1" applyBorder="1" applyAlignment="1">
      <alignment horizontal="right" vertical="top"/>
    </xf>
    <xf numFmtId="0" fontId="5" fillId="0" borderId="6" xfId="0" applyFont="1" applyFill="1" applyBorder="1" applyAlignment="1">
      <alignment horizontal="left" vertical="top" indent="1"/>
    </xf>
    <xf numFmtId="0" fontId="14" fillId="0" borderId="6" xfId="1" applyFont="1" applyFill="1" applyBorder="1" applyAlignment="1" applyProtection="1">
      <alignment vertical="center"/>
    </xf>
    <xf numFmtId="0" fontId="3" fillId="2" borderId="7" xfId="0" applyFont="1" applyFill="1" applyBorder="1" applyAlignment="1">
      <alignment vertical="top" wrapText="1"/>
    </xf>
    <xf numFmtId="0" fontId="3" fillId="2" borderId="7" xfId="0" applyFont="1" applyFill="1" applyBorder="1" applyAlignment="1">
      <alignment horizontal="center" vertical="center" wrapText="1"/>
    </xf>
    <xf numFmtId="0" fontId="3" fillId="2" borderId="7" xfId="0" applyFont="1" applyFill="1" applyBorder="1" applyAlignment="1">
      <alignment horizontal="center" vertical="top"/>
    </xf>
    <xf numFmtId="0" fontId="10" fillId="0" borderId="6" xfId="1" applyFont="1" applyFill="1" applyBorder="1" applyAlignment="1" applyProtection="1">
      <alignment vertical="top"/>
    </xf>
    <xf numFmtId="0" fontId="5" fillId="0" borderId="6" xfId="1" applyFont="1" applyFill="1" applyBorder="1" applyAlignment="1" applyProtection="1">
      <alignment horizontal="center" vertical="top"/>
    </xf>
    <xf numFmtId="0" fontId="5" fillId="0" borderId="6" xfId="0" applyFont="1" applyFill="1" applyBorder="1" applyAlignment="1">
      <alignment horizontal="left" vertical="top" wrapText="1"/>
    </xf>
    <xf numFmtId="0" fontId="5" fillId="0" borderId="6" xfId="1" applyFont="1" applyFill="1" applyBorder="1" applyAlignment="1" applyProtection="1">
      <alignment horizontal="left" vertical="top"/>
    </xf>
    <xf numFmtId="0" fontId="10" fillId="0" borderId="6" xfId="0" applyFont="1" applyFill="1" applyBorder="1" applyAlignment="1">
      <alignment horizontal="left" vertical="top"/>
    </xf>
    <xf numFmtId="0" fontId="15" fillId="0" borderId="6" xfId="1" applyFont="1" applyFill="1" applyBorder="1" applyAlignment="1" applyProtection="1">
      <alignment horizontal="left" vertical="top"/>
    </xf>
    <xf numFmtId="14" fontId="6" fillId="3" borderId="6" xfId="0" applyNumberFormat="1" applyFont="1" applyFill="1" applyBorder="1" applyAlignment="1">
      <alignment horizontal="center" vertical="top" wrapText="1"/>
    </xf>
    <xf numFmtId="14" fontId="5" fillId="3" borderId="2" xfId="0" applyNumberFormat="1" applyFont="1" applyFill="1" applyBorder="1" applyAlignment="1">
      <alignment horizontal="right" vertical="top"/>
    </xf>
    <xf numFmtId="0" fontId="5" fillId="0" borderId="2" xfId="0" applyFont="1" applyFill="1" applyBorder="1" applyAlignment="1">
      <alignment horizontal="left" vertical="center"/>
    </xf>
    <xf numFmtId="0" fontId="5" fillId="0" borderId="2" xfId="1" applyFont="1" applyFill="1" applyBorder="1" applyAlignment="1" applyProtection="1">
      <alignment horizontal="center" vertical="center"/>
    </xf>
    <xf numFmtId="0" fontId="5" fillId="0" borderId="2" xfId="0" applyFont="1" applyFill="1" applyBorder="1" applyAlignment="1">
      <alignment horizontal="center" vertical="center"/>
    </xf>
    <xf numFmtId="0" fontId="5" fillId="0" borderId="6" xfId="0" applyFont="1" applyFill="1" applyBorder="1" applyAlignment="1">
      <alignment horizontal="left" vertical="center"/>
    </xf>
    <xf numFmtId="0" fontId="5" fillId="0" borderId="6" xfId="1" applyFont="1" applyFill="1" applyBorder="1" applyAlignment="1" applyProtection="1">
      <alignment horizontal="center" vertical="center"/>
    </xf>
    <xf numFmtId="0" fontId="5" fillId="0" borderId="6" xfId="0" applyFont="1" applyFill="1" applyBorder="1" applyAlignment="1">
      <alignment horizontal="center" vertical="center"/>
    </xf>
    <xf numFmtId="14" fontId="5" fillId="0" borderId="6" xfId="0" applyNumberFormat="1" applyFont="1" applyFill="1" applyBorder="1" applyAlignment="1">
      <alignment horizontal="right" vertical="center"/>
    </xf>
    <xf numFmtId="0" fontId="5" fillId="0" borderId="14" xfId="0" applyFont="1" applyFill="1" applyBorder="1" applyAlignment="1">
      <alignment horizontal="center" vertical="top"/>
    </xf>
    <xf numFmtId="14" fontId="5" fillId="0" borderId="14" xfId="0" applyNumberFormat="1" applyFont="1" applyFill="1" applyBorder="1" applyAlignment="1">
      <alignment horizontal="center" vertical="top"/>
    </xf>
    <xf numFmtId="0" fontId="6" fillId="0" borderId="17" xfId="0" applyFont="1" applyFill="1" applyBorder="1" applyAlignment="1">
      <alignment vertical="top"/>
    </xf>
    <xf numFmtId="0" fontId="6" fillId="0" borderId="18" xfId="0" applyFont="1" applyFill="1" applyBorder="1" applyAlignment="1">
      <alignment vertical="top"/>
    </xf>
    <xf numFmtId="0" fontId="5" fillId="0" borderId="6" xfId="0" applyFont="1" applyFill="1" applyBorder="1" applyAlignment="1">
      <alignment horizontal="left" vertical="center" wrapText="1"/>
    </xf>
    <xf numFmtId="0" fontId="5" fillId="0" borderId="7" xfId="0" applyFont="1" applyFill="1" applyBorder="1" applyAlignment="1">
      <alignment horizontal="center" vertical="top"/>
    </xf>
    <xf numFmtId="14" fontId="5" fillId="0" borderId="7" xfId="0" applyNumberFormat="1" applyFont="1" applyFill="1" applyBorder="1" applyAlignment="1">
      <alignment horizontal="right" vertical="top"/>
    </xf>
    <xf numFmtId="0" fontId="5" fillId="0" borderId="2"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15" fillId="0" borderId="6" xfId="1" applyFont="1" applyFill="1" applyBorder="1" applyAlignment="1" applyProtection="1">
      <alignment horizontal="left" vertical="center"/>
    </xf>
    <xf numFmtId="0" fontId="15" fillId="0" borderId="0" xfId="1" applyFont="1" applyAlignment="1" applyProtection="1"/>
    <xf numFmtId="0" fontId="10" fillId="0" borderId="0" xfId="1" applyFont="1" applyFill="1" applyBorder="1" applyAlignment="1" applyProtection="1">
      <alignment horizontal="left" vertical="top" wrapText="1"/>
    </xf>
    <xf numFmtId="0" fontId="14" fillId="0" borderId="0" xfId="1" applyFont="1" applyAlignment="1" applyProtection="1">
      <alignment horizontal="center" vertical="center"/>
    </xf>
    <xf numFmtId="0" fontId="6" fillId="0" borderId="7" xfId="0" applyFont="1" applyFill="1" applyBorder="1" applyAlignment="1">
      <alignment horizontal="left" vertical="top"/>
    </xf>
    <xf numFmtId="0" fontId="5" fillId="0" borderId="7" xfId="0" applyFont="1" applyFill="1" applyBorder="1" applyAlignment="1">
      <alignment horizontal="left" vertical="top"/>
    </xf>
    <xf numFmtId="0" fontId="10" fillId="0" borderId="7" xfId="1" applyFont="1" applyFill="1" applyBorder="1" applyAlignment="1" applyProtection="1">
      <alignment horizontal="left" vertical="center"/>
    </xf>
    <xf numFmtId="0" fontId="14" fillId="0" borderId="7" xfId="1" applyFont="1" applyFill="1" applyBorder="1" applyAlignment="1" applyProtection="1">
      <alignment horizontal="center" vertical="center"/>
    </xf>
    <xf numFmtId="0" fontId="6" fillId="5" borderId="1" xfId="0" applyFont="1" applyFill="1" applyBorder="1" applyAlignment="1">
      <alignment vertical="top"/>
    </xf>
    <xf numFmtId="0" fontId="6" fillId="5" borderId="20" xfId="0" applyFont="1" applyFill="1" applyBorder="1" applyAlignment="1">
      <alignment vertical="top"/>
    </xf>
    <xf numFmtId="0" fontId="6" fillId="5" borderId="19" xfId="0" applyFont="1" applyFill="1" applyBorder="1" applyAlignment="1">
      <alignment vertical="top"/>
    </xf>
    <xf numFmtId="0" fontId="10" fillId="0" borderId="6" xfId="1" applyFont="1" applyBorder="1" applyAlignment="1" applyProtection="1"/>
    <xf numFmtId="0" fontId="14" fillId="0" borderId="2" xfId="1" applyFont="1" applyBorder="1" applyAlignment="1" applyProtection="1">
      <alignment horizontal="center" vertical="center"/>
    </xf>
    <xf numFmtId="0" fontId="5" fillId="3" borderId="2" xfId="0" applyFont="1" applyFill="1" applyBorder="1" applyAlignment="1">
      <alignment horizontal="left" vertical="top"/>
    </xf>
    <xf numFmtId="0" fontId="14" fillId="0" borderId="6" xfId="1" applyFont="1" applyBorder="1" applyAlignment="1" applyProtection="1">
      <alignment horizontal="center" vertical="top"/>
    </xf>
    <xf numFmtId="0" fontId="14" fillId="0" borderId="6" xfId="1" applyFont="1" applyBorder="1" applyAlignment="1" applyProtection="1">
      <alignment horizontal="center" vertical="center"/>
    </xf>
    <xf numFmtId="0" fontId="18" fillId="3" borderId="2" xfId="0" applyFont="1" applyFill="1" applyBorder="1" applyAlignment="1">
      <alignment vertical="center" wrapText="1"/>
    </xf>
    <xf numFmtId="14" fontId="5" fillId="0" borderId="2" xfId="0" applyNumberFormat="1" applyFont="1" applyFill="1" applyBorder="1" applyAlignment="1">
      <alignment horizontal="right" vertical="center"/>
    </xf>
    <xf numFmtId="0" fontId="19" fillId="0" borderId="2" xfId="0" applyFont="1" applyBorder="1" applyAlignment="1">
      <alignment vertical="center"/>
    </xf>
    <xf numFmtId="0" fontId="10" fillId="0" borderId="2" xfId="1" applyFont="1" applyBorder="1" applyAlignment="1" applyProtection="1">
      <alignment horizontal="left" vertical="center"/>
    </xf>
    <xf numFmtId="0" fontId="6" fillId="5" borderId="2" xfId="0" applyFont="1" applyFill="1" applyBorder="1" applyAlignment="1">
      <alignment vertical="top"/>
    </xf>
    <xf numFmtId="0" fontId="10" fillId="0" borderId="2" xfId="1" applyFont="1" applyBorder="1" applyAlignment="1" applyProtection="1">
      <alignment vertical="center"/>
    </xf>
    <xf numFmtId="0" fontId="10" fillId="0" borderId="0" xfId="1" applyFont="1" applyAlignment="1" applyProtection="1">
      <alignment vertical="center"/>
    </xf>
    <xf numFmtId="0" fontId="5" fillId="3" borderId="2" xfId="0" applyFont="1" applyFill="1" applyBorder="1" applyAlignment="1">
      <alignment horizontal="left" vertical="top" wrapText="1" indent="1"/>
    </xf>
    <xf numFmtId="0" fontId="10" fillId="0" borderId="0" xfId="1" applyFont="1" applyAlignment="1" applyProtection="1"/>
    <xf numFmtId="0" fontId="10" fillId="0" borderId="0" xfId="1" applyFont="1" applyAlignment="1" applyProtection="1">
      <alignment horizontal="left"/>
    </xf>
    <xf numFmtId="0" fontId="6" fillId="5" borderId="11" xfId="0" applyFont="1" applyFill="1" applyBorder="1" applyAlignment="1">
      <alignment horizontal="left" vertical="top"/>
    </xf>
    <xf numFmtId="0" fontId="6" fillId="5" borderId="12" xfId="0" applyFont="1" applyFill="1" applyBorder="1" applyAlignment="1">
      <alignment horizontal="left" vertical="top"/>
    </xf>
    <xf numFmtId="0" fontId="6" fillId="5" borderId="13" xfId="0" applyFont="1" applyFill="1" applyBorder="1" applyAlignment="1">
      <alignment horizontal="left" vertical="top"/>
    </xf>
    <xf numFmtId="0" fontId="6" fillId="5" borderId="3" xfId="0" applyFont="1" applyFill="1" applyBorder="1" applyAlignment="1">
      <alignment horizontal="left" vertical="top"/>
    </xf>
    <xf numFmtId="0" fontId="6" fillId="5" borderId="4" xfId="0" applyFont="1" applyFill="1" applyBorder="1" applyAlignment="1">
      <alignment horizontal="left" vertical="top"/>
    </xf>
    <xf numFmtId="0" fontId="6" fillId="5" borderId="5" xfId="0" applyFont="1" applyFill="1" applyBorder="1" applyAlignment="1">
      <alignment horizontal="left" vertical="top"/>
    </xf>
    <xf numFmtId="0" fontId="3" fillId="2" borderId="2" xfId="0" applyFont="1" applyFill="1" applyBorder="1" applyAlignment="1">
      <alignment horizontal="left" vertical="top"/>
    </xf>
    <xf numFmtId="0" fontId="15" fillId="0" borderId="14" xfId="1" applyFont="1" applyFill="1" applyBorder="1" applyAlignment="1" applyProtection="1">
      <alignment horizontal="left" vertical="center"/>
    </xf>
    <xf numFmtId="0" fontId="15" fillId="0" borderId="15" xfId="1" applyFont="1" applyFill="1" applyBorder="1" applyAlignment="1" applyProtection="1">
      <alignment horizontal="left" vertical="center"/>
    </xf>
    <xf numFmtId="0" fontId="15" fillId="0" borderId="16" xfId="1" applyFont="1" applyFill="1" applyBorder="1" applyAlignment="1" applyProtection="1">
      <alignment horizontal="left" vertical="center"/>
    </xf>
    <xf numFmtId="0" fontId="5" fillId="5" borderId="11" xfId="0" applyFont="1" applyFill="1" applyBorder="1" applyAlignment="1">
      <alignment horizontal="left" vertical="top" wrapText="1"/>
    </xf>
    <xf numFmtId="0" fontId="5" fillId="5" borderId="12" xfId="0" applyFont="1" applyFill="1" applyBorder="1" applyAlignment="1">
      <alignment horizontal="left" vertical="top" wrapText="1"/>
    </xf>
    <xf numFmtId="0" fontId="5" fillId="5" borderId="1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0" borderId="2"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5" fillId="0" borderId="14" xfId="0" applyFont="1" applyFill="1" applyBorder="1" applyAlignment="1">
      <alignment horizontal="center" vertical="top"/>
    </xf>
    <xf numFmtId="0" fontId="5" fillId="0" borderId="7" xfId="0" applyFont="1" applyFill="1" applyBorder="1" applyAlignment="1">
      <alignment horizontal="center" vertical="top"/>
    </xf>
    <xf numFmtId="14" fontId="5" fillId="0" borderId="14" xfId="0" applyNumberFormat="1" applyFont="1" applyFill="1" applyBorder="1" applyAlignment="1">
      <alignment horizontal="right" vertical="top"/>
    </xf>
    <xf numFmtId="14" fontId="5" fillId="0" borderId="7" xfId="0" applyNumberFormat="1" applyFont="1" applyFill="1" applyBorder="1" applyAlignment="1">
      <alignment horizontal="right" vertical="top"/>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 xfId="0" applyFont="1" applyBorder="1" applyAlignment="1">
      <alignment horizontal="left" vertical="top" wrapText="1"/>
    </xf>
    <xf numFmtId="0" fontId="2" fillId="0" borderId="19" xfId="0" applyFont="1" applyBorder="1" applyAlignment="1">
      <alignment horizontal="left" vertical="top" wrapText="1"/>
    </xf>
    <xf numFmtId="0" fontId="14" fillId="0" borderId="2" xfId="1" applyFont="1" applyFill="1" applyBorder="1" applyAlignment="1" applyProtection="1">
      <alignment horizontal="center" vertical="top"/>
    </xf>
    <xf numFmtId="0" fontId="12" fillId="4" borderId="2" xfId="0" applyFont="1" applyFill="1" applyBorder="1" applyAlignment="1">
      <alignment horizontal="left" vertical="center"/>
    </xf>
    <xf numFmtId="0" fontId="6" fillId="3" borderId="2" xfId="0" applyFont="1" applyFill="1" applyBorder="1" applyAlignment="1">
      <alignment horizontal="left" vertical="top"/>
    </xf>
    <xf numFmtId="0" fontId="6" fillId="5" borderId="8" xfId="0" applyFont="1" applyFill="1" applyBorder="1" applyAlignment="1">
      <alignment horizontal="left" vertical="top"/>
    </xf>
    <xf numFmtId="0" fontId="6" fillId="5" borderId="9" xfId="0" applyFont="1" applyFill="1" applyBorder="1" applyAlignment="1">
      <alignment horizontal="left" vertical="top"/>
    </xf>
    <xf numFmtId="0" fontId="6" fillId="5" borderId="10" xfId="0" applyFont="1" applyFill="1" applyBorder="1" applyAlignment="1">
      <alignment horizontal="left" vertical="top"/>
    </xf>
    <xf numFmtId="0" fontId="5" fillId="5" borderId="3" xfId="0"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5" xfId="0" applyFont="1" applyFill="1" applyBorder="1" applyAlignment="1">
      <alignment horizontal="left" vertical="top" wrapText="1"/>
    </xf>
    <xf numFmtId="0" fontId="18" fillId="3" borderId="14" xfId="0" applyFont="1" applyFill="1" applyBorder="1" applyAlignment="1">
      <alignment horizontal="center" vertical="center" wrapText="1"/>
    </xf>
    <xf numFmtId="0" fontId="18" fillId="3" borderId="16" xfId="0" applyFont="1" applyFill="1" applyBorder="1" applyAlignment="1">
      <alignment horizontal="center" vertical="center"/>
    </xf>
    <xf numFmtId="0" fontId="3" fillId="2" borderId="7" xfId="0" applyFont="1" applyFill="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ehs.unc.edu/training/self.shtml" TargetMode="External"/><Relationship Id="rId18" Type="http://schemas.openxmlformats.org/officeDocument/2006/relationships/hyperlink" Target="mailto:malinda_williams@med.unc.edu" TargetMode="External"/><Relationship Id="rId26" Type="http://schemas.openxmlformats.org/officeDocument/2006/relationships/hyperlink" Target="mailto:chumley@med.unc.edu" TargetMode="External"/><Relationship Id="rId39" Type="http://schemas.openxmlformats.org/officeDocument/2006/relationships/hyperlink" Target="mailto:PNjagu@unch.unc.edu" TargetMode="External"/><Relationship Id="rId3" Type="http://schemas.openxmlformats.org/officeDocument/2006/relationships/hyperlink" Target="mailto:jo_williams@med.unc.edu" TargetMode="External"/><Relationship Id="rId21" Type="http://schemas.openxmlformats.org/officeDocument/2006/relationships/hyperlink" Target="..\Campus%20Tour%20Checklist.doc" TargetMode="External"/><Relationship Id="rId34" Type="http://schemas.openxmlformats.org/officeDocument/2006/relationships/hyperlink" Target="mailto:chumley@med.unc.edu" TargetMode="External"/><Relationship Id="rId42" Type="http://schemas.openxmlformats.org/officeDocument/2006/relationships/hyperlink" Target="mailto:chumley@med.unc.edu" TargetMode="External"/><Relationship Id="rId47" Type="http://schemas.openxmlformats.org/officeDocument/2006/relationships/hyperlink" Target="http://hr.unc.edu/benefits/BENEFITS_ENROLLMENT" TargetMode="External"/><Relationship Id="rId50" Type="http://schemas.openxmlformats.org/officeDocument/2006/relationships/hyperlink" Target="https://unctim.unc.edu/wfc/applications/wtk/html/ess/logon.jsp" TargetMode="External"/><Relationship Id="rId7" Type="http://schemas.openxmlformats.org/officeDocument/2006/relationships/hyperlink" Target="mailto:chumley@med.unc.edu" TargetMode="External"/><Relationship Id="rId12" Type="http://schemas.openxmlformats.org/officeDocument/2006/relationships/hyperlink" Target="http://hipaatrain.med.unc.edu/" TargetMode="External"/><Relationship Id="rId17" Type="http://schemas.openxmlformats.org/officeDocument/2006/relationships/hyperlink" Target="mailto:malinda_williams@med.unc.edu" TargetMode="External"/><Relationship Id="rId25" Type="http://schemas.openxmlformats.org/officeDocument/2006/relationships/hyperlink" Target="mailto:chumley@med.unc.edu" TargetMode="External"/><Relationship Id="rId33" Type="http://schemas.openxmlformats.org/officeDocument/2006/relationships/hyperlink" Target="mailto:chumley@med.unc.edu" TargetMode="External"/><Relationship Id="rId38" Type="http://schemas.openxmlformats.org/officeDocument/2006/relationships/hyperlink" Target="mailto:chumley@med.unc.edu" TargetMode="External"/><Relationship Id="rId46" Type="http://schemas.openxmlformats.org/officeDocument/2006/relationships/hyperlink" Target="http://www.dps.unc.edu/" TargetMode="External"/><Relationship Id="rId2" Type="http://schemas.openxmlformats.org/officeDocument/2006/relationships/hyperlink" Target="mailto:jo_williams@med.unc.edu" TargetMode="External"/><Relationship Id="rId16" Type="http://schemas.openxmlformats.org/officeDocument/2006/relationships/hyperlink" Target="mailto:malinda_williams@med.unc.edu" TargetMode="External"/><Relationship Id="rId20" Type="http://schemas.openxmlformats.org/officeDocument/2006/relationships/hyperlink" Target="SOM%20SPA%20Staff%20Scavenger%20Hunt.doc" TargetMode="External"/><Relationship Id="rId29" Type="http://schemas.openxmlformats.org/officeDocument/2006/relationships/hyperlink" Target="mailto:chumley@med.unc.edu" TargetMode="External"/><Relationship Id="rId41" Type="http://schemas.openxmlformats.org/officeDocument/2006/relationships/hyperlink" Target="mailto:chumley@med.unc.edu" TargetMode="External"/><Relationship Id="rId1" Type="http://schemas.openxmlformats.org/officeDocument/2006/relationships/hyperlink" Target="http://intranet.unchealthcare.org/learning_folder" TargetMode="External"/><Relationship Id="rId6" Type="http://schemas.openxmlformats.org/officeDocument/2006/relationships/hyperlink" Target="mailto:chumley@med.unc.edu" TargetMode="External"/><Relationship Id="rId11" Type="http://schemas.openxmlformats.org/officeDocument/2006/relationships/hyperlink" Target="http://www.onecard.unc.edu/" TargetMode="External"/><Relationship Id="rId24" Type="http://schemas.openxmlformats.org/officeDocument/2006/relationships/hyperlink" Target="mailto:chumley@med.unc.edu" TargetMode="External"/><Relationship Id="rId32" Type="http://schemas.openxmlformats.org/officeDocument/2006/relationships/hyperlink" Target="mailto:chumley@med.unc.edu" TargetMode="External"/><Relationship Id="rId37" Type="http://schemas.openxmlformats.org/officeDocument/2006/relationships/hyperlink" Target="mailto:chumley@med.unc.edu" TargetMode="External"/><Relationship Id="rId40" Type="http://schemas.openxmlformats.org/officeDocument/2006/relationships/hyperlink" Target="mailto:chumley@med.unc.edu" TargetMode="External"/><Relationship Id="rId45" Type="http://schemas.openxmlformats.org/officeDocument/2006/relationships/hyperlink" Target="mailto:chumley@med.unc.edu" TargetMode="External"/><Relationship Id="rId53" Type="http://schemas.openxmlformats.org/officeDocument/2006/relationships/printerSettings" Target="../printerSettings/printerSettings1.bin"/><Relationship Id="rId5" Type="http://schemas.openxmlformats.org/officeDocument/2006/relationships/hyperlink" Target="mailto:malinda_williams@med.unc.edu" TargetMode="External"/><Relationship Id="rId15" Type="http://schemas.openxmlformats.org/officeDocument/2006/relationships/hyperlink" Target="mailto:malinda_williams@med.unc.edu" TargetMode="External"/><Relationship Id="rId23" Type="http://schemas.openxmlformats.org/officeDocument/2006/relationships/hyperlink" Target="http://www.med.unc.edu/planning/access-cards/Revised%20Photo%20ID%20Form013009.doc/view" TargetMode="External"/><Relationship Id="rId28" Type="http://schemas.openxmlformats.org/officeDocument/2006/relationships/hyperlink" Target="mailto:chumley@med.unc.edu" TargetMode="External"/><Relationship Id="rId36" Type="http://schemas.openxmlformats.org/officeDocument/2006/relationships/hyperlink" Target="mailto:chumley@med.unc.edu" TargetMode="External"/><Relationship Id="rId49" Type="http://schemas.openxmlformats.org/officeDocument/2006/relationships/hyperlink" Target="http://www.med.unc.edu/im/staff/clinic/administration/policy-and-procedure-manual" TargetMode="External"/><Relationship Id="rId10" Type="http://schemas.openxmlformats.org/officeDocument/2006/relationships/hyperlink" Target="http://intranet.unchealthcare.org/hospitaldepartments/nfs/freedom-pay/" TargetMode="External"/><Relationship Id="rId19" Type="http://schemas.openxmlformats.org/officeDocument/2006/relationships/hyperlink" Target="mailto:malinda_williams@med.unc.edu" TargetMode="External"/><Relationship Id="rId31" Type="http://schemas.openxmlformats.org/officeDocument/2006/relationships/hyperlink" Target="mailto:chumley@med.unc.edu" TargetMode="External"/><Relationship Id="rId44" Type="http://schemas.openxmlformats.org/officeDocument/2006/relationships/hyperlink" Target="mailto:tonya_kimrey@med.unc.edu" TargetMode="External"/><Relationship Id="rId52" Type="http://schemas.openxmlformats.org/officeDocument/2006/relationships/hyperlink" Target="https://domapps.med.unc.edu/csw" TargetMode="External"/><Relationship Id="rId4" Type="http://schemas.openxmlformats.org/officeDocument/2006/relationships/hyperlink" Target="mailto:jo_williams@med.unc.edu" TargetMode="External"/><Relationship Id="rId9" Type="http://schemas.openxmlformats.org/officeDocument/2006/relationships/hyperlink" Target="http://lmsweb.unch.unc.edu/stc/unchstc/psciis.dll?linkid=881335&amp;mainmenu=UNCHSTC&amp;top_frame=1" TargetMode="External"/><Relationship Id="rId14" Type="http://schemas.openxmlformats.org/officeDocument/2006/relationships/hyperlink" Target="http://www.med.unc.edu/burn)/about/admin/it-support/conf_stmt.pdf" TargetMode="External"/><Relationship Id="rId22" Type="http://schemas.openxmlformats.org/officeDocument/2006/relationships/hyperlink" Target="mailto:malinda_williams@med.unc.edu" TargetMode="External"/><Relationship Id="rId27" Type="http://schemas.openxmlformats.org/officeDocument/2006/relationships/hyperlink" Target="mailto:chumley@med.unc.edu" TargetMode="External"/><Relationship Id="rId30" Type="http://schemas.openxmlformats.org/officeDocument/2006/relationships/hyperlink" Target="mailto:chumley@med.unc.edu" TargetMode="External"/><Relationship Id="rId35" Type="http://schemas.openxmlformats.org/officeDocument/2006/relationships/hyperlink" Target="mailto:chumley@med.unc.edu" TargetMode="External"/><Relationship Id="rId43" Type="http://schemas.openxmlformats.org/officeDocument/2006/relationships/hyperlink" Target="mailto:bmcguirt@unch.unc.edu" TargetMode="External"/><Relationship Id="rId48" Type="http://schemas.openxmlformats.org/officeDocument/2006/relationships/hyperlink" Target="https://shareware.unc.edu/software.html" TargetMode="External"/><Relationship Id="rId8" Type="http://schemas.openxmlformats.org/officeDocument/2006/relationships/hyperlink" Target="http://www.townofchapelhill.org/index.aspx?page=746" TargetMode="External"/><Relationship Id="rId51" Type="http://schemas.openxmlformats.org/officeDocument/2006/relationships/hyperlink" Target="..\SARF.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4"/>
  <sheetViews>
    <sheetView showGridLines="0" tabSelected="1" zoomScaleNormal="100" workbookViewId="0">
      <selection activeCell="M89" sqref="M89"/>
    </sheetView>
  </sheetViews>
  <sheetFormatPr defaultColWidth="11.5703125" defaultRowHeight="12.75" x14ac:dyDescent="0.25"/>
  <cols>
    <col min="1" max="1" width="3.5703125" style="4" customWidth="1"/>
    <col min="2" max="2" width="2.42578125" style="4" customWidth="1"/>
    <col min="3" max="3" width="49.5703125" style="4" customWidth="1"/>
    <col min="4" max="4" width="21.5703125" style="7" customWidth="1"/>
    <col min="5" max="5" width="15.42578125" style="4" customWidth="1"/>
    <col min="6" max="6" width="4.42578125" style="1" customWidth="1"/>
    <col min="7" max="7" width="9.5703125" style="5" customWidth="1"/>
    <col min="8" max="16384" width="11.5703125" style="4"/>
  </cols>
  <sheetData>
    <row r="1" spans="2:9" ht="15.75" customHeight="1" x14ac:dyDescent="0.25"/>
    <row r="2" spans="2:9" customFormat="1" ht="25.5" customHeight="1" x14ac:dyDescent="0.25">
      <c r="B2" s="127" t="s">
        <v>79</v>
      </c>
      <c r="C2" s="127"/>
      <c r="D2" s="127"/>
      <c r="E2" s="127"/>
      <c r="F2" s="127"/>
      <c r="G2" s="127"/>
    </row>
    <row r="3" spans="2:9" s="6" customFormat="1" ht="15" customHeight="1" x14ac:dyDescent="0.25">
      <c r="B3" s="34" t="s">
        <v>67</v>
      </c>
      <c r="C3" s="95"/>
      <c r="D3" s="128"/>
      <c r="E3" s="128"/>
      <c r="F3" s="128"/>
      <c r="G3" s="128"/>
      <c r="I3"/>
    </row>
    <row r="4" spans="2:9" s="11" customFormat="1" ht="15" customHeight="1" thickBot="1" x14ac:dyDescent="0.3">
      <c r="B4" s="129" t="s">
        <v>111</v>
      </c>
      <c r="C4" s="130"/>
      <c r="D4" s="130"/>
      <c r="E4" s="130"/>
      <c r="F4" s="131"/>
      <c r="G4" s="57">
        <v>40179</v>
      </c>
      <c r="I4"/>
    </row>
    <row r="5" spans="2:9" ht="15" customHeight="1" x14ac:dyDescent="0.25">
      <c r="B5" s="137" t="s">
        <v>83</v>
      </c>
      <c r="C5" s="137"/>
      <c r="D5" s="48" t="s">
        <v>35</v>
      </c>
      <c r="E5" s="49" t="s">
        <v>66</v>
      </c>
      <c r="F5" s="50" t="s">
        <v>47</v>
      </c>
      <c r="G5" s="50" t="s">
        <v>31</v>
      </c>
    </row>
    <row r="6" spans="2:9" ht="14.25" customHeight="1" x14ac:dyDescent="0.25">
      <c r="B6" s="104" t="s">
        <v>0</v>
      </c>
      <c r="C6" s="105"/>
      <c r="D6" s="105"/>
      <c r="E6" s="105"/>
      <c r="F6" s="105"/>
      <c r="G6" s="106"/>
    </row>
    <row r="7" spans="2:9" ht="15" customHeight="1" x14ac:dyDescent="0.25">
      <c r="B7" s="15"/>
      <c r="C7" s="15" t="s">
        <v>75</v>
      </c>
      <c r="D7" s="19" t="s">
        <v>107</v>
      </c>
      <c r="E7" s="78" t="s">
        <v>80</v>
      </c>
      <c r="F7" s="17">
        <v>0</v>
      </c>
      <c r="G7" s="21">
        <f>$G$4+F7</f>
        <v>40179</v>
      </c>
    </row>
    <row r="8" spans="2:9" ht="15" customHeight="1" x14ac:dyDescent="0.25">
      <c r="B8" s="15"/>
      <c r="C8" s="15" t="s">
        <v>68</v>
      </c>
      <c r="D8" s="15" t="s">
        <v>99</v>
      </c>
      <c r="E8" s="17"/>
      <c r="F8" s="17">
        <v>0</v>
      </c>
      <c r="G8" s="21">
        <f>$G$4+F8</f>
        <v>40179</v>
      </c>
    </row>
    <row r="9" spans="2:9" ht="15" customHeight="1" x14ac:dyDescent="0.25">
      <c r="B9" s="15"/>
      <c r="C9" s="15" t="s">
        <v>98</v>
      </c>
      <c r="D9" s="16"/>
      <c r="E9" s="15"/>
      <c r="F9" s="17">
        <v>0</v>
      </c>
      <c r="G9" s="21">
        <f>$G$4+F9</f>
        <v>40179</v>
      </c>
    </row>
    <row r="10" spans="2:9" ht="15" customHeight="1" x14ac:dyDescent="0.25">
      <c r="B10" s="79"/>
      <c r="C10" s="80" t="s">
        <v>119</v>
      </c>
      <c r="D10" s="81" t="s">
        <v>100</v>
      </c>
      <c r="E10" s="82" t="s">
        <v>73</v>
      </c>
      <c r="F10" s="71">
        <v>3</v>
      </c>
      <c r="G10" s="72">
        <f t="shared" ref="G10:G11" si="0">$G$4+F10</f>
        <v>40182</v>
      </c>
    </row>
    <row r="11" spans="2:9" ht="27.75" customHeight="1" thickBot="1" x14ac:dyDescent="0.3">
      <c r="B11" s="15"/>
      <c r="C11" s="15" t="s">
        <v>117</v>
      </c>
      <c r="D11" s="77" t="s">
        <v>118</v>
      </c>
      <c r="E11" s="60" t="s">
        <v>69</v>
      </c>
      <c r="F11" s="61">
        <v>3</v>
      </c>
      <c r="G11" s="92">
        <f t="shared" si="0"/>
        <v>40182</v>
      </c>
      <c r="I11" s="9"/>
    </row>
    <row r="12" spans="2:9" ht="13.5" customHeight="1" x14ac:dyDescent="0.25">
      <c r="B12" s="101" t="s">
        <v>32</v>
      </c>
      <c r="C12" s="102"/>
      <c r="D12" s="102"/>
      <c r="E12" s="102"/>
      <c r="F12" s="102"/>
      <c r="G12" s="103"/>
    </row>
    <row r="13" spans="2:9" ht="15" customHeight="1" x14ac:dyDescent="0.25">
      <c r="B13" s="15"/>
      <c r="C13" s="88" t="s">
        <v>53</v>
      </c>
      <c r="D13" s="96" t="s">
        <v>51</v>
      </c>
      <c r="E13" s="22" t="s">
        <v>69</v>
      </c>
      <c r="F13" s="17">
        <v>5</v>
      </c>
      <c r="G13" s="21">
        <f>$G$4+F13</f>
        <v>40184</v>
      </c>
    </row>
    <row r="14" spans="2:9" ht="15" customHeight="1" thickBot="1" x14ac:dyDescent="0.3">
      <c r="B14" s="39"/>
      <c r="C14" s="55" t="s">
        <v>97</v>
      </c>
      <c r="D14" s="56" t="s">
        <v>123</v>
      </c>
      <c r="E14" s="52" t="s">
        <v>69</v>
      </c>
      <c r="F14" s="42">
        <v>5</v>
      </c>
      <c r="G14" s="45">
        <f>$G$4+F14</f>
        <v>40184</v>
      </c>
    </row>
    <row r="15" spans="2:9" ht="14.25" customHeight="1" x14ac:dyDescent="0.25">
      <c r="B15" s="83" t="s">
        <v>76</v>
      </c>
      <c r="C15" s="84"/>
      <c r="D15" s="84"/>
      <c r="E15" s="84"/>
      <c r="F15" s="84"/>
      <c r="G15" s="85"/>
    </row>
    <row r="16" spans="2:9" ht="15" customHeight="1" x14ac:dyDescent="0.25">
      <c r="B16" s="15"/>
      <c r="C16" s="15" t="s">
        <v>1</v>
      </c>
      <c r="D16" s="135" t="s">
        <v>124</v>
      </c>
      <c r="E16" s="15"/>
      <c r="F16" s="17">
        <v>0</v>
      </c>
      <c r="G16" s="21">
        <f>$G$4+F16</f>
        <v>40179</v>
      </c>
    </row>
    <row r="17" spans="2:7" ht="15" customHeight="1" thickBot="1" x14ac:dyDescent="0.3">
      <c r="B17" s="39"/>
      <c r="C17" s="39" t="s">
        <v>2</v>
      </c>
      <c r="D17" s="136"/>
      <c r="E17" s="39"/>
      <c r="F17" s="42">
        <v>0</v>
      </c>
      <c r="G17" s="45">
        <f>$G$4+F17</f>
        <v>40179</v>
      </c>
    </row>
    <row r="18" spans="2:7" ht="14.25" customHeight="1" x14ac:dyDescent="0.25">
      <c r="B18" s="101" t="s">
        <v>126</v>
      </c>
      <c r="C18" s="102"/>
      <c r="D18" s="102"/>
      <c r="E18" s="102"/>
      <c r="F18" s="102"/>
      <c r="G18" s="103"/>
    </row>
    <row r="19" spans="2:7" ht="24.75" customHeight="1" x14ac:dyDescent="0.25">
      <c r="B19" s="15"/>
      <c r="C19" s="15" t="s">
        <v>48</v>
      </c>
      <c r="D19" s="91" t="s">
        <v>125</v>
      </c>
      <c r="E19" s="15"/>
      <c r="F19" s="61">
        <v>0</v>
      </c>
      <c r="G19" s="92">
        <f>$G$4+F19</f>
        <v>40179</v>
      </c>
    </row>
    <row r="20" spans="2:7" ht="15" customHeight="1" thickBot="1" x14ac:dyDescent="0.25">
      <c r="B20" s="39"/>
      <c r="C20" s="39" t="s">
        <v>49</v>
      </c>
      <c r="D20" s="86" t="s">
        <v>120</v>
      </c>
      <c r="E20" s="54"/>
      <c r="F20" s="42">
        <v>0</v>
      </c>
      <c r="G20" s="45">
        <f>$G$4+F20</f>
        <v>40179</v>
      </c>
    </row>
    <row r="21" spans="2:7" ht="15" customHeight="1" x14ac:dyDescent="0.25">
      <c r="B21" s="107" t="s">
        <v>84</v>
      </c>
      <c r="C21" s="107"/>
      <c r="D21" s="48" t="s">
        <v>35</v>
      </c>
      <c r="E21" s="13" t="s">
        <v>66</v>
      </c>
      <c r="F21" s="14" t="s">
        <v>47</v>
      </c>
      <c r="G21" s="14" t="s">
        <v>31</v>
      </c>
    </row>
    <row r="22" spans="2:7" ht="25.5" customHeight="1" x14ac:dyDescent="0.25">
      <c r="B22" s="132" t="s">
        <v>101</v>
      </c>
      <c r="C22" s="133"/>
      <c r="D22" s="133"/>
      <c r="E22" s="133"/>
      <c r="F22" s="133"/>
      <c r="G22" s="134"/>
    </row>
    <row r="23" spans="2:7" ht="15" customHeight="1" x14ac:dyDescent="0.25">
      <c r="B23" s="15"/>
      <c r="C23" s="15" t="s">
        <v>85</v>
      </c>
      <c r="D23" s="108" t="s">
        <v>86</v>
      </c>
      <c r="E23" s="22" t="s">
        <v>69</v>
      </c>
      <c r="F23" s="17">
        <v>5</v>
      </c>
      <c r="G23" s="21">
        <f t="shared" ref="G23:G29" si="1">$G$4+F23</f>
        <v>40184</v>
      </c>
    </row>
    <row r="24" spans="2:7" ht="15" customHeight="1" x14ac:dyDescent="0.25">
      <c r="B24" s="15"/>
      <c r="C24" s="15" t="s">
        <v>87</v>
      </c>
      <c r="D24" s="109"/>
      <c r="E24" s="22" t="s">
        <v>69</v>
      </c>
      <c r="F24" s="17">
        <v>5</v>
      </c>
      <c r="G24" s="21">
        <f t="shared" si="1"/>
        <v>40184</v>
      </c>
    </row>
    <row r="25" spans="2:7" ht="15" customHeight="1" x14ac:dyDescent="0.25">
      <c r="B25" s="15"/>
      <c r="C25" s="15" t="s">
        <v>88</v>
      </c>
      <c r="D25" s="109"/>
      <c r="E25" s="22" t="s">
        <v>69</v>
      </c>
      <c r="F25" s="17">
        <v>5</v>
      </c>
      <c r="G25" s="21">
        <f t="shared" si="1"/>
        <v>40184</v>
      </c>
    </row>
    <row r="26" spans="2:7" ht="15" customHeight="1" x14ac:dyDescent="0.25">
      <c r="B26" s="15"/>
      <c r="C26" s="15" t="s">
        <v>89</v>
      </c>
      <c r="D26" s="109"/>
      <c r="E26" s="22" t="s">
        <v>69</v>
      </c>
      <c r="F26" s="17">
        <v>5</v>
      </c>
      <c r="G26" s="21">
        <f t="shared" si="1"/>
        <v>40184</v>
      </c>
    </row>
    <row r="27" spans="2:7" ht="15" customHeight="1" x14ac:dyDescent="0.25">
      <c r="B27" s="15"/>
      <c r="C27" s="15" t="s">
        <v>90</v>
      </c>
      <c r="D27" s="109"/>
      <c r="E27" s="22" t="s">
        <v>69</v>
      </c>
      <c r="F27" s="17">
        <v>5</v>
      </c>
      <c r="G27" s="21">
        <f t="shared" si="1"/>
        <v>40184</v>
      </c>
    </row>
    <row r="28" spans="2:7" ht="15" customHeight="1" x14ac:dyDescent="0.25">
      <c r="B28" s="15"/>
      <c r="C28" s="15" t="s">
        <v>91</v>
      </c>
      <c r="D28" s="109"/>
      <c r="E28" s="22" t="s">
        <v>69</v>
      </c>
      <c r="F28" s="17">
        <v>5</v>
      </c>
      <c r="G28" s="21">
        <f t="shared" si="1"/>
        <v>40184</v>
      </c>
    </row>
    <row r="29" spans="2:7" ht="27" customHeight="1" thickBot="1" x14ac:dyDescent="0.3">
      <c r="B29" s="39"/>
      <c r="C29" s="53" t="s">
        <v>102</v>
      </c>
      <c r="D29" s="110"/>
      <c r="E29" s="63" t="s">
        <v>69</v>
      </c>
      <c r="F29" s="64">
        <v>5</v>
      </c>
      <c r="G29" s="65">
        <f t="shared" si="1"/>
        <v>40184</v>
      </c>
    </row>
    <row r="30" spans="2:7" ht="13.5" customHeight="1" x14ac:dyDescent="0.25">
      <c r="B30" s="111" t="s">
        <v>103</v>
      </c>
      <c r="C30" s="112"/>
      <c r="D30" s="112"/>
      <c r="E30" s="112"/>
      <c r="F30" s="112"/>
      <c r="G30" s="113"/>
    </row>
    <row r="31" spans="2:7" ht="15" customHeight="1" x14ac:dyDescent="0.25">
      <c r="B31" s="15"/>
      <c r="C31" s="23" t="s">
        <v>92</v>
      </c>
      <c r="D31" s="108" t="s">
        <v>93</v>
      </c>
      <c r="E31" s="22" t="s">
        <v>69</v>
      </c>
      <c r="F31" s="17">
        <v>5</v>
      </c>
      <c r="G31" s="21">
        <f>$G$4+F31</f>
        <v>40184</v>
      </c>
    </row>
    <row r="32" spans="2:7" ht="15" customHeight="1" x14ac:dyDescent="0.25">
      <c r="B32" s="15"/>
      <c r="C32" s="23" t="s">
        <v>94</v>
      </c>
      <c r="D32" s="109"/>
      <c r="E32" s="22" t="s">
        <v>69</v>
      </c>
      <c r="F32" s="17">
        <v>5</v>
      </c>
      <c r="G32" s="21">
        <f>$G$4+F32</f>
        <v>40184</v>
      </c>
    </row>
    <row r="33" spans="2:11" ht="27.75" customHeight="1" thickBot="1" x14ac:dyDescent="0.3">
      <c r="B33" s="39"/>
      <c r="C33" s="53" t="s">
        <v>104</v>
      </c>
      <c r="D33" s="110"/>
      <c r="E33" s="63" t="s">
        <v>69</v>
      </c>
      <c r="F33" s="64">
        <v>5</v>
      </c>
      <c r="G33" s="65">
        <f>$G$4+F33</f>
        <v>40184</v>
      </c>
    </row>
    <row r="34" spans="2:11" ht="14.25" customHeight="1" x14ac:dyDescent="0.25">
      <c r="B34" s="115" t="s">
        <v>96</v>
      </c>
      <c r="C34" s="115"/>
      <c r="D34" s="115"/>
      <c r="E34" s="115"/>
      <c r="F34" s="115"/>
      <c r="G34" s="115"/>
    </row>
    <row r="35" spans="2:11" ht="18.75" customHeight="1" x14ac:dyDescent="0.25">
      <c r="B35" s="15"/>
      <c r="C35" s="59" t="s">
        <v>7</v>
      </c>
      <c r="D35" s="116" t="s">
        <v>112</v>
      </c>
      <c r="E35" s="60" t="s">
        <v>69</v>
      </c>
      <c r="F35" s="61">
        <v>5</v>
      </c>
      <c r="G35" s="21">
        <f>$G$4+F35</f>
        <v>40184</v>
      </c>
      <c r="H35"/>
      <c r="I35"/>
      <c r="J35"/>
      <c r="K35"/>
    </row>
    <row r="36" spans="2:11" ht="18.75" customHeight="1" thickBot="1" x14ac:dyDescent="0.3">
      <c r="B36" s="39"/>
      <c r="C36" s="62" t="s">
        <v>8</v>
      </c>
      <c r="D36" s="117"/>
      <c r="E36" s="63" t="s">
        <v>69</v>
      </c>
      <c r="F36" s="64">
        <v>5</v>
      </c>
      <c r="G36" s="21">
        <f>$G$4+F36</f>
        <v>40184</v>
      </c>
      <c r="H36"/>
      <c r="I36"/>
      <c r="J36"/>
      <c r="K36"/>
    </row>
    <row r="37" spans="2:11" ht="13.5" customHeight="1" x14ac:dyDescent="0.25">
      <c r="B37" s="101" t="s">
        <v>33</v>
      </c>
      <c r="C37" s="102"/>
      <c r="D37" s="102"/>
      <c r="E37" s="102"/>
      <c r="F37" s="102"/>
      <c r="G37" s="103"/>
    </row>
    <row r="38" spans="2:11" ht="15" customHeight="1" x14ac:dyDescent="0.25">
      <c r="B38" s="15"/>
      <c r="C38" s="15" t="s">
        <v>74</v>
      </c>
      <c r="D38" s="96" t="s">
        <v>51</v>
      </c>
      <c r="E38" s="22" t="s">
        <v>69</v>
      </c>
      <c r="F38" s="17"/>
      <c r="G38" s="18"/>
    </row>
    <row r="39" spans="2:11" ht="15" customHeight="1" thickBot="1" x14ac:dyDescent="0.3">
      <c r="B39" s="39"/>
      <c r="C39" s="39" t="s">
        <v>50</v>
      </c>
      <c r="D39" s="51" t="s">
        <v>51</v>
      </c>
      <c r="E39" s="52" t="s">
        <v>69</v>
      </c>
      <c r="F39" s="42"/>
      <c r="G39" s="43"/>
    </row>
    <row r="40" spans="2:11" ht="15" customHeight="1" x14ac:dyDescent="0.25">
      <c r="B40" s="107" t="s">
        <v>71</v>
      </c>
      <c r="C40" s="107"/>
      <c r="D40" s="12" t="s">
        <v>35</v>
      </c>
      <c r="E40" s="13" t="s">
        <v>66</v>
      </c>
      <c r="F40" s="14" t="s">
        <v>47</v>
      </c>
      <c r="G40" s="14" t="s">
        <v>31</v>
      </c>
    </row>
    <row r="41" spans="2:11" ht="25.5" customHeight="1" x14ac:dyDescent="0.25">
      <c r="B41" s="122" t="s">
        <v>121</v>
      </c>
      <c r="C41" s="123"/>
      <c r="D41" s="24" t="s">
        <v>70</v>
      </c>
      <c r="E41" s="126" t="s">
        <v>80</v>
      </c>
      <c r="F41" s="118"/>
      <c r="G41" s="120">
        <v>40184</v>
      </c>
    </row>
    <row r="42" spans="2:11" x14ac:dyDescent="0.2">
      <c r="B42" s="124"/>
      <c r="C42" s="125"/>
      <c r="D42" s="99" t="s">
        <v>52</v>
      </c>
      <c r="E42" s="126"/>
      <c r="F42" s="119"/>
      <c r="G42" s="121"/>
    </row>
    <row r="43" spans="2:11" ht="15" customHeight="1" x14ac:dyDescent="0.25">
      <c r="B43" s="25" t="s">
        <v>3</v>
      </c>
      <c r="C43" s="15"/>
      <c r="D43" s="31" t="s">
        <v>54</v>
      </c>
      <c r="E43" s="87" t="s">
        <v>80</v>
      </c>
      <c r="F43" s="17">
        <v>0</v>
      </c>
      <c r="G43" s="21">
        <f>$G$4+F43</f>
        <v>40179</v>
      </c>
    </row>
    <row r="44" spans="2:11" ht="41.25" customHeight="1" thickBot="1" x14ac:dyDescent="0.3">
      <c r="B44" s="68" t="s">
        <v>95</v>
      </c>
      <c r="C44" s="69"/>
      <c r="D44" s="70" t="s">
        <v>129</v>
      </c>
      <c r="E44" s="89" t="s">
        <v>80</v>
      </c>
      <c r="F44" s="66">
        <v>0</v>
      </c>
      <c r="G44" s="67">
        <v>40184</v>
      </c>
    </row>
    <row r="45" spans="2:11" ht="15" customHeight="1" x14ac:dyDescent="0.25">
      <c r="B45" s="107" t="s">
        <v>72</v>
      </c>
      <c r="C45" s="107"/>
      <c r="D45" s="12" t="s">
        <v>35</v>
      </c>
      <c r="E45" s="49" t="s">
        <v>66</v>
      </c>
      <c r="F45" s="14" t="s">
        <v>47</v>
      </c>
      <c r="G45" s="14" t="s">
        <v>31</v>
      </c>
    </row>
    <row r="46" spans="2:11" ht="28.5" customHeight="1" x14ac:dyDescent="0.25">
      <c r="B46" s="114" t="s">
        <v>113</v>
      </c>
      <c r="C46" s="105"/>
      <c r="D46" s="105"/>
      <c r="E46" s="105"/>
      <c r="F46" s="105"/>
      <c r="G46" s="106"/>
    </row>
    <row r="47" spans="2:11" ht="15" customHeight="1" x14ac:dyDescent="0.25">
      <c r="B47" s="17"/>
      <c r="C47" s="15" t="s">
        <v>9</v>
      </c>
      <c r="D47" s="16" t="s">
        <v>41</v>
      </c>
      <c r="E47" s="87" t="s">
        <v>80</v>
      </c>
      <c r="F47" s="17"/>
      <c r="G47" s="21">
        <f>$G$4+F47</f>
        <v>40179</v>
      </c>
    </row>
    <row r="48" spans="2:11" ht="15" customHeight="1" x14ac:dyDescent="0.25">
      <c r="B48" s="17"/>
      <c r="C48" s="15" t="s">
        <v>11</v>
      </c>
      <c r="D48" s="16" t="s">
        <v>41</v>
      </c>
      <c r="E48" s="87" t="s">
        <v>80</v>
      </c>
      <c r="F48" s="17">
        <v>3</v>
      </c>
      <c r="G48" s="21">
        <f>$G$4+F48</f>
        <v>40182</v>
      </c>
    </row>
    <row r="49" spans="2:13" ht="15" customHeight="1" x14ac:dyDescent="0.25">
      <c r="B49" s="17"/>
      <c r="C49" s="15" t="s">
        <v>36</v>
      </c>
      <c r="D49" s="16" t="s">
        <v>37</v>
      </c>
      <c r="E49" s="87" t="s">
        <v>80</v>
      </c>
      <c r="F49" s="17">
        <v>5</v>
      </c>
      <c r="G49" s="21">
        <f>$G$4+F49</f>
        <v>40184</v>
      </c>
    </row>
    <row r="50" spans="2:13" ht="15" customHeight="1" x14ac:dyDescent="0.25">
      <c r="B50" s="17"/>
      <c r="C50" s="15" t="s">
        <v>10</v>
      </c>
      <c r="D50" s="16" t="s">
        <v>38</v>
      </c>
      <c r="E50" s="87" t="s">
        <v>80</v>
      </c>
      <c r="F50" s="17">
        <v>8</v>
      </c>
      <c r="G50" s="21">
        <f>$G$4+F50</f>
        <v>40187</v>
      </c>
    </row>
    <row r="51" spans="2:13" ht="15" customHeight="1" thickBot="1" x14ac:dyDescent="0.3">
      <c r="B51" s="42"/>
      <c r="C51" s="39" t="s">
        <v>39</v>
      </c>
      <c r="D51" s="44" t="s">
        <v>40</v>
      </c>
      <c r="E51" s="87" t="s">
        <v>80</v>
      </c>
      <c r="F51" s="42">
        <v>10</v>
      </c>
      <c r="G51" s="45">
        <f>$G$4+F51</f>
        <v>40189</v>
      </c>
    </row>
    <row r="52" spans="2:13" ht="15" customHeight="1" x14ac:dyDescent="0.25">
      <c r="B52" s="101" t="s">
        <v>13</v>
      </c>
      <c r="C52" s="102"/>
      <c r="D52" s="102"/>
      <c r="E52" s="102"/>
      <c r="F52" s="102"/>
      <c r="G52" s="103"/>
    </row>
    <row r="53" spans="2:13" ht="15" customHeight="1" x14ac:dyDescent="0.25">
      <c r="B53" s="15"/>
      <c r="C53" s="15" t="s">
        <v>12</v>
      </c>
      <c r="D53" s="16" t="s">
        <v>41</v>
      </c>
      <c r="E53" s="87" t="s">
        <v>80</v>
      </c>
      <c r="F53" s="17">
        <v>10</v>
      </c>
      <c r="G53" s="21">
        <f>$G$4+F53</f>
        <v>40189</v>
      </c>
    </row>
    <row r="54" spans="2:13" ht="15" customHeight="1" thickBot="1" x14ac:dyDescent="0.3">
      <c r="B54" s="39"/>
      <c r="C54" s="39" t="s">
        <v>42</v>
      </c>
      <c r="D54" s="44" t="s">
        <v>38</v>
      </c>
      <c r="E54" s="87" t="s">
        <v>80</v>
      </c>
      <c r="F54" s="42">
        <v>10</v>
      </c>
      <c r="G54" s="45">
        <f>$G$4+F54</f>
        <v>40189</v>
      </c>
    </row>
    <row r="55" spans="2:13" ht="15" customHeight="1" x14ac:dyDescent="0.25">
      <c r="B55" s="26" t="s">
        <v>14</v>
      </c>
      <c r="C55" s="27"/>
      <c r="D55" s="12" t="s">
        <v>35</v>
      </c>
      <c r="E55" s="13" t="s">
        <v>66</v>
      </c>
      <c r="F55" s="14" t="s">
        <v>47</v>
      </c>
      <c r="G55" s="14" t="s">
        <v>31</v>
      </c>
    </row>
    <row r="56" spans="2:13" ht="15" customHeight="1" x14ac:dyDescent="0.25">
      <c r="B56" s="104" t="s">
        <v>15</v>
      </c>
      <c r="C56" s="105"/>
      <c r="D56" s="105"/>
      <c r="E56" s="105"/>
      <c r="F56" s="105"/>
      <c r="G56" s="106"/>
      <c r="H56"/>
      <c r="I56"/>
      <c r="J56"/>
      <c r="K56"/>
      <c r="L56"/>
      <c r="M56"/>
    </row>
    <row r="57" spans="2:13" ht="15" customHeight="1" x14ac:dyDescent="0.25">
      <c r="B57" s="15"/>
      <c r="C57" s="15" t="s">
        <v>30</v>
      </c>
      <c r="D57" s="16"/>
      <c r="E57" s="87" t="s">
        <v>80</v>
      </c>
      <c r="F57" s="17">
        <v>5</v>
      </c>
      <c r="G57" s="21">
        <f t="shared" ref="G57:G64" si="2">$G$4+F57</f>
        <v>40184</v>
      </c>
    </row>
    <row r="58" spans="2:13" ht="15" customHeight="1" x14ac:dyDescent="0.25">
      <c r="B58" s="15"/>
      <c r="C58" s="15" t="s">
        <v>16</v>
      </c>
      <c r="D58" s="16"/>
      <c r="E58" s="87" t="s">
        <v>80</v>
      </c>
      <c r="F58" s="17">
        <v>5</v>
      </c>
      <c r="G58" s="21">
        <f t="shared" si="2"/>
        <v>40184</v>
      </c>
    </row>
    <row r="59" spans="2:13" ht="15" customHeight="1" x14ac:dyDescent="0.25">
      <c r="B59" s="15"/>
      <c r="C59" s="15" t="s">
        <v>25</v>
      </c>
      <c r="D59" s="16"/>
      <c r="E59" s="87" t="s">
        <v>80</v>
      </c>
      <c r="F59" s="17">
        <v>5</v>
      </c>
      <c r="G59" s="21">
        <f t="shared" si="2"/>
        <v>40184</v>
      </c>
    </row>
    <row r="60" spans="2:13" ht="15" customHeight="1" x14ac:dyDescent="0.25">
      <c r="B60" s="15"/>
      <c r="C60" s="15" t="s">
        <v>55</v>
      </c>
      <c r="D60" s="16"/>
      <c r="E60" s="87" t="s">
        <v>80</v>
      </c>
      <c r="F60" s="17">
        <v>5</v>
      </c>
      <c r="G60" s="21">
        <f t="shared" si="2"/>
        <v>40184</v>
      </c>
    </row>
    <row r="61" spans="2:13" ht="15" customHeight="1" x14ac:dyDescent="0.25">
      <c r="B61" s="15"/>
      <c r="C61" s="15" t="s">
        <v>17</v>
      </c>
      <c r="D61" s="16"/>
      <c r="E61" s="87" t="s">
        <v>80</v>
      </c>
      <c r="F61" s="17">
        <v>5</v>
      </c>
      <c r="G61" s="21">
        <f t="shared" si="2"/>
        <v>40184</v>
      </c>
    </row>
    <row r="62" spans="2:13" ht="15" customHeight="1" x14ac:dyDescent="0.25">
      <c r="B62" s="15"/>
      <c r="C62" s="88" t="s">
        <v>108</v>
      </c>
      <c r="D62" s="16"/>
      <c r="E62" s="78" t="s">
        <v>122</v>
      </c>
      <c r="F62" s="17">
        <v>5</v>
      </c>
      <c r="G62" s="21">
        <f t="shared" si="2"/>
        <v>40184</v>
      </c>
    </row>
    <row r="63" spans="2:13" ht="15" customHeight="1" x14ac:dyDescent="0.2">
      <c r="B63" s="15"/>
      <c r="C63" s="15" t="s">
        <v>109</v>
      </c>
      <c r="D63" s="76" t="s">
        <v>116</v>
      </c>
      <c r="E63" s="73"/>
      <c r="F63" s="17">
        <v>5</v>
      </c>
      <c r="G63" s="21">
        <f t="shared" si="2"/>
        <v>40184</v>
      </c>
    </row>
    <row r="64" spans="2:13" ht="15" customHeight="1" thickBot="1" x14ac:dyDescent="0.3">
      <c r="B64" s="39"/>
      <c r="C64" s="39" t="s">
        <v>110</v>
      </c>
      <c r="D64" s="75" t="s">
        <v>115</v>
      </c>
      <c r="E64" s="74"/>
      <c r="F64" s="17">
        <v>5</v>
      </c>
      <c r="G64" s="21">
        <f t="shared" si="2"/>
        <v>40184</v>
      </c>
    </row>
    <row r="65" spans="2:7" ht="15" customHeight="1" x14ac:dyDescent="0.25">
      <c r="B65" s="101" t="s">
        <v>21</v>
      </c>
      <c r="C65" s="102"/>
      <c r="D65" s="102"/>
      <c r="E65" s="102"/>
      <c r="F65" s="102"/>
      <c r="G65" s="103"/>
    </row>
    <row r="66" spans="2:7" ht="15" customHeight="1" x14ac:dyDescent="0.25">
      <c r="B66" s="15"/>
      <c r="C66" s="15" t="s">
        <v>20</v>
      </c>
      <c r="D66" s="16"/>
      <c r="E66" s="33" t="s">
        <v>73</v>
      </c>
      <c r="F66" s="32">
        <v>5</v>
      </c>
      <c r="G66" s="58">
        <f>$G$4+F66</f>
        <v>40184</v>
      </c>
    </row>
    <row r="67" spans="2:7" ht="15" customHeight="1" x14ac:dyDescent="0.25">
      <c r="B67" s="15"/>
      <c r="C67" s="15" t="s">
        <v>27</v>
      </c>
      <c r="D67" s="16"/>
      <c r="E67" s="33" t="s">
        <v>73</v>
      </c>
      <c r="F67" s="32">
        <v>5</v>
      </c>
      <c r="G67" s="58">
        <f>$G$4+F67</f>
        <v>40184</v>
      </c>
    </row>
    <row r="68" spans="2:7" ht="15" customHeight="1" x14ac:dyDescent="0.25">
      <c r="B68" s="15"/>
      <c r="C68" s="29" t="s">
        <v>22</v>
      </c>
      <c r="D68" s="16"/>
      <c r="E68" s="28"/>
      <c r="F68" s="17"/>
      <c r="G68" s="18"/>
    </row>
    <row r="69" spans="2:7" ht="15" customHeight="1" x14ac:dyDescent="0.25">
      <c r="B69" s="15"/>
      <c r="C69" s="15" t="s">
        <v>61</v>
      </c>
      <c r="D69" s="16"/>
      <c r="E69" s="87" t="s">
        <v>80</v>
      </c>
      <c r="F69" s="32">
        <v>5</v>
      </c>
      <c r="G69" s="58">
        <f>$G$4+F69</f>
        <v>40184</v>
      </c>
    </row>
    <row r="70" spans="2:7" ht="15" customHeight="1" x14ac:dyDescent="0.25">
      <c r="B70" s="15"/>
      <c r="C70" s="15" t="s">
        <v>28</v>
      </c>
      <c r="D70" s="97" t="s">
        <v>57</v>
      </c>
      <c r="E70" s="20" t="s">
        <v>73</v>
      </c>
      <c r="F70" s="17">
        <v>5</v>
      </c>
      <c r="G70" s="21">
        <f>$G$4+F70</f>
        <v>40184</v>
      </c>
    </row>
    <row r="71" spans="2:7" ht="15" customHeight="1" x14ac:dyDescent="0.25">
      <c r="B71" s="15"/>
      <c r="C71" s="29" t="s">
        <v>26</v>
      </c>
      <c r="D71" s="16"/>
      <c r="E71" s="28"/>
      <c r="F71" s="17"/>
      <c r="G71" s="18"/>
    </row>
    <row r="72" spans="2:7" ht="15" customHeight="1" x14ac:dyDescent="0.25">
      <c r="B72" s="15"/>
      <c r="C72" s="29" t="s">
        <v>23</v>
      </c>
      <c r="D72" s="16"/>
      <c r="E72" s="28"/>
      <c r="F72" s="17"/>
      <c r="G72" s="18"/>
    </row>
    <row r="73" spans="2:7" ht="15" customHeight="1" x14ac:dyDescent="0.25">
      <c r="B73" s="15"/>
      <c r="C73" s="29" t="s">
        <v>24</v>
      </c>
      <c r="D73" s="16"/>
      <c r="E73" s="28"/>
      <c r="F73" s="17"/>
      <c r="G73" s="18"/>
    </row>
    <row r="74" spans="2:7" ht="15" customHeight="1" thickBot="1" x14ac:dyDescent="0.3">
      <c r="B74" s="39"/>
      <c r="C74" s="46" t="s">
        <v>44</v>
      </c>
      <c r="D74" s="44"/>
      <c r="E74" s="47"/>
      <c r="F74" s="42"/>
      <c r="G74" s="43"/>
    </row>
    <row r="75" spans="2:7" ht="15" customHeight="1" x14ac:dyDescent="0.25">
      <c r="B75" s="101" t="s">
        <v>18</v>
      </c>
      <c r="C75" s="102"/>
      <c r="D75" s="102"/>
      <c r="E75" s="102"/>
      <c r="F75" s="102"/>
      <c r="G75" s="103"/>
    </row>
    <row r="76" spans="2:7" ht="15" customHeight="1" x14ac:dyDescent="0.25">
      <c r="B76" s="15"/>
      <c r="C76" s="15" t="s">
        <v>4</v>
      </c>
      <c r="D76" s="16"/>
      <c r="E76" s="33" t="s">
        <v>73</v>
      </c>
      <c r="F76" s="15"/>
      <c r="G76" s="15"/>
    </row>
    <row r="77" spans="2:7" ht="15" customHeight="1" x14ac:dyDescent="0.25">
      <c r="B77" s="15"/>
      <c r="C77" s="93" t="s">
        <v>127</v>
      </c>
      <c r="D77" s="94" t="s">
        <v>128</v>
      </c>
      <c r="E77" s="28"/>
      <c r="F77" s="17">
        <v>2</v>
      </c>
      <c r="G77" s="21">
        <f>$G$4+F77</f>
        <v>40181</v>
      </c>
    </row>
    <row r="78" spans="2:7" ht="15" customHeight="1" x14ac:dyDescent="0.25">
      <c r="B78" s="15"/>
      <c r="C78" s="29" t="s">
        <v>114</v>
      </c>
      <c r="D78" s="16"/>
      <c r="E78" s="28"/>
      <c r="F78" s="17">
        <v>2</v>
      </c>
      <c r="G78" s="21">
        <f>$G$4+F78</f>
        <v>40181</v>
      </c>
    </row>
    <row r="79" spans="2:7" ht="55.5" customHeight="1" x14ac:dyDescent="0.2">
      <c r="B79" s="15"/>
      <c r="C79" s="98" t="s">
        <v>106</v>
      </c>
      <c r="D79" s="99" t="s">
        <v>105</v>
      </c>
      <c r="E79" s="28"/>
      <c r="F79" s="17">
        <v>10</v>
      </c>
      <c r="G79" s="21">
        <f>$G$4+F79</f>
        <v>40189</v>
      </c>
    </row>
    <row r="80" spans="2:7" ht="15" customHeight="1" x14ac:dyDescent="0.25">
      <c r="B80" s="15"/>
      <c r="C80" s="15" t="s">
        <v>34</v>
      </c>
      <c r="D80" s="16"/>
      <c r="E80" s="33" t="s">
        <v>73</v>
      </c>
      <c r="F80" s="17"/>
      <c r="G80" s="18"/>
    </row>
    <row r="81" spans="2:8" ht="15" customHeight="1" x14ac:dyDescent="0.25">
      <c r="B81" s="15"/>
      <c r="C81" s="29" t="s">
        <v>29</v>
      </c>
      <c r="D81" s="16"/>
      <c r="E81" s="28"/>
      <c r="F81" s="17">
        <v>5</v>
      </c>
      <c r="G81" s="21">
        <f>$G$4+F81</f>
        <v>40184</v>
      </c>
    </row>
    <row r="82" spans="2:8" ht="15" customHeight="1" thickBot="1" x14ac:dyDescent="0.3">
      <c r="B82" s="39"/>
      <c r="C82" s="46" t="s">
        <v>19</v>
      </c>
      <c r="D82" s="44"/>
      <c r="E82" s="47"/>
      <c r="F82" s="42">
        <v>5</v>
      </c>
      <c r="G82" s="45">
        <f>$G$4+F82</f>
        <v>40184</v>
      </c>
    </row>
    <row r="83" spans="2:8" ht="15" customHeight="1" x14ac:dyDescent="0.25">
      <c r="B83" s="101" t="s">
        <v>58</v>
      </c>
      <c r="C83" s="102"/>
      <c r="D83" s="102"/>
      <c r="E83" s="102"/>
      <c r="F83" s="102"/>
      <c r="G83" s="103"/>
    </row>
    <row r="84" spans="2:8" ht="15" customHeight="1" x14ac:dyDescent="0.25">
      <c r="B84" s="15"/>
      <c r="C84" s="15" t="s">
        <v>59</v>
      </c>
      <c r="D84" s="16"/>
      <c r="E84" s="87" t="s">
        <v>80</v>
      </c>
      <c r="F84" s="17"/>
      <c r="G84" s="21"/>
    </row>
    <row r="85" spans="2:8" ht="15" customHeight="1" x14ac:dyDescent="0.25">
      <c r="B85" s="15"/>
      <c r="C85" s="29" t="s">
        <v>60</v>
      </c>
      <c r="D85" s="16"/>
      <c r="E85" s="87" t="s">
        <v>80</v>
      </c>
      <c r="F85" s="17"/>
      <c r="G85" s="21"/>
    </row>
    <row r="86" spans="2:8" ht="15" customHeight="1" thickBot="1" x14ac:dyDescent="0.3">
      <c r="B86" s="39"/>
      <c r="C86" s="39" t="s">
        <v>77</v>
      </c>
      <c r="D86" s="44"/>
      <c r="E86" s="90" t="s">
        <v>131</v>
      </c>
      <c r="F86" s="42"/>
      <c r="G86" s="45"/>
    </row>
    <row r="87" spans="2:8" ht="15" customHeight="1" x14ac:dyDescent="0.25">
      <c r="B87" s="101" t="s">
        <v>45</v>
      </c>
      <c r="C87" s="102"/>
      <c r="D87" s="102"/>
      <c r="E87" s="102"/>
      <c r="F87" s="102"/>
      <c r="G87" s="103"/>
    </row>
    <row r="88" spans="2:8" ht="15" customHeight="1" x14ac:dyDescent="0.25">
      <c r="B88" s="15"/>
      <c r="C88" s="15" t="s">
        <v>5</v>
      </c>
      <c r="D88" s="16"/>
      <c r="E88" s="30" t="s">
        <v>65</v>
      </c>
      <c r="F88" s="17"/>
      <c r="G88" s="18"/>
    </row>
    <row r="89" spans="2:8" ht="15" customHeight="1" x14ac:dyDescent="0.25">
      <c r="B89" s="15"/>
      <c r="C89" s="15" t="s">
        <v>6</v>
      </c>
      <c r="D89" s="16"/>
      <c r="E89" s="30" t="s">
        <v>65</v>
      </c>
      <c r="F89" s="17"/>
      <c r="G89" s="18"/>
    </row>
    <row r="90" spans="2:8" ht="15" customHeight="1" x14ac:dyDescent="0.25">
      <c r="B90" s="15"/>
      <c r="C90" s="15" t="s">
        <v>46</v>
      </c>
      <c r="D90" s="16"/>
      <c r="E90" s="87" t="s">
        <v>80</v>
      </c>
      <c r="F90" s="17"/>
      <c r="G90" s="18"/>
    </row>
    <row r="91" spans="2:8" ht="15" customHeight="1" thickBot="1" x14ac:dyDescent="0.3">
      <c r="B91" s="39"/>
      <c r="C91" s="39" t="s">
        <v>81</v>
      </c>
      <c r="D91" s="39" t="s">
        <v>82</v>
      </c>
      <c r="E91" s="41" t="s">
        <v>80</v>
      </c>
      <c r="F91" s="42"/>
      <c r="G91" s="43"/>
    </row>
    <row r="92" spans="2:8" s="1" customFormat="1" ht="15" customHeight="1" x14ac:dyDescent="0.25">
      <c r="B92" s="101" t="s">
        <v>63</v>
      </c>
      <c r="C92" s="102"/>
      <c r="D92" s="102"/>
      <c r="E92" s="102"/>
      <c r="F92" s="102"/>
      <c r="G92" s="103"/>
      <c r="H92" s="4"/>
    </row>
    <row r="93" spans="2:8" s="1" customFormat="1" ht="15" customHeight="1" x14ac:dyDescent="0.2">
      <c r="B93" s="15"/>
      <c r="C93" s="23" t="s">
        <v>64</v>
      </c>
      <c r="D93" s="100" t="s">
        <v>56</v>
      </c>
      <c r="E93" s="30" t="s">
        <v>65</v>
      </c>
      <c r="F93" s="17"/>
      <c r="G93" s="18"/>
      <c r="H93" s="4"/>
    </row>
    <row r="94" spans="2:8" s="1" customFormat="1" ht="15" customHeight="1" thickBot="1" x14ac:dyDescent="0.3">
      <c r="B94" s="39"/>
      <c r="C94" s="39" t="s">
        <v>43</v>
      </c>
      <c r="D94" s="40" t="s">
        <v>62</v>
      </c>
      <c r="E94" s="41" t="s">
        <v>80</v>
      </c>
      <c r="F94" s="42"/>
      <c r="G94" s="43"/>
      <c r="H94" s="4"/>
    </row>
    <row r="95" spans="2:8" s="10" customFormat="1" ht="15" customHeight="1" x14ac:dyDescent="0.25">
      <c r="B95" s="101" t="s">
        <v>78</v>
      </c>
      <c r="C95" s="102"/>
      <c r="D95" s="102"/>
      <c r="E95" s="102"/>
      <c r="F95" s="102"/>
      <c r="G95" s="103"/>
    </row>
    <row r="96" spans="2:8" s="10" customFormat="1" ht="15" customHeight="1" thickBot="1" x14ac:dyDescent="0.3">
      <c r="B96" s="35"/>
      <c r="C96" s="36" t="s">
        <v>132</v>
      </c>
      <c r="D96" s="36"/>
      <c r="E96" s="90" t="s">
        <v>130</v>
      </c>
      <c r="F96" s="37"/>
      <c r="G96" s="38"/>
    </row>
    <row r="97" spans="3:5" x14ac:dyDescent="0.25">
      <c r="C97" s="3"/>
    </row>
    <row r="98" spans="3:5" x14ac:dyDescent="0.25">
      <c r="C98" s="3"/>
    </row>
    <row r="99" spans="3:5" x14ac:dyDescent="0.25">
      <c r="C99" s="3"/>
      <c r="D99" s="8"/>
      <c r="E99" s="2"/>
    </row>
    <row r="100" spans="3:5" x14ac:dyDescent="0.25">
      <c r="C100" s="3"/>
    </row>
    <row r="101" spans="3:5" x14ac:dyDescent="0.25">
      <c r="C101" s="3"/>
    </row>
    <row r="104" spans="3:5" x14ac:dyDescent="0.25">
      <c r="C104" s="3"/>
    </row>
  </sheetData>
  <mergeCells count="31">
    <mergeCell ref="B2:G2"/>
    <mergeCell ref="D3:G3"/>
    <mergeCell ref="B4:F4"/>
    <mergeCell ref="B22:G22"/>
    <mergeCell ref="D16:D17"/>
    <mergeCell ref="B5:C5"/>
    <mergeCell ref="B21:C21"/>
    <mergeCell ref="B12:G12"/>
    <mergeCell ref="B6:G6"/>
    <mergeCell ref="B18:G18"/>
    <mergeCell ref="B65:G65"/>
    <mergeCell ref="B56:G56"/>
    <mergeCell ref="B45:C45"/>
    <mergeCell ref="B40:C40"/>
    <mergeCell ref="D23:D29"/>
    <mergeCell ref="B30:G30"/>
    <mergeCell ref="B46:G46"/>
    <mergeCell ref="B52:G52"/>
    <mergeCell ref="B37:G37"/>
    <mergeCell ref="B34:G34"/>
    <mergeCell ref="D35:D36"/>
    <mergeCell ref="F41:F42"/>
    <mergeCell ref="G41:G42"/>
    <mergeCell ref="B41:C42"/>
    <mergeCell ref="E41:E42"/>
    <mergeCell ref="D31:D33"/>
    <mergeCell ref="B95:G95"/>
    <mergeCell ref="B92:G92"/>
    <mergeCell ref="B83:G83"/>
    <mergeCell ref="B87:G87"/>
    <mergeCell ref="B75:G75"/>
  </mergeCells>
  <hyperlinks>
    <hyperlink ref="B43" r:id="rId1" display="LMS: Learning Mgmt Sys"/>
    <hyperlink ref="E93" r:id="rId2"/>
    <hyperlink ref="E88" r:id="rId3"/>
    <hyperlink ref="E89" r:id="rId4"/>
    <hyperlink ref="E41" r:id="rId5" display="Malinda Williams"/>
    <hyperlink ref="E94" r:id="rId6"/>
    <hyperlink ref="E91" r:id="rId7"/>
    <hyperlink ref="D14" r:id="rId8" display="Town of Chapel Hill : Park &amp; Ride"/>
    <hyperlink ref="D43" r:id="rId9"/>
    <hyperlink ref="D39" r:id="rId10" display="click here for more information"/>
    <hyperlink ref="D38" r:id="rId11"/>
    <hyperlink ref="D23" r:id="rId12"/>
    <hyperlink ref="D31" r:id="rId13"/>
    <hyperlink ref="D7" r:id="rId14" display="click here for Benefits forms"/>
    <hyperlink ref="E76" r:id="rId15"/>
    <hyperlink ref="E80" r:id="rId16"/>
    <hyperlink ref="E66" r:id="rId17"/>
    <hyperlink ref="E67" r:id="rId18"/>
    <hyperlink ref="E70" r:id="rId19"/>
    <hyperlink ref="D64" r:id="rId20"/>
    <hyperlink ref="D63" r:id="rId21"/>
    <hyperlink ref="E10" r:id="rId22"/>
    <hyperlink ref="D10" r:id="rId23"/>
    <hyperlink ref="E7" r:id="rId24"/>
    <hyperlink ref="E47" r:id="rId25"/>
    <hyperlink ref="E43" r:id="rId26"/>
    <hyperlink ref="E44" r:id="rId27"/>
    <hyperlink ref="E48" r:id="rId28"/>
    <hyperlink ref="E49" r:id="rId29"/>
    <hyperlink ref="E50" r:id="rId30"/>
    <hyperlink ref="E51" r:id="rId31"/>
    <hyperlink ref="E53" r:id="rId32"/>
    <hyperlink ref="E54" r:id="rId33"/>
    <hyperlink ref="E57" r:id="rId34"/>
    <hyperlink ref="E58" r:id="rId35"/>
    <hyperlink ref="E59" r:id="rId36"/>
    <hyperlink ref="E60" r:id="rId37"/>
    <hyperlink ref="E61" r:id="rId38"/>
    <hyperlink ref="E62" r:id="rId39" display="Paul Njgu"/>
    <hyperlink ref="E69" r:id="rId40"/>
    <hyperlink ref="E84" r:id="rId41"/>
    <hyperlink ref="E85" r:id="rId42"/>
    <hyperlink ref="E86" r:id="rId43"/>
    <hyperlink ref="E96" r:id="rId44"/>
    <hyperlink ref="E90" r:id="rId45"/>
    <hyperlink ref="D13" r:id="rId46"/>
    <hyperlink ref="D20" r:id="rId47"/>
    <hyperlink ref="D77" r:id="rId48" location="t"/>
    <hyperlink ref="D70" r:id="rId49"/>
    <hyperlink ref="D79" r:id="rId50"/>
    <hyperlink ref="D42" r:id="rId51"/>
    <hyperlink ref="D93" r:id="rId52"/>
  </hyperlinks>
  <printOptions horizontalCentered="1" gridLines="1"/>
  <pageMargins left="0.2" right="0.2" top="0.55000000000000004" bottom="0.25" header="0.25" footer="0.2"/>
  <pageSetup orientation="portrait" r:id="rId53"/>
  <headerFooter>
    <oddHeader>&amp;L&amp;"-,Bold"&amp;14SPA Staff&amp;C&amp;"-,Bold"&amp;14Onboarding Activities
&amp;R&amp;"-,Bold"&amp;14UNC School of Medicine</oddHeader>
    <oddFooter>&amp;L&amp;"-,Bold Italic"&amp;8&amp;K000000&amp;Z&amp;F&amp;R&amp;"-,Bold Italic"&amp;8Last revised: &amp;D</oddFooter>
  </headerFooter>
  <rowBreaks count="2" manualBreakCount="2">
    <brk id="44" min="1" max="6" man="1"/>
    <brk id="86"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SOM Support Staff</vt:lpstr>
      <vt:lpstr>'SOM Support Staff'!Print_Area</vt:lpstr>
      <vt:lpstr>'SOM Support Staff'!Print_Titles</vt:lpstr>
    </vt:vector>
  </TitlesOfParts>
  <Company>UNC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domis</cp:lastModifiedBy>
  <cp:lastPrinted>2010-10-19T18:03:58Z</cp:lastPrinted>
  <dcterms:created xsi:type="dcterms:W3CDTF">2009-11-16T14:52:32Z</dcterms:created>
  <dcterms:modified xsi:type="dcterms:W3CDTF">2013-09-17T15:52:45Z</dcterms:modified>
</cp:coreProperties>
</file>