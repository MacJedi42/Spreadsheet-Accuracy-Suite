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11955"/>
  </bookViews>
  <sheets>
    <sheet name="Task Score Sheet Data" sheetId="1" r:id="rId1"/>
    <sheet name="Debriefing survey" sheetId="2" r:id="rId2"/>
    <sheet name="Participant Demographics" sheetId="3" r:id="rId3"/>
    <sheet name="Demographic Charts" sheetId="4" r:id="rId4"/>
  </sheets>
  <calcPr calcId="125725"/>
</workbook>
</file>

<file path=xl/calcChain.xml><?xml version="1.0" encoding="utf-8"?>
<calcChain xmlns="http://schemas.openxmlformats.org/spreadsheetml/2006/main">
  <c r="N12" i="1"/>
  <c r="N11"/>
  <c r="N10"/>
  <c r="N9"/>
  <c r="N8"/>
  <c r="N7"/>
  <c r="N6"/>
  <c r="N5"/>
  <c r="N4"/>
  <c r="N3"/>
  <c r="M12"/>
  <c r="M11"/>
  <c r="M10"/>
  <c r="M9"/>
  <c r="M8"/>
  <c r="M7"/>
  <c r="M6"/>
  <c r="M5"/>
  <c r="M4"/>
  <c r="M3"/>
  <c r="L4"/>
  <c r="K9"/>
  <c r="K8"/>
  <c r="K5"/>
  <c r="K3"/>
  <c r="S18"/>
  <c r="S17"/>
  <c r="S16"/>
  <c r="N22"/>
  <c r="N21"/>
  <c r="N18"/>
  <c r="N16"/>
  <c r="L12"/>
  <c r="L11"/>
  <c r="L10"/>
  <c r="L9"/>
  <c r="L8"/>
  <c r="L7"/>
  <c r="L6"/>
  <c r="L5"/>
  <c r="L3"/>
</calcChain>
</file>

<file path=xl/sharedStrings.xml><?xml version="1.0" encoding="utf-8"?>
<sst xmlns="http://schemas.openxmlformats.org/spreadsheetml/2006/main" count="600" uniqueCount="100">
  <si>
    <t>Task</t>
  </si>
  <si>
    <t>Yes</t>
  </si>
  <si>
    <t>No</t>
  </si>
  <si>
    <t>#</t>
  </si>
  <si>
    <t>Participant: #10</t>
  </si>
  <si>
    <t>X</t>
  </si>
  <si>
    <t>Was the first click to the _____?</t>
  </si>
  <si>
    <t>Library Homepage</t>
  </si>
  <si>
    <t>Access &amp; Hours Page</t>
  </si>
  <si>
    <t>How many clicks did it take for them to find the____?</t>
  </si>
  <si>
    <t>Total Time on Task (Sec)</t>
  </si>
  <si>
    <t>Attorney Membership Page</t>
  </si>
  <si>
    <t>Faculty Contacts Page</t>
  </si>
  <si>
    <t>Book Selection Page</t>
  </si>
  <si>
    <t>Policies &amp; Services Page</t>
  </si>
  <si>
    <t>Catalog</t>
  </si>
  <si>
    <t>Research Guides Page</t>
  </si>
  <si>
    <t>Library Blog</t>
  </si>
  <si>
    <t>Library Electronic Databases Page</t>
  </si>
  <si>
    <t>Participant: #9</t>
  </si>
  <si>
    <t>Participant: #8</t>
  </si>
  <si>
    <t>Participant: #7</t>
  </si>
  <si>
    <t>Participant: #6</t>
  </si>
  <si>
    <t>Participant: #5</t>
  </si>
  <si>
    <t>Participant: #4</t>
  </si>
  <si>
    <t>Participant: #3</t>
  </si>
  <si>
    <t>Participant: #2</t>
  </si>
  <si>
    <t>Yes*</t>
  </si>
  <si>
    <t>* Yes is quanitifed - by using the quicklinks the participant went directly to the page.</t>
  </si>
  <si>
    <t>Question</t>
  </si>
  <si>
    <t>Strongly Disagree</t>
  </si>
  <si>
    <t>Disagree</t>
  </si>
  <si>
    <t>Neutral</t>
  </si>
  <si>
    <t>Agree</t>
  </si>
  <si>
    <t>Strongly Agree</t>
  </si>
  <si>
    <t>I use the law library website often.</t>
  </si>
  <si>
    <t>I found the law library website to be awkward</t>
  </si>
  <si>
    <t>The law library website is a useful tool that should be used frequently.</t>
  </si>
  <si>
    <t>When I first used the library website, I learned how to use it very quickly.</t>
  </si>
  <si>
    <t>I feel very confident using the law library website.</t>
  </si>
  <si>
    <t>I need assistance or training to really be able to use the law library website well.</t>
  </si>
  <si>
    <t>I found the library website to be well integrated within the Charlotte Law as a whole.</t>
  </si>
  <si>
    <t>I found the library website to flow logically and easily from one page to another.</t>
  </si>
  <si>
    <t>I think the law library website is complicated to use.</t>
  </si>
  <si>
    <t>I need to learn a lot of library terms or other information before I can get going with this website.</t>
  </si>
  <si>
    <t>The website's fonts, color, and layout limited my ability to use the library site.</t>
  </si>
  <si>
    <t>I always find the information I need when I visit the library website.</t>
  </si>
  <si>
    <t>Status at CSL</t>
  </si>
  <si>
    <t>1L</t>
  </si>
  <si>
    <t>2L</t>
  </si>
  <si>
    <t>3L</t>
  </si>
  <si>
    <t xml:space="preserve">Faculty </t>
  </si>
  <si>
    <t>Staff</t>
  </si>
  <si>
    <t>Attorney</t>
  </si>
  <si>
    <t>Public Patron</t>
  </si>
  <si>
    <t>Age Range</t>
  </si>
  <si>
    <t>21-30</t>
  </si>
  <si>
    <t>31-40</t>
  </si>
  <si>
    <t>41-50</t>
  </si>
  <si>
    <t>51+</t>
  </si>
  <si>
    <t>Gender</t>
  </si>
  <si>
    <t>Female</t>
  </si>
  <si>
    <t>Male</t>
  </si>
  <si>
    <t>Skill Level in using Computer/Internet</t>
  </si>
  <si>
    <t>Education</t>
  </si>
  <si>
    <t>High School</t>
  </si>
  <si>
    <t>2-yr degree</t>
  </si>
  <si>
    <t>4-yr degree</t>
  </si>
  <si>
    <t>Graduate degree</t>
  </si>
  <si>
    <t>Doctorate</t>
  </si>
  <si>
    <t>Services Comfortable Using</t>
  </si>
  <si>
    <t>World Wide Web/Google</t>
  </si>
  <si>
    <t>Electronic Databases</t>
  </si>
  <si>
    <t>Email</t>
  </si>
  <si>
    <t>Social Networking Tools</t>
  </si>
  <si>
    <t>Library Catalog</t>
  </si>
  <si>
    <t>Blogs/RSS/Wikis</t>
  </si>
  <si>
    <t>Frequency of Internet Use</t>
  </si>
  <si>
    <t>Rare</t>
  </si>
  <si>
    <t>Occasional</t>
  </si>
  <si>
    <t>Frequent</t>
  </si>
  <si>
    <t>Frequency of CSL Library Website</t>
  </si>
  <si>
    <t>First Time</t>
  </si>
  <si>
    <t>Skill Level in Using CSL Website</t>
  </si>
  <si>
    <t>Debriefing Survey</t>
  </si>
  <si>
    <t>U</t>
  </si>
  <si>
    <t>S</t>
  </si>
  <si>
    <t>GU</t>
  </si>
  <si>
    <t>Unsuccessful</t>
  </si>
  <si>
    <t>Gave Up</t>
  </si>
  <si>
    <t>Successful</t>
  </si>
  <si>
    <t>S/US (Performed within the Bendmark Criteria)</t>
  </si>
  <si>
    <t>Performed within the BenchMark Criteria</t>
  </si>
  <si>
    <t>S/U (Task Completion)</t>
  </si>
  <si>
    <t>% performing correctly within benchmark</t>
  </si>
  <si>
    <t>Successful Performance</t>
  </si>
  <si>
    <t>Average Time Spent on Task Seconds (Minutes)</t>
  </si>
  <si>
    <t>Median Time to Complete</t>
  </si>
  <si>
    <t>Standard Deviation (SD)</t>
  </si>
  <si>
    <t>Task Timing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</si>
</sst>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164" fontId="0" fillId="0" borderId="0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survey'!$B$3</c:f>
              <c:strCache>
                <c:ptCount val="1"/>
                <c:pt idx="0">
                  <c:v>I use the law library website often.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survey'!$C$3:$G$3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2452777777777779"/>
          <c:y val="1.3888888888888897E-2"/>
        </c:manualLayout>
      </c:layout>
    </c:title>
    <c:plotArea>
      <c:layout/>
      <c:pieChart>
        <c:varyColors val="1"/>
        <c:ser>
          <c:idx val="0"/>
          <c:order val="0"/>
          <c:tx>
            <c:strRef>
              <c:f>'Debriefing survey'!$B$4</c:f>
              <c:strCache>
                <c:ptCount val="1"/>
                <c:pt idx="0">
                  <c:v>I found the law library website to be awkward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survey'!$C$4:$G$4</c:f>
              <c:numCache>
                <c:formatCode>0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survey'!$B$5</c:f>
              <c:strCache>
                <c:ptCount val="1"/>
                <c:pt idx="0">
                  <c:v>The law library website is a useful tool that should be used frequently.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survey'!$C$5:$G$5</c:f>
              <c:numCache>
                <c:formatCode>0</c:formatCode>
                <c:ptCount val="5"/>
                <c:pt idx="2">
                  <c:v>1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survey'!$B$6</c:f>
              <c:strCache>
                <c:ptCount val="1"/>
                <c:pt idx="0">
                  <c:v>When I first used the library website, I learned how to use it very quickly.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survey'!$C$6:$G$6</c:f>
              <c:numCache>
                <c:formatCode>0</c:formatCode>
                <c:ptCount val="5"/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survey'!$B$7</c:f>
              <c:strCache>
                <c:ptCount val="1"/>
                <c:pt idx="0">
                  <c:v>I feel very confident using the law library website.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survey'!$C$7:$G$7</c:f>
              <c:numCache>
                <c:formatCode>0</c:formatCode>
                <c:ptCount val="5"/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0.81338291897186299"/>
          <c:y val="0.37159956886266982"/>
          <c:w val="0.17106800425457022"/>
          <c:h val="0.37790832572260785"/>
        </c:manualLayout>
      </c:layout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survey'!$B$8</c:f>
              <c:strCache>
                <c:ptCount val="1"/>
                <c:pt idx="0">
                  <c:v>I need assistance or training to really be able to use the law library website well.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survey'!$C$8:$G$8</c:f>
              <c:numCache>
                <c:formatCode>0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survey'!$B$9</c:f>
              <c:strCache>
                <c:ptCount val="1"/>
                <c:pt idx="0">
                  <c:v>I found the library website to be well integrated within the Charlotte Law as a whole.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survey'!$C$9:$G$9</c:f>
              <c:numCache>
                <c:formatCode>0</c:formatCode>
                <c:ptCount val="5"/>
                <c:pt idx="2">
                  <c:v>1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survey'!$B$10</c:f>
              <c:strCache>
                <c:ptCount val="1"/>
                <c:pt idx="0">
                  <c:v>I found the library website to flow logically and easily from one page to another.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survey'!$C$10:$G$10</c:f>
              <c:numCache>
                <c:formatCode>0</c:formatCode>
                <c:ptCount val="5"/>
                <c:pt idx="2">
                  <c:v>1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survey'!$B$11</c:f>
              <c:strCache>
                <c:ptCount val="1"/>
                <c:pt idx="0">
                  <c:v>I think the law library website is complicated to use.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survey'!$C$11:$G$11</c:f>
              <c:numCache>
                <c:formatCode>0</c:formatCode>
                <c:ptCount val="5"/>
                <c:pt idx="0">
                  <c:v>5</c:v>
                </c:pt>
                <c:pt idx="1">
                  <c:v>4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survey'!$B$12</c:f>
              <c:strCache>
                <c:ptCount val="1"/>
                <c:pt idx="0">
                  <c:v>I need to learn a lot of library terms or other information before I can get going with this website.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survey'!$C$12:$G$12</c:f>
              <c:numCache>
                <c:formatCode>0</c:formatCode>
                <c:ptCount val="5"/>
                <c:pt idx="0">
                  <c:v>5</c:v>
                </c:pt>
                <c:pt idx="1">
                  <c:v>3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survey'!$B$13</c:f>
              <c:strCache>
                <c:ptCount val="1"/>
                <c:pt idx="0">
                  <c:v>The website's fonts, color, and layout limited my ability to use the library site.</c:v>
                </c:pt>
              </c:strCache>
            </c:strRef>
          </c:tx>
          <c:cat>
            <c:strRef>
              <c:f>'Debriefing survey'!$C$2:$G$2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'Debriefing survey'!$C$13:$G$13</c:f>
              <c:numCache>
                <c:formatCode>0</c:formatCode>
                <c:ptCount val="5"/>
                <c:pt idx="0">
                  <c:v>5</c:v>
                </c:pt>
                <c:pt idx="1">
                  <c:v>4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'Debriefing survey'!$B$14</c:f>
              <c:strCache>
                <c:ptCount val="1"/>
                <c:pt idx="0">
                  <c:v>I always find the information I need when I visit the library website.</c:v>
                </c:pt>
              </c:strCache>
            </c:strRef>
          </c:tx>
          <c:cat>
            <c:multiLvlStrRef>
              <c:f>'Debriefing survey'!$C$2:$G$3</c:f>
              <c:multiLvlStrCache>
                <c:ptCount val="5"/>
                <c:lvl>
                  <c:pt idx="0">
                    <c:v>1</c:v>
                  </c:pt>
                  <c:pt idx="1">
                    <c:v>2</c:v>
                  </c:pt>
                  <c:pt idx="2">
                    <c:v>5</c:v>
                  </c:pt>
                  <c:pt idx="4">
                    <c:v>1</c:v>
                  </c:pt>
                </c:lvl>
                <c:lvl>
                  <c:pt idx="0">
                    <c:v>Strongly Disagree</c:v>
                  </c:pt>
                  <c:pt idx="1">
                    <c:v>Disagree</c:v>
                  </c:pt>
                  <c:pt idx="2">
                    <c:v>Neutral</c:v>
                  </c:pt>
                  <c:pt idx="3">
                    <c:v>Agree</c:v>
                  </c:pt>
                  <c:pt idx="4">
                    <c:v>Strongly Agree</c:v>
                  </c:pt>
                </c:lvl>
              </c:multiLvlStrCache>
            </c:multiLvlStrRef>
          </c:cat>
          <c:val>
            <c:numRef>
              <c:f>'Debriefing survey'!$C$14:$G$14</c:f>
              <c:numCache>
                <c:formatCode>0</c:formatCode>
                <c:ptCount val="5"/>
                <c:pt idx="2">
                  <c:v>1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v>Status at CSL</c:v>
          </c:tx>
          <c:cat>
            <c:strRef>
              <c:f>'Participant Demographics'!$A$3:$A$9</c:f>
              <c:strCache>
                <c:ptCount val="7"/>
                <c:pt idx="0">
                  <c:v>1L</c:v>
                </c:pt>
                <c:pt idx="1">
                  <c:v>2L</c:v>
                </c:pt>
                <c:pt idx="2">
                  <c:v>3L</c:v>
                </c:pt>
                <c:pt idx="3">
                  <c:v>Faculty </c:v>
                </c:pt>
                <c:pt idx="4">
                  <c:v>Staff</c:v>
                </c:pt>
                <c:pt idx="5">
                  <c:v>Attorney</c:v>
                </c:pt>
                <c:pt idx="6">
                  <c:v>Public Patron</c:v>
                </c:pt>
              </c:strCache>
            </c:strRef>
          </c:cat>
          <c:val>
            <c:numRef>
              <c:f>'Participant Demographics'!$B$3:$B$9</c:f>
              <c:numCache>
                <c:formatCode>General</c:formatCode>
                <c:ptCount val="7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1" l="1" r="1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'Participant Demographics'!$A$11:$B$11</c:f>
              <c:strCache>
                <c:ptCount val="1"/>
                <c:pt idx="0">
                  <c:v>Age Range</c:v>
                </c:pt>
              </c:strCache>
            </c:strRef>
          </c:tx>
          <c:cat>
            <c:strRef>
              <c:f>'Participant Demographics'!$A$12:$A$15</c:f>
              <c:strCache>
                <c:ptCount val="4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'Participant Demographics'!$B$12:$B$15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'Participant Demographics'!$A$17:$B$17</c:f>
              <c:strCache>
                <c:ptCount val="1"/>
                <c:pt idx="0">
                  <c:v>Gender</c:v>
                </c:pt>
              </c:strCache>
            </c:strRef>
          </c:tx>
          <c:cat>
            <c:strRef>
              <c:f>'Participant Demographics'!$A$18:$A$19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'Participant Demographics'!$B$18:$B$19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</c:ser>
        <c:axId val="75507968"/>
        <c:axId val="75517952"/>
      </c:barChart>
      <c:catAx>
        <c:axId val="75507968"/>
        <c:scaling>
          <c:orientation val="minMax"/>
        </c:scaling>
        <c:axPos val="b"/>
        <c:tickLblPos val="nextTo"/>
        <c:crossAx val="75517952"/>
        <c:crosses val="autoZero"/>
        <c:auto val="1"/>
        <c:lblAlgn val="ctr"/>
        <c:lblOffset val="100"/>
      </c:catAx>
      <c:valAx>
        <c:axId val="75517952"/>
        <c:scaling>
          <c:orientation val="minMax"/>
        </c:scaling>
        <c:axPos val="l"/>
        <c:majorGridlines/>
        <c:numFmt formatCode="General" sourceLinked="1"/>
        <c:tickLblPos val="nextTo"/>
        <c:crossAx val="75507968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/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'Participant Demographics'!$D$2:$E$2</c:f>
              <c:strCache>
                <c:ptCount val="1"/>
                <c:pt idx="0">
                  <c:v>Services Comfortable Using</c:v>
                </c:pt>
              </c:strCache>
            </c:strRef>
          </c:tx>
          <c:cat>
            <c:strRef>
              <c:f>'Participant Demographics'!$D$3:$D$8</c:f>
              <c:strCache>
                <c:ptCount val="6"/>
                <c:pt idx="0">
                  <c:v>World Wide Web/Google</c:v>
                </c:pt>
                <c:pt idx="1">
                  <c:v>Electronic Databases</c:v>
                </c:pt>
                <c:pt idx="2">
                  <c:v>Email</c:v>
                </c:pt>
                <c:pt idx="3">
                  <c:v>Social Networking Tools</c:v>
                </c:pt>
                <c:pt idx="4">
                  <c:v>Library Catalog</c:v>
                </c:pt>
                <c:pt idx="5">
                  <c:v>Blogs/RSS/Wikis</c:v>
                </c:pt>
              </c:strCache>
            </c:strRef>
          </c:cat>
          <c:val>
            <c:numRef>
              <c:f>'Participant Demographics'!$E$3:$E$8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shape val="cylinder"/>
        <c:axId val="75541888"/>
        <c:axId val="75543680"/>
        <c:axId val="0"/>
      </c:bar3DChart>
      <c:catAx>
        <c:axId val="75541888"/>
        <c:scaling>
          <c:orientation val="minMax"/>
        </c:scaling>
        <c:axPos val="b"/>
        <c:tickLblPos val="nextTo"/>
        <c:crossAx val="75543680"/>
        <c:crosses val="autoZero"/>
        <c:auto val="1"/>
        <c:lblAlgn val="ctr"/>
        <c:lblOffset val="100"/>
      </c:catAx>
      <c:valAx>
        <c:axId val="75543680"/>
        <c:scaling>
          <c:orientation val="minMax"/>
        </c:scaling>
        <c:axPos val="l"/>
        <c:majorGridlines/>
        <c:numFmt formatCode="General" sourceLinked="1"/>
        <c:tickLblPos val="nextTo"/>
        <c:crossAx val="75541888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view3D>
      <c:rAngAx val="1"/>
    </c:view3D>
    <c:plotArea>
      <c:layout/>
      <c:bar3DChart>
        <c:barDir val="col"/>
        <c:grouping val="clustered"/>
        <c:ser>
          <c:idx val="1"/>
          <c:order val="0"/>
          <c:tx>
            <c:strRef>
              <c:f>'Participant Demographics'!$D$15:$E$15</c:f>
              <c:strCache>
                <c:ptCount val="1"/>
                <c:pt idx="0">
                  <c:v>Skill Level in Using CSL Website</c:v>
                </c:pt>
              </c:strCache>
            </c:strRef>
          </c:tx>
          <c:val>
            <c:numRef>
              <c:f>'Participant Demographics'!$E$16:$E$25</c:f>
              <c:numCache>
                <c:formatCode>General</c:formatCode>
                <c:ptCount val="10"/>
                <c:pt idx="0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shape val="cone"/>
        <c:axId val="75629312"/>
        <c:axId val="75630848"/>
        <c:axId val="0"/>
      </c:bar3DChart>
      <c:catAx>
        <c:axId val="75629312"/>
        <c:scaling>
          <c:orientation val="minMax"/>
        </c:scaling>
        <c:axPos val="b"/>
        <c:tickLblPos val="nextTo"/>
        <c:crossAx val="75630848"/>
        <c:crosses val="autoZero"/>
        <c:auto val="1"/>
        <c:lblAlgn val="ctr"/>
        <c:lblOffset val="100"/>
      </c:catAx>
      <c:valAx>
        <c:axId val="75630848"/>
        <c:scaling>
          <c:orientation val="minMax"/>
        </c:scaling>
        <c:axPos val="l"/>
        <c:majorGridlines/>
        <c:numFmt formatCode="General" sourceLinked="1"/>
        <c:tickLblPos val="nextTo"/>
        <c:crossAx val="75629312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pieChart>
        <c:varyColors val="1"/>
        <c:ser>
          <c:idx val="0"/>
          <c:order val="0"/>
          <c:tx>
            <c:strRef>
              <c:f>'Participant Demographics'!$A$40:$B$40</c:f>
              <c:strCache>
                <c:ptCount val="1"/>
                <c:pt idx="0">
                  <c:v>Frequency of CSL Library Website</c:v>
                </c:pt>
              </c:strCache>
            </c:strRef>
          </c:tx>
          <c:cat>
            <c:strRef>
              <c:f>'Participant Demographics'!$A$41:$A$43</c:f>
              <c:strCache>
                <c:ptCount val="3"/>
                <c:pt idx="0">
                  <c:v>First Time</c:v>
                </c:pt>
                <c:pt idx="1">
                  <c:v>Occasional</c:v>
                </c:pt>
                <c:pt idx="2">
                  <c:v>Frequent</c:v>
                </c:pt>
              </c:strCache>
            </c:strRef>
          </c:cat>
          <c:val>
            <c:numRef>
              <c:f>'Participant Demographics'!$B$41:$B$43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9525</xdr:rowOff>
    </xdr:from>
    <xdr:to>
      <xdr:col>6</xdr:col>
      <xdr:colOff>571499</xdr:colOff>
      <xdr:row>31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571499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7</xdr:col>
      <xdr:colOff>9525</xdr:colOff>
      <xdr:row>66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190499</xdr:rowOff>
    </xdr:from>
    <xdr:to>
      <xdr:col>7</xdr:col>
      <xdr:colOff>9525</xdr:colOff>
      <xdr:row>83</xdr:row>
      <xdr:rowOff>180974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84</xdr:row>
      <xdr:rowOff>171450</xdr:rowOff>
    </xdr:from>
    <xdr:to>
      <xdr:col>7</xdr:col>
      <xdr:colOff>9525</xdr:colOff>
      <xdr:row>101</xdr:row>
      <xdr:rowOff>47626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180975</xdr:rowOff>
    </xdr:from>
    <xdr:to>
      <xdr:col>7</xdr:col>
      <xdr:colOff>28575</xdr:colOff>
      <xdr:row>120</xdr:row>
      <xdr:rowOff>19051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120</xdr:row>
      <xdr:rowOff>190499</xdr:rowOff>
    </xdr:from>
    <xdr:to>
      <xdr:col>6</xdr:col>
      <xdr:colOff>571499</xdr:colOff>
      <xdr:row>138</xdr:row>
      <xdr:rowOff>9525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138</xdr:row>
      <xdr:rowOff>190499</xdr:rowOff>
    </xdr:from>
    <xdr:to>
      <xdr:col>7</xdr:col>
      <xdr:colOff>19050</xdr:colOff>
      <xdr:row>155</xdr:row>
      <xdr:rowOff>180975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157</xdr:row>
      <xdr:rowOff>0</xdr:rowOff>
    </xdr:from>
    <xdr:to>
      <xdr:col>7</xdr:col>
      <xdr:colOff>28575</xdr:colOff>
      <xdr:row>173</xdr:row>
      <xdr:rowOff>47625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173</xdr:row>
      <xdr:rowOff>190499</xdr:rowOff>
    </xdr:from>
    <xdr:to>
      <xdr:col>6</xdr:col>
      <xdr:colOff>561975</xdr:colOff>
      <xdr:row>190</xdr:row>
      <xdr:rowOff>123825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191</xdr:row>
      <xdr:rowOff>190499</xdr:rowOff>
    </xdr:from>
    <xdr:to>
      <xdr:col>6</xdr:col>
      <xdr:colOff>571499</xdr:colOff>
      <xdr:row>208</xdr:row>
      <xdr:rowOff>19050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208</xdr:row>
      <xdr:rowOff>190499</xdr:rowOff>
    </xdr:from>
    <xdr:to>
      <xdr:col>7</xdr:col>
      <xdr:colOff>9525</xdr:colOff>
      <xdr:row>225</xdr:row>
      <xdr:rowOff>57150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161925</xdr:rowOff>
    </xdr:from>
    <xdr:to>
      <xdr:col>8</xdr:col>
      <xdr:colOff>361950</xdr:colOff>
      <xdr:row>19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361950</xdr:colOff>
      <xdr:row>37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9524</xdr:rowOff>
    </xdr:from>
    <xdr:to>
      <xdr:col>8</xdr:col>
      <xdr:colOff>276224</xdr:colOff>
      <xdr:row>64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180974</xdr:rowOff>
    </xdr:from>
    <xdr:to>
      <xdr:col>8</xdr:col>
      <xdr:colOff>276224</xdr:colOff>
      <xdr:row>87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94</xdr:row>
      <xdr:rowOff>180974</xdr:rowOff>
    </xdr:from>
    <xdr:to>
      <xdr:col>8</xdr:col>
      <xdr:colOff>323850</xdr:colOff>
      <xdr:row>112</xdr:row>
      <xdr:rowOff>152399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113</xdr:row>
      <xdr:rowOff>180975</xdr:rowOff>
    </xdr:from>
    <xdr:to>
      <xdr:col>8</xdr:col>
      <xdr:colOff>304800</xdr:colOff>
      <xdr:row>132</xdr:row>
      <xdr:rowOff>180975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4"/>
  <sheetViews>
    <sheetView tabSelected="1" topLeftCell="H1" workbookViewId="0">
      <selection activeCell="Q2" sqref="Q2"/>
    </sheetView>
  </sheetViews>
  <sheetFormatPr defaultRowHeight="15"/>
  <cols>
    <col min="1" max="1" width="14.5703125" style="2" customWidth="1"/>
    <col min="2" max="2" width="29.140625" style="2" customWidth="1"/>
    <col min="3" max="3" width="4.7109375" style="2" customWidth="1"/>
    <col min="4" max="4" width="3.7109375" style="2" customWidth="1"/>
    <col min="5" max="5" width="26.5703125" style="2" customWidth="1"/>
    <col min="6" max="6" width="3" style="2" customWidth="1"/>
    <col min="7" max="7" width="12" style="2" customWidth="1"/>
    <col min="8" max="8" width="12.7109375" style="2" customWidth="1"/>
    <col min="9" max="9" width="9" style="2" customWidth="1"/>
    <col min="10" max="10" width="9.140625" style="3"/>
    <col min="11" max="11" width="15.140625" style="2" customWidth="1"/>
    <col min="12" max="12" width="15.140625" style="3" customWidth="1"/>
    <col min="13" max="13" width="9.7109375" style="3" customWidth="1"/>
    <col min="14" max="14" width="14.85546875" style="3" customWidth="1"/>
    <col min="15" max="15" width="6.42578125" style="3" customWidth="1"/>
    <col min="16" max="16" width="4.85546875" style="3" bestFit="1" customWidth="1"/>
    <col min="17" max="17" width="11.28515625" style="3" customWidth="1"/>
    <col min="18" max="18" width="13.140625" style="3" customWidth="1"/>
    <col min="19" max="19" width="17.140625" style="3" customWidth="1"/>
    <col min="20" max="16384" width="9.140625" style="3"/>
  </cols>
  <sheetData>
    <row r="1" spans="1:20">
      <c r="A1" s="2" t="s">
        <v>25</v>
      </c>
      <c r="J1" s="20" t="s">
        <v>99</v>
      </c>
      <c r="K1" s="20"/>
      <c r="L1" s="20"/>
      <c r="M1" s="20"/>
      <c r="N1" s="20"/>
    </row>
    <row r="2" spans="1:20" ht="75">
      <c r="A2" s="2" t="s">
        <v>0</v>
      </c>
      <c r="B2" s="2" t="s">
        <v>6</v>
      </c>
      <c r="C2" s="2" t="s">
        <v>1</v>
      </c>
      <c r="D2" s="2" t="s">
        <v>2</v>
      </c>
      <c r="E2" s="2" t="s">
        <v>9</v>
      </c>
      <c r="F2" s="2" t="s">
        <v>3</v>
      </c>
      <c r="G2" s="2" t="s">
        <v>93</v>
      </c>
      <c r="H2" s="2" t="s">
        <v>91</v>
      </c>
      <c r="I2" s="2" t="s">
        <v>10</v>
      </c>
      <c r="J2" s="10" t="s">
        <v>0</v>
      </c>
      <c r="K2" s="10" t="s">
        <v>94</v>
      </c>
      <c r="L2" s="10" t="s">
        <v>96</v>
      </c>
      <c r="M2" s="10" t="s">
        <v>97</v>
      </c>
      <c r="N2" s="10" t="s">
        <v>98</v>
      </c>
    </row>
    <row r="3" spans="1:20">
      <c r="A3" s="2">
        <v>1</v>
      </c>
      <c r="B3" s="2" t="s">
        <v>7</v>
      </c>
      <c r="C3" s="2" t="s">
        <v>5</v>
      </c>
      <c r="E3" s="2" t="s">
        <v>7</v>
      </c>
      <c r="F3" s="2">
        <v>2</v>
      </c>
      <c r="G3" s="2" t="s">
        <v>86</v>
      </c>
      <c r="H3" s="2" t="s">
        <v>85</v>
      </c>
      <c r="I3" s="2">
        <v>8</v>
      </c>
      <c r="J3" s="10">
        <v>1</v>
      </c>
      <c r="K3" s="22">
        <f>(1/9)</f>
        <v>0.1111111111111111</v>
      </c>
      <c r="L3" s="11">
        <f>AVERAGE(I3,I16,I31,I44,I59,I72,I87,I100,I115)</f>
        <v>18.962222222222223</v>
      </c>
      <c r="M3" s="10">
        <f>MEDIAN(I3,I16,I31,I44,I59,I72,I87,I100,I115)</f>
        <v>8.35</v>
      </c>
      <c r="N3" s="11">
        <f>STDEV(I3,I16,I31,I44,I59,I72,I87,I101,I100,I101,I115)</f>
        <v>16.73292046454316</v>
      </c>
    </row>
    <row r="4" spans="1:20">
      <c r="A4" s="2">
        <v>2</v>
      </c>
      <c r="B4" s="2" t="s">
        <v>8</v>
      </c>
      <c r="D4" s="2" t="s">
        <v>5</v>
      </c>
      <c r="E4" s="2" t="s">
        <v>8</v>
      </c>
      <c r="F4" s="2">
        <v>2</v>
      </c>
      <c r="G4" s="2" t="s">
        <v>86</v>
      </c>
      <c r="H4" s="2" t="s">
        <v>85</v>
      </c>
      <c r="I4" s="2">
        <v>19</v>
      </c>
      <c r="J4" s="10">
        <v>2</v>
      </c>
      <c r="K4" s="22">
        <v>0</v>
      </c>
      <c r="L4" s="11">
        <f>AVERAGE(I4,I17,I32,I45,I60,I73,I88,I101,I116)</f>
        <v>67.631111111111125</v>
      </c>
      <c r="M4" s="10">
        <f>MEDIAN(I4,I17,I32,I45,I60,I73,I88,I101,I116)</f>
        <v>66</v>
      </c>
      <c r="N4" s="11">
        <f>STDEV(I4,I17,I32,I45,I60,I73,I88,I101,I116)</f>
        <v>31.989603172141894</v>
      </c>
    </row>
    <row r="5" spans="1:20">
      <c r="A5" s="2">
        <v>3</v>
      </c>
      <c r="B5" s="2" t="s">
        <v>14</v>
      </c>
      <c r="C5" s="2" t="s">
        <v>5</v>
      </c>
      <c r="E5" s="2" t="s">
        <v>14</v>
      </c>
      <c r="F5" s="2">
        <v>1</v>
      </c>
      <c r="G5" s="2" t="s">
        <v>86</v>
      </c>
      <c r="H5" s="2" t="s">
        <v>85</v>
      </c>
      <c r="I5" s="2">
        <v>56</v>
      </c>
      <c r="J5" s="10">
        <v>3</v>
      </c>
      <c r="K5" s="22">
        <f>(1/9)</f>
        <v>0.1111111111111111</v>
      </c>
      <c r="L5" s="11">
        <f>AVERAGE(I5,I18,I33,I46,I61,I74,I89,I102,I117)</f>
        <v>92.153333333333336</v>
      </c>
      <c r="M5" s="10">
        <f>MEDIAN(I5,I18,I33,I46,I61,I74,I89,I102,I117)</f>
        <v>58</v>
      </c>
      <c r="N5" s="11">
        <f>STDEV(I5,I18,I33,I46,I61,I74,I89,I102,I117)</f>
        <v>76.715751967897702</v>
      </c>
    </row>
    <row r="6" spans="1:20">
      <c r="A6" s="2">
        <v>4</v>
      </c>
      <c r="B6" s="2" t="s">
        <v>13</v>
      </c>
      <c r="D6" s="2" t="s">
        <v>5</v>
      </c>
      <c r="E6" s="2" t="s">
        <v>13</v>
      </c>
      <c r="F6" s="2">
        <v>2</v>
      </c>
      <c r="G6" s="2" t="s">
        <v>86</v>
      </c>
      <c r="H6" s="2" t="s">
        <v>85</v>
      </c>
      <c r="I6" s="2">
        <v>19</v>
      </c>
      <c r="J6" s="10">
        <v>4</v>
      </c>
      <c r="K6" s="22">
        <v>0</v>
      </c>
      <c r="L6" s="11">
        <f>AVERAGE(I6,I19,I34,I47,I62,I75,I90,I103,I118)</f>
        <v>21.531111111111112</v>
      </c>
      <c r="M6" s="10">
        <f>MEDIAN(I6,I19,I34,I47,I75,I62,I90,I103,I118)</f>
        <v>16.78</v>
      </c>
      <c r="N6" s="11">
        <f>STDEV(I6,I19,I34,I47,I62,I76,I76,I75,I90,I103,I118)</f>
        <v>19.935268883427323</v>
      </c>
    </row>
    <row r="7" spans="1:20">
      <c r="A7" s="2">
        <v>5</v>
      </c>
      <c r="B7" s="2" t="s">
        <v>12</v>
      </c>
      <c r="D7" s="2" t="s">
        <v>5</v>
      </c>
      <c r="E7" s="2" t="s">
        <v>12</v>
      </c>
      <c r="F7" s="2">
        <v>4</v>
      </c>
      <c r="G7" s="2" t="s">
        <v>86</v>
      </c>
      <c r="H7" s="2" t="s">
        <v>85</v>
      </c>
      <c r="I7" s="2">
        <v>199</v>
      </c>
      <c r="J7" s="10">
        <v>5</v>
      </c>
      <c r="K7" s="22">
        <v>0</v>
      </c>
      <c r="L7" s="11">
        <f>AVERAGE(I7,I20,I35,I48,I63,I76,I91,I104,I119)</f>
        <v>79.534444444444432</v>
      </c>
      <c r="M7" s="10">
        <f>MEDIAN(I7,I20,I35,I48,I63,I76,I104,I91,I119)</f>
        <v>67</v>
      </c>
      <c r="N7" s="11">
        <f>STDEV(I7,I20,I35,I48,I63,I76,I91,I104,I119)</f>
        <v>52.815321430223051</v>
      </c>
    </row>
    <row r="8" spans="1:20">
      <c r="A8" s="2">
        <v>6</v>
      </c>
      <c r="B8" s="2" t="s">
        <v>11</v>
      </c>
      <c r="D8" s="2" t="s">
        <v>5</v>
      </c>
      <c r="E8" s="2" t="s">
        <v>11</v>
      </c>
      <c r="F8" s="2">
        <v>2</v>
      </c>
      <c r="G8" s="2" t="s">
        <v>86</v>
      </c>
      <c r="H8" s="2" t="s">
        <v>85</v>
      </c>
      <c r="I8" s="2">
        <v>21</v>
      </c>
      <c r="J8" s="10">
        <v>6</v>
      </c>
      <c r="K8" s="22">
        <f>(1/9)</f>
        <v>0.1111111111111111</v>
      </c>
      <c r="L8" s="11">
        <f>AVERAGE(I120,I105,I92,I77,I64,I49,I36,I22,I21,I22,I8)</f>
        <v>41.011818181818178</v>
      </c>
      <c r="M8" s="10">
        <f>MEDIAN(I8,I21,I36,I49,I64,I77,I92,I105,I120)</f>
        <v>34.380000000000003</v>
      </c>
      <c r="N8" s="11">
        <f>STDEV(I8,I21,I36,I50,I49,I50,I64,I77,I92,I105,I120)</f>
        <v>19.207100154985294</v>
      </c>
    </row>
    <row r="9" spans="1:20">
      <c r="A9" s="2">
        <v>7</v>
      </c>
      <c r="B9" s="2" t="s">
        <v>15</v>
      </c>
      <c r="C9" s="2" t="s">
        <v>5</v>
      </c>
      <c r="E9" s="2" t="s">
        <v>15</v>
      </c>
      <c r="F9" s="2">
        <v>1</v>
      </c>
      <c r="G9" s="2" t="s">
        <v>86</v>
      </c>
      <c r="H9" s="2" t="s">
        <v>86</v>
      </c>
      <c r="I9" s="2">
        <v>42</v>
      </c>
      <c r="J9" s="10">
        <v>7</v>
      </c>
      <c r="K9" s="22">
        <f>(6/9)</f>
        <v>0.66666666666666663</v>
      </c>
      <c r="L9" s="11">
        <f>AVERAGE(I9,I22,I37,I50,I65,I78,I93,I106,I121)</f>
        <v>49.657777777777781</v>
      </c>
      <c r="M9" s="10">
        <f>MEDIAN(I9,I22,I37,I50,I65,I78,I93,I106,I121)</f>
        <v>42</v>
      </c>
      <c r="N9" s="11">
        <f>STDEV(I9,I22,I37,I50,I65,I78,I93,I106,I121)</f>
        <v>28.414630816613542</v>
      </c>
    </row>
    <row r="10" spans="1:20">
      <c r="A10" s="2">
        <v>8</v>
      </c>
      <c r="B10" s="2" t="s">
        <v>16</v>
      </c>
      <c r="D10" s="2" t="s">
        <v>5</v>
      </c>
      <c r="E10" s="2" t="s">
        <v>16</v>
      </c>
      <c r="F10" s="2">
        <v>2</v>
      </c>
      <c r="G10" s="2" t="s">
        <v>86</v>
      </c>
      <c r="H10" s="2" t="s">
        <v>85</v>
      </c>
      <c r="I10" s="2">
        <v>42</v>
      </c>
      <c r="J10" s="10">
        <v>8</v>
      </c>
      <c r="K10" s="22">
        <v>0</v>
      </c>
      <c r="L10" s="11">
        <f>AVERAGE(I10,I23,I39,I38,I39,I51,I66,I94,I107,I122)</f>
        <v>69.614999999999995</v>
      </c>
      <c r="M10" s="10">
        <f>MEDIAN(I10,I23,I38,I51,I66,I79,I94,I107,I122)</f>
        <v>73</v>
      </c>
      <c r="N10" s="11">
        <f>STDEV(I10,I23,I38,I52,I52,I51,I66,I79,I94,I107,I122)</f>
        <v>49.486511109778007</v>
      </c>
    </row>
    <row r="11" spans="1:20">
      <c r="A11" s="2">
        <v>9</v>
      </c>
      <c r="B11" s="2" t="s">
        <v>17</v>
      </c>
      <c r="D11" s="2" t="s">
        <v>5</v>
      </c>
      <c r="E11" s="2" t="s">
        <v>17</v>
      </c>
      <c r="F11" s="2">
        <v>3</v>
      </c>
      <c r="G11" s="2" t="s">
        <v>86</v>
      </c>
      <c r="H11" s="2" t="s">
        <v>85</v>
      </c>
      <c r="I11" s="2">
        <v>49</v>
      </c>
      <c r="J11" s="10">
        <v>9</v>
      </c>
      <c r="K11" s="22">
        <v>0</v>
      </c>
      <c r="L11" s="11">
        <f>AVERAGE(I11,I24,I39,I52,I67,I80,I95,I108,I123)</f>
        <v>53.045555555555552</v>
      </c>
      <c r="M11" s="10">
        <f>MEDIAN(I11,I24,I39,I52,I67,I80,I95,I108,I123)</f>
        <v>43</v>
      </c>
      <c r="N11" s="11">
        <f>STDEV(I11,I24,I39,I52,I67,I80,I95,I108,I123)</f>
        <v>24.162650470877114</v>
      </c>
    </row>
    <row r="12" spans="1:20" ht="30">
      <c r="A12" s="2">
        <v>10</v>
      </c>
      <c r="B12" s="2" t="s">
        <v>18</v>
      </c>
      <c r="C12" s="2" t="s">
        <v>5</v>
      </c>
      <c r="E12" s="2" t="s">
        <v>18</v>
      </c>
      <c r="F12" s="2">
        <v>1</v>
      </c>
      <c r="G12" s="2" t="s">
        <v>86</v>
      </c>
      <c r="H12" s="2" t="s">
        <v>85</v>
      </c>
      <c r="I12" s="2">
        <v>59</v>
      </c>
      <c r="J12" s="10">
        <v>10</v>
      </c>
      <c r="K12" s="22">
        <v>0</v>
      </c>
      <c r="L12" s="11">
        <f>AVERAGE(I12,I25,I40,I53,I68,I81,I96,I110,I109,I110,I124)</f>
        <v>102.68111111111111</v>
      </c>
      <c r="M12" s="10">
        <f>MEDIAN(I12,I25,I40,I53,I68,I81,I96,I109,I124)</f>
        <v>90.88</v>
      </c>
      <c r="N12" s="11">
        <f>STDEV(I12,I25,I40,I53,I68,I81,I96,I109,I124)</f>
        <v>50.515519507485131</v>
      </c>
    </row>
    <row r="13" spans="1:20">
      <c r="O13" s="23"/>
    </row>
    <row r="14" spans="1:20" ht="15" customHeight="1">
      <c r="A14" s="2" t="s">
        <v>24</v>
      </c>
      <c r="J14" s="21" t="s">
        <v>92</v>
      </c>
      <c r="K14" s="21"/>
      <c r="L14" s="21"/>
      <c r="M14" s="21"/>
      <c r="N14" s="21"/>
      <c r="O14" s="24"/>
      <c r="P14" s="21" t="s">
        <v>95</v>
      </c>
      <c r="Q14" s="21"/>
      <c r="R14" s="21"/>
      <c r="S14" s="21"/>
      <c r="T14" s="23"/>
    </row>
    <row r="15" spans="1:20" ht="60">
      <c r="A15" s="2" t="s">
        <v>0</v>
      </c>
      <c r="B15" s="2" t="s">
        <v>6</v>
      </c>
      <c r="C15" s="2" t="s">
        <v>1</v>
      </c>
      <c r="D15" s="2" t="s">
        <v>2</v>
      </c>
      <c r="E15" s="2" t="s">
        <v>9</v>
      </c>
      <c r="F15" s="2" t="s">
        <v>3</v>
      </c>
      <c r="I15" s="2" t="s">
        <v>10</v>
      </c>
      <c r="J15" s="10" t="s">
        <v>0</v>
      </c>
      <c r="K15" s="10" t="s">
        <v>90</v>
      </c>
      <c r="L15" s="10" t="s">
        <v>88</v>
      </c>
      <c r="M15" s="10" t="s">
        <v>89</v>
      </c>
      <c r="N15" s="10" t="s">
        <v>94</v>
      </c>
      <c r="O15" s="24"/>
      <c r="P15" s="10" t="s">
        <v>0</v>
      </c>
      <c r="Q15" s="10" t="s">
        <v>90</v>
      </c>
      <c r="R15" s="10" t="s">
        <v>88</v>
      </c>
      <c r="S15" s="10" t="s">
        <v>94</v>
      </c>
    </row>
    <row r="16" spans="1:20">
      <c r="A16" s="2">
        <v>1</v>
      </c>
      <c r="B16" s="2" t="s">
        <v>7</v>
      </c>
      <c r="C16" s="2" t="s">
        <v>5</v>
      </c>
      <c r="E16" s="2" t="s">
        <v>7</v>
      </c>
      <c r="F16" s="2">
        <v>1</v>
      </c>
      <c r="G16" s="2" t="s">
        <v>86</v>
      </c>
      <c r="H16" s="2" t="s">
        <v>85</v>
      </c>
      <c r="I16" s="2">
        <v>6</v>
      </c>
      <c r="J16" s="10">
        <v>1</v>
      </c>
      <c r="K16" s="10">
        <v>1</v>
      </c>
      <c r="L16" s="10">
        <v>7</v>
      </c>
      <c r="M16" s="10">
        <v>1</v>
      </c>
      <c r="N16" s="22">
        <f>(1/9)</f>
        <v>0.1111111111111111</v>
      </c>
      <c r="O16" s="25"/>
      <c r="P16" s="10">
        <v>1</v>
      </c>
      <c r="Q16" s="10">
        <v>8</v>
      </c>
      <c r="R16" s="10">
        <v>1</v>
      </c>
      <c r="S16" s="22">
        <f>(8/9)</f>
        <v>0.88888888888888884</v>
      </c>
    </row>
    <row r="17" spans="1:19">
      <c r="A17" s="2">
        <v>2</v>
      </c>
      <c r="B17" s="2" t="s">
        <v>8</v>
      </c>
      <c r="D17" s="2" t="s">
        <v>5</v>
      </c>
      <c r="E17" s="2" t="s">
        <v>8</v>
      </c>
      <c r="G17" s="2" t="s">
        <v>85</v>
      </c>
      <c r="H17" s="2" t="s">
        <v>87</v>
      </c>
      <c r="I17" s="2">
        <v>66</v>
      </c>
      <c r="J17" s="10">
        <v>2</v>
      </c>
      <c r="K17" s="10">
        <v>0</v>
      </c>
      <c r="L17" s="10">
        <v>6</v>
      </c>
      <c r="M17" s="10">
        <v>3</v>
      </c>
      <c r="N17" s="22">
        <v>0</v>
      </c>
      <c r="O17" s="25"/>
      <c r="P17" s="10">
        <v>2</v>
      </c>
      <c r="Q17" s="10">
        <v>6</v>
      </c>
      <c r="R17" s="10">
        <v>3</v>
      </c>
      <c r="S17" s="22">
        <f>(6/9)</f>
        <v>0.66666666666666663</v>
      </c>
    </row>
    <row r="18" spans="1:19">
      <c r="A18" s="2">
        <v>3</v>
      </c>
      <c r="B18" s="2" t="s">
        <v>14</v>
      </c>
      <c r="C18" s="2" t="s">
        <v>5</v>
      </c>
      <c r="E18" s="2" t="s">
        <v>14</v>
      </c>
      <c r="F18" s="2">
        <v>3</v>
      </c>
      <c r="G18" s="2" t="s">
        <v>86</v>
      </c>
      <c r="H18" s="2" t="s">
        <v>85</v>
      </c>
      <c r="I18" s="2">
        <v>58</v>
      </c>
      <c r="J18" s="10">
        <v>3</v>
      </c>
      <c r="K18" s="10">
        <v>1</v>
      </c>
      <c r="L18" s="10">
        <v>7</v>
      </c>
      <c r="M18" s="10">
        <v>1</v>
      </c>
      <c r="N18" s="22">
        <f>(1/9)</f>
        <v>0.1111111111111111</v>
      </c>
      <c r="O18" s="25"/>
      <c r="P18" s="10">
        <v>3</v>
      </c>
      <c r="Q18" s="10">
        <v>8</v>
      </c>
      <c r="R18" s="10">
        <v>1</v>
      </c>
      <c r="S18" s="22">
        <f>(8/9)</f>
        <v>0.88888888888888884</v>
      </c>
    </row>
    <row r="19" spans="1:19">
      <c r="A19" s="2">
        <v>4</v>
      </c>
      <c r="B19" s="2" t="s">
        <v>13</v>
      </c>
      <c r="C19" s="2" t="s">
        <v>5</v>
      </c>
      <c r="E19" s="2" t="s">
        <v>13</v>
      </c>
      <c r="F19" s="2">
        <v>1</v>
      </c>
      <c r="G19" s="2" t="s">
        <v>86</v>
      </c>
      <c r="H19" s="2" t="s">
        <v>85</v>
      </c>
      <c r="I19" s="2">
        <v>15</v>
      </c>
      <c r="J19" s="10">
        <v>4</v>
      </c>
      <c r="K19" s="10">
        <v>0</v>
      </c>
      <c r="L19" s="10">
        <v>9</v>
      </c>
      <c r="M19" s="10">
        <v>0</v>
      </c>
      <c r="N19" s="22">
        <v>0</v>
      </c>
      <c r="O19" s="25"/>
      <c r="P19" s="10">
        <v>4</v>
      </c>
      <c r="Q19" s="10">
        <v>9</v>
      </c>
      <c r="R19" s="10">
        <v>0</v>
      </c>
      <c r="S19" s="22">
        <v>1</v>
      </c>
    </row>
    <row r="20" spans="1:19">
      <c r="A20" s="2">
        <v>5</v>
      </c>
      <c r="B20" s="2" t="s">
        <v>12</v>
      </c>
      <c r="C20" s="2" t="s">
        <v>5</v>
      </c>
      <c r="E20" s="2" t="s">
        <v>12</v>
      </c>
      <c r="F20" s="2">
        <v>3</v>
      </c>
      <c r="G20" s="2" t="s">
        <v>86</v>
      </c>
      <c r="H20" s="2" t="s">
        <v>85</v>
      </c>
      <c r="I20" s="2">
        <v>23</v>
      </c>
      <c r="J20" s="10">
        <v>5</v>
      </c>
      <c r="K20" s="10">
        <v>0</v>
      </c>
      <c r="L20" s="10">
        <v>9</v>
      </c>
      <c r="M20" s="10">
        <v>0</v>
      </c>
      <c r="N20" s="22">
        <v>0</v>
      </c>
      <c r="O20" s="25"/>
      <c r="P20" s="10">
        <v>5</v>
      </c>
      <c r="Q20" s="10">
        <v>9</v>
      </c>
      <c r="R20" s="10">
        <v>0</v>
      </c>
      <c r="S20" s="22">
        <v>1</v>
      </c>
    </row>
    <row r="21" spans="1:19">
      <c r="A21" s="2">
        <v>6</v>
      </c>
      <c r="B21" s="2" t="s">
        <v>11</v>
      </c>
      <c r="C21" s="2" t="s">
        <v>5</v>
      </c>
      <c r="E21" s="2" t="s">
        <v>11</v>
      </c>
      <c r="F21" s="2">
        <v>2</v>
      </c>
      <c r="G21" s="2" t="s">
        <v>86</v>
      </c>
      <c r="H21" s="2" t="s">
        <v>85</v>
      </c>
      <c r="I21" s="2">
        <v>39</v>
      </c>
      <c r="J21" s="10">
        <v>6</v>
      </c>
      <c r="K21" s="10">
        <v>1</v>
      </c>
      <c r="L21" s="10">
        <v>8</v>
      </c>
      <c r="M21" s="10">
        <v>0</v>
      </c>
      <c r="N21" s="22">
        <f>(1/9)</f>
        <v>0.1111111111111111</v>
      </c>
      <c r="O21" s="25"/>
      <c r="P21" s="10">
        <v>6</v>
      </c>
      <c r="Q21" s="10">
        <v>9</v>
      </c>
      <c r="R21" s="10">
        <v>0</v>
      </c>
      <c r="S21" s="22">
        <v>1</v>
      </c>
    </row>
    <row r="22" spans="1:19">
      <c r="A22" s="2">
        <v>7</v>
      </c>
      <c r="B22" s="2" t="s">
        <v>15</v>
      </c>
      <c r="C22" s="2" t="s">
        <v>5</v>
      </c>
      <c r="E22" s="2" t="s">
        <v>15</v>
      </c>
      <c r="F22" s="2">
        <v>1</v>
      </c>
      <c r="G22" s="2" t="s">
        <v>86</v>
      </c>
      <c r="H22" s="2" t="s">
        <v>86</v>
      </c>
      <c r="I22" s="2">
        <v>58</v>
      </c>
      <c r="J22" s="10">
        <v>7</v>
      </c>
      <c r="K22" s="10">
        <v>6</v>
      </c>
      <c r="L22" s="10">
        <v>3</v>
      </c>
      <c r="M22" s="10">
        <v>0</v>
      </c>
      <c r="N22" s="22">
        <f>(6/9)</f>
        <v>0.66666666666666663</v>
      </c>
      <c r="O22" s="25"/>
      <c r="P22" s="10">
        <v>7</v>
      </c>
      <c r="Q22" s="10">
        <v>9</v>
      </c>
      <c r="R22" s="10">
        <v>0</v>
      </c>
      <c r="S22" s="22">
        <v>1</v>
      </c>
    </row>
    <row r="23" spans="1:19">
      <c r="A23" s="2">
        <v>8</v>
      </c>
      <c r="B23" s="2" t="s">
        <v>16</v>
      </c>
      <c r="C23" s="2" t="s">
        <v>5</v>
      </c>
      <c r="E23" s="2" t="s">
        <v>16</v>
      </c>
      <c r="F23" s="2">
        <v>1</v>
      </c>
      <c r="G23" s="2" t="s">
        <v>86</v>
      </c>
      <c r="H23" s="2" t="s">
        <v>85</v>
      </c>
      <c r="I23" s="2">
        <v>80</v>
      </c>
      <c r="J23" s="10">
        <v>8</v>
      </c>
      <c r="K23" s="10">
        <v>0</v>
      </c>
      <c r="L23" s="10">
        <v>9</v>
      </c>
      <c r="M23" s="10">
        <v>0</v>
      </c>
      <c r="N23" s="22">
        <v>0</v>
      </c>
      <c r="O23" s="25"/>
      <c r="P23" s="10">
        <v>8</v>
      </c>
      <c r="Q23" s="10">
        <v>9</v>
      </c>
      <c r="R23" s="10">
        <v>0</v>
      </c>
      <c r="S23" s="22">
        <v>1</v>
      </c>
    </row>
    <row r="24" spans="1:19">
      <c r="A24" s="2">
        <v>9</v>
      </c>
      <c r="B24" s="2" t="s">
        <v>17</v>
      </c>
      <c r="C24" s="2" t="s">
        <v>5</v>
      </c>
      <c r="E24" s="2" t="s">
        <v>17</v>
      </c>
      <c r="F24" s="2">
        <v>2</v>
      </c>
      <c r="G24" s="2" t="s">
        <v>86</v>
      </c>
      <c r="H24" s="2" t="s">
        <v>85</v>
      </c>
      <c r="I24" s="2">
        <v>37</v>
      </c>
      <c r="J24" s="10">
        <v>9</v>
      </c>
      <c r="K24" s="10">
        <v>0</v>
      </c>
      <c r="L24" s="10">
        <v>9</v>
      </c>
      <c r="M24" s="10">
        <v>0</v>
      </c>
      <c r="N24" s="22">
        <v>0</v>
      </c>
      <c r="O24" s="25"/>
      <c r="P24" s="10">
        <v>9</v>
      </c>
      <c r="Q24" s="10">
        <v>9</v>
      </c>
      <c r="R24" s="10">
        <v>0</v>
      </c>
      <c r="S24" s="22">
        <v>1</v>
      </c>
    </row>
    <row r="25" spans="1:19" ht="30">
      <c r="A25" s="2">
        <v>10</v>
      </c>
      <c r="B25" s="2" t="s">
        <v>18</v>
      </c>
      <c r="C25" s="2" t="s">
        <v>5</v>
      </c>
      <c r="E25" s="2" t="s">
        <v>18</v>
      </c>
      <c r="F25" s="2">
        <v>3</v>
      </c>
      <c r="G25" s="2" t="s">
        <v>86</v>
      </c>
      <c r="H25" s="2" t="s">
        <v>85</v>
      </c>
      <c r="I25" s="2">
        <v>48</v>
      </c>
      <c r="J25" s="10">
        <v>10</v>
      </c>
      <c r="K25" s="10">
        <v>0</v>
      </c>
      <c r="L25" s="10">
        <v>9</v>
      </c>
      <c r="M25" s="10">
        <v>0</v>
      </c>
      <c r="N25" s="22">
        <v>0</v>
      </c>
      <c r="O25" s="25"/>
      <c r="P25" s="10">
        <v>10</v>
      </c>
      <c r="Q25" s="10">
        <v>9</v>
      </c>
      <c r="R25" s="10">
        <v>0</v>
      </c>
      <c r="S25" s="22">
        <v>1</v>
      </c>
    </row>
    <row r="26" spans="1:19">
      <c r="O26" s="23"/>
    </row>
    <row r="29" spans="1:19">
      <c r="A29" s="2" t="s">
        <v>23</v>
      </c>
    </row>
    <row r="30" spans="1:19" ht="60">
      <c r="A30" s="2" t="s">
        <v>0</v>
      </c>
      <c r="B30" s="2" t="s">
        <v>6</v>
      </c>
      <c r="C30" s="2" t="s">
        <v>1</v>
      </c>
      <c r="D30" s="2" t="s">
        <v>2</v>
      </c>
      <c r="E30" s="2" t="s">
        <v>9</v>
      </c>
      <c r="F30" s="2" t="s">
        <v>3</v>
      </c>
      <c r="I30" s="2" t="s">
        <v>10</v>
      </c>
    </row>
    <row r="31" spans="1:19">
      <c r="A31" s="2">
        <v>1</v>
      </c>
      <c r="B31" s="2" t="s">
        <v>7</v>
      </c>
      <c r="D31" s="2" t="s">
        <v>5</v>
      </c>
      <c r="E31" s="2" t="s">
        <v>7</v>
      </c>
      <c r="G31" s="2" t="s">
        <v>85</v>
      </c>
      <c r="H31" s="2" t="s">
        <v>87</v>
      </c>
      <c r="I31" s="2">
        <v>38</v>
      </c>
    </row>
    <row r="32" spans="1:19">
      <c r="A32" s="2">
        <v>2</v>
      </c>
      <c r="B32" s="2" t="s">
        <v>8</v>
      </c>
      <c r="D32" s="2" t="s">
        <v>5</v>
      </c>
      <c r="E32" s="2" t="s">
        <v>8</v>
      </c>
      <c r="G32" s="2" t="s">
        <v>85</v>
      </c>
      <c r="H32" s="2" t="s">
        <v>87</v>
      </c>
      <c r="I32" s="2">
        <v>50</v>
      </c>
    </row>
    <row r="33" spans="1:9">
      <c r="A33" s="2">
        <v>3</v>
      </c>
      <c r="B33" s="2" t="s">
        <v>14</v>
      </c>
      <c r="C33" s="2" t="s">
        <v>5</v>
      </c>
      <c r="E33" s="2" t="s">
        <v>14</v>
      </c>
      <c r="F33" s="2">
        <v>1</v>
      </c>
      <c r="G33" s="2" t="s">
        <v>86</v>
      </c>
      <c r="H33" s="2" t="s">
        <v>85</v>
      </c>
      <c r="I33" s="2">
        <v>65</v>
      </c>
    </row>
    <row r="34" spans="1:9">
      <c r="A34" s="2">
        <v>4</v>
      </c>
      <c r="B34" s="2" t="s">
        <v>13</v>
      </c>
      <c r="D34" s="2" t="s">
        <v>5</v>
      </c>
      <c r="E34" s="2" t="s">
        <v>13</v>
      </c>
      <c r="F34" s="2">
        <v>2</v>
      </c>
      <c r="G34" s="2" t="s">
        <v>86</v>
      </c>
      <c r="H34" s="2" t="s">
        <v>85</v>
      </c>
      <c r="I34" s="2">
        <v>21</v>
      </c>
    </row>
    <row r="35" spans="1:9">
      <c r="A35" s="2">
        <v>5</v>
      </c>
      <c r="B35" s="2" t="s">
        <v>12</v>
      </c>
      <c r="D35" s="2" t="s">
        <v>5</v>
      </c>
      <c r="E35" s="2" t="s">
        <v>12</v>
      </c>
      <c r="F35" s="2">
        <v>3</v>
      </c>
      <c r="G35" s="2" t="s">
        <v>86</v>
      </c>
      <c r="H35" s="2" t="s">
        <v>85</v>
      </c>
      <c r="I35" s="2">
        <v>45</v>
      </c>
    </row>
    <row r="36" spans="1:9">
      <c r="A36" s="2">
        <v>6</v>
      </c>
      <c r="B36" s="2" t="s">
        <v>11</v>
      </c>
      <c r="D36" s="2" t="s">
        <v>5</v>
      </c>
      <c r="E36" s="2" t="s">
        <v>11</v>
      </c>
      <c r="F36" s="2">
        <v>2</v>
      </c>
      <c r="G36" s="2" t="s">
        <v>86</v>
      </c>
      <c r="H36" s="2" t="s">
        <v>85</v>
      </c>
      <c r="I36" s="2">
        <v>36</v>
      </c>
    </row>
    <row r="37" spans="1:9">
      <c r="A37" s="2">
        <v>7</v>
      </c>
      <c r="B37" s="2" t="s">
        <v>15</v>
      </c>
      <c r="C37" s="2" t="s">
        <v>5</v>
      </c>
      <c r="E37" s="2" t="s">
        <v>15</v>
      </c>
      <c r="F37" s="2">
        <v>1</v>
      </c>
      <c r="G37" s="2" t="s">
        <v>86</v>
      </c>
      <c r="H37" s="2" t="s">
        <v>86</v>
      </c>
      <c r="I37" s="2">
        <v>30</v>
      </c>
    </row>
    <row r="38" spans="1:9">
      <c r="A38" s="2">
        <v>8</v>
      </c>
      <c r="B38" s="2" t="s">
        <v>16</v>
      </c>
      <c r="C38" s="2" t="s">
        <v>5</v>
      </c>
      <c r="E38" s="2" t="s">
        <v>16</v>
      </c>
      <c r="F38" s="2">
        <v>1</v>
      </c>
      <c r="G38" s="2" t="s">
        <v>86</v>
      </c>
      <c r="H38" s="2" t="s">
        <v>85</v>
      </c>
      <c r="I38" s="2">
        <v>37</v>
      </c>
    </row>
    <row r="39" spans="1:9">
      <c r="A39" s="2">
        <v>9</v>
      </c>
      <c r="B39" s="2" t="s">
        <v>17</v>
      </c>
      <c r="D39" s="2" t="s">
        <v>5</v>
      </c>
      <c r="E39" s="2" t="s">
        <v>17</v>
      </c>
      <c r="F39" s="2">
        <v>2</v>
      </c>
      <c r="G39" s="2" t="s">
        <v>86</v>
      </c>
      <c r="H39" s="2" t="s">
        <v>85</v>
      </c>
      <c r="I39" s="2">
        <v>33</v>
      </c>
    </row>
    <row r="40" spans="1:9" ht="30">
      <c r="A40" s="2">
        <v>10</v>
      </c>
      <c r="B40" s="2" t="s">
        <v>18</v>
      </c>
      <c r="C40" s="2" t="s">
        <v>5</v>
      </c>
      <c r="E40" s="2" t="s">
        <v>18</v>
      </c>
      <c r="F40" s="2">
        <v>1</v>
      </c>
      <c r="G40" s="2" t="s">
        <v>86</v>
      </c>
      <c r="H40" s="2" t="s">
        <v>85</v>
      </c>
      <c r="I40" s="2">
        <v>143</v>
      </c>
    </row>
    <row r="42" spans="1:9">
      <c r="A42" s="2" t="s">
        <v>22</v>
      </c>
    </row>
    <row r="43" spans="1:9" ht="60">
      <c r="A43" s="2" t="s">
        <v>0</v>
      </c>
      <c r="B43" s="2" t="s">
        <v>6</v>
      </c>
      <c r="C43" s="2" t="s">
        <v>1</v>
      </c>
      <c r="D43" s="2" t="s">
        <v>2</v>
      </c>
      <c r="E43" s="2" t="s">
        <v>9</v>
      </c>
      <c r="F43" s="2" t="s">
        <v>3</v>
      </c>
      <c r="I43" s="2" t="s">
        <v>10</v>
      </c>
    </row>
    <row r="44" spans="1:9">
      <c r="A44" s="2">
        <v>1</v>
      </c>
      <c r="B44" s="2" t="s">
        <v>7</v>
      </c>
      <c r="C44" s="2" t="s">
        <v>5</v>
      </c>
      <c r="E44" s="2" t="s">
        <v>7</v>
      </c>
      <c r="F44" s="2">
        <v>1</v>
      </c>
      <c r="G44" s="2" t="s">
        <v>86</v>
      </c>
      <c r="H44" s="2" t="s">
        <v>85</v>
      </c>
      <c r="I44" s="2">
        <v>8.35</v>
      </c>
    </row>
    <row r="45" spans="1:9">
      <c r="A45" s="2">
        <v>2</v>
      </c>
      <c r="B45" s="2" t="s">
        <v>8</v>
      </c>
      <c r="D45" s="2" t="s">
        <v>5</v>
      </c>
      <c r="E45" s="2" t="s">
        <v>8</v>
      </c>
      <c r="F45" s="2">
        <v>2</v>
      </c>
      <c r="G45" s="2" t="s">
        <v>86</v>
      </c>
      <c r="H45" s="2" t="s">
        <v>85</v>
      </c>
      <c r="I45" s="2">
        <v>47.68</v>
      </c>
    </row>
    <row r="46" spans="1:9">
      <c r="A46" s="2">
        <v>3</v>
      </c>
      <c r="B46" s="2" t="s">
        <v>14</v>
      </c>
      <c r="C46" s="2" t="s">
        <v>5</v>
      </c>
      <c r="E46" s="2" t="s">
        <v>14</v>
      </c>
      <c r="F46" s="2">
        <v>2</v>
      </c>
      <c r="G46" s="2" t="s">
        <v>86</v>
      </c>
      <c r="H46" s="2" t="s">
        <v>85</v>
      </c>
      <c r="I46" s="2">
        <v>58</v>
      </c>
    </row>
    <row r="47" spans="1:9">
      <c r="A47" s="2">
        <v>4</v>
      </c>
      <c r="B47" s="2" t="s">
        <v>13</v>
      </c>
      <c r="D47" s="2" t="s">
        <v>5</v>
      </c>
      <c r="E47" s="2" t="s">
        <v>13</v>
      </c>
      <c r="F47" s="2">
        <v>2</v>
      </c>
      <c r="G47" s="2" t="s">
        <v>86</v>
      </c>
      <c r="H47" s="2" t="s">
        <v>85</v>
      </c>
      <c r="I47" s="2">
        <v>36</v>
      </c>
    </row>
    <row r="48" spans="1:9">
      <c r="A48" s="2">
        <v>5</v>
      </c>
      <c r="B48" s="2" t="s">
        <v>12</v>
      </c>
      <c r="D48" s="2" t="s">
        <v>5</v>
      </c>
      <c r="E48" s="2" t="s">
        <v>12</v>
      </c>
      <c r="F48" s="2">
        <v>4</v>
      </c>
      <c r="G48" s="2" t="s">
        <v>86</v>
      </c>
      <c r="H48" s="2" t="s">
        <v>85</v>
      </c>
      <c r="I48" s="2">
        <v>86</v>
      </c>
    </row>
    <row r="49" spans="1:9">
      <c r="A49" s="2">
        <v>6</v>
      </c>
      <c r="B49" s="2" t="s">
        <v>11</v>
      </c>
      <c r="D49" s="2" t="s">
        <v>5</v>
      </c>
      <c r="E49" s="2" t="s">
        <v>11</v>
      </c>
      <c r="F49" s="2">
        <v>2</v>
      </c>
      <c r="G49" s="2" t="s">
        <v>86</v>
      </c>
      <c r="H49" s="2" t="s">
        <v>85</v>
      </c>
      <c r="I49" s="2">
        <v>34.380000000000003</v>
      </c>
    </row>
    <row r="50" spans="1:9">
      <c r="A50" s="2">
        <v>7</v>
      </c>
      <c r="B50" s="2" t="s">
        <v>15</v>
      </c>
      <c r="C50" s="2" t="s">
        <v>5</v>
      </c>
      <c r="E50" s="2" t="s">
        <v>15</v>
      </c>
      <c r="F50" s="2">
        <v>1</v>
      </c>
      <c r="G50" s="2" t="s">
        <v>86</v>
      </c>
      <c r="H50" s="2" t="s">
        <v>86</v>
      </c>
      <c r="I50" s="2">
        <v>30.48</v>
      </c>
    </row>
    <row r="51" spans="1:9">
      <c r="A51" s="2">
        <v>8</v>
      </c>
      <c r="B51" s="2" t="s">
        <v>16</v>
      </c>
      <c r="C51" s="2" t="s">
        <v>5</v>
      </c>
      <c r="E51" s="2" t="s">
        <v>16</v>
      </c>
      <c r="F51" s="2">
        <v>1</v>
      </c>
      <c r="G51" s="2" t="s">
        <v>86</v>
      </c>
      <c r="H51" s="2" t="s">
        <v>85</v>
      </c>
      <c r="I51" s="2">
        <v>57.81</v>
      </c>
    </row>
    <row r="52" spans="1:9">
      <c r="A52" s="2">
        <v>9</v>
      </c>
      <c r="B52" s="2" t="s">
        <v>17</v>
      </c>
      <c r="C52" s="2" t="s">
        <v>5</v>
      </c>
      <c r="E52" s="2" t="s">
        <v>17</v>
      </c>
      <c r="F52" s="2">
        <v>1</v>
      </c>
      <c r="G52" s="2" t="s">
        <v>86</v>
      </c>
      <c r="H52" s="2" t="s">
        <v>85</v>
      </c>
      <c r="I52" s="2">
        <v>39.409999999999997</v>
      </c>
    </row>
    <row r="53" spans="1:9" ht="30">
      <c r="A53" s="2">
        <v>10</v>
      </c>
      <c r="B53" s="2" t="s">
        <v>18</v>
      </c>
      <c r="D53" s="2" t="s">
        <v>5</v>
      </c>
      <c r="E53" s="2" t="s">
        <v>18</v>
      </c>
      <c r="F53" s="2">
        <v>3</v>
      </c>
      <c r="G53" s="2" t="s">
        <v>86</v>
      </c>
      <c r="H53" s="2" t="s">
        <v>85</v>
      </c>
      <c r="I53" s="2">
        <v>206.25</v>
      </c>
    </row>
    <row r="57" spans="1:9">
      <c r="A57" s="2" t="s">
        <v>21</v>
      </c>
    </row>
    <row r="58" spans="1:9" ht="60">
      <c r="A58" s="2" t="s">
        <v>0</v>
      </c>
      <c r="B58" s="2" t="s">
        <v>6</v>
      </c>
      <c r="C58" s="2" t="s">
        <v>1</v>
      </c>
      <c r="D58" s="2" t="s">
        <v>2</v>
      </c>
      <c r="E58" s="2" t="s">
        <v>9</v>
      </c>
      <c r="F58" s="2" t="s">
        <v>3</v>
      </c>
      <c r="I58" s="2" t="s">
        <v>10</v>
      </c>
    </row>
    <row r="59" spans="1:9">
      <c r="A59" s="2">
        <v>1</v>
      </c>
      <c r="B59" s="2" t="s">
        <v>7</v>
      </c>
      <c r="D59" s="2" t="s">
        <v>5</v>
      </c>
      <c r="E59" s="2" t="s">
        <v>7</v>
      </c>
      <c r="F59" s="2">
        <v>2</v>
      </c>
      <c r="G59" s="2" t="s">
        <v>86</v>
      </c>
      <c r="H59" s="2" t="s">
        <v>85</v>
      </c>
      <c r="I59" s="2">
        <v>35</v>
      </c>
    </row>
    <row r="60" spans="1:9">
      <c r="A60" s="2">
        <v>2</v>
      </c>
      <c r="B60" s="2" t="s">
        <v>8</v>
      </c>
      <c r="D60" s="2" t="s">
        <v>5</v>
      </c>
      <c r="E60" s="2" t="s">
        <v>8</v>
      </c>
      <c r="G60" s="2" t="s">
        <v>85</v>
      </c>
      <c r="H60" s="2" t="s">
        <v>87</v>
      </c>
      <c r="I60" s="2">
        <v>103</v>
      </c>
    </row>
    <row r="61" spans="1:9">
      <c r="A61" s="2">
        <v>3</v>
      </c>
      <c r="B61" s="2" t="s">
        <v>14</v>
      </c>
      <c r="D61" s="2" t="s">
        <v>5</v>
      </c>
      <c r="E61" s="2" t="s">
        <v>14</v>
      </c>
      <c r="G61" s="2" t="s">
        <v>85</v>
      </c>
      <c r="H61" s="2" t="s">
        <v>87</v>
      </c>
      <c r="I61" s="2">
        <v>89</v>
      </c>
    </row>
    <row r="62" spans="1:9">
      <c r="A62" s="2">
        <v>4</v>
      </c>
      <c r="B62" s="2" t="s">
        <v>13</v>
      </c>
      <c r="D62" s="2" t="s">
        <v>5</v>
      </c>
      <c r="E62" s="2" t="s">
        <v>13</v>
      </c>
      <c r="F62" s="2">
        <v>2</v>
      </c>
      <c r="G62" s="2" t="s">
        <v>86</v>
      </c>
      <c r="H62" s="2" t="s">
        <v>85</v>
      </c>
      <c r="I62" s="2">
        <v>15</v>
      </c>
    </row>
    <row r="63" spans="1:9">
      <c r="A63" s="2">
        <v>5</v>
      </c>
      <c r="B63" s="2" t="s">
        <v>12</v>
      </c>
      <c r="D63" s="2" t="s">
        <v>5</v>
      </c>
      <c r="E63" s="2" t="s">
        <v>12</v>
      </c>
      <c r="F63" s="2">
        <v>2</v>
      </c>
      <c r="G63" s="2" t="s">
        <v>86</v>
      </c>
      <c r="H63" s="2" t="s">
        <v>85</v>
      </c>
      <c r="I63" s="2">
        <v>67</v>
      </c>
    </row>
    <row r="64" spans="1:9">
      <c r="A64" s="2">
        <v>6</v>
      </c>
      <c r="B64" s="2" t="s">
        <v>11</v>
      </c>
      <c r="D64" s="2" t="s">
        <v>5</v>
      </c>
      <c r="E64" s="2" t="s">
        <v>11</v>
      </c>
      <c r="F64" s="2">
        <v>2</v>
      </c>
      <c r="G64" s="2" t="s">
        <v>86</v>
      </c>
      <c r="H64" s="2" t="s">
        <v>85</v>
      </c>
      <c r="I64" s="2">
        <v>77</v>
      </c>
    </row>
    <row r="65" spans="1:9">
      <c r="A65" s="2">
        <v>7</v>
      </c>
      <c r="B65" s="2" t="s">
        <v>15</v>
      </c>
      <c r="D65" s="2" t="s">
        <v>5</v>
      </c>
      <c r="E65" s="2" t="s">
        <v>15</v>
      </c>
      <c r="F65" s="2">
        <v>3</v>
      </c>
      <c r="G65" s="2" t="s">
        <v>86</v>
      </c>
      <c r="H65" s="2" t="s">
        <v>85</v>
      </c>
      <c r="I65" s="2">
        <v>120</v>
      </c>
    </row>
    <row r="66" spans="1:9">
      <c r="A66" s="2">
        <v>8</v>
      </c>
      <c r="B66" s="2" t="s">
        <v>16</v>
      </c>
      <c r="D66" s="2" t="s">
        <v>5</v>
      </c>
      <c r="E66" s="2" t="s">
        <v>16</v>
      </c>
      <c r="F66" s="2">
        <v>2</v>
      </c>
      <c r="G66" s="2" t="s">
        <v>86</v>
      </c>
      <c r="H66" s="2" t="s">
        <v>85</v>
      </c>
      <c r="I66" s="2">
        <v>118</v>
      </c>
    </row>
    <row r="67" spans="1:9">
      <c r="A67" s="2">
        <v>9</v>
      </c>
      <c r="B67" s="2" t="s">
        <v>17</v>
      </c>
      <c r="D67" s="2" t="s">
        <v>5</v>
      </c>
      <c r="E67" s="2" t="s">
        <v>17</v>
      </c>
      <c r="F67" s="2">
        <v>2</v>
      </c>
      <c r="G67" s="2" t="s">
        <v>86</v>
      </c>
      <c r="H67" s="2" t="s">
        <v>85</v>
      </c>
      <c r="I67" s="2">
        <v>42</v>
      </c>
    </row>
    <row r="68" spans="1:9" ht="30">
      <c r="A68" s="2">
        <v>10</v>
      </c>
      <c r="B68" s="2" t="s">
        <v>18</v>
      </c>
      <c r="D68" s="2" t="s">
        <v>5</v>
      </c>
      <c r="E68" s="2" t="s">
        <v>18</v>
      </c>
      <c r="G68" s="2" t="s">
        <v>86</v>
      </c>
      <c r="H68" s="2" t="s">
        <v>85</v>
      </c>
      <c r="I68" s="2">
        <v>54</v>
      </c>
    </row>
    <row r="70" spans="1:9">
      <c r="A70" s="2" t="s">
        <v>20</v>
      </c>
    </row>
    <row r="71" spans="1:9" ht="60">
      <c r="A71" s="2" t="s">
        <v>0</v>
      </c>
      <c r="B71" s="2" t="s">
        <v>6</v>
      </c>
      <c r="C71" s="2" t="s">
        <v>1</v>
      </c>
      <c r="D71" s="2" t="s">
        <v>2</v>
      </c>
      <c r="E71" s="2" t="s">
        <v>9</v>
      </c>
      <c r="F71" s="2" t="s">
        <v>3</v>
      </c>
      <c r="I71" s="2" t="s">
        <v>10</v>
      </c>
    </row>
    <row r="72" spans="1:9">
      <c r="A72" s="2">
        <v>1</v>
      </c>
      <c r="B72" s="2" t="s">
        <v>7</v>
      </c>
      <c r="D72" s="2" t="s">
        <v>5</v>
      </c>
      <c r="E72" s="2" t="s">
        <v>7</v>
      </c>
      <c r="F72" s="2">
        <v>1</v>
      </c>
      <c r="G72" s="2" t="s">
        <v>86</v>
      </c>
      <c r="H72" s="2" t="s">
        <v>85</v>
      </c>
      <c r="I72" s="2">
        <v>51</v>
      </c>
    </row>
    <row r="73" spans="1:9">
      <c r="A73" s="2">
        <v>2</v>
      </c>
      <c r="B73" s="2" t="s">
        <v>8</v>
      </c>
      <c r="D73" s="2" t="s">
        <v>5</v>
      </c>
      <c r="E73" s="2" t="s">
        <v>8</v>
      </c>
      <c r="F73" s="2">
        <v>2</v>
      </c>
      <c r="G73" s="2" t="s">
        <v>86</v>
      </c>
      <c r="H73" s="2" t="s">
        <v>85</v>
      </c>
      <c r="I73" s="2">
        <v>88</v>
      </c>
    </row>
    <row r="74" spans="1:9">
      <c r="A74" s="2">
        <v>3</v>
      </c>
      <c r="B74" s="2" t="s">
        <v>14</v>
      </c>
      <c r="D74" s="2" t="s">
        <v>5</v>
      </c>
      <c r="E74" s="2" t="s">
        <v>14</v>
      </c>
      <c r="F74" s="2">
        <v>4</v>
      </c>
      <c r="G74" s="2" t="s">
        <v>86</v>
      </c>
      <c r="H74" s="2" t="s">
        <v>85</v>
      </c>
      <c r="I74" s="2">
        <v>272</v>
      </c>
    </row>
    <row r="75" spans="1:9">
      <c r="A75" s="2">
        <v>4</v>
      </c>
      <c r="B75" s="2" t="s">
        <v>13</v>
      </c>
      <c r="C75" s="2" t="s">
        <v>5</v>
      </c>
      <c r="E75" s="2" t="s">
        <v>13</v>
      </c>
      <c r="F75" s="2">
        <v>1</v>
      </c>
      <c r="G75" s="2" t="s">
        <v>86</v>
      </c>
      <c r="H75" s="2" t="s">
        <v>85</v>
      </c>
      <c r="I75" s="2">
        <v>40</v>
      </c>
    </row>
    <row r="76" spans="1:9">
      <c r="A76" s="2">
        <v>5</v>
      </c>
      <c r="B76" s="2" t="s">
        <v>12</v>
      </c>
      <c r="D76" s="2" t="s">
        <v>5</v>
      </c>
      <c r="E76" s="2" t="s">
        <v>12</v>
      </c>
      <c r="F76" s="2">
        <v>4</v>
      </c>
      <c r="G76" s="2" t="s">
        <v>86</v>
      </c>
      <c r="H76" s="2" t="s">
        <v>85</v>
      </c>
      <c r="I76" s="2">
        <v>66</v>
      </c>
    </row>
    <row r="77" spans="1:9">
      <c r="A77" s="2">
        <v>6</v>
      </c>
      <c r="B77" s="2" t="s">
        <v>11</v>
      </c>
      <c r="C77" s="2" t="s">
        <v>5</v>
      </c>
      <c r="E77" s="2" t="s">
        <v>11</v>
      </c>
      <c r="F77" s="2">
        <v>1</v>
      </c>
      <c r="G77" s="2" t="s">
        <v>86</v>
      </c>
      <c r="H77" s="2" t="s">
        <v>85</v>
      </c>
      <c r="I77" s="2">
        <v>34</v>
      </c>
    </row>
    <row r="78" spans="1:9">
      <c r="A78" s="2">
        <v>7</v>
      </c>
      <c r="B78" s="2" t="s">
        <v>15</v>
      </c>
      <c r="C78" s="2" t="s">
        <v>5</v>
      </c>
      <c r="E78" s="2" t="s">
        <v>15</v>
      </c>
      <c r="F78" s="2">
        <v>1</v>
      </c>
      <c r="G78" s="2" t="s">
        <v>86</v>
      </c>
      <c r="H78" s="2" t="s">
        <v>86</v>
      </c>
      <c r="I78" s="2">
        <v>34</v>
      </c>
    </row>
    <row r="79" spans="1:9">
      <c r="A79" s="2">
        <v>8</v>
      </c>
      <c r="B79" s="2" t="s">
        <v>16</v>
      </c>
      <c r="D79" s="2" t="s">
        <v>5</v>
      </c>
      <c r="E79" s="2" t="s">
        <v>16</v>
      </c>
      <c r="F79" s="2">
        <v>2</v>
      </c>
      <c r="G79" s="2" t="s">
        <v>86</v>
      </c>
      <c r="H79" s="2" t="s">
        <v>85</v>
      </c>
      <c r="I79" s="2">
        <v>138</v>
      </c>
    </row>
    <row r="80" spans="1:9">
      <c r="A80" s="2">
        <v>9</v>
      </c>
      <c r="B80" s="2" t="s">
        <v>17</v>
      </c>
      <c r="C80" s="2" t="s">
        <v>5</v>
      </c>
      <c r="E80" s="2" t="s">
        <v>17</v>
      </c>
      <c r="F80" s="2">
        <v>1</v>
      </c>
      <c r="G80" s="2" t="s">
        <v>86</v>
      </c>
      <c r="H80" s="2" t="s">
        <v>85</v>
      </c>
      <c r="I80" s="2">
        <v>88</v>
      </c>
    </row>
    <row r="81" spans="1:9" ht="30">
      <c r="A81" s="2">
        <v>10</v>
      </c>
      <c r="B81" s="2" t="s">
        <v>18</v>
      </c>
      <c r="D81" s="2" t="s">
        <v>5</v>
      </c>
      <c r="E81" s="2" t="s">
        <v>18</v>
      </c>
      <c r="F81" s="2">
        <v>2</v>
      </c>
      <c r="G81" s="2" t="s">
        <v>86</v>
      </c>
      <c r="H81" s="2" t="s">
        <v>85</v>
      </c>
      <c r="I81" s="2">
        <v>109</v>
      </c>
    </row>
    <row r="85" spans="1:9">
      <c r="A85" s="2" t="s">
        <v>19</v>
      </c>
    </row>
    <row r="86" spans="1:9" ht="60">
      <c r="A86" s="2" t="s">
        <v>0</v>
      </c>
      <c r="B86" s="2" t="s">
        <v>6</v>
      </c>
      <c r="C86" s="2" t="s">
        <v>27</v>
      </c>
      <c r="D86" s="2" t="s">
        <v>2</v>
      </c>
      <c r="E86" s="2" t="s">
        <v>9</v>
      </c>
      <c r="F86" s="2" t="s">
        <v>3</v>
      </c>
      <c r="I86" s="2" t="s">
        <v>10</v>
      </c>
    </row>
    <row r="87" spans="1:9">
      <c r="A87" s="2">
        <v>1</v>
      </c>
      <c r="B87" s="2" t="s">
        <v>7</v>
      </c>
      <c r="C87" s="2" t="s">
        <v>5</v>
      </c>
      <c r="E87" s="2" t="s">
        <v>7</v>
      </c>
      <c r="F87" s="2">
        <v>1</v>
      </c>
      <c r="G87" s="2" t="s">
        <v>86</v>
      </c>
      <c r="H87" s="2" t="s">
        <v>85</v>
      </c>
      <c r="I87" s="2">
        <v>6.31</v>
      </c>
    </row>
    <row r="88" spans="1:9">
      <c r="A88" s="2">
        <v>2</v>
      </c>
      <c r="B88" s="2" t="s">
        <v>8</v>
      </c>
      <c r="D88" s="2" t="s">
        <v>5</v>
      </c>
      <c r="E88" s="2" t="s">
        <v>8</v>
      </c>
      <c r="F88" s="2">
        <v>5</v>
      </c>
      <c r="G88" s="2" t="s">
        <v>86</v>
      </c>
      <c r="H88" s="2" t="s">
        <v>85</v>
      </c>
      <c r="I88" s="2">
        <v>98</v>
      </c>
    </row>
    <row r="89" spans="1:9">
      <c r="A89" s="2">
        <v>3</v>
      </c>
      <c r="B89" s="2" t="s">
        <v>14</v>
      </c>
      <c r="C89" s="2" t="s">
        <v>5</v>
      </c>
      <c r="E89" s="2" t="s">
        <v>14</v>
      </c>
      <c r="F89" s="2">
        <v>3</v>
      </c>
      <c r="G89" s="2" t="s">
        <v>86</v>
      </c>
      <c r="H89" s="2" t="s">
        <v>85</v>
      </c>
      <c r="I89" s="2">
        <v>44.38</v>
      </c>
    </row>
    <row r="90" spans="1:9">
      <c r="A90" s="2">
        <v>4</v>
      </c>
      <c r="B90" s="2" t="s">
        <v>13</v>
      </c>
      <c r="C90" s="2" t="s">
        <v>5</v>
      </c>
      <c r="E90" s="2" t="s">
        <v>13</v>
      </c>
      <c r="F90" s="2">
        <v>2</v>
      </c>
      <c r="G90" s="2" t="s">
        <v>86</v>
      </c>
      <c r="H90" s="2" t="s">
        <v>85</v>
      </c>
      <c r="I90" s="2">
        <v>16.78</v>
      </c>
    </row>
    <row r="91" spans="1:9">
      <c r="A91" s="2">
        <v>5</v>
      </c>
      <c r="B91" s="2" t="s">
        <v>12</v>
      </c>
      <c r="C91" s="2" t="s">
        <v>5</v>
      </c>
      <c r="E91" s="2" t="s">
        <v>12</v>
      </c>
      <c r="F91" s="2">
        <v>3</v>
      </c>
      <c r="G91" s="2" t="s">
        <v>86</v>
      </c>
      <c r="H91" s="2" t="s">
        <v>85</v>
      </c>
      <c r="I91" s="2">
        <v>38.81</v>
      </c>
    </row>
    <row r="92" spans="1:9">
      <c r="A92" s="2">
        <v>6</v>
      </c>
      <c r="B92" s="2" t="s">
        <v>11</v>
      </c>
      <c r="C92" s="2" t="s">
        <v>5</v>
      </c>
      <c r="E92" s="2" t="s">
        <v>11</v>
      </c>
      <c r="F92" s="2">
        <v>2</v>
      </c>
      <c r="G92" s="2" t="s">
        <v>86</v>
      </c>
      <c r="H92" s="2" t="s">
        <v>85</v>
      </c>
      <c r="I92" s="2">
        <v>18.75</v>
      </c>
    </row>
    <row r="93" spans="1:9">
      <c r="A93" s="2">
        <v>7</v>
      </c>
      <c r="B93" s="2" t="s">
        <v>15</v>
      </c>
      <c r="D93" s="2" t="s">
        <v>5</v>
      </c>
      <c r="E93" s="2" t="s">
        <v>15</v>
      </c>
      <c r="F93" s="2">
        <v>3</v>
      </c>
      <c r="G93" s="2" t="s">
        <v>86</v>
      </c>
      <c r="H93" s="2" t="s">
        <v>85</v>
      </c>
      <c r="I93" s="2">
        <v>42.44</v>
      </c>
    </row>
    <row r="94" spans="1:9">
      <c r="A94" s="2">
        <v>8</v>
      </c>
      <c r="B94" s="2" t="s">
        <v>16</v>
      </c>
      <c r="C94" s="2" t="s">
        <v>5</v>
      </c>
      <c r="E94" s="2" t="s">
        <v>16</v>
      </c>
      <c r="F94" s="2">
        <v>2</v>
      </c>
      <c r="G94" s="2" t="s">
        <v>86</v>
      </c>
      <c r="H94" s="2" t="s">
        <v>85</v>
      </c>
      <c r="I94" s="2">
        <v>184.34</v>
      </c>
    </row>
    <row r="95" spans="1:9">
      <c r="A95" s="2">
        <v>9</v>
      </c>
      <c r="B95" s="2" t="s">
        <v>17</v>
      </c>
      <c r="C95" s="2" t="s">
        <v>5</v>
      </c>
      <c r="E95" s="2" t="s">
        <v>17</v>
      </c>
      <c r="F95" s="2">
        <v>2</v>
      </c>
      <c r="G95" s="2" t="s">
        <v>86</v>
      </c>
      <c r="H95" s="2" t="s">
        <v>85</v>
      </c>
      <c r="I95" s="2">
        <v>45</v>
      </c>
    </row>
    <row r="96" spans="1:9" ht="30">
      <c r="A96" s="2">
        <v>10</v>
      </c>
      <c r="B96" s="2" t="s">
        <v>18</v>
      </c>
      <c r="C96" s="2" t="s">
        <v>5</v>
      </c>
      <c r="E96" s="2" t="s">
        <v>18</v>
      </c>
      <c r="F96" s="2">
        <v>2</v>
      </c>
      <c r="G96" s="2" t="s">
        <v>86</v>
      </c>
      <c r="H96" s="2" t="s">
        <v>85</v>
      </c>
      <c r="I96" s="2">
        <v>90.88</v>
      </c>
    </row>
    <row r="98" spans="1:9" ht="30">
      <c r="A98" s="2" t="s">
        <v>4</v>
      </c>
    </row>
    <row r="99" spans="1:9" ht="60">
      <c r="A99" s="2" t="s">
        <v>0</v>
      </c>
      <c r="B99" s="2" t="s">
        <v>6</v>
      </c>
      <c r="C99" s="2" t="s">
        <v>1</v>
      </c>
      <c r="D99" s="2" t="s">
        <v>2</v>
      </c>
      <c r="E99" s="2" t="s">
        <v>9</v>
      </c>
      <c r="F99" s="2" t="s">
        <v>3</v>
      </c>
      <c r="I99" s="2" t="s">
        <v>10</v>
      </c>
    </row>
    <row r="100" spans="1:9">
      <c r="A100" s="2">
        <v>1</v>
      </c>
      <c r="B100" s="2" t="s">
        <v>7</v>
      </c>
      <c r="C100" s="2" t="s">
        <v>5</v>
      </c>
      <c r="E100" s="2" t="s">
        <v>7</v>
      </c>
      <c r="F100" s="2">
        <v>1</v>
      </c>
      <c r="G100" s="2" t="s">
        <v>86</v>
      </c>
      <c r="H100" s="2" t="s">
        <v>86</v>
      </c>
      <c r="I100" s="2">
        <v>3</v>
      </c>
    </row>
    <row r="101" spans="1:9">
      <c r="A101" s="2">
        <v>2</v>
      </c>
      <c r="B101" s="2" t="s">
        <v>8</v>
      </c>
      <c r="D101" s="2" t="s">
        <v>5</v>
      </c>
      <c r="E101" s="2" t="s">
        <v>8</v>
      </c>
      <c r="F101" s="2">
        <v>2</v>
      </c>
      <c r="G101" s="2" t="s">
        <v>86</v>
      </c>
      <c r="H101" s="2" t="s">
        <v>85</v>
      </c>
      <c r="I101" s="2">
        <v>33</v>
      </c>
    </row>
    <row r="102" spans="1:9">
      <c r="A102" s="2">
        <v>3</v>
      </c>
      <c r="B102" s="2" t="s">
        <v>14</v>
      </c>
      <c r="C102" s="2" t="s">
        <v>5</v>
      </c>
      <c r="E102" s="2" t="s">
        <v>14</v>
      </c>
      <c r="F102" s="2">
        <v>1</v>
      </c>
      <c r="G102" s="2" t="s">
        <v>86</v>
      </c>
      <c r="H102" s="2" t="s">
        <v>86</v>
      </c>
      <c r="I102" s="2">
        <v>30</v>
      </c>
    </row>
    <row r="103" spans="1:9">
      <c r="A103" s="2">
        <v>4</v>
      </c>
      <c r="B103" s="2" t="s">
        <v>13</v>
      </c>
      <c r="D103" s="2" t="s">
        <v>5</v>
      </c>
      <c r="E103" s="2" t="s">
        <v>13</v>
      </c>
      <c r="F103" s="2">
        <v>2</v>
      </c>
      <c r="G103" s="2" t="s">
        <v>86</v>
      </c>
      <c r="H103" s="2" t="s">
        <v>85</v>
      </c>
      <c r="I103" s="2">
        <v>15</v>
      </c>
    </row>
    <row r="104" spans="1:9">
      <c r="A104" s="2">
        <v>5</v>
      </c>
      <c r="B104" s="2" t="s">
        <v>12</v>
      </c>
      <c r="C104" s="2" t="s">
        <v>5</v>
      </c>
      <c r="E104" s="2" t="s">
        <v>12</v>
      </c>
      <c r="F104" s="2">
        <v>2</v>
      </c>
      <c r="G104" s="2" t="s">
        <v>86</v>
      </c>
      <c r="H104" s="2" t="s">
        <v>85</v>
      </c>
      <c r="I104" s="2">
        <v>72</v>
      </c>
    </row>
    <row r="105" spans="1:9">
      <c r="A105" s="2">
        <v>6</v>
      </c>
      <c r="B105" s="2" t="s">
        <v>11</v>
      </c>
      <c r="C105" s="2" t="s">
        <v>5</v>
      </c>
      <c r="E105" s="2" t="s">
        <v>11</v>
      </c>
      <c r="F105" s="2">
        <v>1</v>
      </c>
      <c r="G105" s="2" t="s">
        <v>86</v>
      </c>
      <c r="H105" s="2" t="s">
        <v>86</v>
      </c>
      <c r="I105" s="2">
        <v>11</v>
      </c>
    </row>
    <row r="106" spans="1:9">
      <c r="A106" s="2">
        <v>7</v>
      </c>
      <c r="B106" s="2" t="s">
        <v>15</v>
      </c>
      <c r="C106" s="2" t="s">
        <v>5</v>
      </c>
      <c r="E106" s="2" t="s">
        <v>15</v>
      </c>
      <c r="F106" s="2">
        <v>1</v>
      </c>
      <c r="G106" s="2" t="s">
        <v>86</v>
      </c>
      <c r="H106" s="2" t="s">
        <v>86</v>
      </c>
      <c r="I106" s="2">
        <v>33</v>
      </c>
    </row>
    <row r="107" spans="1:9">
      <c r="A107" s="2">
        <v>8</v>
      </c>
      <c r="B107" s="2" t="s">
        <v>16</v>
      </c>
      <c r="C107" s="2" t="s">
        <v>5</v>
      </c>
      <c r="E107" s="2" t="s">
        <v>16</v>
      </c>
      <c r="F107" s="2">
        <v>1</v>
      </c>
      <c r="G107" s="2" t="s">
        <v>86</v>
      </c>
      <c r="H107" s="2" t="s">
        <v>85</v>
      </c>
      <c r="I107" s="2">
        <v>38</v>
      </c>
    </row>
    <row r="108" spans="1:9">
      <c r="A108" s="2">
        <v>9</v>
      </c>
      <c r="B108" s="2" t="s">
        <v>17</v>
      </c>
      <c r="C108" s="2" t="s">
        <v>5</v>
      </c>
      <c r="E108" s="2" t="s">
        <v>17</v>
      </c>
      <c r="F108" s="2">
        <v>1</v>
      </c>
      <c r="G108" s="2" t="s">
        <v>86</v>
      </c>
      <c r="H108" s="2" t="s">
        <v>85</v>
      </c>
      <c r="I108" s="2">
        <v>43</v>
      </c>
    </row>
    <row r="109" spans="1:9" ht="30">
      <c r="A109" s="2">
        <v>10</v>
      </c>
      <c r="B109" s="2" t="s">
        <v>18</v>
      </c>
      <c r="C109" s="2" t="s">
        <v>5</v>
      </c>
      <c r="E109" s="2" t="s">
        <v>18</v>
      </c>
      <c r="F109" s="2">
        <v>1</v>
      </c>
      <c r="G109" s="2" t="s">
        <v>86</v>
      </c>
      <c r="H109" s="2" t="s">
        <v>85</v>
      </c>
      <c r="I109" s="2">
        <v>124</v>
      </c>
    </row>
    <row r="111" spans="1:9" ht="21" customHeight="1">
      <c r="A111" s="12" t="s">
        <v>28</v>
      </c>
      <c r="B111" s="12"/>
      <c r="C111" s="12"/>
      <c r="D111" s="12"/>
      <c r="E111" s="12"/>
      <c r="F111" s="12"/>
      <c r="G111" s="12"/>
      <c r="H111" s="12"/>
      <c r="I111" s="12"/>
    </row>
    <row r="112" spans="1:9">
      <c r="B112" s="3"/>
    </row>
    <row r="113" spans="1:9">
      <c r="A113" s="2" t="s">
        <v>26</v>
      </c>
    </row>
    <row r="114" spans="1:9" ht="60">
      <c r="A114" s="2" t="s">
        <v>0</v>
      </c>
      <c r="B114" s="2" t="s">
        <v>6</v>
      </c>
      <c r="C114" s="2" t="s">
        <v>1</v>
      </c>
      <c r="D114" s="2" t="s">
        <v>2</v>
      </c>
      <c r="E114" s="2" t="s">
        <v>9</v>
      </c>
      <c r="F114" s="2" t="s">
        <v>3</v>
      </c>
      <c r="I114" s="2" t="s">
        <v>10</v>
      </c>
    </row>
    <row r="115" spans="1:9">
      <c r="A115" s="2">
        <v>1</v>
      </c>
      <c r="B115" s="2" t="s">
        <v>7</v>
      </c>
      <c r="C115" s="2" t="s">
        <v>5</v>
      </c>
      <c r="E115" s="2" t="s">
        <v>7</v>
      </c>
      <c r="F115" s="2">
        <v>1</v>
      </c>
      <c r="G115" s="2" t="s">
        <v>86</v>
      </c>
      <c r="H115" s="2" t="s">
        <v>85</v>
      </c>
      <c r="I115" s="2">
        <v>15</v>
      </c>
    </row>
    <row r="116" spans="1:9">
      <c r="A116" s="2">
        <v>2</v>
      </c>
      <c r="B116" s="2" t="s">
        <v>8</v>
      </c>
      <c r="D116" s="2" t="s">
        <v>5</v>
      </c>
      <c r="E116" s="2" t="s">
        <v>8</v>
      </c>
      <c r="F116" s="2">
        <v>3</v>
      </c>
      <c r="G116" s="2" t="s">
        <v>86</v>
      </c>
      <c r="H116" s="2" t="s">
        <v>85</v>
      </c>
      <c r="I116" s="2">
        <v>104</v>
      </c>
    </row>
    <row r="117" spans="1:9">
      <c r="A117" s="2">
        <v>3</v>
      </c>
      <c r="B117" s="2" t="s">
        <v>14</v>
      </c>
      <c r="D117" s="2" t="s">
        <v>5</v>
      </c>
      <c r="E117" s="2" t="s">
        <v>14</v>
      </c>
      <c r="F117" s="2">
        <v>2</v>
      </c>
      <c r="G117" s="2" t="s">
        <v>86</v>
      </c>
      <c r="H117" s="2" t="s">
        <v>85</v>
      </c>
      <c r="I117" s="2">
        <v>157</v>
      </c>
    </row>
    <row r="118" spans="1:9">
      <c r="A118" s="2">
        <v>4</v>
      </c>
      <c r="B118" s="2" t="s">
        <v>13</v>
      </c>
      <c r="D118" s="2" t="s">
        <v>5</v>
      </c>
      <c r="E118" s="2" t="s">
        <v>13</v>
      </c>
      <c r="F118" s="2">
        <v>3</v>
      </c>
      <c r="G118" s="2" t="s">
        <v>86</v>
      </c>
      <c r="H118" s="2" t="s">
        <v>85</v>
      </c>
      <c r="I118" s="2">
        <v>16</v>
      </c>
    </row>
    <row r="119" spans="1:9">
      <c r="A119" s="2">
        <v>5</v>
      </c>
      <c r="B119" s="2" t="s">
        <v>12</v>
      </c>
      <c r="D119" s="2" t="s">
        <v>5</v>
      </c>
      <c r="E119" s="2" t="s">
        <v>12</v>
      </c>
      <c r="F119" s="2">
        <v>5</v>
      </c>
      <c r="G119" s="2" t="s">
        <v>86</v>
      </c>
      <c r="H119" s="2" t="s">
        <v>85</v>
      </c>
      <c r="I119" s="2">
        <v>119</v>
      </c>
    </row>
    <row r="120" spans="1:9">
      <c r="A120" s="2">
        <v>6</v>
      </c>
      <c r="B120" s="2" t="s">
        <v>11</v>
      </c>
      <c r="D120" s="2" t="s">
        <v>5</v>
      </c>
      <c r="E120" s="2" t="s">
        <v>11</v>
      </c>
      <c r="F120" s="2">
        <v>6</v>
      </c>
      <c r="G120" s="2" t="s">
        <v>86</v>
      </c>
      <c r="H120" s="2" t="s">
        <v>85</v>
      </c>
      <c r="I120" s="2">
        <v>64</v>
      </c>
    </row>
    <row r="121" spans="1:9">
      <c r="A121" s="2">
        <v>7</v>
      </c>
      <c r="B121" s="2" t="s">
        <v>15</v>
      </c>
      <c r="D121" s="2" t="s">
        <v>5</v>
      </c>
      <c r="E121" s="2" t="s">
        <v>15</v>
      </c>
      <c r="F121" s="2">
        <v>2</v>
      </c>
      <c r="G121" s="2" t="s">
        <v>86</v>
      </c>
      <c r="H121" s="2" t="s">
        <v>85</v>
      </c>
      <c r="I121" s="2">
        <v>57</v>
      </c>
    </row>
    <row r="122" spans="1:9">
      <c r="A122" s="2">
        <v>8</v>
      </c>
      <c r="B122" s="2" t="s">
        <v>16</v>
      </c>
      <c r="D122" s="2" t="s">
        <v>5</v>
      </c>
      <c r="E122" s="2" t="s">
        <v>16</v>
      </c>
      <c r="F122" s="2">
        <v>2</v>
      </c>
      <c r="G122" s="2" t="s">
        <v>86</v>
      </c>
      <c r="H122" s="2" t="s">
        <v>85</v>
      </c>
      <c r="I122" s="2">
        <v>73</v>
      </c>
    </row>
    <row r="123" spans="1:9">
      <c r="A123" s="2">
        <v>9</v>
      </c>
      <c r="B123" s="2" t="s">
        <v>17</v>
      </c>
      <c r="C123" s="2" t="s">
        <v>5</v>
      </c>
      <c r="E123" s="2" t="s">
        <v>17</v>
      </c>
      <c r="F123" s="2">
        <v>2</v>
      </c>
      <c r="G123" s="2" t="s">
        <v>86</v>
      </c>
      <c r="H123" s="2" t="s">
        <v>85</v>
      </c>
      <c r="I123" s="2">
        <v>101</v>
      </c>
    </row>
    <row r="124" spans="1:9" ht="30">
      <c r="A124" s="2">
        <v>10</v>
      </c>
      <c r="B124" s="2" t="s">
        <v>18</v>
      </c>
      <c r="D124" s="2" t="s">
        <v>5</v>
      </c>
      <c r="E124" s="2" t="s">
        <v>18</v>
      </c>
      <c r="F124" s="2">
        <v>2</v>
      </c>
      <c r="G124" s="2" t="s">
        <v>86</v>
      </c>
      <c r="H124" s="2" t="s">
        <v>85</v>
      </c>
      <c r="I124" s="2">
        <v>90</v>
      </c>
    </row>
  </sheetData>
  <mergeCells count="4">
    <mergeCell ref="J1:N1"/>
    <mergeCell ref="A111:I111"/>
    <mergeCell ref="J14:N14"/>
    <mergeCell ref="P14:S14"/>
  </mergeCells>
  <pageMargins left="0.7" right="0.7" top="0.75" bottom="0.75" header="0.3" footer="0.3"/>
  <pageSetup orientation="landscape" verticalDpi="0" r:id="rId1"/>
  <ignoredErrors>
    <ignoredError sqref="S17 L8 L10 N6 N8 N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J20" sqref="J20"/>
    </sheetView>
  </sheetViews>
  <sheetFormatPr defaultRowHeight="15"/>
  <cols>
    <col min="1" max="1" width="9.140625" style="1"/>
    <col min="2" max="2" width="45.5703125" customWidth="1"/>
    <col min="3" max="3" width="9" bestFit="1" customWidth="1"/>
    <col min="4" max="5" width="9" customWidth="1"/>
    <col min="6" max="6" width="7.85546875" customWidth="1"/>
    <col min="7" max="7" width="8.5703125" bestFit="1" customWidth="1"/>
  </cols>
  <sheetData>
    <row r="1" spans="1:7">
      <c r="A1" s="13" t="s">
        <v>84</v>
      </c>
      <c r="B1" s="13"/>
      <c r="C1" s="13"/>
      <c r="D1" s="13"/>
      <c r="E1" s="13"/>
      <c r="F1" s="13"/>
      <c r="G1" s="13"/>
    </row>
    <row r="2" spans="1:7" s="1" customFormat="1" ht="25.5">
      <c r="A2" s="2"/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</row>
    <row r="3" spans="1:7">
      <c r="A3" s="7">
        <v>1</v>
      </c>
      <c r="B3" s="5" t="s">
        <v>35</v>
      </c>
      <c r="C3" s="6">
        <v>1</v>
      </c>
      <c r="D3" s="6">
        <v>2</v>
      </c>
      <c r="E3" s="6">
        <v>5</v>
      </c>
      <c r="F3" s="6"/>
      <c r="G3" s="6">
        <v>1</v>
      </c>
    </row>
    <row r="4" spans="1:7">
      <c r="A4" s="7">
        <v>2</v>
      </c>
      <c r="B4" s="5" t="s">
        <v>36</v>
      </c>
      <c r="C4" s="6">
        <v>2</v>
      </c>
      <c r="D4" s="6">
        <v>4</v>
      </c>
      <c r="E4" s="6">
        <v>1</v>
      </c>
      <c r="F4" s="6"/>
      <c r="G4" s="6"/>
    </row>
    <row r="5" spans="1:7" ht="30">
      <c r="A5" s="7">
        <v>3</v>
      </c>
      <c r="B5" s="5" t="s">
        <v>37</v>
      </c>
      <c r="C5" s="6"/>
      <c r="D5" s="6"/>
      <c r="E5" s="6">
        <v>1</v>
      </c>
      <c r="F5" s="6">
        <v>6</v>
      </c>
      <c r="G5" s="6">
        <v>2</v>
      </c>
    </row>
    <row r="6" spans="1:7" ht="30">
      <c r="A6" s="7">
        <v>4</v>
      </c>
      <c r="B6" s="5" t="s">
        <v>38</v>
      </c>
      <c r="C6" s="6"/>
      <c r="D6" s="6"/>
      <c r="E6" s="6">
        <v>2</v>
      </c>
      <c r="F6" s="6">
        <v>4</v>
      </c>
      <c r="G6" s="6">
        <v>3</v>
      </c>
    </row>
    <row r="7" spans="1:7" ht="30">
      <c r="A7" s="7">
        <v>5</v>
      </c>
      <c r="B7" s="5" t="s">
        <v>39</v>
      </c>
      <c r="C7" s="6"/>
      <c r="D7" s="6"/>
      <c r="E7" s="6">
        <v>2</v>
      </c>
      <c r="F7" s="6">
        <v>3</v>
      </c>
      <c r="G7" s="6">
        <v>4</v>
      </c>
    </row>
    <row r="8" spans="1:7" ht="30">
      <c r="A8" s="7">
        <v>6</v>
      </c>
      <c r="B8" s="5" t="s">
        <v>40</v>
      </c>
      <c r="C8" s="6">
        <v>2</v>
      </c>
      <c r="D8" s="6">
        <v>5</v>
      </c>
      <c r="E8" s="6">
        <v>1</v>
      </c>
      <c r="F8" s="6">
        <v>1</v>
      </c>
      <c r="G8" s="6"/>
    </row>
    <row r="9" spans="1:7" ht="30">
      <c r="A9" s="7">
        <v>7</v>
      </c>
      <c r="B9" s="5" t="s">
        <v>41</v>
      </c>
      <c r="C9" s="6"/>
      <c r="D9" s="6"/>
      <c r="E9" s="6">
        <v>1</v>
      </c>
      <c r="F9" s="6">
        <v>6</v>
      </c>
      <c r="G9" s="6">
        <v>2</v>
      </c>
    </row>
    <row r="10" spans="1:7" ht="30">
      <c r="A10" s="7">
        <v>8</v>
      </c>
      <c r="B10" s="5" t="s">
        <v>42</v>
      </c>
      <c r="C10" s="6"/>
      <c r="D10" s="6"/>
      <c r="E10" s="6">
        <v>1</v>
      </c>
      <c r="F10" s="6">
        <v>5</v>
      </c>
      <c r="G10" s="6">
        <v>3</v>
      </c>
    </row>
    <row r="11" spans="1:7" ht="30">
      <c r="A11" s="7">
        <v>9</v>
      </c>
      <c r="B11" s="5" t="s">
        <v>43</v>
      </c>
      <c r="C11" s="6">
        <v>5</v>
      </c>
      <c r="D11" s="6">
        <v>4</v>
      </c>
      <c r="E11" s="6"/>
      <c r="F11" s="6"/>
      <c r="G11" s="6"/>
    </row>
    <row r="12" spans="1:7" ht="45">
      <c r="A12" s="7">
        <v>10</v>
      </c>
      <c r="B12" s="5" t="s">
        <v>44</v>
      </c>
      <c r="C12" s="6">
        <v>5</v>
      </c>
      <c r="D12" s="6">
        <v>3</v>
      </c>
      <c r="E12" s="6"/>
      <c r="F12" s="6">
        <v>1</v>
      </c>
      <c r="G12" s="6"/>
    </row>
    <row r="13" spans="1:7" ht="30">
      <c r="A13" s="7">
        <v>11</v>
      </c>
      <c r="B13" s="5" t="s">
        <v>45</v>
      </c>
      <c r="C13" s="6">
        <v>5</v>
      </c>
      <c r="D13" s="6">
        <v>4</v>
      </c>
      <c r="E13" s="6"/>
      <c r="F13" s="6"/>
      <c r="G13" s="6"/>
    </row>
    <row r="14" spans="1:7" ht="30">
      <c r="A14" s="7">
        <v>12</v>
      </c>
      <c r="B14" s="5" t="s">
        <v>46</v>
      </c>
      <c r="C14" s="6"/>
      <c r="D14" s="6"/>
      <c r="E14" s="6">
        <v>1</v>
      </c>
      <c r="F14" s="6">
        <v>5</v>
      </c>
      <c r="G14" s="6">
        <v>3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E44"/>
  <sheetViews>
    <sheetView workbookViewId="0">
      <selection activeCell="E17" sqref="E17"/>
    </sheetView>
  </sheetViews>
  <sheetFormatPr defaultRowHeight="15"/>
  <cols>
    <col min="1" max="1" width="23.85546875" customWidth="1"/>
    <col min="2" max="2" width="10.28515625" customWidth="1"/>
    <col min="4" max="4" width="23.7109375" bestFit="1" customWidth="1"/>
    <col min="7" max="7" width="12.7109375" bestFit="1" customWidth="1"/>
  </cols>
  <sheetData>
    <row r="2" spans="1:5">
      <c r="A2" s="18" t="s">
        <v>47</v>
      </c>
      <c r="B2" s="19"/>
      <c r="D2" s="16" t="s">
        <v>70</v>
      </c>
      <c r="E2" s="17"/>
    </row>
    <row r="3" spans="1:5">
      <c r="A3" s="9" t="s">
        <v>48</v>
      </c>
      <c r="B3" s="8"/>
      <c r="D3" s="9" t="s">
        <v>71</v>
      </c>
      <c r="E3" s="8">
        <v>9</v>
      </c>
    </row>
    <row r="4" spans="1:5">
      <c r="A4" s="9" t="s">
        <v>49</v>
      </c>
      <c r="B4" s="8">
        <v>2</v>
      </c>
      <c r="D4" s="9" t="s">
        <v>72</v>
      </c>
      <c r="E4" s="8">
        <v>7</v>
      </c>
    </row>
    <row r="5" spans="1:5">
      <c r="A5" s="9" t="s">
        <v>50</v>
      </c>
      <c r="B5" s="8">
        <v>2</v>
      </c>
      <c r="D5" s="9" t="s">
        <v>73</v>
      </c>
      <c r="E5" s="8">
        <v>9</v>
      </c>
    </row>
    <row r="6" spans="1:5">
      <c r="A6" s="9" t="s">
        <v>51</v>
      </c>
      <c r="B6" s="8">
        <v>2</v>
      </c>
      <c r="D6" s="9" t="s">
        <v>74</v>
      </c>
      <c r="E6" s="8">
        <v>8</v>
      </c>
    </row>
    <row r="7" spans="1:5">
      <c r="A7" s="9" t="s">
        <v>52</v>
      </c>
      <c r="B7" s="8">
        <v>2</v>
      </c>
      <c r="D7" s="9" t="s">
        <v>75</v>
      </c>
      <c r="E7" s="8">
        <v>4</v>
      </c>
    </row>
    <row r="8" spans="1:5">
      <c r="A8" s="9" t="s">
        <v>53</v>
      </c>
      <c r="B8" s="8"/>
      <c r="D8" s="9" t="s">
        <v>76</v>
      </c>
      <c r="E8" s="8">
        <v>4</v>
      </c>
    </row>
    <row r="9" spans="1:5">
      <c r="A9" s="9" t="s">
        <v>54</v>
      </c>
      <c r="B9" s="8">
        <v>1</v>
      </c>
      <c r="D9" s="14"/>
      <c r="E9" s="15"/>
    </row>
    <row r="10" spans="1:5">
      <c r="A10" s="14"/>
      <c r="B10" s="15"/>
      <c r="D10" s="16" t="s">
        <v>77</v>
      </c>
      <c r="E10" s="17"/>
    </row>
    <row r="11" spans="1:5">
      <c r="A11" s="18" t="s">
        <v>55</v>
      </c>
      <c r="B11" s="19"/>
      <c r="D11" s="9" t="s">
        <v>78</v>
      </c>
      <c r="E11" s="8"/>
    </row>
    <row r="12" spans="1:5">
      <c r="A12" s="9" t="s">
        <v>56</v>
      </c>
      <c r="B12" s="8">
        <v>5</v>
      </c>
      <c r="D12" s="9" t="s">
        <v>79</v>
      </c>
      <c r="E12" s="8"/>
    </row>
    <row r="13" spans="1:5">
      <c r="A13" s="9" t="s">
        <v>57</v>
      </c>
      <c r="B13" s="8">
        <v>1</v>
      </c>
      <c r="D13" s="9" t="s">
        <v>80</v>
      </c>
      <c r="E13" s="8">
        <v>9</v>
      </c>
    </row>
    <row r="14" spans="1:5">
      <c r="A14" s="9" t="s">
        <v>58</v>
      </c>
      <c r="B14" s="8">
        <v>3</v>
      </c>
      <c r="D14" s="14"/>
      <c r="E14" s="15"/>
    </row>
    <row r="15" spans="1:5">
      <c r="A15" s="9" t="s">
        <v>59</v>
      </c>
      <c r="B15" s="8"/>
      <c r="D15" s="16" t="s">
        <v>83</v>
      </c>
      <c r="E15" s="17"/>
    </row>
    <row r="16" spans="1:5">
      <c r="A16" s="14"/>
      <c r="B16" s="15"/>
      <c r="D16" s="9">
        <v>1</v>
      </c>
      <c r="E16" s="8">
        <v>1</v>
      </c>
    </row>
    <row r="17" spans="1:5">
      <c r="A17" s="18" t="s">
        <v>60</v>
      </c>
      <c r="B17" s="19"/>
      <c r="D17" s="9">
        <v>2</v>
      </c>
      <c r="E17" s="8"/>
    </row>
    <row r="18" spans="1:5">
      <c r="A18" s="9" t="s">
        <v>61</v>
      </c>
      <c r="B18" s="8">
        <v>6</v>
      </c>
      <c r="D18" s="9">
        <v>3</v>
      </c>
      <c r="E18" s="8"/>
    </row>
    <row r="19" spans="1:5">
      <c r="A19" s="9" t="s">
        <v>62</v>
      </c>
      <c r="B19" s="8">
        <v>3</v>
      </c>
      <c r="D19" s="9">
        <v>4</v>
      </c>
      <c r="E19" s="8"/>
    </row>
    <row r="20" spans="1:5">
      <c r="A20" s="14"/>
      <c r="B20" s="15"/>
      <c r="D20" s="9">
        <v>5</v>
      </c>
      <c r="E20" s="8">
        <v>3</v>
      </c>
    </row>
    <row r="21" spans="1:5" ht="30" customHeight="1">
      <c r="A21" s="16" t="s">
        <v>63</v>
      </c>
      <c r="B21" s="17"/>
      <c r="D21" s="9">
        <v>6</v>
      </c>
      <c r="E21" s="8">
        <v>1</v>
      </c>
    </row>
    <row r="22" spans="1:5">
      <c r="A22" s="9">
        <v>1</v>
      </c>
      <c r="B22" s="8"/>
      <c r="D22" s="9">
        <v>7</v>
      </c>
      <c r="E22" s="8">
        <v>1</v>
      </c>
    </row>
    <row r="23" spans="1:5">
      <c r="A23" s="9">
        <v>2</v>
      </c>
      <c r="B23" s="8"/>
      <c r="D23" s="9">
        <v>8</v>
      </c>
      <c r="E23" s="8">
        <v>2</v>
      </c>
    </row>
    <row r="24" spans="1:5">
      <c r="A24" s="9">
        <v>3</v>
      </c>
      <c r="B24" s="8"/>
      <c r="D24" s="9">
        <v>9</v>
      </c>
      <c r="E24" s="8">
        <v>1</v>
      </c>
    </row>
    <row r="25" spans="1:5">
      <c r="A25" s="9">
        <v>4</v>
      </c>
      <c r="B25" s="8"/>
      <c r="D25" s="9">
        <v>10</v>
      </c>
      <c r="E25" s="8"/>
    </row>
    <row r="26" spans="1:5">
      <c r="A26" s="9">
        <v>5</v>
      </c>
      <c r="B26" s="8"/>
    </row>
    <row r="27" spans="1:5">
      <c r="A27" s="9">
        <v>6</v>
      </c>
      <c r="B27" s="8">
        <v>4</v>
      </c>
    </row>
    <row r="28" spans="1:5">
      <c r="A28" s="9">
        <v>7</v>
      </c>
      <c r="B28" s="8">
        <v>4</v>
      </c>
    </row>
    <row r="29" spans="1:5">
      <c r="A29" s="9">
        <v>8</v>
      </c>
      <c r="B29" s="8"/>
    </row>
    <row r="30" spans="1:5">
      <c r="A30" s="9">
        <v>9</v>
      </c>
      <c r="B30" s="8"/>
    </row>
    <row r="31" spans="1:5">
      <c r="A31" s="9">
        <v>10</v>
      </c>
      <c r="B31" s="8">
        <v>1</v>
      </c>
    </row>
    <row r="32" spans="1:5">
      <c r="A32" s="14"/>
      <c r="B32" s="15"/>
    </row>
    <row r="33" spans="1:2">
      <c r="A33" s="18" t="s">
        <v>64</v>
      </c>
      <c r="B33" s="19"/>
    </row>
    <row r="34" spans="1:2">
      <c r="A34" s="9" t="s">
        <v>65</v>
      </c>
      <c r="B34" s="8"/>
    </row>
    <row r="35" spans="1:2">
      <c r="A35" s="9" t="s">
        <v>66</v>
      </c>
      <c r="B35" s="8"/>
    </row>
    <row r="36" spans="1:2">
      <c r="A36" s="9" t="s">
        <v>67</v>
      </c>
      <c r="B36" s="8">
        <v>4</v>
      </c>
    </row>
    <row r="37" spans="1:2">
      <c r="A37" s="9" t="s">
        <v>68</v>
      </c>
      <c r="B37" s="8">
        <v>3</v>
      </c>
    </row>
    <row r="38" spans="1:2">
      <c r="A38" s="9" t="s">
        <v>69</v>
      </c>
      <c r="B38" s="8">
        <v>2</v>
      </c>
    </row>
    <row r="39" spans="1:2">
      <c r="A39" s="14"/>
      <c r="B39" s="15"/>
    </row>
    <row r="40" spans="1:2">
      <c r="A40" s="16" t="s">
        <v>81</v>
      </c>
      <c r="B40" s="17"/>
    </row>
    <row r="41" spans="1:2">
      <c r="A41" s="9" t="s">
        <v>82</v>
      </c>
      <c r="B41" s="8">
        <v>4</v>
      </c>
    </row>
    <row r="42" spans="1:2">
      <c r="A42" s="9" t="s">
        <v>79</v>
      </c>
      <c r="B42" s="8">
        <v>2</v>
      </c>
    </row>
    <row r="43" spans="1:2">
      <c r="A43" s="9" t="s">
        <v>80</v>
      </c>
      <c r="B43" s="8">
        <v>3</v>
      </c>
    </row>
    <row r="44" spans="1:2">
      <c r="A44" s="14"/>
      <c r="B44" s="15"/>
    </row>
  </sheetData>
  <mergeCells count="17">
    <mergeCell ref="D14:E14"/>
    <mergeCell ref="A44:B44"/>
    <mergeCell ref="D2:E2"/>
    <mergeCell ref="A39:B39"/>
    <mergeCell ref="A32:B32"/>
    <mergeCell ref="A33:B33"/>
    <mergeCell ref="A21:B21"/>
    <mergeCell ref="A16:B16"/>
    <mergeCell ref="A20:B20"/>
    <mergeCell ref="A10:B10"/>
    <mergeCell ref="A2:B2"/>
    <mergeCell ref="A11:B11"/>
    <mergeCell ref="A17:B17"/>
    <mergeCell ref="A40:B40"/>
    <mergeCell ref="D15:E15"/>
    <mergeCell ref="D9:E9"/>
    <mergeCell ref="D10:E10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143" zoomScale="140" zoomScaleNormal="140" workbookViewId="0">
      <selection activeCell="F156" sqref="F156"/>
    </sheetView>
  </sheetViews>
  <sheetFormatPr defaultRowHeight="15"/>
  <cols>
    <col min="9" max="9" width="9.140625" customWidth="1"/>
  </cols>
  <sheetData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Score Sheet Data</vt:lpstr>
      <vt:lpstr>Debriefing survey</vt:lpstr>
      <vt:lpstr>Participant Demographics</vt:lpstr>
      <vt:lpstr>Demographic Charts</vt:lpstr>
    </vt:vector>
  </TitlesOfParts>
  <Company>Charlotte School of Law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emccurry</dc:creator>
  <cp:lastModifiedBy>emccurry</cp:lastModifiedBy>
  <cp:lastPrinted>2009-05-04T13:51:36Z</cp:lastPrinted>
  <dcterms:created xsi:type="dcterms:W3CDTF">2009-05-01T18:31:00Z</dcterms:created>
  <dcterms:modified xsi:type="dcterms:W3CDTF">2009-05-04T15:58:37Z</dcterms:modified>
</cp:coreProperties>
</file>