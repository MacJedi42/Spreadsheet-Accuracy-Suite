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9020" windowHeight="10920"/>
  </bookViews>
  <sheets>
    <sheet name="Summary-to post" sheetId="1" r:id="rId1"/>
  </sheets>
  <externalReferences>
    <externalReference r:id="rId2"/>
  </externalReferences>
  <definedNames>
    <definedName name="Aid" localSheetId="0">#REF!</definedName>
    <definedName name="Aid">#REF!</definedName>
    <definedName name="Ideas" localSheetId="0">#REF!</definedName>
    <definedName name="Ideas">#REF!</definedName>
    <definedName name="_xlnm.Print_Area" localSheetId="0">'Summary-to post'!$A$13:$W$549</definedName>
    <definedName name="_xlnm.Print_Titles" localSheetId="0">'Summary-to post'!$7:$12</definedName>
  </definedNames>
  <calcPr calcId="145621"/>
</workbook>
</file>

<file path=xl/calcChain.xml><?xml version="1.0" encoding="utf-8"?>
<calcChain xmlns="http://schemas.openxmlformats.org/spreadsheetml/2006/main">
  <c r="K541" i="1" l="1"/>
  <c r="K543" i="1"/>
  <c r="L535" i="1"/>
  <c r="O535" i="1" s="1"/>
  <c r="R535" i="1"/>
  <c r="O534" i="1"/>
  <c r="V533" i="1"/>
  <c r="U533" i="1"/>
  <c r="T533" i="1"/>
  <c r="L533" i="1"/>
  <c r="O533" i="1"/>
  <c r="J533" i="1"/>
  <c r="I533" i="1"/>
  <c r="H533" i="1"/>
  <c r="P533" i="1"/>
  <c r="V532" i="1"/>
  <c r="U532" i="1"/>
  <c r="T532" i="1"/>
  <c r="L532" i="1"/>
  <c r="O532" i="1" s="1"/>
  <c r="W532" i="1" s="1"/>
  <c r="R532" i="1"/>
  <c r="S532" i="1" s="1"/>
  <c r="J532" i="1"/>
  <c r="I532" i="1"/>
  <c r="H532" i="1"/>
  <c r="P532" i="1"/>
  <c r="W531" i="1"/>
  <c r="V531" i="1"/>
  <c r="U531" i="1"/>
  <c r="T531" i="1"/>
  <c r="L531" i="1"/>
  <c r="R531" i="1"/>
  <c r="S531" i="1" s="1"/>
  <c r="J531" i="1"/>
  <c r="I531" i="1"/>
  <c r="H531" i="1"/>
  <c r="P531" i="1" s="1"/>
  <c r="V530" i="1"/>
  <c r="U530" i="1"/>
  <c r="T530" i="1"/>
  <c r="L530" i="1"/>
  <c r="O530" i="1" s="1"/>
  <c r="W530" i="1" s="1"/>
  <c r="J530" i="1"/>
  <c r="I530" i="1"/>
  <c r="H530" i="1"/>
  <c r="P530" i="1" s="1"/>
  <c r="V529" i="1"/>
  <c r="U529" i="1"/>
  <c r="T529" i="1"/>
  <c r="L529" i="1"/>
  <c r="O529" i="1"/>
  <c r="J529" i="1"/>
  <c r="I529" i="1"/>
  <c r="H529" i="1"/>
  <c r="P529" i="1"/>
  <c r="V528" i="1"/>
  <c r="U528" i="1"/>
  <c r="T528" i="1"/>
  <c r="L528" i="1"/>
  <c r="O528" i="1" s="1"/>
  <c r="W528" i="1" s="1"/>
  <c r="R528" i="1"/>
  <c r="S528" i="1" s="1"/>
  <c r="J528" i="1"/>
  <c r="I528" i="1"/>
  <c r="H528" i="1"/>
  <c r="P528" i="1"/>
  <c r="V527" i="1"/>
  <c r="U527" i="1"/>
  <c r="T527" i="1"/>
  <c r="L527" i="1"/>
  <c r="O527" i="1" s="1"/>
  <c r="J527" i="1"/>
  <c r="I527" i="1"/>
  <c r="H527" i="1"/>
  <c r="P527" i="1" s="1"/>
  <c r="V526" i="1"/>
  <c r="U526" i="1"/>
  <c r="T526" i="1"/>
  <c r="L526" i="1"/>
  <c r="O526" i="1" s="1"/>
  <c r="W526" i="1" s="1"/>
  <c r="J526" i="1"/>
  <c r="I526" i="1"/>
  <c r="H526" i="1"/>
  <c r="P526" i="1" s="1"/>
  <c r="V525" i="1"/>
  <c r="U525" i="1"/>
  <c r="T525" i="1"/>
  <c r="L525" i="1"/>
  <c r="O525" i="1"/>
  <c r="J525" i="1"/>
  <c r="I525" i="1"/>
  <c r="H525" i="1"/>
  <c r="P525" i="1"/>
  <c r="V524" i="1"/>
  <c r="U524" i="1"/>
  <c r="T524" i="1"/>
  <c r="L524" i="1"/>
  <c r="O524" i="1" s="1"/>
  <c r="W524" i="1" s="1"/>
  <c r="R524" i="1"/>
  <c r="S524" i="1" s="1"/>
  <c r="J524" i="1"/>
  <c r="I524" i="1"/>
  <c r="H524" i="1"/>
  <c r="P524" i="1"/>
  <c r="V523" i="1"/>
  <c r="U523" i="1"/>
  <c r="T523" i="1"/>
  <c r="L523" i="1"/>
  <c r="O523" i="1" s="1"/>
  <c r="J523" i="1"/>
  <c r="I523" i="1"/>
  <c r="H523" i="1"/>
  <c r="P523" i="1" s="1"/>
  <c r="V522" i="1"/>
  <c r="U522" i="1"/>
  <c r="T522" i="1"/>
  <c r="L522" i="1"/>
  <c r="O522" i="1" s="1"/>
  <c r="W522" i="1" s="1"/>
  <c r="J522" i="1"/>
  <c r="I522" i="1"/>
  <c r="H522" i="1"/>
  <c r="P522" i="1" s="1"/>
  <c r="V521" i="1"/>
  <c r="U521" i="1"/>
  <c r="T521" i="1"/>
  <c r="L521" i="1"/>
  <c r="O521" i="1"/>
  <c r="J521" i="1"/>
  <c r="I521" i="1"/>
  <c r="H521" i="1"/>
  <c r="P521" i="1"/>
  <c r="V520" i="1"/>
  <c r="U520" i="1"/>
  <c r="T520" i="1"/>
  <c r="L520" i="1"/>
  <c r="O520" i="1" s="1"/>
  <c r="W520" i="1" s="1"/>
  <c r="R520" i="1"/>
  <c r="S520" i="1" s="1"/>
  <c r="J520" i="1"/>
  <c r="I520" i="1"/>
  <c r="H520" i="1"/>
  <c r="P520" i="1"/>
  <c r="V519" i="1"/>
  <c r="U519" i="1"/>
  <c r="T519" i="1"/>
  <c r="L519" i="1"/>
  <c r="O519" i="1" s="1"/>
  <c r="J519" i="1"/>
  <c r="I519" i="1"/>
  <c r="H519" i="1"/>
  <c r="P519" i="1" s="1"/>
  <c r="V518" i="1"/>
  <c r="U518" i="1"/>
  <c r="T518" i="1"/>
  <c r="L518" i="1"/>
  <c r="O518" i="1" s="1"/>
  <c r="W518" i="1" s="1"/>
  <c r="J518" i="1"/>
  <c r="I518" i="1"/>
  <c r="H518" i="1"/>
  <c r="P518" i="1" s="1"/>
  <c r="V517" i="1"/>
  <c r="U517" i="1"/>
  <c r="T517" i="1"/>
  <c r="L517" i="1"/>
  <c r="O517" i="1"/>
  <c r="J517" i="1"/>
  <c r="I517" i="1"/>
  <c r="H517" i="1"/>
  <c r="P517" i="1"/>
  <c r="V516" i="1"/>
  <c r="U516" i="1"/>
  <c r="T516" i="1"/>
  <c r="L516" i="1"/>
  <c r="O516" i="1" s="1"/>
  <c r="W516" i="1" s="1"/>
  <c r="R516" i="1"/>
  <c r="S516" i="1" s="1"/>
  <c r="J516" i="1"/>
  <c r="I516" i="1"/>
  <c r="H516" i="1"/>
  <c r="P516" i="1"/>
  <c r="V515" i="1"/>
  <c r="U515" i="1"/>
  <c r="T515" i="1"/>
  <c r="L515" i="1"/>
  <c r="O515" i="1" s="1"/>
  <c r="J515" i="1"/>
  <c r="I515" i="1"/>
  <c r="H515" i="1"/>
  <c r="W514" i="1"/>
  <c r="V514" i="1"/>
  <c r="U514" i="1"/>
  <c r="T514" i="1"/>
  <c r="R514" i="1"/>
  <c r="S514" i="1" s="1"/>
  <c r="Q514" i="1"/>
  <c r="J514" i="1"/>
  <c r="I514" i="1"/>
  <c r="H514" i="1"/>
  <c r="P514" i="1" s="1"/>
  <c r="V513" i="1"/>
  <c r="U513" i="1"/>
  <c r="T513" i="1"/>
  <c r="L513" i="1"/>
  <c r="O513" i="1"/>
  <c r="J513" i="1"/>
  <c r="I513" i="1"/>
  <c r="H513" i="1"/>
  <c r="P513" i="1"/>
  <c r="V512" i="1"/>
  <c r="U512" i="1"/>
  <c r="T512" i="1"/>
  <c r="L512" i="1"/>
  <c r="O512" i="1" s="1"/>
  <c r="R512" i="1"/>
  <c r="S512" i="1" s="1"/>
  <c r="J512" i="1"/>
  <c r="I512" i="1"/>
  <c r="H512" i="1"/>
  <c r="P512" i="1" s="1"/>
  <c r="V511" i="1"/>
  <c r="U511" i="1"/>
  <c r="T511" i="1"/>
  <c r="L511" i="1"/>
  <c r="O511" i="1"/>
  <c r="J511" i="1"/>
  <c r="I511" i="1"/>
  <c r="H511" i="1"/>
  <c r="P511" i="1"/>
  <c r="V510" i="1"/>
  <c r="U510" i="1"/>
  <c r="T510" i="1"/>
  <c r="L510" i="1"/>
  <c r="O510" i="1" s="1"/>
  <c r="R510" i="1"/>
  <c r="S510" i="1" s="1"/>
  <c r="J510" i="1"/>
  <c r="I510" i="1"/>
  <c r="H510" i="1"/>
  <c r="P510" i="1" s="1"/>
  <c r="V509" i="1"/>
  <c r="U509" i="1"/>
  <c r="T509" i="1"/>
  <c r="L509" i="1"/>
  <c r="O509" i="1"/>
  <c r="J509" i="1"/>
  <c r="I509" i="1"/>
  <c r="H509" i="1"/>
  <c r="P509" i="1"/>
  <c r="V508" i="1"/>
  <c r="U508" i="1"/>
  <c r="T508" i="1"/>
  <c r="L508" i="1"/>
  <c r="O508" i="1" s="1"/>
  <c r="R508" i="1"/>
  <c r="S508" i="1" s="1"/>
  <c r="J508" i="1"/>
  <c r="I508" i="1"/>
  <c r="H508" i="1"/>
  <c r="P508" i="1" s="1"/>
  <c r="V507" i="1"/>
  <c r="U507" i="1"/>
  <c r="T507" i="1"/>
  <c r="L507" i="1"/>
  <c r="O507" i="1"/>
  <c r="J507" i="1"/>
  <c r="I507" i="1"/>
  <c r="H507" i="1"/>
  <c r="P507" i="1"/>
  <c r="V506" i="1"/>
  <c r="U506" i="1"/>
  <c r="T506" i="1"/>
  <c r="L506" i="1"/>
  <c r="R506" i="1" s="1"/>
  <c r="S506" i="1" s="1"/>
  <c r="J506" i="1"/>
  <c r="I506" i="1"/>
  <c r="H506" i="1"/>
  <c r="P506" i="1"/>
  <c r="V505" i="1"/>
  <c r="U505" i="1"/>
  <c r="T505" i="1"/>
  <c r="L505" i="1"/>
  <c r="R505" i="1" s="1"/>
  <c r="S505" i="1" s="1"/>
  <c r="J505" i="1"/>
  <c r="I505" i="1"/>
  <c r="H505" i="1"/>
  <c r="P505" i="1"/>
  <c r="V504" i="1"/>
  <c r="U504" i="1"/>
  <c r="T504" i="1"/>
  <c r="L504" i="1"/>
  <c r="R504" i="1" s="1"/>
  <c r="S504" i="1" s="1"/>
  <c r="J504" i="1"/>
  <c r="I504" i="1"/>
  <c r="H504" i="1"/>
  <c r="V503" i="1"/>
  <c r="U503" i="1"/>
  <c r="T503" i="1"/>
  <c r="L503" i="1"/>
  <c r="O503" i="1" s="1"/>
  <c r="W503" i="1" s="1"/>
  <c r="R503" i="1"/>
  <c r="S503" i="1" s="1"/>
  <c r="J503" i="1"/>
  <c r="I503" i="1"/>
  <c r="H503" i="1"/>
  <c r="P503" i="1" s="1"/>
  <c r="V502" i="1"/>
  <c r="U502" i="1"/>
  <c r="T502" i="1"/>
  <c r="L502" i="1"/>
  <c r="R502" i="1"/>
  <c r="S502" i="1" s="1"/>
  <c r="J502" i="1"/>
  <c r="I502" i="1"/>
  <c r="H502" i="1"/>
  <c r="V501" i="1"/>
  <c r="U501" i="1"/>
  <c r="T501" i="1"/>
  <c r="L501" i="1"/>
  <c r="R501" i="1" s="1"/>
  <c r="S501" i="1" s="1"/>
  <c r="J501" i="1"/>
  <c r="I501" i="1"/>
  <c r="H501" i="1"/>
  <c r="P501" i="1"/>
  <c r="V500" i="1"/>
  <c r="U500" i="1"/>
  <c r="T500" i="1"/>
  <c r="L500" i="1"/>
  <c r="R500" i="1" s="1"/>
  <c r="S500" i="1" s="1"/>
  <c r="J500" i="1"/>
  <c r="I500" i="1"/>
  <c r="H500" i="1"/>
  <c r="V499" i="1"/>
  <c r="U499" i="1"/>
  <c r="T499" i="1"/>
  <c r="L499" i="1"/>
  <c r="O499" i="1" s="1"/>
  <c r="W499" i="1" s="1"/>
  <c r="R499" i="1"/>
  <c r="S499" i="1" s="1"/>
  <c r="J499" i="1"/>
  <c r="I499" i="1"/>
  <c r="H499" i="1"/>
  <c r="P499" i="1" s="1"/>
  <c r="V498" i="1"/>
  <c r="U498" i="1"/>
  <c r="T498" i="1"/>
  <c r="L498" i="1"/>
  <c r="R498" i="1"/>
  <c r="S498" i="1" s="1"/>
  <c r="J498" i="1"/>
  <c r="I498" i="1"/>
  <c r="H498" i="1"/>
  <c r="V497" i="1"/>
  <c r="U497" i="1"/>
  <c r="T497" i="1"/>
  <c r="L497" i="1"/>
  <c r="R497" i="1" s="1"/>
  <c r="S497" i="1" s="1"/>
  <c r="J497" i="1"/>
  <c r="I497" i="1"/>
  <c r="H497" i="1"/>
  <c r="P497" i="1"/>
  <c r="V496" i="1"/>
  <c r="U496" i="1"/>
  <c r="T496" i="1"/>
  <c r="L496" i="1"/>
  <c r="R496" i="1" s="1"/>
  <c r="S496" i="1" s="1"/>
  <c r="J496" i="1"/>
  <c r="I496" i="1"/>
  <c r="H496" i="1"/>
  <c r="V495" i="1"/>
  <c r="U495" i="1"/>
  <c r="T495" i="1"/>
  <c r="L495" i="1"/>
  <c r="O495" i="1" s="1"/>
  <c r="W495" i="1" s="1"/>
  <c r="R495" i="1"/>
  <c r="S495" i="1" s="1"/>
  <c r="J495" i="1"/>
  <c r="I495" i="1"/>
  <c r="H495" i="1"/>
  <c r="P495" i="1" s="1"/>
  <c r="V494" i="1"/>
  <c r="U494" i="1"/>
  <c r="T494" i="1"/>
  <c r="L494" i="1"/>
  <c r="R494" i="1"/>
  <c r="S494" i="1" s="1"/>
  <c r="J494" i="1"/>
  <c r="I494" i="1"/>
  <c r="H494" i="1"/>
  <c r="V493" i="1"/>
  <c r="U493" i="1"/>
  <c r="T493" i="1"/>
  <c r="L493" i="1"/>
  <c r="R493" i="1" s="1"/>
  <c r="S493" i="1" s="1"/>
  <c r="J493" i="1"/>
  <c r="I493" i="1"/>
  <c r="H493" i="1"/>
  <c r="P493" i="1"/>
  <c r="V492" i="1"/>
  <c r="U492" i="1"/>
  <c r="T492" i="1"/>
  <c r="L492" i="1"/>
  <c r="R492" i="1" s="1"/>
  <c r="S492" i="1" s="1"/>
  <c r="J492" i="1"/>
  <c r="I492" i="1"/>
  <c r="H492" i="1"/>
  <c r="V491" i="1"/>
  <c r="U491" i="1"/>
  <c r="T491" i="1"/>
  <c r="L491" i="1"/>
  <c r="O491" i="1" s="1"/>
  <c r="W491" i="1" s="1"/>
  <c r="R491" i="1"/>
  <c r="S491" i="1" s="1"/>
  <c r="J491" i="1"/>
  <c r="I491" i="1"/>
  <c r="H491" i="1"/>
  <c r="P491" i="1" s="1"/>
  <c r="V490" i="1"/>
  <c r="U490" i="1"/>
  <c r="T490" i="1"/>
  <c r="L490" i="1"/>
  <c r="R490" i="1"/>
  <c r="S490" i="1" s="1"/>
  <c r="J490" i="1"/>
  <c r="I490" i="1"/>
  <c r="H490" i="1"/>
  <c r="V489" i="1"/>
  <c r="U489" i="1"/>
  <c r="T489" i="1"/>
  <c r="L489" i="1"/>
  <c r="R489" i="1" s="1"/>
  <c r="S489" i="1" s="1"/>
  <c r="J489" i="1"/>
  <c r="I489" i="1"/>
  <c r="H489" i="1"/>
  <c r="P489" i="1"/>
  <c r="V488" i="1"/>
  <c r="U488" i="1"/>
  <c r="T488" i="1"/>
  <c r="L488" i="1"/>
  <c r="R488" i="1" s="1"/>
  <c r="S488" i="1" s="1"/>
  <c r="J488" i="1"/>
  <c r="I488" i="1"/>
  <c r="H488" i="1"/>
  <c r="V487" i="1"/>
  <c r="U487" i="1"/>
  <c r="T487" i="1"/>
  <c r="L487" i="1"/>
  <c r="O487" i="1" s="1"/>
  <c r="W487" i="1" s="1"/>
  <c r="R487" i="1"/>
  <c r="S487" i="1" s="1"/>
  <c r="J487" i="1"/>
  <c r="I487" i="1"/>
  <c r="H487" i="1"/>
  <c r="P487" i="1" s="1"/>
  <c r="V486" i="1"/>
  <c r="U486" i="1"/>
  <c r="T486" i="1"/>
  <c r="L486" i="1"/>
  <c r="R486" i="1"/>
  <c r="S486" i="1" s="1"/>
  <c r="J486" i="1"/>
  <c r="I486" i="1"/>
  <c r="H486" i="1"/>
  <c r="V485" i="1"/>
  <c r="U485" i="1"/>
  <c r="T485" i="1"/>
  <c r="L485" i="1"/>
  <c r="R485" i="1" s="1"/>
  <c r="S485" i="1" s="1"/>
  <c r="J485" i="1"/>
  <c r="I485" i="1"/>
  <c r="H485" i="1"/>
  <c r="P485" i="1"/>
  <c r="V484" i="1"/>
  <c r="U484" i="1"/>
  <c r="T484" i="1"/>
  <c r="L484" i="1"/>
  <c r="R484" i="1" s="1"/>
  <c r="S484" i="1" s="1"/>
  <c r="J484" i="1"/>
  <c r="I484" i="1"/>
  <c r="H484" i="1"/>
  <c r="V483" i="1"/>
  <c r="U483" i="1"/>
  <c r="T483" i="1"/>
  <c r="L483" i="1"/>
  <c r="O483" i="1" s="1"/>
  <c r="W483" i="1" s="1"/>
  <c r="R483" i="1"/>
  <c r="S483" i="1" s="1"/>
  <c r="J483" i="1"/>
  <c r="I483" i="1"/>
  <c r="H483" i="1"/>
  <c r="P483" i="1" s="1"/>
  <c r="V482" i="1"/>
  <c r="U482" i="1"/>
  <c r="T482" i="1"/>
  <c r="L482" i="1"/>
  <c r="R482" i="1"/>
  <c r="S482" i="1" s="1"/>
  <c r="J482" i="1"/>
  <c r="I482" i="1"/>
  <c r="H482" i="1"/>
  <c r="V481" i="1"/>
  <c r="U481" i="1"/>
  <c r="T481" i="1"/>
  <c r="L481" i="1"/>
  <c r="R481" i="1" s="1"/>
  <c r="S481" i="1" s="1"/>
  <c r="J481" i="1"/>
  <c r="I481" i="1"/>
  <c r="H481" i="1"/>
  <c r="P481" i="1"/>
  <c r="V480" i="1"/>
  <c r="U480" i="1"/>
  <c r="T480" i="1"/>
  <c r="L480" i="1"/>
  <c r="J480" i="1"/>
  <c r="I480" i="1"/>
  <c r="H480" i="1"/>
  <c r="V479" i="1"/>
  <c r="U479" i="1"/>
  <c r="T479" i="1"/>
  <c r="L479" i="1"/>
  <c r="R479" i="1" s="1"/>
  <c r="S479" i="1" s="1"/>
  <c r="J479" i="1"/>
  <c r="I479" i="1"/>
  <c r="H479" i="1"/>
  <c r="P479" i="1" s="1"/>
  <c r="V478" i="1"/>
  <c r="U478" i="1"/>
  <c r="T478" i="1"/>
  <c r="L478" i="1"/>
  <c r="O478" i="1"/>
  <c r="J478" i="1"/>
  <c r="I478" i="1"/>
  <c r="H478" i="1"/>
  <c r="V477" i="1"/>
  <c r="U477" i="1"/>
  <c r="T477" i="1"/>
  <c r="L477" i="1"/>
  <c r="R477" i="1" s="1"/>
  <c r="S477" i="1" s="1"/>
  <c r="J477" i="1"/>
  <c r="I477" i="1"/>
  <c r="H477" i="1"/>
  <c r="P477" i="1" s="1"/>
  <c r="V476" i="1"/>
  <c r="U476" i="1"/>
  <c r="T476" i="1"/>
  <c r="L476" i="1"/>
  <c r="O476" i="1"/>
  <c r="J476" i="1"/>
  <c r="I476" i="1"/>
  <c r="H476" i="1"/>
  <c r="V475" i="1"/>
  <c r="U475" i="1"/>
  <c r="T475" i="1"/>
  <c r="L475" i="1"/>
  <c r="R475" i="1" s="1"/>
  <c r="S475" i="1" s="1"/>
  <c r="J475" i="1"/>
  <c r="I475" i="1"/>
  <c r="H475" i="1"/>
  <c r="P475" i="1" s="1"/>
  <c r="V474" i="1"/>
  <c r="U474" i="1"/>
  <c r="T474" i="1"/>
  <c r="L474" i="1"/>
  <c r="O474" i="1"/>
  <c r="J474" i="1"/>
  <c r="I474" i="1"/>
  <c r="H474" i="1"/>
  <c r="P474" i="1"/>
  <c r="V473" i="1"/>
  <c r="U473" i="1"/>
  <c r="T473" i="1"/>
  <c r="O473" i="1"/>
  <c r="W473" i="1" s="1"/>
  <c r="L473" i="1"/>
  <c r="R473" i="1" s="1"/>
  <c r="S473" i="1"/>
  <c r="J473" i="1"/>
  <c r="I473" i="1"/>
  <c r="H473" i="1"/>
  <c r="P473" i="1"/>
  <c r="V472" i="1"/>
  <c r="U472" i="1"/>
  <c r="T472" i="1"/>
  <c r="L472" i="1"/>
  <c r="O472" i="1" s="1"/>
  <c r="J472" i="1"/>
  <c r="I472" i="1"/>
  <c r="H472" i="1"/>
  <c r="V471" i="1"/>
  <c r="U471" i="1"/>
  <c r="T471" i="1"/>
  <c r="L471" i="1"/>
  <c r="R471" i="1" s="1"/>
  <c r="S471" i="1" s="1"/>
  <c r="J471" i="1"/>
  <c r="I471" i="1"/>
  <c r="H471" i="1"/>
  <c r="P471" i="1" s="1"/>
  <c r="V470" i="1"/>
  <c r="U470" i="1"/>
  <c r="T470" i="1"/>
  <c r="L470" i="1"/>
  <c r="O470" i="1"/>
  <c r="J470" i="1"/>
  <c r="I470" i="1"/>
  <c r="H470" i="1"/>
  <c r="V469" i="1"/>
  <c r="U469" i="1"/>
  <c r="T469" i="1"/>
  <c r="L469" i="1"/>
  <c r="O469" i="1" s="1"/>
  <c r="W469" i="1" s="1"/>
  <c r="R469" i="1"/>
  <c r="S469" i="1" s="1"/>
  <c r="J469" i="1"/>
  <c r="I469" i="1"/>
  <c r="H469" i="1"/>
  <c r="P469" i="1" s="1"/>
  <c r="V468" i="1"/>
  <c r="U468" i="1"/>
  <c r="T468" i="1"/>
  <c r="L468" i="1"/>
  <c r="O468" i="1"/>
  <c r="J468" i="1"/>
  <c r="I468" i="1"/>
  <c r="H468" i="1"/>
  <c r="V467" i="1"/>
  <c r="U467" i="1"/>
  <c r="T467" i="1"/>
  <c r="L467" i="1"/>
  <c r="O467" i="1" s="1"/>
  <c r="W467" i="1" s="1"/>
  <c r="R467" i="1"/>
  <c r="S467" i="1" s="1"/>
  <c r="J467" i="1"/>
  <c r="I467" i="1"/>
  <c r="H467" i="1"/>
  <c r="P467" i="1" s="1"/>
  <c r="V466" i="1"/>
  <c r="U466" i="1"/>
  <c r="T466" i="1"/>
  <c r="L466" i="1"/>
  <c r="O466" i="1"/>
  <c r="J466" i="1"/>
  <c r="I466" i="1"/>
  <c r="H466" i="1"/>
  <c r="V465" i="1"/>
  <c r="U465" i="1"/>
  <c r="T465" i="1"/>
  <c r="L465" i="1"/>
  <c r="O465" i="1" s="1"/>
  <c r="W465" i="1" s="1"/>
  <c r="R465" i="1"/>
  <c r="S465" i="1" s="1"/>
  <c r="J465" i="1"/>
  <c r="I465" i="1"/>
  <c r="H465" i="1"/>
  <c r="P465" i="1" s="1"/>
  <c r="V464" i="1"/>
  <c r="U464" i="1"/>
  <c r="T464" i="1"/>
  <c r="L464" i="1"/>
  <c r="O464" i="1"/>
  <c r="J464" i="1"/>
  <c r="I464" i="1"/>
  <c r="H464" i="1"/>
  <c r="V463" i="1"/>
  <c r="U463" i="1"/>
  <c r="T463" i="1"/>
  <c r="L463" i="1"/>
  <c r="O463" i="1" s="1"/>
  <c r="W463" i="1" s="1"/>
  <c r="R463" i="1"/>
  <c r="S463" i="1" s="1"/>
  <c r="J463" i="1"/>
  <c r="I463" i="1"/>
  <c r="H463" i="1"/>
  <c r="P463" i="1" s="1"/>
  <c r="V462" i="1"/>
  <c r="U462" i="1"/>
  <c r="T462" i="1"/>
  <c r="L462" i="1"/>
  <c r="O462" i="1"/>
  <c r="J462" i="1"/>
  <c r="I462" i="1"/>
  <c r="H462" i="1"/>
  <c r="V461" i="1"/>
  <c r="U461" i="1"/>
  <c r="T461" i="1"/>
  <c r="L461" i="1"/>
  <c r="O461" i="1" s="1"/>
  <c r="W461" i="1" s="1"/>
  <c r="R461" i="1"/>
  <c r="S461" i="1" s="1"/>
  <c r="J461" i="1"/>
  <c r="I461" i="1"/>
  <c r="H461" i="1"/>
  <c r="P461" i="1" s="1"/>
  <c r="V460" i="1"/>
  <c r="U460" i="1"/>
  <c r="T460" i="1"/>
  <c r="L460" i="1"/>
  <c r="O460" i="1"/>
  <c r="J460" i="1"/>
  <c r="I460" i="1"/>
  <c r="H460" i="1"/>
  <c r="V459" i="1"/>
  <c r="U459" i="1"/>
  <c r="T459" i="1"/>
  <c r="L459" i="1"/>
  <c r="O459" i="1" s="1"/>
  <c r="W459" i="1" s="1"/>
  <c r="R459" i="1"/>
  <c r="S459" i="1" s="1"/>
  <c r="J459" i="1"/>
  <c r="I459" i="1"/>
  <c r="H459" i="1"/>
  <c r="P459" i="1" s="1"/>
  <c r="V458" i="1"/>
  <c r="U458" i="1"/>
  <c r="T458" i="1"/>
  <c r="L458" i="1"/>
  <c r="O458" i="1"/>
  <c r="J458" i="1"/>
  <c r="I458" i="1"/>
  <c r="H458" i="1"/>
  <c r="V457" i="1"/>
  <c r="U457" i="1"/>
  <c r="T457" i="1"/>
  <c r="L457" i="1"/>
  <c r="O457" i="1" s="1"/>
  <c r="W457" i="1" s="1"/>
  <c r="R457" i="1"/>
  <c r="S457" i="1" s="1"/>
  <c r="J457" i="1"/>
  <c r="I457" i="1"/>
  <c r="H457" i="1"/>
  <c r="P457" i="1" s="1"/>
  <c r="V456" i="1"/>
  <c r="U456" i="1"/>
  <c r="T456" i="1"/>
  <c r="L456" i="1"/>
  <c r="O456" i="1"/>
  <c r="J456" i="1"/>
  <c r="I456" i="1"/>
  <c r="H456" i="1"/>
  <c r="V455" i="1"/>
  <c r="U455" i="1"/>
  <c r="T455" i="1"/>
  <c r="L455" i="1"/>
  <c r="O455" i="1" s="1"/>
  <c r="W455" i="1" s="1"/>
  <c r="R455" i="1"/>
  <c r="S455" i="1" s="1"/>
  <c r="J455" i="1"/>
  <c r="I455" i="1"/>
  <c r="H455" i="1"/>
  <c r="P455" i="1" s="1"/>
  <c r="V454" i="1"/>
  <c r="U454" i="1"/>
  <c r="T454" i="1"/>
  <c r="L454" i="1"/>
  <c r="O454" i="1"/>
  <c r="J454" i="1"/>
  <c r="I454" i="1"/>
  <c r="H454" i="1"/>
  <c r="V453" i="1"/>
  <c r="U453" i="1"/>
  <c r="T453" i="1"/>
  <c r="L453" i="1"/>
  <c r="O453" i="1" s="1"/>
  <c r="W453" i="1" s="1"/>
  <c r="R453" i="1"/>
  <c r="S453" i="1" s="1"/>
  <c r="J453" i="1"/>
  <c r="I453" i="1"/>
  <c r="H453" i="1"/>
  <c r="P453" i="1" s="1"/>
  <c r="V452" i="1"/>
  <c r="U452" i="1"/>
  <c r="T452" i="1"/>
  <c r="L452" i="1"/>
  <c r="O452" i="1" s="1"/>
  <c r="J452" i="1"/>
  <c r="I452" i="1"/>
  <c r="H452" i="1"/>
  <c r="V451" i="1"/>
  <c r="U451" i="1"/>
  <c r="T451" i="1"/>
  <c r="L451" i="1"/>
  <c r="O451" i="1" s="1"/>
  <c r="W451" i="1" s="1"/>
  <c r="J451" i="1"/>
  <c r="I451" i="1"/>
  <c r="H451" i="1"/>
  <c r="P451" i="1"/>
  <c r="V450" i="1"/>
  <c r="U450" i="1"/>
  <c r="T450" i="1"/>
  <c r="L450" i="1"/>
  <c r="O450" i="1" s="1"/>
  <c r="J450" i="1"/>
  <c r="I450" i="1"/>
  <c r="H450" i="1"/>
  <c r="V449" i="1"/>
  <c r="U449" i="1"/>
  <c r="T449" i="1"/>
  <c r="L449" i="1"/>
  <c r="O449" i="1" s="1"/>
  <c r="W449" i="1" s="1"/>
  <c r="J449" i="1"/>
  <c r="I449" i="1"/>
  <c r="H449" i="1"/>
  <c r="P449" i="1"/>
  <c r="V448" i="1"/>
  <c r="U448" i="1"/>
  <c r="T448" i="1"/>
  <c r="L448" i="1"/>
  <c r="O448" i="1" s="1"/>
  <c r="J448" i="1"/>
  <c r="I448" i="1"/>
  <c r="H448" i="1"/>
  <c r="V447" i="1"/>
  <c r="U447" i="1"/>
  <c r="T447" i="1"/>
  <c r="L447" i="1"/>
  <c r="O447" i="1" s="1"/>
  <c r="W447" i="1" s="1"/>
  <c r="J447" i="1"/>
  <c r="I447" i="1"/>
  <c r="H447" i="1"/>
  <c r="P447" i="1"/>
  <c r="V446" i="1"/>
  <c r="U446" i="1"/>
  <c r="T446" i="1"/>
  <c r="L446" i="1"/>
  <c r="O446" i="1" s="1"/>
  <c r="J446" i="1"/>
  <c r="I446" i="1"/>
  <c r="H446" i="1"/>
  <c r="V445" i="1"/>
  <c r="U445" i="1"/>
  <c r="T445" i="1"/>
  <c r="L445" i="1"/>
  <c r="O445" i="1" s="1"/>
  <c r="W445" i="1" s="1"/>
  <c r="J445" i="1"/>
  <c r="I445" i="1"/>
  <c r="H445" i="1"/>
  <c r="P445" i="1"/>
  <c r="V444" i="1"/>
  <c r="U444" i="1"/>
  <c r="T444" i="1"/>
  <c r="L444" i="1"/>
  <c r="O444" i="1" s="1"/>
  <c r="J444" i="1"/>
  <c r="I444" i="1"/>
  <c r="H444" i="1"/>
  <c r="V443" i="1"/>
  <c r="U443" i="1"/>
  <c r="T443" i="1"/>
  <c r="L443" i="1"/>
  <c r="O443" i="1" s="1"/>
  <c r="W443" i="1" s="1"/>
  <c r="J443" i="1"/>
  <c r="I443" i="1"/>
  <c r="H443" i="1"/>
  <c r="P443" i="1"/>
  <c r="V442" i="1"/>
  <c r="U442" i="1"/>
  <c r="T442" i="1"/>
  <c r="L442" i="1"/>
  <c r="O442" i="1" s="1"/>
  <c r="J442" i="1"/>
  <c r="I442" i="1"/>
  <c r="H442" i="1"/>
  <c r="V441" i="1"/>
  <c r="U441" i="1"/>
  <c r="T441" i="1"/>
  <c r="L441" i="1"/>
  <c r="O441" i="1" s="1"/>
  <c r="W441" i="1" s="1"/>
  <c r="J441" i="1"/>
  <c r="I441" i="1"/>
  <c r="H441" i="1"/>
  <c r="P441" i="1"/>
  <c r="V440" i="1"/>
  <c r="U440" i="1"/>
  <c r="T440" i="1"/>
  <c r="L440" i="1"/>
  <c r="O440" i="1" s="1"/>
  <c r="J440" i="1"/>
  <c r="I440" i="1"/>
  <c r="H440" i="1"/>
  <c r="V439" i="1"/>
  <c r="U439" i="1"/>
  <c r="T439" i="1"/>
  <c r="L439" i="1"/>
  <c r="O439" i="1" s="1"/>
  <c r="W439" i="1" s="1"/>
  <c r="J439" i="1"/>
  <c r="I439" i="1"/>
  <c r="H439" i="1"/>
  <c r="P439" i="1"/>
  <c r="V438" i="1"/>
  <c r="U438" i="1"/>
  <c r="T438" i="1"/>
  <c r="L438" i="1"/>
  <c r="O438" i="1" s="1"/>
  <c r="J438" i="1"/>
  <c r="I438" i="1"/>
  <c r="H438" i="1"/>
  <c r="V437" i="1"/>
  <c r="U437" i="1"/>
  <c r="T437" i="1"/>
  <c r="L437" i="1"/>
  <c r="O437" i="1" s="1"/>
  <c r="W437" i="1" s="1"/>
  <c r="J437" i="1"/>
  <c r="I437" i="1"/>
  <c r="H437" i="1"/>
  <c r="P437" i="1"/>
  <c r="V436" i="1"/>
  <c r="U436" i="1"/>
  <c r="T436" i="1"/>
  <c r="L436" i="1"/>
  <c r="O436" i="1" s="1"/>
  <c r="J436" i="1"/>
  <c r="I436" i="1"/>
  <c r="H436" i="1"/>
  <c r="W435" i="1"/>
  <c r="V435" i="1"/>
  <c r="U435" i="1"/>
  <c r="T435" i="1"/>
  <c r="R435" i="1"/>
  <c r="S435" i="1" s="1"/>
  <c r="Q435" i="1"/>
  <c r="J435" i="1"/>
  <c r="I435" i="1"/>
  <c r="H435" i="1"/>
  <c r="P435" i="1" s="1"/>
  <c r="V434" i="1"/>
  <c r="U434" i="1"/>
  <c r="T434" i="1"/>
  <c r="L434" i="1"/>
  <c r="O434" i="1"/>
  <c r="J434" i="1"/>
  <c r="I434" i="1"/>
  <c r="H434" i="1"/>
  <c r="V433" i="1"/>
  <c r="U433" i="1"/>
  <c r="T433" i="1"/>
  <c r="L433" i="1"/>
  <c r="O433" i="1" s="1"/>
  <c r="W433" i="1" s="1"/>
  <c r="R433" i="1"/>
  <c r="S433" i="1" s="1"/>
  <c r="J433" i="1"/>
  <c r="I433" i="1"/>
  <c r="H433" i="1"/>
  <c r="P433" i="1" s="1"/>
  <c r="V432" i="1"/>
  <c r="U432" i="1"/>
  <c r="T432" i="1"/>
  <c r="L432" i="1"/>
  <c r="O432" i="1"/>
  <c r="J432" i="1"/>
  <c r="I432" i="1"/>
  <c r="H432" i="1"/>
  <c r="V431" i="1"/>
  <c r="U431" i="1"/>
  <c r="T431" i="1"/>
  <c r="L431" i="1"/>
  <c r="O431" i="1" s="1"/>
  <c r="W431" i="1" s="1"/>
  <c r="R431" i="1"/>
  <c r="S431" i="1" s="1"/>
  <c r="J431" i="1"/>
  <c r="I431" i="1"/>
  <c r="H431" i="1"/>
  <c r="P431" i="1" s="1"/>
  <c r="V430" i="1"/>
  <c r="U430" i="1"/>
  <c r="T430" i="1"/>
  <c r="L430" i="1"/>
  <c r="O430" i="1"/>
  <c r="J430" i="1"/>
  <c r="I430" i="1"/>
  <c r="H430" i="1"/>
  <c r="V429" i="1"/>
  <c r="U429" i="1"/>
  <c r="T429" i="1"/>
  <c r="L429" i="1"/>
  <c r="O429" i="1" s="1"/>
  <c r="W429" i="1" s="1"/>
  <c r="R429" i="1"/>
  <c r="S429" i="1" s="1"/>
  <c r="J429" i="1"/>
  <c r="I429" i="1"/>
  <c r="H429" i="1"/>
  <c r="P429" i="1" s="1"/>
  <c r="V428" i="1"/>
  <c r="U428" i="1"/>
  <c r="T428" i="1"/>
  <c r="L428" i="1"/>
  <c r="O428" i="1"/>
  <c r="J428" i="1"/>
  <c r="I428" i="1"/>
  <c r="H428" i="1"/>
  <c r="V427" i="1"/>
  <c r="U427" i="1"/>
  <c r="T427" i="1"/>
  <c r="L427" i="1"/>
  <c r="O427" i="1" s="1"/>
  <c r="W427" i="1" s="1"/>
  <c r="R427" i="1"/>
  <c r="S427" i="1" s="1"/>
  <c r="J427" i="1"/>
  <c r="I427" i="1"/>
  <c r="H427" i="1"/>
  <c r="P427" i="1" s="1"/>
  <c r="V426" i="1"/>
  <c r="U426" i="1"/>
  <c r="T426" i="1"/>
  <c r="L426" i="1"/>
  <c r="O426" i="1"/>
  <c r="J426" i="1"/>
  <c r="I426" i="1"/>
  <c r="H426" i="1"/>
  <c r="V425" i="1"/>
  <c r="U425" i="1"/>
  <c r="T425" i="1"/>
  <c r="L425" i="1"/>
  <c r="O425" i="1" s="1"/>
  <c r="W425" i="1" s="1"/>
  <c r="R425" i="1"/>
  <c r="S425" i="1" s="1"/>
  <c r="J425" i="1"/>
  <c r="I425" i="1"/>
  <c r="H425" i="1"/>
  <c r="P425" i="1" s="1"/>
  <c r="V424" i="1"/>
  <c r="U424" i="1"/>
  <c r="T424" i="1"/>
  <c r="L424" i="1"/>
  <c r="O424" i="1"/>
  <c r="J424" i="1"/>
  <c r="I424" i="1"/>
  <c r="H424" i="1"/>
  <c r="V423" i="1"/>
  <c r="U423" i="1"/>
  <c r="T423" i="1"/>
  <c r="L423" i="1"/>
  <c r="O423" i="1" s="1"/>
  <c r="W423" i="1" s="1"/>
  <c r="R423" i="1"/>
  <c r="S423" i="1" s="1"/>
  <c r="J423" i="1"/>
  <c r="I423" i="1"/>
  <c r="H423" i="1"/>
  <c r="P423" i="1" s="1"/>
  <c r="V422" i="1"/>
  <c r="U422" i="1"/>
  <c r="T422" i="1"/>
  <c r="L422" i="1"/>
  <c r="O422" i="1"/>
  <c r="J422" i="1"/>
  <c r="I422" i="1"/>
  <c r="H422" i="1"/>
  <c r="V421" i="1"/>
  <c r="U421" i="1"/>
  <c r="T421" i="1"/>
  <c r="L421" i="1"/>
  <c r="O421" i="1" s="1"/>
  <c r="W421" i="1" s="1"/>
  <c r="R421" i="1"/>
  <c r="S421" i="1" s="1"/>
  <c r="J421" i="1"/>
  <c r="I421" i="1"/>
  <c r="H421" i="1"/>
  <c r="P421" i="1" s="1"/>
  <c r="V420" i="1"/>
  <c r="U420" i="1"/>
  <c r="T420" i="1"/>
  <c r="L420" i="1"/>
  <c r="O420" i="1"/>
  <c r="J420" i="1"/>
  <c r="I420" i="1"/>
  <c r="H420" i="1"/>
  <c r="P420" i="1"/>
  <c r="V419" i="1"/>
  <c r="U419" i="1"/>
  <c r="T419" i="1"/>
  <c r="L419" i="1"/>
  <c r="O419" i="1" s="1"/>
  <c r="W419" i="1" s="1"/>
  <c r="R419" i="1"/>
  <c r="S419" i="1" s="1"/>
  <c r="J419" i="1"/>
  <c r="I419" i="1"/>
  <c r="H419" i="1"/>
  <c r="P419" i="1"/>
  <c r="V418" i="1"/>
  <c r="U418" i="1"/>
  <c r="T418" i="1"/>
  <c r="L418" i="1"/>
  <c r="O418" i="1" s="1"/>
  <c r="W418" i="1" s="1"/>
  <c r="J418" i="1"/>
  <c r="I418" i="1"/>
  <c r="H418" i="1"/>
  <c r="P418" i="1"/>
  <c r="V417" i="1"/>
  <c r="U417" i="1"/>
  <c r="T417" i="1"/>
  <c r="L417" i="1"/>
  <c r="R417" i="1" s="1"/>
  <c r="S417" i="1" s="1"/>
  <c r="J417" i="1"/>
  <c r="I417" i="1"/>
  <c r="H417" i="1"/>
  <c r="V416" i="1"/>
  <c r="U416" i="1"/>
  <c r="T416" i="1"/>
  <c r="L416" i="1"/>
  <c r="O416" i="1" s="1"/>
  <c r="W416" i="1" s="1"/>
  <c r="R416" i="1"/>
  <c r="S416" i="1" s="1"/>
  <c r="J416" i="1"/>
  <c r="I416" i="1"/>
  <c r="H416" i="1"/>
  <c r="P416" i="1" s="1"/>
  <c r="V415" i="1"/>
  <c r="U415" i="1"/>
  <c r="T415" i="1"/>
  <c r="L415" i="1"/>
  <c r="R415" i="1"/>
  <c r="S415" i="1" s="1"/>
  <c r="J415" i="1"/>
  <c r="I415" i="1"/>
  <c r="H415" i="1"/>
  <c r="V414" i="1"/>
  <c r="U414" i="1"/>
  <c r="T414" i="1"/>
  <c r="L414" i="1"/>
  <c r="O414" i="1" s="1"/>
  <c r="W414" i="1" s="1"/>
  <c r="J414" i="1"/>
  <c r="I414" i="1"/>
  <c r="H414" i="1"/>
  <c r="P414" i="1"/>
  <c r="V413" i="1"/>
  <c r="U413" i="1"/>
  <c r="T413" i="1"/>
  <c r="L413" i="1"/>
  <c r="R413" i="1" s="1"/>
  <c r="S413" i="1" s="1"/>
  <c r="J413" i="1"/>
  <c r="I413" i="1"/>
  <c r="H413" i="1"/>
  <c r="V412" i="1"/>
  <c r="U412" i="1"/>
  <c r="T412" i="1"/>
  <c r="L412" i="1"/>
  <c r="O412" i="1" s="1"/>
  <c r="W412" i="1" s="1"/>
  <c r="R412" i="1"/>
  <c r="S412" i="1" s="1"/>
  <c r="J412" i="1"/>
  <c r="I412" i="1"/>
  <c r="H412" i="1"/>
  <c r="P412" i="1" s="1"/>
  <c r="V411" i="1"/>
  <c r="U411" i="1"/>
  <c r="T411" i="1"/>
  <c r="L411" i="1"/>
  <c r="R411" i="1"/>
  <c r="S411" i="1" s="1"/>
  <c r="J411" i="1"/>
  <c r="I411" i="1"/>
  <c r="H411" i="1"/>
  <c r="V410" i="1"/>
  <c r="U410" i="1"/>
  <c r="T410" i="1"/>
  <c r="L410" i="1"/>
  <c r="R410" i="1" s="1"/>
  <c r="S410" i="1" s="1"/>
  <c r="J410" i="1"/>
  <c r="I410" i="1"/>
  <c r="H410" i="1"/>
  <c r="P410" i="1"/>
  <c r="V409" i="1"/>
  <c r="U409" i="1"/>
  <c r="T409" i="1"/>
  <c r="L409" i="1"/>
  <c r="R409" i="1" s="1"/>
  <c r="S409" i="1" s="1"/>
  <c r="J409" i="1"/>
  <c r="I409" i="1"/>
  <c r="H409" i="1"/>
  <c r="V408" i="1"/>
  <c r="U408" i="1"/>
  <c r="T408" i="1"/>
  <c r="L408" i="1"/>
  <c r="O408" i="1" s="1"/>
  <c r="W408" i="1" s="1"/>
  <c r="R408" i="1"/>
  <c r="S408" i="1" s="1"/>
  <c r="J408" i="1"/>
  <c r="I408" i="1"/>
  <c r="H408" i="1"/>
  <c r="P408" i="1" s="1"/>
  <c r="V407" i="1"/>
  <c r="U407" i="1"/>
  <c r="T407" i="1"/>
  <c r="L407" i="1"/>
  <c r="R407" i="1"/>
  <c r="S407" i="1" s="1"/>
  <c r="J407" i="1"/>
  <c r="I407" i="1"/>
  <c r="H407" i="1"/>
  <c r="V406" i="1"/>
  <c r="U406" i="1"/>
  <c r="T406" i="1"/>
  <c r="O406" i="1"/>
  <c r="W406" i="1" s="1"/>
  <c r="L406" i="1"/>
  <c r="R406" i="1" s="1"/>
  <c r="S406" i="1"/>
  <c r="J406" i="1"/>
  <c r="I406" i="1"/>
  <c r="H406" i="1"/>
  <c r="P406" i="1"/>
  <c r="V405" i="1"/>
  <c r="U405" i="1"/>
  <c r="T405" i="1"/>
  <c r="L405" i="1"/>
  <c r="R405" i="1" s="1"/>
  <c r="S405" i="1" s="1"/>
  <c r="J405" i="1"/>
  <c r="I405" i="1"/>
  <c r="H405" i="1"/>
  <c r="V404" i="1"/>
  <c r="U404" i="1"/>
  <c r="T404" i="1"/>
  <c r="W404" i="1"/>
  <c r="L404" i="1"/>
  <c r="O404" i="1" s="1"/>
  <c r="R404" i="1"/>
  <c r="S404" i="1" s="1"/>
  <c r="J404" i="1"/>
  <c r="I404" i="1"/>
  <c r="H404" i="1"/>
  <c r="P404" i="1"/>
  <c r="V403" i="1"/>
  <c r="U403" i="1"/>
  <c r="T403" i="1"/>
  <c r="L403" i="1"/>
  <c r="R403" i="1" s="1"/>
  <c r="S403" i="1" s="1"/>
  <c r="J403" i="1"/>
  <c r="I403" i="1"/>
  <c r="H403" i="1"/>
  <c r="V402" i="1"/>
  <c r="U402" i="1"/>
  <c r="T402" i="1"/>
  <c r="L402" i="1"/>
  <c r="O402" i="1" s="1"/>
  <c r="W402" i="1" s="1"/>
  <c r="R402" i="1"/>
  <c r="S402" i="1" s="1"/>
  <c r="J402" i="1"/>
  <c r="I402" i="1"/>
  <c r="H402" i="1"/>
  <c r="P402" i="1" s="1"/>
  <c r="V401" i="1"/>
  <c r="U401" i="1"/>
  <c r="T401" i="1"/>
  <c r="L401" i="1"/>
  <c r="R401" i="1"/>
  <c r="S401" i="1" s="1"/>
  <c r="J401" i="1"/>
  <c r="I401" i="1"/>
  <c r="H401" i="1"/>
  <c r="V400" i="1"/>
  <c r="U400" i="1"/>
  <c r="T400" i="1"/>
  <c r="L400" i="1"/>
  <c r="O400" i="1" s="1"/>
  <c r="W400" i="1" s="1"/>
  <c r="J400" i="1"/>
  <c r="I400" i="1"/>
  <c r="H400" i="1"/>
  <c r="P400" i="1"/>
  <c r="V399" i="1"/>
  <c r="U399" i="1"/>
  <c r="T399" i="1"/>
  <c r="L399" i="1"/>
  <c r="R399" i="1" s="1"/>
  <c r="S399" i="1" s="1"/>
  <c r="J399" i="1"/>
  <c r="I399" i="1"/>
  <c r="H399" i="1"/>
  <c r="V398" i="1"/>
  <c r="U398" i="1"/>
  <c r="T398" i="1"/>
  <c r="L398" i="1"/>
  <c r="O398" i="1" s="1"/>
  <c r="W398" i="1" s="1"/>
  <c r="R398" i="1"/>
  <c r="S398" i="1" s="1"/>
  <c r="J398" i="1"/>
  <c r="I398" i="1"/>
  <c r="H398" i="1"/>
  <c r="P398" i="1" s="1"/>
  <c r="V397" i="1"/>
  <c r="U397" i="1"/>
  <c r="T397" i="1"/>
  <c r="L397" i="1"/>
  <c r="R397" i="1"/>
  <c r="S397" i="1" s="1"/>
  <c r="J397" i="1"/>
  <c r="I397" i="1"/>
  <c r="H397" i="1"/>
  <c r="V396" i="1"/>
  <c r="U396" i="1"/>
  <c r="T396" i="1"/>
  <c r="L396" i="1"/>
  <c r="O396" i="1" s="1"/>
  <c r="W396" i="1" s="1"/>
  <c r="J396" i="1"/>
  <c r="I396" i="1"/>
  <c r="H396" i="1"/>
  <c r="P396" i="1"/>
  <c r="V395" i="1"/>
  <c r="U395" i="1"/>
  <c r="T395" i="1"/>
  <c r="L395" i="1"/>
  <c r="R395" i="1" s="1"/>
  <c r="S395" i="1" s="1"/>
  <c r="J395" i="1"/>
  <c r="I395" i="1"/>
  <c r="H395" i="1"/>
  <c r="V394" i="1"/>
  <c r="U394" i="1"/>
  <c r="T394" i="1"/>
  <c r="L394" i="1"/>
  <c r="O394" i="1" s="1"/>
  <c r="W394" i="1" s="1"/>
  <c r="R394" i="1"/>
  <c r="S394" i="1" s="1"/>
  <c r="J394" i="1"/>
  <c r="I394" i="1"/>
  <c r="H394" i="1"/>
  <c r="P394" i="1" s="1"/>
  <c r="V393" i="1"/>
  <c r="U393" i="1"/>
  <c r="T393" i="1"/>
  <c r="L393" i="1"/>
  <c r="R393" i="1"/>
  <c r="S393" i="1" s="1"/>
  <c r="J393" i="1"/>
  <c r="I393" i="1"/>
  <c r="H393" i="1"/>
  <c r="V392" i="1"/>
  <c r="U392" i="1"/>
  <c r="T392" i="1"/>
  <c r="L392" i="1"/>
  <c r="O392" i="1" s="1"/>
  <c r="W392" i="1" s="1"/>
  <c r="J392" i="1"/>
  <c r="I392" i="1"/>
  <c r="H392" i="1"/>
  <c r="P392" i="1"/>
  <c r="V391" i="1"/>
  <c r="U391" i="1"/>
  <c r="T391" i="1"/>
  <c r="L391" i="1"/>
  <c r="R391" i="1" s="1"/>
  <c r="S391" i="1" s="1"/>
  <c r="J391" i="1"/>
  <c r="I391" i="1"/>
  <c r="H391" i="1"/>
  <c r="V390" i="1"/>
  <c r="U390" i="1"/>
  <c r="T390" i="1"/>
  <c r="L390" i="1"/>
  <c r="O390" i="1" s="1"/>
  <c r="W390" i="1" s="1"/>
  <c r="R390" i="1"/>
  <c r="S390" i="1" s="1"/>
  <c r="J390" i="1"/>
  <c r="I390" i="1"/>
  <c r="H390" i="1"/>
  <c r="P390" i="1" s="1"/>
  <c r="V389" i="1"/>
  <c r="U389" i="1"/>
  <c r="T389" i="1"/>
  <c r="L389" i="1"/>
  <c r="R389" i="1"/>
  <c r="S389" i="1" s="1"/>
  <c r="J389" i="1"/>
  <c r="I389" i="1"/>
  <c r="H389" i="1"/>
  <c r="V388" i="1"/>
  <c r="U388" i="1"/>
  <c r="T388" i="1"/>
  <c r="L388" i="1"/>
  <c r="O388" i="1" s="1"/>
  <c r="W388" i="1" s="1"/>
  <c r="J388" i="1"/>
  <c r="I388" i="1"/>
  <c r="H388" i="1"/>
  <c r="P388" i="1"/>
  <c r="V387" i="1"/>
  <c r="U387" i="1"/>
  <c r="T387" i="1"/>
  <c r="L387" i="1"/>
  <c r="R387" i="1" s="1"/>
  <c r="S387" i="1" s="1"/>
  <c r="J387" i="1"/>
  <c r="I387" i="1"/>
  <c r="H387" i="1"/>
  <c r="V386" i="1"/>
  <c r="U386" i="1"/>
  <c r="T386" i="1"/>
  <c r="L386" i="1"/>
  <c r="O386" i="1" s="1"/>
  <c r="W386" i="1" s="1"/>
  <c r="R386" i="1"/>
  <c r="S386" i="1" s="1"/>
  <c r="J386" i="1"/>
  <c r="I386" i="1"/>
  <c r="H386" i="1"/>
  <c r="P386" i="1" s="1"/>
  <c r="V385" i="1"/>
  <c r="U385" i="1"/>
  <c r="T385" i="1"/>
  <c r="L385" i="1"/>
  <c r="R385" i="1"/>
  <c r="S385" i="1" s="1"/>
  <c r="J385" i="1"/>
  <c r="I385" i="1"/>
  <c r="H385" i="1"/>
  <c r="V384" i="1"/>
  <c r="U384" i="1"/>
  <c r="T384" i="1"/>
  <c r="L384" i="1"/>
  <c r="O384" i="1" s="1"/>
  <c r="W384" i="1" s="1"/>
  <c r="J384" i="1"/>
  <c r="I384" i="1"/>
  <c r="H384" i="1"/>
  <c r="P384" i="1"/>
  <c r="V383" i="1"/>
  <c r="U383" i="1"/>
  <c r="T383" i="1"/>
  <c r="L383" i="1"/>
  <c r="R383" i="1" s="1"/>
  <c r="S383" i="1" s="1"/>
  <c r="J383" i="1"/>
  <c r="I383" i="1"/>
  <c r="H383" i="1"/>
  <c r="V382" i="1"/>
  <c r="U382" i="1"/>
  <c r="T382" i="1"/>
  <c r="L382" i="1"/>
  <c r="O382" i="1" s="1"/>
  <c r="W382" i="1" s="1"/>
  <c r="R382" i="1"/>
  <c r="S382" i="1" s="1"/>
  <c r="J382" i="1"/>
  <c r="I382" i="1"/>
  <c r="H382" i="1"/>
  <c r="P382" i="1" s="1"/>
  <c r="V381" i="1"/>
  <c r="U381" i="1"/>
  <c r="T381" i="1"/>
  <c r="L381" i="1"/>
  <c r="R381" i="1"/>
  <c r="S381" i="1" s="1"/>
  <c r="J381" i="1"/>
  <c r="I381" i="1"/>
  <c r="H381" i="1"/>
  <c r="V380" i="1"/>
  <c r="U380" i="1"/>
  <c r="T380" i="1"/>
  <c r="L380" i="1"/>
  <c r="O380" i="1" s="1"/>
  <c r="W380" i="1" s="1"/>
  <c r="J380" i="1"/>
  <c r="I380" i="1"/>
  <c r="H380" i="1"/>
  <c r="P380" i="1"/>
  <c r="V379" i="1"/>
  <c r="U379" i="1"/>
  <c r="T379" i="1"/>
  <c r="L379" i="1"/>
  <c r="R379" i="1" s="1"/>
  <c r="S379" i="1" s="1"/>
  <c r="J379" i="1"/>
  <c r="I379" i="1"/>
  <c r="H379" i="1"/>
  <c r="V378" i="1"/>
  <c r="U378" i="1"/>
  <c r="T378" i="1"/>
  <c r="L378" i="1"/>
  <c r="O378" i="1" s="1"/>
  <c r="W378" i="1" s="1"/>
  <c r="R378" i="1"/>
  <c r="S378" i="1" s="1"/>
  <c r="J378" i="1"/>
  <c r="I378" i="1"/>
  <c r="H378" i="1"/>
  <c r="P378" i="1" s="1"/>
  <c r="V377" i="1"/>
  <c r="U377" i="1"/>
  <c r="T377" i="1"/>
  <c r="L377" i="1"/>
  <c r="R377" i="1"/>
  <c r="S377" i="1" s="1"/>
  <c r="J377" i="1"/>
  <c r="I377" i="1"/>
  <c r="H377" i="1"/>
  <c r="V376" i="1"/>
  <c r="U376" i="1"/>
  <c r="T376" i="1"/>
  <c r="L376" i="1"/>
  <c r="O376" i="1" s="1"/>
  <c r="W376" i="1" s="1"/>
  <c r="J376" i="1"/>
  <c r="I376" i="1"/>
  <c r="H376" i="1"/>
  <c r="P376" i="1"/>
  <c r="V375" i="1"/>
  <c r="U375" i="1"/>
  <c r="T375" i="1"/>
  <c r="L375" i="1"/>
  <c r="R375" i="1" s="1"/>
  <c r="S375" i="1" s="1"/>
  <c r="J375" i="1"/>
  <c r="I375" i="1"/>
  <c r="H375" i="1"/>
  <c r="V374" i="1"/>
  <c r="U374" i="1"/>
  <c r="T374" i="1"/>
  <c r="L374" i="1"/>
  <c r="O374" i="1" s="1"/>
  <c r="W374" i="1" s="1"/>
  <c r="R374" i="1"/>
  <c r="S374" i="1" s="1"/>
  <c r="J374" i="1"/>
  <c r="I374" i="1"/>
  <c r="H374" i="1"/>
  <c r="P374" i="1" s="1"/>
  <c r="V373" i="1"/>
  <c r="U373" i="1"/>
  <c r="T373" i="1"/>
  <c r="L373" i="1"/>
  <c r="R373" i="1"/>
  <c r="S373" i="1" s="1"/>
  <c r="J373" i="1"/>
  <c r="I373" i="1"/>
  <c r="H373" i="1"/>
  <c r="V372" i="1"/>
  <c r="U372" i="1"/>
  <c r="T372" i="1"/>
  <c r="L372" i="1"/>
  <c r="O372" i="1" s="1"/>
  <c r="W372" i="1" s="1"/>
  <c r="J372" i="1"/>
  <c r="I372" i="1"/>
  <c r="H372" i="1"/>
  <c r="P372" i="1"/>
  <c r="V371" i="1"/>
  <c r="U371" i="1"/>
  <c r="T371" i="1"/>
  <c r="L371" i="1"/>
  <c r="R371" i="1" s="1"/>
  <c r="S371" i="1" s="1"/>
  <c r="J371" i="1"/>
  <c r="I371" i="1"/>
  <c r="H371" i="1"/>
  <c r="V370" i="1"/>
  <c r="U370" i="1"/>
  <c r="T370" i="1"/>
  <c r="L370" i="1"/>
  <c r="O370" i="1" s="1"/>
  <c r="W370" i="1" s="1"/>
  <c r="R370" i="1"/>
  <c r="S370" i="1" s="1"/>
  <c r="J370" i="1"/>
  <c r="I370" i="1"/>
  <c r="H370" i="1"/>
  <c r="P370" i="1" s="1"/>
  <c r="V369" i="1"/>
  <c r="U369" i="1"/>
  <c r="T369" i="1"/>
  <c r="L369" i="1"/>
  <c r="R369" i="1"/>
  <c r="S369" i="1" s="1"/>
  <c r="J369" i="1"/>
  <c r="I369" i="1"/>
  <c r="H369" i="1"/>
  <c r="V368" i="1"/>
  <c r="U368" i="1"/>
  <c r="T368" i="1"/>
  <c r="L368" i="1"/>
  <c r="O368" i="1" s="1"/>
  <c r="W368" i="1" s="1"/>
  <c r="J368" i="1"/>
  <c r="I368" i="1"/>
  <c r="H368" i="1"/>
  <c r="P368" i="1"/>
  <c r="V367" i="1"/>
  <c r="U367" i="1"/>
  <c r="T367" i="1"/>
  <c r="L367" i="1"/>
  <c r="R367" i="1" s="1"/>
  <c r="S367" i="1" s="1"/>
  <c r="J367" i="1"/>
  <c r="I367" i="1"/>
  <c r="H367" i="1"/>
  <c r="V366" i="1"/>
  <c r="U366" i="1"/>
  <c r="T366" i="1"/>
  <c r="L366" i="1"/>
  <c r="O366" i="1" s="1"/>
  <c r="W366" i="1" s="1"/>
  <c r="R366" i="1"/>
  <c r="S366" i="1" s="1"/>
  <c r="J366" i="1"/>
  <c r="I366" i="1"/>
  <c r="H366" i="1"/>
  <c r="P366" i="1" s="1"/>
  <c r="V365" i="1"/>
  <c r="U365" i="1"/>
  <c r="T365" i="1"/>
  <c r="L365" i="1"/>
  <c r="R365" i="1"/>
  <c r="S365" i="1" s="1"/>
  <c r="J365" i="1"/>
  <c r="I365" i="1"/>
  <c r="H365" i="1"/>
  <c r="V364" i="1"/>
  <c r="U364" i="1"/>
  <c r="T364" i="1"/>
  <c r="L364" i="1"/>
  <c r="O364" i="1" s="1"/>
  <c r="W364" i="1" s="1"/>
  <c r="J364" i="1"/>
  <c r="I364" i="1"/>
  <c r="H364" i="1"/>
  <c r="P364" i="1"/>
  <c r="V363" i="1"/>
  <c r="U363" i="1"/>
  <c r="T363" i="1"/>
  <c r="L363" i="1"/>
  <c r="O363" i="1" s="1"/>
  <c r="W363" i="1" s="1"/>
  <c r="J363" i="1"/>
  <c r="I363" i="1"/>
  <c r="H363" i="1"/>
  <c r="P363" i="1"/>
  <c r="V362" i="1"/>
  <c r="U362" i="1"/>
  <c r="T362" i="1"/>
  <c r="L362" i="1"/>
  <c r="R362" i="1" s="1"/>
  <c r="S362" i="1" s="1"/>
  <c r="J362" i="1"/>
  <c r="I362" i="1"/>
  <c r="H362" i="1"/>
  <c r="P362" i="1"/>
  <c r="V361" i="1"/>
  <c r="U361" i="1"/>
  <c r="T361" i="1"/>
  <c r="L361" i="1"/>
  <c r="O361" i="1" s="1"/>
  <c r="W361" i="1" s="1"/>
  <c r="J361" i="1"/>
  <c r="I361" i="1"/>
  <c r="H361" i="1"/>
  <c r="P361" i="1"/>
  <c r="V360" i="1"/>
  <c r="U360" i="1"/>
  <c r="T360" i="1"/>
  <c r="L360" i="1"/>
  <c r="R360" i="1" s="1"/>
  <c r="S360" i="1" s="1"/>
  <c r="J360" i="1"/>
  <c r="I360" i="1"/>
  <c r="H360" i="1"/>
  <c r="P360" i="1"/>
  <c r="V359" i="1"/>
  <c r="U359" i="1"/>
  <c r="T359" i="1"/>
  <c r="L359" i="1"/>
  <c r="O359" i="1" s="1"/>
  <c r="W359" i="1" s="1"/>
  <c r="J359" i="1"/>
  <c r="I359" i="1"/>
  <c r="H359" i="1"/>
  <c r="P359" i="1"/>
  <c r="V358" i="1"/>
  <c r="U358" i="1"/>
  <c r="T358" i="1"/>
  <c r="L358" i="1"/>
  <c r="R358" i="1" s="1"/>
  <c r="S358" i="1" s="1"/>
  <c r="J358" i="1"/>
  <c r="I358" i="1"/>
  <c r="H358" i="1"/>
  <c r="P358" i="1"/>
  <c r="V357" i="1"/>
  <c r="U357" i="1"/>
  <c r="T357" i="1"/>
  <c r="L357" i="1"/>
  <c r="O357" i="1" s="1"/>
  <c r="W357" i="1" s="1"/>
  <c r="J357" i="1"/>
  <c r="I357" i="1"/>
  <c r="H357" i="1"/>
  <c r="P357" i="1"/>
  <c r="V356" i="1"/>
  <c r="U356" i="1"/>
  <c r="T356" i="1"/>
  <c r="L356" i="1"/>
  <c r="R356" i="1" s="1"/>
  <c r="S356" i="1" s="1"/>
  <c r="J356" i="1"/>
  <c r="I356" i="1"/>
  <c r="H356" i="1"/>
  <c r="P356" i="1"/>
  <c r="V355" i="1"/>
  <c r="U355" i="1"/>
  <c r="T355" i="1"/>
  <c r="L355" i="1"/>
  <c r="O355" i="1" s="1"/>
  <c r="W355" i="1" s="1"/>
  <c r="J355" i="1"/>
  <c r="I355" i="1"/>
  <c r="H355" i="1"/>
  <c r="P355" i="1"/>
  <c r="V354" i="1"/>
  <c r="U354" i="1"/>
  <c r="T354" i="1"/>
  <c r="L354" i="1"/>
  <c r="R354" i="1" s="1"/>
  <c r="S354" i="1" s="1"/>
  <c r="J354" i="1"/>
  <c r="I354" i="1"/>
  <c r="H354" i="1"/>
  <c r="P354" i="1"/>
  <c r="V353" i="1"/>
  <c r="U353" i="1"/>
  <c r="T353" i="1"/>
  <c r="L353" i="1"/>
  <c r="O353" i="1" s="1"/>
  <c r="W353" i="1" s="1"/>
  <c r="J353" i="1"/>
  <c r="I353" i="1"/>
  <c r="H353" i="1"/>
  <c r="P353" i="1"/>
  <c r="V352" i="1"/>
  <c r="U352" i="1"/>
  <c r="T352" i="1"/>
  <c r="L352" i="1"/>
  <c r="R352" i="1" s="1"/>
  <c r="S352" i="1" s="1"/>
  <c r="J352" i="1"/>
  <c r="I352" i="1"/>
  <c r="H352" i="1"/>
  <c r="P352" i="1"/>
  <c r="V351" i="1"/>
  <c r="U351" i="1"/>
  <c r="T351" i="1"/>
  <c r="L351" i="1"/>
  <c r="O351" i="1" s="1"/>
  <c r="W351" i="1" s="1"/>
  <c r="J351" i="1"/>
  <c r="I351" i="1"/>
  <c r="H351" i="1"/>
  <c r="P351" i="1"/>
  <c r="V350" i="1"/>
  <c r="U350" i="1"/>
  <c r="T350" i="1"/>
  <c r="L350" i="1"/>
  <c r="R350" i="1" s="1"/>
  <c r="S350" i="1" s="1"/>
  <c r="J350" i="1"/>
  <c r="I350" i="1"/>
  <c r="H350" i="1"/>
  <c r="P350" i="1"/>
  <c r="V349" i="1"/>
  <c r="U349" i="1"/>
  <c r="T349" i="1"/>
  <c r="L349" i="1"/>
  <c r="O349" i="1" s="1"/>
  <c r="W349" i="1" s="1"/>
  <c r="J349" i="1"/>
  <c r="I349" i="1"/>
  <c r="H349" i="1"/>
  <c r="P349" i="1"/>
  <c r="V348" i="1"/>
  <c r="U348" i="1"/>
  <c r="T348" i="1"/>
  <c r="L348" i="1"/>
  <c r="R348" i="1" s="1"/>
  <c r="S348" i="1" s="1"/>
  <c r="J348" i="1"/>
  <c r="I348" i="1"/>
  <c r="H348" i="1"/>
  <c r="P348" i="1"/>
  <c r="V347" i="1"/>
  <c r="U347" i="1"/>
  <c r="T347" i="1"/>
  <c r="L347" i="1"/>
  <c r="O347" i="1" s="1"/>
  <c r="W347" i="1" s="1"/>
  <c r="J347" i="1"/>
  <c r="I347" i="1"/>
  <c r="H347" i="1"/>
  <c r="P347" i="1"/>
  <c r="V346" i="1"/>
  <c r="U346" i="1"/>
  <c r="T346" i="1"/>
  <c r="L346" i="1"/>
  <c r="R346" i="1" s="1"/>
  <c r="S346" i="1" s="1"/>
  <c r="J346" i="1"/>
  <c r="I346" i="1"/>
  <c r="H346" i="1"/>
  <c r="P346" i="1"/>
  <c r="V345" i="1"/>
  <c r="U345" i="1"/>
  <c r="T345" i="1"/>
  <c r="L345" i="1"/>
  <c r="O345" i="1" s="1"/>
  <c r="W345" i="1" s="1"/>
  <c r="J345" i="1"/>
  <c r="I345" i="1"/>
  <c r="H345" i="1"/>
  <c r="P345" i="1"/>
  <c r="V344" i="1"/>
  <c r="U344" i="1"/>
  <c r="T344" i="1"/>
  <c r="L344" i="1"/>
  <c r="R344" i="1" s="1"/>
  <c r="S344" i="1" s="1"/>
  <c r="J344" i="1"/>
  <c r="I344" i="1"/>
  <c r="H344" i="1"/>
  <c r="P344" i="1"/>
  <c r="V343" i="1"/>
  <c r="U343" i="1"/>
  <c r="T343" i="1"/>
  <c r="L343" i="1"/>
  <c r="O343" i="1" s="1"/>
  <c r="W343" i="1" s="1"/>
  <c r="J343" i="1"/>
  <c r="I343" i="1"/>
  <c r="H343" i="1"/>
  <c r="P343" i="1"/>
  <c r="V342" i="1"/>
  <c r="U342" i="1"/>
  <c r="T342" i="1"/>
  <c r="L342" i="1"/>
  <c r="R342" i="1" s="1"/>
  <c r="S342" i="1" s="1"/>
  <c r="J342" i="1"/>
  <c r="I342" i="1"/>
  <c r="H342" i="1"/>
  <c r="P342" i="1"/>
  <c r="V341" i="1"/>
  <c r="U341" i="1"/>
  <c r="T341" i="1"/>
  <c r="L341" i="1"/>
  <c r="O341" i="1" s="1"/>
  <c r="W341" i="1" s="1"/>
  <c r="J341" i="1"/>
  <c r="I341" i="1"/>
  <c r="H341" i="1"/>
  <c r="P341" i="1"/>
  <c r="V340" i="1"/>
  <c r="U340" i="1"/>
  <c r="T340" i="1"/>
  <c r="L340" i="1"/>
  <c r="R340" i="1" s="1"/>
  <c r="S340" i="1" s="1"/>
  <c r="J340" i="1"/>
  <c r="I340" i="1"/>
  <c r="H340" i="1"/>
  <c r="P340" i="1"/>
  <c r="V339" i="1"/>
  <c r="U339" i="1"/>
  <c r="T339" i="1"/>
  <c r="L339" i="1"/>
  <c r="O339" i="1" s="1"/>
  <c r="W339" i="1" s="1"/>
  <c r="J339" i="1"/>
  <c r="I339" i="1"/>
  <c r="H339" i="1"/>
  <c r="P339" i="1"/>
  <c r="V338" i="1"/>
  <c r="U338" i="1"/>
  <c r="T338" i="1"/>
  <c r="L338" i="1"/>
  <c r="R338" i="1" s="1"/>
  <c r="S338" i="1" s="1"/>
  <c r="J338" i="1"/>
  <c r="I338" i="1"/>
  <c r="H338" i="1"/>
  <c r="P338" i="1"/>
  <c r="V337" i="1"/>
  <c r="U337" i="1"/>
  <c r="T337" i="1"/>
  <c r="L337" i="1"/>
  <c r="O337" i="1" s="1"/>
  <c r="W337" i="1" s="1"/>
  <c r="J337" i="1"/>
  <c r="I337" i="1"/>
  <c r="H337" i="1"/>
  <c r="P337" i="1"/>
  <c r="V336" i="1"/>
  <c r="U336" i="1"/>
  <c r="T336" i="1"/>
  <c r="L336" i="1"/>
  <c r="R336" i="1" s="1"/>
  <c r="S336" i="1" s="1"/>
  <c r="J336" i="1"/>
  <c r="I336" i="1"/>
  <c r="H336" i="1"/>
  <c r="P336" i="1"/>
  <c r="V335" i="1"/>
  <c r="U335" i="1"/>
  <c r="T335" i="1"/>
  <c r="L335" i="1"/>
  <c r="O335" i="1" s="1"/>
  <c r="W335" i="1" s="1"/>
  <c r="J335" i="1"/>
  <c r="I335" i="1"/>
  <c r="H335" i="1"/>
  <c r="P335" i="1"/>
  <c r="V334" i="1"/>
  <c r="U334" i="1"/>
  <c r="T334" i="1"/>
  <c r="L334" i="1"/>
  <c r="R334" i="1" s="1"/>
  <c r="S334" i="1" s="1"/>
  <c r="J334" i="1"/>
  <c r="I334" i="1"/>
  <c r="H334" i="1"/>
  <c r="P334" i="1"/>
  <c r="V333" i="1"/>
  <c r="U333" i="1"/>
  <c r="T333" i="1"/>
  <c r="L333" i="1"/>
  <c r="O333" i="1" s="1"/>
  <c r="W333" i="1" s="1"/>
  <c r="J333" i="1"/>
  <c r="I333" i="1"/>
  <c r="H333" i="1"/>
  <c r="P333" i="1"/>
  <c r="V332" i="1"/>
  <c r="U332" i="1"/>
  <c r="T332" i="1"/>
  <c r="L332" i="1"/>
  <c r="R332" i="1" s="1"/>
  <c r="S332" i="1" s="1"/>
  <c r="J332" i="1"/>
  <c r="I332" i="1"/>
  <c r="H332" i="1"/>
  <c r="P332" i="1"/>
  <c r="V331" i="1"/>
  <c r="U331" i="1"/>
  <c r="T331" i="1"/>
  <c r="L331" i="1"/>
  <c r="O331" i="1" s="1"/>
  <c r="W331" i="1" s="1"/>
  <c r="J331" i="1"/>
  <c r="I331" i="1"/>
  <c r="H331" i="1"/>
  <c r="P331" i="1"/>
  <c r="V330" i="1"/>
  <c r="U330" i="1"/>
  <c r="T330" i="1"/>
  <c r="L330" i="1"/>
  <c r="R330" i="1" s="1"/>
  <c r="S330" i="1" s="1"/>
  <c r="J330" i="1"/>
  <c r="I330" i="1"/>
  <c r="H330" i="1"/>
  <c r="P330" i="1"/>
  <c r="V329" i="1"/>
  <c r="U329" i="1"/>
  <c r="T329" i="1"/>
  <c r="L329" i="1"/>
  <c r="O329" i="1" s="1"/>
  <c r="W329" i="1" s="1"/>
  <c r="J329" i="1"/>
  <c r="I329" i="1"/>
  <c r="H329" i="1"/>
  <c r="P329" i="1"/>
  <c r="V328" i="1"/>
  <c r="U328" i="1"/>
  <c r="T328" i="1"/>
  <c r="L328" i="1"/>
  <c r="R328" i="1" s="1"/>
  <c r="S328" i="1" s="1"/>
  <c r="J328" i="1"/>
  <c r="I328" i="1"/>
  <c r="H328" i="1"/>
  <c r="P328" i="1"/>
  <c r="V327" i="1"/>
  <c r="U327" i="1"/>
  <c r="T327" i="1"/>
  <c r="L327" i="1"/>
  <c r="O327" i="1" s="1"/>
  <c r="J327" i="1"/>
  <c r="I327" i="1"/>
  <c r="H327" i="1"/>
  <c r="P327" i="1" s="1"/>
  <c r="V326" i="1"/>
  <c r="U326" i="1"/>
  <c r="T326" i="1"/>
  <c r="L326" i="1"/>
  <c r="R326" i="1"/>
  <c r="S326" i="1" s="1"/>
  <c r="J326" i="1"/>
  <c r="I326" i="1"/>
  <c r="H326" i="1"/>
  <c r="P326" i="1" s="1"/>
  <c r="V325" i="1"/>
  <c r="U325" i="1"/>
  <c r="T325" i="1"/>
  <c r="L325" i="1"/>
  <c r="O325" i="1"/>
  <c r="J325" i="1"/>
  <c r="I325" i="1"/>
  <c r="H325" i="1"/>
  <c r="P325" i="1"/>
  <c r="V324" i="1"/>
  <c r="U324" i="1"/>
  <c r="T324" i="1"/>
  <c r="L324" i="1"/>
  <c r="R324" i="1" s="1"/>
  <c r="S324" i="1" s="1"/>
  <c r="J324" i="1"/>
  <c r="I324" i="1"/>
  <c r="H324" i="1"/>
  <c r="P324" i="1"/>
  <c r="V323" i="1"/>
  <c r="U323" i="1"/>
  <c r="T323" i="1"/>
  <c r="L323" i="1"/>
  <c r="O323" i="1" s="1"/>
  <c r="J323" i="1"/>
  <c r="I323" i="1"/>
  <c r="H323" i="1"/>
  <c r="P323" i="1" s="1"/>
  <c r="V322" i="1"/>
  <c r="U322" i="1"/>
  <c r="T322" i="1"/>
  <c r="L322" i="1"/>
  <c r="R322" i="1"/>
  <c r="S322" i="1" s="1"/>
  <c r="J322" i="1"/>
  <c r="I322" i="1"/>
  <c r="H322" i="1"/>
  <c r="P322" i="1" s="1"/>
  <c r="V321" i="1"/>
  <c r="U321" i="1"/>
  <c r="T321" i="1"/>
  <c r="L321" i="1"/>
  <c r="O321" i="1"/>
  <c r="J321" i="1"/>
  <c r="I321" i="1"/>
  <c r="H321" i="1"/>
  <c r="P321" i="1"/>
  <c r="V320" i="1"/>
  <c r="U320" i="1"/>
  <c r="T320" i="1"/>
  <c r="L320" i="1"/>
  <c r="R320" i="1" s="1"/>
  <c r="S320" i="1" s="1"/>
  <c r="J320" i="1"/>
  <c r="I320" i="1"/>
  <c r="H320" i="1"/>
  <c r="P320" i="1"/>
  <c r="V319" i="1"/>
  <c r="U319" i="1"/>
  <c r="T319" i="1"/>
  <c r="L319" i="1"/>
  <c r="O319" i="1" s="1"/>
  <c r="J319" i="1"/>
  <c r="I319" i="1"/>
  <c r="H319" i="1"/>
  <c r="P319" i="1" s="1"/>
  <c r="V318" i="1"/>
  <c r="U318" i="1"/>
  <c r="T318" i="1"/>
  <c r="L318" i="1"/>
  <c r="R318" i="1"/>
  <c r="S318" i="1" s="1"/>
  <c r="J318" i="1"/>
  <c r="I318" i="1"/>
  <c r="H318" i="1"/>
  <c r="P318" i="1" s="1"/>
  <c r="V317" i="1"/>
  <c r="U317" i="1"/>
  <c r="T317" i="1"/>
  <c r="L317" i="1"/>
  <c r="O317" i="1"/>
  <c r="J317" i="1"/>
  <c r="I317" i="1"/>
  <c r="H317" i="1"/>
  <c r="P317" i="1"/>
  <c r="V316" i="1"/>
  <c r="U316" i="1"/>
  <c r="T316" i="1"/>
  <c r="L316" i="1"/>
  <c r="R316" i="1" s="1"/>
  <c r="S316" i="1"/>
  <c r="J316" i="1"/>
  <c r="I316" i="1"/>
  <c r="H316" i="1"/>
  <c r="P316" i="1"/>
  <c r="V315" i="1"/>
  <c r="U315" i="1"/>
  <c r="T315" i="1"/>
  <c r="O315" i="1"/>
  <c r="W315" i="1" s="1"/>
  <c r="L315" i="1"/>
  <c r="R315" i="1" s="1"/>
  <c r="S315" i="1"/>
  <c r="J315" i="1"/>
  <c r="I315" i="1"/>
  <c r="H315" i="1"/>
  <c r="P315" i="1"/>
  <c r="V314" i="1"/>
  <c r="U314" i="1"/>
  <c r="T314" i="1"/>
  <c r="L314" i="1"/>
  <c r="R314" i="1" s="1"/>
  <c r="S314" i="1" s="1"/>
  <c r="J314" i="1"/>
  <c r="I314" i="1"/>
  <c r="H314" i="1"/>
  <c r="P314" i="1"/>
  <c r="V313" i="1"/>
  <c r="U313" i="1"/>
  <c r="T313" i="1"/>
  <c r="L313" i="1"/>
  <c r="R313" i="1" s="1"/>
  <c r="S313" i="1" s="1"/>
  <c r="J313" i="1"/>
  <c r="I313" i="1"/>
  <c r="H313" i="1"/>
  <c r="P313" i="1"/>
  <c r="V312" i="1"/>
  <c r="U312" i="1"/>
  <c r="T312" i="1"/>
  <c r="L312" i="1"/>
  <c r="R312" i="1" s="1"/>
  <c r="S312" i="1" s="1"/>
  <c r="J312" i="1"/>
  <c r="I312" i="1"/>
  <c r="H312" i="1"/>
  <c r="P312" i="1"/>
  <c r="V311" i="1"/>
  <c r="U311" i="1"/>
  <c r="T311" i="1"/>
  <c r="L311" i="1"/>
  <c r="R311" i="1" s="1"/>
  <c r="S311" i="1" s="1"/>
  <c r="J311" i="1"/>
  <c r="I311" i="1"/>
  <c r="H311" i="1"/>
  <c r="P311" i="1"/>
  <c r="V310" i="1"/>
  <c r="U310" i="1"/>
  <c r="T310" i="1"/>
  <c r="L310" i="1"/>
  <c r="R310" i="1" s="1"/>
  <c r="S310" i="1" s="1"/>
  <c r="J310" i="1"/>
  <c r="I310" i="1"/>
  <c r="H310" i="1"/>
  <c r="P310" i="1"/>
  <c r="V309" i="1"/>
  <c r="U309" i="1"/>
  <c r="T309" i="1"/>
  <c r="O309" i="1"/>
  <c r="W309" i="1" s="1"/>
  <c r="L309" i="1"/>
  <c r="R309" i="1" s="1"/>
  <c r="S309" i="1"/>
  <c r="J309" i="1"/>
  <c r="I309" i="1"/>
  <c r="H309" i="1"/>
  <c r="P309" i="1"/>
  <c r="V308" i="1"/>
  <c r="U308" i="1"/>
  <c r="T308" i="1"/>
  <c r="L308" i="1"/>
  <c r="R308" i="1" s="1"/>
  <c r="S308" i="1" s="1"/>
  <c r="J308" i="1"/>
  <c r="I308" i="1"/>
  <c r="H308" i="1"/>
  <c r="P308" i="1"/>
  <c r="V307" i="1"/>
  <c r="U307" i="1"/>
  <c r="T307" i="1"/>
  <c r="L307" i="1"/>
  <c r="R307" i="1" s="1"/>
  <c r="S307" i="1" s="1"/>
  <c r="J307" i="1"/>
  <c r="I307" i="1"/>
  <c r="H307" i="1"/>
  <c r="P307" i="1"/>
  <c r="V306" i="1"/>
  <c r="U306" i="1"/>
  <c r="T306" i="1"/>
  <c r="L306" i="1"/>
  <c r="R306" i="1" s="1"/>
  <c r="S306" i="1"/>
  <c r="J306" i="1"/>
  <c r="I306" i="1"/>
  <c r="H306" i="1"/>
  <c r="P306" i="1"/>
  <c r="V305" i="1"/>
  <c r="U305" i="1"/>
  <c r="T305" i="1"/>
  <c r="O305" i="1"/>
  <c r="W305" i="1" s="1"/>
  <c r="L305" i="1"/>
  <c r="R305" i="1" s="1"/>
  <c r="S305" i="1"/>
  <c r="J305" i="1"/>
  <c r="I305" i="1"/>
  <c r="H305" i="1"/>
  <c r="P305" i="1"/>
  <c r="V304" i="1"/>
  <c r="U304" i="1"/>
  <c r="T304" i="1"/>
  <c r="L304" i="1"/>
  <c r="R304" i="1" s="1"/>
  <c r="S304" i="1" s="1"/>
  <c r="J304" i="1"/>
  <c r="I304" i="1"/>
  <c r="H304" i="1"/>
  <c r="P304" i="1"/>
  <c r="V303" i="1"/>
  <c r="U303" i="1"/>
  <c r="T303" i="1"/>
  <c r="L303" i="1"/>
  <c r="R303" i="1" s="1"/>
  <c r="S303" i="1" s="1"/>
  <c r="J303" i="1"/>
  <c r="I303" i="1"/>
  <c r="H303" i="1"/>
  <c r="P303" i="1"/>
  <c r="V302" i="1"/>
  <c r="U302" i="1"/>
  <c r="T302" i="1"/>
  <c r="L302" i="1"/>
  <c r="R302" i="1" s="1"/>
  <c r="S302" i="1" s="1"/>
  <c r="J302" i="1"/>
  <c r="I302" i="1"/>
  <c r="H302" i="1"/>
  <c r="P302" i="1"/>
  <c r="V301" i="1"/>
  <c r="U301" i="1"/>
  <c r="T301" i="1"/>
  <c r="O301" i="1"/>
  <c r="W301" i="1" s="1"/>
  <c r="L301" i="1"/>
  <c r="R301" i="1" s="1"/>
  <c r="S301" i="1"/>
  <c r="J301" i="1"/>
  <c r="I301" i="1"/>
  <c r="H301" i="1"/>
  <c r="P301" i="1"/>
  <c r="V300" i="1"/>
  <c r="U300" i="1"/>
  <c r="T300" i="1"/>
  <c r="L300" i="1"/>
  <c r="R300" i="1" s="1"/>
  <c r="S300" i="1" s="1"/>
  <c r="J300" i="1"/>
  <c r="I300" i="1"/>
  <c r="H300" i="1"/>
  <c r="P300" i="1"/>
  <c r="V299" i="1"/>
  <c r="U299" i="1"/>
  <c r="T299" i="1"/>
  <c r="L299" i="1"/>
  <c r="R299" i="1" s="1"/>
  <c r="S299" i="1" s="1"/>
  <c r="J299" i="1"/>
  <c r="I299" i="1"/>
  <c r="H299" i="1"/>
  <c r="P299" i="1"/>
  <c r="V298" i="1"/>
  <c r="U298" i="1"/>
  <c r="T298" i="1"/>
  <c r="L298" i="1"/>
  <c r="R298" i="1" s="1"/>
  <c r="S298" i="1" s="1"/>
  <c r="J298" i="1"/>
  <c r="I298" i="1"/>
  <c r="H298" i="1"/>
  <c r="P298" i="1" s="1"/>
  <c r="V297" i="1"/>
  <c r="U297" i="1"/>
  <c r="T297" i="1"/>
  <c r="L297" i="1"/>
  <c r="O297" i="1" s="1"/>
  <c r="W297" i="1" s="1"/>
  <c r="J297" i="1"/>
  <c r="I297" i="1"/>
  <c r="H297" i="1"/>
  <c r="P297" i="1"/>
  <c r="V296" i="1"/>
  <c r="U296" i="1"/>
  <c r="T296" i="1"/>
  <c r="L296" i="1"/>
  <c r="R296" i="1" s="1"/>
  <c r="S296" i="1" s="1"/>
  <c r="J296" i="1"/>
  <c r="I296" i="1"/>
  <c r="H296" i="1"/>
  <c r="P296" i="1"/>
  <c r="V295" i="1"/>
  <c r="U295" i="1"/>
  <c r="T295" i="1"/>
  <c r="L295" i="1"/>
  <c r="O295" i="1" s="1"/>
  <c r="W295" i="1" s="1"/>
  <c r="J295" i="1"/>
  <c r="I295" i="1"/>
  <c r="H295" i="1"/>
  <c r="P295" i="1"/>
  <c r="V294" i="1"/>
  <c r="U294" i="1"/>
  <c r="T294" i="1"/>
  <c r="L294" i="1"/>
  <c r="R294" i="1" s="1"/>
  <c r="S294" i="1" s="1"/>
  <c r="J294" i="1"/>
  <c r="I294" i="1"/>
  <c r="H294" i="1"/>
  <c r="P294" i="1"/>
  <c r="V293" i="1"/>
  <c r="U293" i="1"/>
  <c r="T293" i="1"/>
  <c r="O293" i="1"/>
  <c r="L293" i="1"/>
  <c r="R293" i="1"/>
  <c r="S293" i="1" s="1"/>
  <c r="J293" i="1"/>
  <c r="I293" i="1"/>
  <c r="H293" i="1"/>
  <c r="P293" i="1" s="1"/>
  <c r="V292" i="1"/>
  <c r="U292" i="1"/>
  <c r="T292" i="1"/>
  <c r="L292" i="1"/>
  <c r="R292" i="1"/>
  <c r="S292" i="1" s="1"/>
  <c r="J292" i="1"/>
  <c r="I292" i="1"/>
  <c r="H292" i="1"/>
  <c r="P292" i="1" s="1"/>
  <c r="V291" i="1"/>
  <c r="U291" i="1"/>
  <c r="T291" i="1"/>
  <c r="L291" i="1"/>
  <c r="O291" i="1" s="1"/>
  <c r="W291" i="1" s="1"/>
  <c r="R291" i="1"/>
  <c r="S291" i="1" s="1"/>
  <c r="J291" i="1"/>
  <c r="I291" i="1"/>
  <c r="H291" i="1"/>
  <c r="P291" i="1" s="1"/>
  <c r="V290" i="1"/>
  <c r="U290" i="1"/>
  <c r="T290" i="1"/>
  <c r="L290" i="1"/>
  <c r="R290" i="1"/>
  <c r="S290" i="1" s="1"/>
  <c r="J290" i="1"/>
  <c r="I290" i="1"/>
  <c r="H290" i="1"/>
  <c r="P290" i="1" s="1"/>
  <c r="V289" i="1"/>
  <c r="U289" i="1"/>
  <c r="T289" i="1"/>
  <c r="L289" i="1"/>
  <c r="R289" i="1" s="1"/>
  <c r="S289" i="1" s="1"/>
  <c r="J289" i="1"/>
  <c r="I289" i="1"/>
  <c r="H289" i="1"/>
  <c r="P289" i="1"/>
  <c r="V288" i="1"/>
  <c r="U288" i="1"/>
  <c r="T288" i="1"/>
  <c r="L288" i="1"/>
  <c r="R288" i="1" s="1"/>
  <c r="S288" i="1" s="1"/>
  <c r="J288" i="1"/>
  <c r="I288" i="1"/>
  <c r="H288" i="1"/>
  <c r="P288" i="1"/>
  <c r="V287" i="1"/>
  <c r="U287" i="1"/>
  <c r="T287" i="1"/>
  <c r="L287" i="1"/>
  <c r="R287" i="1" s="1"/>
  <c r="S287" i="1" s="1"/>
  <c r="J287" i="1"/>
  <c r="I287" i="1"/>
  <c r="H287" i="1"/>
  <c r="P287" i="1"/>
  <c r="V286" i="1"/>
  <c r="U286" i="1"/>
  <c r="T286" i="1"/>
  <c r="L286" i="1"/>
  <c r="R286" i="1" s="1"/>
  <c r="S286" i="1" s="1"/>
  <c r="J286" i="1"/>
  <c r="I286" i="1"/>
  <c r="H286" i="1"/>
  <c r="P286" i="1"/>
  <c r="V285" i="1"/>
  <c r="U285" i="1"/>
  <c r="T285" i="1"/>
  <c r="L285" i="1"/>
  <c r="R285" i="1" s="1"/>
  <c r="S285" i="1" s="1"/>
  <c r="J285" i="1"/>
  <c r="I285" i="1"/>
  <c r="H285" i="1"/>
  <c r="P285" i="1"/>
  <c r="V284" i="1"/>
  <c r="U284" i="1"/>
  <c r="T284" i="1"/>
  <c r="L284" i="1"/>
  <c r="R284" i="1" s="1"/>
  <c r="S284" i="1" s="1"/>
  <c r="J284" i="1"/>
  <c r="I284" i="1"/>
  <c r="H284" i="1"/>
  <c r="P284" i="1"/>
  <c r="V283" i="1"/>
  <c r="U283" i="1"/>
  <c r="T283" i="1"/>
  <c r="L283" i="1"/>
  <c r="R283" i="1" s="1"/>
  <c r="S283" i="1" s="1"/>
  <c r="J283" i="1"/>
  <c r="I283" i="1"/>
  <c r="H283" i="1"/>
  <c r="P283" i="1"/>
  <c r="V282" i="1"/>
  <c r="U282" i="1"/>
  <c r="T282" i="1"/>
  <c r="L282" i="1"/>
  <c r="R282" i="1" s="1"/>
  <c r="S282" i="1" s="1"/>
  <c r="J282" i="1"/>
  <c r="I282" i="1"/>
  <c r="H282" i="1"/>
  <c r="P282" i="1"/>
  <c r="V281" i="1"/>
  <c r="U281" i="1"/>
  <c r="T281" i="1"/>
  <c r="L281" i="1"/>
  <c r="R281" i="1" s="1"/>
  <c r="S281" i="1" s="1"/>
  <c r="J281" i="1"/>
  <c r="I281" i="1"/>
  <c r="H281" i="1"/>
  <c r="P281" i="1"/>
  <c r="V280" i="1"/>
  <c r="U280" i="1"/>
  <c r="T280" i="1"/>
  <c r="L280" i="1"/>
  <c r="R280" i="1" s="1"/>
  <c r="S280" i="1" s="1"/>
  <c r="J280" i="1"/>
  <c r="I280" i="1"/>
  <c r="H280" i="1"/>
  <c r="P280" i="1"/>
  <c r="V279" i="1"/>
  <c r="U279" i="1"/>
  <c r="T279" i="1"/>
  <c r="L279" i="1"/>
  <c r="R279" i="1" s="1"/>
  <c r="S279" i="1" s="1"/>
  <c r="J279" i="1"/>
  <c r="I279" i="1"/>
  <c r="H279" i="1"/>
  <c r="P279" i="1"/>
  <c r="V278" i="1"/>
  <c r="U278" i="1"/>
  <c r="T278" i="1"/>
  <c r="L278" i="1"/>
  <c r="R278" i="1" s="1"/>
  <c r="S278" i="1" s="1"/>
  <c r="J278" i="1"/>
  <c r="I278" i="1"/>
  <c r="H278" i="1"/>
  <c r="P278" i="1"/>
  <c r="V277" i="1"/>
  <c r="U277" i="1"/>
  <c r="T277" i="1"/>
  <c r="L277" i="1"/>
  <c r="R277" i="1" s="1"/>
  <c r="S277" i="1" s="1"/>
  <c r="J277" i="1"/>
  <c r="I277" i="1"/>
  <c r="H277" i="1"/>
  <c r="P277" i="1"/>
  <c r="V276" i="1"/>
  <c r="U276" i="1"/>
  <c r="T276" i="1"/>
  <c r="L276" i="1"/>
  <c r="R276" i="1" s="1"/>
  <c r="S276" i="1" s="1"/>
  <c r="J276" i="1"/>
  <c r="I276" i="1"/>
  <c r="H276" i="1"/>
  <c r="P276" i="1"/>
  <c r="V275" i="1"/>
  <c r="U275" i="1"/>
  <c r="T275" i="1"/>
  <c r="L275" i="1"/>
  <c r="R275" i="1" s="1"/>
  <c r="S275" i="1" s="1"/>
  <c r="J275" i="1"/>
  <c r="I275" i="1"/>
  <c r="H275" i="1"/>
  <c r="P275" i="1"/>
  <c r="V274" i="1"/>
  <c r="U274" i="1"/>
  <c r="T274" i="1"/>
  <c r="L274" i="1"/>
  <c r="R274" i="1" s="1"/>
  <c r="S274" i="1" s="1"/>
  <c r="J274" i="1"/>
  <c r="I274" i="1"/>
  <c r="H274" i="1"/>
  <c r="P274" i="1"/>
  <c r="V273" i="1"/>
  <c r="U273" i="1"/>
  <c r="T273" i="1"/>
  <c r="L273" i="1"/>
  <c r="R273" i="1" s="1"/>
  <c r="S273" i="1" s="1"/>
  <c r="J273" i="1"/>
  <c r="I273" i="1"/>
  <c r="H273" i="1"/>
  <c r="P273" i="1"/>
  <c r="V272" i="1"/>
  <c r="U272" i="1"/>
  <c r="T272" i="1"/>
  <c r="L272" i="1"/>
  <c r="R272" i="1" s="1"/>
  <c r="S272" i="1" s="1"/>
  <c r="J272" i="1"/>
  <c r="I272" i="1"/>
  <c r="H272" i="1"/>
  <c r="P272" i="1"/>
  <c r="V271" i="1"/>
  <c r="U271" i="1"/>
  <c r="T271" i="1"/>
  <c r="L271" i="1"/>
  <c r="R271" i="1" s="1"/>
  <c r="S271" i="1" s="1"/>
  <c r="J271" i="1"/>
  <c r="I271" i="1"/>
  <c r="H271" i="1"/>
  <c r="P271" i="1"/>
  <c r="V270" i="1"/>
  <c r="U270" i="1"/>
  <c r="T270" i="1"/>
  <c r="L270" i="1"/>
  <c r="R270" i="1" s="1"/>
  <c r="S270" i="1" s="1"/>
  <c r="J270" i="1"/>
  <c r="I270" i="1"/>
  <c r="H270" i="1"/>
  <c r="P270" i="1"/>
  <c r="V269" i="1"/>
  <c r="U269" i="1"/>
  <c r="T269" i="1"/>
  <c r="L269" i="1"/>
  <c r="R269" i="1" s="1"/>
  <c r="S269" i="1" s="1"/>
  <c r="J269" i="1"/>
  <c r="I269" i="1"/>
  <c r="H269" i="1"/>
  <c r="P269" i="1"/>
  <c r="V268" i="1"/>
  <c r="U268" i="1"/>
  <c r="T268" i="1"/>
  <c r="L268" i="1"/>
  <c r="R268" i="1" s="1"/>
  <c r="S268" i="1" s="1"/>
  <c r="J268" i="1"/>
  <c r="I268" i="1"/>
  <c r="H268" i="1"/>
  <c r="P268" i="1"/>
  <c r="V267" i="1"/>
  <c r="U267" i="1"/>
  <c r="T267" i="1"/>
  <c r="L267" i="1"/>
  <c r="O267" i="1" s="1"/>
  <c r="J267" i="1"/>
  <c r="I267" i="1"/>
  <c r="H267" i="1"/>
  <c r="P267" i="1" s="1"/>
  <c r="V266" i="1"/>
  <c r="U266" i="1"/>
  <c r="T266" i="1"/>
  <c r="L266" i="1"/>
  <c r="R266" i="1"/>
  <c r="S266" i="1" s="1"/>
  <c r="J266" i="1"/>
  <c r="I266" i="1"/>
  <c r="H266" i="1"/>
  <c r="P266" i="1" s="1"/>
  <c r="V265" i="1"/>
  <c r="U265" i="1"/>
  <c r="T265" i="1"/>
  <c r="L265" i="1"/>
  <c r="O265" i="1"/>
  <c r="J265" i="1"/>
  <c r="I265" i="1"/>
  <c r="H265" i="1"/>
  <c r="P265" i="1"/>
  <c r="V264" i="1"/>
  <c r="U264" i="1"/>
  <c r="T264" i="1"/>
  <c r="L264" i="1"/>
  <c r="R264" i="1" s="1"/>
  <c r="S264" i="1" s="1"/>
  <c r="J264" i="1"/>
  <c r="I264" i="1"/>
  <c r="H264" i="1"/>
  <c r="P264" i="1"/>
  <c r="V263" i="1"/>
  <c r="U263" i="1"/>
  <c r="T263" i="1"/>
  <c r="L263" i="1"/>
  <c r="O263" i="1" s="1"/>
  <c r="J263" i="1"/>
  <c r="I263" i="1"/>
  <c r="H263" i="1"/>
  <c r="P263" i="1" s="1"/>
  <c r="V262" i="1"/>
  <c r="U262" i="1"/>
  <c r="T262" i="1"/>
  <c r="L262" i="1"/>
  <c r="R262" i="1"/>
  <c r="S262" i="1" s="1"/>
  <c r="J262" i="1"/>
  <c r="I262" i="1"/>
  <c r="H262" i="1"/>
  <c r="P262" i="1" s="1"/>
  <c r="V261" i="1"/>
  <c r="U261" i="1"/>
  <c r="T261" i="1"/>
  <c r="L261" i="1"/>
  <c r="O261" i="1"/>
  <c r="J261" i="1"/>
  <c r="I261" i="1"/>
  <c r="H261" i="1"/>
  <c r="P261" i="1"/>
  <c r="V260" i="1"/>
  <c r="U260" i="1"/>
  <c r="T260" i="1"/>
  <c r="L260" i="1"/>
  <c r="R260" i="1" s="1"/>
  <c r="S260" i="1" s="1"/>
  <c r="J260" i="1"/>
  <c r="I260" i="1"/>
  <c r="H260" i="1"/>
  <c r="P260" i="1"/>
  <c r="V259" i="1"/>
  <c r="U259" i="1"/>
  <c r="T259" i="1"/>
  <c r="L259" i="1"/>
  <c r="O259" i="1" s="1"/>
  <c r="J259" i="1"/>
  <c r="I259" i="1"/>
  <c r="H259" i="1"/>
  <c r="P259" i="1" s="1"/>
  <c r="V258" i="1"/>
  <c r="U258" i="1"/>
  <c r="T258" i="1"/>
  <c r="L258" i="1"/>
  <c r="R258" i="1"/>
  <c r="S258" i="1" s="1"/>
  <c r="J258" i="1"/>
  <c r="I258" i="1"/>
  <c r="H258" i="1"/>
  <c r="P258" i="1" s="1"/>
  <c r="V257" i="1"/>
  <c r="U257" i="1"/>
  <c r="T257" i="1"/>
  <c r="L257" i="1"/>
  <c r="O257" i="1"/>
  <c r="J257" i="1"/>
  <c r="I257" i="1"/>
  <c r="H257" i="1"/>
  <c r="P257" i="1"/>
  <c r="V256" i="1"/>
  <c r="U256" i="1"/>
  <c r="T256" i="1"/>
  <c r="L256" i="1"/>
  <c r="R256" i="1" s="1"/>
  <c r="S256" i="1" s="1"/>
  <c r="J256" i="1"/>
  <c r="I256" i="1"/>
  <c r="H256" i="1"/>
  <c r="P256" i="1"/>
  <c r="V255" i="1"/>
  <c r="U255" i="1"/>
  <c r="T255" i="1"/>
  <c r="L255" i="1"/>
  <c r="O255" i="1" s="1"/>
  <c r="J255" i="1"/>
  <c r="I255" i="1"/>
  <c r="H255" i="1"/>
  <c r="P255" i="1" s="1"/>
  <c r="V254" i="1"/>
  <c r="U254" i="1"/>
  <c r="T254" i="1"/>
  <c r="L254" i="1"/>
  <c r="R254" i="1"/>
  <c r="S254" i="1" s="1"/>
  <c r="J254" i="1"/>
  <c r="I254" i="1"/>
  <c r="H254" i="1"/>
  <c r="P254" i="1" s="1"/>
  <c r="V253" i="1"/>
  <c r="U253" i="1"/>
  <c r="T253" i="1"/>
  <c r="L253" i="1"/>
  <c r="O253" i="1"/>
  <c r="J253" i="1"/>
  <c r="I253" i="1"/>
  <c r="H253" i="1"/>
  <c r="P253" i="1"/>
  <c r="V252" i="1"/>
  <c r="U252" i="1"/>
  <c r="T252" i="1"/>
  <c r="L252" i="1"/>
  <c r="R252" i="1" s="1"/>
  <c r="S252" i="1" s="1"/>
  <c r="J252" i="1"/>
  <c r="I252" i="1"/>
  <c r="H252" i="1"/>
  <c r="P252" i="1"/>
  <c r="V251" i="1"/>
  <c r="U251" i="1"/>
  <c r="T251" i="1"/>
  <c r="L251" i="1"/>
  <c r="R251" i="1" s="1"/>
  <c r="S251" i="1" s="1"/>
  <c r="J251" i="1"/>
  <c r="I251" i="1"/>
  <c r="H251" i="1"/>
  <c r="P251" i="1"/>
  <c r="V250" i="1"/>
  <c r="U250" i="1"/>
  <c r="T250" i="1"/>
  <c r="L250" i="1"/>
  <c r="R250" i="1" s="1"/>
  <c r="S250" i="1" s="1"/>
  <c r="J250" i="1"/>
  <c r="I250" i="1"/>
  <c r="H250" i="1"/>
  <c r="P250" i="1"/>
  <c r="V249" i="1"/>
  <c r="U249" i="1"/>
  <c r="T249" i="1"/>
  <c r="L249" i="1"/>
  <c r="R249" i="1" s="1"/>
  <c r="S249" i="1" s="1"/>
  <c r="J249" i="1"/>
  <c r="I249" i="1"/>
  <c r="H249" i="1"/>
  <c r="P249" i="1"/>
  <c r="V248" i="1"/>
  <c r="U248" i="1"/>
  <c r="T248" i="1"/>
  <c r="L248" i="1"/>
  <c r="O248" i="1" s="1"/>
  <c r="J248" i="1"/>
  <c r="I248" i="1"/>
  <c r="H248" i="1"/>
  <c r="P248" i="1" s="1"/>
  <c r="V247" i="1"/>
  <c r="U247" i="1"/>
  <c r="T247" i="1"/>
  <c r="L247" i="1"/>
  <c r="R247" i="1"/>
  <c r="S247" i="1" s="1"/>
  <c r="J247" i="1"/>
  <c r="I247" i="1"/>
  <c r="H247" i="1"/>
  <c r="P247" i="1" s="1"/>
  <c r="V246" i="1"/>
  <c r="U246" i="1"/>
  <c r="T246" i="1"/>
  <c r="L246" i="1"/>
  <c r="O246" i="1"/>
  <c r="J246" i="1"/>
  <c r="I246" i="1"/>
  <c r="H246" i="1"/>
  <c r="P246" i="1"/>
  <c r="V245" i="1"/>
  <c r="U245" i="1"/>
  <c r="T245" i="1"/>
  <c r="L245" i="1"/>
  <c r="R245" i="1" s="1"/>
  <c r="S245" i="1" s="1"/>
  <c r="J245" i="1"/>
  <c r="I245" i="1"/>
  <c r="H245" i="1"/>
  <c r="P245" i="1"/>
  <c r="V244" i="1"/>
  <c r="U244" i="1"/>
  <c r="T244" i="1"/>
  <c r="L244" i="1"/>
  <c r="O244" i="1" s="1"/>
  <c r="J244" i="1"/>
  <c r="I244" i="1"/>
  <c r="H244" i="1"/>
  <c r="P244" i="1" s="1"/>
  <c r="V243" i="1"/>
  <c r="U243" i="1"/>
  <c r="T243" i="1"/>
  <c r="L243" i="1"/>
  <c r="R243" i="1"/>
  <c r="S243" i="1" s="1"/>
  <c r="J243" i="1"/>
  <c r="I243" i="1"/>
  <c r="H243" i="1"/>
  <c r="P243" i="1" s="1"/>
  <c r="V242" i="1"/>
  <c r="U242" i="1"/>
  <c r="T242" i="1"/>
  <c r="L242" i="1"/>
  <c r="O242" i="1"/>
  <c r="J242" i="1"/>
  <c r="I242" i="1"/>
  <c r="H242" i="1"/>
  <c r="P242" i="1"/>
  <c r="V241" i="1"/>
  <c r="U241" i="1"/>
  <c r="T241" i="1"/>
  <c r="L241" i="1"/>
  <c r="R241" i="1" s="1"/>
  <c r="S241" i="1" s="1"/>
  <c r="J241" i="1"/>
  <c r="I241" i="1"/>
  <c r="H241" i="1"/>
  <c r="P241" i="1"/>
  <c r="V240" i="1"/>
  <c r="U240" i="1"/>
  <c r="T240" i="1"/>
  <c r="L240" i="1"/>
  <c r="O240" i="1" s="1"/>
  <c r="J240" i="1"/>
  <c r="I240" i="1"/>
  <c r="H240" i="1"/>
  <c r="P240" i="1" s="1"/>
  <c r="V239" i="1"/>
  <c r="U239" i="1"/>
  <c r="T239" i="1"/>
  <c r="L239" i="1"/>
  <c r="R239" i="1"/>
  <c r="S239" i="1" s="1"/>
  <c r="J239" i="1"/>
  <c r="I239" i="1"/>
  <c r="H239" i="1"/>
  <c r="P239" i="1" s="1"/>
  <c r="V238" i="1"/>
  <c r="U238" i="1"/>
  <c r="T238" i="1"/>
  <c r="L238" i="1"/>
  <c r="O238" i="1"/>
  <c r="J238" i="1"/>
  <c r="I238" i="1"/>
  <c r="H238" i="1"/>
  <c r="P238" i="1"/>
  <c r="V237" i="1"/>
  <c r="U237" i="1"/>
  <c r="T237" i="1"/>
  <c r="L237" i="1"/>
  <c r="R237" i="1" s="1"/>
  <c r="S237" i="1" s="1"/>
  <c r="J237" i="1"/>
  <c r="I237" i="1"/>
  <c r="H237" i="1"/>
  <c r="P237" i="1"/>
  <c r="V236" i="1"/>
  <c r="U236" i="1"/>
  <c r="T236" i="1"/>
  <c r="L236" i="1"/>
  <c r="O236" i="1" s="1"/>
  <c r="J236" i="1"/>
  <c r="I236" i="1"/>
  <c r="H236" i="1"/>
  <c r="P236" i="1" s="1"/>
  <c r="V235" i="1"/>
  <c r="U235" i="1"/>
  <c r="T235" i="1"/>
  <c r="L235" i="1"/>
  <c r="R235" i="1"/>
  <c r="S235" i="1" s="1"/>
  <c r="J235" i="1"/>
  <c r="I235" i="1"/>
  <c r="H235" i="1"/>
  <c r="P235" i="1" s="1"/>
  <c r="V234" i="1"/>
  <c r="U234" i="1"/>
  <c r="T234" i="1"/>
  <c r="L234" i="1"/>
  <c r="O234" i="1"/>
  <c r="J234" i="1"/>
  <c r="I234" i="1"/>
  <c r="H234" i="1"/>
  <c r="P234" i="1"/>
  <c r="V233" i="1"/>
  <c r="U233" i="1"/>
  <c r="T233" i="1"/>
  <c r="L233" i="1"/>
  <c r="R233" i="1" s="1"/>
  <c r="S233" i="1" s="1"/>
  <c r="J233" i="1"/>
  <c r="I233" i="1"/>
  <c r="H233" i="1"/>
  <c r="P233" i="1"/>
  <c r="V232" i="1"/>
  <c r="U232" i="1"/>
  <c r="T232" i="1"/>
  <c r="L232" i="1"/>
  <c r="O232" i="1" s="1"/>
  <c r="J232" i="1"/>
  <c r="I232" i="1"/>
  <c r="H232" i="1"/>
  <c r="P232" i="1" s="1"/>
  <c r="V231" i="1"/>
  <c r="U231" i="1"/>
  <c r="T231" i="1"/>
  <c r="L231" i="1"/>
  <c r="R231" i="1"/>
  <c r="S231" i="1" s="1"/>
  <c r="J231" i="1"/>
  <c r="I231" i="1"/>
  <c r="H231" i="1"/>
  <c r="P231" i="1" s="1"/>
  <c r="V230" i="1"/>
  <c r="U230" i="1"/>
  <c r="T230" i="1"/>
  <c r="L230" i="1"/>
  <c r="O230" i="1"/>
  <c r="J230" i="1"/>
  <c r="I230" i="1"/>
  <c r="H230" i="1"/>
  <c r="P230" i="1"/>
  <c r="V229" i="1"/>
  <c r="U229" i="1"/>
  <c r="T229" i="1"/>
  <c r="L229" i="1"/>
  <c r="R229" i="1" s="1"/>
  <c r="S229" i="1" s="1"/>
  <c r="J229" i="1"/>
  <c r="I229" i="1"/>
  <c r="H229" i="1"/>
  <c r="P229" i="1"/>
  <c r="V228" i="1"/>
  <c r="U228" i="1"/>
  <c r="T228" i="1"/>
  <c r="L228" i="1"/>
  <c r="O228" i="1" s="1"/>
  <c r="J228" i="1"/>
  <c r="I228" i="1"/>
  <c r="H228" i="1"/>
  <c r="V227" i="1"/>
  <c r="U227" i="1"/>
  <c r="T227" i="1"/>
  <c r="L227" i="1"/>
  <c r="R227" i="1" s="1"/>
  <c r="S227" i="1" s="1"/>
  <c r="J227" i="1"/>
  <c r="I227" i="1"/>
  <c r="H227" i="1"/>
  <c r="P227" i="1"/>
  <c r="V226" i="1"/>
  <c r="U226" i="1"/>
  <c r="T226" i="1"/>
  <c r="L226" i="1"/>
  <c r="O226" i="1" s="1"/>
  <c r="J226" i="1"/>
  <c r="I226" i="1"/>
  <c r="H226" i="1"/>
  <c r="V225" i="1"/>
  <c r="U225" i="1"/>
  <c r="T225" i="1"/>
  <c r="L225" i="1"/>
  <c r="R225" i="1" s="1"/>
  <c r="S225" i="1" s="1"/>
  <c r="J225" i="1"/>
  <c r="I225" i="1"/>
  <c r="H225" i="1"/>
  <c r="P225" i="1"/>
  <c r="V224" i="1"/>
  <c r="U224" i="1"/>
  <c r="T224" i="1"/>
  <c r="L224" i="1"/>
  <c r="O224" i="1" s="1"/>
  <c r="J224" i="1"/>
  <c r="I224" i="1"/>
  <c r="H224" i="1"/>
  <c r="V223" i="1"/>
  <c r="U223" i="1"/>
  <c r="T223" i="1"/>
  <c r="L223" i="1"/>
  <c r="R223" i="1" s="1"/>
  <c r="S223" i="1" s="1"/>
  <c r="J223" i="1"/>
  <c r="I223" i="1"/>
  <c r="H223" i="1"/>
  <c r="P223" i="1"/>
  <c r="V222" i="1"/>
  <c r="U222" i="1"/>
  <c r="T222" i="1"/>
  <c r="L222" i="1"/>
  <c r="O222" i="1" s="1"/>
  <c r="J222" i="1"/>
  <c r="I222" i="1"/>
  <c r="H222" i="1"/>
  <c r="V221" i="1"/>
  <c r="U221" i="1"/>
  <c r="T221" i="1"/>
  <c r="L221" i="1"/>
  <c r="R221" i="1" s="1"/>
  <c r="S221" i="1" s="1"/>
  <c r="J221" i="1"/>
  <c r="I221" i="1"/>
  <c r="H221" i="1"/>
  <c r="P221" i="1"/>
  <c r="V220" i="1"/>
  <c r="U220" i="1"/>
  <c r="T220" i="1"/>
  <c r="L220" i="1"/>
  <c r="O220" i="1" s="1"/>
  <c r="J220" i="1"/>
  <c r="I220" i="1"/>
  <c r="H220" i="1"/>
  <c r="V219" i="1"/>
  <c r="U219" i="1"/>
  <c r="T219" i="1"/>
  <c r="L219" i="1"/>
  <c r="R219" i="1" s="1"/>
  <c r="S219" i="1" s="1"/>
  <c r="J219" i="1"/>
  <c r="I219" i="1"/>
  <c r="H219" i="1"/>
  <c r="P219" i="1"/>
  <c r="V218" i="1"/>
  <c r="U218" i="1"/>
  <c r="T218" i="1"/>
  <c r="L218" i="1"/>
  <c r="O218" i="1" s="1"/>
  <c r="J218" i="1"/>
  <c r="I218" i="1"/>
  <c r="H218" i="1"/>
  <c r="V217" i="1"/>
  <c r="U217" i="1"/>
  <c r="T217" i="1"/>
  <c r="L217" i="1"/>
  <c r="R217" i="1" s="1"/>
  <c r="S217" i="1" s="1"/>
  <c r="J217" i="1"/>
  <c r="I217" i="1"/>
  <c r="H217" i="1"/>
  <c r="P217" i="1"/>
  <c r="V216" i="1"/>
  <c r="U216" i="1"/>
  <c r="T216" i="1"/>
  <c r="L216" i="1"/>
  <c r="O216" i="1" s="1"/>
  <c r="J216" i="1"/>
  <c r="I216" i="1"/>
  <c r="H216" i="1"/>
  <c r="V215" i="1"/>
  <c r="U215" i="1"/>
  <c r="T215" i="1"/>
  <c r="O215" i="1"/>
  <c r="W215" i="1" s="1"/>
  <c r="L215" i="1"/>
  <c r="R215" i="1" s="1"/>
  <c r="S215" i="1"/>
  <c r="J215" i="1"/>
  <c r="I215" i="1"/>
  <c r="H215" i="1"/>
  <c r="P215" i="1"/>
  <c r="V214" i="1"/>
  <c r="U214" i="1"/>
  <c r="T214" i="1"/>
  <c r="L214" i="1"/>
  <c r="O214" i="1" s="1"/>
  <c r="J214" i="1"/>
  <c r="I214" i="1"/>
  <c r="H214" i="1"/>
  <c r="V213" i="1"/>
  <c r="U213" i="1"/>
  <c r="T213" i="1"/>
  <c r="L213" i="1"/>
  <c r="R213" i="1" s="1"/>
  <c r="S213" i="1" s="1"/>
  <c r="J213" i="1"/>
  <c r="I213" i="1"/>
  <c r="H213" i="1"/>
  <c r="P213" i="1"/>
  <c r="V212" i="1"/>
  <c r="U212" i="1"/>
  <c r="T212" i="1"/>
  <c r="L212" i="1"/>
  <c r="O212" i="1" s="1"/>
  <c r="J212" i="1"/>
  <c r="I212" i="1"/>
  <c r="H212" i="1"/>
  <c r="V211" i="1"/>
  <c r="U211" i="1"/>
  <c r="T211" i="1"/>
  <c r="O211" i="1"/>
  <c r="W211" i="1" s="1"/>
  <c r="L211" i="1"/>
  <c r="R211" i="1" s="1"/>
  <c r="S211" i="1"/>
  <c r="J211" i="1"/>
  <c r="I211" i="1"/>
  <c r="H211" i="1"/>
  <c r="P211" i="1"/>
  <c r="V210" i="1"/>
  <c r="U210" i="1"/>
  <c r="T210" i="1"/>
  <c r="L210" i="1"/>
  <c r="O210" i="1" s="1"/>
  <c r="J210" i="1"/>
  <c r="I210" i="1"/>
  <c r="H210" i="1"/>
  <c r="V209" i="1"/>
  <c r="U209" i="1"/>
  <c r="T209" i="1"/>
  <c r="L209" i="1"/>
  <c r="R209" i="1" s="1"/>
  <c r="S209" i="1" s="1"/>
  <c r="J209" i="1"/>
  <c r="I209" i="1"/>
  <c r="H209" i="1"/>
  <c r="P209" i="1"/>
  <c r="V208" i="1"/>
  <c r="U208" i="1"/>
  <c r="T208" i="1"/>
  <c r="L208" i="1"/>
  <c r="O208" i="1" s="1"/>
  <c r="J208" i="1"/>
  <c r="I208" i="1"/>
  <c r="H208" i="1"/>
  <c r="V207" i="1"/>
  <c r="U207" i="1"/>
  <c r="T207" i="1"/>
  <c r="O207" i="1"/>
  <c r="W207" i="1" s="1"/>
  <c r="L207" i="1"/>
  <c r="R207" i="1" s="1"/>
  <c r="S207" i="1"/>
  <c r="J207" i="1"/>
  <c r="I207" i="1"/>
  <c r="H207" i="1"/>
  <c r="P207" i="1"/>
  <c r="V206" i="1"/>
  <c r="U206" i="1"/>
  <c r="T206" i="1"/>
  <c r="L206" i="1"/>
  <c r="O206" i="1" s="1"/>
  <c r="J206" i="1"/>
  <c r="I206" i="1"/>
  <c r="H206" i="1"/>
  <c r="V205" i="1"/>
  <c r="U205" i="1"/>
  <c r="T205" i="1"/>
  <c r="L205" i="1"/>
  <c r="R205" i="1" s="1"/>
  <c r="S205" i="1" s="1"/>
  <c r="J205" i="1"/>
  <c r="I205" i="1"/>
  <c r="H205" i="1"/>
  <c r="P205" i="1"/>
  <c r="V204" i="1"/>
  <c r="U204" i="1"/>
  <c r="T204" i="1"/>
  <c r="L204" i="1"/>
  <c r="O204" i="1" s="1"/>
  <c r="J204" i="1"/>
  <c r="I204" i="1"/>
  <c r="H204" i="1"/>
  <c r="V203" i="1"/>
  <c r="U203" i="1"/>
  <c r="T203" i="1"/>
  <c r="O203" i="1"/>
  <c r="W203" i="1" s="1"/>
  <c r="L203" i="1"/>
  <c r="R203" i="1" s="1"/>
  <c r="S203" i="1"/>
  <c r="J203" i="1"/>
  <c r="I203" i="1"/>
  <c r="H203" i="1"/>
  <c r="P203" i="1"/>
  <c r="V202" i="1"/>
  <c r="U202" i="1"/>
  <c r="T202" i="1"/>
  <c r="L202" i="1"/>
  <c r="O202" i="1" s="1"/>
  <c r="J202" i="1"/>
  <c r="I202" i="1"/>
  <c r="H202" i="1"/>
  <c r="V201" i="1"/>
  <c r="U201" i="1"/>
  <c r="T201" i="1"/>
  <c r="L201" i="1"/>
  <c r="R201" i="1" s="1"/>
  <c r="S201" i="1" s="1"/>
  <c r="J201" i="1"/>
  <c r="I201" i="1"/>
  <c r="H201" i="1"/>
  <c r="P201" i="1"/>
  <c r="V200" i="1"/>
  <c r="U200" i="1"/>
  <c r="T200" i="1"/>
  <c r="L200" i="1"/>
  <c r="O200" i="1" s="1"/>
  <c r="J200" i="1"/>
  <c r="I200" i="1"/>
  <c r="H200" i="1"/>
  <c r="V199" i="1"/>
  <c r="U199" i="1"/>
  <c r="T199" i="1"/>
  <c r="O199" i="1"/>
  <c r="W199" i="1" s="1"/>
  <c r="L199" i="1"/>
  <c r="R199" i="1" s="1"/>
  <c r="S199" i="1"/>
  <c r="J199" i="1"/>
  <c r="I199" i="1"/>
  <c r="H199" i="1"/>
  <c r="P199" i="1"/>
  <c r="V198" i="1"/>
  <c r="U198" i="1"/>
  <c r="T198" i="1"/>
  <c r="L198" i="1"/>
  <c r="O198" i="1" s="1"/>
  <c r="J198" i="1"/>
  <c r="I198" i="1"/>
  <c r="H198" i="1"/>
  <c r="V197" i="1"/>
  <c r="U197" i="1"/>
  <c r="T197" i="1"/>
  <c r="L197" i="1"/>
  <c r="R197" i="1" s="1"/>
  <c r="S197" i="1" s="1"/>
  <c r="J197" i="1"/>
  <c r="I197" i="1"/>
  <c r="H197" i="1"/>
  <c r="P197" i="1"/>
  <c r="V196" i="1"/>
  <c r="U196" i="1"/>
  <c r="T196" i="1"/>
  <c r="L196" i="1"/>
  <c r="O196" i="1" s="1"/>
  <c r="J196" i="1"/>
  <c r="I196" i="1"/>
  <c r="H196" i="1"/>
  <c r="V195" i="1"/>
  <c r="U195" i="1"/>
  <c r="T195" i="1"/>
  <c r="O195" i="1"/>
  <c r="W195" i="1" s="1"/>
  <c r="L195" i="1"/>
  <c r="R195" i="1" s="1"/>
  <c r="S195" i="1"/>
  <c r="J195" i="1"/>
  <c r="I195" i="1"/>
  <c r="H195" i="1"/>
  <c r="P195" i="1"/>
  <c r="V194" i="1"/>
  <c r="U194" i="1"/>
  <c r="T194" i="1"/>
  <c r="L194" i="1"/>
  <c r="O194" i="1" s="1"/>
  <c r="J194" i="1"/>
  <c r="I194" i="1"/>
  <c r="H194" i="1"/>
  <c r="V193" i="1"/>
  <c r="U193" i="1"/>
  <c r="T193" i="1"/>
  <c r="L193" i="1"/>
  <c r="R193" i="1" s="1"/>
  <c r="S193" i="1" s="1"/>
  <c r="J193" i="1"/>
  <c r="I193" i="1"/>
  <c r="H193" i="1"/>
  <c r="P193" i="1"/>
  <c r="V192" i="1"/>
  <c r="U192" i="1"/>
  <c r="T192" i="1"/>
  <c r="L192" i="1"/>
  <c r="O192" i="1" s="1"/>
  <c r="J192" i="1"/>
  <c r="I192" i="1"/>
  <c r="H192" i="1"/>
  <c r="V191" i="1"/>
  <c r="U191" i="1"/>
  <c r="T191" i="1"/>
  <c r="O191" i="1"/>
  <c r="W191" i="1" s="1"/>
  <c r="L191" i="1"/>
  <c r="R191" i="1" s="1"/>
  <c r="S191" i="1"/>
  <c r="J191" i="1"/>
  <c r="I191" i="1"/>
  <c r="H191" i="1"/>
  <c r="P191" i="1"/>
  <c r="V190" i="1"/>
  <c r="U190" i="1"/>
  <c r="T190" i="1"/>
  <c r="L190" i="1"/>
  <c r="O190" i="1" s="1"/>
  <c r="J190" i="1"/>
  <c r="I190" i="1"/>
  <c r="H190" i="1"/>
  <c r="V189" i="1"/>
  <c r="U189" i="1"/>
  <c r="T189" i="1"/>
  <c r="L189" i="1"/>
  <c r="R189" i="1" s="1"/>
  <c r="S189" i="1" s="1"/>
  <c r="J189" i="1"/>
  <c r="I189" i="1"/>
  <c r="H189" i="1"/>
  <c r="P189" i="1"/>
  <c r="V188" i="1"/>
  <c r="U188" i="1"/>
  <c r="T188" i="1"/>
  <c r="L188" i="1"/>
  <c r="O188" i="1" s="1"/>
  <c r="J188" i="1"/>
  <c r="I188" i="1"/>
  <c r="H188" i="1"/>
  <c r="V187" i="1"/>
  <c r="U187" i="1"/>
  <c r="T187" i="1"/>
  <c r="O187" i="1"/>
  <c r="W187" i="1" s="1"/>
  <c r="L187" i="1"/>
  <c r="R187" i="1" s="1"/>
  <c r="S187" i="1"/>
  <c r="J187" i="1"/>
  <c r="I187" i="1"/>
  <c r="H187" i="1"/>
  <c r="P187" i="1"/>
  <c r="V186" i="1"/>
  <c r="U186" i="1"/>
  <c r="T186" i="1"/>
  <c r="L186" i="1"/>
  <c r="O186" i="1" s="1"/>
  <c r="J186" i="1"/>
  <c r="I186" i="1"/>
  <c r="H186" i="1"/>
  <c r="V185" i="1"/>
  <c r="U185" i="1"/>
  <c r="T185" i="1"/>
  <c r="L185" i="1"/>
  <c r="R185" i="1" s="1"/>
  <c r="S185" i="1" s="1"/>
  <c r="J185" i="1"/>
  <c r="I185" i="1"/>
  <c r="H185" i="1"/>
  <c r="P185" i="1"/>
  <c r="V184" i="1"/>
  <c r="U184" i="1"/>
  <c r="T184" i="1"/>
  <c r="L184" i="1"/>
  <c r="O184" i="1" s="1"/>
  <c r="J184" i="1"/>
  <c r="I184" i="1"/>
  <c r="H184" i="1"/>
  <c r="V183" i="1"/>
  <c r="U183" i="1"/>
  <c r="T183" i="1"/>
  <c r="O183" i="1"/>
  <c r="W183" i="1" s="1"/>
  <c r="L183" i="1"/>
  <c r="R183" i="1" s="1"/>
  <c r="S183" i="1"/>
  <c r="J183" i="1"/>
  <c r="I183" i="1"/>
  <c r="H183" i="1"/>
  <c r="P183" i="1"/>
  <c r="V182" i="1"/>
  <c r="U182" i="1"/>
  <c r="T182" i="1"/>
  <c r="L182" i="1"/>
  <c r="O182" i="1" s="1"/>
  <c r="J182" i="1"/>
  <c r="I182" i="1"/>
  <c r="H182" i="1"/>
  <c r="V181" i="1"/>
  <c r="U181" i="1"/>
  <c r="T181" i="1"/>
  <c r="L181" i="1"/>
  <c r="R181" i="1" s="1"/>
  <c r="S181" i="1" s="1"/>
  <c r="J181" i="1"/>
  <c r="I181" i="1"/>
  <c r="H181" i="1"/>
  <c r="P181" i="1"/>
  <c r="V180" i="1"/>
  <c r="U180" i="1"/>
  <c r="T180" i="1"/>
  <c r="L180" i="1"/>
  <c r="O180" i="1" s="1"/>
  <c r="J180" i="1"/>
  <c r="I180" i="1"/>
  <c r="H180" i="1"/>
  <c r="V179" i="1"/>
  <c r="U179" i="1"/>
  <c r="T179" i="1"/>
  <c r="L179" i="1"/>
  <c r="O179" i="1" s="1"/>
  <c r="W179" i="1" s="1"/>
  <c r="J179" i="1"/>
  <c r="I179" i="1"/>
  <c r="H179" i="1"/>
  <c r="P179" i="1"/>
  <c r="V178" i="1"/>
  <c r="U178" i="1"/>
  <c r="T178" i="1"/>
  <c r="L178" i="1"/>
  <c r="O178" i="1" s="1"/>
  <c r="W178" i="1" s="1"/>
  <c r="J178" i="1"/>
  <c r="I178" i="1"/>
  <c r="H178" i="1"/>
  <c r="V177" i="1"/>
  <c r="U177" i="1"/>
  <c r="T177" i="1"/>
  <c r="L177" i="1"/>
  <c r="O177" i="1" s="1"/>
  <c r="W177" i="1" s="1"/>
  <c r="J177" i="1"/>
  <c r="I177" i="1"/>
  <c r="H177" i="1"/>
  <c r="P177" i="1"/>
  <c r="V176" i="1"/>
  <c r="U176" i="1"/>
  <c r="T176" i="1"/>
  <c r="L176" i="1"/>
  <c r="O176" i="1" s="1"/>
  <c r="J176" i="1"/>
  <c r="I176" i="1"/>
  <c r="H176" i="1"/>
  <c r="V175" i="1"/>
  <c r="U175" i="1"/>
  <c r="T175" i="1"/>
  <c r="L175" i="1"/>
  <c r="O175" i="1" s="1"/>
  <c r="W175" i="1" s="1"/>
  <c r="J175" i="1"/>
  <c r="I175" i="1"/>
  <c r="H175" i="1"/>
  <c r="P175" i="1"/>
  <c r="V174" i="1"/>
  <c r="U174" i="1"/>
  <c r="T174" i="1"/>
  <c r="L174" i="1"/>
  <c r="O174" i="1" s="1"/>
  <c r="W174" i="1" s="1"/>
  <c r="J174" i="1"/>
  <c r="I174" i="1"/>
  <c r="H174" i="1"/>
  <c r="V173" i="1"/>
  <c r="U173" i="1"/>
  <c r="T173" i="1"/>
  <c r="L173" i="1"/>
  <c r="O173" i="1" s="1"/>
  <c r="W173" i="1" s="1"/>
  <c r="J173" i="1"/>
  <c r="I173" i="1"/>
  <c r="H173" i="1"/>
  <c r="P173" i="1"/>
  <c r="V172" i="1"/>
  <c r="U172" i="1"/>
  <c r="T172" i="1"/>
  <c r="L172" i="1"/>
  <c r="O172" i="1" s="1"/>
  <c r="J172" i="1"/>
  <c r="I172" i="1"/>
  <c r="H172" i="1"/>
  <c r="V171" i="1"/>
  <c r="U171" i="1"/>
  <c r="T171" i="1"/>
  <c r="L171" i="1"/>
  <c r="O171" i="1" s="1"/>
  <c r="W171" i="1" s="1"/>
  <c r="J171" i="1"/>
  <c r="I171" i="1"/>
  <c r="H171" i="1"/>
  <c r="P171" i="1"/>
  <c r="V170" i="1"/>
  <c r="U170" i="1"/>
  <c r="T170" i="1"/>
  <c r="L170" i="1"/>
  <c r="O170" i="1" s="1"/>
  <c r="W170" i="1" s="1"/>
  <c r="J170" i="1"/>
  <c r="I170" i="1"/>
  <c r="H170" i="1"/>
  <c r="V169" i="1"/>
  <c r="U169" i="1"/>
  <c r="T169" i="1"/>
  <c r="L169" i="1"/>
  <c r="O169" i="1" s="1"/>
  <c r="W169" i="1" s="1"/>
  <c r="J169" i="1"/>
  <c r="I169" i="1"/>
  <c r="H169" i="1"/>
  <c r="P169" i="1"/>
  <c r="V168" i="1"/>
  <c r="U168" i="1"/>
  <c r="T168" i="1"/>
  <c r="L168" i="1"/>
  <c r="O168" i="1" s="1"/>
  <c r="J168" i="1"/>
  <c r="I168" i="1"/>
  <c r="H168" i="1"/>
  <c r="V167" i="1"/>
  <c r="U167" i="1"/>
  <c r="T167" i="1"/>
  <c r="L167" i="1"/>
  <c r="O167" i="1" s="1"/>
  <c r="W167" i="1" s="1"/>
  <c r="J167" i="1"/>
  <c r="I167" i="1"/>
  <c r="H167" i="1"/>
  <c r="P167" i="1"/>
  <c r="V166" i="1"/>
  <c r="U166" i="1"/>
  <c r="T166" i="1"/>
  <c r="L166" i="1"/>
  <c r="O166" i="1" s="1"/>
  <c r="W166" i="1" s="1"/>
  <c r="J166" i="1"/>
  <c r="I166" i="1"/>
  <c r="H166" i="1"/>
  <c r="V165" i="1"/>
  <c r="U165" i="1"/>
  <c r="T165" i="1"/>
  <c r="L165" i="1"/>
  <c r="O165" i="1" s="1"/>
  <c r="W165" i="1" s="1"/>
  <c r="J165" i="1"/>
  <c r="I165" i="1"/>
  <c r="H165" i="1"/>
  <c r="P165" i="1"/>
  <c r="V164" i="1"/>
  <c r="U164" i="1"/>
  <c r="T164" i="1"/>
  <c r="L164" i="1"/>
  <c r="O164" i="1" s="1"/>
  <c r="J164" i="1"/>
  <c r="I164" i="1"/>
  <c r="H164" i="1"/>
  <c r="V163" i="1"/>
  <c r="U163" i="1"/>
  <c r="T163" i="1"/>
  <c r="L163" i="1"/>
  <c r="O163" i="1" s="1"/>
  <c r="W163" i="1" s="1"/>
  <c r="J163" i="1"/>
  <c r="I163" i="1"/>
  <c r="H163" i="1"/>
  <c r="P163" i="1"/>
  <c r="V162" i="1"/>
  <c r="U162" i="1"/>
  <c r="T162" i="1"/>
  <c r="L162" i="1"/>
  <c r="O162" i="1" s="1"/>
  <c r="W162" i="1" s="1"/>
  <c r="J162" i="1"/>
  <c r="I162" i="1"/>
  <c r="H162" i="1"/>
  <c r="V161" i="1"/>
  <c r="U161" i="1"/>
  <c r="T161" i="1"/>
  <c r="L161" i="1"/>
  <c r="O161" i="1" s="1"/>
  <c r="W161" i="1" s="1"/>
  <c r="J161" i="1"/>
  <c r="I161" i="1"/>
  <c r="H161" i="1"/>
  <c r="P161" i="1"/>
  <c r="V160" i="1"/>
  <c r="U160" i="1"/>
  <c r="T160" i="1"/>
  <c r="L160" i="1"/>
  <c r="O160" i="1" s="1"/>
  <c r="J160" i="1"/>
  <c r="I160" i="1"/>
  <c r="H160" i="1"/>
  <c r="V159" i="1"/>
  <c r="U159" i="1"/>
  <c r="T159" i="1"/>
  <c r="L159" i="1"/>
  <c r="O159" i="1" s="1"/>
  <c r="W159" i="1" s="1"/>
  <c r="J159" i="1"/>
  <c r="I159" i="1"/>
  <c r="H159" i="1"/>
  <c r="P159" i="1"/>
  <c r="V158" i="1"/>
  <c r="U158" i="1"/>
  <c r="T158" i="1"/>
  <c r="L158" i="1"/>
  <c r="O158" i="1" s="1"/>
  <c r="W158" i="1" s="1"/>
  <c r="J158" i="1"/>
  <c r="I158" i="1"/>
  <c r="H158" i="1"/>
  <c r="V157" i="1"/>
  <c r="U157" i="1"/>
  <c r="T157" i="1"/>
  <c r="L157" i="1"/>
  <c r="O157" i="1" s="1"/>
  <c r="W157" i="1" s="1"/>
  <c r="J157" i="1"/>
  <c r="I157" i="1"/>
  <c r="H157" i="1"/>
  <c r="P157" i="1"/>
  <c r="V156" i="1"/>
  <c r="U156" i="1"/>
  <c r="T156" i="1"/>
  <c r="L156" i="1"/>
  <c r="O156" i="1" s="1"/>
  <c r="W156" i="1" s="1"/>
  <c r="J156" i="1"/>
  <c r="I156" i="1"/>
  <c r="H156" i="1"/>
  <c r="V155" i="1"/>
  <c r="U155" i="1"/>
  <c r="T155" i="1"/>
  <c r="L155" i="1"/>
  <c r="O155" i="1" s="1"/>
  <c r="W155" i="1" s="1"/>
  <c r="J155" i="1"/>
  <c r="I155" i="1"/>
  <c r="H155" i="1"/>
  <c r="P155" i="1"/>
  <c r="V154" i="1"/>
  <c r="U154" i="1"/>
  <c r="T154" i="1"/>
  <c r="L154" i="1"/>
  <c r="O154" i="1" s="1"/>
  <c r="W154" i="1" s="1"/>
  <c r="J154" i="1"/>
  <c r="I154" i="1"/>
  <c r="H154" i="1"/>
  <c r="V153" i="1"/>
  <c r="U153" i="1"/>
  <c r="T153" i="1"/>
  <c r="L153" i="1"/>
  <c r="O153" i="1" s="1"/>
  <c r="W153" i="1" s="1"/>
  <c r="J153" i="1"/>
  <c r="I153" i="1"/>
  <c r="H153" i="1"/>
  <c r="P153" i="1"/>
  <c r="V152" i="1"/>
  <c r="U152" i="1"/>
  <c r="T152" i="1"/>
  <c r="L152" i="1"/>
  <c r="O152" i="1" s="1"/>
  <c r="W152" i="1" s="1"/>
  <c r="J152" i="1"/>
  <c r="I152" i="1"/>
  <c r="H152" i="1"/>
  <c r="V151" i="1"/>
  <c r="U151" i="1"/>
  <c r="T151" i="1"/>
  <c r="L151" i="1"/>
  <c r="O151" i="1" s="1"/>
  <c r="W151" i="1" s="1"/>
  <c r="J151" i="1"/>
  <c r="I151" i="1"/>
  <c r="H151" i="1"/>
  <c r="P151" i="1"/>
  <c r="V150" i="1"/>
  <c r="U150" i="1"/>
  <c r="T150" i="1"/>
  <c r="L150" i="1"/>
  <c r="O150" i="1" s="1"/>
  <c r="W150" i="1" s="1"/>
  <c r="J150" i="1"/>
  <c r="I150" i="1"/>
  <c r="H150" i="1"/>
  <c r="V149" i="1"/>
  <c r="U149" i="1"/>
  <c r="T149" i="1"/>
  <c r="L149" i="1"/>
  <c r="O149" i="1" s="1"/>
  <c r="W149" i="1" s="1"/>
  <c r="J149" i="1"/>
  <c r="I149" i="1"/>
  <c r="H149" i="1"/>
  <c r="P149" i="1"/>
  <c r="V148" i="1"/>
  <c r="U148" i="1"/>
  <c r="T148" i="1"/>
  <c r="L148" i="1"/>
  <c r="O148" i="1" s="1"/>
  <c r="W148" i="1" s="1"/>
  <c r="J148" i="1"/>
  <c r="I148" i="1"/>
  <c r="H148" i="1"/>
  <c r="V147" i="1"/>
  <c r="U147" i="1"/>
  <c r="T147" i="1"/>
  <c r="L147" i="1"/>
  <c r="O147" i="1" s="1"/>
  <c r="W147" i="1" s="1"/>
  <c r="J147" i="1"/>
  <c r="I147" i="1"/>
  <c r="H147" i="1"/>
  <c r="P147" i="1"/>
  <c r="V146" i="1"/>
  <c r="U146" i="1"/>
  <c r="T146" i="1"/>
  <c r="L146" i="1"/>
  <c r="O146" i="1" s="1"/>
  <c r="W146" i="1" s="1"/>
  <c r="J146" i="1"/>
  <c r="I146" i="1"/>
  <c r="H146" i="1"/>
  <c r="V145" i="1"/>
  <c r="U145" i="1"/>
  <c r="T145" i="1"/>
  <c r="L145" i="1"/>
  <c r="O145" i="1" s="1"/>
  <c r="W145" i="1" s="1"/>
  <c r="J145" i="1"/>
  <c r="I145" i="1"/>
  <c r="H145" i="1"/>
  <c r="P145" i="1"/>
  <c r="V144" i="1"/>
  <c r="U144" i="1"/>
  <c r="T144" i="1"/>
  <c r="L144" i="1"/>
  <c r="O144" i="1" s="1"/>
  <c r="W144" i="1" s="1"/>
  <c r="J144" i="1"/>
  <c r="I144" i="1"/>
  <c r="H144" i="1"/>
  <c r="V143" i="1"/>
  <c r="U143" i="1"/>
  <c r="T143" i="1"/>
  <c r="L143" i="1"/>
  <c r="O143" i="1" s="1"/>
  <c r="W143" i="1" s="1"/>
  <c r="J143" i="1"/>
  <c r="I143" i="1"/>
  <c r="H143" i="1"/>
  <c r="P143" i="1"/>
  <c r="V142" i="1"/>
  <c r="U142" i="1"/>
  <c r="T142" i="1"/>
  <c r="L142" i="1"/>
  <c r="O142" i="1" s="1"/>
  <c r="W142" i="1" s="1"/>
  <c r="J142" i="1"/>
  <c r="I142" i="1"/>
  <c r="H142" i="1"/>
  <c r="V141" i="1"/>
  <c r="U141" i="1"/>
  <c r="T141" i="1"/>
  <c r="L141" i="1"/>
  <c r="O141" i="1" s="1"/>
  <c r="W141" i="1" s="1"/>
  <c r="J141" i="1"/>
  <c r="I141" i="1"/>
  <c r="H141" i="1"/>
  <c r="P141" i="1"/>
  <c r="V140" i="1"/>
  <c r="U140" i="1"/>
  <c r="T140" i="1"/>
  <c r="L140" i="1"/>
  <c r="O140" i="1" s="1"/>
  <c r="W140" i="1" s="1"/>
  <c r="J140" i="1"/>
  <c r="I140" i="1"/>
  <c r="H140" i="1"/>
  <c r="V139" i="1"/>
  <c r="U139" i="1"/>
  <c r="T139" i="1"/>
  <c r="O139" i="1"/>
  <c r="L139" i="1"/>
  <c r="R139" i="1"/>
  <c r="S139" i="1" s="1"/>
  <c r="J139" i="1"/>
  <c r="I139" i="1"/>
  <c r="H139" i="1"/>
  <c r="P139" i="1" s="1"/>
  <c r="V138" i="1"/>
  <c r="U138" i="1"/>
  <c r="T138" i="1"/>
  <c r="L138" i="1"/>
  <c r="O138" i="1" s="1"/>
  <c r="W138" i="1" s="1"/>
  <c r="R138" i="1"/>
  <c r="S138" i="1" s="1"/>
  <c r="J138" i="1"/>
  <c r="I138" i="1"/>
  <c r="H138" i="1"/>
  <c r="P138" i="1" s="1"/>
  <c r="V137" i="1"/>
  <c r="U137" i="1"/>
  <c r="T137" i="1"/>
  <c r="L137" i="1"/>
  <c r="R137" i="1"/>
  <c r="S137" i="1" s="1"/>
  <c r="J137" i="1"/>
  <c r="I137" i="1"/>
  <c r="H137" i="1"/>
  <c r="P137" i="1" s="1"/>
  <c r="V136" i="1"/>
  <c r="U136" i="1"/>
  <c r="T136" i="1"/>
  <c r="L136" i="1"/>
  <c r="O136" i="1" s="1"/>
  <c r="R136" i="1"/>
  <c r="S136" i="1" s="1"/>
  <c r="J136" i="1"/>
  <c r="I136" i="1"/>
  <c r="H136" i="1"/>
  <c r="P136" i="1" s="1"/>
  <c r="V135" i="1"/>
  <c r="U135" i="1"/>
  <c r="T135" i="1"/>
  <c r="L135" i="1"/>
  <c r="R135" i="1"/>
  <c r="S135" i="1" s="1"/>
  <c r="J135" i="1"/>
  <c r="I135" i="1"/>
  <c r="H135" i="1"/>
  <c r="P135" i="1" s="1"/>
  <c r="V134" i="1"/>
  <c r="U134" i="1"/>
  <c r="T134" i="1"/>
  <c r="L134" i="1"/>
  <c r="O134" i="1" s="1"/>
  <c r="W134" i="1" s="1"/>
  <c r="R134" i="1"/>
  <c r="S134" i="1" s="1"/>
  <c r="J134" i="1"/>
  <c r="I134" i="1"/>
  <c r="H134" i="1"/>
  <c r="P134" i="1" s="1"/>
  <c r="V133" i="1"/>
  <c r="U133" i="1"/>
  <c r="T133" i="1"/>
  <c r="L133" i="1"/>
  <c r="R133" i="1"/>
  <c r="S133" i="1" s="1"/>
  <c r="J133" i="1"/>
  <c r="I133" i="1"/>
  <c r="H133" i="1"/>
  <c r="P133" i="1" s="1"/>
  <c r="V132" i="1"/>
  <c r="U132" i="1"/>
  <c r="T132" i="1"/>
  <c r="L132" i="1"/>
  <c r="O132" i="1" s="1"/>
  <c r="R132" i="1"/>
  <c r="S132" i="1" s="1"/>
  <c r="J132" i="1"/>
  <c r="I132" i="1"/>
  <c r="H132" i="1"/>
  <c r="P132" i="1" s="1"/>
  <c r="V131" i="1"/>
  <c r="U131" i="1"/>
  <c r="T131" i="1"/>
  <c r="L131" i="1"/>
  <c r="R131" i="1"/>
  <c r="S131" i="1" s="1"/>
  <c r="J131" i="1"/>
  <c r="I131" i="1"/>
  <c r="H131" i="1"/>
  <c r="P131" i="1" s="1"/>
  <c r="V130" i="1"/>
  <c r="U130" i="1"/>
  <c r="T130" i="1"/>
  <c r="L130" i="1"/>
  <c r="O130" i="1" s="1"/>
  <c r="W130" i="1" s="1"/>
  <c r="R130" i="1"/>
  <c r="S130" i="1" s="1"/>
  <c r="J130" i="1"/>
  <c r="I130" i="1"/>
  <c r="H130" i="1"/>
  <c r="P130" i="1" s="1"/>
  <c r="V129" i="1"/>
  <c r="U129" i="1"/>
  <c r="T129" i="1"/>
  <c r="L129" i="1"/>
  <c r="R129" i="1"/>
  <c r="S129" i="1" s="1"/>
  <c r="J129" i="1"/>
  <c r="I129" i="1"/>
  <c r="H129" i="1"/>
  <c r="P129" i="1" s="1"/>
  <c r="V128" i="1"/>
  <c r="U128" i="1"/>
  <c r="T128" i="1"/>
  <c r="L128" i="1"/>
  <c r="O128" i="1" s="1"/>
  <c r="R128" i="1"/>
  <c r="S128" i="1" s="1"/>
  <c r="J128" i="1"/>
  <c r="I128" i="1"/>
  <c r="H128" i="1"/>
  <c r="P128" i="1" s="1"/>
  <c r="V127" i="1"/>
  <c r="U127" i="1"/>
  <c r="T127" i="1"/>
  <c r="L127" i="1"/>
  <c r="R127" i="1"/>
  <c r="S127" i="1" s="1"/>
  <c r="J127" i="1"/>
  <c r="I127" i="1"/>
  <c r="H127" i="1"/>
  <c r="P127" i="1" s="1"/>
  <c r="V126" i="1"/>
  <c r="U126" i="1"/>
  <c r="T126" i="1"/>
  <c r="L126" i="1"/>
  <c r="O126" i="1" s="1"/>
  <c r="W126" i="1" s="1"/>
  <c r="R126" i="1"/>
  <c r="S126" i="1" s="1"/>
  <c r="J126" i="1"/>
  <c r="I126" i="1"/>
  <c r="H126" i="1"/>
  <c r="P126" i="1" s="1"/>
  <c r="V125" i="1"/>
  <c r="U125" i="1"/>
  <c r="T125" i="1"/>
  <c r="L125" i="1"/>
  <c r="R125" i="1"/>
  <c r="S125" i="1" s="1"/>
  <c r="J125" i="1"/>
  <c r="I125" i="1"/>
  <c r="H125" i="1"/>
  <c r="P125" i="1" s="1"/>
  <c r="V124" i="1"/>
  <c r="U124" i="1"/>
  <c r="T124" i="1"/>
  <c r="L124" i="1"/>
  <c r="O124" i="1" s="1"/>
  <c r="R124" i="1"/>
  <c r="S124" i="1" s="1"/>
  <c r="J124" i="1"/>
  <c r="I124" i="1"/>
  <c r="H124" i="1"/>
  <c r="P124" i="1" s="1"/>
  <c r="V123" i="1"/>
  <c r="U123" i="1"/>
  <c r="T123" i="1"/>
  <c r="L123" i="1"/>
  <c r="R123" i="1"/>
  <c r="S123" i="1" s="1"/>
  <c r="J123" i="1"/>
  <c r="I123" i="1"/>
  <c r="H123" i="1"/>
  <c r="P123" i="1" s="1"/>
  <c r="V122" i="1"/>
  <c r="U122" i="1"/>
  <c r="T122" i="1"/>
  <c r="L122" i="1"/>
  <c r="O122" i="1" s="1"/>
  <c r="W122" i="1" s="1"/>
  <c r="R122" i="1"/>
  <c r="S122" i="1" s="1"/>
  <c r="J122" i="1"/>
  <c r="I122" i="1"/>
  <c r="H122" i="1"/>
  <c r="P122" i="1" s="1"/>
  <c r="V121" i="1"/>
  <c r="U121" i="1"/>
  <c r="T121" i="1"/>
  <c r="L121" i="1"/>
  <c r="R121" i="1"/>
  <c r="S121" i="1" s="1"/>
  <c r="J121" i="1"/>
  <c r="I121" i="1"/>
  <c r="H121" i="1"/>
  <c r="P121" i="1" s="1"/>
  <c r="V120" i="1"/>
  <c r="U120" i="1"/>
  <c r="T120" i="1"/>
  <c r="L120" i="1"/>
  <c r="O120" i="1" s="1"/>
  <c r="R120" i="1"/>
  <c r="S120" i="1" s="1"/>
  <c r="J120" i="1"/>
  <c r="I120" i="1"/>
  <c r="H120" i="1"/>
  <c r="P120" i="1" s="1"/>
  <c r="V119" i="1"/>
  <c r="U119" i="1"/>
  <c r="T119" i="1"/>
  <c r="L119" i="1"/>
  <c r="R119" i="1"/>
  <c r="S119" i="1" s="1"/>
  <c r="J119" i="1"/>
  <c r="I119" i="1"/>
  <c r="H119" i="1"/>
  <c r="P119" i="1" s="1"/>
  <c r="V118" i="1"/>
  <c r="U118" i="1"/>
  <c r="T118" i="1"/>
  <c r="L118" i="1"/>
  <c r="O118" i="1" s="1"/>
  <c r="W118" i="1" s="1"/>
  <c r="R118" i="1"/>
  <c r="S118" i="1" s="1"/>
  <c r="J118" i="1"/>
  <c r="I118" i="1"/>
  <c r="H118" i="1"/>
  <c r="P118" i="1" s="1"/>
  <c r="V117" i="1"/>
  <c r="U117" i="1"/>
  <c r="T117" i="1"/>
  <c r="L117" i="1"/>
  <c r="R117" i="1"/>
  <c r="S117" i="1" s="1"/>
  <c r="J117" i="1"/>
  <c r="I117" i="1"/>
  <c r="H117" i="1"/>
  <c r="P117" i="1" s="1"/>
  <c r="V116" i="1"/>
  <c r="U116" i="1"/>
  <c r="T116" i="1"/>
  <c r="L116" i="1"/>
  <c r="O116" i="1" s="1"/>
  <c r="R116" i="1"/>
  <c r="S116" i="1" s="1"/>
  <c r="J116" i="1"/>
  <c r="I116" i="1"/>
  <c r="H116" i="1"/>
  <c r="P116" i="1" s="1"/>
  <c r="V115" i="1"/>
  <c r="U115" i="1"/>
  <c r="T115" i="1"/>
  <c r="L115" i="1"/>
  <c r="R115" i="1"/>
  <c r="S115" i="1" s="1"/>
  <c r="J115" i="1"/>
  <c r="I115" i="1"/>
  <c r="H115" i="1"/>
  <c r="P115" i="1" s="1"/>
  <c r="V114" i="1"/>
  <c r="U114" i="1"/>
  <c r="T114" i="1"/>
  <c r="L114" i="1"/>
  <c r="O114" i="1"/>
  <c r="J114" i="1"/>
  <c r="I114" i="1"/>
  <c r="H114" i="1"/>
  <c r="P114" i="1"/>
  <c r="V113" i="1"/>
  <c r="U113" i="1"/>
  <c r="T113" i="1"/>
  <c r="L113" i="1"/>
  <c r="R113" i="1" s="1"/>
  <c r="S113" i="1" s="1"/>
  <c r="J113" i="1"/>
  <c r="I113" i="1"/>
  <c r="H113" i="1"/>
  <c r="P113" i="1"/>
  <c r="V112" i="1"/>
  <c r="U112" i="1"/>
  <c r="T112" i="1"/>
  <c r="L112" i="1"/>
  <c r="O112" i="1" s="1"/>
  <c r="W112" i="1" s="1"/>
  <c r="J112" i="1"/>
  <c r="I112" i="1"/>
  <c r="H112" i="1"/>
  <c r="P112" i="1" s="1"/>
  <c r="V111" i="1"/>
  <c r="U111" i="1"/>
  <c r="T111" i="1"/>
  <c r="L111" i="1"/>
  <c r="R111" i="1"/>
  <c r="S111" i="1" s="1"/>
  <c r="J111" i="1"/>
  <c r="I111" i="1"/>
  <c r="H111" i="1"/>
  <c r="P111" i="1" s="1"/>
  <c r="V110" i="1"/>
  <c r="U110" i="1"/>
  <c r="T110" i="1"/>
  <c r="L110" i="1"/>
  <c r="O110" i="1"/>
  <c r="J110" i="1"/>
  <c r="I110" i="1"/>
  <c r="H110" i="1"/>
  <c r="P110" i="1"/>
  <c r="V109" i="1"/>
  <c r="U109" i="1"/>
  <c r="T109" i="1"/>
  <c r="L109" i="1"/>
  <c r="R109" i="1" s="1"/>
  <c r="S109" i="1" s="1"/>
  <c r="J109" i="1"/>
  <c r="I109" i="1"/>
  <c r="H109" i="1"/>
  <c r="P109" i="1"/>
  <c r="V108" i="1"/>
  <c r="U108" i="1"/>
  <c r="T108" i="1"/>
  <c r="L108" i="1"/>
  <c r="O108" i="1" s="1"/>
  <c r="W108" i="1" s="1"/>
  <c r="J108" i="1"/>
  <c r="I108" i="1"/>
  <c r="H108" i="1"/>
  <c r="P108" i="1" s="1"/>
  <c r="V107" i="1"/>
  <c r="U107" i="1"/>
  <c r="T107" i="1"/>
  <c r="L107" i="1"/>
  <c r="R107" i="1"/>
  <c r="S107" i="1" s="1"/>
  <c r="J107" i="1"/>
  <c r="I107" i="1"/>
  <c r="H107" i="1"/>
  <c r="P107" i="1" s="1"/>
  <c r="V106" i="1"/>
  <c r="U106" i="1"/>
  <c r="T106" i="1"/>
  <c r="L106" i="1"/>
  <c r="O106" i="1"/>
  <c r="J106" i="1"/>
  <c r="I106" i="1"/>
  <c r="H106" i="1"/>
  <c r="P106" i="1"/>
  <c r="V105" i="1"/>
  <c r="U105" i="1"/>
  <c r="T105" i="1"/>
  <c r="L105" i="1"/>
  <c r="R105" i="1" s="1"/>
  <c r="S105" i="1" s="1"/>
  <c r="J105" i="1"/>
  <c r="I105" i="1"/>
  <c r="H105" i="1"/>
  <c r="P105" i="1"/>
  <c r="V104" i="1"/>
  <c r="U104" i="1"/>
  <c r="T104" i="1"/>
  <c r="L104" i="1"/>
  <c r="O104" i="1" s="1"/>
  <c r="W104" i="1" s="1"/>
  <c r="J104" i="1"/>
  <c r="I104" i="1"/>
  <c r="H104" i="1"/>
  <c r="P104" i="1" s="1"/>
  <c r="V103" i="1"/>
  <c r="U103" i="1"/>
  <c r="T103" i="1"/>
  <c r="L103" i="1"/>
  <c r="R103" i="1"/>
  <c r="S103" i="1" s="1"/>
  <c r="J103" i="1"/>
  <c r="I103" i="1"/>
  <c r="H103" i="1"/>
  <c r="P103" i="1" s="1"/>
  <c r="V102" i="1"/>
  <c r="U102" i="1"/>
  <c r="T102" i="1"/>
  <c r="L102" i="1"/>
  <c r="O102" i="1"/>
  <c r="J102" i="1"/>
  <c r="I102" i="1"/>
  <c r="H102" i="1"/>
  <c r="P102" i="1"/>
  <c r="V101" i="1"/>
  <c r="U101" i="1"/>
  <c r="T101" i="1"/>
  <c r="L101" i="1"/>
  <c r="R101" i="1" s="1"/>
  <c r="S101" i="1" s="1"/>
  <c r="J101" i="1"/>
  <c r="I101" i="1"/>
  <c r="H101" i="1"/>
  <c r="P101" i="1"/>
  <c r="V100" i="1"/>
  <c r="U100" i="1"/>
  <c r="T100" i="1"/>
  <c r="L100" i="1"/>
  <c r="O100" i="1" s="1"/>
  <c r="W100" i="1" s="1"/>
  <c r="J100" i="1"/>
  <c r="I100" i="1"/>
  <c r="H100" i="1"/>
  <c r="P100" i="1" s="1"/>
  <c r="V99" i="1"/>
  <c r="U99" i="1"/>
  <c r="T99" i="1"/>
  <c r="L99" i="1"/>
  <c r="R99" i="1"/>
  <c r="S99" i="1" s="1"/>
  <c r="J99" i="1"/>
  <c r="I99" i="1"/>
  <c r="H99" i="1"/>
  <c r="P99" i="1" s="1"/>
  <c r="V98" i="1"/>
  <c r="U98" i="1"/>
  <c r="T98" i="1"/>
  <c r="L98" i="1"/>
  <c r="O98" i="1"/>
  <c r="J98" i="1"/>
  <c r="I98" i="1"/>
  <c r="H98" i="1"/>
  <c r="P98" i="1"/>
  <c r="V97" i="1"/>
  <c r="U97" i="1"/>
  <c r="T97" i="1"/>
  <c r="L97" i="1"/>
  <c r="R97" i="1" s="1"/>
  <c r="S97" i="1" s="1"/>
  <c r="J97" i="1"/>
  <c r="I97" i="1"/>
  <c r="H97" i="1"/>
  <c r="P97" i="1"/>
  <c r="V96" i="1"/>
  <c r="U96" i="1"/>
  <c r="T96" i="1"/>
  <c r="L96" i="1"/>
  <c r="O96" i="1" s="1"/>
  <c r="W96" i="1" s="1"/>
  <c r="J96" i="1"/>
  <c r="I96" i="1"/>
  <c r="H96" i="1"/>
  <c r="P96" i="1" s="1"/>
  <c r="V95" i="1"/>
  <c r="U95" i="1"/>
  <c r="T95" i="1"/>
  <c r="L95" i="1"/>
  <c r="R95" i="1"/>
  <c r="S95" i="1" s="1"/>
  <c r="J95" i="1"/>
  <c r="I95" i="1"/>
  <c r="H95" i="1"/>
  <c r="P95" i="1" s="1"/>
  <c r="V94" i="1"/>
  <c r="U94" i="1"/>
  <c r="T94" i="1"/>
  <c r="L94" i="1"/>
  <c r="O94" i="1"/>
  <c r="J94" i="1"/>
  <c r="I94" i="1"/>
  <c r="H94" i="1"/>
  <c r="P94" i="1"/>
  <c r="V93" i="1"/>
  <c r="U93" i="1"/>
  <c r="T93" i="1"/>
  <c r="L93" i="1"/>
  <c r="R93" i="1" s="1"/>
  <c r="S93" i="1" s="1"/>
  <c r="J93" i="1"/>
  <c r="I93" i="1"/>
  <c r="H93" i="1"/>
  <c r="P93" i="1"/>
  <c r="V92" i="1"/>
  <c r="U92" i="1"/>
  <c r="T92" i="1"/>
  <c r="L92" i="1"/>
  <c r="O92" i="1" s="1"/>
  <c r="W92" i="1" s="1"/>
  <c r="J92" i="1"/>
  <c r="I92" i="1"/>
  <c r="H92" i="1"/>
  <c r="P92" i="1" s="1"/>
  <c r="V91" i="1"/>
  <c r="U91" i="1"/>
  <c r="T91" i="1"/>
  <c r="L91" i="1"/>
  <c r="R91" i="1"/>
  <c r="S91" i="1" s="1"/>
  <c r="J91" i="1"/>
  <c r="I91" i="1"/>
  <c r="H91" i="1"/>
  <c r="P91" i="1" s="1"/>
  <c r="V90" i="1"/>
  <c r="U90" i="1"/>
  <c r="T90" i="1"/>
  <c r="L90" i="1"/>
  <c r="O90" i="1"/>
  <c r="J90" i="1"/>
  <c r="I90" i="1"/>
  <c r="H90" i="1"/>
  <c r="P90" i="1"/>
  <c r="V89" i="1"/>
  <c r="U89" i="1"/>
  <c r="T89" i="1"/>
  <c r="L89" i="1"/>
  <c r="R89" i="1" s="1"/>
  <c r="S89" i="1" s="1"/>
  <c r="J89" i="1"/>
  <c r="I89" i="1"/>
  <c r="H89" i="1"/>
  <c r="P89" i="1"/>
  <c r="V88" i="1"/>
  <c r="U88" i="1"/>
  <c r="T88" i="1"/>
  <c r="L88" i="1"/>
  <c r="O88" i="1" s="1"/>
  <c r="W88" i="1" s="1"/>
  <c r="J88" i="1"/>
  <c r="I88" i="1"/>
  <c r="H88" i="1"/>
  <c r="P88" i="1" s="1"/>
  <c r="V87" i="1"/>
  <c r="U87" i="1"/>
  <c r="T87" i="1"/>
  <c r="L87" i="1"/>
  <c r="R87" i="1"/>
  <c r="S87" i="1" s="1"/>
  <c r="J87" i="1"/>
  <c r="I87" i="1"/>
  <c r="H87" i="1"/>
  <c r="P87" i="1" s="1"/>
  <c r="V86" i="1"/>
  <c r="U86" i="1"/>
  <c r="T86" i="1"/>
  <c r="L86" i="1"/>
  <c r="O86" i="1"/>
  <c r="J86" i="1"/>
  <c r="I86" i="1"/>
  <c r="H86" i="1"/>
  <c r="P86" i="1"/>
  <c r="V85" i="1"/>
  <c r="U85" i="1"/>
  <c r="T85" i="1"/>
  <c r="L85" i="1"/>
  <c r="R85" i="1" s="1"/>
  <c r="S85" i="1" s="1"/>
  <c r="J85" i="1"/>
  <c r="I85" i="1"/>
  <c r="H85" i="1"/>
  <c r="P85" i="1"/>
  <c r="V84" i="1"/>
  <c r="U84" i="1"/>
  <c r="T84" i="1"/>
  <c r="L84" i="1"/>
  <c r="O84" i="1" s="1"/>
  <c r="W84" i="1" s="1"/>
  <c r="J84" i="1"/>
  <c r="I84" i="1"/>
  <c r="H84" i="1"/>
  <c r="P84" i="1" s="1"/>
  <c r="V83" i="1"/>
  <c r="U83" i="1"/>
  <c r="T83" i="1"/>
  <c r="L83" i="1"/>
  <c r="R83" i="1"/>
  <c r="S83" i="1" s="1"/>
  <c r="J83" i="1"/>
  <c r="I83" i="1"/>
  <c r="H83" i="1"/>
  <c r="P83" i="1" s="1"/>
  <c r="V82" i="1"/>
  <c r="U82" i="1"/>
  <c r="T82" i="1"/>
  <c r="L82" i="1"/>
  <c r="O82" i="1"/>
  <c r="J82" i="1"/>
  <c r="I82" i="1"/>
  <c r="H82" i="1"/>
  <c r="P82" i="1"/>
  <c r="V81" i="1"/>
  <c r="U81" i="1"/>
  <c r="T81" i="1"/>
  <c r="L81" i="1"/>
  <c r="R81" i="1" s="1"/>
  <c r="S81" i="1" s="1"/>
  <c r="J81" i="1"/>
  <c r="I81" i="1"/>
  <c r="H81" i="1"/>
  <c r="P81" i="1"/>
  <c r="V80" i="1"/>
  <c r="U80" i="1"/>
  <c r="T80" i="1"/>
  <c r="L80" i="1"/>
  <c r="O80" i="1" s="1"/>
  <c r="W80" i="1" s="1"/>
  <c r="J80" i="1"/>
  <c r="I80" i="1"/>
  <c r="H80" i="1"/>
  <c r="P80" i="1" s="1"/>
  <c r="V79" i="1"/>
  <c r="U79" i="1"/>
  <c r="T79" i="1"/>
  <c r="L79" i="1"/>
  <c r="R79" i="1"/>
  <c r="S79" i="1" s="1"/>
  <c r="J79" i="1"/>
  <c r="I79" i="1"/>
  <c r="H79" i="1"/>
  <c r="P79" i="1" s="1"/>
  <c r="V78" i="1"/>
  <c r="U78" i="1"/>
  <c r="T78" i="1"/>
  <c r="L78" i="1"/>
  <c r="O78" i="1"/>
  <c r="J78" i="1"/>
  <c r="I78" i="1"/>
  <c r="H78" i="1"/>
  <c r="P78" i="1"/>
  <c r="V77" i="1"/>
  <c r="U77" i="1"/>
  <c r="T77" i="1"/>
  <c r="L77" i="1"/>
  <c r="R77" i="1" s="1"/>
  <c r="S77" i="1" s="1"/>
  <c r="J77" i="1"/>
  <c r="I77" i="1"/>
  <c r="H77" i="1"/>
  <c r="P77" i="1"/>
  <c r="V76" i="1"/>
  <c r="U76" i="1"/>
  <c r="T76" i="1"/>
  <c r="L76" i="1"/>
  <c r="O76" i="1" s="1"/>
  <c r="W76" i="1" s="1"/>
  <c r="J76" i="1"/>
  <c r="I76" i="1"/>
  <c r="H76" i="1"/>
  <c r="P76" i="1" s="1"/>
  <c r="V75" i="1"/>
  <c r="U75" i="1"/>
  <c r="T75" i="1"/>
  <c r="L75" i="1"/>
  <c r="R75" i="1"/>
  <c r="S75" i="1" s="1"/>
  <c r="J75" i="1"/>
  <c r="I75" i="1"/>
  <c r="H75" i="1"/>
  <c r="P75" i="1" s="1"/>
  <c r="V74" i="1"/>
  <c r="U74" i="1"/>
  <c r="T74" i="1"/>
  <c r="L74" i="1"/>
  <c r="O74" i="1"/>
  <c r="J74" i="1"/>
  <c r="I74" i="1"/>
  <c r="H74" i="1"/>
  <c r="P74" i="1"/>
  <c r="V73" i="1"/>
  <c r="U73" i="1"/>
  <c r="T73" i="1"/>
  <c r="L73" i="1"/>
  <c r="R73" i="1" s="1"/>
  <c r="S73" i="1" s="1"/>
  <c r="J73" i="1"/>
  <c r="I73" i="1"/>
  <c r="H73" i="1"/>
  <c r="P73" i="1"/>
  <c r="V72" i="1"/>
  <c r="U72" i="1"/>
  <c r="T72" i="1"/>
  <c r="L72" i="1"/>
  <c r="O72" i="1" s="1"/>
  <c r="W72" i="1" s="1"/>
  <c r="J72" i="1"/>
  <c r="I72" i="1"/>
  <c r="H72" i="1"/>
  <c r="P72" i="1" s="1"/>
  <c r="V71" i="1"/>
  <c r="U71" i="1"/>
  <c r="T71" i="1"/>
  <c r="L71" i="1"/>
  <c r="R71" i="1"/>
  <c r="S71" i="1" s="1"/>
  <c r="J71" i="1"/>
  <c r="I71" i="1"/>
  <c r="H71" i="1"/>
  <c r="P71" i="1" s="1"/>
  <c r="V70" i="1"/>
  <c r="U70" i="1"/>
  <c r="T70" i="1"/>
  <c r="L70" i="1"/>
  <c r="O70" i="1"/>
  <c r="J70" i="1"/>
  <c r="I70" i="1"/>
  <c r="H70" i="1"/>
  <c r="P70" i="1"/>
  <c r="V69" i="1"/>
  <c r="U69" i="1"/>
  <c r="T69" i="1"/>
  <c r="L69" i="1"/>
  <c r="R69" i="1" s="1"/>
  <c r="S69" i="1" s="1"/>
  <c r="J69" i="1"/>
  <c r="I69" i="1"/>
  <c r="H69" i="1"/>
  <c r="P69" i="1"/>
  <c r="V68" i="1"/>
  <c r="U68" i="1"/>
  <c r="T68" i="1"/>
  <c r="L68" i="1"/>
  <c r="O68" i="1" s="1"/>
  <c r="W68" i="1" s="1"/>
  <c r="J68" i="1"/>
  <c r="I68" i="1"/>
  <c r="H68" i="1"/>
  <c r="P68" i="1" s="1"/>
  <c r="V67" i="1"/>
  <c r="U67" i="1"/>
  <c r="T67" i="1"/>
  <c r="L67" i="1"/>
  <c r="R67" i="1"/>
  <c r="S67" i="1" s="1"/>
  <c r="J67" i="1"/>
  <c r="I67" i="1"/>
  <c r="H67" i="1"/>
  <c r="P67" i="1" s="1"/>
  <c r="V66" i="1"/>
  <c r="U66" i="1"/>
  <c r="T66" i="1"/>
  <c r="L66" i="1"/>
  <c r="O66" i="1"/>
  <c r="J66" i="1"/>
  <c r="I66" i="1"/>
  <c r="H66" i="1"/>
  <c r="P66" i="1"/>
  <c r="V65" i="1"/>
  <c r="U65" i="1"/>
  <c r="T65" i="1"/>
  <c r="L65" i="1"/>
  <c r="R65" i="1" s="1"/>
  <c r="S65" i="1" s="1"/>
  <c r="J65" i="1"/>
  <c r="I65" i="1"/>
  <c r="H65" i="1"/>
  <c r="P65" i="1"/>
  <c r="V64" i="1"/>
  <c r="U64" i="1"/>
  <c r="T64" i="1"/>
  <c r="L64" i="1"/>
  <c r="O64" i="1" s="1"/>
  <c r="W64" i="1" s="1"/>
  <c r="J64" i="1"/>
  <c r="I64" i="1"/>
  <c r="H64" i="1"/>
  <c r="P64" i="1" s="1"/>
  <c r="V63" i="1"/>
  <c r="U63" i="1"/>
  <c r="T63" i="1"/>
  <c r="L63" i="1"/>
  <c r="R63" i="1"/>
  <c r="S63" i="1" s="1"/>
  <c r="J63" i="1"/>
  <c r="I63" i="1"/>
  <c r="H63" i="1"/>
  <c r="P63" i="1" s="1"/>
  <c r="V62" i="1"/>
  <c r="U62" i="1"/>
  <c r="T62" i="1"/>
  <c r="L62" i="1"/>
  <c r="O62" i="1"/>
  <c r="J62" i="1"/>
  <c r="I62" i="1"/>
  <c r="H62" i="1"/>
  <c r="P62" i="1"/>
  <c r="V61" i="1"/>
  <c r="U61" i="1"/>
  <c r="T61" i="1"/>
  <c r="L61" i="1"/>
  <c r="R61" i="1" s="1"/>
  <c r="S61" i="1" s="1"/>
  <c r="J61" i="1"/>
  <c r="I61" i="1"/>
  <c r="H61" i="1"/>
  <c r="P61" i="1"/>
  <c r="V60" i="1"/>
  <c r="U60" i="1"/>
  <c r="T60" i="1"/>
  <c r="L60" i="1"/>
  <c r="O60" i="1" s="1"/>
  <c r="W60" i="1" s="1"/>
  <c r="J60" i="1"/>
  <c r="I60" i="1"/>
  <c r="H60" i="1"/>
  <c r="P60" i="1" s="1"/>
  <c r="V59" i="1"/>
  <c r="U59" i="1"/>
  <c r="T59" i="1"/>
  <c r="L59" i="1"/>
  <c r="R59" i="1"/>
  <c r="S59" i="1" s="1"/>
  <c r="J59" i="1"/>
  <c r="I59" i="1"/>
  <c r="H59" i="1"/>
  <c r="P59" i="1" s="1"/>
  <c r="V58" i="1"/>
  <c r="U58" i="1"/>
  <c r="T58" i="1"/>
  <c r="L58" i="1"/>
  <c r="O58" i="1"/>
  <c r="J58" i="1"/>
  <c r="I58" i="1"/>
  <c r="H58" i="1"/>
  <c r="P58" i="1"/>
  <c r="V57" i="1"/>
  <c r="U57" i="1"/>
  <c r="T57" i="1"/>
  <c r="L57" i="1"/>
  <c r="R57" i="1" s="1"/>
  <c r="S57" i="1" s="1"/>
  <c r="J57" i="1"/>
  <c r="I57" i="1"/>
  <c r="H57" i="1"/>
  <c r="P57" i="1"/>
  <c r="V56" i="1"/>
  <c r="U56" i="1"/>
  <c r="T56" i="1"/>
  <c r="L56" i="1"/>
  <c r="O56" i="1" s="1"/>
  <c r="W56" i="1" s="1"/>
  <c r="J56" i="1"/>
  <c r="I56" i="1"/>
  <c r="H56" i="1"/>
  <c r="P56" i="1" s="1"/>
  <c r="V55" i="1"/>
  <c r="U55" i="1"/>
  <c r="T55" i="1"/>
  <c r="L55" i="1"/>
  <c r="R55" i="1"/>
  <c r="S55" i="1" s="1"/>
  <c r="J55" i="1"/>
  <c r="I55" i="1"/>
  <c r="H55" i="1"/>
  <c r="P55" i="1" s="1"/>
  <c r="V54" i="1"/>
  <c r="U54" i="1"/>
  <c r="T54" i="1"/>
  <c r="L54" i="1"/>
  <c r="O54" i="1"/>
  <c r="J54" i="1"/>
  <c r="I54" i="1"/>
  <c r="H54" i="1"/>
  <c r="P54" i="1"/>
  <c r="V53" i="1"/>
  <c r="U53" i="1"/>
  <c r="T53" i="1"/>
  <c r="L53" i="1"/>
  <c r="R53" i="1" s="1"/>
  <c r="S53" i="1" s="1"/>
  <c r="J53" i="1"/>
  <c r="I53" i="1"/>
  <c r="H53" i="1"/>
  <c r="P53" i="1"/>
  <c r="V52" i="1"/>
  <c r="U52" i="1"/>
  <c r="T52" i="1"/>
  <c r="L52" i="1"/>
  <c r="O52" i="1" s="1"/>
  <c r="W52" i="1" s="1"/>
  <c r="J52" i="1"/>
  <c r="I52" i="1"/>
  <c r="H52" i="1"/>
  <c r="P52" i="1" s="1"/>
  <c r="V51" i="1"/>
  <c r="U51" i="1"/>
  <c r="T51" i="1"/>
  <c r="L51" i="1"/>
  <c r="R51" i="1"/>
  <c r="S51" i="1" s="1"/>
  <c r="J51" i="1"/>
  <c r="I51" i="1"/>
  <c r="H51" i="1"/>
  <c r="P51" i="1" s="1"/>
  <c r="V50" i="1"/>
  <c r="U50" i="1"/>
  <c r="T50" i="1"/>
  <c r="L50" i="1"/>
  <c r="O50" i="1"/>
  <c r="J50" i="1"/>
  <c r="I50" i="1"/>
  <c r="H50" i="1"/>
  <c r="P50" i="1"/>
  <c r="V49" i="1"/>
  <c r="U49" i="1"/>
  <c r="T49" i="1"/>
  <c r="L49" i="1"/>
  <c r="R49" i="1" s="1"/>
  <c r="S49" i="1" s="1"/>
  <c r="J49" i="1"/>
  <c r="I49" i="1"/>
  <c r="H49" i="1"/>
  <c r="P49" i="1"/>
  <c r="V48" i="1"/>
  <c r="U48" i="1"/>
  <c r="T48" i="1"/>
  <c r="L48" i="1"/>
  <c r="O48" i="1" s="1"/>
  <c r="W48" i="1" s="1"/>
  <c r="J48" i="1"/>
  <c r="I48" i="1"/>
  <c r="H48" i="1"/>
  <c r="P48" i="1" s="1"/>
  <c r="V47" i="1"/>
  <c r="U47" i="1"/>
  <c r="T47" i="1"/>
  <c r="L47" i="1"/>
  <c r="R47" i="1"/>
  <c r="S47" i="1" s="1"/>
  <c r="J47" i="1"/>
  <c r="I47" i="1"/>
  <c r="H47" i="1"/>
  <c r="P47" i="1" s="1"/>
  <c r="V46" i="1"/>
  <c r="U46" i="1"/>
  <c r="T46" i="1"/>
  <c r="L46" i="1"/>
  <c r="O46" i="1"/>
  <c r="J46" i="1"/>
  <c r="I46" i="1"/>
  <c r="H46" i="1"/>
  <c r="P46" i="1"/>
  <c r="V45" i="1"/>
  <c r="U45" i="1"/>
  <c r="T45" i="1"/>
  <c r="L45" i="1"/>
  <c r="R45" i="1" s="1"/>
  <c r="S45" i="1" s="1"/>
  <c r="J45" i="1"/>
  <c r="I45" i="1"/>
  <c r="H45" i="1"/>
  <c r="P45" i="1"/>
  <c r="V44" i="1"/>
  <c r="U44" i="1"/>
  <c r="T44" i="1"/>
  <c r="L44" i="1"/>
  <c r="O44" i="1" s="1"/>
  <c r="W44" i="1" s="1"/>
  <c r="J44" i="1"/>
  <c r="I44" i="1"/>
  <c r="H44" i="1"/>
  <c r="P44" i="1" s="1"/>
  <c r="V43" i="1"/>
  <c r="U43" i="1"/>
  <c r="T43" i="1"/>
  <c r="L43" i="1"/>
  <c r="R43" i="1"/>
  <c r="S43" i="1" s="1"/>
  <c r="J43" i="1"/>
  <c r="I43" i="1"/>
  <c r="H43" i="1"/>
  <c r="P43" i="1" s="1"/>
  <c r="V42" i="1"/>
  <c r="U42" i="1"/>
  <c r="T42" i="1"/>
  <c r="L42" i="1"/>
  <c r="O42" i="1"/>
  <c r="J42" i="1"/>
  <c r="I42" i="1"/>
  <c r="H42" i="1"/>
  <c r="P42" i="1"/>
  <c r="V41" i="1"/>
  <c r="U41" i="1"/>
  <c r="T41" i="1"/>
  <c r="L41" i="1"/>
  <c r="R41" i="1" s="1"/>
  <c r="S41" i="1" s="1"/>
  <c r="J41" i="1"/>
  <c r="I41" i="1"/>
  <c r="H41" i="1"/>
  <c r="P41" i="1"/>
  <c r="V40" i="1"/>
  <c r="U40" i="1"/>
  <c r="T40" i="1"/>
  <c r="L40" i="1"/>
  <c r="O40" i="1" s="1"/>
  <c r="W40" i="1" s="1"/>
  <c r="J40" i="1"/>
  <c r="I40" i="1"/>
  <c r="H40" i="1"/>
  <c r="P40" i="1" s="1"/>
  <c r="V39" i="1"/>
  <c r="U39" i="1"/>
  <c r="T39" i="1"/>
  <c r="L39" i="1"/>
  <c r="R39" i="1"/>
  <c r="S39" i="1" s="1"/>
  <c r="J39" i="1"/>
  <c r="I39" i="1"/>
  <c r="H39" i="1"/>
  <c r="P39" i="1" s="1"/>
  <c r="V38" i="1"/>
  <c r="U38" i="1"/>
  <c r="T38" i="1"/>
  <c r="L38" i="1"/>
  <c r="O38" i="1"/>
  <c r="J38" i="1"/>
  <c r="I38" i="1"/>
  <c r="H38" i="1"/>
  <c r="P38" i="1"/>
  <c r="V37" i="1"/>
  <c r="U37" i="1"/>
  <c r="T37" i="1"/>
  <c r="L37" i="1"/>
  <c r="R37" i="1" s="1"/>
  <c r="S37" i="1" s="1"/>
  <c r="J37" i="1"/>
  <c r="I37" i="1"/>
  <c r="H37" i="1"/>
  <c r="P37" i="1"/>
  <c r="V36" i="1"/>
  <c r="U36" i="1"/>
  <c r="T36" i="1"/>
  <c r="L36" i="1"/>
  <c r="O36" i="1" s="1"/>
  <c r="W36" i="1" s="1"/>
  <c r="J36" i="1"/>
  <c r="I36" i="1"/>
  <c r="H36" i="1"/>
  <c r="P36" i="1" s="1"/>
  <c r="V35" i="1"/>
  <c r="U35" i="1"/>
  <c r="T35" i="1"/>
  <c r="L35" i="1"/>
  <c r="R35" i="1"/>
  <c r="S35" i="1" s="1"/>
  <c r="J35" i="1"/>
  <c r="I35" i="1"/>
  <c r="H35" i="1"/>
  <c r="P35" i="1" s="1"/>
  <c r="V34" i="1"/>
  <c r="U34" i="1"/>
  <c r="T34" i="1"/>
  <c r="L34" i="1"/>
  <c r="O34" i="1"/>
  <c r="J34" i="1"/>
  <c r="I34" i="1"/>
  <c r="H34" i="1"/>
  <c r="P34" i="1"/>
  <c r="V33" i="1"/>
  <c r="U33" i="1"/>
  <c r="T33" i="1"/>
  <c r="L33" i="1"/>
  <c r="R33" i="1" s="1"/>
  <c r="S33" i="1" s="1"/>
  <c r="J33" i="1"/>
  <c r="I33" i="1"/>
  <c r="H33" i="1"/>
  <c r="P33" i="1"/>
  <c r="V32" i="1"/>
  <c r="U32" i="1"/>
  <c r="T32" i="1"/>
  <c r="L32" i="1"/>
  <c r="O32" i="1" s="1"/>
  <c r="W32" i="1" s="1"/>
  <c r="J32" i="1"/>
  <c r="I32" i="1"/>
  <c r="H32" i="1"/>
  <c r="P32" i="1" s="1"/>
  <c r="V31" i="1"/>
  <c r="U31" i="1"/>
  <c r="T31" i="1"/>
  <c r="L31" i="1"/>
  <c r="R31" i="1"/>
  <c r="S31" i="1" s="1"/>
  <c r="J31" i="1"/>
  <c r="I31" i="1"/>
  <c r="H31" i="1"/>
  <c r="P31" i="1" s="1"/>
  <c r="V30" i="1"/>
  <c r="U30" i="1"/>
  <c r="T30" i="1"/>
  <c r="L30" i="1"/>
  <c r="O30" i="1"/>
  <c r="W30" i="1" s="1"/>
  <c r="J30" i="1"/>
  <c r="I30" i="1"/>
  <c r="H30" i="1"/>
  <c r="P30" i="1"/>
  <c r="V29" i="1"/>
  <c r="U29" i="1"/>
  <c r="T29" i="1"/>
  <c r="L29" i="1"/>
  <c r="R29" i="1" s="1"/>
  <c r="S29" i="1" s="1"/>
  <c r="J29" i="1"/>
  <c r="I29" i="1"/>
  <c r="H29" i="1"/>
  <c r="P29" i="1"/>
  <c r="V28" i="1"/>
  <c r="U28" i="1"/>
  <c r="T28" i="1"/>
  <c r="L28" i="1"/>
  <c r="O28" i="1" s="1"/>
  <c r="W28" i="1" s="1"/>
  <c r="J28" i="1"/>
  <c r="I28" i="1"/>
  <c r="H28" i="1"/>
  <c r="P28" i="1" s="1"/>
  <c r="V27" i="1"/>
  <c r="U27" i="1"/>
  <c r="T27" i="1"/>
  <c r="L27" i="1"/>
  <c r="R27" i="1"/>
  <c r="S27" i="1" s="1"/>
  <c r="J27" i="1"/>
  <c r="I27" i="1"/>
  <c r="H27" i="1"/>
  <c r="P27" i="1" s="1"/>
  <c r="V26" i="1"/>
  <c r="U26" i="1"/>
  <c r="T26" i="1"/>
  <c r="L26" i="1"/>
  <c r="O26" i="1"/>
  <c r="W26" i="1" s="1"/>
  <c r="J26" i="1"/>
  <c r="I26" i="1"/>
  <c r="H26" i="1"/>
  <c r="P26" i="1"/>
  <c r="V25" i="1"/>
  <c r="U25" i="1"/>
  <c r="T25" i="1"/>
  <c r="L25" i="1"/>
  <c r="R25" i="1" s="1"/>
  <c r="S25" i="1" s="1"/>
  <c r="J25" i="1"/>
  <c r="I25" i="1"/>
  <c r="H25" i="1"/>
  <c r="P25" i="1"/>
  <c r="V24" i="1"/>
  <c r="U24" i="1"/>
  <c r="T24" i="1"/>
  <c r="L24" i="1"/>
  <c r="O24" i="1" s="1"/>
  <c r="W24" i="1" s="1"/>
  <c r="J24" i="1"/>
  <c r="I24" i="1"/>
  <c r="H24" i="1"/>
  <c r="P24" i="1" s="1"/>
  <c r="V23" i="1"/>
  <c r="U23" i="1"/>
  <c r="T23" i="1"/>
  <c r="L23" i="1"/>
  <c r="R23" i="1"/>
  <c r="S23" i="1" s="1"/>
  <c r="J23" i="1"/>
  <c r="I23" i="1"/>
  <c r="H23" i="1"/>
  <c r="P23" i="1" s="1"/>
  <c r="V22" i="1"/>
  <c r="U22" i="1"/>
  <c r="T22" i="1"/>
  <c r="L22" i="1"/>
  <c r="O22" i="1"/>
  <c r="W22" i="1" s="1"/>
  <c r="J22" i="1"/>
  <c r="I22" i="1"/>
  <c r="H22" i="1"/>
  <c r="P22" i="1"/>
  <c r="V21" i="1"/>
  <c r="U21" i="1"/>
  <c r="T21" i="1"/>
  <c r="L21" i="1"/>
  <c r="R21" i="1" s="1"/>
  <c r="S21" i="1" s="1"/>
  <c r="J21" i="1"/>
  <c r="I21" i="1"/>
  <c r="H21" i="1"/>
  <c r="P21" i="1"/>
  <c r="V20" i="1"/>
  <c r="U20" i="1"/>
  <c r="T20" i="1"/>
  <c r="L20" i="1"/>
  <c r="O20" i="1" s="1"/>
  <c r="W20" i="1" s="1"/>
  <c r="J20" i="1"/>
  <c r="I20" i="1"/>
  <c r="H20" i="1"/>
  <c r="P20" i="1" s="1"/>
  <c r="V19" i="1"/>
  <c r="U19" i="1"/>
  <c r="T19" i="1"/>
  <c r="L19" i="1"/>
  <c r="R19" i="1"/>
  <c r="S19" i="1" s="1"/>
  <c r="J19" i="1"/>
  <c r="I19" i="1"/>
  <c r="H19" i="1"/>
  <c r="P19" i="1" s="1"/>
  <c r="V18" i="1"/>
  <c r="U18" i="1"/>
  <c r="T18" i="1"/>
  <c r="L18" i="1"/>
  <c r="O18" i="1"/>
  <c r="W18" i="1" s="1"/>
  <c r="J18" i="1"/>
  <c r="I18" i="1"/>
  <c r="H18" i="1"/>
  <c r="P18" i="1"/>
  <c r="V17" i="1"/>
  <c r="U17" i="1"/>
  <c r="T17" i="1"/>
  <c r="L17" i="1"/>
  <c r="R17" i="1" s="1"/>
  <c r="S17" i="1" s="1"/>
  <c r="J17" i="1"/>
  <c r="I17" i="1"/>
  <c r="H17" i="1"/>
  <c r="P17" i="1" s="1"/>
  <c r="V16" i="1"/>
  <c r="V13" i="1" s="1"/>
  <c r="U16" i="1"/>
  <c r="U13" i="1" s="1"/>
  <c r="T16" i="1"/>
  <c r="T13" i="1"/>
  <c r="L16" i="1"/>
  <c r="O16" i="1"/>
  <c r="W16" i="1" s="1"/>
  <c r="J16" i="1"/>
  <c r="I16" i="1"/>
  <c r="I13" i="1" s="1"/>
  <c r="H16" i="1"/>
  <c r="P16" i="1"/>
  <c r="N13" i="1"/>
  <c r="M13" i="1"/>
  <c r="K13" i="1"/>
  <c r="J13" i="1"/>
  <c r="H13" i="1"/>
  <c r="S11" i="1"/>
  <c r="R10" i="1"/>
  <c r="M10" i="1"/>
  <c r="L7" i="1"/>
  <c r="J7" i="1"/>
  <c r="I7" i="1"/>
  <c r="W139" i="1"/>
  <c r="W293" i="1"/>
  <c r="Q16" i="1"/>
  <c r="Q18" i="1"/>
  <c r="Q20" i="1"/>
  <c r="Q22" i="1"/>
  <c r="Q24" i="1"/>
  <c r="Q26" i="1"/>
  <c r="Q28" i="1"/>
  <c r="Q30" i="1"/>
  <c r="Q32" i="1"/>
  <c r="W34" i="1"/>
  <c r="Q34" i="1"/>
  <c r="Q36" i="1"/>
  <c r="W38" i="1"/>
  <c r="Q38" i="1"/>
  <c r="Q40" i="1"/>
  <c r="W42" i="1"/>
  <c r="Q42" i="1"/>
  <c r="Q44" i="1"/>
  <c r="W46" i="1"/>
  <c r="Q46" i="1"/>
  <c r="Q48" i="1"/>
  <c r="W50" i="1"/>
  <c r="Q50" i="1"/>
  <c r="Q52" i="1"/>
  <c r="W54" i="1"/>
  <c r="Q54" i="1"/>
  <c r="Q56" i="1"/>
  <c r="W58" i="1"/>
  <c r="Q58" i="1"/>
  <c r="Q60" i="1"/>
  <c r="W62" i="1"/>
  <c r="Q62" i="1"/>
  <c r="Q64" i="1"/>
  <c r="W66" i="1"/>
  <c r="Q66" i="1"/>
  <c r="Q68" i="1"/>
  <c r="W70" i="1"/>
  <c r="Q70" i="1"/>
  <c r="Q72" i="1"/>
  <c r="W74" i="1"/>
  <c r="Q74" i="1"/>
  <c r="Q76" i="1"/>
  <c r="W78" i="1"/>
  <c r="Q78" i="1"/>
  <c r="Q80" i="1"/>
  <c r="W82" i="1"/>
  <c r="Q82" i="1"/>
  <c r="Q84" i="1"/>
  <c r="W86" i="1"/>
  <c r="Q86" i="1"/>
  <c r="Q88" i="1"/>
  <c r="W90" i="1"/>
  <c r="Q90" i="1"/>
  <c r="Q92" i="1"/>
  <c r="W94" i="1"/>
  <c r="Q94" i="1"/>
  <c r="Q96" i="1"/>
  <c r="W98" i="1"/>
  <c r="Q98" i="1"/>
  <c r="Q100" i="1"/>
  <c r="W102" i="1"/>
  <c r="Q102" i="1"/>
  <c r="Q104" i="1"/>
  <c r="W106" i="1"/>
  <c r="Q106" i="1"/>
  <c r="Q108" i="1"/>
  <c r="W110" i="1"/>
  <c r="Q110" i="1"/>
  <c r="Q112" i="1"/>
  <c r="W114" i="1"/>
  <c r="Q114" i="1"/>
  <c r="R16" i="1"/>
  <c r="O17" i="1"/>
  <c r="R18" i="1"/>
  <c r="S18" i="1"/>
  <c r="O19" i="1"/>
  <c r="R20" i="1"/>
  <c r="S20" i="1" s="1"/>
  <c r="O21" i="1"/>
  <c r="R22" i="1"/>
  <c r="S22" i="1"/>
  <c r="O23" i="1"/>
  <c r="R24" i="1"/>
  <c r="S24" i="1" s="1"/>
  <c r="O25" i="1"/>
  <c r="R26" i="1"/>
  <c r="S26" i="1"/>
  <c r="O27" i="1"/>
  <c r="R28" i="1"/>
  <c r="S28" i="1" s="1"/>
  <c r="O29" i="1"/>
  <c r="R30" i="1"/>
  <c r="S30" i="1"/>
  <c r="O31" i="1"/>
  <c r="R32" i="1"/>
  <c r="S32" i="1" s="1"/>
  <c r="O33" i="1"/>
  <c r="R34" i="1"/>
  <c r="S34" i="1"/>
  <c r="O35" i="1"/>
  <c r="R36" i="1"/>
  <c r="S36" i="1" s="1"/>
  <c r="O37" i="1"/>
  <c r="R38" i="1"/>
  <c r="S38" i="1"/>
  <c r="O39" i="1"/>
  <c r="R40" i="1"/>
  <c r="S40" i="1" s="1"/>
  <c r="O41" i="1"/>
  <c r="R42" i="1"/>
  <c r="S42" i="1"/>
  <c r="O43" i="1"/>
  <c r="R44" i="1"/>
  <c r="S44" i="1" s="1"/>
  <c r="O45" i="1"/>
  <c r="R46" i="1"/>
  <c r="S46" i="1"/>
  <c r="O47" i="1"/>
  <c r="R48" i="1"/>
  <c r="S48" i="1" s="1"/>
  <c r="O49" i="1"/>
  <c r="R50" i="1"/>
  <c r="S50" i="1"/>
  <c r="O51" i="1"/>
  <c r="R52" i="1"/>
  <c r="S52" i="1" s="1"/>
  <c r="O53" i="1"/>
  <c r="R54" i="1"/>
  <c r="S54" i="1"/>
  <c r="O55" i="1"/>
  <c r="R56" i="1"/>
  <c r="S56" i="1" s="1"/>
  <c r="O57" i="1"/>
  <c r="R58" i="1"/>
  <c r="S58" i="1"/>
  <c r="O59" i="1"/>
  <c r="R60" i="1"/>
  <c r="S60" i="1" s="1"/>
  <c r="O61" i="1"/>
  <c r="R62" i="1"/>
  <c r="S62" i="1"/>
  <c r="O63" i="1"/>
  <c r="R64" i="1"/>
  <c r="S64" i="1" s="1"/>
  <c r="O65" i="1"/>
  <c r="R66" i="1"/>
  <c r="S66" i="1"/>
  <c r="O67" i="1"/>
  <c r="R68" i="1"/>
  <c r="S68" i="1" s="1"/>
  <c r="O69" i="1"/>
  <c r="R70" i="1"/>
  <c r="S70" i="1"/>
  <c r="O71" i="1"/>
  <c r="R72" i="1"/>
  <c r="S72" i="1" s="1"/>
  <c r="O73" i="1"/>
  <c r="R74" i="1"/>
  <c r="S74" i="1"/>
  <c r="O75" i="1"/>
  <c r="R76" i="1"/>
  <c r="S76" i="1" s="1"/>
  <c r="O77" i="1"/>
  <c r="R78" i="1"/>
  <c r="S78" i="1"/>
  <c r="O79" i="1"/>
  <c r="R80" i="1"/>
  <c r="S80" i="1" s="1"/>
  <c r="O81" i="1"/>
  <c r="R82" i="1"/>
  <c r="S82" i="1"/>
  <c r="O83" i="1"/>
  <c r="R84" i="1"/>
  <c r="S84" i="1" s="1"/>
  <c r="O85" i="1"/>
  <c r="R86" i="1"/>
  <c r="S86" i="1"/>
  <c r="O87" i="1"/>
  <c r="R88" i="1"/>
  <c r="S88" i="1" s="1"/>
  <c r="O89" i="1"/>
  <c r="R90" i="1"/>
  <c r="S90" i="1"/>
  <c r="O91" i="1"/>
  <c r="R92" i="1"/>
  <c r="S92" i="1" s="1"/>
  <c r="O93" i="1"/>
  <c r="R94" i="1"/>
  <c r="S94" i="1"/>
  <c r="O95" i="1"/>
  <c r="R96" i="1"/>
  <c r="S96" i="1" s="1"/>
  <c r="O97" i="1"/>
  <c r="R98" i="1"/>
  <c r="S98" i="1"/>
  <c r="O99" i="1"/>
  <c r="R100" i="1"/>
  <c r="S100" i="1" s="1"/>
  <c r="O101" i="1"/>
  <c r="R102" i="1"/>
  <c r="S102" i="1"/>
  <c r="O103" i="1"/>
  <c r="R104" i="1"/>
  <c r="S104" i="1" s="1"/>
  <c r="O105" i="1"/>
  <c r="R106" i="1"/>
  <c r="S106" i="1"/>
  <c r="O107" i="1"/>
  <c r="R108" i="1"/>
  <c r="S108" i="1" s="1"/>
  <c r="O109" i="1"/>
  <c r="R110" i="1"/>
  <c r="S110" i="1"/>
  <c r="O111" i="1"/>
  <c r="R112" i="1"/>
  <c r="S112" i="1" s="1"/>
  <c r="O113" i="1"/>
  <c r="R114" i="1"/>
  <c r="S114" i="1"/>
  <c r="O115" i="1"/>
  <c r="O117" i="1"/>
  <c r="O119" i="1"/>
  <c r="O121" i="1"/>
  <c r="O123" i="1"/>
  <c r="O125" i="1"/>
  <c r="O127" i="1"/>
  <c r="O129" i="1"/>
  <c r="O131" i="1"/>
  <c r="O133" i="1"/>
  <c r="O135" i="1"/>
  <c r="O137" i="1"/>
  <c r="Q142" i="1"/>
  <c r="Q146" i="1"/>
  <c r="Q150" i="1"/>
  <c r="Q154" i="1"/>
  <c r="Q158" i="1"/>
  <c r="Q162" i="1"/>
  <c r="Q166" i="1"/>
  <c r="Q170" i="1"/>
  <c r="Q174" i="1"/>
  <c r="Q178" i="1"/>
  <c r="W182" i="1"/>
  <c r="Q182" i="1"/>
  <c r="W186" i="1"/>
  <c r="Q186" i="1"/>
  <c r="W190" i="1"/>
  <c r="Q190" i="1"/>
  <c r="W194" i="1"/>
  <c r="Q194" i="1"/>
  <c r="W198" i="1"/>
  <c r="Q198" i="1"/>
  <c r="W202" i="1"/>
  <c r="Q202" i="1"/>
  <c r="W206" i="1"/>
  <c r="Q206" i="1"/>
  <c r="W210" i="1"/>
  <c r="Q210" i="1"/>
  <c r="W214" i="1"/>
  <c r="Q214" i="1"/>
  <c r="W218" i="1"/>
  <c r="Q218" i="1"/>
  <c r="W222" i="1"/>
  <c r="Q222" i="1"/>
  <c r="W226" i="1"/>
  <c r="Q226" i="1"/>
  <c r="Q118" i="1"/>
  <c r="Q122" i="1"/>
  <c r="Q126" i="1"/>
  <c r="Q130" i="1"/>
  <c r="Q134" i="1"/>
  <c r="Q138" i="1"/>
  <c r="Q140" i="1"/>
  <c r="Q144" i="1"/>
  <c r="Q148" i="1"/>
  <c r="Q152" i="1"/>
  <c r="Q156" i="1"/>
  <c r="W160" i="1"/>
  <c r="Q160" i="1"/>
  <c r="W164" i="1"/>
  <c r="Q164" i="1"/>
  <c r="W168" i="1"/>
  <c r="Q168" i="1"/>
  <c r="W172" i="1"/>
  <c r="Q172" i="1"/>
  <c r="W176" i="1"/>
  <c r="Q176" i="1"/>
  <c r="W180" i="1"/>
  <c r="Q180" i="1"/>
  <c r="W184" i="1"/>
  <c r="Q184" i="1"/>
  <c r="W188" i="1"/>
  <c r="Q188" i="1"/>
  <c r="W192" i="1"/>
  <c r="Q192" i="1"/>
  <c r="W196" i="1"/>
  <c r="Q196" i="1"/>
  <c r="W200" i="1"/>
  <c r="Q200" i="1"/>
  <c r="W204" i="1"/>
  <c r="Q204" i="1"/>
  <c r="W208" i="1"/>
  <c r="Q208" i="1"/>
  <c r="W212" i="1"/>
  <c r="Q212" i="1"/>
  <c r="W216" i="1"/>
  <c r="Q216" i="1"/>
  <c r="W220" i="1"/>
  <c r="Q220" i="1"/>
  <c r="W224" i="1"/>
  <c r="Q224" i="1"/>
  <c r="W228" i="1"/>
  <c r="Q228" i="1"/>
  <c r="W230" i="1"/>
  <c r="Q230" i="1"/>
  <c r="W232" i="1"/>
  <c r="Q232" i="1"/>
  <c r="W234" i="1"/>
  <c r="Q234" i="1"/>
  <c r="W236" i="1"/>
  <c r="Q236" i="1"/>
  <c r="W238" i="1"/>
  <c r="Q238" i="1"/>
  <c r="W240" i="1"/>
  <c r="Q240" i="1"/>
  <c r="W242" i="1"/>
  <c r="Q242" i="1"/>
  <c r="W244" i="1"/>
  <c r="Q244" i="1"/>
  <c r="W246" i="1"/>
  <c r="Q246" i="1"/>
  <c r="W248" i="1"/>
  <c r="Q248" i="1"/>
  <c r="Q139" i="1"/>
  <c r="P140" i="1"/>
  <c r="R140" i="1"/>
  <c r="S140" i="1" s="1"/>
  <c r="Q141" i="1"/>
  <c r="P142" i="1"/>
  <c r="R142" i="1"/>
  <c r="S142" i="1" s="1"/>
  <c r="Q143" i="1"/>
  <c r="P144" i="1"/>
  <c r="R144" i="1"/>
  <c r="S144" i="1" s="1"/>
  <c r="Q145" i="1"/>
  <c r="P146" i="1"/>
  <c r="R146" i="1"/>
  <c r="S146" i="1" s="1"/>
  <c r="Q147" i="1"/>
  <c r="P148" i="1"/>
  <c r="R148" i="1"/>
  <c r="S148" i="1" s="1"/>
  <c r="Q149" i="1"/>
  <c r="P150" i="1"/>
  <c r="R150" i="1"/>
  <c r="S150" i="1" s="1"/>
  <c r="Q151" i="1"/>
  <c r="P152" i="1"/>
  <c r="R152" i="1"/>
  <c r="S152" i="1" s="1"/>
  <c r="Q153" i="1"/>
  <c r="P154" i="1"/>
  <c r="R154" i="1"/>
  <c r="S154" i="1" s="1"/>
  <c r="Q155" i="1"/>
  <c r="P156" i="1"/>
  <c r="R156" i="1"/>
  <c r="S156" i="1" s="1"/>
  <c r="Q157" i="1"/>
  <c r="P158" i="1"/>
  <c r="R158" i="1"/>
  <c r="S158" i="1" s="1"/>
  <c r="Q159" i="1"/>
  <c r="P160" i="1"/>
  <c r="R160" i="1"/>
  <c r="S160" i="1" s="1"/>
  <c r="Q161" i="1"/>
  <c r="P162" i="1"/>
  <c r="R162" i="1"/>
  <c r="S162" i="1" s="1"/>
  <c r="Q163" i="1"/>
  <c r="P164" i="1"/>
  <c r="R164" i="1"/>
  <c r="S164" i="1" s="1"/>
  <c r="Q165" i="1"/>
  <c r="P166" i="1"/>
  <c r="R166" i="1"/>
  <c r="S166" i="1" s="1"/>
  <c r="Q167" i="1"/>
  <c r="P168" i="1"/>
  <c r="R168" i="1"/>
  <c r="S168" i="1" s="1"/>
  <c r="Q169" i="1"/>
  <c r="P170" i="1"/>
  <c r="R170" i="1"/>
  <c r="S170" i="1" s="1"/>
  <c r="Q171" i="1"/>
  <c r="P172" i="1"/>
  <c r="R172" i="1"/>
  <c r="S172" i="1" s="1"/>
  <c r="Q173" i="1"/>
  <c r="P174" i="1"/>
  <c r="R174" i="1"/>
  <c r="S174" i="1" s="1"/>
  <c r="Q175" i="1"/>
  <c r="P176" i="1"/>
  <c r="R176" i="1"/>
  <c r="S176" i="1" s="1"/>
  <c r="Q177" i="1"/>
  <c r="P178" i="1"/>
  <c r="R178" i="1"/>
  <c r="S178" i="1" s="1"/>
  <c r="Q179" i="1"/>
  <c r="P180" i="1"/>
  <c r="R180" i="1"/>
  <c r="S180" i="1" s="1"/>
  <c r="P182" i="1"/>
  <c r="R182" i="1"/>
  <c r="S182" i="1" s="1"/>
  <c r="Q183" i="1"/>
  <c r="P184" i="1"/>
  <c r="R184" i="1"/>
  <c r="S184" i="1" s="1"/>
  <c r="P186" i="1"/>
  <c r="R186" i="1"/>
  <c r="S186" i="1" s="1"/>
  <c r="Q187" i="1"/>
  <c r="P188" i="1"/>
  <c r="R188" i="1"/>
  <c r="S188" i="1" s="1"/>
  <c r="P190" i="1"/>
  <c r="R190" i="1"/>
  <c r="S190" i="1" s="1"/>
  <c r="Q191" i="1"/>
  <c r="P192" i="1"/>
  <c r="R192" i="1"/>
  <c r="S192" i="1" s="1"/>
  <c r="P194" i="1"/>
  <c r="R194" i="1"/>
  <c r="S194" i="1" s="1"/>
  <c r="Q195" i="1"/>
  <c r="P196" i="1"/>
  <c r="R196" i="1"/>
  <c r="S196" i="1" s="1"/>
  <c r="P198" i="1"/>
  <c r="R198" i="1"/>
  <c r="S198" i="1" s="1"/>
  <c r="Q199" i="1"/>
  <c r="P200" i="1"/>
  <c r="R200" i="1"/>
  <c r="S200" i="1" s="1"/>
  <c r="P202" i="1"/>
  <c r="R202" i="1"/>
  <c r="S202" i="1" s="1"/>
  <c r="Q203" i="1"/>
  <c r="P204" i="1"/>
  <c r="R204" i="1"/>
  <c r="S204" i="1" s="1"/>
  <c r="P206" i="1"/>
  <c r="R206" i="1"/>
  <c r="S206" i="1" s="1"/>
  <c r="Q207" i="1"/>
  <c r="P208" i="1"/>
  <c r="R208" i="1"/>
  <c r="S208" i="1" s="1"/>
  <c r="P210" i="1"/>
  <c r="R210" i="1"/>
  <c r="S210" i="1" s="1"/>
  <c r="Q211" i="1"/>
  <c r="P212" i="1"/>
  <c r="R212" i="1"/>
  <c r="S212" i="1" s="1"/>
  <c r="P214" i="1"/>
  <c r="R214" i="1"/>
  <c r="S214" i="1" s="1"/>
  <c r="Q215" i="1"/>
  <c r="P216" i="1"/>
  <c r="R216" i="1"/>
  <c r="S216" i="1" s="1"/>
  <c r="P218" i="1"/>
  <c r="R218" i="1"/>
  <c r="S218" i="1" s="1"/>
  <c r="P220" i="1"/>
  <c r="R220" i="1"/>
  <c r="S220" i="1" s="1"/>
  <c r="P222" i="1"/>
  <c r="R222" i="1"/>
  <c r="S222" i="1" s="1"/>
  <c r="P224" i="1"/>
  <c r="R224" i="1"/>
  <c r="S224" i="1" s="1"/>
  <c r="P226" i="1"/>
  <c r="R226" i="1"/>
  <c r="S226" i="1" s="1"/>
  <c r="P228" i="1"/>
  <c r="R228" i="1"/>
  <c r="S228" i="1" s="1"/>
  <c r="O229" i="1"/>
  <c r="R230" i="1"/>
  <c r="S230" i="1"/>
  <c r="O231" i="1"/>
  <c r="R232" i="1"/>
  <c r="S232" i="1" s="1"/>
  <c r="O233" i="1"/>
  <c r="R234" i="1"/>
  <c r="S234" i="1"/>
  <c r="O235" i="1"/>
  <c r="R236" i="1"/>
  <c r="S236" i="1" s="1"/>
  <c r="O237" i="1"/>
  <c r="R238" i="1"/>
  <c r="S238" i="1"/>
  <c r="O239" i="1"/>
  <c r="R240" i="1"/>
  <c r="S240" i="1" s="1"/>
  <c r="O241" i="1"/>
  <c r="R242" i="1"/>
  <c r="S242" i="1"/>
  <c r="O243" i="1"/>
  <c r="R244" i="1"/>
  <c r="S244" i="1" s="1"/>
  <c r="O245" i="1"/>
  <c r="R246" i="1"/>
  <c r="S246" i="1"/>
  <c r="O247" i="1"/>
  <c r="R248" i="1"/>
  <c r="S248" i="1" s="1"/>
  <c r="O249" i="1"/>
  <c r="O250" i="1"/>
  <c r="W253" i="1"/>
  <c r="Q253" i="1"/>
  <c r="W255" i="1"/>
  <c r="Q255" i="1"/>
  <c r="W257" i="1"/>
  <c r="Q257" i="1"/>
  <c r="W259" i="1"/>
  <c r="Q259" i="1"/>
  <c r="W261" i="1"/>
  <c r="Q261" i="1"/>
  <c r="W263" i="1"/>
  <c r="Q263" i="1"/>
  <c r="W265" i="1"/>
  <c r="Q265" i="1"/>
  <c r="W267" i="1"/>
  <c r="Q267" i="1"/>
  <c r="W317" i="1"/>
  <c r="Q317" i="1"/>
  <c r="W319" i="1"/>
  <c r="Q319" i="1"/>
  <c r="W321" i="1"/>
  <c r="Q321" i="1"/>
  <c r="W323" i="1"/>
  <c r="Q323" i="1"/>
  <c r="W325" i="1"/>
  <c r="Q325" i="1"/>
  <c r="W327" i="1"/>
  <c r="Q327" i="1"/>
  <c r="O252" i="1"/>
  <c r="R253" i="1"/>
  <c r="S253" i="1"/>
  <c r="O254" i="1"/>
  <c r="R255" i="1"/>
  <c r="S255" i="1" s="1"/>
  <c r="O256" i="1"/>
  <c r="R257" i="1"/>
  <c r="S257" i="1"/>
  <c r="O258" i="1"/>
  <c r="R259" i="1"/>
  <c r="S259" i="1" s="1"/>
  <c r="O260" i="1"/>
  <c r="R261" i="1"/>
  <c r="S261" i="1"/>
  <c r="O262" i="1"/>
  <c r="R263" i="1"/>
  <c r="S263" i="1" s="1"/>
  <c r="O264" i="1"/>
  <c r="R265" i="1"/>
  <c r="S265" i="1"/>
  <c r="O266" i="1"/>
  <c r="R267" i="1"/>
  <c r="S267" i="1" s="1"/>
  <c r="O268" i="1"/>
  <c r="O270" i="1"/>
  <c r="O272" i="1"/>
  <c r="O274" i="1"/>
  <c r="O276" i="1"/>
  <c r="O278" i="1"/>
  <c r="O280" i="1"/>
  <c r="O282" i="1"/>
  <c r="O284" i="1"/>
  <c r="O286" i="1"/>
  <c r="O288" i="1"/>
  <c r="O290" i="1"/>
  <c r="O292" i="1"/>
  <c r="O294" i="1"/>
  <c r="O296" i="1"/>
  <c r="O298" i="1"/>
  <c r="O300" i="1"/>
  <c r="O302" i="1"/>
  <c r="O304" i="1"/>
  <c r="O306" i="1"/>
  <c r="O308" i="1"/>
  <c r="O310" i="1"/>
  <c r="O312" i="1"/>
  <c r="O314" i="1"/>
  <c r="O316" i="1"/>
  <c r="R317" i="1"/>
  <c r="S317" i="1"/>
  <c r="O318" i="1"/>
  <c r="R319" i="1"/>
  <c r="S319" i="1" s="1"/>
  <c r="O320" i="1"/>
  <c r="R321" i="1"/>
  <c r="S321" i="1"/>
  <c r="O322" i="1"/>
  <c r="R323" i="1"/>
  <c r="S323" i="1" s="1"/>
  <c r="O324" i="1"/>
  <c r="R325" i="1"/>
  <c r="S325" i="1"/>
  <c r="O326" i="1"/>
  <c r="R327" i="1"/>
  <c r="S327" i="1" s="1"/>
  <c r="O328" i="1"/>
  <c r="O330" i="1"/>
  <c r="O332" i="1"/>
  <c r="O334" i="1"/>
  <c r="O336" i="1"/>
  <c r="O338" i="1"/>
  <c r="O340" i="1"/>
  <c r="O342" i="1"/>
  <c r="O344" i="1"/>
  <c r="O346" i="1"/>
  <c r="O348" i="1"/>
  <c r="O350" i="1"/>
  <c r="O352" i="1"/>
  <c r="O354" i="1"/>
  <c r="O356" i="1"/>
  <c r="O358" i="1"/>
  <c r="O360" i="1"/>
  <c r="O362" i="1"/>
  <c r="Q291" i="1"/>
  <c r="Q293" i="1"/>
  <c r="Q295" i="1"/>
  <c r="Q297" i="1"/>
  <c r="Q301" i="1"/>
  <c r="Q305" i="1"/>
  <c r="Q309" i="1"/>
  <c r="Q315" i="1"/>
  <c r="Q329" i="1"/>
  <c r="Q331" i="1"/>
  <c r="Q333" i="1"/>
  <c r="Q335" i="1"/>
  <c r="Q337" i="1"/>
  <c r="Q339" i="1"/>
  <c r="Q341" i="1"/>
  <c r="Q343" i="1"/>
  <c r="Q345" i="1"/>
  <c r="Q347" i="1"/>
  <c r="Q349" i="1"/>
  <c r="Q351" i="1"/>
  <c r="Q353" i="1"/>
  <c r="Q355" i="1"/>
  <c r="Q357" i="1"/>
  <c r="Q359" i="1"/>
  <c r="Q361" i="1"/>
  <c r="Q363" i="1"/>
  <c r="O365" i="1"/>
  <c r="O367" i="1"/>
  <c r="O369" i="1"/>
  <c r="O371" i="1"/>
  <c r="O373" i="1"/>
  <c r="O375" i="1"/>
  <c r="O377" i="1"/>
  <c r="O379" i="1"/>
  <c r="O381" i="1"/>
  <c r="O383" i="1"/>
  <c r="O385" i="1"/>
  <c r="O387" i="1"/>
  <c r="O389" i="1"/>
  <c r="O391" i="1"/>
  <c r="O393" i="1"/>
  <c r="O395" i="1"/>
  <c r="O397" i="1"/>
  <c r="O399" i="1"/>
  <c r="O401" i="1"/>
  <c r="O403" i="1"/>
  <c r="O405" i="1"/>
  <c r="O407" i="1"/>
  <c r="O409" i="1"/>
  <c r="O411" i="1"/>
  <c r="O413" i="1"/>
  <c r="O415" i="1"/>
  <c r="O417" i="1"/>
  <c r="Q419" i="1"/>
  <c r="W422" i="1"/>
  <c r="Q422" i="1"/>
  <c r="W426" i="1"/>
  <c r="Q426" i="1"/>
  <c r="W430" i="1"/>
  <c r="Q430" i="1"/>
  <c r="W434" i="1"/>
  <c r="Q434" i="1"/>
  <c r="W438" i="1"/>
  <c r="Q438" i="1"/>
  <c r="W442" i="1"/>
  <c r="Q442" i="1"/>
  <c r="W446" i="1"/>
  <c r="Q446" i="1"/>
  <c r="W450" i="1"/>
  <c r="Q450" i="1"/>
  <c r="W454" i="1"/>
  <c r="Q454" i="1"/>
  <c r="W458" i="1"/>
  <c r="Q458" i="1"/>
  <c r="W462" i="1"/>
  <c r="Q462" i="1"/>
  <c r="W466" i="1"/>
  <c r="Q466" i="1"/>
  <c r="W470" i="1"/>
  <c r="Q470" i="1"/>
  <c r="Q364" i="1"/>
  <c r="P365" i="1"/>
  <c r="Q366" i="1"/>
  <c r="P367" i="1"/>
  <c r="Q368" i="1"/>
  <c r="P369" i="1"/>
  <c r="Q370" i="1"/>
  <c r="P371" i="1"/>
  <c r="Q372" i="1"/>
  <c r="P373" i="1"/>
  <c r="Q374" i="1"/>
  <c r="P375" i="1"/>
  <c r="Q376" i="1"/>
  <c r="P377" i="1"/>
  <c r="Q378" i="1"/>
  <c r="P379" i="1"/>
  <c r="Q380" i="1"/>
  <c r="P381" i="1"/>
  <c r="Q382" i="1"/>
  <c r="P383" i="1"/>
  <c r="Q384" i="1"/>
  <c r="P385" i="1"/>
  <c r="Q386" i="1"/>
  <c r="P387" i="1"/>
  <c r="Q388" i="1"/>
  <c r="P389" i="1"/>
  <c r="Q390" i="1"/>
  <c r="P391" i="1"/>
  <c r="Q392" i="1"/>
  <c r="P393" i="1"/>
  <c r="Q394" i="1"/>
  <c r="P395" i="1"/>
  <c r="Q396" i="1"/>
  <c r="P397" i="1"/>
  <c r="Q398" i="1"/>
  <c r="P399" i="1"/>
  <c r="Q400" i="1"/>
  <c r="P401" i="1"/>
  <c r="Q402" i="1"/>
  <c r="P403" i="1"/>
  <c r="Q404" i="1"/>
  <c r="P405" i="1"/>
  <c r="Q406" i="1"/>
  <c r="P407" i="1"/>
  <c r="Q408" i="1"/>
  <c r="P409" i="1"/>
  <c r="P411" i="1"/>
  <c r="Q412" i="1"/>
  <c r="P413" i="1"/>
  <c r="Q414" i="1"/>
  <c r="P415" i="1"/>
  <c r="Q416" i="1"/>
  <c r="P417" i="1"/>
  <c r="Q418" i="1"/>
  <c r="W420" i="1"/>
  <c r="Q420" i="1"/>
  <c r="R420" i="1"/>
  <c r="S420" i="1" s="1"/>
  <c r="W424" i="1"/>
  <c r="Q424" i="1"/>
  <c r="W428" i="1"/>
  <c r="Q428" i="1"/>
  <c r="W432" i="1"/>
  <c r="Q432" i="1"/>
  <c r="W436" i="1"/>
  <c r="Q436" i="1"/>
  <c r="W440" i="1"/>
  <c r="Q440" i="1"/>
  <c r="W444" i="1"/>
  <c r="Q444" i="1"/>
  <c r="W448" i="1"/>
  <c r="Q448" i="1"/>
  <c r="W452" i="1"/>
  <c r="Q452" i="1"/>
  <c r="W456" i="1"/>
  <c r="Q456" i="1"/>
  <c r="W460" i="1"/>
  <c r="Q460" i="1"/>
  <c r="W464" i="1"/>
  <c r="Q464" i="1"/>
  <c r="W468" i="1"/>
  <c r="Q468" i="1"/>
  <c r="W472" i="1"/>
  <c r="Q472" i="1"/>
  <c r="Q421" i="1"/>
  <c r="P422" i="1"/>
  <c r="R422" i="1"/>
  <c r="S422" i="1" s="1"/>
  <c r="Q423" i="1"/>
  <c r="P424" i="1"/>
  <c r="R424" i="1"/>
  <c r="S424" i="1" s="1"/>
  <c r="Q425" i="1"/>
  <c r="P426" i="1"/>
  <c r="R426" i="1"/>
  <c r="S426" i="1" s="1"/>
  <c r="Q427" i="1"/>
  <c r="P428" i="1"/>
  <c r="R428" i="1"/>
  <c r="S428" i="1" s="1"/>
  <c r="Q429" i="1"/>
  <c r="P430" i="1"/>
  <c r="R430" i="1"/>
  <c r="S430" i="1" s="1"/>
  <c r="Q431" i="1"/>
  <c r="P432" i="1"/>
  <c r="R432" i="1"/>
  <c r="S432" i="1" s="1"/>
  <c r="Q433" i="1"/>
  <c r="P434" i="1"/>
  <c r="R434" i="1"/>
  <c r="S434" i="1" s="1"/>
  <c r="P436" i="1"/>
  <c r="R436" i="1"/>
  <c r="S436" i="1"/>
  <c r="Q437" i="1"/>
  <c r="P438" i="1"/>
  <c r="R438" i="1"/>
  <c r="S438" i="1"/>
  <c r="Q439" i="1"/>
  <c r="P440" i="1"/>
  <c r="R440" i="1"/>
  <c r="S440" i="1"/>
  <c r="Q441" i="1"/>
  <c r="P442" i="1"/>
  <c r="R442" i="1"/>
  <c r="S442" i="1"/>
  <c r="Q443" i="1"/>
  <c r="P444" i="1"/>
  <c r="R444" i="1"/>
  <c r="S444" i="1"/>
  <c r="Q445" i="1"/>
  <c r="P446" i="1"/>
  <c r="R446" i="1"/>
  <c r="S446" i="1"/>
  <c r="Q447" i="1"/>
  <c r="P448" i="1"/>
  <c r="R448" i="1"/>
  <c r="S448" i="1"/>
  <c r="Q449" i="1"/>
  <c r="P450" i="1"/>
  <c r="R450" i="1"/>
  <c r="S450" i="1"/>
  <c r="Q451" i="1"/>
  <c r="P452" i="1"/>
  <c r="R452" i="1"/>
  <c r="S452" i="1"/>
  <c r="Q453" i="1"/>
  <c r="P454" i="1"/>
  <c r="R454" i="1"/>
  <c r="S454" i="1"/>
  <c r="Q455" i="1"/>
  <c r="P456" i="1"/>
  <c r="R456" i="1"/>
  <c r="S456" i="1"/>
  <c r="Q457" i="1"/>
  <c r="P458" i="1"/>
  <c r="R458" i="1"/>
  <c r="S458" i="1"/>
  <c r="Q459" i="1"/>
  <c r="P460" i="1"/>
  <c r="R460" i="1"/>
  <c r="S460" i="1"/>
  <c r="Q461" i="1"/>
  <c r="P462" i="1"/>
  <c r="R462" i="1"/>
  <c r="S462" i="1"/>
  <c r="Q463" i="1"/>
  <c r="P464" i="1"/>
  <c r="R464" i="1"/>
  <c r="S464" i="1"/>
  <c r="Q465" i="1"/>
  <c r="P466" i="1"/>
  <c r="R466" i="1"/>
  <c r="S466" i="1"/>
  <c r="Q467" i="1"/>
  <c r="P468" i="1"/>
  <c r="R468" i="1"/>
  <c r="S468" i="1"/>
  <c r="Q469" i="1"/>
  <c r="P470" i="1"/>
  <c r="R470" i="1"/>
  <c r="S470" i="1"/>
  <c r="P472" i="1"/>
  <c r="R472" i="1"/>
  <c r="S472" i="1"/>
  <c r="Q473" i="1"/>
  <c r="W474" i="1"/>
  <c r="Q474" i="1"/>
  <c r="R474" i="1"/>
  <c r="S474" i="1" s="1"/>
  <c r="W476" i="1"/>
  <c r="Q476" i="1"/>
  <c r="R476" i="1"/>
  <c r="S476" i="1"/>
  <c r="W478" i="1"/>
  <c r="Q478" i="1"/>
  <c r="R478" i="1"/>
  <c r="S478" i="1" s="1"/>
  <c r="R480" i="1"/>
  <c r="S480" i="1"/>
  <c r="P480" i="1"/>
  <c r="O480" i="1"/>
  <c r="P476" i="1"/>
  <c r="P478" i="1"/>
  <c r="O482" i="1"/>
  <c r="O484" i="1"/>
  <c r="O486" i="1"/>
  <c r="O488" i="1"/>
  <c r="O490" i="1"/>
  <c r="O492" i="1"/>
  <c r="O494" i="1"/>
  <c r="O496" i="1"/>
  <c r="O498" i="1"/>
  <c r="O500" i="1"/>
  <c r="O502" i="1"/>
  <c r="O504" i="1"/>
  <c r="W507" i="1"/>
  <c r="Q507" i="1"/>
  <c r="R507" i="1"/>
  <c r="S507" i="1"/>
  <c r="W509" i="1"/>
  <c r="Q509" i="1"/>
  <c r="R509" i="1"/>
  <c r="S509" i="1"/>
  <c r="W511" i="1"/>
  <c r="Q511" i="1"/>
  <c r="R511" i="1"/>
  <c r="S511" i="1"/>
  <c r="W513" i="1"/>
  <c r="Q513" i="1"/>
  <c r="R513" i="1"/>
  <c r="S513" i="1"/>
  <c r="P515" i="1"/>
  <c r="Q516" i="1"/>
  <c r="Q518" i="1"/>
  <c r="Q520" i="1"/>
  <c r="Q522" i="1"/>
  <c r="Q524" i="1"/>
  <c r="Q526" i="1"/>
  <c r="Q528" i="1"/>
  <c r="Q530" i="1"/>
  <c r="Q532" i="1"/>
  <c r="P482" i="1"/>
  <c r="Q483" i="1"/>
  <c r="P484" i="1"/>
  <c r="P486" i="1"/>
  <c r="Q487" i="1"/>
  <c r="P488" i="1"/>
  <c r="P490" i="1"/>
  <c r="Q491" i="1"/>
  <c r="P492" i="1"/>
  <c r="P494" i="1"/>
  <c r="Q495" i="1"/>
  <c r="P496" i="1"/>
  <c r="P498" i="1"/>
  <c r="Q499" i="1"/>
  <c r="P500" i="1"/>
  <c r="P502" i="1"/>
  <c r="Q503" i="1"/>
  <c r="P504" i="1"/>
  <c r="W515" i="1"/>
  <c r="Q515" i="1"/>
  <c r="R515" i="1"/>
  <c r="S515" i="1" s="1"/>
  <c r="W517" i="1"/>
  <c r="Q517" i="1"/>
  <c r="R517" i="1"/>
  <c r="S517" i="1" s="1"/>
  <c r="W519" i="1"/>
  <c r="Q519" i="1"/>
  <c r="R519" i="1"/>
  <c r="S519" i="1" s="1"/>
  <c r="W521" i="1"/>
  <c r="Q521" i="1"/>
  <c r="R521" i="1"/>
  <c r="S521" i="1" s="1"/>
  <c r="W523" i="1"/>
  <c r="Q523" i="1"/>
  <c r="R523" i="1"/>
  <c r="S523" i="1" s="1"/>
  <c r="W525" i="1"/>
  <c r="Q525" i="1"/>
  <c r="R525" i="1"/>
  <c r="S525" i="1" s="1"/>
  <c r="W527" i="1"/>
  <c r="Q527" i="1"/>
  <c r="R527" i="1"/>
  <c r="S527" i="1" s="1"/>
  <c r="W529" i="1"/>
  <c r="Q529" i="1"/>
  <c r="R529" i="1"/>
  <c r="S529" i="1" s="1"/>
  <c r="W533" i="1"/>
  <c r="Q533" i="1"/>
  <c r="R533" i="1"/>
  <c r="S533" i="1" s="1"/>
  <c r="K546" i="1"/>
  <c r="W502" i="1"/>
  <c r="Q502" i="1"/>
  <c r="W498" i="1"/>
  <c r="Q498" i="1"/>
  <c r="W494" i="1"/>
  <c r="Q494" i="1"/>
  <c r="W490" i="1"/>
  <c r="Q490" i="1"/>
  <c r="W486" i="1"/>
  <c r="Q486" i="1"/>
  <c r="W482" i="1"/>
  <c r="Q482" i="1"/>
  <c r="W415" i="1"/>
  <c r="Q415" i="1"/>
  <c r="W411" i="1"/>
  <c r="Q411" i="1"/>
  <c r="W407" i="1"/>
  <c r="Q407" i="1"/>
  <c r="W403" i="1"/>
  <c r="Q403" i="1"/>
  <c r="W399" i="1"/>
  <c r="Q399" i="1"/>
  <c r="W395" i="1"/>
  <c r="Q395" i="1"/>
  <c r="W391" i="1"/>
  <c r="Q391" i="1"/>
  <c r="W387" i="1"/>
  <c r="Q387" i="1"/>
  <c r="W383" i="1"/>
  <c r="Q383" i="1"/>
  <c r="W379" i="1"/>
  <c r="Q379" i="1"/>
  <c r="W375" i="1"/>
  <c r="Q375" i="1"/>
  <c r="W371" i="1"/>
  <c r="Q371" i="1"/>
  <c r="W367" i="1"/>
  <c r="Q367" i="1"/>
  <c r="W360" i="1"/>
  <c r="Q360" i="1"/>
  <c r="W356" i="1"/>
  <c r="Q356" i="1"/>
  <c r="W352" i="1"/>
  <c r="Q352" i="1"/>
  <c r="W348" i="1"/>
  <c r="Q348" i="1"/>
  <c r="W344" i="1"/>
  <c r="Q344" i="1"/>
  <c r="W340" i="1"/>
  <c r="Q340" i="1"/>
  <c r="W336" i="1"/>
  <c r="Q336" i="1"/>
  <c r="W332" i="1"/>
  <c r="Q332" i="1"/>
  <c r="W328" i="1"/>
  <c r="Q328" i="1"/>
  <c r="W326" i="1"/>
  <c r="Q326" i="1"/>
  <c r="W324" i="1"/>
  <c r="Q324" i="1"/>
  <c r="W322" i="1"/>
  <c r="Q322" i="1"/>
  <c r="W320" i="1"/>
  <c r="Q320" i="1"/>
  <c r="W318" i="1"/>
  <c r="Q318" i="1"/>
  <c r="W316" i="1"/>
  <c r="Q316" i="1"/>
  <c r="W312" i="1"/>
  <c r="Q312" i="1"/>
  <c r="W308" i="1"/>
  <c r="Q308" i="1"/>
  <c r="W304" i="1"/>
  <c r="Q304" i="1"/>
  <c r="W300" i="1"/>
  <c r="Q300" i="1"/>
  <c r="W296" i="1"/>
  <c r="Q296" i="1"/>
  <c r="W292" i="1"/>
  <c r="Q292" i="1"/>
  <c r="W288" i="1"/>
  <c r="Q288" i="1"/>
  <c r="W284" i="1"/>
  <c r="Q284" i="1"/>
  <c r="W280" i="1"/>
  <c r="Q280" i="1"/>
  <c r="W276" i="1"/>
  <c r="Q276" i="1"/>
  <c r="W272" i="1"/>
  <c r="Q272" i="1"/>
  <c r="W268" i="1"/>
  <c r="Q268" i="1"/>
  <c r="W266" i="1"/>
  <c r="Q266" i="1"/>
  <c r="W264" i="1"/>
  <c r="Q264" i="1"/>
  <c r="W262" i="1"/>
  <c r="Q262" i="1"/>
  <c r="W260" i="1"/>
  <c r="Q260" i="1"/>
  <c r="W258" i="1"/>
  <c r="Q258" i="1"/>
  <c r="W256" i="1"/>
  <c r="Q256" i="1"/>
  <c r="W254" i="1"/>
  <c r="Q254" i="1"/>
  <c r="W252" i="1"/>
  <c r="Q252" i="1"/>
  <c r="W249" i="1"/>
  <c r="Q249" i="1"/>
  <c r="W247" i="1"/>
  <c r="Q247" i="1"/>
  <c r="W245" i="1"/>
  <c r="Q245" i="1"/>
  <c r="W243" i="1"/>
  <c r="Q243" i="1"/>
  <c r="W241" i="1"/>
  <c r="Q241" i="1"/>
  <c r="W239" i="1"/>
  <c r="Q239" i="1"/>
  <c r="W237" i="1"/>
  <c r="Q237" i="1"/>
  <c r="W235" i="1"/>
  <c r="Q235" i="1"/>
  <c r="W233" i="1"/>
  <c r="Q233" i="1"/>
  <c r="W231" i="1"/>
  <c r="Q231" i="1"/>
  <c r="W229" i="1"/>
  <c r="Q229" i="1"/>
  <c r="W137" i="1"/>
  <c r="Q137" i="1"/>
  <c r="W133" i="1"/>
  <c r="Q133" i="1"/>
  <c r="W129" i="1"/>
  <c r="Q129" i="1"/>
  <c r="W125" i="1"/>
  <c r="Q125" i="1"/>
  <c r="W121" i="1"/>
  <c r="Q121" i="1"/>
  <c r="W117" i="1"/>
  <c r="Q117" i="1"/>
  <c r="S16" i="1"/>
  <c r="W504" i="1"/>
  <c r="Q504" i="1"/>
  <c r="W500" i="1"/>
  <c r="Q500" i="1"/>
  <c r="W496" i="1"/>
  <c r="Q496" i="1"/>
  <c r="W492" i="1"/>
  <c r="Q492" i="1"/>
  <c r="W488" i="1"/>
  <c r="Q488" i="1"/>
  <c r="W484" i="1"/>
  <c r="Q484" i="1"/>
  <c r="W480" i="1"/>
  <c r="Q480" i="1"/>
  <c r="W417" i="1"/>
  <c r="Q417" i="1"/>
  <c r="W413" i="1"/>
  <c r="Q413" i="1"/>
  <c r="W409" i="1"/>
  <c r="Q409" i="1"/>
  <c r="W405" i="1"/>
  <c r="Q405" i="1"/>
  <c r="W401" i="1"/>
  <c r="Q401" i="1"/>
  <c r="W397" i="1"/>
  <c r="Q397" i="1"/>
  <c r="W393" i="1"/>
  <c r="Q393" i="1"/>
  <c r="W389" i="1"/>
  <c r="Q389" i="1"/>
  <c r="W385" i="1"/>
  <c r="Q385" i="1"/>
  <c r="W381" i="1"/>
  <c r="Q381" i="1"/>
  <c r="W377" i="1"/>
  <c r="Q377" i="1"/>
  <c r="W373" i="1"/>
  <c r="Q373" i="1"/>
  <c r="W369" i="1"/>
  <c r="Q369" i="1"/>
  <c r="W365" i="1"/>
  <c r="Q365" i="1"/>
  <c r="W362" i="1"/>
  <c r="Q362" i="1"/>
  <c r="W358" i="1"/>
  <c r="Q358" i="1"/>
  <c r="W354" i="1"/>
  <c r="Q354" i="1"/>
  <c r="W350" i="1"/>
  <c r="Q350" i="1"/>
  <c r="W346" i="1"/>
  <c r="Q346" i="1"/>
  <c r="W342" i="1"/>
  <c r="Q342" i="1"/>
  <c r="W338" i="1"/>
  <c r="Q338" i="1"/>
  <c r="W334" i="1"/>
  <c r="Q334" i="1"/>
  <c r="W330" i="1"/>
  <c r="Q330" i="1"/>
  <c r="W314" i="1"/>
  <c r="Q314" i="1"/>
  <c r="W310" i="1"/>
  <c r="Q310" i="1"/>
  <c r="W306" i="1"/>
  <c r="Q306" i="1"/>
  <c r="W302" i="1"/>
  <c r="Q302" i="1"/>
  <c r="W298" i="1"/>
  <c r="Q298" i="1"/>
  <c r="W294" i="1"/>
  <c r="Q294" i="1"/>
  <c r="W290" i="1"/>
  <c r="Q290" i="1"/>
  <c r="W286" i="1"/>
  <c r="Q286" i="1"/>
  <c r="W282" i="1"/>
  <c r="Q282" i="1"/>
  <c r="W278" i="1"/>
  <c r="Q278" i="1"/>
  <c r="W274" i="1"/>
  <c r="Q274" i="1"/>
  <c r="W270" i="1"/>
  <c r="Q270" i="1"/>
  <c r="W250" i="1"/>
  <c r="Q250" i="1"/>
  <c r="W135" i="1"/>
  <c r="Q135" i="1"/>
  <c r="W131" i="1"/>
  <c r="Q131" i="1"/>
  <c r="W127" i="1"/>
  <c r="Q127" i="1"/>
  <c r="W123" i="1"/>
  <c r="Q123" i="1"/>
  <c r="W119" i="1"/>
  <c r="Q119" i="1"/>
  <c r="W115" i="1"/>
  <c r="Q115" i="1"/>
  <c r="W113" i="1"/>
  <c r="Q113" i="1"/>
  <c r="W111" i="1"/>
  <c r="Q111" i="1"/>
  <c r="W109" i="1"/>
  <c r="Q109" i="1"/>
  <c r="W107" i="1"/>
  <c r="Q107" i="1"/>
  <c r="W105" i="1"/>
  <c r="Q105" i="1"/>
  <c r="W103" i="1"/>
  <c r="Q103" i="1"/>
  <c r="W101" i="1"/>
  <c r="Q101" i="1"/>
  <c r="W99" i="1"/>
  <c r="Q99" i="1"/>
  <c r="W97" i="1"/>
  <c r="Q97" i="1"/>
  <c r="W95" i="1"/>
  <c r="Q95" i="1"/>
  <c r="W93" i="1"/>
  <c r="Q93" i="1"/>
  <c r="W91" i="1"/>
  <c r="Q91" i="1"/>
  <c r="W89" i="1"/>
  <c r="Q89" i="1"/>
  <c r="W87" i="1"/>
  <c r="Q87" i="1"/>
  <c r="W85" i="1"/>
  <c r="Q85" i="1"/>
  <c r="W83" i="1"/>
  <c r="Q83" i="1"/>
  <c r="W81" i="1"/>
  <c r="Q81" i="1"/>
  <c r="W79" i="1"/>
  <c r="Q79" i="1"/>
  <c r="W77" i="1"/>
  <c r="Q77" i="1"/>
  <c r="W75" i="1"/>
  <c r="Q75" i="1"/>
  <c r="W73" i="1"/>
  <c r="Q73" i="1"/>
  <c r="W71" i="1"/>
  <c r="Q71" i="1"/>
  <c r="W69" i="1"/>
  <c r="Q69" i="1"/>
  <c r="W67" i="1"/>
  <c r="Q67" i="1"/>
  <c r="W65" i="1"/>
  <c r="Q65" i="1"/>
  <c r="W63" i="1"/>
  <c r="Q63" i="1"/>
  <c r="W61" i="1"/>
  <c r="Q61" i="1"/>
  <c r="W59" i="1"/>
  <c r="Q59" i="1"/>
  <c r="W57" i="1"/>
  <c r="Q57" i="1"/>
  <c r="W55" i="1"/>
  <c r="Q55" i="1"/>
  <c r="W53" i="1"/>
  <c r="Q53" i="1"/>
  <c r="W51" i="1"/>
  <c r="Q51" i="1"/>
  <c r="W49" i="1"/>
  <c r="Q49" i="1"/>
  <c r="W47" i="1"/>
  <c r="Q47" i="1"/>
  <c r="W45" i="1"/>
  <c r="Q45" i="1"/>
  <c r="W43" i="1"/>
  <c r="Q43" i="1"/>
  <c r="W41" i="1"/>
  <c r="Q41" i="1"/>
  <c r="W39" i="1"/>
  <c r="Q39" i="1"/>
  <c r="W37" i="1"/>
  <c r="Q37" i="1"/>
  <c r="W35" i="1"/>
  <c r="Q35" i="1"/>
  <c r="W33" i="1"/>
  <c r="Q33" i="1"/>
  <c r="W31" i="1"/>
  <c r="Q31" i="1"/>
  <c r="W29" i="1"/>
  <c r="Q29" i="1"/>
  <c r="W27" i="1"/>
  <c r="Q27" i="1"/>
  <c r="W25" i="1"/>
  <c r="Q25" i="1"/>
  <c r="W23" i="1"/>
  <c r="Q23" i="1"/>
  <c r="W21" i="1"/>
  <c r="Q21" i="1"/>
  <c r="W19" i="1"/>
  <c r="Q19" i="1"/>
  <c r="W17" i="1"/>
  <c r="Q17" i="1"/>
  <c r="L13" i="1" l="1"/>
  <c r="P13" i="1" s="1"/>
  <c r="W116" i="1"/>
  <c r="W13" i="1" s="1"/>
  <c r="Q116" i="1"/>
  <c r="W120" i="1"/>
  <c r="Q120" i="1"/>
  <c r="W124" i="1"/>
  <c r="Q124" i="1"/>
  <c r="W128" i="1"/>
  <c r="Q128" i="1"/>
  <c r="W132" i="1"/>
  <c r="Q132" i="1"/>
  <c r="W136" i="1"/>
  <c r="Q136" i="1"/>
  <c r="R141" i="1"/>
  <c r="R143" i="1"/>
  <c r="S143" i="1" s="1"/>
  <c r="R145" i="1"/>
  <c r="S145" i="1" s="1"/>
  <c r="R147" i="1"/>
  <c r="S147" i="1" s="1"/>
  <c r="R149" i="1"/>
  <c r="S149" i="1" s="1"/>
  <c r="R151" i="1"/>
  <c r="S151" i="1" s="1"/>
  <c r="R153" i="1"/>
  <c r="S153" i="1" s="1"/>
  <c r="R155" i="1"/>
  <c r="S155" i="1" s="1"/>
  <c r="R157" i="1"/>
  <c r="S157" i="1" s="1"/>
  <c r="R159" i="1"/>
  <c r="S159" i="1" s="1"/>
  <c r="R161" i="1"/>
  <c r="S161" i="1" s="1"/>
  <c r="R163" i="1"/>
  <c r="S163" i="1" s="1"/>
  <c r="R165" i="1"/>
  <c r="S165" i="1" s="1"/>
  <c r="R167" i="1"/>
  <c r="S167" i="1" s="1"/>
  <c r="R169" i="1"/>
  <c r="S169" i="1" s="1"/>
  <c r="R171" i="1"/>
  <c r="S171" i="1" s="1"/>
  <c r="R173" i="1"/>
  <c r="S173" i="1" s="1"/>
  <c r="R175" i="1"/>
  <c r="S175" i="1" s="1"/>
  <c r="R177" i="1"/>
  <c r="S177" i="1" s="1"/>
  <c r="R179" i="1"/>
  <c r="S179" i="1" s="1"/>
  <c r="O181" i="1"/>
  <c r="O185" i="1"/>
  <c r="O189" i="1"/>
  <c r="O193" i="1"/>
  <c r="O197" i="1"/>
  <c r="O201" i="1"/>
  <c r="O205" i="1"/>
  <c r="O209" i="1"/>
  <c r="O213" i="1"/>
  <c r="O217" i="1"/>
  <c r="O219" i="1"/>
  <c r="O221" i="1"/>
  <c r="O223" i="1"/>
  <c r="O225" i="1"/>
  <c r="O227" i="1"/>
  <c r="O251" i="1"/>
  <c r="O269" i="1"/>
  <c r="O271" i="1"/>
  <c r="O273" i="1"/>
  <c r="O275" i="1"/>
  <c r="O277" i="1"/>
  <c r="O279" i="1"/>
  <c r="O281" i="1"/>
  <c r="O283" i="1"/>
  <c r="O285" i="1"/>
  <c r="O287" i="1"/>
  <c r="O289" i="1"/>
  <c r="R295" i="1"/>
  <c r="S295" i="1" s="1"/>
  <c r="R297" i="1"/>
  <c r="S297" i="1" s="1"/>
  <c r="O299" i="1"/>
  <c r="O303" i="1"/>
  <c r="O307" i="1"/>
  <c r="O311" i="1"/>
  <c r="O313" i="1"/>
  <c r="R329" i="1"/>
  <c r="S329" i="1" s="1"/>
  <c r="R331" i="1"/>
  <c r="S331" i="1" s="1"/>
  <c r="R333" i="1"/>
  <c r="S333" i="1" s="1"/>
  <c r="R335" i="1"/>
  <c r="S335" i="1" s="1"/>
  <c r="R337" i="1"/>
  <c r="S337" i="1" s="1"/>
  <c r="R339" i="1"/>
  <c r="S339" i="1" s="1"/>
  <c r="R341" i="1"/>
  <c r="S341" i="1" s="1"/>
  <c r="R343" i="1"/>
  <c r="S343" i="1" s="1"/>
  <c r="R345" i="1"/>
  <c r="S345" i="1" s="1"/>
  <c r="R347" i="1"/>
  <c r="S347" i="1" s="1"/>
  <c r="R349" i="1"/>
  <c r="S349" i="1" s="1"/>
  <c r="R351" i="1"/>
  <c r="S351" i="1" s="1"/>
  <c r="R353" i="1"/>
  <c r="S353" i="1" s="1"/>
  <c r="R355" i="1"/>
  <c r="S355" i="1" s="1"/>
  <c r="R357" i="1"/>
  <c r="S357" i="1" s="1"/>
  <c r="R359" i="1"/>
  <c r="S359" i="1" s="1"/>
  <c r="R361" i="1"/>
  <c r="S361" i="1" s="1"/>
  <c r="R363" i="1"/>
  <c r="S363" i="1" s="1"/>
  <c r="R364" i="1"/>
  <c r="S364" i="1" s="1"/>
  <c r="R368" i="1"/>
  <c r="S368" i="1" s="1"/>
  <c r="R372" i="1"/>
  <c r="S372" i="1" s="1"/>
  <c r="R376" i="1"/>
  <c r="S376" i="1" s="1"/>
  <c r="R380" i="1"/>
  <c r="S380" i="1" s="1"/>
  <c r="R384" i="1"/>
  <c r="S384" i="1" s="1"/>
  <c r="R388" i="1"/>
  <c r="S388" i="1" s="1"/>
  <c r="R392" i="1"/>
  <c r="S392" i="1" s="1"/>
  <c r="R396" i="1"/>
  <c r="S396" i="1" s="1"/>
  <c r="R400" i="1"/>
  <c r="S400" i="1" s="1"/>
  <c r="O410" i="1"/>
  <c r="R414" i="1"/>
  <c r="S414" i="1" s="1"/>
  <c r="R418" i="1"/>
  <c r="S418" i="1" s="1"/>
  <c r="R437" i="1"/>
  <c r="S437" i="1" s="1"/>
  <c r="R439" i="1"/>
  <c r="S439" i="1" s="1"/>
  <c r="R441" i="1"/>
  <c r="S441" i="1" s="1"/>
  <c r="R443" i="1"/>
  <c r="S443" i="1" s="1"/>
  <c r="R445" i="1"/>
  <c r="S445" i="1" s="1"/>
  <c r="R447" i="1"/>
  <c r="S447" i="1" s="1"/>
  <c r="R449" i="1"/>
  <c r="S449" i="1" s="1"/>
  <c r="R451" i="1"/>
  <c r="S451" i="1" s="1"/>
  <c r="Q508" i="1"/>
  <c r="W508" i="1"/>
  <c r="Q512" i="1"/>
  <c r="W512" i="1"/>
  <c r="O471" i="1"/>
  <c r="O475" i="1"/>
  <c r="O477" i="1"/>
  <c r="Q510" i="1"/>
  <c r="W510" i="1"/>
  <c r="O479" i="1"/>
  <c r="O481" i="1"/>
  <c r="O485" i="1"/>
  <c r="O489" i="1"/>
  <c r="O493" i="1"/>
  <c r="O497" i="1"/>
  <c r="O501" i="1"/>
  <c r="O505" i="1"/>
  <c r="O506" i="1"/>
  <c r="R518" i="1"/>
  <c r="S518" i="1" s="1"/>
  <c r="R522" i="1"/>
  <c r="S522" i="1" s="1"/>
  <c r="R526" i="1"/>
  <c r="S526" i="1" s="1"/>
  <c r="R530" i="1"/>
  <c r="S530" i="1" s="1"/>
  <c r="W471" i="1" l="1"/>
  <c r="Q471" i="1"/>
  <c r="W313" i="1"/>
  <c r="Q313" i="1"/>
  <c r="W299" i="1"/>
  <c r="Q299" i="1"/>
  <c r="W287" i="1"/>
  <c r="Q287" i="1"/>
  <c r="W283" i="1"/>
  <c r="Q283" i="1"/>
  <c r="W279" i="1"/>
  <c r="Q279" i="1"/>
  <c r="W275" i="1"/>
  <c r="Q275" i="1"/>
  <c r="W271" i="1"/>
  <c r="Q271" i="1"/>
  <c r="W251" i="1"/>
  <c r="Q251" i="1"/>
  <c r="W225" i="1"/>
  <c r="Q225" i="1"/>
  <c r="W221" i="1"/>
  <c r="Q221" i="1"/>
  <c r="W217" i="1"/>
  <c r="Q217" i="1"/>
  <c r="W209" i="1"/>
  <c r="Q209" i="1"/>
  <c r="W201" i="1"/>
  <c r="Q201" i="1"/>
  <c r="W193" i="1"/>
  <c r="Q193" i="1"/>
  <c r="W185" i="1"/>
  <c r="Q185" i="1"/>
  <c r="W505" i="1"/>
  <c r="Q505" i="1"/>
  <c r="W497" i="1"/>
  <c r="Q497" i="1"/>
  <c r="W489" i="1"/>
  <c r="Q489" i="1"/>
  <c r="W481" i="1"/>
  <c r="Q481" i="1"/>
  <c r="Q477" i="1"/>
  <c r="W477" i="1"/>
  <c r="W307" i="1"/>
  <c r="Q307" i="1"/>
  <c r="Q506" i="1"/>
  <c r="W506" i="1"/>
  <c r="W501" i="1"/>
  <c r="Q501" i="1"/>
  <c r="W493" i="1"/>
  <c r="Q493" i="1"/>
  <c r="W485" i="1"/>
  <c r="Q485" i="1"/>
  <c r="Q479" i="1"/>
  <c r="W479" i="1"/>
  <c r="Q475" i="1"/>
  <c r="W475" i="1"/>
  <c r="W410" i="1"/>
  <c r="Q410" i="1"/>
  <c r="W311" i="1"/>
  <c r="Q311" i="1"/>
  <c r="W303" i="1"/>
  <c r="Q303" i="1"/>
  <c r="W289" i="1"/>
  <c r="Q289" i="1"/>
  <c r="W285" i="1"/>
  <c r="Q285" i="1"/>
  <c r="W281" i="1"/>
  <c r="Q281" i="1"/>
  <c r="W277" i="1"/>
  <c r="Q277" i="1"/>
  <c r="W273" i="1"/>
  <c r="Q273" i="1"/>
  <c r="W269" i="1"/>
  <c r="Q269" i="1"/>
  <c r="W227" i="1"/>
  <c r="Q227" i="1"/>
  <c r="W223" i="1"/>
  <c r="Q223" i="1"/>
  <c r="W219" i="1"/>
  <c r="Q219" i="1"/>
  <c r="W213" i="1"/>
  <c r="Q213" i="1"/>
  <c r="W205" i="1"/>
  <c r="Q205" i="1"/>
  <c r="W197" i="1"/>
  <c r="Q197" i="1"/>
  <c r="W189" i="1"/>
  <c r="Q189" i="1"/>
  <c r="W181" i="1"/>
  <c r="Q181" i="1"/>
  <c r="O13" i="1"/>
  <c r="Q13" i="1" s="1"/>
  <c r="S141" i="1"/>
  <c r="R13" i="1"/>
  <c r="S13" i="1" s="1"/>
</calcChain>
</file>

<file path=xl/comments1.xml><?xml version="1.0" encoding="utf-8"?>
<comments xmlns="http://schemas.openxmlformats.org/spreadsheetml/2006/main">
  <authors>
    <author>Yetter, Terri</author>
  </authors>
  <commentList>
    <comment ref="L17" authorId="0">
      <text>
        <r>
          <rPr>
            <b/>
            <sz val="8"/>
            <color indexed="81"/>
            <rFont val="Tahoma"/>
            <family val="2"/>
          </rPr>
          <t>Yetter, Terri:</t>
        </r>
        <r>
          <rPr>
            <sz val="8"/>
            <color indexed="81"/>
            <rFont val="Tahoma"/>
            <family val="2"/>
          </rPr>
          <t xml:space="preserve">
Rounding discrepancy of $0.03 added to Minneapolis</t>
        </r>
      </text>
    </comment>
    <comment ref="L435" authorId="0">
      <text>
        <r>
          <rPr>
            <b/>
            <sz val="8"/>
            <color indexed="81"/>
            <rFont val="Tahoma"/>
            <family val="2"/>
          </rPr>
          <t>Yetter, Terri:</t>
        </r>
        <r>
          <rPr>
            <sz val="8"/>
            <color indexed="81"/>
            <rFont val="Tahoma"/>
            <family val="2"/>
          </rPr>
          <t xml:space="preserve">
Unaudited.  Final allocation frozen at amount drawn.</t>
        </r>
      </text>
    </comment>
    <comment ref="L514" authorId="0">
      <text>
        <r>
          <rPr>
            <b/>
            <sz val="8"/>
            <color indexed="81"/>
            <rFont val="Tahoma"/>
            <family val="2"/>
          </rPr>
          <t>Yetter, Terri:</t>
        </r>
        <r>
          <rPr>
            <sz val="8"/>
            <color indexed="81"/>
            <rFont val="Tahoma"/>
            <family val="2"/>
          </rPr>
          <t xml:space="preserve">
Unaudited.  Final allocation frozen at amount drawn.</t>
        </r>
      </text>
    </comment>
    <comment ref="O531" authorId="0">
      <text>
        <r>
          <rPr>
            <b/>
            <sz val="8"/>
            <color indexed="81"/>
            <rFont val="Tahoma"/>
            <family val="2"/>
          </rPr>
          <t>Yetter, Terri:</t>
        </r>
        <r>
          <rPr>
            <sz val="8"/>
            <color indexed="81"/>
            <rFont val="Tahoma"/>
            <family val="2"/>
          </rPr>
          <t xml:space="preserve">
 Infinity:Minnesota Digital Academy (6080-50) elected to decline the allocation.</t>
        </r>
      </text>
    </comment>
  </commentList>
</comments>
</file>

<file path=xl/sharedStrings.xml><?xml version="1.0" encoding="utf-8"?>
<sst xmlns="http://schemas.openxmlformats.org/spreadsheetml/2006/main" count="1139" uniqueCount="1128">
  <si>
    <t>Allocation of Education Jobs Fund Dollars</t>
  </si>
  <si>
    <t>MDE, Program Finance</t>
  </si>
  <si>
    <t>Based on State Aid Under FY 2011 Primary and Secondary Education Funding Formulas</t>
  </si>
  <si>
    <t>3/15/2012</t>
  </si>
  <si>
    <t xml:space="preserve">Revised for Final Febrary 28, 2012 IDEAS Payment Basis </t>
  </si>
  <si>
    <t>and Education Jobs Award Increase</t>
  </si>
  <si>
    <t>A</t>
  </si>
  <si>
    <t>B</t>
  </si>
  <si>
    <t>C</t>
  </si>
  <si>
    <t>D</t>
  </si>
  <si>
    <t>E</t>
  </si>
  <si>
    <t>F</t>
  </si>
  <si>
    <t>02/28/2012</t>
  </si>
  <si>
    <t>SERVS</t>
  </si>
  <si>
    <t>Estimated %</t>
  </si>
  <si>
    <t>Difference from</t>
  </si>
  <si>
    <t>FIN 152</t>
  </si>
  <si>
    <t>Net Recovery</t>
  </si>
  <si>
    <t>2010-11</t>
  </si>
  <si>
    <t>FY 2011 Total</t>
  </si>
  <si>
    <t xml:space="preserve">100% SERVS-Final </t>
  </si>
  <si>
    <t>Preliminary</t>
  </si>
  <si>
    <t>SERVS-prelim</t>
  </si>
  <si>
    <t>10% Fed Funds</t>
  </si>
  <si>
    <t>Alloc/Pupil</t>
  </si>
  <si>
    <t>Remaining/</t>
  </si>
  <si>
    <t>% Diff from</t>
  </si>
  <si>
    <t>Remaining</t>
  </si>
  <si>
    <t>Needed after</t>
  </si>
  <si>
    <t>Prelim Actual</t>
  </si>
  <si>
    <t>FY 2011 Prelim Acu</t>
  </si>
  <si>
    <t>Primary Elementary</t>
  </si>
  <si>
    <t>Allocation of</t>
  </si>
  <si>
    <t>100% Allocation</t>
  </si>
  <si>
    <t>90% Allocation</t>
  </si>
  <si>
    <t>Available for</t>
  </si>
  <si>
    <t>Based on Total</t>
  </si>
  <si>
    <t>Overpaid</t>
  </si>
  <si>
    <t>Total Allocation</t>
  </si>
  <si>
    <t>Allocation</t>
  </si>
  <si>
    <t>SERVS Reload</t>
  </si>
  <si>
    <t>Adjusted ADM</t>
  </si>
  <si>
    <t>General Ed</t>
  </si>
  <si>
    <t>Special Ed &amp;</t>
  </si>
  <si>
    <t>&amp; Secondary Educ</t>
  </si>
  <si>
    <t>Education Jobs</t>
  </si>
  <si>
    <t>From 10/30/2011</t>
  </si>
  <si>
    <t>Final Payments</t>
  </si>
  <si>
    <t>as of 3/15/2012</t>
  </si>
  <si>
    <t>Based on 100%</t>
  </si>
  <si>
    <t>District</t>
  </si>
  <si>
    <t>Type</t>
  </si>
  <si>
    <t>Name</t>
  </si>
  <si>
    <t>Pupils</t>
  </si>
  <si>
    <t>Excess Cost</t>
  </si>
  <si>
    <t>Funding Formulas</t>
  </si>
  <si>
    <t>Fund Dollars</t>
  </si>
  <si>
    <t>Spreadsheet</t>
  </si>
  <si>
    <t>B - C</t>
  </si>
  <si>
    <t>E - D</t>
  </si>
  <si>
    <t>STATE TOTAL</t>
  </si>
  <si>
    <t>Closing?</t>
  </si>
  <si>
    <t>dst_num</t>
  </si>
  <si>
    <t>dst_tye</t>
  </si>
  <si>
    <t>uni_nam</t>
  </si>
  <si>
    <t>Formatted Org Id</t>
  </si>
  <si>
    <t>NCES</t>
  </si>
  <si>
    <t>cog_dst</t>
  </si>
  <si>
    <t>a10_adm_tot_acu</t>
  </si>
  <si>
    <t>Total Gen Ed</t>
  </si>
  <si>
    <t>Total Spec Ed</t>
  </si>
  <si>
    <t>Total  Prim/Sec</t>
  </si>
  <si>
    <t>load</t>
  </si>
  <si>
    <t>Est Final Payment</t>
  </si>
  <si>
    <t>$ Diff Total</t>
  </si>
  <si>
    <t>% Diff Total</t>
  </si>
  <si>
    <t>FIN 152 Allocations</t>
  </si>
  <si>
    <t>FIN 152 Expenditures</t>
  </si>
  <si>
    <t>Remaining Allocation</t>
  </si>
  <si>
    <t>AITKIN PUBLIC SCHOOL DISTRICT</t>
  </si>
  <si>
    <t>0001-01-000-000</t>
  </si>
  <si>
    <t>MINNEAPOLIS PUBLIC SCHOOL DIST.</t>
  </si>
  <si>
    <t>0001-03-000-000</t>
  </si>
  <si>
    <t>HILL CITY PUBLIC SCHOOL DISTRICT</t>
  </si>
  <si>
    <t>0002-01-000-000</t>
  </si>
  <si>
    <t>MCGREGOR PUBLIC SCHOOL DISTRICT</t>
  </si>
  <si>
    <t>0004-01-000-000</t>
  </si>
  <si>
    <t>SOUTH ST. PAUL PUBLIC SCHOOL DIST.</t>
  </si>
  <si>
    <t>0006-03-000-000</t>
  </si>
  <si>
    <t>ANOKA-HENNEPIN PUBLIC SCHOOL DIST.</t>
  </si>
  <si>
    <t>0011-01-000-000</t>
  </si>
  <si>
    <t>CENTENNIAL PUBLIC SCHOOL DISTRICT</t>
  </si>
  <si>
    <t>0012-01-000-000</t>
  </si>
  <si>
    <t>COLUMBIA HEIGHTS PUBLIC SCHOOL DIST</t>
  </si>
  <si>
    <t>0013-01-000-000</t>
  </si>
  <si>
    <t>FRIDLEY PUBLIC SCHOOL DISTRICT</t>
  </si>
  <si>
    <t>0014-01-000-000</t>
  </si>
  <si>
    <t>ST. FRANCIS PUBLIC SCHOOL DISTRICT</t>
  </si>
  <si>
    <t>0015-01-000-000</t>
  </si>
  <si>
    <t>SPRING LAKE PARK PUBLIC SCHOOLS</t>
  </si>
  <si>
    <t>0016-01-000-000</t>
  </si>
  <si>
    <t>DETROIT LAKES PUBLIC SCHOOL DIST.</t>
  </si>
  <si>
    <t>0022-01-000-000</t>
  </si>
  <si>
    <t>FRAZEE-VERGAS PUBLIC SCHOOL DIST.</t>
  </si>
  <si>
    <t>0023-01-000-000</t>
  </si>
  <si>
    <t>PINE POINT PUBLIC SCHOOL DISTRICT</t>
  </si>
  <si>
    <t>0025-01-000-000</t>
  </si>
  <si>
    <t>BEMIDJI PUBLIC SCHOOL DISTRICT</t>
  </si>
  <si>
    <t>0031-01-000-000</t>
  </si>
  <si>
    <t>BLACKDUCK PUBLIC SCHOOL DISTRICT</t>
  </si>
  <si>
    <t>0032-01-000-000</t>
  </si>
  <si>
    <t>KELLIHER PUBLIC SCHOOL DISTRICT</t>
  </si>
  <si>
    <t>0036-01-000-000</t>
  </si>
  <si>
    <t>RED LAKE PUBLIC SCHOOL DISTRICT</t>
  </si>
  <si>
    <t>0038-01-000-000</t>
  </si>
  <si>
    <t>SAUK RAPIDS-RICE PUBLIC SCHOOLS</t>
  </si>
  <si>
    <t>0047-01-000-000</t>
  </si>
  <si>
    <t>FOLEY PUBLIC SCHOOL DISTRICT</t>
  </si>
  <si>
    <t>0051-01-000-000</t>
  </si>
  <si>
    <t>ST. CLAIR PUBLIC SCHOOL DISTRICT</t>
  </si>
  <si>
    <t>0075-01-000-000</t>
  </si>
  <si>
    <t>MANKATO PUBLIC SCHOOL DISTRICT</t>
  </si>
  <si>
    <t>0077-01-000-000</t>
  </si>
  <si>
    <t>COMFREY PUBLIC SCHOOL DISTRICT</t>
  </si>
  <si>
    <t>0081-01-000-000</t>
  </si>
  <si>
    <t>SLEEPY EYE PUBLIC SCHOOL DISTRICT</t>
  </si>
  <si>
    <t>0084-01-000-000</t>
  </si>
  <si>
    <t>SPRINGFIELD PUBLIC SCHOOL DISTRICT</t>
  </si>
  <si>
    <t>0085-01-000-000</t>
  </si>
  <si>
    <t>NEW ULM PUBLIC SCHOOL DISTRICT</t>
  </si>
  <si>
    <t>0088-01-000-000</t>
  </si>
  <si>
    <t>BARNUM PUBLIC SCHOOL DISTRICT</t>
  </si>
  <si>
    <t>0091-01-000-000</t>
  </si>
  <si>
    <t>CARLTON PUBLIC SCHOOL DISTRICT</t>
  </si>
  <si>
    <t>0093-01-000-000</t>
  </si>
  <si>
    <t>CLOQUET PUBLIC SCHOOL DISTRICT</t>
  </si>
  <si>
    <t>0094-01-000-000</t>
  </si>
  <si>
    <t>CROMWELL-WRIGHT PUBLIC SCHOOLS</t>
  </si>
  <si>
    <t>0095-01-000-000</t>
  </si>
  <si>
    <t>MOOSE LAKE PUBLIC SCHOOL DISTRICT</t>
  </si>
  <si>
    <t>0097-01-000-000</t>
  </si>
  <si>
    <t>ESKO PUBLIC SCHOOL DISTRICT</t>
  </si>
  <si>
    <t>0099-01-000-000</t>
  </si>
  <si>
    <t>WRENSHALL PUBLIC SCHOOL DISTRICT</t>
  </si>
  <si>
    <t>0100-01-000-000</t>
  </si>
  <si>
    <t>CENTRAL PUBLIC SCHOOL DISTRICT</t>
  </si>
  <si>
    <t>0108-01-000-000</t>
  </si>
  <si>
    <t>WACONIA PUBLIC SCHOOL DISTRICT</t>
  </si>
  <si>
    <t>0110-01-000-000</t>
  </si>
  <si>
    <t>WATERTOWN-MAYER PUBLIC SCHOOL DIST.</t>
  </si>
  <si>
    <t>0111-01-000-000</t>
  </si>
  <si>
    <t>EASTERN CARVER COUNTY PUBLIC SCHOOL</t>
  </si>
  <si>
    <t>0112-01-000-000</t>
  </si>
  <si>
    <t>WALKER-HACKENSACK-AKELEY SCHL. DIST</t>
  </si>
  <si>
    <t>0113-01-000-000</t>
  </si>
  <si>
    <t>CASS LAKE-BENA PUBLIC SCHOOLS</t>
  </si>
  <si>
    <t>0115-01-000-000</t>
  </si>
  <si>
    <t>PILLAGER PUBLIC SCHOOL DISTRICT</t>
  </si>
  <si>
    <t>0116-01-000-000</t>
  </si>
  <si>
    <t>NORTHLAND COMMUNITY SCHOOLS</t>
  </si>
  <si>
    <t>0118-01-000-000</t>
  </si>
  <si>
    <t>MONTEVIDEO PUBLIC SCHOOL DISTRICT</t>
  </si>
  <si>
    <t>0129-01-000-000</t>
  </si>
  <si>
    <t>NORTH BRANCH PUBLIC SCHOOLS</t>
  </si>
  <si>
    <t>0138-01-000-000</t>
  </si>
  <si>
    <t>RUSH CITY PUBLIC SCHOOL DISTRICT</t>
  </si>
  <si>
    <t>0139-01-000-000</t>
  </si>
  <si>
    <t>BARNESVILLE PUBLIC SCHOOL DIST.</t>
  </si>
  <si>
    <t>0146-01-000-000</t>
  </si>
  <si>
    <t>HAWLEY PUBLIC SCHOOL DISTRICT</t>
  </si>
  <si>
    <t>0150-01-000-000</t>
  </si>
  <si>
    <t>MOORHEAD PUBLIC SCHOOL DISTRICT</t>
  </si>
  <si>
    <t>0152-01-000-000</t>
  </si>
  <si>
    <t>BAGLEY PUBLIC SCHOOL DISTRICT</t>
  </si>
  <si>
    <t>0162-01-000-000</t>
  </si>
  <si>
    <t>COOK COUNTY PUBLIC SCHOOLS</t>
  </si>
  <si>
    <t>0166-01-000-000</t>
  </si>
  <si>
    <t>MOUNTAIN LAKE PUBLIC SCHOOLS</t>
  </si>
  <si>
    <t>0173-01-000-000</t>
  </si>
  <si>
    <t>WINDOM PUBLIC SCHOOL DISTRICT</t>
  </si>
  <si>
    <t>0177-01-000-000</t>
  </si>
  <si>
    <t>BRAINERD PUBLIC SCHOOL DISTRICT</t>
  </si>
  <si>
    <t>0181-01-000-000</t>
  </si>
  <si>
    <t>CROSBY-IRONTON PUBLIC SCHOOL DIST.</t>
  </si>
  <si>
    <t>0182-01-000-000</t>
  </si>
  <si>
    <t>PEQUOT LAKES PUBLIC SCHOOLS</t>
  </si>
  <si>
    <t>0186-01-000-000</t>
  </si>
  <si>
    <t>BURNSVILLE PUBLIC SCHOOL DISTRICT</t>
  </si>
  <si>
    <t>0191-01-000-000</t>
  </si>
  <si>
    <t>FARMINGTON PUBLIC SCHOOL DISTRICT</t>
  </si>
  <si>
    <t>0192-01-000-000</t>
  </si>
  <si>
    <t>LAKEVILLE PUBLIC SCHOOL DISTRICT</t>
  </si>
  <si>
    <t>0194-01-000-000</t>
  </si>
  <si>
    <t>RANDOLPH PUBLIC SCHOOL DISTRICT</t>
  </si>
  <si>
    <t>0195-01-000-000</t>
  </si>
  <si>
    <t>ROSEMOUNT-APPLE VALLEY-EAGAN</t>
  </si>
  <si>
    <t>0196-01-000-000</t>
  </si>
  <si>
    <t>WEST ST. PAUL-MENDOTA HTS.-EAGAN</t>
  </si>
  <si>
    <t>0197-01-000-000</t>
  </si>
  <si>
    <t>INVER GROVE HEIGHTS SCHOOLS</t>
  </si>
  <si>
    <t>0199-01-000-000</t>
  </si>
  <si>
    <t>HASTINGS PUBLIC SCHOOL DISTRICT</t>
  </si>
  <si>
    <t>0200-01-000-000</t>
  </si>
  <si>
    <t>HAYFIELD PUBLIC SCHOOL DISTRICT</t>
  </si>
  <si>
    <t>0203-01-000-000</t>
  </si>
  <si>
    <t>KASSON-MANTORVILLE SCHOOL DISTRICT</t>
  </si>
  <si>
    <t>0204-01-000-000</t>
  </si>
  <si>
    <t>ALEXANDRIA PUBLIC SCHOOL DISTRICT</t>
  </si>
  <si>
    <t>0206-01-000-000</t>
  </si>
  <si>
    <t>BRANDON PUBLIC SCHOOL DISTRICT</t>
  </si>
  <si>
    <t>0207-01-000-000</t>
  </si>
  <si>
    <t>EVANSVILLE PUBLIC SCHOOL DISTRICT</t>
  </si>
  <si>
    <t>0208-01-000-000</t>
  </si>
  <si>
    <t>OSAKIS PUBLIC SCHOOL DISTRICT</t>
  </si>
  <si>
    <t>0213-01-000-000</t>
  </si>
  <si>
    <t>CHATFIELD PUBLIC SCHOOLS</t>
  </si>
  <si>
    <t>0227-01-000-000</t>
  </si>
  <si>
    <t>LANESBORO PUBLIC SCHOOL DISTRICT</t>
  </si>
  <si>
    <t>0229-01-000-000</t>
  </si>
  <si>
    <t>MABEL-CANTON PUBLIC SCHOOL DIST.</t>
  </si>
  <si>
    <t>0238-01-000-000</t>
  </si>
  <si>
    <t>RUSHFORD-PETERSON PUBLIC SCHOOLS</t>
  </si>
  <si>
    <t>0239-01-000-000</t>
  </si>
  <si>
    <t>ALBERT LEA PUBLIC SCHOOL DISTRICT</t>
  </si>
  <si>
    <t>0241-01-000-000</t>
  </si>
  <si>
    <t>ALDEN-CONGER PUBLIC SCHOOL DISTRICT</t>
  </si>
  <si>
    <t>0242-01-000-000</t>
  </si>
  <si>
    <t>CANNON FALLS PUBLIC SCHOOL DISTRICT</t>
  </si>
  <si>
    <t>0252-01-000-000</t>
  </si>
  <si>
    <t>GOODHUE PUBLIC SCHOOL DISTRICT</t>
  </si>
  <si>
    <t>0253-01-000-000</t>
  </si>
  <si>
    <t>PINE ISLAND PUBLIC SCHOOL DIST.</t>
  </si>
  <si>
    <t>0255-01-000-000</t>
  </si>
  <si>
    <t>RED WING PUBLIC SCHOOL DISTRICT</t>
  </si>
  <si>
    <t>0256-01-000-000</t>
  </si>
  <si>
    <t>ASHBY PUBLIC SCHOOL DISTRICT</t>
  </si>
  <si>
    <t>0261-01-000-000</t>
  </si>
  <si>
    <t>HERMAN-NORCROSS SCHOOL DISTRICT</t>
  </si>
  <si>
    <t>0264-01-000-000</t>
  </si>
  <si>
    <t>HOPKINS PUBLIC SCHOOL DISTRICT</t>
  </si>
  <si>
    <t>0270-01-000-000</t>
  </si>
  <si>
    <t>BLOOMINGTON PUBLIC SCHOOL DISTRICT</t>
  </si>
  <si>
    <t>0271-01-000-000</t>
  </si>
  <si>
    <t>EDEN PRAIRIE PUBLIC SCHOOL DISTRICT</t>
  </si>
  <si>
    <t>0272-01-000-000</t>
  </si>
  <si>
    <t>EDINA PUBLIC SCHOOL DISTRICT</t>
  </si>
  <si>
    <t>0273-01-000-000</t>
  </si>
  <si>
    <t>MINNETONKA PUBLIC SCHOOL DISTRICT</t>
  </si>
  <si>
    <t>0276-01-000-000</t>
  </si>
  <si>
    <t>WESTONKA PUBLIC SCHOOL DISTRICT</t>
  </si>
  <si>
    <t>0277-01-000-000</t>
  </si>
  <si>
    <t>ORONO PUBLIC SCHOOL DISTRICT</t>
  </si>
  <si>
    <t>0278-01-000-000</t>
  </si>
  <si>
    <t>OSSEO PUBLIC SCHOOL DISTRICT</t>
  </si>
  <si>
    <t>0279-01-000-000</t>
  </si>
  <si>
    <t>RICHFIELD PUBLIC SCHOOL DISTRICT</t>
  </si>
  <si>
    <t>0280-01-000-000</t>
  </si>
  <si>
    <t>ROBBINSDALE PUBLIC SCHOOL DISTRICT</t>
  </si>
  <si>
    <t>0281-01-000-000</t>
  </si>
  <si>
    <t>ST. ANTHONY-NEW BRIGHTON SCHOOLS</t>
  </si>
  <si>
    <t>0282-01-000-000</t>
  </si>
  <si>
    <t>ST. LOUIS PARK PUBLIC SCHOOL DIST.</t>
  </si>
  <si>
    <t>0283-01-000-000</t>
  </si>
  <si>
    <t>WAYZATA PUBLIC SCHOOL DISTRICT</t>
  </si>
  <si>
    <t>0284-01-000-000</t>
  </si>
  <si>
    <t>BROOKLYN CENTER SCHOOL DISTRICT</t>
  </si>
  <si>
    <t>0286-01-000-000</t>
  </si>
  <si>
    <t>INTERMEDIATE SCHOOL DISTRICT 287</t>
  </si>
  <si>
    <t>0287-06-000-000</t>
  </si>
  <si>
    <t>HOUSTON PUBLIC SCHOOL DISTRICT</t>
  </si>
  <si>
    <t>0294-01-000-000</t>
  </si>
  <si>
    <t>SPRING GROVE SCHOOL DISTRICT</t>
  </si>
  <si>
    <t>0297-01-000-000</t>
  </si>
  <si>
    <t>CALEDONIA PUBLIC SCHOOL DISTRICT</t>
  </si>
  <si>
    <t>0299-01-000-000</t>
  </si>
  <si>
    <t>LACRESCENT-HOKAH SCHOOL DISTRICT</t>
  </si>
  <si>
    <t>0300-01-000-000</t>
  </si>
  <si>
    <t>LAPORTE PUBLIC SCHOOL DISTRICT</t>
  </si>
  <si>
    <t>0306-01-000-000</t>
  </si>
  <si>
    <t>NEVIS PUBLIC SCHOOL DISTRICT</t>
  </si>
  <si>
    <t>0308-01-000-000</t>
  </si>
  <si>
    <t>PARK RAPIDS PUBLIC SCHOOL DISTRICT</t>
  </si>
  <si>
    <t>0309-01-000-000</t>
  </si>
  <si>
    <t>BRAHAM PUBLIC SCHOOL DISTRICT</t>
  </si>
  <si>
    <t>0314-01-000-000</t>
  </si>
  <si>
    <t>GREENWAY PUBLIC SCHOOL DISTRICT</t>
  </si>
  <si>
    <t>0316-01-000-000</t>
  </si>
  <si>
    <t>DEER RIVER PUBLIC SCHOOL DISTRICT</t>
  </si>
  <si>
    <t>0317-01-000-000</t>
  </si>
  <si>
    <t>GRAND RAPIDS PUBLIC SCHOOL DISTRICT</t>
  </si>
  <si>
    <t>0318-01-000-000</t>
  </si>
  <si>
    <t>NASHWAUK-KEEWATIN SCHOOL DISTRICT</t>
  </si>
  <si>
    <t>0319-01-000-000</t>
  </si>
  <si>
    <t>FRANCONIA PUBLIC SCHOOL DISTRICT</t>
  </si>
  <si>
    <t>0323-02-000-000</t>
  </si>
  <si>
    <t>HERON LAKE-OKABENA SCHOOL DISTRICT</t>
  </si>
  <si>
    <t>0330-01-000-000</t>
  </si>
  <si>
    <t>MORA PUBLIC SCHOOL DISTRICT</t>
  </si>
  <si>
    <t>0332-01-000-000</t>
  </si>
  <si>
    <t>OGILVIE PUBLIC SCHOOL DISTRICT</t>
  </si>
  <si>
    <t>0333-01-000-000</t>
  </si>
  <si>
    <t>NEW LONDON-SPICER SCHOOL DISTRICT</t>
  </si>
  <si>
    <t>0345-01-000-000</t>
  </si>
  <si>
    <t>WILLMAR PUBLIC SCHOOL DISTRICT</t>
  </si>
  <si>
    <t>0347-01-000-000</t>
  </si>
  <si>
    <t>LANCASTER PUBLIC SCHOOL DISTRICT</t>
  </si>
  <si>
    <t>0356-01-000-000</t>
  </si>
  <si>
    <t>INTERNATIONAL FALLS SCHOOL DISTRICT</t>
  </si>
  <si>
    <t>0361-01-000-000</t>
  </si>
  <si>
    <t>LITTLEFORK-BIG FALLS SCHOOL DIST.</t>
  </si>
  <si>
    <t>0362-01-000-000</t>
  </si>
  <si>
    <t>SOUTH KOOCHICHING SCHOOL DISTRICT</t>
  </si>
  <si>
    <t>0363-01-000-000</t>
  </si>
  <si>
    <t>DAWSON-BOYD PUBLIC SCHOOL DISTRICT</t>
  </si>
  <si>
    <t>0378-01-000-000</t>
  </si>
  <si>
    <t>LAKE SUPERIOR PUBLIC SCHOOL DIST.</t>
  </si>
  <si>
    <t>0381-01-000-000</t>
  </si>
  <si>
    <t>LAKE OF THE WOODS SCHOOL DISTRICT</t>
  </si>
  <si>
    <t>0390-01-000-000</t>
  </si>
  <si>
    <t>CLEVELAND PUBLIC SCHOOL DISTRICT</t>
  </si>
  <si>
    <t>0391-01-000-000</t>
  </si>
  <si>
    <t>LECENTER PUBLIC SCHOOL DISTRICT</t>
  </si>
  <si>
    <t>0392-01-000-000</t>
  </si>
  <si>
    <t>MONTGOMERY-LONSDALE SCHOOL DISTRICT</t>
  </si>
  <si>
    <t>0394-01-000-000</t>
  </si>
  <si>
    <t>LAKE AGASSIZ SPECIAL ED. COOP.</t>
  </si>
  <si>
    <t>0397-52-000-000</t>
  </si>
  <si>
    <t>HENDRICKS PUBLIC SCHOOL DISTRICT</t>
  </si>
  <si>
    <t>0402-01-000-000</t>
  </si>
  <si>
    <t>IVANHOE PUBLIC SCHOOL DISTRICT</t>
  </si>
  <si>
    <t>0403-01-000-000</t>
  </si>
  <si>
    <t>LAKE BENTON PUBLIC SCHOOL DISTRICT</t>
  </si>
  <si>
    <t>0404-01-000-000</t>
  </si>
  <si>
    <t>MARSHALL PUBLIC SCHOOL DISTRICT</t>
  </si>
  <si>
    <t>0413-01-000-000</t>
  </si>
  <si>
    <t>MINNEOTA PUBLIC SCHOOL DISTRICT</t>
  </si>
  <si>
    <t>0414-01-000-000</t>
  </si>
  <si>
    <t>LYND PUBLIC SCHOOL DISTRICT</t>
  </si>
  <si>
    <t>0415-01-000-000</t>
  </si>
  <si>
    <t>HUTCHINSON PUBLIC SCHOOL DISTRICT</t>
  </si>
  <si>
    <t>0423-01-000-000</t>
  </si>
  <si>
    <t>LESTER PRAIRIE PUBLIC SCHOOL DIST.</t>
  </si>
  <si>
    <t>0424-01-000-000</t>
  </si>
  <si>
    <t>MAHNOMEN PUBLIC SCHOOL DISTRICT</t>
  </si>
  <si>
    <t>0432-01-000-000</t>
  </si>
  <si>
    <t>WAUBUN-OGEMA-WHITE EARTH PUBLIC SCH</t>
  </si>
  <si>
    <t>0435-01-000-000</t>
  </si>
  <si>
    <t>MARSHALL COUNTY CENTRAL SCHOOLS</t>
  </si>
  <si>
    <t>0441-01-000-000</t>
  </si>
  <si>
    <t>GRYGLA PUBLIC SCHOOL DISTRICT</t>
  </si>
  <si>
    <t>0447-01-000-000</t>
  </si>
  <si>
    <t>TRUMAN PUBLIC SCHOOL DISTRICT</t>
  </si>
  <si>
    <t>0458-01-000-000</t>
  </si>
  <si>
    <t>EDEN VALLEY-WATKINS SCHOOL DISTRICT</t>
  </si>
  <si>
    <t>0463-01-000-000</t>
  </si>
  <si>
    <t>LITCHFIELD PUBLIC SCHOOL DISTRICT</t>
  </si>
  <si>
    <t>0465-01-000-000</t>
  </si>
  <si>
    <t>DASSEL-COKATO PUBLIC SCHOOL DIST.</t>
  </si>
  <si>
    <t>0466-01-000-000</t>
  </si>
  <si>
    <t>ISLE PUBLIC SCHOOL DISTRICT</t>
  </si>
  <si>
    <t>0473-01-000-000</t>
  </si>
  <si>
    <t>PRINCETON PUBLIC SCHOOL DISTRICT</t>
  </si>
  <si>
    <t>0477-01-000-000</t>
  </si>
  <si>
    <t>ONAMIA PUBLIC SCHOOL DISTRICT</t>
  </si>
  <si>
    <t>0480-01-000-000</t>
  </si>
  <si>
    <t>LITTLE FALLS PUBLIC SCHOOL DISTRICT</t>
  </si>
  <si>
    <t>0482-01-000-000</t>
  </si>
  <si>
    <t>PIERZ PUBLIC SCHOOL DISTRICT</t>
  </si>
  <si>
    <t>0484-01-000-000</t>
  </si>
  <si>
    <t>ROYALTON PUBLIC SCHOOL DISTRICT</t>
  </si>
  <si>
    <t>0485-01-000-000</t>
  </si>
  <si>
    <t>SWANVILLE PUBLIC SCHOOL DISTRICT</t>
  </si>
  <si>
    <t>0486-01-000-000</t>
  </si>
  <si>
    <t>UPSALA PUBLIC SCHOOL DISTRICT</t>
  </si>
  <si>
    <t>0487-01-000-000</t>
  </si>
  <si>
    <t>AUSTIN PUBLIC SCHOOL DISTRICT</t>
  </si>
  <si>
    <t>0492-01-000-000</t>
  </si>
  <si>
    <t>GRAND MEADOW PUBLIC SCHOOL DISTRICT</t>
  </si>
  <si>
    <t>0495-01-000-000</t>
  </si>
  <si>
    <t>LYLE PUBLIC SCHOOL DISTRICT</t>
  </si>
  <si>
    <t>0497-01-000-000</t>
  </si>
  <si>
    <t>LEROY-OSTRANDER PUBLIC SCHOOLS</t>
  </si>
  <si>
    <t>0499-01-000-000</t>
  </si>
  <si>
    <t>SOUTHLAND PUBLIC SCHOOL DISTRICT</t>
  </si>
  <si>
    <t>0500-01-000-000</t>
  </si>
  <si>
    <t>FULDA PUBLIC SCHOOL DISTRICT</t>
  </si>
  <si>
    <t>0505-01-000-000</t>
  </si>
  <si>
    <t>NICOLLET PUBLIC SCHOOL DISTRICT</t>
  </si>
  <si>
    <t>0507-01-000-000</t>
  </si>
  <si>
    <t>ST. PETER PUBLIC SCHOOL DISTRICT</t>
  </si>
  <si>
    <t>0508-01-000-000</t>
  </si>
  <si>
    <t>ADRIAN PUBLIC SCHOOL DISTRICT</t>
  </si>
  <si>
    <t>0511-01-000-000</t>
  </si>
  <si>
    <t>BREWSTER PUBLIC SCHOOL DISTRICT</t>
  </si>
  <si>
    <t>0513-01-000-000</t>
  </si>
  <si>
    <t>ELLSWORTH PUBLIC SCHOOL DISTRICT</t>
  </si>
  <si>
    <t>0514-01-000-000</t>
  </si>
  <si>
    <t>ROUND LAKE PUBLIC SCHOOL DISTRICT</t>
  </si>
  <si>
    <t>0516-01-000-000</t>
  </si>
  <si>
    <t>WORTHINGTON PUBLIC SCHOOL DISTRICT</t>
  </si>
  <si>
    <t>0518-01-000-000</t>
  </si>
  <si>
    <t>BYRON PUBLIC SCHOOL DISTRICT</t>
  </si>
  <si>
    <t>0531-01-000-000</t>
  </si>
  <si>
    <t>DOVER-EYOTA PUBLIC SCHOOL DISTRICT</t>
  </si>
  <si>
    <t>0533-01-000-000</t>
  </si>
  <si>
    <t>STEWARTVILLE PUBLIC SCHOOL DISTRICT</t>
  </si>
  <si>
    <t>0534-01-000-000</t>
  </si>
  <si>
    <t>ROCHESTER PUBLIC SCHOOL DISTRICT</t>
  </si>
  <si>
    <t>0535-01-000-000</t>
  </si>
  <si>
    <t>BATTLE LAKE PUBLIC SCHOOL DISTRICT</t>
  </si>
  <si>
    <t>0542-01-000-000</t>
  </si>
  <si>
    <t>FERGUS FALLS PUBLIC SCHOOL DISTRICT</t>
  </si>
  <si>
    <t>0544-01-000-000</t>
  </si>
  <si>
    <t>HENNING PUBLIC SCHOOL DISTRICT</t>
  </si>
  <si>
    <t>0545-01-000-000</t>
  </si>
  <si>
    <t>PARKERS PRAIRIE PUBLIC SCHOOL DIST.</t>
  </si>
  <si>
    <t>0547-01-000-000</t>
  </si>
  <si>
    <t>PELICAN RAPIDS PUBLIC SCHOOL DIST.</t>
  </si>
  <si>
    <t>0548-01-000-000</t>
  </si>
  <si>
    <t>PERHAM-DENT PUBLIC SCHOOL DISTRICT</t>
  </si>
  <si>
    <t>0549-01-000-000</t>
  </si>
  <si>
    <t>UNDERWOOD PUBLIC SCHOOL DISTRICT</t>
  </si>
  <si>
    <t>0550-01-000-000</t>
  </si>
  <si>
    <t>NEW YORK MILLS PUBLIC SCHOOL DIST.</t>
  </si>
  <si>
    <t>0553-01-000-000</t>
  </si>
  <si>
    <t>GOODRIDGE PUBLIC SCHOOL DISTRICT</t>
  </si>
  <si>
    <t>0561-01-000-000</t>
  </si>
  <si>
    <t>THIEF RIVER FALLS SCHOOL DISTRICT</t>
  </si>
  <si>
    <t>0564-01-000-000</t>
  </si>
  <si>
    <t>WILLOW RIVER PUBLIC SCHOOL DISTRICT</t>
  </si>
  <si>
    <t>0577-01-000-000</t>
  </si>
  <si>
    <t>PINE CITY PUBLIC SCHOOL DISTRICT</t>
  </si>
  <si>
    <t>0578-01-000-000</t>
  </si>
  <si>
    <t>EDGERTON PUBLIC SCHOOL DISTRICT</t>
  </si>
  <si>
    <t>0581-01-000-000</t>
  </si>
  <si>
    <t>CLIMAX-SHELLY PUBLIC SCHOOLS</t>
  </si>
  <si>
    <t>0592-01-000-000</t>
  </si>
  <si>
    <t>CROOKSTON PUBLIC SCHOOL DISTRICT</t>
  </si>
  <si>
    <t>0593-01-000-000</t>
  </si>
  <si>
    <t>EAST GRAND FORKS PUBLIC SCHOOL DIST</t>
  </si>
  <si>
    <t>0595-01-000-000</t>
  </si>
  <si>
    <t>FERTILE-BELTRAMI SCHOOL DISTRICT</t>
  </si>
  <si>
    <t>0599-01-000-000</t>
  </si>
  <si>
    <t>FISHER PUBLIC SCHOOL DISTRICT</t>
  </si>
  <si>
    <t>0600-01-000-000</t>
  </si>
  <si>
    <t>FOSSTON PUBLIC SCHOOL DISTRICT</t>
  </si>
  <si>
    <t>0601-01-000-000</t>
  </si>
  <si>
    <t>CYRUS PUBLIC SCHOOL DISTRICT</t>
  </si>
  <si>
    <t>0611-01-000-000</t>
  </si>
  <si>
    <t>MOUNDS VIEW PUBLIC SCHOOL DISTRICT</t>
  </si>
  <si>
    <t>0621-01-000-000</t>
  </si>
  <si>
    <t>NORTH ST PAUL-MAPLEWOOD SCHOOL DIST</t>
  </si>
  <si>
    <t>0622-01-000-000</t>
  </si>
  <si>
    <t>ROSEVILLE PUBLIC SCHOOL DISTRICT</t>
  </si>
  <si>
    <t>0623-01-000-000</t>
  </si>
  <si>
    <t>WHITE BEAR LAKE SCHOOL DISTRICT</t>
  </si>
  <si>
    <t>0624-01-000-000</t>
  </si>
  <si>
    <t>ST. PAUL PUBLIC SCHOOL DISTRICT</t>
  </si>
  <si>
    <t>0625-01-000-000</t>
  </si>
  <si>
    <t>OKLEE PUBLIC SCHOOL DISTRICT</t>
  </si>
  <si>
    <t>0627-01-000-000</t>
  </si>
  <si>
    <t>PLUMMER PUBLIC SCHOOL DISTRICT</t>
  </si>
  <si>
    <t>0628-01-000-000</t>
  </si>
  <si>
    <t>RED LAKE FALLS PUBLIC SCHOOL DIST.</t>
  </si>
  <si>
    <t>0630-01-000-000</t>
  </si>
  <si>
    <t>MILROY PUBLIC SCHOOL DISTRICT</t>
  </si>
  <si>
    <t>0635-01-000-000</t>
  </si>
  <si>
    <t>WABASSO PUBLIC SCHOOL DISTRICT</t>
  </si>
  <si>
    <t>0640-01-000-000</t>
  </si>
  <si>
    <t>FARIBAULT PUBLIC SCHOOL DISTRICT</t>
  </si>
  <si>
    <t>0656-01-000-000</t>
  </si>
  <si>
    <t>NORTHFIELD PUBLIC SCHOOL DISTRICT</t>
  </si>
  <si>
    <t>0659-01-000-000</t>
  </si>
  <si>
    <t>HILLS-BEAVER CREEK SCHOOL DISTRICT</t>
  </si>
  <si>
    <t>0671-01-000-000</t>
  </si>
  <si>
    <t>BADGER PUBLIC SCHOOL DISTRICT</t>
  </si>
  <si>
    <t>0676-01-000-000</t>
  </si>
  <si>
    <t>ROSEAU PUBLIC SCHOOL DISTRICT</t>
  </si>
  <si>
    <t>0682-01-000-000</t>
  </si>
  <si>
    <t>WARROAD PUBLIC SCHOOL DISTRICT</t>
  </si>
  <si>
    <t>0690-01-000-000</t>
  </si>
  <si>
    <t>CHISHOLM PUBLIC SCHOOL DISTRICT</t>
  </si>
  <si>
    <t>0695-01-000-000</t>
  </si>
  <si>
    <t>ELY PUBLIC SCHOOL DISTRICT</t>
  </si>
  <si>
    <t>0696-01-000-000</t>
  </si>
  <si>
    <t>FLOODWOOD PUBLIC SCHOOL DISTRICT</t>
  </si>
  <si>
    <t>0698-01-000-000</t>
  </si>
  <si>
    <t>HERMANTOWN PUBLIC SCHOOL DISTRICT</t>
  </si>
  <si>
    <t>0700-01-000-000</t>
  </si>
  <si>
    <t>HIBBING PUBLIC SCHOOL DISTRICT</t>
  </si>
  <si>
    <t>0701-01-000-000</t>
  </si>
  <si>
    <t>PROCTOR PUBLIC SCHOOL DISTRICT</t>
  </si>
  <si>
    <t>0704-01-000-000</t>
  </si>
  <si>
    <t>VIRGINIA PUBLIC SCHOOL DISTRICT</t>
  </si>
  <si>
    <t>0706-01-000-000</t>
  </si>
  <si>
    <t>NETT LAKE PUBLIC SCHOOL DISTRICT</t>
  </si>
  <si>
    <t>0707-01-000-000</t>
  </si>
  <si>
    <t>DULUTH PUBLIC SCHOOL DISTRICT</t>
  </si>
  <si>
    <t>0709-01-000-000</t>
  </si>
  <si>
    <t>MOUNTAIN IRON-BUHL SCHOOL DISTRICT</t>
  </si>
  <si>
    <t>0712-01-000-000</t>
  </si>
  <si>
    <t>BELLE PLAINE PUBLIC SCHOOL DISTRICT</t>
  </si>
  <si>
    <t>0716-01-000-000</t>
  </si>
  <si>
    <t>JORDAN PUBLIC SCHOOL DISTRICT</t>
  </si>
  <si>
    <t>0717-01-000-000</t>
  </si>
  <si>
    <t>PRIOR LAKE-SAVAGE AREA SCHOOLS</t>
  </si>
  <si>
    <t>0719-01-000-000</t>
  </si>
  <si>
    <t>SHAKOPEE PUBLIC SCHOOL DISTRICT</t>
  </si>
  <si>
    <t>0720-01-000-000</t>
  </si>
  <si>
    <t>NEW PRAGUE AREA SCHOOLS</t>
  </si>
  <si>
    <t>0721-01-000-000</t>
  </si>
  <si>
    <t>BECKER PUBLIC SCHOOL DISTRICT</t>
  </si>
  <si>
    <t>0726-01-000-000</t>
  </si>
  <si>
    <t>BIG LAKE PUBLIC SCHOOL DISTRICT</t>
  </si>
  <si>
    <t>0727-01-000-000</t>
  </si>
  <si>
    <t>ELK RIVER PUBLIC SCHOOL DISTRICT</t>
  </si>
  <si>
    <t>0728-01-000-000</t>
  </si>
  <si>
    <t>HOLDINGFORD PUBLIC SCHOOL DISTRICT</t>
  </si>
  <si>
    <t>0738-01-000-000</t>
  </si>
  <si>
    <t>KIMBALL PUBLIC SCHOOL DISTRICT</t>
  </si>
  <si>
    <t>0739-01-000-000</t>
  </si>
  <si>
    <t>MELROSE PUBLIC SCHOOL DISTRICT</t>
  </si>
  <si>
    <t>0740-01-000-000</t>
  </si>
  <si>
    <t>PAYNESVILLE PUBLIC SCHOOL DISTRICT</t>
  </si>
  <si>
    <t>0741-01-000-000</t>
  </si>
  <si>
    <t>ST. CLOUD PUBLIC SCHOOL DISTRICT</t>
  </si>
  <si>
    <t>0742-01-000-000</t>
  </si>
  <si>
    <t>SAUK CENTRE PUBLIC SCHOOL DISTRICT</t>
  </si>
  <si>
    <t>0743-01-000-000</t>
  </si>
  <si>
    <t>ALBANY PUBLIC SCHOOL DISTRICT</t>
  </si>
  <si>
    <t>0745-01-000-000</t>
  </si>
  <si>
    <t>SARTELL-ST. STEPHEN SCHOOL DISTRICT</t>
  </si>
  <si>
    <t>0748-01-000-000</t>
  </si>
  <si>
    <t>ROCORI PUBLIC SCHOOL DISTRICT</t>
  </si>
  <si>
    <t>0750-01-000-000</t>
  </si>
  <si>
    <t>BLOOMING PRAIRIE PUBLIC SCHOOL DIST</t>
  </si>
  <si>
    <t>0756-01-000-000</t>
  </si>
  <si>
    <t>OWATONNA PUBLIC SCHOOL DISTRICT</t>
  </si>
  <si>
    <t>0761-01-000-000</t>
  </si>
  <si>
    <t>MEDFORD PUBLIC SCHOOL DISTRICT</t>
  </si>
  <si>
    <t>0763-01-000-000</t>
  </si>
  <si>
    <t>HANCOCK PUBLIC SCHOOL DISTRICT</t>
  </si>
  <si>
    <t>0768-01-000-000</t>
  </si>
  <si>
    <t>MORRIS PUBLIC SCHOOL DISTRICT</t>
  </si>
  <si>
    <t>0769-01-000-000</t>
  </si>
  <si>
    <t>CHOKIO-ALBERTA PUBLIC SCHOOL DIST.</t>
  </si>
  <si>
    <t>0771-01-000-000</t>
  </si>
  <si>
    <t>KERKHOVEN-MURDOCK-SUNBURG</t>
  </si>
  <si>
    <t>0775-01-000-000</t>
  </si>
  <si>
    <t>BENSON PUBLIC SCHOOL DISTRICT</t>
  </si>
  <si>
    <t>0777-01-000-000</t>
  </si>
  <si>
    <t>BERTHA-HEWITT PUBLIC SCHOOL DIST.</t>
  </si>
  <si>
    <t>0786-01-000-000</t>
  </si>
  <si>
    <t>BROWERVILLE PUBLIC SCHOOL DISTRICT</t>
  </si>
  <si>
    <t>0787-01-000-000</t>
  </si>
  <si>
    <t>BROWNS VALLEY PUBLIC SCHOOL DIST.</t>
  </si>
  <si>
    <t>0801-01-000-000</t>
  </si>
  <si>
    <t>WHEATON AREA PUBLIC SCHOOL DISTRICT</t>
  </si>
  <si>
    <t>0803-01-000-000</t>
  </si>
  <si>
    <t>WABASHA-KELLOGG PUBLIC SCHOOL DIST.</t>
  </si>
  <si>
    <t>0811-01-000-000</t>
  </si>
  <si>
    <t>LAKE CITY PUBLIC SCHOOL DISTRICT</t>
  </si>
  <si>
    <t>0813-01-000-000</t>
  </si>
  <si>
    <t>PRINSBURG PUBLIC SCHOOL DISTRICT</t>
  </si>
  <si>
    <t>0815-02-000-000</t>
  </si>
  <si>
    <t>VERNDALE PUBLIC SCHOOL DISTRICT</t>
  </si>
  <si>
    <t>0818-01-000-000</t>
  </si>
  <si>
    <t>SEBEKA PUBLIC SCHOOL DISTRICT</t>
  </si>
  <si>
    <t>0820-01-000-000</t>
  </si>
  <si>
    <t>MENAHGA PUBLIC SCHOOL DISTRICT</t>
  </si>
  <si>
    <t>0821-01-000-000</t>
  </si>
  <si>
    <t>WASECA PUBLIC SCHOOL DISTRICT</t>
  </si>
  <si>
    <t>0829-01-000-000</t>
  </si>
  <si>
    <t>FOREST LAKE PUBLIC SCHOOL DISTRICT</t>
  </si>
  <si>
    <t>0831-01-000-000</t>
  </si>
  <si>
    <t>MAHTOMEDI PUBLIC SCHOOL DISTRICT</t>
  </si>
  <si>
    <t>0832-01-000-000</t>
  </si>
  <si>
    <t>SOUTH WASHINGTON COUNTY SCHOOL DIST</t>
  </si>
  <si>
    <t>0833-01-000-000</t>
  </si>
  <si>
    <t>STILLWATER AREA PUBLIC SCHOOL DIST.</t>
  </si>
  <si>
    <t>0834-01-000-000</t>
  </si>
  <si>
    <t>BUTTERFIELD PUBLIC SCHOOL DISTRICT</t>
  </si>
  <si>
    <t>0836-01-000-000</t>
  </si>
  <si>
    <t>MADELIA PUBLIC SCHOOL DISTRICT</t>
  </si>
  <si>
    <t>0837-01-000-000</t>
  </si>
  <si>
    <t>ST. JAMES PUBLIC SCHOOL DISTRICT</t>
  </si>
  <si>
    <t>0840-01-000-000</t>
  </si>
  <si>
    <t>BRECKENRIDGE PUBLIC SCHOOL DISTRICT</t>
  </si>
  <si>
    <t>0846-01-000-000</t>
  </si>
  <si>
    <t>ROTHSAY PUBLIC SCHOOL DISTRICT</t>
  </si>
  <si>
    <t>0850-01-000-000</t>
  </si>
  <si>
    <t>CAMPBELL-TINTAH PUBLIC SCHOOL DIST.</t>
  </si>
  <si>
    <t>0852-01-000-000</t>
  </si>
  <si>
    <t>LEWISTON-ALTURA PUBLIC SCHOOL DIST.</t>
  </si>
  <si>
    <t>0857-01-000-000</t>
  </si>
  <si>
    <t>ST. CHARLES PUBLIC SCHOOL DISTRICT</t>
  </si>
  <si>
    <t>0858-01-000-000</t>
  </si>
  <si>
    <t>WINONA AREA PUBLIC SCHOOL DISTRICT</t>
  </si>
  <si>
    <t>0861-01-000-000</t>
  </si>
  <si>
    <t>ANNANDALE PUBLIC SCHOOL DISTRICT</t>
  </si>
  <si>
    <t>0876-01-000-000</t>
  </si>
  <si>
    <t>BUFFALO-HANOVER-MONTROSE PUBLIC SCH</t>
  </si>
  <si>
    <t>0877-01-000-000</t>
  </si>
  <si>
    <t>DELANO PUBLIC SCHOOL DISTRICT</t>
  </si>
  <si>
    <t>0879-01-000-000</t>
  </si>
  <si>
    <t>MAPLE LAKE PUBLIC SCHOOL DISTRICT</t>
  </si>
  <si>
    <t>0881-01-000-000</t>
  </si>
  <si>
    <t>MONTICELLO PUBLIC SCHOOL DISTRICT</t>
  </si>
  <si>
    <t>0882-01-000-000</t>
  </si>
  <si>
    <t>ROCKFORD PUBLIC SCHOOL DISTRICT</t>
  </si>
  <si>
    <t>0883-01-000-000</t>
  </si>
  <si>
    <t>ST. MICHAEL-ALBERTVILLE SCHOOL DIST</t>
  </si>
  <si>
    <t>0885-01-000-000</t>
  </si>
  <si>
    <t>CANBY PUBLIC SCHOOL DISTRICT</t>
  </si>
  <si>
    <t>0891-01-000-000</t>
  </si>
  <si>
    <t>CAMBRIDGE-ISANTI PUBLIC SCHOOL DIST</t>
  </si>
  <si>
    <t>0911-01-000-000</t>
  </si>
  <si>
    <t>MILACA PUBLIC SCHOOL DISTRICT</t>
  </si>
  <si>
    <t>0912-01-000-000</t>
  </si>
  <si>
    <t>ULEN-HITTERDAL PUBLIC SCHOOL DIST</t>
  </si>
  <si>
    <t>0914-01-000-000</t>
  </si>
  <si>
    <t>SOUTHERN PLAINS EDUCATION COOP.</t>
  </si>
  <si>
    <t>0915-52-000-000</t>
  </si>
  <si>
    <t>N.E. METRO INTERMEDIATE DIST. 916</t>
  </si>
  <si>
    <t>0916-06-000-000</t>
  </si>
  <si>
    <t>INTERMEDIATE SCHOOL DISTRICT 917</t>
  </si>
  <si>
    <t>0917-06-000-000</t>
  </si>
  <si>
    <t>REGION 4-LAKES COUNTRY SERVICE COOP</t>
  </si>
  <si>
    <t>0926-83-000-000</t>
  </si>
  <si>
    <t>REGION 3 - NORTHEAST SERVICE COOP</t>
  </si>
  <si>
    <t>0927-83-000-000</t>
  </si>
  <si>
    <t>CARVER-SCOTT EDUCATIONAL COOP.</t>
  </si>
  <si>
    <t>0930-53-000-000</t>
  </si>
  <si>
    <t>FERGUS FALLS AREA SP. ED. COOP.</t>
  </si>
  <si>
    <t>0935-52-000-000</t>
  </si>
  <si>
    <t>MEEKER &amp; WRIGHT SPECIAL EDUCATION</t>
  </si>
  <si>
    <t>0938-52-000-000</t>
  </si>
  <si>
    <t>OAK LAND VOCATIONAL COOPERATVE</t>
  </si>
  <si>
    <t>0957-51-000-000</t>
  </si>
  <si>
    <t>REGN 6 &amp; 8-S.W/W.C. SRV COOPERATIVE</t>
  </si>
  <si>
    <t>0991-83-000-000</t>
  </si>
  <si>
    <t>MN RIVER VALLEY SPECIAL ED. COOP.</t>
  </si>
  <si>
    <t>0993-52-000-000</t>
  </si>
  <si>
    <t>BEMIDJI REGIONAL INTERDIST. COUNCIL</t>
  </si>
  <si>
    <t>0998-52-000-000</t>
  </si>
  <si>
    <t>LAKE CRYSTAL-WELLCOME MEMORIAL</t>
  </si>
  <si>
    <t>2071-01-000-000</t>
  </si>
  <si>
    <t>TRITON SCHOOL DISTRICT</t>
  </si>
  <si>
    <t>2125-01-000-000</t>
  </si>
  <si>
    <t>UNITED SOUTH CENTRAL SCHOOL DIST.</t>
  </si>
  <si>
    <t>2134-01-000-000</t>
  </si>
  <si>
    <t>MAPLE RIVER SCHOOL DISTRICT</t>
  </si>
  <si>
    <t>2135-01-000-000</t>
  </si>
  <si>
    <t>KINGSLAND PUBLIC SCHOOL DISTRICT</t>
  </si>
  <si>
    <t>2137-01-000-000</t>
  </si>
  <si>
    <t>ST. LOUIS COUNTY SCHOOL DISTRICT</t>
  </si>
  <si>
    <t>2142-01-000-000</t>
  </si>
  <si>
    <t>WATERVILLE-ELYSIAN-MORRISTOWN</t>
  </si>
  <si>
    <t>2143-01-000-000</t>
  </si>
  <si>
    <t>CHISAGO LAKES SCHOOL DISTRICT</t>
  </si>
  <si>
    <t>2144-01-000-000</t>
  </si>
  <si>
    <t>MINNEWASKA SCHOOL DISTRICT</t>
  </si>
  <si>
    <t>2149-01-000-000</t>
  </si>
  <si>
    <t>EVELETH-GILBERT SCHOOL DISTRICT</t>
  </si>
  <si>
    <t>2154-01-000-000</t>
  </si>
  <si>
    <t>WADENA-DEER CREEK SCHOOL DISTRICT</t>
  </si>
  <si>
    <t>2155-01-000-000</t>
  </si>
  <si>
    <t>BUFFALO LK-HECTOR-STEWART PUBLIC SC</t>
  </si>
  <si>
    <t>2159-01-000-000</t>
  </si>
  <si>
    <t>DILWORTH-GLYNDON-FELTON</t>
  </si>
  <si>
    <t>2164-01-000-000</t>
  </si>
  <si>
    <t>HINCKLEY-FINLAYSON SCHOOL DISTRICT</t>
  </si>
  <si>
    <t>2165-01-000-000</t>
  </si>
  <si>
    <t>LAKEVIEW SCHOOL DISTRICT</t>
  </si>
  <si>
    <t>2167-01-000-000</t>
  </si>
  <si>
    <t>NRHEG SCHOOL DISTRICT</t>
  </si>
  <si>
    <t>2168-01-000-000</t>
  </si>
  <si>
    <t>MURRAY COUNTY CENTRAL SCHOOL DIST.</t>
  </si>
  <si>
    <t>2169-01-000-000</t>
  </si>
  <si>
    <t>STAPLES-MOTLEY SCHOOL DISTRICT</t>
  </si>
  <si>
    <t>2170-01-000-000</t>
  </si>
  <si>
    <t>KITTSON CENTRAL SCHOOL DISTRICT</t>
  </si>
  <si>
    <t>2171-01-000-000</t>
  </si>
  <si>
    <t>KENYON-WANAMINGO SCHOOL DISTRICT</t>
  </si>
  <si>
    <t>2172-01-000-000</t>
  </si>
  <si>
    <t>PINE RIVER-BACKUS SCHOOL DISTRICT</t>
  </si>
  <si>
    <t>2174-01-000-000</t>
  </si>
  <si>
    <t>WARREN-ALVARADO-OSLO SCHOOL DIST.</t>
  </si>
  <si>
    <t>2176-01-000-000</t>
  </si>
  <si>
    <t>M.A.C.C.R.A.Y. SCHOOL DISTRICT</t>
  </si>
  <si>
    <t>2180-01-000-000</t>
  </si>
  <si>
    <t>LUVERNE PUBLIC SCHOOL DISTRICT</t>
  </si>
  <si>
    <t>2184-01-000-000</t>
  </si>
  <si>
    <t>YELLOW MEDICINE EAST</t>
  </si>
  <si>
    <t>2190-01-000-000</t>
  </si>
  <si>
    <t>FILLMORE CENTRAL</t>
  </si>
  <si>
    <t>2198-01-000-000</t>
  </si>
  <si>
    <t>NORMAN COUNTY EAST SCHOOL DISTRICT</t>
  </si>
  <si>
    <t>2215-01-000-000</t>
  </si>
  <si>
    <t>SIBLEY EAST SCHOOL DISTRICT</t>
  </si>
  <si>
    <t>2310-01-000-000</t>
  </si>
  <si>
    <t>CLEARBROOK-GONVICK SCHOOL DISTRICT</t>
  </si>
  <si>
    <t>2311-01-000-000</t>
  </si>
  <si>
    <t>WEST CENTRAL AREA</t>
  </si>
  <si>
    <t>2342-01-000-000</t>
  </si>
  <si>
    <t>TRI-COUNTY SCHOOL DISTRICT</t>
  </si>
  <si>
    <t>2358-01-000-000</t>
  </si>
  <si>
    <t>BELGRADE-BROOTEN-ELROSA SCHOOL DIST</t>
  </si>
  <si>
    <t>2364-01-000-000</t>
  </si>
  <si>
    <t>G.F.W.</t>
  </si>
  <si>
    <t>2365-01-000-000</t>
  </si>
  <si>
    <t>A.C.G.C.</t>
  </si>
  <si>
    <t>2396-01-000-000</t>
  </si>
  <si>
    <t>LESUEUR-HENDERSON SCHOOL DISTRICT</t>
  </si>
  <si>
    <t>2397-01-000-000</t>
  </si>
  <si>
    <t>MARTIN COUNTY WEST SCHOOL DISTRICT</t>
  </si>
  <si>
    <t>2448-01-000-000</t>
  </si>
  <si>
    <t>NORMAN COUNTY WEST SCHOOL DISTRICT</t>
  </si>
  <si>
    <t>2527-01-000-000</t>
  </si>
  <si>
    <t>BIRD ISLAND-OLIVIA-LKLILLIAN-DANUBE</t>
  </si>
  <si>
    <t>2534-01-000-000</t>
  </si>
  <si>
    <t>GRANADA HUNTLEY-EAST CHAIN</t>
  </si>
  <si>
    <t>2536-01-000-000</t>
  </si>
  <si>
    <t>EAST CENTRAL SCHOOL DISTRICT</t>
  </si>
  <si>
    <t>2580-01-000-000</t>
  </si>
  <si>
    <t>WIN-E-MAC SCHOOL DISTRICT</t>
  </si>
  <si>
    <t>2609-01-000-000</t>
  </si>
  <si>
    <t>GREENBUSH-MIDDLE RIVER SCHOOL DIST.</t>
  </si>
  <si>
    <t>2683-01-000-000</t>
  </si>
  <si>
    <t>HOWARD LAKE-WAVERLY-WINSTED</t>
  </si>
  <si>
    <t>2687-01-000-000</t>
  </si>
  <si>
    <t>PIPESTONE AREA SCHOOL DISTRICT</t>
  </si>
  <si>
    <t>2689-01-000-000</t>
  </si>
  <si>
    <t>MESABI EAST SCHOOL DISTRICT</t>
  </si>
  <si>
    <t>2711-01-000-000</t>
  </si>
  <si>
    <t>FAIRMONT AREA SCHOOL DISTRICT</t>
  </si>
  <si>
    <t>2752-01-000-000</t>
  </si>
  <si>
    <t>LONG PRAIRIE-GREY EAGLE SCHOOL DIST</t>
  </si>
  <si>
    <t>2753-01-000-000</t>
  </si>
  <si>
    <t>CEDAR MOUNTAIN SCHOOL DISTRICT</t>
  </si>
  <si>
    <t>2754-01-000-000</t>
  </si>
  <si>
    <t>EAGLE VALLEY PUBLIC SCHOOL DISTRICT</t>
  </si>
  <si>
    <t>2759-01-000-000</t>
  </si>
  <si>
    <t>ZUMBROTA-MAZEPPA SCHOOL DISTRICT</t>
  </si>
  <si>
    <t>2805-01-000-000</t>
  </si>
  <si>
    <t>JANESVILLE-WALDORF-PEMBERTON</t>
  </si>
  <si>
    <t>2835-01-000-000</t>
  </si>
  <si>
    <t>LAC QUI PARLE VALLEY SCHOOL DIST.</t>
  </si>
  <si>
    <t>2853-01-000-000</t>
  </si>
  <si>
    <t>ADA-BORUP PUBLIC SCHOOL DISTRICT</t>
  </si>
  <si>
    <t>2854-01-000-000</t>
  </si>
  <si>
    <t>STEPHEN-ARGYLE CENTRAL SCHOOLS</t>
  </si>
  <si>
    <t>2856-01-000-000</t>
  </si>
  <si>
    <t>GLENCOE-SILVER LAKE SCHOOL DISTRICT</t>
  </si>
  <si>
    <t>2859-01-000-000</t>
  </si>
  <si>
    <t>BLUE EARTH AREA PUBLIC SCHOOL</t>
  </si>
  <si>
    <t>2860-01-000-000</t>
  </si>
  <si>
    <t>RED ROCK CENTRAL SCHOOL DISTRICT</t>
  </si>
  <si>
    <t>2884-01-000-000</t>
  </si>
  <si>
    <t>GLENVILLE-EMMONS SCHOOL DISTRICT</t>
  </si>
  <si>
    <t>2886-01-000-000</t>
  </si>
  <si>
    <t>CLINTON-GRACEVILLE-BEARDSLEY</t>
  </si>
  <si>
    <t>2888-01-000-000</t>
  </si>
  <si>
    <t>LAKE PARK AUDUBON SCHOOL DISTRICT</t>
  </si>
  <si>
    <t>2889-01-000-000</t>
  </si>
  <si>
    <t>RENVILLE COUNTY WEST SCHOOL DIST.</t>
  </si>
  <si>
    <t>2890-01-000-000</t>
  </si>
  <si>
    <t>JACKSON COUNTY CENTRAL SCHOOL DIST.</t>
  </si>
  <si>
    <t>2895-01-000-000</t>
  </si>
  <si>
    <t>REDWOOD AREA SCHOOL DISTRICT</t>
  </si>
  <si>
    <t>2897-01-000-000</t>
  </si>
  <si>
    <t>WESTBROOK-WALNUT GROVE SCHOOLS</t>
  </si>
  <si>
    <t>2898-01-000-000</t>
  </si>
  <si>
    <t>PLAINVIEW-ELGIN-MILLVILLE</t>
  </si>
  <si>
    <t>2899-01-000-000</t>
  </si>
  <si>
    <t>RTR PUBLIC SCHOOLS</t>
  </si>
  <si>
    <t>2902-01-000-000</t>
  </si>
  <si>
    <t>ORTONVILLE PUBLIC SCHOOLS</t>
  </si>
  <si>
    <t>2903-01-000-000</t>
  </si>
  <si>
    <t>TRACY AREA PUBLIC SCHOOL DISTRICT</t>
  </si>
  <si>
    <t>2904-01-000-000</t>
  </si>
  <si>
    <t>CITY ACADEMY</t>
  </si>
  <si>
    <t>4000-07-000-000</t>
  </si>
  <si>
    <t>BLUFFVIEW MONTESSORI</t>
  </si>
  <si>
    <t>4001-07-000-000</t>
  </si>
  <si>
    <t>NEW HEIGHTS SCHOOL, INC.</t>
  </si>
  <si>
    <t>4003-07-000-000</t>
  </si>
  <si>
    <t>CEDAR RIVERSIDE COMMUNITY SCHOOL</t>
  </si>
  <si>
    <t>4004-07-000-000</t>
  </si>
  <si>
    <t>METRO DEAF SCH &amp; MN NORTH STAR ACAD</t>
  </si>
  <si>
    <t>4005-07-000-000</t>
  </si>
  <si>
    <t>MINNESOTA NEW COUNTRY SCHOOL</t>
  </si>
  <si>
    <t>4007-07-000-000</t>
  </si>
  <si>
    <t>PACT CHARTER SCHOOL</t>
  </si>
  <si>
    <t>4008-07-000-000</t>
  </si>
  <si>
    <t>NEW VISIONS CHARTER SCHOOL</t>
  </si>
  <si>
    <t>4011-07-000-000</t>
  </si>
  <si>
    <t>COMMUNITY OF PEACE ACADEMY</t>
  </si>
  <si>
    <t>4015-07-000-000</t>
  </si>
  <si>
    <t>WORLD LEARNER CHARTER SCHOOL</t>
  </si>
  <si>
    <t>4016-07-000-000</t>
  </si>
  <si>
    <t>MINNESOTA TRANSITIONS CHARTER SCH</t>
  </si>
  <si>
    <t>4017-07-000-000</t>
  </si>
  <si>
    <t>ACHIEVE LANGUAGE ACADEMY</t>
  </si>
  <si>
    <t>4018-07-000-000</t>
  </si>
  <si>
    <t>DULUTH PUBLIC SCHOOLS ACADEMY</t>
  </si>
  <si>
    <t>4020-07-000-000</t>
  </si>
  <si>
    <t>CYBER VILLAGE ACADEMY</t>
  </si>
  <si>
    <t>4025-07-000-000</t>
  </si>
  <si>
    <t>E.C.H.O. CHARTER SCHOOL</t>
  </si>
  <si>
    <t>4026-07-000-000</t>
  </si>
  <si>
    <t>HIGHER GROUND ACADEMY</t>
  </si>
  <si>
    <t>4027-07-000-000</t>
  </si>
  <si>
    <t>ST. PAUL CITY SCHOOL</t>
  </si>
  <si>
    <t>4029-07-000-000</t>
  </si>
  <si>
    <t>ODYSSEY ACADEMY</t>
  </si>
  <si>
    <t>4030-07-000-000</t>
  </si>
  <si>
    <t>JENNINGS COMMUNITY LEARNING CENTER</t>
  </si>
  <si>
    <t>4031-07-000-000</t>
  </si>
  <si>
    <t>HARVEST PREP SCHOOL/SEED ACADEMY</t>
  </si>
  <si>
    <t>4032-07-000-000</t>
  </si>
  <si>
    <t>CONCORDIA CREATIVE LEARNING ACADEMY</t>
  </si>
  <si>
    <t>4035-07-000-000</t>
  </si>
  <si>
    <t>FACE TO FACE ACADEMY</t>
  </si>
  <si>
    <t>4036-07-000-000</t>
  </si>
  <si>
    <t>SOJOURNER TRUTH ACADEMY</t>
  </si>
  <si>
    <t>4038-07-000-000</t>
  </si>
  <si>
    <t>HIGH SCHOOL FOR RECORDING ARTS</t>
  </si>
  <si>
    <t>4039-07-000-000</t>
  </si>
  <si>
    <t>TWIN CITIES ACADEMY</t>
  </si>
  <si>
    <t>4042-07-000-000</t>
  </si>
  <si>
    <t>MATH &amp; SCIENCE ACADEMY</t>
  </si>
  <si>
    <t>4043-07-000-000</t>
  </si>
  <si>
    <t>LAKES AREA CHARTER SCHOOL</t>
  </si>
  <si>
    <t>4045-07-000-000</t>
  </si>
  <si>
    <t>Closed</t>
  </si>
  <si>
    <t>LAKE SUPERIOR HIGH SCHOOL</t>
  </si>
  <si>
    <t>4046-07-000-000</t>
  </si>
  <si>
    <t>GREAT RIVER EDUCATION CENTER</t>
  </si>
  <si>
    <t>4048-07-000-000</t>
  </si>
  <si>
    <t>NORTHWEST PASSAGE HIGH SCHOOL</t>
  </si>
  <si>
    <t>4049-07-000-000</t>
  </si>
  <si>
    <t>LAFAYETTE PUBLIC CHARTER SCHOOL</t>
  </si>
  <si>
    <t>4050-07-000-000</t>
  </si>
  <si>
    <t>FOUR DIRECTIONS CHARTER SCHOOLS</t>
  </si>
  <si>
    <t>4052-07-000-000</t>
  </si>
  <si>
    <t>NORTH LAKES ACADEMY</t>
  </si>
  <si>
    <t>4053-07-000-000</t>
  </si>
  <si>
    <t>LACRESCENT MONTESSORI ACADEMY</t>
  </si>
  <si>
    <t>4054-07-000-000</t>
  </si>
  <si>
    <t>NERSTRAND CHARTER SCHOOL</t>
  </si>
  <si>
    <t>4055-07-000-000</t>
  </si>
  <si>
    <t>ROCHESTER OFF-CAMPUS CHARTER HIGH</t>
  </si>
  <si>
    <t>4056-07-000-000</t>
  </si>
  <si>
    <t>EL COLEGIO CHARTER SCHOOL</t>
  </si>
  <si>
    <t>4057-07-000-000</t>
  </si>
  <si>
    <t>SCHOOLCRAFT LEARNING COMMUNITY CHTR</t>
  </si>
  <si>
    <t>4058-07-000-000</t>
  </si>
  <si>
    <t>CROSSLAKE COMMUNITY CHARTER SCHOOL</t>
  </si>
  <si>
    <t>4059-07-000-000</t>
  </si>
  <si>
    <t>STUDIO ACADEMY CHARTER SCHOOL</t>
  </si>
  <si>
    <t>4061-07-000-000</t>
  </si>
  <si>
    <t>RIVERWAY LEARNING COMMUNITY CHTR</t>
  </si>
  <si>
    <t>4064-07-000-000</t>
  </si>
  <si>
    <t>RIVERBEND ACADEMY</t>
  </si>
  <si>
    <t>4066-07-000-000</t>
  </si>
  <si>
    <t>AURORA CHARTER SCHOOL</t>
  </si>
  <si>
    <t>4067-07-000-000</t>
  </si>
  <si>
    <t>EXCELL ACADEMY CHARTER</t>
  </si>
  <si>
    <t>4068-07-000-000</t>
  </si>
  <si>
    <t>HOPE COMMUNITY ACADEMY</t>
  </si>
  <si>
    <t>4070-07-000-000</t>
  </si>
  <si>
    <t>ACADEMIA CESAR CHAVEZ CHARTER SCH.</t>
  </si>
  <si>
    <t>4073-07-000-000</t>
  </si>
  <si>
    <t>AFSA HIGH SCHOOL</t>
  </si>
  <si>
    <t>4074-07-000-000</t>
  </si>
  <si>
    <t>AVALON SCHOOL</t>
  </si>
  <si>
    <t>4075-07-000-000</t>
  </si>
  <si>
    <t>TWIN CITIES INTERNATIONAL ELEM SCH.</t>
  </si>
  <si>
    <t>4077-07-000-000</t>
  </si>
  <si>
    <t>MN INTERNATIONAL MIDDLE CHARTER</t>
  </si>
  <si>
    <t>4078-07-000-000</t>
  </si>
  <si>
    <t>FRIENDSHIP ACDMY OF FINE ARTS CHTR.</t>
  </si>
  <si>
    <t>4079-07-000-000</t>
  </si>
  <si>
    <t>PILLAGER AREA CHARTER SCHOOL</t>
  </si>
  <si>
    <t>4080-07-000-000</t>
  </si>
  <si>
    <t>DISCOVERY PUBLIC SCHOOL FARIBAULT</t>
  </si>
  <si>
    <t>4081-07-000-000</t>
  </si>
  <si>
    <t>BLUESKY CHARTER SCHOOL</t>
  </si>
  <si>
    <t>4082-07-000-000</t>
  </si>
  <si>
    <t>RIDGEWAY COMMUNITY SCHOOL</t>
  </si>
  <si>
    <t>4083-07-000-000</t>
  </si>
  <si>
    <t>NORTH SHORE COMMUNITY SCHOOL</t>
  </si>
  <si>
    <t>4084-07-000-000</t>
  </si>
  <si>
    <t>HARBOR CITY INTERNATIONAL CHARTER</t>
  </si>
  <si>
    <t>4085-07-000-000</t>
  </si>
  <si>
    <t>WOODSON INSTITUTE FOR EXCELLENCE CH</t>
  </si>
  <si>
    <t>4086-07-000-000</t>
  </si>
  <si>
    <t>SAGE ACADEMY CHARTER SCHOOL</t>
  </si>
  <si>
    <t>4087-07-000-000</t>
  </si>
  <si>
    <t>URBAN ACADEMY CHARTER SCHOOL</t>
  </si>
  <si>
    <t>4088-07-000-000</t>
  </si>
  <si>
    <t>NEW CITY SCHOOL</t>
  </si>
  <si>
    <t>4089-07-000-000</t>
  </si>
  <si>
    <t>PRAIRIE CREEK COMMUNITY SCHOOL</t>
  </si>
  <si>
    <t>4090-07-000-000</t>
  </si>
  <si>
    <t>ARTECH</t>
  </si>
  <si>
    <t>4091-07-000-000</t>
  </si>
  <si>
    <t>WATERSHED HIGH SCHOOL</t>
  </si>
  <si>
    <t>4092-07-000-000</t>
  </si>
  <si>
    <t>NEW CENTURY CHARTER SCHOOL</t>
  </si>
  <si>
    <t>4093-07-000-000</t>
  </si>
  <si>
    <t>TRIO WOLF CREEK DISTANCE LEARNING</t>
  </si>
  <si>
    <t>4095-07-000-000</t>
  </si>
  <si>
    <t>PARTNERSHIP ACADEMY, INC.</t>
  </si>
  <si>
    <t>4097-07-000-000</t>
  </si>
  <si>
    <t>NOVA CLASSICAL ACADEMY</t>
  </si>
  <si>
    <t>4098-07-000-000</t>
  </si>
  <si>
    <t>Closed*</t>
  </si>
  <si>
    <t>TAREK IBN ZIYAD ACADEMY</t>
  </si>
  <si>
    <t>4099-07-000-000</t>
  </si>
  <si>
    <t>GREAT EXPECTATIONS</t>
  </si>
  <si>
    <t>4100-07-000-000</t>
  </si>
  <si>
    <t>MINNESOTA INTERNSHIP CENTER</t>
  </si>
  <si>
    <t>4102-07-000-000</t>
  </si>
  <si>
    <t>HMONG COLLEGE PREP ACADEMY</t>
  </si>
  <si>
    <t>4103-07-000-000</t>
  </si>
  <si>
    <t>PALADIN ACADEMY</t>
  </si>
  <si>
    <t>4104-07-000-000</t>
  </si>
  <si>
    <t>GREAT RIVER SCHOOL</t>
  </si>
  <si>
    <t>4105-07-000-000</t>
  </si>
  <si>
    <t>TREKNORTH HIGH SCHOOL</t>
  </si>
  <si>
    <t>4106-07-000-000</t>
  </si>
  <si>
    <t>VOYAGEURS EXPEDITIONARY</t>
  </si>
  <si>
    <t>4107-07-000-000</t>
  </si>
  <si>
    <t>GENERAL JOHN VESSEY JR LEADERSHIP</t>
  </si>
  <si>
    <t>4108-07-000-000</t>
  </si>
  <si>
    <t>SOBRIETY HIGH</t>
  </si>
  <si>
    <t>4109-07-000-000</t>
  </si>
  <si>
    <t>MAIN STREET SCHOOL PERFORMING ARTS</t>
  </si>
  <si>
    <t>4110-07-000-000</t>
  </si>
  <si>
    <t>AUGSBURG FAIRVIEW ACADEMY</t>
  </si>
  <si>
    <t>4111-07-000-000</t>
  </si>
  <si>
    <t>ST PAUL CONSERVATORY PERFORMING ART</t>
  </si>
  <si>
    <t>4112-07-000-000</t>
  </si>
  <si>
    <t>FRASER ACADEMY</t>
  </si>
  <si>
    <t>4113-07-000-000</t>
  </si>
  <si>
    <t>PRESTIGE ACADEMY CHARTER SCHOOL</t>
  </si>
  <si>
    <t>4114-07-000-000</t>
  </si>
  <si>
    <t>MINNEAPOLIS ACADEMY CHARTER SCHOOL</t>
  </si>
  <si>
    <t>4115-07-000-000</t>
  </si>
  <si>
    <t>LAKES INTERNATIONAL LANGUAGE ADMY</t>
  </si>
  <si>
    <t>4116-07-000-000</t>
  </si>
  <si>
    <t>KALEIDOSCOPE CHARTER SCHOOL</t>
  </si>
  <si>
    <t>4118-07-000-000</t>
  </si>
  <si>
    <t>RIVER HEIGHTS CHARTER SCHOOL</t>
  </si>
  <si>
    <t>4119-07-000-000</t>
  </si>
  <si>
    <t>ST. CROIX PREPARATORY ACADEMY</t>
  </si>
  <si>
    <t>4120-07-000-000</t>
  </si>
  <si>
    <t>UBAH MEDICAL ACADEMY CHARTER SCHOOL</t>
  </si>
  <si>
    <t>4121-07-000-000</t>
  </si>
  <si>
    <t>EAGLE RIDGE ACADEMY CHARTER SCHOOL</t>
  </si>
  <si>
    <t>4122-07-000-000</t>
  </si>
  <si>
    <t>DAKOTA AREA COMMUNITY CHARTER SCH</t>
  </si>
  <si>
    <t>4123-07-000-000</t>
  </si>
  <si>
    <t>BEACON ACADEMY</t>
  </si>
  <si>
    <t>4124-07-000-000</t>
  </si>
  <si>
    <t>PRAIRIE SEEDS ACADEMY</t>
  </si>
  <si>
    <t>4126-07-000-000</t>
  </si>
  <si>
    <t>TEAM ACADEMY</t>
  </si>
  <si>
    <t>4127-07-000-000</t>
  </si>
  <si>
    <t>LIGHTHOUSE ACADEMY OF NATIONS</t>
  </si>
  <si>
    <t>4131-07-000-000</t>
  </si>
  <si>
    <t>TWIN CITIES ACADEMY HIGH SCHOOL</t>
  </si>
  <si>
    <t>4132-07-000-000</t>
  </si>
  <si>
    <t>BEACON PREPARATORY SCHOOL</t>
  </si>
  <si>
    <t>4133-07-000-000</t>
  </si>
  <si>
    <t>ROCHESTER MATH &amp; SCIENCE ACADEMY</t>
  </si>
  <si>
    <t>4135-07-000-000</t>
  </si>
  <si>
    <t>SWAN RIVER MONTESSORI CHARTER SCH</t>
  </si>
  <si>
    <t>4137-07-000-000</t>
  </si>
  <si>
    <t>MILROY AREA CHARTER SCHOOL</t>
  </si>
  <si>
    <t>4138-07-000-000</t>
  </si>
  <si>
    <t>LOVEWORKS ACADEMY FOR ARTS</t>
  </si>
  <si>
    <t>4139-07-000-000</t>
  </si>
  <si>
    <t>YINGHUA ACADEMY</t>
  </si>
  <si>
    <t>4140-07-000-000</t>
  </si>
  <si>
    <t>PAIDEIA ACADEMY CHARTER SCHOOL</t>
  </si>
  <si>
    <t>4141-07-000-000</t>
  </si>
  <si>
    <t>STRIDE ACADEMY CHARTER SCHOOL</t>
  </si>
  <si>
    <t>4142-07-000-000</t>
  </si>
  <si>
    <t>NEW MILLENNIUM ACADEMY CHARTER SCH</t>
  </si>
  <si>
    <t>4143-07-000-000</t>
  </si>
  <si>
    <t>GREEN ISLE COMMUNITY SCHOOL</t>
  </si>
  <si>
    <t>4144-07-000-000</t>
  </si>
  <si>
    <t>BIRCH GROVE COMMUNITY SCHOOL</t>
  </si>
  <si>
    <t>4145-07-000-000</t>
  </si>
  <si>
    <t>NORTHERN LIGHTS COMMUNITY SCHOOL</t>
  </si>
  <si>
    <t>4146-07-000-000</t>
  </si>
  <si>
    <t>MINNESOTA ONLINE HIGH SCHOOL</t>
  </si>
  <si>
    <t>4150-07-000-000</t>
  </si>
  <si>
    <t>EDVISIONS OFF CAMPUS SCHOOL</t>
  </si>
  <si>
    <t>4151-07-000-000</t>
  </si>
  <si>
    <t>TWIN CITIES GERMAN IMMERSION CHRTR</t>
  </si>
  <si>
    <t>4152-07-000-000</t>
  </si>
  <si>
    <t>DUGSI ACADEMY</t>
  </si>
  <si>
    <t>4153-07-000-000</t>
  </si>
  <si>
    <t>NAYTAHWAUSH COMMUNITY SCHOOL</t>
  </si>
  <si>
    <t>4155-07-000-000</t>
  </si>
  <si>
    <t>SEVEN HILLS CLASSICAL ACADEMY</t>
  </si>
  <si>
    <t>4159-07-000-000</t>
  </si>
  <si>
    <t>SPECTRUM HIGH SCHOOL</t>
  </si>
  <si>
    <t>4160-07-000-000</t>
  </si>
  <si>
    <t>NEW DISCOVERIES MONTESSORI ACADEMY</t>
  </si>
  <si>
    <t>4161-07-000-000</t>
  </si>
  <si>
    <t>SOUTHSIDE FAMILY CHARTER SCHOOL</t>
  </si>
  <si>
    <t>4162-07-000-000</t>
  </si>
  <si>
    <t>LEARNING FOR LEADERSHIP CHARTER</t>
  </si>
  <si>
    <t>4163-07-000-000</t>
  </si>
  <si>
    <t>LAURA JEFFREY ACADEMY CHARTER</t>
  </si>
  <si>
    <t>4164-07-000-000</t>
  </si>
  <si>
    <t>EAST RANGE ACADEMY OF TECH &amp;SCIENCE</t>
  </si>
  <si>
    <t>4166-07-000-000</t>
  </si>
  <si>
    <t>INTERNATIONAL SPANISH LANGUAGE ACAD</t>
  </si>
  <si>
    <t>4167-07-000-000</t>
  </si>
  <si>
    <t>GLACIAL HILLS ELEMENTARY</t>
  </si>
  <si>
    <t>4168-07-000-000</t>
  </si>
  <si>
    <t>STONEBRIDGE COMMUNITY SCHOOL</t>
  </si>
  <si>
    <t>4169-07-000-000</t>
  </si>
  <si>
    <t>HIAWATHA LEADERSHIP ACADEMY</t>
  </si>
  <si>
    <t>4170-07-000-000</t>
  </si>
  <si>
    <t>NOBLE ACADEMY</t>
  </si>
  <si>
    <t>4171-07-000-000</t>
  </si>
  <si>
    <t>CLARKFIELD CHARTER SCHOOL</t>
  </si>
  <si>
    <t>4172-07-000-000</t>
  </si>
  <si>
    <t>DUNWOODY ACADEMY</t>
  </si>
  <si>
    <t>4173-07-000-000</t>
  </si>
  <si>
    <t>PINE GROVE LEADERSHIP ACADEMY</t>
  </si>
  <si>
    <t>4174-07-000-000</t>
  </si>
  <si>
    <t>LONG TIENG ACADEMY</t>
  </si>
  <si>
    <t>4175-07-000-000</t>
  </si>
  <si>
    <t>MINISINAAKWAANG LEADERSHIP ACADEMY</t>
  </si>
  <si>
    <t>4177-07-000-000</t>
  </si>
  <si>
    <t>LINCOLN INTERNATIONAL SCHOOL</t>
  </si>
  <si>
    <t>4178-07-000-000</t>
  </si>
  <si>
    <t>EMILY O. GOODRIDGE-GREY ACCELERATED</t>
  </si>
  <si>
    <t>4180-07-000-000</t>
  </si>
  <si>
    <t>COMMUNITY SCHOOL OF EXCELLENCE</t>
  </si>
  <si>
    <t>4181-07-000-000</t>
  </si>
  <si>
    <t>QUEST ACADEMY</t>
  </si>
  <si>
    <t>4182-07-000-000</t>
  </si>
  <si>
    <t>LIONSGATE ACADEMY</t>
  </si>
  <si>
    <t>4183-07-000-000</t>
  </si>
  <si>
    <t>ASPEN ACADEMY</t>
  </si>
  <si>
    <t>4184-07-000-000</t>
  </si>
  <si>
    <t>DAVINCI ACADEMY</t>
  </si>
  <si>
    <t>4185-07-000-000</t>
  </si>
  <si>
    <t>GLOBAL ACADEMY</t>
  </si>
  <si>
    <t>4186-07-000-000</t>
  </si>
  <si>
    <t>NATURAL SCIENCE ACADEMY</t>
  </si>
  <si>
    <t>4187-07-000-000</t>
  </si>
  <si>
    <t>COLOGNE ACADEMY</t>
  </si>
  <si>
    <t>4188-07-000-000</t>
  </si>
  <si>
    <t>BRIGHT WATER ELEMENTARY</t>
  </si>
  <si>
    <t>4189-07-000-000</t>
  </si>
  <si>
    <t>RIVER'S EDGE ACADEMY</t>
  </si>
  <si>
    <t>4190-07-000-000</t>
  </si>
  <si>
    <t>KIPP MINNESOTA CHARTER SCHOOL</t>
  </si>
  <si>
    <t>4191-07-000-000</t>
  </si>
  <si>
    <t>BEST ACADEMY</t>
  </si>
  <si>
    <t>4192-07-000-000</t>
  </si>
  <si>
    <t>COLLEGE PREPARATORY ELEMENTARY</t>
  </si>
  <si>
    <t>4193-07-000-000</t>
  </si>
  <si>
    <t>CANNON RIVER STEM SCHOOL</t>
  </si>
  <si>
    <t>4194-07-000-000</t>
  </si>
  <si>
    <t>OSHKI OGIMAAG CHARTER SCHOOL</t>
  </si>
  <si>
    <t>4195-07-000-000</t>
  </si>
  <si>
    <t>RICHARD ALLEN MATH&amp;SCIENCE ACADEMY</t>
  </si>
  <si>
    <t>4196-07-000-000</t>
  </si>
  <si>
    <t>ACADEMY OF NORTH MINNEAPOLIS</t>
  </si>
  <si>
    <t>4197-07-000-000</t>
  </si>
  <si>
    <t>FRESHWATER ED. DIST.</t>
  </si>
  <si>
    <t>6004-61-000-000</t>
  </si>
  <si>
    <t>ZUMBRO EDUCATION DISTRICT</t>
  </si>
  <si>
    <t>6012-61-000-000</t>
  </si>
  <si>
    <t>HIAWATHA VALLEY ED. DISTRICT</t>
  </si>
  <si>
    <t>6013-61-000-000</t>
  </si>
  <si>
    <t>RUNESTONE AREA ED. DISTRICT</t>
  </si>
  <si>
    <t>6014-61-000-000</t>
  </si>
  <si>
    <t>MN RIVER VALLEY EDUCATION DISTRICT</t>
  </si>
  <si>
    <t>6018-61-000-000</t>
  </si>
  <si>
    <t>WEST CENTRAL EDUCATION DISTRICT</t>
  </si>
  <si>
    <t>6026-61-000-000</t>
  </si>
  <si>
    <t>MN VALLEY EDUCATION DISTRICT</t>
  </si>
  <si>
    <t>6027-61-000-000</t>
  </si>
  <si>
    <t>RIVER BEND EDUCATION DISTRICT</t>
  </si>
  <si>
    <t>6049-61-000-000</t>
  </si>
  <si>
    <t>GOODHUE COUNTY EDUCATION  DIST.</t>
  </si>
  <si>
    <t>6051-61-000-000</t>
  </si>
  <si>
    <t>EAST METRO INTEGRATION DISTRICT</t>
  </si>
  <si>
    <t>6067-62-000-000</t>
  </si>
  <si>
    <t>WEST METRO EDUCATION PROGRAM</t>
  </si>
  <si>
    <t>6069-62-000-000</t>
  </si>
  <si>
    <t>VALLEY CROSSING COMMUNITY SCHOOL</t>
  </si>
  <si>
    <t>6072-62-000-000</t>
  </si>
  <si>
    <t>CENTRAL MINNESOTA JT. POWERS DIST.</t>
  </si>
  <si>
    <t>6074-50-000-000</t>
  </si>
  <si>
    <t>NORTHLAND LEARNING CENTER</t>
  </si>
  <si>
    <t>6076-50-000-000</t>
  </si>
  <si>
    <t>RUM RIVER SPECIAL EDUCATION COOP</t>
  </si>
  <si>
    <t>6079-52-000-000</t>
  </si>
  <si>
    <t>INFINITY:MINNESOTA  DIGITAL ACADEMY</t>
  </si>
  <si>
    <t>6080-50-000-000</t>
  </si>
  <si>
    <t>BENTON-STEARNS ED. DISTRICT</t>
  </si>
  <si>
    <t>6383-61-000-000</t>
  </si>
  <si>
    <t>MID STATE EDUCATION DISTRICT</t>
  </si>
  <si>
    <t>6979-61-000-000</t>
  </si>
  <si>
    <t>SET ASIDE FOR ADMINISTRATION</t>
  </si>
  <si>
    <t>** change admin to 70,000</t>
  </si>
  <si>
    <t>`</t>
  </si>
  <si>
    <t>Previous Total Allocation</t>
  </si>
  <si>
    <t>Current Award Increase Amount</t>
  </si>
  <si>
    <t>Cumulative Award Amount</t>
  </si>
  <si>
    <t>Set Aside for Admin</t>
  </si>
  <si>
    <t>Net Amount to Allocate</t>
  </si>
  <si>
    <t>Set Aside for Closed Charter Schools</t>
  </si>
  <si>
    <t>Adjusted Net Amount to Allocate</t>
  </si>
  <si>
    <t>Allocation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</si>
</sst>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00000000_);_(* \(#,##0.000000000\);_(* &quot;-&quot;??_);_(@_)"/>
    <numFmt numFmtId="167" formatCode="0_);\(0\)"/>
  </numFmts>
  <fonts count="18" x14ac:knownFonts="1">
    <font>
      <sz val="10"/>
      <color theme="1"/>
      <name val="Arial"/>
      <family val="2"/>
    </font>
    <font>
      <sz val="10"/>
      <name val="Arial"/>
      <family val="2"/>
    </font>
    <font>
      <strike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.5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i/>
      <sz val="10"/>
      <color rgb="FFFF0000"/>
      <name val="Arial"/>
      <family val="2"/>
    </font>
    <font>
      <sz val="10"/>
      <color rgb="FF0070C0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Calibri"/>
      <family val="2"/>
      <scheme val="minor"/>
    </font>
    <font>
      <b/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" fillId="0" borderId="0"/>
    <xf numFmtId="167" fontId="8" fillId="0" borderId="0"/>
    <xf numFmtId="0" fontId="12" fillId="0" borderId="0"/>
    <xf numFmtId="39" fontId="9" fillId="0" borderId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96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0" xfId="0" applyBorder="1" applyAlignment="1">
      <alignment horizontal="right"/>
    </xf>
    <xf numFmtId="0" fontId="0" fillId="0" borderId="0" xfId="0" quotePrefix="1" applyBorder="1" applyAlignment="1">
      <alignment horizontal="right"/>
    </xf>
    <xf numFmtId="0" fontId="13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14" fillId="0" borderId="0" xfId="0" applyNumberFormat="1" applyFont="1" applyFill="1" applyAlignment="1">
      <alignment horizontal="center"/>
    </xf>
    <xf numFmtId="0" fontId="1" fillId="0" borderId="1" xfId="6" applyFont="1" applyBorder="1" applyAlignment="1">
      <alignment horizontal="center"/>
    </xf>
    <xf numFmtId="0" fontId="2" fillId="0" borderId="0" xfId="6" applyFont="1" applyAlignment="1">
      <alignment horizontal="center"/>
    </xf>
    <xf numFmtId="0" fontId="1" fillId="0" borderId="0" xfId="6" applyAlignment="1">
      <alignment horizontal="center"/>
    </xf>
    <xf numFmtId="0" fontId="1" fillId="0" borderId="0" xfId="6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Border="1"/>
    <xf numFmtId="0" fontId="1" fillId="0" borderId="0" xfId="6" applyAlignment="1">
      <alignment horizontal="right"/>
    </xf>
    <xf numFmtId="0" fontId="1" fillId="0" borderId="0" xfId="6" applyFont="1" applyFill="1" applyAlignment="1">
      <alignment horizontal="center"/>
    </xf>
    <xf numFmtId="0" fontId="1" fillId="0" borderId="1" xfId="6" applyBorder="1" applyAlignment="1">
      <alignment horizontal="center"/>
    </xf>
    <xf numFmtId="0" fontId="14" fillId="0" borderId="0" xfId="6" applyFont="1" applyFill="1" applyAlignment="1">
      <alignment horizontal="center"/>
    </xf>
    <xf numFmtId="0" fontId="1" fillId="0" borderId="0" xfId="6" applyBorder="1" applyAlignment="1">
      <alignment horizontal="center"/>
    </xf>
    <xf numFmtId="0" fontId="2" fillId="0" borderId="0" xfId="6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2" xfId="6" applyBorder="1" applyAlignment="1">
      <alignment horizontal="center"/>
    </xf>
    <xf numFmtId="0" fontId="1" fillId="0" borderId="2" xfId="6" applyFont="1" applyBorder="1" applyAlignment="1">
      <alignment horizontal="center"/>
    </xf>
    <xf numFmtId="0" fontId="1" fillId="0" borderId="3" xfId="6" applyFont="1" applyBorder="1" applyAlignment="1">
      <alignment horizontal="center"/>
    </xf>
    <xf numFmtId="0" fontId="1" fillId="0" borderId="2" xfId="6" applyFill="1" applyBorder="1" applyAlignment="1">
      <alignment horizontal="center"/>
    </xf>
    <xf numFmtId="43" fontId="11" fillId="0" borderId="2" xfId="1" applyFont="1" applyBorder="1" applyAlignment="1">
      <alignment horizontal="center"/>
    </xf>
    <xf numFmtId="0" fontId="1" fillId="0" borderId="3" xfId="6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/>
    <xf numFmtId="0" fontId="1" fillId="0" borderId="1" xfId="6" applyBorder="1"/>
    <xf numFmtId="0" fontId="1" fillId="0" borderId="0" xfId="6" applyBorder="1"/>
    <xf numFmtId="164" fontId="0" fillId="0" borderId="0" xfId="0" applyNumberFormat="1"/>
    <xf numFmtId="164" fontId="0" fillId="0" borderId="1" xfId="0" applyNumberFormat="1" applyBorder="1"/>
    <xf numFmtId="43" fontId="11" fillId="0" borderId="0" xfId="1" applyFont="1"/>
    <xf numFmtId="43" fontId="11" fillId="0" borderId="0" xfId="1" applyFont="1" applyFill="1"/>
    <xf numFmtId="43" fontId="11" fillId="0" borderId="0" xfId="1" applyNumberFormat="1" applyFont="1"/>
    <xf numFmtId="9" fontId="11" fillId="0" borderId="1" xfId="10" applyFont="1" applyBorder="1"/>
    <xf numFmtId="165" fontId="11" fillId="0" borderId="0" xfId="10" applyNumberFormat="1" applyFont="1"/>
    <xf numFmtId="43" fontId="11" fillId="0" borderId="1" xfId="1" applyFont="1" applyBorder="1"/>
    <xf numFmtId="0" fontId="15" fillId="0" borderId="0" xfId="0" applyFont="1" applyAlignment="1">
      <alignment horizontal="right"/>
    </xf>
    <xf numFmtId="0" fontId="15" fillId="0" borderId="0" xfId="0" applyFont="1"/>
    <xf numFmtId="0" fontId="15" fillId="0" borderId="1" xfId="0" applyFont="1" applyBorder="1"/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/>
    </xf>
    <xf numFmtId="43" fontId="15" fillId="0" borderId="0" xfId="1" applyFont="1" applyAlignment="1">
      <alignment horizontal="center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43" fontId="16" fillId="0" borderId="0" xfId="4" applyFont="1" applyAlignment="1">
      <alignment horizontal="right" wrapText="1"/>
    </xf>
    <xf numFmtId="164" fontId="5" fillId="0" borderId="0" xfId="1" applyNumberFormat="1" applyFont="1" applyAlignment="1">
      <alignment horizontal="center"/>
    </xf>
    <xf numFmtId="43" fontId="11" fillId="0" borderId="1" xfId="1" applyFont="1" applyBorder="1" applyAlignment="1">
      <alignment horizontal="center"/>
    </xf>
    <xf numFmtId="43" fontId="11" fillId="0" borderId="0" xfId="1" applyNumberFormat="1" applyFont="1" applyAlignment="1">
      <alignment horizontal="right"/>
    </xf>
    <xf numFmtId="43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0" borderId="1" xfId="0" applyFill="1" applyBorder="1"/>
    <xf numFmtId="0" fontId="1" fillId="0" borderId="1" xfId="0" applyFont="1" applyBorder="1"/>
    <xf numFmtId="0" fontId="1" fillId="0" borderId="0" xfId="0" applyFont="1" applyAlignment="1">
      <alignment horizontal="right"/>
    </xf>
    <xf numFmtId="164" fontId="1" fillId="0" borderId="0" xfId="1" applyNumberFormat="1" applyFont="1" applyAlignment="1">
      <alignment horizontal="center"/>
    </xf>
    <xf numFmtId="43" fontId="1" fillId="0" borderId="1" xfId="1" applyFont="1" applyBorder="1" applyAlignment="1">
      <alignment horizontal="center"/>
    </xf>
    <xf numFmtId="43" fontId="1" fillId="0" borderId="0" xfId="1" applyFont="1"/>
    <xf numFmtId="43" fontId="1" fillId="0" borderId="0" xfId="1" applyFont="1" applyFill="1"/>
    <xf numFmtId="43" fontId="1" fillId="0" borderId="0" xfId="1" applyNumberFormat="1" applyFont="1" applyAlignment="1">
      <alignment horizontal="right"/>
    </xf>
    <xf numFmtId="9" fontId="1" fillId="0" borderId="1" xfId="10" applyFont="1" applyBorder="1"/>
    <xf numFmtId="165" fontId="1" fillId="0" borderId="0" xfId="10" applyNumberFormat="1" applyFont="1"/>
    <xf numFmtId="43" fontId="1" fillId="0" borderId="0" xfId="0" applyNumberFormat="1" applyFont="1"/>
    <xf numFmtId="0" fontId="1" fillId="0" borderId="0" xfId="0" applyFont="1" applyFill="1"/>
    <xf numFmtId="0" fontId="1" fillId="0" borderId="1" xfId="0" applyFont="1" applyFill="1" applyBorder="1"/>
    <xf numFmtId="0" fontId="1" fillId="0" borderId="0" xfId="0" applyFont="1" applyFill="1" applyAlignment="1">
      <alignment horizontal="right"/>
    </xf>
    <xf numFmtId="43" fontId="1" fillId="0" borderId="1" xfId="1" applyFont="1" applyFill="1" applyBorder="1" applyAlignment="1">
      <alignment horizontal="center"/>
    </xf>
    <xf numFmtId="43" fontId="1" fillId="0" borderId="0" xfId="1" applyNumberFormat="1" applyFont="1" applyFill="1" applyAlignment="1">
      <alignment horizontal="right"/>
    </xf>
    <xf numFmtId="9" fontId="1" fillId="0" borderId="1" xfId="10" applyFont="1" applyFill="1" applyBorder="1"/>
    <xf numFmtId="165" fontId="1" fillId="0" borderId="0" xfId="10" applyNumberFormat="1" applyFont="1" applyFill="1"/>
    <xf numFmtId="0" fontId="0" fillId="0" borderId="0" xfId="0" applyFill="1" applyAlignment="1">
      <alignment horizontal="right"/>
    </xf>
    <xf numFmtId="164" fontId="11" fillId="0" borderId="0" xfId="1" applyNumberFormat="1" applyFont="1" applyAlignment="1">
      <alignment horizontal="center"/>
    </xf>
    <xf numFmtId="43" fontId="11" fillId="0" borderId="0" xfId="1" applyFont="1" applyAlignment="1">
      <alignment horizontal="center"/>
    </xf>
    <xf numFmtId="164" fontId="11" fillId="0" borderId="0" xfId="1" applyNumberFormat="1" applyFont="1"/>
    <xf numFmtId="43" fontId="17" fillId="3" borderId="0" xfId="1" applyFont="1" applyFill="1"/>
    <xf numFmtId="43" fontId="17" fillId="0" borderId="0" xfId="1" applyFont="1" applyFill="1"/>
    <xf numFmtId="0" fontId="0" fillId="0" borderId="4" xfId="0" applyBorder="1"/>
    <xf numFmtId="0" fontId="0" fillId="0" borderId="5" xfId="0" applyBorder="1"/>
    <xf numFmtId="43" fontId="11" fillId="0" borderId="6" xfId="1" applyFont="1" applyBorder="1"/>
    <xf numFmtId="43" fontId="11" fillId="0" borderId="0" xfId="1" applyFont="1" applyBorder="1"/>
    <xf numFmtId="0" fontId="0" fillId="0" borderId="7" xfId="0" applyBorder="1"/>
    <xf numFmtId="43" fontId="11" fillId="0" borderId="8" xfId="1" applyFont="1" applyBorder="1"/>
    <xf numFmtId="164" fontId="0" fillId="0" borderId="8" xfId="0" applyNumberFormat="1" applyBorder="1"/>
    <xf numFmtId="0" fontId="0" fillId="0" borderId="9" xfId="0" applyBorder="1"/>
    <xf numFmtId="166" fontId="0" fillId="0" borderId="10" xfId="0" applyNumberFormat="1" applyBorder="1"/>
    <xf numFmtId="0" fontId="15" fillId="0" borderId="0" xfId="0" applyFont="1" applyAlignment="1">
      <alignment horizontal="center"/>
    </xf>
    <xf numFmtId="0" fontId="10" fillId="0" borderId="0" xfId="6" applyFont="1" applyAlignment="1">
      <alignment horizontal="center"/>
    </xf>
    <xf numFmtId="0" fontId="10" fillId="0" borderId="2" xfId="6" applyFont="1" applyBorder="1" applyAlignment="1">
      <alignment horizontal="center"/>
    </xf>
    <xf numFmtId="43" fontId="10" fillId="0" borderId="0" xfId="1" applyFont="1"/>
    <xf numFmtId="0" fontId="1" fillId="0" borderId="1" xfId="0" quotePrefix="1" applyFont="1" applyBorder="1" applyAlignment="1">
      <alignment horizontal="center"/>
    </xf>
  </cellXfs>
  <cellStyles count="14">
    <cellStyle name="Comma" xfId="1" builtinId="3"/>
    <cellStyle name="Comma 2" xfId="2"/>
    <cellStyle name="Comma 3" xfId="3"/>
    <cellStyle name="Comma 4" xfId="4"/>
    <cellStyle name="Currency 2" xfId="5"/>
    <cellStyle name="Normal" xfId="0" builtinId="0"/>
    <cellStyle name="Normal 2" xfId="6"/>
    <cellStyle name="Normal 3" xfId="7"/>
    <cellStyle name="Normal 4" xfId="8"/>
    <cellStyle name="Normal 5" xfId="9"/>
    <cellStyle name="Percent" xfId="10" builtinId="5"/>
    <cellStyle name="Percent 2" xfId="11"/>
    <cellStyle name="Percent 3" xfId="12"/>
    <cellStyle name="Percent 4" xfId="13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GeorgeH\Local%20Settings\Temporary%20Internet%20Files\Content.Outlook\PPD3YD5W\Education%20Jobs%20Fund%20Allocation-Final%20Actual-Feb%2028%20IDE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0% to Load"/>
      <sheetName val="Summary-to post"/>
      <sheetName val="Summary-in house"/>
      <sheetName val="Build Detail"/>
      <sheetName val="JOBS MAR 15"/>
      <sheetName val="Orgunit &amp; student data"/>
      <sheetName val="IDEAS gened"/>
      <sheetName val="IDEAS shared time"/>
      <sheetName val="IDEAS private contract alt"/>
      <sheetName val="IDEAS online learning"/>
      <sheetName val="IDEAS county apportionment"/>
      <sheetName val="IDEAS tax shift"/>
      <sheetName val="IDEAS special ed regular"/>
      <sheetName val="IDEAS special ed excess cost"/>
      <sheetName val="Load 100% amount to SERVS"/>
      <sheetName val="Ed Jobs Application List"/>
    </sheetNames>
    <sheetDataSet>
      <sheetData sheetId="0"/>
      <sheetData sheetId="1"/>
      <sheetData sheetId="2"/>
      <sheetData sheetId="3">
        <row r="4">
          <cell r="D4">
            <v>1</v>
          </cell>
          <cell r="H4">
            <v>1289.43</v>
          </cell>
          <cell r="Q4">
            <v>8338990.6000000006</v>
          </cell>
          <cell r="T4">
            <v>796714.52</v>
          </cell>
        </row>
        <row r="5">
          <cell r="D5">
            <v>1.2</v>
          </cell>
          <cell r="H5">
            <v>33142.879999999997</v>
          </cell>
          <cell r="Q5">
            <v>230986152.06</v>
          </cell>
          <cell r="T5">
            <v>50519343.949999996</v>
          </cell>
        </row>
        <row r="6">
          <cell r="D6">
            <v>2</v>
          </cell>
          <cell r="H6">
            <v>298.67</v>
          </cell>
          <cell r="Q6">
            <v>2531361.7300000004</v>
          </cell>
          <cell r="T6">
            <v>309875.95</v>
          </cell>
        </row>
        <row r="7">
          <cell r="D7">
            <v>4</v>
          </cell>
          <cell r="H7">
            <v>381.9</v>
          </cell>
          <cell r="Q7">
            <v>3271273.85</v>
          </cell>
          <cell r="T7">
            <v>180991.09999999998</v>
          </cell>
        </row>
        <row r="8">
          <cell r="D8">
            <v>6</v>
          </cell>
          <cell r="H8">
            <v>3231.8</v>
          </cell>
          <cell r="Q8">
            <v>19372628.490000002</v>
          </cell>
          <cell r="T8">
            <v>2431581.35</v>
          </cell>
        </row>
        <row r="9">
          <cell r="D9">
            <v>11</v>
          </cell>
          <cell r="H9">
            <v>38058.21</v>
          </cell>
          <cell r="Q9">
            <v>213876065.53</v>
          </cell>
          <cell r="T9">
            <v>43226092.410000004</v>
          </cell>
        </row>
        <row r="10">
          <cell r="D10">
            <v>12</v>
          </cell>
          <cell r="H10">
            <v>6527.82</v>
          </cell>
          <cell r="Q10">
            <v>38940333.219999999</v>
          </cell>
          <cell r="T10">
            <v>7616698.8599999994</v>
          </cell>
        </row>
        <row r="11">
          <cell r="D11">
            <v>13</v>
          </cell>
          <cell r="H11">
            <v>3001.3</v>
          </cell>
          <cell r="Q11">
            <v>21151044.869999997</v>
          </cell>
          <cell r="T11">
            <v>2725199.65</v>
          </cell>
        </row>
        <row r="12">
          <cell r="D12">
            <v>14</v>
          </cell>
          <cell r="H12">
            <v>2869.37</v>
          </cell>
          <cell r="Q12">
            <v>18133659.469999999</v>
          </cell>
          <cell r="T12">
            <v>3615816.27</v>
          </cell>
        </row>
        <row r="13">
          <cell r="D13">
            <v>15</v>
          </cell>
          <cell r="H13">
            <v>5116.4399999999996</v>
          </cell>
          <cell r="Q13">
            <v>31387272.550000001</v>
          </cell>
          <cell r="T13">
            <v>6386147.04</v>
          </cell>
        </row>
        <row r="14">
          <cell r="D14">
            <v>16</v>
          </cell>
          <cell r="H14">
            <v>4853.82</v>
          </cell>
          <cell r="Q14">
            <v>27988865.489999998</v>
          </cell>
          <cell r="T14">
            <v>3270162.16</v>
          </cell>
        </row>
        <row r="15">
          <cell r="D15">
            <v>22</v>
          </cell>
          <cell r="H15">
            <v>2771.51</v>
          </cell>
          <cell r="Q15">
            <v>17732371.080000002</v>
          </cell>
          <cell r="T15">
            <v>3009498.7800000003</v>
          </cell>
        </row>
        <row r="16">
          <cell r="D16">
            <v>23</v>
          </cell>
          <cell r="H16">
            <v>899.25</v>
          </cell>
          <cell r="Q16">
            <v>5635175.040000001</v>
          </cell>
          <cell r="T16">
            <v>518971.37</v>
          </cell>
        </row>
        <row r="17">
          <cell r="D17">
            <v>25</v>
          </cell>
          <cell r="H17">
            <v>59.24</v>
          </cell>
          <cell r="Q17">
            <v>638444.5</v>
          </cell>
          <cell r="T17">
            <v>143577.48000000001</v>
          </cell>
        </row>
        <row r="18">
          <cell r="D18">
            <v>31</v>
          </cell>
          <cell r="H18">
            <v>4886.09</v>
          </cell>
          <cell r="Q18">
            <v>33252354.93</v>
          </cell>
          <cell r="T18">
            <v>5913995.0800000001</v>
          </cell>
        </row>
        <row r="19">
          <cell r="D19">
            <v>32</v>
          </cell>
          <cell r="H19">
            <v>620.34</v>
          </cell>
          <cell r="Q19">
            <v>4664630.25</v>
          </cell>
          <cell r="T19">
            <v>813207.98</v>
          </cell>
        </row>
        <row r="20">
          <cell r="D20">
            <v>36</v>
          </cell>
          <cell r="H20">
            <v>230.11</v>
          </cell>
          <cell r="Q20">
            <v>2415002.61</v>
          </cell>
          <cell r="T20">
            <v>200729.29</v>
          </cell>
        </row>
        <row r="21">
          <cell r="D21">
            <v>38</v>
          </cell>
          <cell r="H21">
            <v>1323.8</v>
          </cell>
          <cell r="Q21">
            <v>14354322.370000001</v>
          </cell>
          <cell r="T21">
            <v>1119947.43</v>
          </cell>
        </row>
        <row r="22">
          <cell r="D22">
            <v>47</v>
          </cell>
          <cell r="H22">
            <v>3766.56</v>
          </cell>
          <cell r="Q22">
            <v>23388308.190000001</v>
          </cell>
          <cell r="T22">
            <v>3433058.3200000003</v>
          </cell>
        </row>
        <row r="23">
          <cell r="D23">
            <v>51</v>
          </cell>
          <cell r="H23">
            <v>1741.07</v>
          </cell>
          <cell r="Q23">
            <v>11059157.779999999</v>
          </cell>
          <cell r="T23">
            <v>1179104.94</v>
          </cell>
        </row>
        <row r="24">
          <cell r="D24">
            <v>75</v>
          </cell>
          <cell r="H24">
            <v>596.35</v>
          </cell>
          <cell r="Q24">
            <v>3607886.0599999996</v>
          </cell>
          <cell r="T24">
            <v>272089.53000000003</v>
          </cell>
        </row>
        <row r="25">
          <cell r="D25">
            <v>77</v>
          </cell>
          <cell r="H25">
            <v>7373.98</v>
          </cell>
          <cell r="Q25">
            <v>43125435.57</v>
          </cell>
          <cell r="T25">
            <v>7833374.9100000001</v>
          </cell>
        </row>
        <row r="26">
          <cell r="D26">
            <v>81</v>
          </cell>
          <cell r="H26">
            <v>162.44</v>
          </cell>
          <cell r="Q26">
            <v>1136730.26</v>
          </cell>
          <cell r="T26">
            <v>102727.66</v>
          </cell>
        </row>
        <row r="27">
          <cell r="D27">
            <v>84</v>
          </cell>
          <cell r="H27">
            <v>587.45000000000005</v>
          </cell>
          <cell r="Q27">
            <v>4137348.2899999991</v>
          </cell>
          <cell r="T27">
            <v>403932.88</v>
          </cell>
        </row>
        <row r="28">
          <cell r="D28">
            <v>85</v>
          </cell>
          <cell r="H28">
            <v>587.07000000000005</v>
          </cell>
          <cell r="Q28">
            <v>4009899.0000000009</v>
          </cell>
          <cell r="T28">
            <v>290497.01</v>
          </cell>
        </row>
        <row r="29">
          <cell r="D29">
            <v>88</v>
          </cell>
          <cell r="H29">
            <v>2025.61</v>
          </cell>
          <cell r="Q29">
            <v>11419738.620000001</v>
          </cell>
          <cell r="T29">
            <v>1879245.99</v>
          </cell>
        </row>
        <row r="30">
          <cell r="D30">
            <v>91</v>
          </cell>
          <cell r="H30">
            <v>747.57</v>
          </cell>
          <cell r="Q30">
            <v>4734669.78</v>
          </cell>
          <cell r="T30">
            <v>761155.08</v>
          </cell>
        </row>
        <row r="31">
          <cell r="D31">
            <v>93</v>
          </cell>
          <cell r="H31">
            <v>498.96</v>
          </cell>
          <cell r="Q31">
            <v>2881527.39</v>
          </cell>
          <cell r="T31">
            <v>364826.43000000005</v>
          </cell>
        </row>
        <row r="32">
          <cell r="D32">
            <v>94</v>
          </cell>
          <cell r="H32">
            <v>2632.27</v>
          </cell>
          <cell r="Q32">
            <v>17566449.149999999</v>
          </cell>
          <cell r="T32">
            <v>2622419.7399999998</v>
          </cell>
        </row>
        <row r="33">
          <cell r="D33">
            <v>95</v>
          </cell>
          <cell r="H33">
            <v>299.18</v>
          </cell>
          <cell r="Q33">
            <v>2334262.7399999998</v>
          </cell>
          <cell r="T33">
            <v>111442.24000000001</v>
          </cell>
        </row>
        <row r="34">
          <cell r="D34">
            <v>97</v>
          </cell>
          <cell r="H34">
            <v>699.76</v>
          </cell>
          <cell r="Q34">
            <v>4401689.0200000005</v>
          </cell>
          <cell r="T34">
            <v>620844.46</v>
          </cell>
        </row>
        <row r="35">
          <cell r="D35">
            <v>99</v>
          </cell>
          <cell r="H35">
            <v>1198.96</v>
          </cell>
          <cell r="Q35">
            <v>7284068.7599999998</v>
          </cell>
          <cell r="T35">
            <v>600941.73</v>
          </cell>
        </row>
        <row r="36">
          <cell r="D36">
            <v>100</v>
          </cell>
          <cell r="H36">
            <v>345.34</v>
          </cell>
          <cell r="Q36">
            <v>2174827.58</v>
          </cell>
          <cell r="T36">
            <v>167093.85</v>
          </cell>
        </row>
        <row r="37">
          <cell r="D37">
            <v>108</v>
          </cell>
          <cell r="H37">
            <v>999.85</v>
          </cell>
          <cell r="Q37">
            <v>5533670.6400000006</v>
          </cell>
          <cell r="T37">
            <v>957326.72000000009</v>
          </cell>
        </row>
        <row r="38">
          <cell r="D38">
            <v>110</v>
          </cell>
          <cell r="H38">
            <v>3338.73</v>
          </cell>
          <cell r="Q38">
            <v>18074435.820000004</v>
          </cell>
          <cell r="T38">
            <v>2178492.38</v>
          </cell>
        </row>
        <row r="39">
          <cell r="D39">
            <v>111</v>
          </cell>
          <cell r="H39">
            <v>1590.07</v>
          </cell>
          <cell r="Q39">
            <v>8995704.910000002</v>
          </cell>
          <cell r="T39">
            <v>1212506.54</v>
          </cell>
        </row>
        <row r="40">
          <cell r="D40">
            <v>112</v>
          </cell>
          <cell r="H40">
            <v>9121.92</v>
          </cell>
          <cell r="Q40">
            <v>49369918.900000006</v>
          </cell>
          <cell r="T40">
            <v>7593271.1099999994</v>
          </cell>
        </row>
        <row r="41">
          <cell r="D41">
            <v>113</v>
          </cell>
          <cell r="H41">
            <v>799.61</v>
          </cell>
          <cell r="Q41">
            <v>5143908.0999999996</v>
          </cell>
          <cell r="T41">
            <v>734233.4</v>
          </cell>
        </row>
        <row r="42">
          <cell r="D42">
            <v>115</v>
          </cell>
          <cell r="H42">
            <v>1100.28</v>
          </cell>
          <cell r="Q42">
            <v>9694676.4200000018</v>
          </cell>
          <cell r="T42">
            <v>1895891.6400000001</v>
          </cell>
        </row>
        <row r="43">
          <cell r="D43">
            <v>116</v>
          </cell>
          <cell r="H43">
            <v>827.95</v>
          </cell>
          <cell r="Q43">
            <v>5218638.82</v>
          </cell>
          <cell r="T43">
            <v>681647.8</v>
          </cell>
        </row>
        <row r="44">
          <cell r="D44">
            <v>118</v>
          </cell>
          <cell r="H44">
            <v>389.47</v>
          </cell>
          <cell r="Q44">
            <v>3409921.3200000003</v>
          </cell>
          <cell r="T44">
            <v>756512.49</v>
          </cell>
        </row>
        <row r="45">
          <cell r="D45">
            <v>129</v>
          </cell>
          <cell r="H45">
            <v>1425.78</v>
          </cell>
          <cell r="Q45">
            <v>10119761.639999999</v>
          </cell>
          <cell r="T45">
            <v>1370022.4200000002</v>
          </cell>
        </row>
        <row r="46">
          <cell r="D46">
            <v>138</v>
          </cell>
          <cell r="H46">
            <v>3383.17</v>
          </cell>
          <cell r="Q46">
            <v>21925330.189999998</v>
          </cell>
          <cell r="T46">
            <v>3051583.99</v>
          </cell>
        </row>
        <row r="47">
          <cell r="D47">
            <v>139</v>
          </cell>
          <cell r="H47">
            <v>880.45</v>
          </cell>
          <cell r="Q47">
            <v>5354072.99</v>
          </cell>
          <cell r="T47">
            <v>524253.65</v>
          </cell>
        </row>
        <row r="48">
          <cell r="D48">
            <v>146</v>
          </cell>
          <cell r="H48">
            <v>842.28</v>
          </cell>
          <cell r="Q48">
            <v>5384191.3399999999</v>
          </cell>
          <cell r="T48">
            <v>480041.57</v>
          </cell>
        </row>
        <row r="49">
          <cell r="D49">
            <v>150</v>
          </cell>
          <cell r="H49">
            <v>921.39</v>
          </cell>
          <cell r="Q49">
            <v>6002186.4100000001</v>
          </cell>
          <cell r="T49">
            <v>352602.58</v>
          </cell>
        </row>
        <row r="50">
          <cell r="D50">
            <v>152</v>
          </cell>
          <cell r="H50">
            <v>5397.15</v>
          </cell>
          <cell r="Q50">
            <v>32555206.119999997</v>
          </cell>
          <cell r="T50">
            <v>7448531.3900000006</v>
          </cell>
        </row>
        <row r="51">
          <cell r="D51">
            <v>162</v>
          </cell>
          <cell r="H51">
            <v>1005.01</v>
          </cell>
          <cell r="Q51">
            <v>6894254.1699999999</v>
          </cell>
          <cell r="T51">
            <v>1116049.76</v>
          </cell>
        </row>
        <row r="52">
          <cell r="D52">
            <v>166</v>
          </cell>
          <cell r="H52">
            <v>475.38</v>
          </cell>
          <cell r="Q52">
            <v>3522534.8000000003</v>
          </cell>
          <cell r="T52">
            <v>344490.02</v>
          </cell>
        </row>
        <row r="53">
          <cell r="D53">
            <v>173</v>
          </cell>
          <cell r="H53">
            <v>482.81</v>
          </cell>
          <cell r="Q53">
            <v>3467505.82</v>
          </cell>
          <cell r="T53">
            <v>313348.5</v>
          </cell>
        </row>
        <row r="54">
          <cell r="D54">
            <v>177</v>
          </cell>
          <cell r="H54">
            <v>984.73</v>
          </cell>
          <cell r="Q54">
            <v>6267711.7000000011</v>
          </cell>
          <cell r="T54">
            <v>779866.21</v>
          </cell>
        </row>
        <row r="55">
          <cell r="D55">
            <v>181</v>
          </cell>
          <cell r="H55">
            <v>6532.67</v>
          </cell>
          <cell r="Q55">
            <v>41962537.280000001</v>
          </cell>
          <cell r="T55">
            <v>8654051.4000000004</v>
          </cell>
        </row>
        <row r="56">
          <cell r="D56">
            <v>182</v>
          </cell>
          <cell r="H56">
            <v>1208.78</v>
          </cell>
          <cell r="Q56">
            <v>7560759.6300000008</v>
          </cell>
          <cell r="T56">
            <v>1160506.3599999999</v>
          </cell>
        </row>
        <row r="57">
          <cell r="D57">
            <v>186</v>
          </cell>
          <cell r="H57">
            <v>1546.58</v>
          </cell>
          <cell r="Q57">
            <v>8932528.0299999993</v>
          </cell>
          <cell r="T57">
            <v>1139031.53</v>
          </cell>
        </row>
        <row r="58">
          <cell r="D58">
            <v>191</v>
          </cell>
          <cell r="H58">
            <v>9786.02</v>
          </cell>
          <cell r="Q58">
            <v>57285932.740000002</v>
          </cell>
          <cell r="T58">
            <v>12526056.42</v>
          </cell>
        </row>
        <row r="59">
          <cell r="D59">
            <v>192</v>
          </cell>
          <cell r="H59">
            <v>6522.3</v>
          </cell>
          <cell r="Q59">
            <v>40195969.050000004</v>
          </cell>
          <cell r="T59">
            <v>4583570.17</v>
          </cell>
        </row>
        <row r="60">
          <cell r="D60">
            <v>194</v>
          </cell>
          <cell r="H60">
            <v>11106.03</v>
          </cell>
          <cell r="Q60">
            <v>62585906.519999996</v>
          </cell>
          <cell r="T60">
            <v>9832033.6500000004</v>
          </cell>
        </row>
        <row r="61">
          <cell r="D61">
            <v>195</v>
          </cell>
          <cell r="H61">
            <v>572.36</v>
          </cell>
          <cell r="Q61">
            <v>3463885.65</v>
          </cell>
          <cell r="T61">
            <v>155944.15</v>
          </cell>
        </row>
        <row r="62">
          <cell r="D62">
            <v>196</v>
          </cell>
          <cell r="H62">
            <v>27098.78</v>
          </cell>
          <cell r="Q62">
            <v>148346061.69</v>
          </cell>
          <cell r="T62">
            <v>32735910.359999999</v>
          </cell>
        </row>
        <row r="63">
          <cell r="D63">
            <v>197</v>
          </cell>
          <cell r="H63">
            <v>4489.46</v>
          </cell>
          <cell r="Q63">
            <v>26008925.32</v>
          </cell>
          <cell r="T63">
            <v>4118904.99</v>
          </cell>
        </row>
        <row r="64">
          <cell r="D64">
            <v>199</v>
          </cell>
          <cell r="H64">
            <v>3769.63</v>
          </cell>
          <cell r="Q64">
            <v>21742811.439999998</v>
          </cell>
          <cell r="T64">
            <v>3235308.09</v>
          </cell>
        </row>
        <row r="65">
          <cell r="D65">
            <v>200</v>
          </cell>
          <cell r="H65">
            <v>4681.01</v>
          </cell>
          <cell r="Q65">
            <v>25031854.450000003</v>
          </cell>
          <cell r="T65">
            <v>3915771.9099999997</v>
          </cell>
        </row>
        <row r="66">
          <cell r="D66">
            <v>203</v>
          </cell>
          <cell r="H66">
            <v>797.57</v>
          </cell>
          <cell r="Q66">
            <v>5010230.6399999997</v>
          </cell>
          <cell r="T66">
            <v>536657.67000000004</v>
          </cell>
        </row>
        <row r="67">
          <cell r="D67">
            <v>204</v>
          </cell>
          <cell r="H67">
            <v>2144.85</v>
          </cell>
          <cell r="Q67">
            <v>13383858.460000001</v>
          </cell>
          <cell r="T67">
            <v>910031.49000000011</v>
          </cell>
        </row>
        <row r="68">
          <cell r="D68">
            <v>206</v>
          </cell>
          <cell r="H68">
            <v>3894.27</v>
          </cell>
          <cell r="Q68">
            <v>23046210.280000001</v>
          </cell>
          <cell r="T68">
            <v>4402531.87</v>
          </cell>
        </row>
        <row r="69">
          <cell r="D69">
            <v>207</v>
          </cell>
          <cell r="H69">
            <v>268.3</v>
          </cell>
          <cell r="Q69">
            <v>1558522.97</v>
          </cell>
          <cell r="T69">
            <v>94893.6</v>
          </cell>
        </row>
        <row r="70">
          <cell r="D70">
            <v>208</v>
          </cell>
          <cell r="H70">
            <v>147.34</v>
          </cell>
          <cell r="Q70">
            <v>811165.21000000008</v>
          </cell>
          <cell r="T70">
            <v>36415.089999999997</v>
          </cell>
        </row>
        <row r="71">
          <cell r="D71">
            <v>213</v>
          </cell>
          <cell r="H71">
            <v>807</v>
          </cell>
          <cell r="Q71">
            <v>5420849.4800000014</v>
          </cell>
          <cell r="T71">
            <v>509705.14</v>
          </cell>
        </row>
        <row r="72">
          <cell r="D72">
            <v>227</v>
          </cell>
          <cell r="H72">
            <v>892.46</v>
          </cell>
          <cell r="Q72">
            <v>5420023.7200000007</v>
          </cell>
          <cell r="T72">
            <v>434238.55000000005</v>
          </cell>
        </row>
        <row r="73">
          <cell r="D73">
            <v>229</v>
          </cell>
          <cell r="H73">
            <v>331.47</v>
          </cell>
          <cell r="Q73">
            <v>2143186.2099999995</v>
          </cell>
          <cell r="T73">
            <v>216337.98</v>
          </cell>
        </row>
        <row r="74">
          <cell r="D74">
            <v>238</v>
          </cell>
          <cell r="H74">
            <v>272.38</v>
          </cell>
          <cell r="Q74">
            <v>1750095.0899999999</v>
          </cell>
          <cell r="T74">
            <v>184522.06</v>
          </cell>
        </row>
        <row r="75">
          <cell r="D75">
            <v>239</v>
          </cell>
          <cell r="H75">
            <v>618.13</v>
          </cell>
          <cell r="Q75">
            <v>4155979.2499999991</v>
          </cell>
          <cell r="T75">
            <v>457883.57</v>
          </cell>
        </row>
        <row r="76">
          <cell r="D76">
            <v>241</v>
          </cell>
          <cell r="H76">
            <v>3154.87</v>
          </cell>
          <cell r="Q76">
            <v>21078540.760000002</v>
          </cell>
          <cell r="T76">
            <v>4704984.2</v>
          </cell>
        </row>
        <row r="77">
          <cell r="D77">
            <v>242</v>
          </cell>
          <cell r="H77">
            <v>498.81</v>
          </cell>
          <cell r="Q77">
            <v>3456472.7699999996</v>
          </cell>
          <cell r="T77">
            <v>288574.52</v>
          </cell>
        </row>
        <row r="78">
          <cell r="D78">
            <v>252</v>
          </cell>
          <cell r="H78">
            <v>1183.99</v>
          </cell>
          <cell r="Q78">
            <v>6878601.7799999993</v>
          </cell>
          <cell r="T78">
            <v>699602.78</v>
          </cell>
        </row>
        <row r="79">
          <cell r="D79">
            <v>253</v>
          </cell>
          <cell r="H79">
            <v>661.75</v>
          </cell>
          <cell r="Q79">
            <v>4148588.5499999989</v>
          </cell>
          <cell r="T79">
            <v>223744.68</v>
          </cell>
        </row>
        <row r="80">
          <cell r="D80">
            <v>255</v>
          </cell>
          <cell r="H80">
            <v>1226.3800000000001</v>
          </cell>
          <cell r="Q80">
            <v>7237496.1100000013</v>
          </cell>
          <cell r="T80">
            <v>495871.17</v>
          </cell>
        </row>
        <row r="81">
          <cell r="D81">
            <v>256</v>
          </cell>
          <cell r="H81">
            <v>2829.44</v>
          </cell>
          <cell r="Q81">
            <v>15768500.140000002</v>
          </cell>
          <cell r="T81">
            <v>3112716.36</v>
          </cell>
        </row>
        <row r="82">
          <cell r="D82">
            <v>261</v>
          </cell>
          <cell r="H82">
            <v>250.73</v>
          </cell>
          <cell r="Q82">
            <v>1543987.46</v>
          </cell>
          <cell r="T82">
            <v>114920.86</v>
          </cell>
        </row>
        <row r="83">
          <cell r="D83">
            <v>264</v>
          </cell>
          <cell r="H83">
            <v>102.57</v>
          </cell>
          <cell r="Q83">
            <v>1124531.7999999998</v>
          </cell>
          <cell r="T83">
            <v>63414.54</v>
          </cell>
        </row>
        <row r="84">
          <cell r="D84">
            <v>270</v>
          </cell>
          <cell r="H84">
            <v>7325.69</v>
          </cell>
          <cell r="Q84">
            <v>38475735.010000005</v>
          </cell>
          <cell r="T84">
            <v>7116651.0399999991</v>
          </cell>
        </row>
        <row r="85">
          <cell r="D85">
            <v>271</v>
          </cell>
          <cell r="H85">
            <v>10393.89</v>
          </cell>
          <cell r="Q85">
            <v>55167025.870000012</v>
          </cell>
          <cell r="T85">
            <v>10005417.199999999</v>
          </cell>
        </row>
        <row r="86">
          <cell r="D86">
            <v>272</v>
          </cell>
          <cell r="H86">
            <v>9714.35</v>
          </cell>
          <cell r="Q86">
            <v>51082073.240000002</v>
          </cell>
          <cell r="T86">
            <v>7907350.0099999998</v>
          </cell>
        </row>
        <row r="87">
          <cell r="D87">
            <v>273</v>
          </cell>
          <cell r="H87">
            <v>8262.7199999999993</v>
          </cell>
          <cell r="Q87">
            <v>42477260.409999996</v>
          </cell>
          <cell r="T87">
            <v>6983044.2299999995</v>
          </cell>
        </row>
        <row r="88">
          <cell r="D88">
            <v>276</v>
          </cell>
          <cell r="H88">
            <v>8634.2000000000007</v>
          </cell>
          <cell r="Q88">
            <v>43000205.559999995</v>
          </cell>
          <cell r="T88">
            <v>7166988.6699999999</v>
          </cell>
        </row>
        <row r="89">
          <cell r="D89">
            <v>277</v>
          </cell>
          <cell r="H89">
            <v>2236.0100000000002</v>
          </cell>
          <cell r="Q89">
            <v>10882735.720000001</v>
          </cell>
          <cell r="T89">
            <v>2213931.0100000002</v>
          </cell>
        </row>
        <row r="90">
          <cell r="D90">
            <v>278</v>
          </cell>
          <cell r="H90">
            <v>2765.63</v>
          </cell>
          <cell r="Q90">
            <v>14440222.99</v>
          </cell>
          <cell r="T90">
            <v>2199812.77</v>
          </cell>
        </row>
        <row r="91">
          <cell r="D91">
            <v>279</v>
          </cell>
          <cell r="H91">
            <v>20772.13</v>
          </cell>
          <cell r="Q91">
            <v>120004087.27</v>
          </cell>
          <cell r="T91">
            <v>24087939.030000001</v>
          </cell>
        </row>
        <row r="92">
          <cell r="D92">
            <v>280</v>
          </cell>
          <cell r="H92">
            <v>4155.8100000000004</v>
          </cell>
          <cell r="Q92">
            <v>26432482.690000001</v>
          </cell>
          <cell r="T92">
            <v>3514885</v>
          </cell>
        </row>
        <row r="93">
          <cell r="D93">
            <v>281</v>
          </cell>
          <cell r="H93">
            <v>12094.95</v>
          </cell>
          <cell r="Q93">
            <v>66930811.390000008</v>
          </cell>
          <cell r="T93">
            <v>9338334.9499999993</v>
          </cell>
        </row>
        <row r="94">
          <cell r="D94">
            <v>282</v>
          </cell>
          <cell r="H94">
            <v>1796.19</v>
          </cell>
          <cell r="Q94">
            <v>10379957.01</v>
          </cell>
          <cell r="T94">
            <v>1064659.3899999999</v>
          </cell>
        </row>
        <row r="95">
          <cell r="D95">
            <v>283</v>
          </cell>
          <cell r="H95">
            <v>4439.01</v>
          </cell>
          <cell r="Q95">
            <v>24306984.810000002</v>
          </cell>
          <cell r="T95">
            <v>3649663.9</v>
          </cell>
        </row>
        <row r="96">
          <cell r="D96">
            <v>284</v>
          </cell>
          <cell r="H96">
            <v>10511.85</v>
          </cell>
          <cell r="Q96">
            <v>51224679.280000001</v>
          </cell>
          <cell r="T96">
            <v>6381985.8899999997</v>
          </cell>
        </row>
        <row r="97">
          <cell r="D97">
            <v>286</v>
          </cell>
          <cell r="H97">
            <v>2238.14</v>
          </cell>
          <cell r="Q97">
            <v>17500164.279999997</v>
          </cell>
          <cell r="T97">
            <v>1481117.6099999999</v>
          </cell>
        </row>
        <row r="98">
          <cell r="D98">
            <v>287</v>
          </cell>
          <cell r="H98">
            <v>0</v>
          </cell>
          <cell r="Q98">
            <v>2027150.1199999999</v>
          </cell>
          <cell r="T98">
            <v>40014530.119999997</v>
          </cell>
        </row>
        <row r="99">
          <cell r="D99">
            <v>294</v>
          </cell>
          <cell r="H99">
            <v>1883.1</v>
          </cell>
          <cell r="Q99">
            <v>12934036.939999999</v>
          </cell>
          <cell r="T99">
            <v>892103.35</v>
          </cell>
        </row>
        <row r="100">
          <cell r="D100">
            <v>297</v>
          </cell>
          <cell r="H100">
            <v>307.67</v>
          </cell>
          <cell r="Q100">
            <v>1990630.4399999997</v>
          </cell>
          <cell r="T100">
            <v>195054.88</v>
          </cell>
        </row>
        <row r="101">
          <cell r="D101">
            <v>299</v>
          </cell>
          <cell r="H101">
            <v>732.79</v>
          </cell>
          <cell r="Q101">
            <v>4727796.82</v>
          </cell>
          <cell r="T101">
            <v>790619.69</v>
          </cell>
        </row>
        <row r="102">
          <cell r="D102">
            <v>300</v>
          </cell>
          <cell r="H102">
            <v>1281.27</v>
          </cell>
          <cell r="Q102">
            <v>8225347.8100000024</v>
          </cell>
          <cell r="T102">
            <v>1433234.1300000001</v>
          </cell>
        </row>
        <row r="103">
          <cell r="D103">
            <v>306</v>
          </cell>
          <cell r="H103">
            <v>244.88</v>
          </cell>
          <cell r="Q103">
            <v>1857044.6899999997</v>
          </cell>
          <cell r="T103">
            <v>309519.5</v>
          </cell>
        </row>
        <row r="104">
          <cell r="D104">
            <v>308</v>
          </cell>
          <cell r="H104">
            <v>513.54</v>
          </cell>
          <cell r="Q104">
            <v>3634102.0900000003</v>
          </cell>
          <cell r="T104">
            <v>332315.71000000002</v>
          </cell>
        </row>
        <row r="105">
          <cell r="D105">
            <v>309</v>
          </cell>
          <cell r="H105">
            <v>1524.92</v>
          </cell>
          <cell r="Q105">
            <v>9464788.8200000003</v>
          </cell>
          <cell r="T105">
            <v>1348142.65</v>
          </cell>
        </row>
        <row r="106">
          <cell r="D106">
            <v>314</v>
          </cell>
          <cell r="H106">
            <v>902.37</v>
          </cell>
          <cell r="Q106">
            <v>6064216.5200000005</v>
          </cell>
          <cell r="T106">
            <v>392808</v>
          </cell>
        </row>
        <row r="107">
          <cell r="D107">
            <v>316</v>
          </cell>
          <cell r="H107">
            <v>1079.1500000000001</v>
          </cell>
          <cell r="Q107">
            <v>7492414.0200000005</v>
          </cell>
          <cell r="T107">
            <v>1093180.17</v>
          </cell>
        </row>
        <row r="108">
          <cell r="D108">
            <v>317</v>
          </cell>
          <cell r="H108">
            <v>841.32</v>
          </cell>
          <cell r="Q108">
            <v>6278631.5500000007</v>
          </cell>
          <cell r="T108">
            <v>1220111.69</v>
          </cell>
        </row>
        <row r="109">
          <cell r="D109">
            <v>318</v>
          </cell>
          <cell r="H109">
            <v>3786.5</v>
          </cell>
          <cell r="Q109">
            <v>24857357.150000002</v>
          </cell>
          <cell r="T109">
            <v>3116501.6</v>
          </cell>
        </row>
        <row r="110">
          <cell r="D110">
            <v>319</v>
          </cell>
          <cell r="H110">
            <v>576.30999999999995</v>
          </cell>
          <cell r="Q110">
            <v>4109081.0599999996</v>
          </cell>
          <cell r="T110">
            <v>785937.02</v>
          </cell>
        </row>
        <row r="111">
          <cell r="D111">
            <v>323</v>
          </cell>
          <cell r="H111">
            <v>30</v>
          </cell>
          <cell r="Q111">
            <v>157167.01999999999</v>
          </cell>
          <cell r="T111">
            <v>-41991.590000000004</v>
          </cell>
        </row>
        <row r="112">
          <cell r="D112">
            <v>330</v>
          </cell>
          <cell r="H112">
            <v>332.62</v>
          </cell>
          <cell r="Q112">
            <v>2480788.46</v>
          </cell>
          <cell r="T112">
            <v>238596.23</v>
          </cell>
        </row>
        <row r="113">
          <cell r="D113">
            <v>332</v>
          </cell>
          <cell r="H113">
            <v>1790.48</v>
          </cell>
          <cell r="Q113">
            <v>11319740.439999999</v>
          </cell>
          <cell r="T113">
            <v>1165019.2699999998</v>
          </cell>
        </row>
        <row r="114">
          <cell r="D114">
            <v>333</v>
          </cell>
          <cell r="H114">
            <v>548.4</v>
          </cell>
          <cell r="Q114">
            <v>4044973.1300000004</v>
          </cell>
          <cell r="T114">
            <v>385429.42</v>
          </cell>
        </row>
        <row r="115">
          <cell r="D115">
            <v>345</v>
          </cell>
          <cell r="H115">
            <v>1467.13</v>
          </cell>
          <cell r="Q115">
            <v>8512036.7400000021</v>
          </cell>
          <cell r="T115">
            <v>843902.75</v>
          </cell>
        </row>
        <row r="116">
          <cell r="D116">
            <v>347</v>
          </cell>
          <cell r="H116">
            <v>3987.13</v>
          </cell>
          <cell r="Q116">
            <v>27680459.149999999</v>
          </cell>
          <cell r="T116">
            <v>3930697.1799999997</v>
          </cell>
        </row>
        <row r="117">
          <cell r="D117">
            <v>356</v>
          </cell>
          <cell r="H117">
            <v>167.33</v>
          </cell>
          <cell r="Q117">
            <v>1442761.87</v>
          </cell>
          <cell r="T117">
            <v>147705.47</v>
          </cell>
        </row>
        <row r="118">
          <cell r="D118">
            <v>361</v>
          </cell>
          <cell r="H118">
            <v>1261.3599999999999</v>
          </cell>
          <cell r="Q118">
            <v>7937518.8100000005</v>
          </cell>
          <cell r="T118">
            <v>775971</v>
          </cell>
        </row>
        <row r="119">
          <cell r="D119">
            <v>362</v>
          </cell>
          <cell r="H119">
            <v>309.91000000000003</v>
          </cell>
          <cell r="Q119">
            <v>2687949.51</v>
          </cell>
          <cell r="T119">
            <v>254177.01</v>
          </cell>
        </row>
        <row r="120">
          <cell r="D120">
            <v>363</v>
          </cell>
          <cell r="H120">
            <v>365.3</v>
          </cell>
          <cell r="Q120">
            <v>4054592.46</v>
          </cell>
          <cell r="T120">
            <v>444833.48</v>
          </cell>
        </row>
        <row r="121">
          <cell r="D121">
            <v>378</v>
          </cell>
          <cell r="H121">
            <v>506.38</v>
          </cell>
          <cell r="Q121">
            <v>3432135.9299999997</v>
          </cell>
          <cell r="T121">
            <v>486071.55000000005</v>
          </cell>
        </row>
        <row r="122">
          <cell r="D122">
            <v>381</v>
          </cell>
          <cell r="H122">
            <v>1355.36</v>
          </cell>
          <cell r="Q122">
            <v>9496462.6900000013</v>
          </cell>
          <cell r="T122">
            <v>1137185.25</v>
          </cell>
        </row>
        <row r="123">
          <cell r="D123">
            <v>390</v>
          </cell>
          <cell r="H123">
            <v>512.21</v>
          </cell>
          <cell r="Q123">
            <v>3924279.29</v>
          </cell>
          <cell r="T123">
            <v>432328.4</v>
          </cell>
        </row>
        <row r="124">
          <cell r="D124">
            <v>391</v>
          </cell>
          <cell r="H124">
            <v>418.31</v>
          </cell>
          <cell r="Q124">
            <v>2229405.0700000003</v>
          </cell>
          <cell r="T124">
            <v>175692.98</v>
          </cell>
        </row>
        <row r="125">
          <cell r="D125">
            <v>392</v>
          </cell>
          <cell r="H125">
            <v>629.34</v>
          </cell>
          <cell r="Q125">
            <v>4084697.19</v>
          </cell>
          <cell r="T125">
            <v>375034.97</v>
          </cell>
        </row>
        <row r="126">
          <cell r="D126">
            <v>394</v>
          </cell>
          <cell r="H126">
            <v>1136.28</v>
          </cell>
          <cell r="Q126">
            <v>6567505.25</v>
          </cell>
          <cell r="T126">
            <v>679659.33000000007</v>
          </cell>
        </row>
        <row r="127">
          <cell r="D127">
            <v>397</v>
          </cell>
          <cell r="H127">
            <v>0</v>
          </cell>
          <cell r="Q127">
            <v>7534.4</v>
          </cell>
          <cell r="T127">
            <v>375230.57</v>
          </cell>
        </row>
        <row r="128">
          <cell r="D128">
            <v>402</v>
          </cell>
          <cell r="H128">
            <v>124.94</v>
          </cell>
          <cell r="Q128">
            <v>780835.05999999994</v>
          </cell>
          <cell r="T128">
            <v>160101.13999999998</v>
          </cell>
        </row>
        <row r="129">
          <cell r="D129">
            <v>403</v>
          </cell>
          <cell r="H129">
            <v>174.2</v>
          </cell>
          <cell r="Q129">
            <v>1227560.2700000003</v>
          </cell>
          <cell r="T129">
            <v>34997.82</v>
          </cell>
        </row>
        <row r="130">
          <cell r="D130">
            <v>404</v>
          </cell>
          <cell r="H130">
            <v>165.95</v>
          </cell>
          <cell r="Q130">
            <v>1044389.1699999999</v>
          </cell>
          <cell r="T130">
            <v>115071.85</v>
          </cell>
        </row>
        <row r="131">
          <cell r="D131">
            <v>413</v>
          </cell>
          <cell r="H131">
            <v>2112.37</v>
          </cell>
          <cell r="Q131">
            <v>13607596.090000002</v>
          </cell>
          <cell r="T131">
            <v>2079408.91</v>
          </cell>
        </row>
        <row r="132">
          <cell r="D132">
            <v>414</v>
          </cell>
          <cell r="H132">
            <v>466.11</v>
          </cell>
          <cell r="Q132">
            <v>3089446.6700000004</v>
          </cell>
          <cell r="T132">
            <v>400103.79</v>
          </cell>
        </row>
        <row r="133">
          <cell r="D133">
            <v>415</v>
          </cell>
          <cell r="H133">
            <v>155.88999999999999</v>
          </cell>
          <cell r="Q133">
            <v>1034131.01</v>
          </cell>
          <cell r="T133">
            <v>130098.05</v>
          </cell>
        </row>
        <row r="134">
          <cell r="D134">
            <v>423</v>
          </cell>
          <cell r="H134">
            <v>2911.12</v>
          </cell>
          <cell r="Q134">
            <v>17659508.949999996</v>
          </cell>
          <cell r="T134">
            <v>2456207.6</v>
          </cell>
        </row>
        <row r="135">
          <cell r="D135">
            <v>424</v>
          </cell>
          <cell r="H135">
            <v>391.1</v>
          </cell>
          <cell r="Q135">
            <v>2216026.6800000002</v>
          </cell>
          <cell r="T135">
            <v>139700.68</v>
          </cell>
        </row>
        <row r="136">
          <cell r="D136">
            <v>432</v>
          </cell>
          <cell r="H136">
            <v>621.87</v>
          </cell>
          <cell r="Q136">
            <v>5238436.419999999</v>
          </cell>
          <cell r="T136">
            <v>450950.68999999994</v>
          </cell>
        </row>
        <row r="137">
          <cell r="D137">
            <v>435</v>
          </cell>
          <cell r="H137">
            <v>613.23</v>
          </cell>
          <cell r="Q137">
            <v>4986400.03</v>
          </cell>
          <cell r="T137">
            <v>436146.76</v>
          </cell>
        </row>
        <row r="138">
          <cell r="D138">
            <v>441</v>
          </cell>
          <cell r="H138">
            <v>404.47</v>
          </cell>
          <cell r="Q138">
            <v>3264767.7800000003</v>
          </cell>
          <cell r="T138">
            <v>430189.7</v>
          </cell>
        </row>
        <row r="139">
          <cell r="D139">
            <v>447</v>
          </cell>
          <cell r="H139">
            <v>173.65</v>
          </cell>
          <cell r="Q139">
            <v>1903713.79</v>
          </cell>
          <cell r="T139">
            <v>171264.53</v>
          </cell>
        </row>
        <row r="140">
          <cell r="D140">
            <v>458</v>
          </cell>
          <cell r="H140">
            <v>298.06</v>
          </cell>
          <cell r="Q140">
            <v>2164551.39</v>
          </cell>
          <cell r="T140">
            <v>173125.42</v>
          </cell>
        </row>
        <row r="141">
          <cell r="D141">
            <v>463</v>
          </cell>
          <cell r="H141">
            <v>890.54</v>
          </cell>
          <cell r="Q141">
            <v>5729529.9300000006</v>
          </cell>
          <cell r="T141">
            <v>576477.01</v>
          </cell>
        </row>
        <row r="142">
          <cell r="D142">
            <v>465</v>
          </cell>
          <cell r="H142">
            <v>1714.46</v>
          </cell>
          <cell r="Q142">
            <v>10835286.039999999</v>
          </cell>
          <cell r="T142">
            <v>1400648.44</v>
          </cell>
        </row>
        <row r="143">
          <cell r="D143">
            <v>466</v>
          </cell>
          <cell r="H143">
            <v>2256.27</v>
          </cell>
          <cell r="Q143">
            <v>14570732.329999998</v>
          </cell>
          <cell r="T143">
            <v>1521092.6500000001</v>
          </cell>
        </row>
        <row r="144">
          <cell r="D144">
            <v>473</v>
          </cell>
          <cell r="H144">
            <v>507.41</v>
          </cell>
          <cell r="Q144">
            <v>3353948.9899999998</v>
          </cell>
          <cell r="T144">
            <v>366624.05</v>
          </cell>
        </row>
        <row r="145">
          <cell r="D145">
            <v>477</v>
          </cell>
          <cell r="H145">
            <v>3380.93</v>
          </cell>
          <cell r="Q145">
            <v>21149859</v>
          </cell>
          <cell r="T145">
            <v>1826015.52</v>
          </cell>
        </row>
        <row r="146">
          <cell r="D146">
            <v>480</v>
          </cell>
          <cell r="H146">
            <v>598.42999999999995</v>
          </cell>
          <cell r="Q146">
            <v>4349044.91</v>
          </cell>
          <cell r="T146">
            <v>1759166.0299999998</v>
          </cell>
        </row>
        <row r="147">
          <cell r="D147">
            <v>482</v>
          </cell>
          <cell r="H147">
            <v>2403.4899999999998</v>
          </cell>
          <cell r="Q147">
            <v>15810393.029999999</v>
          </cell>
          <cell r="T147">
            <v>1937336.26</v>
          </cell>
        </row>
        <row r="148">
          <cell r="D148">
            <v>484</v>
          </cell>
          <cell r="H148">
            <v>1089.6099999999999</v>
          </cell>
          <cell r="Q148">
            <v>7542501.3999999994</v>
          </cell>
          <cell r="T148">
            <v>764952.24</v>
          </cell>
        </row>
        <row r="149">
          <cell r="D149">
            <v>485</v>
          </cell>
          <cell r="H149">
            <v>820.87</v>
          </cell>
          <cell r="Q149">
            <v>5167708.84</v>
          </cell>
          <cell r="T149">
            <v>426532.39999999997</v>
          </cell>
        </row>
        <row r="150">
          <cell r="D150">
            <v>486</v>
          </cell>
          <cell r="H150">
            <v>356.38</v>
          </cell>
          <cell r="Q150">
            <v>2453190.71</v>
          </cell>
          <cell r="T150">
            <v>208669.48</v>
          </cell>
        </row>
        <row r="151">
          <cell r="D151">
            <v>487</v>
          </cell>
          <cell r="H151">
            <v>426.2</v>
          </cell>
          <cell r="Q151">
            <v>2924302.18</v>
          </cell>
          <cell r="T151">
            <v>174083.44</v>
          </cell>
        </row>
        <row r="152">
          <cell r="D152">
            <v>492</v>
          </cell>
          <cell r="H152">
            <v>4428.21</v>
          </cell>
          <cell r="Q152">
            <v>32099320.449999992</v>
          </cell>
          <cell r="T152">
            <v>4663428.51</v>
          </cell>
        </row>
        <row r="153">
          <cell r="D153">
            <v>495</v>
          </cell>
          <cell r="H153">
            <v>376.27</v>
          </cell>
          <cell r="Q153">
            <v>2432219.77</v>
          </cell>
          <cell r="T153">
            <v>254949.84999999998</v>
          </cell>
        </row>
        <row r="154">
          <cell r="D154">
            <v>497</v>
          </cell>
          <cell r="H154">
            <v>228.66</v>
          </cell>
          <cell r="Q154">
            <v>1649789.16</v>
          </cell>
          <cell r="T154">
            <v>320580.71000000002</v>
          </cell>
        </row>
        <row r="155">
          <cell r="D155">
            <v>499</v>
          </cell>
          <cell r="H155">
            <v>299.86</v>
          </cell>
          <cell r="Q155">
            <v>1894460.3499999999</v>
          </cell>
          <cell r="T155">
            <v>215835.07</v>
          </cell>
        </row>
        <row r="156">
          <cell r="D156">
            <v>500</v>
          </cell>
          <cell r="H156">
            <v>518.85</v>
          </cell>
          <cell r="Q156">
            <v>3444725.6</v>
          </cell>
          <cell r="T156">
            <v>560801.02</v>
          </cell>
        </row>
        <row r="157">
          <cell r="D157">
            <v>505</v>
          </cell>
          <cell r="H157">
            <v>363.86</v>
          </cell>
          <cell r="Q157">
            <v>2659495.16</v>
          </cell>
          <cell r="T157">
            <v>438820</v>
          </cell>
        </row>
        <row r="158">
          <cell r="D158">
            <v>507</v>
          </cell>
          <cell r="H158">
            <v>339.04</v>
          </cell>
          <cell r="Q158">
            <v>2194536.3000000003</v>
          </cell>
          <cell r="T158">
            <v>223654.25</v>
          </cell>
        </row>
        <row r="159">
          <cell r="D159">
            <v>508</v>
          </cell>
          <cell r="H159">
            <v>1850.66</v>
          </cell>
          <cell r="Q159">
            <v>11462692.079999998</v>
          </cell>
          <cell r="T159">
            <v>1661751.4700000002</v>
          </cell>
        </row>
        <row r="160">
          <cell r="D160">
            <v>511</v>
          </cell>
          <cell r="H160">
            <v>566.09</v>
          </cell>
          <cell r="Q160">
            <v>3984951.3899999997</v>
          </cell>
          <cell r="T160">
            <v>459672.66</v>
          </cell>
        </row>
        <row r="161">
          <cell r="D161">
            <v>513</v>
          </cell>
          <cell r="H161">
            <v>196.4</v>
          </cell>
          <cell r="Q161">
            <v>1328669.1800000002</v>
          </cell>
          <cell r="T161">
            <v>-2337.9299999999998</v>
          </cell>
        </row>
        <row r="162">
          <cell r="D162">
            <v>514</v>
          </cell>
          <cell r="H162">
            <v>168.39</v>
          </cell>
          <cell r="Q162">
            <v>1214336.22</v>
          </cell>
          <cell r="T162">
            <v>138685.42000000001</v>
          </cell>
        </row>
        <row r="163">
          <cell r="D163">
            <v>516</v>
          </cell>
          <cell r="H163">
            <v>113.51</v>
          </cell>
          <cell r="Q163">
            <v>785317.4</v>
          </cell>
          <cell r="T163">
            <v>73531.360000000001</v>
          </cell>
        </row>
        <row r="164">
          <cell r="D164">
            <v>518</v>
          </cell>
          <cell r="H164">
            <v>2456.37</v>
          </cell>
          <cell r="Q164">
            <v>18996039.43</v>
          </cell>
          <cell r="T164">
            <v>2387127.37</v>
          </cell>
        </row>
        <row r="165">
          <cell r="D165">
            <v>531</v>
          </cell>
          <cell r="H165">
            <v>1785.21</v>
          </cell>
          <cell r="Q165">
            <v>10821305.760000002</v>
          </cell>
          <cell r="T165">
            <v>809647.95</v>
          </cell>
        </row>
        <row r="166">
          <cell r="D166">
            <v>533</v>
          </cell>
          <cell r="H166">
            <v>1211.71</v>
          </cell>
          <cell r="Q166">
            <v>7887991.7299999995</v>
          </cell>
          <cell r="T166">
            <v>680150</v>
          </cell>
        </row>
        <row r="167">
          <cell r="D167">
            <v>534</v>
          </cell>
          <cell r="H167">
            <v>1865.24</v>
          </cell>
          <cell r="Q167">
            <v>11296289.819999998</v>
          </cell>
          <cell r="T167">
            <v>1177559.03</v>
          </cell>
        </row>
        <row r="168">
          <cell r="D168">
            <v>535</v>
          </cell>
          <cell r="H168">
            <v>15951.37</v>
          </cell>
          <cell r="Q168">
            <v>91621865.920000017</v>
          </cell>
          <cell r="T168">
            <v>12020996.300000001</v>
          </cell>
        </row>
        <row r="169">
          <cell r="D169">
            <v>542</v>
          </cell>
          <cell r="H169">
            <v>482.38</v>
          </cell>
          <cell r="Q169">
            <v>2948078.35</v>
          </cell>
          <cell r="T169">
            <v>75124.89</v>
          </cell>
        </row>
        <row r="170">
          <cell r="D170">
            <v>544</v>
          </cell>
          <cell r="H170">
            <v>2504.86</v>
          </cell>
          <cell r="Q170">
            <v>15645877.399999999</v>
          </cell>
          <cell r="T170">
            <v>1305385.51</v>
          </cell>
        </row>
        <row r="171">
          <cell r="D171">
            <v>545</v>
          </cell>
          <cell r="H171">
            <v>365.85</v>
          </cell>
          <cell r="Q171">
            <v>2282617.0699999998</v>
          </cell>
          <cell r="T171">
            <v>150333.26</v>
          </cell>
        </row>
        <row r="172">
          <cell r="D172">
            <v>547</v>
          </cell>
          <cell r="H172">
            <v>540.24</v>
          </cell>
          <cell r="Q172">
            <v>3494856.1799999997</v>
          </cell>
          <cell r="T172">
            <v>438051.07</v>
          </cell>
        </row>
        <row r="173">
          <cell r="D173">
            <v>548</v>
          </cell>
          <cell r="H173">
            <v>913.67</v>
          </cell>
          <cell r="Q173">
            <v>5959257.0800000001</v>
          </cell>
          <cell r="T173">
            <v>437524.69</v>
          </cell>
        </row>
        <row r="174">
          <cell r="D174">
            <v>549</v>
          </cell>
          <cell r="H174">
            <v>1396.12</v>
          </cell>
          <cell r="Q174">
            <v>9094384.4300000016</v>
          </cell>
          <cell r="T174">
            <v>1244793.8699999999</v>
          </cell>
        </row>
        <row r="175">
          <cell r="D175">
            <v>550</v>
          </cell>
          <cell r="H175">
            <v>579.23</v>
          </cell>
          <cell r="Q175">
            <v>3909279.69</v>
          </cell>
          <cell r="T175">
            <v>236330.35</v>
          </cell>
        </row>
        <row r="176">
          <cell r="D176">
            <v>553</v>
          </cell>
          <cell r="H176">
            <v>698.98</v>
          </cell>
          <cell r="Q176">
            <v>4661875.84</v>
          </cell>
          <cell r="T176">
            <v>515892.76</v>
          </cell>
        </row>
        <row r="177">
          <cell r="D177">
            <v>561</v>
          </cell>
          <cell r="H177">
            <v>193.92</v>
          </cell>
          <cell r="Q177">
            <v>1937021.1300000001</v>
          </cell>
          <cell r="T177">
            <v>166633.18</v>
          </cell>
        </row>
        <row r="178">
          <cell r="D178">
            <v>564</v>
          </cell>
          <cell r="H178">
            <v>1984.9</v>
          </cell>
          <cell r="Q178">
            <v>13425553.25</v>
          </cell>
          <cell r="T178">
            <v>1144308.51</v>
          </cell>
        </row>
        <row r="179">
          <cell r="D179">
            <v>577</v>
          </cell>
          <cell r="H179">
            <v>420.48</v>
          </cell>
          <cell r="Q179">
            <v>2905268.69</v>
          </cell>
          <cell r="T179">
            <v>344151.24000000005</v>
          </cell>
        </row>
        <row r="180">
          <cell r="D180">
            <v>578</v>
          </cell>
          <cell r="H180">
            <v>1609.71</v>
          </cell>
          <cell r="Q180">
            <v>9938688.8100000005</v>
          </cell>
          <cell r="T180">
            <v>1688092.96</v>
          </cell>
        </row>
        <row r="181">
          <cell r="D181">
            <v>581</v>
          </cell>
          <cell r="H181">
            <v>323.05</v>
          </cell>
          <cell r="Q181">
            <v>2193400.9699999993</v>
          </cell>
          <cell r="T181">
            <v>346815.57</v>
          </cell>
        </row>
        <row r="182">
          <cell r="D182">
            <v>592</v>
          </cell>
          <cell r="H182">
            <v>139.4</v>
          </cell>
          <cell r="Q182">
            <v>1256380.7300000002</v>
          </cell>
          <cell r="T182">
            <v>172528.41999999998</v>
          </cell>
        </row>
        <row r="183">
          <cell r="D183">
            <v>593</v>
          </cell>
          <cell r="H183">
            <v>1237.8599999999999</v>
          </cell>
          <cell r="Q183">
            <v>8397617.2800000012</v>
          </cell>
          <cell r="T183">
            <v>1174618.25</v>
          </cell>
        </row>
        <row r="184">
          <cell r="D184">
            <v>595</v>
          </cell>
          <cell r="H184">
            <v>1730.76</v>
          </cell>
          <cell r="Q184">
            <v>11094960.08</v>
          </cell>
          <cell r="T184">
            <v>1328456.19</v>
          </cell>
        </row>
        <row r="185">
          <cell r="D185">
            <v>599</v>
          </cell>
          <cell r="H185">
            <v>457.59</v>
          </cell>
          <cell r="Q185">
            <v>3354367.4</v>
          </cell>
          <cell r="T185">
            <v>397730.96</v>
          </cell>
        </row>
        <row r="186">
          <cell r="D186">
            <v>600</v>
          </cell>
          <cell r="H186">
            <v>247.3</v>
          </cell>
          <cell r="Q186">
            <v>1715391.6500000001</v>
          </cell>
          <cell r="T186">
            <v>247811.01</v>
          </cell>
        </row>
        <row r="187">
          <cell r="D187">
            <v>601</v>
          </cell>
          <cell r="H187">
            <v>641.37</v>
          </cell>
          <cell r="Q187">
            <v>4916648.28</v>
          </cell>
          <cell r="T187">
            <v>589537.28000000003</v>
          </cell>
        </row>
        <row r="188">
          <cell r="D188">
            <v>611</v>
          </cell>
          <cell r="H188">
            <v>51.89</v>
          </cell>
          <cell r="Q188">
            <v>396246.21</v>
          </cell>
          <cell r="T188">
            <v>-5364.2900000000009</v>
          </cell>
        </row>
        <row r="189">
          <cell r="D189">
            <v>621</v>
          </cell>
          <cell r="H189">
            <v>9914.06</v>
          </cell>
          <cell r="Q189">
            <v>54200998.089999996</v>
          </cell>
          <cell r="T189">
            <v>12684734.91</v>
          </cell>
        </row>
        <row r="190">
          <cell r="D190">
            <v>622</v>
          </cell>
          <cell r="H190">
            <v>10978.49</v>
          </cell>
          <cell r="Q190">
            <v>69526223.780000016</v>
          </cell>
          <cell r="T190">
            <v>9938347.7100000009</v>
          </cell>
        </row>
        <row r="191">
          <cell r="D191">
            <v>623</v>
          </cell>
          <cell r="H191">
            <v>6916.4</v>
          </cell>
          <cell r="Q191">
            <v>40918549.43999999</v>
          </cell>
          <cell r="T191">
            <v>6020813.1699999999</v>
          </cell>
        </row>
        <row r="192">
          <cell r="D192">
            <v>624</v>
          </cell>
          <cell r="H192">
            <v>8146.49</v>
          </cell>
          <cell r="Q192">
            <v>41216230.050000004</v>
          </cell>
          <cell r="T192">
            <v>7910454.7200000007</v>
          </cell>
        </row>
        <row r="193">
          <cell r="D193">
            <v>625</v>
          </cell>
          <cell r="H193">
            <v>37835.760000000002</v>
          </cell>
          <cell r="Q193">
            <v>287738877.55000001</v>
          </cell>
          <cell r="T193">
            <v>51253831.459999993</v>
          </cell>
        </row>
        <row r="194">
          <cell r="D194">
            <v>627</v>
          </cell>
          <cell r="H194">
            <v>212.25</v>
          </cell>
          <cell r="Q194">
            <v>1871979.05</v>
          </cell>
          <cell r="T194">
            <v>97070.540000000008</v>
          </cell>
        </row>
        <row r="195">
          <cell r="D195">
            <v>628</v>
          </cell>
          <cell r="H195">
            <v>168.67</v>
          </cell>
          <cell r="Q195">
            <v>1195557.6199999999</v>
          </cell>
          <cell r="T195">
            <v>310308.49</v>
          </cell>
        </row>
        <row r="196">
          <cell r="D196">
            <v>630</v>
          </cell>
          <cell r="H196">
            <v>383.32</v>
          </cell>
          <cell r="Q196">
            <v>3025411.98</v>
          </cell>
          <cell r="T196">
            <v>354578.36</v>
          </cell>
        </row>
        <row r="197">
          <cell r="D197">
            <v>635</v>
          </cell>
          <cell r="H197">
            <v>76.42</v>
          </cell>
          <cell r="Q197">
            <v>555181</v>
          </cell>
          <cell r="T197">
            <v>46415.12</v>
          </cell>
        </row>
        <row r="198">
          <cell r="D198">
            <v>640</v>
          </cell>
          <cell r="H198">
            <v>427.48</v>
          </cell>
          <cell r="Q198">
            <v>2943230.91</v>
          </cell>
          <cell r="T198">
            <v>202875.27000000002</v>
          </cell>
        </row>
        <row r="199">
          <cell r="D199">
            <v>656</v>
          </cell>
          <cell r="H199">
            <v>3863.68</v>
          </cell>
          <cell r="Q199">
            <v>26040348.440000001</v>
          </cell>
          <cell r="T199">
            <v>4112311.5700000003</v>
          </cell>
        </row>
        <row r="200">
          <cell r="D200">
            <v>659</v>
          </cell>
          <cell r="H200">
            <v>3780.98</v>
          </cell>
          <cell r="Q200">
            <v>20617364.489999998</v>
          </cell>
          <cell r="T200">
            <v>3787214.11</v>
          </cell>
        </row>
        <row r="201">
          <cell r="D201">
            <v>671</v>
          </cell>
          <cell r="H201">
            <v>350.61</v>
          </cell>
          <cell r="Q201">
            <v>2403127.7600000002</v>
          </cell>
          <cell r="T201">
            <v>242173.95</v>
          </cell>
        </row>
        <row r="202">
          <cell r="D202">
            <v>676</v>
          </cell>
          <cell r="H202">
            <v>217.9</v>
          </cell>
          <cell r="Q202">
            <v>1742898.23</v>
          </cell>
          <cell r="T202">
            <v>92005.11</v>
          </cell>
        </row>
        <row r="203">
          <cell r="D203">
            <v>682</v>
          </cell>
          <cell r="H203">
            <v>1266.29</v>
          </cell>
          <cell r="Q203">
            <v>8551551.3200000003</v>
          </cell>
          <cell r="T203">
            <v>1005727.3699999999</v>
          </cell>
        </row>
        <row r="204">
          <cell r="D204">
            <v>690</v>
          </cell>
          <cell r="H204">
            <v>1075.25</v>
          </cell>
          <cell r="Q204">
            <v>7595546.0599999996</v>
          </cell>
          <cell r="T204">
            <v>776751.08000000007</v>
          </cell>
        </row>
        <row r="205">
          <cell r="D205">
            <v>695</v>
          </cell>
          <cell r="H205">
            <v>730.35</v>
          </cell>
          <cell r="Q205">
            <v>5190504.33</v>
          </cell>
          <cell r="T205">
            <v>419570.43</v>
          </cell>
        </row>
        <row r="206">
          <cell r="D206">
            <v>696</v>
          </cell>
          <cell r="H206">
            <v>545.23</v>
          </cell>
          <cell r="Q206">
            <v>3289709.7600000007</v>
          </cell>
          <cell r="T206">
            <v>256148.68</v>
          </cell>
        </row>
        <row r="207">
          <cell r="D207">
            <v>698</v>
          </cell>
          <cell r="H207">
            <v>312.26</v>
          </cell>
          <cell r="Q207">
            <v>2401258.5099999998</v>
          </cell>
          <cell r="T207">
            <v>379771.57</v>
          </cell>
        </row>
        <row r="208">
          <cell r="D208">
            <v>700</v>
          </cell>
          <cell r="H208">
            <v>2096.0700000000002</v>
          </cell>
          <cell r="Q208">
            <v>12212374.799999997</v>
          </cell>
          <cell r="T208">
            <v>1724088.9300000002</v>
          </cell>
        </row>
        <row r="209">
          <cell r="D209">
            <v>701</v>
          </cell>
          <cell r="H209">
            <v>2388.46</v>
          </cell>
          <cell r="Q209">
            <v>16277153.759999998</v>
          </cell>
          <cell r="T209">
            <v>1523616.5</v>
          </cell>
        </row>
        <row r="210">
          <cell r="D210">
            <v>704</v>
          </cell>
          <cell r="H210">
            <v>1754.84</v>
          </cell>
          <cell r="Q210">
            <v>10770403.649999999</v>
          </cell>
          <cell r="T210">
            <v>1149583.76</v>
          </cell>
        </row>
        <row r="211">
          <cell r="D211">
            <v>706</v>
          </cell>
          <cell r="H211">
            <v>1605.05</v>
          </cell>
          <cell r="Q211">
            <v>10741740.239999996</v>
          </cell>
          <cell r="T211">
            <v>1377808.45</v>
          </cell>
        </row>
        <row r="212">
          <cell r="D212">
            <v>707</v>
          </cell>
          <cell r="H212">
            <v>136.38999999999999</v>
          </cell>
          <cell r="Q212">
            <v>1229724.6599999999</v>
          </cell>
          <cell r="T212">
            <v>52774.2</v>
          </cell>
        </row>
        <row r="213">
          <cell r="D213">
            <v>709</v>
          </cell>
          <cell r="H213">
            <v>8703.84</v>
          </cell>
          <cell r="Q213">
            <v>55539808.810000002</v>
          </cell>
          <cell r="T213">
            <v>11270261.98</v>
          </cell>
        </row>
        <row r="214">
          <cell r="D214">
            <v>712</v>
          </cell>
          <cell r="H214">
            <v>506.16</v>
          </cell>
          <cell r="Q214">
            <v>3516311.5999999996</v>
          </cell>
          <cell r="T214">
            <v>1206171.92</v>
          </cell>
        </row>
        <row r="215">
          <cell r="D215">
            <v>716</v>
          </cell>
          <cell r="H215">
            <v>1584.02</v>
          </cell>
          <cell r="Q215">
            <v>9356310.2799999993</v>
          </cell>
          <cell r="T215">
            <v>1077056.8199999998</v>
          </cell>
        </row>
        <row r="216">
          <cell r="D216">
            <v>717</v>
          </cell>
          <cell r="H216">
            <v>1711.24</v>
          </cell>
          <cell r="Q216">
            <v>9795140.6500000004</v>
          </cell>
          <cell r="T216">
            <v>1056371.45</v>
          </cell>
        </row>
        <row r="217">
          <cell r="D217">
            <v>719</v>
          </cell>
          <cell r="H217">
            <v>7022.15</v>
          </cell>
          <cell r="Q217">
            <v>37696978.579999998</v>
          </cell>
          <cell r="T217">
            <v>4675740.91</v>
          </cell>
        </row>
        <row r="218">
          <cell r="D218">
            <v>720</v>
          </cell>
          <cell r="H218">
            <v>7137.97</v>
          </cell>
          <cell r="Q218">
            <v>42498357.449999996</v>
          </cell>
          <cell r="T218">
            <v>5818897.1600000001</v>
          </cell>
        </row>
        <row r="219">
          <cell r="D219">
            <v>721</v>
          </cell>
          <cell r="H219">
            <v>3733.87</v>
          </cell>
          <cell r="Q219">
            <v>20722316.800000004</v>
          </cell>
          <cell r="T219">
            <v>2347210.36</v>
          </cell>
        </row>
        <row r="220">
          <cell r="D220">
            <v>726</v>
          </cell>
          <cell r="H220">
            <v>2719.1</v>
          </cell>
          <cell r="Q220">
            <v>15587850.949999999</v>
          </cell>
          <cell r="T220">
            <v>1255453</v>
          </cell>
        </row>
        <row r="221">
          <cell r="D221">
            <v>727</v>
          </cell>
          <cell r="H221">
            <v>3492.86</v>
          </cell>
          <cell r="Q221">
            <v>21491670.84</v>
          </cell>
          <cell r="T221">
            <v>2134801.96</v>
          </cell>
        </row>
        <row r="222">
          <cell r="D222">
            <v>728</v>
          </cell>
          <cell r="H222">
            <v>12632.77</v>
          </cell>
          <cell r="Q222">
            <v>71940252.150000006</v>
          </cell>
          <cell r="T222">
            <v>13172577.449999999</v>
          </cell>
        </row>
        <row r="223">
          <cell r="D223">
            <v>738</v>
          </cell>
          <cell r="H223">
            <v>1000.28</v>
          </cell>
          <cell r="Q223">
            <v>6449780.7100000009</v>
          </cell>
          <cell r="T223">
            <v>381211.51</v>
          </cell>
        </row>
        <row r="224">
          <cell r="D224">
            <v>739</v>
          </cell>
          <cell r="H224">
            <v>698.08</v>
          </cell>
          <cell r="Q224">
            <v>4011706.47</v>
          </cell>
          <cell r="T224">
            <v>539950.89</v>
          </cell>
        </row>
        <row r="225">
          <cell r="D225">
            <v>740</v>
          </cell>
          <cell r="H225">
            <v>1353.78</v>
          </cell>
          <cell r="Q225">
            <v>9276140.0300000012</v>
          </cell>
          <cell r="T225">
            <v>983290.90999999992</v>
          </cell>
        </row>
        <row r="226">
          <cell r="D226">
            <v>741</v>
          </cell>
          <cell r="H226">
            <v>1020.87</v>
          </cell>
          <cell r="Q226">
            <v>6370151.8399999999</v>
          </cell>
          <cell r="T226">
            <v>1011284.44</v>
          </cell>
        </row>
        <row r="227">
          <cell r="D227">
            <v>742</v>
          </cell>
          <cell r="H227">
            <v>9352.41</v>
          </cell>
          <cell r="Q227">
            <v>59570536.399999999</v>
          </cell>
          <cell r="T227">
            <v>14701446.690000001</v>
          </cell>
        </row>
        <row r="228">
          <cell r="D228">
            <v>743</v>
          </cell>
          <cell r="H228">
            <v>977.11</v>
          </cell>
          <cell r="Q228">
            <v>6113111.120000001</v>
          </cell>
          <cell r="T228">
            <v>660971.64999999991</v>
          </cell>
        </row>
        <row r="229">
          <cell r="D229">
            <v>745</v>
          </cell>
          <cell r="H229">
            <v>1648.35</v>
          </cell>
          <cell r="Q229">
            <v>10305309.429999998</v>
          </cell>
          <cell r="T229">
            <v>1183593.8500000001</v>
          </cell>
        </row>
        <row r="230">
          <cell r="D230">
            <v>748</v>
          </cell>
          <cell r="H230">
            <v>3524.82</v>
          </cell>
          <cell r="Q230">
            <v>21071247.989999998</v>
          </cell>
          <cell r="T230">
            <v>1906582.0699999998</v>
          </cell>
        </row>
        <row r="231">
          <cell r="D231">
            <v>750</v>
          </cell>
          <cell r="H231">
            <v>2019.62</v>
          </cell>
          <cell r="Q231">
            <v>12300203.709999999</v>
          </cell>
          <cell r="T231">
            <v>1142600.2100000002</v>
          </cell>
        </row>
        <row r="232">
          <cell r="D232">
            <v>756</v>
          </cell>
          <cell r="H232">
            <v>699.95</v>
          </cell>
          <cell r="Q232">
            <v>4485593.3</v>
          </cell>
          <cell r="T232">
            <v>469079.69999999995</v>
          </cell>
        </row>
        <row r="233">
          <cell r="D233">
            <v>761</v>
          </cell>
          <cell r="H233">
            <v>4789.97</v>
          </cell>
          <cell r="Q233">
            <v>30693211.25</v>
          </cell>
          <cell r="T233">
            <v>3750046.89</v>
          </cell>
        </row>
        <row r="234">
          <cell r="D234">
            <v>763</v>
          </cell>
          <cell r="H234">
            <v>836.24</v>
          </cell>
          <cell r="Q234">
            <v>5131065.9799999986</v>
          </cell>
          <cell r="T234">
            <v>199610.06</v>
          </cell>
        </row>
        <row r="235">
          <cell r="D235">
            <v>768</v>
          </cell>
          <cell r="H235">
            <v>264.01</v>
          </cell>
          <cell r="Q235">
            <v>1812775.77</v>
          </cell>
          <cell r="T235">
            <v>136553.20000000001</v>
          </cell>
        </row>
        <row r="236">
          <cell r="D236">
            <v>769</v>
          </cell>
          <cell r="H236">
            <v>945.1</v>
          </cell>
          <cell r="Q236">
            <v>6055416.6099999994</v>
          </cell>
          <cell r="T236">
            <v>951592.8600000001</v>
          </cell>
        </row>
        <row r="237">
          <cell r="D237">
            <v>771</v>
          </cell>
          <cell r="H237">
            <v>151.19</v>
          </cell>
          <cell r="Q237">
            <v>1089367.9400000002</v>
          </cell>
          <cell r="T237">
            <v>29555.46</v>
          </cell>
        </row>
        <row r="238">
          <cell r="D238">
            <v>775</v>
          </cell>
          <cell r="H238">
            <v>544.33000000000004</v>
          </cell>
          <cell r="Q238">
            <v>3770114.12</v>
          </cell>
          <cell r="T238">
            <v>410753.87000000005</v>
          </cell>
        </row>
        <row r="239">
          <cell r="D239">
            <v>777</v>
          </cell>
          <cell r="H239">
            <v>944.04</v>
          </cell>
          <cell r="Q239">
            <v>6285219.5300000003</v>
          </cell>
          <cell r="T239">
            <v>1008076.9199999999</v>
          </cell>
        </row>
        <row r="240">
          <cell r="D240">
            <v>786</v>
          </cell>
          <cell r="H240">
            <v>421.27</v>
          </cell>
          <cell r="Q240">
            <v>3351882.1799999997</v>
          </cell>
          <cell r="T240">
            <v>354487.17000000004</v>
          </cell>
        </row>
        <row r="241">
          <cell r="D241">
            <v>787</v>
          </cell>
          <cell r="H241">
            <v>474</v>
          </cell>
          <cell r="Q241">
            <v>3539798.09</v>
          </cell>
          <cell r="T241">
            <v>565526.61</v>
          </cell>
        </row>
        <row r="242">
          <cell r="D242">
            <v>801</v>
          </cell>
          <cell r="H242">
            <v>98.6</v>
          </cell>
          <cell r="Q242">
            <v>1034596.5499999999</v>
          </cell>
          <cell r="T242">
            <v>82078.399999999994</v>
          </cell>
        </row>
        <row r="243">
          <cell r="D243">
            <v>803</v>
          </cell>
          <cell r="H243">
            <v>416.95</v>
          </cell>
          <cell r="Q243">
            <v>3156524.8100000005</v>
          </cell>
          <cell r="T243">
            <v>301779.63</v>
          </cell>
        </row>
        <row r="244">
          <cell r="D244">
            <v>811</v>
          </cell>
          <cell r="H244">
            <v>607.26</v>
          </cell>
          <cell r="Q244">
            <v>3517055.76</v>
          </cell>
          <cell r="T244">
            <v>583910.5</v>
          </cell>
        </row>
        <row r="245">
          <cell r="D245">
            <v>813</v>
          </cell>
          <cell r="H245">
            <v>1267.96</v>
          </cell>
          <cell r="Q245">
            <v>7248764.3099999996</v>
          </cell>
          <cell r="T245">
            <v>782661.76</v>
          </cell>
        </row>
        <row r="246">
          <cell r="D246">
            <v>815</v>
          </cell>
          <cell r="H246">
            <v>0</v>
          </cell>
          <cell r="Q246">
            <v>5831.27</v>
          </cell>
          <cell r="T246">
            <v>160455.25</v>
          </cell>
        </row>
        <row r="247">
          <cell r="D247">
            <v>818</v>
          </cell>
          <cell r="H247">
            <v>491.28</v>
          </cell>
          <cell r="Q247">
            <v>3678857.81</v>
          </cell>
          <cell r="T247">
            <v>442832.82</v>
          </cell>
        </row>
        <row r="248">
          <cell r="D248">
            <v>820</v>
          </cell>
          <cell r="H248">
            <v>520.12</v>
          </cell>
          <cell r="Q248">
            <v>4036588.0999999996</v>
          </cell>
          <cell r="T248">
            <v>279052.7</v>
          </cell>
        </row>
        <row r="249">
          <cell r="D249">
            <v>821</v>
          </cell>
          <cell r="H249">
            <v>820.19</v>
          </cell>
          <cell r="Q249">
            <v>5436125.1900000004</v>
          </cell>
          <cell r="T249">
            <v>393880.19</v>
          </cell>
        </row>
        <row r="250">
          <cell r="D250">
            <v>829</v>
          </cell>
          <cell r="H250">
            <v>1844.24</v>
          </cell>
          <cell r="Q250">
            <v>12126609.310000001</v>
          </cell>
          <cell r="T250">
            <v>2169314.15</v>
          </cell>
        </row>
        <row r="251">
          <cell r="D251">
            <v>831</v>
          </cell>
          <cell r="H251">
            <v>6751.19</v>
          </cell>
          <cell r="Q251">
            <v>37608516.009999998</v>
          </cell>
          <cell r="T251">
            <v>5353399.59</v>
          </cell>
        </row>
        <row r="252">
          <cell r="D252">
            <v>832</v>
          </cell>
          <cell r="H252">
            <v>3226.13</v>
          </cell>
          <cell r="Q252">
            <v>17801481.270000003</v>
          </cell>
          <cell r="T252">
            <v>2543262.4700000002</v>
          </cell>
        </row>
        <row r="253">
          <cell r="D253">
            <v>833</v>
          </cell>
          <cell r="H253">
            <v>17150.169999999998</v>
          </cell>
          <cell r="Q253">
            <v>97482527.039999992</v>
          </cell>
          <cell r="T253">
            <v>10404571.710000001</v>
          </cell>
        </row>
        <row r="254">
          <cell r="D254">
            <v>834</v>
          </cell>
          <cell r="H254">
            <v>8696.91</v>
          </cell>
          <cell r="Q254">
            <v>45337021.919999994</v>
          </cell>
          <cell r="T254">
            <v>6500462.0600000005</v>
          </cell>
        </row>
        <row r="255">
          <cell r="D255">
            <v>836</v>
          </cell>
          <cell r="H255">
            <v>222.78</v>
          </cell>
          <cell r="Q255">
            <v>1710542.3900000001</v>
          </cell>
          <cell r="T255">
            <v>175492.48000000001</v>
          </cell>
        </row>
        <row r="256">
          <cell r="D256">
            <v>837</v>
          </cell>
          <cell r="H256">
            <v>522.03</v>
          </cell>
          <cell r="Q256">
            <v>3883062.72</v>
          </cell>
          <cell r="T256">
            <v>464122.38</v>
          </cell>
        </row>
        <row r="257">
          <cell r="D257">
            <v>840</v>
          </cell>
          <cell r="H257">
            <v>1085.3800000000001</v>
          </cell>
          <cell r="Q257">
            <v>7814562.5699999994</v>
          </cell>
          <cell r="T257">
            <v>648838.05999999994</v>
          </cell>
        </row>
        <row r="258">
          <cell r="D258">
            <v>846</v>
          </cell>
          <cell r="H258">
            <v>744.11</v>
          </cell>
          <cell r="Q258">
            <v>5099072.93</v>
          </cell>
          <cell r="T258">
            <v>431061.68999999994</v>
          </cell>
        </row>
        <row r="259">
          <cell r="D259">
            <v>850</v>
          </cell>
          <cell r="H259">
            <v>220.43</v>
          </cell>
          <cell r="Q259">
            <v>1681546.11</v>
          </cell>
          <cell r="T259">
            <v>56268.39</v>
          </cell>
        </row>
        <row r="260">
          <cell r="D260">
            <v>852</v>
          </cell>
          <cell r="H260">
            <v>124.16</v>
          </cell>
          <cell r="Q260">
            <v>1129431.6400000001</v>
          </cell>
          <cell r="T260">
            <v>96798.79</v>
          </cell>
        </row>
        <row r="261">
          <cell r="D261">
            <v>857</v>
          </cell>
          <cell r="H261">
            <v>741.92</v>
          </cell>
          <cell r="Q261">
            <v>4694782.34</v>
          </cell>
          <cell r="T261">
            <v>580028.82000000007</v>
          </cell>
        </row>
        <row r="262">
          <cell r="D262">
            <v>858</v>
          </cell>
          <cell r="H262">
            <v>996.99</v>
          </cell>
          <cell r="Q262">
            <v>6233049.1600000001</v>
          </cell>
          <cell r="T262">
            <v>514409.49</v>
          </cell>
        </row>
        <row r="263">
          <cell r="D263">
            <v>861</v>
          </cell>
          <cell r="H263">
            <v>3257.74</v>
          </cell>
          <cell r="Q263">
            <v>17109645.390000001</v>
          </cell>
          <cell r="T263">
            <v>4602407.66</v>
          </cell>
        </row>
        <row r="264">
          <cell r="D264">
            <v>876</v>
          </cell>
          <cell r="H264">
            <v>1674.54</v>
          </cell>
          <cell r="Q264">
            <v>9714003.0299999993</v>
          </cell>
          <cell r="T264">
            <v>1369953.23</v>
          </cell>
        </row>
        <row r="265">
          <cell r="D265">
            <v>877</v>
          </cell>
          <cell r="H265">
            <v>5798.92</v>
          </cell>
          <cell r="Q265">
            <v>34225954.38000001</v>
          </cell>
          <cell r="T265">
            <v>4841657.9300000006</v>
          </cell>
        </row>
        <row r="266">
          <cell r="D266">
            <v>879</v>
          </cell>
          <cell r="H266">
            <v>2285.5</v>
          </cell>
          <cell r="Q266">
            <v>13391875.91</v>
          </cell>
          <cell r="T266">
            <v>1320167.7000000002</v>
          </cell>
        </row>
        <row r="267">
          <cell r="D267">
            <v>881</v>
          </cell>
          <cell r="H267">
            <v>978.13</v>
          </cell>
          <cell r="Q267">
            <v>6012873.6000000006</v>
          </cell>
          <cell r="T267">
            <v>1089169.81</v>
          </cell>
        </row>
        <row r="268">
          <cell r="D268">
            <v>882</v>
          </cell>
          <cell r="H268">
            <v>3921.26</v>
          </cell>
          <cell r="Q268">
            <v>22615839.800000004</v>
          </cell>
          <cell r="T268">
            <v>6172306.7799999993</v>
          </cell>
        </row>
        <row r="269">
          <cell r="D269">
            <v>883</v>
          </cell>
          <cell r="H269">
            <v>1513.04</v>
          </cell>
          <cell r="Q269">
            <v>8786517.2100000028</v>
          </cell>
          <cell r="T269">
            <v>902979.34000000008</v>
          </cell>
        </row>
        <row r="270">
          <cell r="D270">
            <v>885</v>
          </cell>
          <cell r="H270">
            <v>5260.73</v>
          </cell>
          <cell r="Q270">
            <v>31341529.41</v>
          </cell>
          <cell r="T270">
            <v>1616541.5</v>
          </cell>
        </row>
        <row r="271">
          <cell r="D271">
            <v>891</v>
          </cell>
          <cell r="H271">
            <v>522.54</v>
          </cell>
          <cell r="Q271">
            <v>3853994.6499999994</v>
          </cell>
          <cell r="T271">
            <v>253470.68</v>
          </cell>
        </row>
        <row r="272">
          <cell r="D272">
            <v>911</v>
          </cell>
          <cell r="H272">
            <v>5175.72</v>
          </cell>
          <cell r="Q272">
            <v>32865823.950000007</v>
          </cell>
          <cell r="T272">
            <v>3215286.24</v>
          </cell>
        </row>
        <row r="273">
          <cell r="D273">
            <v>912</v>
          </cell>
          <cell r="H273">
            <v>1803.72</v>
          </cell>
          <cell r="Q273">
            <v>11799550.41</v>
          </cell>
          <cell r="T273">
            <v>1135368.19</v>
          </cell>
        </row>
        <row r="274">
          <cell r="D274">
            <v>914</v>
          </cell>
          <cell r="H274">
            <v>285.58999999999997</v>
          </cell>
          <cell r="Q274">
            <v>1935401.6800000002</v>
          </cell>
          <cell r="T274">
            <v>220763.94</v>
          </cell>
        </row>
        <row r="275">
          <cell r="D275">
            <v>915</v>
          </cell>
          <cell r="H275">
            <v>0</v>
          </cell>
          <cell r="Q275">
            <v>219910.3</v>
          </cell>
          <cell r="T275">
            <v>1303185.76</v>
          </cell>
        </row>
        <row r="276">
          <cell r="D276">
            <v>916</v>
          </cell>
          <cell r="H276">
            <v>0</v>
          </cell>
          <cell r="Q276">
            <v>508807.45</v>
          </cell>
          <cell r="T276">
            <v>18744983.140000001</v>
          </cell>
        </row>
        <row r="277">
          <cell r="D277">
            <v>917</v>
          </cell>
          <cell r="H277">
            <v>0</v>
          </cell>
          <cell r="Q277">
            <v>272038.93</v>
          </cell>
          <cell r="T277">
            <v>13318717.949999999</v>
          </cell>
        </row>
        <row r="278">
          <cell r="D278">
            <v>926</v>
          </cell>
          <cell r="H278">
            <v>0</v>
          </cell>
          <cell r="Q278">
            <v>40026.5</v>
          </cell>
          <cell r="T278">
            <v>0</v>
          </cell>
        </row>
        <row r="279">
          <cell r="D279">
            <v>927</v>
          </cell>
          <cell r="H279">
            <v>0</v>
          </cell>
          <cell r="Q279">
            <v>38685.910000000003</v>
          </cell>
          <cell r="T279">
            <v>0</v>
          </cell>
        </row>
        <row r="280">
          <cell r="D280">
            <v>930</v>
          </cell>
          <cell r="H280">
            <v>0</v>
          </cell>
          <cell r="Q280">
            <v>241524.61</v>
          </cell>
          <cell r="T280">
            <v>3121426.27</v>
          </cell>
        </row>
        <row r="281">
          <cell r="D281">
            <v>935</v>
          </cell>
          <cell r="H281">
            <v>0</v>
          </cell>
          <cell r="Q281">
            <v>47042.91</v>
          </cell>
          <cell r="T281">
            <v>1255824.6299999999</v>
          </cell>
        </row>
        <row r="282">
          <cell r="D282">
            <v>938</v>
          </cell>
          <cell r="H282">
            <v>0</v>
          </cell>
          <cell r="Q282">
            <v>262903.46999999997</v>
          </cell>
          <cell r="T282">
            <v>2161763.15</v>
          </cell>
        </row>
        <row r="283">
          <cell r="D283">
            <v>957</v>
          </cell>
          <cell r="H283">
            <v>0</v>
          </cell>
          <cell r="Q283">
            <v>70682.09</v>
          </cell>
          <cell r="T283">
            <v>37881.629999999997</v>
          </cell>
        </row>
        <row r="284">
          <cell r="D284">
            <v>991</v>
          </cell>
          <cell r="H284">
            <v>0</v>
          </cell>
          <cell r="Q284">
            <v>126860.46</v>
          </cell>
          <cell r="T284">
            <v>2802610.99</v>
          </cell>
        </row>
        <row r="285">
          <cell r="D285">
            <v>993</v>
          </cell>
          <cell r="H285">
            <v>0</v>
          </cell>
          <cell r="Q285">
            <v>80241.36</v>
          </cell>
          <cell r="T285">
            <v>3601170.17</v>
          </cell>
        </row>
        <row r="286">
          <cell r="D286">
            <v>998</v>
          </cell>
          <cell r="H286">
            <v>0</v>
          </cell>
          <cell r="Q286">
            <v>0</v>
          </cell>
          <cell r="T286">
            <v>260131.59</v>
          </cell>
        </row>
        <row r="287">
          <cell r="D287">
            <v>2071</v>
          </cell>
          <cell r="H287">
            <v>798.54</v>
          </cell>
          <cell r="Q287">
            <v>4911083.2699999996</v>
          </cell>
          <cell r="T287">
            <v>698580.19</v>
          </cell>
        </row>
        <row r="288">
          <cell r="D288">
            <v>2125</v>
          </cell>
          <cell r="H288">
            <v>1171.97</v>
          </cell>
          <cell r="Q288">
            <v>7610837.4900000002</v>
          </cell>
          <cell r="T288">
            <v>482853.69</v>
          </cell>
        </row>
        <row r="289">
          <cell r="D289">
            <v>2134</v>
          </cell>
          <cell r="H289">
            <v>663.47</v>
          </cell>
          <cell r="Q289">
            <v>4665414.5999999996</v>
          </cell>
          <cell r="T289">
            <v>797665.26</v>
          </cell>
        </row>
        <row r="290">
          <cell r="D290">
            <v>2135</v>
          </cell>
          <cell r="H290">
            <v>1077.1199999999999</v>
          </cell>
          <cell r="Q290">
            <v>7010571.6600000001</v>
          </cell>
          <cell r="T290">
            <v>1229274.3600000001</v>
          </cell>
        </row>
        <row r="291">
          <cell r="D291">
            <v>2137</v>
          </cell>
          <cell r="H291">
            <v>655.03</v>
          </cell>
          <cell r="Q291">
            <v>4050182.56</v>
          </cell>
          <cell r="T291">
            <v>449870.82</v>
          </cell>
        </row>
        <row r="292">
          <cell r="D292">
            <v>2142</v>
          </cell>
          <cell r="H292">
            <v>1836.01</v>
          </cell>
          <cell r="Q292">
            <v>15991286.939999998</v>
          </cell>
          <cell r="T292">
            <v>1742998.94</v>
          </cell>
        </row>
        <row r="293">
          <cell r="D293">
            <v>2143</v>
          </cell>
          <cell r="H293">
            <v>896.18</v>
          </cell>
          <cell r="Q293">
            <v>4884177.75</v>
          </cell>
          <cell r="T293">
            <v>617346.91</v>
          </cell>
        </row>
        <row r="294">
          <cell r="D294">
            <v>2144</v>
          </cell>
          <cell r="H294">
            <v>3371.78</v>
          </cell>
          <cell r="Q294">
            <v>20181854.220000003</v>
          </cell>
          <cell r="T294">
            <v>3193560.31</v>
          </cell>
        </row>
        <row r="295">
          <cell r="D295">
            <v>2149</v>
          </cell>
          <cell r="H295">
            <v>1057.48</v>
          </cell>
          <cell r="Q295">
            <v>6364155.71</v>
          </cell>
          <cell r="T295">
            <v>2768908.4899999998</v>
          </cell>
        </row>
        <row r="296">
          <cell r="D296">
            <v>2154</v>
          </cell>
          <cell r="H296">
            <v>1182.67</v>
          </cell>
          <cell r="Q296">
            <v>7934573.9199999999</v>
          </cell>
          <cell r="T296">
            <v>456683.54000000004</v>
          </cell>
        </row>
        <row r="297">
          <cell r="D297">
            <v>2155</v>
          </cell>
          <cell r="H297">
            <v>1003.17</v>
          </cell>
          <cell r="Q297">
            <v>7277405.1100000013</v>
          </cell>
          <cell r="T297">
            <v>719199.61</v>
          </cell>
        </row>
        <row r="298">
          <cell r="D298">
            <v>2159</v>
          </cell>
          <cell r="H298">
            <v>576.74</v>
          </cell>
          <cell r="Q298">
            <v>3957567.88</v>
          </cell>
          <cell r="T298">
            <v>447045.31</v>
          </cell>
        </row>
        <row r="299">
          <cell r="D299">
            <v>2164</v>
          </cell>
          <cell r="H299">
            <v>1397.06</v>
          </cell>
          <cell r="Q299">
            <v>9164460.0999999996</v>
          </cell>
          <cell r="T299">
            <v>944425.03</v>
          </cell>
        </row>
        <row r="300">
          <cell r="D300">
            <v>2165</v>
          </cell>
          <cell r="H300">
            <v>1002.87</v>
          </cell>
          <cell r="Q300">
            <v>6803882.3699999992</v>
          </cell>
          <cell r="T300">
            <v>819571.64999999991</v>
          </cell>
        </row>
        <row r="301">
          <cell r="D301">
            <v>2167</v>
          </cell>
          <cell r="H301">
            <v>574.35</v>
          </cell>
          <cell r="Q301">
            <v>3826843.5299999993</v>
          </cell>
          <cell r="T301">
            <v>501951.9</v>
          </cell>
        </row>
        <row r="302">
          <cell r="D302">
            <v>2168</v>
          </cell>
          <cell r="H302">
            <v>940.86</v>
          </cell>
          <cell r="Q302">
            <v>6028387.3200000003</v>
          </cell>
          <cell r="T302">
            <v>716764.38</v>
          </cell>
        </row>
        <row r="303">
          <cell r="D303">
            <v>2169</v>
          </cell>
          <cell r="H303">
            <v>769.51</v>
          </cell>
          <cell r="Q303">
            <v>4939642.95</v>
          </cell>
          <cell r="T303">
            <v>687764.72</v>
          </cell>
        </row>
        <row r="304">
          <cell r="D304">
            <v>2170</v>
          </cell>
          <cell r="H304">
            <v>1287.3900000000001</v>
          </cell>
          <cell r="Q304">
            <v>9356549.5399999991</v>
          </cell>
          <cell r="T304">
            <v>1293140</v>
          </cell>
        </row>
        <row r="305">
          <cell r="D305">
            <v>2171</v>
          </cell>
          <cell r="H305">
            <v>288.52</v>
          </cell>
          <cell r="Q305">
            <v>2458255.88</v>
          </cell>
          <cell r="T305">
            <v>267646.65000000002</v>
          </cell>
        </row>
        <row r="306">
          <cell r="D306">
            <v>2172</v>
          </cell>
          <cell r="H306">
            <v>829.84</v>
          </cell>
          <cell r="Q306">
            <v>4956838.47</v>
          </cell>
          <cell r="T306">
            <v>624613.23</v>
          </cell>
        </row>
        <row r="307">
          <cell r="D307">
            <v>2174</v>
          </cell>
          <cell r="H307">
            <v>904.47</v>
          </cell>
          <cell r="Q307">
            <v>6549180.3100000005</v>
          </cell>
          <cell r="T307">
            <v>900953.86</v>
          </cell>
        </row>
        <row r="308">
          <cell r="D308">
            <v>2176</v>
          </cell>
          <cell r="H308">
            <v>417.84</v>
          </cell>
          <cell r="Q308">
            <v>3566685.07</v>
          </cell>
          <cell r="T308">
            <v>391043.24</v>
          </cell>
        </row>
        <row r="309">
          <cell r="D309">
            <v>2180</v>
          </cell>
          <cell r="H309">
            <v>669.9</v>
          </cell>
          <cell r="Q309">
            <v>4412292.99</v>
          </cell>
          <cell r="T309">
            <v>497019.33999999997</v>
          </cell>
        </row>
        <row r="310">
          <cell r="D310">
            <v>2184</v>
          </cell>
          <cell r="H310">
            <v>1196.99</v>
          </cell>
          <cell r="Q310">
            <v>7710592.71</v>
          </cell>
          <cell r="T310">
            <v>933398.78</v>
          </cell>
        </row>
        <row r="311">
          <cell r="D311">
            <v>2190</v>
          </cell>
          <cell r="H311">
            <v>846.74</v>
          </cell>
          <cell r="Q311">
            <v>5816347.6000000006</v>
          </cell>
          <cell r="T311">
            <v>794968.06</v>
          </cell>
        </row>
        <row r="312">
          <cell r="D312">
            <v>2198</v>
          </cell>
          <cell r="H312">
            <v>540.87</v>
          </cell>
          <cell r="Q312">
            <v>3308215.04</v>
          </cell>
          <cell r="T312">
            <v>470945.47000000003</v>
          </cell>
        </row>
        <row r="313">
          <cell r="D313">
            <v>2215</v>
          </cell>
          <cell r="H313">
            <v>302.05</v>
          </cell>
          <cell r="Q313">
            <v>2536566.1</v>
          </cell>
          <cell r="T313">
            <v>217500.53000000003</v>
          </cell>
        </row>
        <row r="314">
          <cell r="D314">
            <v>2310</v>
          </cell>
          <cell r="H314">
            <v>1202.76</v>
          </cell>
          <cell r="Q314">
            <v>8086063.9500000002</v>
          </cell>
          <cell r="T314">
            <v>628794.18999999994</v>
          </cell>
        </row>
        <row r="315">
          <cell r="D315">
            <v>2311</v>
          </cell>
          <cell r="H315">
            <v>459.05</v>
          </cell>
          <cell r="Q315">
            <v>3178377.22</v>
          </cell>
          <cell r="T315">
            <v>395383.57</v>
          </cell>
        </row>
        <row r="316">
          <cell r="D316">
            <v>2342</v>
          </cell>
          <cell r="H316">
            <v>713.5</v>
          </cell>
          <cell r="Q316">
            <v>4487955.3099999996</v>
          </cell>
          <cell r="T316">
            <v>350156.93000000005</v>
          </cell>
        </row>
        <row r="317">
          <cell r="D317">
            <v>2358</v>
          </cell>
          <cell r="H317">
            <v>233.63</v>
          </cell>
          <cell r="Q317">
            <v>2204487.4600000004</v>
          </cell>
          <cell r="T317">
            <v>186281.23</v>
          </cell>
        </row>
        <row r="318">
          <cell r="D318">
            <v>2364</v>
          </cell>
          <cell r="H318">
            <v>672.21</v>
          </cell>
          <cell r="Q318">
            <v>4794492.6500000004</v>
          </cell>
          <cell r="T318">
            <v>374217.71</v>
          </cell>
        </row>
        <row r="319">
          <cell r="D319">
            <v>2365</v>
          </cell>
          <cell r="H319">
            <v>839.05</v>
          </cell>
          <cell r="Q319">
            <v>5530104.1600000011</v>
          </cell>
          <cell r="T319">
            <v>635188.62</v>
          </cell>
        </row>
        <row r="320">
          <cell r="D320">
            <v>2396</v>
          </cell>
          <cell r="H320">
            <v>817.24</v>
          </cell>
          <cell r="Q320">
            <v>5035902.9100000011</v>
          </cell>
          <cell r="T320">
            <v>665505.85</v>
          </cell>
        </row>
        <row r="321">
          <cell r="D321">
            <v>2397</v>
          </cell>
          <cell r="H321">
            <v>1118.45</v>
          </cell>
          <cell r="Q321">
            <v>7011837.75</v>
          </cell>
          <cell r="T321">
            <v>643323.57000000007</v>
          </cell>
        </row>
        <row r="322">
          <cell r="D322">
            <v>2448</v>
          </cell>
          <cell r="H322">
            <v>745.9</v>
          </cell>
          <cell r="Q322">
            <v>4659699.5999999996</v>
          </cell>
          <cell r="T322">
            <v>577494.12</v>
          </cell>
        </row>
        <row r="323">
          <cell r="D323">
            <v>2527</v>
          </cell>
          <cell r="H323">
            <v>259.07</v>
          </cell>
          <cell r="Q323">
            <v>2066898.5799999996</v>
          </cell>
          <cell r="T323">
            <v>280226.33999999997</v>
          </cell>
        </row>
        <row r="324">
          <cell r="D324">
            <v>2534</v>
          </cell>
          <cell r="H324">
            <v>679.86</v>
          </cell>
          <cell r="Q324">
            <v>4620871.82</v>
          </cell>
          <cell r="T324">
            <v>427772.83</v>
          </cell>
        </row>
        <row r="325">
          <cell r="D325">
            <v>2536</v>
          </cell>
          <cell r="H325">
            <v>231.48</v>
          </cell>
          <cell r="Q325">
            <v>1663061.63</v>
          </cell>
          <cell r="T325">
            <v>165412.97</v>
          </cell>
        </row>
        <row r="326">
          <cell r="D326">
            <v>2580</v>
          </cell>
          <cell r="H326">
            <v>769.62</v>
          </cell>
          <cell r="Q326">
            <v>5650656.4699999997</v>
          </cell>
          <cell r="T326">
            <v>771287.76</v>
          </cell>
        </row>
        <row r="327">
          <cell r="D327">
            <v>2609</v>
          </cell>
          <cell r="H327">
            <v>431.97</v>
          </cell>
          <cell r="Q327">
            <v>3087178.72</v>
          </cell>
          <cell r="T327">
            <v>238317.09000000003</v>
          </cell>
        </row>
        <row r="328">
          <cell r="D328">
            <v>2683</v>
          </cell>
          <cell r="H328">
            <v>436.02</v>
          </cell>
          <cell r="Q328">
            <v>3888565.98</v>
          </cell>
          <cell r="T328">
            <v>324334.84000000003</v>
          </cell>
        </row>
        <row r="329">
          <cell r="D329">
            <v>2687</v>
          </cell>
          <cell r="H329">
            <v>1074.47</v>
          </cell>
          <cell r="Q329">
            <v>6175448.8200000003</v>
          </cell>
          <cell r="T329">
            <v>731608.01</v>
          </cell>
        </row>
        <row r="330">
          <cell r="D330">
            <v>2689</v>
          </cell>
          <cell r="H330">
            <v>1138.6400000000001</v>
          </cell>
          <cell r="Q330">
            <v>7832368.0099999998</v>
          </cell>
          <cell r="T330">
            <v>1472722.5</v>
          </cell>
        </row>
        <row r="331">
          <cell r="D331">
            <v>2711</v>
          </cell>
          <cell r="H331">
            <v>871.88</v>
          </cell>
          <cell r="Q331">
            <v>5993711.3300000001</v>
          </cell>
          <cell r="T331">
            <v>614705.56000000006</v>
          </cell>
        </row>
        <row r="332">
          <cell r="D332">
            <v>2752</v>
          </cell>
          <cell r="H332">
            <v>1746.97</v>
          </cell>
          <cell r="Q332">
            <v>10984731.730000002</v>
          </cell>
          <cell r="T332">
            <v>1079672.3999999999</v>
          </cell>
        </row>
        <row r="333">
          <cell r="D333">
            <v>2753</v>
          </cell>
          <cell r="H333">
            <v>1006.88</v>
          </cell>
          <cell r="Q333">
            <v>7520329.0800000001</v>
          </cell>
          <cell r="T333">
            <v>651300.58000000007</v>
          </cell>
        </row>
        <row r="334">
          <cell r="D334">
            <v>2754</v>
          </cell>
          <cell r="H334">
            <v>483.62</v>
          </cell>
          <cell r="Q334">
            <v>3384647.77</v>
          </cell>
          <cell r="T334">
            <v>455299.5</v>
          </cell>
        </row>
        <row r="335">
          <cell r="D335">
            <v>2759</v>
          </cell>
          <cell r="H335">
            <v>287.31</v>
          </cell>
          <cell r="Q335">
            <v>2182798.1800000002</v>
          </cell>
          <cell r="T335">
            <v>133212.76</v>
          </cell>
        </row>
        <row r="336">
          <cell r="D336">
            <v>2805</v>
          </cell>
          <cell r="H336">
            <v>1069.8800000000001</v>
          </cell>
          <cell r="Q336">
            <v>6256913.8800000008</v>
          </cell>
          <cell r="T336">
            <v>600730.10000000009</v>
          </cell>
        </row>
        <row r="337">
          <cell r="D337">
            <v>2835</v>
          </cell>
          <cell r="H337">
            <v>572.4</v>
          </cell>
          <cell r="Q337">
            <v>3652125.6300000004</v>
          </cell>
          <cell r="T337">
            <v>629511.68000000005</v>
          </cell>
        </row>
        <row r="338">
          <cell r="D338">
            <v>2853</v>
          </cell>
          <cell r="H338">
            <v>810.39</v>
          </cell>
          <cell r="Q338">
            <v>5464297.0899999989</v>
          </cell>
          <cell r="T338">
            <v>761677.23</v>
          </cell>
        </row>
        <row r="339">
          <cell r="D339">
            <v>2854</v>
          </cell>
          <cell r="H339">
            <v>537.57000000000005</v>
          </cell>
          <cell r="Q339">
            <v>4155261.83</v>
          </cell>
          <cell r="T339">
            <v>495246.80000000005</v>
          </cell>
        </row>
        <row r="340">
          <cell r="D340">
            <v>2856</v>
          </cell>
          <cell r="H340">
            <v>347.68</v>
          </cell>
          <cell r="Q340">
            <v>2862906.9200000004</v>
          </cell>
          <cell r="T340">
            <v>370639.66</v>
          </cell>
        </row>
        <row r="341">
          <cell r="D341">
            <v>2859</v>
          </cell>
          <cell r="H341">
            <v>1710.06</v>
          </cell>
          <cell r="Q341">
            <v>10793495.070000002</v>
          </cell>
          <cell r="T341">
            <v>1109244.76</v>
          </cell>
        </row>
        <row r="342">
          <cell r="D342">
            <v>2860</v>
          </cell>
          <cell r="H342">
            <v>1241.4100000000001</v>
          </cell>
          <cell r="Q342">
            <v>8451572.3000000007</v>
          </cell>
          <cell r="T342">
            <v>551143.48</v>
          </cell>
        </row>
        <row r="343">
          <cell r="D343">
            <v>2884</v>
          </cell>
          <cell r="H343">
            <v>447.86</v>
          </cell>
          <cell r="Q343">
            <v>3219214.66</v>
          </cell>
          <cell r="T343">
            <v>118398.65</v>
          </cell>
        </row>
        <row r="344">
          <cell r="D344">
            <v>2886</v>
          </cell>
          <cell r="H344">
            <v>398.86</v>
          </cell>
          <cell r="Q344">
            <v>2649156.86</v>
          </cell>
          <cell r="T344">
            <v>168054.66</v>
          </cell>
        </row>
        <row r="345">
          <cell r="D345">
            <v>2888</v>
          </cell>
          <cell r="H345">
            <v>371.94</v>
          </cell>
          <cell r="Q345">
            <v>2996554.09</v>
          </cell>
          <cell r="T345">
            <v>236820.91999999998</v>
          </cell>
        </row>
        <row r="346">
          <cell r="D346">
            <v>2889</v>
          </cell>
          <cell r="H346">
            <v>633.74</v>
          </cell>
          <cell r="Q346">
            <v>3694563.2100000004</v>
          </cell>
          <cell r="T346">
            <v>252824.03</v>
          </cell>
        </row>
        <row r="347">
          <cell r="D347">
            <v>2890</v>
          </cell>
          <cell r="H347">
            <v>497.85</v>
          </cell>
          <cell r="Q347">
            <v>3376068.11</v>
          </cell>
          <cell r="T347">
            <v>410798.08999999997</v>
          </cell>
        </row>
        <row r="348">
          <cell r="D348">
            <v>2895</v>
          </cell>
          <cell r="H348">
            <v>1193.1600000000001</v>
          </cell>
          <cell r="Q348">
            <v>7500931.7200000007</v>
          </cell>
          <cell r="T348">
            <v>687502.06</v>
          </cell>
        </row>
        <row r="349">
          <cell r="D349">
            <v>2897</v>
          </cell>
          <cell r="H349">
            <v>1160.21</v>
          </cell>
          <cell r="Q349">
            <v>7658552.1099999994</v>
          </cell>
          <cell r="T349">
            <v>686402.82000000007</v>
          </cell>
        </row>
        <row r="350">
          <cell r="D350">
            <v>2898</v>
          </cell>
          <cell r="H350">
            <v>471.61</v>
          </cell>
          <cell r="Q350">
            <v>4054753.9200000009</v>
          </cell>
          <cell r="T350">
            <v>169020.05</v>
          </cell>
        </row>
        <row r="351">
          <cell r="D351">
            <v>2899</v>
          </cell>
          <cell r="H351">
            <v>1504.48</v>
          </cell>
          <cell r="Q351">
            <v>9452364.4400000032</v>
          </cell>
          <cell r="T351">
            <v>643515.22</v>
          </cell>
        </row>
        <row r="352">
          <cell r="D352">
            <v>2902</v>
          </cell>
          <cell r="H352">
            <v>526.20000000000005</v>
          </cell>
          <cell r="Q352">
            <v>4024723.78</v>
          </cell>
          <cell r="T352">
            <v>222781.06</v>
          </cell>
        </row>
        <row r="353">
          <cell r="D353">
            <v>2903</v>
          </cell>
          <cell r="H353">
            <v>496.4</v>
          </cell>
          <cell r="Q353">
            <v>3517291.51</v>
          </cell>
          <cell r="T353">
            <v>480933.08999999997</v>
          </cell>
        </row>
        <row r="354">
          <cell r="D354">
            <v>2904</v>
          </cell>
          <cell r="H354">
            <v>756.49</v>
          </cell>
          <cell r="Q354">
            <v>5368814.3200000003</v>
          </cell>
          <cell r="T354">
            <v>304974.42</v>
          </cell>
        </row>
        <row r="355">
          <cell r="D355">
            <v>4000</v>
          </cell>
          <cell r="H355">
            <v>136.09</v>
          </cell>
          <cell r="Q355">
            <v>1300537.47</v>
          </cell>
          <cell r="T355">
            <v>0</v>
          </cell>
        </row>
        <row r="356">
          <cell r="D356">
            <v>4001</v>
          </cell>
          <cell r="H356">
            <v>208.47</v>
          </cell>
          <cell r="Q356">
            <v>1218017.46</v>
          </cell>
          <cell r="T356">
            <v>193061.72</v>
          </cell>
        </row>
        <row r="357">
          <cell r="D357">
            <v>4003</v>
          </cell>
          <cell r="H357">
            <v>139.22</v>
          </cell>
          <cell r="Q357">
            <v>972093.20000000007</v>
          </cell>
          <cell r="T357">
            <v>213374.47</v>
          </cell>
        </row>
        <row r="358">
          <cell r="D358">
            <v>4004</v>
          </cell>
          <cell r="H358">
            <v>143.25</v>
          </cell>
          <cell r="Q358">
            <v>1227878.6399999999</v>
          </cell>
          <cell r="T358">
            <v>248940.4</v>
          </cell>
        </row>
        <row r="359">
          <cell r="D359">
            <v>4005</v>
          </cell>
          <cell r="H359">
            <v>16.46</v>
          </cell>
          <cell r="Q359">
            <v>136313.29</v>
          </cell>
          <cell r="T359">
            <v>3803627.65</v>
          </cell>
        </row>
        <row r="360">
          <cell r="D360">
            <v>4007</v>
          </cell>
          <cell r="H360">
            <v>104.09</v>
          </cell>
          <cell r="Q360">
            <v>812634.29</v>
          </cell>
          <cell r="T360">
            <v>161780.16</v>
          </cell>
        </row>
        <row r="361">
          <cell r="D361">
            <v>4008</v>
          </cell>
          <cell r="H361">
            <v>602.34</v>
          </cell>
          <cell r="Q361">
            <v>3828447.4499999997</v>
          </cell>
          <cell r="T361">
            <v>610351.49</v>
          </cell>
        </row>
        <row r="362">
          <cell r="D362">
            <v>4011</v>
          </cell>
          <cell r="H362">
            <v>197.33</v>
          </cell>
          <cell r="Q362">
            <v>1851940.57</v>
          </cell>
          <cell r="T362">
            <v>902970.6</v>
          </cell>
        </row>
        <row r="363">
          <cell r="D363">
            <v>4015</v>
          </cell>
          <cell r="H363">
            <v>685.69</v>
          </cell>
          <cell r="Q363">
            <v>6149443.3399999999</v>
          </cell>
          <cell r="T363">
            <v>858186.7</v>
          </cell>
        </row>
        <row r="364">
          <cell r="D364">
            <v>4016</v>
          </cell>
          <cell r="H364">
            <v>182.43</v>
          </cell>
          <cell r="Q364">
            <v>1064132.3499999999</v>
          </cell>
          <cell r="T364">
            <v>123051.34</v>
          </cell>
        </row>
        <row r="365">
          <cell r="D365">
            <v>4017</v>
          </cell>
          <cell r="H365">
            <v>2774.2</v>
          </cell>
          <cell r="Q365">
            <v>23107515.580000002</v>
          </cell>
          <cell r="T365">
            <v>1419489.3</v>
          </cell>
        </row>
        <row r="366">
          <cell r="D366">
            <v>4018</v>
          </cell>
          <cell r="H366">
            <v>401.42</v>
          </cell>
          <cell r="Q366">
            <v>3563316.67</v>
          </cell>
          <cell r="T366">
            <v>284831.88</v>
          </cell>
        </row>
        <row r="367">
          <cell r="D367">
            <v>4020</v>
          </cell>
          <cell r="H367">
            <v>1059.69</v>
          </cell>
          <cell r="Q367">
            <v>7283736.7599999998</v>
          </cell>
          <cell r="T367">
            <v>3095403.39</v>
          </cell>
        </row>
        <row r="368">
          <cell r="D368">
            <v>4025</v>
          </cell>
          <cell r="H368">
            <v>122.93</v>
          </cell>
          <cell r="Q368">
            <v>844618.21</v>
          </cell>
          <cell r="T368">
            <v>139102.15</v>
          </cell>
        </row>
        <row r="369">
          <cell r="D369">
            <v>4026</v>
          </cell>
          <cell r="H369">
            <v>174.17</v>
          </cell>
          <cell r="Q369">
            <v>1410768.4</v>
          </cell>
          <cell r="T369">
            <v>250683.65</v>
          </cell>
        </row>
        <row r="370">
          <cell r="D370">
            <v>4027</v>
          </cell>
          <cell r="H370">
            <v>658.43</v>
          </cell>
          <cell r="Q370">
            <v>6393116.6100000003</v>
          </cell>
          <cell r="T370">
            <v>180357.52</v>
          </cell>
        </row>
        <row r="371">
          <cell r="D371">
            <v>4029</v>
          </cell>
          <cell r="H371">
            <v>333.79</v>
          </cell>
          <cell r="Q371">
            <v>2966453.4</v>
          </cell>
          <cell r="T371">
            <v>319541.7</v>
          </cell>
        </row>
        <row r="372">
          <cell r="D372">
            <v>4030</v>
          </cell>
          <cell r="H372">
            <v>241.92</v>
          </cell>
          <cell r="Q372">
            <v>1981182.8800000001</v>
          </cell>
          <cell r="T372">
            <v>390222.92</v>
          </cell>
        </row>
        <row r="373">
          <cell r="D373">
            <v>4031</v>
          </cell>
          <cell r="H373">
            <v>66.38</v>
          </cell>
          <cell r="Q373">
            <v>701898.19000000006</v>
          </cell>
          <cell r="T373">
            <v>33743.769999999997</v>
          </cell>
        </row>
        <row r="374">
          <cell r="D374">
            <v>4032</v>
          </cell>
          <cell r="H374">
            <v>326.3</v>
          </cell>
          <cell r="Q374">
            <v>2669637.16</v>
          </cell>
          <cell r="T374">
            <v>266373.73</v>
          </cell>
        </row>
        <row r="375">
          <cell r="D375">
            <v>4035</v>
          </cell>
          <cell r="H375">
            <v>292.39999999999998</v>
          </cell>
          <cell r="Q375">
            <v>2666275.6799999997</v>
          </cell>
          <cell r="T375">
            <v>1048033.08</v>
          </cell>
        </row>
        <row r="376">
          <cell r="D376">
            <v>4036</v>
          </cell>
          <cell r="H376">
            <v>65.92</v>
          </cell>
          <cell r="Q376">
            <v>620166.46</v>
          </cell>
          <cell r="T376">
            <v>153978.51999999999</v>
          </cell>
        </row>
        <row r="377">
          <cell r="D377">
            <v>4038</v>
          </cell>
          <cell r="H377">
            <v>335.69</v>
          </cell>
          <cell r="Q377">
            <v>2694088.63</v>
          </cell>
          <cell r="T377">
            <v>848241.38</v>
          </cell>
        </row>
        <row r="378">
          <cell r="D378">
            <v>4039</v>
          </cell>
          <cell r="H378">
            <v>214.24</v>
          </cell>
          <cell r="Q378">
            <v>2155622.92</v>
          </cell>
          <cell r="T378">
            <v>131118.59</v>
          </cell>
        </row>
        <row r="379">
          <cell r="D379">
            <v>4042</v>
          </cell>
          <cell r="H379">
            <v>184.65</v>
          </cell>
          <cell r="Q379">
            <v>1291565.6200000001</v>
          </cell>
          <cell r="T379">
            <v>62547.69</v>
          </cell>
        </row>
        <row r="380">
          <cell r="D380">
            <v>4043</v>
          </cell>
          <cell r="H380">
            <v>319.67</v>
          </cell>
          <cell r="Q380">
            <v>2056581.26</v>
          </cell>
          <cell r="T380">
            <v>252038.11</v>
          </cell>
        </row>
        <row r="381">
          <cell r="D381">
            <v>4045</v>
          </cell>
          <cell r="H381">
            <v>49.02</v>
          </cell>
          <cell r="Q381">
            <v>455435.44</v>
          </cell>
          <cell r="T381">
            <v>75596.22</v>
          </cell>
        </row>
        <row r="382">
          <cell r="D382">
            <v>4046</v>
          </cell>
          <cell r="H382">
            <v>98.03</v>
          </cell>
          <cell r="Q382">
            <v>767791.27</v>
          </cell>
          <cell r="T382">
            <v>116862.66</v>
          </cell>
        </row>
        <row r="383">
          <cell r="D383">
            <v>4048</v>
          </cell>
          <cell r="H383">
            <v>30.93</v>
          </cell>
          <cell r="Q383">
            <v>211597.81</v>
          </cell>
          <cell r="T383">
            <v>35378.870000000003</v>
          </cell>
        </row>
        <row r="384">
          <cell r="D384">
            <v>4049</v>
          </cell>
          <cell r="H384">
            <v>176.23</v>
          </cell>
          <cell r="Q384">
            <v>1333097.6099999999</v>
          </cell>
          <cell r="T384">
            <v>317232.71999999997</v>
          </cell>
        </row>
        <row r="385">
          <cell r="D385">
            <v>4050</v>
          </cell>
          <cell r="H385">
            <v>66.489999999999995</v>
          </cell>
          <cell r="Q385">
            <v>495505.14</v>
          </cell>
          <cell r="T385">
            <v>87402.45</v>
          </cell>
        </row>
        <row r="386">
          <cell r="D386">
            <v>4052</v>
          </cell>
          <cell r="H386">
            <v>92.52</v>
          </cell>
          <cell r="Q386">
            <v>933149.24</v>
          </cell>
          <cell r="T386">
            <v>183542.84</v>
          </cell>
        </row>
        <row r="387">
          <cell r="D387">
            <v>4053</v>
          </cell>
          <cell r="H387">
            <v>310.33</v>
          </cell>
          <cell r="Q387">
            <v>2049621.24</v>
          </cell>
          <cell r="T387">
            <v>243848.13</v>
          </cell>
        </row>
        <row r="388">
          <cell r="D388">
            <v>4054</v>
          </cell>
          <cell r="H388">
            <v>41.45</v>
          </cell>
          <cell r="Q388">
            <v>232427.54</v>
          </cell>
          <cell r="T388">
            <v>9352.75</v>
          </cell>
        </row>
        <row r="389">
          <cell r="D389">
            <v>4055</v>
          </cell>
          <cell r="H389">
            <v>150.66</v>
          </cell>
          <cell r="Q389">
            <v>818283.18</v>
          </cell>
          <cell r="T389">
            <v>132979.6</v>
          </cell>
        </row>
        <row r="390">
          <cell r="D390">
            <v>4056</v>
          </cell>
          <cell r="H390">
            <v>103.38</v>
          </cell>
          <cell r="Q390">
            <v>848143.12999999989</v>
          </cell>
          <cell r="T390">
            <v>314046.78999999998</v>
          </cell>
        </row>
        <row r="391">
          <cell r="D391">
            <v>4057</v>
          </cell>
          <cell r="H391">
            <v>69.33</v>
          </cell>
          <cell r="Q391">
            <v>776915.65999999992</v>
          </cell>
          <cell r="T391">
            <v>125698.12</v>
          </cell>
        </row>
        <row r="392">
          <cell r="D392">
            <v>4058</v>
          </cell>
          <cell r="H392">
            <v>173.96</v>
          </cell>
          <cell r="Q392">
            <v>1135142.6700000002</v>
          </cell>
          <cell r="T392">
            <v>338892.61</v>
          </cell>
        </row>
        <row r="393">
          <cell r="D393">
            <v>4059</v>
          </cell>
          <cell r="H393">
            <v>134.44</v>
          </cell>
          <cell r="Q393">
            <v>909670.32000000007</v>
          </cell>
          <cell r="T393">
            <v>143903.21</v>
          </cell>
        </row>
        <row r="394">
          <cell r="D394">
            <v>4061</v>
          </cell>
          <cell r="H394">
            <v>97.64</v>
          </cell>
          <cell r="Q394">
            <v>694515.27</v>
          </cell>
          <cell r="T394">
            <v>61365.25</v>
          </cell>
        </row>
        <row r="395">
          <cell r="D395">
            <v>4064</v>
          </cell>
          <cell r="H395">
            <v>79.39</v>
          </cell>
          <cell r="Q395">
            <v>691940.34000000008</v>
          </cell>
          <cell r="T395">
            <v>221364.82</v>
          </cell>
        </row>
        <row r="396">
          <cell r="D396">
            <v>4066</v>
          </cell>
          <cell r="H396">
            <v>59.33</v>
          </cell>
          <cell r="Q396">
            <v>503331.73</v>
          </cell>
          <cell r="T396">
            <v>121349.04</v>
          </cell>
        </row>
        <row r="397">
          <cell r="D397">
            <v>4067</v>
          </cell>
          <cell r="H397">
            <v>289.11</v>
          </cell>
          <cell r="Q397">
            <v>2689964.87</v>
          </cell>
          <cell r="T397">
            <v>142774.39999999999</v>
          </cell>
        </row>
        <row r="398">
          <cell r="D398">
            <v>4068</v>
          </cell>
          <cell r="H398">
            <v>402.64</v>
          </cell>
          <cell r="Q398">
            <v>3688857.9</v>
          </cell>
          <cell r="T398">
            <v>267499.76</v>
          </cell>
        </row>
        <row r="399">
          <cell r="D399">
            <v>4070</v>
          </cell>
          <cell r="H399">
            <v>470.96</v>
          </cell>
          <cell r="Q399">
            <v>4062884.06</v>
          </cell>
          <cell r="T399">
            <v>340904.84</v>
          </cell>
        </row>
        <row r="400">
          <cell r="D400">
            <v>4073</v>
          </cell>
          <cell r="H400">
            <v>330.99</v>
          </cell>
          <cell r="Q400">
            <v>2921673.4600000004</v>
          </cell>
          <cell r="T400">
            <v>312170.01</v>
          </cell>
        </row>
        <row r="401">
          <cell r="D401">
            <v>4074</v>
          </cell>
          <cell r="H401">
            <v>198.03</v>
          </cell>
          <cell r="Q401">
            <v>1496575.06</v>
          </cell>
          <cell r="T401">
            <v>662208.93999999994</v>
          </cell>
        </row>
        <row r="402">
          <cell r="D402">
            <v>4075</v>
          </cell>
          <cell r="H402">
            <v>172.67</v>
          </cell>
          <cell r="Q402">
            <v>1305511.6700000002</v>
          </cell>
          <cell r="T402">
            <v>246414.72</v>
          </cell>
        </row>
        <row r="403">
          <cell r="D403">
            <v>4077</v>
          </cell>
          <cell r="H403">
            <v>576.9</v>
          </cell>
          <cell r="Q403">
            <v>5226053.2600000007</v>
          </cell>
          <cell r="T403">
            <v>432262.99</v>
          </cell>
        </row>
        <row r="404">
          <cell r="D404">
            <v>4078</v>
          </cell>
          <cell r="H404">
            <v>334.18</v>
          </cell>
          <cell r="Q404">
            <v>3249312.1</v>
          </cell>
          <cell r="T404">
            <v>169465.15</v>
          </cell>
        </row>
        <row r="405">
          <cell r="D405">
            <v>4079</v>
          </cell>
          <cell r="H405">
            <v>96.75</v>
          </cell>
          <cell r="Q405">
            <v>863505.89</v>
          </cell>
          <cell r="T405">
            <v>82418.58</v>
          </cell>
        </row>
        <row r="406">
          <cell r="D406">
            <v>4080</v>
          </cell>
          <cell r="H406">
            <v>37.69</v>
          </cell>
          <cell r="Q406">
            <v>387222.48</v>
          </cell>
          <cell r="T406">
            <v>147034.51</v>
          </cell>
        </row>
        <row r="407">
          <cell r="D407">
            <v>4081</v>
          </cell>
          <cell r="H407">
            <v>69.959999999999994</v>
          </cell>
          <cell r="Q407">
            <v>561391.95000000007</v>
          </cell>
          <cell r="T407">
            <v>95991.72</v>
          </cell>
        </row>
        <row r="408">
          <cell r="D408">
            <v>4082</v>
          </cell>
          <cell r="H408">
            <v>591.09</v>
          </cell>
          <cell r="Q408">
            <v>4657765.8100000005</v>
          </cell>
          <cell r="T408">
            <v>525602.23</v>
          </cell>
        </row>
        <row r="409">
          <cell r="D409">
            <v>4083</v>
          </cell>
          <cell r="H409">
            <v>86.97</v>
          </cell>
          <cell r="Q409">
            <v>490863.2</v>
          </cell>
          <cell r="T409">
            <v>67131.77</v>
          </cell>
        </row>
        <row r="410">
          <cell r="D410">
            <v>4084</v>
          </cell>
          <cell r="H410">
            <v>320.14</v>
          </cell>
          <cell r="Q410">
            <v>2040911.71</v>
          </cell>
          <cell r="T410">
            <v>311508.33</v>
          </cell>
        </row>
        <row r="411">
          <cell r="D411">
            <v>4085</v>
          </cell>
          <cell r="H411">
            <v>191.49</v>
          </cell>
          <cell r="Q411">
            <v>1454174.57</v>
          </cell>
          <cell r="T411">
            <v>372806.08</v>
          </cell>
        </row>
        <row r="412">
          <cell r="D412">
            <v>4086</v>
          </cell>
          <cell r="H412">
            <v>262.19</v>
          </cell>
          <cell r="Q412">
            <v>2530183.83</v>
          </cell>
          <cell r="T412">
            <v>463311.13</v>
          </cell>
        </row>
        <row r="413">
          <cell r="D413">
            <v>4087</v>
          </cell>
          <cell r="H413">
            <v>82.9</v>
          </cell>
          <cell r="Q413">
            <v>704132.02</v>
          </cell>
          <cell r="T413">
            <v>167184.65</v>
          </cell>
        </row>
        <row r="414">
          <cell r="D414">
            <v>4088</v>
          </cell>
          <cell r="H414">
            <v>255.57</v>
          </cell>
          <cell r="Q414">
            <v>2168219.34</v>
          </cell>
          <cell r="T414">
            <v>323766.65999999997</v>
          </cell>
        </row>
        <row r="415">
          <cell r="D415">
            <v>4089</v>
          </cell>
          <cell r="H415">
            <v>124.7</v>
          </cell>
          <cell r="Q415">
            <v>762160.86</v>
          </cell>
          <cell r="T415">
            <v>113783.69</v>
          </cell>
        </row>
        <row r="416">
          <cell r="D416">
            <v>4090</v>
          </cell>
          <cell r="H416">
            <v>179.15</v>
          </cell>
          <cell r="Q416">
            <v>960763.96</v>
          </cell>
          <cell r="T416">
            <v>189284.73</v>
          </cell>
        </row>
        <row r="417">
          <cell r="D417">
            <v>4091</v>
          </cell>
          <cell r="H417">
            <v>118.45</v>
          </cell>
          <cell r="Q417">
            <v>846821.49</v>
          </cell>
          <cell r="T417">
            <v>250976.14</v>
          </cell>
        </row>
        <row r="418">
          <cell r="D418">
            <v>4092</v>
          </cell>
          <cell r="H418">
            <v>80.819999999999993</v>
          </cell>
          <cell r="Q418">
            <v>629486.01</v>
          </cell>
          <cell r="T418">
            <v>61442.559999999998</v>
          </cell>
        </row>
        <row r="419">
          <cell r="D419">
            <v>4093</v>
          </cell>
          <cell r="H419">
            <v>134.86000000000001</v>
          </cell>
          <cell r="Q419">
            <v>1029823.2200000001</v>
          </cell>
          <cell r="T419">
            <v>171536.98</v>
          </cell>
        </row>
        <row r="420">
          <cell r="D420">
            <v>4095</v>
          </cell>
          <cell r="H420">
            <v>140.16</v>
          </cell>
          <cell r="Q420">
            <v>1084376.79</v>
          </cell>
          <cell r="T420">
            <v>57928.86</v>
          </cell>
        </row>
        <row r="421">
          <cell r="D421">
            <v>4097</v>
          </cell>
          <cell r="H421">
            <v>243.77</v>
          </cell>
          <cell r="Q421">
            <v>2396435.56</v>
          </cell>
          <cell r="T421">
            <v>113577.33</v>
          </cell>
        </row>
        <row r="422">
          <cell r="D422">
            <v>4098</v>
          </cell>
          <cell r="H422">
            <v>627.83000000000004</v>
          </cell>
          <cell r="Q422">
            <v>3951800.7</v>
          </cell>
          <cell r="T422">
            <v>281703.84999999998</v>
          </cell>
        </row>
        <row r="423">
          <cell r="D423">
            <v>4099</v>
          </cell>
          <cell r="H423">
            <v>507.51</v>
          </cell>
          <cell r="Q423">
            <v>3088231.32</v>
          </cell>
          <cell r="T423">
            <v>0</v>
          </cell>
        </row>
        <row r="424">
          <cell r="D424">
            <v>4100</v>
          </cell>
          <cell r="H424">
            <v>64.27</v>
          </cell>
          <cell r="Q424">
            <v>378283.16000000003</v>
          </cell>
          <cell r="T424">
            <v>172381.3</v>
          </cell>
        </row>
        <row r="425">
          <cell r="D425">
            <v>4102</v>
          </cell>
          <cell r="H425">
            <v>222.41</v>
          </cell>
          <cell r="Q425">
            <v>2562262.58</v>
          </cell>
          <cell r="T425">
            <v>237716.59</v>
          </cell>
        </row>
        <row r="426">
          <cell r="D426">
            <v>4103</v>
          </cell>
          <cell r="H426">
            <v>684.75</v>
          </cell>
          <cell r="Q426">
            <v>6294931.6100000003</v>
          </cell>
          <cell r="T426">
            <v>340267.36</v>
          </cell>
        </row>
        <row r="427">
          <cell r="D427">
            <v>4104</v>
          </cell>
          <cell r="H427">
            <v>150.30000000000001</v>
          </cell>
          <cell r="Q427">
            <v>1228428.1100000001</v>
          </cell>
          <cell r="T427">
            <v>233241.38</v>
          </cell>
        </row>
        <row r="428">
          <cell r="D428">
            <v>4105</v>
          </cell>
          <cell r="H428">
            <v>263.83999999999997</v>
          </cell>
          <cell r="Q428">
            <v>1896498.66</v>
          </cell>
          <cell r="T428">
            <v>195906.91</v>
          </cell>
        </row>
        <row r="429">
          <cell r="D429">
            <v>4106</v>
          </cell>
          <cell r="H429">
            <v>166.61</v>
          </cell>
          <cell r="Q429">
            <v>1296345.69</v>
          </cell>
          <cell r="T429">
            <v>216971.31</v>
          </cell>
        </row>
        <row r="430">
          <cell r="D430">
            <v>4107</v>
          </cell>
          <cell r="H430">
            <v>62.13</v>
          </cell>
          <cell r="Q430">
            <v>625470.32000000007</v>
          </cell>
          <cell r="T430">
            <v>125855.5</v>
          </cell>
        </row>
        <row r="431">
          <cell r="D431">
            <v>4108</v>
          </cell>
          <cell r="H431">
            <v>73.69</v>
          </cell>
          <cell r="Q431">
            <v>705194.18</v>
          </cell>
          <cell r="T431">
            <v>173001.28</v>
          </cell>
        </row>
        <row r="432">
          <cell r="D432">
            <v>4109</v>
          </cell>
          <cell r="H432">
            <v>84.39</v>
          </cell>
          <cell r="Q432">
            <v>728773.03</v>
          </cell>
          <cell r="T432">
            <v>159579.51999999999</v>
          </cell>
        </row>
        <row r="433">
          <cell r="D433">
            <v>4110</v>
          </cell>
          <cell r="H433">
            <v>241.73</v>
          </cell>
          <cell r="Q433">
            <v>1816094.55</v>
          </cell>
          <cell r="T433">
            <v>194834.44</v>
          </cell>
        </row>
        <row r="434">
          <cell r="D434">
            <v>4111</v>
          </cell>
          <cell r="H434">
            <v>108.95</v>
          </cell>
          <cell r="Q434">
            <v>1029378.75</v>
          </cell>
          <cell r="T434">
            <v>65772.58</v>
          </cell>
        </row>
        <row r="435">
          <cell r="D435">
            <v>4112</v>
          </cell>
          <cell r="H435">
            <v>506.61</v>
          </cell>
          <cell r="Q435">
            <v>3713436.22</v>
          </cell>
          <cell r="T435">
            <v>106914.62</v>
          </cell>
        </row>
        <row r="436">
          <cell r="D436">
            <v>4113</v>
          </cell>
          <cell r="H436">
            <v>71.06</v>
          </cell>
          <cell r="Q436">
            <v>429151.92</v>
          </cell>
          <cell r="T436">
            <v>1886028.32</v>
          </cell>
        </row>
        <row r="437">
          <cell r="D437">
            <v>4114</v>
          </cell>
          <cell r="H437">
            <v>61.88</v>
          </cell>
          <cell r="Q437">
            <v>578184.40999999992</v>
          </cell>
          <cell r="T437">
            <v>86097.84</v>
          </cell>
        </row>
        <row r="438">
          <cell r="D438">
            <v>4115</v>
          </cell>
          <cell r="H438">
            <v>142.65</v>
          </cell>
          <cell r="Q438">
            <v>1265689.49</v>
          </cell>
          <cell r="T438">
            <v>78682.399999999994</v>
          </cell>
        </row>
        <row r="439">
          <cell r="D439">
            <v>4116</v>
          </cell>
          <cell r="H439">
            <v>581.13</v>
          </cell>
          <cell r="Q439">
            <v>3241627.0900000003</v>
          </cell>
          <cell r="T439">
            <v>326460.96999999997</v>
          </cell>
        </row>
        <row r="440">
          <cell r="D440">
            <v>4118</v>
          </cell>
          <cell r="H440">
            <v>429.94</v>
          </cell>
          <cell r="Q440">
            <v>2464888.5099999998</v>
          </cell>
          <cell r="T440">
            <v>364476.63</v>
          </cell>
        </row>
        <row r="441">
          <cell r="D441">
            <v>4119</v>
          </cell>
          <cell r="H441">
            <v>63.44</v>
          </cell>
          <cell r="Q441">
            <v>450655.56000000006</v>
          </cell>
          <cell r="T441">
            <v>55708.3</v>
          </cell>
        </row>
        <row r="442">
          <cell r="D442">
            <v>4120</v>
          </cell>
          <cell r="H442">
            <v>947.58</v>
          </cell>
          <cell r="Q442">
            <v>5767604.7700000005</v>
          </cell>
          <cell r="T442">
            <v>497153.08</v>
          </cell>
        </row>
        <row r="443">
          <cell r="D443">
            <v>4121</v>
          </cell>
          <cell r="H443">
            <v>225.25</v>
          </cell>
          <cell r="Q443">
            <v>2207426.87</v>
          </cell>
          <cell r="T443">
            <v>176629.16</v>
          </cell>
        </row>
        <row r="444">
          <cell r="D444">
            <v>4122</v>
          </cell>
          <cell r="H444">
            <v>569.20000000000005</v>
          </cell>
          <cell r="Q444">
            <v>3557479.17</v>
          </cell>
          <cell r="T444">
            <v>280806.48</v>
          </cell>
        </row>
        <row r="445">
          <cell r="D445">
            <v>4123</v>
          </cell>
          <cell r="H445">
            <v>35.700000000000003</v>
          </cell>
          <cell r="Q445">
            <v>205907.72</v>
          </cell>
          <cell r="T445">
            <v>29438.19</v>
          </cell>
        </row>
        <row r="446">
          <cell r="D446">
            <v>4124</v>
          </cell>
          <cell r="H446">
            <v>417.94</v>
          </cell>
          <cell r="Q446">
            <v>2620823.04</v>
          </cell>
          <cell r="T446">
            <v>766003.66</v>
          </cell>
        </row>
        <row r="447">
          <cell r="D447">
            <v>4126</v>
          </cell>
          <cell r="H447">
            <v>712.15</v>
          </cell>
          <cell r="Q447">
            <v>6042705.1900000004</v>
          </cell>
          <cell r="T447">
            <v>120638</v>
          </cell>
        </row>
        <row r="448">
          <cell r="D448">
            <v>4127</v>
          </cell>
          <cell r="H448">
            <v>148.13999999999999</v>
          </cell>
          <cell r="Q448">
            <v>918066.57</v>
          </cell>
          <cell r="T448">
            <v>168292.33</v>
          </cell>
        </row>
        <row r="449">
          <cell r="D449">
            <v>4131</v>
          </cell>
          <cell r="H449">
            <v>135.03</v>
          </cell>
          <cell r="Q449">
            <v>1857032.5999999999</v>
          </cell>
          <cell r="T449">
            <v>62383.199999999997</v>
          </cell>
        </row>
        <row r="450">
          <cell r="D450">
            <v>4132</v>
          </cell>
          <cell r="H450">
            <v>121.97</v>
          </cell>
          <cell r="Q450">
            <v>895120.08</v>
          </cell>
          <cell r="T450">
            <v>53877.48</v>
          </cell>
        </row>
        <row r="451">
          <cell r="D451">
            <v>4133</v>
          </cell>
          <cell r="H451">
            <v>127.74</v>
          </cell>
          <cell r="Q451">
            <v>860801.79999999993</v>
          </cell>
          <cell r="T451">
            <v>248913.42</v>
          </cell>
        </row>
        <row r="452">
          <cell r="D452">
            <v>4135</v>
          </cell>
          <cell r="H452">
            <v>217.64</v>
          </cell>
          <cell r="Q452">
            <v>2005828.04</v>
          </cell>
          <cell r="T452">
            <v>40624.17</v>
          </cell>
        </row>
        <row r="453">
          <cell r="D453">
            <v>4137</v>
          </cell>
          <cell r="H453">
            <v>142.83000000000001</v>
          </cell>
          <cell r="Q453">
            <v>771182.55</v>
          </cell>
          <cell r="T453">
            <v>166072.64000000001</v>
          </cell>
        </row>
        <row r="454">
          <cell r="D454">
            <v>4138</v>
          </cell>
          <cell r="H454">
            <v>49.34</v>
          </cell>
          <cell r="Q454">
            <v>298904.09999999998</v>
          </cell>
          <cell r="T454">
            <v>36630.129999999997</v>
          </cell>
        </row>
        <row r="455">
          <cell r="D455">
            <v>4139</v>
          </cell>
          <cell r="H455">
            <v>246.91</v>
          </cell>
          <cell r="Q455">
            <v>1836094.59</v>
          </cell>
          <cell r="T455">
            <v>131097.96</v>
          </cell>
        </row>
        <row r="456">
          <cell r="D456">
            <v>4140</v>
          </cell>
          <cell r="H456">
            <v>364.29</v>
          </cell>
          <cell r="Q456">
            <v>2101458.1999999997</v>
          </cell>
          <cell r="T456">
            <v>169186.48</v>
          </cell>
        </row>
        <row r="457">
          <cell r="D457">
            <v>4141</v>
          </cell>
          <cell r="H457">
            <v>381.32</v>
          </cell>
          <cell r="Q457">
            <v>2359790.63</v>
          </cell>
          <cell r="T457">
            <v>840369.86</v>
          </cell>
        </row>
        <row r="458">
          <cell r="D458">
            <v>4142</v>
          </cell>
          <cell r="H458">
            <v>348.08</v>
          </cell>
          <cell r="Q458">
            <v>2114541.89</v>
          </cell>
          <cell r="T458">
            <v>425435.26</v>
          </cell>
        </row>
        <row r="459">
          <cell r="D459">
            <v>4143</v>
          </cell>
          <cell r="H459">
            <v>391.63</v>
          </cell>
          <cell r="Q459">
            <v>3419899.4</v>
          </cell>
          <cell r="T459">
            <v>404717.85</v>
          </cell>
        </row>
        <row r="460">
          <cell r="D460">
            <v>4144</v>
          </cell>
          <cell r="H460">
            <v>66.41</v>
          </cell>
          <cell r="Q460">
            <v>420299.7</v>
          </cell>
          <cell r="T460">
            <v>113663.66</v>
          </cell>
        </row>
        <row r="461">
          <cell r="D461">
            <v>4145</v>
          </cell>
          <cell r="H461">
            <v>32.020000000000003</v>
          </cell>
          <cell r="Q461">
            <v>223839.82</v>
          </cell>
          <cell r="T461">
            <v>64136.7</v>
          </cell>
        </row>
        <row r="462">
          <cell r="D462">
            <v>4146</v>
          </cell>
          <cell r="H462">
            <v>104.97</v>
          </cell>
          <cell r="Q462">
            <v>843164.87</v>
          </cell>
          <cell r="T462">
            <v>332680.28999999998</v>
          </cell>
        </row>
        <row r="463">
          <cell r="D463">
            <v>4150</v>
          </cell>
          <cell r="H463">
            <v>123.75</v>
          </cell>
          <cell r="Q463">
            <v>899101.94</v>
          </cell>
          <cell r="T463">
            <v>146581.89000000001</v>
          </cell>
        </row>
        <row r="464">
          <cell r="D464">
            <v>4151</v>
          </cell>
          <cell r="H464">
            <v>81.61</v>
          </cell>
          <cell r="Q464">
            <v>647298.14999999991</v>
          </cell>
          <cell r="T464">
            <v>78192.63</v>
          </cell>
        </row>
        <row r="465">
          <cell r="D465">
            <v>4152</v>
          </cell>
          <cell r="H465">
            <v>232.29</v>
          </cell>
          <cell r="Q465">
            <v>1298178.26</v>
          </cell>
          <cell r="T465">
            <v>269583.27</v>
          </cell>
        </row>
        <row r="466">
          <cell r="D466">
            <v>4153</v>
          </cell>
          <cell r="H466">
            <v>278.68</v>
          </cell>
          <cell r="Q466">
            <v>2435527.9</v>
          </cell>
          <cell r="T466">
            <v>145983.54</v>
          </cell>
        </row>
        <row r="467">
          <cell r="D467">
            <v>4155</v>
          </cell>
          <cell r="H467">
            <v>111.04</v>
          </cell>
          <cell r="Q467">
            <v>850991.69</v>
          </cell>
          <cell r="T467">
            <v>123701.41</v>
          </cell>
        </row>
        <row r="468">
          <cell r="D468">
            <v>4159</v>
          </cell>
          <cell r="H468">
            <v>422.71</v>
          </cell>
          <cell r="Q468">
            <v>2454526.13</v>
          </cell>
          <cell r="T468">
            <v>690900.95</v>
          </cell>
        </row>
        <row r="469">
          <cell r="D469">
            <v>4160</v>
          </cell>
          <cell r="H469">
            <v>236</v>
          </cell>
          <cell r="Q469">
            <v>1670934.62</v>
          </cell>
          <cell r="T469">
            <v>141035.44</v>
          </cell>
        </row>
        <row r="470">
          <cell r="D470">
            <v>4161</v>
          </cell>
          <cell r="H470">
            <v>167.48</v>
          </cell>
          <cell r="Q470">
            <v>1090315.76</v>
          </cell>
          <cell r="T470">
            <v>398127.88</v>
          </cell>
        </row>
        <row r="471">
          <cell r="D471">
            <v>4162</v>
          </cell>
          <cell r="H471">
            <v>103.85</v>
          </cell>
          <cell r="Q471">
            <v>633791.68999999994</v>
          </cell>
          <cell r="T471">
            <v>56688.52</v>
          </cell>
        </row>
        <row r="472">
          <cell r="D472">
            <v>4163</v>
          </cell>
          <cell r="H472">
            <v>170.59</v>
          </cell>
          <cell r="Q472">
            <v>1721590.94</v>
          </cell>
          <cell r="T472">
            <v>432756.21</v>
          </cell>
        </row>
        <row r="473">
          <cell r="D473">
            <v>4164</v>
          </cell>
          <cell r="H473">
            <v>185.38</v>
          </cell>
          <cell r="Q473">
            <v>1383698.01</v>
          </cell>
          <cell r="T473">
            <v>242850.09</v>
          </cell>
        </row>
        <row r="474">
          <cell r="D474">
            <v>4166</v>
          </cell>
          <cell r="H474">
            <v>105.68</v>
          </cell>
          <cell r="Q474">
            <v>931292.17</v>
          </cell>
          <cell r="T474">
            <v>124514.03</v>
          </cell>
        </row>
        <row r="475">
          <cell r="D475">
            <v>4167</v>
          </cell>
          <cell r="H475">
            <v>208.09</v>
          </cell>
          <cell r="Q475">
            <v>1066384.8400000001</v>
          </cell>
          <cell r="T475">
            <v>33974.78</v>
          </cell>
        </row>
        <row r="476">
          <cell r="D476">
            <v>4168</v>
          </cell>
          <cell r="H476">
            <v>90.3</v>
          </cell>
          <cell r="Q476">
            <v>545971.9800000001</v>
          </cell>
          <cell r="T476">
            <v>121728.93</v>
          </cell>
        </row>
        <row r="477">
          <cell r="D477">
            <v>4169</v>
          </cell>
          <cell r="H477">
            <v>155.53</v>
          </cell>
          <cell r="Q477">
            <v>1212056.82</v>
          </cell>
          <cell r="T477">
            <v>104901</v>
          </cell>
        </row>
        <row r="478">
          <cell r="D478">
            <v>4170</v>
          </cell>
          <cell r="H478">
            <v>360.27</v>
          </cell>
          <cell r="Q478">
            <v>2986698.42</v>
          </cell>
          <cell r="T478">
            <v>189501.76</v>
          </cell>
        </row>
        <row r="479">
          <cell r="D479">
            <v>4171</v>
          </cell>
          <cell r="H479">
            <v>470.2</v>
          </cell>
          <cell r="Q479">
            <v>4118269.5100000002</v>
          </cell>
          <cell r="T479">
            <v>145017.26</v>
          </cell>
        </row>
        <row r="480">
          <cell r="D480">
            <v>4172</v>
          </cell>
          <cell r="H480">
            <v>64.97</v>
          </cell>
          <cell r="Q480">
            <v>489173.33</v>
          </cell>
          <cell r="T480">
            <v>91013.97</v>
          </cell>
        </row>
        <row r="481">
          <cell r="D481">
            <v>4173</v>
          </cell>
          <cell r="H481">
            <v>120.09</v>
          </cell>
          <cell r="Q481">
            <v>1110766.9600000002</v>
          </cell>
          <cell r="T481">
            <v>89806.71</v>
          </cell>
        </row>
        <row r="482">
          <cell r="D482">
            <v>4174</v>
          </cell>
          <cell r="H482">
            <v>15.13</v>
          </cell>
          <cell r="Q482">
            <v>159437.16</v>
          </cell>
          <cell r="T482">
            <v>19416.05</v>
          </cell>
        </row>
        <row r="483">
          <cell r="D483">
            <v>4175</v>
          </cell>
          <cell r="H483">
            <v>103.89</v>
          </cell>
          <cell r="Q483">
            <v>983414.2699999999</v>
          </cell>
          <cell r="T483">
            <v>45232.1</v>
          </cell>
        </row>
        <row r="484">
          <cell r="D484">
            <v>4177</v>
          </cell>
          <cell r="H484">
            <v>33.4</v>
          </cell>
          <cell r="Q484">
            <v>286675.8</v>
          </cell>
          <cell r="T484">
            <v>120673.89</v>
          </cell>
        </row>
        <row r="485">
          <cell r="D485">
            <v>4178</v>
          </cell>
          <cell r="H485">
            <v>104.3</v>
          </cell>
          <cell r="Q485">
            <v>1150636.29</v>
          </cell>
          <cell r="T485">
            <v>60407.97</v>
          </cell>
        </row>
        <row r="486">
          <cell r="D486">
            <v>4180</v>
          </cell>
          <cell r="H486">
            <v>234.12</v>
          </cell>
          <cell r="Q486">
            <v>1869269.9100000001</v>
          </cell>
          <cell r="T486">
            <v>239513.54</v>
          </cell>
        </row>
        <row r="487">
          <cell r="D487">
            <v>4181</v>
          </cell>
          <cell r="H487">
            <v>658.48</v>
          </cell>
          <cell r="Q487">
            <v>5284064.74</v>
          </cell>
          <cell r="T487">
            <v>224726.18</v>
          </cell>
        </row>
        <row r="488">
          <cell r="D488">
            <v>4182</v>
          </cell>
          <cell r="H488">
            <v>82.28</v>
          </cell>
          <cell r="Q488">
            <v>640290</v>
          </cell>
          <cell r="T488">
            <v>415349.37</v>
          </cell>
        </row>
        <row r="489">
          <cell r="D489">
            <v>4183</v>
          </cell>
          <cell r="H489">
            <v>133.24</v>
          </cell>
          <cell r="Q489">
            <v>957255.82</v>
          </cell>
          <cell r="T489">
            <v>4058522.11</v>
          </cell>
        </row>
        <row r="490">
          <cell r="D490">
            <v>4184</v>
          </cell>
          <cell r="H490">
            <v>266.66000000000003</v>
          </cell>
          <cell r="Q490">
            <v>1468264.95</v>
          </cell>
          <cell r="T490">
            <v>99853.68</v>
          </cell>
        </row>
        <row r="491">
          <cell r="D491">
            <v>4185</v>
          </cell>
          <cell r="H491">
            <v>372.35</v>
          </cell>
          <cell r="Q491">
            <v>2195278.0099999998</v>
          </cell>
          <cell r="T491">
            <v>297209.71000000002</v>
          </cell>
        </row>
        <row r="492">
          <cell r="D492">
            <v>4186</v>
          </cell>
          <cell r="H492">
            <v>377.67</v>
          </cell>
          <cell r="Q492">
            <v>3205244.44</v>
          </cell>
          <cell r="T492">
            <v>428299.73</v>
          </cell>
        </row>
        <row r="493">
          <cell r="D493">
            <v>4187</v>
          </cell>
          <cell r="H493">
            <v>53.83</v>
          </cell>
          <cell r="Q493">
            <v>296285.78000000003</v>
          </cell>
          <cell r="T493">
            <v>70157.320000000007</v>
          </cell>
        </row>
        <row r="494">
          <cell r="D494">
            <v>4188</v>
          </cell>
          <cell r="H494">
            <v>249.66</v>
          </cell>
          <cell r="Q494">
            <v>1486589.56</v>
          </cell>
          <cell r="T494">
            <v>413838.77</v>
          </cell>
        </row>
        <row r="495">
          <cell r="D495">
            <v>4189</v>
          </cell>
          <cell r="H495">
            <v>78.64</v>
          </cell>
          <cell r="Q495">
            <v>475792.38</v>
          </cell>
          <cell r="T495">
            <v>152265.60000000001</v>
          </cell>
        </row>
        <row r="496">
          <cell r="D496">
            <v>4190</v>
          </cell>
          <cell r="H496">
            <v>48.75</v>
          </cell>
          <cell r="Q496">
            <v>384621.33999999997</v>
          </cell>
          <cell r="T496">
            <v>74654.64</v>
          </cell>
        </row>
        <row r="497">
          <cell r="D497">
            <v>4191</v>
          </cell>
          <cell r="H497">
            <v>130.49</v>
          </cell>
          <cell r="Q497">
            <v>1189885.1600000001</v>
          </cell>
          <cell r="T497">
            <v>141924.68</v>
          </cell>
        </row>
        <row r="498">
          <cell r="D498">
            <v>4192</v>
          </cell>
          <cell r="H498">
            <v>447.26</v>
          </cell>
          <cell r="Q498">
            <v>3909018.71</v>
          </cell>
          <cell r="T498">
            <v>603564.97</v>
          </cell>
        </row>
        <row r="499">
          <cell r="D499">
            <v>4193</v>
          </cell>
          <cell r="H499">
            <v>210</v>
          </cell>
          <cell r="Q499">
            <v>1616405.1</v>
          </cell>
          <cell r="T499">
            <v>211776.35</v>
          </cell>
        </row>
        <row r="500">
          <cell r="D500">
            <v>4194</v>
          </cell>
          <cell r="H500">
            <v>180.18</v>
          </cell>
          <cell r="Q500">
            <v>970391.24</v>
          </cell>
          <cell r="T500">
            <v>148168.67000000001</v>
          </cell>
        </row>
        <row r="501">
          <cell r="D501">
            <v>4195</v>
          </cell>
          <cell r="H501">
            <v>35.630000000000003</v>
          </cell>
          <cell r="Q501">
            <v>292465.38999999996</v>
          </cell>
          <cell r="T501">
            <v>90145.45</v>
          </cell>
        </row>
        <row r="502">
          <cell r="D502">
            <v>4196</v>
          </cell>
          <cell r="H502">
            <v>44.05</v>
          </cell>
          <cell r="Q502">
            <v>252779.31</v>
          </cell>
          <cell r="T502">
            <v>0</v>
          </cell>
        </row>
        <row r="503">
          <cell r="D503">
            <v>4197</v>
          </cell>
          <cell r="H503">
            <v>125.16</v>
          </cell>
          <cell r="Q503">
            <v>936849.24</v>
          </cell>
          <cell r="T503">
            <v>97570.57</v>
          </cell>
        </row>
        <row r="504">
          <cell r="D504">
            <v>6004</v>
          </cell>
          <cell r="H504">
            <v>0</v>
          </cell>
          <cell r="Q504">
            <v>203758.43</v>
          </cell>
          <cell r="T504">
            <v>1178418.52</v>
          </cell>
        </row>
        <row r="505">
          <cell r="D505">
            <v>6012</v>
          </cell>
          <cell r="H505">
            <v>0</v>
          </cell>
          <cell r="Q505">
            <v>109154.62</v>
          </cell>
          <cell r="T505">
            <v>1096831.1599999999</v>
          </cell>
        </row>
        <row r="506">
          <cell r="D506">
            <v>6013</v>
          </cell>
          <cell r="H506">
            <v>0</v>
          </cell>
          <cell r="Q506">
            <v>48643.97</v>
          </cell>
          <cell r="T506">
            <v>1197148.75</v>
          </cell>
        </row>
        <row r="507">
          <cell r="D507">
            <v>6014</v>
          </cell>
          <cell r="H507">
            <v>0</v>
          </cell>
          <cell r="Q507">
            <v>67950.87</v>
          </cell>
          <cell r="T507">
            <v>50348.71</v>
          </cell>
        </row>
        <row r="508">
          <cell r="D508">
            <v>6018</v>
          </cell>
          <cell r="H508">
            <v>0</v>
          </cell>
          <cell r="Q508">
            <v>50386.3</v>
          </cell>
          <cell r="T508">
            <v>225350.26</v>
          </cell>
        </row>
        <row r="509">
          <cell r="D509">
            <v>6026</v>
          </cell>
          <cell r="H509">
            <v>0</v>
          </cell>
          <cell r="Q509">
            <v>34281.519999999997</v>
          </cell>
          <cell r="T509">
            <v>551749.12</v>
          </cell>
        </row>
        <row r="510">
          <cell r="D510">
            <v>6027</v>
          </cell>
          <cell r="H510">
            <v>0</v>
          </cell>
          <cell r="Q510">
            <v>50810.11</v>
          </cell>
          <cell r="T510">
            <v>1631888.81</v>
          </cell>
        </row>
        <row r="511">
          <cell r="D511">
            <v>6049</v>
          </cell>
          <cell r="H511">
            <v>0</v>
          </cell>
          <cell r="Q511">
            <v>100772.6</v>
          </cell>
          <cell r="T511">
            <v>1363319.2</v>
          </cell>
        </row>
        <row r="512">
          <cell r="D512">
            <v>6051</v>
          </cell>
          <cell r="H512">
            <v>0</v>
          </cell>
          <cell r="Q512">
            <v>50810.11</v>
          </cell>
          <cell r="T512">
            <v>1716379.92</v>
          </cell>
        </row>
        <row r="513">
          <cell r="D513">
            <v>6067</v>
          </cell>
          <cell r="H513">
            <v>0</v>
          </cell>
          <cell r="Q513">
            <v>616643.55000000005</v>
          </cell>
          <cell r="T513">
            <v>2725821.54</v>
          </cell>
        </row>
        <row r="514">
          <cell r="D514">
            <v>6069</v>
          </cell>
          <cell r="H514">
            <v>0</v>
          </cell>
          <cell r="Q514">
            <v>437230.65</v>
          </cell>
          <cell r="T514">
            <v>1637077.82</v>
          </cell>
        </row>
        <row r="515">
          <cell r="D515">
            <v>6072</v>
          </cell>
          <cell r="H515">
            <v>0</v>
          </cell>
          <cell r="Q515">
            <v>5603.71</v>
          </cell>
          <cell r="T515">
            <v>1465426.01</v>
          </cell>
        </row>
        <row r="516">
          <cell r="D516">
            <v>6074</v>
          </cell>
          <cell r="H516">
            <v>0</v>
          </cell>
          <cell r="Q516">
            <v>11725.41</v>
          </cell>
          <cell r="T516">
            <v>0</v>
          </cell>
        </row>
        <row r="517">
          <cell r="D517">
            <v>6076</v>
          </cell>
          <cell r="H517">
            <v>0</v>
          </cell>
          <cell r="Q517">
            <v>156385.89000000001</v>
          </cell>
          <cell r="T517">
            <v>1102514.06</v>
          </cell>
        </row>
        <row r="518">
          <cell r="D518">
            <v>6079</v>
          </cell>
          <cell r="H518">
            <v>0</v>
          </cell>
          <cell r="Q518">
            <v>117159.92</v>
          </cell>
          <cell r="T518">
            <v>1482400.14</v>
          </cell>
        </row>
        <row r="519">
          <cell r="D519">
            <v>6080</v>
          </cell>
          <cell r="H519">
            <v>0</v>
          </cell>
          <cell r="Q519">
            <v>0</v>
          </cell>
          <cell r="T519">
            <v>0</v>
          </cell>
        </row>
        <row r="520">
          <cell r="D520">
            <v>6383</v>
          </cell>
          <cell r="H520">
            <v>0</v>
          </cell>
          <cell r="Q520">
            <v>16434.41</v>
          </cell>
          <cell r="T520">
            <v>1479624.15</v>
          </cell>
        </row>
        <row r="521">
          <cell r="D521">
            <v>6979</v>
          </cell>
          <cell r="H521">
            <v>0</v>
          </cell>
          <cell r="Q521">
            <v>24769.34</v>
          </cell>
          <cell r="T521">
            <v>1155507.69</v>
          </cell>
        </row>
      </sheetData>
      <sheetData sheetId="4">
        <row r="8">
          <cell r="E8" t="str">
            <v>0001-01-000-000</v>
          </cell>
          <cell r="G8">
            <v>230998.54</v>
          </cell>
          <cell r="H8">
            <v>190110.65</v>
          </cell>
          <cell r="I8">
            <v>40887.89</v>
          </cell>
        </row>
        <row r="9">
          <cell r="E9" t="str">
            <v>0001-03-000-000</v>
          </cell>
          <cell r="G9">
            <v>7315293.0199999996</v>
          </cell>
          <cell r="H9">
            <v>6950980.4800000004</v>
          </cell>
          <cell r="I9">
            <v>364312.54</v>
          </cell>
        </row>
        <row r="10">
          <cell r="E10" t="str">
            <v>0002-01-000-000</v>
          </cell>
          <cell r="G10">
            <v>71997.460000000006</v>
          </cell>
          <cell r="H10">
            <v>33629.81</v>
          </cell>
          <cell r="I10">
            <v>38367.65</v>
          </cell>
        </row>
        <row r="11">
          <cell r="E11" t="str">
            <v>0004-01-000-000</v>
          </cell>
          <cell r="G11">
            <v>86243.74</v>
          </cell>
          <cell r="H11">
            <v>76000</v>
          </cell>
          <cell r="I11">
            <v>10243.74</v>
          </cell>
        </row>
        <row r="12">
          <cell r="E12" t="str">
            <v>0006-03-000-000</v>
          </cell>
          <cell r="G12">
            <v>549236.25</v>
          </cell>
          <cell r="H12">
            <v>549236.25</v>
          </cell>
          <cell r="I12">
            <v>0</v>
          </cell>
        </row>
        <row r="13">
          <cell r="E13" t="str">
            <v>0011-01-000-000</v>
          </cell>
          <cell r="G13">
            <v>6511876.0099999998</v>
          </cell>
          <cell r="H13">
            <v>2844443.11</v>
          </cell>
          <cell r="I13">
            <v>3667432.9</v>
          </cell>
        </row>
        <row r="14">
          <cell r="E14" t="str">
            <v>0012-01-000-000</v>
          </cell>
          <cell r="G14">
            <v>1172041.9099999999</v>
          </cell>
          <cell r="H14">
            <v>122812.33</v>
          </cell>
          <cell r="I14">
            <v>1049229.58</v>
          </cell>
        </row>
        <row r="15">
          <cell r="E15" t="str">
            <v>0013-01-000-000</v>
          </cell>
          <cell r="G15">
            <v>600188.30000000005</v>
          </cell>
          <cell r="H15">
            <v>0</v>
          </cell>
          <cell r="I15">
            <v>600188.30000000005</v>
          </cell>
        </row>
        <row r="16">
          <cell r="E16" t="str">
            <v>0014-01-000-000</v>
          </cell>
          <cell r="G16">
            <v>545000.99</v>
          </cell>
          <cell r="H16">
            <v>511429.82</v>
          </cell>
          <cell r="I16">
            <v>33571.17</v>
          </cell>
        </row>
        <row r="17">
          <cell r="E17" t="str">
            <v>0015-01-000-000</v>
          </cell>
          <cell r="G17">
            <v>954711.2</v>
          </cell>
          <cell r="H17">
            <v>938301.41</v>
          </cell>
          <cell r="I17">
            <v>16409.79</v>
          </cell>
        </row>
        <row r="18">
          <cell r="E18" t="str">
            <v>0016-01-000-000</v>
          </cell>
          <cell r="G18">
            <v>792177.32</v>
          </cell>
          <cell r="H18">
            <v>0</v>
          </cell>
          <cell r="I18">
            <v>792177.32</v>
          </cell>
        </row>
        <row r="19">
          <cell r="E19" t="str">
            <v>0022-01-000-000</v>
          </cell>
          <cell r="G19">
            <v>523269.41</v>
          </cell>
          <cell r="H19">
            <v>209004.61</v>
          </cell>
          <cell r="I19">
            <v>314264.8</v>
          </cell>
        </row>
        <row r="20">
          <cell r="E20" t="str">
            <v>0023-01-000-000</v>
          </cell>
          <cell r="G20">
            <v>162091.78</v>
          </cell>
          <cell r="H20">
            <v>150204.42000000001</v>
          </cell>
          <cell r="I20">
            <v>11887.36</v>
          </cell>
        </row>
        <row r="21">
          <cell r="E21" t="str">
            <v>0025-01-000-000</v>
          </cell>
          <cell r="G21">
            <v>19684.47</v>
          </cell>
          <cell r="H21">
            <v>21871.63</v>
          </cell>
          <cell r="I21">
            <v>-2187.16</v>
          </cell>
        </row>
        <row r="22">
          <cell r="E22" t="str">
            <v>0031-01-000-000</v>
          </cell>
          <cell r="G22">
            <v>992995.98</v>
          </cell>
          <cell r="H22">
            <v>359835.6</v>
          </cell>
          <cell r="I22">
            <v>633160.38</v>
          </cell>
        </row>
        <row r="23">
          <cell r="E23" t="str">
            <v>0032-01-000-000</v>
          </cell>
          <cell r="G23">
            <v>138694.51999999999</v>
          </cell>
          <cell r="H23">
            <v>85564.54</v>
          </cell>
          <cell r="I23">
            <v>53129.98</v>
          </cell>
        </row>
        <row r="24">
          <cell r="E24" t="str">
            <v>0036-01-000-000</v>
          </cell>
          <cell r="G24">
            <v>66488.67</v>
          </cell>
          <cell r="H24">
            <v>42826.92</v>
          </cell>
          <cell r="I24">
            <v>23661.75</v>
          </cell>
        </row>
        <row r="25">
          <cell r="E25" t="str">
            <v>0038-01-000-000</v>
          </cell>
          <cell r="G25">
            <v>393248</v>
          </cell>
          <cell r="H25">
            <v>196886.5</v>
          </cell>
          <cell r="I25">
            <v>196361.5</v>
          </cell>
        </row>
        <row r="26">
          <cell r="E26" t="str">
            <v>0047-01-000-000</v>
          </cell>
          <cell r="G26">
            <v>676879.17</v>
          </cell>
          <cell r="H26">
            <v>654513.15</v>
          </cell>
          <cell r="I26">
            <v>22366.02</v>
          </cell>
        </row>
        <row r="27">
          <cell r="E27" t="str">
            <v>0051-01-000-000</v>
          </cell>
          <cell r="G27">
            <v>310629.57</v>
          </cell>
          <cell r="H27">
            <v>0</v>
          </cell>
          <cell r="I27">
            <v>310629.57</v>
          </cell>
        </row>
        <row r="28">
          <cell r="E28" t="str">
            <v>0075-01-000-000</v>
          </cell>
          <cell r="G28">
            <v>95884.07</v>
          </cell>
          <cell r="H28">
            <v>13223.18</v>
          </cell>
          <cell r="I28">
            <v>82660.89</v>
          </cell>
        </row>
        <row r="29">
          <cell r="E29" t="str">
            <v>0077-01-000-000</v>
          </cell>
          <cell r="G29">
            <v>1291347.99</v>
          </cell>
          <cell r="H29">
            <v>1247232.58</v>
          </cell>
          <cell r="I29">
            <v>44115.41</v>
          </cell>
        </row>
        <row r="30">
          <cell r="E30" t="str">
            <v>0081-01-000-000</v>
          </cell>
          <cell r="G30">
            <v>31445.78</v>
          </cell>
          <cell r="H30">
            <v>31075.01</v>
          </cell>
          <cell r="I30">
            <v>370.77</v>
          </cell>
        </row>
        <row r="31">
          <cell r="E31" t="str">
            <v>0084-01-000-000</v>
          </cell>
          <cell r="G31">
            <v>114487.14</v>
          </cell>
          <cell r="H31">
            <v>106612.24</v>
          </cell>
          <cell r="I31">
            <v>7874.9</v>
          </cell>
        </row>
        <row r="32">
          <cell r="E32" t="str">
            <v>0085-01-000-000</v>
          </cell>
          <cell r="G32">
            <v>109233.5</v>
          </cell>
          <cell r="H32">
            <v>59191.87</v>
          </cell>
          <cell r="I32">
            <v>50041.63</v>
          </cell>
        </row>
        <row r="33">
          <cell r="E33" t="str">
            <v>0088-01-000-000</v>
          </cell>
          <cell r="G33">
            <v>333536.58</v>
          </cell>
          <cell r="H33">
            <v>322885.09000000003</v>
          </cell>
          <cell r="I33">
            <v>10651.49</v>
          </cell>
        </row>
        <row r="34">
          <cell r="E34" t="str">
            <v>0091-01-000-000</v>
          </cell>
          <cell r="G34">
            <v>139442.29</v>
          </cell>
          <cell r="H34">
            <v>133492.98000000001</v>
          </cell>
          <cell r="I34">
            <v>5949.31</v>
          </cell>
        </row>
        <row r="35">
          <cell r="E35" t="str">
            <v>0093-01-000-000</v>
          </cell>
          <cell r="G35">
            <v>81872.69</v>
          </cell>
          <cell r="H35">
            <v>88961.1</v>
          </cell>
          <cell r="I35">
            <v>-7088.41</v>
          </cell>
        </row>
        <row r="36">
          <cell r="E36" t="str">
            <v>0094-01-000-000</v>
          </cell>
          <cell r="G36">
            <v>508761.41</v>
          </cell>
          <cell r="H36">
            <v>504173.25</v>
          </cell>
          <cell r="I36">
            <v>4588.16</v>
          </cell>
        </row>
        <row r="37">
          <cell r="E37" t="str">
            <v>0095-01-000-000</v>
          </cell>
          <cell r="G37">
            <v>61509.14</v>
          </cell>
          <cell r="H37">
            <v>50253.26</v>
          </cell>
          <cell r="I37">
            <v>11255.88</v>
          </cell>
        </row>
        <row r="38">
          <cell r="E38" t="str">
            <v>0097-01-000-000</v>
          </cell>
          <cell r="G38">
            <v>127159.16</v>
          </cell>
          <cell r="H38">
            <v>114320.63</v>
          </cell>
          <cell r="I38">
            <v>12838.53</v>
          </cell>
        </row>
        <row r="39">
          <cell r="E39" t="str">
            <v>0099-01-000-000</v>
          </cell>
          <cell r="G39">
            <v>199591.36</v>
          </cell>
          <cell r="H39">
            <v>181985.13</v>
          </cell>
          <cell r="I39">
            <v>17606.23</v>
          </cell>
        </row>
        <row r="40">
          <cell r="E40" t="str">
            <v>0100-01-000-000</v>
          </cell>
          <cell r="G40">
            <v>58595.88</v>
          </cell>
          <cell r="H40">
            <v>56036.42</v>
          </cell>
          <cell r="I40">
            <v>2559.46</v>
          </cell>
        </row>
        <row r="41">
          <cell r="E41" t="str">
            <v>0108-01-000-000</v>
          </cell>
          <cell r="G41">
            <v>164664.48000000001</v>
          </cell>
          <cell r="H41">
            <v>153974.5</v>
          </cell>
          <cell r="I41">
            <v>10689.98</v>
          </cell>
        </row>
        <row r="42">
          <cell r="E42" t="str">
            <v>0110-01-000-000</v>
          </cell>
          <cell r="G42">
            <v>516774.66</v>
          </cell>
          <cell r="H42">
            <v>522617.9</v>
          </cell>
          <cell r="I42">
            <v>-5843.24</v>
          </cell>
        </row>
        <row r="43">
          <cell r="E43" t="str">
            <v>0111-01-000-000</v>
          </cell>
          <cell r="G43">
            <v>259020.93</v>
          </cell>
          <cell r="H43">
            <v>125732.59</v>
          </cell>
          <cell r="I43">
            <v>133288.34</v>
          </cell>
        </row>
        <row r="44">
          <cell r="E44" t="str">
            <v>0112-01-000-000</v>
          </cell>
          <cell r="G44">
            <v>1449945.96</v>
          </cell>
          <cell r="H44">
            <v>1469326.41</v>
          </cell>
          <cell r="I44">
            <v>-19380.45</v>
          </cell>
        </row>
        <row r="45">
          <cell r="E45" t="str">
            <v>0113-01-000-000</v>
          </cell>
          <cell r="G45">
            <v>149928.43</v>
          </cell>
          <cell r="H45">
            <v>148542.63</v>
          </cell>
          <cell r="I45">
            <v>1385.8</v>
          </cell>
        </row>
        <row r="46">
          <cell r="E46" t="str">
            <v>0115-01-000-000</v>
          </cell>
          <cell r="G46">
            <v>290007.48</v>
          </cell>
          <cell r="H46">
            <v>0</v>
          </cell>
          <cell r="I46">
            <v>290007.48</v>
          </cell>
        </row>
        <row r="47">
          <cell r="E47" t="str">
            <v>0116-01-000-000</v>
          </cell>
          <cell r="G47">
            <v>149924.39000000001</v>
          </cell>
          <cell r="H47">
            <v>151459.35</v>
          </cell>
          <cell r="I47">
            <v>-1534.96</v>
          </cell>
        </row>
        <row r="48">
          <cell r="E48" t="str">
            <v>0118-01-000-000</v>
          </cell>
          <cell r="G48">
            <v>103051.42</v>
          </cell>
          <cell r="H48">
            <v>43171.87</v>
          </cell>
          <cell r="I48">
            <v>59879.55</v>
          </cell>
        </row>
        <row r="49">
          <cell r="E49" t="str">
            <v>0129-01-000-000</v>
          </cell>
          <cell r="G49">
            <v>292033.68</v>
          </cell>
          <cell r="H49">
            <v>176219.73</v>
          </cell>
          <cell r="I49">
            <v>115813.95</v>
          </cell>
        </row>
        <row r="50">
          <cell r="E50" t="str">
            <v>0138-01-000-000</v>
          </cell>
          <cell r="G50">
            <v>618541.64</v>
          </cell>
          <cell r="H50">
            <v>0</v>
          </cell>
          <cell r="I50">
            <v>618541.64</v>
          </cell>
        </row>
        <row r="51">
          <cell r="E51" t="str">
            <v>0139-01-000-000</v>
          </cell>
          <cell r="G51">
            <v>147527.07999999999</v>
          </cell>
          <cell r="H51">
            <v>73176</v>
          </cell>
          <cell r="I51">
            <v>74351.08</v>
          </cell>
        </row>
        <row r="52">
          <cell r="E52" t="str">
            <v>0146-01-000-000</v>
          </cell>
          <cell r="G52">
            <v>147866.76</v>
          </cell>
          <cell r="H52">
            <v>109122.78</v>
          </cell>
          <cell r="I52">
            <v>38743.980000000003</v>
          </cell>
        </row>
        <row r="53">
          <cell r="E53" t="str">
            <v>0150-01-000-000</v>
          </cell>
          <cell r="G53">
            <v>159250.68</v>
          </cell>
          <cell r="H53">
            <v>156560.46</v>
          </cell>
          <cell r="I53">
            <v>2690.22</v>
          </cell>
        </row>
        <row r="54">
          <cell r="E54" t="str">
            <v>0152-01-000-000</v>
          </cell>
          <cell r="G54">
            <v>1004247.32</v>
          </cell>
          <cell r="H54">
            <v>1047925.13</v>
          </cell>
          <cell r="I54">
            <v>-43677.81</v>
          </cell>
        </row>
        <row r="55">
          <cell r="E55" t="str">
            <v>0162-01-000-000</v>
          </cell>
          <cell r="G55">
            <v>202444.09</v>
          </cell>
          <cell r="H55">
            <v>159837.04</v>
          </cell>
          <cell r="I55">
            <v>42607.05</v>
          </cell>
        </row>
        <row r="56">
          <cell r="E56" t="str">
            <v>0166-01-000-000</v>
          </cell>
          <cell r="G56">
            <v>97955.65</v>
          </cell>
          <cell r="H56">
            <v>98605.97</v>
          </cell>
          <cell r="I56">
            <v>-650.32000000000005</v>
          </cell>
        </row>
        <row r="57">
          <cell r="E57" t="str">
            <v>0173-01-000-000</v>
          </cell>
          <cell r="G57">
            <v>95631.6</v>
          </cell>
          <cell r="H57">
            <v>95631.6</v>
          </cell>
          <cell r="I57">
            <v>0</v>
          </cell>
        </row>
        <row r="58">
          <cell r="E58" t="str">
            <v>0177-01-000-000</v>
          </cell>
          <cell r="G58">
            <v>178104.25</v>
          </cell>
          <cell r="H58">
            <v>104571.88</v>
          </cell>
          <cell r="I58">
            <v>73532.37</v>
          </cell>
        </row>
        <row r="59">
          <cell r="E59" t="str">
            <v>0181-01-000-000</v>
          </cell>
          <cell r="G59">
            <v>1277868.05</v>
          </cell>
          <cell r="H59">
            <v>990197.89</v>
          </cell>
          <cell r="I59">
            <v>287670.15999999997</v>
          </cell>
        </row>
        <row r="60">
          <cell r="E60" t="str">
            <v>0182-01-000-000</v>
          </cell>
          <cell r="G60">
            <v>221819.25</v>
          </cell>
          <cell r="H60">
            <v>220469.08</v>
          </cell>
          <cell r="I60">
            <v>1350.17</v>
          </cell>
        </row>
        <row r="61">
          <cell r="E61" t="str">
            <v>0186-01-000-000</v>
          </cell>
          <cell r="G61">
            <v>253932.26</v>
          </cell>
          <cell r="H61">
            <v>174527.47</v>
          </cell>
          <cell r="I61">
            <v>79404.789999999994</v>
          </cell>
        </row>
        <row r="62">
          <cell r="E62" t="str">
            <v>0191-01-000-000</v>
          </cell>
          <cell r="G62">
            <v>1789857.52</v>
          </cell>
          <cell r="H62">
            <v>963500.51</v>
          </cell>
          <cell r="I62">
            <v>826357.01</v>
          </cell>
        </row>
        <row r="63">
          <cell r="E63" t="str">
            <v>0192-01-000-000</v>
          </cell>
          <cell r="G63">
            <v>1135163.6100000001</v>
          </cell>
          <cell r="H63">
            <v>454584.49</v>
          </cell>
          <cell r="I63">
            <v>680579.12</v>
          </cell>
        </row>
        <row r="64">
          <cell r="E64" t="str">
            <v>0194-01-000-000</v>
          </cell>
          <cell r="G64">
            <v>1815805.04</v>
          </cell>
          <cell r="H64">
            <v>876537.65</v>
          </cell>
          <cell r="I64">
            <v>939267.39</v>
          </cell>
        </row>
        <row r="65">
          <cell r="E65" t="str">
            <v>0195-01-000-000</v>
          </cell>
          <cell r="G65">
            <v>90741.91</v>
          </cell>
          <cell r="H65">
            <v>90629.29</v>
          </cell>
          <cell r="I65">
            <v>112.62</v>
          </cell>
        </row>
        <row r="66">
          <cell r="E66" t="str">
            <v>0196-01-000-000</v>
          </cell>
          <cell r="G66">
            <v>4577340.74</v>
          </cell>
          <cell r="H66">
            <v>2538725.77</v>
          </cell>
          <cell r="I66">
            <v>2038614.97</v>
          </cell>
        </row>
        <row r="67">
          <cell r="E67" t="str">
            <v>0197-01-000-000</v>
          </cell>
          <cell r="G67">
            <v>756717.19</v>
          </cell>
          <cell r="H67">
            <v>756717.19</v>
          </cell>
          <cell r="I67">
            <v>0</v>
          </cell>
        </row>
        <row r="68">
          <cell r="E68" t="str">
            <v>0199-01-000-000</v>
          </cell>
          <cell r="G68">
            <v>629998.34</v>
          </cell>
          <cell r="H68">
            <v>232216.94</v>
          </cell>
          <cell r="I68">
            <v>397781.4</v>
          </cell>
        </row>
        <row r="69">
          <cell r="E69" t="str">
            <v>0200-01-000-000</v>
          </cell>
          <cell r="G69">
            <v>730998.89</v>
          </cell>
          <cell r="H69">
            <v>699964.76</v>
          </cell>
          <cell r="I69">
            <v>31034.13</v>
          </cell>
        </row>
        <row r="70">
          <cell r="E70" t="str">
            <v>0203-01-000-000</v>
          </cell>
          <cell r="G70">
            <v>140350.34</v>
          </cell>
          <cell r="H70">
            <v>79499.34</v>
          </cell>
          <cell r="I70">
            <v>60851</v>
          </cell>
        </row>
        <row r="71">
          <cell r="E71" t="str">
            <v>0204-01-000-000</v>
          </cell>
          <cell r="G71">
            <v>361702.76</v>
          </cell>
          <cell r="H71">
            <v>360127.73</v>
          </cell>
          <cell r="I71">
            <v>1575.03</v>
          </cell>
        </row>
        <row r="72">
          <cell r="E72" t="str">
            <v>0206-01-000-000</v>
          </cell>
          <cell r="G72">
            <v>686998.58</v>
          </cell>
          <cell r="H72">
            <v>610175.01</v>
          </cell>
          <cell r="I72">
            <v>76823.570000000007</v>
          </cell>
        </row>
        <row r="73">
          <cell r="E73" t="str">
            <v>0207-01-000-000</v>
          </cell>
          <cell r="G73">
            <v>41805.410000000003</v>
          </cell>
          <cell r="H73">
            <v>42159.01</v>
          </cell>
          <cell r="I73">
            <v>-353.6</v>
          </cell>
        </row>
        <row r="74">
          <cell r="E74" t="str">
            <v>0208-01-000-000</v>
          </cell>
          <cell r="G74">
            <v>22241.9</v>
          </cell>
          <cell r="H74">
            <v>22615.52</v>
          </cell>
          <cell r="I74">
            <v>-373.62</v>
          </cell>
        </row>
        <row r="75">
          <cell r="E75" t="str">
            <v>0213-01-000-000</v>
          </cell>
          <cell r="G75">
            <v>143255.35</v>
          </cell>
          <cell r="H75">
            <v>110587.18</v>
          </cell>
          <cell r="I75">
            <v>32668.17</v>
          </cell>
        </row>
        <row r="76">
          <cell r="E76" t="str">
            <v>0227-01-000-000</v>
          </cell>
          <cell r="G76">
            <v>148314.57999999999</v>
          </cell>
          <cell r="H76">
            <v>144680.09</v>
          </cell>
          <cell r="I76">
            <v>3634.49</v>
          </cell>
        </row>
        <row r="77">
          <cell r="E77" t="str">
            <v>0229-01-000-000</v>
          </cell>
          <cell r="G77">
            <v>59784.66</v>
          </cell>
          <cell r="H77">
            <v>61978.99</v>
          </cell>
          <cell r="I77">
            <v>-2194.33</v>
          </cell>
        </row>
        <row r="78">
          <cell r="E78" t="str">
            <v>0238-01-000-000</v>
          </cell>
          <cell r="G78">
            <v>48687.53</v>
          </cell>
          <cell r="H78">
            <v>48687.45</v>
          </cell>
          <cell r="I78">
            <v>0.08</v>
          </cell>
        </row>
        <row r="79">
          <cell r="E79" t="str">
            <v>0239-01-000-000</v>
          </cell>
          <cell r="G79">
            <v>116664.07</v>
          </cell>
          <cell r="H79">
            <v>90832.39</v>
          </cell>
          <cell r="I79">
            <v>25831.68</v>
          </cell>
        </row>
        <row r="80">
          <cell r="E80" t="str">
            <v>0241-01-000-000</v>
          </cell>
          <cell r="G80">
            <v>652619.78</v>
          </cell>
          <cell r="H80">
            <v>654169.37</v>
          </cell>
          <cell r="I80">
            <v>-1549.59</v>
          </cell>
        </row>
        <row r="81">
          <cell r="E81" t="str">
            <v>0242-01-000-000</v>
          </cell>
          <cell r="G81">
            <v>94274.95</v>
          </cell>
          <cell r="H81">
            <v>95604.98</v>
          </cell>
          <cell r="I81">
            <v>-1330.03</v>
          </cell>
        </row>
        <row r="82">
          <cell r="E82" t="str">
            <v>0252-01-000-000</v>
          </cell>
          <cell r="G82">
            <v>190318.01</v>
          </cell>
          <cell r="H82">
            <v>194356.49</v>
          </cell>
          <cell r="I82">
            <v>-4038.48</v>
          </cell>
        </row>
        <row r="83">
          <cell r="E83" t="str">
            <v>0253-01-000-000</v>
          </cell>
          <cell r="G83">
            <v>110302.8</v>
          </cell>
          <cell r="H83">
            <v>109363.72</v>
          </cell>
          <cell r="I83">
            <v>939.08</v>
          </cell>
        </row>
        <row r="84">
          <cell r="E84" t="str">
            <v>0255-01-000-000</v>
          </cell>
          <cell r="G84">
            <v>193113.14</v>
          </cell>
          <cell r="H84">
            <v>199866.22</v>
          </cell>
          <cell r="I84">
            <v>-6753.08</v>
          </cell>
        </row>
        <row r="85">
          <cell r="E85" t="str">
            <v>0256-01-000-000</v>
          </cell>
          <cell r="G85">
            <v>473877.87</v>
          </cell>
          <cell r="H85">
            <v>418039.54</v>
          </cell>
          <cell r="I85">
            <v>55838.33</v>
          </cell>
        </row>
        <row r="86">
          <cell r="E86" t="str">
            <v>0261-01-000-000</v>
          </cell>
          <cell r="G86">
            <v>41494.43</v>
          </cell>
          <cell r="H86">
            <v>44720.56</v>
          </cell>
          <cell r="I86">
            <v>-3226.13</v>
          </cell>
        </row>
        <row r="87">
          <cell r="E87" t="str">
            <v>0264-01-000-000</v>
          </cell>
          <cell r="G87">
            <v>30022.880000000001</v>
          </cell>
          <cell r="H87">
            <v>28882.35</v>
          </cell>
          <cell r="I87">
            <v>1140.53</v>
          </cell>
        </row>
        <row r="88">
          <cell r="E88" t="str">
            <v>0270-01-000-000</v>
          </cell>
          <cell r="G88">
            <v>1155646.77</v>
          </cell>
          <cell r="H88">
            <v>1181864.52</v>
          </cell>
          <cell r="I88">
            <v>-26217.75</v>
          </cell>
        </row>
        <row r="89">
          <cell r="E89" t="str">
            <v>0271-01-000-000</v>
          </cell>
          <cell r="G89">
            <v>1651662.85</v>
          </cell>
          <cell r="H89">
            <v>1585040.38</v>
          </cell>
          <cell r="I89">
            <v>66622.47</v>
          </cell>
        </row>
        <row r="90">
          <cell r="E90" t="str">
            <v>0272-01-000-000</v>
          </cell>
          <cell r="G90">
            <v>1488374.95</v>
          </cell>
          <cell r="H90">
            <v>898480.53</v>
          </cell>
          <cell r="I90">
            <v>589894.42000000004</v>
          </cell>
        </row>
        <row r="91">
          <cell r="E91" t="str">
            <v>0273-01-000-000</v>
          </cell>
          <cell r="G91">
            <v>1245691.3899999999</v>
          </cell>
          <cell r="H91">
            <v>1245691.3899999999</v>
          </cell>
          <cell r="I91">
            <v>0</v>
          </cell>
        </row>
        <row r="92">
          <cell r="E92" t="str">
            <v>0276-01-000-000</v>
          </cell>
          <cell r="G92">
            <v>1274140.17</v>
          </cell>
          <cell r="H92">
            <v>1279419</v>
          </cell>
          <cell r="I92">
            <v>-5278.83</v>
          </cell>
        </row>
        <row r="93">
          <cell r="E93" t="str">
            <v>0277-01-000-000</v>
          </cell>
          <cell r="G93">
            <v>327122.82</v>
          </cell>
          <cell r="H93">
            <v>327976.31</v>
          </cell>
          <cell r="I93">
            <v>-853.49</v>
          </cell>
        </row>
        <row r="94">
          <cell r="E94" t="str">
            <v>0278-01-000-000</v>
          </cell>
          <cell r="G94">
            <v>417517.96</v>
          </cell>
          <cell r="H94">
            <v>215353.74</v>
          </cell>
          <cell r="I94">
            <v>202164.22</v>
          </cell>
        </row>
        <row r="95">
          <cell r="E95" t="str">
            <v>0279-01-000-000</v>
          </cell>
          <cell r="G95">
            <v>3657666.19</v>
          </cell>
          <cell r="H95">
            <v>3639200.28</v>
          </cell>
          <cell r="I95">
            <v>18465.91</v>
          </cell>
        </row>
        <row r="96">
          <cell r="E96" t="str">
            <v>0280-01-000-000</v>
          </cell>
          <cell r="G96">
            <v>760266.16</v>
          </cell>
          <cell r="H96">
            <v>733440.26</v>
          </cell>
          <cell r="I96">
            <v>26825.9</v>
          </cell>
        </row>
        <row r="97">
          <cell r="E97" t="str">
            <v>0281-01-000-000</v>
          </cell>
          <cell r="G97">
            <v>1910868.63</v>
          </cell>
          <cell r="H97">
            <v>0</v>
          </cell>
          <cell r="I97">
            <v>1910868.63</v>
          </cell>
        </row>
        <row r="98">
          <cell r="E98" t="str">
            <v>0282-01-000-000</v>
          </cell>
          <cell r="G98">
            <v>289513.90999999997</v>
          </cell>
          <cell r="H98">
            <v>289513.90999999997</v>
          </cell>
          <cell r="I98">
            <v>0</v>
          </cell>
        </row>
        <row r="99">
          <cell r="E99" t="str">
            <v>0283-01-000-000</v>
          </cell>
          <cell r="G99">
            <v>700320.46</v>
          </cell>
          <cell r="H99">
            <v>317261.28000000003</v>
          </cell>
          <cell r="I99">
            <v>383059.18</v>
          </cell>
        </row>
        <row r="100">
          <cell r="E100" t="str">
            <v>0284-01-000-000</v>
          </cell>
          <cell r="G100">
            <v>1435790.31</v>
          </cell>
          <cell r="H100">
            <v>693354</v>
          </cell>
          <cell r="I100">
            <v>742436.31</v>
          </cell>
        </row>
        <row r="101">
          <cell r="E101" t="str">
            <v>0286-01-000-000</v>
          </cell>
          <cell r="G101">
            <v>478044.82</v>
          </cell>
          <cell r="H101">
            <v>462631</v>
          </cell>
          <cell r="I101">
            <v>15413.82</v>
          </cell>
        </row>
        <row r="102">
          <cell r="E102" t="str">
            <v>0287-06-000-000</v>
          </cell>
          <cell r="G102">
            <v>1005236.81</v>
          </cell>
          <cell r="H102">
            <v>345425.3</v>
          </cell>
          <cell r="I102">
            <v>659811.51</v>
          </cell>
        </row>
        <row r="103">
          <cell r="E103" t="str">
            <v>0294-01-000-000</v>
          </cell>
          <cell r="G103">
            <v>351011.08</v>
          </cell>
          <cell r="H103">
            <v>331599.8</v>
          </cell>
          <cell r="I103">
            <v>19411.28</v>
          </cell>
        </row>
        <row r="104">
          <cell r="E104" t="str">
            <v>0297-01-000-000</v>
          </cell>
          <cell r="G104">
            <v>55018.94</v>
          </cell>
          <cell r="H104">
            <v>0</v>
          </cell>
          <cell r="I104">
            <v>55018.94</v>
          </cell>
        </row>
        <row r="105">
          <cell r="E105" t="str">
            <v>0299-01-000-000</v>
          </cell>
          <cell r="G105">
            <v>137620.49</v>
          </cell>
          <cell r="H105">
            <v>140507.57999999999</v>
          </cell>
          <cell r="I105">
            <v>-2887.09</v>
          </cell>
        </row>
        <row r="106">
          <cell r="E106" t="str">
            <v>0300-01-000-000</v>
          </cell>
          <cell r="G106">
            <v>242406.85</v>
          </cell>
          <cell r="H106">
            <v>238284.66</v>
          </cell>
          <cell r="I106">
            <v>4122.1899999999996</v>
          </cell>
        </row>
        <row r="107">
          <cell r="E107" t="str">
            <v>0306-01-000-000</v>
          </cell>
          <cell r="G107">
            <v>54664.04</v>
          </cell>
          <cell r="H107">
            <v>56301.5</v>
          </cell>
          <cell r="I107">
            <v>-1637.46</v>
          </cell>
        </row>
        <row r="108">
          <cell r="E108" t="str">
            <v>0308-01-000-000</v>
          </cell>
          <cell r="G108">
            <v>101806.53</v>
          </cell>
          <cell r="H108">
            <v>98473.65</v>
          </cell>
          <cell r="I108">
            <v>3332.88</v>
          </cell>
        </row>
        <row r="109">
          <cell r="E109" t="str">
            <v>0309-01-000-000</v>
          </cell>
          <cell r="G109">
            <v>275328.57</v>
          </cell>
          <cell r="H109">
            <v>153223.51999999999</v>
          </cell>
          <cell r="I109">
            <v>122105.05</v>
          </cell>
        </row>
        <row r="110">
          <cell r="E110" t="str">
            <v>0314-01-000-000</v>
          </cell>
          <cell r="G110">
            <v>164445.68</v>
          </cell>
          <cell r="H110">
            <v>81366.06</v>
          </cell>
          <cell r="I110">
            <v>83079.62</v>
          </cell>
        </row>
        <row r="111">
          <cell r="E111" t="str">
            <v>0316-01-000-000</v>
          </cell>
          <cell r="G111">
            <v>216398.62</v>
          </cell>
          <cell r="H111">
            <v>208423.03</v>
          </cell>
          <cell r="I111">
            <v>7975.59</v>
          </cell>
        </row>
        <row r="112">
          <cell r="E112" t="str">
            <v>0317-01-000-000</v>
          </cell>
          <cell r="G112">
            <v>188344.07</v>
          </cell>
          <cell r="H112">
            <v>150741.24</v>
          </cell>
          <cell r="I112">
            <v>37602.83</v>
          </cell>
        </row>
        <row r="113">
          <cell r="E113" t="str">
            <v>0318-01-000-000</v>
          </cell>
          <cell r="G113">
            <v>701836.16</v>
          </cell>
          <cell r="H113">
            <v>392204.44</v>
          </cell>
          <cell r="I113">
            <v>309631.71999999997</v>
          </cell>
        </row>
        <row r="114">
          <cell r="E114" t="str">
            <v>0319-01-000-000</v>
          </cell>
          <cell r="G114">
            <v>124142.43</v>
          </cell>
          <cell r="H114">
            <v>124142.43</v>
          </cell>
          <cell r="I114">
            <v>0</v>
          </cell>
        </row>
        <row r="115">
          <cell r="E115" t="str">
            <v>0323-02-000-000</v>
          </cell>
          <cell r="G115">
            <v>2984.09</v>
          </cell>
          <cell r="H115">
            <v>3315.65</v>
          </cell>
          <cell r="I115">
            <v>-331.56</v>
          </cell>
        </row>
        <row r="116">
          <cell r="E116" t="str">
            <v>0330-01-000-000</v>
          </cell>
          <cell r="G116">
            <v>68237.960000000006</v>
          </cell>
          <cell r="H116">
            <v>61588.43</v>
          </cell>
          <cell r="I116">
            <v>6649.53</v>
          </cell>
        </row>
        <row r="117">
          <cell r="E117" t="str">
            <v>0332-01-000-000</v>
          </cell>
          <cell r="G117">
            <v>314718.76</v>
          </cell>
          <cell r="H117">
            <v>268183.37</v>
          </cell>
          <cell r="I117">
            <v>46535.39</v>
          </cell>
        </row>
        <row r="118">
          <cell r="E118" t="str">
            <v>0333-01-000-000</v>
          </cell>
          <cell r="G118">
            <v>112131.09</v>
          </cell>
          <cell r="H118">
            <v>97846.04</v>
          </cell>
          <cell r="I118">
            <v>14285.05</v>
          </cell>
        </row>
        <row r="119">
          <cell r="E119" t="str">
            <v>0345-01-000-000</v>
          </cell>
          <cell r="G119">
            <v>238396.84</v>
          </cell>
          <cell r="H119">
            <v>153170</v>
          </cell>
          <cell r="I119">
            <v>85226.84</v>
          </cell>
        </row>
        <row r="120">
          <cell r="E120" t="str">
            <v>0347-01-000-000</v>
          </cell>
          <cell r="G120">
            <v>802835.85</v>
          </cell>
          <cell r="H120">
            <v>725729.99</v>
          </cell>
          <cell r="I120">
            <v>77105.86</v>
          </cell>
        </row>
        <row r="121">
          <cell r="E121" t="str">
            <v>0356-01-000-000</v>
          </cell>
          <cell r="G121">
            <v>40146.99</v>
          </cell>
          <cell r="H121">
            <v>41084.839999999997</v>
          </cell>
          <cell r="I121">
            <v>-937.85</v>
          </cell>
        </row>
        <row r="122">
          <cell r="E122" t="str">
            <v>0361-01-000-000</v>
          </cell>
          <cell r="G122">
            <v>219730.29</v>
          </cell>
          <cell r="H122">
            <v>214007.39</v>
          </cell>
          <cell r="I122">
            <v>5722.9</v>
          </cell>
        </row>
        <row r="123">
          <cell r="E123" t="str">
            <v>0362-01-000-000</v>
          </cell>
          <cell r="G123">
            <v>74375.02</v>
          </cell>
          <cell r="H123">
            <v>74938.11</v>
          </cell>
          <cell r="I123">
            <v>-563.09</v>
          </cell>
        </row>
        <row r="124">
          <cell r="E124" t="str">
            <v>0363-01-000-000</v>
          </cell>
          <cell r="G124">
            <v>114244</v>
          </cell>
          <cell r="H124">
            <v>0</v>
          </cell>
          <cell r="I124">
            <v>114244</v>
          </cell>
        </row>
        <row r="125">
          <cell r="E125" t="str">
            <v>0378-01-000-000</v>
          </cell>
          <cell r="G125">
            <v>99137.66</v>
          </cell>
          <cell r="H125">
            <v>94427.55</v>
          </cell>
          <cell r="I125">
            <v>4710.1099999999997</v>
          </cell>
        </row>
        <row r="126">
          <cell r="E126" t="str">
            <v>0381-01-000-000</v>
          </cell>
          <cell r="G126">
            <v>265691.24</v>
          </cell>
          <cell r="H126">
            <v>216494.15</v>
          </cell>
          <cell r="I126">
            <v>49197.09</v>
          </cell>
        </row>
        <row r="127">
          <cell r="E127" t="str">
            <v>0390-01-000-000</v>
          </cell>
          <cell r="G127">
            <v>109816.8</v>
          </cell>
          <cell r="H127">
            <v>54399.74</v>
          </cell>
          <cell r="I127">
            <v>55417.06</v>
          </cell>
        </row>
        <row r="128">
          <cell r="E128" t="str">
            <v>0391-01-000-000</v>
          </cell>
          <cell r="G128">
            <v>60895.88</v>
          </cell>
          <cell r="H128">
            <v>46336.6</v>
          </cell>
          <cell r="I128">
            <v>14559.28</v>
          </cell>
        </row>
        <row r="129">
          <cell r="E129" t="str">
            <v>0392-01-000-000</v>
          </cell>
          <cell r="G129">
            <v>113503.16</v>
          </cell>
          <cell r="H129">
            <v>104536.53</v>
          </cell>
          <cell r="I129">
            <v>8966.6299999999992</v>
          </cell>
        </row>
        <row r="130">
          <cell r="E130" t="str">
            <v>0394-01-000-000</v>
          </cell>
          <cell r="G130">
            <v>178297.96</v>
          </cell>
          <cell r="H130">
            <v>187495.37</v>
          </cell>
          <cell r="I130">
            <v>-9197.41</v>
          </cell>
        </row>
        <row r="131">
          <cell r="E131" t="str">
            <v>0397-52-000-000</v>
          </cell>
          <cell r="G131">
            <v>13481.39</v>
          </cell>
          <cell r="H131">
            <v>11440.37</v>
          </cell>
          <cell r="I131">
            <v>2041.02</v>
          </cell>
        </row>
        <row r="132">
          <cell r="E132" t="str">
            <v>0402-01-000-000</v>
          </cell>
          <cell r="G132">
            <v>23783.13</v>
          </cell>
          <cell r="H132">
            <v>24220.86</v>
          </cell>
          <cell r="I132">
            <v>-437.73</v>
          </cell>
        </row>
        <row r="133">
          <cell r="E133" t="str">
            <v>0403-01-000-000</v>
          </cell>
          <cell r="G133">
            <v>31673.64</v>
          </cell>
          <cell r="H133">
            <v>31262.080000000002</v>
          </cell>
          <cell r="I133">
            <v>411.56</v>
          </cell>
        </row>
        <row r="134">
          <cell r="E134" t="str">
            <v>0404-01-000-000</v>
          </cell>
          <cell r="G134">
            <v>29488.99</v>
          </cell>
          <cell r="H134">
            <v>29634.93</v>
          </cell>
          <cell r="I134">
            <v>-145.94</v>
          </cell>
        </row>
        <row r="135">
          <cell r="E135" t="str">
            <v>0413-01-000-000</v>
          </cell>
          <cell r="G135">
            <v>396088.58</v>
          </cell>
          <cell r="H135">
            <v>383859.65</v>
          </cell>
          <cell r="I135">
            <v>12228.93</v>
          </cell>
        </row>
        <row r="136">
          <cell r="E136" t="str">
            <v>0414-01-000-000</v>
          </cell>
          <cell r="G136">
            <v>88149.57</v>
          </cell>
          <cell r="H136">
            <v>92814.14</v>
          </cell>
          <cell r="I136">
            <v>-4664.57</v>
          </cell>
        </row>
        <row r="137">
          <cell r="E137" t="str">
            <v>0415-01-000-000</v>
          </cell>
          <cell r="G137">
            <v>28902.560000000001</v>
          </cell>
          <cell r="H137">
            <v>27375.96</v>
          </cell>
          <cell r="I137">
            <v>1526.6</v>
          </cell>
        </row>
        <row r="138">
          <cell r="E138" t="str">
            <v>0423-01-000-000</v>
          </cell>
          <cell r="G138">
            <v>503376.98</v>
          </cell>
          <cell r="H138">
            <v>495897.36</v>
          </cell>
          <cell r="I138">
            <v>7479.62</v>
          </cell>
        </row>
        <row r="139">
          <cell r="E139" t="str">
            <v>0424-01-000-000</v>
          </cell>
          <cell r="G139">
            <v>59252.35</v>
          </cell>
          <cell r="H139">
            <v>39352.68</v>
          </cell>
          <cell r="I139">
            <v>19899.669999999998</v>
          </cell>
        </row>
        <row r="140">
          <cell r="E140" t="str">
            <v>0432-01-000-000</v>
          </cell>
          <cell r="G140">
            <v>144913.07999999999</v>
          </cell>
          <cell r="H140">
            <v>42005.39</v>
          </cell>
          <cell r="I140">
            <v>102907.69</v>
          </cell>
        </row>
        <row r="141">
          <cell r="E141" t="str">
            <v>0435-01-000-000</v>
          </cell>
          <cell r="G141">
            <v>138020.82</v>
          </cell>
          <cell r="H141">
            <v>130447.94</v>
          </cell>
          <cell r="I141">
            <v>7572.88</v>
          </cell>
        </row>
        <row r="142">
          <cell r="E142" t="str">
            <v>0441-01-000-000</v>
          </cell>
          <cell r="G142">
            <v>93401.45</v>
          </cell>
          <cell r="H142">
            <v>89575.58</v>
          </cell>
          <cell r="I142">
            <v>3825.87</v>
          </cell>
        </row>
        <row r="143">
          <cell r="E143" t="str">
            <v>0447-01-000-000</v>
          </cell>
          <cell r="G143">
            <v>53047.65</v>
          </cell>
          <cell r="H143">
            <v>52086.29</v>
          </cell>
          <cell r="I143">
            <v>961.36</v>
          </cell>
        </row>
        <row r="144">
          <cell r="E144" t="str">
            <v>0458-01-000-000</v>
          </cell>
          <cell r="G144">
            <v>59804.51</v>
          </cell>
          <cell r="H144">
            <v>56255.6</v>
          </cell>
          <cell r="I144">
            <v>3548.91</v>
          </cell>
        </row>
        <row r="145">
          <cell r="E145" t="str">
            <v>0463-01-000-000</v>
          </cell>
          <cell r="G145">
            <v>160268.99</v>
          </cell>
          <cell r="H145">
            <v>118302</v>
          </cell>
          <cell r="I145">
            <v>41966.99</v>
          </cell>
        </row>
        <row r="146">
          <cell r="E146" t="str">
            <v>0465-01-000-000</v>
          </cell>
          <cell r="G146">
            <v>304625.76</v>
          </cell>
          <cell r="H146">
            <v>313133.08</v>
          </cell>
          <cell r="I146">
            <v>-8507.32</v>
          </cell>
        </row>
        <row r="147">
          <cell r="E147" t="str">
            <v>0466-01-000-000</v>
          </cell>
          <cell r="G147">
            <v>407462.45</v>
          </cell>
          <cell r="H147">
            <v>114139.13</v>
          </cell>
          <cell r="I147">
            <v>293323.32</v>
          </cell>
        </row>
        <row r="148">
          <cell r="E148" t="str">
            <v>0473-01-000-000</v>
          </cell>
          <cell r="G148">
            <v>94537.06</v>
          </cell>
          <cell r="H148">
            <v>95692.25</v>
          </cell>
          <cell r="I148">
            <v>-1155.19</v>
          </cell>
        </row>
        <row r="149">
          <cell r="E149" t="str">
            <v>0477-01-000-000</v>
          </cell>
          <cell r="G149">
            <v>581694.69999999995</v>
          </cell>
          <cell r="H149">
            <v>327971.56</v>
          </cell>
          <cell r="I149">
            <v>253723.14</v>
          </cell>
        </row>
        <row r="150">
          <cell r="E150" t="str">
            <v>0480-01-000-000</v>
          </cell>
          <cell r="G150">
            <v>153412.74</v>
          </cell>
          <cell r="H150">
            <v>110124.02</v>
          </cell>
          <cell r="I150">
            <v>43288.72</v>
          </cell>
        </row>
        <row r="151">
          <cell r="E151" t="str">
            <v>0482-01-000-000</v>
          </cell>
          <cell r="G151">
            <v>450579.15</v>
          </cell>
          <cell r="H151">
            <v>450579.15</v>
          </cell>
          <cell r="I151">
            <v>0</v>
          </cell>
        </row>
        <row r="152">
          <cell r="E152" t="str">
            <v>0484-01-000-000</v>
          </cell>
          <cell r="G152">
            <v>211969.4</v>
          </cell>
          <cell r="H152">
            <v>211969.4</v>
          </cell>
          <cell r="I152">
            <v>0</v>
          </cell>
        </row>
        <row r="153">
          <cell r="E153" t="str">
            <v>0485-01-000-000</v>
          </cell>
          <cell r="G153">
            <v>141684.91</v>
          </cell>
          <cell r="H153">
            <v>153703.43</v>
          </cell>
          <cell r="I153">
            <v>-12018.52</v>
          </cell>
        </row>
        <row r="154">
          <cell r="E154" t="str">
            <v>0486-01-000-000</v>
          </cell>
          <cell r="G154">
            <v>68193.33</v>
          </cell>
          <cell r="H154">
            <v>68193.33</v>
          </cell>
          <cell r="I154">
            <v>0</v>
          </cell>
        </row>
        <row r="155">
          <cell r="E155" t="str">
            <v>0487-01-000-000</v>
          </cell>
          <cell r="G155">
            <v>76758.36</v>
          </cell>
          <cell r="H155">
            <v>66659.520000000004</v>
          </cell>
          <cell r="I155">
            <v>10098.84</v>
          </cell>
        </row>
        <row r="156">
          <cell r="E156" t="str">
            <v>0492-01-000-000</v>
          </cell>
          <cell r="G156">
            <v>930504.85</v>
          </cell>
          <cell r="H156">
            <v>930504.85</v>
          </cell>
          <cell r="I156">
            <v>0</v>
          </cell>
        </row>
        <row r="157">
          <cell r="E157" t="str">
            <v>0495-01-000-000</v>
          </cell>
          <cell r="G157">
            <v>68750.69</v>
          </cell>
          <cell r="H157">
            <v>66671.070000000007</v>
          </cell>
          <cell r="I157">
            <v>2079.62</v>
          </cell>
        </row>
        <row r="158">
          <cell r="E158" t="str">
            <v>0497-01-000-000</v>
          </cell>
          <cell r="G158">
            <v>46575.16</v>
          </cell>
          <cell r="H158">
            <v>50308</v>
          </cell>
          <cell r="I158">
            <v>-3732.84</v>
          </cell>
        </row>
        <row r="159">
          <cell r="E159" t="str">
            <v>0499-01-000-000</v>
          </cell>
          <cell r="G159">
            <v>53589.9</v>
          </cell>
          <cell r="H159">
            <v>27556.1</v>
          </cell>
          <cell r="I159">
            <v>26033.8</v>
          </cell>
        </row>
        <row r="160">
          <cell r="E160" t="str">
            <v>0500-01-000-000</v>
          </cell>
          <cell r="G160">
            <v>101262.46</v>
          </cell>
          <cell r="H160">
            <v>106174.74</v>
          </cell>
          <cell r="I160">
            <v>-4912.28</v>
          </cell>
        </row>
        <row r="161">
          <cell r="E161" t="str">
            <v>0505-01-000-000</v>
          </cell>
          <cell r="G161">
            <v>78969.86</v>
          </cell>
          <cell r="H161">
            <v>68370.75</v>
          </cell>
          <cell r="I161">
            <v>10599.11</v>
          </cell>
        </row>
        <row r="162">
          <cell r="E162" t="str">
            <v>0507-01-000-000</v>
          </cell>
          <cell r="G162">
            <v>60330.05</v>
          </cell>
          <cell r="H162">
            <v>0</v>
          </cell>
          <cell r="I162">
            <v>60330.05</v>
          </cell>
        </row>
        <row r="163">
          <cell r="E163" t="str">
            <v>0508-01-000-000</v>
          </cell>
          <cell r="G163">
            <v>325751.03999999998</v>
          </cell>
          <cell r="H163">
            <v>188430</v>
          </cell>
          <cell r="I163">
            <v>137321.04</v>
          </cell>
        </row>
        <row r="164">
          <cell r="E164" t="str">
            <v>0511-01-000-000</v>
          </cell>
          <cell r="G164">
            <v>111636.13</v>
          </cell>
          <cell r="H164">
            <v>110903.72</v>
          </cell>
          <cell r="I164">
            <v>732.41</v>
          </cell>
        </row>
        <row r="165">
          <cell r="E165" t="str">
            <v>0513-01-000-000</v>
          </cell>
          <cell r="G165">
            <v>33783.089999999997</v>
          </cell>
          <cell r="H165">
            <v>36311.18</v>
          </cell>
          <cell r="I165">
            <v>-2528.09</v>
          </cell>
        </row>
        <row r="166">
          <cell r="E166" t="str">
            <v>0514-01-000-000</v>
          </cell>
          <cell r="G166">
            <v>34421.79</v>
          </cell>
          <cell r="H166">
            <v>32060.06</v>
          </cell>
          <cell r="I166">
            <v>2361.73</v>
          </cell>
        </row>
        <row r="167">
          <cell r="E167" t="str">
            <v>0516-01-000-000</v>
          </cell>
          <cell r="G167">
            <v>21458.32</v>
          </cell>
          <cell r="H167">
            <v>19334.98</v>
          </cell>
          <cell r="I167">
            <v>2123.34</v>
          </cell>
        </row>
        <row r="168">
          <cell r="E168" t="str">
            <v>0518-01-000-000</v>
          </cell>
          <cell r="G168">
            <v>541339.44999999995</v>
          </cell>
          <cell r="H168">
            <v>520159.33</v>
          </cell>
          <cell r="I168">
            <v>21180.12</v>
          </cell>
        </row>
        <row r="169">
          <cell r="E169" t="str">
            <v>0531-01-000-000</v>
          </cell>
          <cell r="G169">
            <v>293190.21999999997</v>
          </cell>
          <cell r="H169">
            <v>291248.81</v>
          </cell>
          <cell r="I169">
            <v>1941.41</v>
          </cell>
        </row>
        <row r="170">
          <cell r="E170" t="str">
            <v>0533-01-000-000</v>
          </cell>
          <cell r="G170">
            <v>215179.78</v>
          </cell>
          <cell r="H170">
            <v>145882.67000000001</v>
          </cell>
          <cell r="I170">
            <v>69297.11</v>
          </cell>
        </row>
        <row r="171">
          <cell r="E171" t="str">
            <v>0534-01-000-000</v>
          </cell>
          <cell r="G171">
            <v>315550.76</v>
          </cell>
          <cell r="H171">
            <v>316753.21999999997</v>
          </cell>
          <cell r="I171">
            <v>-1202.46</v>
          </cell>
        </row>
        <row r="172">
          <cell r="E172" t="str">
            <v>0535-01-000-000</v>
          </cell>
          <cell r="G172">
            <v>2618739.5299999998</v>
          </cell>
          <cell r="H172">
            <v>0</v>
          </cell>
          <cell r="I172">
            <v>2618739.5299999998</v>
          </cell>
        </row>
        <row r="173">
          <cell r="E173" t="str">
            <v>0542-01-000-000</v>
          </cell>
          <cell r="G173">
            <v>76195.570000000007</v>
          </cell>
          <cell r="H173">
            <v>76739.61</v>
          </cell>
          <cell r="I173">
            <v>-544.04</v>
          </cell>
        </row>
        <row r="174">
          <cell r="E174" t="str">
            <v>0544-01-000-000</v>
          </cell>
          <cell r="G174">
            <v>425217.64</v>
          </cell>
          <cell r="H174">
            <v>273518.84000000003</v>
          </cell>
          <cell r="I174">
            <v>151698.79999999999</v>
          </cell>
        </row>
        <row r="175">
          <cell r="E175" t="str">
            <v>0545-01-000-000</v>
          </cell>
          <cell r="G175">
            <v>61736.6</v>
          </cell>
          <cell r="H175">
            <v>61736.6</v>
          </cell>
          <cell r="I175">
            <v>0</v>
          </cell>
        </row>
        <row r="176">
          <cell r="E176" t="str">
            <v>0547-01-000-000</v>
          </cell>
          <cell r="G176">
            <v>98823.65</v>
          </cell>
          <cell r="H176">
            <v>97522.23</v>
          </cell>
          <cell r="I176">
            <v>1301.42</v>
          </cell>
        </row>
        <row r="177">
          <cell r="E177" t="str">
            <v>0548-01-000-000</v>
          </cell>
          <cell r="G177">
            <v>160886.69</v>
          </cell>
          <cell r="H177">
            <v>161370.73000000001</v>
          </cell>
          <cell r="I177">
            <v>-484.04</v>
          </cell>
        </row>
        <row r="178">
          <cell r="E178" t="str">
            <v>0549-01-000-000</v>
          </cell>
          <cell r="G178">
            <v>262774.68</v>
          </cell>
          <cell r="H178">
            <v>47500.91</v>
          </cell>
          <cell r="I178">
            <v>215273.77</v>
          </cell>
        </row>
        <row r="179">
          <cell r="E179" t="str">
            <v>0550-01-000-000</v>
          </cell>
          <cell r="G179">
            <v>104123.68</v>
          </cell>
          <cell r="H179">
            <v>104799.19</v>
          </cell>
          <cell r="I179">
            <v>-675.51</v>
          </cell>
        </row>
        <row r="180">
          <cell r="E180" t="str">
            <v>0553-01-000-000</v>
          </cell>
          <cell r="G180">
            <v>129068.8</v>
          </cell>
          <cell r="H180">
            <v>131971.06</v>
          </cell>
          <cell r="I180">
            <v>-2902.26</v>
          </cell>
        </row>
        <row r="181">
          <cell r="E181" t="str">
            <v>0561-01-000-000</v>
          </cell>
          <cell r="G181">
            <v>52886.97</v>
          </cell>
          <cell r="H181">
            <v>54051.68</v>
          </cell>
          <cell r="I181">
            <v>-1164.71</v>
          </cell>
        </row>
        <row r="182">
          <cell r="E182" t="str">
            <v>0564-01-000-000</v>
          </cell>
          <cell r="G182">
            <v>369106.76</v>
          </cell>
          <cell r="H182">
            <v>374120.69</v>
          </cell>
          <cell r="I182">
            <v>-5013.93</v>
          </cell>
        </row>
        <row r="183">
          <cell r="E183" t="str">
            <v>0577-01-000-000</v>
          </cell>
          <cell r="G183">
            <v>81462.75</v>
          </cell>
          <cell r="H183">
            <v>66142.429999999993</v>
          </cell>
          <cell r="I183">
            <v>15320.32</v>
          </cell>
        </row>
        <row r="184">
          <cell r="E184" t="str">
            <v>0578-01-000-000</v>
          </cell>
          <cell r="G184">
            <v>294358.96999999997</v>
          </cell>
          <cell r="H184">
            <v>254285.53</v>
          </cell>
          <cell r="I184">
            <v>40073.440000000002</v>
          </cell>
        </row>
        <row r="185">
          <cell r="E185" t="str">
            <v>0581-01-000-000</v>
          </cell>
          <cell r="G185">
            <v>65411.15</v>
          </cell>
          <cell r="H185">
            <v>65499.61</v>
          </cell>
          <cell r="I185">
            <v>-88.46</v>
          </cell>
        </row>
        <row r="186">
          <cell r="E186" t="str">
            <v>0592-01-000-000</v>
          </cell>
          <cell r="G186">
            <v>35930.620000000003</v>
          </cell>
          <cell r="H186">
            <v>32541.02</v>
          </cell>
          <cell r="I186">
            <v>3389.6</v>
          </cell>
        </row>
        <row r="187">
          <cell r="E187" t="str">
            <v>0593-01-000-000</v>
          </cell>
          <cell r="G187">
            <v>246588.89</v>
          </cell>
          <cell r="H187">
            <v>250126</v>
          </cell>
          <cell r="I187">
            <v>-3537.11</v>
          </cell>
        </row>
        <row r="188">
          <cell r="E188" t="str">
            <v>0595-01-000-000</v>
          </cell>
          <cell r="G188">
            <v>314360.46000000002</v>
          </cell>
          <cell r="H188">
            <v>282732.76</v>
          </cell>
          <cell r="I188">
            <v>31627.7</v>
          </cell>
        </row>
        <row r="189">
          <cell r="E189" t="str">
            <v>0599-01-000-000</v>
          </cell>
          <cell r="G189">
            <v>95112.18</v>
          </cell>
          <cell r="H189">
            <v>0</v>
          </cell>
          <cell r="I189">
            <v>95112.18</v>
          </cell>
        </row>
        <row r="190">
          <cell r="E190" t="str">
            <v>0600-01-000-000</v>
          </cell>
          <cell r="G190">
            <v>48703</v>
          </cell>
          <cell r="H190">
            <v>50544.82</v>
          </cell>
          <cell r="I190">
            <v>-1841.82</v>
          </cell>
        </row>
        <row r="191">
          <cell r="E191" t="str">
            <v>0601-01-000-000</v>
          </cell>
          <cell r="G191">
            <v>139380.37</v>
          </cell>
          <cell r="H191">
            <v>142106.89000000001</v>
          </cell>
          <cell r="I191">
            <v>-2726.52</v>
          </cell>
        </row>
        <row r="192">
          <cell r="E192" t="str">
            <v>0611-01-000-000</v>
          </cell>
          <cell r="G192">
            <v>9618.68</v>
          </cell>
          <cell r="H192">
            <v>13586.02</v>
          </cell>
          <cell r="I192">
            <v>-3967.34</v>
          </cell>
        </row>
        <row r="193">
          <cell r="E193" t="str">
            <v>0621-01-000-000</v>
          </cell>
          <cell r="G193">
            <v>1694837.75</v>
          </cell>
          <cell r="H193">
            <v>1443199.8</v>
          </cell>
          <cell r="I193">
            <v>251637.95</v>
          </cell>
        </row>
        <row r="194">
          <cell r="E194" t="str">
            <v>0622-01-000-000</v>
          </cell>
          <cell r="G194">
            <v>2002263.21</v>
          </cell>
          <cell r="H194">
            <v>1300830.6200000001</v>
          </cell>
          <cell r="I194">
            <v>701432.59</v>
          </cell>
        </row>
        <row r="195">
          <cell r="E195" t="str">
            <v>0623-01-000-000</v>
          </cell>
          <cell r="G195">
            <v>1170789.99</v>
          </cell>
          <cell r="H195">
            <v>507678.66</v>
          </cell>
          <cell r="I195">
            <v>663111.32999999996</v>
          </cell>
        </row>
        <row r="196">
          <cell r="E196" t="str">
            <v>0624-01-000-000</v>
          </cell>
          <cell r="G196">
            <v>1256070.19</v>
          </cell>
          <cell r="H196">
            <v>1264350</v>
          </cell>
          <cell r="I196">
            <v>-8279.81</v>
          </cell>
        </row>
        <row r="197">
          <cell r="E197" t="str">
            <v>0625-01-000-000</v>
          </cell>
          <cell r="G197">
            <v>8583168.9800000004</v>
          </cell>
          <cell r="H197">
            <v>5936915.5800000001</v>
          </cell>
          <cell r="I197">
            <v>2646253.4</v>
          </cell>
        </row>
        <row r="198">
          <cell r="E198" t="str">
            <v>0627-01-000-000</v>
          </cell>
          <cell r="G198">
            <v>49839.62</v>
          </cell>
          <cell r="H198">
            <v>50541.54</v>
          </cell>
          <cell r="I198">
            <v>-701.92</v>
          </cell>
        </row>
        <row r="199">
          <cell r="E199" t="str">
            <v>0628-01-000-000</v>
          </cell>
          <cell r="G199">
            <v>38033.629999999997</v>
          </cell>
          <cell r="H199">
            <v>34779.61</v>
          </cell>
          <cell r="I199">
            <v>3254.02</v>
          </cell>
        </row>
        <row r="200">
          <cell r="E200" t="str">
            <v>0630-01-000-000</v>
          </cell>
          <cell r="G200">
            <v>85878.720000000001</v>
          </cell>
          <cell r="H200">
            <v>68403.929999999993</v>
          </cell>
          <cell r="I200">
            <v>17474.79</v>
          </cell>
        </row>
        <row r="201">
          <cell r="E201" t="str">
            <v>0635-01-000-000</v>
          </cell>
          <cell r="G201">
            <v>15136.86</v>
          </cell>
          <cell r="H201">
            <v>15136.86</v>
          </cell>
          <cell r="I201">
            <v>0</v>
          </cell>
        </row>
        <row r="202">
          <cell r="E202" t="str">
            <v>0640-01-000-000</v>
          </cell>
          <cell r="G202">
            <v>79376.45</v>
          </cell>
          <cell r="H202">
            <v>79471.399999999994</v>
          </cell>
          <cell r="I202">
            <v>-94.95</v>
          </cell>
        </row>
        <row r="203">
          <cell r="E203" t="str">
            <v>0656-01-000-000</v>
          </cell>
          <cell r="G203">
            <v>765319.62</v>
          </cell>
          <cell r="H203">
            <v>0</v>
          </cell>
          <cell r="I203">
            <v>765319.62</v>
          </cell>
        </row>
        <row r="204">
          <cell r="E204" t="str">
            <v>0659-01-000-000</v>
          </cell>
          <cell r="G204">
            <v>614179.94999999995</v>
          </cell>
          <cell r="H204">
            <v>614179.94999999995</v>
          </cell>
          <cell r="I204">
            <v>0</v>
          </cell>
        </row>
        <row r="205">
          <cell r="E205" t="str">
            <v>0671-01-000-000</v>
          </cell>
          <cell r="G205">
            <v>66319.520000000004</v>
          </cell>
          <cell r="H205">
            <v>72609.37</v>
          </cell>
          <cell r="I205">
            <v>-6289.85</v>
          </cell>
        </row>
        <row r="206">
          <cell r="E206" t="str">
            <v>0676-01-000-000</v>
          </cell>
          <cell r="G206">
            <v>46557.65</v>
          </cell>
          <cell r="H206">
            <v>48785.45</v>
          </cell>
          <cell r="I206">
            <v>-2227.8000000000002</v>
          </cell>
        </row>
        <row r="207">
          <cell r="E207" t="str">
            <v>0682-01-000-000</v>
          </cell>
          <cell r="G207">
            <v>240854.95</v>
          </cell>
          <cell r="H207">
            <v>223000.45</v>
          </cell>
          <cell r="I207">
            <v>17854.5</v>
          </cell>
        </row>
        <row r="208">
          <cell r="E208" t="str">
            <v>0690-01-000-000</v>
          </cell>
          <cell r="G208">
            <v>211456.67</v>
          </cell>
          <cell r="H208">
            <v>200743.25</v>
          </cell>
          <cell r="I208">
            <v>10713.42</v>
          </cell>
        </row>
        <row r="209">
          <cell r="E209" t="str">
            <v>0695-01-000-000</v>
          </cell>
          <cell r="G209">
            <v>140163.65</v>
          </cell>
          <cell r="H209">
            <v>139830.84</v>
          </cell>
          <cell r="I209">
            <v>332.81</v>
          </cell>
        </row>
        <row r="210">
          <cell r="E210" t="str">
            <v>0696-01-000-000</v>
          </cell>
          <cell r="G210">
            <v>89548.44</v>
          </cell>
          <cell r="H210">
            <v>83408.53</v>
          </cell>
          <cell r="I210">
            <v>6139.91</v>
          </cell>
        </row>
        <row r="211">
          <cell r="E211" t="str">
            <v>0698-01-000-000</v>
          </cell>
          <cell r="G211">
            <v>70122.2</v>
          </cell>
          <cell r="H211">
            <v>73800.7</v>
          </cell>
          <cell r="I211">
            <v>-3678.5</v>
          </cell>
        </row>
        <row r="212">
          <cell r="E212" t="str">
            <v>0700-01-000-000</v>
          </cell>
          <cell r="G212">
            <v>351952.22</v>
          </cell>
          <cell r="H212">
            <v>273540.39</v>
          </cell>
          <cell r="I212">
            <v>78411.83</v>
          </cell>
        </row>
        <row r="213">
          <cell r="E213" t="str">
            <v>0701-01-000-000</v>
          </cell>
          <cell r="G213">
            <v>448739.42</v>
          </cell>
          <cell r="H213">
            <v>256394.21</v>
          </cell>
          <cell r="I213">
            <v>192345.21</v>
          </cell>
        </row>
        <row r="214">
          <cell r="E214" t="str">
            <v>0704-01-000-000</v>
          </cell>
          <cell r="G214">
            <v>299411.52</v>
          </cell>
          <cell r="H214">
            <v>189556.53</v>
          </cell>
          <cell r="I214">
            <v>109854.99</v>
          </cell>
        </row>
        <row r="215">
          <cell r="E215" t="str">
            <v>0706-01-000-000</v>
          </cell>
          <cell r="G215">
            <v>303324.42</v>
          </cell>
          <cell r="H215">
            <v>297590.09999999998</v>
          </cell>
          <cell r="I215">
            <v>5734.32</v>
          </cell>
        </row>
        <row r="216">
          <cell r="E216" t="str">
            <v>0707-01-000-000</v>
          </cell>
          <cell r="G216">
            <v>31268.48</v>
          </cell>
          <cell r="H216">
            <v>31268.48</v>
          </cell>
          <cell r="I216">
            <v>0</v>
          </cell>
        </row>
        <row r="217">
          <cell r="E217" t="str">
            <v>0709-01-000-000</v>
          </cell>
          <cell r="G217">
            <v>1660268.37</v>
          </cell>
          <cell r="H217">
            <v>767000</v>
          </cell>
          <cell r="I217">
            <v>893268.37</v>
          </cell>
        </row>
        <row r="218">
          <cell r="E218" t="str">
            <v>0712-01-000-000</v>
          </cell>
          <cell r="G218">
            <v>115422.96</v>
          </cell>
          <cell r="H218">
            <v>107219.25</v>
          </cell>
          <cell r="I218">
            <v>8203.7099999999991</v>
          </cell>
        </row>
        <row r="219">
          <cell r="E219" t="str">
            <v>0716-01-000-000</v>
          </cell>
          <cell r="G219">
            <v>262977.93</v>
          </cell>
          <cell r="H219">
            <v>213523.92</v>
          </cell>
          <cell r="I219">
            <v>49454.01</v>
          </cell>
        </row>
        <row r="220">
          <cell r="E220" t="str">
            <v>0717-01-000-000</v>
          </cell>
          <cell r="G220">
            <v>270226.7</v>
          </cell>
          <cell r="H220">
            <v>222610.24</v>
          </cell>
          <cell r="I220">
            <v>47616.46</v>
          </cell>
        </row>
        <row r="221">
          <cell r="E221" t="str">
            <v>0719-01-000-000</v>
          </cell>
          <cell r="G221">
            <v>1069067.54</v>
          </cell>
          <cell r="H221">
            <v>948604.94</v>
          </cell>
          <cell r="I221">
            <v>120462.6</v>
          </cell>
        </row>
        <row r="222">
          <cell r="E222" t="str">
            <v>0720-01-000-000</v>
          </cell>
          <cell r="G222">
            <v>1225112.24</v>
          </cell>
          <cell r="H222">
            <v>935000</v>
          </cell>
          <cell r="I222">
            <v>290112.24</v>
          </cell>
        </row>
        <row r="223">
          <cell r="E223" t="str">
            <v>0721-01-000-000</v>
          </cell>
          <cell r="G223">
            <v>574708.81999999995</v>
          </cell>
          <cell r="H223">
            <v>299621.74</v>
          </cell>
          <cell r="I223">
            <v>275087.08</v>
          </cell>
        </row>
        <row r="224">
          <cell r="E224" t="str">
            <v>0726-01-000-000</v>
          </cell>
          <cell r="G224">
            <v>424988.77</v>
          </cell>
          <cell r="H224">
            <v>0</v>
          </cell>
          <cell r="I224">
            <v>424988.77</v>
          </cell>
        </row>
        <row r="225">
          <cell r="E225" t="str">
            <v>0727-01-000-000</v>
          </cell>
          <cell r="G225">
            <v>596359.05000000005</v>
          </cell>
          <cell r="H225">
            <v>610410.31000000006</v>
          </cell>
          <cell r="I225">
            <v>-14051.26</v>
          </cell>
        </row>
        <row r="226">
          <cell r="E226" t="str">
            <v>0728-01-000-000</v>
          </cell>
          <cell r="G226">
            <v>2153399.39</v>
          </cell>
          <cell r="H226">
            <v>899047.13</v>
          </cell>
          <cell r="I226">
            <v>1254352.26</v>
          </cell>
        </row>
        <row r="227">
          <cell r="E227" t="str">
            <v>0738-01-000-000</v>
          </cell>
          <cell r="G227">
            <v>173193.11</v>
          </cell>
          <cell r="H227">
            <v>45537.03</v>
          </cell>
          <cell r="I227">
            <v>127656.08</v>
          </cell>
        </row>
        <row r="228">
          <cell r="E228" t="str">
            <v>0739-01-000-000</v>
          </cell>
          <cell r="G228">
            <v>114155.86</v>
          </cell>
          <cell r="H228">
            <v>97994.52</v>
          </cell>
          <cell r="I228">
            <v>16161.34</v>
          </cell>
        </row>
        <row r="229">
          <cell r="E229" t="str">
            <v>0740-01-000-000</v>
          </cell>
          <cell r="G229">
            <v>260083.73</v>
          </cell>
          <cell r="H229">
            <v>264867.53999999998</v>
          </cell>
          <cell r="I229">
            <v>-4783.8100000000004</v>
          </cell>
        </row>
        <row r="230">
          <cell r="E230" t="str">
            <v>0741-01-000-000</v>
          </cell>
          <cell r="G230">
            <v>187094.78</v>
          </cell>
          <cell r="H230">
            <v>172739.1</v>
          </cell>
          <cell r="I230">
            <v>14355.68</v>
          </cell>
        </row>
        <row r="231">
          <cell r="E231" t="str">
            <v>0742-01-000-000</v>
          </cell>
          <cell r="G231">
            <v>1825774.25</v>
          </cell>
          <cell r="H231">
            <v>768835.98</v>
          </cell>
          <cell r="I231">
            <v>1056938.27</v>
          </cell>
        </row>
        <row r="232">
          <cell r="E232" t="str">
            <v>0743-01-000-000</v>
          </cell>
          <cell r="G232">
            <v>172029.38</v>
          </cell>
          <cell r="H232">
            <v>143186.26</v>
          </cell>
          <cell r="I232">
            <v>28843.119999999999</v>
          </cell>
        </row>
        <row r="233">
          <cell r="E233" t="str">
            <v>0745-01-000-000</v>
          </cell>
          <cell r="G233">
            <v>290151.26</v>
          </cell>
          <cell r="H233">
            <v>165849.35999999999</v>
          </cell>
          <cell r="I233">
            <v>124301.9</v>
          </cell>
        </row>
        <row r="234">
          <cell r="E234" t="str">
            <v>0748-01-000-000</v>
          </cell>
          <cell r="G234">
            <v>578992.73</v>
          </cell>
          <cell r="H234">
            <v>584581.65</v>
          </cell>
          <cell r="I234">
            <v>-5588.92</v>
          </cell>
        </row>
        <row r="235">
          <cell r="E235" t="str">
            <v>0750-01-000-000</v>
          </cell>
          <cell r="G235">
            <v>341622.73</v>
          </cell>
          <cell r="H235">
            <v>221800.16</v>
          </cell>
          <cell r="I235">
            <v>119822.57</v>
          </cell>
        </row>
        <row r="236">
          <cell r="E236" t="str">
            <v>0756-01-000-000</v>
          </cell>
          <cell r="G236">
            <v>124958.76</v>
          </cell>
          <cell r="H236">
            <v>123481.57</v>
          </cell>
          <cell r="I236">
            <v>1477.19</v>
          </cell>
        </row>
        <row r="237">
          <cell r="E237" t="str">
            <v>0761-01-000-000</v>
          </cell>
          <cell r="G237">
            <v>873741.83</v>
          </cell>
          <cell r="H237">
            <v>579103.31000000006</v>
          </cell>
          <cell r="I237">
            <v>294638.52</v>
          </cell>
        </row>
        <row r="238">
          <cell r="E238" t="str">
            <v>0763-01-000-000</v>
          </cell>
          <cell r="G238">
            <v>134082.23999999999</v>
          </cell>
          <cell r="H238">
            <v>77398.070000000007</v>
          </cell>
          <cell r="I238">
            <v>56684.17</v>
          </cell>
        </row>
        <row r="239">
          <cell r="E239" t="str">
            <v>0768-01-000-000</v>
          </cell>
          <cell r="G239">
            <v>49408.97</v>
          </cell>
          <cell r="H239">
            <v>49408.97</v>
          </cell>
          <cell r="I239">
            <v>0</v>
          </cell>
        </row>
        <row r="240">
          <cell r="E240" t="str">
            <v>0769-01-000-000</v>
          </cell>
          <cell r="G240">
            <v>176643.15</v>
          </cell>
          <cell r="H240">
            <v>172642.54</v>
          </cell>
          <cell r="I240">
            <v>4000.61</v>
          </cell>
        </row>
        <row r="241">
          <cell r="E241" t="str">
            <v>0771-01-000-000</v>
          </cell>
          <cell r="G241">
            <v>28615</v>
          </cell>
          <cell r="H241">
            <v>28290.12</v>
          </cell>
          <cell r="I241">
            <v>324.88</v>
          </cell>
        </row>
        <row r="242">
          <cell r="E242" t="str">
            <v>0775-01-000-000</v>
          </cell>
          <cell r="G242">
            <v>105710.73</v>
          </cell>
          <cell r="H242">
            <v>108623.49</v>
          </cell>
          <cell r="I242">
            <v>-2912.76</v>
          </cell>
        </row>
        <row r="243">
          <cell r="E243" t="str">
            <v>0777-01-000-000</v>
          </cell>
          <cell r="G243">
            <v>185684</v>
          </cell>
          <cell r="H243">
            <v>76245.53</v>
          </cell>
          <cell r="I243">
            <v>109438.47</v>
          </cell>
        </row>
        <row r="244">
          <cell r="E244" t="str">
            <v>0786-01-000-000</v>
          </cell>
          <cell r="G244">
            <v>93574.52</v>
          </cell>
          <cell r="H244">
            <v>86810.09</v>
          </cell>
          <cell r="I244">
            <v>6764.43</v>
          </cell>
        </row>
        <row r="245">
          <cell r="E245" t="str">
            <v>0787-01-000-000</v>
          </cell>
          <cell r="G245">
            <v>103831.18</v>
          </cell>
          <cell r="H245">
            <v>100596.62</v>
          </cell>
          <cell r="I245">
            <v>3234.56</v>
          </cell>
        </row>
        <row r="246">
          <cell r="E246" t="str">
            <v>0801-01-000-000</v>
          </cell>
          <cell r="G246">
            <v>28577.4</v>
          </cell>
          <cell r="H246">
            <v>30113.88</v>
          </cell>
          <cell r="I246">
            <v>-1536.48</v>
          </cell>
        </row>
        <row r="247">
          <cell r="E247" t="str">
            <v>0803-01-000-000</v>
          </cell>
          <cell r="G247">
            <v>88037.35</v>
          </cell>
          <cell r="H247">
            <v>18663.060000000001</v>
          </cell>
          <cell r="I247">
            <v>69374.289999999994</v>
          </cell>
        </row>
        <row r="248">
          <cell r="E248" t="str">
            <v>0811-01-000-000</v>
          </cell>
          <cell r="G248">
            <v>102630.99</v>
          </cell>
          <cell r="H248">
            <v>0</v>
          </cell>
          <cell r="I248">
            <v>102630.99</v>
          </cell>
        </row>
        <row r="249">
          <cell r="E249" t="str">
            <v>0813-01-000-000</v>
          </cell>
          <cell r="G249">
            <v>203452.3</v>
          </cell>
          <cell r="H249">
            <v>198217.48</v>
          </cell>
          <cell r="I249">
            <v>5234.82</v>
          </cell>
        </row>
        <row r="250">
          <cell r="E250" t="str">
            <v>0815-02-000-000</v>
          </cell>
          <cell r="G250">
            <v>3984.2</v>
          </cell>
          <cell r="H250">
            <v>3917.19</v>
          </cell>
          <cell r="I250">
            <v>67.010000000000005</v>
          </cell>
        </row>
        <row r="251">
          <cell r="E251" t="str">
            <v>0818-01-000-000</v>
          </cell>
          <cell r="G251">
            <v>103164.34</v>
          </cell>
          <cell r="H251">
            <v>34277.29</v>
          </cell>
          <cell r="I251">
            <v>68887.05</v>
          </cell>
        </row>
        <row r="252">
          <cell r="E252" t="str">
            <v>0820-01-000-000</v>
          </cell>
          <cell r="G252">
            <v>109488.83</v>
          </cell>
          <cell r="H252">
            <v>102675.81</v>
          </cell>
          <cell r="I252">
            <v>6813.02</v>
          </cell>
        </row>
        <row r="253">
          <cell r="E253" t="str">
            <v>0821-01-000-000</v>
          </cell>
          <cell r="G253">
            <v>147450</v>
          </cell>
          <cell r="H253">
            <v>0</v>
          </cell>
          <cell r="I253">
            <v>147450</v>
          </cell>
        </row>
        <row r="254">
          <cell r="E254" t="str">
            <v>0829-01-000-000</v>
          </cell>
          <cell r="G254">
            <v>361840.53</v>
          </cell>
          <cell r="H254">
            <v>358700.84</v>
          </cell>
          <cell r="I254">
            <v>3139.69</v>
          </cell>
        </row>
        <row r="255">
          <cell r="E255" t="str">
            <v>0831-01-000-000</v>
          </cell>
          <cell r="G255">
            <v>1083667.42</v>
          </cell>
          <cell r="H255">
            <v>260142.04</v>
          </cell>
          <cell r="I255">
            <v>823525.38</v>
          </cell>
        </row>
        <row r="256">
          <cell r="E256" t="str">
            <v>0832-01-000-000</v>
          </cell>
          <cell r="G256">
            <v>512944.94</v>
          </cell>
          <cell r="H256">
            <v>187240.88</v>
          </cell>
          <cell r="I256">
            <v>325704.06</v>
          </cell>
        </row>
        <row r="257">
          <cell r="E257" t="str">
            <v>0833-01-000-000</v>
          </cell>
          <cell r="G257">
            <v>2696361.75</v>
          </cell>
          <cell r="H257">
            <v>635131.22</v>
          </cell>
          <cell r="I257">
            <v>2061230.53</v>
          </cell>
        </row>
        <row r="258">
          <cell r="E258" t="str">
            <v>0834-01-000-000</v>
          </cell>
          <cell r="G258">
            <v>1306569.29</v>
          </cell>
          <cell r="H258">
            <v>682473.43</v>
          </cell>
          <cell r="I258">
            <v>624095.86</v>
          </cell>
        </row>
        <row r="259">
          <cell r="E259" t="str">
            <v>0836-01-000-000</v>
          </cell>
          <cell r="G259">
            <v>47463.8</v>
          </cell>
          <cell r="H259">
            <v>52331.08</v>
          </cell>
          <cell r="I259">
            <v>-4867.28</v>
          </cell>
        </row>
        <row r="260">
          <cell r="E260" t="str">
            <v>0837-01-000-000</v>
          </cell>
          <cell r="G260">
            <v>113477.85</v>
          </cell>
          <cell r="H260">
            <v>110596.52</v>
          </cell>
          <cell r="I260">
            <v>2881.33</v>
          </cell>
        </row>
        <row r="261">
          <cell r="E261" t="str">
            <v>0840-01-000-000</v>
          </cell>
          <cell r="G261">
            <v>214513.92000000001</v>
          </cell>
          <cell r="H261">
            <v>147652.9</v>
          </cell>
          <cell r="I261">
            <v>66861.02</v>
          </cell>
        </row>
        <row r="262">
          <cell r="E262" t="str">
            <v>0846-01-000-000</v>
          </cell>
          <cell r="G262">
            <v>139956.46</v>
          </cell>
          <cell r="H262">
            <v>58650.28</v>
          </cell>
          <cell r="I262">
            <v>81306.179999999993</v>
          </cell>
        </row>
        <row r="263">
          <cell r="E263" t="str">
            <v>0850-01-000-000</v>
          </cell>
          <cell r="G263">
            <v>39148.82</v>
          </cell>
          <cell r="H263">
            <v>8400.73</v>
          </cell>
          <cell r="I263">
            <v>30748.09</v>
          </cell>
        </row>
        <row r="264">
          <cell r="E264" t="str">
            <v>0852-01-000-000</v>
          </cell>
          <cell r="G264">
            <v>31185.26</v>
          </cell>
          <cell r="H264">
            <v>32108</v>
          </cell>
          <cell r="I264">
            <v>-922.74</v>
          </cell>
        </row>
        <row r="265">
          <cell r="E265" t="str">
            <v>0857-01-000-000</v>
          </cell>
          <cell r="G265">
            <v>132381.13</v>
          </cell>
          <cell r="H265">
            <v>133346.43</v>
          </cell>
          <cell r="I265">
            <v>-965.3</v>
          </cell>
        </row>
        <row r="266">
          <cell r="E266" t="str">
            <v>0858-01-000-000</v>
          </cell>
          <cell r="G266">
            <v>170120.9</v>
          </cell>
          <cell r="H266">
            <v>163519.37</v>
          </cell>
          <cell r="I266">
            <v>6601.53</v>
          </cell>
        </row>
        <row r="267">
          <cell r="E267" t="str">
            <v>0861-01-000-000</v>
          </cell>
          <cell r="G267">
            <v>549674.06999999995</v>
          </cell>
          <cell r="H267">
            <v>549674.06999999995</v>
          </cell>
          <cell r="I267">
            <v>0</v>
          </cell>
        </row>
        <row r="268">
          <cell r="E268" t="str">
            <v>0876-01-000-000</v>
          </cell>
          <cell r="G268">
            <v>278157.84000000003</v>
          </cell>
          <cell r="H268">
            <v>0</v>
          </cell>
          <cell r="I268">
            <v>278157.84000000003</v>
          </cell>
        </row>
        <row r="269">
          <cell r="E269" t="str">
            <v>0877-01-000-000</v>
          </cell>
          <cell r="G269">
            <v>981465.11</v>
          </cell>
          <cell r="H269">
            <v>368842.69</v>
          </cell>
          <cell r="I269">
            <v>612622.42000000004</v>
          </cell>
        </row>
        <row r="270">
          <cell r="E270" t="str">
            <v>0879-01-000-000</v>
          </cell>
          <cell r="G270">
            <v>372633.15</v>
          </cell>
          <cell r="H270">
            <v>264533.90000000002</v>
          </cell>
          <cell r="I270">
            <v>108099.25</v>
          </cell>
        </row>
        <row r="271">
          <cell r="E271" t="str">
            <v>0881-01-000-000</v>
          </cell>
          <cell r="G271">
            <v>180112.77</v>
          </cell>
          <cell r="H271">
            <v>113433.11</v>
          </cell>
          <cell r="I271">
            <v>66679.66</v>
          </cell>
        </row>
        <row r="272">
          <cell r="E272" t="str">
            <v>0882-01-000-000</v>
          </cell>
          <cell r="G272">
            <v>732039.14</v>
          </cell>
          <cell r="H272">
            <v>242961.69</v>
          </cell>
          <cell r="I272">
            <v>489077.45</v>
          </cell>
        </row>
        <row r="273">
          <cell r="E273" t="str">
            <v>0883-01-000-000</v>
          </cell>
          <cell r="G273">
            <v>244499.7</v>
          </cell>
          <cell r="H273">
            <v>106832.18</v>
          </cell>
          <cell r="I273">
            <v>137667.51999999999</v>
          </cell>
        </row>
        <row r="274">
          <cell r="E274" t="str">
            <v>0885-01-000-000</v>
          </cell>
          <cell r="G274">
            <v>878732.35</v>
          </cell>
          <cell r="H274">
            <v>498559.87</v>
          </cell>
          <cell r="I274">
            <v>380172.48</v>
          </cell>
        </row>
        <row r="275">
          <cell r="E275" t="str">
            <v>0891-01-000-000</v>
          </cell>
          <cell r="G275">
            <v>103748.98</v>
          </cell>
          <cell r="H275">
            <v>108562</v>
          </cell>
          <cell r="I275">
            <v>-4813.0200000000004</v>
          </cell>
        </row>
        <row r="276">
          <cell r="E276" t="str">
            <v>0911-01-000-000</v>
          </cell>
          <cell r="G276">
            <v>932997.29</v>
          </cell>
          <cell r="H276">
            <v>293411.32</v>
          </cell>
          <cell r="I276">
            <v>639585.97</v>
          </cell>
        </row>
        <row r="277">
          <cell r="E277" t="str">
            <v>0912-01-000-000</v>
          </cell>
          <cell r="G277">
            <v>325718.88</v>
          </cell>
          <cell r="H277">
            <v>247955.14</v>
          </cell>
          <cell r="I277">
            <v>77763.740000000005</v>
          </cell>
        </row>
        <row r="278">
          <cell r="E278" t="str">
            <v>0914-01-000-000</v>
          </cell>
          <cell r="G278">
            <v>54730.19</v>
          </cell>
          <cell r="H278">
            <v>57675.08</v>
          </cell>
          <cell r="I278">
            <v>-2944.89</v>
          </cell>
        </row>
        <row r="279">
          <cell r="E279" t="str">
            <v>0915-52-000-000</v>
          </cell>
          <cell r="G279">
            <v>36884.01</v>
          </cell>
          <cell r="H279">
            <v>20284.900000000001</v>
          </cell>
          <cell r="I279">
            <v>16599.11</v>
          </cell>
        </row>
        <row r="280">
          <cell r="E280" t="str">
            <v>0916-06-000-000</v>
          </cell>
          <cell r="G280">
            <v>493139.86</v>
          </cell>
          <cell r="H280">
            <v>147301.68</v>
          </cell>
          <cell r="I280">
            <v>345838.18</v>
          </cell>
        </row>
        <row r="281">
          <cell r="E281" t="str">
            <v>0917-06-000-000</v>
          </cell>
          <cell r="G281">
            <v>375375.99</v>
          </cell>
          <cell r="H281">
            <v>223517.26</v>
          </cell>
          <cell r="I281">
            <v>151858.73000000001</v>
          </cell>
        </row>
        <row r="282">
          <cell r="E282" t="str">
            <v>0926-83-000-000</v>
          </cell>
          <cell r="G282">
            <v>1012.54</v>
          </cell>
          <cell r="H282">
            <v>1030.24</v>
          </cell>
          <cell r="I282">
            <v>-17.7</v>
          </cell>
        </row>
        <row r="283">
          <cell r="E283" t="str">
            <v>0927-83-000-000</v>
          </cell>
          <cell r="G283">
            <v>481.76</v>
          </cell>
          <cell r="H283">
            <v>0</v>
          </cell>
          <cell r="I283">
            <v>481.76</v>
          </cell>
        </row>
        <row r="284">
          <cell r="E284" t="str">
            <v>0930-53-000-000</v>
          </cell>
          <cell r="G284">
            <v>83214.539999999994</v>
          </cell>
          <cell r="H284">
            <v>0</v>
          </cell>
          <cell r="I284">
            <v>83214.539999999994</v>
          </cell>
        </row>
        <row r="285">
          <cell r="E285" t="str">
            <v>0935-52-000-000</v>
          </cell>
          <cell r="G285">
            <v>41705.14</v>
          </cell>
          <cell r="H285">
            <v>40959.440000000002</v>
          </cell>
          <cell r="I285">
            <v>745.7</v>
          </cell>
        </row>
        <row r="286">
          <cell r="E286" t="str">
            <v>0938-52-000-000</v>
          </cell>
          <cell r="G286">
            <v>61954.68</v>
          </cell>
          <cell r="H286">
            <v>35596.870000000003</v>
          </cell>
          <cell r="I286">
            <v>26357.81</v>
          </cell>
        </row>
        <row r="287">
          <cell r="E287" t="str">
            <v>0957-51-000-000</v>
          </cell>
          <cell r="G287">
            <v>2886.62</v>
          </cell>
          <cell r="H287">
            <v>2886.62</v>
          </cell>
          <cell r="I287">
            <v>0</v>
          </cell>
        </row>
        <row r="288">
          <cell r="E288" t="str">
            <v>0991-83-000-000</v>
          </cell>
          <cell r="G288">
            <v>77874.48</v>
          </cell>
          <cell r="H288">
            <v>60587.56</v>
          </cell>
          <cell r="I288">
            <v>17286.919999999998</v>
          </cell>
        </row>
        <row r="289">
          <cell r="E289" t="str">
            <v>0993-52-000-000</v>
          </cell>
          <cell r="G289">
            <v>100561.72</v>
          </cell>
          <cell r="H289">
            <v>0</v>
          </cell>
          <cell r="I289">
            <v>100561.72</v>
          </cell>
        </row>
        <row r="290">
          <cell r="E290" t="str">
            <v>0998-52-000-000</v>
          </cell>
          <cell r="G290">
            <v>6211.96</v>
          </cell>
          <cell r="H290">
            <v>6211.96</v>
          </cell>
          <cell r="I290">
            <v>0</v>
          </cell>
        </row>
        <row r="291">
          <cell r="E291" t="str">
            <v>2071-01-000-000</v>
          </cell>
          <cell r="G291">
            <v>139151.21</v>
          </cell>
          <cell r="H291">
            <v>93091.58</v>
          </cell>
          <cell r="I291">
            <v>46059.63</v>
          </cell>
        </row>
        <row r="292">
          <cell r="E292" t="str">
            <v>2125-01-000-000</v>
          </cell>
          <cell r="G292">
            <v>205734.01</v>
          </cell>
          <cell r="H292">
            <v>204452.04</v>
          </cell>
          <cell r="I292">
            <v>1281.97</v>
          </cell>
        </row>
        <row r="293">
          <cell r="E293" t="str">
            <v>2134-01-000-000</v>
          </cell>
          <cell r="G293">
            <v>138580.74</v>
          </cell>
          <cell r="H293">
            <v>141909.26</v>
          </cell>
          <cell r="I293">
            <v>-3328.52</v>
          </cell>
        </row>
        <row r="294">
          <cell r="E294" t="str">
            <v>2135-01-000-000</v>
          </cell>
          <cell r="G294">
            <v>207228.65</v>
          </cell>
          <cell r="H294">
            <v>130820.49</v>
          </cell>
          <cell r="I294">
            <v>76408.160000000003</v>
          </cell>
        </row>
        <row r="295">
          <cell r="E295" t="str">
            <v>2137-01-000-000</v>
          </cell>
          <cell r="G295">
            <v>116049.04</v>
          </cell>
          <cell r="H295">
            <v>117945.62</v>
          </cell>
          <cell r="I295">
            <v>-1896.58</v>
          </cell>
        </row>
        <row r="296">
          <cell r="E296" t="str">
            <v>2142-01-000-000</v>
          </cell>
          <cell r="G296">
            <v>427033.49</v>
          </cell>
          <cell r="H296">
            <v>175000</v>
          </cell>
          <cell r="I296">
            <v>252033.49</v>
          </cell>
        </row>
        <row r="297">
          <cell r="E297" t="str">
            <v>2143-01-000-000</v>
          </cell>
          <cell r="G297">
            <v>139998.41</v>
          </cell>
          <cell r="H297">
            <v>41457.94</v>
          </cell>
          <cell r="I297">
            <v>98540.47</v>
          </cell>
        </row>
        <row r="298">
          <cell r="E298" t="str">
            <v>2144-01-000-000</v>
          </cell>
          <cell r="G298">
            <v>574067.75</v>
          </cell>
          <cell r="H298">
            <v>0</v>
          </cell>
          <cell r="I298">
            <v>574067.75</v>
          </cell>
        </row>
        <row r="299">
          <cell r="E299" t="str">
            <v>2149-01-000-000</v>
          </cell>
          <cell r="G299">
            <v>229400.33</v>
          </cell>
          <cell r="H299">
            <v>135142.63</v>
          </cell>
          <cell r="I299">
            <v>94257.7</v>
          </cell>
        </row>
        <row r="300">
          <cell r="E300" t="str">
            <v>2154-01-000-000</v>
          </cell>
          <cell r="G300">
            <v>210559.37</v>
          </cell>
          <cell r="H300">
            <v>126827.25</v>
          </cell>
          <cell r="I300">
            <v>83732.12</v>
          </cell>
        </row>
        <row r="301">
          <cell r="E301" t="str">
            <v>2155-01-000-000</v>
          </cell>
          <cell r="G301">
            <v>200150.63</v>
          </cell>
          <cell r="H301">
            <v>194940.16</v>
          </cell>
          <cell r="I301">
            <v>5210.47</v>
          </cell>
        </row>
        <row r="302">
          <cell r="E302" t="str">
            <v>2159-01-000-000</v>
          </cell>
          <cell r="G302">
            <v>110893.63</v>
          </cell>
          <cell r="H302">
            <v>110409.31</v>
          </cell>
          <cell r="I302">
            <v>484.32</v>
          </cell>
        </row>
        <row r="303">
          <cell r="E303" t="str">
            <v>2164-01-000-000</v>
          </cell>
          <cell r="G303">
            <v>254273.87</v>
          </cell>
          <cell r="H303">
            <v>257603</v>
          </cell>
          <cell r="I303">
            <v>-3329.13</v>
          </cell>
        </row>
        <row r="304">
          <cell r="E304" t="str">
            <v>2165-01-000-000</v>
          </cell>
          <cell r="G304">
            <v>191500.91</v>
          </cell>
          <cell r="H304">
            <v>97826.37</v>
          </cell>
          <cell r="I304">
            <v>93674.54</v>
          </cell>
        </row>
        <row r="305">
          <cell r="E305" t="str">
            <v>2167-01-000-000</v>
          </cell>
          <cell r="G305">
            <v>108554.81</v>
          </cell>
          <cell r="H305">
            <v>109560.89</v>
          </cell>
          <cell r="I305">
            <v>-1006.08</v>
          </cell>
        </row>
        <row r="306">
          <cell r="E306" t="str">
            <v>2168-01-000-000</v>
          </cell>
          <cell r="G306">
            <v>170522.99</v>
          </cell>
          <cell r="H306">
            <v>126922.35</v>
          </cell>
          <cell r="I306">
            <v>43600.639999999999</v>
          </cell>
        </row>
        <row r="307">
          <cell r="E307" t="str">
            <v>2169-01-000-000</v>
          </cell>
          <cell r="G307">
            <v>142842.44</v>
          </cell>
          <cell r="H307">
            <v>142842.44</v>
          </cell>
          <cell r="I307">
            <v>0</v>
          </cell>
        </row>
        <row r="308">
          <cell r="E308" t="str">
            <v>2170-01-000-000</v>
          </cell>
          <cell r="G308">
            <v>268457.19</v>
          </cell>
          <cell r="H308">
            <v>271257.88</v>
          </cell>
          <cell r="I308">
            <v>-2800.69</v>
          </cell>
        </row>
        <row r="309">
          <cell r="E309" t="str">
            <v>2171-01-000-000</v>
          </cell>
          <cell r="G309">
            <v>68247.58</v>
          </cell>
          <cell r="H309">
            <v>68247.58</v>
          </cell>
          <cell r="I309">
            <v>0</v>
          </cell>
        </row>
        <row r="310">
          <cell r="E310" t="str">
            <v>2172-01-000-000</v>
          </cell>
          <cell r="G310">
            <v>140196.10999999999</v>
          </cell>
          <cell r="H310">
            <v>146735.69</v>
          </cell>
          <cell r="I310">
            <v>-6539.58</v>
          </cell>
        </row>
        <row r="311">
          <cell r="E311" t="str">
            <v>2174-01-000-000</v>
          </cell>
          <cell r="G311">
            <v>188184.24</v>
          </cell>
          <cell r="H311">
            <v>188184.24</v>
          </cell>
          <cell r="I311">
            <v>0</v>
          </cell>
        </row>
        <row r="312">
          <cell r="E312" t="str">
            <v>2176-01-000-000</v>
          </cell>
          <cell r="G312">
            <v>99632.46</v>
          </cell>
          <cell r="H312">
            <v>106456.18</v>
          </cell>
          <cell r="I312">
            <v>-6823.72</v>
          </cell>
        </row>
        <row r="313">
          <cell r="E313" t="str">
            <v>2180-01-000-000</v>
          </cell>
          <cell r="G313">
            <v>124545.41</v>
          </cell>
          <cell r="H313">
            <v>121451.4</v>
          </cell>
          <cell r="I313">
            <v>3094.01</v>
          </cell>
        </row>
        <row r="314">
          <cell r="E314" t="str">
            <v>2184-01-000-000</v>
          </cell>
          <cell r="G314">
            <v>217500.64</v>
          </cell>
          <cell r="H314">
            <v>214879.53</v>
          </cell>
          <cell r="I314">
            <v>2621.11</v>
          </cell>
        </row>
        <row r="315">
          <cell r="E315" t="str">
            <v>2190-01-000-000</v>
          </cell>
          <cell r="G315">
            <v>169304.93</v>
          </cell>
          <cell r="H315">
            <v>118132.08</v>
          </cell>
          <cell r="I315">
            <v>51172.85</v>
          </cell>
        </row>
        <row r="316">
          <cell r="E316" t="str">
            <v>2198-01-000-000</v>
          </cell>
          <cell r="G316">
            <v>90184.4</v>
          </cell>
          <cell r="H316">
            <v>67356.06</v>
          </cell>
          <cell r="I316">
            <v>22828.34</v>
          </cell>
        </row>
        <row r="317">
          <cell r="E317" t="str">
            <v>2215-01-000-000</v>
          </cell>
          <cell r="G317">
            <v>70140.02</v>
          </cell>
          <cell r="H317">
            <v>71546.710000000006</v>
          </cell>
          <cell r="I317">
            <v>-1406.69</v>
          </cell>
        </row>
        <row r="318">
          <cell r="E318" t="str">
            <v>2310-01-000-000</v>
          </cell>
          <cell r="G318">
            <v>220300.33</v>
          </cell>
          <cell r="H318">
            <v>173587.51</v>
          </cell>
          <cell r="I318">
            <v>46712.82</v>
          </cell>
        </row>
        <row r="319">
          <cell r="E319" t="str">
            <v>2311-01-000-000</v>
          </cell>
          <cell r="G319">
            <v>91248.04</v>
          </cell>
          <cell r="H319">
            <v>47474.79</v>
          </cell>
          <cell r="I319">
            <v>43773.25</v>
          </cell>
        </row>
        <row r="320">
          <cell r="E320" t="str">
            <v>2342-01-000-000</v>
          </cell>
          <cell r="G320">
            <v>122971.98</v>
          </cell>
          <cell r="H320">
            <v>128032.24</v>
          </cell>
          <cell r="I320">
            <v>-5060.26</v>
          </cell>
        </row>
        <row r="321">
          <cell r="E321" t="str">
            <v>2358-01-000-000</v>
          </cell>
          <cell r="G321">
            <v>60871.49</v>
          </cell>
          <cell r="H321">
            <v>60901.05</v>
          </cell>
          <cell r="I321">
            <v>-29.56</v>
          </cell>
        </row>
        <row r="322">
          <cell r="E322" t="str">
            <v>2364-01-000-000</v>
          </cell>
          <cell r="G322">
            <v>131266.68</v>
          </cell>
          <cell r="H322">
            <v>131918.45000000001</v>
          </cell>
          <cell r="I322">
            <v>-651.77</v>
          </cell>
        </row>
        <row r="323">
          <cell r="E323" t="str">
            <v>2365-01-000-000</v>
          </cell>
          <cell r="G323">
            <v>153131.24</v>
          </cell>
          <cell r="H323">
            <v>143098</v>
          </cell>
          <cell r="I323">
            <v>10033.24</v>
          </cell>
        </row>
        <row r="324">
          <cell r="E324" t="str">
            <v>2396-01-000-000</v>
          </cell>
          <cell r="G324">
            <v>144365.10999999999</v>
          </cell>
          <cell r="H324">
            <v>58393.65</v>
          </cell>
          <cell r="I324">
            <v>85971.46</v>
          </cell>
        </row>
        <row r="325">
          <cell r="E325" t="str">
            <v>2397-01-000-000</v>
          </cell>
          <cell r="G325">
            <v>195775.38</v>
          </cell>
          <cell r="H325">
            <v>80764.34</v>
          </cell>
          <cell r="I325">
            <v>115011.04</v>
          </cell>
        </row>
        <row r="326">
          <cell r="E326" t="str">
            <v>2448-01-000-000</v>
          </cell>
          <cell r="G326">
            <v>132062.46</v>
          </cell>
          <cell r="H326">
            <v>142373.9</v>
          </cell>
          <cell r="I326">
            <v>-10311.44</v>
          </cell>
        </row>
        <row r="327">
          <cell r="E327" t="str">
            <v>2527-01-000-000</v>
          </cell>
          <cell r="G327">
            <v>59608.639999999999</v>
          </cell>
          <cell r="H327">
            <v>60223.29</v>
          </cell>
          <cell r="I327">
            <v>-614.65</v>
          </cell>
        </row>
        <row r="328">
          <cell r="E328" t="str">
            <v>2534-01-000-000</v>
          </cell>
          <cell r="G328">
            <v>127623.94</v>
          </cell>
          <cell r="H328">
            <v>81082.42</v>
          </cell>
          <cell r="I328">
            <v>46541.52</v>
          </cell>
        </row>
        <row r="329">
          <cell r="E329" t="str">
            <v>2536-01-000-000</v>
          </cell>
          <cell r="G329">
            <v>46467.37</v>
          </cell>
          <cell r="H329">
            <v>43263.41</v>
          </cell>
          <cell r="I329">
            <v>3203.96</v>
          </cell>
        </row>
        <row r="330">
          <cell r="E330" t="str">
            <v>2580-01-000-000</v>
          </cell>
          <cell r="G330">
            <v>160322.54</v>
          </cell>
          <cell r="H330">
            <v>131340.26</v>
          </cell>
          <cell r="I330">
            <v>28982.28</v>
          </cell>
        </row>
        <row r="331">
          <cell r="E331" t="str">
            <v>2609-01-000-000</v>
          </cell>
          <cell r="G331">
            <v>84326.46</v>
          </cell>
          <cell r="H331">
            <v>84326.46</v>
          </cell>
          <cell r="I331">
            <v>0</v>
          </cell>
        </row>
        <row r="332">
          <cell r="E332" t="str">
            <v>2683-01-000-000</v>
          </cell>
          <cell r="G332">
            <v>106631.18</v>
          </cell>
          <cell r="H332">
            <v>106216.27</v>
          </cell>
          <cell r="I332">
            <v>414.91</v>
          </cell>
        </row>
        <row r="333">
          <cell r="E333" t="str">
            <v>2687-01-000-000</v>
          </cell>
          <cell r="G333">
            <v>176763.17</v>
          </cell>
          <cell r="H333">
            <v>168770.56</v>
          </cell>
          <cell r="I333">
            <v>7992.61</v>
          </cell>
        </row>
        <row r="334">
          <cell r="E334" t="str">
            <v>2689-01-000-000</v>
          </cell>
          <cell r="G334">
            <v>233326.66</v>
          </cell>
          <cell r="H334">
            <v>233326.66</v>
          </cell>
          <cell r="I334">
            <v>0</v>
          </cell>
        </row>
        <row r="335">
          <cell r="E335" t="str">
            <v>2711-01-000-000</v>
          </cell>
          <cell r="G335">
            <v>164215.71</v>
          </cell>
          <cell r="H335">
            <v>168742.48</v>
          </cell>
          <cell r="I335">
            <v>-4526.7700000000004</v>
          </cell>
        </row>
        <row r="336">
          <cell r="E336" t="str">
            <v>2752-01-000-000</v>
          </cell>
          <cell r="G336">
            <v>306620.26</v>
          </cell>
          <cell r="H336">
            <v>320818.99</v>
          </cell>
          <cell r="I336">
            <v>-14198.73</v>
          </cell>
        </row>
        <row r="337">
          <cell r="E337" t="str">
            <v>2753-01-000-000</v>
          </cell>
          <cell r="G337">
            <v>205728.88</v>
          </cell>
          <cell r="H337">
            <v>204640.99</v>
          </cell>
          <cell r="I337">
            <v>1087.8900000000001</v>
          </cell>
        </row>
        <row r="338">
          <cell r="E338" t="str">
            <v>2754-01-000-000</v>
          </cell>
          <cell r="G338">
            <v>96894.84</v>
          </cell>
          <cell r="H338">
            <v>97148.57</v>
          </cell>
          <cell r="I338">
            <v>-253.73</v>
          </cell>
        </row>
        <row r="339">
          <cell r="E339" t="str">
            <v>2759-01-000-000</v>
          </cell>
          <cell r="G339">
            <v>58252.63</v>
          </cell>
          <cell r="H339">
            <v>60849.73</v>
          </cell>
          <cell r="I339">
            <v>-2597.1</v>
          </cell>
        </row>
        <row r="340">
          <cell r="E340" t="str">
            <v>2805-01-000-000</v>
          </cell>
          <cell r="G340">
            <v>173601.78</v>
          </cell>
          <cell r="H340">
            <v>176009.47</v>
          </cell>
          <cell r="I340">
            <v>-2407.69</v>
          </cell>
        </row>
        <row r="341">
          <cell r="E341" t="str">
            <v>2835-01-000-000</v>
          </cell>
          <cell r="G341">
            <v>107780.05</v>
          </cell>
          <cell r="H341">
            <v>35374.04</v>
          </cell>
          <cell r="I341">
            <v>72406.009999999995</v>
          </cell>
        </row>
        <row r="342">
          <cell r="E342" t="str">
            <v>2853-01-000-000</v>
          </cell>
          <cell r="G342">
            <v>157954.76</v>
          </cell>
          <cell r="H342">
            <v>157014.31</v>
          </cell>
          <cell r="I342">
            <v>940.45</v>
          </cell>
        </row>
        <row r="343">
          <cell r="E343" t="str">
            <v>2854-01-000-000</v>
          </cell>
          <cell r="G343">
            <v>117362.14</v>
          </cell>
          <cell r="H343">
            <v>115367.67999999999</v>
          </cell>
          <cell r="I343">
            <v>1994.46</v>
          </cell>
        </row>
        <row r="344">
          <cell r="E344" t="str">
            <v>2856-01-000-000</v>
          </cell>
          <cell r="G344">
            <v>82379.05</v>
          </cell>
          <cell r="H344">
            <v>86376.48</v>
          </cell>
          <cell r="I344">
            <v>-3997.43</v>
          </cell>
        </row>
        <row r="345">
          <cell r="E345" t="str">
            <v>2859-01-000-000</v>
          </cell>
          <cell r="G345">
            <v>299924.45</v>
          </cell>
          <cell r="H345">
            <v>267456.28000000003</v>
          </cell>
          <cell r="I345">
            <v>32468.17</v>
          </cell>
        </row>
        <row r="346">
          <cell r="E346" t="str">
            <v>2860-01-000-000</v>
          </cell>
          <cell r="G346">
            <v>231966.3</v>
          </cell>
          <cell r="H346">
            <v>227289.41</v>
          </cell>
          <cell r="I346">
            <v>4676.8900000000003</v>
          </cell>
        </row>
        <row r="347">
          <cell r="E347" t="str">
            <v>2884-01-000-000</v>
          </cell>
          <cell r="G347">
            <v>85914.14</v>
          </cell>
          <cell r="H347">
            <v>83090.02</v>
          </cell>
          <cell r="I347">
            <v>2824.12</v>
          </cell>
        </row>
        <row r="348">
          <cell r="E348" t="str">
            <v>2886-01-000-000</v>
          </cell>
          <cell r="G348">
            <v>70073.570000000007</v>
          </cell>
          <cell r="H348">
            <v>71027.649999999994</v>
          </cell>
          <cell r="I348">
            <v>-954.08</v>
          </cell>
        </row>
        <row r="349">
          <cell r="E349" t="str">
            <v>2888-01-000-000</v>
          </cell>
          <cell r="G349">
            <v>82076.52</v>
          </cell>
          <cell r="H349">
            <v>78719.73</v>
          </cell>
          <cell r="I349">
            <v>3356.79</v>
          </cell>
        </row>
        <row r="350">
          <cell r="E350" t="str">
            <v>2889-01-000-000</v>
          </cell>
          <cell r="G350">
            <v>98578.85</v>
          </cell>
          <cell r="H350">
            <v>72847.37</v>
          </cell>
          <cell r="I350">
            <v>25731.48</v>
          </cell>
        </row>
        <row r="351">
          <cell r="E351" t="str">
            <v>2890-01-000-000</v>
          </cell>
          <cell r="G351">
            <v>95013.05</v>
          </cell>
          <cell r="H351">
            <v>95742.53</v>
          </cell>
          <cell r="I351">
            <v>-729.48</v>
          </cell>
        </row>
        <row r="352">
          <cell r="E352" t="str">
            <v>2895-01-000-000</v>
          </cell>
          <cell r="G352">
            <v>208131.57</v>
          </cell>
          <cell r="H352">
            <v>208131.57</v>
          </cell>
          <cell r="I352">
            <v>0</v>
          </cell>
        </row>
        <row r="353">
          <cell r="E353" t="str">
            <v>2897-01-000-000</v>
          </cell>
          <cell r="G353">
            <v>213794.06</v>
          </cell>
          <cell r="H353">
            <v>207306.31</v>
          </cell>
          <cell r="I353">
            <v>6487.75</v>
          </cell>
        </row>
        <row r="354">
          <cell r="E354" t="str">
            <v>2898-01-000-000</v>
          </cell>
          <cell r="G354">
            <v>107164.61</v>
          </cell>
          <cell r="H354">
            <v>106057.15</v>
          </cell>
          <cell r="I354">
            <v>1107.46</v>
          </cell>
        </row>
        <row r="355">
          <cell r="E355" t="str">
            <v>2899-01-000-000</v>
          </cell>
          <cell r="G355">
            <v>255606.1</v>
          </cell>
          <cell r="H355">
            <v>255288.16</v>
          </cell>
          <cell r="I355">
            <v>317.94</v>
          </cell>
        </row>
        <row r="356">
          <cell r="E356" t="str">
            <v>2902-01-000-000</v>
          </cell>
          <cell r="G356">
            <v>106386.25</v>
          </cell>
          <cell r="H356">
            <v>111893.97</v>
          </cell>
          <cell r="I356">
            <v>-5507.72</v>
          </cell>
        </row>
        <row r="357">
          <cell r="E357" t="str">
            <v>2903-01-000-000</v>
          </cell>
          <cell r="G357">
            <v>101173.77</v>
          </cell>
          <cell r="H357">
            <v>102779.37</v>
          </cell>
          <cell r="I357">
            <v>-1605.6</v>
          </cell>
        </row>
        <row r="358">
          <cell r="E358" t="str">
            <v>2904-01-000-000</v>
          </cell>
          <cell r="G358">
            <v>144609.94</v>
          </cell>
          <cell r="H358">
            <v>154555.85999999999</v>
          </cell>
          <cell r="I358">
            <v>-9945.92</v>
          </cell>
        </row>
        <row r="359">
          <cell r="E359" t="str">
            <v>4000-07-000-000</v>
          </cell>
          <cell r="G359">
            <v>32877.69</v>
          </cell>
          <cell r="H359">
            <v>28043.37</v>
          </cell>
          <cell r="I359">
            <v>4834.32</v>
          </cell>
        </row>
        <row r="360">
          <cell r="E360" t="str">
            <v>4001-07-000-000</v>
          </cell>
          <cell r="G360">
            <v>36273.22</v>
          </cell>
          <cell r="H360">
            <v>36521.69</v>
          </cell>
          <cell r="I360">
            <v>-248.47</v>
          </cell>
        </row>
        <row r="361">
          <cell r="E361" t="str">
            <v>4003-07-000-000</v>
          </cell>
          <cell r="G361">
            <v>30637.42</v>
          </cell>
          <cell r="H361">
            <v>27514</v>
          </cell>
          <cell r="I361">
            <v>3123.42</v>
          </cell>
        </row>
        <row r="362">
          <cell r="E362" t="str">
            <v>4004-07-000-000</v>
          </cell>
          <cell r="G362">
            <v>37347.730000000003</v>
          </cell>
          <cell r="H362">
            <v>32819.24</v>
          </cell>
          <cell r="I362">
            <v>4528.49</v>
          </cell>
        </row>
        <row r="363">
          <cell r="E363" t="str">
            <v>4005-07-000-000</v>
          </cell>
          <cell r="G363">
            <v>105154.72</v>
          </cell>
          <cell r="H363">
            <v>100656.25</v>
          </cell>
          <cell r="I363">
            <v>4498.47</v>
          </cell>
        </row>
        <row r="364">
          <cell r="E364" t="str">
            <v>4007-07-000-000</v>
          </cell>
          <cell r="G364">
            <v>24907.33</v>
          </cell>
          <cell r="H364">
            <v>27556.16</v>
          </cell>
          <cell r="I364">
            <v>-2648.83</v>
          </cell>
        </row>
        <row r="365">
          <cell r="E365" t="str">
            <v>4008-07-000-000</v>
          </cell>
          <cell r="G365">
            <v>113037.35</v>
          </cell>
          <cell r="H365">
            <v>111907.67</v>
          </cell>
          <cell r="I365">
            <v>1129.68</v>
          </cell>
        </row>
        <row r="366">
          <cell r="E366" t="str">
            <v>4011-07-000-000</v>
          </cell>
          <cell r="G366">
            <v>70015.41</v>
          </cell>
          <cell r="H366">
            <v>69758.2</v>
          </cell>
          <cell r="I366">
            <v>257.20999999999998</v>
          </cell>
        </row>
        <row r="367">
          <cell r="E367" t="str">
            <v>4015-07-000-000</v>
          </cell>
          <cell r="G367">
            <v>177030.86</v>
          </cell>
          <cell r="H367">
            <v>177621.57</v>
          </cell>
          <cell r="I367">
            <v>-590.71</v>
          </cell>
        </row>
        <row r="368">
          <cell r="E368" t="str">
            <v>4016-07-000-000</v>
          </cell>
          <cell r="G368">
            <v>30005.78</v>
          </cell>
          <cell r="H368">
            <v>29565.119999999999</v>
          </cell>
          <cell r="I368">
            <v>440.66</v>
          </cell>
        </row>
        <row r="369">
          <cell r="E369" t="str">
            <v>4017-07-000-000</v>
          </cell>
          <cell r="G369">
            <v>637654.68999999994</v>
          </cell>
          <cell r="H369">
            <v>621143.85</v>
          </cell>
          <cell r="I369">
            <v>16510.84</v>
          </cell>
        </row>
        <row r="370">
          <cell r="E370" t="str">
            <v>4018-07-000-000</v>
          </cell>
          <cell r="G370">
            <v>96537.11</v>
          </cell>
          <cell r="H370">
            <v>82710</v>
          </cell>
          <cell r="I370">
            <v>13827.11</v>
          </cell>
        </row>
        <row r="371">
          <cell r="E371" t="str">
            <v>4020-07-000-000</v>
          </cell>
          <cell r="G371">
            <v>253449.44</v>
          </cell>
          <cell r="H371">
            <v>105285.85</v>
          </cell>
          <cell r="I371">
            <v>148163.59</v>
          </cell>
        </row>
        <row r="372">
          <cell r="E372" t="str">
            <v>4025-07-000-000</v>
          </cell>
          <cell r="G372">
            <v>24655.3</v>
          </cell>
          <cell r="H372">
            <v>23881.79</v>
          </cell>
          <cell r="I372">
            <v>773.51</v>
          </cell>
        </row>
        <row r="373">
          <cell r="E373" t="str">
            <v>4026-07-000-000</v>
          </cell>
          <cell r="G373">
            <v>41910.269999999997</v>
          </cell>
          <cell r="H373">
            <v>42885.9</v>
          </cell>
          <cell r="I373">
            <v>-975.63</v>
          </cell>
        </row>
        <row r="374">
          <cell r="E374" t="str">
            <v>4027-07-000-000</v>
          </cell>
          <cell r="G374">
            <v>166766.81</v>
          </cell>
          <cell r="H374">
            <v>169320.17</v>
          </cell>
          <cell r="I374">
            <v>-2553.36</v>
          </cell>
        </row>
        <row r="375">
          <cell r="E375" t="str">
            <v>4029-07-000-000</v>
          </cell>
          <cell r="G375">
            <v>82716.039999999994</v>
          </cell>
          <cell r="H375">
            <v>90405.62</v>
          </cell>
          <cell r="I375">
            <v>-7689.58</v>
          </cell>
        </row>
        <row r="376">
          <cell r="E376" t="str">
            <v>4030-07-000-000</v>
          </cell>
          <cell r="G376">
            <v>60258.87</v>
          </cell>
          <cell r="H376">
            <v>66954.3</v>
          </cell>
          <cell r="I376">
            <v>-6695.43</v>
          </cell>
        </row>
        <row r="377">
          <cell r="E377" t="str">
            <v>4031-07-000-000</v>
          </cell>
          <cell r="G377">
            <v>18534.53</v>
          </cell>
          <cell r="H377">
            <v>20593.919999999998</v>
          </cell>
          <cell r="I377">
            <v>-2059.39</v>
          </cell>
        </row>
        <row r="378">
          <cell r="E378" t="str">
            <v>4032-07-000-000</v>
          </cell>
          <cell r="G378">
            <v>74750.399999999994</v>
          </cell>
          <cell r="H378">
            <v>78451.91</v>
          </cell>
          <cell r="I378">
            <v>-3701.51</v>
          </cell>
        </row>
        <row r="379">
          <cell r="E379" t="str">
            <v>4035-07-000-000</v>
          </cell>
          <cell r="G379">
            <v>91378.22</v>
          </cell>
          <cell r="H379">
            <v>96335.78</v>
          </cell>
          <cell r="I379">
            <v>-4957.5600000000004</v>
          </cell>
        </row>
        <row r="380">
          <cell r="E380" t="str">
            <v>4036-07-000-000</v>
          </cell>
          <cell r="G380">
            <v>19446.990000000002</v>
          </cell>
          <cell r="H380">
            <v>19258.79</v>
          </cell>
          <cell r="I380">
            <v>188.2</v>
          </cell>
        </row>
        <row r="381">
          <cell r="E381" t="str">
            <v>4038-07-000-000</v>
          </cell>
          <cell r="G381">
            <v>86680.53</v>
          </cell>
          <cell r="H381">
            <v>73770.83</v>
          </cell>
          <cell r="I381">
            <v>12909.7</v>
          </cell>
        </row>
        <row r="382">
          <cell r="E382" t="str">
            <v>4039-07-000-000</v>
          </cell>
          <cell r="G382">
            <v>57903.06</v>
          </cell>
          <cell r="H382">
            <v>50422.98</v>
          </cell>
          <cell r="I382">
            <v>7480.08</v>
          </cell>
        </row>
        <row r="383">
          <cell r="E383" t="str">
            <v>4042-07-000-000</v>
          </cell>
          <cell r="G383">
            <v>34439.22</v>
          </cell>
          <cell r="H383">
            <v>34469.64</v>
          </cell>
          <cell r="I383">
            <v>-30.42</v>
          </cell>
        </row>
        <row r="384">
          <cell r="E384" t="str">
            <v>4043-07-000-000</v>
          </cell>
          <cell r="G384">
            <v>58013.279999999999</v>
          </cell>
          <cell r="H384">
            <v>58013.279999999999</v>
          </cell>
          <cell r="I384">
            <v>0</v>
          </cell>
        </row>
        <row r="385">
          <cell r="E385" t="str">
            <v>4045-07-000-000</v>
          </cell>
          <cell r="G385">
            <v>13394.79</v>
          </cell>
          <cell r="H385">
            <v>14883.1</v>
          </cell>
          <cell r="I385">
            <v>-1488.31</v>
          </cell>
        </row>
        <row r="386">
          <cell r="E386" t="str">
            <v>4046-07-000-000</v>
          </cell>
          <cell r="G386">
            <v>22516.86</v>
          </cell>
          <cell r="H386">
            <v>22516.86</v>
          </cell>
          <cell r="I386">
            <v>0</v>
          </cell>
        </row>
        <row r="387">
          <cell r="E387" t="str">
            <v>4048-07-000-000</v>
          </cell>
          <cell r="G387">
            <v>7397.21</v>
          </cell>
          <cell r="H387">
            <v>7396.82</v>
          </cell>
          <cell r="I387">
            <v>0.39</v>
          </cell>
        </row>
        <row r="388">
          <cell r="E388" t="str">
            <v>4049-07-000-000</v>
          </cell>
          <cell r="G388">
            <v>41491.22</v>
          </cell>
          <cell r="H388">
            <v>48599.05</v>
          </cell>
          <cell r="I388">
            <v>-7107.83</v>
          </cell>
        </row>
        <row r="389">
          <cell r="E389" t="str">
            <v>4050-07-000-000</v>
          </cell>
          <cell r="G389">
            <v>15010.1</v>
          </cell>
          <cell r="H389">
            <v>15848.47</v>
          </cell>
          <cell r="I389">
            <v>-838.37</v>
          </cell>
        </row>
        <row r="390">
          <cell r="E390" t="str">
            <v>4052-07-000-000</v>
          </cell>
          <cell r="G390">
            <v>28436.3</v>
          </cell>
          <cell r="H390">
            <v>28658.639999999999</v>
          </cell>
          <cell r="I390">
            <v>-222.34</v>
          </cell>
        </row>
        <row r="391">
          <cell r="E391" t="str">
            <v>4053-07-000-000</v>
          </cell>
          <cell r="G391">
            <v>60175.21</v>
          </cell>
          <cell r="H391">
            <v>61743.199999999997</v>
          </cell>
          <cell r="I391">
            <v>-1567.99</v>
          </cell>
        </row>
        <row r="392">
          <cell r="E392" t="str">
            <v>4054-07-000-000</v>
          </cell>
          <cell r="G392">
            <v>6181.83</v>
          </cell>
          <cell r="H392">
            <v>7193.14</v>
          </cell>
          <cell r="I392">
            <v>-1011.31</v>
          </cell>
        </row>
        <row r="393">
          <cell r="E393" t="str">
            <v>4055-07-000-000</v>
          </cell>
          <cell r="G393">
            <v>24167.69</v>
          </cell>
          <cell r="H393">
            <v>24854.53</v>
          </cell>
          <cell r="I393">
            <v>-686.84</v>
          </cell>
        </row>
        <row r="394">
          <cell r="E394" t="str">
            <v>4056-07-000-000</v>
          </cell>
          <cell r="G394">
            <v>28575.67</v>
          </cell>
          <cell r="H394">
            <v>29549.63</v>
          </cell>
          <cell r="I394">
            <v>-973.96</v>
          </cell>
        </row>
        <row r="395">
          <cell r="E395" t="str">
            <v>4057-07-000-000</v>
          </cell>
          <cell r="G395">
            <v>22900.02</v>
          </cell>
          <cell r="H395">
            <v>27823.69</v>
          </cell>
          <cell r="I395">
            <v>-4923.67</v>
          </cell>
        </row>
        <row r="396">
          <cell r="E396" t="str">
            <v>4058-07-000-000</v>
          </cell>
          <cell r="G396">
            <v>37243.11</v>
          </cell>
          <cell r="H396">
            <v>37243.11</v>
          </cell>
          <cell r="I396">
            <v>0</v>
          </cell>
        </row>
        <row r="397">
          <cell r="E397" t="str">
            <v>4059-07-000-000</v>
          </cell>
          <cell r="G397">
            <v>26307.61</v>
          </cell>
          <cell r="H397">
            <v>27717.89</v>
          </cell>
          <cell r="I397">
            <v>-1410.28</v>
          </cell>
        </row>
        <row r="398">
          <cell r="E398" t="str">
            <v>4061-07-000-000</v>
          </cell>
          <cell r="G398">
            <v>18382.009999999998</v>
          </cell>
          <cell r="H398">
            <v>18382.009999999998</v>
          </cell>
          <cell r="I398">
            <v>0</v>
          </cell>
        </row>
        <row r="399">
          <cell r="E399" t="str">
            <v>4064-07-000-000</v>
          </cell>
          <cell r="G399">
            <v>23018.86</v>
          </cell>
          <cell r="H399">
            <v>24035.72</v>
          </cell>
          <cell r="I399">
            <v>-1016.86</v>
          </cell>
        </row>
        <row r="400">
          <cell r="E400" t="str">
            <v>4066-07-000-000</v>
          </cell>
          <cell r="G400">
            <v>15884.21</v>
          </cell>
          <cell r="H400">
            <v>17649.12</v>
          </cell>
          <cell r="I400">
            <v>-1764.91</v>
          </cell>
        </row>
        <row r="401">
          <cell r="E401" t="str">
            <v>4067-07-000-000</v>
          </cell>
          <cell r="G401">
            <v>71655.87</v>
          </cell>
          <cell r="H401">
            <v>71655.87</v>
          </cell>
          <cell r="I401">
            <v>0</v>
          </cell>
        </row>
        <row r="402">
          <cell r="E402" t="str">
            <v>4068-07-000-000</v>
          </cell>
          <cell r="G402">
            <v>99302.46</v>
          </cell>
          <cell r="H402">
            <v>110336.07</v>
          </cell>
          <cell r="I402">
            <v>-11033.61</v>
          </cell>
        </row>
        <row r="403">
          <cell r="E403" t="str">
            <v>4070-07-000-000</v>
          </cell>
          <cell r="G403">
            <v>110589.17</v>
          </cell>
          <cell r="H403">
            <v>110589.17</v>
          </cell>
          <cell r="I403">
            <v>0</v>
          </cell>
        </row>
        <row r="404">
          <cell r="E404" t="str">
            <v>4073-07-000-000</v>
          </cell>
          <cell r="G404">
            <v>81456.61</v>
          </cell>
          <cell r="H404">
            <v>81456.61</v>
          </cell>
          <cell r="I404">
            <v>0</v>
          </cell>
        </row>
        <row r="405">
          <cell r="E405" t="str">
            <v>4074-07-000-000</v>
          </cell>
          <cell r="G405">
            <v>54365.31</v>
          </cell>
          <cell r="H405">
            <v>55325.34</v>
          </cell>
          <cell r="I405">
            <v>-960.03</v>
          </cell>
        </row>
        <row r="406">
          <cell r="E406" t="str">
            <v>4075-07-000-000</v>
          </cell>
          <cell r="G406">
            <v>41036.160000000003</v>
          </cell>
          <cell r="H406">
            <v>39652.629999999997</v>
          </cell>
          <cell r="I406">
            <v>1383.53</v>
          </cell>
        </row>
        <row r="407">
          <cell r="E407" t="str">
            <v>4077-07-000-000</v>
          </cell>
          <cell r="G407">
            <v>143045.51999999999</v>
          </cell>
          <cell r="H407">
            <v>136978.5</v>
          </cell>
          <cell r="I407">
            <v>6067.02</v>
          </cell>
        </row>
        <row r="408">
          <cell r="E408" t="str">
            <v>4078-07-000-000</v>
          </cell>
          <cell r="G408">
            <v>87891.26</v>
          </cell>
          <cell r="H408">
            <v>94878.68</v>
          </cell>
          <cell r="I408">
            <v>-6987.42</v>
          </cell>
        </row>
        <row r="409">
          <cell r="E409" t="str">
            <v>4079-07-000-000</v>
          </cell>
          <cell r="G409">
            <v>24226.91</v>
          </cell>
          <cell r="H409">
            <v>26130.2</v>
          </cell>
          <cell r="I409">
            <v>-1903.29</v>
          </cell>
        </row>
        <row r="410">
          <cell r="E410" t="str">
            <v>4080-07-000-000</v>
          </cell>
          <cell r="G410">
            <v>13125.68</v>
          </cell>
          <cell r="H410">
            <v>12803.7</v>
          </cell>
          <cell r="I410">
            <v>321.98</v>
          </cell>
        </row>
        <row r="411">
          <cell r="E411" t="str">
            <v>4081-07-000-000</v>
          </cell>
          <cell r="G411">
            <v>16513.38</v>
          </cell>
          <cell r="H411">
            <v>13745.93</v>
          </cell>
          <cell r="I411">
            <v>2767.45</v>
          </cell>
        </row>
        <row r="412">
          <cell r="E412" t="str">
            <v>4082-07-000-000</v>
          </cell>
          <cell r="G412">
            <v>130243.73</v>
          </cell>
          <cell r="H412">
            <v>144715.26</v>
          </cell>
          <cell r="I412">
            <v>-14471.53</v>
          </cell>
        </row>
        <row r="413">
          <cell r="E413" t="str">
            <v>4083-07-000-000</v>
          </cell>
          <cell r="G413">
            <v>14345.19</v>
          </cell>
          <cell r="H413">
            <v>4891.91</v>
          </cell>
          <cell r="I413">
            <v>9453.2800000000007</v>
          </cell>
        </row>
        <row r="414">
          <cell r="E414" t="str">
            <v>4084-07-000-000</v>
          </cell>
          <cell r="G414">
            <v>60634.21</v>
          </cell>
          <cell r="H414">
            <v>60190.97</v>
          </cell>
          <cell r="I414">
            <v>443.24</v>
          </cell>
        </row>
        <row r="415">
          <cell r="E415" t="str">
            <v>4085-07-000-000</v>
          </cell>
          <cell r="G415">
            <v>46051.83</v>
          </cell>
          <cell r="H415">
            <v>46134.93</v>
          </cell>
          <cell r="I415">
            <v>-83.1</v>
          </cell>
        </row>
        <row r="416">
          <cell r="E416" t="str">
            <v>4086-07-000-000</v>
          </cell>
          <cell r="G416">
            <v>76962.33</v>
          </cell>
          <cell r="H416">
            <v>88596.53</v>
          </cell>
          <cell r="I416">
            <v>-11634.2</v>
          </cell>
        </row>
        <row r="417">
          <cell r="E417" t="str">
            <v>4087-07-000-000</v>
          </cell>
          <cell r="G417">
            <v>22111.759999999998</v>
          </cell>
          <cell r="H417">
            <v>22889.09</v>
          </cell>
          <cell r="I417">
            <v>-777.33</v>
          </cell>
        </row>
        <row r="418">
          <cell r="E418" t="str">
            <v>4088-07-000-000</v>
          </cell>
          <cell r="G418">
            <v>62395.71</v>
          </cell>
          <cell r="H418">
            <v>62395.71</v>
          </cell>
          <cell r="I418">
            <v>0</v>
          </cell>
        </row>
        <row r="419">
          <cell r="E419" t="str">
            <v>4089-07-000-000</v>
          </cell>
          <cell r="G419">
            <v>22249.1</v>
          </cell>
          <cell r="H419">
            <v>21095.47</v>
          </cell>
          <cell r="I419">
            <v>1153.6300000000001</v>
          </cell>
        </row>
        <row r="420">
          <cell r="E420" t="str">
            <v>4090-07-000-000</v>
          </cell>
          <cell r="G420">
            <v>29261.13</v>
          </cell>
          <cell r="H420">
            <v>28097.59</v>
          </cell>
          <cell r="I420">
            <v>1163.54</v>
          </cell>
        </row>
        <row r="421">
          <cell r="E421" t="str">
            <v>4091-07-000-000</v>
          </cell>
          <cell r="G421">
            <v>28077.67</v>
          </cell>
          <cell r="H421">
            <v>28989.07</v>
          </cell>
          <cell r="I421">
            <v>-911.4</v>
          </cell>
        </row>
        <row r="422">
          <cell r="E422" t="str">
            <v>4092-07-000-000</v>
          </cell>
          <cell r="G422">
            <v>17401.77</v>
          </cell>
          <cell r="H422">
            <v>19335.3</v>
          </cell>
          <cell r="I422">
            <v>-1933.53</v>
          </cell>
        </row>
        <row r="423">
          <cell r="E423" t="str">
            <v>4093-07-000-000</v>
          </cell>
          <cell r="G423">
            <v>30571.54</v>
          </cell>
          <cell r="H423">
            <v>32505.759999999998</v>
          </cell>
          <cell r="I423">
            <v>-1934.22</v>
          </cell>
        </row>
        <row r="424">
          <cell r="E424" t="str">
            <v>4095-07-000-000</v>
          </cell>
          <cell r="G424">
            <v>29952.61</v>
          </cell>
          <cell r="H424">
            <v>30389.41</v>
          </cell>
          <cell r="I424">
            <v>-436.8</v>
          </cell>
        </row>
        <row r="425">
          <cell r="E425" t="str">
            <v>4097-07-000-000</v>
          </cell>
          <cell r="G425">
            <v>63707.360000000001</v>
          </cell>
          <cell r="H425">
            <v>65210.55</v>
          </cell>
          <cell r="I425">
            <v>-1503.19</v>
          </cell>
        </row>
        <row r="426">
          <cell r="E426" t="str">
            <v>4098-07-000-000</v>
          </cell>
          <cell r="G426">
            <v>108160.52</v>
          </cell>
          <cell r="H426">
            <v>108160.52</v>
          </cell>
          <cell r="I426">
            <v>0</v>
          </cell>
        </row>
        <row r="427">
          <cell r="E427" t="str">
            <v>4099-07-000-000</v>
          </cell>
          <cell r="G427">
            <v>128015.41</v>
          </cell>
          <cell r="H427">
            <v>113010.06</v>
          </cell>
          <cell r="I427">
            <v>15005.35</v>
          </cell>
        </row>
        <row r="428">
          <cell r="E428" t="str">
            <v>4100-07-000-000</v>
          </cell>
          <cell r="G428">
            <v>13833.01</v>
          </cell>
          <cell r="H428">
            <v>14353</v>
          </cell>
          <cell r="I428">
            <v>-519.99</v>
          </cell>
        </row>
        <row r="429">
          <cell r="E429" t="str">
            <v>4102-07-000-000</v>
          </cell>
          <cell r="G429">
            <v>69639.41</v>
          </cell>
          <cell r="H429">
            <v>81421.91</v>
          </cell>
          <cell r="I429">
            <v>-11782.5</v>
          </cell>
        </row>
        <row r="430">
          <cell r="E430" t="str">
            <v>4103-07-000-000</v>
          </cell>
          <cell r="G430">
            <v>168090.35</v>
          </cell>
          <cell r="H430">
            <v>169930.31</v>
          </cell>
          <cell r="I430">
            <v>-1839.96</v>
          </cell>
        </row>
        <row r="431">
          <cell r="E431" t="str">
            <v>4104-07-000-000</v>
          </cell>
          <cell r="G431">
            <v>35229.07</v>
          </cell>
          <cell r="H431">
            <v>43894.77</v>
          </cell>
          <cell r="I431">
            <v>-8665.7000000000007</v>
          </cell>
        </row>
        <row r="432">
          <cell r="E432" t="str">
            <v>4105-07-000-000</v>
          </cell>
          <cell r="G432">
            <v>53471.98</v>
          </cell>
          <cell r="H432">
            <v>51146.42</v>
          </cell>
          <cell r="I432">
            <v>2325.56</v>
          </cell>
        </row>
        <row r="433">
          <cell r="E433" t="str">
            <v>4106-07-000-000</v>
          </cell>
          <cell r="G433">
            <v>38762.35</v>
          </cell>
          <cell r="H433">
            <v>37341.78</v>
          </cell>
          <cell r="I433">
            <v>1420.57</v>
          </cell>
        </row>
        <row r="434">
          <cell r="E434" t="str">
            <v>4107-07-000-000</v>
          </cell>
          <cell r="G434">
            <v>19438.689999999999</v>
          </cell>
          <cell r="H434">
            <v>12497.62</v>
          </cell>
          <cell r="I434">
            <v>6941.07</v>
          </cell>
        </row>
        <row r="435">
          <cell r="E435" t="str">
            <v>4108-07-000-000</v>
          </cell>
          <cell r="G435">
            <v>22423.67</v>
          </cell>
          <cell r="H435">
            <v>23014.7</v>
          </cell>
          <cell r="I435">
            <v>-591.03</v>
          </cell>
        </row>
        <row r="436">
          <cell r="E436" t="str">
            <v>4109-07-000-000</v>
          </cell>
          <cell r="G436">
            <v>21987.3</v>
          </cell>
          <cell r="H436">
            <v>24430.33</v>
          </cell>
          <cell r="I436">
            <v>-2443.0300000000002</v>
          </cell>
        </row>
        <row r="437">
          <cell r="E437" t="str">
            <v>4110-07-000-000</v>
          </cell>
          <cell r="G437">
            <v>51492.36</v>
          </cell>
          <cell r="H437">
            <v>45164.58</v>
          </cell>
          <cell r="I437">
            <v>6327.78</v>
          </cell>
        </row>
        <row r="438">
          <cell r="E438" t="str">
            <v>4111-07-000-000</v>
          </cell>
          <cell r="G438">
            <v>27892.85</v>
          </cell>
          <cell r="H438">
            <v>37240.89</v>
          </cell>
          <cell r="I438">
            <v>-9348.0400000000009</v>
          </cell>
        </row>
        <row r="439">
          <cell r="E439" t="str">
            <v>4112-07-000-000</v>
          </cell>
          <cell r="G439">
            <v>96919.75</v>
          </cell>
          <cell r="H439">
            <v>96585.96</v>
          </cell>
          <cell r="I439">
            <v>333.79</v>
          </cell>
        </row>
        <row r="440">
          <cell r="E440" t="str">
            <v>4113-07-000-000</v>
          </cell>
          <cell r="G440">
            <v>59003.66</v>
          </cell>
          <cell r="H440">
            <v>57878.87</v>
          </cell>
          <cell r="I440">
            <v>1124.79</v>
          </cell>
        </row>
        <row r="441">
          <cell r="E441" t="str">
            <v>4114-07-000-000</v>
          </cell>
          <cell r="G441">
            <v>19864.05</v>
          </cell>
          <cell r="H441">
            <v>19864.05</v>
          </cell>
          <cell r="I441">
            <v>0</v>
          </cell>
        </row>
        <row r="442">
          <cell r="E442" t="str">
            <v>4115-07-000-000</v>
          </cell>
          <cell r="G442">
            <v>34169.15</v>
          </cell>
          <cell r="H442">
            <v>35602.019999999997</v>
          </cell>
          <cell r="I442">
            <v>-1432.87</v>
          </cell>
        </row>
        <row r="443">
          <cell r="E443" t="str">
            <v>4116-07-000-000</v>
          </cell>
          <cell r="G443">
            <v>90513.95</v>
          </cell>
          <cell r="H443">
            <v>88209.33</v>
          </cell>
          <cell r="I443">
            <v>2304.62</v>
          </cell>
        </row>
        <row r="444">
          <cell r="E444" t="str">
            <v>4118-07-000-000</v>
          </cell>
          <cell r="G444">
            <v>71446.5</v>
          </cell>
          <cell r="H444">
            <v>70102.11</v>
          </cell>
          <cell r="I444">
            <v>1344.39</v>
          </cell>
        </row>
        <row r="445">
          <cell r="E445" t="str">
            <v>4119-07-000-000</v>
          </cell>
          <cell r="G445">
            <v>12917.18</v>
          </cell>
          <cell r="H445">
            <v>14317.07</v>
          </cell>
          <cell r="I445">
            <v>-1399.89</v>
          </cell>
        </row>
        <row r="446">
          <cell r="E446" t="str">
            <v>4120-07-000-000</v>
          </cell>
          <cell r="G446">
            <v>159260.6</v>
          </cell>
          <cell r="H446">
            <v>159260.6</v>
          </cell>
          <cell r="I446">
            <v>0</v>
          </cell>
        </row>
        <row r="447">
          <cell r="E447" t="str">
            <v>4121-07-000-000</v>
          </cell>
          <cell r="G447">
            <v>59987.57</v>
          </cell>
          <cell r="H447">
            <v>61510.720000000001</v>
          </cell>
          <cell r="I447">
            <v>-1523.15</v>
          </cell>
        </row>
        <row r="448">
          <cell r="E448" t="str">
            <v>4122-07-000-000</v>
          </cell>
          <cell r="G448">
            <v>97568.95</v>
          </cell>
          <cell r="H448">
            <v>99449.03</v>
          </cell>
          <cell r="I448">
            <v>-1880.08</v>
          </cell>
        </row>
        <row r="449">
          <cell r="E449" t="str">
            <v>4123-07-000-000</v>
          </cell>
          <cell r="G449">
            <v>6034.71</v>
          </cell>
          <cell r="H449">
            <v>6034.71</v>
          </cell>
          <cell r="I449">
            <v>0</v>
          </cell>
        </row>
        <row r="450">
          <cell r="E450" t="str">
            <v>4124-07-000-000</v>
          </cell>
          <cell r="G450">
            <v>85830.41</v>
          </cell>
          <cell r="H450">
            <v>78037.87</v>
          </cell>
          <cell r="I450">
            <v>7792.54</v>
          </cell>
        </row>
        <row r="451">
          <cell r="E451" t="str">
            <v>4126-07-000-000</v>
          </cell>
          <cell r="G451">
            <v>155546.09</v>
          </cell>
          <cell r="H451">
            <v>164287.43</v>
          </cell>
          <cell r="I451">
            <v>-8741.34</v>
          </cell>
        </row>
        <row r="452">
          <cell r="E452" t="str">
            <v>4127-07-000-000</v>
          </cell>
          <cell r="G452">
            <v>27392.720000000001</v>
          </cell>
          <cell r="H452">
            <v>25668.23</v>
          </cell>
          <cell r="I452">
            <v>1724.49</v>
          </cell>
        </row>
        <row r="453">
          <cell r="E453" t="str">
            <v>4131-07-000-000</v>
          </cell>
          <cell r="G453">
            <v>48476.22</v>
          </cell>
          <cell r="H453">
            <v>53862.47</v>
          </cell>
          <cell r="I453">
            <v>-5386.25</v>
          </cell>
        </row>
        <row r="454">
          <cell r="E454" t="str">
            <v>4132-07-000-000</v>
          </cell>
          <cell r="G454">
            <v>24182.6</v>
          </cell>
          <cell r="H454">
            <v>25465</v>
          </cell>
          <cell r="I454">
            <v>-1282.4000000000001</v>
          </cell>
        </row>
        <row r="455">
          <cell r="E455" t="str">
            <v>4133-07-000-000</v>
          </cell>
          <cell r="G455">
            <v>27889.63</v>
          </cell>
          <cell r="H455">
            <v>27889.63</v>
          </cell>
          <cell r="I455">
            <v>0</v>
          </cell>
        </row>
        <row r="456">
          <cell r="E456" t="str">
            <v>4135-07-000-000</v>
          </cell>
          <cell r="G456">
            <v>51633.25</v>
          </cell>
          <cell r="H456">
            <v>55440.36</v>
          </cell>
          <cell r="I456">
            <v>-3807.11</v>
          </cell>
        </row>
        <row r="457">
          <cell r="E457" t="str">
            <v>4137-07-000-000</v>
          </cell>
          <cell r="G457">
            <v>23826.54</v>
          </cell>
          <cell r="H457">
            <v>22257.5</v>
          </cell>
          <cell r="I457">
            <v>1569.04</v>
          </cell>
        </row>
        <row r="458">
          <cell r="E458" t="str">
            <v>4138-07-000-000</v>
          </cell>
          <cell r="G458">
            <v>8536.7900000000009</v>
          </cell>
          <cell r="H458">
            <v>9093.02</v>
          </cell>
          <cell r="I458">
            <v>-556.23</v>
          </cell>
        </row>
        <row r="459">
          <cell r="E459" t="str">
            <v>4139-07-000-000</v>
          </cell>
          <cell r="G459">
            <v>49293.16</v>
          </cell>
          <cell r="H459">
            <v>52098.720000000001</v>
          </cell>
          <cell r="I459">
            <v>-2805.56</v>
          </cell>
        </row>
        <row r="460">
          <cell r="E460" t="str">
            <v>4140-07-000-000</v>
          </cell>
          <cell r="G460">
            <v>57666.84</v>
          </cell>
          <cell r="H460">
            <v>58361.09</v>
          </cell>
          <cell r="I460">
            <v>-694.25</v>
          </cell>
        </row>
        <row r="461">
          <cell r="E461" t="str">
            <v>4141-07-000-000</v>
          </cell>
          <cell r="G461">
            <v>81548.83</v>
          </cell>
          <cell r="H461">
            <v>72928.539999999994</v>
          </cell>
          <cell r="I461">
            <v>8620.2900000000009</v>
          </cell>
        </row>
        <row r="462">
          <cell r="E462" t="str">
            <v>4142-07-000-000</v>
          </cell>
          <cell r="G462">
            <v>63728.49</v>
          </cell>
          <cell r="H462">
            <v>57449.440000000002</v>
          </cell>
          <cell r="I462">
            <v>6279.05</v>
          </cell>
        </row>
        <row r="463">
          <cell r="E463" t="str">
            <v>4143-07-000-000</v>
          </cell>
          <cell r="G463">
            <v>96342.74</v>
          </cell>
          <cell r="H463">
            <v>84591.48</v>
          </cell>
          <cell r="I463">
            <v>11751.26</v>
          </cell>
        </row>
        <row r="464">
          <cell r="E464" t="str">
            <v>4144-07-000-000</v>
          </cell>
          <cell r="G464">
            <v>13665.41</v>
          </cell>
          <cell r="H464">
            <v>15035.84</v>
          </cell>
          <cell r="I464">
            <v>-1370.43</v>
          </cell>
        </row>
        <row r="465">
          <cell r="E465" t="str">
            <v>4145-07-000-000</v>
          </cell>
          <cell r="G465">
            <v>7370.55</v>
          </cell>
          <cell r="H465">
            <v>6995.01</v>
          </cell>
          <cell r="I465">
            <v>375.54</v>
          </cell>
        </row>
        <row r="466">
          <cell r="E466" t="str">
            <v>4146-07-000-000</v>
          </cell>
          <cell r="G466">
            <v>31298.28</v>
          </cell>
          <cell r="H466">
            <v>26710.03</v>
          </cell>
          <cell r="I466">
            <v>4588.25</v>
          </cell>
        </row>
        <row r="467">
          <cell r="E467" t="str">
            <v>4150-07-000-000</v>
          </cell>
          <cell r="G467">
            <v>28428.37</v>
          </cell>
          <cell r="H467">
            <v>26689.39</v>
          </cell>
          <cell r="I467">
            <v>1738.98</v>
          </cell>
        </row>
        <row r="468">
          <cell r="E468" t="str">
            <v>4151-07-000-000</v>
          </cell>
          <cell r="G468">
            <v>18618.55</v>
          </cell>
          <cell r="H468">
            <v>17900.61</v>
          </cell>
          <cell r="I468">
            <v>717.94</v>
          </cell>
        </row>
        <row r="469">
          <cell r="E469" t="str">
            <v>4152-07-000-000</v>
          </cell>
          <cell r="G469">
            <v>39772.019999999997</v>
          </cell>
          <cell r="H469">
            <v>38349.9</v>
          </cell>
          <cell r="I469">
            <v>1422.12</v>
          </cell>
        </row>
        <row r="470">
          <cell r="E470" t="str">
            <v>4153-07-000-000</v>
          </cell>
          <cell r="G470">
            <v>65108.160000000003</v>
          </cell>
          <cell r="H470">
            <v>55411.48</v>
          </cell>
          <cell r="I470">
            <v>9696.68</v>
          </cell>
        </row>
        <row r="471">
          <cell r="E471" t="str">
            <v>4155-07-000-000</v>
          </cell>
          <cell r="G471">
            <v>24644.78</v>
          </cell>
          <cell r="H471">
            <v>24644.78</v>
          </cell>
          <cell r="I471">
            <v>0</v>
          </cell>
        </row>
        <row r="472">
          <cell r="E472" t="str">
            <v>4159-07-000-000</v>
          </cell>
          <cell r="G472">
            <v>79947.64</v>
          </cell>
          <cell r="H472">
            <v>79947.64</v>
          </cell>
          <cell r="I472">
            <v>0</v>
          </cell>
        </row>
        <row r="473">
          <cell r="E473" t="str">
            <v>4160-07-000-000</v>
          </cell>
          <cell r="G473">
            <v>46215.22</v>
          </cell>
          <cell r="H473">
            <v>46215.22</v>
          </cell>
          <cell r="I473">
            <v>0</v>
          </cell>
        </row>
        <row r="474">
          <cell r="E474" t="str">
            <v>4161-07-000-000</v>
          </cell>
          <cell r="G474">
            <v>39145.29</v>
          </cell>
          <cell r="H474">
            <v>37183.46</v>
          </cell>
          <cell r="I474">
            <v>1961.83</v>
          </cell>
        </row>
        <row r="475">
          <cell r="E475" t="str">
            <v>4162-07-000-000</v>
          </cell>
          <cell r="G475">
            <v>17392.14</v>
          </cell>
          <cell r="H475">
            <v>19324.599999999999</v>
          </cell>
          <cell r="I475">
            <v>-1932.46</v>
          </cell>
        </row>
        <row r="476">
          <cell r="E476" t="str">
            <v>4163-07-000-000</v>
          </cell>
          <cell r="G476">
            <v>53770.91</v>
          </cell>
          <cell r="H476">
            <v>65945.16</v>
          </cell>
          <cell r="I476">
            <v>-12174.25</v>
          </cell>
        </row>
        <row r="477">
          <cell r="E477" t="str">
            <v>4164-07-000-000</v>
          </cell>
          <cell r="G477">
            <v>41382.43</v>
          </cell>
          <cell r="H477">
            <v>40911.21</v>
          </cell>
          <cell r="I477">
            <v>471.22</v>
          </cell>
        </row>
        <row r="478">
          <cell r="E478" t="str">
            <v>4166-07-000-000</v>
          </cell>
          <cell r="G478">
            <v>27000.19</v>
          </cell>
          <cell r="H478">
            <v>28521.46</v>
          </cell>
          <cell r="I478">
            <v>-1521.27</v>
          </cell>
        </row>
        <row r="479">
          <cell r="E479" t="str">
            <v>4167-07-000-000</v>
          </cell>
          <cell r="G479">
            <v>27976.84</v>
          </cell>
          <cell r="H479">
            <v>28953.46</v>
          </cell>
          <cell r="I479">
            <v>-976.62</v>
          </cell>
        </row>
        <row r="480">
          <cell r="E480" t="str">
            <v>4168-07-000-000</v>
          </cell>
          <cell r="G480">
            <v>16781.5</v>
          </cell>
          <cell r="H480">
            <v>17023.2</v>
          </cell>
          <cell r="I480">
            <v>-241.7</v>
          </cell>
        </row>
        <row r="481">
          <cell r="E481" t="str">
            <v>4169-07-000-000</v>
          </cell>
          <cell r="G481">
            <v>33302.300000000003</v>
          </cell>
          <cell r="H481">
            <v>32206.25</v>
          </cell>
          <cell r="I481">
            <v>1096.05</v>
          </cell>
        </row>
        <row r="482">
          <cell r="E482" t="str">
            <v>4170-07-000-000</v>
          </cell>
          <cell r="G482">
            <v>80369.7</v>
          </cell>
          <cell r="H482">
            <v>78227.289999999994</v>
          </cell>
          <cell r="I482">
            <v>2142.41</v>
          </cell>
        </row>
        <row r="483">
          <cell r="E483" t="str">
            <v>4171-07-000-000</v>
          </cell>
          <cell r="G483">
            <v>107553.42</v>
          </cell>
          <cell r="H483">
            <v>114961.96</v>
          </cell>
          <cell r="I483">
            <v>-7408.54</v>
          </cell>
        </row>
        <row r="484">
          <cell r="E484" t="str">
            <v>4172-07-000-000</v>
          </cell>
          <cell r="G484">
            <v>14684.66</v>
          </cell>
          <cell r="H484">
            <v>14624.5</v>
          </cell>
          <cell r="I484">
            <v>60.16</v>
          </cell>
        </row>
        <row r="485">
          <cell r="E485" t="str">
            <v>4173-07-000-000</v>
          </cell>
          <cell r="G485">
            <v>29709.64</v>
          </cell>
          <cell r="H485">
            <v>31811.05</v>
          </cell>
          <cell r="I485">
            <v>-2101.41</v>
          </cell>
        </row>
        <row r="486">
          <cell r="E486" t="str">
            <v>4174-07-000-000</v>
          </cell>
          <cell r="G486">
            <v>4608.68</v>
          </cell>
          <cell r="H486">
            <v>5120.76</v>
          </cell>
          <cell r="I486">
            <v>-512.08000000000004</v>
          </cell>
        </row>
        <row r="487">
          <cell r="E487" t="str">
            <v>4175-07-000-000</v>
          </cell>
          <cell r="G487">
            <v>24945.26</v>
          </cell>
          <cell r="H487">
            <v>24945.26</v>
          </cell>
          <cell r="I487">
            <v>0</v>
          </cell>
        </row>
        <row r="488">
          <cell r="E488" t="str">
            <v>4177-07-000-000</v>
          </cell>
          <cell r="G488">
            <v>10792.45</v>
          </cell>
          <cell r="H488">
            <v>10792.45</v>
          </cell>
          <cell r="I488">
            <v>0</v>
          </cell>
        </row>
        <row r="489">
          <cell r="E489" t="str">
            <v>4178-07-000-000</v>
          </cell>
          <cell r="G489">
            <v>30159.94</v>
          </cell>
          <cell r="H489">
            <v>31033.94</v>
          </cell>
          <cell r="I489">
            <v>-874</v>
          </cell>
        </row>
        <row r="490">
          <cell r="E490" t="str">
            <v>4180-07-000-000</v>
          </cell>
          <cell r="G490">
            <v>54057.73</v>
          </cell>
          <cell r="H490">
            <v>54057.73</v>
          </cell>
          <cell r="I490">
            <v>0</v>
          </cell>
        </row>
        <row r="491">
          <cell r="E491" t="str">
            <v>4181-07-000-000</v>
          </cell>
          <cell r="G491">
            <v>139128.78</v>
          </cell>
          <cell r="H491">
            <v>139128.78</v>
          </cell>
          <cell r="I491">
            <v>0</v>
          </cell>
        </row>
        <row r="492">
          <cell r="E492" t="str">
            <v>4182-07-000-000</v>
          </cell>
          <cell r="G492">
            <v>26555.09</v>
          </cell>
          <cell r="H492">
            <v>27000</v>
          </cell>
          <cell r="I492">
            <v>-444.91</v>
          </cell>
        </row>
        <row r="493">
          <cell r="E493" t="str">
            <v>4183-07-000-000</v>
          </cell>
          <cell r="G493">
            <v>103996.33</v>
          </cell>
          <cell r="H493">
            <v>110206.33</v>
          </cell>
          <cell r="I493">
            <v>-6210</v>
          </cell>
        </row>
        <row r="494">
          <cell r="E494" t="str">
            <v>4184-07-000-000</v>
          </cell>
          <cell r="G494">
            <v>39584.230000000003</v>
          </cell>
          <cell r="H494">
            <v>37336.199999999997</v>
          </cell>
          <cell r="I494">
            <v>2248.0300000000002</v>
          </cell>
        </row>
        <row r="495">
          <cell r="E495" t="str">
            <v>4185-07-000-000</v>
          </cell>
          <cell r="G495">
            <v>63537.45</v>
          </cell>
          <cell r="H495">
            <v>59139.93</v>
          </cell>
          <cell r="I495">
            <v>4397.5200000000004</v>
          </cell>
        </row>
        <row r="496">
          <cell r="E496" t="str">
            <v>4186-07-000-000</v>
          </cell>
          <cell r="G496">
            <v>93385.2</v>
          </cell>
          <cell r="H496">
            <v>81620.149999999994</v>
          </cell>
          <cell r="I496">
            <v>11765.05</v>
          </cell>
        </row>
        <row r="497">
          <cell r="E497" t="str">
            <v>4187-07-000-000</v>
          </cell>
          <cell r="G497">
            <v>9244.66</v>
          </cell>
          <cell r="H497">
            <v>10271.84</v>
          </cell>
          <cell r="I497">
            <v>-1027.18</v>
          </cell>
        </row>
        <row r="498">
          <cell r="E498" t="str">
            <v>4188-07-000-000</v>
          </cell>
          <cell r="G498">
            <v>46748.44</v>
          </cell>
          <cell r="H498">
            <v>46748.44</v>
          </cell>
          <cell r="I498">
            <v>0</v>
          </cell>
        </row>
        <row r="499">
          <cell r="E499" t="str">
            <v>4189-07-000-000</v>
          </cell>
          <cell r="G499">
            <v>15542.12</v>
          </cell>
          <cell r="H499">
            <v>16163.69</v>
          </cell>
          <cell r="I499">
            <v>-621.57000000000005</v>
          </cell>
        </row>
        <row r="500">
          <cell r="E500" t="str">
            <v>4190-07-000-000</v>
          </cell>
          <cell r="G500">
            <v>11486.27</v>
          </cell>
          <cell r="H500">
            <v>12762.52</v>
          </cell>
          <cell r="I500">
            <v>-1276.25</v>
          </cell>
        </row>
        <row r="501">
          <cell r="E501" t="str">
            <v>4191-07-000-000</v>
          </cell>
          <cell r="G501">
            <v>34111.57</v>
          </cell>
          <cell r="H501">
            <v>28976.75</v>
          </cell>
          <cell r="I501">
            <v>5134.82</v>
          </cell>
        </row>
        <row r="502">
          <cell r="E502" t="str">
            <v>4192-07-000-000</v>
          </cell>
          <cell r="G502">
            <v>112198.18</v>
          </cell>
          <cell r="H502">
            <v>99348.97</v>
          </cell>
          <cell r="I502">
            <v>12849.21</v>
          </cell>
        </row>
        <row r="503">
          <cell r="E503" t="str">
            <v>4193-07-000-000</v>
          </cell>
          <cell r="G503">
            <v>45920.31</v>
          </cell>
          <cell r="H503">
            <v>45920.31</v>
          </cell>
          <cell r="I503">
            <v>0</v>
          </cell>
        </row>
        <row r="504">
          <cell r="E504" t="str">
            <v>4194-07-000-000</v>
          </cell>
          <cell r="G504">
            <v>28403.37</v>
          </cell>
          <cell r="H504">
            <v>27420.62</v>
          </cell>
          <cell r="I504">
            <v>982.75</v>
          </cell>
        </row>
        <row r="505">
          <cell r="E505" t="str">
            <v>4195-07-000-000</v>
          </cell>
          <cell r="G505">
            <v>9185.51</v>
          </cell>
          <cell r="H505">
            <v>9021.44</v>
          </cell>
          <cell r="I505">
            <v>164.07</v>
          </cell>
        </row>
        <row r="506">
          <cell r="E506" t="str">
            <v>4196-07-000-000</v>
          </cell>
          <cell r="G506">
            <v>18499.259999999998</v>
          </cell>
          <cell r="H506">
            <v>18164</v>
          </cell>
          <cell r="I506">
            <v>335.26</v>
          </cell>
        </row>
        <row r="507">
          <cell r="E507" t="str">
            <v>4197-07-000-000</v>
          </cell>
          <cell r="G507">
            <v>25928.23</v>
          </cell>
          <cell r="H507">
            <v>25928.23</v>
          </cell>
          <cell r="I507">
            <v>0</v>
          </cell>
        </row>
        <row r="508">
          <cell r="E508" t="str">
            <v>6004-61-000-000</v>
          </cell>
          <cell r="G508">
            <v>37087.97</v>
          </cell>
          <cell r="H508">
            <v>30792.02</v>
          </cell>
          <cell r="I508">
            <v>6295.95</v>
          </cell>
        </row>
        <row r="509">
          <cell r="E509" t="str">
            <v>6012-61-000-000</v>
          </cell>
          <cell r="G509">
            <v>30349.759999999998</v>
          </cell>
          <cell r="H509">
            <v>26289.97</v>
          </cell>
          <cell r="I509">
            <v>4059.79</v>
          </cell>
        </row>
        <row r="510">
          <cell r="E510" t="str">
            <v>6013-61-000-000</v>
          </cell>
          <cell r="G510">
            <v>30910.240000000002</v>
          </cell>
          <cell r="H510">
            <v>29789.200000000001</v>
          </cell>
          <cell r="I510">
            <v>1121.04</v>
          </cell>
        </row>
        <row r="511">
          <cell r="E511" t="str">
            <v>6014-61-000-000</v>
          </cell>
          <cell r="G511">
            <v>3134.75</v>
          </cell>
          <cell r="H511">
            <v>1748.98</v>
          </cell>
          <cell r="I511">
            <v>1385.77</v>
          </cell>
        </row>
        <row r="512">
          <cell r="E512" t="str">
            <v>6018-61-000-000</v>
          </cell>
          <cell r="G512">
            <v>7001.01</v>
          </cell>
          <cell r="H512">
            <v>7001.01</v>
          </cell>
          <cell r="I512">
            <v>0</v>
          </cell>
        </row>
        <row r="513">
          <cell r="E513" t="str">
            <v>6026-61-000-000</v>
          </cell>
          <cell r="G513">
            <v>14890.94</v>
          </cell>
          <cell r="H513">
            <v>0</v>
          </cell>
          <cell r="I513">
            <v>14890.94</v>
          </cell>
        </row>
        <row r="514">
          <cell r="E514" t="str">
            <v>6027-61-000-000</v>
          </cell>
          <cell r="G514">
            <v>49367.91</v>
          </cell>
          <cell r="H514">
            <v>26085.59</v>
          </cell>
          <cell r="I514">
            <v>23282.32</v>
          </cell>
        </row>
        <row r="515">
          <cell r="E515" t="str">
            <v>6049-61-000-000</v>
          </cell>
          <cell r="G515">
            <v>40237.120000000003</v>
          </cell>
          <cell r="H515">
            <v>40237.120000000003</v>
          </cell>
          <cell r="I515">
            <v>0</v>
          </cell>
        </row>
        <row r="516">
          <cell r="E516" t="str">
            <v>6051-61-000-000</v>
          </cell>
          <cell r="G516">
            <v>48547.18</v>
          </cell>
          <cell r="H516">
            <v>22007.98</v>
          </cell>
          <cell r="I516">
            <v>26539.200000000001</v>
          </cell>
        </row>
        <row r="517">
          <cell r="E517" t="str">
            <v>6067-62-000-000</v>
          </cell>
          <cell r="G517">
            <v>79158.06</v>
          </cell>
          <cell r="H517">
            <v>0</v>
          </cell>
          <cell r="I517">
            <v>79158.06</v>
          </cell>
        </row>
        <row r="518">
          <cell r="E518" t="str">
            <v>6069-62-000-000</v>
          </cell>
          <cell r="G518">
            <v>52497.08</v>
          </cell>
          <cell r="H518">
            <v>48090.27</v>
          </cell>
          <cell r="I518">
            <v>4406.8100000000004</v>
          </cell>
        </row>
        <row r="519">
          <cell r="E519" t="str">
            <v>6072-62-000-000</v>
          </cell>
          <cell r="G519">
            <v>36571.9</v>
          </cell>
          <cell r="H519">
            <v>36280.870000000003</v>
          </cell>
          <cell r="I519">
            <v>291.02999999999997</v>
          </cell>
        </row>
        <row r="520">
          <cell r="E520" t="str">
            <v>6074-50-000-000</v>
          </cell>
          <cell r="G520">
            <v>296.61</v>
          </cell>
          <cell r="H520">
            <v>0</v>
          </cell>
          <cell r="I520">
            <v>296.61</v>
          </cell>
        </row>
        <row r="521">
          <cell r="E521" t="str">
            <v>6076-50-000-000</v>
          </cell>
          <cell r="G521">
            <v>31877.1</v>
          </cell>
          <cell r="H521">
            <v>19888.8</v>
          </cell>
          <cell r="I521">
            <v>11988.3</v>
          </cell>
        </row>
        <row r="522">
          <cell r="E522" t="str">
            <v>6079-52-000-000</v>
          </cell>
          <cell r="G522">
            <v>46471.32</v>
          </cell>
          <cell r="H522">
            <v>9747.99</v>
          </cell>
          <cell r="I522">
            <v>36723.33</v>
          </cell>
        </row>
        <row r="523">
          <cell r="E523" t="str">
            <v>6080-50-000-000</v>
          </cell>
          <cell r="G523">
            <v>12.36</v>
          </cell>
          <cell r="H523">
            <v>0</v>
          </cell>
          <cell r="I523">
            <v>12.36</v>
          </cell>
        </row>
        <row r="524">
          <cell r="E524" t="str">
            <v>6383-61-000-000</v>
          </cell>
          <cell r="G524">
            <v>39412.080000000002</v>
          </cell>
          <cell r="H524">
            <v>37060.519999999997</v>
          </cell>
          <cell r="I524">
            <v>2351.56</v>
          </cell>
        </row>
        <row r="525">
          <cell r="E525" t="str">
            <v>6979-61-000-000</v>
          </cell>
          <cell r="G525">
            <v>27496.58</v>
          </cell>
          <cell r="H525">
            <v>0</v>
          </cell>
          <cell r="I525">
            <v>27496.58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553"/>
  <sheetViews>
    <sheetView tabSelected="1" workbookViewId="0">
      <pane xSplit="4" ySplit="15" topLeftCell="E16" activePane="bottomRight" state="frozen"/>
      <selection pane="topRight" activeCell="E1" sqref="E1"/>
      <selection pane="bottomLeft" activeCell="A2" sqref="A2"/>
      <selection pane="bottomRight" activeCell="K16" sqref="K16"/>
    </sheetView>
  </sheetViews>
  <sheetFormatPr defaultRowHeight="12.75" x14ac:dyDescent="0.2"/>
  <cols>
    <col min="1" max="1" width="8.85546875" hidden="1" customWidth="1"/>
    <col min="2" max="2" width="7.28515625" customWidth="1"/>
    <col min="3" max="3" width="5.28515625" customWidth="1"/>
    <col min="4" max="4" width="43.42578125" bestFit="1" customWidth="1"/>
    <col min="5" max="5" width="17.140625" hidden="1" customWidth="1"/>
    <col min="6" max="6" width="10" hidden="1" customWidth="1"/>
    <col min="7" max="7" width="8.28515625" hidden="1" customWidth="1"/>
    <col min="8" max="8" width="16.140625" hidden="1" customWidth="1"/>
    <col min="9" max="9" width="17.5703125" hidden="1" customWidth="1"/>
    <col min="10" max="10" width="18.5703125" hidden="1" customWidth="1"/>
    <col min="11" max="12" width="18.5703125" customWidth="1"/>
    <col min="13" max="13" width="18.5703125" hidden="1" customWidth="1"/>
    <col min="14" max="14" width="18.5703125" customWidth="1"/>
    <col min="15" max="15" width="17" customWidth="1"/>
    <col min="16" max="16" width="16" hidden="1" customWidth="1"/>
    <col min="17" max="17" width="11.7109375" hidden="1" customWidth="1"/>
    <col min="18" max="18" width="17.7109375" hidden="1" customWidth="1"/>
    <col min="19" max="19" width="14.140625" hidden="1" customWidth="1"/>
    <col min="20" max="21" width="15" hidden="1" customWidth="1"/>
    <col min="22" max="22" width="15.7109375" hidden="1" customWidth="1"/>
    <col min="23" max="23" width="16.7109375" hidden="1" customWidth="1"/>
  </cols>
  <sheetData>
    <row r="1" spans="1:24" x14ac:dyDescent="0.2">
      <c r="B1" s="1"/>
      <c r="C1" s="1"/>
      <c r="D1" s="1"/>
      <c r="K1" s="1"/>
      <c r="L1" s="1"/>
      <c r="N1" s="1"/>
      <c r="O1" s="1"/>
      <c r="V1" s="1"/>
      <c r="W1" s="1"/>
    </row>
    <row r="2" spans="1:24" x14ac:dyDescent="0.2">
      <c r="B2" t="s">
        <v>0</v>
      </c>
      <c r="D2" s="2"/>
      <c r="O2" s="3" t="s">
        <v>1</v>
      </c>
      <c r="Q2" s="2"/>
    </row>
    <row r="3" spans="1:24" x14ac:dyDescent="0.2">
      <c r="B3" t="s">
        <v>2</v>
      </c>
      <c r="D3" s="2"/>
      <c r="O3" s="4" t="s">
        <v>3</v>
      </c>
      <c r="Q3" s="2"/>
    </row>
    <row r="4" spans="1:24" x14ac:dyDescent="0.2">
      <c r="B4" s="5" t="s">
        <v>4</v>
      </c>
      <c r="D4" s="2"/>
      <c r="N4" s="6"/>
      <c r="O4" s="6"/>
      <c r="Q4" s="2"/>
      <c r="V4" s="6"/>
      <c r="W4" s="6"/>
    </row>
    <row r="5" spans="1:24" x14ac:dyDescent="0.2">
      <c r="B5" s="5"/>
      <c r="C5" s="5" t="s">
        <v>5</v>
      </c>
      <c r="D5" s="2"/>
      <c r="K5" s="7" t="s">
        <v>6</v>
      </c>
      <c r="L5" s="6" t="s">
        <v>7</v>
      </c>
      <c r="M5" s="6"/>
      <c r="N5" s="6" t="s">
        <v>8</v>
      </c>
      <c r="O5" s="6" t="s">
        <v>9</v>
      </c>
      <c r="P5" s="6"/>
      <c r="Q5" s="7"/>
      <c r="R5" s="6"/>
      <c r="V5" s="6" t="s">
        <v>10</v>
      </c>
      <c r="W5" s="6" t="s">
        <v>11</v>
      </c>
    </row>
    <row r="6" spans="1:24" x14ac:dyDescent="0.2">
      <c r="B6" s="5"/>
      <c r="C6" s="5"/>
      <c r="D6" s="2"/>
      <c r="K6" s="2"/>
      <c r="Q6" s="2"/>
    </row>
    <row r="7" spans="1:24" x14ac:dyDescent="0.2">
      <c r="D7" s="2"/>
      <c r="I7" s="6" t="str">
        <f>K7</f>
        <v>02/28/2012</v>
      </c>
      <c r="J7" s="6" t="str">
        <f>K7</f>
        <v>02/28/2012</v>
      </c>
      <c r="K7" s="95" t="s">
        <v>12</v>
      </c>
      <c r="L7" s="91" t="str">
        <f>K7</f>
        <v>02/28/2012</v>
      </c>
      <c r="M7" s="6" t="s">
        <v>13</v>
      </c>
      <c r="N7" s="8">
        <v>40846</v>
      </c>
      <c r="O7" s="6"/>
      <c r="Q7" s="9" t="s">
        <v>14</v>
      </c>
      <c r="R7" s="10" t="s">
        <v>15</v>
      </c>
      <c r="V7" s="6" t="s">
        <v>16</v>
      </c>
      <c r="W7" s="6" t="s">
        <v>17</v>
      </c>
    </row>
    <row r="8" spans="1:24" x14ac:dyDescent="0.2">
      <c r="D8" s="2"/>
      <c r="H8" s="11" t="s">
        <v>18</v>
      </c>
      <c r="K8" s="9" t="s">
        <v>19</v>
      </c>
      <c r="L8" s="92" t="s">
        <v>20</v>
      </c>
      <c r="M8" s="12" t="s">
        <v>21</v>
      </c>
      <c r="N8" s="13" t="s">
        <v>22</v>
      </c>
      <c r="O8" s="12" t="s">
        <v>23</v>
      </c>
      <c r="P8" s="12" t="s">
        <v>24</v>
      </c>
      <c r="Q8" s="9" t="s">
        <v>25</v>
      </c>
      <c r="R8" s="10" t="s">
        <v>21</v>
      </c>
      <c r="S8" s="12" t="s">
        <v>26</v>
      </c>
      <c r="V8" s="6" t="s">
        <v>27</v>
      </c>
      <c r="W8" s="6" t="s">
        <v>28</v>
      </c>
    </row>
    <row r="9" spans="1:24" x14ac:dyDescent="0.2">
      <c r="D9" s="2"/>
      <c r="E9" s="14"/>
      <c r="F9" s="14"/>
      <c r="G9" s="14"/>
      <c r="H9" s="11" t="s">
        <v>29</v>
      </c>
      <c r="I9" s="15" t="s">
        <v>30</v>
      </c>
      <c r="J9" s="15" t="s">
        <v>30</v>
      </c>
      <c r="K9" s="9" t="s">
        <v>31</v>
      </c>
      <c r="L9" s="92" t="s">
        <v>32</v>
      </c>
      <c r="M9" s="12" t="s">
        <v>33</v>
      </c>
      <c r="N9" s="16" t="s">
        <v>34</v>
      </c>
      <c r="O9" s="11" t="s">
        <v>35</v>
      </c>
      <c r="P9" s="11" t="s">
        <v>36</v>
      </c>
      <c r="Q9" s="17" t="s">
        <v>37</v>
      </c>
      <c r="R9" s="10" t="s">
        <v>38</v>
      </c>
      <c r="S9" s="12" t="s">
        <v>21</v>
      </c>
      <c r="V9" s="6" t="s">
        <v>39</v>
      </c>
      <c r="W9" s="6" t="s">
        <v>40</v>
      </c>
    </row>
    <row r="10" spans="1:24" x14ac:dyDescent="0.2">
      <c r="D10" s="2"/>
      <c r="E10" s="14"/>
      <c r="F10" s="14"/>
      <c r="G10" s="14"/>
      <c r="H10" s="11" t="s">
        <v>41</v>
      </c>
      <c r="I10" s="11" t="s">
        <v>42</v>
      </c>
      <c r="J10" s="12" t="s">
        <v>43</v>
      </c>
      <c r="K10" s="9" t="s">
        <v>44</v>
      </c>
      <c r="L10" s="92" t="s">
        <v>45</v>
      </c>
      <c r="M10" s="11" t="str">
        <f>N10</f>
        <v>From 10/30/2011</v>
      </c>
      <c r="N10" s="18" t="s">
        <v>46</v>
      </c>
      <c r="O10" s="19" t="s">
        <v>47</v>
      </c>
      <c r="P10" s="19" t="s">
        <v>39</v>
      </c>
      <c r="Q10" s="17"/>
      <c r="R10" s="20" t="str">
        <f>N10</f>
        <v>From 10/30/2011</v>
      </c>
      <c r="S10" s="11" t="s">
        <v>38</v>
      </c>
      <c r="V10" s="21" t="s">
        <v>48</v>
      </c>
      <c r="W10" s="22" t="s">
        <v>49</v>
      </c>
    </row>
    <row r="11" spans="1:24" ht="13.5" thickBot="1" x14ac:dyDescent="0.25">
      <c r="B11" s="23" t="s">
        <v>50</v>
      </c>
      <c r="C11" s="23" t="s">
        <v>51</v>
      </c>
      <c r="D11" s="24" t="s">
        <v>52</v>
      </c>
      <c r="E11" s="23"/>
      <c r="F11" s="23"/>
      <c r="G11" s="23"/>
      <c r="H11" s="25" t="s">
        <v>53</v>
      </c>
      <c r="I11" s="25"/>
      <c r="J11" s="26" t="s">
        <v>54</v>
      </c>
      <c r="K11" s="27" t="s">
        <v>55</v>
      </c>
      <c r="L11" s="93" t="s">
        <v>56</v>
      </c>
      <c r="M11" s="25" t="s">
        <v>57</v>
      </c>
      <c r="N11" s="28" t="s">
        <v>57</v>
      </c>
      <c r="O11" s="29" t="s">
        <v>58</v>
      </c>
      <c r="P11" s="25"/>
      <c r="Q11" s="30"/>
      <c r="R11" s="25"/>
      <c r="S11" s="25" t="str">
        <f>N10</f>
        <v>From 10/30/2011</v>
      </c>
      <c r="T11" s="23"/>
      <c r="U11" s="23"/>
      <c r="V11" s="31"/>
      <c r="W11" s="31" t="s">
        <v>59</v>
      </c>
    </row>
    <row r="12" spans="1:24" x14ac:dyDescent="0.2">
      <c r="D12" s="2"/>
      <c r="E12" s="14"/>
      <c r="F12" s="14"/>
      <c r="G12" s="14"/>
      <c r="K12" s="2"/>
      <c r="N12" s="32"/>
      <c r="Q12" s="2"/>
    </row>
    <row r="13" spans="1:24" x14ac:dyDescent="0.2">
      <c r="D13" s="33" t="s">
        <v>60</v>
      </c>
      <c r="E13" s="34"/>
      <c r="F13" s="34"/>
      <c r="G13" s="34"/>
      <c r="H13" s="35" t="e">
        <f>SUM(H16:H533)</f>
        <v>#VALUE!</v>
      </c>
      <c r="I13" s="35" t="e">
        <f>SUM(I16:I533)</f>
        <v>#VALUE!</v>
      </c>
      <c r="J13" s="35" t="e">
        <f>SUM(J16:J533)</f>
        <v>#VALUE!</v>
      </c>
      <c r="K13" s="36">
        <f>SUM(K16:K533)</f>
        <v>5995324168.1700048</v>
      </c>
      <c r="L13" s="94">
        <f>SUM(L16:L535)</f>
        <v>169180053.99999994</v>
      </c>
      <c r="M13" s="37">
        <f>SUM(M16:M535)</f>
        <v>169180053.95000002</v>
      </c>
      <c r="N13" s="38">
        <f>SUM(N16:N535)</f>
        <v>152262048.80000022</v>
      </c>
      <c r="O13" s="37">
        <f>SUM(O16:O535)</f>
        <v>16933358.170000013</v>
      </c>
      <c r="P13" s="39" t="e">
        <f>ROUND(L13/$H13,2)</f>
        <v>#VALUE!</v>
      </c>
      <c r="Q13" s="40">
        <f>O13/L13</f>
        <v>0.10009074810911231</v>
      </c>
      <c r="R13" s="37">
        <f>SUM(R16:R535)</f>
        <v>4.999999946448952E-2</v>
      </c>
      <c r="S13" s="41">
        <f>R13/M13</f>
        <v>2.9554311100566659E-10</v>
      </c>
      <c r="T13" s="37" t="e">
        <f>SUM(T16:T533)</f>
        <v>#VALUE!</v>
      </c>
      <c r="U13" s="37" t="e">
        <f>SUM(U16:U533)</f>
        <v>#VALUE!</v>
      </c>
      <c r="V13" s="37" t="e">
        <f>SUM(V16:V533)</f>
        <v>#VALUE!</v>
      </c>
      <c r="W13" s="37" t="e">
        <f>SUM(W16:W533)</f>
        <v>#VALUE!</v>
      </c>
    </row>
    <row r="14" spans="1:24" x14ac:dyDescent="0.2">
      <c r="D14" s="2"/>
      <c r="E14" s="14"/>
      <c r="F14" s="14"/>
      <c r="G14" s="14"/>
      <c r="K14" s="2"/>
      <c r="M14" s="37"/>
      <c r="N14" s="38"/>
      <c r="O14" s="37"/>
      <c r="Q14" s="42"/>
      <c r="R14" s="37"/>
    </row>
    <row r="15" spans="1:24" ht="25.5" hidden="1" x14ac:dyDescent="0.2">
      <c r="A15" s="43" t="s">
        <v>61</v>
      </c>
      <c r="B15" s="44" t="s">
        <v>62</v>
      </c>
      <c r="C15" s="44" t="s">
        <v>63</v>
      </c>
      <c r="D15" s="45" t="s">
        <v>64</v>
      </c>
      <c r="E15" s="43" t="s">
        <v>65</v>
      </c>
      <c r="F15" s="43" t="s">
        <v>66</v>
      </c>
      <c r="G15" s="46" t="s">
        <v>67</v>
      </c>
      <c r="H15" s="46" t="s">
        <v>68</v>
      </c>
      <c r="I15" s="46" t="s">
        <v>69</v>
      </c>
      <c r="J15" s="46" t="s">
        <v>70</v>
      </c>
      <c r="K15" s="47" t="s">
        <v>71</v>
      </c>
      <c r="L15" s="48" t="s">
        <v>72</v>
      </c>
      <c r="M15" s="37"/>
      <c r="N15" s="38"/>
      <c r="O15" s="37" t="s">
        <v>73</v>
      </c>
      <c r="Q15" s="42"/>
      <c r="R15" s="49" t="s">
        <v>74</v>
      </c>
      <c r="S15" s="50" t="s">
        <v>75</v>
      </c>
      <c r="T15" s="51" t="s">
        <v>76</v>
      </c>
      <c r="U15" s="51" t="s">
        <v>77</v>
      </c>
      <c r="V15" s="51" t="s">
        <v>78</v>
      </c>
    </row>
    <row r="16" spans="1:24" x14ac:dyDescent="0.2">
      <c r="B16">
        <v>1</v>
      </c>
      <c r="C16">
        <v>1</v>
      </c>
      <c r="D16" s="2" t="s">
        <v>79</v>
      </c>
      <c r="E16" s="50" t="s">
        <v>80</v>
      </c>
      <c r="F16" s="50">
        <v>2702760</v>
      </c>
      <c r="G16" s="50">
        <v>8</v>
      </c>
      <c r="H16" s="52" t="e">
        <f>SUMIF('[1]Build Detail'!$D$4:$D$521,$B$16:$B$533,'[1]Build Detail'!$H$4:$H$521)</f>
        <v>#VALUE!</v>
      </c>
      <c r="I16" s="52" t="e">
        <f>SUMIF('[1]Build Detail'!$D$4:$D$521,$B$16:$B$533,'[1]Build Detail'!$Q$4:$Q$521)</f>
        <v>#VALUE!</v>
      </c>
      <c r="J16" s="52" t="e">
        <f>SUMIF('[1]Build Detail'!$D$4:$D$521,$B$16:$B$533,'[1]Build Detail'!$T$4:$T$521)</f>
        <v>#VALUE!</v>
      </c>
      <c r="K16" s="53">
        <v>9135705.120000001</v>
      </c>
      <c r="L16" s="37">
        <f>ROUND(K16*$K$548,2)</f>
        <v>257634.44</v>
      </c>
      <c r="M16" s="37">
        <v>256665.04</v>
      </c>
      <c r="N16" s="38">
        <v>230998.54</v>
      </c>
      <c r="O16" s="37">
        <f t="shared" ref="O16:O79" si="0">L16-N16</f>
        <v>26635.899999999994</v>
      </c>
      <c r="P16" s="54" t="e">
        <f t="shared" ref="P16:P79" si="1">IF($H16&gt;0,ROUND(L16/$H16,2),"na")</f>
        <v>#VALUE!</v>
      </c>
      <c r="Q16" s="40">
        <f t="shared" ref="Q16:Q79" si="2">O16/L16</f>
        <v>0.1033864106056628</v>
      </c>
      <c r="R16" s="37">
        <f t="shared" ref="R16:R79" si="3">L16-M16</f>
        <v>969.39999999999418</v>
      </c>
      <c r="S16" s="41">
        <f t="shared" ref="S16:S79" si="4">R16/M16</f>
        <v>3.7769070536446806E-3</v>
      </c>
      <c r="T16" s="37" t="e">
        <f>SUMIF('[1]JOBS MAR 15'!$E$8:$E$525,$E$16:$E$533,'[1]JOBS MAR 15'!$G$8:$G$525)</f>
        <v>#VALUE!</v>
      </c>
      <c r="U16" s="37" t="e">
        <f>SUMIF('[1]JOBS MAR 15'!$E$8:$E$525,$E$16:$E$533,'[1]JOBS MAR 15'!$H$8:$H$525)</f>
        <v>#VALUE!</v>
      </c>
      <c r="V16" s="37" t="e">
        <f>SUMIF('[1]JOBS MAR 15'!$E$8:$E$525,$E$16:$E$533,'[1]JOBS MAR 15'!$I$8:$I$525)</f>
        <v>#VALUE!</v>
      </c>
      <c r="W16" s="55" t="str">
        <f t="shared" ref="W16:W79" si="5">IF(O16&lt;0,IF(V16-ABS(O16)&lt;0,V16-ABS(O16)," ")," ")</f>
        <v xml:space="preserve"> </v>
      </c>
      <c r="X16" s="56"/>
    </row>
    <row r="17" spans="2:24" x14ac:dyDescent="0.2">
      <c r="B17" s="57">
        <v>1.2</v>
      </c>
      <c r="C17">
        <v>3</v>
      </c>
      <c r="D17" s="2" t="s">
        <v>81</v>
      </c>
      <c r="E17" s="50" t="s">
        <v>82</v>
      </c>
      <c r="F17" s="50">
        <v>2721240</v>
      </c>
      <c r="G17" s="50">
        <v>5</v>
      </c>
      <c r="H17" s="52" t="e">
        <f>SUMIF('[1]Build Detail'!$D$4:$D$521,$B$16:$B$533,'[1]Build Detail'!$H$4:$H$521)</f>
        <v>#VALUE!</v>
      </c>
      <c r="I17" s="52" t="e">
        <f>SUMIF('[1]Build Detail'!$D$4:$D$521,$B$16:$B$533,'[1]Build Detail'!$Q$4:$Q$521)</f>
        <v>#VALUE!</v>
      </c>
      <c r="J17" s="52" t="e">
        <f>SUMIF('[1]Build Detail'!$D$4:$D$521,$B$16:$B$533,'[1]Build Detail'!$T$4:$T$521)</f>
        <v>#VALUE!</v>
      </c>
      <c r="K17" s="53">
        <v>281505496.00999999</v>
      </c>
      <c r="L17" s="37">
        <f>ROUND(K17*$K$548,2)+0.03</f>
        <v>7938687.7999999998</v>
      </c>
      <c r="M17" s="37">
        <v>8128103.3600000003</v>
      </c>
      <c r="N17" s="38">
        <v>7315293.0199999996</v>
      </c>
      <c r="O17" s="37">
        <f t="shared" si="0"/>
        <v>623394.78000000026</v>
      </c>
      <c r="P17" s="54" t="e">
        <f t="shared" si="1"/>
        <v>#VALUE!</v>
      </c>
      <c r="Q17" s="40">
        <f t="shared" si="2"/>
        <v>7.852617406115911E-2</v>
      </c>
      <c r="R17" s="37">
        <f t="shared" si="3"/>
        <v>-189415.56000000052</v>
      </c>
      <c r="S17" s="41">
        <f t="shared" si="4"/>
        <v>-2.3303783381022423E-2</v>
      </c>
      <c r="T17" s="37" t="e">
        <f>SUMIF('[1]JOBS MAR 15'!$E$8:$E$525,$E$16:$E$533,'[1]JOBS MAR 15'!$G$8:$G$525)</f>
        <v>#VALUE!</v>
      </c>
      <c r="U17" s="37" t="e">
        <f>SUMIF('[1]JOBS MAR 15'!$E$8:$E$525,$E$16:$E$533,'[1]JOBS MAR 15'!$H$8:$H$525)</f>
        <v>#VALUE!</v>
      </c>
      <c r="V17" s="37" t="e">
        <f>SUMIF('[1]JOBS MAR 15'!$E$8:$E$525,$E$16:$E$533,'[1]JOBS MAR 15'!$I$8:$I$525)</f>
        <v>#VALUE!</v>
      </c>
      <c r="W17" s="55" t="str">
        <f t="shared" si="5"/>
        <v xml:space="preserve"> </v>
      </c>
      <c r="X17" s="56"/>
    </row>
    <row r="18" spans="2:24" x14ac:dyDescent="0.2">
      <c r="B18">
        <v>2</v>
      </c>
      <c r="C18">
        <v>1</v>
      </c>
      <c r="D18" s="2" t="s">
        <v>83</v>
      </c>
      <c r="E18" s="50" t="s">
        <v>84</v>
      </c>
      <c r="F18" s="50">
        <v>2714010</v>
      </c>
      <c r="G18" s="50">
        <v>8</v>
      </c>
      <c r="H18" s="52" t="e">
        <f>SUMIF('[1]Build Detail'!$D$4:$D$521,$B$16:$B$533,'[1]Build Detail'!$H$4:$H$521)</f>
        <v>#VALUE!</v>
      </c>
      <c r="I18" s="52" t="e">
        <f>SUMIF('[1]Build Detail'!$D$4:$D$521,$B$16:$B$533,'[1]Build Detail'!$Q$4:$Q$521)</f>
        <v>#VALUE!</v>
      </c>
      <c r="J18" s="52" t="e">
        <f>SUMIF('[1]Build Detail'!$D$4:$D$521,$B$16:$B$533,'[1]Build Detail'!$T$4:$T$521)</f>
        <v>#VALUE!</v>
      </c>
      <c r="K18" s="53">
        <v>2841237.6800000006</v>
      </c>
      <c r="L18" s="37">
        <f t="shared" ref="L18:L81" si="6">ROUND(K18*$K$548,2)</f>
        <v>80125.25</v>
      </c>
      <c r="M18" s="37">
        <v>79997.179999999993</v>
      </c>
      <c r="N18" s="38">
        <v>71997.460000000006</v>
      </c>
      <c r="O18" s="37">
        <f t="shared" si="0"/>
        <v>8127.7899999999936</v>
      </c>
      <c r="P18" s="54" t="e">
        <f t="shared" si="1"/>
        <v>#VALUE!</v>
      </c>
      <c r="Q18" s="40">
        <f t="shared" si="2"/>
        <v>0.1014385602541021</v>
      </c>
      <c r="R18" s="37">
        <f t="shared" si="3"/>
        <v>128.07000000000698</v>
      </c>
      <c r="S18" s="41">
        <f t="shared" si="4"/>
        <v>1.6009314328330948E-3</v>
      </c>
      <c r="T18" s="37" t="e">
        <f>SUMIF('[1]JOBS MAR 15'!$E$8:$E$525,$E$16:$E$533,'[1]JOBS MAR 15'!$G$8:$G$525)</f>
        <v>#VALUE!</v>
      </c>
      <c r="U18" s="37" t="e">
        <f>SUMIF('[1]JOBS MAR 15'!$E$8:$E$525,$E$16:$E$533,'[1]JOBS MAR 15'!$H$8:$H$525)</f>
        <v>#VALUE!</v>
      </c>
      <c r="V18" s="37" t="e">
        <f>SUMIF('[1]JOBS MAR 15'!$E$8:$E$525,$E$16:$E$533,'[1]JOBS MAR 15'!$I$8:$I$525)</f>
        <v>#VALUE!</v>
      </c>
      <c r="W18" s="55" t="str">
        <f t="shared" si="5"/>
        <v xml:space="preserve"> </v>
      </c>
      <c r="X18" s="56"/>
    </row>
    <row r="19" spans="2:24" x14ac:dyDescent="0.2">
      <c r="B19">
        <v>4</v>
      </c>
      <c r="C19">
        <v>1</v>
      </c>
      <c r="D19" s="2" t="s">
        <v>85</v>
      </c>
      <c r="E19" s="50" t="s">
        <v>86</v>
      </c>
      <c r="F19" s="50">
        <v>2719170</v>
      </c>
      <c r="G19" s="50">
        <v>8</v>
      </c>
      <c r="H19" s="52" t="e">
        <f>SUMIF('[1]Build Detail'!$D$4:$D$521,$B$16:$B$533,'[1]Build Detail'!$H$4:$H$521)</f>
        <v>#VALUE!</v>
      </c>
      <c r="I19" s="52" t="e">
        <f>SUMIF('[1]Build Detail'!$D$4:$D$521,$B$16:$B$533,'[1]Build Detail'!$Q$4:$Q$521)</f>
        <v>#VALUE!</v>
      </c>
      <c r="J19" s="52" t="e">
        <f>SUMIF('[1]Build Detail'!$D$4:$D$521,$B$16:$B$533,'[1]Build Detail'!$T$4:$T$521)</f>
        <v>#VALUE!</v>
      </c>
      <c r="K19" s="53">
        <v>3452264.95</v>
      </c>
      <c r="L19" s="37">
        <f t="shared" si="6"/>
        <v>97356.73</v>
      </c>
      <c r="M19" s="37">
        <v>95826.38</v>
      </c>
      <c r="N19" s="38">
        <v>86243.74</v>
      </c>
      <c r="O19" s="37">
        <f t="shared" si="0"/>
        <v>11112.989999999991</v>
      </c>
      <c r="P19" s="54" t="e">
        <f t="shared" si="1"/>
        <v>#VALUE!</v>
      </c>
      <c r="Q19" s="40">
        <f t="shared" si="2"/>
        <v>0.11414711648593776</v>
      </c>
      <c r="R19" s="37">
        <f t="shared" si="3"/>
        <v>1530.3499999999913</v>
      </c>
      <c r="S19" s="41">
        <f t="shared" si="4"/>
        <v>1.5970028294922455E-2</v>
      </c>
      <c r="T19" s="37" t="e">
        <f>SUMIF('[1]JOBS MAR 15'!$E$8:$E$525,$E$16:$E$533,'[1]JOBS MAR 15'!$G$8:$G$525)</f>
        <v>#VALUE!</v>
      </c>
      <c r="U19" s="37" t="e">
        <f>SUMIF('[1]JOBS MAR 15'!$E$8:$E$525,$E$16:$E$533,'[1]JOBS MAR 15'!$H$8:$H$525)</f>
        <v>#VALUE!</v>
      </c>
      <c r="V19" s="37" t="e">
        <f>SUMIF('[1]JOBS MAR 15'!$E$8:$E$525,$E$16:$E$533,'[1]JOBS MAR 15'!$I$8:$I$525)</f>
        <v>#VALUE!</v>
      </c>
      <c r="W19" s="55" t="str">
        <f t="shared" si="5"/>
        <v xml:space="preserve"> </v>
      </c>
      <c r="X19" s="56"/>
    </row>
    <row r="20" spans="2:24" x14ac:dyDescent="0.2">
      <c r="B20">
        <v>6</v>
      </c>
      <c r="C20">
        <v>3</v>
      </c>
      <c r="D20" s="2" t="s">
        <v>87</v>
      </c>
      <c r="E20" s="50" t="s">
        <v>88</v>
      </c>
      <c r="F20" s="50">
        <v>2733270</v>
      </c>
      <c r="G20" s="50">
        <v>4</v>
      </c>
      <c r="H20" s="52" t="e">
        <f>SUMIF('[1]Build Detail'!$D$4:$D$521,$B$16:$B$533,'[1]Build Detail'!$H$4:$H$521)</f>
        <v>#VALUE!</v>
      </c>
      <c r="I20" s="52" t="e">
        <f>SUMIF('[1]Build Detail'!$D$4:$D$521,$B$16:$B$533,'[1]Build Detail'!$Q$4:$Q$521)</f>
        <v>#VALUE!</v>
      </c>
      <c r="J20" s="52" t="e">
        <f>SUMIF('[1]Build Detail'!$D$4:$D$521,$B$16:$B$533,'[1]Build Detail'!$T$4:$T$521)</f>
        <v>#VALUE!</v>
      </c>
      <c r="K20" s="53">
        <v>21804209.840000004</v>
      </c>
      <c r="L20" s="37">
        <f t="shared" si="6"/>
        <v>614896.75</v>
      </c>
      <c r="M20" s="37">
        <v>610262.5</v>
      </c>
      <c r="N20" s="38">
        <v>549236.25</v>
      </c>
      <c r="O20" s="37">
        <f t="shared" si="0"/>
        <v>65660.5</v>
      </c>
      <c r="P20" s="54" t="e">
        <f t="shared" si="1"/>
        <v>#VALUE!</v>
      </c>
      <c r="Q20" s="40">
        <f t="shared" si="2"/>
        <v>0.1067829680348774</v>
      </c>
      <c r="R20" s="37">
        <f t="shared" si="3"/>
        <v>4634.25</v>
      </c>
      <c r="S20" s="41">
        <f t="shared" si="4"/>
        <v>7.5938632965322304E-3</v>
      </c>
      <c r="T20" s="37" t="e">
        <f>SUMIF('[1]JOBS MAR 15'!$E$8:$E$525,$E$16:$E$533,'[1]JOBS MAR 15'!$G$8:$G$525)</f>
        <v>#VALUE!</v>
      </c>
      <c r="U20" s="37" t="e">
        <f>SUMIF('[1]JOBS MAR 15'!$E$8:$E$525,$E$16:$E$533,'[1]JOBS MAR 15'!$H$8:$H$525)</f>
        <v>#VALUE!</v>
      </c>
      <c r="V20" s="37" t="e">
        <f>SUMIF('[1]JOBS MAR 15'!$E$8:$E$525,$E$16:$E$533,'[1]JOBS MAR 15'!$I$8:$I$525)</f>
        <v>#VALUE!</v>
      </c>
      <c r="W20" s="55" t="str">
        <f t="shared" si="5"/>
        <v xml:space="preserve"> </v>
      </c>
      <c r="X20" s="56"/>
    </row>
    <row r="21" spans="2:24" x14ac:dyDescent="0.2">
      <c r="B21">
        <v>11</v>
      </c>
      <c r="C21">
        <v>1</v>
      </c>
      <c r="D21" s="2" t="s">
        <v>89</v>
      </c>
      <c r="E21" s="50" t="s">
        <v>90</v>
      </c>
      <c r="F21" s="50">
        <v>2703180</v>
      </c>
      <c r="G21" s="50">
        <v>3</v>
      </c>
      <c r="H21" s="52" t="e">
        <f>SUMIF('[1]Build Detail'!$D$4:$D$521,$B$16:$B$533,'[1]Build Detail'!$H$4:$H$521)</f>
        <v>#VALUE!</v>
      </c>
      <c r="I21" s="52" t="e">
        <f>SUMIF('[1]Build Detail'!$D$4:$D$521,$B$16:$B$533,'[1]Build Detail'!$Q$4:$Q$521)</f>
        <v>#VALUE!</v>
      </c>
      <c r="J21" s="52" t="e">
        <f>SUMIF('[1]Build Detail'!$D$4:$D$521,$B$16:$B$533,'[1]Build Detail'!$T$4:$T$521)</f>
        <v>#VALUE!</v>
      </c>
      <c r="K21" s="53">
        <v>257102157.94</v>
      </c>
      <c r="L21" s="37">
        <f t="shared" si="6"/>
        <v>7250493.46</v>
      </c>
      <c r="M21" s="37">
        <v>7235417.79</v>
      </c>
      <c r="N21" s="38">
        <v>6511876.0099999998</v>
      </c>
      <c r="O21" s="37">
        <f t="shared" si="0"/>
        <v>738617.45000000019</v>
      </c>
      <c r="P21" s="54" t="e">
        <f t="shared" si="1"/>
        <v>#VALUE!</v>
      </c>
      <c r="Q21" s="40">
        <f t="shared" si="2"/>
        <v>0.1018713352511596</v>
      </c>
      <c r="R21" s="37">
        <f t="shared" si="3"/>
        <v>15075.669999999925</v>
      </c>
      <c r="S21" s="41">
        <f t="shared" si="4"/>
        <v>2.0835935722793865E-3</v>
      </c>
      <c r="T21" s="37" t="e">
        <f>SUMIF('[1]JOBS MAR 15'!$E$8:$E$525,$E$16:$E$533,'[1]JOBS MAR 15'!$G$8:$G$525)</f>
        <v>#VALUE!</v>
      </c>
      <c r="U21" s="37" t="e">
        <f>SUMIF('[1]JOBS MAR 15'!$E$8:$E$525,$E$16:$E$533,'[1]JOBS MAR 15'!$H$8:$H$525)</f>
        <v>#VALUE!</v>
      </c>
      <c r="V21" s="37" t="e">
        <f>SUMIF('[1]JOBS MAR 15'!$E$8:$E$525,$E$16:$E$533,'[1]JOBS MAR 15'!$I$8:$I$525)</f>
        <v>#VALUE!</v>
      </c>
      <c r="W21" s="55" t="str">
        <f t="shared" si="5"/>
        <v xml:space="preserve"> </v>
      </c>
      <c r="X21" s="56"/>
    </row>
    <row r="22" spans="2:24" x14ac:dyDescent="0.2">
      <c r="B22">
        <v>12</v>
      </c>
      <c r="C22">
        <v>1</v>
      </c>
      <c r="D22" s="2" t="s">
        <v>91</v>
      </c>
      <c r="E22" s="50" t="s">
        <v>92</v>
      </c>
      <c r="F22" s="50">
        <v>2708100</v>
      </c>
      <c r="G22" s="50">
        <v>6</v>
      </c>
      <c r="H22" s="52" t="e">
        <f>SUMIF('[1]Build Detail'!$D$4:$D$521,$B$16:$B$533,'[1]Build Detail'!$H$4:$H$521)</f>
        <v>#VALUE!</v>
      </c>
      <c r="I22" s="52" t="e">
        <f>SUMIF('[1]Build Detail'!$D$4:$D$521,$B$16:$B$533,'[1]Build Detail'!$Q$4:$Q$521)</f>
        <v>#VALUE!</v>
      </c>
      <c r="J22" s="52" t="e">
        <f>SUMIF('[1]Build Detail'!$D$4:$D$521,$B$16:$B$533,'[1]Build Detail'!$T$4:$T$521)</f>
        <v>#VALUE!</v>
      </c>
      <c r="K22" s="53">
        <v>46557032.079999998</v>
      </c>
      <c r="L22" s="37">
        <f t="shared" si="6"/>
        <v>1312946.8</v>
      </c>
      <c r="M22" s="37">
        <v>1302268.79</v>
      </c>
      <c r="N22" s="38">
        <v>1172041.9099999999</v>
      </c>
      <c r="O22" s="37">
        <f t="shared" si="0"/>
        <v>140904.89000000013</v>
      </c>
      <c r="P22" s="54" t="e">
        <f t="shared" si="1"/>
        <v>#VALUE!</v>
      </c>
      <c r="Q22" s="40">
        <f t="shared" si="2"/>
        <v>0.10731957303982166</v>
      </c>
      <c r="R22" s="37">
        <f t="shared" si="3"/>
        <v>10678.010000000009</v>
      </c>
      <c r="S22" s="41">
        <f t="shared" si="4"/>
        <v>8.1995438130710394E-3</v>
      </c>
      <c r="T22" s="37" t="e">
        <f>SUMIF('[1]JOBS MAR 15'!$E$8:$E$525,$E$16:$E$533,'[1]JOBS MAR 15'!$G$8:$G$525)</f>
        <v>#VALUE!</v>
      </c>
      <c r="U22" s="37" t="e">
        <f>SUMIF('[1]JOBS MAR 15'!$E$8:$E$525,$E$16:$E$533,'[1]JOBS MAR 15'!$H$8:$H$525)</f>
        <v>#VALUE!</v>
      </c>
      <c r="V22" s="37" t="e">
        <f>SUMIF('[1]JOBS MAR 15'!$E$8:$E$525,$E$16:$E$533,'[1]JOBS MAR 15'!$I$8:$I$525)</f>
        <v>#VALUE!</v>
      </c>
      <c r="W22" s="55" t="str">
        <f t="shared" si="5"/>
        <v xml:space="preserve"> </v>
      </c>
      <c r="X22" s="56"/>
    </row>
    <row r="23" spans="2:24" x14ac:dyDescent="0.2">
      <c r="B23">
        <v>13</v>
      </c>
      <c r="C23">
        <v>1</v>
      </c>
      <c r="D23" s="2" t="s">
        <v>93</v>
      </c>
      <c r="E23" s="50" t="s">
        <v>94</v>
      </c>
      <c r="F23" s="50">
        <v>2709510</v>
      </c>
      <c r="G23" s="50">
        <v>5</v>
      </c>
      <c r="H23" s="52" t="e">
        <f>SUMIF('[1]Build Detail'!$D$4:$D$521,$B$16:$B$533,'[1]Build Detail'!$H$4:$H$521)</f>
        <v>#VALUE!</v>
      </c>
      <c r="I23" s="52" t="e">
        <f>SUMIF('[1]Build Detail'!$D$4:$D$521,$B$16:$B$533,'[1]Build Detail'!$Q$4:$Q$521)</f>
        <v>#VALUE!</v>
      </c>
      <c r="J23" s="52" t="e">
        <f>SUMIF('[1]Build Detail'!$D$4:$D$521,$B$16:$B$533,'[1]Build Detail'!$T$4:$T$521)</f>
        <v>#VALUE!</v>
      </c>
      <c r="K23" s="53">
        <v>23876244.519999996</v>
      </c>
      <c r="L23" s="37">
        <f t="shared" si="6"/>
        <v>673329.84</v>
      </c>
      <c r="M23" s="37">
        <v>666875.89</v>
      </c>
      <c r="N23" s="38">
        <v>600188.30000000005</v>
      </c>
      <c r="O23" s="37">
        <f t="shared" si="0"/>
        <v>73141.539999999921</v>
      </c>
      <c r="P23" s="54" t="e">
        <f t="shared" si="1"/>
        <v>#VALUE!</v>
      </c>
      <c r="Q23" s="40">
        <f t="shared" si="2"/>
        <v>0.10862661307272514</v>
      </c>
      <c r="R23" s="37">
        <f t="shared" si="3"/>
        <v>6453.9499999999534</v>
      </c>
      <c r="S23" s="41">
        <f t="shared" si="4"/>
        <v>9.6778877401010148E-3</v>
      </c>
      <c r="T23" s="37" t="e">
        <f>SUMIF('[1]JOBS MAR 15'!$E$8:$E$525,$E$16:$E$533,'[1]JOBS MAR 15'!$G$8:$G$525)</f>
        <v>#VALUE!</v>
      </c>
      <c r="U23" s="37" t="e">
        <f>SUMIF('[1]JOBS MAR 15'!$E$8:$E$525,$E$16:$E$533,'[1]JOBS MAR 15'!$H$8:$H$525)</f>
        <v>#VALUE!</v>
      </c>
      <c r="V23" s="37" t="e">
        <f>SUMIF('[1]JOBS MAR 15'!$E$8:$E$525,$E$16:$E$533,'[1]JOBS MAR 15'!$I$8:$I$525)</f>
        <v>#VALUE!</v>
      </c>
      <c r="W23" s="55" t="str">
        <f t="shared" si="5"/>
        <v xml:space="preserve"> </v>
      </c>
    </row>
    <row r="24" spans="2:24" x14ac:dyDescent="0.2">
      <c r="B24">
        <v>14</v>
      </c>
      <c r="C24">
        <v>1</v>
      </c>
      <c r="D24" s="2" t="s">
        <v>95</v>
      </c>
      <c r="E24" s="50" t="s">
        <v>96</v>
      </c>
      <c r="F24" s="50">
        <v>2712420</v>
      </c>
      <c r="G24" s="50">
        <v>5</v>
      </c>
      <c r="H24" s="52" t="e">
        <f>SUMIF('[1]Build Detail'!$D$4:$D$521,$B$16:$B$533,'[1]Build Detail'!$H$4:$H$521)</f>
        <v>#VALUE!</v>
      </c>
      <c r="I24" s="52" t="e">
        <f>SUMIF('[1]Build Detail'!$D$4:$D$521,$B$16:$B$533,'[1]Build Detail'!$Q$4:$Q$521)</f>
        <v>#VALUE!</v>
      </c>
      <c r="J24" s="52" t="e">
        <f>SUMIF('[1]Build Detail'!$D$4:$D$521,$B$16:$B$533,'[1]Build Detail'!$T$4:$T$521)</f>
        <v>#VALUE!</v>
      </c>
      <c r="K24" s="53">
        <v>21749475.739999998</v>
      </c>
      <c r="L24" s="37">
        <f t="shared" si="6"/>
        <v>613353.19999999995</v>
      </c>
      <c r="M24" s="37">
        <v>605556.66</v>
      </c>
      <c r="N24" s="38">
        <v>545000.99</v>
      </c>
      <c r="O24" s="37">
        <f t="shared" si="0"/>
        <v>68352.209999999963</v>
      </c>
      <c r="P24" s="54" t="e">
        <f t="shared" si="1"/>
        <v>#VALUE!</v>
      </c>
      <c r="Q24" s="40">
        <f t="shared" si="2"/>
        <v>0.11144021095838412</v>
      </c>
      <c r="R24" s="37">
        <f t="shared" si="3"/>
        <v>7796.5399999999208</v>
      </c>
      <c r="S24" s="41">
        <f t="shared" si="4"/>
        <v>1.2874996701382032E-2</v>
      </c>
      <c r="T24" s="37" t="e">
        <f>SUMIF('[1]JOBS MAR 15'!$E$8:$E$525,$E$16:$E$533,'[1]JOBS MAR 15'!$G$8:$G$525)</f>
        <v>#VALUE!</v>
      </c>
      <c r="U24" s="37" t="e">
        <f>SUMIF('[1]JOBS MAR 15'!$E$8:$E$525,$E$16:$E$533,'[1]JOBS MAR 15'!$H$8:$H$525)</f>
        <v>#VALUE!</v>
      </c>
      <c r="V24" s="37" t="e">
        <f>SUMIF('[1]JOBS MAR 15'!$E$8:$E$525,$E$16:$E$533,'[1]JOBS MAR 15'!$I$8:$I$525)</f>
        <v>#VALUE!</v>
      </c>
      <c r="W24" s="55" t="str">
        <f t="shared" si="5"/>
        <v xml:space="preserve"> </v>
      </c>
    </row>
    <row r="25" spans="2:24" x14ac:dyDescent="0.2">
      <c r="B25">
        <v>15</v>
      </c>
      <c r="C25">
        <v>1</v>
      </c>
      <c r="D25" s="2" t="s">
        <v>97</v>
      </c>
      <c r="E25" s="50" t="s">
        <v>98</v>
      </c>
      <c r="F25" s="50">
        <v>2733540</v>
      </c>
      <c r="G25" s="50">
        <v>6</v>
      </c>
      <c r="H25" s="52" t="e">
        <f>SUMIF('[1]Build Detail'!$D$4:$D$521,$B$16:$B$533,'[1]Build Detail'!$H$4:$H$521)</f>
        <v>#VALUE!</v>
      </c>
      <c r="I25" s="52" t="e">
        <f>SUMIF('[1]Build Detail'!$D$4:$D$521,$B$16:$B$533,'[1]Build Detail'!$Q$4:$Q$521)</f>
        <v>#VALUE!</v>
      </c>
      <c r="J25" s="52" t="e">
        <f>SUMIF('[1]Build Detail'!$D$4:$D$521,$B$16:$B$533,'[1]Build Detail'!$T$4:$T$521)</f>
        <v>#VALUE!</v>
      </c>
      <c r="K25" s="53">
        <v>37773419.590000004</v>
      </c>
      <c r="L25" s="37">
        <f t="shared" si="6"/>
        <v>1065241.67</v>
      </c>
      <c r="M25" s="37">
        <v>1060790.22</v>
      </c>
      <c r="N25" s="38">
        <v>954711.2</v>
      </c>
      <c r="O25" s="37">
        <f t="shared" si="0"/>
        <v>110530.46999999997</v>
      </c>
      <c r="P25" s="54" t="e">
        <f t="shared" si="1"/>
        <v>#VALUE!</v>
      </c>
      <c r="Q25" s="40">
        <f t="shared" si="2"/>
        <v>0.10376093342274151</v>
      </c>
      <c r="R25" s="37">
        <f t="shared" si="3"/>
        <v>4451.4499999999534</v>
      </c>
      <c r="S25" s="41">
        <f t="shared" si="4"/>
        <v>4.1963527906582259E-3</v>
      </c>
      <c r="T25" s="37" t="e">
        <f>SUMIF('[1]JOBS MAR 15'!$E$8:$E$525,$E$16:$E$533,'[1]JOBS MAR 15'!$G$8:$G$525)</f>
        <v>#VALUE!</v>
      </c>
      <c r="U25" s="37" t="e">
        <f>SUMIF('[1]JOBS MAR 15'!$E$8:$E$525,$E$16:$E$533,'[1]JOBS MAR 15'!$H$8:$H$525)</f>
        <v>#VALUE!</v>
      </c>
      <c r="V25" s="37" t="e">
        <f>SUMIF('[1]JOBS MAR 15'!$E$8:$E$525,$E$16:$E$533,'[1]JOBS MAR 15'!$I$8:$I$525)</f>
        <v>#VALUE!</v>
      </c>
      <c r="W25" s="55" t="str">
        <f t="shared" si="5"/>
        <v xml:space="preserve"> </v>
      </c>
    </row>
    <row r="26" spans="2:24" x14ac:dyDescent="0.2">
      <c r="B26">
        <v>16</v>
      </c>
      <c r="C26">
        <v>1</v>
      </c>
      <c r="D26" s="2" t="s">
        <v>99</v>
      </c>
      <c r="E26" s="50" t="s">
        <v>100</v>
      </c>
      <c r="F26" s="50">
        <v>2733330</v>
      </c>
      <c r="G26" s="50">
        <v>5</v>
      </c>
      <c r="H26" s="52" t="e">
        <f>SUMIF('[1]Build Detail'!$D$4:$D$521,$B$16:$B$533,'[1]Build Detail'!$H$4:$H$521)</f>
        <v>#VALUE!</v>
      </c>
      <c r="I26" s="52" t="e">
        <f>SUMIF('[1]Build Detail'!$D$4:$D$521,$B$16:$B$533,'[1]Build Detail'!$Q$4:$Q$521)</f>
        <v>#VALUE!</v>
      </c>
      <c r="J26" s="52" t="e">
        <f>SUMIF('[1]Build Detail'!$D$4:$D$521,$B$16:$B$533,'[1]Build Detail'!$T$4:$T$521)</f>
        <v>#VALUE!</v>
      </c>
      <c r="K26" s="53">
        <v>31259027.649999999</v>
      </c>
      <c r="L26" s="37">
        <f t="shared" si="6"/>
        <v>881530.43</v>
      </c>
      <c r="M26" s="37">
        <v>880197.02</v>
      </c>
      <c r="N26" s="38">
        <v>792177.32</v>
      </c>
      <c r="O26" s="37">
        <f t="shared" si="0"/>
        <v>89353.110000000102</v>
      </c>
      <c r="P26" s="54" t="e">
        <f t="shared" si="1"/>
        <v>#VALUE!</v>
      </c>
      <c r="Q26" s="40">
        <f t="shared" si="2"/>
        <v>0.10136134495096227</v>
      </c>
      <c r="R26" s="37">
        <f t="shared" si="3"/>
        <v>1333.4100000000326</v>
      </c>
      <c r="S26" s="41">
        <f t="shared" si="4"/>
        <v>1.5148994710298298E-3</v>
      </c>
      <c r="T26" s="37" t="e">
        <f>SUMIF('[1]JOBS MAR 15'!$E$8:$E$525,$E$16:$E$533,'[1]JOBS MAR 15'!$G$8:$G$525)</f>
        <v>#VALUE!</v>
      </c>
      <c r="U26" s="37" t="e">
        <f>SUMIF('[1]JOBS MAR 15'!$E$8:$E$525,$E$16:$E$533,'[1]JOBS MAR 15'!$H$8:$H$525)</f>
        <v>#VALUE!</v>
      </c>
      <c r="V26" s="37" t="e">
        <f>SUMIF('[1]JOBS MAR 15'!$E$8:$E$525,$E$16:$E$533,'[1]JOBS MAR 15'!$I$8:$I$525)</f>
        <v>#VALUE!</v>
      </c>
      <c r="W26" s="55" t="str">
        <f t="shared" si="5"/>
        <v xml:space="preserve"> </v>
      </c>
    </row>
    <row r="27" spans="2:24" x14ac:dyDescent="0.2">
      <c r="B27">
        <v>22</v>
      </c>
      <c r="C27">
        <v>1</v>
      </c>
      <c r="D27" s="2" t="s">
        <v>101</v>
      </c>
      <c r="E27" s="50" t="s">
        <v>102</v>
      </c>
      <c r="F27" s="50">
        <v>2710230</v>
      </c>
      <c r="G27" s="50">
        <v>7</v>
      </c>
      <c r="H27" s="52" t="e">
        <f>SUMIF('[1]Build Detail'!$D$4:$D$521,$B$16:$B$533,'[1]Build Detail'!$H$4:$H$521)</f>
        <v>#VALUE!</v>
      </c>
      <c r="I27" s="52" t="e">
        <f>SUMIF('[1]Build Detail'!$D$4:$D$521,$B$16:$B$533,'[1]Build Detail'!$Q$4:$Q$521)</f>
        <v>#VALUE!</v>
      </c>
      <c r="J27" s="52" t="e">
        <f>SUMIF('[1]Build Detail'!$D$4:$D$521,$B$16:$B$533,'[1]Build Detail'!$T$4:$T$521)</f>
        <v>#VALUE!</v>
      </c>
      <c r="K27" s="53">
        <v>20741869.860000003</v>
      </c>
      <c r="L27" s="37">
        <f t="shared" si="6"/>
        <v>584937.88</v>
      </c>
      <c r="M27" s="37">
        <v>581410.44999999995</v>
      </c>
      <c r="N27" s="38">
        <v>523269.41</v>
      </c>
      <c r="O27" s="37">
        <f t="shared" si="0"/>
        <v>61668.47000000003</v>
      </c>
      <c r="P27" s="54" t="e">
        <f t="shared" si="1"/>
        <v>#VALUE!</v>
      </c>
      <c r="Q27" s="40">
        <f t="shared" si="2"/>
        <v>0.10542738316075552</v>
      </c>
      <c r="R27" s="37">
        <f t="shared" si="3"/>
        <v>3527.4300000000512</v>
      </c>
      <c r="S27" s="41">
        <f t="shared" si="4"/>
        <v>6.0670220151702661E-3</v>
      </c>
      <c r="T27" s="37" t="e">
        <f>SUMIF('[1]JOBS MAR 15'!$E$8:$E$525,$E$16:$E$533,'[1]JOBS MAR 15'!$G$8:$G$525)</f>
        <v>#VALUE!</v>
      </c>
      <c r="U27" s="37" t="e">
        <f>SUMIF('[1]JOBS MAR 15'!$E$8:$E$525,$E$16:$E$533,'[1]JOBS MAR 15'!$H$8:$H$525)</f>
        <v>#VALUE!</v>
      </c>
      <c r="V27" s="37" t="e">
        <f>SUMIF('[1]JOBS MAR 15'!$E$8:$E$525,$E$16:$E$533,'[1]JOBS MAR 15'!$I$8:$I$525)</f>
        <v>#VALUE!</v>
      </c>
      <c r="W27" s="55" t="str">
        <f t="shared" si="5"/>
        <v xml:space="preserve"> </v>
      </c>
    </row>
    <row r="28" spans="2:24" x14ac:dyDescent="0.2">
      <c r="B28">
        <v>23</v>
      </c>
      <c r="C28">
        <v>1</v>
      </c>
      <c r="D28" s="2" t="s">
        <v>103</v>
      </c>
      <c r="E28" s="50" t="s">
        <v>104</v>
      </c>
      <c r="F28" s="50">
        <v>2712360</v>
      </c>
      <c r="G28" s="50">
        <v>7</v>
      </c>
      <c r="H28" s="52" t="e">
        <f>SUMIF('[1]Build Detail'!$D$4:$D$521,$B$16:$B$533,'[1]Build Detail'!$H$4:$H$521)</f>
        <v>#VALUE!</v>
      </c>
      <c r="I28" s="52" t="e">
        <f>SUMIF('[1]Build Detail'!$D$4:$D$521,$B$16:$B$533,'[1]Build Detail'!$Q$4:$Q$521)</f>
        <v>#VALUE!</v>
      </c>
      <c r="J28" s="52" t="e">
        <f>SUMIF('[1]Build Detail'!$D$4:$D$521,$B$16:$B$533,'[1]Build Detail'!$T$4:$T$521)</f>
        <v>#VALUE!</v>
      </c>
      <c r="K28" s="53">
        <v>6154146.4100000011</v>
      </c>
      <c r="L28" s="37">
        <f t="shared" si="6"/>
        <v>173552.02</v>
      </c>
      <c r="M28" s="37">
        <v>180101.98</v>
      </c>
      <c r="N28" s="38">
        <v>162091.78</v>
      </c>
      <c r="O28" s="37">
        <f t="shared" si="0"/>
        <v>11460.239999999991</v>
      </c>
      <c r="P28" s="54" t="e">
        <f t="shared" si="1"/>
        <v>#VALUE!</v>
      </c>
      <c r="Q28" s="40">
        <f t="shared" si="2"/>
        <v>6.6033457864679374E-2</v>
      </c>
      <c r="R28" s="37">
        <f t="shared" si="3"/>
        <v>-6549.960000000021</v>
      </c>
      <c r="S28" s="41">
        <f t="shared" si="4"/>
        <v>-3.6368062139017131E-2</v>
      </c>
      <c r="T28" s="37" t="e">
        <f>SUMIF('[1]JOBS MAR 15'!$E$8:$E$525,$E$16:$E$533,'[1]JOBS MAR 15'!$G$8:$G$525)</f>
        <v>#VALUE!</v>
      </c>
      <c r="U28" s="37" t="e">
        <f>SUMIF('[1]JOBS MAR 15'!$E$8:$E$525,$E$16:$E$533,'[1]JOBS MAR 15'!$H$8:$H$525)</f>
        <v>#VALUE!</v>
      </c>
      <c r="V28" s="37" t="e">
        <f>SUMIF('[1]JOBS MAR 15'!$E$8:$E$525,$E$16:$E$533,'[1]JOBS MAR 15'!$I$8:$I$525)</f>
        <v>#VALUE!</v>
      </c>
      <c r="W28" s="55" t="str">
        <f t="shared" si="5"/>
        <v xml:space="preserve"> </v>
      </c>
    </row>
    <row r="29" spans="2:24" x14ac:dyDescent="0.2">
      <c r="B29">
        <v>25</v>
      </c>
      <c r="C29">
        <v>1</v>
      </c>
      <c r="D29" s="2" t="s">
        <v>105</v>
      </c>
      <c r="E29" s="50" t="s">
        <v>106</v>
      </c>
      <c r="F29" s="50">
        <v>2728960</v>
      </c>
      <c r="G29" s="50">
        <v>7</v>
      </c>
      <c r="H29" s="52" t="e">
        <f>SUMIF('[1]Build Detail'!$D$4:$D$521,$B$16:$B$533,'[1]Build Detail'!$H$4:$H$521)</f>
        <v>#VALUE!</v>
      </c>
      <c r="I29" s="52" t="e">
        <f>SUMIF('[1]Build Detail'!$D$4:$D$521,$B$16:$B$533,'[1]Build Detail'!$Q$4:$Q$521)</f>
        <v>#VALUE!</v>
      </c>
      <c r="J29" s="52" t="e">
        <f>SUMIF('[1]Build Detail'!$D$4:$D$521,$B$16:$B$533,'[1]Build Detail'!$T$4:$T$521)</f>
        <v>#VALUE!</v>
      </c>
      <c r="K29" s="53">
        <v>782021.98</v>
      </c>
      <c r="L29" s="37">
        <f t="shared" si="6"/>
        <v>22053.67</v>
      </c>
      <c r="M29" s="37">
        <v>21871.63</v>
      </c>
      <c r="N29" s="38">
        <v>19684.47</v>
      </c>
      <c r="O29" s="37">
        <f t="shared" si="0"/>
        <v>2369.1999999999971</v>
      </c>
      <c r="P29" s="54" t="e">
        <f t="shared" si="1"/>
        <v>#VALUE!</v>
      </c>
      <c r="Q29" s="40">
        <f t="shared" si="2"/>
        <v>0.10742883157315754</v>
      </c>
      <c r="R29" s="37">
        <f t="shared" si="3"/>
        <v>182.03999999999724</v>
      </c>
      <c r="S29" s="41">
        <f t="shared" si="4"/>
        <v>8.3231108060989149E-3</v>
      </c>
      <c r="T29" s="37" t="e">
        <f>SUMIF('[1]JOBS MAR 15'!$E$8:$E$525,$E$16:$E$533,'[1]JOBS MAR 15'!$G$8:$G$525)</f>
        <v>#VALUE!</v>
      </c>
      <c r="U29" s="37" t="e">
        <f>SUMIF('[1]JOBS MAR 15'!$E$8:$E$525,$E$16:$E$533,'[1]JOBS MAR 15'!$H$8:$H$525)</f>
        <v>#VALUE!</v>
      </c>
      <c r="V29" s="37" t="e">
        <f>SUMIF('[1]JOBS MAR 15'!$E$8:$E$525,$E$16:$E$533,'[1]JOBS MAR 15'!$I$8:$I$525)</f>
        <v>#VALUE!</v>
      </c>
      <c r="W29" s="55" t="str">
        <f t="shared" si="5"/>
        <v xml:space="preserve"> </v>
      </c>
    </row>
    <row r="30" spans="2:24" x14ac:dyDescent="0.2">
      <c r="B30">
        <v>31</v>
      </c>
      <c r="C30">
        <v>1</v>
      </c>
      <c r="D30" s="2" t="s">
        <v>107</v>
      </c>
      <c r="E30" s="50" t="s">
        <v>108</v>
      </c>
      <c r="F30" s="50">
        <v>2704440</v>
      </c>
      <c r="G30" s="50">
        <v>7</v>
      </c>
      <c r="H30" s="52" t="e">
        <f>SUMIF('[1]Build Detail'!$D$4:$D$521,$B$16:$B$533,'[1]Build Detail'!$H$4:$H$521)</f>
        <v>#VALUE!</v>
      </c>
      <c r="I30" s="52" t="e">
        <f>SUMIF('[1]Build Detail'!$D$4:$D$521,$B$16:$B$533,'[1]Build Detail'!$Q$4:$Q$521)</f>
        <v>#VALUE!</v>
      </c>
      <c r="J30" s="52" t="e">
        <f>SUMIF('[1]Build Detail'!$D$4:$D$521,$B$16:$B$533,'[1]Build Detail'!$T$4:$T$521)</f>
        <v>#VALUE!</v>
      </c>
      <c r="K30" s="53">
        <v>39166350.009999998</v>
      </c>
      <c r="L30" s="37">
        <f t="shared" si="6"/>
        <v>1104523.46</v>
      </c>
      <c r="M30" s="37">
        <v>1103328.8700000001</v>
      </c>
      <c r="N30" s="38">
        <v>992995.98</v>
      </c>
      <c r="O30" s="37">
        <f t="shared" si="0"/>
        <v>111527.47999999998</v>
      </c>
      <c r="P30" s="54" t="e">
        <f t="shared" si="1"/>
        <v>#VALUE!</v>
      </c>
      <c r="Q30" s="40">
        <f t="shared" si="2"/>
        <v>0.10097339172859215</v>
      </c>
      <c r="R30" s="37">
        <f t="shared" si="3"/>
        <v>1194.589999999851</v>
      </c>
      <c r="S30" s="41">
        <f t="shared" si="4"/>
        <v>1.0827143497113883E-3</v>
      </c>
      <c r="T30" s="37" t="e">
        <f>SUMIF('[1]JOBS MAR 15'!$E$8:$E$525,$E$16:$E$533,'[1]JOBS MAR 15'!$G$8:$G$525)</f>
        <v>#VALUE!</v>
      </c>
      <c r="U30" s="37" t="e">
        <f>SUMIF('[1]JOBS MAR 15'!$E$8:$E$525,$E$16:$E$533,'[1]JOBS MAR 15'!$H$8:$H$525)</f>
        <v>#VALUE!</v>
      </c>
      <c r="V30" s="37" t="e">
        <f>SUMIF('[1]JOBS MAR 15'!$E$8:$E$525,$E$16:$E$533,'[1]JOBS MAR 15'!$I$8:$I$525)</f>
        <v>#VALUE!</v>
      </c>
      <c r="W30" s="55" t="str">
        <f t="shared" si="5"/>
        <v xml:space="preserve"> </v>
      </c>
    </row>
    <row r="31" spans="2:24" x14ac:dyDescent="0.2">
      <c r="B31">
        <v>32</v>
      </c>
      <c r="C31">
        <v>1</v>
      </c>
      <c r="D31" s="2" t="s">
        <v>109</v>
      </c>
      <c r="E31" s="50" t="s">
        <v>110</v>
      </c>
      <c r="F31" s="50">
        <v>2705730</v>
      </c>
      <c r="G31" s="50">
        <v>8</v>
      </c>
      <c r="H31" s="52" t="e">
        <f>SUMIF('[1]Build Detail'!$D$4:$D$521,$B$16:$B$533,'[1]Build Detail'!$H$4:$H$521)</f>
        <v>#VALUE!</v>
      </c>
      <c r="I31" s="52" t="e">
        <f>SUMIF('[1]Build Detail'!$D$4:$D$521,$B$16:$B$533,'[1]Build Detail'!$Q$4:$Q$521)</f>
        <v>#VALUE!</v>
      </c>
      <c r="J31" s="52" t="e">
        <f>SUMIF('[1]Build Detail'!$D$4:$D$521,$B$16:$B$533,'[1]Build Detail'!$T$4:$T$521)</f>
        <v>#VALUE!</v>
      </c>
      <c r="K31" s="53">
        <v>5477838.2300000004</v>
      </c>
      <c r="L31" s="37">
        <f t="shared" si="6"/>
        <v>154479.57</v>
      </c>
      <c r="M31" s="37">
        <v>154105.01999999999</v>
      </c>
      <c r="N31" s="38">
        <v>138694.51999999999</v>
      </c>
      <c r="O31" s="37">
        <f t="shared" si="0"/>
        <v>15785.050000000017</v>
      </c>
      <c r="P31" s="54" t="e">
        <f t="shared" si="1"/>
        <v>#VALUE!</v>
      </c>
      <c r="Q31" s="40">
        <f t="shared" si="2"/>
        <v>0.10218212026354045</v>
      </c>
      <c r="R31" s="37">
        <f t="shared" si="3"/>
        <v>374.55000000001746</v>
      </c>
      <c r="S31" s="41">
        <f t="shared" si="4"/>
        <v>2.4304853923643598E-3</v>
      </c>
      <c r="T31" s="37" t="e">
        <f>SUMIF('[1]JOBS MAR 15'!$E$8:$E$525,$E$16:$E$533,'[1]JOBS MAR 15'!$G$8:$G$525)</f>
        <v>#VALUE!</v>
      </c>
      <c r="U31" s="37" t="e">
        <f>SUMIF('[1]JOBS MAR 15'!$E$8:$E$525,$E$16:$E$533,'[1]JOBS MAR 15'!$H$8:$H$525)</f>
        <v>#VALUE!</v>
      </c>
      <c r="V31" s="37" t="e">
        <f>SUMIF('[1]JOBS MAR 15'!$E$8:$E$525,$E$16:$E$533,'[1]JOBS MAR 15'!$I$8:$I$525)</f>
        <v>#VALUE!</v>
      </c>
      <c r="W31" s="55" t="str">
        <f t="shared" si="5"/>
        <v xml:space="preserve"> </v>
      </c>
    </row>
    <row r="32" spans="2:24" x14ac:dyDescent="0.2">
      <c r="B32">
        <v>36</v>
      </c>
      <c r="C32">
        <v>1</v>
      </c>
      <c r="D32" s="2" t="s">
        <v>111</v>
      </c>
      <c r="E32" s="50" t="s">
        <v>112</v>
      </c>
      <c r="F32" s="50">
        <v>2717010</v>
      </c>
      <c r="G32" s="50">
        <v>7</v>
      </c>
      <c r="H32" s="52" t="e">
        <f>SUMIF('[1]Build Detail'!$D$4:$D$521,$B$16:$B$533,'[1]Build Detail'!$H$4:$H$521)</f>
        <v>#VALUE!</v>
      </c>
      <c r="I32" s="52" t="e">
        <f>SUMIF('[1]Build Detail'!$D$4:$D$521,$B$16:$B$533,'[1]Build Detail'!$Q$4:$Q$521)</f>
        <v>#VALUE!</v>
      </c>
      <c r="J32" s="52" t="e">
        <f>SUMIF('[1]Build Detail'!$D$4:$D$521,$B$16:$B$533,'[1]Build Detail'!$T$4:$T$521)</f>
        <v>#VALUE!</v>
      </c>
      <c r="K32" s="53">
        <v>2615731.9</v>
      </c>
      <c r="L32" s="37">
        <f t="shared" si="6"/>
        <v>73765.8</v>
      </c>
      <c r="M32" s="37">
        <v>73876.3</v>
      </c>
      <c r="N32" s="38">
        <v>66488.67</v>
      </c>
      <c r="O32" s="37">
        <f t="shared" si="0"/>
        <v>7277.1300000000047</v>
      </c>
      <c r="P32" s="54" t="e">
        <f t="shared" si="1"/>
        <v>#VALUE!</v>
      </c>
      <c r="Q32" s="40">
        <f t="shared" si="2"/>
        <v>9.8651814255386702E-2</v>
      </c>
      <c r="R32" s="37">
        <f t="shared" si="3"/>
        <v>-110.5</v>
      </c>
      <c r="S32" s="41">
        <f t="shared" si="4"/>
        <v>-1.4957435605194088E-3</v>
      </c>
      <c r="T32" s="37" t="e">
        <f>SUMIF('[1]JOBS MAR 15'!$E$8:$E$525,$E$16:$E$533,'[1]JOBS MAR 15'!$G$8:$G$525)</f>
        <v>#VALUE!</v>
      </c>
      <c r="U32" s="37" t="e">
        <f>SUMIF('[1]JOBS MAR 15'!$E$8:$E$525,$E$16:$E$533,'[1]JOBS MAR 15'!$H$8:$H$525)</f>
        <v>#VALUE!</v>
      </c>
      <c r="V32" s="37" t="e">
        <f>SUMIF('[1]JOBS MAR 15'!$E$8:$E$525,$E$16:$E$533,'[1]JOBS MAR 15'!$I$8:$I$525)</f>
        <v>#VALUE!</v>
      </c>
      <c r="W32" s="55" t="str">
        <f t="shared" si="5"/>
        <v xml:space="preserve"> </v>
      </c>
    </row>
    <row r="33" spans="2:23" x14ac:dyDescent="0.2">
      <c r="B33">
        <v>38</v>
      </c>
      <c r="C33">
        <v>1</v>
      </c>
      <c r="D33" s="2" t="s">
        <v>113</v>
      </c>
      <c r="E33" s="50" t="s">
        <v>114</v>
      </c>
      <c r="F33" s="50">
        <v>2730510</v>
      </c>
      <c r="G33" s="50">
        <v>7</v>
      </c>
      <c r="H33" s="52" t="e">
        <f>SUMIF('[1]Build Detail'!$D$4:$D$521,$B$16:$B$533,'[1]Build Detail'!$H$4:$H$521)</f>
        <v>#VALUE!</v>
      </c>
      <c r="I33" s="52" t="e">
        <f>SUMIF('[1]Build Detail'!$D$4:$D$521,$B$16:$B$533,'[1]Build Detail'!$Q$4:$Q$521)</f>
        <v>#VALUE!</v>
      </c>
      <c r="J33" s="52" t="e">
        <f>SUMIF('[1]Build Detail'!$D$4:$D$521,$B$16:$B$533,'[1]Build Detail'!$T$4:$T$521)</f>
        <v>#VALUE!</v>
      </c>
      <c r="K33" s="53">
        <v>15474269.800000001</v>
      </c>
      <c r="L33" s="37">
        <f t="shared" si="6"/>
        <v>436387.2</v>
      </c>
      <c r="M33" s="37">
        <v>436942.22</v>
      </c>
      <c r="N33" s="38">
        <v>393248</v>
      </c>
      <c r="O33" s="37">
        <f t="shared" si="0"/>
        <v>43139.200000000012</v>
      </c>
      <c r="P33" s="54" t="e">
        <f t="shared" si="1"/>
        <v>#VALUE!</v>
      </c>
      <c r="Q33" s="40">
        <f t="shared" si="2"/>
        <v>9.8855328478928833E-2</v>
      </c>
      <c r="R33" s="37">
        <f t="shared" si="3"/>
        <v>-555.01999999996042</v>
      </c>
      <c r="S33" s="41">
        <f t="shared" si="4"/>
        <v>-1.2702366001618257E-3</v>
      </c>
      <c r="T33" s="37" t="e">
        <f>SUMIF('[1]JOBS MAR 15'!$E$8:$E$525,$E$16:$E$533,'[1]JOBS MAR 15'!$G$8:$G$525)</f>
        <v>#VALUE!</v>
      </c>
      <c r="U33" s="37" t="e">
        <f>SUMIF('[1]JOBS MAR 15'!$E$8:$E$525,$E$16:$E$533,'[1]JOBS MAR 15'!$H$8:$H$525)</f>
        <v>#VALUE!</v>
      </c>
      <c r="V33" s="37" t="e">
        <f>SUMIF('[1]JOBS MAR 15'!$E$8:$E$525,$E$16:$E$533,'[1]JOBS MAR 15'!$I$8:$I$525)</f>
        <v>#VALUE!</v>
      </c>
      <c r="W33" s="55" t="str">
        <f t="shared" si="5"/>
        <v xml:space="preserve"> </v>
      </c>
    </row>
    <row r="34" spans="2:23" x14ac:dyDescent="0.2">
      <c r="B34">
        <v>47</v>
      </c>
      <c r="C34">
        <v>1</v>
      </c>
      <c r="D34" s="2" t="s">
        <v>115</v>
      </c>
      <c r="E34" s="50" t="s">
        <v>116</v>
      </c>
      <c r="F34" s="50">
        <v>2732880</v>
      </c>
      <c r="G34" s="50">
        <v>6</v>
      </c>
      <c r="H34" s="52" t="e">
        <f>SUMIF('[1]Build Detail'!$D$4:$D$521,$B$16:$B$533,'[1]Build Detail'!$H$4:$H$521)</f>
        <v>#VALUE!</v>
      </c>
      <c r="I34" s="52" t="e">
        <f>SUMIF('[1]Build Detail'!$D$4:$D$521,$B$16:$B$533,'[1]Build Detail'!$Q$4:$Q$521)</f>
        <v>#VALUE!</v>
      </c>
      <c r="J34" s="52" t="e">
        <f>SUMIF('[1]Build Detail'!$D$4:$D$521,$B$16:$B$533,'[1]Build Detail'!$T$4:$T$521)</f>
        <v>#VALUE!</v>
      </c>
      <c r="K34" s="53">
        <v>26821366.510000002</v>
      </c>
      <c r="L34" s="37">
        <f t="shared" si="6"/>
        <v>756384.71</v>
      </c>
      <c r="M34" s="37">
        <v>752087.97</v>
      </c>
      <c r="N34" s="38">
        <v>676879.17</v>
      </c>
      <c r="O34" s="37">
        <f t="shared" si="0"/>
        <v>79505.539999999921</v>
      </c>
      <c r="P34" s="54" t="e">
        <f t="shared" si="1"/>
        <v>#VALUE!</v>
      </c>
      <c r="Q34" s="40">
        <f t="shared" si="2"/>
        <v>0.10511256897300307</v>
      </c>
      <c r="R34" s="37">
        <f t="shared" si="3"/>
        <v>4296.7399999999907</v>
      </c>
      <c r="S34" s="41">
        <f t="shared" si="4"/>
        <v>5.7130816758044819E-3</v>
      </c>
      <c r="T34" s="37" t="e">
        <f>SUMIF('[1]JOBS MAR 15'!$E$8:$E$525,$E$16:$E$533,'[1]JOBS MAR 15'!$G$8:$G$525)</f>
        <v>#VALUE!</v>
      </c>
      <c r="U34" s="37" t="e">
        <f>SUMIF('[1]JOBS MAR 15'!$E$8:$E$525,$E$16:$E$533,'[1]JOBS MAR 15'!$H$8:$H$525)</f>
        <v>#VALUE!</v>
      </c>
      <c r="V34" s="37" t="e">
        <f>SUMIF('[1]JOBS MAR 15'!$E$8:$E$525,$E$16:$E$533,'[1]JOBS MAR 15'!$I$8:$I$525)</f>
        <v>#VALUE!</v>
      </c>
      <c r="W34" s="55" t="str">
        <f t="shared" si="5"/>
        <v xml:space="preserve"> </v>
      </c>
    </row>
    <row r="35" spans="2:23" x14ac:dyDescent="0.2">
      <c r="B35">
        <v>51</v>
      </c>
      <c r="C35">
        <v>1</v>
      </c>
      <c r="D35" s="2" t="s">
        <v>117</v>
      </c>
      <c r="E35" s="50" t="s">
        <v>118</v>
      </c>
      <c r="F35" s="50">
        <v>2712240</v>
      </c>
      <c r="G35" s="50">
        <v>6</v>
      </c>
      <c r="H35" s="52" t="e">
        <f>SUMIF('[1]Build Detail'!$D$4:$D$521,$B$16:$B$533,'[1]Build Detail'!$H$4:$H$521)</f>
        <v>#VALUE!</v>
      </c>
      <c r="I35" s="52" t="e">
        <f>SUMIF('[1]Build Detail'!$D$4:$D$521,$B$16:$B$533,'[1]Build Detail'!$Q$4:$Q$521)</f>
        <v>#VALUE!</v>
      </c>
      <c r="J35" s="52" t="e">
        <f>SUMIF('[1]Build Detail'!$D$4:$D$521,$B$16:$B$533,'[1]Build Detail'!$T$4:$T$521)</f>
        <v>#VALUE!</v>
      </c>
      <c r="K35" s="53">
        <v>12238262.719999999</v>
      </c>
      <c r="L35" s="37">
        <f t="shared" si="6"/>
        <v>345129.13</v>
      </c>
      <c r="M35" s="37">
        <v>345143.97</v>
      </c>
      <c r="N35" s="38">
        <v>310629.57</v>
      </c>
      <c r="O35" s="37">
        <f t="shared" si="0"/>
        <v>34499.56</v>
      </c>
      <c r="P35" s="54" t="e">
        <f t="shared" si="1"/>
        <v>#VALUE!</v>
      </c>
      <c r="Q35" s="40">
        <f t="shared" si="2"/>
        <v>9.996131013339847E-2</v>
      </c>
      <c r="R35" s="37">
        <f t="shared" si="3"/>
        <v>-14.839999999967404</v>
      </c>
      <c r="S35" s="41">
        <f t="shared" si="4"/>
        <v>-4.2996550106227856E-5</v>
      </c>
      <c r="T35" s="37" t="e">
        <f>SUMIF('[1]JOBS MAR 15'!$E$8:$E$525,$E$16:$E$533,'[1]JOBS MAR 15'!$G$8:$G$525)</f>
        <v>#VALUE!</v>
      </c>
      <c r="U35" s="37" t="e">
        <f>SUMIF('[1]JOBS MAR 15'!$E$8:$E$525,$E$16:$E$533,'[1]JOBS MAR 15'!$H$8:$H$525)</f>
        <v>#VALUE!</v>
      </c>
      <c r="V35" s="37" t="e">
        <f>SUMIF('[1]JOBS MAR 15'!$E$8:$E$525,$E$16:$E$533,'[1]JOBS MAR 15'!$I$8:$I$525)</f>
        <v>#VALUE!</v>
      </c>
      <c r="W35" s="55" t="str">
        <f t="shared" si="5"/>
        <v xml:space="preserve"> </v>
      </c>
    </row>
    <row r="36" spans="2:23" x14ac:dyDescent="0.2">
      <c r="B36">
        <v>75</v>
      </c>
      <c r="C36">
        <v>1</v>
      </c>
      <c r="D36" s="2" t="s">
        <v>119</v>
      </c>
      <c r="E36" s="50" t="s">
        <v>120</v>
      </c>
      <c r="F36" s="50">
        <v>2733480</v>
      </c>
      <c r="G36" s="50">
        <v>1</v>
      </c>
      <c r="H36" s="52" t="e">
        <f>SUMIF('[1]Build Detail'!$D$4:$D$521,$B$16:$B$533,'[1]Build Detail'!$H$4:$H$521)</f>
        <v>#VALUE!</v>
      </c>
      <c r="I36" s="52" t="e">
        <f>SUMIF('[1]Build Detail'!$D$4:$D$521,$B$16:$B$533,'[1]Build Detail'!$Q$4:$Q$521)</f>
        <v>#VALUE!</v>
      </c>
      <c r="J36" s="52" t="e">
        <f>SUMIF('[1]Build Detail'!$D$4:$D$521,$B$16:$B$533,'[1]Build Detail'!$T$4:$T$521)</f>
        <v>#VALUE!</v>
      </c>
      <c r="K36" s="53">
        <v>3879975.59</v>
      </c>
      <c r="L36" s="37">
        <f t="shared" si="6"/>
        <v>109418.52</v>
      </c>
      <c r="M36" s="37">
        <v>106537.86</v>
      </c>
      <c r="N36" s="38">
        <v>95884.07</v>
      </c>
      <c r="O36" s="37">
        <f t="shared" si="0"/>
        <v>13534.449999999997</v>
      </c>
      <c r="P36" s="54" t="e">
        <f t="shared" si="1"/>
        <v>#VALUE!</v>
      </c>
      <c r="Q36" s="40">
        <f t="shared" si="2"/>
        <v>0.12369432523854276</v>
      </c>
      <c r="R36" s="37">
        <f t="shared" si="3"/>
        <v>2880.6600000000035</v>
      </c>
      <c r="S36" s="41">
        <f t="shared" si="4"/>
        <v>2.7038838587521877E-2</v>
      </c>
      <c r="T36" s="37" t="e">
        <f>SUMIF('[1]JOBS MAR 15'!$E$8:$E$525,$E$16:$E$533,'[1]JOBS MAR 15'!$G$8:$G$525)</f>
        <v>#VALUE!</v>
      </c>
      <c r="U36" s="37" t="e">
        <f>SUMIF('[1]JOBS MAR 15'!$E$8:$E$525,$E$16:$E$533,'[1]JOBS MAR 15'!$H$8:$H$525)</f>
        <v>#VALUE!</v>
      </c>
      <c r="V36" s="37" t="e">
        <f>SUMIF('[1]JOBS MAR 15'!$E$8:$E$525,$E$16:$E$533,'[1]JOBS MAR 15'!$I$8:$I$525)</f>
        <v>#VALUE!</v>
      </c>
      <c r="W36" s="55" t="str">
        <f t="shared" si="5"/>
        <v xml:space="preserve"> </v>
      </c>
    </row>
    <row r="37" spans="2:23" x14ac:dyDescent="0.2">
      <c r="B37">
        <v>77</v>
      </c>
      <c r="C37">
        <v>1</v>
      </c>
      <c r="D37" s="2" t="s">
        <v>121</v>
      </c>
      <c r="E37" s="50" t="s">
        <v>122</v>
      </c>
      <c r="F37" s="50">
        <v>2718780</v>
      </c>
      <c r="G37" s="50">
        <v>1</v>
      </c>
      <c r="H37" s="52" t="e">
        <f>SUMIF('[1]Build Detail'!$D$4:$D$521,$B$16:$B$533,'[1]Build Detail'!$H$4:$H$521)</f>
        <v>#VALUE!</v>
      </c>
      <c r="I37" s="52" t="e">
        <f>SUMIF('[1]Build Detail'!$D$4:$D$521,$B$16:$B$533,'[1]Build Detail'!$Q$4:$Q$521)</f>
        <v>#VALUE!</v>
      </c>
      <c r="J37" s="52" t="e">
        <f>SUMIF('[1]Build Detail'!$D$4:$D$521,$B$16:$B$533,'[1]Build Detail'!$T$4:$T$521)</f>
        <v>#VALUE!</v>
      </c>
      <c r="K37" s="53">
        <v>50958810.480000004</v>
      </c>
      <c r="L37" s="37">
        <f t="shared" si="6"/>
        <v>1437080.59</v>
      </c>
      <c r="M37" s="37">
        <v>1434831.1</v>
      </c>
      <c r="N37" s="38">
        <v>1291347.99</v>
      </c>
      <c r="O37" s="37">
        <f t="shared" si="0"/>
        <v>145732.60000000009</v>
      </c>
      <c r="P37" s="54" t="e">
        <f t="shared" si="1"/>
        <v>#VALUE!</v>
      </c>
      <c r="Q37" s="40">
        <f t="shared" si="2"/>
        <v>0.10140878738053243</v>
      </c>
      <c r="R37" s="37">
        <f t="shared" si="3"/>
        <v>2249.4899999999907</v>
      </c>
      <c r="S37" s="41">
        <f t="shared" si="4"/>
        <v>1.567773377647021E-3</v>
      </c>
      <c r="T37" s="37" t="e">
        <f>SUMIF('[1]JOBS MAR 15'!$E$8:$E$525,$E$16:$E$533,'[1]JOBS MAR 15'!$G$8:$G$525)</f>
        <v>#VALUE!</v>
      </c>
      <c r="U37" s="37" t="e">
        <f>SUMIF('[1]JOBS MAR 15'!$E$8:$E$525,$E$16:$E$533,'[1]JOBS MAR 15'!$H$8:$H$525)</f>
        <v>#VALUE!</v>
      </c>
      <c r="V37" s="37" t="e">
        <f>SUMIF('[1]JOBS MAR 15'!$E$8:$E$525,$E$16:$E$533,'[1]JOBS MAR 15'!$I$8:$I$525)</f>
        <v>#VALUE!</v>
      </c>
      <c r="W37" s="55" t="str">
        <f t="shared" si="5"/>
        <v xml:space="preserve"> </v>
      </c>
    </row>
    <row r="38" spans="2:23" x14ac:dyDescent="0.2">
      <c r="B38">
        <v>81</v>
      </c>
      <c r="C38">
        <v>1</v>
      </c>
      <c r="D38" s="2" t="s">
        <v>123</v>
      </c>
      <c r="E38" s="50" t="s">
        <v>124</v>
      </c>
      <c r="F38" s="50">
        <v>2709540</v>
      </c>
      <c r="G38" s="50">
        <v>1</v>
      </c>
      <c r="H38" s="52" t="e">
        <f>SUMIF('[1]Build Detail'!$D$4:$D$521,$B$16:$B$533,'[1]Build Detail'!$H$4:$H$521)</f>
        <v>#VALUE!</v>
      </c>
      <c r="I38" s="52" t="e">
        <f>SUMIF('[1]Build Detail'!$D$4:$D$521,$B$16:$B$533,'[1]Build Detail'!$Q$4:$Q$521)</f>
        <v>#VALUE!</v>
      </c>
      <c r="J38" s="52" t="e">
        <f>SUMIF('[1]Build Detail'!$D$4:$D$521,$B$16:$B$533,'[1]Build Detail'!$T$4:$T$521)</f>
        <v>#VALUE!</v>
      </c>
      <c r="K38" s="53">
        <v>1239457.92</v>
      </c>
      <c r="L38" s="37">
        <f t="shared" si="6"/>
        <v>34953.74</v>
      </c>
      <c r="M38" s="37">
        <v>34939.75</v>
      </c>
      <c r="N38" s="38">
        <v>31445.78</v>
      </c>
      <c r="O38" s="37">
        <f t="shared" si="0"/>
        <v>3507.9599999999991</v>
      </c>
      <c r="P38" s="54" t="e">
        <f t="shared" si="1"/>
        <v>#VALUE!</v>
      </c>
      <c r="Q38" s="40">
        <f t="shared" si="2"/>
        <v>0.10036007591748407</v>
      </c>
      <c r="R38" s="37">
        <f t="shared" si="3"/>
        <v>13.989999999997963</v>
      </c>
      <c r="S38" s="41">
        <f t="shared" si="4"/>
        <v>4.0040355182844646E-4</v>
      </c>
      <c r="T38" s="37" t="e">
        <f>SUMIF('[1]JOBS MAR 15'!$E$8:$E$525,$E$16:$E$533,'[1]JOBS MAR 15'!$G$8:$G$525)</f>
        <v>#VALUE!</v>
      </c>
      <c r="U38" s="37" t="e">
        <f>SUMIF('[1]JOBS MAR 15'!$E$8:$E$525,$E$16:$E$533,'[1]JOBS MAR 15'!$H$8:$H$525)</f>
        <v>#VALUE!</v>
      </c>
      <c r="V38" s="37" t="e">
        <f>SUMIF('[1]JOBS MAR 15'!$E$8:$E$525,$E$16:$E$533,'[1]JOBS MAR 15'!$I$8:$I$525)</f>
        <v>#VALUE!</v>
      </c>
      <c r="W38" s="55" t="str">
        <f t="shared" si="5"/>
        <v xml:space="preserve"> </v>
      </c>
    </row>
    <row r="39" spans="2:23" x14ac:dyDescent="0.2">
      <c r="B39">
        <v>84</v>
      </c>
      <c r="C39">
        <v>1</v>
      </c>
      <c r="D39" s="2" t="s">
        <v>125</v>
      </c>
      <c r="E39" s="50" t="s">
        <v>126</v>
      </c>
      <c r="F39" s="50">
        <v>2733210</v>
      </c>
      <c r="G39" s="50">
        <v>1</v>
      </c>
      <c r="H39" s="52" t="e">
        <f>SUMIF('[1]Build Detail'!$D$4:$D$521,$B$16:$B$533,'[1]Build Detail'!$H$4:$H$521)</f>
        <v>#VALUE!</v>
      </c>
      <c r="I39" s="52" t="e">
        <f>SUMIF('[1]Build Detail'!$D$4:$D$521,$B$16:$B$533,'[1]Build Detail'!$Q$4:$Q$521)</f>
        <v>#VALUE!</v>
      </c>
      <c r="J39" s="52" t="e">
        <f>SUMIF('[1]Build Detail'!$D$4:$D$521,$B$16:$B$533,'[1]Build Detail'!$T$4:$T$521)</f>
        <v>#VALUE!</v>
      </c>
      <c r="K39" s="53">
        <v>4541281.169999999</v>
      </c>
      <c r="L39" s="37">
        <f t="shared" si="6"/>
        <v>128067.88</v>
      </c>
      <c r="M39" s="37">
        <v>127207.93</v>
      </c>
      <c r="N39" s="38">
        <v>114487.14</v>
      </c>
      <c r="O39" s="37">
        <f t="shared" si="0"/>
        <v>13580.740000000005</v>
      </c>
      <c r="P39" s="54" t="e">
        <f t="shared" si="1"/>
        <v>#VALUE!</v>
      </c>
      <c r="Q39" s="40">
        <f t="shared" si="2"/>
        <v>0.10604329516503283</v>
      </c>
      <c r="R39" s="37">
        <f t="shared" si="3"/>
        <v>859.95000000001164</v>
      </c>
      <c r="S39" s="41">
        <f t="shared" si="4"/>
        <v>6.760191758485589E-3</v>
      </c>
      <c r="T39" s="37" t="e">
        <f>SUMIF('[1]JOBS MAR 15'!$E$8:$E$525,$E$16:$E$533,'[1]JOBS MAR 15'!$G$8:$G$525)</f>
        <v>#VALUE!</v>
      </c>
      <c r="U39" s="37" t="e">
        <f>SUMIF('[1]JOBS MAR 15'!$E$8:$E$525,$E$16:$E$533,'[1]JOBS MAR 15'!$H$8:$H$525)</f>
        <v>#VALUE!</v>
      </c>
      <c r="V39" s="37" t="e">
        <f>SUMIF('[1]JOBS MAR 15'!$E$8:$E$525,$E$16:$E$533,'[1]JOBS MAR 15'!$I$8:$I$525)</f>
        <v>#VALUE!</v>
      </c>
      <c r="W39" s="55" t="str">
        <f t="shared" si="5"/>
        <v xml:space="preserve"> </v>
      </c>
    </row>
    <row r="40" spans="2:23" x14ac:dyDescent="0.2">
      <c r="B40">
        <v>85</v>
      </c>
      <c r="C40">
        <v>1</v>
      </c>
      <c r="D40" s="2" t="s">
        <v>127</v>
      </c>
      <c r="E40" s="50" t="s">
        <v>128</v>
      </c>
      <c r="F40" s="50">
        <v>2733390</v>
      </c>
      <c r="G40" s="50">
        <v>1</v>
      </c>
      <c r="H40" s="52" t="e">
        <f>SUMIF('[1]Build Detail'!$D$4:$D$521,$B$16:$B$533,'[1]Build Detail'!$H$4:$H$521)</f>
        <v>#VALUE!</v>
      </c>
      <c r="I40" s="52" t="e">
        <f>SUMIF('[1]Build Detail'!$D$4:$D$521,$B$16:$B$533,'[1]Build Detail'!$Q$4:$Q$521)</f>
        <v>#VALUE!</v>
      </c>
      <c r="J40" s="52" t="e">
        <f>SUMIF('[1]Build Detail'!$D$4:$D$521,$B$16:$B$533,'[1]Build Detail'!$T$4:$T$521)</f>
        <v>#VALUE!</v>
      </c>
      <c r="K40" s="53">
        <v>4300396.0100000007</v>
      </c>
      <c r="L40" s="37">
        <f t="shared" si="6"/>
        <v>121274.72</v>
      </c>
      <c r="M40" s="37">
        <v>121370.55</v>
      </c>
      <c r="N40" s="38">
        <v>109233.5</v>
      </c>
      <c r="O40" s="37">
        <f t="shared" si="0"/>
        <v>12041.220000000001</v>
      </c>
      <c r="P40" s="54" t="e">
        <f t="shared" si="1"/>
        <v>#VALUE!</v>
      </c>
      <c r="Q40" s="40">
        <f t="shared" si="2"/>
        <v>9.9288788298171296E-2</v>
      </c>
      <c r="R40" s="37">
        <f t="shared" si="3"/>
        <v>-95.830000000001746</v>
      </c>
      <c r="S40" s="41">
        <f t="shared" si="4"/>
        <v>-7.8956550827199632E-4</v>
      </c>
      <c r="T40" s="37" t="e">
        <f>SUMIF('[1]JOBS MAR 15'!$E$8:$E$525,$E$16:$E$533,'[1]JOBS MAR 15'!$G$8:$G$525)</f>
        <v>#VALUE!</v>
      </c>
      <c r="U40" s="37" t="e">
        <f>SUMIF('[1]JOBS MAR 15'!$E$8:$E$525,$E$16:$E$533,'[1]JOBS MAR 15'!$H$8:$H$525)</f>
        <v>#VALUE!</v>
      </c>
      <c r="V40" s="37" t="e">
        <f>SUMIF('[1]JOBS MAR 15'!$E$8:$E$525,$E$16:$E$533,'[1]JOBS MAR 15'!$I$8:$I$525)</f>
        <v>#VALUE!</v>
      </c>
      <c r="W40" s="55" t="str">
        <f t="shared" si="5"/>
        <v xml:space="preserve"> </v>
      </c>
    </row>
    <row r="41" spans="2:23" x14ac:dyDescent="0.2">
      <c r="B41">
        <v>88</v>
      </c>
      <c r="C41">
        <v>1</v>
      </c>
      <c r="D41" s="2" t="s">
        <v>129</v>
      </c>
      <c r="E41" s="50" t="s">
        <v>130</v>
      </c>
      <c r="F41" s="50">
        <v>2723490</v>
      </c>
      <c r="G41" s="50">
        <v>1</v>
      </c>
      <c r="H41" s="52" t="e">
        <f>SUMIF('[1]Build Detail'!$D$4:$D$521,$B$16:$B$533,'[1]Build Detail'!$H$4:$H$521)</f>
        <v>#VALUE!</v>
      </c>
      <c r="I41" s="52" t="e">
        <f>SUMIF('[1]Build Detail'!$D$4:$D$521,$B$16:$B$533,'[1]Build Detail'!$Q$4:$Q$521)</f>
        <v>#VALUE!</v>
      </c>
      <c r="J41" s="52" t="e">
        <f>SUMIF('[1]Build Detail'!$D$4:$D$521,$B$16:$B$533,'[1]Build Detail'!$T$4:$T$521)</f>
        <v>#VALUE!</v>
      </c>
      <c r="K41" s="53">
        <v>13298984.610000001</v>
      </c>
      <c r="L41" s="37">
        <f t="shared" si="6"/>
        <v>375042.36</v>
      </c>
      <c r="M41" s="37">
        <v>370596.2</v>
      </c>
      <c r="N41" s="38">
        <v>333536.58</v>
      </c>
      <c r="O41" s="37">
        <f t="shared" si="0"/>
        <v>41505.77999999997</v>
      </c>
      <c r="P41" s="54" t="e">
        <f t="shared" si="1"/>
        <v>#VALUE!</v>
      </c>
      <c r="Q41" s="40">
        <f t="shared" si="2"/>
        <v>0.1106695787643827</v>
      </c>
      <c r="R41" s="37">
        <f t="shared" si="3"/>
        <v>4446.1599999999744</v>
      </c>
      <c r="S41" s="41">
        <f t="shared" si="4"/>
        <v>1.1997316756081077E-2</v>
      </c>
      <c r="T41" s="37" t="e">
        <f>SUMIF('[1]JOBS MAR 15'!$E$8:$E$525,$E$16:$E$533,'[1]JOBS MAR 15'!$G$8:$G$525)</f>
        <v>#VALUE!</v>
      </c>
      <c r="U41" s="37" t="e">
        <f>SUMIF('[1]JOBS MAR 15'!$E$8:$E$525,$E$16:$E$533,'[1]JOBS MAR 15'!$H$8:$H$525)</f>
        <v>#VALUE!</v>
      </c>
      <c r="V41" s="37" t="e">
        <f>SUMIF('[1]JOBS MAR 15'!$E$8:$E$525,$E$16:$E$533,'[1]JOBS MAR 15'!$I$8:$I$525)</f>
        <v>#VALUE!</v>
      </c>
      <c r="W41" s="55" t="str">
        <f t="shared" si="5"/>
        <v xml:space="preserve"> </v>
      </c>
    </row>
    <row r="42" spans="2:23" x14ac:dyDescent="0.2">
      <c r="B42">
        <v>91</v>
      </c>
      <c r="C42">
        <v>1</v>
      </c>
      <c r="D42" s="2" t="s">
        <v>131</v>
      </c>
      <c r="E42" s="50" t="s">
        <v>132</v>
      </c>
      <c r="F42" s="50">
        <v>2703690</v>
      </c>
      <c r="G42" s="50">
        <v>8</v>
      </c>
      <c r="H42" s="52" t="e">
        <f>SUMIF('[1]Build Detail'!$D$4:$D$521,$B$16:$B$533,'[1]Build Detail'!$H$4:$H$521)</f>
        <v>#VALUE!</v>
      </c>
      <c r="I42" s="52" t="e">
        <f>SUMIF('[1]Build Detail'!$D$4:$D$521,$B$16:$B$533,'[1]Build Detail'!$Q$4:$Q$521)</f>
        <v>#VALUE!</v>
      </c>
      <c r="J42" s="52" t="e">
        <f>SUMIF('[1]Build Detail'!$D$4:$D$521,$B$16:$B$533,'[1]Build Detail'!$T$4:$T$521)</f>
        <v>#VALUE!</v>
      </c>
      <c r="K42" s="53">
        <v>5495824.8600000003</v>
      </c>
      <c r="L42" s="37">
        <f t="shared" si="6"/>
        <v>154986.81</v>
      </c>
      <c r="M42" s="37">
        <v>154935.88</v>
      </c>
      <c r="N42" s="38">
        <v>139442.29</v>
      </c>
      <c r="O42" s="37">
        <f t="shared" si="0"/>
        <v>15544.51999999999</v>
      </c>
      <c r="P42" s="54" t="e">
        <f t="shared" si="1"/>
        <v>#VALUE!</v>
      </c>
      <c r="Q42" s="40">
        <f t="shared" si="2"/>
        <v>0.10029576065214833</v>
      </c>
      <c r="R42" s="37">
        <f t="shared" si="3"/>
        <v>50.929999999993015</v>
      </c>
      <c r="S42" s="41">
        <f t="shared" si="4"/>
        <v>3.2871662780753567E-4</v>
      </c>
      <c r="T42" s="37" t="e">
        <f>SUMIF('[1]JOBS MAR 15'!$E$8:$E$525,$E$16:$E$533,'[1]JOBS MAR 15'!$G$8:$G$525)</f>
        <v>#VALUE!</v>
      </c>
      <c r="U42" s="37" t="e">
        <f>SUMIF('[1]JOBS MAR 15'!$E$8:$E$525,$E$16:$E$533,'[1]JOBS MAR 15'!$H$8:$H$525)</f>
        <v>#VALUE!</v>
      </c>
      <c r="V42" s="37" t="e">
        <f>SUMIF('[1]JOBS MAR 15'!$E$8:$E$525,$E$16:$E$533,'[1]JOBS MAR 15'!$I$8:$I$525)</f>
        <v>#VALUE!</v>
      </c>
      <c r="W42" s="55" t="str">
        <f t="shared" si="5"/>
        <v xml:space="preserve"> </v>
      </c>
    </row>
    <row r="43" spans="2:23" x14ac:dyDescent="0.2">
      <c r="B43">
        <v>93</v>
      </c>
      <c r="C43">
        <v>1</v>
      </c>
      <c r="D43" s="2" t="s">
        <v>133</v>
      </c>
      <c r="E43" s="50" t="s">
        <v>134</v>
      </c>
      <c r="F43" s="50">
        <v>2707590</v>
      </c>
      <c r="G43" s="50">
        <v>8</v>
      </c>
      <c r="H43" s="52" t="e">
        <f>SUMIF('[1]Build Detail'!$D$4:$D$521,$B$16:$B$533,'[1]Build Detail'!$H$4:$H$521)</f>
        <v>#VALUE!</v>
      </c>
      <c r="I43" s="52" t="e">
        <f>SUMIF('[1]Build Detail'!$D$4:$D$521,$B$16:$B$533,'[1]Build Detail'!$Q$4:$Q$521)</f>
        <v>#VALUE!</v>
      </c>
      <c r="J43" s="52" t="e">
        <f>SUMIF('[1]Build Detail'!$D$4:$D$521,$B$16:$B$533,'[1]Build Detail'!$T$4:$T$521)</f>
        <v>#VALUE!</v>
      </c>
      <c r="K43" s="53">
        <v>3246353.8200000003</v>
      </c>
      <c r="L43" s="37">
        <f t="shared" si="6"/>
        <v>91549.86</v>
      </c>
      <c r="M43" s="37">
        <v>90969.66</v>
      </c>
      <c r="N43" s="38">
        <v>81872.69</v>
      </c>
      <c r="O43" s="37">
        <f t="shared" si="0"/>
        <v>9677.1699999999983</v>
      </c>
      <c r="P43" s="54" t="e">
        <f t="shared" si="1"/>
        <v>#VALUE!</v>
      </c>
      <c r="Q43" s="40">
        <f t="shared" si="2"/>
        <v>0.10570382084691335</v>
      </c>
      <c r="R43" s="37">
        <f t="shared" si="3"/>
        <v>580.19999999999709</v>
      </c>
      <c r="S43" s="41">
        <f t="shared" si="4"/>
        <v>6.3779506266154785E-3</v>
      </c>
      <c r="T43" s="37" t="e">
        <f>SUMIF('[1]JOBS MAR 15'!$E$8:$E$525,$E$16:$E$533,'[1]JOBS MAR 15'!$G$8:$G$525)</f>
        <v>#VALUE!</v>
      </c>
      <c r="U43" s="37" t="e">
        <f>SUMIF('[1]JOBS MAR 15'!$E$8:$E$525,$E$16:$E$533,'[1]JOBS MAR 15'!$H$8:$H$525)</f>
        <v>#VALUE!</v>
      </c>
      <c r="V43" s="37" t="e">
        <f>SUMIF('[1]JOBS MAR 15'!$E$8:$E$525,$E$16:$E$533,'[1]JOBS MAR 15'!$I$8:$I$525)</f>
        <v>#VALUE!</v>
      </c>
      <c r="W43" s="55" t="str">
        <f t="shared" si="5"/>
        <v xml:space="preserve"> </v>
      </c>
    </row>
    <row r="44" spans="2:23" x14ac:dyDescent="0.2">
      <c r="B44">
        <v>94</v>
      </c>
      <c r="C44">
        <v>1</v>
      </c>
      <c r="D44" s="2" t="s">
        <v>135</v>
      </c>
      <c r="E44" s="50" t="s">
        <v>136</v>
      </c>
      <c r="F44" s="50">
        <v>2709420</v>
      </c>
      <c r="G44" s="50">
        <v>8</v>
      </c>
      <c r="H44" s="52" t="e">
        <f>SUMIF('[1]Build Detail'!$D$4:$D$521,$B$16:$B$533,'[1]Build Detail'!$H$4:$H$521)</f>
        <v>#VALUE!</v>
      </c>
      <c r="I44" s="52" t="e">
        <f>SUMIF('[1]Build Detail'!$D$4:$D$521,$B$16:$B$533,'[1]Build Detail'!$Q$4:$Q$521)</f>
        <v>#VALUE!</v>
      </c>
      <c r="J44" s="52" t="e">
        <f>SUMIF('[1]Build Detail'!$D$4:$D$521,$B$16:$B$533,'[1]Build Detail'!$T$4:$T$521)</f>
        <v>#VALUE!</v>
      </c>
      <c r="K44" s="53">
        <v>20188868.889999997</v>
      </c>
      <c r="L44" s="37">
        <f t="shared" si="6"/>
        <v>569342.80000000005</v>
      </c>
      <c r="M44" s="37">
        <v>565290.44999999995</v>
      </c>
      <c r="N44" s="38">
        <v>508761.41</v>
      </c>
      <c r="O44" s="37">
        <f t="shared" si="0"/>
        <v>60581.390000000072</v>
      </c>
      <c r="P44" s="54" t="e">
        <f t="shared" si="1"/>
        <v>#VALUE!</v>
      </c>
      <c r="Q44" s="40">
        <f t="shared" si="2"/>
        <v>0.10640582439964125</v>
      </c>
      <c r="R44" s="37">
        <f t="shared" si="3"/>
        <v>4052.3500000000931</v>
      </c>
      <c r="S44" s="41">
        <f t="shared" si="4"/>
        <v>7.1686157089688911E-3</v>
      </c>
      <c r="T44" s="37" t="e">
        <f>SUMIF('[1]JOBS MAR 15'!$E$8:$E$525,$E$16:$E$533,'[1]JOBS MAR 15'!$G$8:$G$525)</f>
        <v>#VALUE!</v>
      </c>
      <c r="U44" s="37" t="e">
        <f>SUMIF('[1]JOBS MAR 15'!$E$8:$E$525,$E$16:$E$533,'[1]JOBS MAR 15'!$H$8:$H$525)</f>
        <v>#VALUE!</v>
      </c>
      <c r="V44" s="37" t="e">
        <f>SUMIF('[1]JOBS MAR 15'!$E$8:$E$525,$E$16:$E$533,'[1]JOBS MAR 15'!$I$8:$I$525)</f>
        <v>#VALUE!</v>
      </c>
      <c r="W44" s="55" t="str">
        <f t="shared" si="5"/>
        <v xml:space="preserve"> </v>
      </c>
    </row>
    <row r="45" spans="2:23" x14ac:dyDescent="0.2">
      <c r="B45">
        <v>95</v>
      </c>
      <c r="C45">
        <v>1</v>
      </c>
      <c r="D45" s="2" t="s">
        <v>137</v>
      </c>
      <c r="E45" s="50" t="s">
        <v>138</v>
      </c>
      <c r="F45" s="50">
        <v>2709690</v>
      </c>
      <c r="G45" s="50">
        <v>8</v>
      </c>
      <c r="H45" s="52" t="e">
        <f>SUMIF('[1]Build Detail'!$D$4:$D$521,$B$16:$B$533,'[1]Build Detail'!$H$4:$H$521)</f>
        <v>#VALUE!</v>
      </c>
      <c r="I45" s="52" t="e">
        <f>SUMIF('[1]Build Detail'!$D$4:$D$521,$B$16:$B$533,'[1]Build Detail'!$Q$4:$Q$521)</f>
        <v>#VALUE!</v>
      </c>
      <c r="J45" s="52" t="e">
        <f>SUMIF('[1]Build Detail'!$D$4:$D$521,$B$16:$B$533,'[1]Build Detail'!$T$4:$T$521)</f>
        <v>#VALUE!</v>
      </c>
      <c r="K45" s="53">
        <v>2445704.98</v>
      </c>
      <c r="L45" s="37">
        <f t="shared" si="6"/>
        <v>68970.899999999994</v>
      </c>
      <c r="M45" s="37">
        <v>68343.490000000005</v>
      </c>
      <c r="N45" s="38">
        <v>61509.14</v>
      </c>
      <c r="O45" s="37">
        <f t="shared" si="0"/>
        <v>7461.7599999999948</v>
      </c>
      <c r="P45" s="54" t="e">
        <f t="shared" si="1"/>
        <v>#VALUE!</v>
      </c>
      <c r="Q45" s="40">
        <f t="shared" si="2"/>
        <v>0.10818707599871823</v>
      </c>
      <c r="R45" s="37">
        <f t="shared" si="3"/>
        <v>627.40999999998894</v>
      </c>
      <c r="S45" s="41">
        <f t="shared" si="4"/>
        <v>9.1802452581802429E-3</v>
      </c>
      <c r="T45" s="37" t="e">
        <f>SUMIF('[1]JOBS MAR 15'!$E$8:$E$525,$E$16:$E$533,'[1]JOBS MAR 15'!$G$8:$G$525)</f>
        <v>#VALUE!</v>
      </c>
      <c r="U45" s="37" t="e">
        <f>SUMIF('[1]JOBS MAR 15'!$E$8:$E$525,$E$16:$E$533,'[1]JOBS MAR 15'!$H$8:$H$525)</f>
        <v>#VALUE!</v>
      </c>
      <c r="V45" s="37" t="e">
        <f>SUMIF('[1]JOBS MAR 15'!$E$8:$E$525,$E$16:$E$533,'[1]JOBS MAR 15'!$I$8:$I$525)</f>
        <v>#VALUE!</v>
      </c>
      <c r="W45" s="55" t="str">
        <f t="shared" si="5"/>
        <v xml:space="preserve"> </v>
      </c>
    </row>
    <row r="46" spans="2:23" x14ac:dyDescent="0.2">
      <c r="B46">
        <v>97</v>
      </c>
      <c r="C46">
        <v>1</v>
      </c>
      <c r="D46" s="2" t="s">
        <v>139</v>
      </c>
      <c r="E46" s="50" t="s">
        <v>140</v>
      </c>
      <c r="F46" s="50">
        <v>2721450</v>
      </c>
      <c r="G46" s="50">
        <v>8</v>
      </c>
      <c r="H46" s="52" t="e">
        <f>SUMIF('[1]Build Detail'!$D$4:$D$521,$B$16:$B$533,'[1]Build Detail'!$H$4:$H$521)</f>
        <v>#VALUE!</v>
      </c>
      <c r="I46" s="52" t="e">
        <f>SUMIF('[1]Build Detail'!$D$4:$D$521,$B$16:$B$533,'[1]Build Detail'!$Q$4:$Q$521)</f>
        <v>#VALUE!</v>
      </c>
      <c r="J46" s="52" t="e">
        <f>SUMIF('[1]Build Detail'!$D$4:$D$521,$B$16:$B$533,'[1]Build Detail'!$T$4:$T$521)</f>
        <v>#VALUE!</v>
      </c>
      <c r="K46" s="53">
        <v>5022533.4800000004</v>
      </c>
      <c r="L46" s="37">
        <f t="shared" si="6"/>
        <v>141639.6</v>
      </c>
      <c r="M46" s="37">
        <v>141287.95000000001</v>
      </c>
      <c r="N46" s="38">
        <v>127159.16</v>
      </c>
      <c r="O46" s="37">
        <f t="shared" si="0"/>
        <v>14480.440000000002</v>
      </c>
      <c r="P46" s="54" t="e">
        <f t="shared" si="1"/>
        <v>#VALUE!</v>
      </c>
      <c r="Q46" s="40">
        <f t="shared" si="2"/>
        <v>0.10223440337306799</v>
      </c>
      <c r="R46" s="37">
        <f t="shared" si="3"/>
        <v>351.64999999999418</v>
      </c>
      <c r="S46" s="41">
        <f t="shared" si="4"/>
        <v>2.4888888259755639E-3</v>
      </c>
      <c r="T46" s="37" t="e">
        <f>SUMIF('[1]JOBS MAR 15'!$E$8:$E$525,$E$16:$E$533,'[1]JOBS MAR 15'!$G$8:$G$525)</f>
        <v>#VALUE!</v>
      </c>
      <c r="U46" s="37" t="e">
        <f>SUMIF('[1]JOBS MAR 15'!$E$8:$E$525,$E$16:$E$533,'[1]JOBS MAR 15'!$H$8:$H$525)</f>
        <v>#VALUE!</v>
      </c>
      <c r="V46" s="37" t="e">
        <f>SUMIF('[1]JOBS MAR 15'!$E$8:$E$525,$E$16:$E$533,'[1]JOBS MAR 15'!$I$8:$I$525)</f>
        <v>#VALUE!</v>
      </c>
      <c r="W46" s="55" t="str">
        <f t="shared" si="5"/>
        <v xml:space="preserve"> </v>
      </c>
    </row>
    <row r="47" spans="2:23" x14ac:dyDescent="0.2">
      <c r="B47">
        <v>99</v>
      </c>
      <c r="C47">
        <v>1</v>
      </c>
      <c r="D47" s="2" t="s">
        <v>141</v>
      </c>
      <c r="E47" s="50" t="s">
        <v>142</v>
      </c>
      <c r="F47" s="50">
        <v>2738880</v>
      </c>
      <c r="G47" s="50">
        <v>8</v>
      </c>
      <c r="H47" s="52" t="e">
        <f>SUMIF('[1]Build Detail'!$D$4:$D$521,$B$16:$B$533,'[1]Build Detail'!$H$4:$H$521)</f>
        <v>#VALUE!</v>
      </c>
      <c r="I47" s="52" t="e">
        <f>SUMIF('[1]Build Detail'!$D$4:$D$521,$B$16:$B$533,'[1]Build Detail'!$Q$4:$Q$521)</f>
        <v>#VALUE!</v>
      </c>
      <c r="J47" s="52" t="e">
        <f>SUMIF('[1]Build Detail'!$D$4:$D$521,$B$16:$B$533,'[1]Build Detail'!$T$4:$T$521)</f>
        <v>#VALUE!</v>
      </c>
      <c r="K47" s="53">
        <v>7885010.4900000002</v>
      </c>
      <c r="L47" s="37">
        <f t="shared" si="6"/>
        <v>222363.82</v>
      </c>
      <c r="M47" s="37">
        <v>221768.18</v>
      </c>
      <c r="N47" s="38">
        <v>199591.36</v>
      </c>
      <c r="O47" s="37">
        <f t="shared" si="0"/>
        <v>22772.460000000021</v>
      </c>
      <c r="P47" s="54" t="e">
        <f t="shared" si="1"/>
        <v>#VALUE!</v>
      </c>
      <c r="Q47" s="40">
        <f t="shared" si="2"/>
        <v>0.10241081485288399</v>
      </c>
      <c r="R47" s="37">
        <f t="shared" si="3"/>
        <v>595.64000000001397</v>
      </c>
      <c r="S47" s="41">
        <f t="shared" si="4"/>
        <v>2.6858677381038794E-3</v>
      </c>
      <c r="T47" s="37" t="e">
        <f>SUMIF('[1]JOBS MAR 15'!$E$8:$E$525,$E$16:$E$533,'[1]JOBS MAR 15'!$G$8:$G$525)</f>
        <v>#VALUE!</v>
      </c>
      <c r="U47" s="37" t="e">
        <f>SUMIF('[1]JOBS MAR 15'!$E$8:$E$525,$E$16:$E$533,'[1]JOBS MAR 15'!$H$8:$H$525)</f>
        <v>#VALUE!</v>
      </c>
      <c r="V47" s="37" t="e">
        <f>SUMIF('[1]JOBS MAR 15'!$E$8:$E$525,$E$16:$E$533,'[1]JOBS MAR 15'!$I$8:$I$525)</f>
        <v>#VALUE!</v>
      </c>
      <c r="W47" s="55" t="str">
        <f t="shared" si="5"/>
        <v xml:space="preserve"> </v>
      </c>
    </row>
    <row r="48" spans="2:23" x14ac:dyDescent="0.2">
      <c r="B48">
        <v>100</v>
      </c>
      <c r="C48">
        <v>1</v>
      </c>
      <c r="D48" s="2" t="s">
        <v>143</v>
      </c>
      <c r="E48" s="50" t="s">
        <v>144</v>
      </c>
      <c r="F48" s="50">
        <v>2744190</v>
      </c>
      <c r="G48" s="50">
        <v>8</v>
      </c>
      <c r="H48" s="52" t="e">
        <f>SUMIF('[1]Build Detail'!$D$4:$D$521,$B$16:$B$533,'[1]Build Detail'!$H$4:$H$521)</f>
        <v>#VALUE!</v>
      </c>
      <c r="I48" s="52" t="e">
        <f>SUMIF('[1]Build Detail'!$D$4:$D$521,$B$16:$B$533,'[1]Build Detail'!$Q$4:$Q$521)</f>
        <v>#VALUE!</v>
      </c>
      <c r="J48" s="52" t="e">
        <f>SUMIF('[1]Build Detail'!$D$4:$D$521,$B$16:$B$533,'[1]Build Detail'!$T$4:$T$521)</f>
        <v>#VALUE!</v>
      </c>
      <c r="K48" s="53">
        <v>2341921.4300000002</v>
      </c>
      <c r="L48" s="37">
        <f t="shared" si="6"/>
        <v>66044.12</v>
      </c>
      <c r="M48" s="37">
        <v>65106.53</v>
      </c>
      <c r="N48" s="38">
        <v>58595.88</v>
      </c>
      <c r="O48" s="37">
        <f t="shared" si="0"/>
        <v>7448.239999999998</v>
      </c>
      <c r="P48" s="54" t="e">
        <f t="shared" si="1"/>
        <v>#VALUE!</v>
      </c>
      <c r="Q48" s="40">
        <f t="shared" si="2"/>
        <v>0.11277673167573432</v>
      </c>
      <c r="R48" s="37">
        <f t="shared" si="3"/>
        <v>937.58999999999651</v>
      </c>
      <c r="S48" s="41">
        <f t="shared" si="4"/>
        <v>1.4400859637274426E-2</v>
      </c>
      <c r="T48" s="37" t="e">
        <f>SUMIF('[1]JOBS MAR 15'!$E$8:$E$525,$E$16:$E$533,'[1]JOBS MAR 15'!$G$8:$G$525)</f>
        <v>#VALUE!</v>
      </c>
      <c r="U48" s="37" t="e">
        <f>SUMIF('[1]JOBS MAR 15'!$E$8:$E$525,$E$16:$E$533,'[1]JOBS MAR 15'!$H$8:$H$525)</f>
        <v>#VALUE!</v>
      </c>
      <c r="V48" s="37" t="e">
        <f>SUMIF('[1]JOBS MAR 15'!$E$8:$E$525,$E$16:$E$533,'[1]JOBS MAR 15'!$I$8:$I$525)</f>
        <v>#VALUE!</v>
      </c>
      <c r="W48" s="55" t="str">
        <f t="shared" si="5"/>
        <v xml:space="preserve"> </v>
      </c>
    </row>
    <row r="49" spans="2:23" x14ac:dyDescent="0.2">
      <c r="B49">
        <v>108</v>
      </c>
      <c r="C49">
        <v>1</v>
      </c>
      <c r="D49" s="2" t="s">
        <v>145</v>
      </c>
      <c r="E49" s="50" t="s">
        <v>146</v>
      </c>
      <c r="F49" s="50">
        <v>2723910</v>
      </c>
      <c r="G49" s="50">
        <v>2</v>
      </c>
      <c r="H49" s="52" t="e">
        <f>SUMIF('[1]Build Detail'!$D$4:$D$521,$B$16:$B$533,'[1]Build Detail'!$H$4:$H$521)</f>
        <v>#VALUE!</v>
      </c>
      <c r="I49" s="52" t="e">
        <f>SUMIF('[1]Build Detail'!$D$4:$D$521,$B$16:$B$533,'[1]Build Detail'!$Q$4:$Q$521)</f>
        <v>#VALUE!</v>
      </c>
      <c r="J49" s="52" t="e">
        <f>SUMIF('[1]Build Detail'!$D$4:$D$521,$B$16:$B$533,'[1]Build Detail'!$T$4:$T$521)</f>
        <v>#VALUE!</v>
      </c>
      <c r="K49" s="53">
        <v>6490997.3600000003</v>
      </c>
      <c r="L49" s="37">
        <f t="shared" si="6"/>
        <v>183051.49</v>
      </c>
      <c r="M49" s="37">
        <v>182960.53</v>
      </c>
      <c r="N49" s="38">
        <v>164664.48000000001</v>
      </c>
      <c r="O49" s="37">
        <f t="shared" si="0"/>
        <v>18387.00999999998</v>
      </c>
      <c r="P49" s="54" t="e">
        <f t="shared" si="1"/>
        <v>#VALUE!</v>
      </c>
      <c r="Q49" s="40">
        <f t="shared" si="2"/>
        <v>0.10044720204134903</v>
      </c>
      <c r="R49" s="37">
        <f t="shared" si="3"/>
        <v>90.959999999991851</v>
      </c>
      <c r="S49" s="41">
        <f t="shared" si="4"/>
        <v>4.9715640854337188E-4</v>
      </c>
      <c r="T49" s="37" t="e">
        <f>SUMIF('[1]JOBS MAR 15'!$E$8:$E$525,$E$16:$E$533,'[1]JOBS MAR 15'!$G$8:$G$525)</f>
        <v>#VALUE!</v>
      </c>
      <c r="U49" s="37" t="e">
        <f>SUMIF('[1]JOBS MAR 15'!$E$8:$E$525,$E$16:$E$533,'[1]JOBS MAR 15'!$H$8:$H$525)</f>
        <v>#VALUE!</v>
      </c>
      <c r="V49" s="37" t="e">
        <f>SUMIF('[1]JOBS MAR 15'!$E$8:$E$525,$E$16:$E$533,'[1]JOBS MAR 15'!$I$8:$I$525)</f>
        <v>#VALUE!</v>
      </c>
      <c r="W49" s="55" t="str">
        <f t="shared" si="5"/>
        <v xml:space="preserve"> </v>
      </c>
    </row>
    <row r="50" spans="2:23" x14ac:dyDescent="0.2">
      <c r="B50">
        <v>110</v>
      </c>
      <c r="C50">
        <v>1</v>
      </c>
      <c r="D50" s="2" t="s">
        <v>147</v>
      </c>
      <c r="E50" s="50" t="s">
        <v>148</v>
      </c>
      <c r="F50" s="50">
        <v>2741460</v>
      </c>
      <c r="G50" s="50">
        <v>2</v>
      </c>
      <c r="H50" s="52" t="e">
        <f>SUMIF('[1]Build Detail'!$D$4:$D$521,$B$16:$B$533,'[1]Build Detail'!$H$4:$H$521)</f>
        <v>#VALUE!</v>
      </c>
      <c r="I50" s="52" t="e">
        <f>SUMIF('[1]Build Detail'!$D$4:$D$521,$B$16:$B$533,'[1]Build Detail'!$Q$4:$Q$521)</f>
        <v>#VALUE!</v>
      </c>
      <c r="J50" s="52" t="e">
        <f>SUMIF('[1]Build Detail'!$D$4:$D$521,$B$16:$B$533,'[1]Build Detail'!$T$4:$T$521)</f>
        <v>#VALUE!</v>
      </c>
      <c r="K50" s="53">
        <v>20252928.200000003</v>
      </c>
      <c r="L50" s="37">
        <f t="shared" si="6"/>
        <v>571149.31999999995</v>
      </c>
      <c r="M50" s="37">
        <v>574194.06999999995</v>
      </c>
      <c r="N50" s="38">
        <v>516774.66</v>
      </c>
      <c r="O50" s="37">
        <f t="shared" si="0"/>
        <v>54374.659999999974</v>
      </c>
      <c r="P50" s="54" t="e">
        <f t="shared" si="1"/>
        <v>#VALUE!</v>
      </c>
      <c r="Q50" s="40">
        <f t="shared" si="2"/>
        <v>9.5202179353027994E-2</v>
      </c>
      <c r="R50" s="37">
        <f t="shared" si="3"/>
        <v>-3044.75</v>
      </c>
      <c r="S50" s="41">
        <f t="shared" si="4"/>
        <v>-5.3026496773120636E-3</v>
      </c>
      <c r="T50" s="37" t="e">
        <f>SUMIF('[1]JOBS MAR 15'!$E$8:$E$525,$E$16:$E$533,'[1]JOBS MAR 15'!$G$8:$G$525)</f>
        <v>#VALUE!</v>
      </c>
      <c r="U50" s="37" t="e">
        <f>SUMIF('[1]JOBS MAR 15'!$E$8:$E$525,$E$16:$E$533,'[1]JOBS MAR 15'!$H$8:$H$525)</f>
        <v>#VALUE!</v>
      </c>
      <c r="V50" s="37" t="e">
        <f>SUMIF('[1]JOBS MAR 15'!$E$8:$E$525,$E$16:$E$533,'[1]JOBS MAR 15'!$I$8:$I$525)</f>
        <v>#VALUE!</v>
      </c>
      <c r="W50" s="55" t="str">
        <f t="shared" si="5"/>
        <v xml:space="preserve"> </v>
      </c>
    </row>
    <row r="51" spans="2:23" x14ac:dyDescent="0.2">
      <c r="B51">
        <v>111</v>
      </c>
      <c r="C51">
        <v>1</v>
      </c>
      <c r="D51" s="2" t="s">
        <v>149</v>
      </c>
      <c r="E51" s="50" t="s">
        <v>150</v>
      </c>
      <c r="F51" s="50">
        <v>2741910</v>
      </c>
      <c r="G51" s="50">
        <v>2</v>
      </c>
      <c r="H51" s="52" t="e">
        <f>SUMIF('[1]Build Detail'!$D$4:$D$521,$B$16:$B$533,'[1]Build Detail'!$H$4:$H$521)</f>
        <v>#VALUE!</v>
      </c>
      <c r="I51" s="52" t="e">
        <f>SUMIF('[1]Build Detail'!$D$4:$D$521,$B$16:$B$533,'[1]Build Detail'!$Q$4:$Q$521)</f>
        <v>#VALUE!</v>
      </c>
      <c r="J51" s="52" t="e">
        <f>SUMIF('[1]Build Detail'!$D$4:$D$521,$B$16:$B$533,'[1]Build Detail'!$T$4:$T$521)</f>
        <v>#VALUE!</v>
      </c>
      <c r="K51" s="53">
        <v>10208211.450000003</v>
      </c>
      <c r="L51" s="37">
        <f t="shared" si="6"/>
        <v>287880</v>
      </c>
      <c r="M51" s="37">
        <v>287801.03000000003</v>
      </c>
      <c r="N51" s="38">
        <v>259020.93</v>
      </c>
      <c r="O51" s="37">
        <f t="shared" si="0"/>
        <v>28859.070000000007</v>
      </c>
      <c r="P51" s="54" t="e">
        <f t="shared" si="1"/>
        <v>#VALUE!</v>
      </c>
      <c r="Q51" s="40">
        <f t="shared" si="2"/>
        <v>0.10024687369737394</v>
      </c>
      <c r="R51" s="37">
        <f t="shared" si="3"/>
        <v>78.96999999997206</v>
      </c>
      <c r="S51" s="41">
        <f t="shared" si="4"/>
        <v>2.7439095683560289E-4</v>
      </c>
      <c r="T51" s="37" t="e">
        <f>SUMIF('[1]JOBS MAR 15'!$E$8:$E$525,$E$16:$E$533,'[1]JOBS MAR 15'!$G$8:$G$525)</f>
        <v>#VALUE!</v>
      </c>
      <c r="U51" s="37" t="e">
        <f>SUMIF('[1]JOBS MAR 15'!$E$8:$E$525,$E$16:$E$533,'[1]JOBS MAR 15'!$H$8:$H$525)</f>
        <v>#VALUE!</v>
      </c>
      <c r="V51" s="37" t="e">
        <f>SUMIF('[1]JOBS MAR 15'!$E$8:$E$525,$E$16:$E$533,'[1]JOBS MAR 15'!$I$8:$I$525)</f>
        <v>#VALUE!</v>
      </c>
      <c r="W51" s="55" t="str">
        <f t="shared" si="5"/>
        <v xml:space="preserve"> </v>
      </c>
    </row>
    <row r="52" spans="2:23" x14ac:dyDescent="0.2">
      <c r="B52">
        <v>112</v>
      </c>
      <c r="C52">
        <v>1</v>
      </c>
      <c r="D52" s="2" t="s">
        <v>151</v>
      </c>
      <c r="E52" s="50" t="s">
        <v>152</v>
      </c>
      <c r="F52" s="50">
        <v>2708190</v>
      </c>
      <c r="G52" s="50">
        <v>2</v>
      </c>
      <c r="H52" s="52" t="e">
        <f>SUMIF('[1]Build Detail'!$D$4:$D$521,$B$16:$B$533,'[1]Build Detail'!$H$4:$H$521)</f>
        <v>#VALUE!</v>
      </c>
      <c r="I52" s="52" t="e">
        <f>SUMIF('[1]Build Detail'!$D$4:$D$521,$B$16:$B$533,'[1]Build Detail'!$Q$4:$Q$521)</f>
        <v>#VALUE!</v>
      </c>
      <c r="J52" s="52" t="e">
        <f>SUMIF('[1]Build Detail'!$D$4:$D$521,$B$16:$B$533,'[1]Build Detail'!$T$4:$T$521)</f>
        <v>#VALUE!</v>
      </c>
      <c r="K52" s="53">
        <v>56963190.010000005</v>
      </c>
      <c r="L52" s="37">
        <f t="shared" si="6"/>
        <v>1606409.06</v>
      </c>
      <c r="M52" s="37">
        <v>1611051.07</v>
      </c>
      <c r="N52" s="38">
        <v>1449945.96</v>
      </c>
      <c r="O52" s="37">
        <f t="shared" si="0"/>
        <v>156463.10000000009</v>
      </c>
      <c r="P52" s="54" t="e">
        <f t="shared" si="1"/>
        <v>#VALUE!</v>
      </c>
      <c r="Q52" s="40">
        <f t="shared" si="2"/>
        <v>9.739928882124213E-2</v>
      </c>
      <c r="R52" s="37">
        <f t="shared" si="3"/>
        <v>-4642.0100000000093</v>
      </c>
      <c r="S52" s="41">
        <f t="shared" si="4"/>
        <v>-2.8813549653643254E-3</v>
      </c>
      <c r="T52" s="37" t="e">
        <f>SUMIF('[1]JOBS MAR 15'!$E$8:$E$525,$E$16:$E$533,'[1]JOBS MAR 15'!$G$8:$G$525)</f>
        <v>#VALUE!</v>
      </c>
      <c r="U52" s="37" t="e">
        <f>SUMIF('[1]JOBS MAR 15'!$E$8:$E$525,$E$16:$E$533,'[1]JOBS MAR 15'!$H$8:$H$525)</f>
        <v>#VALUE!</v>
      </c>
      <c r="V52" s="37" t="e">
        <f>SUMIF('[1]JOBS MAR 15'!$E$8:$E$525,$E$16:$E$533,'[1]JOBS MAR 15'!$I$8:$I$525)</f>
        <v>#VALUE!</v>
      </c>
      <c r="W52" s="55" t="str">
        <f t="shared" si="5"/>
        <v xml:space="preserve"> </v>
      </c>
    </row>
    <row r="53" spans="2:23" x14ac:dyDescent="0.2">
      <c r="B53">
        <v>113</v>
      </c>
      <c r="C53">
        <v>1</v>
      </c>
      <c r="D53" s="2" t="s">
        <v>153</v>
      </c>
      <c r="E53" s="50" t="s">
        <v>154</v>
      </c>
      <c r="F53" s="50">
        <v>2702910</v>
      </c>
      <c r="G53" s="50">
        <v>8</v>
      </c>
      <c r="H53" s="52" t="e">
        <f>SUMIF('[1]Build Detail'!$D$4:$D$521,$B$16:$B$533,'[1]Build Detail'!$H$4:$H$521)</f>
        <v>#VALUE!</v>
      </c>
      <c r="I53" s="52" t="e">
        <f>SUMIF('[1]Build Detail'!$D$4:$D$521,$B$16:$B$533,'[1]Build Detail'!$Q$4:$Q$521)</f>
        <v>#VALUE!</v>
      </c>
      <c r="J53" s="52" t="e">
        <f>SUMIF('[1]Build Detail'!$D$4:$D$521,$B$16:$B$533,'[1]Build Detail'!$T$4:$T$521)</f>
        <v>#VALUE!</v>
      </c>
      <c r="K53" s="53">
        <v>5878141.5</v>
      </c>
      <c r="L53" s="37">
        <f t="shared" si="6"/>
        <v>165768.45000000001</v>
      </c>
      <c r="M53" s="37">
        <v>166587.14000000001</v>
      </c>
      <c r="N53" s="38">
        <v>149928.43</v>
      </c>
      <c r="O53" s="37">
        <f t="shared" si="0"/>
        <v>15840.020000000019</v>
      </c>
      <c r="P53" s="54" t="e">
        <f t="shared" si="1"/>
        <v>#VALUE!</v>
      </c>
      <c r="Q53" s="40">
        <f t="shared" si="2"/>
        <v>9.5555095073881782E-2</v>
      </c>
      <c r="R53" s="37">
        <f t="shared" si="3"/>
        <v>-818.69000000000233</v>
      </c>
      <c r="S53" s="41">
        <f t="shared" si="4"/>
        <v>-4.9144849956605429E-3</v>
      </c>
      <c r="T53" s="37" t="e">
        <f>SUMIF('[1]JOBS MAR 15'!$E$8:$E$525,$E$16:$E$533,'[1]JOBS MAR 15'!$G$8:$G$525)</f>
        <v>#VALUE!</v>
      </c>
      <c r="U53" s="37" t="e">
        <f>SUMIF('[1]JOBS MAR 15'!$E$8:$E$525,$E$16:$E$533,'[1]JOBS MAR 15'!$H$8:$H$525)</f>
        <v>#VALUE!</v>
      </c>
      <c r="V53" s="37" t="e">
        <f>SUMIF('[1]JOBS MAR 15'!$E$8:$E$525,$E$16:$E$533,'[1]JOBS MAR 15'!$I$8:$I$525)</f>
        <v>#VALUE!</v>
      </c>
      <c r="W53" s="55" t="str">
        <f t="shared" si="5"/>
        <v xml:space="preserve"> </v>
      </c>
    </row>
    <row r="54" spans="2:23" x14ac:dyDescent="0.2">
      <c r="B54">
        <v>115</v>
      </c>
      <c r="C54">
        <v>1</v>
      </c>
      <c r="D54" s="2" t="s">
        <v>155</v>
      </c>
      <c r="E54" s="50" t="s">
        <v>156</v>
      </c>
      <c r="F54" s="50">
        <v>2708070</v>
      </c>
      <c r="G54" s="50">
        <v>8</v>
      </c>
      <c r="H54" s="52" t="e">
        <f>SUMIF('[1]Build Detail'!$D$4:$D$521,$B$16:$B$533,'[1]Build Detail'!$H$4:$H$521)</f>
        <v>#VALUE!</v>
      </c>
      <c r="I54" s="52" t="e">
        <f>SUMIF('[1]Build Detail'!$D$4:$D$521,$B$16:$B$533,'[1]Build Detail'!$Q$4:$Q$521)</f>
        <v>#VALUE!</v>
      </c>
      <c r="J54" s="52" t="e">
        <f>SUMIF('[1]Build Detail'!$D$4:$D$521,$B$16:$B$533,'[1]Build Detail'!$T$4:$T$521)</f>
        <v>#VALUE!</v>
      </c>
      <c r="K54" s="53">
        <v>11590568.060000002</v>
      </c>
      <c r="L54" s="37">
        <f t="shared" si="6"/>
        <v>326863.59999999998</v>
      </c>
      <c r="M54" s="37">
        <v>322230.53000000003</v>
      </c>
      <c r="N54" s="38">
        <v>290007.48</v>
      </c>
      <c r="O54" s="37">
        <f t="shared" si="0"/>
        <v>36856.119999999995</v>
      </c>
      <c r="P54" s="54" t="e">
        <f t="shared" si="1"/>
        <v>#VALUE!</v>
      </c>
      <c r="Q54" s="40">
        <f t="shared" si="2"/>
        <v>0.11275688085182932</v>
      </c>
      <c r="R54" s="37">
        <f t="shared" si="3"/>
        <v>4633.0699999999488</v>
      </c>
      <c r="S54" s="41">
        <f t="shared" si="4"/>
        <v>1.4378122395788966E-2</v>
      </c>
      <c r="T54" s="37" t="e">
        <f>SUMIF('[1]JOBS MAR 15'!$E$8:$E$525,$E$16:$E$533,'[1]JOBS MAR 15'!$G$8:$G$525)</f>
        <v>#VALUE!</v>
      </c>
      <c r="U54" s="37" t="e">
        <f>SUMIF('[1]JOBS MAR 15'!$E$8:$E$525,$E$16:$E$533,'[1]JOBS MAR 15'!$H$8:$H$525)</f>
        <v>#VALUE!</v>
      </c>
      <c r="V54" s="37" t="e">
        <f>SUMIF('[1]JOBS MAR 15'!$E$8:$E$525,$E$16:$E$533,'[1]JOBS MAR 15'!$I$8:$I$525)</f>
        <v>#VALUE!</v>
      </c>
      <c r="W54" s="55" t="str">
        <f t="shared" si="5"/>
        <v xml:space="preserve"> </v>
      </c>
    </row>
    <row r="55" spans="2:23" x14ac:dyDescent="0.2">
      <c r="B55">
        <v>116</v>
      </c>
      <c r="C55">
        <v>1</v>
      </c>
      <c r="D55" s="2" t="s">
        <v>157</v>
      </c>
      <c r="E55" s="50" t="s">
        <v>158</v>
      </c>
      <c r="F55" s="50">
        <v>2728350</v>
      </c>
      <c r="G55" s="50">
        <v>8</v>
      </c>
      <c r="H55" s="52" t="e">
        <f>SUMIF('[1]Build Detail'!$D$4:$D$521,$B$16:$B$533,'[1]Build Detail'!$H$4:$H$521)</f>
        <v>#VALUE!</v>
      </c>
      <c r="I55" s="52" t="e">
        <f>SUMIF('[1]Build Detail'!$D$4:$D$521,$B$16:$B$533,'[1]Build Detail'!$Q$4:$Q$521)</f>
        <v>#VALUE!</v>
      </c>
      <c r="J55" s="52" t="e">
        <f>SUMIF('[1]Build Detail'!$D$4:$D$521,$B$16:$B$533,'[1]Build Detail'!$T$4:$T$521)</f>
        <v>#VALUE!</v>
      </c>
      <c r="K55" s="53">
        <v>5900286.6200000001</v>
      </c>
      <c r="L55" s="37">
        <f t="shared" si="6"/>
        <v>166392.95999999999</v>
      </c>
      <c r="M55" s="37">
        <v>166582.65</v>
      </c>
      <c r="N55" s="38">
        <v>149924.39000000001</v>
      </c>
      <c r="O55" s="37">
        <f t="shared" si="0"/>
        <v>16468.569999999978</v>
      </c>
      <c r="P55" s="54" t="e">
        <f t="shared" si="1"/>
        <v>#VALUE!</v>
      </c>
      <c r="Q55" s="40">
        <f t="shared" si="2"/>
        <v>9.8973958994418867E-2</v>
      </c>
      <c r="R55" s="37">
        <f t="shared" si="3"/>
        <v>-189.69000000000233</v>
      </c>
      <c r="S55" s="41">
        <f t="shared" si="4"/>
        <v>-1.1387140257403897E-3</v>
      </c>
      <c r="T55" s="37" t="e">
        <f>SUMIF('[1]JOBS MAR 15'!$E$8:$E$525,$E$16:$E$533,'[1]JOBS MAR 15'!$G$8:$G$525)</f>
        <v>#VALUE!</v>
      </c>
      <c r="U55" s="37" t="e">
        <f>SUMIF('[1]JOBS MAR 15'!$E$8:$E$525,$E$16:$E$533,'[1]JOBS MAR 15'!$H$8:$H$525)</f>
        <v>#VALUE!</v>
      </c>
      <c r="V55" s="37" t="e">
        <f>SUMIF('[1]JOBS MAR 15'!$E$8:$E$525,$E$16:$E$533,'[1]JOBS MAR 15'!$I$8:$I$525)</f>
        <v>#VALUE!</v>
      </c>
      <c r="W55" s="55" t="str">
        <f t="shared" si="5"/>
        <v xml:space="preserve"> </v>
      </c>
    </row>
    <row r="56" spans="2:23" x14ac:dyDescent="0.2">
      <c r="B56">
        <v>118</v>
      </c>
      <c r="C56">
        <v>1</v>
      </c>
      <c r="D56" s="2" t="s">
        <v>159</v>
      </c>
      <c r="E56" s="50" t="s">
        <v>160</v>
      </c>
      <c r="F56" s="50">
        <v>2730870</v>
      </c>
      <c r="G56" s="50">
        <v>8</v>
      </c>
      <c r="H56" s="52" t="e">
        <f>SUMIF('[1]Build Detail'!$D$4:$D$521,$B$16:$B$533,'[1]Build Detail'!$H$4:$H$521)</f>
        <v>#VALUE!</v>
      </c>
      <c r="I56" s="52" t="e">
        <f>SUMIF('[1]Build Detail'!$D$4:$D$521,$B$16:$B$533,'[1]Build Detail'!$Q$4:$Q$521)</f>
        <v>#VALUE!</v>
      </c>
      <c r="J56" s="52" t="e">
        <f>SUMIF('[1]Build Detail'!$D$4:$D$521,$B$16:$B$533,'[1]Build Detail'!$T$4:$T$521)</f>
        <v>#VALUE!</v>
      </c>
      <c r="K56" s="53">
        <v>4166433.8100000005</v>
      </c>
      <c r="L56" s="37">
        <f t="shared" si="6"/>
        <v>117496.88</v>
      </c>
      <c r="M56" s="37">
        <v>114501.58</v>
      </c>
      <c r="N56" s="38">
        <v>103051.42</v>
      </c>
      <c r="O56" s="37">
        <f t="shared" si="0"/>
        <v>14445.460000000006</v>
      </c>
      <c r="P56" s="54" t="e">
        <f t="shared" si="1"/>
        <v>#VALUE!</v>
      </c>
      <c r="Q56" s="40">
        <f t="shared" si="2"/>
        <v>0.12294334964468849</v>
      </c>
      <c r="R56" s="37">
        <f t="shared" si="3"/>
        <v>2995.3000000000029</v>
      </c>
      <c r="S56" s="41">
        <f t="shared" si="4"/>
        <v>2.6159464349749608E-2</v>
      </c>
      <c r="T56" s="37" t="e">
        <f>SUMIF('[1]JOBS MAR 15'!$E$8:$E$525,$E$16:$E$533,'[1]JOBS MAR 15'!$G$8:$G$525)</f>
        <v>#VALUE!</v>
      </c>
      <c r="U56" s="37" t="e">
        <f>SUMIF('[1]JOBS MAR 15'!$E$8:$E$525,$E$16:$E$533,'[1]JOBS MAR 15'!$H$8:$H$525)</f>
        <v>#VALUE!</v>
      </c>
      <c r="V56" s="37" t="e">
        <f>SUMIF('[1]JOBS MAR 15'!$E$8:$E$525,$E$16:$E$533,'[1]JOBS MAR 15'!$I$8:$I$525)</f>
        <v>#VALUE!</v>
      </c>
      <c r="W56" s="55" t="str">
        <f t="shared" si="5"/>
        <v xml:space="preserve"> </v>
      </c>
    </row>
    <row r="57" spans="2:23" x14ac:dyDescent="0.2">
      <c r="B57">
        <v>129</v>
      </c>
      <c r="C57">
        <v>1</v>
      </c>
      <c r="D57" s="2" t="s">
        <v>161</v>
      </c>
      <c r="E57" s="50" t="s">
        <v>162</v>
      </c>
      <c r="F57" s="50">
        <v>2721320</v>
      </c>
      <c r="G57" s="50">
        <v>7</v>
      </c>
      <c r="H57" s="52" t="e">
        <f>SUMIF('[1]Build Detail'!$D$4:$D$521,$B$16:$B$533,'[1]Build Detail'!$H$4:$H$521)</f>
        <v>#VALUE!</v>
      </c>
      <c r="I57" s="52" t="e">
        <f>SUMIF('[1]Build Detail'!$D$4:$D$521,$B$16:$B$533,'[1]Build Detail'!$Q$4:$Q$521)</f>
        <v>#VALUE!</v>
      </c>
      <c r="J57" s="52" t="e">
        <f>SUMIF('[1]Build Detail'!$D$4:$D$521,$B$16:$B$533,'[1]Build Detail'!$T$4:$T$521)</f>
        <v>#VALUE!</v>
      </c>
      <c r="K57" s="53">
        <v>11489784.059999999</v>
      </c>
      <c r="L57" s="37">
        <f t="shared" si="6"/>
        <v>324021.40999999997</v>
      </c>
      <c r="M57" s="37">
        <v>324481.87</v>
      </c>
      <c r="N57" s="38">
        <v>292033.68</v>
      </c>
      <c r="O57" s="37">
        <f t="shared" si="0"/>
        <v>31987.729999999981</v>
      </c>
      <c r="P57" s="54" t="e">
        <f t="shared" si="1"/>
        <v>#VALUE!</v>
      </c>
      <c r="Q57" s="40">
        <f t="shared" si="2"/>
        <v>9.8721038217814014E-2</v>
      </c>
      <c r="R57" s="37">
        <f t="shared" si="3"/>
        <v>-460.46000000002095</v>
      </c>
      <c r="S57" s="41">
        <f t="shared" si="4"/>
        <v>-1.4190623346691789E-3</v>
      </c>
      <c r="T57" s="37" t="e">
        <f>SUMIF('[1]JOBS MAR 15'!$E$8:$E$525,$E$16:$E$533,'[1]JOBS MAR 15'!$G$8:$G$525)</f>
        <v>#VALUE!</v>
      </c>
      <c r="U57" s="37" t="e">
        <f>SUMIF('[1]JOBS MAR 15'!$E$8:$E$525,$E$16:$E$533,'[1]JOBS MAR 15'!$H$8:$H$525)</f>
        <v>#VALUE!</v>
      </c>
      <c r="V57" s="37" t="e">
        <f>SUMIF('[1]JOBS MAR 15'!$E$8:$E$525,$E$16:$E$533,'[1]JOBS MAR 15'!$I$8:$I$525)</f>
        <v>#VALUE!</v>
      </c>
      <c r="W57" s="55" t="str">
        <f t="shared" si="5"/>
        <v xml:space="preserve"> </v>
      </c>
    </row>
    <row r="58" spans="2:23" x14ac:dyDescent="0.2">
      <c r="B58">
        <v>138</v>
      </c>
      <c r="C58">
        <v>1</v>
      </c>
      <c r="D58" s="2" t="s">
        <v>163</v>
      </c>
      <c r="E58" s="50" t="s">
        <v>164</v>
      </c>
      <c r="F58" s="50">
        <v>2723820</v>
      </c>
      <c r="G58" s="50">
        <v>8</v>
      </c>
      <c r="H58" s="52" t="e">
        <f>SUMIF('[1]Build Detail'!$D$4:$D$521,$B$16:$B$533,'[1]Build Detail'!$H$4:$H$521)</f>
        <v>#VALUE!</v>
      </c>
      <c r="I58" s="52" t="e">
        <f>SUMIF('[1]Build Detail'!$D$4:$D$521,$B$16:$B$533,'[1]Build Detail'!$Q$4:$Q$521)</f>
        <v>#VALUE!</v>
      </c>
      <c r="J58" s="52" t="e">
        <f>SUMIF('[1]Build Detail'!$D$4:$D$521,$B$16:$B$533,'[1]Build Detail'!$T$4:$T$521)</f>
        <v>#VALUE!</v>
      </c>
      <c r="K58" s="53">
        <v>24976914.18</v>
      </c>
      <c r="L58" s="37">
        <f t="shared" si="6"/>
        <v>704369.63</v>
      </c>
      <c r="M58" s="37">
        <v>687268.49</v>
      </c>
      <c r="N58" s="38">
        <v>618541.64</v>
      </c>
      <c r="O58" s="37">
        <f t="shared" si="0"/>
        <v>85827.989999999991</v>
      </c>
      <c r="P58" s="54" t="e">
        <f t="shared" si="1"/>
        <v>#VALUE!</v>
      </c>
      <c r="Q58" s="40">
        <f t="shared" si="2"/>
        <v>0.12185078166984568</v>
      </c>
      <c r="R58" s="37">
        <f t="shared" si="3"/>
        <v>17101.140000000014</v>
      </c>
      <c r="S58" s="41">
        <f t="shared" si="4"/>
        <v>2.4882764521911974E-2</v>
      </c>
      <c r="T58" s="37" t="e">
        <f>SUMIF('[1]JOBS MAR 15'!$E$8:$E$525,$E$16:$E$533,'[1]JOBS MAR 15'!$G$8:$G$525)</f>
        <v>#VALUE!</v>
      </c>
      <c r="U58" s="37" t="e">
        <f>SUMIF('[1]JOBS MAR 15'!$E$8:$E$525,$E$16:$E$533,'[1]JOBS MAR 15'!$H$8:$H$525)</f>
        <v>#VALUE!</v>
      </c>
      <c r="V58" s="37" t="e">
        <f>SUMIF('[1]JOBS MAR 15'!$E$8:$E$525,$E$16:$E$533,'[1]JOBS MAR 15'!$I$8:$I$525)</f>
        <v>#VALUE!</v>
      </c>
      <c r="W58" s="55" t="str">
        <f t="shared" si="5"/>
        <v xml:space="preserve"> </v>
      </c>
    </row>
    <row r="59" spans="2:23" x14ac:dyDescent="0.2">
      <c r="B59">
        <v>139</v>
      </c>
      <c r="C59">
        <v>1</v>
      </c>
      <c r="D59" s="2" t="s">
        <v>165</v>
      </c>
      <c r="E59" s="50" t="s">
        <v>166</v>
      </c>
      <c r="F59" s="50">
        <v>2732550</v>
      </c>
      <c r="G59" s="50">
        <v>8</v>
      </c>
      <c r="H59" s="52" t="e">
        <f>SUMIF('[1]Build Detail'!$D$4:$D$521,$B$16:$B$533,'[1]Build Detail'!$H$4:$H$521)</f>
        <v>#VALUE!</v>
      </c>
      <c r="I59" s="52" t="e">
        <f>SUMIF('[1]Build Detail'!$D$4:$D$521,$B$16:$B$533,'[1]Build Detail'!$Q$4:$Q$521)</f>
        <v>#VALUE!</v>
      </c>
      <c r="J59" s="52" t="e">
        <f>SUMIF('[1]Build Detail'!$D$4:$D$521,$B$16:$B$533,'[1]Build Detail'!$T$4:$T$521)</f>
        <v>#VALUE!</v>
      </c>
      <c r="K59" s="53">
        <v>5878326.6400000006</v>
      </c>
      <c r="L59" s="37">
        <f t="shared" si="6"/>
        <v>165773.67000000001</v>
      </c>
      <c r="M59" s="37">
        <v>163918.98000000001</v>
      </c>
      <c r="N59" s="38">
        <v>147527.07999999999</v>
      </c>
      <c r="O59" s="37">
        <f t="shared" si="0"/>
        <v>18246.590000000026</v>
      </c>
      <c r="P59" s="54" t="e">
        <f t="shared" si="1"/>
        <v>#VALUE!</v>
      </c>
      <c r="Q59" s="40">
        <f t="shared" si="2"/>
        <v>0.11006928904934073</v>
      </c>
      <c r="R59" s="37">
        <f t="shared" si="3"/>
        <v>1854.6900000000023</v>
      </c>
      <c r="S59" s="41">
        <f t="shared" si="4"/>
        <v>1.1314675091316468E-2</v>
      </c>
      <c r="T59" s="37" t="e">
        <f>SUMIF('[1]JOBS MAR 15'!$E$8:$E$525,$E$16:$E$533,'[1]JOBS MAR 15'!$G$8:$G$525)</f>
        <v>#VALUE!</v>
      </c>
      <c r="U59" s="37" t="e">
        <f>SUMIF('[1]JOBS MAR 15'!$E$8:$E$525,$E$16:$E$533,'[1]JOBS MAR 15'!$H$8:$H$525)</f>
        <v>#VALUE!</v>
      </c>
      <c r="V59" s="37" t="e">
        <f>SUMIF('[1]JOBS MAR 15'!$E$8:$E$525,$E$16:$E$533,'[1]JOBS MAR 15'!$I$8:$I$525)</f>
        <v>#VALUE!</v>
      </c>
      <c r="W59" s="55" t="str">
        <f t="shared" si="5"/>
        <v xml:space="preserve"> </v>
      </c>
    </row>
    <row r="60" spans="2:23" x14ac:dyDescent="0.2">
      <c r="B60">
        <v>146</v>
      </c>
      <c r="C60">
        <v>1</v>
      </c>
      <c r="D60" s="2" t="s">
        <v>167</v>
      </c>
      <c r="E60" s="50" t="s">
        <v>168</v>
      </c>
      <c r="F60" s="50">
        <v>2703660</v>
      </c>
      <c r="G60" s="50">
        <v>7</v>
      </c>
      <c r="H60" s="52" t="e">
        <f>SUMIF('[1]Build Detail'!$D$4:$D$521,$B$16:$B$533,'[1]Build Detail'!$H$4:$H$521)</f>
        <v>#VALUE!</v>
      </c>
      <c r="I60" s="52" t="e">
        <f>SUMIF('[1]Build Detail'!$D$4:$D$521,$B$16:$B$533,'[1]Build Detail'!$Q$4:$Q$521)</f>
        <v>#VALUE!</v>
      </c>
      <c r="J60" s="52" t="e">
        <f>SUMIF('[1]Build Detail'!$D$4:$D$521,$B$16:$B$533,'[1]Build Detail'!$T$4:$T$521)</f>
        <v>#VALUE!</v>
      </c>
      <c r="K60" s="53">
        <v>5864232.9100000001</v>
      </c>
      <c r="L60" s="37">
        <f t="shared" si="6"/>
        <v>165376.22</v>
      </c>
      <c r="M60" s="37">
        <v>164296.4</v>
      </c>
      <c r="N60" s="38">
        <v>147866.76</v>
      </c>
      <c r="O60" s="37">
        <f t="shared" si="0"/>
        <v>17509.459999999992</v>
      </c>
      <c r="P60" s="54" t="e">
        <f t="shared" si="1"/>
        <v>#VALUE!</v>
      </c>
      <c r="Q60" s="40">
        <f t="shared" si="2"/>
        <v>0.10587652807640659</v>
      </c>
      <c r="R60" s="37">
        <f t="shared" si="3"/>
        <v>1079.820000000007</v>
      </c>
      <c r="S60" s="41">
        <f t="shared" si="4"/>
        <v>6.5723899002047949E-3</v>
      </c>
      <c r="T60" s="37" t="e">
        <f>SUMIF('[1]JOBS MAR 15'!$E$8:$E$525,$E$16:$E$533,'[1]JOBS MAR 15'!$G$8:$G$525)</f>
        <v>#VALUE!</v>
      </c>
      <c r="U60" s="37" t="e">
        <f>SUMIF('[1]JOBS MAR 15'!$E$8:$E$525,$E$16:$E$533,'[1]JOBS MAR 15'!$H$8:$H$525)</f>
        <v>#VALUE!</v>
      </c>
      <c r="V60" s="37" t="e">
        <f>SUMIF('[1]JOBS MAR 15'!$E$8:$E$525,$E$16:$E$533,'[1]JOBS MAR 15'!$I$8:$I$525)</f>
        <v>#VALUE!</v>
      </c>
      <c r="W60" s="55" t="str">
        <f t="shared" si="5"/>
        <v xml:space="preserve"> </v>
      </c>
    </row>
    <row r="61" spans="2:23" x14ac:dyDescent="0.2">
      <c r="B61">
        <v>150</v>
      </c>
      <c r="C61">
        <v>1</v>
      </c>
      <c r="D61" s="2" t="s">
        <v>169</v>
      </c>
      <c r="E61" s="50" t="s">
        <v>170</v>
      </c>
      <c r="F61" s="50">
        <v>2713560</v>
      </c>
      <c r="G61" s="50">
        <v>7</v>
      </c>
      <c r="H61" s="52" t="e">
        <f>SUMIF('[1]Build Detail'!$D$4:$D$521,$B$16:$B$533,'[1]Build Detail'!$H$4:$H$521)</f>
        <v>#VALUE!</v>
      </c>
      <c r="I61" s="52" t="e">
        <f>SUMIF('[1]Build Detail'!$D$4:$D$521,$B$16:$B$533,'[1]Build Detail'!$Q$4:$Q$521)</f>
        <v>#VALUE!</v>
      </c>
      <c r="J61" s="52" t="e">
        <f>SUMIF('[1]Build Detail'!$D$4:$D$521,$B$16:$B$533,'[1]Build Detail'!$T$4:$T$521)</f>
        <v>#VALUE!</v>
      </c>
      <c r="K61" s="53">
        <v>6354788.9900000002</v>
      </c>
      <c r="L61" s="37">
        <f t="shared" si="6"/>
        <v>179210.3</v>
      </c>
      <c r="M61" s="37">
        <v>176945.2</v>
      </c>
      <c r="N61" s="38">
        <v>159250.68</v>
      </c>
      <c r="O61" s="37">
        <f t="shared" si="0"/>
        <v>19959.619999999995</v>
      </c>
      <c r="P61" s="54" t="e">
        <f t="shared" si="1"/>
        <v>#VALUE!</v>
      </c>
      <c r="Q61" s="40">
        <f t="shared" si="2"/>
        <v>0.11137540643590238</v>
      </c>
      <c r="R61" s="37">
        <f t="shared" si="3"/>
        <v>2265.0999999999767</v>
      </c>
      <c r="S61" s="41">
        <f t="shared" si="4"/>
        <v>1.2801138431559469E-2</v>
      </c>
      <c r="T61" s="37" t="e">
        <f>SUMIF('[1]JOBS MAR 15'!$E$8:$E$525,$E$16:$E$533,'[1]JOBS MAR 15'!$G$8:$G$525)</f>
        <v>#VALUE!</v>
      </c>
      <c r="U61" s="37" t="e">
        <f>SUMIF('[1]JOBS MAR 15'!$E$8:$E$525,$E$16:$E$533,'[1]JOBS MAR 15'!$H$8:$H$525)</f>
        <v>#VALUE!</v>
      </c>
      <c r="V61" s="37" t="e">
        <f>SUMIF('[1]JOBS MAR 15'!$E$8:$E$525,$E$16:$E$533,'[1]JOBS MAR 15'!$I$8:$I$525)</f>
        <v>#VALUE!</v>
      </c>
      <c r="W61" s="55" t="str">
        <f t="shared" si="5"/>
        <v xml:space="preserve"> </v>
      </c>
    </row>
    <row r="62" spans="2:23" x14ac:dyDescent="0.2">
      <c r="B62">
        <v>152</v>
      </c>
      <c r="C62">
        <v>1</v>
      </c>
      <c r="D62" s="2" t="s">
        <v>171</v>
      </c>
      <c r="E62" s="50" t="s">
        <v>172</v>
      </c>
      <c r="F62" s="50">
        <v>2721420</v>
      </c>
      <c r="G62" s="50">
        <v>7</v>
      </c>
      <c r="H62" s="52" t="e">
        <f>SUMIF('[1]Build Detail'!$D$4:$D$521,$B$16:$B$533,'[1]Build Detail'!$H$4:$H$521)</f>
        <v>#VALUE!</v>
      </c>
      <c r="I62" s="52" t="e">
        <f>SUMIF('[1]Build Detail'!$D$4:$D$521,$B$16:$B$533,'[1]Build Detail'!$Q$4:$Q$521)</f>
        <v>#VALUE!</v>
      </c>
      <c r="J62" s="52" t="e">
        <f>SUMIF('[1]Build Detail'!$D$4:$D$521,$B$16:$B$533,'[1]Build Detail'!$T$4:$T$521)</f>
        <v>#VALUE!</v>
      </c>
      <c r="K62" s="53">
        <v>40003737.509999998</v>
      </c>
      <c r="L62" s="37">
        <f t="shared" si="6"/>
        <v>1128138.48</v>
      </c>
      <c r="M62" s="37">
        <v>1115830.3600000001</v>
      </c>
      <c r="N62" s="38">
        <v>1004247.32</v>
      </c>
      <c r="O62" s="37">
        <f t="shared" si="0"/>
        <v>123891.16000000003</v>
      </c>
      <c r="P62" s="54" t="e">
        <f t="shared" si="1"/>
        <v>#VALUE!</v>
      </c>
      <c r="Q62" s="40">
        <f t="shared" si="2"/>
        <v>0.10981910660471401</v>
      </c>
      <c r="R62" s="37">
        <f t="shared" si="3"/>
        <v>12308.119999999879</v>
      </c>
      <c r="S62" s="41">
        <f t="shared" si="4"/>
        <v>1.103045807070519E-2</v>
      </c>
      <c r="T62" s="37" t="e">
        <f>SUMIF('[1]JOBS MAR 15'!$E$8:$E$525,$E$16:$E$533,'[1]JOBS MAR 15'!$G$8:$G$525)</f>
        <v>#VALUE!</v>
      </c>
      <c r="U62" s="37" t="e">
        <f>SUMIF('[1]JOBS MAR 15'!$E$8:$E$525,$E$16:$E$533,'[1]JOBS MAR 15'!$H$8:$H$525)</f>
        <v>#VALUE!</v>
      </c>
      <c r="V62" s="37" t="e">
        <f>SUMIF('[1]JOBS MAR 15'!$E$8:$E$525,$E$16:$E$533,'[1]JOBS MAR 15'!$I$8:$I$525)</f>
        <v>#VALUE!</v>
      </c>
      <c r="W62" s="55" t="str">
        <f t="shared" si="5"/>
        <v xml:space="preserve"> </v>
      </c>
    </row>
    <row r="63" spans="2:23" x14ac:dyDescent="0.2">
      <c r="B63">
        <v>162</v>
      </c>
      <c r="C63">
        <v>1</v>
      </c>
      <c r="D63" s="2" t="s">
        <v>173</v>
      </c>
      <c r="E63" s="50" t="s">
        <v>174</v>
      </c>
      <c r="F63" s="50">
        <v>2703570</v>
      </c>
      <c r="G63" s="50">
        <v>7</v>
      </c>
      <c r="H63" s="52" t="e">
        <f>SUMIF('[1]Build Detail'!$D$4:$D$521,$B$16:$B$533,'[1]Build Detail'!$H$4:$H$521)</f>
        <v>#VALUE!</v>
      </c>
      <c r="I63" s="52" t="e">
        <f>SUMIF('[1]Build Detail'!$D$4:$D$521,$B$16:$B$533,'[1]Build Detail'!$Q$4:$Q$521)</f>
        <v>#VALUE!</v>
      </c>
      <c r="J63" s="52" t="e">
        <f>SUMIF('[1]Build Detail'!$D$4:$D$521,$B$16:$B$533,'[1]Build Detail'!$T$4:$T$521)</f>
        <v>#VALUE!</v>
      </c>
      <c r="K63" s="53">
        <v>8010303.9299999997</v>
      </c>
      <c r="L63" s="37">
        <f t="shared" si="6"/>
        <v>225897.19</v>
      </c>
      <c r="M63" s="37">
        <v>224937.88</v>
      </c>
      <c r="N63" s="38">
        <v>202444.09</v>
      </c>
      <c r="O63" s="37">
        <f t="shared" si="0"/>
        <v>23453.100000000006</v>
      </c>
      <c r="P63" s="54" t="e">
        <f t="shared" si="1"/>
        <v>#VALUE!</v>
      </c>
      <c r="Q63" s="40">
        <f t="shared" si="2"/>
        <v>0.10382200858718077</v>
      </c>
      <c r="R63" s="37">
        <f t="shared" si="3"/>
        <v>959.30999999999767</v>
      </c>
      <c r="S63" s="41">
        <f t="shared" si="4"/>
        <v>4.2647774576696357E-3</v>
      </c>
      <c r="T63" s="37" t="e">
        <f>SUMIF('[1]JOBS MAR 15'!$E$8:$E$525,$E$16:$E$533,'[1]JOBS MAR 15'!$G$8:$G$525)</f>
        <v>#VALUE!</v>
      </c>
      <c r="U63" s="37" t="e">
        <f>SUMIF('[1]JOBS MAR 15'!$E$8:$E$525,$E$16:$E$533,'[1]JOBS MAR 15'!$H$8:$H$525)</f>
        <v>#VALUE!</v>
      </c>
      <c r="V63" s="37" t="e">
        <f>SUMIF('[1]JOBS MAR 15'!$E$8:$E$525,$E$16:$E$533,'[1]JOBS MAR 15'!$I$8:$I$525)</f>
        <v>#VALUE!</v>
      </c>
      <c r="W63" s="55" t="str">
        <f t="shared" si="5"/>
        <v xml:space="preserve"> </v>
      </c>
    </row>
    <row r="64" spans="2:23" x14ac:dyDescent="0.2">
      <c r="B64">
        <v>166</v>
      </c>
      <c r="C64">
        <v>1</v>
      </c>
      <c r="D64" s="2" t="s">
        <v>175</v>
      </c>
      <c r="E64" s="50" t="s">
        <v>176</v>
      </c>
      <c r="F64" s="50">
        <v>2713110</v>
      </c>
      <c r="G64" s="50">
        <v>8</v>
      </c>
      <c r="H64" s="52" t="e">
        <f>SUMIF('[1]Build Detail'!$D$4:$D$521,$B$16:$B$533,'[1]Build Detail'!$H$4:$H$521)</f>
        <v>#VALUE!</v>
      </c>
      <c r="I64" s="52" t="e">
        <f>SUMIF('[1]Build Detail'!$D$4:$D$521,$B$16:$B$533,'[1]Build Detail'!$Q$4:$Q$521)</f>
        <v>#VALUE!</v>
      </c>
      <c r="J64" s="52" t="e">
        <f>SUMIF('[1]Build Detail'!$D$4:$D$521,$B$16:$B$533,'[1]Build Detail'!$T$4:$T$521)</f>
        <v>#VALUE!</v>
      </c>
      <c r="K64" s="53">
        <v>3867024.8200000003</v>
      </c>
      <c r="L64" s="37">
        <f t="shared" si="6"/>
        <v>109053.3</v>
      </c>
      <c r="M64" s="37">
        <v>108839.61</v>
      </c>
      <c r="N64" s="38">
        <v>97955.65</v>
      </c>
      <c r="O64" s="37">
        <f t="shared" si="0"/>
        <v>11097.650000000009</v>
      </c>
      <c r="P64" s="54" t="e">
        <f t="shared" si="1"/>
        <v>#VALUE!</v>
      </c>
      <c r="Q64" s="40">
        <f t="shared" si="2"/>
        <v>0.10176354131420148</v>
      </c>
      <c r="R64" s="37">
        <f t="shared" si="3"/>
        <v>213.69000000000233</v>
      </c>
      <c r="S64" s="41">
        <f t="shared" si="4"/>
        <v>1.9633477187211744E-3</v>
      </c>
      <c r="T64" s="37" t="e">
        <f>SUMIF('[1]JOBS MAR 15'!$E$8:$E$525,$E$16:$E$533,'[1]JOBS MAR 15'!$G$8:$G$525)</f>
        <v>#VALUE!</v>
      </c>
      <c r="U64" s="37" t="e">
        <f>SUMIF('[1]JOBS MAR 15'!$E$8:$E$525,$E$16:$E$533,'[1]JOBS MAR 15'!$H$8:$H$525)</f>
        <v>#VALUE!</v>
      </c>
      <c r="V64" s="37" t="e">
        <f>SUMIF('[1]JOBS MAR 15'!$E$8:$E$525,$E$16:$E$533,'[1]JOBS MAR 15'!$I$8:$I$525)</f>
        <v>#VALUE!</v>
      </c>
      <c r="W64" s="55" t="str">
        <f t="shared" si="5"/>
        <v xml:space="preserve"> </v>
      </c>
    </row>
    <row r="65" spans="2:23" x14ac:dyDescent="0.2">
      <c r="B65">
        <v>173</v>
      </c>
      <c r="C65">
        <v>1</v>
      </c>
      <c r="D65" s="2" t="s">
        <v>177</v>
      </c>
      <c r="E65" s="50" t="s">
        <v>178</v>
      </c>
      <c r="F65" s="50">
        <v>2723010</v>
      </c>
      <c r="G65" s="50">
        <v>1</v>
      </c>
      <c r="H65" s="52" t="e">
        <f>SUMIF('[1]Build Detail'!$D$4:$D$521,$B$16:$B$533,'[1]Build Detail'!$H$4:$H$521)</f>
        <v>#VALUE!</v>
      </c>
      <c r="I65" s="52" t="e">
        <f>SUMIF('[1]Build Detail'!$D$4:$D$521,$B$16:$B$533,'[1]Build Detail'!$Q$4:$Q$521)</f>
        <v>#VALUE!</v>
      </c>
      <c r="J65" s="52" t="e">
        <f>SUMIF('[1]Build Detail'!$D$4:$D$521,$B$16:$B$533,'[1]Build Detail'!$T$4:$T$521)</f>
        <v>#VALUE!</v>
      </c>
      <c r="K65" s="53">
        <v>3780854.32</v>
      </c>
      <c r="L65" s="37">
        <f t="shared" si="6"/>
        <v>106623.22</v>
      </c>
      <c r="M65" s="37">
        <v>106257.33</v>
      </c>
      <c r="N65" s="38">
        <v>95631.6</v>
      </c>
      <c r="O65" s="37">
        <f t="shared" si="0"/>
        <v>10991.619999999995</v>
      </c>
      <c r="P65" s="54" t="e">
        <f t="shared" si="1"/>
        <v>#VALUE!</v>
      </c>
      <c r="Q65" s="40">
        <f t="shared" si="2"/>
        <v>0.10308842670480216</v>
      </c>
      <c r="R65" s="37">
        <f t="shared" si="3"/>
        <v>365.88999999999942</v>
      </c>
      <c r="S65" s="41">
        <f t="shared" si="4"/>
        <v>3.4434330318670668E-3</v>
      </c>
      <c r="T65" s="37" t="e">
        <f>SUMIF('[1]JOBS MAR 15'!$E$8:$E$525,$E$16:$E$533,'[1]JOBS MAR 15'!$G$8:$G$525)</f>
        <v>#VALUE!</v>
      </c>
      <c r="U65" s="37" t="e">
        <f>SUMIF('[1]JOBS MAR 15'!$E$8:$E$525,$E$16:$E$533,'[1]JOBS MAR 15'!$H$8:$H$525)</f>
        <v>#VALUE!</v>
      </c>
      <c r="V65" s="37" t="e">
        <f>SUMIF('[1]JOBS MAR 15'!$E$8:$E$525,$E$16:$E$533,'[1]JOBS MAR 15'!$I$8:$I$525)</f>
        <v>#VALUE!</v>
      </c>
      <c r="W65" s="55" t="str">
        <f t="shared" si="5"/>
        <v xml:space="preserve"> </v>
      </c>
    </row>
    <row r="66" spans="2:23" x14ac:dyDescent="0.2">
      <c r="B66">
        <v>177</v>
      </c>
      <c r="C66">
        <v>1</v>
      </c>
      <c r="D66" s="2" t="s">
        <v>179</v>
      </c>
      <c r="E66" s="50" t="s">
        <v>180</v>
      </c>
      <c r="F66" s="50">
        <v>2742780</v>
      </c>
      <c r="G66" s="50">
        <v>1</v>
      </c>
      <c r="H66" s="52" t="e">
        <f>SUMIF('[1]Build Detail'!$D$4:$D$521,$B$16:$B$533,'[1]Build Detail'!$H$4:$H$521)</f>
        <v>#VALUE!</v>
      </c>
      <c r="I66" s="52" t="e">
        <f>SUMIF('[1]Build Detail'!$D$4:$D$521,$B$16:$B$533,'[1]Build Detail'!$Q$4:$Q$521)</f>
        <v>#VALUE!</v>
      </c>
      <c r="J66" s="52" t="e">
        <f>SUMIF('[1]Build Detail'!$D$4:$D$521,$B$16:$B$533,'[1]Build Detail'!$T$4:$T$521)</f>
        <v>#VALUE!</v>
      </c>
      <c r="K66" s="53">
        <v>7047577.9100000011</v>
      </c>
      <c r="L66" s="37">
        <f t="shared" si="6"/>
        <v>198747.51999999999</v>
      </c>
      <c r="M66" s="37">
        <v>197893.61</v>
      </c>
      <c r="N66" s="38">
        <v>178104.25</v>
      </c>
      <c r="O66" s="37">
        <f t="shared" si="0"/>
        <v>20643.26999999999</v>
      </c>
      <c r="P66" s="54" t="e">
        <f t="shared" si="1"/>
        <v>#VALUE!</v>
      </c>
      <c r="Q66" s="40">
        <f t="shared" si="2"/>
        <v>0.10386680548265453</v>
      </c>
      <c r="R66" s="37">
        <f t="shared" si="3"/>
        <v>853.91000000000349</v>
      </c>
      <c r="S66" s="41">
        <f t="shared" si="4"/>
        <v>4.3149953149068509E-3</v>
      </c>
      <c r="T66" s="37" t="e">
        <f>SUMIF('[1]JOBS MAR 15'!$E$8:$E$525,$E$16:$E$533,'[1]JOBS MAR 15'!$G$8:$G$525)</f>
        <v>#VALUE!</v>
      </c>
      <c r="U66" s="37" t="e">
        <f>SUMIF('[1]JOBS MAR 15'!$E$8:$E$525,$E$16:$E$533,'[1]JOBS MAR 15'!$H$8:$H$525)</f>
        <v>#VALUE!</v>
      </c>
      <c r="V66" s="37" t="e">
        <f>SUMIF('[1]JOBS MAR 15'!$E$8:$E$525,$E$16:$E$533,'[1]JOBS MAR 15'!$I$8:$I$525)</f>
        <v>#VALUE!</v>
      </c>
      <c r="W66" s="55" t="str">
        <f t="shared" si="5"/>
        <v xml:space="preserve"> </v>
      </c>
    </row>
    <row r="67" spans="2:23" x14ac:dyDescent="0.2">
      <c r="B67">
        <v>181</v>
      </c>
      <c r="C67">
        <v>1</v>
      </c>
      <c r="D67" s="2" t="s">
        <v>181</v>
      </c>
      <c r="E67" s="50" t="s">
        <v>182</v>
      </c>
      <c r="F67" s="50">
        <v>2706090</v>
      </c>
      <c r="G67" s="50">
        <v>8</v>
      </c>
      <c r="H67" s="52" t="e">
        <f>SUMIF('[1]Build Detail'!$D$4:$D$521,$B$16:$B$533,'[1]Build Detail'!$H$4:$H$521)</f>
        <v>#VALUE!</v>
      </c>
      <c r="I67" s="52" t="e">
        <f>SUMIF('[1]Build Detail'!$D$4:$D$521,$B$16:$B$533,'[1]Build Detail'!$Q$4:$Q$521)</f>
        <v>#VALUE!</v>
      </c>
      <c r="J67" s="52" t="e">
        <f>SUMIF('[1]Build Detail'!$D$4:$D$521,$B$16:$B$533,'[1]Build Detail'!$T$4:$T$521)</f>
        <v>#VALUE!</v>
      </c>
      <c r="K67" s="53">
        <v>50616588.68</v>
      </c>
      <c r="L67" s="37">
        <f t="shared" si="6"/>
        <v>1427429.66</v>
      </c>
      <c r="M67" s="37">
        <v>1419853.39</v>
      </c>
      <c r="N67" s="38">
        <v>1277868.05</v>
      </c>
      <c r="O67" s="37">
        <f t="shared" si="0"/>
        <v>149561.60999999987</v>
      </c>
      <c r="P67" s="54" t="e">
        <f t="shared" si="1"/>
        <v>#VALUE!</v>
      </c>
      <c r="Q67" s="40">
        <f t="shared" si="2"/>
        <v>0.10477686865494996</v>
      </c>
      <c r="R67" s="37">
        <f t="shared" si="3"/>
        <v>7576.2700000000186</v>
      </c>
      <c r="S67" s="41">
        <f t="shared" si="4"/>
        <v>5.3359523267398892E-3</v>
      </c>
      <c r="T67" s="37" t="e">
        <f>SUMIF('[1]JOBS MAR 15'!$E$8:$E$525,$E$16:$E$533,'[1]JOBS MAR 15'!$G$8:$G$525)</f>
        <v>#VALUE!</v>
      </c>
      <c r="U67" s="37" t="e">
        <f>SUMIF('[1]JOBS MAR 15'!$E$8:$E$525,$E$16:$E$533,'[1]JOBS MAR 15'!$H$8:$H$525)</f>
        <v>#VALUE!</v>
      </c>
      <c r="V67" s="37" t="e">
        <f>SUMIF('[1]JOBS MAR 15'!$E$8:$E$525,$E$16:$E$533,'[1]JOBS MAR 15'!$I$8:$I$525)</f>
        <v>#VALUE!</v>
      </c>
      <c r="W67" s="55" t="str">
        <f t="shared" si="5"/>
        <v xml:space="preserve"> </v>
      </c>
    </row>
    <row r="68" spans="2:23" x14ac:dyDescent="0.2">
      <c r="B68">
        <v>182</v>
      </c>
      <c r="C68">
        <v>1</v>
      </c>
      <c r="D68" s="2" t="s">
        <v>183</v>
      </c>
      <c r="E68" s="50" t="s">
        <v>184</v>
      </c>
      <c r="F68" s="50">
        <v>2709750</v>
      </c>
      <c r="G68" s="50">
        <v>8</v>
      </c>
      <c r="H68" s="52" t="e">
        <f>SUMIF('[1]Build Detail'!$D$4:$D$521,$B$16:$B$533,'[1]Build Detail'!$H$4:$H$521)</f>
        <v>#VALUE!</v>
      </c>
      <c r="I68" s="52" t="e">
        <f>SUMIF('[1]Build Detail'!$D$4:$D$521,$B$16:$B$533,'[1]Build Detail'!$Q$4:$Q$521)</f>
        <v>#VALUE!</v>
      </c>
      <c r="J68" s="52" t="e">
        <f>SUMIF('[1]Build Detail'!$D$4:$D$521,$B$16:$B$533,'[1]Build Detail'!$T$4:$T$521)</f>
        <v>#VALUE!</v>
      </c>
      <c r="K68" s="53">
        <v>8721265.9900000002</v>
      </c>
      <c r="L68" s="37">
        <f t="shared" si="6"/>
        <v>245946.91</v>
      </c>
      <c r="M68" s="37">
        <v>246465.83</v>
      </c>
      <c r="N68" s="38">
        <v>221819.25</v>
      </c>
      <c r="O68" s="37">
        <f t="shared" si="0"/>
        <v>24127.660000000003</v>
      </c>
      <c r="P68" s="54" t="e">
        <f t="shared" si="1"/>
        <v>#VALUE!</v>
      </c>
      <c r="Q68" s="40">
        <f t="shared" si="2"/>
        <v>9.8101090190561874E-2</v>
      </c>
      <c r="R68" s="37">
        <f t="shared" si="3"/>
        <v>-518.9199999999837</v>
      </c>
      <c r="S68" s="41">
        <f t="shared" si="4"/>
        <v>-2.1054439879150135E-3</v>
      </c>
      <c r="T68" s="37" t="e">
        <f>SUMIF('[1]JOBS MAR 15'!$E$8:$E$525,$E$16:$E$533,'[1]JOBS MAR 15'!$G$8:$G$525)</f>
        <v>#VALUE!</v>
      </c>
      <c r="U68" s="37" t="e">
        <f>SUMIF('[1]JOBS MAR 15'!$E$8:$E$525,$E$16:$E$533,'[1]JOBS MAR 15'!$H$8:$H$525)</f>
        <v>#VALUE!</v>
      </c>
      <c r="V68" s="37" t="e">
        <f>SUMIF('[1]JOBS MAR 15'!$E$8:$E$525,$E$16:$E$533,'[1]JOBS MAR 15'!$I$8:$I$525)</f>
        <v>#VALUE!</v>
      </c>
      <c r="W68" s="55" t="str">
        <f t="shared" si="5"/>
        <v xml:space="preserve"> </v>
      </c>
    </row>
    <row r="69" spans="2:23" x14ac:dyDescent="0.2">
      <c r="B69">
        <v>186</v>
      </c>
      <c r="C69">
        <v>1</v>
      </c>
      <c r="D69" s="2" t="s">
        <v>185</v>
      </c>
      <c r="E69" s="50" t="s">
        <v>186</v>
      </c>
      <c r="F69" s="50">
        <v>2728200</v>
      </c>
      <c r="G69" s="50">
        <v>8</v>
      </c>
      <c r="H69" s="52" t="e">
        <f>SUMIF('[1]Build Detail'!$D$4:$D$521,$B$16:$B$533,'[1]Build Detail'!$H$4:$H$521)</f>
        <v>#VALUE!</v>
      </c>
      <c r="I69" s="52" t="e">
        <f>SUMIF('[1]Build Detail'!$D$4:$D$521,$B$16:$B$533,'[1]Build Detail'!$Q$4:$Q$521)</f>
        <v>#VALUE!</v>
      </c>
      <c r="J69" s="52" t="e">
        <f>SUMIF('[1]Build Detail'!$D$4:$D$521,$B$16:$B$533,'[1]Build Detail'!$T$4:$T$521)</f>
        <v>#VALUE!</v>
      </c>
      <c r="K69" s="53">
        <v>10071559.559999999</v>
      </c>
      <c r="L69" s="37">
        <f t="shared" si="6"/>
        <v>284026.31</v>
      </c>
      <c r="M69" s="37">
        <v>282146.96000000002</v>
      </c>
      <c r="N69" s="38">
        <v>253932.26</v>
      </c>
      <c r="O69" s="37">
        <f t="shared" si="0"/>
        <v>30094.049999999988</v>
      </c>
      <c r="P69" s="54" t="e">
        <f t="shared" si="1"/>
        <v>#VALUE!</v>
      </c>
      <c r="Q69" s="40">
        <f t="shared" si="2"/>
        <v>0.10595514901418812</v>
      </c>
      <c r="R69" s="37">
        <f t="shared" si="3"/>
        <v>1879.3499999999767</v>
      </c>
      <c r="S69" s="41">
        <f t="shared" si="4"/>
        <v>6.6608904806203708E-3</v>
      </c>
      <c r="T69" s="37" t="e">
        <f>SUMIF('[1]JOBS MAR 15'!$E$8:$E$525,$E$16:$E$533,'[1]JOBS MAR 15'!$G$8:$G$525)</f>
        <v>#VALUE!</v>
      </c>
      <c r="U69" s="37" t="e">
        <f>SUMIF('[1]JOBS MAR 15'!$E$8:$E$525,$E$16:$E$533,'[1]JOBS MAR 15'!$H$8:$H$525)</f>
        <v>#VALUE!</v>
      </c>
      <c r="V69" s="37" t="e">
        <f>SUMIF('[1]JOBS MAR 15'!$E$8:$E$525,$E$16:$E$533,'[1]JOBS MAR 15'!$I$8:$I$525)</f>
        <v>#VALUE!</v>
      </c>
      <c r="W69" s="55" t="str">
        <f t="shared" si="5"/>
        <v xml:space="preserve"> </v>
      </c>
    </row>
    <row r="70" spans="2:23" x14ac:dyDescent="0.2">
      <c r="B70">
        <v>191</v>
      </c>
      <c r="C70">
        <v>1</v>
      </c>
      <c r="D70" s="2" t="s">
        <v>187</v>
      </c>
      <c r="E70" s="50" t="s">
        <v>188</v>
      </c>
      <c r="F70" s="50">
        <v>2707290</v>
      </c>
      <c r="G70" s="50">
        <v>2</v>
      </c>
      <c r="H70" s="52" t="e">
        <f>SUMIF('[1]Build Detail'!$D$4:$D$521,$B$16:$B$533,'[1]Build Detail'!$H$4:$H$521)</f>
        <v>#VALUE!</v>
      </c>
      <c r="I70" s="52" t="e">
        <f>SUMIF('[1]Build Detail'!$D$4:$D$521,$B$16:$B$533,'[1]Build Detail'!$Q$4:$Q$521)</f>
        <v>#VALUE!</v>
      </c>
      <c r="J70" s="52" t="e">
        <f>SUMIF('[1]Build Detail'!$D$4:$D$521,$B$16:$B$533,'[1]Build Detail'!$T$4:$T$521)</f>
        <v>#VALUE!</v>
      </c>
      <c r="K70" s="53">
        <v>69811989.159999996</v>
      </c>
      <c r="L70" s="37">
        <f t="shared" si="6"/>
        <v>1968755.82</v>
      </c>
      <c r="M70" s="37">
        <v>1988730.58</v>
      </c>
      <c r="N70" s="38">
        <v>1789857.52</v>
      </c>
      <c r="O70" s="37">
        <f t="shared" si="0"/>
        <v>178898.30000000005</v>
      </c>
      <c r="P70" s="54" t="e">
        <f t="shared" si="1"/>
        <v>#VALUE!</v>
      </c>
      <c r="Q70" s="40">
        <f t="shared" si="2"/>
        <v>9.0868709152565216E-2</v>
      </c>
      <c r="R70" s="37">
        <f t="shared" si="3"/>
        <v>-19974.760000000009</v>
      </c>
      <c r="S70" s="41">
        <f t="shared" si="4"/>
        <v>-1.0043974885728366E-2</v>
      </c>
      <c r="T70" s="37" t="e">
        <f>SUMIF('[1]JOBS MAR 15'!$E$8:$E$525,$E$16:$E$533,'[1]JOBS MAR 15'!$G$8:$G$525)</f>
        <v>#VALUE!</v>
      </c>
      <c r="U70" s="37" t="e">
        <f>SUMIF('[1]JOBS MAR 15'!$E$8:$E$525,$E$16:$E$533,'[1]JOBS MAR 15'!$H$8:$H$525)</f>
        <v>#VALUE!</v>
      </c>
      <c r="V70" s="37" t="e">
        <f>SUMIF('[1]JOBS MAR 15'!$E$8:$E$525,$E$16:$E$533,'[1]JOBS MAR 15'!$I$8:$I$525)</f>
        <v>#VALUE!</v>
      </c>
      <c r="W70" s="55" t="str">
        <f t="shared" si="5"/>
        <v xml:space="preserve"> </v>
      </c>
    </row>
    <row r="71" spans="2:23" x14ac:dyDescent="0.2">
      <c r="B71">
        <v>192</v>
      </c>
      <c r="C71">
        <v>1</v>
      </c>
      <c r="D71" s="2" t="s">
        <v>189</v>
      </c>
      <c r="E71" s="50" t="s">
        <v>190</v>
      </c>
      <c r="F71" s="50">
        <v>2711820</v>
      </c>
      <c r="G71" s="50">
        <v>2</v>
      </c>
      <c r="H71" s="52" t="e">
        <f>SUMIF('[1]Build Detail'!$D$4:$D$521,$B$16:$B$533,'[1]Build Detail'!$H$4:$H$521)</f>
        <v>#VALUE!</v>
      </c>
      <c r="I71" s="52" t="e">
        <f>SUMIF('[1]Build Detail'!$D$4:$D$521,$B$16:$B$533,'[1]Build Detail'!$Q$4:$Q$521)</f>
        <v>#VALUE!</v>
      </c>
      <c r="J71" s="52" t="e">
        <f>SUMIF('[1]Build Detail'!$D$4:$D$521,$B$16:$B$533,'[1]Build Detail'!$T$4:$T$521)</f>
        <v>#VALUE!</v>
      </c>
      <c r="K71" s="53">
        <v>44779539.220000006</v>
      </c>
      <c r="L71" s="37">
        <f t="shared" si="6"/>
        <v>1262820.04</v>
      </c>
      <c r="M71" s="37">
        <v>1261292.8999999999</v>
      </c>
      <c r="N71" s="38">
        <v>1135163.6100000001</v>
      </c>
      <c r="O71" s="37">
        <f t="shared" si="0"/>
        <v>127656.42999999993</v>
      </c>
      <c r="P71" s="54" t="e">
        <f t="shared" si="1"/>
        <v>#VALUE!</v>
      </c>
      <c r="Q71" s="40">
        <f t="shared" si="2"/>
        <v>0.10108837835674506</v>
      </c>
      <c r="R71" s="37">
        <f t="shared" si="3"/>
        <v>1527.1400000001304</v>
      </c>
      <c r="S71" s="41">
        <f t="shared" si="4"/>
        <v>1.2107734848900921E-3</v>
      </c>
      <c r="T71" s="37" t="e">
        <f>SUMIF('[1]JOBS MAR 15'!$E$8:$E$525,$E$16:$E$533,'[1]JOBS MAR 15'!$G$8:$G$525)</f>
        <v>#VALUE!</v>
      </c>
      <c r="U71" s="37" t="e">
        <f>SUMIF('[1]JOBS MAR 15'!$E$8:$E$525,$E$16:$E$533,'[1]JOBS MAR 15'!$H$8:$H$525)</f>
        <v>#VALUE!</v>
      </c>
      <c r="V71" s="37" t="e">
        <f>SUMIF('[1]JOBS MAR 15'!$E$8:$E$525,$E$16:$E$533,'[1]JOBS MAR 15'!$I$8:$I$525)</f>
        <v>#VALUE!</v>
      </c>
      <c r="W71" s="55" t="str">
        <f t="shared" si="5"/>
        <v xml:space="preserve"> </v>
      </c>
    </row>
    <row r="72" spans="2:23" x14ac:dyDescent="0.2">
      <c r="B72">
        <v>194</v>
      </c>
      <c r="C72">
        <v>1</v>
      </c>
      <c r="D72" s="2" t="s">
        <v>191</v>
      </c>
      <c r="E72" s="50" t="s">
        <v>192</v>
      </c>
      <c r="F72" s="50">
        <v>2717780</v>
      </c>
      <c r="G72" s="50">
        <v>2</v>
      </c>
      <c r="H72" s="52" t="e">
        <f>SUMIF('[1]Build Detail'!$D$4:$D$521,$B$16:$B$533,'[1]Build Detail'!$H$4:$H$521)</f>
        <v>#VALUE!</v>
      </c>
      <c r="I72" s="52" t="e">
        <f>SUMIF('[1]Build Detail'!$D$4:$D$521,$B$16:$B$533,'[1]Build Detail'!$Q$4:$Q$521)</f>
        <v>#VALUE!</v>
      </c>
      <c r="J72" s="52" t="e">
        <f>SUMIF('[1]Build Detail'!$D$4:$D$521,$B$16:$B$533,'[1]Build Detail'!$T$4:$T$521)</f>
        <v>#VALUE!</v>
      </c>
      <c r="K72" s="53">
        <v>72417940.170000002</v>
      </c>
      <c r="L72" s="37">
        <f t="shared" si="6"/>
        <v>2042245.8</v>
      </c>
      <c r="M72" s="37">
        <v>2017561.15</v>
      </c>
      <c r="N72" s="38">
        <v>1815805.04</v>
      </c>
      <c r="O72" s="37">
        <f t="shared" si="0"/>
        <v>226440.76</v>
      </c>
      <c r="P72" s="54" t="e">
        <f t="shared" si="1"/>
        <v>#VALUE!</v>
      </c>
      <c r="Q72" s="40">
        <f t="shared" si="2"/>
        <v>0.11087830857578457</v>
      </c>
      <c r="R72" s="37">
        <f t="shared" si="3"/>
        <v>24684.65000000014</v>
      </c>
      <c r="S72" s="41">
        <f t="shared" si="4"/>
        <v>1.2234895581727544E-2</v>
      </c>
      <c r="T72" s="37" t="e">
        <f>SUMIF('[1]JOBS MAR 15'!$E$8:$E$525,$E$16:$E$533,'[1]JOBS MAR 15'!$G$8:$G$525)</f>
        <v>#VALUE!</v>
      </c>
      <c r="U72" s="37" t="e">
        <f>SUMIF('[1]JOBS MAR 15'!$E$8:$E$525,$E$16:$E$533,'[1]JOBS MAR 15'!$H$8:$H$525)</f>
        <v>#VALUE!</v>
      </c>
      <c r="V72" s="37" t="e">
        <f>SUMIF('[1]JOBS MAR 15'!$E$8:$E$525,$E$16:$E$533,'[1]JOBS MAR 15'!$I$8:$I$525)</f>
        <v>#VALUE!</v>
      </c>
      <c r="W72" s="55" t="str">
        <f t="shared" si="5"/>
        <v xml:space="preserve"> </v>
      </c>
    </row>
    <row r="73" spans="2:23" x14ac:dyDescent="0.2">
      <c r="B73">
        <v>195</v>
      </c>
      <c r="C73">
        <v>1</v>
      </c>
      <c r="D73" s="2" t="s">
        <v>193</v>
      </c>
      <c r="E73" s="50" t="s">
        <v>194</v>
      </c>
      <c r="F73" s="50">
        <v>2730150</v>
      </c>
      <c r="G73" s="50">
        <v>2</v>
      </c>
      <c r="H73" s="52" t="e">
        <f>SUMIF('[1]Build Detail'!$D$4:$D$521,$B$16:$B$533,'[1]Build Detail'!$H$4:$H$521)</f>
        <v>#VALUE!</v>
      </c>
      <c r="I73" s="52" t="e">
        <f>SUMIF('[1]Build Detail'!$D$4:$D$521,$B$16:$B$533,'[1]Build Detail'!$Q$4:$Q$521)</f>
        <v>#VALUE!</v>
      </c>
      <c r="J73" s="52" t="e">
        <f>SUMIF('[1]Build Detail'!$D$4:$D$521,$B$16:$B$533,'[1]Build Detail'!$T$4:$T$521)</f>
        <v>#VALUE!</v>
      </c>
      <c r="K73" s="53">
        <v>3619829.8</v>
      </c>
      <c r="L73" s="37">
        <f t="shared" si="6"/>
        <v>102082.19</v>
      </c>
      <c r="M73" s="37">
        <v>100824.34</v>
      </c>
      <c r="N73" s="38">
        <v>90741.91</v>
      </c>
      <c r="O73" s="37">
        <f t="shared" si="0"/>
        <v>11340.279999999999</v>
      </c>
      <c r="P73" s="54" t="e">
        <f t="shared" si="1"/>
        <v>#VALUE!</v>
      </c>
      <c r="Q73" s="40">
        <f t="shared" si="2"/>
        <v>0.11108970134751223</v>
      </c>
      <c r="R73" s="37">
        <f t="shared" si="3"/>
        <v>1257.8500000000058</v>
      </c>
      <c r="S73" s="41">
        <f t="shared" si="4"/>
        <v>1.2475658159527806E-2</v>
      </c>
      <c r="T73" s="37" t="e">
        <f>SUMIF('[1]JOBS MAR 15'!$E$8:$E$525,$E$16:$E$533,'[1]JOBS MAR 15'!$G$8:$G$525)</f>
        <v>#VALUE!</v>
      </c>
      <c r="U73" s="37" t="e">
        <f>SUMIF('[1]JOBS MAR 15'!$E$8:$E$525,$E$16:$E$533,'[1]JOBS MAR 15'!$H$8:$H$525)</f>
        <v>#VALUE!</v>
      </c>
      <c r="V73" s="37" t="e">
        <f>SUMIF('[1]JOBS MAR 15'!$E$8:$E$525,$E$16:$E$533,'[1]JOBS MAR 15'!$I$8:$I$525)</f>
        <v>#VALUE!</v>
      </c>
      <c r="W73" s="55" t="str">
        <f t="shared" si="5"/>
        <v xml:space="preserve"> </v>
      </c>
    </row>
    <row r="74" spans="2:23" x14ac:dyDescent="0.2">
      <c r="B74">
        <v>196</v>
      </c>
      <c r="C74">
        <v>1</v>
      </c>
      <c r="D74" s="2" t="s">
        <v>195</v>
      </c>
      <c r="E74" s="50" t="s">
        <v>196</v>
      </c>
      <c r="F74" s="50">
        <v>2732390</v>
      </c>
      <c r="G74" s="50">
        <v>2</v>
      </c>
      <c r="H74" s="52" t="e">
        <f>SUMIF('[1]Build Detail'!$D$4:$D$521,$B$16:$B$533,'[1]Build Detail'!$H$4:$H$521)</f>
        <v>#VALUE!</v>
      </c>
      <c r="I74" s="52" t="e">
        <f>SUMIF('[1]Build Detail'!$D$4:$D$521,$B$16:$B$533,'[1]Build Detail'!$Q$4:$Q$521)</f>
        <v>#VALUE!</v>
      </c>
      <c r="J74" s="52" t="e">
        <f>SUMIF('[1]Build Detail'!$D$4:$D$521,$B$16:$B$533,'[1]Build Detail'!$T$4:$T$521)</f>
        <v>#VALUE!</v>
      </c>
      <c r="K74" s="53">
        <v>181081972.05000001</v>
      </c>
      <c r="L74" s="37">
        <f t="shared" si="6"/>
        <v>5106661.3499999996</v>
      </c>
      <c r="M74" s="37">
        <v>5085934.1500000004</v>
      </c>
      <c r="N74" s="38">
        <v>4577340.74</v>
      </c>
      <c r="O74" s="37">
        <f t="shared" si="0"/>
        <v>529320.6099999994</v>
      </c>
      <c r="P74" s="54" t="e">
        <f t="shared" si="1"/>
        <v>#VALUE!</v>
      </c>
      <c r="Q74" s="40">
        <f t="shared" si="2"/>
        <v>0.10365296888151776</v>
      </c>
      <c r="R74" s="37">
        <f t="shared" si="3"/>
        <v>20727.199999999255</v>
      </c>
      <c r="S74" s="41">
        <f t="shared" si="4"/>
        <v>4.0753968472044128E-3</v>
      </c>
      <c r="T74" s="37" t="e">
        <f>SUMIF('[1]JOBS MAR 15'!$E$8:$E$525,$E$16:$E$533,'[1]JOBS MAR 15'!$G$8:$G$525)</f>
        <v>#VALUE!</v>
      </c>
      <c r="U74" s="37" t="e">
        <f>SUMIF('[1]JOBS MAR 15'!$E$8:$E$525,$E$16:$E$533,'[1]JOBS MAR 15'!$H$8:$H$525)</f>
        <v>#VALUE!</v>
      </c>
      <c r="V74" s="37" t="e">
        <f>SUMIF('[1]JOBS MAR 15'!$E$8:$E$525,$E$16:$E$533,'[1]JOBS MAR 15'!$I$8:$I$525)</f>
        <v>#VALUE!</v>
      </c>
      <c r="W74" s="55" t="str">
        <f t="shared" si="5"/>
        <v xml:space="preserve"> </v>
      </c>
    </row>
    <row r="75" spans="2:23" x14ac:dyDescent="0.2">
      <c r="B75">
        <v>197</v>
      </c>
      <c r="C75">
        <v>1</v>
      </c>
      <c r="D75" s="2" t="s">
        <v>197</v>
      </c>
      <c r="E75" s="50" t="s">
        <v>198</v>
      </c>
      <c r="F75" s="50">
        <v>2742270</v>
      </c>
      <c r="G75" s="50">
        <v>4</v>
      </c>
      <c r="H75" s="52" t="e">
        <f>SUMIF('[1]Build Detail'!$D$4:$D$521,$B$16:$B$533,'[1]Build Detail'!$H$4:$H$521)</f>
        <v>#VALUE!</v>
      </c>
      <c r="I75" s="52" t="e">
        <f>SUMIF('[1]Build Detail'!$D$4:$D$521,$B$16:$B$533,'[1]Build Detail'!$Q$4:$Q$521)</f>
        <v>#VALUE!</v>
      </c>
      <c r="J75" s="52" t="e">
        <f>SUMIF('[1]Build Detail'!$D$4:$D$521,$B$16:$B$533,'[1]Build Detail'!$T$4:$T$521)</f>
        <v>#VALUE!</v>
      </c>
      <c r="K75" s="53">
        <v>30127830.310000002</v>
      </c>
      <c r="L75" s="37">
        <f t="shared" si="6"/>
        <v>849629.73</v>
      </c>
      <c r="M75" s="37">
        <v>840796.88</v>
      </c>
      <c r="N75" s="38">
        <v>756717.19</v>
      </c>
      <c r="O75" s="37">
        <f t="shared" si="0"/>
        <v>92912.540000000037</v>
      </c>
      <c r="P75" s="54" t="e">
        <f t="shared" si="1"/>
        <v>#VALUE!</v>
      </c>
      <c r="Q75" s="40">
        <f t="shared" si="2"/>
        <v>0.10935650756947975</v>
      </c>
      <c r="R75" s="37">
        <f t="shared" si="3"/>
        <v>8832.8499999999767</v>
      </c>
      <c r="S75" s="41">
        <f t="shared" si="4"/>
        <v>1.0505331561173226E-2</v>
      </c>
      <c r="T75" s="37" t="e">
        <f>SUMIF('[1]JOBS MAR 15'!$E$8:$E$525,$E$16:$E$533,'[1]JOBS MAR 15'!$G$8:$G$525)</f>
        <v>#VALUE!</v>
      </c>
      <c r="U75" s="37" t="e">
        <f>SUMIF('[1]JOBS MAR 15'!$E$8:$E$525,$E$16:$E$533,'[1]JOBS MAR 15'!$H$8:$H$525)</f>
        <v>#VALUE!</v>
      </c>
      <c r="V75" s="37" t="e">
        <f>SUMIF('[1]JOBS MAR 15'!$E$8:$E$525,$E$16:$E$533,'[1]JOBS MAR 15'!$I$8:$I$525)</f>
        <v>#VALUE!</v>
      </c>
      <c r="W75" s="55" t="str">
        <f t="shared" si="5"/>
        <v xml:space="preserve"> </v>
      </c>
    </row>
    <row r="76" spans="2:23" x14ac:dyDescent="0.2">
      <c r="B76">
        <v>199</v>
      </c>
      <c r="C76">
        <v>1</v>
      </c>
      <c r="D76" s="2" t="s">
        <v>199</v>
      </c>
      <c r="E76" s="50" t="s">
        <v>200</v>
      </c>
      <c r="F76" s="50">
        <v>2715030</v>
      </c>
      <c r="G76" s="50">
        <v>4</v>
      </c>
      <c r="H76" s="52" t="e">
        <f>SUMIF('[1]Build Detail'!$D$4:$D$521,$B$16:$B$533,'[1]Build Detail'!$H$4:$H$521)</f>
        <v>#VALUE!</v>
      </c>
      <c r="I76" s="52" t="e">
        <f>SUMIF('[1]Build Detail'!$D$4:$D$521,$B$16:$B$533,'[1]Build Detail'!$Q$4:$Q$521)</f>
        <v>#VALUE!</v>
      </c>
      <c r="J76" s="52" t="e">
        <f>SUMIF('[1]Build Detail'!$D$4:$D$521,$B$16:$B$533,'[1]Build Detail'!$T$4:$T$521)</f>
        <v>#VALUE!</v>
      </c>
      <c r="K76" s="53">
        <v>24978119.529999997</v>
      </c>
      <c r="L76" s="37">
        <f t="shared" si="6"/>
        <v>704403.63</v>
      </c>
      <c r="M76" s="37">
        <v>699998.15</v>
      </c>
      <c r="N76" s="38">
        <v>629998.34</v>
      </c>
      <c r="O76" s="37">
        <f t="shared" si="0"/>
        <v>74405.290000000037</v>
      </c>
      <c r="P76" s="54" t="e">
        <f t="shared" si="1"/>
        <v>#VALUE!</v>
      </c>
      <c r="Q76" s="40">
        <f t="shared" si="2"/>
        <v>0.10562877139063016</v>
      </c>
      <c r="R76" s="37">
        <f t="shared" si="3"/>
        <v>4405.4799999999814</v>
      </c>
      <c r="S76" s="41">
        <f t="shared" si="4"/>
        <v>6.2935594901214831E-3</v>
      </c>
      <c r="T76" s="37" t="e">
        <f>SUMIF('[1]JOBS MAR 15'!$E$8:$E$525,$E$16:$E$533,'[1]JOBS MAR 15'!$G$8:$G$525)</f>
        <v>#VALUE!</v>
      </c>
      <c r="U76" s="37" t="e">
        <f>SUMIF('[1]JOBS MAR 15'!$E$8:$E$525,$E$16:$E$533,'[1]JOBS MAR 15'!$H$8:$H$525)</f>
        <v>#VALUE!</v>
      </c>
      <c r="V76" s="37" t="e">
        <f>SUMIF('[1]JOBS MAR 15'!$E$8:$E$525,$E$16:$E$533,'[1]JOBS MAR 15'!$I$8:$I$525)</f>
        <v>#VALUE!</v>
      </c>
      <c r="W76" s="55" t="str">
        <f t="shared" si="5"/>
        <v xml:space="preserve"> </v>
      </c>
    </row>
    <row r="77" spans="2:23" x14ac:dyDescent="0.2">
      <c r="B77">
        <v>200</v>
      </c>
      <c r="C77">
        <v>1</v>
      </c>
      <c r="D77" s="2" t="s">
        <v>201</v>
      </c>
      <c r="E77" s="50" t="s">
        <v>202</v>
      </c>
      <c r="F77" s="50">
        <v>2713530</v>
      </c>
      <c r="G77" s="50">
        <v>2</v>
      </c>
      <c r="H77" s="52" t="e">
        <f>SUMIF('[1]Build Detail'!$D$4:$D$521,$B$16:$B$533,'[1]Build Detail'!$H$4:$H$521)</f>
        <v>#VALUE!</v>
      </c>
      <c r="I77" s="52" t="e">
        <f>SUMIF('[1]Build Detail'!$D$4:$D$521,$B$16:$B$533,'[1]Build Detail'!$Q$4:$Q$521)</f>
        <v>#VALUE!</v>
      </c>
      <c r="J77" s="52" t="e">
        <f>SUMIF('[1]Build Detail'!$D$4:$D$521,$B$16:$B$533,'[1]Build Detail'!$T$4:$T$521)</f>
        <v>#VALUE!</v>
      </c>
      <c r="K77" s="53">
        <v>28947626.360000003</v>
      </c>
      <c r="L77" s="37">
        <f t="shared" si="6"/>
        <v>816347</v>
      </c>
      <c r="M77" s="37">
        <v>812220.99</v>
      </c>
      <c r="N77" s="38">
        <v>730998.89</v>
      </c>
      <c r="O77" s="37">
        <f t="shared" si="0"/>
        <v>85348.109999999986</v>
      </c>
      <c r="P77" s="54" t="e">
        <f t="shared" si="1"/>
        <v>#VALUE!</v>
      </c>
      <c r="Q77" s="40">
        <f t="shared" si="2"/>
        <v>0.10454881318850928</v>
      </c>
      <c r="R77" s="37">
        <f t="shared" si="3"/>
        <v>4126.0100000000093</v>
      </c>
      <c r="S77" s="41">
        <f t="shared" si="4"/>
        <v>5.0799105795086745E-3</v>
      </c>
      <c r="T77" s="37" t="e">
        <f>SUMIF('[1]JOBS MAR 15'!$E$8:$E$525,$E$16:$E$533,'[1]JOBS MAR 15'!$G$8:$G$525)</f>
        <v>#VALUE!</v>
      </c>
      <c r="U77" s="37" t="e">
        <f>SUMIF('[1]JOBS MAR 15'!$E$8:$E$525,$E$16:$E$533,'[1]JOBS MAR 15'!$H$8:$H$525)</f>
        <v>#VALUE!</v>
      </c>
      <c r="V77" s="37" t="e">
        <f>SUMIF('[1]JOBS MAR 15'!$E$8:$E$525,$E$16:$E$533,'[1]JOBS MAR 15'!$I$8:$I$525)</f>
        <v>#VALUE!</v>
      </c>
      <c r="W77" s="55" t="str">
        <f t="shared" si="5"/>
        <v xml:space="preserve"> </v>
      </c>
    </row>
    <row r="78" spans="2:23" x14ac:dyDescent="0.2">
      <c r="B78">
        <v>203</v>
      </c>
      <c r="C78">
        <v>1</v>
      </c>
      <c r="D78" s="2" t="s">
        <v>203</v>
      </c>
      <c r="E78" s="50" t="s">
        <v>204</v>
      </c>
      <c r="F78" s="50">
        <v>2713590</v>
      </c>
      <c r="G78" s="50">
        <v>1</v>
      </c>
      <c r="H78" s="52" t="e">
        <f>SUMIF('[1]Build Detail'!$D$4:$D$521,$B$16:$B$533,'[1]Build Detail'!$H$4:$H$521)</f>
        <v>#VALUE!</v>
      </c>
      <c r="I78" s="52" t="e">
        <f>SUMIF('[1]Build Detail'!$D$4:$D$521,$B$16:$B$533,'[1]Build Detail'!$Q$4:$Q$521)</f>
        <v>#VALUE!</v>
      </c>
      <c r="J78" s="52" t="e">
        <f>SUMIF('[1]Build Detail'!$D$4:$D$521,$B$16:$B$533,'[1]Build Detail'!$T$4:$T$521)</f>
        <v>#VALUE!</v>
      </c>
      <c r="K78" s="53">
        <v>5546888.3099999996</v>
      </c>
      <c r="L78" s="37">
        <f t="shared" si="6"/>
        <v>156426.84</v>
      </c>
      <c r="M78" s="37">
        <v>155944.82</v>
      </c>
      <c r="N78" s="38">
        <v>140350.34</v>
      </c>
      <c r="O78" s="37">
        <f t="shared" si="0"/>
        <v>16076.5</v>
      </c>
      <c r="P78" s="54" t="e">
        <f t="shared" si="1"/>
        <v>#VALUE!</v>
      </c>
      <c r="Q78" s="40">
        <f t="shared" si="2"/>
        <v>0.10277328366410778</v>
      </c>
      <c r="R78" s="37">
        <f t="shared" si="3"/>
        <v>482.01999999998952</v>
      </c>
      <c r="S78" s="41">
        <f t="shared" si="4"/>
        <v>3.0909651247152006E-3</v>
      </c>
      <c r="T78" s="37" t="e">
        <f>SUMIF('[1]JOBS MAR 15'!$E$8:$E$525,$E$16:$E$533,'[1]JOBS MAR 15'!$G$8:$G$525)</f>
        <v>#VALUE!</v>
      </c>
      <c r="U78" s="37" t="e">
        <f>SUMIF('[1]JOBS MAR 15'!$E$8:$E$525,$E$16:$E$533,'[1]JOBS MAR 15'!$H$8:$H$525)</f>
        <v>#VALUE!</v>
      </c>
      <c r="V78" s="37" t="e">
        <f>SUMIF('[1]JOBS MAR 15'!$E$8:$E$525,$E$16:$E$533,'[1]JOBS MAR 15'!$I$8:$I$525)</f>
        <v>#VALUE!</v>
      </c>
      <c r="W78" s="55" t="str">
        <f t="shared" si="5"/>
        <v xml:space="preserve"> </v>
      </c>
    </row>
    <row r="79" spans="2:23" x14ac:dyDescent="0.2">
      <c r="B79">
        <v>204</v>
      </c>
      <c r="C79">
        <v>1</v>
      </c>
      <c r="D79" s="2" t="s">
        <v>205</v>
      </c>
      <c r="E79" s="50" t="s">
        <v>206</v>
      </c>
      <c r="F79" s="50">
        <v>2716980</v>
      </c>
      <c r="G79" s="50">
        <v>1</v>
      </c>
      <c r="H79" s="52" t="e">
        <f>SUMIF('[1]Build Detail'!$D$4:$D$521,$B$16:$B$533,'[1]Build Detail'!$H$4:$H$521)</f>
        <v>#VALUE!</v>
      </c>
      <c r="I79" s="52" t="e">
        <f>SUMIF('[1]Build Detail'!$D$4:$D$521,$B$16:$B$533,'[1]Build Detail'!$Q$4:$Q$521)</f>
        <v>#VALUE!</v>
      </c>
      <c r="J79" s="52" t="e">
        <f>SUMIF('[1]Build Detail'!$D$4:$D$521,$B$16:$B$533,'[1]Build Detail'!$T$4:$T$521)</f>
        <v>#VALUE!</v>
      </c>
      <c r="K79" s="53">
        <v>14293889.950000001</v>
      </c>
      <c r="L79" s="37">
        <f t="shared" si="6"/>
        <v>403099.52</v>
      </c>
      <c r="M79" s="37">
        <v>401891.95</v>
      </c>
      <c r="N79" s="38">
        <v>361702.76</v>
      </c>
      <c r="O79" s="37">
        <f t="shared" si="0"/>
        <v>41396.760000000009</v>
      </c>
      <c r="P79" s="54" t="e">
        <f t="shared" si="1"/>
        <v>#VALUE!</v>
      </c>
      <c r="Q79" s="40">
        <f t="shared" si="2"/>
        <v>0.10269612824148242</v>
      </c>
      <c r="R79" s="37">
        <f t="shared" si="3"/>
        <v>1207.570000000007</v>
      </c>
      <c r="S79" s="41">
        <f t="shared" si="4"/>
        <v>3.0047130827079442E-3</v>
      </c>
      <c r="T79" s="37" t="e">
        <f>SUMIF('[1]JOBS MAR 15'!$E$8:$E$525,$E$16:$E$533,'[1]JOBS MAR 15'!$G$8:$G$525)</f>
        <v>#VALUE!</v>
      </c>
      <c r="U79" s="37" t="e">
        <f>SUMIF('[1]JOBS MAR 15'!$E$8:$E$525,$E$16:$E$533,'[1]JOBS MAR 15'!$H$8:$H$525)</f>
        <v>#VALUE!</v>
      </c>
      <c r="V79" s="37" t="e">
        <f>SUMIF('[1]JOBS MAR 15'!$E$8:$E$525,$E$16:$E$533,'[1]JOBS MAR 15'!$I$8:$I$525)</f>
        <v>#VALUE!</v>
      </c>
      <c r="W79" s="55" t="str">
        <f t="shared" si="5"/>
        <v xml:space="preserve"> </v>
      </c>
    </row>
    <row r="80" spans="2:23" x14ac:dyDescent="0.2">
      <c r="B80">
        <v>206</v>
      </c>
      <c r="C80">
        <v>1</v>
      </c>
      <c r="D80" s="2" t="s">
        <v>207</v>
      </c>
      <c r="E80" s="50" t="s">
        <v>208</v>
      </c>
      <c r="F80" s="50">
        <v>2703060</v>
      </c>
      <c r="G80" s="50">
        <v>7</v>
      </c>
      <c r="H80" s="52" t="e">
        <f>SUMIF('[1]Build Detail'!$D$4:$D$521,$B$16:$B$533,'[1]Build Detail'!$H$4:$H$521)</f>
        <v>#VALUE!</v>
      </c>
      <c r="I80" s="52" t="e">
        <f>SUMIF('[1]Build Detail'!$D$4:$D$521,$B$16:$B$533,'[1]Build Detail'!$Q$4:$Q$521)</f>
        <v>#VALUE!</v>
      </c>
      <c r="J80" s="52" t="e">
        <f>SUMIF('[1]Build Detail'!$D$4:$D$521,$B$16:$B$533,'[1]Build Detail'!$T$4:$T$521)</f>
        <v>#VALUE!</v>
      </c>
      <c r="K80" s="53">
        <v>27448742.150000002</v>
      </c>
      <c r="L80" s="37">
        <f t="shared" si="6"/>
        <v>774077.23</v>
      </c>
      <c r="M80" s="37">
        <v>763331.76</v>
      </c>
      <c r="N80" s="38">
        <v>686998.58</v>
      </c>
      <c r="O80" s="37">
        <f t="shared" ref="O80:O143" si="7">L80-N80</f>
        <v>87078.650000000023</v>
      </c>
      <c r="P80" s="54" t="e">
        <f t="shared" ref="P80:P143" si="8">IF($H80&gt;0,ROUND(L80/$H80,2),"na")</f>
        <v>#VALUE!</v>
      </c>
      <c r="Q80" s="40">
        <f t="shared" ref="Q80:Q143" si="9">O80/L80</f>
        <v>0.11249349112103456</v>
      </c>
      <c r="R80" s="37">
        <f t="shared" ref="R80:R143" si="10">L80-M80</f>
        <v>10745.469999999972</v>
      </c>
      <c r="S80" s="41">
        <f t="shared" ref="S80:S143" si="11">R80/M80</f>
        <v>1.4077063949232207E-2</v>
      </c>
      <c r="T80" s="37" t="e">
        <f>SUMIF('[1]JOBS MAR 15'!$E$8:$E$525,$E$16:$E$533,'[1]JOBS MAR 15'!$G$8:$G$525)</f>
        <v>#VALUE!</v>
      </c>
      <c r="U80" s="37" t="e">
        <f>SUMIF('[1]JOBS MAR 15'!$E$8:$E$525,$E$16:$E$533,'[1]JOBS MAR 15'!$H$8:$H$525)</f>
        <v>#VALUE!</v>
      </c>
      <c r="V80" s="37" t="e">
        <f>SUMIF('[1]JOBS MAR 15'!$E$8:$E$525,$E$16:$E$533,'[1]JOBS MAR 15'!$I$8:$I$525)</f>
        <v>#VALUE!</v>
      </c>
      <c r="W80" s="55" t="str">
        <f t="shared" ref="W80:W143" si="12">IF(O80&lt;0,IF(V80-ABS(O80)&lt;0,V80-ABS(O80)," ")," ")</f>
        <v xml:space="preserve"> </v>
      </c>
    </row>
    <row r="81" spans="2:23" x14ac:dyDescent="0.2">
      <c r="B81">
        <v>207</v>
      </c>
      <c r="C81">
        <v>1</v>
      </c>
      <c r="D81" s="2" t="s">
        <v>209</v>
      </c>
      <c r="E81" s="50" t="s">
        <v>210</v>
      </c>
      <c r="F81" s="50">
        <v>2706120</v>
      </c>
      <c r="G81" s="50">
        <v>7</v>
      </c>
      <c r="H81" s="52" t="e">
        <f>SUMIF('[1]Build Detail'!$D$4:$D$521,$B$16:$B$533,'[1]Build Detail'!$H$4:$H$521)</f>
        <v>#VALUE!</v>
      </c>
      <c r="I81" s="52" t="e">
        <f>SUMIF('[1]Build Detail'!$D$4:$D$521,$B$16:$B$533,'[1]Build Detail'!$Q$4:$Q$521)</f>
        <v>#VALUE!</v>
      </c>
      <c r="J81" s="52" t="e">
        <f>SUMIF('[1]Build Detail'!$D$4:$D$521,$B$16:$B$533,'[1]Build Detail'!$T$4:$T$521)</f>
        <v>#VALUE!</v>
      </c>
      <c r="K81" s="53">
        <v>1653416.57</v>
      </c>
      <c r="L81" s="37">
        <f t="shared" si="6"/>
        <v>46627.71</v>
      </c>
      <c r="M81" s="37">
        <v>46450.45</v>
      </c>
      <c r="N81" s="38">
        <v>41805.410000000003</v>
      </c>
      <c r="O81" s="37">
        <f t="shared" si="7"/>
        <v>4822.2999999999956</v>
      </c>
      <c r="P81" s="54" t="e">
        <f t="shared" si="8"/>
        <v>#VALUE!</v>
      </c>
      <c r="Q81" s="40">
        <f t="shared" si="9"/>
        <v>0.10342133465272037</v>
      </c>
      <c r="R81" s="37">
        <f t="shared" si="10"/>
        <v>177.26000000000204</v>
      </c>
      <c r="S81" s="41">
        <f t="shared" si="11"/>
        <v>3.8161094241283356E-3</v>
      </c>
      <c r="T81" s="37" t="e">
        <f>SUMIF('[1]JOBS MAR 15'!$E$8:$E$525,$E$16:$E$533,'[1]JOBS MAR 15'!$G$8:$G$525)</f>
        <v>#VALUE!</v>
      </c>
      <c r="U81" s="37" t="e">
        <f>SUMIF('[1]JOBS MAR 15'!$E$8:$E$525,$E$16:$E$533,'[1]JOBS MAR 15'!$H$8:$H$525)</f>
        <v>#VALUE!</v>
      </c>
      <c r="V81" s="37" t="e">
        <f>SUMIF('[1]JOBS MAR 15'!$E$8:$E$525,$E$16:$E$533,'[1]JOBS MAR 15'!$I$8:$I$525)</f>
        <v>#VALUE!</v>
      </c>
      <c r="W81" s="55" t="str">
        <f t="shared" si="12"/>
        <v xml:space="preserve"> </v>
      </c>
    </row>
    <row r="82" spans="2:23" x14ac:dyDescent="0.2">
      <c r="B82">
        <v>208</v>
      </c>
      <c r="C82">
        <v>1</v>
      </c>
      <c r="D82" s="2" t="s">
        <v>211</v>
      </c>
      <c r="E82" s="50" t="s">
        <v>212</v>
      </c>
      <c r="F82" s="50">
        <v>2711610</v>
      </c>
      <c r="G82" s="50">
        <v>7</v>
      </c>
      <c r="H82" s="52" t="e">
        <f>SUMIF('[1]Build Detail'!$D$4:$D$521,$B$16:$B$533,'[1]Build Detail'!$H$4:$H$521)</f>
        <v>#VALUE!</v>
      </c>
      <c r="I82" s="52" t="e">
        <f>SUMIF('[1]Build Detail'!$D$4:$D$521,$B$16:$B$533,'[1]Build Detail'!$Q$4:$Q$521)</f>
        <v>#VALUE!</v>
      </c>
      <c r="J82" s="52" t="e">
        <f>SUMIF('[1]Build Detail'!$D$4:$D$521,$B$16:$B$533,'[1]Build Detail'!$T$4:$T$521)</f>
        <v>#VALUE!</v>
      </c>
      <c r="K82" s="53">
        <v>847580.3</v>
      </c>
      <c r="L82" s="37">
        <f t="shared" ref="L82:L145" si="13">ROUND(K82*$K$548,2)</f>
        <v>23902.47</v>
      </c>
      <c r="M82" s="37">
        <v>24713.22</v>
      </c>
      <c r="N82" s="38">
        <v>22241.9</v>
      </c>
      <c r="O82" s="37">
        <f t="shared" si="7"/>
        <v>1660.5699999999997</v>
      </c>
      <c r="P82" s="54" t="e">
        <f t="shared" si="8"/>
        <v>#VALUE!</v>
      </c>
      <c r="Q82" s="40">
        <f t="shared" si="9"/>
        <v>6.9472736499616966E-2</v>
      </c>
      <c r="R82" s="37">
        <f t="shared" si="10"/>
        <v>-810.75</v>
      </c>
      <c r="S82" s="41">
        <f t="shared" si="11"/>
        <v>-3.2806327949170523E-2</v>
      </c>
      <c r="T82" s="37" t="e">
        <f>SUMIF('[1]JOBS MAR 15'!$E$8:$E$525,$E$16:$E$533,'[1]JOBS MAR 15'!$G$8:$G$525)</f>
        <v>#VALUE!</v>
      </c>
      <c r="U82" s="37" t="e">
        <f>SUMIF('[1]JOBS MAR 15'!$E$8:$E$525,$E$16:$E$533,'[1]JOBS MAR 15'!$H$8:$H$525)</f>
        <v>#VALUE!</v>
      </c>
      <c r="V82" s="37" t="e">
        <f>SUMIF('[1]JOBS MAR 15'!$E$8:$E$525,$E$16:$E$533,'[1]JOBS MAR 15'!$I$8:$I$525)</f>
        <v>#VALUE!</v>
      </c>
      <c r="W82" s="55" t="str">
        <f t="shared" si="12"/>
        <v xml:space="preserve"> </v>
      </c>
    </row>
    <row r="83" spans="2:23" x14ac:dyDescent="0.2">
      <c r="B83">
        <v>213</v>
      </c>
      <c r="C83">
        <v>1</v>
      </c>
      <c r="D83" s="2" t="s">
        <v>213</v>
      </c>
      <c r="E83" s="50" t="s">
        <v>214</v>
      </c>
      <c r="F83" s="50">
        <v>2725140</v>
      </c>
      <c r="G83" s="50">
        <v>7</v>
      </c>
      <c r="H83" s="52" t="e">
        <f>SUMIF('[1]Build Detail'!$D$4:$D$521,$B$16:$B$533,'[1]Build Detail'!$H$4:$H$521)</f>
        <v>#VALUE!</v>
      </c>
      <c r="I83" s="52" t="e">
        <f>SUMIF('[1]Build Detail'!$D$4:$D$521,$B$16:$B$533,'[1]Build Detail'!$Q$4:$Q$521)</f>
        <v>#VALUE!</v>
      </c>
      <c r="J83" s="52" t="e">
        <f>SUMIF('[1]Build Detail'!$D$4:$D$521,$B$16:$B$533,'[1]Build Detail'!$T$4:$T$521)</f>
        <v>#VALUE!</v>
      </c>
      <c r="K83" s="53">
        <v>5930554.620000001</v>
      </c>
      <c r="L83" s="37">
        <f t="shared" si="13"/>
        <v>167246.54</v>
      </c>
      <c r="M83" s="37">
        <v>159172.60999999999</v>
      </c>
      <c r="N83" s="38">
        <v>143255.35</v>
      </c>
      <c r="O83" s="37">
        <f t="shared" si="7"/>
        <v>23991.190000000002</v>
      </c>
      <c r="P83" s="54" t="e">
        <f t="shared" si="8"/>
        <v>#VALUE!</v>
      </c>
      <c r="Q83" s="40">
        <f t="shared" si="9"/>
        <v>0.14344804980718884</v>
      </c>
      <c r="R83" s="37">
        <f t="shared" si="10"/>
        <v>8073.9300000000221</v>
      </c>
      <c r="S83" s="41">
        <f t="shared" si="11"/>
        <v>5.0724367716279972E-2</v>
      </c>
      <c r="T83" s="37" t="e">
        <f>SUMIF('[1]JOBS MAR 15'!$E$8:$E$525,$E$16:$E$533,'[1]JOBS MAR 15'!$G$8:$G$525)</f>
        <v>#VALUE!</v>
      </c>
      <c r="U83" s="37" t="e">
        <f>SUMIF('[1]JOBS MAR 15'!$E$8:$E$525,$E$16:$E$533,'[1]JOBS MAR 15'!$H$8:$H$525)</f>
        <v>#VALUE!</v>
      </c>
      <c r="V83" s="37" t="e">
        <f>SUMIF('[1]JOBS MAR 15'!$E$8:$E$525,$E$16:$E$533,'[1]JOBS MAR 15'!$I$8:$I$525)</f>
        <v>#VALUE!</v>
      </c>
      <c r="W83" s="55" t="str">
        <f t="shared" si="12"/>
        <v xml:space="preserve"> </v>
      </c>
    </row>
    <row r="84" spans="2:23" x14ac:dyDescent="0.2">
      <c r="B84">
        <v>227</v>
      </c>
      <c r="C84">
        <v>1</v>
      </c>
      <c r="D84" s="2" t="s">
        <v>215</v>
      </c>
      <c r="E84" s="50" t="s">
        <v>216</v>
      </c>
      <c r="F84" s="50">
        <v>2708220</v>
      </c>
      <c r="G84" s="50">
        <v>1</v>
      </c>
      <c r="H84" s="52" t="e">
        <f>SUMIF('[1]Build Detail'!$D$4:$D$521,$B$16:$B$533,'[1]Build Detail'!$H$4:$H$521)</f>
        <v>#VALUE!</v>
      </c>
      <c r="I84" s="52" t="e">
        <f>SUMIF('[1]Build Detail'!$D$4:$D$521,$B$16:$B$533,'[1]Build Detail'!$Q$4:$Q$521)</f>
        <v>#VALUE!</v>
      </c>
      <c r="J84" s="52" t="e">
        <f>SUMIF('[1]Build Detail'!$D$4:$D$521,$B$16:$B$533,'[1]Build Detail'!$T$4:$T$521)</f>
        <v>#VALUE!</v>
      </c>
      <c r="K84" s="53">
        <v>5854262.2700000005</v>
      </c>
      <c r="L84" s="37">
        <f t="shared" si="13"/>
        <v>165095.04000000001</v>
      </c>
      <c r="M84" s="37">
        <v>164793.98000000001</v>
      </c>
      <c r="N84" s="38">
        <v>148314.57999999999</v>
      </c>
      <c r="O84" s="37">
        <f t="shared" si="7"/>
        <v>16780.460000000021</v>
      </c>
      <c r="P84" s="54" t="e">
        <f t="shared" si="8"/>
        <v>#VALUE!</v>
      </c>
      <c r="Q84" s="40">
        <f t="shared" si="9"/>
        <v>0.1016412122375089</v>
      </c>
      <c r="R84" s="37">
        <f t="shared" si="10"/>
        <v>301.05999999999767</v>
      </c>
      <c r="S84" s="41">
        <f t="shared" si="11"/>
        <v>1.8268871229397922E-3</v>
      </c>
      <c r="T84" s="37" t="e">
        <f>SUMIF('[1]JOBS MAR 15'!$E$8:$E$525,$E$16:$E$533,'[1]JOBS MAR 15'!$G$8:$G$525)</f>
        <v>#VALUE!</v>
      </c>
      <c r="U84" s="37" t="e">
        <f>SUMIF('[1]JOBS MAR 15'!$E$8:$E$525,$E$16:$E$533,'[1]JOBS MAR 15'!$H$8:$H$525)</f>
        <v>#VALUE!</v>
      </c>
      <c r="V84" s="37" t="e">
        <f>SUMIF('[1]JOBS MAR 15'!$E$8:$E$525,$E$16:$E$533,'[1]JOBS MAR 15'!$I$8:$I$525)</f>
        <v>#VALUE!</v>
      </c>
      <c r="W84" s="55" t="str">
        <f t="shared" si="12"/>
        <v xml:space="preserve"> </v>
      </c>
    </row>
    <row r="85" spans="2:23" x14ac:dyDescent="0.2">
      <c r="B85">
        <v>229</v>
      </c>
      <c r="C85">
        <v>1</v>
      </c>
      <c r="D85" s="2" t="s">
        <v>217</v>
      </c>
      <c r="E85" s="50" t="s">
        <v>218</v>
      </c>
      <c r="F85" s="50">
        <v>2717910</v>
      </c>
      <c r="G85" s="50">
        <v>1</v>
      </c>
      <c r="H85" s="52" t="e">
        <f>SUMIF('[1]Build Detail'!$D$4:$D$521,$B$16:$B$533,'[1]Build Detail'!$H$4:$H$521)</f>
        <v>#VALUE!</v>
      </c>
      <c r="I85" s="52" t="e">
        <f>SUMIF('[1]Build Detail'!$D$4:$D$521,$B$16:$B$533,'[1]Build Detail'!$Q$4:$Q$521)</f>
        <v>#VALUE!</v>
      </c>
      <c r="J85" s="52" t="e">
        <f>SUMIF('[1]Build Detail'!$D$4:$D$521,$B$16:$B$533,'[1]Build Detail'!$T$4:$T$521)</f>
        <v>#VALUE!</v>
      </c>
      <c r="K85" s="53">
        <v>2359524.1899999995</v>
      </c>
      <c r="L85" s="37">
        <f t="shared" si="13"/>
        <v>66540.53</v>
      </c>
      <c r="M85" s="37">
        <v>66427.399999999994</v>
      </c>
      <c r="N85" s="38">
        <v>59784.66</v>
      </c>
      <c r="O85" s="37">
        <f t="shared" si="7"/>
        <v>6755.8699999999953</v>
      </c>
      <c r="P85" s="54" t="e">
        <f t="shared" si="8"/>
        <v>#VALUE!</v>
      </c>
      <c r="Q85" s="40">
        <f t="shared" si="9"/>
        <v>0.1015301501205355</v>
      </c>
      <c r="R85" s="37">
        <f t="shared" si="10"/>
        <v>113.13000000000466</v>
      </c>
      <c r="S85" s="41">
        <f t="shared" si="11"/>
        <v>1.703062290560893E-3</v>
      </c>
      <c r="T85" s="37" t="e">
        <f>SUMIF('[1]JOBS MAR 15'!$E$8:$E$525,$E$16:$E$533,'[1]JOBS MAR 15'!$G$8:$G$525)</f>
        <v>#VALUE!</v>
      </c>
      <c r="U85" s="37" t="e">
        <f>SUMIF('[1]JOBS MAR 15'!$E$8:$E$525,$E$16:$E$533,'[1]JOBS MAR 15'!$H$8:$H$525)</f>
        <v>#VALUE!</v>
      </c>
      <c r="V85" s="37" t="e">
        <f>SUMIF('[1]JOBS MAR 15'!$E$8:$E$525,$E$16:$E$533,'[1]JOBS MAR 15'!$I$8:$I$525)</f>
        <v>#VALUE!</v>
      </c>
      <c r="W85" s="55" t="str">
        <f t="shared" si="12"/>
        <v xml:space="preserve"> </v>
      </c>
    </row>
    <row r="86" spans="2:23" x14ac:dyDescent="0.2">
      <c r="B86">
        <v>238</v>
      </c>
      <c r="C86">
        <v>1</v>
      </c>
      <c r="D86" s="2" t="s">
        <v>219</v>
      </c>
      <c r="E86" s="50" t="s">
        <v>220</v>
      </c>
      <c r="F86" s="50">
        <v>2718540</v>
      </c>
      <c r="G86" s="50">
        <v>1</v>
      </c>
      <c r="H86" s="52" t="e">
        <f>SUMIF('[1]Build Detail'!$D$4:$D$521,$B$16:$B$533,'[1]Build Detail'!$H$4:$H$521)</f>
        <v>#VALUE!</v>
      </c>
      <c r="I86" s="52" t="e">
        <f>SUMIF('[1]Build Detail'!$D$4:$D$521,$B$16:$B$533,'[1]Build Detail'!$Q$4:$Q$521)</f>
        <v>#VALUE!</v>
      </c>
      <c r="J86" s="52" t="e">
        <f>SUMIF('[1]Build Detail'!$D$4:$D$521,$B$16:$B$533,'[1]Build Detail'!$T$4:$T$521)</f>
        <v>#VALUE!</v>
      </c>
      <c r="K86" s="53">
        <v>1934617.15</v>
      </c>
      <c r="L86" s="37">
        <f t="shared" si="13"/>
        <v>54557.8</v>
      </c>
      <c r="M86" s="37">
        <v>54097.25</v>
      </c>
      <c r="N86" s="38">
        <v>48687.53</v>
      </c>
      <c r="O86" s="37">
        <f t="shared" si="7"/>
        <v>5870.2700000000041</v>
      </c>
      <c r="P86" s="54" t="e">
        <f t="shared" si="8"/>
        <v>#VALUE!</v>
      </c>
      <c r="Q86" s="40">
        <f t="shared" si="9"/>
        <v>0.10759726381928897</v>
      </c>
      <c r="R86" s="37">
        <f t="shared" si="10"/>
        <v>460.55000000000291</v>
      </c>
      <c r="S86" s="41">
        <f t="shared" si="11"/>
        <v>8.5133717517988979E-3</v>
      </c>
      <c r="T86" s="37" t="e">
        <f>SUMIF('[1]JOBS MAR 15'!$E$8:$E$525,$E$16:$E$533,'[1]JOBS MAR 15'!$G$8:$G$525)</f>
        <v>#VALUE!</v>
      </c>
      <c r="U86" s="37" t="e">
        <f>SUMIF('[1]JOBS MAR 15'!$E$8:$E$525,$E$16:$E$533,'[1]JOBS MAR 15'!$H$8:$H$525)</f>
        <v>#VALUE!</v>
      </c>
      <c r="V86" s="37" t="e">
        <f>SUMIF('[1]JOBS MAR 15'!$E$8:$E$525,$E$16:$E$533,'[1]JOBS MAR 15'!$I$8:$I$525)</f>
        <v>#VALUE!</v>
      </c>
      <c r="W86" s="55" t="str">
        <f t="shared" si="12"/>
        <v xml:space="preserve"> </v>
      </c>
    </row>
    <row r="87" spans="2:23" x14ac:dyDescent="0.2">
      <c r="B87">
        <v>239</v>
      </c>
      <c r="C87">
        <v>1</v>
      </c>
      <c r="D87" s="2" t="s">
        <v>221</v>
      </c>
      <c r="E87" s="50" t="s">
        <v>222</v>
      </c>
      <c r="F87" s="50">
        <v>2728290</v>
      </c>
      <c r="G87" s="50">
        <v>1</v>
      </c>
      <c r="H87" s="52" t="e">
        <f>SUMIF('[1]Build Detail'!$D$4:$D$521,$B$16:$B$533,'[1]Build Detail'!$H$4:$H$521)</f>
        <v>#VALUE!</v>
      </c>
      <c r="I87" s="52" t="e">
        <f>SUMIF('[1]Build Detail'!$D$4:$D$521,$B$16:$B$533,'[1]Build Detail'!$Q$4:$Q$521)</f>
        <v>#VALUE!</v>
      </c>
      <c r="J87" s="52" t="e">
        <f>SUMIF('[1]Build Detail'!$D$4:$D$521,$B$16:$B$533,'[1]Build Detail'!$T$4:$T$521)</f>
        <v>#VALUE!</v>
      </c>
      <c r="K87" s="53">
        <v>4613862.8199999994</v>
      </c>
      <c r="L87" s="37">
        <f t="shared" si="13"/>
        <v>130114.75</v>
      </c>
      <c r="M87" s="37">
        <v>129626.74</v>
      </c>
      <c r="N87" s="38">
        <v>116664.07</v>
      </c>
      <c r="O87" s="37">
        <f t="shared" si="7"/>
        <v>13450.679999999993</v>
      </c>
      <c r="P87" s="54" t="e">
        <f t="shared" si="8"/>
        <v>#VALUE!</v>
      </c>
      <c r="Q87" s="40">
        <f t="shared" si="9"/>
        <v>0.10337552045406069</v>
      </c>
      <c r="R87" s="37">
        <f t="shared" si="10"/>
        <v>488.00999999999476</v>
      </c>
      <c r="S87" s="41">
        <f t="shared" si="11"/>
        <v>3.7647324926939822E-3</v>
      </c>
      <c r="T87" s="37" t="e">
        <f>SUMIF('[1]JOBS MAR 15'!$E$8:$E$525,$E$16:$E$533,'[1]JOBS MAR 15'!$G$8:$G$525)</f>
        <v>#VALUE!</v>
      </c>
      <c r="U87" s="37" t="e">
        <f>SUMIF('[1]JOBS MAR 15'!$E$8:$E$525,$E$16:$E$533,'[1]JOBS MAR 15'!$H$8:$H$525)</f>
        <v>#VALUE!</v>
      </c>
      <c r="V87" s="37" t="e">
        <f>SUMIF('[1]JOBS MAR 15'!$E$8:$E$525,$E$16:$E$533,'[1]JOBS MAR 15'!$I$8:$I$525)</f>
        <v>#VALUE!</v>
      </c>
      <c r="W87" s="55" t="str">
        <f t="shared" si="12"/>
        <v xml:space="preserve"> </v>
      </c>
    </row>
    <row r="88" spans="2:23" x14ac:dyDescent="0.2">
      <c r="B88">
        <v>241</v>
      </c>
      <c r="C88">
        <v>1</v>
      </c>
      <c r="D88" s="2" t="s">
        <v>223</v>
      </c>
      <c r="E88" s="50" t="s">
        <v>224</v>
      </c>
      <c r="F88" s="50">
        <v>2702970</v>
      </c>
      <c r="G88" s="50">
        <v>1</v>
      </c>
      <c r="H88" s="52" t="e">
        <f>SUMIF('[1]Build Detail'!$D$4:$D$521,$B$16:$B$533,'[1]Build Detail'!$H$4:$H$521)</f>
        <v>#VALUE!</v>
      </c>
      <c r="I88" s="52" t="e">
        <f>SUMIF('[1]Build Detail'!$D$4:$D$521,$B$16:$B$533,'[1]Build Detail'!$Q$4:$Q$521)</f>
        <v>#VALUE!</v>
      </c>
      <c r="J88" s="52" t="e">
        <f>SUMIF('[1]Build Detail'!$D$4:$D$521,$B$16:$B$533,'[1]Build Detail'!$T$4:$T$521)</f>
        <v>#VALUE!</v>
      </c>
      <c r="K88" s="53">
        <v>25783524.960000001</v>
      </c>
      <c r="L88" s="37">
        <f t="shared" si="13"/>
        <v>727116.72</v>
      </c>
      <c r="M88" s="37">
        <v>725133.09</v>
      </c>
      <c r="N88" s="38">
        <v>652619.78</v>
      </c>
      <c r="O88" s="37">
        <f t="shared" si="7"/>
        <v>74496.939999999944</v>
      </c>
      <c r="P88" s="54" t="e">
        <f t="shared" si="8"/>
        <v>#VALUE!</v>
      </c>
      <c r="Q88" s="40">
        <f t="shared" si="9"/>
        <v>0.10245527018000625</v>
      </c>
      <c r="R88" s="37">
        <f t="shared" si="10"/>
        <v>1983.6300000000047</v>
      </c>
      <c r="S88" s="41">
        <f t="shared" si="11"/>
        <v>2.7355392097745874E-3</v>
      </c>
      <c r="T88" s="37" t="e">
        <f>SUMIF('[1]JOBS MAR 15'!$E$8:$E$525,$E$16:$E$533,'[1]JOBS MAR 15'!$G$8:$G$525)</f>
        <v>#VALUE!</v>
      </c>
      <c r="U88" s="37" t="e">
        <f>SUMIF('[1]JOBS MAR 15'!$E$8:$E$525,$E$16:$E$533,'[1]JOBS MAR 15'!$H$8:$H$525)</f>
        <v>#VALUE!</v>
      </c>
      <c r="V88" s="37" t="e">
        <f>SUMIF('[1]JOBS MAR 15'!$E$8:$E$525,$E$16:$E$533,'[1]JOBS MAR 15'!$I$8:$I$525)</f>
        <v>#VALUE!</v>
      </c>
      <c r="W88" s="55" t="str">
        <f t="shared" si="12"/>
        <v xml:space="preserve"> </v>
      </c>
    </row>
    <row r="89" spans="2:23" x14ac:dyDescent="0.2">
      <c r="B89">
        <v>242</v>
      </c>
      <c r="C89">
        <v>1</v>
      </c>
      <c r="D89" s="2" t="s">
        <v>225</v>
      </c>
      <c r="E89" s="50" t="s">
        <v>226</v>
      </c>
      <c r="F89" s="50">
        <v>2703030</v>
      </c>
      <c r="G89" s="50">
        <v>1</v>
      </c>
      <c r="H89" s="52" t="e">
        <f>SUMIF('[1]Build Detail'!$D$4:$D$521,$B$16:$B$533,'[1]Build Detail'!$H$4:$H$521)</f>
        <v>#VALUE!</v>
      </c>
      <c r="I89" s="52" t="e">
        <f>SUMIF('[1]Build Detail'!$D$4:$D$521,$B$16:$B$533,'[1]Build Detail'!$Q$4:$Q$521)</f>
        <v>#VALUE!</v>
      </c>
      <c r="J89" s="52" t="e">
        <f>SUMIF('[1]Build Detail'!$D$4:$D$521,$B$16:$B$533,'[1]Build Detail'!$T$4:$T$521)</f>
        <v>#VALUE!</v>
      </c>
      <c r="K89" s="53">
        <v>3745047.2899999996</v>
      </c>
      <c r="L89" s="37">
        <f t="shared" si="13"/>
        <v>105613.43</v>
      </c>
      <c r="M89" s="37">
        <v>104749.94</v>
      </c>
      <c r="N89" s="38">
        <v>94274.95</v>
      </c>
      <c r="O89" s="37">
        <f t="shared" si="7"/>
        <v>11338.479999999996</v>
      </c>
      <c r="P89" s="54" t="e">
        <f t="shared" si="8"/>
        <v>#VALUE!</v>
      </c>
      <c r="Q89" s="40">
        <f t="shared" si="9"/>
        <v>0.10735831607779424</v>
      </c>
      <c r="R89" s="37">
        <f t="shared" si="10"/>
        <v>863.48999999999069</v>
      </c>
      <c r="S89" s="41">
        <f t="shared" si="11"/>
        <v>8.2433460105083654E-3</v>
      </c>
      <c r="T89" s="37" t="e">
        <f>SUMIF('[1]JOBS MAR 15'!$E$8:$E$525,$E$16:$E$533,'[1]JOBS MAR 15'!$G$8:$G$525)</f>
        <v>#VALUE!</v>
      </c>
      <c r="U89" s="37" t="e">
        <f>SUMIF('[1]JOBS MAR 15'!$E$8:$E$525,$E$16:$E$533,'[1]JOBS MAR 15'!$H$8:$H$525)</f>
        <v>#VALUE!</v>
      </c>
      <c r="V89" s="37" t="e">
        <f>SUMIF('[1]JOBS MAR 15'!$E$8:$E$525,$E$16:$E$533,'[1]JOBS MAR 15'!$I$8:$I$525)</f>
        <v>#VALUE!</v>
      </c>
      <c r="W89" s="55" t="str">
        <f t="shared" si="12"/>
        <v xml:space="preserve"> </v>
      </c>
    </row>
    <row r="90" spans="2:23" x14ac:dyDescent="0.2">
      <c r="B90">
        <v>252</v>
      </c>
      <c r="C90">
        <v>1</v>
      </c>
      <c r="D90" s="2" t="s">
        <v>227</v>
      </c>
      <c r="E90" s="50" t="s">
        <v>228</v>
      </c>
      <c r="F90" s="50">
        <v>2707500</v>
      </c>
      <c r="G90" s="50">
        <v>2</v>
      </c>
      <c r="H90" s="52" t="e">
        <f>SUMIF('[1]Build Detail'!$D$4:$D$521,$B$16:$B$533,'[1]Build Detail'!$H$4:$H$521)</f>
        <v>#VALUE!</v>
      </c>
      <c r="I90" s="52" t="e">
        <f>SUMIF('[1]Build Detail'!$D$4:$D$521,$B$16:$B$533,'[1]Build Detail'!$Q$4:$Q$521)</f>
        <v>#VALUE!</v>
      </c>
      <c r="J90" s="52" t="e">
        <f>SUMIF('[1]Build Detail'!$D$4:$D$521,$B$16:$B$533,'[1]Build Detail'!$T$4:$T$521)</f>
        <v>#VALUE!</v>
      </c>
      <c r="K90" s="53">
        <v>7578204.5599999996</v>
      </c>
      <c r="L90" s="37">
        <f t="shared" si="13"/>
        <v>213711.64</v>
      </c>
      <c r="M90" s="37">
        <v>211464.45</v>
      </c>
      <c r="N90" s="38">
        <v>190318.01</v>
      </c>
      <c r="O90" s="37">
        <f t="shared" si="7"/>
        <v>23393.630000000005</v>
      </c>
      <c r="P90" s="54" t="e">
        <f t="shared" si="8"/>
        <v>#VALUE!</v>
      </c>
      <c r="Q90" s="40">
        <f t="shared" si="9"/>
        <v>0.10946352758324256</v>
      </c>
      <c r="R90" s="37">
        <f t="shared" si="10"/>
        <v>2247.1900000000023</v>
      </c>
      <c r="S90" s="41">
        <f t="shared" si="11"/>
        <v>1.0626798026807827E-2</v>
      </c>
      <c r="T90" s="37" t="e">
        <f>SUMIF('[1]JOBS MAR 15'!$E$8:$E$525,$E$16:$E$533,'[1]JOBS MAR 15'!$G$8:$G$525)</f>
        <v>#VALUE!</v>
      </c>
      <c r="U90" s="37" t="e">
        <f>SUMIF('[1]JOBS MAR 15'!$E$8:$E$525,$E$16:$E$533,'[1]JOBS MAR 15'!$H$8:$H$525)</f>
        <v>#VALUE!</v>
      </c>
      <c r="V90" s="37" t="e">
        <f>SUMIF('[1]JOBS MAR 15'!$E$8:$E$525,$E$16:$E$533,'[1]JOBS MAR 15'!$I$8:$I$525)</f>
        <v>#VALUE!</v>
      </c>
      <c r="W90" s="55" t="str">
        <f t="shared" si="12"/>
        <v xml:space="preserve"> </v>
      </c>
    </row>
    <row r="91" spans="2:23" x14ac:dyDescent="0.2">
      <c r="B91">
        <v>253</v>
      </c>
      <c r="C91">
        <v>1</v>
      </c>
      <c r="D91" s="2" t="s">
        <v>229</v>
      </c>
      <c r="E91" s="50" t="s">
        <v>230</v>
      </c>
      <c r="F91" s="50">
        <v>2712900</v>
      </c>
      <c r="G91" s="50">
        <v>2</v>
      </c>
      <c r="H91" s="52" t="e">
        <f>SUMIF('[1]Build Detail'!$D$4:$D$521,$B$16:$B$533,'[1]Build Detail'!$H$4:$H$521)</f>
        <v>#VALUE!</v>
      </c>
      <c r="I91" s="52" t="e">
        <f>SUMIF('[1]Build Detail'!$D$4:$D$521,$B$16:$B$533,'[1]Build Detail'!$Q$4:$Q$521)</f>
        <v>#VALUE!</v>
      </c>
      <c r="J91" s="52" t="e">
        <f>SUMIF('[1]Build Detail'!$D$4:$D$521,$B$16:$B$533,'[1]Build Detail'!$T$4:$T$521)</f>
        <v>#VALUE!</v>
      </c>
      <c r="K91" s="53">
        <v>4372333.2299999986</v>
      </c>
      <c r="L91" s="37">
        <f t="shared" si="13"/>
        <v>123303.41</v>
      </c>
      <c r="M91" s="37">
        <v>122558.67</v>
      </c>
      <c r="N91" s="38">
        <v>110302.8</v>
      </c>
      <c r="O91" s="37">
        <f t="shared" si="7"/>
        <v>13000.61</v>
      </c>
      <c r="P91" s="54" t="e">
        <f t="shared" si="8"/>
        <v>#VALUE!</v>
      </c>
      <c r="Q91" s="40">
        <f t="shared" si="9"/>
        <v>0.10543593238824457</v>
      </c>
      <c r="R91" s="37">
        <f t="shared" si="10"/>
        <v>744.74000000000524</v>
      </c>
      <c r="S91" s="41">
        <f t="shared" si="11"/>
        <v>6.0765998847735966E-3</v>
      </c>
      <c r="T91" s="37" t="e">
        <f>SUMIF('[1]JOBS MAR 15'!$E$8:$E$525,$E$16:$E$533,'[1]JOBS MAR 15'!$G$8:$G$525)</f>
        <v>#VALUE!</v>
      </c>
      <c r="U91" s="37" t="e">
        <f>SUMIF('[1]JOBS MAR 15'!$E$8:$E$525,$E$16:$E$533,'[1]JOBS MAR 15'!$H$8:$H$525)</f>
        <v>#VALUE!</v>
      </c>
      <c r="V91" s="37" t="e">
        <f>SUMIF('[1]JOBS MAR 15'!$E$8:$E$525,$E$16:$E$533,'[1]JOBS MAR 15'!$I$8:$I$525)</f>
        <v>#VALUE!</v>
      </c>
      <c r="W91" s="55" t="str">
        <f t="shared" si="12"/>
        <v xml:space="preserve"> </v>
      </c>
    </row>
    <row r="92" spans="2:23" x14ac:dyDescent="0.2">
      <c r="B92">
        <v>255</v>
      </c>
      <c r="C92">
        <v>1</v>
      </c>
      <c r="D92" s="2" t="s">
        <v>231</v>
      </c>
      <c r="E92" s="50" t="s">
        <v>232</v>
      </c>
      <c r="F92" s="50">
        <v>2728950</v>
      </c>
      <c r="G92" s="50">
        <v>2</v>
      </c>
      <c r="H92" s="52" t="e">
        <f>SUMIF('[1]Build Detail'!$D$4:$D$521,$B$16:$B$533,'[1]Build Detail'!$H$4:$H$521)</f>
        <v>#VALUE!</v>
      </c>
      <c r="I92" s="52" t="e">
        <f>SUMIF('[1]Build Detail'!$D$4:$D$521,$B$16:$B$533,'[1]Build Detail'!$Q$4:$Q$521)</f>
        <v>#VALUE!</v>
      </c>
      <c r="J92" s="52" t="e">
        <f>SUMIF('[1]Build Detail'!$D$4:$D$521,$B$16:$B$533,'[1]Build Detail'!$T$4:$T$521)</f>
        <v>#VALUE!</v>
      </c>
      <c r="K92" s="53">
        <v>7733367.2800000012</v>
      </c>
      <c r="L92" s="37">
        <f t="shared" si="13"/>
        <v>218087.35</v>
      </c>
      <c r="M92" s="37">
        <v>214570.15</v>
      </c>
      <c r="N92" s="38">
        <v>193113.14</v>
      </c>
      <c r="O92" s="37">
        <f t="shared" si="7"/>
        <v>24974.209999999992</v>
      </c>
      <c r="P92" s="54" t="e">
        <f t="shared" si="8"/>
        <v>#VALUE!</v>
      </c>
      <c r="Q92" s="40">
        <f t="shared" si="9"/>
        <v>0.11451471165108838</v>
      </c>
      <c r="R92" s="37">
        <f t="shared" si="10"/>
        <v>3517.2000000000116</v>
      </c>
      <c r="S92" s="41">
        <f t="shared" si="11"/>
        <v>1.6391842015303675E-2</v>
      </c>
      <c r="T92" s="37" t="e">
        <f>SUMIF('[1]JOBS MAR 15'!$E$8:$E$525,$E$16:$E$533,'[1]JOBS MAR 15'!$G$8:$G$525)</f>
        <v>#VALUE!</v>
      </c>
      <c r="U92" s="37" t="e">
        <f>SUMIF('[1]JOBS MAR 15'!$E$8:$E$525,$E$16:$E$533,'[1]JOBS MAR 15'!$H$8:$H$525)</f>
        <v>#VALUE!</v>
      </c>
      <c r="V92" s="37" t="e">
        <f>SUMIF('[1]JOBS MAR 15'!$E$8:$E$525,$E$16:$E$533,'[1]JOBS MAR 15'!$I$8:$I$525)</f>
        <v>#VALUE!</v>
      </c>
      <c r="W92" s="55" t="str">
        <f t="shared" si="12"/>
        <v xml:space="preserve"> </v>
      </c>
    </row>
    <row r="93" spans="2:23" x14ac:dyDescent="0.2">
      <c r="B93">
        <v>256</v>
      </c>
      <c r="C93">
        <v>1</v>
      </c>
      <c r="D93" s="2" t="s">
        <v>233</v>
      </c>
      <c r="E93" s="50" t="s">
        <v>234</v>
      </c>
      <c r="F93" s="50">
        <v>2730480</v>
      </c>
      <c r="G93" s="50">
        <v>2</v>
      </c>
      <c r="H93" s="52" t="e">
        <f>SUMIF('[1]Build Detail'!$D$4:$D$521,$B$16:$B$533,'[1]Build Detail'!$H$4:$H$521)</f>
        <v>#VALUE!</v>
      </c>
      <c r="I93" s="52" t="e">
        <f>SUMIF('[1]Build Detail'!$D$4:$D$521,$B$16:$B$533,'[1]Build Detail'!$Q$4:$Q$521)</f>
        <v>#VALUE!</v>
      </c>
      <c r="J93" s="52" t="e">
        <f>SUMIF('[1]Build Detail'!$D$4:$D$521,$B$16:$B$533,'[1]Build Detail'!$T$4:$T$521)</f>
        <v>#VALUE!</v>
      </c>
      <c r="K93" s="53">
        <v>18881216.500000004</v>
      </c>
      <c r="L93" s="37">
        <f t="shared" si="13"/>
        <v>532465.92000000004</v>
      </c>
      <c r="M93" s="37">
        <v>526530.97</v>
      </c>
      <c r="N93" s="38">
        <v>473877.87</v>
      </c>
      <c r="O93" s="37">
        <f t="shared" si="7"/>
        <v>58588.050000000047</v>
      </c>
      <c r="P93" s="54" t="e">
        <f t="shared" si="8"/>
        <v>#VALUE!</v>
      </c>
      <c r="Q93" s="40">
        <f t="shared" si="9"/>
        <v>0.11003154906139354</v>
      </c>
      <c r="R93" s="37">
        <f t="shared" si="10"/>
        <v>5934.9500000000698</v>
      </c>
      <c r="S93" s="41">
        <f t="shared" si="11"/>
        <v>1.1271796604860811E-2</v>
      </c>
      <c r="T93" s="37" t="e">
        <f>SUMIF('[1]JOBS MAR 15'!$E$8:$E$525,$E$16:$E$533,'[1]JOBS MAR 15'!$G$8:$G$525)</f>
        <v>#VALUE!</v>
      </c>
      <c r="U93" s="37" t="e">
        <f>SUMIF('[1]JOBS MAR 15'!$E$8:$E$525,$E$16:$E$533,'[1]JOBS MAR 15'!$H$8:$H$525)</f>
        <v>#VALUE!</v>
      </c>
      <c r="V93" s="37" t="e">
        <f>SUMIF('[1]JOBS MAR 15'!$E$8:$E$525,$E$16:$E$533,'[1]JOBS MAR 15'!$I$8:$I$525)</f>
        <v>#VALUE!</v>
      </c>
      <c r="W93" s="55" t="str">
        <f t="shared" si="12"/>
        <v xml:space="preserve"> </v>
      </c>
    </row>
    <row r="94" spans="2:23" x14ac:dyDescent="0.2">
      <c r="B94">
        <v>261</v>
      </c>
      <c r="C94">
        <v>1</v>
      </c>
      <c r="D94" s="2" t="s">
        <v>235</v>
      </c>
      <c r="E94" s="50" t="s">
        <v>236</v>
      </c>
      <c r="F94" s="50">
        <v>2703300</v>
      </c>
      <c r="G94" s="50">
        <v>7</v>
      </c>
      <c r="H94" s="52" t="e">
        <f>SUMIF('[1]Build Detail'!$D$4:$D$521,$B$16:$B$533,'[1]Build Detail'!$H$4:$H$521)</f>
        <v>#VALUE!</v>
      </c>
      <c r="I94" s="52" t="e">
        <f>SUMIF('[1]Build Detail'!$D$4:$D$521,$B$16:$B$533,'[1]Build Detail'!$Q$4:$Q$521)</f>
        <v>#VALUE!</v>
      </c>
      <c r="J94" s="52" t="e">
        <f>SUMIF('[1]Build Detail'!$D$4:$D$521,$B$16:$B$533,'[1]Build Detail'!$T$4:$T$521)</f>
        <v>#VALUE!</v>
      </c>
      <c r="K94" s="53">
        <v>1658908.32</v>
      </c>
      <c r="L94" s="37">
        <f t="shared" si="13"/>
        <v>46782.59</v>
      </c>
      <c r="M94" s="37">
        <v>46104.92</v>
      </c>
      <c r="N94" s="38">
        <v>41494.43</v>
      </c>
      <c r="O94" s="37">
        <f t="shared" si="7"/>
        <v>5288.1599999999962</v>
      </c>
      <c r="P94" s="54" t="e">
        <f t="shared" si="8"/>
        <v>#VALUE!</v>
      </c>
      <c r="Q94" s="40">
        <f t="shared" si="9"/>
        <v>0.11303692249616784</v>
      </c>
      <c r="R94" s="37">
        <f t="shared" si="10"/>
        <v>677.66999999999825</v>
      </c>
      <c r="S94" s="41">
        <f t="shared" si="11"/>
        <v>1.46984313170915E-2</v>
      </c>
      <c r="T94" s="37" t="e">
        <f>SUMIF('[1]JOBS MAR 15'!$E$8:$E$525,$E$16:$E$533,'[1]JOBS MAR 15'!$G$8:$G$525)</f>
        <v>#VALUE!</v>
      </c>
      <c r="U94" s="37" t="e">
        <f>SUMIF('[1]JOBS MAR 15'!$E$8:$E$525,$E$16:$E$533,'[1]JOBS MAR 15'!$H$8:$H$525)</f>
        <v>#VALUE!</v>
      </c>
      <c r="V94" s="37" t="e">
        <f>SUMIF('[1]JOBS MAR 15'!$E$8:$E$525,$E$16:$E$533,'[1]JOBS MAR 15'!$I$8:$I$525)</f>
        <v>#VALUE!</v>
      </c>
      <c r="W94" s="55" t="str">
        <f t="shared" si="12"/>
        <v xml:space="preserve"> </v>
      </c>
    </row>
    <row r="95" spans="2:23" x14ac:dyDescent="0.2">
      <c r="B95">
        <v>264</v>
      </c>
      <c r="C95">
        <v>1</v>
      </c>
      <c r="D95" s="2" t="s">
        <v>237</v>
      </c>
      <c r="E95" s="50" t="s">
        <v>238</v>
      </c>
      <c r="F95" s="50">
        <v>2713890</v>
      </c>
      <c r="G95" s="50">
        <v>7</v>
      </c>
      <c r="H95" s="52" t="e">
        <f>SUMIF('[1]Build Detail'!$D$4:$D$521,$B$16:$B$533,'[1]Build Detail'!$H$4:$H$521)</f>
        <v>#VALUE!</v>
      </c>
      <c r="I95" s="52" t="e">
        <f>SUMIF('[1]Build Detail'!$D$4:$D$521,$B$16:$B$533,'[1]Build Detail'!$Q$4:$Q$521)</f>
        <v>#VALUE!</v>
      </c>
      <c r="J95" s="52" t="e">
        <f>SUMIF('[1]Build Detail'!$D$4:$D$521,$B$16:$B$533,'[1]Build Detail'!$T$4:$T$521)</f>
        <v>#VALUE!</v>
      </c>
      <c r="K95" s="53">
        <v>1187946.3399999999</v>
      </c>
      <c r="L95" s="37">
        <f t="shared" si="13"/>
        <v>33501.07</v>
      </c>
      <c r="M95" s="37">
        <v>33358.76</v>
      </c>
      <c r="N95" s="38">
        <v>30022.880000000001</v>
      </c>
      <c r="O95" s="37">
        <f t="shared" si="7"/>
        <v>3478.1899999999987</v>
      </c>
      <c r="P95" s="54" t="e">
        <f t="shared" si="8"/>
        <v>#VALUE!</v>
      </c>
      <c r="Q95" s="40">
        <f t="shared" si="9"/>
        <v>0.10382325101854951</v>
      </c>
      <c r="R95" s="37">
        <f t="shared" si="10"/>
        <v>142.30999999999767</v>
      </c>
      <c r="S95" s="41">
        <f t="shared" si="11"/>
        <v>4.266045860217756E-3</v>
      </c>
      <c r="T95" s="37" t="e">
        <f>SUMIF('[1]JOBS MAR 15'!$E$8:$E$525,$E$16:$E$533,'[1]JOBS MAR 15'!$G$8:$G$525)</f>
        <v>#VALUE!</v>
      </c>
      <c r="U95" s="37" t="e">
        <f>SUMIF('[1]JOBS MAR 15'!$E$8:$E$525,$E$16:$E$533,'[1]JOBS MAR 15'!$H$8:$H$525)</f>
        <v>#VALUE!</v>
      </c>
      <c r="V95" s="37" t="e">
        <f>SUMIF('[1]JOBS MAR 15'!$E$8:$E$525,$E$16:$E$533,'[1]JOBS MAR 15'!$I$8:$I$525)</f>
        <v>#VALUE!</v>
      </c>
      <c r="W95" s="55" t="str">
        <f t="shared" si="12"/>
        <v xml:space="preserve"> </v>
      </c>
    </row>
    <row r="96" spans="2:23" x14ac:dyDescent="0.2">
      <c r="B96">
        <v>270</v>
      </c>
      <c r="C96">
        <v>1</v>
      </c>
      <c r="D96" s="2" t="s">
        <v>239</v>
      </c>
      <c r="E96" s="50" t="s">
        <v>240</v>
      </c>
      <c r="F96" s="50">
        <v>2714260</v>
      </c>
      <c r="G96" s="50">
        <v>5</v>
      </c>
      <c r="H96" s="52" t="e">
        <f>SUMIF('[1]Build Detail'!$D$4:$D$521,$B$16:$B$533,'[1]Build Detail'!$H$4:$H$521)</f>
        <v>#VALUE!</v>
      </c>
      <c r="I96" s="52" t="e">
        <f>SUMIF('[1]Build Detail'!$D$4:$D$521,$B$16:$B$533,'[1]Build Detail'!$Q$4:$Q$521)</f>
        <v>#VALUE!</v>
      </c>
      <c r="J96" s="52" t="e">
        <f>SUMIF('[1]Build Detail'!$D$4:$D$521,$B$16:$B$533,'[1]Build Detail'!$T$4:$T$521)</f>
        <v>#VALUE!</v>
      </c>
      <c r="K96" s="53">
        <v>45592386.050000004</v>
      </c>
      <c r="L96" s="37">
        <f t="shared" si="13"/>
        <v>1285742.99</v>
      </c>
      <c r="M96" s="37">
        <v>1284051.97</v>
      </c>
      <c r="N96" s="38">
        <v>1155646.77</v>
      </c>
      <c r="O96" s="37">
        <f t="shared" si="7"/>
        <v>130096.21999999997</v>
      </c>
      <c r="P96" s="54" t="e">
        <f t="shared" si="8"/>
        <v>#VALUE!</v>
      </c>
      <c r="Q96" s="40">
        <f t="shared" si="9"/>
        <v>0.10118368990679853</v>
      </c>
      <c r="R96" s="37">
        <f t="shared" si="10"/>
        <v>1691.0200000000186</v>
      </c>
      <c r="S96" s="41">
        <f t="shared" si="11"/>
        <v>1.3169404662024846E-3</v>
      </c>
      <c r="T96" s="37" t="e">
        <f>SUMIF('[1]JOBS MAR 15'!$E$8:$E$525,$E$16:$E$533,'[1]JOBS MAR 15'!$G$8:$G$525)</f>
        <v>#VALUE!</v>
      </c>
      <c r="U96" s="37" t="e">
        <f>SUMIF('[1]JOBS MAR 15'!$E$8:$E$525,$E$16:$E$533,'[1]JOBS MAR 15'!$H$8:$H$525)</f>
        <v>#VALUE!</v>
      </c>
      <c r="V96" s="37" t="e">
        <f>SUMIF('[1]JOBS MAR 15'!$E$8:$E$525,$E$16:$E$533,'[1]JOBS MAR 15'!$I$8:$I$525)</f>
        <v>#VALUE!</v>
      </c>
      <c r="W96" s="55" t="str">
        <f t="shared" si="12"/>
        <v xml:space="preserve"> </v>
      </c>
    </row>
    <row r="97" spans="2:23" x14ac:dyDescent="0.2">
      <c r="B97">
        <v>271</v>
      </c>
      <c r="C97">
        <v>1</v>
      </c>
      <c r="D97" s="2" t="s">
        <v>241</v>
      </c>
      <c r="E97" s="50" t="s">
        <v>242</v>
      </c>
      <c r="F97" s="50">
        <v>2705790</v>
      </c>
      <c r="G97" s="50">
        <v>3</v>
      </c>
      <c r="H97" s="52" t="e">
        <f>SUMIF('[1]Build Detail'!$D$4:$D$521,$B$16:$B$533,'[1]Build Detail'!$H$4:$H$521)</f>
        <v>#VALUE!</v>
      </c>
      <c r="I97" s="52" t="e">
        <f>SUMIF('[1]Build Detail'!$D$4:$D$521,$B$16:$B$533,'[1]Build Detail'!$Q$4:$Q$521)</f>
        <v>#VALUE!</v>
      </c>
      <c r="J97" s="52" t="e">
        <f>SUMIF('[1]Build Detail'!$D$4:$D$521,$B$16:$B$533,'[1]Build Detail'!$T$4:$T$521)</f>
        <v>#VALUE!</v>
      </c>
      <c r="K97" s="53">
        <v>65172443.070000008</v>
      </c>
      <c r="L97" s="37">
        <f t="shared" si="13"/>
        <v>1837916.79</v>
      </c>
      <c r="M97" s="37">
        <v>1835180.94</v>
      </c>
      <c r="N97" s="38">
        <v>1651662.85</v>
      </c>
      <c r="O97" s="37">
        <f t="shared" si="7"/>
        <v>186253.93999999994</v>
      </c>
      <c r="P97" s="54" t="e">
        <f t="shared" si="8"/>
        <v>#VALUE!</v>
      </c>
      <c r="Q97" s="40">
        <f t="shared" si="9"/>
        <v>0.10133970210914714</v>
      </c>
      <c r="R97" s="37">
        <f t="shared" si="10"/>
        <v>2735.8500000000931</v>
      </c>
      <c r="S97" s="41">
        <f t="shared" si="11"/>
        <v>1.4907794323540072E-3</v>
      </c>
      <c r="T97" s="37" t="e">
        <f>SUMIF('[1]JOBS MAR 15'!$E$8:$E$525,$E$16:$E$533,'[1]JOBS MAR 15'!$G$8:$G$525)</f>
        <v>#VALUE!</v>
      </c>
      <c r="U97" s="37" t="e">
        <f>SUMIF('[1]JOBS MAR 15'!$E$8:$E$525,$E$16:$E$533,'[1]JOBS MAR 15'!$H$8:$H$525)</f>
        <v>#VALUE!</v>
      </c>
      <c r="V97" s="37" t="e">
        <f>SUMIF('[1]JOBS MAR 15'!$E$8:$E$525,$E$16:$E$533,'[1]JOBS MAR 15'!$I$8:$I$525)</f>
        <v>#VALUE!</v>
      </c>
      <c r="W97" s="55" t="str">
        <f t="shared" si="12"/>
        <v xml:space="preserve"> </v>
      </c>
    </row>
    <row r="98" spans="2:23" x14ac:dyDescent="0.2">
      <c r="B98">
        <v>272</v>
      </c>
      <c r="C98">
        <v>1</v>
      </c>
      <c r="D98" s="2" t="s">
        <v>243</v>
      </c>
      <c r="E98" s="50" t="s">
        <v>244</v>
      </c>
      <c r="F98" s="50">
        <v>2714220</v>
      </c>
      <c r="G98" s="50">
        <v>3</v>
      </c>
      <c r="H98" s="52" t="e">
        <f>SUMIF('[1]Build Detail'!$D$4:$D$521,$B$16:$B$533,'[1]Build Detail'!$H$4:$H$521)</f>
        <v>#VALUE!</v>
      </c>
      <c r="I98" s="52" t="e">
        <f>SUMIF('[1]Build Detail'!$D$4:$D$521,$B$16:$B$533,'[1]Build Detail'!$Q$4:$Q$521)</f>
        <v>#VALUE!</v>
      </c>
      <c r="J98" s="52" t="e">
        <f>SUMIF('[1]Build Detail'!$D$4:$D$521,$B$16:$B$533,'[1]Build Detail'!$T$4:$T$521)</f>
        <v>#VALUE!</v>
      </c>
      <c r="K98" s="53">
        <v>58989423.25</v>
      </c>
      <c r="L98" s="37">
        <f t="shared" si="13"/>
        <v>1663550.52</v>
      </c>
      <c r="M98" s="37">
        <v>1653749.94</v>
      </c>
      <c r="N98" s="38">
        <v>1488374.95</v>
      </c>
      <c r="O98" s="37">
        <f t="shared" si="7"/>
        <v>175175.57000000007</v>
      </c>
      <c r="P98" s="54" t="e">
        <f t="shared" si="8"/>
        <v>#VALUE!</v>
      </c>
      <c r="Q98" s="40">
        <f t="shared" si="9"/>
        <v>0.10530222430515669</v>
      </c>
      <c r="R98" s="37">
        <f t="shared" si="10"/>
        <v>9800.5800000000745</v>
      </c>
      <c r="S98" s="41">
        <f t="shared" si="11"/>
        <v>5.9262768590032872E-3</v>
      </c>
      <c r="T98" s="37" t="e">
        <f>SUMIF('[1]JOBS MAR 15'!$E$8:$E$525,$E$16:$E$533,'[1]JOBS MAR 15'!$G$8:$G$525)</f>
        <v>#VALUE!</v>
      </c>
      <c r="U98" s="37" t="e">
        <f>SUMIF('[1]JOBS MAR 15'!$E$8:$E$525,$E$16:$E$533,'[1]JOBS MAR 15'!$H$8:$H$525)</f>
        <v>#VALUE!</v>
      </c>
      <c r="V98" s="37" t="e">
        <f>SUMIF('[1]JOBS MAR 15'!$E$8:$E$525,$E$16:$E$533,'[1]JOBS MAR 15'!$I$8:$I$525)</f>
        <v>#VALUE!</v>
      </c>
      <c r="W98" s="55" t="str">
        <f t="shared" si="12"/>
        <v xml:space="preserve"> </v>
      </c>
    </row>
    <row r="99" spans="2:23" x14ac:dyDescent="0.2">
      <c r="B99">
        <v>273</v>
      </c>
      <c r="C99">
        <v>1</v>
      </c>
      <c r="D99" s="2" t="s">
        <v>245</v>
      </c>
      <c r="E99" s="50" t="s">
        <v>246</v>
      </c>
      <c r="F99" s="50">
        <v>2711250</v>
      </c>
      <c r="G99" s="50">
        <v>3</v>
      </c>
      <c r="H99" s="52" t="e">
        <f>SUMIF('[1]Build Detail'!$D$4:$D$521,$B$16:$B$533,'[1]Build Detail'!$H$4:$H$521)</f>
        <v>#VALUE!</v>
      </c>
      <c r="I99" s="52" t="e">
        <f>SUMIF('[1]Build Detail'!$D$4:$D$521,$B$16:$B$533,'[1]Build Detail'!$Q$4:$Q$521)</f>
        <v>#VALUE!</v>
      </c>
      <c r="J99" s="52" t="e">
        <f>SUMIF('[1]Build Detail'!$D$4:$D$521,$B$16:$B$533,'[1]Build Detail'!$T$4:$T$521)</f>
        <v>#VALUE!</v>
      </c>
      <c r="K99" s="53">
        <v>49460304.639999993</v>
      </c>
      <c r="L99" s="37">
        <f t="shared" si="13"/>
        <v>1394821.49</v>
      </c>
      <c r="M99" s="37">
        <v>1384101.54</v>
      </c>
      <c r="N99" s="38">
        <v>1245691.3899999999</v>
      </c>
      <c r="O99" s="37">
        <f t="shared" si="7"/>
        <v>149130.10000000009</v>
      </c>
      <c r="P99" s="54" t="e">
        <f t="shared" si="8"/>
        <v>#VALUE!</v>
      </c>
      <c r="Q99" s="40">
        <f t="shared" si="9"/>
        <v>0.10691697903220583</v>
      </c>
      <c r="R99" s="37">
        <f t="shared" si="10"/>
        <v>10719.949999999953</v>
      </c>
      <c r="S99" s="41">
        <f t="shared" si="11"/>
        <v>7.7450603804688732E-3</v>
      </c>
      <c r="T99" s="37" t="e">
        <f>SUMIF('[1]JOBS MAR 15'!$E$8:$E$525,$E$16:$E$533,'[1]JOBS MAR 15'!$G$8:$G$525)</f>
        <v>#VALUE!</v>
      </c>
      <c r="U99" s="37" t="e">
        <f>SUMIF('[1]JOBS MAR 15'!$E$8:$E$525,$E$16:$E$533,'[1]JOBS MAR 15'!$H$8:$H$525)</f>
        <v>#VALUE!</v>
      </c>
      <c r="V99" s="37" t="e">
        <f>SUMIF('[1]JOBS MAR 15'!$E$8:$E$525,$E$16:$E$533,'[1]JOBS MAR 15'!$I$8:$I$525)</f>
        <v>#VALUE!</v>
      </c>
      <c r="W99" s="55" t="str">
        <f t="shared" si="12"/>
        <v xml:space="preserve"> </v>
      </c>
    </row>
    <row r="100" spans="2:23" x14ac:dyDescent="0.2">
      <c r="B100">
        <v>276</v>
      </c>
      <c r="C100">
        <v>1</v>
      </c>
      <c r="D100" s="2" t="s">
        <v>247</v>
      </c>
      <c r="E100" s="50" t="s">
        <v>248</v>
      </c>
      <c r="F100" s="50">
        <v>2711670</v>
      </c>
      <c r="G100" s="50">
        <v>3</v>
      </c>
      <c r="H100" s="52" t="e">
        <f>SUMIF('[1]Build Detail'!$D$4:$D$521,$B$16:$B$533,'[1]Build Detail'!$H$4:$H$521)</f>
        <v>#VALUE!</v>
      </c>
      <c r="I100" s="52" t="e">
        <f>SUMIF('[1]Build Detail'!$D$4:$D$521,$B$16:$B$533,'[1]Build Detail'!$Q$4:$Q$521)</f>
        <v>#VALUE!</v>
      </c>
      <c r="J100" s="52" t="e">
        <f>SUMIF('[1]Build Detail'!$D$4:$D$521,$B$16:$B$533,'[1]Build Detail'!$T$4:$T$521)</f>
        <v>#VALUE!</v>
      </c>
      <c r="K100" s="53">
        <v>50167194.229999997</v>
      </c>
      <c r="L100" s="37">
        <f t="shared" si="13"/>
        <v>1414756.36</v>
      </c>
      <c r="M100" s="37">
        <v>1415711.3</v>
      </c>
      <c r="N100" s="38">
        <v>1274140.17</v>
      </c>
      <c r="O100" s="37">
        <f t="shared" si="7"/>
        <v>140616.19000000018</v>
      </c>
      <c r="P100" s="54" t="e">
        <f t="shared" si="8"/>
        <v>#VALUE!</v>
      </c>
      <c r="Q100" s="40">
        <f t="shared" si="9"/>
        <v>9.9392513068469371E-2</v>
      </c>
      <c r="R100" s="37">
        <f t="shared" si="10"/>
        <v>-954.93999999994412</v>
      </c>
      <c r="S100" s="41">
        <f t="shared" si="11"/>
        <v>-6.7453018140064581E-4</v>
      </c>
      <c r="T100" s="37" t="e">
        <f>SUMIF('[1]JOBS MAR 15'!$E$8:$E$525,$E$16:$E$533,'[1]JOBS MAR 15'!$G$8:$G$525)</f>
        <v>#VALUE!</v>
      </c>
      <c r="U100" s="37" t="e">
        <f>SUMIF('[1]JOBS MAR 15'!$E$8:$E$525,$E$16:$E$533,'[1]JOBS MAR 15'!$H$8:$H$525)</f>
        <v>#VALUE!</v>
      </c>
      <c r="V100" s="37" t="e">
        <f>SUMIF('[1]JOBS MAR 15'!$E$8:$E$525,$E$16:$E$533,'[1]JOBS MAR 15'!$I$8:$I$525)</f>
        <v>#VALUE!</v>
      </c>
      <c r="W100" s="55" t="str">
        <f t="shared" si="12"/>
        <v xml:space="preserve"> </v>
      </c>
    </row>
    <row r="101" spans="2:23" x14ac:dyDescent="0.2">
      <c r="B101">
        <v>277</v>
      </c>
      <c r="C101">
        <v>1</v>
      </c>
      <c r="D101" s="2" t="s">
        <v>249</v>
      </c>
      <c r="E101" s="50" t="s">
        <v>250</v>
      </c>
      <c r="F101" s="50">
        <v>2722920</v>
      </c>
      <c r="G101" s="50">
        <v>3</v>
      </c>
      <c r="H101" s="52" t="e">
        <f>SUMIF('[1]Build Detail'!$D$4:$D$521,$B$16:$B$533,'[1]Build Detail'!$H$4:$H$521)</f>
        <v>#VALUE!</v>
      </c>
      <c r="I101" s="52" t="e">
        <f>SUMIF('[1]Build Detail'!$D$4:$D$521,$B$16:$B$533,'[1]Build Detail'!$Q$4:$Q$521)</f>
        <v>#VALUE!</v>
      </c>
      <c r="J101" s="52" t="e">
        <f>SUMIF('[1]Build Detail'!$D$4:$D$521,$B$16:$B$533,'[1]Build Detail'!$T$4:$T$521)</f>
        <v>#VALUE!</v>
      </c>
      <c r="K101" s="53">
        <v>13096666.73</v>
      </c>
      <c r="L101" s="37">
        <f t="shared" si="13"/>
        <v>369336.83</v>
      </c>
      <c r="M101" s="37">
        <v>363469.8</v>
      </c>
      <c r="N101" s="38">
        <v>327122.82</v>
      </c>
      <c r="O101" s="37">
        <f t="shared" si="7"/>
        <v>42214.010000000009</v>
      </c>
      <c r="P101" s="54" t="e">
        <f t="shared" si="8"/>
        <v>#VALUE!</v>
      </c>
      <c r="Q101" s="40">
        <f t="shared" si="9"/>
        <v>0.1142967789050445</v>
      </c>
      <c r="R101" s="37">
        <f t="shared" si="10"/>
        <v>5867.0300000000279</v>
      </c>
      <c r="S101" s="41">
        <f t="shared" si="11"/>
        <v>1.6141726217694091E-2</v>
      </c>
      <c r="T101" s="37" t="e">
        <f>SUMIF('[1]JOBS MAR 15'!$E$8:$E$525,$E$16:$E$533,'[1]JOBS MAR 15'!$G$8:$G$525)</f>
        <v>#VALUE!</v>
      </c>
      <c r="U101" s="37" t="e">
        <f>SUMIF('[1]JOBS MAR 15'!$E$8:$E$525,$E$16:$E$533,'[1]JOBS MAR 15'!$H$8:$H$525)</f>
        <v>#VALUE!</v>
      </c>
      <c r="V101" s="37" t="e">
        <f>SUMIF('[1]JOBS MAR 15'!$E$8:$E$525,$E$16:$E$533,'[1]JOBS MAR 15'!$I$8:$I$525)</f>
        <v>#VALUE!</v>
      </c>
      <c r="W101" s="55" t="str">
        <f t="shared" si="12"/>
        <v xml:space="preserve"> </v>
      </c>
    </row>
    <row r="102" spans="2:23" x14ac:dyDescent="0.2">
      <c r="B102">
        <v>278</v>
      </c>
      <c r="C102">
        <v>1</v>
      </c>
      <c r="D102" s="2" t="s">
        <v>251</v>
      </c>
      <c r="E102" s="50" t="s">
        <v>252</v>
      </c>
      <c r="F102" s="50">
        <v>2725080</v>
      </c>
      <c r="G102" s="50">
        <v>3</v>
      </c>
      <c r="H102" s="52" t="e">
        <f>SUMIF('[1]Build Detail'!$D$4:$D$521,$B$16:$B$533,'[1]Build Detail'!$H$4:$H$521)</f>
        <v>#VALUE!</v>
      </c>
      <c r="I102" s="52" t="e">
        <f>SUMIF('[1]Build Detail'!$D$4:$D$521,$B$16:$B$533,'[1]Build Detail'!$Q$4:$Q$521)</f>
        <v>#VALUE!</v>
      </c>
      <c r="J102" s="52" t="e">
        <f>SUMIF('[1]Build Detail'!$D$4:$D$521,$B$16:$B$533,'[1]Build Detail'!$T$4:$T$521)</f>
        <v>#VALUE!</v>
      </c>
      <c r="K102" s="53">
        <v>16640035.76</v>
      </c>
      <c r="L102" s="37">
        <f t="shared" si="13"/>
        <v>469262.77</v>
      </c>
      <c r="M102" s="37">
        <v>463908.84</v>
      </c>
      <c r="N102" s="38">
        <v>417517.96</v>
      </c>
      <c r="O102" s="37">
        <f t="shared" si="7"/>
        <v>51744.81</v>
      </c>
      <c r="P102" s="54" t="e">
        <f t="shared" si="8"/>
        <v>#VALUE!</v>
      </c>
      <c r="Q102" s="40">
        <f t="shared" si="9"/>
        <v>0.11026830447256661</v>
      </c>
      <c r="R102" s="37">
        <f t="shared" si="10"/>
        <v>5353.929999999993</v>
      </c>
      <c r="S102" s="41">
        <f t="shared" si="11"/>
        <v>1.1540909632159613E-2</v>
      </c>
      <c r="T102" s="37" t="e">
        <f>SUMIF('[1]JOBS MAR 15'!$E$8:$E$525,$E$16:$E$533,'[1]JOBS MAR 15'!$G$8:$G$525)</f>
        <v>#VALUE!</v>
      </c>
      <c r="U102" s="37" t="e">
        <f>SUMIF('[1]JOBS MAR 15'!$E$8:$E$525,$E$16:$E$533,'[1]JOBS MAR 15'!$H$8:$H$525)</f>
        <v>#VALUE!</v>
      </c>
      <c r="V102" s="37" t="e">
        <f>SUMIF('[1]JOBS MAR 15'!$E$8:$E$525,$E$16:$E$533,'[1]JOBS MAR 15'!$I$8:$I$525)</f>
        <v>#VALUE!</v>
      </c>
      <c r="W102" s="55" t="str">
        <f t="shared" si="12"/>
        <v xml:space="preserve"> </v>
      </c>
    </row>
    <row r="103" spans="2:23" x14ac:dyDescent="0.2">
      <c r="B103">
        <v>279</v>
      </c>
      <c r="C103">
        <v>1</v>
      </c>
      <c r="D103" s="2" t="s">
        <v>253</v>
      </c>
      <c r="E103" s="50" t="s">
        <v>254</v>
      </c>
      <c r="F103" s="50">
        <v>2725200</v>
      </c>
      <c r="G103" s="50">
        <v>3</v>
      </c>
      <c r="H103" s="52" t="e">
        <f>SUMIF('[1]Build Detail'!$D$4:$D$521,$B$16:$B$533,'[1]Build Detail'!$H$4:$H$521)</f>
        <v>#VALUE!</v>
      </c>
      <c r="I103" s="52" t="e">
        <f>SUMIF('[1]Build Detail'!$D$4:$D$521,$B$16:$B$533,'[1]Build Detail'!$Q$4:$Q$521)</f>
        <v>#VALUE!</v>
      </c>
      <c r="J103" s="52" t="e">
        <f>SUMIF('[1]Build Detail'!$D$4:$D$521,$B$16:$B$533,'[1]Build Detail'!$T$4:$T$521)</f>
        <v>#VALUE!</v>
      </c>
      <c r="K103" s="53">
        <v>144092026.30000001</v>
      </c>
      <c r="L103" s="37">
        <f t="shared" si="13"/>
        <v>4063514.29</v>
      </c>
      <c r="M103" s="37">
        <v>4064073.54</v>
      </c>
      <c r="N103" s="38">
        <v>3657666.19</v>
      </c>
      <c r="O103" s="37">
        <f t="shared" si="7"/>
        <v>405848.10000000009</v>
      </c>
      <c r="P103" s="54" t="e">
        <f t="shared" si="8"/>
        <v>#VALUE!</v>
      </c>
      <c r="Q103" s="40">
        <f t="shared" si="9"/>
        <v>9.9876134556426049E-2</v>
      </c>
      <c r="R103" s="37">
        <f t="shared" si="10"/>
        <v>-559.25</v>
      </c>
      <c r="S103" s="41">
        <f t="shared" si="11"/>
        <v>-1.3760823826037362E-4</v>
      </c>
      <c r="T103" s="37" t="e">
        <f>SUMIF('[1]JOBS MAR 15'!$E$8:$E$525,$E$16:$E$533,'[1]JOBS MAR 15'!$G$8:$G$525)</f>
        <v>#VALUE!</v>
      </c>
      <c r="U103" s="37" t="e">
        <f>SUMIF('[1]JOBS MAR 15'!$E$8:$E$525,$E$16:$E$533,'[1]JOBS MAR 15'!$H$8:$H$525)</f>
        <v>#VALUE!</v>
      </c>
      <c r="V103" s="37" t="e">
        <f>SUMIF('[1]JOBS MAR 15'!$E$8:$E$525,$E$16:$E$533,'[1]JOBS MAR 15'!$I$8:$I$525)</f>
        <v>#VALUE!</v>
      </c>
      <c r="W103" s="55" t="str">
        <f t="shared" si="12"/>
        <v xml:space="preserve"> </v>
      </c>
    </row>
    <row r="104" spans="2:23" x14ac:dyDescent="0.2">
      <c r="B104">
        <v>280</v>
      </c>
      <c r="C104">
        <v>1</v>
      </c>
      <c r="D104" s="2" t="s">
        <v>255</v>
      </c>
      <c r="E104" s="50" t="s">
        <v>256</v>
      </c>
      <c r="F104" s="50">
        <v>2731750</v>
      </c>
      <c r="G104" s="50">
        <v>5</v>
      </c>
      <c r="H104" s="52" t="e">
        <f>SUMIF('[1]Build Detail'!$D$4:$D$521,$B$16:$B$533,'[1]Build Detail'!$H$4:$H$521)</f>
        <v>#VALUE!</v>
      </c>
      <c r="I104" s="52" t="e">
        <f>SUMIF('[1]Build Detail'!$D$4:$D$521,$B$16:$B$533,'[1]Build Detail'!$Q$4:$Q$521)</f>
        <v>#VALUE!</v>
      </c>
      <c r="J104" s="52" t="e">
        <f>SUMIF('[1]Build Detail'!$D$4:$D$521,$B$16:$B$533,'[1]Build Detail'!$T$4:$T$521)</f>
        <v>#VALUE!</v>
      </c>
      <c r="K104" s="53">
        <v>29947367.690000001</v>
      </c>
      <c r="L104" s="37">
        <f t="shared" si="13"/>
        <v>844540.53</v>
      </c>
      <c r="M104" s="37">
        <v>844740.18</v>
      </c>
      <c r="N104" s="38">
        <v>760266.16</v>
      </c>
      <c r="O104" s="37">
        <f t="shared" si="7"/>
        <v>84274.37</v>
      </c>
      <c r="P104" s="54" t="e">
        <f t="shared" si="8"/>
        <v>#VALUE!</v>
      </c>
      <c r="Q104" s="40">
        <f t="shared" si="9"/>
        <v>9.9787241708814131E-2</v>
      </c>
      <c r="R104" s="37">
        <f t="shared" si="10"/>
        <v>-199.65000000002328</v>
      </c>
      <c r="S104" s="41">
        <f t="shared" si="11"/>
        <v>-2.3634486049902738E-4</v>
      </c>
      <c r="T104" s="37" t="e">
        <f>SUMIF('[1]JOBS MAR 15'!$E$8:$E$525,$E$16:$E$533,'[1]JOBS MAR 15'!$G$8:$G$525)</f>
        <v>#VALUE!</v>
      </c>
      <c r="U104" s="37" t="e">
        <f>SUMIF('[1]JOBS MAR 15'!$E$8:$E$525,$E$16:$E$533,'[1]JOBS MAR 15'!$H$8:$H$525)</f>
        <v>#VALUE!</v>
      </c>
      <c r="V104" s="37" t="e">
        <f>SUMIF('[1]JOBS MAR 15'!$E$8:$E$525,$E$16:$E$533,'[1]JOBS MAR 15'!$I$8:$I$525)</f>
        <v>#VALUE!</v>
      </c>
      <c r="W104" s="55" t="str">
        <f t="shared" si="12"/>
        <v xml:space="preserve"> </v>
      </c>
    </row>
    <row r="105" spans="2:23" x14ac:dyDescent="0.2">
      <c r="B105">
        <v>281</v>
      </c>
      <c r="C105">
        <v>1</v>
      </c>
      <c r="D105" s="2" t="s">
        <v>257</v>
      </c>
      <c r="E105" s="50" t="s">
        <v>258</v>
      </c>
      <c r="F105" s="50">
        <v>2731780</v>
      </c>
      <c r="G105" s="50">
        <v>5</v>
      </c>
      <c r="H105" s="52" t="e">
        <f>SUMIF('[1]Build Detail'!$D$4:$D$521,$B$16:$B$533,'[1]Build Detail'!$H$4:$H$521)</f>
        <v>#VALUE!</v>
      </c>
      <c r="I105" s="52" t="e">
        <f>SUMIF('[1]Build Detail'!$D$4:$D$521,$B$16:$B$533,'[1]Build Detail'!$Q$4:$Q$521)</f>
        <v>#VALUE!</v>
      </c>
      <c r="J105" s="52" t="e">
        <f>SUMIF('[1]Build Detail'!$D$4:$D$521,$B$16:$B$533,'[1]Build Detail'!$T$4:$T$521)</f>
        <v>#VALUE!</v>
      </c>
      <c r="K105" s="53">
        <v>76269146.340000004</v>
      </c>
      <c r="L105" s="37">
        <f t="shared" si="13"/>
        <v>2150853</v>
      </c>
      <c r="M105" s="37">
        <v>2123187.37</v>
      </c>
      <c r="N105" s="38">
        <v>1910868.63</v>
      </c>
      <c r="O105" s="37">
        <f t="shared" si="7"/>
        <v>239984.37000000011</v>
      </c>
      <c r="P105" s="54" t="e">
        <f t="shared" si="8"/>
        <v>#VALUE!</v>
      </c>
      <c r="Q105" s="40">
        <f t="shared" si="9"/>
        <v>0.1115763699332312</v>
      </c>
      <c r="R105" s="37">
        <f t="shared" si="10"/>
        <v>27665.629999999888</v>
      </c>
      <c r="S105" s="41">
        <f t="shared" si="11"/>
        <v>1.3030234820961602E-2</v>
      </c>
      <c r="T105" s="37" t="e">
        <f>SUMIF('[1]JOBS MAR 15'!$E$8:$E$525,$E$16:$E$533,'[1]JOBS MAR 15'!$G$8:$G$525)</f>
        <v>#VALUE!</v>
      </c>
      <c r="U105" s="37" t="e">
        <f>SUMIF('[1]JOBS MAR 15'!$E$8:$E$525,$E$16:$E$533,'[1]JOBS MAR 15'!$H$8:$H$525)</f>
        <v>#VALUE!</v>
      </c>
      <c r="V105" s="37" t="e">
        <f>SUMIF('[1]JOBS MAR 15'!$E$8:$E$525,$E$16:$E$533,'[1]JOBS MAR 15'!$I$8:$I$525)</f>
        <v>#VALUE!</v>
      </c>
      <c r="W105" s="55" t="str">
        <f t="shared" si="12"/>
        <v xml:space="preserve"> </v>
      </c>
    </row>
    <row r="106" spans="2:23" x14ac:dyDescent="0.2">
      <c r="B106">
        <v>282</v>
      </c>
      <c r="C106">
        <v>1</v>
      </c>
      <c r="D106" s="2" t="s">
        <v>259</v>
      </c>
      <c r="E106" s="50" t="s">
        <v>260</v>
      </c>
      <c r="F106" s="50">
        <v>2733420</v>
      </c>
      <c r="G106" s="50">
        <v>5</v>
      </c>
      <c r="H106" s="52" t="e">
        <f>SUMIF('[1]Build Detail'!$D$4:$D$521,$B$16:$B$533,'[1]Build Detail'!$H$4:$H$521)</f>
        <v>#VALUE!</v>
      </c>
      <c r="I106" s="52" t="e">
        <f>SUMIF('[1]Build Detail'!$D$4:$D$521,$B$16:$B$533,'[1]Build Detail'!$Q$4:$Q$521)</f>
        <v>#VALUE!</v>
      </c>
      <c r="J106" s="52" t="e">
        <f>SUMIF('[1]Build Detail'!$D$4:$D$521,$B$16:$B$533,'[1]Build Detail'!$T$4:$T$521)</f>
        <v>#VALUE!</v>
      </c>
      <c r="K106" s="53">
        <v>11444616.4</v>
      </c>
      <c r="L106" s="37">
        <f t="shared" si="13"/>
        <v>322747.65000000002</v>
      </c>
      <c r="M106" s="37">
        <v>321682.12</v>
      </c>
      <c r="N106" s="38">
        <v>289513.90999999997</v>
      </c>
      <c r="O106" s="37">
        <f t="shared" si="7"/>
        <v>33233.740000000049</v>
      </c>
      <c r="P106" s="54" t="e">
        <f t="shared" si="8"/>
        <v>#VALUE!</v>
      </c>
      <c r="Q106" s="40">
        <f t="shared" si="9"/>
        <v>0.10297128422158937</v>
      </c>
      <c r="R106" s="37">
        <f t="shared" si="10"/>
        <v>1065.5300000000279</v>
      </c>
      <c r="S106" s="41">
        <f t="shared" si="11"/>
        <v>3.3123693663795425E-3</v>
      </c>
      <c r="T106" s="37" t="e">
        <f>SUMIF('[1]JOBS MAR 15'!$E$8:$E$525,$E$16:$E$533,'[1]JOBS MAR 15'!$G$8:$G$525)</f>
        <v>#VALUE!</v>
      </c>
      <c r="U106" s="37" t="e">
        <f>SUMIF('[1]JOBS MAR 15'!$E$8:$E$525,$E$16:$E$533,'[1]JOBS MAR 15'!$H$8:$H$525)</f>
        <v>#VALUE!</v>
      </c>
      <c r="V106" s="37" t="e">
        <f>SUMIF('[1]JOBS MAR 15'!$E$8:$E$525,$E$16:$E$533,'[1]JOBS MAR 15'!$I$8:$I$525)</f>
        <v>#VALUE!</v>
      </c>
      <c r="W106" s="55" t="str">
        <f t="shared" si="12"/>
        <v xml:space="preserve"> </v>
      </c>
    </row>
    <row r="107" spans="2:23" x14ac:dyDescent="0.2">
      <c r="B107">
        <v>283</v>
      </c>
      <c r="C107">
        <v>1</v>
      </c>
      <c r="D107" s="2" t="s">
        <v>261</v>
      </c>
      <c r="E107" s="50" t="s">
        <v>262</v>
      </c>
      <c r="F107" s="50">
        <v>2733780</v>
      </c>
      <c r="G107" s="50">
        <v>5</v>
      </c>
      <c r="H107" s="52" t="e">
        <f>SUMIF('[1]Build Detail'!$D$4:$D$521,$B$16:$B$533,'[1]Build Detail'!$H$4:$H$521)</f>
        <v>#VALUE!</v>
      </c>
      <c r="I107" s="52" t="e">
        <f>SUMIF('[1]Build Detail'!$D$4:$D$521,$B$16:$B$533,'[1]Build Detail'!$Q$4:$Q$521)</f>
        <v>#VALUE!</v>
      </c>
      <c r="J107" s="52" t="e">
        <f>SUMIF('[1]Build Detail'!$D$4:$D$521,$B$16:$B$533,'[1]Build Detail'!$T$4:$T$521)</f>
        <v>#VALUE!</v>
      </c>
      <c r="K107" s="53">
        <v>27956648.710000001</v>
      </c>
      <c r="L107" s="37">
        <f t="shared" si="13"/>
        <v>788400.61</v>
      </c>
      <c r="M107" s="37">
        <v>778133.84</v>
      </c>
      <c r="N107" s="38">
        <v>700320.46</v>
      </c>
      <c r="O107" s="37">
        <f t="shared" si="7"/>
        <v>88080.150000000023</v>
      </c>
      <c r="P107" s="54" t="e">
        <f t="shared" si="8"/>
        <v>#VALUE!</v>
      </c>
      <c r="Q107" s="40">
        <f t="shared" si="9"/>
        <v>0.11172004293603988</v>
      </c>
      <c r="R107" s="37">
        <f t="shared" si="10"/>
        <v>10266.770000000019</v>
      </c>
      <c r="S107" s="41">
        <f t="shared" si="11"/>
        <v>1.3194092676910208E-2</v>
      </c>
      <c r="T107" s="37" t="e">
        <f>SUMIF('[1]JOBS MAR 15'!$E$8:$E$525,$E$16:$E$533,'[1]JOBS MAR 15'!$G$8:$G$525)</f>
        <v>#VALUE!</v>
      </c>
      <c r="U107" s="37" t="e">
        <f>SUMIF('[1]JOBS MAR 15'!$E$8:$E$525,$E$16:$E$533,'[1]JOBS MAR 15'!$H$8:$H$525)</f>
        <v>#VALUE!</v>
      </c>
      <c r="V107" s="37" t="e">
        <f>SUMIF('[1]JOBS MAR 15'!$E$8:$E$525,$E$16:$E$533,'[1]JOBS MAR 15'!$I$8:$I$525)</f>
        <v>#VALUE!</v>
      </c>
      <c r="W107" s="55" t="str">
        <f t="shared" si="12"/>
        <v xml:space="preserve"> </v>
      </c>
    </row>
    <row r="108" spans="2:23" x14ac:dyDescent="0.2">
      <c r="B108">
        <v>284</v>
      </c>
      <c r="C108">
        <v>1</v>
      </c>
      <c r="D108" s="2" t="s">
        <v>263</v>
      </c>
      <c r="E108" s="50" t="s">
        <v>264</v>
      </c>
      <c r="F108" s="50">
        <v>2742160</v>
      </c>
      <c r="G108" s="50">
        <v>3</v>
      </c>
      <c r="H108" s="52" t="e">
        <f>SUMIF('[1]Build Detail'!$D$4:$D$521,$B$16:$B$533,'[1]Build Detail'!$H$4:$H$521)</f>
        <v>#VALUE!</v>
      </c>
      <c r="I108" s="52" t="e">
        <f>SUMIF('[1]Build Detail'!$D$4:$D$521,$B$16:$B$533,'[1]Build Detail'!$Q$4:$Q$521)</f>
        <v>#VALUE!</v>
      </c>
      <c r="J108" s="52" t="e">
        <f>SUMIF('[1]Build Detail'!$D$4:$D$521,$B$16:$B$533,'[1]Build Detail'!$T$4:$T$521)</f>
        <v>#VALUE!</v>
      </c>
      <c r="K108" s="53">
        <v>57606665.170000002</v>
      </c>
      <c r="L108" s="37">
        <f t="shared" si="13"/>
        <v>1624555.59</v>
      </c>
      <c r="M108" s="37">
        <v>1595322.57</v>
      </c>
      <c r="N108" s="38">
        <v>1435790.31</v>
      </c>
      <c r="O108" s="37">
        <f t="shared" si="7"/>
        <v>188765.28000000003</v>
      </c>
      <c r="P108" s="54" t="e">
        <f t="shared" si="8"/>
        <v>#VALUE!</v>
      </c>
      <c r="Q108" s="40">
        <f t="shared" si="9"/>
        <v>0.11619502660416811</v>
      </c>
      <c r="R108" s="37">
        <f t="shared" si="10"/>
        <v>29233.020000000019</v>
      </c>
      <c r="S108" s="41">
        <f t="shared" si="11"/>
        <v>1.8324206370376881E-2</v>
      </c>
      <c r="T108" s="37" t="e">
        <f>SUMIF('[1]JOBS MAR 15'!$E$8:$E$525,$E$16:$E$533,'[1]JOBS MAR 15'!$G$8:$G$525)</f>
        <v>#VALUE!</v>
      </c>
      <c r="U108" s="37" t="e">
        <f>SUMIF('[1]JOBS MAR 15'!$E$8:$E$525,$E$16:$E$533,'[1]JOBS MAR 15'!$H$8:$H$525)</f>
        <v>#VALUE!</v>
      </c>
      <c r="V108" s="37" t="e">
        <f>SUMIF('[1]JOBS MAR 15'!$E$8:$E$525,$E$16:$E$533,'[1]JOBS MAR 15'!$I$8:$I$525)</f>
        <v>#VALUE!</v>
      </c>
      <c r="W108" s="55" t="str">
        <f t="shared" si="12"/>
        <v xml:space="preserve"> </v>
      </c>
    </row>
    <row r="109" spans="2:23" x14ac:dyDescent="0.2">
      <c r="B109">
        <v>286</v>
      </c>
      <c r="C109">
        <v>1</v>
      </c>
      <c r="D109" s="2" t="s">
        <v>265</v>
      </c>
      <c r="E109" s="50" t="s">
        <v>266</v>
      </c>
      <c r="F109" s="50">
        <v>2706240</v>
      </c>
      <c r="G109" s="50">
        <v>3</v>
      </c>
      <c r="H109" s="52" t="e">
        <f>SUMIF('[1]Build Detail'!$D$4:$D$521,$B$16:$B$533,'[1]Build Detail'!$H$4:$H$521)</f>
        <v>#VALUE!</v>
      </c>
      <c r="I109" s="52" t="e">
        <f>SUMIF('[1]Build Detail'!$D$4:$D$521,$B$16:$B$533,'[1]Build Detail'!$Q$4:$Q$521)</f>
        <v>#VALUE!</v>
      </c>
      <c r="J109" s="52" t="e">
        <f>SUMIF('[1]Build Detail'!$D$4:$D$521,$B$16:$B$533,'[1]Build Detail'!$T$4:$T$521)</f>
        <v>#VALUE!</v>
      </c>
      <c r="K109" s="53">
        <v>18981281.889999997</v>
      </c>
      <c r="L109" s="37">
        <f t="shared" si="13"/>
        <v>535287.85</v>
      </c>
      <c r="M109" s="37">
        <v>531160.91</v>
      </c>
      <c r="N109" s="38">
        <v>478044.82</v>
      </c>
      <c r="O109" s="37">
        <f t="shared" si="7"/>
        <v>57243.02999999997</v>
      </c>
      <c r="P109" s="54" t="e">
        <f t="shared" si="8"/>
        <v>#VALUE!</v>
      </c>
      <c r="Q109" s="40">
        <f t="shared" si="9"/>
        <v>0.1069387806952838</v>
      </c>
      <c r="R109" s="37">
        <f t="shared" si="10"/>
        <v>4126.9399999999441</v>
      </c>
      <c r="S109" s="41">
        <f t="shared" si="11"/>
        <v>7.7696606100022382E-3</v>
      </c>
      <c r="T109" s="37" t="e">
        <f>SUMIF('[1]JOBS MAR 15'!$E$8:$E$525,$E$16:$E$533,'[1]JOBS MAR 15'!$G$8:$G$525)</f>
        <v>#VALUE!</v>
      </c>
      <c r="U109" s="37" t="e">
        <f>SUMIF('[1]JOBS MAR 15'!$E$8:$E$525,$E$16:$E$533,'[1]JOBS MAR 15'!$H$8:$H$525)</f>
        <v>#VALUE!</v>
      </c>
      <c r="V109" s="37" t="e">
        <f>SUMIF('[1]JOBS MAR 15'!$E$8:$E$525,$E$16:$E$533,'[1]JOBS MAR 15'!$I$8:$I$525)</f>
        <v>#VALUE!</v>
      </c>
      <c r="W109" s="55" t="str">
        <f t="shared" si="12"/>
        <v xml:space="preserve"> </v>
      </c>
    </row>
    <row r="110" spans="2:23" x14ac:dyDescent="0.2">
      <c r="B110">
        <v>287</v>
      </c>
      <c r="C110">
        <v>6</v>
      </c>
      <c r="D110" s="2" t="s">
        <v>267</v>
      </c>
      <c r="E110" s="50" t="s">
        <v>268</v>
      </c>
      <c r="F110" s="50">
        <v>25</v>
      </c>
      <c r="G110" s="50">
        <v>3</v>
      </c>
      <c r="H110" s="52" t="e">
        <f>SUMIF('[1]Build Detail'!$D$4:$D$521,$B$16:$B$533,'[1]Build Detail'!$H$4:$H$521)</f>
        <v>#VALUE!</v>
      </c>
      <c r="I110" s="52" t="e">
        <f>SUMIF('[1]Build Detail'!$D$4:$D$521,$B$16:$B$533,'[1]Build Detail'!$Q$4:$Q$521)</f>
        <v>#VALUE!</v>
      </c>
      <c r="J110" s="52" t="e">
        <f>SUMIF('[1]Build Detail'!$D$4:$D$521,$B$16:$B$533,'[1]Build Detail'!$T$4:$T$521)</f>
        <v>#VALUE!</v>
      </c>
      <c r="K110" s="53">
        <v>42041680.239999995</v>
      </c>
      <c r="L110" s="37">
        <f t="shared" si="13"/>
        <v>1185610.1499999999</v>
      </c>
      <c r="M110" s="37">
        <v>1116929.79</v>
      </c>
      <c r="N110" s="38">
        <v>1005236.81</v>
      </c>
      <c r="O110" s="37">
        <f t="shared" si="7"/>
        <v>180373.33999999985</v>
      </c>
      <c r="P110" s="54" t="e">
        <f t="shared" si="8"/>
        <v>#VALUE!</v>
      </c>
      <c r="Q110" s="40">
        <f t="shared" si="9"/>
        <v>0.15213545531809075</v>
      </c>
      <c r="R110" s="37">
        <f t="shared" si="10"/>
        <v>68680.35999999987</v>
      </c>
      <c r="S110" s="41">
        <f t="shared" si="11"/>
        <v>6.1490310863675568E-2</v>
      </c>
      <c r="T110" s="37" t="e">
        <f>SUMIF('[1]JOBS MAR 15'!$E$8:$E$525,$E$16:$E$533,'[1]JOBS MAR 15'!$G$8:$G$525)</f>
        <v>#VALUE!</v>
      </c>
      <c r="U110" s="37" t="e">
        <f>SUMIF('[1]JOBS MAR 15'!$E$8:$E$525,$E$16:$E$533,'[1]JOBS MAR 15'!$H$8:$H$525)</f>
        <v>#VALUE!</v>
      </c>
      <c r="V110" s="37" t="e">
        <f>SUMIF('[1]JOBS MAR 15'!$E$8:$E$525,$E$16:$E$533,'[1]JOBS MAR 15'!$I$8:$I$525)</f>
        <v>#VALUE!</v>
      </c>
      <c r="W110" s="55" t="str">
        <f t="shared" si="12"/>
        <v xml:space="preserve"> </v>
      </c>
    </row>
    <row r="111" spans="2:23" x14ac:dyDescent="0.2">
      <c r="B111">
        <v>294</v>
      </c>
      <c r="C111">
        <v>1</v>
      </c>
      <c r="D111" s="2" t="s">
        <v>269</v>
      </c>
      <c r="E111" s="50" t="s">
        <v>270</v>
      </c>
      <c r="F111" s="50">
        <v>2714280</v>
      </c>
      <c r="G111" s="50">
        <v>1</v>
      </c>
      <c r="H111" s="52" t="e">
        <f>SUMIF('[1]Build Detail'!$D$4:$D$521,$B$16:$B$533,'[1]Build Detail'!$H$4:$H$521)</f>
        <v>#VALUE!</v>
      </c>
      <c r="I111" s="52" t="e">
        <f>SUMIF('[1]Build Detail'!$D$4:$D$521,$B$16:$B$533,'[1]Build Detail'!$Q$4:$Q$521)</f>
        <v>#VALUE!</v>
      </c>
      <c r="J111" s="52" t="e">
        <f>SUMIF('[1]Build Detail'!$D$4:$D$521,$B$16:$B$533,'[1]Build Detail'!$T$4:$T$521)</f>
        <v>#VALUE!</v>
      </c>
      <c r="K111" s="53">
        <v>13826140.289999999</v>
      </c>
      <c r="L111" s="37">
        <f t="shared" si="13"/>
        <v>389908.59</v>
      </c>
      <c r="M111" s="37">
        <v>390012.31</v>
      </c>
      <c r="N111" s="38">
        <v>351011.08</v>
      </c>
      <c r="O111" s="37">
        <f t="shared" si="7"/>
        <v>38897.510000000009</v>
      </c>
      <c r="P111" s="54" t="e">
        <f t="shared" si="8"/>
        <v>#VALUE!</v>
      </c>
      <c r="Q111" s="40">
        <f t="shared" si="9"/>
        <v>9.9760587475131043E-2</v>
      </c>
      <c r="R111" s="37">
        <f t="shared" si="10"/>
        <v>-103.71999999997206</v>
      </c>
      <c r="S111" s="41">
        <f t="shared" si="11"/>
        <v>-2.6594032378099056E-4</v>
      </c>
      <c r="T111" s="37" t="e">
        <f>SUMIF('[1]JOBS MAR 15'!$E$8:$E$525,$E$16:$E$533,'[1]JOBS MAR 15'!$G$8:$G$525)</f>
        <v>#VALUE!</v>
      </c>
      <c r="U111" s="37" t="e">
        <f>SUMIF('[1]JOBS MAR 15'!$E$8:$E$525,$E$16:$E$533,'[1]JOBS MAR 15'!$H$8:$H$525)</f>
        <v>#VALUE!</v>
      </c>
      <c r="V111" s="37" t="e">
        <f>SUMIF('[1]JOBS MAR 15'!$E$8:$E$525,$E$16:$E$533,'[1]JOBS MAR 15'!$I$8:$I$525)</f>
        <v>#VALUE!</v>
      </c>
      <c r="W111" s="55" t="str">
        <f t="shared" si="12"/>
        <v xml:space="preserve"> </v>
      </c>
    </row>
    <row r="112" spans="2:23" x14ac:dyDescent="0.2">
      <c r="B112">
        <v>297</v>
      </c>
      <c r="C112">
        <v>1</v>
      </c>
      <c r="D112" s="2" t="s">
        <v>271</v>
      </c>
      <c r="E112" s="50" t="s">
        <v>272</v>
      </c>
      <c r="F112" s="50">
        <v>2733300</v>
      </c>
      <c r="G112" s="50">
        <v>1</v>
      </c>
      <c r="H112" s="52" t="e">
        <f>SUMIF('[1]Build Detail'!$D$4:$D$521,$B$16:$B$533,'[1]Build Detail'!$H$4:$H$521)</f>
        <v>#VALUE!</v>
      </c>
      <c r="I112" s="52" t="e">
        <f>SUMIF('[1]Build Detail'!$D$4:$D$521,$B$16:$B$533,'[1]Build Detail'!$Q$4:$Q$521)</f>
        <v>#VALUE!</v>
      </c>
      <c r="J112" s="52" t="e">
        <f>SUMIF('[1]Build Detail'!$D$4:$D$521,$B$16:$B$533,'[1]Build Detail'!$T$4:$T$521)</f>
        <v>#VALUE!</v>
      </c>
      <c r="K112" s="53">
        <v>2185685.3199999998</v>
      </c>
      <c r="L112" s="37">
        <f t="shared" si="13"/>
        <v>61638.13</v>
      </c>
      <c r="M112" s="37">
        <v>61132.15</v>
      </c>
      <c r="N112" s="38">
        <v>55018.94</v>
      </c>
      <c r="O112" s="37">
        <f t="shared" si="7"/>
        <v>6619.1899999999951</v>
      </c>
      <c r="P112" s="54" t="e">
        <f t="shared" si="8"/>
        <v>#VALUE!</v>
      </c>
      <c r="Q112" s="40">
        <f t="shared" si="9"/>
        <v>0.10738791069748539</v>
      </c>
      <c r="R112" s="37">
        <f t="shared" si="10"/>
        <v>505.97999999999593</v>
      </c>
      <c r="S112" s="41">
        <f t="shared" si="11"/>
        <v>8.2768232427617213E-3</v>
      </c>
      <c r="T112" s="37" t="e">
        <f>SUMIF('[1]JOBS MAR 15'!$E$8:$E$525,$E$16:$E$533,'[1]JOBS MAR 15'!$G$8:$G$525)</f>
        <v>#VALUE!</v>
      </c>
      <c r="U112" s="37" t="e">
        <f>SUMIF('[1]JOBS MAR 15'!$E$8:$E$525,$E$16:$E$533,'[1]JOBS MAR 15'!$H$8:$H$525)</f>
        <v>#VALUE!</v>
      </c>
      <c r="V112" s="37" t="e">
        <f>SUMIF('[1]JOBS MAR 15'!$E$8:$E$525,$E$16:$E$533,'[1]JOBS MAR 15'!$I$8:$I$525)</f>
        <v>#VALUE!</v>
      </c>
      <c r="W112" s="55" t="str">
        <f t="shared" si="12"/>
        <v xml:space="preserve"> </v>
      </c>
    </row>
    <row r="113" spans="2:23" x14ac:dyDescent="0.2">
      <c r="B113">
        <v>299</v>
      </c>
      <c r="C113">
        <v>1</v>
      </c>
      <c r="D113" s="2" t="s">
        <v>273</v>
      </c>
      <c r="E113" s="50" t="s">
        <v>274</v>
      </c>
      <c r="F113" s="50">
        <v>2707380</v>
      </c>
      <c r="G113" s="50">
        <v>1</v>
      </c>
      <c r="H113" s="52" t="e">
        <f>SUMIF('[1]Build Detail'!$D$4:$D$521,$B$16:$B$533,'[1]Build Detail'!$H$4:$H$521)</f>
        <v>#VALUE!</v>
      </c>
      <c r="I113" s="52" t="e">
        <f>SUMIF('[1]Build Detail'!$D$4:$D$521,$B$16:$B$533,'[1]Build Detail'!$Q$4:$Q$521)</f>
        <v>#VALUE!</v>
      </c>
      <c r="J113" s="52" t="e">
        <f>SUMIF('[1]Build Detail'!$D$4:$D$521,$B$16:$B$533,'[1]Build Detail'!$T$4:$T$521)</f>
        <v>#VALUE!</v>
      </c>
      <c r="K113" s="53">
        <v>5518416.5099999998</v>
      </c>
      <c r="L113" s="37">
        <f t="shared" si="13"/>
        <v>155623.91</v>
      </c>
      <c r="M113" s="37">
        <v>152911.66</v>
      </c>
      <c r="N113" s="38">
        <v>137620.49</v>
      </c>
      <c r="O113" s="37">
        <f t="shared" si="7"/>
        <v>18003.420000000013</v>
      </c>
      <c r="P113" s="54" t="e">
        <f t="shared" si="8"/>
        <v>#VALUE!</v>
      </c>
      <c r="Q113" s="40">
        <f t="shared" si="9"/>
        <v>0.1156854367686817</v>
      </c>
      <c r="R113" s="37">
        <f t="shared" si="10"/>
        <v>2712.25</v>
      </c>
      <c r="S113" s="41">
        <f t="shared" si="11"/>
        <v>1.7737365482789213E-2</v>
      </c>
      <c r="T113" s="37" t="e">
        <f>SUMIF('[1]JOBS MAR 15'!$E$8:$E$525,$E$16:$E$533,'[1]JOBS MAR 15'!$G$8:$G$525)</f>
        <v>#VALUE!</v>
      </c>
      <c r="U113" s="37" t="e">
        <f>SUMIF('[1]JOBS MAR 15'!$E$8:$E$525,$E$16:$E$533,'[1]JOBS MAR 15'!$H$8:$H$525)</f>
        <v>#VALUE!</v>
      </c>
      <c r="V113" s="37" t="e">
        <f>SUMIF('[1]JOBS MAR 15'!$E$8:$E$525,$E$16:$E$533,'[1]JOBS MAR 15'!$I$8:$I$525)</f>
        <v>#VALUE!</v>
      </c>
      <c r="W113" s="55" t="str">
        <f t="shared" si="12"/>
        <v xml:space="preserve"> </v>
      </c>
    </row>
    <row r="114" spans="2:23" x14ac:dyDescent="0.2">
      <c r="B114">
        <v>300</v>
      </c>
      <c r="C114">
        <v>1</v>
      </c>
      <c r="D114" s="2" t="s">
        <v>275</v>
      </c>
      <c r="E114" s="50" t="s">
        <v>276</v>
      </c>
      <c r="F114" s="50">
        <v>2717250</v>
      </c>
      <c r="G114" s="50">
        <v>1</v>
      </c>
      <c r="H114" s="52" t="e">
        <f>SUMIF('[1]Build Detail'!$D$4:$D$521,$B$16:$B$533,'[1]Build Detail'!$H$4:$H$521)</f>
        <v>#VALUE!</v>
      </c>
      <c r="I114" s="52" t="e">
        <f>SUMIF('[1]Build Detail'!$D$4:$D$521,$B$16:$B$533,'[1]Build Detail'!$Q$4:$Q$521)</f>
        <v>#VALUE!</v>
      </c>
      <c r="J114" s="52" t="e">
        <f>SUMIF('[1]Build Detail'!$D$4:$D$521,$B$16:$B$533,'[1]Build Detail'!$T$4:$T$521)</f>
        <v>#VALUE!</v>
      </c>
      <c r="K114" s="53">
        <v>9658581.9400000032</v>
      </c>
      <c r="L114" s="37">
        <f t="shared" si="13"/>
        <v>272380</v>
      </c>
      <c r="M114" s="37">
        <v>269340.94</v>
      </c>
      <c r="N114" s="38">
        <v>242406.85</v>
      </c>
      <c r="O114" s="37">
        <f t="shared" si="7"/>
        <v>29973.149999999994</v>
      </c>
      <c r="P114" s="54" t="e">
        <f t="shared" si="8"/>
        <v>#VALUE!</v>
      </c>
      <c r="Q114" s="40">
        <f t="shared" si="9"/>
        <v>0.1100416697261179</v>
      </c>
      <c r="R114" s="37">
        <f t="shared" si="10"/>
        <v>3039.0599999999977</v>
      </c>
      <c r="S114" s="41">
        <f t="shared" si="11"/>
        <v>1.1283319943859992E-2</v>
      </c>
      <c r="T114" s="37" t="e">
        <f>SUMIF('[1]JOBS MAR 15'!$E$8:$E$525,$E$16:$E$533,'[1]JOBS MAR 15'!$G$8:$G$525)</f>
        <v>#VALUE!</v>
      </c>
      <c r="U114" s="37" t="e">
        <f>SUMIF('[1]JOBS MAR 15'!$E$8:$E$525,$E$16:$E$533,'[1]JOBS MAR 15'!$H$8:$H$525)</f>
        <v>#VALUE!</v>
      </c>
      <c r="V114" s="37" t="e">
        <f>SUMIF('[1]JOBS MAR 15'!$E$8:$E$525,$E$16:$E$533,'[1]JOBS MAR 15'!$I$8:$I$525)</f>
        <v>#VALUE!</v>
      </c>
      <c r="W114" s="55" t="str">
        <f t="shared" si="12"/>
        <v xml:space="preserve"> </v>
      </c>
    </row>
    <row r="115" spans="2:23" x14ac:dyDescent="0.2">
      <c r="B115">
        <v>306</v>
      </c>
      <c r="C115">
        <v>1</v>
      </c>
      <c r="D115" s="2" t="s">
        <v>277</v>
      </c>
      <c r="E115" s="50" t="s">
        <v>278</v>
      </c>
      <c r="F115" s="50">
        <v>2717940</v>
      </c>
      <c r="G115" s="50">
        <v>8</v>
      </c>
      <c r="H115" s="52" t="e">
        <f>SUMIF('[1]Build Detail'!$D$4:$D$521,$B$16:$B$533,'[1]Build Detail'!$H$4:$H$521)</f>
        <v>#VALUE!</v>
      </c>
      <c r="I115" s="52" t="e">
        <f>SUMIF('[1]Build Detail'!$D$4:$D$521,$B$16:$B$533,'[1]Build Detail'!$Q$4:$Q$521)</f>
        <v>#VALUE!</v>
      </c>
      <c r="J115" s="52" t="e">
        <f>SUMIF('[1]Build Detail'!$D$4:$D$521,$B$16:$B$533,'[1]Build Detail'!$T$4:$T$521)</f>
        <v>#VALUE!</v>
      </c>
      <c r="K115" s="53">
        <v>2166564.1899999995</v>
      </c>
      <c r="L115" s="37">
        <f t="shared" si="13"/>
        <v>61098.9</v>
      </c>
      <c r="M115" s="37">
        <v>60737.82</v>
      </c>
      <c r="N115" s="38">
        <v>54664.04</v>
      </c>
      <c r="O115" s="37">
        <f t="shared" si="7"/>
        <v>6434.8600000000006</v>
      </c>
      <c r="P115" s="54" t="e">
        <f t="shared" si="8"/>
        <v>#VALUE!</v>
      </c>
      <c r="Q115" s="40">
        <f t="shared" si="9"/>
        <v>0.10531875369278335</v>
      </c>
      <c r="R115" s="37">
        <f t="shared" si="10"/>
        <v>361.08000000000175</v>
      </c>
      <c r="S115" s="41">
        <f t="shared" si="11"/>
        <v>5.9448956185783712E-3</v>
      </c>
      <c r="T115" s="37" t="e">
        <f>SUMIF('[1]JOBS MAR 15'!$E$8:$E$525,$E$16:$E$533,'[1]JOBS MAR 15'!$G$8:$G$525)</f>
        <v>#VALUE!</v>
      </c>
      <c r="U115" s="37" t="e">
        <f>SUMIF('[1]JOBS MAR 15'!$E$8:$E$525,$E$16:$E$533,'[1]JOBS MAR 15'!$H$8:$H$525)</f>
        <v>#VALUE!</v>
      </c>
      <c r="V115" s="37" t="e">
        <f>SUMIF('[1]JOBS MAR 15'!$E$8:$E$525,$E$16:$E$533,'[1]JOBS MAR 15'!$I$8:$I$525)</f>
        <v>#VALUE!</v>
      </c>
      <c r="W115" s="55" t="str">
        <f t="shared" si="12"/>
        <v xml:space="preserve"> </v>
      </c>
    </row>
    <row r="116" spans="2:23" x14ac:dyDescent="0.2">
      <c r="B116">
        <v>308</v>
      </c>
      <c r="C116">
        <v>1</v>
      </c>
      <c r="D116" s="2" t="s">
        <v>279</v>
      </c>
      <c r="E116" s="50" t="s">
        <v>280</v>
      </c>
      <c r="F116" s="50">
        <v>2723370</v>
      </c>
      <c r="G116" s="50">
        <v>8</v>
      </c>
      <c r="H116" s="52" t="e">
        <f>SUMIF('[1]Build Detail'!$D$4:$D$521,$B$16:$B$533,'[1]Build Detail'!$H$4:$H$521)</f>
        <v>#VALUE!</v>
      </c>
      <c r="I116" s="52" t="e">
        <f>SUMIF('[1]Build Detail'!$D$4:$D$521,$B$16:$B$533,'[1]Build Detail'!$Q$4:$Q$521)</f>
        <v>#VALUE!</v>
      </c>
      <c r="J116" s="52" t="e">
        <f>SUMIF('[1]Build Detail'!$D$4:$D$521,$B$16:$B$533,'[1]Build Detail'!$T$4:$T$521)</f>
        <v>#VALUE!</v>
      </c>
      <c r="K116" s="53">
        <v>3966417.8000000003</v>
      </c>
      <c r="L116" s="37">
        <f t="shared" si="13"/>
        <v>111856.26</v>
      </c>
      <c r="M116" s="37">
        <v>113118.37</v>
      </c>
      <c r="N116" s="38">
        <v>101806.53</v>
      </c>
      <c r="O116" s="37">
        <f t="shared" si="7"/>
        <v>10049.729999999996</v>
      </c>
      <c r="P116" s="54" t="e">
        <f t="shared" si="8"/>
        <v>#VALUE!</v>
      </c>
      <c r="Q116" s="40">
        <f t="shared" si="9"/>
        <v>8.984503862367646E-2</v>
      </c>
      <c r="R116" s="37">
        <f t="shared" si="10"/>
        <v>-1262.1100000000006</v>
      </c>
      <c r="S116" s="41">
        <f t="shared" si="11"/>
        <v>-1.1157427392208716E-2</v>
      </c>
      <c r="T116" s="37" t="e">
        <f>SUMIF('[1]JOBS MAR 15'!$E$8:$E$525,$E$16:$E$533,'[1]JOBS MAR 15'!$G$8:$G$525)</f>
        <v>#VALUE!</v>
      </c>
      <c r="U116" s="37" t="e">
        <f>SUMIF('[1]JOBS MAR 15'!$E$8:$E$525,$E$16:$E$533,'[1]JOBS MAR 15'!$H$8:$H$525)</f>
        <v>#VALUE!</v>
      </c>
      <c r="V116" s="37" t="e">
        <f>SUMIF('[1]JOBS MAR 15'!$E$8:$E$525,$E$16:$E$533,'[1]JOBS MAR 15'!$I$8:$I$525)</f>
        <v>#VALUE!</v>
      </c>
      <c r="W116" s="55" t="str">
        <f t="shared" si="12"/>
        <v xml:space="preserve"> </v>
      </c>
    </row>
    <row r="117" spans="2:23" x14ac:dyDescent="0.2">
      <c r="B117">
        <v>309</v>
      </c>
      <c r="C117">
        <v>1</v>
      </c>
      <c r="D117" s="2" t="s">
        <v>281</v>
      </c>
      <c r="E117" s="50" t="s">
        <v>282</v>
      </c>
      <c r="F117" s="50">
        <v>2728080</v>
      </c>
      <c r="G117" s="50">
        <v>8</v>
      </c>
      <c r="H117" s="52" t="e">
        <f>SUMIF('[1]Build Detail'!$D$4:$D$521,$B$16:$B$533,'[1]Build Detail'!$H$4:$H$521)</f>
        <v>#VALUE!</v>
      </c>
      <c r="I117" s="52" t="e">
        <f>SUMIF('[1]Build Detail'!$D$4:$D$521,$B$16:$B$533,'[1]Build Detail'!$Q$4:$Q$521)</f>
        <v>#VALUE!</v>
      </c>
      <c r="J117" s="52" t="e">
        <f>SUMIF('[1]Build Detail'!$D$4:$D$521,$B$16:$B$533,'[1]Build Detail'!$T$4:$T$521)</f>
        <v>#VALUE!</v>
      </c>
      <c r="K117" s="53">
        <v>10812931.470000001</v>
      </c>
      <c r="L117" s="37">
        <f t="shared" si="13"/>
        <v>304933.61</v>
      </c>
      <c r="M117" s="37">
        <v>305920.63</v>
      </c>
      <c r="N117" s="38">
        <v>275328.57</v>
      </c>
      <c r="O117" s="37">
        <f t="shared" si="7"/>
        <v>29605.039999999979</v>
      </c>
      <c r="P117" s="54" t="e">
        <f t="shared" si="8"/>
        <v>#VALUE!</v>
      </c>
      <c r="Q117" s="40">
        <f t="shared" si="9"/>
        <v>9.7086838016970253E-2</v>
      </c>
      <c r="R117" s="37">
        <f t="shared" si="10"/>
        <v>-987.02000000001863</v>
      </c>
      <c r="S117" s="41">
        <f t="shared" si="11"/>
        <v>-3.2263924142677748E-3</v>
      </c>
      <c r="T117" s="37" t="e">
        <f>SUMIF('[1]JOBS MAR 15'!$E$8:$E$525,$E$16:$E$533,'[1]JOBS MAR 15'!$G$8:$G$525)</f>
        <v>#VALUE!</v>
      </c>
      <c r="U117" s="37" t="e">
        <f>SUMIF('[1]JOBS MAR 15'!$E$8:$E$525,$E$16:$E$533,'[1]JOBS MAR 15'!$H$8:$H$525)</f>
        <v>#VALUE!</v>
      </c>
      <c r="V117" s="37" t="e">
        <f>SUMIF('[1]JOBS MAR 15'!$E$8:$E$525,$E$16:$E$533,'[1]JOBS MAR 15'!$I$8:$I$525)</f>
        <v>#VALUE!</v>
      </c>
      <c r="W117" s="55" t="str">
        <f t="shared" si="12"/>
        <v xml:space="preserve"> </v>
      </c>
    </row>
    <row r="118" spans="2:23" x14ac:dyDescent="0.2">
      <c r="B118">
        <v>314</v>
      </c>
      <c r="C118">
        <v>1</v>
      </c>
      <c r="D118" s="2" t="s">
        <v>283</v>
      </c>
      <c r="E118" s="50" t="s">
        <v>284</v>
      </c>
      <c r="F118" s="50">
        <v>2706060</v>
      </c>
      <c r="G118" s="50">
        <v>8</v>
      </c>
      <c r="H118" s="52" t="e">
        <f>SUMIF('[1]Build Detail'!$D$4:$D$521,$B$16:$B$533,'[1]Build Detail'!$H$4:$H$521)</f>
        <v>#VALUE!</v>
      </c>
      <c r="I118" s="52" t="e">
        <f>SUMIF('[1]Build Detail'!$D$4:$D$521,$B$16:$B$533,'[1]Build Detail'!$Q$4:$Q$521)</f>
        <v>#VALUE!</v>
      </c>
      <c r="J118" s="52" t="e">
        <f>SUMIF('[1]Build Detail'!$D$4:$D$521,$B$16:$B$533,'[1]Build Detail'!$T$4:$T$521)</f>
        <v>#VALUE!</v>
      </c>
      <c r="K118" s="53">
        <v>6457024.5200000005</v>
      </c>
      <c r="L118" s="37">
        <f t="shared" si="13"/>
        <v>182093.43</v>
      </c>
      <c r="M118" s="37">
        <v>182717.42</v>
      </c>
      <c r="N118" s="38">
        <v>164445.68</v>
      </c>
      <c r="O118" s="37">
        <f t="shared" si="7"/>
        <v>17647.75</v>
      </c>
      <c r="P118" s="54" t="e">
        <f t="shared" si="8"/>
        <v>#VALUE!</v>
      </c>
      <c r="Q118" s="40">
        <f t="shared" si="9"/>
        <v>9.6915907399844139E-2</v>
      </c>
      <c r="R118" s="37">
        <f t="shared" si="10"/>
        <v>-623.99000000001979</v>
      </c>
      <c r="S118" s="41">
        <f t="shared" si="11"/>
        <v>-3.4150547878796654E-3</v>
      </c>
      <c r="T118" s="37" t="e">
        <f>SUMIF('[1]JOBS MAR 15'!$E$8:$E$525,$E$16:$E$533,'[1]JOBS MAR 15'!$G$8:$G$525)</f>
        <v>#VALUE!</v>
      </c>
      <c r="U118" s="37" t="e">
        <f>SUMIF('[1]JOBS MAR 15'!$E$8:$E$525,$E$16:$E$533,'[1]JOBS MAR 15'!$H$8:$H$525)</f>
        <v>#VALUE!</v>
      </c>
      <c r="V118" s="37" t="e">
        <f>SUMIF('[1]JOBS MAR 15'!$E$8:$E$525,$E$16:$E$533,'[1]JOBS MAR 15'!$I$8:$I$525)</f>
        <v>#VALUE!</v>
      </c>
      <c r="W118" s="55" t="str">
        <f t="shared" si="12"/>
        <v xml:space="preserve"> </v>
      </c>
    </row>
    <row r="119" spans="2:23" x14ac:dyDescent="0.2">
      <c r="B119">
        <v>316</v>
      </c>
      <c r="C119">
        <v>1</v>
      </c>
      <c r="D119" s="2" t="s">
        <v>285</v>
      </c>
      <c r="E119" s="50" t="s">
        <v>286</v>
      </c>
      <c r="F119" s="50">
        <v>2709480</v>
      </c>
      <c r="G119" s="50">
        <v>8</v>
      </c>
      <c r="H119" s="52" t="e">
        <f>SUMIF('[1]Build Detail'!$D$4:$D$521,$B$16:$B$533,'[1]Build Detail'!$H$4:$H$521)</f>
        <v>#VALUE!</v>
      </c>
      <c r="I119" s="52" t="e">
        <f>SUMIF('[1]Build Detail'!$D$4:$D$521,$B$16:$B$533,'[1]Build Detail'!$Q$4:$Q$521)</f>
        <v>#VALUE!</v>
      </c>
      <c r="J119" s="52" t="e">
        <f>SUMIF('[1]Build Detail'!$D$4:$D$521,$B$16:$B$533,'[1]Build Detail'!$T$4:$T$521)</f>
        <v>#VALUE!</v>
      </c>
      <c r="K119" s="53">
        <v>8585594.1900000013</v>
      </c>
      <c r="L119" s="37">
        <f t="shared" si="13"/>
        <v>242120.86</v>
      </c>
      <c r="M119" s="37">
        <v>240442.91</v>
      </c>
      <c r="N119" s="38">
        <v>216398.62</v>
      </c>
      <c r="O119" s="37">
        <f t="shared" si="7"/>
        <v>25722.239999999991</v>
      </c>
      <c r="P119" s="54" t="e">
        <f t="shared" si="8"/>
        <v>#VALUE!</v>
      </c>
      <c r="Q119" s="40">
        <f t="shared" si="9"/>
        <v>0.10623719079801712</v>
      </c>
      <c r="R119" s="37">
        <f t="shared" si="10"/>
        <v>1677.9499999999825</v>
      </c>
      <c r="S119" s="41">
        <f t="shared" si="11"/>
        <v>6.9785796553534576E-3</v>
      </c>
      <c r="T119" s="37" t="e">
        <f>SUMIF('[1]JOBS MAR 15'!$E$8:$E$525,$E$16:$E$533,'[1]JOBS MAR 15'!$G$8:$G$525)</f>
        <v>#VALUE!</v>
      </c>
      <c r="U119" s="37" t="e">
        <f>SUMIF('[1]JOBS MAR 15'!$E$8:$E$525,$E$16:$E$533,'[1]JOBS MAR 15'!$H$8:$H$525)</f>
        <v>#VALUE!</v>
      </c>
      <c r="V119" s="37" t="e">
        <f>SUMIF('[1]JOBS MAR 15'!$E$8:$E$525,$E$16:$E$533,'[1]JOBS MAR 15'!$I$8:$I$525)</f>
        <v>#VALUE!</v>
      </c>
      <c r="W119" s="55" t="str">
        <f t="shared" si="12"/>
        <v xml:space="preserve"> </v>
      </c>
    </row>
    <row r="120" spans="2:23" x14ac:dyDescent="0.2">
      <c r="B120">
        <v>317</v>
      </c>
      <c r="C120">
        <v>1</v>
      </c>
      <c r="D120" s="2" t="s">
        <v>287</v>
      </c>
      <c r="E120" s="50" t="s">
        <v>288</v>
      </c>
      <c r="F120" s="50">
        <v>2710140</v>
      </c>
      <c r="G120" s="50">
        <v>8</v>
      </c>
      <c r="H120" s="52" t="e">
        <f>SUMIF('[1]Build Detail'!$D$4:$D$521,$B$16:$B$533,'[1]Build Detail'!$H$4:$H$521)</f>
        <v>#VALUE!</v>
      </c>
      <c r="I120" s="52" t="e">
        <f>SUMIF('[1]Build Detail'!$D$4:$D$521,$B$16:$B$533,'[1]Build Detail'!$Q$4:$Q$521)</f>
        <v>#VALUE!</v>
      </c>
      <c r="J120" s="52" t="e">
        <f>SUMIF('[1]Build Detail'!$D$4:$D$521,$B$16:$B$533,'[1]Build Detail'!$T$4:$T$521)</f>
        <v>#VALUE!</v>
      </c>
      <c r="K120" s="53">
        <v>7498743.2400000002</v>
      </c>
      <c r="L120" s="37">
        <f t="shared" si="13"/>
        <v>211470.76</v>
      </c>
      <c r="M120" s="37">
        <v>209271.19</v>
      </c>
      <c r="N120" s="38">
        <v>188344.07</v>
      </c>
      <c r="O120" s="37">
        <f t="shared" si="7"/>
        <v>23126.690000000002</v>
      </c>
      <c r="P120" s="54" t="e">
        <f t="shared" si="8"/>
        <v>#VALUE!</v>
      </c>
      <c r="Q120" s="40">
        <f t="shared" si="9"/>
        <v>0.10936117125601667</v>
      </c>
      <c r="R120" s="37">
        <f t="shared" si="10"/>
        <v>2199.570000000007</v>
      </c>
      <c r="S120" s="41">
        <f t="shared" si="11"/>
        <v>1.0510620214851394E-2</v>
      </c>
      <c r="T120" s="37" t="e">
        <f>SUMIF('[1]JOBS MAR 15'!$E$8:$E$525,$E$16:$E$533,'[1]JOBS MAR 15'!$G$8:$G$525)</f>
        <v>#VALUE!</v>
      </c>
      <c r="U120" s="37" t="e">
        <f>SUMIF('[1]JOBS MAR 15'!$E$8:$E$525,$E$16:$E$533,'[1]JOBS MAR 15'!$H$8:$H$525)</f>
        <v>#VALUE!</v>
      </c>
      <c r="V120" s="37" t="e">
        <f>SUMIF('[1]JOBS MAR 15'!$E$8:$E$525,$E$16:$E$533,'[1]JOBS MAR 15'!$I$8:$I$525)</f>
        <v>#VALUE!</v>
      </c>
      <c r="W120" s="55" t="str">
        <f t="shared" si="12"/>
        <v xml:space="preserve"> </v>
      </c>
    </row>
    <row r="121" spans="2:23" x14ac:dyDescent="0.2">
      <c r="B121">
        <v>318</v>
      </c>
      <c r="C121">
        <v>1</v>
      </c>
      <c r="D121" s="2" t="s">
        <v>289</v>
      </c>
      <c r="E121" s="50" t="s">
        <v>290</v>
      </c>
      <c r="F121" s="50">
        <v>2713170</v>
      </c>
      <c r="G121" s="50">
        <v>8</v>
      </c>
      <c r="H121" s="52" t="e">
        <f>SUMIF('[1]Build Detail'!$D$4:$D$521,$B$16:$B$533,'[1]Build Detail'!$H$4:$H$521)</f>
        <v>#VALUE!</v>
      </c>
      <c r="I121" s="52" t="e">
        <f>SUMIF('[1]Build Detail'!$D$4:$D$521,$B$16:$B$533,'[1]Build Detail'!$Q$4:$Q$521)</f>
        <v>#VALUE!</v>
      </c>
      <c r="J121" s="52" t="e">
        <f>SUMIF('[1]Build Detail'!$D$4:$D$521,$B$16:$B$533,'[1]Build Detail'!$T$4:$T$521)</f>
        <v>#VALUE!</v>
      </c>
      <c r="K121" s="53">
        <v>27973858.750000004</v>
      </c>
      <c r="L121" s="37">
        <f t="shared" si="13"/>
        <v>788885.95</v>
      </c>
      <c r="M121" s="37">
        <v>779817.95</v>
      </c>
      <c r="N121" s="38">
        <v>701836.16</v>
      </c>
      <c r="O121" s="37">
        <f t="shared" si="7"/>
        <v>87049.789999999921</v>
      </c>
      <c r="P121" s="54" t="e">
        <f t="shared" si="8"/>
        <v>#VALUE!</v>
      </c>
      <c r="Q121" s="40">
        <f t="shared" si="9"/>
        <v>0.11034521530013296</v>
      </c>
      <c r="R121" s="37">
        <f t="shared" si="10"/>
        <v>9068</v>
      </c>
      <c r="S121" s="41">
        <f t="shared" si="11"/>
        <v>1.1628355053894311E-2</v>
      </c>
      <c r="T121" s="37" t="e">
        <f>SUMIF('[1]JOBS MAR 15'!$E$8:$E$525,$E$16:$E$533,'[1]JOBS MAR 15'!$G$8:$G$525)</f>
        <v>#VALUE!</v>
      </c>
      <c r="U121" s="37" t="e">
        <f>SUMIF('[1]JOBS MAR 15'!$E$8:$E$525,$E$16:$E$533,'[1]JOBS MAR 15'!$H$8:$H$525)</f>
        <v>#VALUE!</v>
      </c>
      <c r="V121" s="37" t="e">
        <f>SUMIF('[1]JOBS MAR 15'!$E$8:$E$525,$E$16:$E$533,'[1]JOBS MAR 15'!$I$8:$I$525)</f>
        <v>#VALUE!</v>
      </c>
      <c r="W121" s="55" t="str">
        <f t="shared" si="12"/>
        <v xml:space="preserve"> </v>
      </c>
    </row>
    <row r="122" spans="2:23" x14ac:dyDescent="0.2">
      <c r="B122">
        <v>319</v>
      </c>
      <c r="C122">
        <v>1</v>
      </c>
      <c r="D122" s="2" t="s">
        <v>291</v>
      </c>
      <c r="E122" s="50" t="s">
        <v>292</v>
      </c>
      <c r="F122" s="50">
        <v>2723310</v>
      </c>
      <c r="G122" s="50">
        <v>8</v>
      </c>
      <c r="H122" s="52" t="e">
        <f>SUMIF('[1]Build Detail'!$D$4:$D$521,$B$16:$B$533,'[1]Build Detail'!$H$4:$H$521)</f>
        <v>#VALUE!</v>
      </c>
      <c r="I122" s="52" t="e">
        <f>SUMIF('[1]Build Detail'!$D$4:$D$521,$B$16:$B$533,'[1]Build Detail'!$Q$4:$Q$521)</f>
        <v>#VALUE!</v>
      </c>
      <c r="J122" s="52" t="e">
        <f>SUMIF('[1]Build Detail'!$D$4:$D$521,$B$16:$B$533,'[1]Build Detail'!$T$4:$T$521)</f>
        <v>#VALUE!</v>
      </c>
      <c r="K122" s="53">
        <v>4895018.08</v>
      </c>
      <c r="L122" s="37">
        <f t="shared" si="13"/>
        <v>138043.56</v>
      </c>
      <c r="M122" s="37">
        <v>137936.03</v>
      </c>
      <c r="N122" s="38">
        <v>124142.43</v>
      </c>
      <c r="O122" s="37">
        <f t="shared" si="7"/>
        <v>13901.130000000005</v>
      </c>
      <c r="P122" s="54" t="e">
        <f t="shared" si="8"/>
        <v>#VALUE!</v>
      </c>
      <c r="Q122" s="40">
        <f t="shared" si="9"/>
        <v>0.10070103958489628</v>
      </c>
      <c r="R122" s="37">
        <f t="shared" si="10"/>
        <v>107.52999999999884</v>
      </c>
      <c r="S122" s="41">
        <f t="shared" si="11"/>
        <v>7.7956426613118291E-4</v>
      </c>
      <c r="T122" s="37" t="e">
        <f>SUMIF('[1]JOBS MAR 15'!$E$8:$E$525,$E$16:$E$533,'[1]JOBS MAR 15'!$G$8:$G$525)</f>
        <v>#VALUE!</v>
      </c>
      <c r="U122" s="37" t="e">
        <f>SUMIF('[1]JOBS MAR 15'!$E$8:$E$525,$E$16:$E$533,'[1]JOBS MAR 15'!$H$8:$H$525)</f>
        <v>#VALUE!</v>
      </c>
      <c r="V122" s="37" t="e">
        <f>SUMIF('[1]JOBS MAR 15'!$E$8:$E$525,$E$16:$E$533,'[1]JOBS MAR 15'!$I$8:$I$525)</f>
        <v>#VALUE!</v>
      </c>
      <c r="W122" s="55" t="str">
        <f t="shared" si="12"/>
        <v xml:space="preserve"> </v>
      </c>
    </row>
    <row r="123" spans="2:23" x14ac:dyDescent="0.2">
      <c r="B123">
        <v>323</v>
      </c>
      <c r="C123">
        <v>2</v>
      </c>
      <c r="D123" s="2" t="s">
        <v>293</v>
      </c>
      <c r="E123" s="50" t="s">
        <v>294</v>
      </c>
      <c r="F123" s="50">
        <v>2708880</v>
      </c>
      <c r="G123" s="50">
        <v>8</v>
      </c>
      <c r="H123" s="52" t="e">
        <f>SUMIF('[1]Build Detail'!$D$4:$D$521,$B$16:$B$533,'[1]Build Detail'!$H$4:$H$521)</f>
        <v>#VALUE!</v>
      </c>
      <c r="I123" s="52" t="e">
        <f>SUMIF('[1]Build Detail'!$D$4:$D$521,$B$16:$B$533,'[1]Build Detail'!$Q$4:$Q$521)</f>
        <v>#VALUE!</v>
      </c>
      <c r="J123" s="52" t="e">
        <f>SUMIF('[1]Build Detail'!$D$4:$D$521,$B$16:$B$533,'[1]Build Detail'!$T$4:$T$521)</f>
        <v>#VALUE!</v>
      </c>
      <c r="K123" s="53">
        <v>115175.43</v>
      </c>
      <c r="L123" s="37">
        <f t="shared" si="13"/>
        <v>3248.04</v>
      </c>
      <c r="M123" s="37">
        <v>3315.65</v>
      </c>
      <c r="N123" s="38">
        <v>2984.09</v>
      </c>
      <c r="O123" s="37">
        <f t="shared" si="7"/>
        <v>263.94999999999982</v>
      </c>
      <c r="P123" s="54" t="e">
        <f t="shared" si="8"/>
        <v>#VALUE!</v>
      </c>
      <c r="Q123" s="40">
        <f t="shared" si="9"/>
        <v>8.1264393295649009E-2</v>
      </c>
      <c r="R123" s="37">
        <f t="shared" si="10"/>
        <v>-67.610000000000127</v>
      </c>
      <c r="S123" s="41">
        <f t="shared" si="11"/>
        <v>-2.039117518435303E-2</v>
      </c>
      <c r="T123" s="37" t="e">
        <f>SUMIF('[1]JOBS MAR 15'!$E$8:$E$525,$E$16:$E$533,'[1]JOBS MAR 15'!$G$8:$G$525)</f>
        <v>#VALUE!</v>
      </c>
      <c r="U123" s="37" t="e">
        <f>SUMIF('[1]JOBS MAR 15'!$E$8:$E$525,$E$16:$E$533,'[1]JOBS MAR 15'!$H$8:$H$525)</f>
        <v>#VALUE!</v>
      </c>
      <c r="V123" s="37" t="e">
        <f>SUMIF('[1]JOBS MAR 15'!$E$8:$E$525,$E$16:$E$533,'[1]JOBS MAR 15'!$I$8:$I$525)</f>
        <v>#VALUE!</v>
      </c>
      <c r="W123" s="55" t="str">
        <f t="shared" si="12"/>
        <v xml:space="preserve"> </v>
      </c>
    </row>
    <row r="124" spans="2:23" x14ac:dyDescent="0.2">
      <c r="B124">
        <v>330</v>
      </c>
      <c r="C124">
        <v>1</v>
      </c>
      <c r="D124" s="2" t="s">
        <v>295</v>
      </c>
      <c r="E124" s="50" t="s">
        <v>296</v>
      </c>
      <c r="F124" s="50">
        <v>2713930</v>
      </c>
      <c r="G124" s="50">
        <v>1</v>
      </c>
      <c r="H124" s="52" t="e">
        <f>SUMIF('[1]Build Detail'!$D$4:$D$521,$B$16:$B$533,'[1]Build Detail'!$H$4:$H$521)</f>
        <v>#VALUE!</v>
      </c>
      <c r="I124" s="52" t="e">
        <f>SUMIF('[1]Build Detail'!$D$4:$D$521,$B$16:$B$533,'[1]Build Detail'!$Q$4:$Q$521)</f>
        <v>#VALUE!</v>
      </c>
      <c r="J124" s="52" t="e">
        <f>SUMIF('[1]Build Detail'!$D$4:$D$521,$B$16:$B$533,'[1]Build Detail'!$T$4:$T$521)</f>
        <v>#VALUE!</v>
      </c>
      <c r="K124" s="53">
        <v>2719384.69</v>
      </c>
      <c r="L124" s="37">
        <f t="shared" si="13"/>
        <v>76688.899999999994</v>
      </c>
      <c r="M124" s="37">
        <v>75819.960000000006</v>
      </c>
      <c r="N124" s="38">
        <v>68237.960000000006</v>
      </c>
      <c r="O124" s="37">
        <f t="shared" si="7"/>
        <v>8450.9399999999878</v>
      </c>
      <c r="P124" s="54" t="e">
        <f t="shared" si="8"/>
        <v>#VALUE!</v>
      </c>
      <c r="Q124" s="40">
        <f t="shared" si="9"/>
        <v>0.1101976948424086</v>
      </c>
      <c r="R124" s="37">
        <f t="shared" si="10"/>
        <v>868.93999999998778</v>
      </c>
      <c r="S124" s="41">
        <f t="shared" si="11"/>
        <v>1.1460570541055254E-2</v>
      </c>
      <c r="T124" s="37" t="e">
        <f>SUMIF('[1]JOBS MAR 15'!$E$8:$E$525,$E$16:$E$533,'[1]JOBS MAR 15'!$G$8:$G$525)</f>
        <v>#VALUE!</v>
      </c>
      <c r="U124" s="37" t="e">
        <f>SUMIF('[1]JOBS MAR 15'!$E$8:$E$525,$E$16:$E$533,'[1]JOBS MAR 15'!$H$8:$H$525)</f>
        <v>#VALUE!</v>
      </c>
      <c r="V124" s="37" t="e">
        <f>SUMIF('[1]JOBS MAR 15'!$E$8:$E$525,$E$16:$E$533,'[1]JOBS MAR 15'!$I$8:$I$525)</f>
        <v>#VALUE!</v>
      </c>
      <c r="W124" s="55" t="str">
        <f t="shared" si="12"/>
        <v xml:space="preserve"> </v>
      </c>
    </row>
    <row r="125" spans="2:23" x14ac:dyDescent="0.2">
      <c r="B125">
        <v>332</v>
      </c>
      <c r="C125">
        <v>1</v>
      </c>
      <c r="D125" s="2" t="s">
        <v>297</v>
      </c>
      <c r="E125" s="50" t="s">
        <v>298</v>
      </c>
      <c r="F125" s="50">
        <v>2721480</v>
      </c>
      <c r="G125" s="50">
        <v>8</v>
      </c>
      <c r="H125" s="52" t="e">
        <f>SUMIF('[1]Build Detail'!$D$4:$D$521,$B$16:$B$533,'[1]Build Detail'!$H$4:$H$521)</f>
        <v>#VALUE!</v>
      </c>
      <c r="I125" s="52" t="e">
        <f>SUMIF('[1]Build Detail'!$D$4:$D$521,$B$16:$B$533,'[1]Build Detail'!$Q$4:$Q$521)</f>
        <v>#VALUE!</v>
      </c>
      <c r="J125" s="52" t="e">
        <f>SUMIF('[1]Build Detail'!$D$4:$D$521,$B$16:$B$533,'[1]Build Detail'!$T$4:$T$521)</f>
        <v>#VALUE!</v>
      </c>
      <c r="K125" s="53">
        <v>12484759.709999999</v>
      </c>
      <c r="L125" s="37">
        <f t="shared" si="13"/>
        <v>352080.55</v>
      </c>
      <c r="M125" s="37">
        <v>349687.51</v>
      </c>
      <c r="N125" s="38">
        <v>314718.76</v>
      </c>
      <c r="O125" s="37">
        <f t="shared" si="7"/>
        <v>37361.789999999979</v>
      </c>
      <c r="P125" s="54" t="e">
        <f t="shared" si="8"/>
        <v>#VALUE!</v>
      </c>
      <c r="Q125" s="40">
        <f t="shared" si="9"/>
        <v>0.10611716551794748</v>
      </c>
      <c r="R125" s="37">
        <f t="shared" si="10"/>
        <v>2393.039999999979</v>
      </c>
      <c r="S125" s="41">
        <f t="shared" si="11"/>
        <v>6.8433670965256351E-3</v>
      </c>
      <c r="T125" s="37" t="e">
        <f>SUMIF('[1]JOBS MAR 15'!$E$8:$E$525,$E$16:$E$533,'[1]JOBS MAR 15'!$G$8:$G$525)</f>
        <v>#VALUE!</v>
      </c>
      <c r="U125" s="37" t="e">
        <f>SUMIF('[1]JOBS MAR 15'!$E$8:$E$525,$E$16:$E$533,'[1]JOBS MAR 15'!$H$8:$H$525)</f>
        <v>#VALUE!</v>
      </c>
      <c r="V125" s="37" t="e">
        <f>SUMIF('[1]JOBS MAR 15'!$E$8:$E$525,$E$16:$E$533,'[1]JOBS MAR 15'!$I$8:$I$525)</f>
        <v>#VALUE!</v>
      </c>
      <c r="W125" s="55" t="str">
        <f t="shared" si="12"/>
        <v xml:space="preserve"> </v>
      </c>
    </row>
    <row r="126" spans="2:23" x14ac:dyDescent="0.2">
      <c r="B126">
        <v>333</v>
      </c>
      <c r="C126">
        <v>1</v>
      </c>
      <c r="D126" s="2" t="s">
        <v>299</v>
      </c>
      <c r="E126" s="50" t="s">
        <v>300</v>
      </c>
      <c r="F126" s="50">
        <v>2723970</v>
      </c>
      <c r="G126" s="50">
        <v>8</v>
      </c>
      <c r="H126" s="52" t="e">
        <f>SUMIF('[1]Build Detail'!$D$4:$D$521,$B$16:$B$533,'[1]Build Detail'!$H$4:$H$521)</f>
        <v>#VALUE!</v>
      </c>
      <c r="I126" s="52" t="e">
        <f>SUMIF('[1]Build Detail'!$D$4:$D$521,$B$16:$B$533,'[1]Build Detail'!$Q$4:$Q$521)</f>
        <v>#VALUE!</v>
      </c>
      <c r="J126" s="52" t="e">
        <f>SUMIF('[1]Build Detail'!$D$4:$D$521,$B$16:$B$533,'[1]Build Detail'!$T$4:$T$521)</f>
        <v>#VALUE!</v>
      </c>
      <c r="K126" s="53">
        <v>4430402.5500000007</v>
      </c>
      <c r="L126" s="37">
        <f t="shared" si="13"/>
        <v>124941.02</v>
      </c>
      <c r="M126" s="37">
        <v>124590.1</v>
      </c>
      <c r="N126" s="38">
        <v>112131.09</v>
      </c>
      <c r="O126" s="37">
        <f t="shared" si="7"/>
        <v>12809.930000000008</v>
      </c>
      <c r="P126" s="54" t="e">
        <f t="shared" si="8"/>
        <v>#VALUE!</v>
      </c>
      <c r="Q126" s="40">
        <f t="shared" si="9"/>
        <v>0.1025278167250436</v>
      </c>
      <c r="R126" s="37">
        <f t="shared" si="10"/>
        <v>350.91999999999825</v>
      </c>
      <c r="S126" s="41">
        <f t="shared" si="11"/>
        <v>2.8165961822006584E-3</v>
      </c>
      <c r="T126" s="37" t="e">
        <f>SUMIF('[1]JOBS MAR 15'!$E$8:$E$525,$E$16:$E$533,'[1]JOBS MAR 15'!$G$8:$G$525)</f>
        <v>#VALUE!</v>
      </c>
      <c r="U126" s="37" t="e">
        <f>SUMIF('[1]JOBS MAR 15'!$E$8:$E$525,$E$16:$E$533,'[1]JOBS MAR 15'!$H$8:$H$525)</f>
        <v>#VALUE!</v>
      </c>
      <c r="V126" s="37" t="e">
        <f>SUMIF('[1]JOBS MAR 15'!$E$8:$E$525,$E$16:$E$533,'[1]JOBS MAR 15'!$I$8:$I$525)</f>
        <v>#VALUE!</v>
      </c>
      <c r="W126" s="55" t="str">
        <f t="shared" si="12"/>
        <v xml:space="preserve"> </v>
      </c>
    </row>
    <row r="127" spans="2:23" x14ac:dyDescent="0.2">
      <c r="B127">
        <v>345</v>
      </c>
      <c r="C127">
        <v>1</v>
      </c>
      <c r="D127" s="2" t="s">
        <v>301</v>
      </c>
      <c r="E127" s="50" t="s">
        <v>302</v>
      </c>
      <c r="F127" s="50">
        <v>2723400</v>
      </c>
      <c r="G127" s="50">
        <v>7</v>
      </c>
      <c r="H127" s="52" t="e">
        <f>SUMIF('[1]Build Detail'!$D$4:$D$521,$B$16:$B$533,'[1]Build Detail'!$H$4:$H$521)</f>
        <v>#VALUE!</v>
      </c>
      <c r="I127" s="52" t="e">
        <f>SUMIF('[1]Build Detail'!$D$4:$D$521,$B$16:$B$533,'[1]Build Detail'!$Q$4:$Q$521)</f>
        <v>#VALUE!</v>
      </c>
      <c r="J127" s="52" t="e">
        <f>SUMIF('[1]Build Detail'!$D$4:$D$521,$B$16:$B$533,'[1]Build Detail'!$T$4:$T$521)</f>
        <v>#VALUE!</v>
      </c>
      <c r="K127" s="53">
        <v>9355939.4900000021</v>
      </c>
      <c r="L127" s="37">
        <f t="shared" si="13"/>
        <v>263845.23</v>
      </c>
      <c r="M127" s="37">
        <v>264885.38</v>
      </c>
      <c r="N127" s="38">
        <v>238396.84</v>
      </c>
      <c r="O127" s="37">
        <f t="shared" si="7"/>
        <v>25448.389999999985</v>
      </c>
      <c r="P127" s="54" t="e">
        <f t="shared" si="8"/>
        <v>#VALUE!</v>
      </c>
      <c r="Q127" s="40">
        <f t="shared" si="9"/>
        <v>9.6451961629171717E-2</v>
      </c>
      <c r="R127" s="37">
        <f t="shared" si="10"/>
        <v>-1040.1500000000233</v>
      </c>
      <c r="S127" s="41">
        <f t="shared" si="11"/>
        <v>-3.9267927886394612E-3</v>
      </c>
      <c r="T127" s="37" t="e">
        <f>SUMIF('[1]JOBS MAR 15'!$E$8:$E$525,$E$16:$E$533,'[1]JOBS MAR 15'!$G$8:$G$525)</f>
        <v>#VALUE!</v>
      </c>
      <c r="U127" s="37" t="e">
        <f>SUMIF('[1]JOBS MAR 15'!$E$8:$E$525,$E$16:$E$533,'[1]JOBS MAR 15'!$H$8:$H$525)</f>
        <v>#VALUE!</v>
      </c>
      <c r="V127" s="37" t="e">
        <f>SUMIF('[1]JOBS MAR 15'!$E$8:$E$525,$E$16:$E$533,'[1]JOBS MAR 15'!$I$8:$I$525)</f>
        <v>#VALUE!</v>
      </c>
      <c r="W127" s="55" t="str">
        <f t="shared" si="12"/>
        <v xml:space="preserve"> </v>
      </c>
    </row>
    <row r="128" spans="2:23" x14ac:dyDescent="0.2">
      <c r="B128">
        <v>347</v>
      </c>
      <c r="C128">
        <v>1</v>
      </c>
      <c r="D128" s="2" t="s">
        <v>303</v>
      </c>
      <c r="E128" s="50" t="s">
        <v>304</v>
      </c>
      <c r="F128" s="50">
        <v>2742720</v>
      </c>
      <c r="G128" s="50">
        <v>7</v>
      </c>
      <c r="H128" s="52" t="e">
        <f>SUMIF('[1]Build Detail'!$D$4:$D$521,$B$16:$B$533,'[1]Build Detail'!$H$4:$H$521)</f>
        <v>#VALUE!</v>
      </c>
      <c r="I128" s="52" t="e">
        <f>SUMIF('[1]Build Detail'!$D$4:$D$521,$B$16:$B$533,'[1]Build Detail'!$Q$4:$Q$521)</f>
        <v>#VALUE!</v>
      </c>
      <c r="J128" s="52" t="e">
        <f>SUMIF('[1]Build Detail'!$D$4:$D$521,$B$16:$B$533,'[1]Build Detail'!$T$4:$T$521)</f>
        <v>#VALUE!</v>
      </c>
      <c r="K128" s="53">
        <v>31611156.329999998</v>
      </c>
      <c r="L128" s="37">
        <f t="shared" si="13"/>
        <v>891460.75</v>
      </c>
      <c r="M128" s="37">
        <v>892039.83</v>
      </c>
      <c r="N128" s="38">
        <v>802835.85</v>
      </c>
      <c r="O128" s="37">
        <f t="shared" si="7"/>
        <v>88624.900000000023</v>
      </c>
      <c r="P128" s="54" t="e">
        <f t="shared" si="8"/>
        <v>#VALUE!</v>
      </c>
      <c r="Q128" s="40">
        <f t="shared" si="9"/>
        <v>9.9415369661535885E-2</v>
      </c>
      <c r="R128" s="37">
        <f t="shared" si="10"/>
        <v>-579.07999999995809</v>
      </c>
      <c r="S128" s="41">
        <f t="shared" si="11"/>
        <v>-6.4916383834560183E-4</v>
      </c>
      <c r="T128" s="37" t="e">
        <f>SUMIF('[1]JOBS MAR 15'!$E$8:$E$525,$E$16:$E$533,'[1]JOBS MAR 15'!$G$8:$G$525)</f>
        <v>#VALUE!</v>
      </c>
      <c r="U128" s="37" t="e">
        <f>SUMIF('[1]JOBS MAR 15'!$E$8:$E$525,$E$16:$E$533,'[1]JOBS MAR 15'!$H$8:$H$525)</f>
        <v>#VALUE!</v>
      </c>
      <c r="V128" s="37" t="e">
        <f>SUMIF('[1]JOBS MAR 15'!$E$8:$E$525,$E$16:$E$533,'[1]JOBS MAR 15'!$I$8:$I$525)</f>
        <v>#VALUE!</v>
      </c>
      <c r="W128" s="55" t="str">
        <f t="shared" si="12"/>
        <v xml:space="preserve"> </v>
      </c>
    </row>
    <row r="129" spans="2:23" x14ac:dyDescent="0.2">
      <c r="B129">
        <v>356</v>
      </c>
      <c r="C129">
        <v>1</v>
      </c>
      <c r="D129" s="2" t="s">
        <v>305</v>
      </c>
      <c r="E129" s="50" t="s">
        <v>306</v>
      </c>
      <c r="F129" s="50">
        <v>2717880</v>
      </c>
      <c r="G129" s="50">
        <v>7</v>
      </c>
      <c r="H129" s="52" t="e">
        <f>SUMIF('[1]Build Detail'!$D$4:$D$521,$B$16:$B$533,'[1]Build Detail'!$H$4:$H$521)</f>
        <v>#VALUE!</v>
      </c>
      <c r="I129" s="52" t="e">
        <f>SUMIF('[1]Build Detail'!$D$4:$D$521,$B$16:$B$533,'[1]Build Detail'!$Q$4:$Q$521)</f>
        <v>#VALUE!</v>
      </c>
      <c r="J129" s="52" t="e">
        <f>SUMIF('[1]Build Detail'!$D$4:$D$521,$B$16:$B$533,'[1]Build Detail'!$T$4:$T$521)</f>
        <v>#VALUE!</v>
      </c>
      <c r="K129" s="53">
        <v>1590467.34</v>
      </c>
      <c r="L129" s="37">
        <f t="shared" si="13"/>
        <v>44852.49</v>
      </c>
      <c r="M129" s="37">
        <v>44607.77</v>
      </c>
      <c r="N129" s="38">
        <v>40146.99</v>
      </c>
      <c r="O129" s="37">
        <f t="shared" si="7"/>
        <v>4705.5</v>
      </c>
      <c r="P129" s="54" t="e">
        <f t="shared" si="8"/>
        <v>#VALUE!</v>
      </c>
      <c r="Q129" s="40">
        <f t="shared" si="9"/>
        <v>0.10491056349379935</v>
      </c>
      <c r="R129" s="37">
        <f t="shared" si="10"/>
        <v>244.72000000000116</v>
      </c>
      <c r="S129" s="41">
        <f t="shared" si="11"/>
        <v>5.4860397639245623E-3</v>
      </c>
      <c r="T129" s="37" t="e">
        <f>SUMIF('[1]JOBS MAR 15'!$E$8:$E$525,$E$16:$E$533,'[1]JOBS MAR 15'!$G$8:$G$525)</f>
        <v>#VALUE!</v>
      </c>
      <c r="U129" s="37" t="e">
        <f>SUMIF('[1]JOBS MAR 15'!$E$8:$E$525,$E$16:$E$533,'[1]JOBS MAR 15'!$H$8:$H$525)</f>
        <v>#VALUE!</v>
      </c>
      <c r="V129" s="37" t="e">
        <f>SUMIF('[1]JOBS MAR 15'!$E$8:$E$525,$E$16:$E$533,'[1]JOBS MAR 15'!$I$8:$I$525)</f>
        <v>#VALUE!</v>
      </c>
      <c r="W129" s="55" t="str">
        <f t="shared" si="12"/>
        <v xml:space="preserve"> </v>
      </c>
    </row>
    <row r="130" spans="2:23" x14ac:dyDescent="0.2">
      <c r="B130">
        <v>361</v>
      </c>
      <c r="C130">
        <v>1</v>
      </c>
      <c r="D130" s="2" t="s">
        <v>307</v>
      </c>
      <c r="E130" s="50" t="s">
        <v>308</v>
      </c>
      <c r="F130" s="50">
        <v>2715000</v>
      </c>
      <c r="G130" s="50">
        <v>8</v>
      </c>
      <c r="H130" s="52" t="e">
        <f>SUMIF('[1]Build Detail'!$D$4:$D$521,$B$16:$B$533,'[1]Build Detail'!$H$4:$H$521)</f>
        <v>#VALUE!</v>
      </c>
      <c r="I130" s="52" t="e">
        <f>SUMIF('[1]Build Detail'!$D$4:$D$521,$B$16:$B$533,'[1]Build Detail'!$Q$4:$Q$521)</f>
        <v>#VALUE!</v>
      </c>
      <c r="J130" s="52" t="e">
        <f>SUMIF('[1]Build Detail'!$D$4:$D$521,$B$16:$B$533,'[1]Build Detail'!$T$4:$T$521)</f>
        <v>#VALUE!</v>
      </c>
      <c r="K130" s="53">
        <v>8713489.8100000005</v>
      </c>
      <c r="L130" s="37">
        <f t="shared" si="13"/>
        <v>245727.62</v>
      </c>
      <c r="M130" s="37">
        <v>244144.77</v>
      </c>
      <c r="N130" s="38">
        <v>219730.29</v>
      </c>
      <c r="O130" s="37">
        <f t="shared" si="7"/>
        <v>25997.329999999987</v>
      </c>
      <c r="P130" s="54" t="e">
        <f t="shared" si="8"/>
        <v>#VALUE!</v>
      </c>
      <c r="Q130" s="40">
        <f t="shared" si="9"/>
        <v>0.10579734585798693</v>
      </c>
      <c r="R130" s="37">
        <f t="shared" si="10"/>
        <v>1582.8500000000058</v>
      </c>
      <c r="S130" s="41">
        <f t="shared" si="11"/>
        <v>6.483243528010065E-3</v>
      </c>
      <c r="T130" s="37" t="e">
        <f>SUMIF('[1]JOBS MAR 15'!$E$8:$E$525,$E$16:$E$533,'[1]JOBS MAR 15'!$G$8:$G$525)</f>
        <v>#VALUE!</v>
      </c>
      <c r="U130" s="37" t="e">
        <f>SUMIF('[1]JOBS MAR 15'!$E$8:$E$525,$E$16:$E$533,'[1]JOBS MAR 15'!$H$8:$H$525)</f>
        <v>#VALUE!</v>
      </c>
      <c r="V130" s="37" t="e">
        <f>SUMIF('[1]JOBS MAR 15'!$E$8:$E$525,$E$16:$E$533,'[1]JOBS MAR 15'!$I$8:$I$525)</f>
        <v>#VALUE!</v>
      </c>
      <c r="W130" s="55" t="str">
        <f t="shared" si="12"/>
        <v xml:space="preserve"> </v>
      </c>
    </row>
    <row r="131" spans="2:23" x14ac:dyDescent="0.2">
      <c r="B131">
        <v>362</v>
      </c>
      <c r="C131">
        <v>1</v>
      </c>
      <c r="D131" s="2" t="s">
        <v>309</v>
      </c>
      <c r="E131" s="50" t="s">
        <v>310</v>
      </c>
      <c r="F131" s="50">
        <v>2718270</v>
      </c>
      <c r="G131" s="50">
        <v>8</v>
      </c>
      <c r="H131" s="52" t="e">
        <f>SUMIF('[1]Build Detail'!$D$4:$D$521,$B$16:$B$533,'[1]Build Detail'!$H$4:$H$521)</f>
        <v>#VALUE!</v>
      </c>
      <c r="I131" s="52" t="e">
        <f>SUMIF('[1]Build Detail'!$D$4:$D$521,$B$16:$B$533,'[1]Build Detail'!$Q$4:$Q$521)</f>
        <v>#VALUE!</v>
      </c>
      <c r="J131" s="52" t="e">
        <f>SUMIF('[1]Build Detail'!$D$4:$D$521,$B$16:$B$533,'[1]Build Detail'!$T$4:$T$521)</f>
        <v>#VALUE!</v>
      </c>
      <c r="K131" s="53">
        <v>2942126.5199999996</v>
      </c>
      <c r="L131" s="37">
        <f t="shared" si="13"/>
        <v>82970.399999999994</v>
      </c>
      <c r="M131" s="37">
        <v>82638.91</v>
      </c>
      <c r="N131" s="38">
        <v>74375.02</v>
      </c>
      <c r="O131" s="37">
        <f t="shared" si="7"/>
        <v>8595.3799999999901</v>
      </c>
      <c r="P131" s="54" t="e">
        <f t="shared" si="8"/>
        <v>#VALUE!</v>
      </c>
      <c r="Q131" s="40">
        <f t="shared" si="9"/>
        <v>0.10359574016757772</v>
      </c>
      <c r="R131" s="37">
        <f t="shared" si="10"/>
        <v>331.48999999999069</v>
      </c>
      <c r="S131" s="41">
        <f t="shared" si="11"/>
        <v>4.0113065382879646E-3</v>
      </c>
      <c r="T131" s="37" t="e">
        <f>SUMIF('[1]JOBS MAR 15'!$E$8:$E$525,$E$16:$E$533,'[1]JOBS MAR 15'!$G$8:$G$525)</f>
        <v>#VALUE!</v>
      </c>
      <c r="U131" s="37" t="e">
        <f>SUMIF('[1]JOBS MAR 15'!$E$8:$E$525,$E$16:$E$533,'[1]JOBS MAR 15'!$H$8:$H$525)</f>
        <v>#VALUE!</v>
      </c>
      <c r="V131" s="37" t="e">
        <f>SUMIF('[1]JOBS MAR 15'!$E$8:$E$525,$E$16:$E$533,'[1]JOBS MAR 15'!$I$8:$I$525)</f>
        <v>#VALUE!</v>
      </c>
      <c r="W131" s="55" t="str">
        <f t="shared" si="12"/>
        <v xml:space="preserve"> </v>
      </c>
    </row>
    <row r="132" spans="2:23" x14ac:dyDescent="0.2">
      <c r="B132">
        <v>363</v>
      </c>
      <c r="C132">
        <v>1</v>
      </c>
      <c r="D132" s="2" t="s">
        <v>311</v>
      </c>
      <c r="E132" s="50" t="s">
        <v>312</v>
      </c>
      <c r="F132" s="50">
        <v>2732700</v>
      </c>
      <c r="G132" s="50">
        <v>8</v>
      </c>
      <c r="H132" s="52" t="e">
        <f>SUMIF('[1]Build Detail'!$D$4:$D$521,$B$16:$B$533,'[1]Build Detail'!$H$4:$H$521)</f>
        <v>#VALUE!</v>
      </c>
      <c r="I132" s="52" t="e">
        <f>SUMIF('[1]Build Detail'!$D$4:$D$521,$B$16:$B$533,'[1]Build Detail'!$Q$4:$Q$521)</f>
        <v>#VALUE!</v>
      </c>
      <c r="J132" s="52" t="e">
        <f>SUMIF('[1]Build Detail'!$D$4:$D$521,$B$16:$B$533,'[1]Build Detail'!$T$4:$T$521)</f>
        <v>#VALUE!</v>
      </c>
      <c r="K132" s="53">
        <v>4499425.9399999995</v>
      </c>
      <c r="L132" s="37">
        <f t="shared" si="13"/>
        <v>126887.53</v>
      </c>
      <c r="M132" s="37">
        <v>126937.78</v>
      </c>
      <c r="N132" s="38">
        <v>114244</v>
      </c>
      <c r="O132" s="37">
        <f t="shared" si="7"/>
        <v>12643.529999999999</v>
      </c>
      <c r="P132" s="54" t="e">
        <f t="shared" si="8"/>
        <v>#VALUE!</v>
      </c>
      <c r="Q132" s="40">
        <f t="shared" si="9"/>
        <v>9.9643597759370039E-2</v>
      </c>
      <c r="R132" s="37">
        <f t="shared" si="10"/>
        <v>-50.25</v>
      </c>
      <c r="S132" s="41">
        <f t="shared" si="11"/>
        <v>-3.958632331524941E-4</v>
      </c>
      <c r="T132" s="37" t="e">
        <f>SUMIF('[1]JOBS MAR 15'!$E$8:$E$525,$E$16:$E$533,'[1]JOBS MAR 15'!$G$8:$G$525)</f>
        <v>#VALUE!</v>
      </c>
      <c r="U132" s="37" t="e">
        <f>SUMIF('[1]JOBS MAR 15'!$E$8:$E$525,$E$16:$E$533,'[1]JOBS MAR 15'!$H$8:$H$525)</f>
        <v>#VALUE!</v>
      </c>
      <c r="V132" s="37" t="e">
        <f>SUMIF('[1]JOBS MAR 15'!$E$8:$E$525,$E$16:$E$533,'[1]JOBS MAR 15'!$I$8:$I$525)</f>
        <v>#VALUE!</v>
      </c>
      <c r="W132" s="55" t="str">
        <f t="shared" si="12"/>
        <v xml:space="preserve"> </v>
      </c>
    </row>
    <row r="133" spans="2:23" x14ac:dyDescent="0.2">
      <c r="B133">
        <v>378</v>
      </c>
      <c r="C133">
        <v>1</v>
      </c>
      <c r="D133" s="2" t="s">
        <v>313</v>
      </c>
      <c r="E133" s="50" t="s">
        <v>314</v>
      </c>
      <c r="F133" s="50">
        <v>2710090</v>
      </c>
      <c r="G133" s="50">
        <v>7</v>
      </c>
      <c r="H133" s="52" t="e">
        <f>SUMIF('[1]Build Detail'!$D$4:$D$521,$B$16:$B$533,'[1]Build Detail'!$H$4:$H$521)</f>
        <v>#VALUE!</v>
      </c>
      <c r="I133" s="52" t="e">
        <f>SUMIF('[1]Build Detail'!$D$4:$D$521,$B$16:$B$533,'[1]Build Detail'!$Q$4:$Q$521)</f>
        <v>#VALUE!</v>
      </c>
      <c r="J133" s="52" t="e">
        <f>SUMIF('[1]Build Detail'!$D$4:$D$521,$B$16:$B$533,'[1]Build Detail'!$T$4:$T$521)</f>
        <v>#VALUE!</v>
      </c>
      <c r="K133" s="53">
        <v>3918207.4799999995</v>
      </c>
      <c r="L133" s="37">
        <f t="shared" si="13"/>
        <v>110496.69</v>
      </c>
      <c r="M133" s="37">
        <v>110152.96000000001</v>
      </c>
      <c r="N133" s="38">
        <v>99137.66</v>
      </c>
      <c r="O133" s="37">
        <f t="shared" si="7"/>
        <v>11359.029999999999</v>
      </c>
      <c r="P133" s="54" t="e">
        <f t="shared" si="8"/>
        <v>#VALUE!</v>
      </c>
      <c r="Q133" s="40">
        <f t="shared" si="9"/>
        <v>0.10279973092406658</v>
      </c>
      <c r="R133" s="37">
        <f t="shared" si="10"/>
        <v>343.72999999999593</v>
      </c>
      <c r="S133" s="41">
        <f t="shared" si="11"/>
        <v>3.1204790139093483E-3</v>
      </c>
      <c r="T133" s="37" t="e">
        <f>SUMIF('[1]JOBS MAR 15'!$E$8:$E$525,$E$16:$E$533,'[1]JOBS MAR 15'!$G$8:$G$525)</f>
        <v>#VALUE!</v>
      </c>
      <c r="U133" s="37" t="e">
        <f>SUMIF('[1]JOBS MAR 15'!$E$8:$E$525,$E$16:$E$533,'[1]JOBS MAR 15'!$H$8:$H$525)</f>
        <v>#VALUE!</v>
      </c>
      <c r="V133" s="37" t="e">
        <f>SUMIF('[1]JOBS MAR 15'!$E$8:$E$525,$E$16:$E$533,'[1]JOBS MAR 15'!$I$8:$I$525)</f>
        <v>#VALUE!</v>
      </c>
      <c r="W133" s="55" t="str">
        <f t="shared" si="12"/>
        <v xml:space="preserve"> </v>
      </c>
    </row>
    <row r="134" spans="2:23" x14ac:dyDescent="0.2">
      <c r="B134">
        <v>381</v>
      </c>
      <c r="C134">
        <v>1</v>
      </c>
      <c r="D134" s="2" t="s">
        <v>315</v>
      </c>
      <c r="E134" s="50" t="s">
        <v>316</v>
      </c>
      <c r="F134" s="50">
        <v>2740740</v>
      </c>
      <c r="G134" s="50">
        <v>8</v>
      </c>
      <c r="H134" s="52" t="e">
        <f>SUMIF('[1]Build Detail'!$D$4:$D$521,$B$16:$B$533,'[1]Build Detail'!$H$4:$H$521)</f>
        <v>#VALUE!</v>
      </c>
      <c r="I134" s="52" t="e">
        <f>SUMIF('[1]Build Detail'!$D$4:$D$521,$B$16:$B$533,'[1]Build Detail'!$Q$4:$Q$521)</f>
        <v>#VALUE!</v>
      </c>
      <c r="J134" s="52" t="e">
        <f>SUMIF('[1]Build Detail'!$D$4:$D$521,$B$16:$B$533,'[1]Build Detail'!$T$4:$T$521)</f>
        <v>#VALUE!</v>
      </c>
      <c r="K134" s="53">
        <v>10633647.940000001</v>
      </c>
      <c r="L134" s="37">
        <f t="shared" si="13"/>
        <v>299877.67</v>
      </c>
      <c r="M134" s="37">
        <v>295212.49</v>
      </c>
      <c r="N134" s="38">
        <v>265691.24</v>
      </c>
      <c r="O134" s="37">
        <f t="shared" si="7"/>
        <v>34186.429999999993</v>
      </c>
      <c r="P134" s="54" t="e">
        <f t="shared" si="8"/>
        <v>#VALUE!</v>
      </c>
      <c r="Q134" s="40">
        <f t="shared" si="9"/>
        <v>0.11400125257742597</v>
      </c>
      <c r="R134" s="37">
        <f t="shared" si="10"/>
        <v>4665.179999999993</v>
      </c>
      <c r="S134" s="41">
        <f t="shared" si="11"/>
        <v>1.5802786663938213E-2</v>
      </c>
      <c r="T134" s="37" t="e">
        <f>SUMIF('[1]JOBS MAR 15'!$E$8:$E$525,$E$16:$E$533,'[1]JOBS MAR 15'!$G$8:$G$525)</f>
        <v>#VALUE!</v>
      </c>
      <c r="U134" s="37" t="e">
        <f>SUMIF('[1]JOBS MAR 15'!$E$8:$E$525,$E$16:$E$533,'[1]JOBS MAR 15'!$H$8:$H$525)</f>
        <v>#VALUE!</v>
      </c>
      <c r="V134" s="37" t="e">
        <f>SUMIF('[1]JOBS MAR 15'!$E$8:$E$525,$E$16:$E$533,'[1]JOBS MAR 15'!$I$8:$I$525)</f>
        <v>#VALUE!</v>
      </c>
      <c r="W134" s="55" t="str">
        <f t="shared" si="12"/>
        <v xml:space="preserve"> </v>
      </c>
    </row>
    <row r="135" spans="2:23" x14ac:dyDescent="0.2">
      <c r="B135">
        <v>390</v>
      </c>
      <c r="C135">
        <v>1</v>
      </c>
      <c r="D135" s="2" t="s">
        <v>317</v>
      </c>
      <c r="E135" s="50" t="s">
        <v>318</v>
      </c>
      <c r="F135" s="50">
        <v>2717570</v>
      </c>
      <c r="G135" s="50">
        <v>7</v>
      </c>
      <c r="H135" s="52" t="e">
        <f>SUMIF('[1]Build Detail'!$D$4:$D$521,$B$16:$B$533,'[1]Build Detail'!$H$4:$H$521)</f>
        <v>#VALUE!</v>
      </c>
      <c r="I135" s="52" t="e">
        <f>SUMIF('[1]Build Detail'!$D$4:$D$521,$B$16:$B$533,'[1]Build Detail'!$Q$4:$Q$521)</f>
        <v>#VALUE!</v>
      </c>
      <c r="J135" s="52" t="e">
        <f>SUMIF('[1]Build Detail'!$D$4:$D$521,$B$16:$B$533,'[1]Build Detail'!$T$4:$T$521)</f>
        <v>#VALUE!</v>
      </c>
      <c r="K135" s="53">
        <v>4356607.6900000004</v>
      </c>
      <c r="L135" s="37">
        <f t="shared" si="13"/>
        <v>122859.94</v>
      </c>
      <c r="M135" s="37">
        <v>122018.67</v>
      </c>
      <c r="N135" s="38">
        <v>109816.8</v>
      </c>
      <c r="O135" s="37">
        <f t="shared" si="7"/>
        <v>13043.14</v>
      </c>
      <c r="P135" s="54" t="e">
        <f t="shared" si="8"/>
        <v>#VALUE!</v>
      </c>
      <c r="Q135" s="40">
        <f t="shared" si="9"/>
        <v>0.10616267597070289</v>
      </c>
      <c r="R135" s="37">
        <f t="shared" si="10"/>
        <v>841.27000000000407</v>
      </c>
      <c r="S135" s="41">
        <f t="shared" si="11"/>
        <v>6.8946006377548948E-3</v>
      </c>
      <c r="T135" s="37" t="e">
        <f>SUMIF('[1]JOBS MAR 15'!$E$8:$E$525,$E$16:$E$533,'[1]JOBS MAR 15'!$G$8:$G$525)</f>
        <v>#VALUE!</v>
      </c>
      <c r="U135" s="37" t="e">
        <f>SUMIF('[1]JOBS MAR 15'!$E$8:$E$525,$E$16:$E$533,'[1]JOBS MAR 15'!$H$8:$H$525)</f>
        <v>#VALUE!</v>
      </c>
      <c r="V135" s="37" t="e">
        <f>SUMIF('[1]JOBS MAR 15'!$E$8:$E$525,$E$16:$E$533,'[1]JOBS MAR 15'!$I$8:$I$525)</f>
        <v>#VALUE!</v>
      </c>
      <c r="W135" s="55" t="str">
        <f t="shared" si="12"/>
        <v xml:space="preserve"> </v>
      </c>
    </row>
    <row r="136" spans="2:23" x14ac:dyDescent="0.2">
      <c r="B136">
        <v>391</v>
      </c>
      <c r="C136">
        <v>1</v>
      </c>
      <c r="D136" s="2" t="s">
        <v>319</v>
      </c>
      <c r="E136" s="50" t="s">
        <v>320</v>
      </c>
      <c r="F136" s="50">
        <v>2709330</v>
      </c>
      <c r="G136" s="50">
        <v>2</v>
      </c>
      <c r="H136" s="52" t="e">
        <f>SUMIF('[1]Build Detail'!$D$4:$D$521,$B$16:$B$533,'[1]Build Detail'!$H$4:$H$521)</f>
        <v>#VALUE!</v>
      </c>
      <c r="I136" s="52" t="e">
        <f>SUMIF('[1]Build Detail'!$D$4:$D$521,$B$16:$B$533,'[1]Build Detail'!$Q$4:$Q$521)</f>
        <v>#VALUE!</v>
      </c>
      <c r="J136" s="52" t="e">
        <f>SUMIF('[1]Build Detail'!$D$4:$D$521,$B$16:$B$533,'[1]Build Detail'!$T$4:$T$521)</f>
        <v>#VALUE!</v>
      </c>
      <c r="K136" s="53">
        <v>2405098.0500000003</v>
      </c>
      <c r="L136" s="37">
        <f t="shared" si="13"/>
        <v>67825.75</v>
      </c>
      <c r="M136" s="37">
        <v>67662.09</v>
      </c>
      <c r="N136" s="38">
        <v>60895.88</v>
      </c>
      <c r="O136" s="37">
        <f t="shared" si="7"/>
        <v>6929.8700000000026</v>
      </c>
      <c r="P136" s="54" t="e">
        <f t="shared" si="8"/>
        <v>#VALUE!</v>
      </c>
      <c r="Q136" s="40">
        <f t="shared" si="9"/>
        <v>0.10217166784001655</v>
      </c>
      <c r="R136" s="37">
        <f t="shared" si="10"/>
        <v>163.66000000000349</v>
      </c>
      <c r="S136" s="41">
        <f t="shared" si="11"/>
        <v>2.4187842852623014E-3</v>
      </c>
      <c r="T136" s="37" t="e">
        <f>SUMIF('[1]JOBS MAR 15'!$E$8:$E$525,$E$16:$E$533,'[1]JOBS MAR 15'!$G$8:$G$525)</f>
        <v>#VALUE!</v>
      </c>
      <c r="U136" s="37" t="e">
        <f>SUMIF('[1]JOBS MAR 15'!$E$8:$E$525,$E$16:$E$533,'[1]JOBS MAR 15'!$H$8:$H$525)</f>
        <v>#VALUE!</v>
      </c>
      <c r="V136" s="37" t="e">
        <f>SUMIF('[1]JOBS MAR 15'!$E$8:$E$525,$E$16:$E$533,'[1]JOBS MAR 15'!$I$8:$I$525)</f>
        <v>#VALUE!</v>
      </c>
      <c r="W136" s="55" t="str">
        <f t="shared" si="12"/>
        <v xml:space="preserve"> </v>
      </c>
    </row>
    <row r="137" spans="2:23" x14ac:dyDescent="0.2">
      <c r="B137">
        <v>392</v>
      </c>
      <c r="C137">
        <v>1</v>
      </c>
      <c r="D137" s="2" t="s">
        <v>321</v>
      </c>
      <c r="E137" s="50" t="s">
        <v>322</v>
      </c>
      <c r="F137" s="50">
        <v>2718030</v>
      </c>
      <c r="G137" s="50">
        <v>2</v>
      </c>
      <c r="H137" s="52" t="e">
        <f>SUMIF('[1]Build Detail'!$D$4:$D$521,$B$16:$B$533,'[1]Build Detail'!$H$4:$H$521)</f>
        <v>#VALUE!</v>
      </c>
      <c r="I137" s="52" t="e">
        <f>SUMIF('[1]Build Detail'!$D$4:$D$521,$B$16:$B$533,'[1]Build Detail'!$Q$4:$Q$521)</f>
        <v>#VALUE!</v>
      </c>
      <c r="J137" s="52" t="e">
        <f>SUMIF('[1]Build Detail'!$D$4:$D$521,$B$16:$B$533,'[1]Build Detail'!$T$4:$T$521)</f>
        <v>#VALUE!</v>
      </c>
      <c r="K137" s="53">
        <v>4459732.16</v>
      </c>
      <c r="L137" s="37">
        <f t="shared" si="13"/>
        <v>125768.13</v>
      </c>
      <c r="M137" s="37">
        <v>126114.62</v>
      </c>
      <c r="N137" s="38">
        <v>113503.16</v>
      </c>
      <c r="O137" s="37">
        <f t="shared" si="7"/>
        <v>12264.970000000001</v>
      </c>
      <c r="P137" s="54" t="e">
        <f t="shared" si="8"/>
        <v>#VALUE!</v>
      </c>
      <c r="Q137" s="40">
        <f t="shared" si="9"/>
        <v>9.752049267171263E-2</v>
      </c>
      <c r="R137" s="37">
        <f t="shared" si="10"/>
        <v>-346.48999999999069</v>
      </c>
      <c r="S137" s="41">
        <f t="shared" si="11"/>
        <v>-2.7474213536859619E-3</v>
      </c>
      <c r="T137" s="37" t="e">
        <f>SUMIF('[1]JOBS MAR 15'!$E$8:$E$525,$E$16:$E$533,'[1]JOBS MAR 15'!$G$8:$G$525)</f>
        <v>#VALUE!</v>
      </c>
      <c r="U137" s="37" t="e">
        <f>SUMIF('[1]JOBS MAR 15'!$E$8:$E$525,$E$16:$E$533,'[1]JOBS MAR 15'!$H$8:$H$525)</f>
        <v>#VALUE!</v>
      </c>
      <c r="V137" s="37" t="e">
        <f>SUMIF('[1]JOBS MAR 15'!$E$8:$E$525,$E$16:$E$533,'[1]JOBS MAR 15'!$I$8:$I$525)</f>
        <v>#VALUE!</v>
      </c>
      <c r="W137" s="55" t="str">
        <f t="shared" si="12"/>
        <v xml:space="preserve"> </v>
      </c>
    </row>
    <row r="138" spans="2:23" x14ac:dyDescent="0.2">
      <c r="B138">
        <v>394</v>
      </c>
      <c r="C138">
        <v>1</v>
      </c>
      <c r="D138" s="2" t="s">
        <v>323</v>
      </c>
      <c r="E138" s="50" t="s">
        <v>324</v>
      </c>
      <c r="F138" s="50">
        <v>2721360</v>
      </c>
      <c r="G138" s="50">
        <v>2</v>
      </c>
      <c r="H138" s="52" t="e">
        <f>SUMIF('[1]Build Detail'!$D$4:$D$521,$B$16:$B$533,'[1]Build Detail'!$H$4:$H$521)</f>
        <v>#VALUE!</v>
      </c>
      <c r="I138" s="52" t="e">
        <f>SUMIF('[1]Build Detail'!$D$4:$D$521,$B$16:$B$533,'[1]Build Detail'!$Q$4:$Q$521)</f>
        <v>#VALUE!</v>
      </c>
      <c r="J138" s="52" t="e">
        <f>SUMIF('[1]Build Detail'!$D$4:$D$521,$B$16:$B$533,'[1]Build Detail'!$T$4:$T$521)</f>
        <v>#VALUE!</v>
      </c>
      <c r="K138" s="53">
        <v>7247164.5800000001</v>
      </c>
      <c r="L138" s="37">
        <f t="shared" si="13"/>
        <v>204376.03</v>
      </c>
      <c r="M138" s="37">
        <v>198108.84</v>
      </c>
      <c r="N138" s="38">
        <v>178297.96</v>
      </c>
      <c r="O138" s="37">
        <f t="shared" si="7"/>
        <v>26078.070000000007</v>
      </c>
      <c r="P138" s="54" t="e">
        <f t="shared" si="8"/>
        <v>#VALUE!</v>
      </c>
      <c r="Q138" s="40">
        <f t="shared" si="9"/>
        <v>0.12759847620095177</v>
      </c>
      <c r="R138" s="37">
        <f t="shared" si="10"/>
        <v>6267.1900000000023</v>
      </c>
      <c r="S138" s="41">
        <f t="shared" si="11"/>
        <v>3.1635085037093766E-2</v>
      </c>
      <c r="T138" s="37" t="e">
        <f>SUMIF('[1]JOBS MAR 15'!$E$8:$E$525,$E$16:$E$533,'[1]JOBS MAR 15'!$G$8:$G$525)</f>
        <v>#VALUE!</v>
      </c>
      <c r="U138" s="37" t="e">
        <f>SUMIF('[1]JOBS MAR 15'!$E$8:$E$525,$E$16:$E$533,'[1]JOBS MAR 15'!$H$8:$H$525)</f>
        <v>#VALUE!</v>
      </c>
      <c r="V138" s="37" t="e">
        <f>SUMIF('[1]JOBS MAR 15'!$E$8:$E$525,$E$16:$E$533,'[1]JOBS MAR 15'!$I$8:$I$525)</f>
        <v>#VALUE!</v>
      </c>
      <c r="W138" s="55" t="str">
        <f t="shared" si="12"/>
        <v xml:space="preserve"> </v>
      </c>
    </row>
    <row r="139" spans="2:23" x14ac:dyDescent="0.2">
      <c r="B139">
        <v>397</v>
      </c>
      <c r="C139">
        <v>52</v>
      </c>
      <c r="D139" s="2" t="s">
        <v>325</v>
      </c>
      <c r="E139" s="50" t="s">
        <v>326</v>
      </c>
      <c r="F139" s="50">
        <v>40</v>
      </c>
      <c r="G139" s="50">
        <v>7</v>
      </c>
      <c r="H139" s="52" t="e">
        <f>SUMIF('[1]Build Detail'!$D$4:$D$521,$B$16:$B$533,'[1]Build Detail'!$H$4:$H$521)</f>
        <v>#VALUE!</v>
      </c>
      <c r="I139" s="52" t="e">
        <f>SUMIF('[1]Build Detail'!$D$4:$D$521,$B$16:$B$533,'[1]Build Detail'!$Q$4:$Q$521)</f>
        <v>#VALUE!</v>
      </c>
      <c r="J139" s="52" t="e">
        <f>SUMIF('[1]Build Detail'!$D$4:$D$521,$B$16:$B$533,'[1]Build Detail'!$T$4:$T$521)</f>
        <v>#VALUE!</v>
      </c>
      <c r="K139" s="53">
        <v>382764.97000000003</v>
      </c>
      <c r="L139" s="37">
        <f t="shared" si="13"/>
        <v>10794.29</v>
      </c>
      <c r="M139" s="37">
        <v>14979.32</v>
      </c>
      <c r="N139" s="38">
        <v>13481.39</v>
      </c>
      <c r="O139" s="37">
        <f t="shared" si="7"/>
        <v>-2687.0999999999985</v>
      </c>
      <c r="P139" s="54" t="e">
        <f t="shared" si="8"/>
        <v>#VALUE!</v>
      </c>
      <c r="Q139" s="40">
        <f t="shared" si="9"/>
        <v>-0.24893716955909082</v>
      </c>
      <c r="R139" s="37">
        <f t="shared" si="10"/>
        <v>-4185.0299999999988</v>
      </c>
      <c r="S139" s="41">
        <f t="shared" si="11"/>
        <v>-0.27938718179463412</v>
      </c>
      <c r="T139" s="37" t="e">
        <f>SUMIF('[1]JOBS MAR 15'!$E$8:$E$525,$E$16:$E$533,'[1]JOBS MAR 15'!$G$8:$G$525)</f>
        <v>#VALUE!</v>
      </c>
      <c r="U139" s="37" t="e">
        <f>SUMIF('[1]JOBS MAR 15'!$E$8:$E$525,$E$16:$E$533,'[1]JOBS MAR 15'!$H$8:$H$525)</f>
        <v>#VALUE!</v>
      </c>
      <c r="V139" s="37" t="e">
        <f>SUMIF('[1]JOBS MAR 15'!$E$8:$E$525,$E$16:$E$533,'[1]JOBS MAR 15'!$I$8:$I$525)</f>
        <v>#VALUE!</v>
      </c>
      <c r="W139" s="55" t="e">
        <f t="shared" si="12"/>
        <v>#VALUE!</v>
      </c>
    </row>
    <row r="140" spans="2:23" x14ac:dyDescent="0.2">
      <c r="B140">
        <v>402</v>
      </c>
      <c r="C140">
        <v>1</v>
      </c>
      <c r="D140" s="2" t="s">
        <v>327</v>
      </c>
      <c r="E140" s="50" t="s">
        <v>328</v>
      </c>
      <c r="F140" s="50">
        <v>2713680</v>
      </c>
      <c r="G140" s="50">
        <v>7</v>
      </c>
      <c r="H140" s="52" t="e">
        <f>SUMIF('[1]Build Detail'!$D$4:$D$521,$B$16:$B$533,'[1]Build Detail'!$H$4:$H$521)</f>
        <v>#VALUE!</v>
      </c>
      <c r="I140" s="52" t="e">
        <f>SUMIF('[1]Build Detail'!$D$4:$D$521,$B$16:$B$533,'[1]Build Detail'!$Q$4:$Q$521)</f>
        <v>#VALUE!</v>
      </c>
      <c r="J140" s="52" t="e">
        <f>SUMIF('[1]Build Detail'!$D$4:$D$521,$B$16:$B$533,'[1]Build Detail'!$T$4:$T$521)</f>
        <v>#VALUE!</v>
      </c>
      <c r="K140" s="53">
        <v>940936.2</v>
      </c>
      <c r="L140" s="37">
        <f t="shared" si="13"/>
        <v>26535.18</v>
      </c>
      <c r="M140" s="37">
        <v>26425.7</v>
      </c>
      <c r="N140" s="38">
        <v>23783.13</v>
      </c>
      <c r="O140" s="37">
        <f t="shared" si="7"/>
        <v>2752.0499999999993</v>
      </c>
      <c r="P140" s="54" t="e">
        <f t="shared" si="8"/>
        <v>#VALUE!</v>
      </c>
      <c r="Q140" s="40">
        <f t="shared" si="9"/>
        <v>0.10371325915256649</v>
      </c>
      <c r="R140" s="37">
        <f t="shared" si="10"/>
        <v>109.47999999999956</v>
      </c>
      <c r="S140" s="41">
        <f t="shared" si="11"/>
        <v>4.1429366109506866E-3</v>
      </c>
      <c r="T140" s="37" t="e">
        <f>SUMIF('[1]JOBS MAR 15'!$E$8:$E$525,$E$16:$E$533,'[1]JOBS MAR 15'!$G$8:$G$525)</f>
        <v>#VALUE!</v>
      </c>
      <c r="U140" s="37" t="e">
        <f>SUMIF('[1]JOBS MAR 15'!$E$8:$E$525,$E$16:$E$533,'[1]JOBS MAR 15'!$H$8:$H$525)</f>
        <v>#VALUE!</v>
      </c>
      <c r="V140" s="37" t="e">
        <f>SUMIF('[1]JOBS MAR 15'!$E$8:$E$525,$E$16:$E$533,'[1]JOBS MAR 15'!$I$8:$I$525)</f>
        <v>#VALUE!</v>
      </c>
      <c r="W140" s="55" t="str">
        <f t="shared" si="12"/>
        <v xml:space="preserve"> </v>
      </c>
    </row>
    <row r="141" spans="2:23" x14ac:dyDescent="0.2">
      <c r="B141">
        <v>403</v>
      </c>
      <c r="C141">
        <v>1</v>
      </c>
      <c r="D141" s="2" t="s">
        <v>329</v>
      </c>
      <c r="E141" s="50" t="s">
        <v>330</v>
      </c>
      <c r="F141" s="50">
        <v>2715540</v>
      </c>
      <c r="G141" s="50">
        <v>7</v>
      </c>
      <c r="H141" s="52" t="e">
        <f>SUMIF('[1]Build Detail'!$D$4:$D$521,$B$16:$B$533,'[1]Build Detail'!$H$4:$H$521)</f>
        <v>#VALUE!</v>
      </c>
      <c r="I141" s="52" t="e">
        <f>SUMIF('[1]Build Detail'!$D$4:$D$521,$B$16:$B$533,'[1]Build Detail'!$Q$4:$Q$521)</f>
        <v>#VALUE!</v>
      </c>
      <c r="J141" s="52" t="e">
        <f>SUMIF('[1]Build Detail'!$D$4:$D$521,$B$16:$B$533,'[1]Build Detail'!$T$4:$T$521)</f>
        <v>#VALUE!</v>
      </c>
      <c r="K141" s="53">
        <v>1262558.0900000003</v>
      </c>
      <c r="L141" s="37">
        <f t="shared" si="13"/>
        <v>35605.18</v>
      </c>
      <c r="M141" s="37">
        <v>35192.93</v>
      </c>
      <c r="N141" s="38">
        <v>31673.64</v>
      </c>
      <c r="O141" s="37">
        <f t="shared" si="7"/>
        <v>3931.5400000000009</v>
      </c>
      <c r="P141" s="54" t="e">
        <f t="shared" si="8"/>
        <v>#VALUE!</v>
      </c>
      <c r="Q141" s="40">
        <f t="shared" si="9"/>
        <v>0.11042045005810955</v>
      </c>
      <c r="R141" s="37">
        <f t="shared" si="10"/>
        <v>412.25</v>
      </c>
      <c r="S141" s="41">
        <f t="shared" si="11"/>
        <v>1.1714000510898069E-2</v>
      </c>
      <c r="T141" s="37" t="e">
        <f>SUMIF('[1]JOBS MAR 15'!$E$8:$E$525,$E$16:$E$533,'[1]JOBS MAR 15'!$G$8:$G$525)</f>
        <v>#VALUE!</v>
      </c>
      <c r="U141" s="37" t="e">
        <f>SUMIF('[1]JOBS MAR 15'!$E$8:$E$525,$E$16:$E$533,'[1]JOBS MAR 15'!$H$8:$H$525)</f>
        <v>#VALUE!</v>
      </c>
      <c r="V141" s="37" t="e">
        <f>SUMIF('[1]JOBS MAR 15'!$E$8:$E$525,$E$16:$E$533,'[1]JOBS MAR 15'!$I$8:$I$525)</f>
        <v>#VALUE!</v>
      </c>
      <c r="W141" s="55" t="str">
        <f t="shared" si="12"/>
        <v xml:space="preserve"> </v>
      </c>
    </row>
    <row r="142" spans="2:23" x14ac:dyDescent="0.2">
      <c r="B142">
        <v>404</v>
      </c>
      <c r="C142">
        <v>1</v>
      </c>
      <c r="D142" s="2" t="s">
        <v>331</v>
      </c>
      <c r="E142" s="50" t="s">
        <v>332</v>
      </c>
      <c r="F142" s="50">
        <v>2717460</v>
      </c>
      <c r="G142" s="50">
        <v>7</v>
      </c>
      <c r="H142" s="52" t="e">
        <f>SUMIF('[1]Build Detail'!$D$4:$D$521,$B$16:$B$533,'[1]Build Detail'!$H$4:$H$521)</f>
        <v>#VALUE!</v>
      </c>
      <c r="I142" s="52" t="e">
        <f>SUMIF('[1]Build Detail'!$D$4:$D$521,$B$16:$B$533,'[1]Build Detail'!$Q$4:$Q$521)</f>
        <v>#VALUE!</v>
      </c>
      <c r="J142" s="52" t="e">
        <f>SUMIF('[1]Build Detail'!$D$4:$D$521,$B$16:$B$533,'[1]Build Detail'!$T$4:$T$521)</f>
        <v>#VALUE!</v>
      </c>
      <c r="K142" s="53">
        <v>1159461.02</v>
      </c>
      <c r="L142" s="37">
        <f t="shared" si="13"/>
        <v>32697.759999999998</v>
      </c>
      <c r="M142" s="37">
        <v>32765.54</v>
      </c>
      <c r="N142" s="38">
        <v>29488.99</v>
      </c>
      <c r="O142" s="37">
        <f t="shared" si="7"/>
        <v>3208.7699999999968</v>
      </c>
      <c r="P142" s="54" t="e">
        <f t="shared" si="8"/>
        <v>#VALUE!</v>
      </c>
      <c r="Q142" s="40">
        <f t="shared" si="9"/>
        <v>9.8134245281633878E-2</v>
      </c>
      <c r="R142" s="37">
        <f t="shared" si="10"/>
        <v>-67.780000000002474</v>
      </c>
      <c r="S142" s="41">
        <f t="shared" si="11"/>
        <v>-2.068636744579899E-3</v>
      </c>
      <c r="T142" s="37" t="e">
        <f>SUMIF('[1]JOBS MAR 15'!$E$8:$E$525,$E$16:$E$533,'[1]JOBS MAR 15'!$G$8:$G$525)</f>
        <v>#VALUE!</v>
      </c>
      <c r="U142" s="37" t="e">
        <f>SUMIF('[1]JOBS MAR 15'!$E$8:$E$525,$E$16:$E$533,'[1]JOBS MAR 15'!$H$8:$H$525)</f>
        <v>#VALUE!</v>
      </c>
      <c r="V142" s="37" t="e">
        <f>SUMIF('[1]JOBS MAR 15'!$E$8:$E$525,$E$16:$E$533,'[1]JOBS MAR 15'!$I$8:$I$525)</f>
        <v>#VALUE!</v>
      </c>
      <c r="W142" s="55" t="str">
        <f t="shared" si="12"/>
        <v xml:space="preserve"> </v>
      </c>
    </row>
    <row r="143" spans="2:23" x14ac:dyDescent="0.2">
      <c r="B143">
        <v>413</v>
      </c>
      <c r="C143">
        <v>1</v>
      </c>
      <c r="D143" s="2" t="s">
        <v>333</v>
      </c>
      <c r="E143" s="50" t="s">
        <v>334</v>
      </c>
      <c r="F143" s="50">
        <v>2718940</v>
      </c>
      <c r="G143" s="50">
        <v>7</v>
      </c>
      <c r="H143" s="52" t="e">
        <f>SUMIF('[1]Build Detail'!$D$4:$D$521,$B$16:$B$533,'[1]Build Detail'!$H$4:$H$521)</f>
        <v>#VALUE!</v>
      </c>
      <c r="I143" s="52" t="e">
        <f>SUMIF('[1]Build Detail'!$D$4:$D$521,$B$16:$B$533,'[1]Build Detail'!$Q$4:$Q$521)</f>
        <v>#VALUE!</v>
      </c>
      <c r="J143" s="52" t="e">
        <f>SUMIF('[1]Build Detail'!$D$4:$D$521,$B$16:$B$533,'[1]Build Detail'!$T$4:$T$521)</f>
        <v>#VALUE!</v>
      </c>
      <c r="K143" s="53">
        <v>15687005.000000002</v>
      </c>
      <c r="L143" s="37">
        <f t="shared" si="13"/>
        <v>442386.51</v>
      </c>
      <c r="M143" s="37">
        <v>440098.42</v>
      </c>
      <c r="N143" s="38">
        <v>396088.58</v>
      </c>
      <c r="O143" s="37">
        <f t="shared" si="7"/>
        <v>46297.929999999993</v>
      </c>
      <c r="P143" s="54" t="e">
        <f t="shared" si="8"/>
        <v>#VALUE!</v>
      </c>
      <c r="Q143" s="40">
        <f t="shared" si="9"/>
        <v>0.104654931724749</v>
      </c>
      <c r="R143" s="37">
        <f t="shared" si="10"/>
        <v>2288.0900000000256</v>
      </c>
      <c r="S143" s="41">
        <f t="shared" si="11"/>
        <v>5.199041614373498E-3</v>
      </c>
      <c r="T143" s="37" t="e">
        <f>SUMIF('[1]JOBS MAR 15'!$E$8:$E$525,$E$16:$E$533,'[1]JOBS MAR 15'!$G$8:$G$525)</f>
        <v>#VALUE!</v>
      </c>
      <c r="U143" s="37" t="e">
        <f>SUMIF('[1]JOBS MAR 15'!$E$8:$E$525,$E$16:$E$533,'[1]JOBS MAR 15'!$H$8:$H$525)</f>
        <v>#VALUE!</v>
      </c>
      <c r="V143" s="37" t="e">
        <f>SUMIF('[1]JOBS MAR 15'!$E$8:$E$525,$E$16:$E$533,'[1]JOBS MAR 15'!$I$8:$I$525)</f>
        <v>#VALUE!</v>
      </c>
      <c r="W143" s="55" t="str">
        <f t="shared" si="12"/>
        <v xml:space="preserve"> </v>
      </c>
    </row>
    <row r="144" spans="2:23" x14ac:dyDescent="0.2">
      <c r="B144">
        <v>414</v>
      </c>
      <c r="C144">
        <v>1</v>
      </c>
      <c r="D144" s="2" t="s">
        <v>335</v>
      </c>
      <c r="E144" s="50" t="s">
        <v>336</v>
      </c>
      <c r="F144" s="50">
        <v>2721270</v>
      </c>
      <c r="G144" s="50">
        <v>7</v>
      </c>
      <c r="H144" s="52" t="e">
        <f>SUMIF('[1]Build Detail'!$D$4:$D$521,$B$16:$B$533,'[1]Build Detail'!$H$4:$H$521)</f>
        <v>#VALUE!</v>
      </c>
      <c r="I144" s="52" t="e">
        <f>SUMIF('[1]Build Detail'!$D$4:$D$521,$B$16:$B$533,'[1]Build Detail'!$Q$4:$Q$521)</f>
        <v>#VALUE!</v>
      </c>
      <c r="J144" s="52" t="e">
        <f>SUMIF('[1]Build Detail'!$D$4:$D$521,$B$16:$B$533,'[1]Build Detail'!$T$4:$T$521)</f>
        <v>#VALUE!</v>
      </c>
      <c r="K144" s="53">
        <v>3489550.4600000004</v>
      </c>
      <c r="L144" s="37">
        <f t="shared" si="13"/>
        <v>98408.21</v>
      </c>
      <c r="M144" s="37">
        <v>97943.97</v>
      </c>
      <c r="N144" s="38">
        <v>88149.57</v>
      </c>
      <c r="O144" s="37">
        <f t="shared" ref="O144:O207" si="14">L144-N144</f>
        <v>10258.64</v>
      </c>
      <c r="P144" s="54" t="e">
        <f t="shared" ref="P144:P207" si="15">IF($H144&gt;0,ROUND(L144/$H144,2),"na")</f>
        <v>#VALUE!</v>
      </c>
      <c r="Q144" s="40">
        <f t="shared" ref="Q144:Q207" si="16">O144/L144</f>
        <v>0.10424577380281583</v>
      </c>
      <c r="R144" s="37">
        <f t="shared" ref="R144:R207" si="17">L144-M144</f>
        <v>464.24000000000524</v>
      </c>
      <c r="S144" s="41">
        <f t="shared" ref="S144:S207" si="18">R144/M144</f>
        <v>4.7398527954299304E-3</v>
      </c>
      <c r="T144" s="37" t="e">
        <f>SUMIF('[1]JOBS MAR 15'!$E$8:$E$525,$E$16:$E$533,'[1]JOBS MAR 15'!$G$8:$G$525)</f>
        <v>#VALUE!</v>
      </c>
      <c r="U144" s="37" t="e">
        <f>SUMIF('[1]JOBS MAR 15'!$E$8:$E$525,$E$16:$E$533,'[1]JOBS MAR 15'!$H$8:$H$525)</f>
        <v>#VALUE!</v>
      </c>
      <c r="V144" s="37" t="e">
        <f>SUMIF('[1]JOBS MAR 15'!$E$8:$E$525,$E$16:$E$533,'[1]JOBS MAR 15'!$I$8:$I$525)</f>
        <v>#VALUE!</v>
      </c>
      <c r="W144" s="55" t="str">
        <f t="shared" ref="W144:W207" si="19">IF(O144&lt;0,IF(V144-ABS(O144)&lt;0,V144-ABS(O144)," ")," ")</f>
        <v xml:space="preserve"> </v>
      </c>
    </row>
    <row r="145" spans="2:23" x14ac:dyDescent="0.2">
      <c r="B145">
        <v>415</v>
      </c>
      <c r="C145">
        <v>1</v>
      </c>
      <c r="D145" s="2" t="s">
        <v>337</v>
      </c>
      <c r="E145" s="50" t="s">
        <v>338</v>
      </c>
      <c r="F145" s="50">
        <v>2718390</v>
      </c>
      <c r="G145" s="50">
        <v>7</v>
      </c>
      <c r="H145" s="52" t="e">
        <f>SUMIF('[1]Build Detail'!$D$4:$D$521,$B$16:$B$533,'[1]Build Detail'!$H$4:$H$521)</f>
        <v>#VALUE!</v>
      </c>
      <c r="I145" s="52" t="e">
        <f>SUMIF('[1]Build Detail'!$D$4:$D$521,$B$16:$B$533,'[1]Build Detail'!$Q$4:$Q$521)</f>
        <v>#VALUE!</v>
      </c>
      <c r="J145" s="52" t="e">
        <f>SUMIF('[1]Build Detail'!$D$4:$D$521,$B$16:$B$533,'[1]Build Detail'!$T$4:$T$521)</f>
        <v>#VALUE!</v>
      </c>
      <c r="K145" s="53">
        <v>1164229.06</v>
      </c>
      <c r="L145" s="37">
        <f t="shared" si="13"/>
        <v>32832.22</v>
      </c>
      <c r="M145" s="37">
        <v>32113.96</v>
      </c>
      <c r="N145" s="38">
        <v>28902.560000000001</v>
      </c>
      <c r="O145" s="37">
        <f t="shared" si="14"/>
        <v>3929.66</v>
      </c>
      <c r="P145" s="54" t="e">
        <f t="shared" si="15"/>
        <v>#VALUE!</v>
      </c>
      <c r="Q145" s="40">
        <f t="shared" si="16"/>
        <v>0.11968913463664656</v>
      </c>
      <c r="R145" s="37">
        <f t="shared" si="17"/>
        <v>718.26000000000204</v>
      </c>
      <c r="S145" s="41">
        <f t="shared" si="18"/>
        <v>2.2365974174471229E-2</v>
      </c>
      <c r="T145" s="37" t="e">
        <f>SUMIF('[1]JOBS MAR 15'!$E$8:$E$525,$E$16:$E$533,'[1]JOBS MAR 15'!$G$8:$G$525)</f>
        <v>#VALUE!</v>
      </c>
      <c r="U145" s="37" t="e">
        <f>SUMIF('[1]JOBS MAR 15'!$E$8:$E$525,$E$16:$E$533,'[1]JOBS MAR 15'!$H$8:$H$525)</f>
        <v>#VALUE!</v>
      </c>
      <c r="V145" s="37" t="e">
        <f>SUMIF('[1]JOBS MAR 15'!$E$8:$E$525,$E$16:$E$533,'[1]JOBS MAR 15'!$I$8:$I$525)</f>
        <v>#VALUE!</v>
      </c>
      <c r="W145" s="55" t="str">
        <f t="shared" si="19"/>
        <v xml:space="preserve"> </v>
      </c>
    </row>
    <row r="146" spans="2:23" x14ac:dyDescent="0.2">
      <c r="B146">
        <v>423</v>
      </c>
      <c r="C146">
        <v>1</v>
      </c>
      <c r="D146" s="2" t="s">
        <v>339</v>
      </c>
      <c r="E146" s="50" t="s">
        <v>340</v>
      </c>
      <c r="F146" s="50">
        <v>2714970</v>
      </c>
      <c r="G146" s="50">
        <v>7</v>
      </c>
      <c r="H146" s="52" t="e">
        <f>SUMIF('[1]Build Detail'!$D$4:$D$521,$B$16:$B$533,'[1]Build Detail'!$H$4:$H$521)</f>
        <v>#VALUE!</v>
      </c>
      <c r="I146" s="52" t="e">
        <f>SUMIF('[1]Build Detail'!$D$4:$D$521,$B$16:$B$533,'[1]Build Detail'!$Q$4:$Q$521)</f>
        <v>#VALUE!</v>
      </c>
      <c r="J146" s="52" t="e">
        <f>SUMIF('[1]Build Detail'!$D$4:$D$521,$B$16:$B$533,'[1]Build Detail'!$T$4:$T$521)</f>
        <v>#VALUE!</v>
      </c>
      <c r="K146" s="53">
        <v>20115716.549999997</v>
      </c>
      <c r="L146" s="37">
        <f t="shared" ref="L146:L209" si="20">ROUND(K146*$K$548,2)</f>
        <v>567279.84</v>
      </c>
      <c r="M146" s="37">
        <v>559307.76</v>
      </c>
      <c r="N146" s="38">
        <v>503376.98</v>
      </c>
      <c r="O146" s="37">
        <f t="shared" si="14"/>
        <v>63902.859999999986</v>
      </c>
      <c r="P146" s="54" t="e">
        <f t="shared" si="15"/>
        <v>#VALUE!</v>
      </c>
      <c r="Q146" s="40">
        <f t="shared" si="16"/>
        <v>0.11264786000503735</v>
      </c>
      <c r="R146" s="37">
        <f t="shared" si="17"/>
        <v>7972.0799999999581</v>
      </c>
      <c r="S146" s="41">
        <f t="shared" si="18"/>
        <v>1.425347647599232E-2</v>
      </c>
      <c r="T146" s="37" t="e">
        <f>SUMIF('[1]JOBS MAR 15'!$E$8:$E$525,$E$16:$E$533,'[1]JOBS MAR 15'!$G$8:$G$525)</f>
        <v>#VALUE!</v>
      </c>
      <c r="U146" s="37" t="e">
        <f>SUMIF('[1]JOBS MAR 15'!$E$8:$E$525,$E$16:$E$533,'[1]JOBS MAR 15'!$H$8:$H$525)</f>
        <v>#VALUE!</v>
      </c>
      <c r="V146" s="37" t="e">
        <f>SUMIF('[1]JOBS MAR 15'!$E$8:$E$525,$E$16:$E$533,'[1]JOBS MAR 15'!$I$8:$I$525)</f>
        <v>#VALUE!</v>
      </c>
      <c r="W146" s="55" t="str">
        <f t="shared" si="19"/>
        <v xml:space="preserve"> </v>
      </c>
    </row>
    <row r="147" spans="2:23" x14ac:dyDescent="0.2">
      <c r="B147">
        <v>424</v>
      </c>
      <c r="C147">
        <v>1</v>
      </c>
      <c r="D147" s="2" t="s">
        <v>341</v>
      </c>
      <c r="E147" s="50" t="s">
        <v>342</v>
      </c>
      <c r="F147" s="50">
        <v>2702640</v>
      </c>
      <c r="G147" s="50">
        <v>7</v>
      </c>
      <c r="H147" s="52" t="e">
        <f>SUMIF('[1]Build Detail'!$D$4:$D$521,$B$16:$B$533,'[1]Build Detail'!$H$4:$H$521)</f>
        <v>#VALUE!</v>
      </c>
      <c r="I147" s="52" t="e">
        <f>SUMIF('[1]Build Detail'!$D$4:$D$521,$B$16:$B$533,'[1]Build Detail'!$Q$4:$Q$521)</f>
        <v>#VALUE!</v>
      </c>
      <c r="J147" s="52" t="e">
        <f>SUMIF('[1]Build Detail'!$D$4:$D$521,$B$16:$B$533,'[1]Build Detail'!$T$4:$T$521)</f>
        <v>#VALUE!</v>
      </c>
      <c r="K147" s="53">
        <v>2355727.3600000003</v>
      </c>
      <c r="L147" s="37">
        <f t="shared" si="20"/>
        <v>66433.460000000006</v>
      </c>
      <c r="M147" s="37">
        <v>65835.94</v>
      </c>
      <c r="N147" s="38">
        <v>59252.35</v>
      </c>
      <c r="O147" s="37">
        <f t="shared" si="14"/>
        <v>7181.1100000000079</v>
      </c>
      <c r="P147" s="54" t="e">
        <f t="shared" si="15"/>
        <v>#VALUE!</v>
      </c>
      <c r="Q147" s="40">
        <f t="shared" si="16"/>
        <v>0.10809477633710493</v>
      </c>
      <c r="R147" s="37">
        <f t="shared" si="17"/>
        <v>597.52000000000407</v>
      </c>
      <c r="S147" s="41">
        <f t="shared" si="18"/>
        <v>9.0758938051162339E-3</v>
      </c>
      <c r="T147" s="37" t="e">
        <f>SUMIF('[1]JOBS MAR 15'!$E$8:$E$525,$E$16:$E$533,'[1]JOBS MAR 15'!$G$8:$G$525)</f>
        <v>#VALUE!</v>
      </c>
      <c r="U147" s="37" t="e">
        <f>SUMIF('[1]JOBS MAR 15'!$E$8:$E$525,$E$16:$E$533,'[1]JOBS MAR 15'!$H$8:$H$525)</f>
        <v>#VALUE!</v>
      </c>
      <c r="V147" s="37" t="e">
        <f>SUMIF('[1]JOBS MAR 15'!$E$8:$E$525,$E$16:$E$533,'[1]JOBS MAR 15'!$I$8:$I$525)</f>
        <v>#VALUE!</v>
      </c>
      <c r="W147" s="55" t="str">
        <f t="shared" si="19"/>
        <v xml:space="preserve"> </v>
      </c>
    </row>
    <row r="148" spans="2:23" x14ac:dyDescent="0.2">
      <c r="B148">
        <v>432</v>
      </c>
      <c r="C148">
        <v>1</v>
      </c>
      <c r="D148" s="2" t="s">
        <v>343</v>
      </c>
      <c r="E148" s="50" t="s">
        <v>344</v>
      </c>
      <c r="F148" s="50">
        <v>2718660</v>
      </c>
      <c r="G148" s="50">
        <v>7</v>
      </c>
      <c r="H148" s="52" t="e">
        <f>SUMIF('[1]Build Detail'!$D$4:$D$521,$B$16:$B$533,'[1]Build Detail'!$H$4:$H$521)</f>
        <v>#VALUE!</v>
      </c>
      <c r="I148" s="52" t="e">
        <f>SUMIF('[1]Build Detail'!$D$4:$D$521,$B$16:$B$533,'[1]Build Detail'!$Q$4:$Q$521)</f>
        <v>#VALUE!</v>
      </c>
      <c r="J148" s="52" t="e">
        <f>SUMIF('[1]Build Detail'!$D$4:$D$521,$B$16:$B$533,'[1]Build Detail'!$T$4:$T$521)</f>
        <v>#VALUE!</v>
      </c>
      <c r="K148" s="53">
        <v>5689387.1099999994</v>
      </c>
      <c r="L148" s="37">
        <f t="shared" si="20"/>
        <v>160445.42000000001</v>
      </c>
      <c r="M148" s="37">
        <v>161014.53</v>
      </c>
      <c r="N148" s="38">
        <v>144913.07999999999</v>
      </c>
      <c r="O148" s="37">
        <f t="shared" si="14"/>
        <v>15532.340000000026</v>
      </c>
      <c r="P148" s="54" t="e">
        <f t="shared" si="15"/>
        <v>#VALUE!</v>
      </c>
      <c r="Q148" s="40">
        <f t="shared" si="16"/>
        <v>9.6807624673861212E-2</v>
      </c>
      <c r="R148" s="37">
        <f t="shared" si="17"/>
        <v>-569.10999999998603</v>
      </c>
      <c r="S148" s="41">
        <f t="shared" si="18"/>
        <v>-3.5345257350376147E-3</v>
      </c>
      <c r="T148" s="37" t="e">
        <f>SUMIF('[1]JOBS MAR 15'!$E$8:$E$525,$E$16:$E$533,'[1]JOBS MAR 15'!$G$8:$G$525)</f>
        <v>#VALUE!</v>
      </c>
      <c r="U148" s="37" t="e">
        <f>SUMIF('[1]JOBS MAR 15'!$E$8:$E$525,$E$16:$E$533,'[1]JOBS MAR 15'!$H$8:$H$525)</f>
        <v>#VALUE!</v>
      </c>
      <c r="V148" s="37" t="e">
        <f>SUMIF('[1]JOBS MAR 15'!$E$8:$E$525,$E$16:$E$533,'[1]JOBS MAR 15'!$I$8:$I$525)</f>
        <v>#VALUE!</v>
      </c>
      <c r="W148" s="55" t="str">
        <f t="shared" si="19"/>
        <v xml:space="preserve"> </v>
      </c>
    </row>
    <row r="149" spans="2:23" x14ac:dyDescent="0.2">
      <c r="B149">
        <v>435</v>
      </c>
      <c r="C149">
        <v>1</v>
      </c>
      <c r="D149" s="2" t="s">
        <v>345</v>
      </c>
      <c r="E149" s="50" t="s">
        <v>346</v>
      </c>
      <c r="F149" s="50">
        <v>2742120</v>
      </c>
      <c r="G149" s="50">
        <v>7</v>
      </c>
      <c r="H149" s="52" t="e">
        <f>SUMIF('[1]Build Detail'!$D$4:$D$521,$B$16:$B$533,'[1]Build Detail'!$H$4:$H$521)</f>
        <v>#VALUE!</v>
      </c>
      <c r="I149" s="52" t="e">
        <f>SUMIF('[1]Build Detail'!$D$4:$D$521,$B$16:$B$533,'[1]Build Detail'!$Q$4:$Q$521)</f>
        <v>#VALUE!</v>
      </c>
      <c r="J149" s="52" t="e">
        <f>SUMIF('[1]Build Detail'!$D$4:$D$521,$B$16:$B$533,'[1]Build Detail'!$T$4:$T$521)</f>
        <v>#VALUE!</v>
      </c>
      <c r="K149" s="53">
        <v>5422546.79</v>
      </c>
      <c r="L149" s="37">
        <f t="shared" si="20"/>
        <v>152920.29999999999</v>
      </c>
      <c r="M149" s="37">
        <v>153356.47</v>
      </c>
      <c r="N149" s="38">
        <v>138020.82</v>
      </c>
      <c r="O149" s="37">
        <f t="shared" si="14"/>
        <v>14899.479999999981</v>
      </c>
      <c r="P149" s="54" t="e">
        <f t="shared" si="15"/>
        <v>#VALUE!</v>
      </c>
      <c r="Q149" s="40">
        <f t="shared" si="16"/>
        <v>9.7432976524372383E-2</v>
      </c>
      <c r="R149" s="37">
        <f t="shared" si="17"/>
        <v>-436.17000000001281</v>
      </c>
      <c r="S149" s="41">
        <f t="shared" si="18"/>
        <v>-2.8441577978419352E-3</v>
      </c>
      <c r="T149" s="37" t="e">
        <f>SUMIF('[1]JOBS MAR 15'!$E$8:$E$525,$E$16:$E$533,'[1]JOBS MAR 15'!$G$8:$G$525)</f>
        <v>#VALUE!</v>
      </c>
      <c r="U149" s="37" t="e">
        <f>SUMIF('[1]JOBS MAR 15'!$E$8:$E$525,$E$16:$E$533,'[1]JOBS MAR 15'!$H$8:$H$525)</f>
        <v>#VALUE!</v>
      </c>
      <c r="V149" s="37" t="e">
        <f>SUMIF('[1]JOBS MAR 15'!$E$8:$E$525,$E$16:$E$533,'[1]JOBS MAR 15'!$I$8:$I$525)</f>
        <v>#VALUE!</v>
      </c>
      <c r="W149" s="55" t="str">
        <f t="shared" si="19"/>
        <v xml:space="preserve"> </v>
      </c>
    </row>
    <row r="150" spans="2:23" x14ac:dyDescent="0.2">
      <c r="B150">
        <v>441</v>
      </c>
      <c r="C150">
        <v>1</v>
      </c>
      <c r="D150" s="2" t="s">
        <v>347</v>
      </c>
      <c r="E150" s="50" t="s">
        <v>348</v>
      </c>
      <c r="F150" s="50">
        <v>2723550</v>
      </c>
      <c r="G150" s="50">
        <v>7</v>
      </c>
      <c r="H150" s="52" t="e">
        <f>SUMIF('[1]Build Detail'!$D$4:$D$521,$B$16:$B$533,'[1]Build Detail'!$H$4:$H$521)</f>
        <v>#VALUE!</v>
      </c>
      <c r="I150" s="52" t="e">
        <f>SUMIF('[1]Build Detail'!$D$4:$D$521,$B$16:$B$533,'[1]Build Detail'!$Q$4:$Q$521)</f>
        <v>#VALUE!</v>
      </c>
      <c r="J150" s="52" t="e">
        <f>SUMIF('[1]Build Detail'!$D$4:$D$521,$B$16:$B$533,'[1]Build Detail'!$T$4:$T$521)</f>
        <v>#VALUE!</v>
      </c>
      <c r="K150" s="53">
        <v>3694957.4800000004</v>
      </c>
      <c r="L150" s="37">
        <f t="shared" si="20"/>
        <v>104200.86</v>
      </c>
      <c r="M150" s="37">
        <v>103779.39</v>
      </c>
      <c r="N150" s="38">
        <v>93401.45</v>
      </c>
      <c r="O150" s="37">
        <f t="shared" si="14"/>
        <v>10799.410000000003</v>
      </c>
      <c r="P150" s="54" t="e">
        <f t="shared" si="15"/>
        <v>#VALUE!</v>
      </c>
      <c r="Q150" s="40">
        <f t="shared" si="16"/>
        <v>0.10364031544461344</v>
      </c>
      <c r="R150" s="37">
        <f t="shared" si="17"/>
        <v>421.47000000000116</v>
      </c>
      <c r="S150" s="41">
        <f t="shared" si="18"/>
        <v>4.0612109976749834E-3</v>
      </c>
      <c r="T150" s="37" t="e">
        <f>SUMIF('[1]JOBS MAR 15'!$E$8:$E$525,$E$16:$E$533,'[1]JOBS MAR 15'!$G$8:$G$525)</f>
        <v>#VALUE!</v>
      </c>
      <c r="U150" s="37" t="e">
        <f>SUMIF('[1]JOBS MAR 15'!$E$8:$E$525,$E$16:$E$533,'[1]JOBS MAR 15'!$H$8:$H$525)</f>
        <v>#VALUE!</v>
      </c>
      <c r="V150" s="37" t="e">
        <f>SUMIF('[1]JOBS MAR 15'!$E$8:$E$525,$E$16:$E$533,'[1]JOBS MAR 15'!$I$8:$I$525)</f>
        <v>#VALUE!</v>
      </c>
      <c r="W150" s="55" t="str">
        <f t="shared" si="19"/>
        <v xml:space="preserve"> </v>
      </c>
    </row>
    <row r="151" spans="2:23" x14ac:dyDescent="0.2">
      <c r="B151">
        <v>447</v>
      </c>
      <c r="C151">
        <v>1</v>
      </c>
      <c r="D151" s="2" t="s">
        <v>349</v>
      </c>
      <c r="E151" s="50" t="s">
        <v>350</v>
      </c>
      <c r="F151" s="50">
        <v>2718920</v>
      </c>
      <c r="G151" s="50">
        <v>7</v>
      </c>
      <c r="H151" s="52" t="e">
        <f>SUMIF('[1]Build Detail'!$D$4:$D$521,$B$16:$B$533,'[1]Build Detail'!$H$4:$H$521)</f>
        <v>#VALUE!</v>
      </c>
      <c r="I151" s="52" t="e">
        <f>SUMIF('[1]Build Detail'!$D$4:$D$521,$B$16:$B$533,'[1]Build Detail'!$Q$4:$Q$521)</f>
        <v>#VALUE!</v>
      </c>
      <c r="J151" s="52" t="e">
        <f>SUMIF('[1]Build Detail'!$D$4:$D$521,$B$16:$B$533,'[1]Build Detail'!$T$4:$T$521)</f>
        <v>#VALUE!</v>
      </c>
      <c r="K151" s="53">
        <v>2074978.32</v>
      </c>
      <c r="L151" s="37">
        <f t="shared" si="20"/>
        <v>58516.1</v>
      </c>
      <c r="M151" s="37">
        <v>58941.83</v>
      </c>
      <c r="N151" s="38">
        <v>53047.65</v>
      </c>
      <c r="O151" s="37">
        <f t="shared" si="14"/>
        <v>5468.4499999999971</v>
      </c>
      <c r="P151" s="54" t="e">
        <f t="shared" si="15"/>
        <v>#VALUE!</v>
      </c>
      <c r="Q151" s="40">
        <f t="shared" si="16"/>
        <v>9.34520584933035E-2</v>
      </c>
      <c r="R151" s="37">
        <f t="shared" si="17"/>
        <v>-425.7300000000032</v>
      </c>
      <c r="S151" s="41">
        <f t="shared" si="18"/>
        <v>-7.2228839857873973E-3</v>
      </c>
      <c r="T151" s="37" t="e">
        <f>SUMIF('[1]JOBS MAR 15'!$E$8:$E$525,$E$16:$E$533,'[1]JOBS MAR 15'!$G$8:$G$525)</f>
        <v>#VALUE!</v>
      </c>
      <c r="U151" s="37" t="e">
        <f>SUMIF('[1]JOBS MAR 15'!$E$8:$E$525,$E$16:$E$533,'[1]JOBS MAR 15'!$H$8:$H$525)</f>
        <v>#VALUE!</v>
      </c>
      <c r="V151" s="37" t="e">
        <f>SUMIF('[1]JOBS MAR 15'!$E$8:$E$525,$E$16:$E$533,'[1]JOBS MAR 15'!$I$8:$I$525)</f>
        <v>#VALUE!</v>
      </c>
      <c r="W151" s="55" t="str">
        <f t="shared" si="19"/>
        <v xml:space="preserve"> </v>
      </c>
    </row>
    <row r="152" spans="2:23" x14ac:dyDescent="0.2">
      <c r="B152">
        <v>458</v>
      </c>
      <c r="C152">
        <v>1</v>
      </c>
      <c r="D152" s="2" t="s">
        <v>351</v>
      </c>
      <c r="E152" s="50" t="s">
        <v>352</v>
      </c>
      <c r="F152" s="50">
        <v>2740680</v>
      </c>
      <c r="G152" s="50">
        <v>1</v>
      </c>
      <c r="H152" s="52" t="e">
        <f>SUMIF('[1]Build Detail'!$D$4:$D$521,$B$16:$B$533,'[1]Build Detail'!$H$4:$H$521)</f>
        <v>#VALUE!</v>
      </c>
      <c r="I152" s="52" t="e">
        <f>SUMIF('[1]Build Detail'!$D$4:$D$521,$B$16:$B$533,'[1]Build Detail'!$Q$4:$Q$521)</f>
        <v>#VALUE!</v>
      </c>
      <c r="J152" s="52" t="e">
        <f>SUMIF('[1]Build Detail'!$D$4:$D$521,$B$16:$B$533,'[1]Build Detail'!$T$4:$T$521)</f>
        <v>#VALUE!</v>
      </c>
      <c r="K152" s="53">
        <v>2337676.81</v>
      </c>
      <c r="L152" s="37">
        <f t="shared" si="20"/>
        <v>65924.42</v>
      </c>
      <c r="M152" s="37">
        <v>66449.45</v>
      </c>
      <c r="N152" s="38">
        <v>59804.51</v>
      </c>
      <c r="O152" s="37">
        <f t="shared" si="14"/>
        <v>6119.9099999999962</v>
      </c>
      <c r="P152" s="54" t="e">
        <f t="shared" si="15"/>
        <v>#VALUE!</v>
      </c>
      <c r="Q152" s="40">
        <f t="shared" si="16"/>
        <v>9.283221604376643E-2</v>
      </c>
      <c r="R152" s="37">
        <f t="shared" si="17"/>
        <v>-525.02999999999884</v>
      </c>
      <c r="S152" s="41">
        <f t="shared" si="18"/>
        <v>-7.9011940655641065E-3</v>
      </c>
      <c r="T152" s="37" t="e">
        <f>SUMIF('[1]JOBS MAR 15'!$E$8:$E$525,$E$16:$E$533,'[1]JOBS MAR 15'!$G$8:$G$525)</f>
        <v>#VALUE!</v>
      </c>
      <c r="U152" s="37" t="e">
        <f>SUMIF('[1]JOBS MAR 15'!$E$8:$E$525,$E$16:$E$533,'[1]JOBS MAR 15'!$H$8:$H$525)</f>
        <v>#VALUE!</v>
      </c>
      <c r="V152" s="37" t="e">
        <f>SUMIF('[1]JOBS MAR 15'!$E$8:$E$525,$E$16:$E$533,'[1]JOBS MAR 15'!$I$8:$I$525)</f>
        <v>#VALUE!</v>
      </c>
      <c r="W152" s="55" t="str">
        <f t="shared" si="19"/>
        <v xml:space="preserve"> </v>
      </c>
    </row>
    <row r="153" spans="2:23" x14ac:dyDescent="0.2">
      <c r="B153">
        <v>463</v>
      </c>
      <c r="C153">
        <v>1</v>
      </c>
      <c r="D153" s="2" t="s">
        <v>353</v>
      </c>
      <c r="E153" s="50" t="s">
        <v>354</v>
      </c>
      <c r="F153" s="50">
        <v>2711190</v>
      </c>
      <c r="G153" s="50">
        <v>7</v>
      </c>
      <c r="H153" s="52" t="e">
        <f>SUMIF('[1]Build Detail'!$D$4:$D$521,$B$16:$B$533,'[1]Build Detail'!$H$4:$H$521)</f>
        <v>#VALUE!</v>
      </c>
      <c r="I153" s="52" t="e">
        <f>SUMIF('[1]Build Detail'!$D$4:$D$521,$B$16:$B$533,'[1]Build Detail'!$Q$4:$Q$521)</f>
        <v>#VALUE!</v>
      </c>
      <c r="J153" s="52" t="e">
        <f>SUMIF('[1]Build Detail'!$D$4:$D$521,$B$16:$B$533,'[1]Build Detail'!$T$4:$T$521)</f>
        <v>#VALUE!</v>
      </c>
      <c r="K153" s="53">
        <v>6306006.9400000004</v>
      </c>
      <c r="L153" s="37">
        <f t="shared" si="20"/>
        <v>177834.61</v>
      </c>
      <c r="M153" s="37">
        <v>178076.66</v>
      </c>
      <c r="N153" s="38">
        <v>160268.99</v>
      </c>
      <c r="O153" s="37">
        <f t="shared" si="14"/>
        <v>17565.619999999995</v>
      </c>
      <c r="P153" s="54" t="e">
        <f t="shared" si="15"/>
        <v>#VALUE!</v>
      </c>
      <c r="Q153" s="40">
        <f t="shared" si="16"/>
        <v>9.8775035973031333E-2</v>
      </c>
      <c r="R153" s="37">
        <f t="shared" si="17"/>
        <v>-242.05000000001746</v>
      </c>
      <c r="S153" s="41">
        <f t="shared" si="18"/>
        <v>-1.359246068519128E-3</v>
      </c>
      <c r="T153" s="37" t="e">
        <f>SUMIF('[1]JOBS MAR 15'!$E$8:$E$525,$E$16:$E$533,'[1]JOBS MAR 15'!$G$8:$G$525)</f>
        <v>#VALUE!</v>
      </c>
      <c r="U153" s="37" t="e">
        <f>SUMIF('[1]JOBS MAR 15'!$E$8:$E$525,$E$16:$E$533,'[1]JOBS MAR 15'!$H$8:$H$525)</f>
        <v>#VALUE!</v>
      </c>
      <c r="V153" s="37" t="e">
        <f>SUMIF('[1]JOBS MAR 15'!$E$8:$E$525,$E$16:$E$533,'[1]JOBS MAR 15'!$I$8:$I$525)</f>
        <v>#VALUE!</v>
      </c>
      <c r="W153" s="55" t="str">
        <f t="shared" si="19"/>
        <v xml:space="preserve"> </v>
      </c>
    </row>
    <row r="154" spans="2:23" x14ac:dyDescent="0.2">
      <c r="B154">
        <v>465</v>
      </c>
      <c r="C154">
        <v>1</v>
      </c>
      <c r="D154" s="2" t="s">
        <v>355</v>
      </c>
      <c r="E154" s="50" t="s">
        <v>356</v>
      </c>
      <c r="F154" s="50">
        <v>2718210</v>
      </c>
      <c r="G154" s="50">
        <v>7</v>
      </c>
      <c r="H154" s="52" t="e">
        <f>SUMIF('[1]Build Detail'!$D$4:$D$521,$B$16:$B$533,'[1]Build Detail'!$H$4:$H$521)</f>
        <v>#VALUE!</v>
      </c>
      <c r="I154" s="52" t="e">
        <f>SUMIF('[1]Build Detail'!$D$4:$D$521,$B$16:$B$533,'[1]Build Detail'!$Q$4:$Q$521)</f>
        <v>#VALUE!</v>
      </c>
      <c r="J154" s="52" t="e">
        <f>SUMIF('[1]Build Detail'!$D$4:$D$521,$B$16:$B$533,'[1]Build Detail'!$T$4:$T$521)</f>
        <v>#VALUE!</v>
      </c>
      <c r="K154" s="53">
        <v>12235934.479999999</v>
      </c>
      <c r="L154" s="37">
        <f t="shared" si="20"/>
        <v>345063.47</v>
      </c>
      <c r="M154" s="37">
        <v>338473.07</v>
      </c>
      <c r="N154" s="38">
        <v>304625.76</v>
      </c>
      <c r="O154" s="37">
        <f t="shared" si="14"/>
        <v>40437.709999999963</v>
      </c>
      <c r="P154" s="54" t="e">
        <f t="shared" si="15"/>
        <v>#VALUE!</v>
      </c>
      <c r="Q154" s="40">
        <f t="shared" si="16"/>
        <v>0.11718919420824223</v>
      </c>
      <c r="R154" s="37">
        <f t="shared" si="17"/>
        <v>6590.3999999999651</v>
      </c>
      <c r="S154" s="41">
        <f t="shared" si="18"/>
        <v>1.9470972978736432E-2</v>
      </c>
      <c r="T154" s="37" t="e">
        <f>SUMIF('[1]JOBS MAR 15'!$E$8:$E$525,$E$16:$E$533,'[1]JOBS MAR 15'!$G$8:$G$525)</f>
        <v>#VALUE!</v>
      </c>
      <c r="U154" s="37" t="e">
        <f>SUMIF('[1]JOBS MAR 15'!$E$8:$E$525,$E$16:$E$533,'[1]JOBS MAR 15'!$H$8:$H$525)</f>
        <v>#VALUE!</v>
      </c>
      <c r="V154" s="37" t="e">
        <f>SUMIF('[1]JOBS MAR 15'!$E$8:$E$525,$E$16:$E$533,'[1]JOBS MAR 15'!$I$8:$I$525)</f>
        <v>#VALUE!</v>
      </c>
      <c r="W154" s="55" t="str">
        <f t="shared" si="19"/>
        <v xml:space="preserve"> </v>
      </c>
    </row>
    <row r="155" spans="2:23" x14ac:dyDescent="0.2">
      <c r="B155">
        <v>466</v>
      </c>
      <c r="C155">
        <v>1</v>
      </c>
      <c r="D155" s="2" t="s">
        <v>357</v>
      </c>
      <c r="E155" s="50" t="s">
        <v>358</v>
      </c>
      <c r="F155" s="50">
        <v>2710060</v>
      </c>
      <c r="G155" s="50">
        <v>6</v>
      </c>
      <c r="H155" s="52" t="e">
        <f>SUMIF('[1]Build Detail'!$D$4:$D$521,$B$16:$B$533,'[1]Build Detail'!$H$4:$H$521)</f>
        <v>#VALUE!</v>
      </c>
      <c r="I155" s="52" t="e">
        <f>SUMIF('[1]Build Detail'!$D$4:$D$521,$B$16:$B$533,'[1]Build Detail'!$Q$4:$Q$521)</f>
        <v>#VALUE!</v>
      </c>
      <c r="J155" s="52" t="e">
        <f>SUMIF('[1]Build Detail'!$D$4:$D$521,$B$16:$B$533,'[1]Build Detail'!$T$4:$T$521)</f>
        <v>#VALUE!</v>
      </c>
      <c r="K155" s="53">
        <v>16091824.979999999</v>
      </c>
      <c r="L155" s="37">
        <f t="shared" si="20"/>
        <v>453802.77</v>
      </c>
      <c r="M155" s="37">
        <v>452736.05</v>
      </c>
      <c r="N155" s="38">
        <v>407462.45</v>
      </c>
      <c r="O155" s="37">
        <f t="shared" si="14"/>
        <v>46340.320000000007</v>
      </c>
      <c r="P155" s="54" t="e">
        <f t="shared" si="15"/>
        <v>#VALUE!</v>
      </c>
      <c r="Q155" s="40">
        <f t="shared" si="16"/>
        <v>0.10211555121181831</v>
      </c>
      <c r="R155" s="37">
        <f t="shared" si="17"/>
        <v>1066.7200000000303</v>
      </c>
      <c r="S155" s="41">
        <f t="shared" si="18"/>
        <v>2.3561631551099814E-3</v>
      </c>
      <c r="T155" s="37" t="e">
        <f>SUMIF('[1]JOBS MAR 15'!$E$8:$E$525,$E$16:$E$533,'[1]JOBS MAR 15'!$G$8:$G$525)</f>
        <v>#VALUE!</v>
      </c>
      <c r="U155" s="37" t="e">
        <f>SUMIF('[1]JOBS MAR 15'!$E$8:$E$525,$E$16:$E$533,'[1]JOBS MAR 15'!$H$8:$H$525)</f>
        <v>#VALUE!</v>
      </c>
      <c r="V155" s="37" t="e">
        <f>SUMIF('[1]JOBS MAR 15'!$E$8:$E$525,$E$16:$E$533,'[1]JOBS MAR 15'!$I$8:$I$525)</f>
        <v>#VALUE!</v>
      </c>
      <c r="W155" s="55" t="str">
        <f t="shared" si="19"/>
        <v xml:space="preserve"> </v>
      </c>
    </row>
    <row r="156" spans="2:23" x14ac:dyDescent="0.2">
      <c r="B156">
        <v>473</v>
      </c>
      <c r="C156">
        <v>1</v>
      </c>
      <c r="D156" s="2" t="s">
        <v>359</v>
      </c>
      <c r="E156" s="50" t="s">
        <v>360</v>
      </c>
      <c r="F156" s="50">
        <v>2715510</v>
      </c>
      <c r="G156" s="50">
        <v>8</v>
      </c>
      <c r="H156" s="52" t="e">
        <f>SUMIF('[1]Build Detail'!$D$4:$D$521,$B$16:$B$533,'[1]Build Detail'!$H$4:$H$521)</f>
        <v>#VALUE!</v>
      </c>
      <c r="I156" s="52" t="e">
        <f>SUMIF('[1]Build Detail'!$D$4:$D$521,$B$16:$B$533,'[1]Build Detail'!$Q$4:$Q$521)</f>
        <v>#VALUE!</v>
      </c>
      <c r="J156" s="52" t="e">
        <f>SUMIF('[1]Build Detail'!$D$4:$D$521,$B$16:$B$533,'[1]Build Detail'!$T$4:$T$521)</f>
        <v>#VALUE!</v>
      </c>
      <c r="K156" s="53">
        <v>3720573.0399999996</v>
      </c>
      <c r="L156" s="37">
        <f t="shared" si="20"/>
        <v>104923.24</v>
      </c>
      <c r="M156" s="37">
        <v>105041.18</v>
      </c>
      <c r="N156" s="38">
        <v>94537.06</v>
      </c>
      <c r="O156" s="37">
        <f t="shared" si="14"/>
        <v>10386.180000000008</v>
      </c>
      <c r="P156" s="54" t="e">
        <f t="shared" si="15"/>
        <v>#VALUE!</v>
      </c>
      <c r="Q156" s="40">
        <f t="shared" si="16"/>
        <v>9.8988365208699303E-2</v>
      </c>
      <c r="R156" s="37">
        <f t="shared" si="17"/>
        <v>-117.93999999998778</v>
      </c>
      <c r="S156" s="41">
        <f t="shared" si="18"/>
        <v>-1.1227977446558368E-3</v>
      </c>
      <c r="T156" s="37" t="e">
        <f>SUMIF('[1]JOBS MAR 15'!$E$8:$E$525,$E$16:$E$533,'[1]JOBS MAR 15'!$G$8:$G$525)</f>
        <v>#VALUE!</v>
      </c>
      <c r="U156" s="37" t="e">
        <f>SUMIF('[1]JOBS MAR 15'!$E$8:$E$525,$E$16:$E$533,'[1]JOBS MAR 15'!$H$8:$H$525)</f>
        <v>#VALUE!</v>
      </c>
      <c r="V156" s="37" t="e">
        <f>SUMIF('[1]JOBS MAR 15'!$E$8:$E$525,$E$16:$E$533,'[1]JOBS MAR 15'!$I$8:$I$525)</f>
        <v>#VALUE!</v>
      </c>
      <c r="W156" s="55" t="str">
        <f t="shared" si="19"/>
        <v xml:space="preserve"> </v>
      </c>
    </row>
    <row r="157" spans="2:23" x14ac:dyDescent="0.2">
      <c r="B157">
        <v>477</v>
      </c>
      <c r="C157">
        <v>1</v>
      </c>
      <c r="D157" s="2" t="s">
        <v>361</v>
      </c>
      <c r="E157" s="50" t="s">
        <v>362</v>
      </c>
      <c r="F157" s="50">
        <v>2730030</v>
      </c>
      <c r="G157" s="50">
        <v>8</v>
      </c>
      <c r="H157" s="52" t="e">
        <f>SUMIF('[1]Build Detail'!$D$4:$D$521,$B$16:$B$533,'[1]Build Detail'!$H$4:$H$521)</f>
        <v>#VALUE!</v>
      </c>
      <c r="I157" s="52" t="e">
        <f>SUMIF('[1]Build Detail'!$D$4:$D$521,$B$16:$B$533,'[1]Build Detail'!$Q$4:$Q$521)</f>
        <v>#VALUE!</v>
      </c>
      <c r="J157" s="52" t="e">
        <f>SUMIF('[1]Build Detail'!$D$4:$D$521,$B$16:$B$533,'[1]Build Detail'!$T$4:$T$521)</f>
        <v>#VALUE!</v>
      </c>
      <c r="K157" s="53">
        <v>22975874.52</v>
      </c>
      <c r="L157" s="37">
        <f t="shared" si="20"/>
        <v>647938.66</v>
      </c>
      <c r="M157" s="37">
        <v>646327.43999999994</v>
      </c>
      <c r="N157" s="38">
        <v>581694.69999999995</v>
      </c>
      <c r="O157" s="37">
        <f t="shared" si="14"/>
        <v>66243.960000000079</v>
      </c>
      <c r="P157" s="54" t="e">
        <f t="shared" si="15"/>
        <v>#VALUE!</v>
      </c>
      <c r="Q157" s="40">
        <f t="shared" si="16"/>
        <v>0.10223801123396477</v>
      </c>
      <c r="R157" s="37">
        <f t="shared" si="17"/>
        <v>1611.2200000000885</v>
      </c>
      <c r="S157" s="41">
        <f t="shared" si="18"/>
        <v>2.4928850305351241E-3</v>
      </c>
      <c r="T157" s="37" t="e">
        <f>SUMIF('[1]JOBS MAR 15'!$E$8:$E$525,$E$16:$E$533,'[1]JOBS MAR 15'!$G$8:$G$525)</f>
        <v>#VALUE!</v>
      </c>
      <c r="U157" s="37" t="e">
        <f>SUMIF('[1]JOBS MAR 15'!$E$8:$E$525,$E$16:$E$533,'[1]JOBS MAR 15'!$H$8:$H$525)</f>
        <v>#VALUE!</v>
      </c>
      <c r="V157" s="37" t="e">
        <f>SUMIF('[1]JOBS MAR 15'!$E$8:$E$525,$E$16:$E$533,'[1]JOBS MAR 15'!$I$8:$I$525)</f>
        <v>#VALUE!</v>
      </c>
      <c r="W157" s="55" t="str">
        <f t="shared" si="19"/>
        <v xml:space="preserve"> </v>
      </c>
    </row>
    <row r="158" spans="2:23" x14ac:dyDescent="0.2">
      <c r="B158">
        <v>480</v>
      </c>
      <c r="C158">
        <v>1</v>
      </c>
      <c r="D158" s="2" t="s">
        <v>363</v>
      </c>
      <c r="E158" s="50" t="s">
        <v>364</v>
      </c>
      <c r="F158" s="50">
        <v>2725050</v>
      </c>
      <c r="G158" s="50">
        <v>8</v>
      </c>
      <c r="H158" s="52" t="e">
        <f>SUMIF('[1]Build Detail'!$D$4:$D$521,$B$16:$B$533,'[1]Build Detail'!$H$4:$H$521)</f>
        <v>#VALUE!</v>
      </c>
      <c r="I158" s="52" t="e">
        <f>SUMIF('[1]Build Detail'!$D$4:$D$521,$B$16:$B$533,'[1]Build Detail'!$Q$4:$Q$521)</f>
        <v>#VALUE!</v>
      </c>
      <c r="J158" s="52" t="e">
        <f>SUMIF('[1]Build Detail'!$D$4:$D$521,$B$16:$B$533,'[1]Build Detail'!$T$4:$T$521)</f>
        <v>#VALUE!</v>
      </c>
      <c r="K158" s="53">
        <v>6108210.9399999995</v>
      </c>
      <c r="L158" s="37">
        <f t="shared" si="20"/>
        <v>172256.6</v>
      </c>
      <c r="M158" s="37">
        <v>170458.6</v>
      </c>
      <c r="N158" s="38">
        <v>153412.74</v>
      </c>
      <c r="O158" s="37">
        <f t="shared" si="14"/>
        <v>18843.860000000015</v>
      </c>
      <c r="P158" s="54" t="e">
        <f t="shared" si="15"/>
        <v>#VALUE!</v>
      </c>
      <c r="Q158" s="40">
        <f t="shared" si="16"/>
        <v>0.1093941248114732</v>
      </c>
      <c r="R158" s="37">
        <f t="shared" si="17"/>
        <v>1798</v>
      </c>
      <c r="S158" s="41">
        <f t="shared" si="18"/>
        <v>1.054801576453168E-2</v>
      </c>
      <c r="T158" s="37" t="e">
        <f>SUMIF('[1]JOBS MAR 15'!$E$8:$E$525,$E$16:$E$533,'[1]JOBS MAR 15'!$G$8:$G$525)</f>
        <v>#VALUE!</v>
      </c>
      <c r="U158" s="37" t="e">
        <f>SUMIF('[1]JOBS MAR 15'!$E$8:$E$525,$E$16:$E$533,'[1]JOBS MAR 15'!$H$8:$H$525)</f>
        <v>#VALUE!</v>
      </c>
      <c r="V158" s="37" t="e">
        <f>SUMIF('[1]JOBS MAR 15'!$E$8:$E$525,$E$16:$E$533,'[1]JOBS MAR 15'!$I$8:$I$525)</f>
        <v>#VALUE!</v>
      </c>
      <c r="W158" s="55" t="str">
        <f t="shared" si="19"/>
        <v xml:space="preserve"> </v>
      </c>
    </row>
    <row r="159" spans="2:23" x14ac:dyDescent="0.2">
      <c r="B159">
        <v>482</v>
      </c>
      <c r="C159">
        <v>1</v>
      </c>
      <c r="D159" s="2" t="s">
        <v>365</v>
      </c>
      <c r="E159" s="50" t="s">
        <v>366</v>
      </c>
      <c r="F159" s="50">
        <v>2718240</v>
      </c>
      <c r="G159" s="50">
        <v>8</v>
      </c>
      <c r="H159" s="52" t="e">
        <f>SUMIF('[1]Build Detail'!$D$4:$D$521,$B$16:$B$533,'[1]Build Detail'!$H$4:$H$521)</f>
        <v>#VALUE!</v>
      </c>
      <c r="I159" s="52" t="e">
        <f>SUMIF('[1]Build Detail'!$D$4:$D$521,$B$16:$B$533,'[1]Build Detail'!$Q$4:$Q$521)</f>
        <v>#VALUE!</v>
      </c>
      <c r="J159" s="52" t="e">
        <f>SUMIF('[1]Build Detail'!$D$4:$D$521,$B$16:$B$533,'[1]Build Detail'!$T$4:$T$521)</f>
        <v>#VALUE!</v>
      </c>
      <c r="K159" s="53">
        <v>17747729.289999999</v>
      </c>
      <c r="L159" s="37">
        <f t="shared" si="20"/>
        <v>500500.64</v>
      </c>
      <c r="M159" s="37">
        <v>500643.5</v>
      </c>
      <c r="N159" s="38">
        <v>450579.15</v>
      </c>
      <c r="O159" s="37">
        <f t="shared" si="14"/>
        <v>49921.489999999991</v>
      </c>
      <c r="P159" s="54" t="e">
        <f t="shared" si="15"/>
        <v>#VALUE!</v>
      </c>
      <c r="Q159" s="40">
        <f t="shared" si="16"/>
        <v>9.974310921960057E-2</v>
      </c>
      <c r="R159" s="37">
        <f t="shared" si="17"/>
        <v>-142.85999999998603</v>
      </c>
      <c r="S159" s="41">
        <f t="shared" si="18"/>
        <v>-2.8535275100942295E-4</v>
      </c>
      <c r="T159" s="37" t="e">
        <f>SUMIF('[1]JOBS MAR 15'!$E$8:$E$525,$E$16:$E$533,'[1]JOBS MAR 15'!$G$8:$G$525)</f>
        <v>#VALUE!</v>
      </c>
      <c r="U159" s="37" t="e">
        <f>SUMIF('[1]JOBS MAR 15'!$E$8:$E$525,$E$16:$E$533,'[1]JOBS MAR 15'!$H$8:$H$525)</f>
        <v>#VALUE!</v>
      </c>
      <c r="V159" s="37" t="e">
        <f>SUMIF('[1]JOBS MAR 15'!$E$8:$E$525,$E$16:$E$533,'[1]JOBS MAR 15'!$I$8:$I$525)</f>
        <v>#VALUE!</v>
      </c>
      <c r="W159" s="55" t="str">
        <f t="shared" si="19"/>
        <v xml:space="preserve"> </v>
      </c>
    </row>
    <row r="160" spans="2:23" x14ac:dyDescent="0.2">
      <c r="B160">
        <v>484</v>
      </c>
      <c r="C160">
        <v>1</v>
      </c>
      <c r="D160" s="2" t="s">
        <v>367</v>
      </c>
      <c r="E160" s="50" t="s">
        <v>368</v>
      </c>
      <c r="F160" s="50">
        <v>2728320</v>
      </c>
      <c r="G160" s="50">
        <v>8</v>
      </c>
      <c r="H160" s="52" t="e">
        <f>SUMIF('[1]Build Detail'!$D$4:$D$521,$B$16:$B$533,'[1]Build Detail'!$H$4:$H$521)</f>
        <v>#VALUE!</v>
      </c>
      <c r="I160" s="52" t="e">
        <f>SUMIF('[1]Build Detail'!$D$4:$D$521,$B$16:$B$533,'[1]Build Detail'!$Q$4:$Q$521)</f>
        <v>#VALUE!</v>
      </c>
      <c r="J160" s="52" t="e">
        <f>SUMIF('[1]Build Detail'!$D$4:$D$521,$B$16:$B$533,'[1]Build Detail'!$T$4:$T$521)</f>
        <v>#VALUE!</v>
      </c>
      <c r="K160" s="53">
        <v>8307453.6399999997</v>
      </c>
      <c r="L160" s="37">
        <f t="shared" si="20"/>
        <v>234277.06</v>
      </c>
      <c r="M160" s="37">
        <v>235521.55</v>
      </c>
      <c r="N160" s="38">
        <v>211969.4</v>
      </c>
      <c r="O160" s="37">
        <f t="shared" si="14"/>
        <v>22307.660000000003</v>
      </c>
      <c r="P160" s="54" t="e">
        <f t="shared" si="15"/>
        <v>#VALUE!</v>
      </c>
      <c r="Q160" s="40">
        <f t="shared" si="16"/>
        <v>9.5219139253326826E-2</v>
      </c>
      <c r="R160" s="37">
        <f t="shared" si="17"/>
        <v>-1244.4899999999907</v>
      </c>
      <c r="S160" s="41">
        <f t="shared" si="18"/>
        <v>-5.2839750757414372E-3</v>
      </c>
      <c r="T160" s="37" t="e">
        <f>SUMIF('[1]JOBS MAR 15'!$E$8:$E$525,$E$16:$E$533,'[1]JOBS MAR 15'!$G$8:$G$525)</f>
        <v>#VALUE!</v>
      </c>
      <c r="U160" s="37" t="e">
        <f>SUMIF('[1]JOBS MAR 15'!$E$8:$E$525,$E$16:$E$533,'[1]JOBS MAR 15'!$H$8:$H$525)</f>
        <v>#VALUE!</v>
      </c>
      <c r="V160" s="37" t="e">
        <f>SUMIF('[1]JOBS MAR 15'!$E$8:$E$525,$E$16:$E$533,'[1]JOBS MAR 15'!$I$8:$I$525)</f>
        <v>#VALUE!</v>
      </c>
      <c r="W160" s="55" t="str">
        <f t="shared" si="19"/>
        <v xml:space="preserve"> </v>
      </c>
    </row>
    <row r="161" spans="2:23" x14ac:dyDescent="0.2">
      <c r="B161">
        <v>485</v>
      </c>
      <c r="C161">
        <v>1</v>
      </c>
      <c r="D161" s="2" t="s">
        <v>369</v>
      </c>
      <c r="E161" s="50" t="s">
        <v>370</v>
      </c>
      <c r="F161" s="50">
        <v>2732520</v>
      </c>
      <c r="G161" s="50">
        <v>8</v>
      </c>
      <c r="H161" s="52" t="e">
        <f>SUMIF('[1]Build Detail'!$D$4:$D$521,$B$16:$B$533,'[1]Build Detail'!$H$4:$H$521)</f>
        <v>#VALUE!</v>
      </c>
      <c r="I161" s="52" t="e">
        <f>SUMIF('[1]Build Detail'!$D$4:$D$521,$B$16:$B$533,'[1]Build Detail'!$Q$4:$Q$521)</f>
        <v>#VALUE!</v>
      </c>
      <c r="J161" s="52" t="e">
        <f>SUMIF('[1]Build Detail'!$D$4:$D$521,$B$16:$B$533,'[1]Build Detail'!$T$4:$T$521)</f>
        <v>#VALUE!</v>
      </c>
      <c r="K161" s="53">
        <v>5594241.2400000002</v>
      </c>
      <c r="L161" s="37">
        <f t="shared" si="20"/>
        <v>157762.23000000001</v>
      </c>
      <c r="M161" s="37">
        <v>157427.68</v>
      </c>
      <c r="N161" s="38">
        <v>141684.91</v>
      </c>
      <c r="O161" s="37">
        <f t="shared" si="14"/>
        <v>16077.320000000007</v>
      </c>
      <c r="P161" s="54" t="e">
        <f t="shared" si="15"/>
        <v>#VALUE!</v>
      </c>
      <c r="Q161" s="40">
        <f t="shared" si="16"/>
        <v>0.10190854934035863</v>
      </c>
      <c r="R161" s="37">
        <f t="shared" si="17"/>
        <v>334.55000000001746</v>
      </c>
      <c r="S161" s="41">
        <f t="shared" si="18"/>
        <v>2.1251027773515909E-3</v>
      </c>
      <c r="T161" s="37" t="e">
        <f>SUMIF('[1]JOBS MAR 15'!$E$8:$E$525,$E$16:$E$533,'[1]JOBS MAR 15'!$G$8:$G$525)</f>
        <v>#VALUE!</v>
      </c>
      <c r="U161" s="37" t="e">
        <f>SUMIF('[1]JOBS MAR 15'!$E$8:$E$525,$E$16:$E$533,'[1]JOBS MAR 15'!$H$8:$H$525)</f>
        <v>#VALUE!</v>
      </c>
      <c r="V161" s="37" t="e">
        <f>SUMIF('[1]JOBS MAR 15'!$E$8:$E$525,$E$16:$E$533,'[1]JOBS MAR 15'!$I$8:$I$525)</f>
        <v>#VALUE!</v>
      </c>
      <c r="W161" s="55" t="str">
        <f t="shared" si="19"/>
        <v xml:space="preserve"> </v>
      </c>
    </row>
    <row r="162" spans="2:23" x14ac:dyDescent="0.2">
      <c r="B162">
        <v>486</v>
      </c>
      <c r="C162">
        <v>1</v>
      </c>
      <c r="D162" s="2" t="s">
        <v>371</v>
      </c>
      <c r="E162" s="50" t="s">
        <v>372</v>
      </c>
      <c r="F162" s="50">
        <v>2738280</v>
      </c>
      <c r="G162" s="50">
        <v>8</v>
      </c>
      <c r="H162" s="52" t="e">
        <f>SUMIF('[1]Build Detail'!$D$4:$D$521,$B$16:$B$533,'[1]Build Detail'!$H$4:$H$521)</f>
        <v>#VALUE!</v>
      </c>
      <c r="I162" s="52" t="e">
        <f>SUMIF('[1]Build Detail'!$D$4:$D$521,$B$16:$B$533,'[1]Build Detail'!$Q$4:$Q$521)</f>
        <v>#VALUE!</v>
      </c>
      <c r="J162" s="52" t="e">
        <f>SUMIF('[1]Build Detail'!$D$4:$D$521,$B$16:$B$533,'[1]Build Detail'!$T$4:$T$521)</f>
        <v>#VALUE!</v>
      </c>
      <c r="K162" s="53">
        <v>2661860.19</v>
      </c>
      <c r="L162" s="37">
        <f t="shared" si="20"/>
        <v>75066.66</v>
      </c>
      <c r="M162" s="37">
        <v>75770.37</v>
      </c>
      <c r="N162" s="38">
        <v>68193.33</v>
      </c>
      <c r="O162" s="37">
        <f t="shared" si="14"/>
        <v>6873.3300000000017</v>
      </c>
      <c r="P162" s="54" t="e">
        <f t="shared" si="15"/>
        <v>#VALUE!</v>
      </c>
      <c r="Q162" s="40">
        <f t="shared" si="16"/>
        <v>9.1563018788900441E-2</v>
      </c>
      <c r="R162" s="37">
        <f t="shared" si="17"/>
        <v>-703.70999999999185</v>
      </c>
      <c r="S162" s="41">
        <f t="shared" si="18"/>
        <v>-9.2874035061461611E-3</v>
      </c>
      <c r="T162" s="37" t="e">
        <f>SUMIF('[1]JOBS MAR 15'!$E$8:$E$525,$E$16:$E$533,'[1]JOBS MAR 15'!$G$8:$G$525)</f>
        <v>#VALUE!</v>
      </c>
      <c r="U162" s="37" t="e">
        <f>SUMIF('[1]JOBS MAR 15'!$E$8:$E$525,$E$16:$E$533,'[1]JOBS MAR 15'!$H$8:$H$525)</f>
        <v>#VALUE!</v>
      </c>
      <c r="V162" s="37" t="e">
        <f>SUMIF('[1]JOBS MAR 15'!$E$8:$E$525,$E$16:$E$533,'[1]JOBS MAR 15'!$I$8:$I$525)</f>
        <v>#VALUE!</v>
      </c>
      <c r="W162" s="55" t="str">
        <f t="shared" si="19"/>
        <v xml:space="preserve"> </v>
      </c>
    </row>
    <row r="163" spans="2:23" x14ac:dyDescent="0.2">
      <c r="B163">
        <v>487</v>
      </c>
      <c r="C163">
        <v>1</v>
      </c>
      <c r="D163" s="2" t="s">
        <v>373</v>
      </c>
      <c r="E163" s="50" t="s">
        <v>374</v>
      </c>
      <c r="F163" s="50">
        <v>2740860</v>
      </c>
      <c r="G163" s="50">
        <v>8</v>
      </c>
      <c r="H163" s="52" t="e">
        <f>SUMIF('[1]Build Detail'!$D$4:$D$521,$B$16:$B$533,'[1]Build Detail'!$H$4:$H$521)</f>
        <v>#VALUE!</v>
      </c>
      <c r="I163" s="52" t="e">
        <f>SUMIF('[1]Build Detail'!$D$4:$D$521,$B$16:$B$533,'[1]Build Detail'!$Q$4:$Q$521)</f>
        <v>#VALUE!</v>
      </c>
      <c r="J163" s="52" t="e">
        <f>SUMIF('[1]Build Detail'!$D$4:$D$521,$B$16:$B$533,'[1]Build Detail'!$T$4:$T$521)</f>
        <v>#VALUE!</v>
      </c>
      <c r="K163" s="53">
        <v>3098385.62</v>
      </c>
      <c r="L163" s="37">
        <f t="shared" si="20"/>
        <v>87377.04</v>
      </c>
      <c r="M163" s="37">
        <v>85287.07</v>
      </c>
      <c r="N163" s="38">
        <v>76758.36</v>
      </c>
      <c r="O163" s="37">
        <f t="shared" si="14"/>
        <v>10618.679999999993</v>
      </c>
      <c r="P163" s="54" t="e">
        <f t="shared" si="15"/>
        <v>#VALUE!</v>
      </c>
      <c r="Q163" s="40">
        <f t="shared" si="16"/>
        <v>0.12152711971016636</v>
      </c>
      <c r="R163" s="37">
        <f t="shared" si="17"/>
        <v>2089.9699999999866</v>
      </c>
      <c r="S163" s="41">
        <f t="shared" si="18"/>
        <v>2.4505121350750898E-2</v>
      </c>
      <c r="T163" s="37" t="e">
        <f>SUMIF('[1]JOBS MAR 15'!$E$8:$E$525,$E$16:$E$533,'[1]JOBS MAR 15'!$G$8:$G$525)</f>
        <v>#VALUE!</v>
      </c>
      <c r="U163" s="37" t="e">
        <f>SUMIF('[1]JOBS MAR 15'!$E$8:$E$525,$E$16:$E$533,'[1]JOBS MAR 15'!$H$8:$H$525)</f>
        <v>#VALUE!</v>
      </c>
      <c r="V163" s="37" t="e">
        <f>SUMIF('[1]JOBS MAR 15'!$E$8:$E$525,$E$16:$E$533,'[1]JOBS MAR 15'!$I$8:$I$525)</f>
        <v>#VALUE!</v>
      </c>
      <c r="W163" s="55" t="str">
        <f t="shared" si="19"/>
        <v xml:space="preserve"> </v>
      </c>
    </row>
    <row r="164" spans="2:23" x14ac:dyDescent="0.2">
      <c r="B164">
        <v>492</v>
      </c>
      <c r="C164">
        <v>1</v>
      </c>
      <c r="D164" s="2" t="s">
        <v>375</v>
      </c>
      <c r="E164" s="50" t="s">
        <v>376</v>
      </c>
      <c r="F164" s="50">
        <v>2703450</v>
      </c>
      <c r="G164" s="50">
        <v>1</v>
      </c>
      <c r="H164" s="52" t="e">
        <f>SUMIF('[1]Build Detail'!$D$4:$D$521,$B$16:$B$533,'[1]Build Detail'!$H$4:$H$521)</f>
        <v>#VALUE!</v>
      </c>
      <c r="I164" s="52" t="e">
        <f>SUMIF('[1]Build Detail'!$D$4:$D$521,$B$16:$B$533,'[1]Build Detail'!$Q$4:$Q$521)</f>
        <v>#VALUE!</v>
      </c>
      <c r="J164" s="52" t="e">
        <f>SUMIF('[1]Build Detail'!$D$4:$D$521,$B$16:$B$533,'[1]Build Detail'!$T$4:$T$521)</f>
        <v>#VALUE!</v>
      </c>
      <c r="K164" s="53">
        <v>36762748.959999993</v>
      </c>
      <c r="L164" s="37">
        <f t="shared" si="20"/>
        <v>1036739.92</v>
      </c>
      <c r="M164" s="37">
        <v>1033894.28</v>
      </c>
      <c r="N164" s="38">
        <v>930504.85</v>
      </c>
      <c r="O164" s="37">
        <f t="shared" si="14"/>
        <v>106235.07000000007</v>
      </c>
      <c r="P164" s="54" t="e">
        <f t="shared" si="15"/>
        <v>#VALUE!</v>
      </c>
      <c r="Q164" s="40">
        <f t="shared" si="16"/>
        <v>0.10247031868899199</v>
      </c>
      <c r="R164" s="37">
        <f t="shared" si="17"/>
        <v>2845.640000000014</v>
      </c>
      <c r="S164" s="41">
        <f t="shared" si="18"/>
        <v>2.7523510430873203E-3</v>
      </c>
      <c r="T164" s="37" t="e">
        <f>SUMIF('[1]JOBS MAR 15'!$E$8:$E$525,$E$16:$E$533,'[1]JOBS MAR 15'!$G$8:$G$525)</f>
        <v>#VALUE!</v>
      </c>
      <c r="U164" s="37" t="e">
        <f>SUMIF('[1]JOBS MAR 15'!$E$8:$E$525,$E$16:$E$533,'[1]JOBS MAR 15'!$H$8:$H$525)</f>
        <v>#VALUE!</v>
      </c>
      <c r="V164" s="37" t="e">
        <f>SUMIF('[1]JOBS MAR 15'!$E$8:$E$525,$E$16:$E$533,'[1]JOBS MAR 15'!$I$8:$I$525)</f>
        <v>#VALUE!</v>
      </c>
      <c r="W164" s="55" t="str">
        <f t="shared" si="19"/>
        <v xml:space="preserve"> </v>
      </c>
    </row>
    <row r="165" spans="2:23" x14ac:dyDescent="0.2">
      <c r="B165">
        <v>495</v>
      </c>
      <c r="C165">
        <v>1</v>
      </c>
      <c r="D165" s="2" t="s">
        <v>377</v>
      </c>
      <c r="E165" s="50" t="s">
        <v>378</v>
      </c>
      <c r="F165" s="50">
        <v>2713140</v>
      </c>
      <c r="G165" s="50">
        <v>1</v>
      </c>
      <c r="H165" s="52" t="e">
        <f>SUMIF('[1]Build Detail'!$D$4:$D$521,$B$16:$B$533,'[1]Build Detail'!$H$4:$H$521)</f>
        <v>#VALUE!</v>
      </c>
      <c r="I165" s="52" t="e">
        <f>SUMIF('[1]Build Detail'!$D$4:$D$521,$B$16:$B$533,'[1]Build Detail'!$Q$4:$Q$521)</f>
        <v>#VALUE!</v>
      </c>
      <c r="J165" s="52" t="e">
        <f>SUMIF('[1]Build Detail'!$D$4:$D$521,$B$16:$B$533,'[1]Build Detail'!$T$4:$T$521)</f>
        <v>#VALUE!</v>
      </c>
      <c r="K165" s="53">
        <v>2687169.62</v>
      </c>
      <c r="L165" s="37">
        <f t="shared" si="20"/>
        <v>75780.41</v>
      </c>
      <c r="M165" s="37">
        <v>76389.66</v>
      </c>
      <c r="N165" s="38">
        <v>68750.69</v>
      </c>
      <c r="O165" s="37">
        <f t="shared" si="14"/>
        <v>7029.7200000000012</v>
      </c>
      <c r="P165" s="54" t="e">
        <f t="shared" si="15"/>
        <v>#VALUE!</v>
      </c>
      <c r="Q165" s="40">
        <f t="shared" si="16"/>
        <v>9.2764343713632597E-2</v>
      </c>
      <c r="R165" s="37">
        <f t="shared" si="17"/>
        <v>-609.25</v>
      </c>
      <c r="S165" s="41">
        <f t="shared" si="18"/>
        <v>-7.9755558540252694E-3</v>
      </c>
      <c r="T165" s="37" t="e">
        <f>SUMIF('[1]JOBS MAR 15'!$E$8:$E$525,$E$16:$E$533,'[1]JOBS MAR 15'!$G$8:$G$525)</f>
        <v>#VALUE!</v>
      </c>
      <c r="U165" s="37" t="e">
        <f>SUMIF('[1]JOBS MAR 15'!$E$8:$E$525,$E$16:$E$533,'[1]JOBS MAR 15'!$H$8:$H$525)</f>
        <v>#VALUE!</v>
      </c>
      <c r="V165" s="37" t="e">
        <f>SUMIF('[1]JOBS MAR 15'!$E$8:$E$525,$E$16:$E$533,'[1]JOBS MAR 15'!$I$8:$I$525)</f>
        <v>#VALUE!</v>
      </c>
      <c r="W165" s="55" t="str">
        <f t="shared" si="19"/>
        <v xml:space="preserve"> </v>
      </c>
    </row>
    <row r="166" spans="2:23" x14ac:dyDescent="0.2">
      <c r="B166">
        <v>497</v>
      </c>
      <c r="C166">
        <v>1</v>
      </c>
      <c r="D166" s="2" t="s">
        <v>379</v>
      </c>
      <c r="E166" s="50" t="s">
        <v>380</v>
      </c>
      <c r="F166" s="50">
        <v>2718360</v>
      </c>
      <c r="G166" s="50">
        <v>1</v>
      </c>
      <c r="H166" s="52" t="e">
        <f>SUMIF('[1]Build Detail'!$D$4:$D$521,$B$16:$B$533,'[1]Build Detail'!$H$4:$H$521)</f>
        <v>#VALUE!</v>
      </c>
      <c r="I166" s="52" t="e">
        <f>SUMIF('[1]Build Detail'!$D$4:$D$521,$B$16:$B$533,'[1]Build Detail'!$Q$4:$Q$521)</f>
        <v>#VALUE!</v>
      </c>
      <c r="J166" s="52" t="e">
        <f>SUMIF('[1]Build Detail'!$D$4:$D$521,$B$16:$B$533,'[1]Build Detail'!$T$4:$T$521)</f>
        <v>#VALUE!</v>
      </c>
      <c r="K166" s="53">
        <v>1970369.8699999999</v>
      </c>
      <c r="L166" s="37">
        <f t="shared" si="20"/>
        <v>55566.06</v>
      </c>
      <c r="M166" s="37">
        <v>51750.18</v>
      </c>
      <c r="N166" s="38">
        <v>46575.16</v>
      </c>
      <c r="O166" s="37">
        <f t="shared" si="14"/>
        <v>8990.8999999999942</v>
      </c>
      <c r="P166" s="54" t="e">
        <f t="shared" si="15"/>
        <v>#VALUE!</v>
      </c>
      <c r="Q166" s="40">
        <f t="shared" si="16"/>
        <v>0.16180560579605599</v>
      </c>
      <c r="R166" s="37">
        <f t="shared" si="17"/>
        <v>3815.8799999999974</v>
      </c>
      <c r="S166" s="41">
        <f t="shared" si="18"/>
        <v>7.3736555119228525E-2</v>
      </c>
      <c r="T166" s="37" t="e">
        <f>SUMIF('[1]JOBS MAR 15'!$E$8:$E$525,$E$16:$E$533,'[1]JOBS MAR 15'!$G$8:$G$525)</f>
        <v>#VALUE!</v>
      </c>
      <c r="U166" s="37" t="e">
        <f>SUMIF('[1]JOBS MAR 15'!$E$8:$E$525,$E$16:$E$533,'[1]JOBS MAR 15'!$H$8:$H$525)</f>
        <v>#VALUE!</v>
      </c>
      <c r="V166" s="37" t="e">
        <f>SUMIF('[1]JOBS MAR 15'!$E$8:$E$525,$E$16:$E$533,'[1]JOBS MAR 15'!$I$8:$I$525)</f>
        <v>#VALUE!</v>
      </c>
      <c r="W166" s="55" t="str">
        <f t="shared" si="19"/>
        <v xml:space="preserve"> </v>
      </c>
    </row>
    <row r="167" spans="2:23" x14ac:dyDescent="0.2">
      <c r="B167">
        <v>499</v>
      </c>
      <c r="C167">
        <v>1</v>
      </c>
      <c r="D167" s="2" t="s">
        <v>381</v>
      </c>
      <c r="E167" s="50" t="s">
        <v>382</v>
      </c>
      <c r="F167" s="50">
        <v>2718060</v>
      </c>
      <c r="G167" s="50">
        <v>1</v>
      </c>
      <c r="H167" s="52" t="e">
        <f>SUMIF('[1]Build Detail'!$D$4:$D$521,$B$16:$B$533,'[1]Build Detail'!$H$4:$H$521)</f>
        <v>#VALUE!</v>
      </c>
      <c r="I167" s="52" t="e">
        <f>SUMIF('[1]Build Detail'!$D$4:$D$521,$B$16:$B$533,'[1]Build Detail'!$Q$4:$Q$521)</f>
        <v>#VALUE!</v>
      </c>
      <c r="J167" s="52" t="e">
        <f>SUMIF('[1]Build Detail'!$D$4:$D$521,$B$16:$B$533,'[1]Build Detail'!$T$4:$T$521)</f>
        <v>#VALUE!</v>
      </c>
      <c r="K167" s="53">
        <v>2110295.42</v>
      </c>
      <c r="L167" s="37">
        <f t="shared" si="20"/>
        <v>59512.08</v>
      </c>
      <c r="M167" s="37">
        <v>59544.33</v>
      </c>
      <c r="N167" s="38">
        <v>53589.9</v>
      </c>
      <c r="O167" s="37">
        <f t="shared" si="14"/>
        <v>5922.18</v>
      </c>
      <c r="P167" s="54" t="e">
        <f t="shared" si="15"/>
        <v>#VALUE!</v>
      </c>
      <c r="Q167" s="40">
        <f t="shared" si="16"/>
        <v>9.9512233482681164E-2</v>
      </c>
      <c r="R167" s="37">
        <f t="shared" si="17"/>
        <v>-32.25</v>
      </c>
      <c r="S167" s="41">
        <f t="shared" si="18"/>
        <v>-5.4161328207068585E-4</v>
      </c>
      <c r="T167" s="37" t="e">
        <f>SUMIF('[1]JOBS MAR 15'!$E$8:$E$525,$E$16:$E$533,'[1]JOBS MAR 15'!$G$8:$G$525)</f>
        <v>#VALUE!</v>
      </c>
      <c r="U167" s="37" t="e">
        <f>SUMIF('[1]JOBS MAR 15'!$E$8:$E$525,$E$16:$E$533,'[1]JOBS MAR 15'!$H$8:$H$525)</f>
        <v>#VALUE!</v>
      </c>
      <c r="V167" s="37" t="e">
        <f>SUMIF('[1]JOBS MAR 15'!$E$8:$E$525,$E$16:$E$533,'[1]JOBS MAR 15'!$I$8:$I$525)</f>
        <v>#VALUE!</v>
      </c>
      <c r="W167" s="55" t="str">
        <f t="shared" si="19"/>
        <v xml:space="preserve"> </v>
      </c>
    </row>
    <row r="168" spans="2:23" x14ac:dyDescent="0.2">
      <c r="B168">
        <v>500</v>
      </c>
      <c r="C168">
        <v>1</v>
      </c>
      <c r="D168" s="2" t="s">
        <v>383</v>
      </c>
      <c r="E168" s="50" t="s">
        <v>384</v>
      </c>
      <c r="F168" s="50">
        <v>2702720</v>
      </c>
      <c r="G168" s="50">
        <v>1</v>
      </c>
      <c r="H168" s="52" t="e">
        <f>SUMIF('[1]Build Detail'!$D$4:$D$521,$B$16:$B$533,'[1]Build Detail'!$H$4:$H$521)</f>
        <v>#VALUE!</v>
      </c>
      <c r="I168" s="52" t="e">
        <f>SUMIF('[1]Build Detail'!$D$4:$D$521,$B$16:$B$533,'[1]Build Detail'!$Q$4:$Q$521)</f>
        <v>#VALUE!</v>
      </c>
      <c r="J168" s="52" t="e">
        <f>SUMIF('[1]Build Detail'!$D$4:$D$521,$B$16:$B$533,'[1]Build Detail'!$T$4:$T$521)</f>
        <v>#VALUE!</v>
      </c>
      <c r="K168" s="53">
        <v>4005526.62</v>
      </c>
      <c r="L168" s="37">
        <f t="shared" si="20"/>
        <v>112959.16</v>
      </c>
      <c r="M168" s="37">
        <v>112513.84</v>
      </c>
      <c r="N168" s="38">
        <v>101262.46</v>
      </c>
      <c r="O168" s="37">
        <f t="shared" si="14"/>
        <v>11696.699999999997</v>
      </c>
      <c r="P168" s="54" t="e">
        <f t="shared" si="15"/>
        <v>#VALUE!</v>
      </c>
      <c r="Q168" s="40">
        <f t="shared" si="16"/>
        <v>0.10354804338134239</v>
      </c>
      <c r="R168" s="37">
        <f t="shared" si="17"/>
        <v>445.32000000000698</v>
      </c>
      <c r="S168" s="41">
        <f t="shared" si="18"/>
        <v>3.9579130887365237E-3</v>
      </c>
      <c r="T168" s="37" t="e">
        <f>SUMIF('[1]JOBS MAR 15'!$E$8:$E$525,$E$16:$E$533,'[1]JOBS MAR 15'!$G$8:$G$525)</f>
        <v>#VALUE!</v>
      </c>
      <c r="U168" s="37" t="e">
        <f>SUMIF('[1]JOBS MAR 15'!$E$8:$E$525,$E$16:$E$533,'[1]JOBS MAR 15'!$H$8:$H$525)</f>
        <v>#VALUE!</v>
      </c>
      <c r="V168" s="37" t="e">
        <f>SUMIF('[1]JOBS MAR 15'!$E$8:$E$525,$E$16:$E$533,'[1]JOBS MAR 15'!$I$8:$I$525)</f>
        <v>#VALUE!</v>
      </c>
      <c r="W168" s="55" t="str">
        <f t="shared" si="19"/>
        <v xml:space="preserve"> </v>
      </c>
    </row>
    <row r="169" spans="2:23" x14ac:dyDescent="0.2">
      <c r="B169">
        <v>505</v>
      </c>
      <c r="C169">
        <v>1</v>
      </c>
      <c r="D169" s="2" t="s">
        <v>385</v>
      </c>
      <c r="E169" s="50" t="s">
        <v>386</v>
      </c>
      <c r="F169" s="50">
        <v>2712480</v>
      </c>
      <c r="G169" s="50">
        <v>1</v>
      </c>
      <c r="H169" s="52" t="e">
        <f>SUMIF('[1]Build Detail'!$D$4:$D$521,$B$16:$B$533,'[1]Build Detail'!$H$4:$H$521)</f>
        <v>#VALUE!</v>
      </c>
      <c r="I169" s="52" t="e">
        <f>SUMIF('[1]Build Detail'!$D$4:$D$521,$B$16:$B$533,'[1]Build Detail'!$Q$4:$Q$521)</f>
        <v>#VALUE!</v>
      </c>
      <c r="J169" s="52" t="e">
        <f>SUMIF('[1]Build Detail'!$D$4:$D$521,$B$16:$B$533,'[1]Build Detail'!$T$4:$T$521)</f>
        <v>#VALUE!</v>
      </c>
      <c r="K169" s="53">
        <v>3098315.16</v>
      </c>
      <c r="L169" s="37">
        <f t="shared" si="20"/>
        <v>87375.05</v>
      </c>
      <c r="M169" s="37">
        <v>87744.29</v>
      </c>
      <c r="N169" s="38">
        <v>78969.86</v>
      </c>
      <c r="O169" s="37">
        <f t="shared" si="14"/>
        <v>8405.1900000000023</v>
      </c>
      <c r="P169" s="54" t="e">
        <f t="shared" si="15"/>
        <v>#VALUE!</v>
      </c>
      <c r="Q169" s="40">
        <f t="shared" si="16"/>
        <v>9.6196683149251436E-2</v>
      </c>
      <c r="R169" s="37">
        <f t="shared" si="17"/>
        <v>-369.23999999999069</v>
      </c>
      <c r="S169" s="41">
        <f t="shared" si="18"/>
        <v>-4.208137076497977E-3</v>
      </c>
      <c r="T169" s="37" t="e">
        <f>SUMIF('[1]JOBS MAR 15'!$E$8:$E$525,$E$16:$E$533,'[1]JOBS MAR 15'!$G$8:$G$525)</f>
        <v>#VALUE!</v>
      </c>
      <c r="U169" s="37" t="e">
        <f>SUMIF('[1]JOBS MAR 15'!$E$8:$E$525,$E$16:$E$533,'[1]JOBS MAR 15'!$H$8:$H$525)</f>
        <v>#VALUE!</v>
      </c>
      <c r="V169" s="37" t="e">
        <f>SUMIF('[1]JOBS MAR 15'!$E$8:$E$525,$E$16:$E$533,'[1]JOBS MAR 15'!$I$8:$I$525)</f>
        <v>#VALUE!</v>
      </c>
      <c r="W169" s="55" t="str">
        <f t="shared" si="19"/>
        <v xml:space="preserve"> </v>
      </c>
    </row>
    <row r="170" spans="2:23" x14ac:dyDescent="0.2">
      <c r="B170">
        <v>507</v>
      </c>
      <c r="C170">
        <v>1</v>
      </c>
      <c r="D170" s="2" t="s">
        <v>387</v>
      </c>
      <c r="E170" s="50" t="s">
        <v>388</v>
      </c>
      <c r="F170" s="50">
        <v>2723580</v>
      </c>
      <c r="G170" s="50">
        <v>1</v>
      </c>
      <c r="H170" s="52" t="e">
        <f>SUMIF('[1]Build Detail'!$D$4:$D$521,$B$16:$B$533,'[1]Build Detail'!$H$4:$H$521)</f>
        <v>#VALUE!</v>
      </c>
      <c r="I170" s="52" t="e">
        <f>SUMIF('[1]Build Detail'!$D$4:$D$521,$B$16:$B$533,'[1]Build Detail'!$Q$4:$Q$521)</f>
        <v>#VALUE!</v>
      </c>
      <c r="J170" s="52" t="e">
        <f>SUMIF('[1]Build Detail'!$D$4:$D$521,$B$16:$B$533,'[1]Build Detail'!$T$4:$T$521)</f>
        <v>#VALUE!</v>
      </c>
      <c r="K170" s="53">
        <v>2418190.5500000003</v>
      </c>
      <c r="L170" s="37">
        <f t="shared" si="20"/>
        <v>68194.97</v>
      </c>
      <c r="M170" s="37">
        <v>67033.39</v>
      </c>
      <c r="N170" s="38">
        <v>60330.05</v>
      </c>
      <c r="O170" s="37">
        <f t="shared" si="14"/>
        <v>7864.9199999999983</v>
      </c>
      <c r="P170" s="54" t="e">
        <f t="shared" si="15"/>
        <v>#VALUE!</v>
      </c>
      <c r="Q170" s="40">
        <f t="shared" si="16"/>
        <v>0.11532991362852713</v>
      </c>
      <c r="R170" s="37">
        <f t="shared" si="17"/>
        <v>1161.5800000000017</v>
      </c>
      <c r="S170" s="41">
        <f t="shared" si="18"/>
        <v>1.7328379185358248E-2</v>
      </c>
      <c r="T170" s="37" t="e">
        <f>SUMIF('[1]JOBS MAR 15'!$E$8:$E$525,$E$16:$E$533,'[1]JOBS MAR 15'!$G$8:$G$525)</f>
        <v>#VALUE!</v>
      </c>
      <c r="U170" s="37" t="e">
        <f>SUMIF('[1]JOBS MAR 15'!$E$8:$E$525,$E$16:$E$533,'[1]JOBS MAR 15'!$H$8:$H$525)</f>
        <v>#VALUE!</v>
      </c>
      <c r="V170" s="37" t="e">
        <f>SUMIF('[1]JOBS MAR 15'!$E$8:$E$525,$E$16:$E$533,'[1]JOBS MAR 15'!$I$8:$I$525)</f>
        <v>#VALUE!</v>
      </c>
      <c r="W170" s="55" t="str">
        <f t="shared" si="19"/>
        <v xml:space="preserve"> </v>
      </c>
    </row>
    <row r="171" spans="2:23" x14ac:dyDescent="0.2">
      <c r="B171">
        <v>508</v>
      </c>
      <c r="C171">
        <v>1</v>
      </c>
      <c r="D171" s="2" t="s">
        <v>389</v>
      </c>
      <c r="E171" s="50" t="s">
        <v>390</v>
      </c>
      <c r="F171" s="50">
        <v>2733870</v>
      </c>
      <c r="G171" s="50">
        <v>1</v>
      </c>
      <c r="H171" s="52" t="e">
        <f>SUMIF('[1]Build Detail'!$D$4:$D$521,$B$16:$B$533,'[1]Build Detail'!$H$4:$H$521)</f>
        <v>#VALUE!</v>
      </c>
      <c r="I171" s="52" t="e">
        <f>SUMIF('[1]Build Detail'!$D$4:$D$521,$B$16:$B$533,'[1]Build Detail'!$Q$4:$Q$521)</f>
        <v>#VALUE!</v>
      </c>
      <c r="J171" s="52" t="e">
        <f>SUMIF('[1]Build Detail'!$D$4:$D$521,$B$16:$B$533,'[1]Build Detail'!$T$4:$T$521)</f>
        <v>#VALUE!</v>
      </c>
      <c r="K171" s="53">
        <v>13124443.549999999</v>
      </c>
      <c r="L171" s="37">
        <f t="shared" si="20"/>
        <v>370120.16</v>
      </c>
      <c r="M171" s="37">
        <v>361945.59999999998</v>
      </c>
      <c r="N171" s="38">
        <v>325751.03999999998</v>
      </c>
      <c r="O171" s="37">
        <f t="shared" si="14"/>
        <v>44369.119999999995</v>
      </c>
      <c r="P171" s="54" t="e">
        <f t="shared" si="15"/>
        <v>#VALUE!</v>
      </c>
      <c r="Q171" s="40">
        <f t="shared" si="16"/>
        <v>0.11987760947687907</v>
      </c>
      <c r="R171" s="37">
        <f t="shared" si="17"/>
        <v>8174.5599999999977</v>
      </c>
      <c r="S171" s="41">
        <f t="shared" si="18"/>
        <v>2.2585051455246308E-2</v>
      </c>
      <c r="T171" s="37" t="e">
        <f>SUMIF('[1]JOBS MAR 15'!$E$8:$E$525,$E$16:$E$533,'[1]JOBS MAR 15'!$G$8:$G$525)</f>
        <v>#VALUE!</v>
      </c>
      <c r="U171" s="37" t="e">
        <f>SUMIF('[1]JOBS MAR 15'!$E$8:$E$525,$E$16:$E$533,'[1]JOBS MAR 15'!$H$8:$H$525)</f>
        <v>#VALUE!</v>
      </c>
      <c r="V171" s="37" t="e">
        <f>SUMIF('[1]JOBS MAR 15'!$E$8:$E$525,$E$16:$E$533,'[1]JOBS MAR 15'!$I$8:$I$525)</f>
        <v>#VALUE!</v>
      </c>
      <c r="W171" s="55" t="str">
        <f t="shared" si="19"/>
        <v xml:space="preserve"> </v>
      </c>
    </row>
    <row r="172" spans="2:23" x14ac:dyDescent="0.2">
      <c r="B172">
        <v>511</v>
      </c>
      <c r="C172">
        <v>1</v>
      </c>
      <c r="D172" s="2" t="s">
        <v>391</v>
      </c>
      <c r="E172" s="50" t="s">
        <v>392</v>
      </c>
      <c r="F172" s="50">
        <v>2702730</v>
      </c>
      <c r="G172" s="50">
        <v>1</v>
      </c>
      <c r="H172" s="52" t="e">
        <f>SUMIF('[1]Build Detail'!$D$4:$D$521,$B$16:$B$533,'[1]Build Detail'!$H$4:$H$521)</f>
        <v>#VALUE!</v>
      </c>
      <c r="I172" s="52" t="e">
        <f>SUMIF('[1]Build Detail'!$D$4:$D$521,$B$16:$B$533,'[1]Build Detail'!$Q$4:$Q$521)</f>
        <v>#VALUE!</v>
      </c>
      <c r="J172" s="52" t="e">
        <f>SUMIF('[1]Build Detail'!$D$4:$D$521,$B$16:$B$533,'[1]Build Detail'!$T$4:$T$521)</f>
        <v>#VALUE!</v>
      </c>
      <c r="K172" s="53">
        <v>4444624.05</v>
      </c>
      <c r="L172" s="37">
        <f t="shared" si="20"/>
        <v>125342.07</v>
      </c>
      <c r="M172" s="37">
        <v>124040.14</v>
      </c>
      <c r="N172" s="38">
        <v>111636.13</v>
      </c>
      <c r="O172" s="37">
        <f t="shared" si="14"/>
        <v>13705.940000000002</v>
      </c>
      <c r="P172" s="54" t="e">
        <f t="shared" si="15"/>
        <v>#VALUE!</v>
      </c>
      <c r="Q172" s="40">
        <f t="shared" si="16"/>
        <v>0.1093482818657774</v>
      </c>
      <c r="R172" s="37">
        <f t="shared" si="17"/>
        <v>1301.9300000000076</v>
      </c>
      <c r="S172" s="41">
        <f t="shared" si="18"/>
        <v>1.0496037814855801E-2</v>
      </c>
      <c r="T172" s="37" t="e">
        <f>SUMIF('[1]JOBS MAR 15'!$E$8:$E$525,$E$16:$E$533,'[1]JOBS MAR 15'!$G$8:$G$525)</f>
        <v>#VALUE!</v>
      </c>
      <c r="U172" s="37" t="e">
        <f>SUMIF('[1]JOBS MAR 15'!$E$8:$E$525,$E$16:$E$533,'[1]JOBS MAR 15'!$H$8:$H$525)</f>
        <v>#VALUE!</v>
      </c>
      <c r="V172" s="37" t="e">
        <f>SUMIF('[1]JOBS MAR 15'!$E$8:$E$525,$E$16:$E$533,'[1]JOBS MAR 15'!$I$8:$I$525)</f>
        <v>#VALUE!</v>
      </c>
      <c r="W172" s="55" t="str">
        <f t="shared" si="19"/>
        <v xml:space="preserve"> </v>
      </c>
    </row>
    <row r="173" spans="2:23" x14ac:dyDescent="0.2">
      <c r="B173">
        <v>513</v>
      </c>
      <c r="C173">
        <v>1</v>
      </c>
      <c r="D173" s="2" t="s">
        <v>393</v>
      </c>
      <c r="E173" s="50" t="s">
        <v>394</v>
      </c>
      <c r="F173" s="50">
        <v>2706180</v>
      </c>
      <c r="G173" s="50">
        <v>1</v>
      </c>
      <c r="H173" s="52" t="e">
        <f>SUMIF('[1]Build Detail'!$D$4:$D$521,$B$16:$B$533,'[1]Build Detail'!$H$4:$H$521)</f>
        <v>#VALUE!</v>
      </c>
      <c r="I173" s="52" t="e">
        <f>SUMIF('[1]Build Detail'!$D$4:$D$521,$B$16:$B$533,'[1]Build Detail'!$Q$4:$Q$521)</f>
        <v>#VALUE!</v>
      </c>
      <c r="J173" s="52" t="e">
        <f>SUMIF('[1]Build Detail'!$D$4:$D$521,$B$16:$B$533,'[1]Build Detail'!$T$4:$T$521)</f>
        <v>#VALUE!</v>
      </c>
      <c r="K173" s="53">
        <v>1326331.2500000002</v>
      </c>
      <c r="L173" s="37">
        <f t="shared" si="20"/>
        <v>37403.64</v>
      </c>
      <c r="M173" s="37">
        <v>37536.769999999997</v>
      </c>
      <c r="N173" s="38">
        <v>33783.089999999997</v>
      </c>
      <c r="O173" s="37">
        <f t="shared" si="14"/>
        <v>3620.5500000000029</v>
      </c>
      <c r="P173" s="54" t="e">
        <f t="shared" si="15"/>
        <v>#VALUE!</v>
      </c>
      <c r="Q173" s="40">
        <f t="shared" si="16"/>
        <v>9.6796728874516041E-2</v>
      </c>
      <c r="R173" s="37">
        <f t="shared" si="17"/>
        <v>-133.12999999999738</v>
      </c>
      <c r="S173" s="41">
        <f t="shared" si="18"/>
        <v>-3.5466557191787518E-3</v>
      </c>
      <c r="T173" s="37" t="e">
        <f>SUMIF('[1]JOBS MAR 15'!$E$8:$E$525,$E$16:$E$533,'[1]JOBS MAR 15'!$G$8:$G$525)</f>
        <v>#VALUE!</v>
      </c>
      <c r="U173" s="37" t="e">
        <f>SUMIF('[1]JOBS MAR 15'!$E$8:$E$525,$E$16:$E$533,'[1]JOBS MAR 15'!$H$8:$H$525)</f>
        <v>#VALUE!</v>
      </c>
      <c r="V173" s="37" t="e">
        <f>SUMIF('[1]JOBS MAR 15'!$E$8:$E$525,$E$16:$E$533,'[1]JOBS MAR 15'!$I$8:$I$525)</f>
        <v>#VALUE!</v>
      </c>
      <c r="W173" s="55" t="str">
        <f t="shared" si="19"/>
        <v xml:space="preserve"> </v>
      </c>
    </row>
    <row r="174" spans="2:23" x14ac:dyDescent="0.2">
      <c r="B174">
        <v>514</v>
      </c>
      <c r="C174">
        <v>1</v>
      </c>
      <c r="D174" s="2" t="s">
        <v>395</v>
      </c>
      <c r="E174" s="50" t="s">
        <v>396</v>
      </c>
      <c r="F174" s="50">
        <v>2711460</v>
      </c>
      <c r="G174" s="50">
        <v>1</v>
      </c>
      <c r="H174" s="52" t="e">
        <f>SUMIF('[1]Build Detail'!$D$4:$D$521,$B$16:$B$533,'[1]Build Detail'!$H$4:$H$521)</f>
        <v>#VALUE!</v>
      </c>
      <c r="I174" s="52" t="e">
        <f>SUMIF('[1]Build Detail'!$D$4:$D$521,$B$16:$B$533,'[1]Build Detail'!$Q$4:$Q$521)</f>
        <v>#VALUE!</v>
      </c>
      <c r="J174" s="52" t="e">
        <f>SUMIF('[1]Build Detail'!$D$4:$D$521,$B$16:$B$533,'[1]Build Detail'!$T$4:$T$521)</f>
        <v>#VALUE!</v>
      </c>
      <c r="K174" s="53">
        <v>1353021.64</v>
      </c>
      <c r="L174" s="37">
        <f t="shared" si="20"/>
        <v>38156.33</v>
      </c>
      <c r="M174" s="37">
        <v>38246.43</v>
      </c>
      <c r="N174" s="38">
        <v>34421.79</v>
      </c>
      <c r="O174" s="37">
        <f t="shared" si="14"/>
        <v>3734.5400000000009</v>
      </c>
      <c r="P174" s="54" t="e">
        <f t="shared" si="15"/>
        <v>#VALUE!</v>
      </c>
      <c r="Q174" s="40">
        <f t="shared" si="16"/>
        <v>9.7874716986670385E-2</v>
      </c>
      <c r="R174" s="37">
        <f t="shared" si="17"/>
        <v>-90.099999999998545</v>
      </c>
      <c r="S174" s="41">
        <f t="shared" si="18"/>
        <v>-2.355775427928791E-3</v>
      </c>
      <c r="T174" s="37" t="e">
        <f>SUMIF('[1]JOBS MAR 15'!$E$8:$E$525,$E$16:$E$533,'[1]JOBS MAR 15'!$G$8:$G$525)</f>
        <v>#VALUE!</v>
      </c>
      <c r="U174" s="37" t="e">
        <f>SUMIF('[1]JOBS MAR 15'!$E$8:$E$525,$E$16:$E$533,'[1]JOBS MAR 15'!$H$8:$H$525)</f>
        <v>#VALUE!</v>
      </c>
      <c r="V174" s="37" t="e">
        <f>SUMIF('[1]JOBS MAR 15'!$E$8:$E$525,$E$16:$E$533,'[1]JOBS MAR 15'!$I$8:$I$525)</f>
        <v>#VALUE!</v>
      </c>
      <c r="W174" s="55" t="str">
        <f t="shared" si="19"/>
        <v xml:space="preserve"> </v>
      </c>
    </row>
    <row r="175" spans="2:23" x14ac:dyDescent="0.2">
      <c r="B175">
        <v>516</v>
      </c>
      <c r="C175">
        <v>1</v>
      </c>
      <c r="D175" s="2" t="s">
        <v>397</v>
      </c>
      <c r="E175" s="50" t="s">
        <v>398</v>
      </c>
      <c r="F175" s="50">
        <v>2732490</v>
      </c>
      <c r="G175" s="50">
        <v>1</v>
      </c>
      <c r="H175" s="52" t="e">
        <f>SUMIF('[1]Build Detail'!$D$4:$D$521,$B$16:$B$533,'[1]Build Detail'!$H$4:$H$521)</f>
        <v>#VALUE!</v>
      </c>
      <c r="I175" s="52" t="e">
        <f>SUMIF('[1]Build Detail'!$D$4:$D$521,$B$16:$B$533,'[1]Build Detail'!$Q$4:$Q$521)</f>
        <v>#VALUE!</v>
      </c>
      <c r="J175" s="52" t="e">
        <f>SUMIF('[1]Build Detail'!$D$4:$D$521,$B$16:$B$533,'[1]Build Detail'!$T$4:$T$521)</f>
        <v>#VALUE!</v>
      </c>
      <c r="K175" s="53">
        <v>858848.76</v>
      </c>
      <c r="L175" s="37">
        <f t="shared" si="20"/>
        <v>24220.25</v>
      </c>
      <c r="M175" s="37">
        <v>23842.58</v>
      </c>
      <c r="N175" s="38">
        <v>21458.32</v>
      </c>
      <c r="O175" s="37">
        <f t="shared" si="14"/>
        <v>2761.9300000000003</v>
      </c>
      <c r="P175" s="54" t="e">
        <f t="shared" si="15"/>
        <v>#VALUE!</v>
      </c>
      <c r="Q175" s="40">
        <f t="shared" si="16"/>
        <v>0.11403391789927851</v>
      </c>
      <c r="R175" s="37">
        <f t="shared" si="17"/>
        <v>377.66999999999825</v>
      </c>
      <c r="S175" s="41">
        <f t="shared" si="18"/>
        <v>1.5840148171884009E-2</v>
      </c>
      <c r="T175" s="37" t="e">
        <f>SUMIF('[1]JOBS MAR 15'!$E$8:$E$525,$E$16:$E$533,'[1]JOBS MAR 15'!$G$8:$G$525)</f>
        <v>#VALUE!</v>
      </c>
      <c r="U175" s="37" t="e">
        <f>SUMIF('[1]JOBS MAR 15'!$E$8:$E$525,$E$16:$E$533,'[1]JOBS MAR 15'!$H$8:$H$525)</f>
        <v>#VALUE!</v>
      </c>
      <c r="V175" s="37" t="e">
        <f>SUMIF('[1]JOBS MAR 15'!$E$8:$E$525,$E$16:$E$533,'[1]JOBS MAR 15'!$I$8:$I$525)</f>
        <v>#VALUE!</v>
      </c>
      <c r="W175" s="55" t="str">
        <f t="shared" si="19"/>
        <v xml:space="preserve"> </v>
      </c>
    </row>
    <row r="176" spans="2:23" x14ac:dyDescent="0.2">
      <c r="B176">
        <v>518</v>
      </c>
      <c r="C176">
        <v>1</v>
      </c>
      <c r="D176" s="2" t="s">
        <v>399</v>
      </c>
      <c r="E176" s="50" t="s">
        <v>400</v>
      </c>
      <c r="F176" s="50">
        <v>2744160</v>
      </c>
      <c r="G176" s="50">
        <v>1</v>
      </c>
      <c r="H176" s="52" t="e">
        <f>SUMIF('[1]Build Detail'!$D$4:$D$521,$B$16:$B$533,'[1]Build Detail'!$H$4:$H$521)</f>
        <v>#VALUE!</v>
      </c>
      <c r="I176" s="52" t="e">
        <f>SUMIF('[1]Build Detail'!$D$4:$D$521,$B$16:$B$533,'[1]Build Detail'!$Q$4:$Q$521)</f>
        <v>#VALUE!</v>
      </c>
      <c r="J176" s="52" t="e">
        <f>SUMIF('[1]Build Detail'!$D$4:$D$521,$B$16:$B$533,'[1]Build Detail'!$T$4:$T$521)</f>
        <v>#VALUE!</v>
      </c>
      <c r="K176" s="53">
        <v>21383166.800000001</v>
      </c>
      <c r="L176" s="37">
        <f t="shared" si="20"/>
        <v>603022.99</v>
      </c>
      <c r="M176" s="37">
        <v>601488.28</v>
      </c>
      <c r="N176" s="38">
        <v>541339.44999999995</v>
      </c>
      <c r="O176" s="37">
        <f t="shared" si="14"/>
        <v>61683.540000000037</v>
      </c>
      <c r="P176" s="54" t="e">
        <f t="shared" si="15"/>
        <v>#VALUE!</v>
      </c>
      <c r="Q176" s="40">
        <f t="shared" si="16"/>
        <v>0.10229052792829679</v>
      </c>
      <c r="R176" s="37">
        <f t="shared" si="17"/>
        <v>1534.7099999999627</v>
      </c>
      <c r="S176" s="41">
        <f t="shared" si="18"/>
        <v>2.5515210371180675E-3</v>
      </c>
      <c r="T176" s="37" t="e">
        <f>SUMIF('[1]JOBS MAR 15'!$E$8:$E$525,$E$16:$E$533,'[1]JOBS MAR 15'!$G$8:$G$525)</f>
        <v>#VALUE!</v>
      </c>
      <c r="U176" s="37" t="e">
        <f>SUMIF('[1]JOBS MAR 15'!$E$8:$E$525,$E$16:$E$533,'[1]JOBS MAR 15'!$H$8:$H$525)</f>
        <v>#VALUE!</v>
      </c>
      <c r="V176" s="37" t="e">
        <f>SUMIF('[1]JOBS MAR 15'!$E$8:$E$525,$E$16:$E$533,'[1]JOBS MAR 15'!$I$8:$I$525)</f>
        <v>#VALUE!</v>
      </c>
      <c r="W176" s="55" t="str">
        <f t="shared" si="19"/>
        <v xml:space="preserve"> </v>
      </c>
    </row>
    <row r="177" spans="2:23" x14ac:dyDescent="0.2">
      <c r="B177">
        <v>531</v>
      </c>
      <c r="C177">
        <v>1</v>
      </c>
      <c r="D177" s="2" t="s">
        <v>401</v>
      </c>
      <c r="E177" s="50" t="s">
        <v>402</v>
      </c>
      <c r="F177" s="50">
        <v>2707350</v>
      </c>
      <c r="G177" s="50">
        <v>1</v>
      </c>
      <c r="H177" s="52" t="e">
        <f>SUMIF('[1]Build Detail'!$D$4:$D$521,$B$16:$B$533,'[1]Build Detail'!$H$4:$H$521)</f>
        <v>#VALUE!</v>
      </c>
      <c r="I177" s="52" t="e">
        <f>SUMIF('[1]Build Detail'!$D$4:$D$521,$B$16:$B$533,'[1]Build Detail'!$Q$4:$Q$521)</f>
        <v>#VALUE!</v>
      </c>
      <c r="J177" s="52" t="e">
        <f>SUMIF('[1]Build Detail'!$D$4:$D$521,$B$16:$B$533,'[1]Build Detail'!$T$4:$T$521)</f>
        <v>#VALUE!</v>
      </c>
      <c r="K177" s="53">
        <v>11630953.710000001</v>
      </c>
      <c r="L177" s="37">
        <f t="shared" si="20"/>
        <v>328002.51</v>
      </c>
      <c r="M177" s="37">
        <v>325766.90999999997</v>
      </c>
      <c r="N177" s="38">
        <v>293190.21999999997</v>
      </c>
      <c r="O177" s="37">
        <f t="shared" si="14"/>
        <v>34812.290000000037</v>
      </c>
      <c r="P177" s="54" t="e">
        <f t="shared" si="15"/>
        <v>#VALUE!</v>
      </c>
      <c r="Q177" s="40">
        <f t="shared" si="16"/>
        <v>0.10613421830217103</v>
      </c>
      <c r="R177" s="37">
        <f t="shared" si="17"/>
        <v>2235.6000000000349</v>
      </c>
      <c r="S177" s="41">
        <f t="shared" si="18"/>
        <v>6.8625754531055202E-3</v>
      </c>
      <c r="T177" s="37" t="e">
        <f>SUMIF('[1]JOBS MAR 15'!$E$8:$E$525,$E$16:$E$533,'[1]JOBS MAR 15'!$G$8:$G$525)</f>
        <v>#VALUE!</v>
      </c>
      <c r="U177" s="37" t="e">
        <f>SUMIF('[1]JOBS MAR 15'!$E$8:$E$525,$E$16:$E$533,'[1]JOBS MAR 15'!$H$8:$H$525)</f>
        <v>#VALUE!</v>
      </c>
      <c r="V177" s="37" t="e">
        <f>SUMIF('[1]JOBS MAR 15'!$E$8:$E$525,$E$16:$E$533,'[1]JOBS MAR 15'!$I$8:$I$525)</f>
        <v>#VALUE!</v>
      </c>
      <c r="W177" s="55" t="str">
        <f t="shared" si="19"/>
        <v xml:space="preserve"> </v>
      </c>
    </row>
    <row r="178" spans="2:23" x14ac:dyDescent="0.2">
      <c r="B178">
        <v>533</v>
      </c>
      <c r="C178">
        <v>1</v>
      </c>
      <c r="D178" s="2" t="s">
        <v>403</v>
      </c>
      <c r="E178" s="50" t="s">
        <v>404</v>
      </c>
      <c r="F178" s="50">
        <v>2711010</v>
      </c>
      <c r="G178" s="50">
        <v>1</v>
      </c>
      <c r="H178" s="52" t="e">
        <f>SUMIF('[1]Build Detail'!$D$4:$D$521,$B$16:$B$533,'[1]Build Detail'!$H$4:$H$521)</f>
        <v>#VALUE!</v>
      </c>
      <c r="I178" s="52" t="e">
        <f>SUMIF('[1]Build Detail'!$D$4:$D$521,$B$16:$B$533,'[1]Build Detail'!$Q$4:$Q$521)</f>
        <v>#VALUE!</v>
      </c>
      <c r="J178" s="52" t="e">
        <f>SUMIF('[1]Build Detail'!$D$4:$D$521,$B$16:$B$533,'[1]Build Detail'!$T$4:$T$521)</f>
        <v>#VALUE!</v>
      </c>
      <c r="K178" s="53">
        <v>8568141.7300000004</v>
      </c>
      <c r="L178" s="37">
        <f t="shared" si="20"/>
        <v>241628.68</v>
      </c>
      <c r="M178" s="37">
        <v>239088.64000000001</v>
      </c>
      <c r="N178" s="38">
        <v>215179.78</v>
      </c>
      <c r="O178" s="37">
        <f t="shared" si="14"/>
        <v>26448.899999999994</v>
      </c>
      <c r="P178" s="54" t="e">
        <f t="shared" si="15"/>
        <v>#VALUE!</v>
      </c>
      <c r="Q178" s="40">
        <f t="shared" si="16"/>
        <v>0.10946092988630321</v>
      </c>
      <c r="R178" s="37">
        <f t="shared" si="17"/>
        <v>2540.039999999979</v>
      </c>
      <c r="S178" s="41">
        <f t="shared" si="18"/>
        <v>1.0623842270381307E-2</v>
      </c>
      <c r="T178" s="37" t="e">
        <f>SUMIF('[1]JOBS MAR 15'!$E$8:$E$525,$E$16:$E$533,'[1]JOBS MAR 15'!$G$8:$G$525)</f>
        <v>#VALUE!</v>
      </c>
      <c r="U178" s="37" t="e">
        <f>SUMIF('[1]JOBS MAR 15'!$E$8:$E$525,$E$16:$E$533,'[1]JOBS MAR 15'!$H$8:$H$525)</f>
        <v>#VALUE!</v>
      </c>
      <c r="V178" s="37" t="e">
        <f>SUMIF('[1]JOBS MAR 15'!$E$8:$E$525,$E$16:$E$533,'[1]JOBS MAR 15'!$I$8:$I$525)</f>
        <v>#VALUE!</v>
      </c>
      <c r="W178" s="55" t="str">
        <f t="shared" si="19"/>
        <v xml:space="preserve"> </v>
      </c>
    </row>
    <row r="179" spans="2:23" x14ac:dyDescent="0.2">
      <c r="B179">
        <v>534</v>
      </c>
      <c r="C179">
        <v>1</v>
      </c>
      <c r="D179" s="2" t="s">
        <v>405</v>
      </c>
      <c r="E179" s="50" t="s">
        <v>406</v>
      </c>
      <c r="F179" s="50">
        <v>2738160</v>
      </c>
      <c r="G179" s="50">
        <v>1</v>
      </c>
      <c r="H179" s="52" t="e">
        <f>SUMIF('[1]Build Detail'!$D$4:$D$521,$B$16:$B$533,'[1]Build Detail'!$H$4:$H$521)</f>
        <v>#VALUE!</v>
      </c>
      <c r="I179" s="52" t="e">
        <f>SUMIF('[1]Build Detail'!$D$4:$D$521,$B$16:$B$533,'[1]Build Detail'!$Q$4:$Q$521)</f>
        <v>#VALUE!</v>
      </c>
      <c r="J179" s="52" t="e">
        <f>SUMIF('[1]Build Detail'!$D$4:$D$521,$B$16:$B$533,'[1]Build Detail'!$T$4:$T$521)</f>
        <v>#VALUE!</v>
      </c>
      <c r="K179" s="53">
        <v>12473848.849999998</v>
      </c>
      <c r="L179" s="37">
        <f t="shared" si="20"/>
        <v>351772.85</v>
      </c>
      <c r="M179" s="37">
        <v>350611.95</v>
      </c>
      <c r="N179" s="38">
        <v>315550.76</v>
      </c>
      <c r="O179" s="37">
        <f t="shared" si="14"/>
        <v>36222.089999999967</v>
      </c>
      <c r="P179" s="54" t="e">
        <f t="shared" si="15"/>
        <v>#VALUE!</v>
      </c>
      <c r="Q179" s="40">
        <f t="shared" si="16"/>
        <v>0.10297011267356185</v>
      </c>
      <c r="R179" s="37">
        <f t="shared" si="17"/>
        <v>1160.8999999999651</v>
      </c>
      <c r="S179" s="41">
        <f t="shared" si="18"/>
        <v>3.311067977004107E-3</v>
      </c>
      <c r="T179" s="37" t="e">
        <f>SUMIF('[1]JOBS MAR 15'!$E$8:$E$525,$E$16:$E$533,'[1]JOBS MAR 15'!$G$8:$G$525)</f>
        <v>#VALUE!</v>
      </c>
      <c r="U179" s="37" t="e">
        <f>SUMIF('[1]JOBS MAR 15'!$E$8:$E$525,$E$16:$E$533,'[1]JOBS MAR 15'!$H$8:$H$525)</f>
        <v>#VALUE!</v>
      </c>
      <c r="V179" s="37" t="e">
        <f>SUMIF('[1]JOBS MAR 15'!$E$8:$E$525,$E$16:$E$533,'[1]JOBS MAR 15'!$I$8:$I$525)</f>
        <v>#VALUE!</v>
      </c>
      <c r="W179" s="55" t="str">
        <f t="shared" si="19"/>
        <v xml:space="preserve"> </v>
      </c>
    </row>
    <row r="180" spans="2:23" x14ac:dyDescent="0.2">
      <c r="B180">
        <v>535</v>
      </c>
      <c r="C180">
        <v>1</v>
      </c>
      <c r="D180" s="2" t="s">
        <v>407</v>
      </c>
      <c r="E180" s="50" t="s">
        <v>408</v>
      </c>
      <c r="F180" s="50">
        <v>2731800</v>
      </c>
      <c r="G180" s="50">
        <v>1</v>
      </c>
      <c r="H180" s="52" t="e">
        <f>SUMIF('[1]Build Detail'!$D$4:$D$521,$B$16:$B$533,'[1]Build Detail'!$H$4:$H$521)</f>
        <v>#VALUE!</v>
      </c>
      <c r="I180" s="52" t="e">
        <f>SUMIF('[1]Build Detail'!$D$4:$D$521,$B$16:$B$533,'[1]Build Detail'!$Q$4:$Q$521)</f>
        <v>#VALUE!</v>
      </c>
      <c r="J180" s="52" t="e">
        <f>SUMIF('[1]Build Detail'!$D$4:$D$521,$B$16:$B$533,'[1]Build Detail'!$T$4:$T$521)</f>
        <v>#VALUE!</v>
      </c>
      <c r="K180" s="53">
        <v>103642862.22000001</v>
      </c>
      <c r="L180" s="37">
        <f t="shared" si="20"/>
        <v>2922814.42</v>
      </c>
      <c r="M180" s="37">
        <v>2909710.59</v>
      </c>
      <c r="N180" s="38">
        <v>2618739.5299999998</v>
      </c>
      <c r="O180" s="37">
        <f t="shared" si="14"/>
        <v>304074.89000000013</v>
      </c>
      <c r="P180" s="54" t="e">
        <f t="shared" si="15"/>
        <v>#VALUE!</v>
      </c>
      <c r="Q180" s="40">
        <f t="shared" si="16"/>
        <v>0.1040349629861208</v>
      </c>
      <c r="R180" s="37">
        <f t="shared" si="17"/>
        <v>13103.830000000075</v>
      </c>
      <c r="S180" s="41">
        <f t="shared" si="18"/>
        <v>4.5034822518208164E-3</v>
      </c>
      <c r="T180" s="37" t="e">
        <f>SUMIF('[1]JOBS MAR 15'!$E$8:$E$525,$E$16:$E$533,'[1]JOBS MAR 15'!$G$8:$G$525)</f>
        <v>#VALUE!</v>
      </c>
      <c r="U180" s="37" t="e">
        <f>SUMIF('[1]JOBS MAR 15'!$E$8:$E$525,$E$16:$E$533,'[1]JOBS MAR 15'!$H$8:$H$525)</f>
        <v>#VALUE!</v>
      </c>
      <c r="V180" s="37" t="e">
        <f>SUMIF('[1]JOBS MAR 15'!$E$8:$E$525,$E$16:$E$533,'[1]JOBS MAR 15'!$I$8:$I$525)</f>
        <v>#VALUE!</v>
      </c>
      <c r="W180" s="55" t="str">
        <f t="shared" si="19"/>
        <v xml:space="preserve"> </v>
      </c>
    </row>
    <row r="181" spans="2:23" x14ac:dyDescent="0.2">
      <c r="B181">
        <v>542</v>
      </c>
      <c r="C181">
        <v>1</v>
      </c>
      <c r="D181" s="2" t="s">
        <v>409</v>
      </c>
      <c r="E181" s="50" t="s">
        <v>410</v>
      </c>
      <c r="F181" s="50">
        <v>2703750</v>
      </c>
      <c r="G181" s="50">
        <v>7</v>
      </c>
      <c r="H181" s="52" t="e">
        <f>SUMIF('[1]Build Detail'!$D$4:$D$521,$B$16:$B$533,'[1]Build Detail'!$H$4:$H$521)</f>
        <v>#VALUE!</v>
      </c>
      <c r="I181" s="52" t="e">
        <f>SUMIF('[1]Build Detail'!$D$4:$D$521,$B$16:$B$533,'[1]Build Detail'!$Q$4:$Q$521)</f>
        <v>#VALUE!</v>
      </c>
      <c r="J181" s="52" t="e">
        <f>SUMIF('[1]Build Detail'!$D$4:$D$521,$B$16:$B$533,'[1]Build Detail'!$T$4:$T$521)</f>
        <v>#VALUE!</v>
      </c>
      <c r="K181" s="53">
        <v>3023203.24</v>
      </c>
      <c r="L181" s="37">
        <f t="shared" si="20"/>
        <v>85256.83</v>
      </c>
      <c r="M181" s="37">
        <v>84661.74</v>
      </c>
      <c r="N181" s="38">
        <v>76195.570000000007</v>
      </c>
      <c r="O181" s="37">
        <f t="shared" si="14"/>
        <v>9061.2599999999948</v>
      </c>
      <c r="P181" s="54" t="e">
        <f t="shared" si="15"/>
        <v>#VALUE!</v>
      </c>
      <c r="Q181" s="40">
        <f t="shared" si="16"/>
        <v>0.106281924861621</v>
      </c>
      <c r="R181" s="37">
        <f t="shared" si="17"/>
        <v>595.08999999999651</v>
      </c>
      <c r="S181" s="41">
        <f t="shared" si="18"/>
        <v>7.0290310593663259E-3</v>
      </c>
      <c r="T181" s="37" t="e">
        <f>SUMIF('[1]JOBS MAR 15'!$E$8:$E$525,$E$16:$E$533,'[1]JOBS MAR 15'!$G$8:$G$525)</f>
        <v>#VALUE!</v>
      </c>
      <c r="U181" s="37" t="e">
        <f>SUMIF('[1]JOBS MAR 15'!$E$8:$E$525,$E$16:$E$533,'[1]JOBS MAR 15'!$H$8:$H$525)</f>
        <v>#VALUE!</v>
      </c>
      <c r="V181" s="37" t="e">
        <f>SUMIF('[1]JOBS MAR 15'!$E$8:$E$525,$E$16:$E$533,'[1]JOBS MAR 15'!$I$8:$I$525)</f>
        <v>#VALUE!</v>
      </c>
      <c r="W181" s="55" t="str">
        <f t="shared" si="19"/>
        <v xml:space="preserve"> </v>
      </c>
    </row>
    <row r="182" spans="2:23" x14ac:dyDescent="0.2">
      <c r="B182">
        <v>544</v>
      </c>
      <c r="C182">
        <v>1</v>
      </c>
      <c r="D182" s="2" t="s">
        <v>411</v>
      </c>
      <c r="E182" s="50" t="s">
        <v>412</v>
      </c>
      <c r="F182" s="50">
        <v>2711880</v>
      </c>
      <c r="G182" s="50">
        <v>7</v>
      </c>
      <c r="H182" s="52" t="e">
        <f>SUMIF('[1]Build Detail'!$D$4:$D$521,$B$16:$B$533,'[1]Build Detail'!$H$4:$H$521)</f>
        <v>#VALUE!</v>
      </c>
      <c r="I182" s="52" t="e">
        <f>SUMIF('[1]Build Detail'!$D$4:$D$521,$B$16:$B$533,'[1]Build Detail'!$Q$4:$Q$521)</f>
        <v>#VALUE!</v>
      </c>
      <c r="J182" s="52" t="e">
        <f>SUMIF('[1]Build Detail'!$D$4:$D$521,$B$16:$B$533,'[1]Build Detail'!$T$4:$T$521)</f>
        <v>#VALUE!</v>
      </c>
      <c r="K182" s="53">
        <v>16951262.91</v>
      </c>
      <c r="L182" s="37">
        <f t="shared" si="20"/>
        <v>478039.63</v>
      </c>
      <c r="M182" s="37">
        <v>472464.04</v>
      </c>
      <c r="N182" s="38">
        <v>425217.64</v>
      </c>
      <c r="O182" s="37">
        <f t="shared" si="14"/>
        <v>52821.989999999991</v>
      </c>
      <c r="P182" s="54" t="e">
        <f t="shared" si="15"/>
        <v>#VALUE!</v>
      </c>
      <c r="Q182" s="40">
        <f t="shared" si="16"/>
        <v>0.1104970941425923</v>
      </c>
      <c r="R182" s="37">
        <f t="shared" si="17"/>
        <v>5575.5900000000256</v>
      </c>
      <c r="S182" s="41">
        <f t="shared" si="18"/>
        <v>1.1801088607717163E-2</v>
      </c>
      <c r="T182" s="37" t="e">
        <f>SUMIF('[1]JOBS MAR 15'!$E$8:$E$525,$E$16:$E$533,'[1]JOBS MAR 15'!$G$8:$G$525)</f>
        <v>#VALUE!</v>
      </c>
      <c r="U182" s="37" t="e">
        <f>SUMIF('[1]JOBS MAR 15'!$E$8:$E$525,$E$16:$E$533,'[1]JOBS MAR 15'!$H$8:$H$525)</f>
        <v>#VALUE!</v>
      </c>
      <c r="V182" s="37" t="e">
        <f>SUMIF('[1]JOBS MAR 15'!$E$8:$E$525,$E$16:$E$533,'[1]JOBS MAR 15'!$I$8:$I$525)</f>
        <v>#VALUE!</v>
      </c>
      <c r="W182" s="55" t="str">
        <f t="shared" si="19"/>
        <v xml:space="preserve"> </v>
      </c>
    </row>
    <row r="183" spans="2:23" x14ac:dyDescent="0.2">
      <c r="B183">
        <v>545</v>
      </c>
      <c r="C183">
        <v>1</v>
      </c>
      <c r="D183" s="2" t="s">
        <v>413</v>
      </c>
      <c r="E183" s="50" t="s">
        <v>414</v>
      </c>
      <c r="F183" s="50">
        <v>2713860</v>
      </c>
      <c r="G183" s="50">
        <v>7</v>
      </c>
      <c r="H183" s="52" t="e">
        <f>SUMIF('[1]Build Detail'!$D$4:$D$521,$B$16:$B$533,'[1]Build Detail'!$H$4:$H$521)</f>
        <v>#VALUE!</v>
      </c>
      <c r="I183" s="52" t="e">
        <f>SUMIF('[1]Build Detail'!$D$4:$D$521,$B$16:$B$533,'[1]Build Detail'!$Q$4:$Q$521)</f>
        <v>#VALUE!</v>
      </c>
      <c r="J183" s="52" t="e">
        <f>SUMIF('[1]Build Detail'!$D$4:$D$521,$B$16:$B$533,'[1]Build Detail'!$T$4:$T$521)</f>
        <v>#VALUE!</v>
      </c>
      <c r="K183" s="53">
        <v>2432950.33</v>
      </c>
      <c r="L183" s="37">
        <f t="shared" si="20"/>
        <v>68611.210000000006</v>
      </c>
      <c r="M183" s="37">
        <v>68596.22</v>
      </c>
      <c r="N183" s="38">
        <v>61736.6</v>
      </c>
      <c r="O183" s="37">
        <f t="shared" si="14"/>
        <v>6874.6100000000079</v>
      </c>
      <c r="P183" s="54" t="e">
        <f t="shared" si="15"/>
        <v>#VALUE!</v>
      </c>
      <c r="Q183" s="40">
        <f t="shared" si="16"/>
        <v>0.10019660052635725</v>
      </c>
      <c r="R183" s="37">
        <f t="shared" si="17"/>
        <v>14.990000000005239</v>
      </c>
      <c r="S183" s="41">
        <f t="shared" si="18"/>
        <v>2.1852516071592921E-4</v>
      </c>
      <c r="T183" s="37" t="e">
        <f>SUMIF('[1]JOBS MAR 15'!$E$8:$E$525,$E$16:$E$533,'[1]JOBS MAR 15'!$G$8:$G$525)</f>
        <v>#VALUE!</v>
      </c>
      <c r="U183" s="37" t="e">
        <f>SUMIF('[1]JOBS MAR 15'!$E$8:$E$525,$E$16:$E$533,'[1]JOBS MAR 15'!$H$8:$H$525)</f>
        <v>#VALUE!</v>
      </c>
      <c r="V183" s="37" t="e">
        <f>SUMIF('[1]JOBS MAR 15'!$E$8:$E$525,$E$16:$E$533,'[1]JOBS MAR 15'!$I$8:$I$525)</f>
        <v>#VALUE!</v>
      </c>
      <c r="W183" s="55" t="str">
        <f t="shared" si="19"/>
        <v xml:space="preserve"> </v>
      </c>
    </row>
    <row r="184" spans="2:23" x14ac:dyDescent="0.2">
      <c r="B184">
        <v>547</v>
      </c>
      <c r="C184">
        <v>1</v>
      </c>
      <c r="D184" s="2" t="s">
        <v>415</v>
      </c>
      <c r="E184" s="50" t="s">
        <v>416</v>
      </c>
      <c r="F184" s="50">
        <v>2728110</v>
      </c>
      <c r="G184" s="50">
        <v>7</v>
      </c>
      <c r="H184" s="52" t="e">
        <f>SUMIF('[1]Build Detail'!$D$4:$D$521,$B$16:$B$533,'[1]Build Detail'!$H$4:$H$521)</f>
        <v>#VALUE!</v>
      </c>
      <c r="I184" s="52" t="e">
        <f>SUMIF('[1]Build Detail'!$D$4:$D$521,$B$16:$B$533,'[1]Build Detail'!$Q$4:$Q$521)</f>
        <v>#VALUE!</v>
      </c>
      <c r="J184" s="52" t="e">
        <f>SUMIF('[1]Build Detail'!$D$4:$D$521,$B$16:$B$533,'[1]Build Detail'!$T$4:$T$521)</f>
        <v>#VALUE!</v>
      </c>
      <c r="K184" s="53">
        <v>3932907.2499999995</v>
      </c>
      <c r="L184" s="37">
        <f t="shared" si="20"/>
        <v>110911.24</v>
      </c>
      <c r="M184" s="37">
        <v>109804.05</v>
      </c>
      <c r="N184" s="38">
        <v>98823.65</v>
      </c>
      <c r="O184" s="37">
        <f t="shared" si="14"/>
        <v>12087.590000000011</v>
      </c>
      <c r="P184" s="54" t="e">
        <f t="shared" si="15"/>
        <v>#VALUE!</v>
      </c>
      <c r="Q184" s="40">
        <f t="shared" si="16"/>
        <v>0.10898435541790003</v>
      </c>
      <c r="R184" s="37">
        <f t="shared" si="17"/>
        <v>1107.1900000000023</v>
      </c>
      <c r="S184" s="41">
        <f t="shared" si="18"/>
        <v>1.0083325706110133E-2</v>
      </c>
      <c r="T184" s="37" t="e">
        <f>SUMIF('[1]JOBS MAR 15'!$E$8:$E$525,$E$16:$E$533,'[1]JOBS MAR 15'!$G$8:$G$525)</f>
        <v>#VALUE!</v>
      </c>
      <c r="U184" s="37" t="e">
        <f>SUMIF('[1]JOBS MAR 15'!$E$8:$E$525,$E$16:$E$533,'[1]JOBS MAR 15'!$H$8:$H$525)</f>
        <v>#VALUE!</v>
      </c>
      <c r="V184" s="37" t="e">
        <f>SUMIF('[1]JOBS MAR 15'!$E$8:$E$525,$E$16:$E$533,'[1]JOBS MAR 15'!$I$8:$I$525)</f>
        <v>#VALUE!</v>
      </c>
      <c r="W184" s="55" t="str">
        <f t="shared" si="19"/>
        <v xml:space="preserve"> </v>
      </c>
    </row>
    <row r="185" spans="2:23" x14ac:dyDescent="0.2">
      <c r="B185">
        <v>548</v>
      </c>
      <c r="C185">
        <v>1</v>
      </c>
      <c r="D185" s="2" t="s">
        <v>417</v>
      </c>
      <c r="E185" s="50" t="s">
        <v>418</v>
      </c>
      <c r="F185" s="50">
        <v>2728170</v>
      </c>
      <c r="G185" s="50">
        <v>7</v>
      </c>
      <c r="H185" s="52" t="e">
        <f>SUMIF('[1]Build Detail'!$D$4:$D$521,$B$16:$B$533,'[1]Build Detail'!$H$4:$H$521)</f>
        <v>#VALUE!</v>
      </c>
      <c r="I185" s="52" t="e">
        <f>SUMIF('[1]Build Detail'!$D$4:$D$521,$B$16:$B$533,'[1]Build Detail'!$Q$4:$Q$521)</f>
        <v>#VALUE!</v>
      </c>
      <c r="J185" s="52" t="e">
        <f>SUMIF('[1]Build Detail'!$D$4:$D$521,$B$16:$B$533,'[1]Build Detail'!$T$4:$T$521)</f>
        <v>#VALUE!</v>
      </c>
      <c r="K185" s="53">
        <v>6396781.7700000005</v>
      </c>
      <c r="L185" s="37">
        <f t="shared" si="20"/>
        <v>180394.54</v>
      </c>
      <c r="M185" s="37">
        <v>178762.99</v>
      </c>
      <c r="N185" s="38">
        <v>160886.69</v>
      </c>
      <c r="O185" s="37">
        <f t="shared" si="14"/>
        <v>19507.850000000006</v>
      </c>
      <c r="P185" s="54" t="e">
        <f t="shared" si="15"/>
        <v>#VALUE!</v>
      </c>
      <c r="Q185" s="40">
        <f t="shared" si="16"/>
        <v>0.10813991376900878</v>
      </c>
      <c r="R185" s="37">
        <f t="shared" si="17"/>
        <v>1631.5500000000175</v>
      </c>
      <c r="S185" s="41">
        <f t="shared" si="18"/>
        <v>9.12688918438888E-3</v>
      </c>
      <c r="T185" s="37" t="e">
        <f>SUMIF('[1]JOBS MAR 15'!$E$8:$E$525,$E$16:$E$533,'[1]JOBS MAR 15'!$G$8:$G$525)</f>
        <v>#VALUE!</v>
      </c>
      <c r="U185" s="37" t="e">
        <f>SUMIF('[1]JOBS MAR 15'!$E$8:$E$525,$E$16:$E$533,'[1]JOBS MAR 15'!$H$8:$H$525)</f>
        <v>#VALUE!</v>
      </c>
      <c r="V185" s="37" t="e">
        <f>SUMIF('[1]JOBS MAR 15'!$E$8:$E$525,$E$16:$E$533,'[1]JOBS MAR 15'!$I$8:$I$525)</f>
        <v>#VALUE!</v>
      </c>
      <c r="W185" s="55" t="str">
        <f t="shared" si="19"/>
        <v xml:space="preserve"> </v>
      </c>
    </row>
    <row r="186" spans="2:23" x14ac:dyDescent="0.2">
      <c r="B186">
        <v>549</v>
      </c>
      <c r="C186">
        <v>1</v>
      </c>
      <c r="D186" s="2" t="s">
        <v>419</v>
      </c>
      <c r="E186" s="50" t="s">
        <v>420</v>
      </c>
      <c r="F186" s="50">
        <v>2728230</v>
      </c>
      <c r="G186" s="50">
        <v>7</v>
      </c>
      <c r="H186" s="52" t="e">
        <f>SUMIF('[1]Build Detail'!$D$4:$D$521,$B$16:$B$533,'[1]Build Detail'!$H$4:$H$521)</f>
        <v>#VALUE!</v>
      </c>
      <c r="I186" s="52" t="e">
        <f>SUMIF('[1]Build Detail'!$D$4:$D$521,$B$16:$B$533,'[1]Build Detail'!$Q$4:$Q$521)</f>
        <v>#VALUE!</v>
      </c>
      <c r="J186" s="52" t="e">
        <f>SUMIF('[1]Build Detail'!$D$4:$D$521,$B$16:$B$533,'[1]Build Detail'!$T$4:$T$521)</f>
        <v>#VALUE!</v>
      </c>
      <c r="K186" s="53">
        <v>10339178.300000001</v>
      </c>
      <c r="L186" s="37">
        <f t="shared" si="20"/>
        <v>291573.38</v>
      </c>
      <c r="M186" s="37">
        <v>291971.87</v>
      </c>
      <c r="N186" s="38">
        <v>262774.68</v>
      </c>
      <c r="O186" s="37">
        <f t="shared" si="14"/>
        <v>28798.700000000012</v>
      </c>
      <c r="P186" s="54" t="e">
        <f t="shared" si="15"/>
        <v>#VALUE!</v>
      </c>
      <c r="Q186" s="40">
        <f t="shared" si="16"/>
        <v>9.876999059379156E-2</v>
      </c>
      <c r="R186" s="37">
        <f t="shared" si="17"/>
        <v>-398.48999999999069</v>
      </c>
      <c r="S186" s="41">
        <f t="shared" si="18"/>
        <v>-1.3648232619121517E-3</v>
      </c>
      <c r="T186" s="37" t="e">
        <f>SUMIF('[1]JOBS MAR 15'!$E$8:$E$525,$E$16:$E$533,'[1]JOBS MAR 15'!$G$8:$G$525)</f>
        <v>#VALUE!</v>
      </c>
      <c r="U186" s="37" t="e">
        <f>SUMIF('[1]JOBS MAR 15'!$E$8:$E$525,$E$16:$E$533,'[1]JOBS MAR 15'!$H$8:$H$525)</f>
        <v>#VALUE!</v>
      </c>
      <c r="V186" s="37" t="e">
        <f>SUMIF('[1]JOBS MAR 15'!$E$8:$E$525,$E$16:$E$533,'[1]JOBS MAR 15'!$I$8:$I$525)</f>
        <v>#VALUE!</v>
      </c>
      <c r="W186" s="55" t="str">
        <f t="shared" si="19"/>
        <v xml:space="preserve"> </v>
      </c>
    </row>
    <row r="187" spans="2:23" x14ac:dyDescent="0.2">
      <c r="B187">
        <v>550</v>
      </c>
      <c r="C187">
        <v>1</v>
      </c>
      <c r="D187" s="2" t="s">
        <v>421</v>
      </c>
      <c r="E187" s="50" t="s">
        <v>422</v>
      </c>
      <c r="F187" s="50">
        <v>2740830</v>
      </c>
      <c r="G187" s="50">
        <v>7</v>
      </c>
      <c r="H187" s="52" t="e">
        <f>SUMIF('[1]Build Detail'!$D$4:$D$521,$B$16:$B$533,'[1]Build Detail'!$H$4:$H$521)</f>
        <v>#VALUE!</v>
      </c>
      <c r="I187" s="52" t="e">
        <f>SUMIF('[1]Build Detail'!$D$4:$D$521,$B$16:$B$533,'[1]Build Detail'!$Q$4:$Q$521)</f>
        <v>#VALUE!</v>
      </c>
      <c r="J187" s="52" t="e">
        <f>SUMIF('[1]Build Detail'!$D$4:$D$521,$B$16:$B$533,'[1]Build Detail'!$T$4:$T$521)</f>
        <v>#VALUE!</v>
      </c>
      <c r="K187" s="53">
        <v>4145610.04</v>
      </c>
      <c r="L187" s="37">
        <f t="shared" si="20"/>
        <v>116909.63</v>
      </c>
      <c r="M187" s="37">
        <v>115692.98</v>
      </c>
      <c r="N187" s="38">
        <v>104123.68</v>
      </c>
      <c r="O187" s="37">
        <f t="shared" si="14"/>
        <v>12785.950000000012</v>
      </c>
      <c r="P187" s="54" t="e">
        <f t="shared" si="15"/>
        <v>#VALUE!</v>
      </c>
      <c r="Q187" s="40">
        <f t="shared" si="16"/>
        <v>0.10936609755757512</v>
      </c>
      <c r="R187" s="37">
        <f t="shared" si="17"/>
        <v>1216.6500000000087</v>
      </c>
      <c r="S187" s="41">
        <f t="shared" si="18"/>
        <v>1.0516195537533987E-2</v>
      </c>
      <c r="T187" s="37" t="e">
        <f>SUMIF('[1]JOBS MAR 15'!$E$8:$E$525,$E$16:$E$533,'[1]JOBS MAR 15'!$G$8:$G$525)</f>
        <v>#VALUE!</v>
      </c>
      <c r="U187" s="37" t="e">
        <f>SUMIF('[1]JOBS MAR 15'!$E$8:$E$525,$E$16:$E$533,'[1]JOBS MAR 15'!$H$8:$H$525)</f>
        <v>#VALUE!</v>
      </c>
      <c r="V187" s="37" t="e">
        <f>SUMIF('[1]JOBS MAR 15'!$E$8:$E$525,$E$16:$E$533,'[1]JOBS MAR 15'!$I$8:$I$525)</f>
        <v>#VALUE!</v>
      </c>
      <c r="W187" s="55" t="str">
        <f t="shared" si="19"/>
        <v xml:space="preserve"> </v>
      </c>
    </row>
    <row r="188" spans="2:23" x14ac:dyDescent="0.2">
      <c r="B188">
        <v>553</v>
      </c>
      <c r="C188">
        <v>1</v>
      </c>
      <c r="D188" s="2" t="s">
        <v>423</v>
      </c>
      <c r="E188" s="50" t="s">
        <v>424</v>
      </c>
      <c r="F188" s="50">
        <v>2723520</v>
      </c>
      <c r="G188" s="50">
        <v>7</v>
      </c>
      <c r="H188" s="52" t="e">
        <f>SUMIF('[1]Build Detail'!$D$4:$D$521,$B$16:$B$533,'[1]Build Detail'!$H$4:$H$521)</f>
        <v>#VALUE!</v>
      </c>
      <c r="I188" s="52" t="e">
        <f>SUMIF('[1]Build Detail'!$D$4:$D$521,$B$16:$B$533,'[1]Build Detail'!$Q$4:$Q$521)</f>
        <v>#VALUE!</v>
      </c>
      <c r="J188" s="52" t="e">
        <f>SUMIF('[1]Build Detail'!$D$4:$D$521,$B$16:$B$533,'[1]Build Detail'!$T$4:$T$521)</f>
        <v>#VALUE!</v>
      </c>
      <c r="K188" s="53">
        <v>5177768.5999999996</v>
      </c>
      <c r="L188" s="37">
        <f t="shared" si="20"/>
        <v>146017.35999999999</v>
      </c>
      <c r="M188" s="37">
        <v>143409.78</v>
      </c>
      <c r="N188" s="38">
        <v>129068.8</v>
      </c>
      <c r="O188" s="37">
        <f t="shared" si="14"/>
        <v>16948.559999999983</v>
      </c>
      <c r="P188" s="54" t="e">
        <f t="shared" si="15"/>
        <v>#VALUE!</v>
      </c>
      <c r="Q188" s="40">
        <f t="shared" si="16"/>
        <v>0.11607222593258763</v>
      </c>
      <c r="R188" s="37">
        <f t="shared" si="17"/>
        <v>2607.5799999999872</v>
      </c>
      <c r="S188" s="41">
        <f t="shared" si="18"/>
        <v>1.8182720871616896E-2</v>
      </c>
      <c r="T188" s="37" t="e">
        <f>SUMIF('[1]JOBS MAR 15'!$E$8:$E$525,$E$16:$E$533,'[1]JOBS MAR 15'!$G$8:$G$525)</f>
        <v>#VALUE!</v>
      </c>
      <c r="U188" s="37" t="e">
        <f>SUMIF('[1]JOBS MAR 15'!$E$8:$E$525,$E$16:$E$533,'[1]JOBS MAR 15'!$H$8:$H$525)</f>
        <v>#VALUE!</v>
      </c>
      <c r="V188" s="37" t="e">
        <f>SUMIF('[1]JOBS MAR 15'!$E$8:$E$525,$E$16:$E$533,'[1]JOBS MAR 15'!$I$8:$I$525)</f>
        <v>#VALUE!</v>
      </c>
      <c r="W188" s="55" t="str">
        <f t="shared" si="19"/>
        <v xml:space="preserve"> </v>
      </c>
    </row>
    <row r="189" spans="2:23" x14ac:dyDescent="0.2">
      <c r="B189">
        <v>561</v>
      </c>
      <c r="C189">
        <v>1</v>
      </c>
      <c r="D189" s="2" t="s">
        <v>425</v>
      </c>
      <c r="E189" s="50" t="s">
        <v>426</v>
      </c>
      <c r="F189" s="50">
        <v>2713020</v>
      </c>
      <c r="G189" s="50">
        <v>7</v>
      </c>
      <c r="H189" s="52" t="e">
        <f>SUMIF('[1]Build Detail'!$D$4:$D$521,$B$16:$B$533,'[1]Build Detail'!$H$4:$H$521)</f>
        <v>#VALUE!</v>
      </c>
      <c r="I189" s="52" t="e">
        <f>SUMIF('[1]Build Detail'!$D$4:$D$521,$B$16:$B$533,'[1]Build Detail'!$Q$4:$Q$521)</f>
        <v>#VALUE!</v>
      </c>
      <c r="J189" s="52" t="e">
        <f>SUMIF('[1]Build Detail'!$D$4:$D$521,$B$16:$B$533,'[1]Build Detail'!$T$4:$T$521)</f>
        <v>#VALUE!</v>
      </c>
      <c r="K189" s="53">
        <v>2103654.31</v>
      </c>
      <c r="L189" s="37">
        <f t="shared" si="20"/>
        <v>59324.79</v>
      </c>
      <c r="M189" s="37">
        <v>58763.3</v>
      </c>
      <c r="N189" s="38">
        <v>52886.97</v>
      </c>
      <c r="O189" s="37">
        <f t="shared" si="14"/>
        <v>6437.82</v>
      </c>
      <c r="P189" s="54" t="e">
        <f t="shared" si="15"/>
        <v>#VALUE!</v>
      </c>
      <c r="Q189" s="40">
        <f t="shared" si="16"/>
        <v>0.10851820967255003</v>
      </c>
      <c r="R189" s="37">
        <f t="shared" si="17"/>
        <v>561.48999999999796</v>
      </c>
      <c r="S189" s="41">
        <f t="shared" si="18"/>
        <v>9.5551134806928471E-3</v>
      </c>
      <c r="T189" s="37" t="e">
        <f>SUMIF('[1]JOBS MAR 15'!$E$8:$E$525,$E$16:$E$533,'[1]JOBS MAR 15'!$G$8:$G$525)</f>
        <v>#VALUE!</v>
      </c>
      <c r="U189" s="37" t="e">
        <f>SUMIF('[1]JOBS MAR 15'!$E$8:$E$525,$E$16:$E$533,'[1]JOBS MAR 15'!$H$8:$H$525)</f>
        <v>#VALUE!</v>
      </c>
      <c r="V189" s="37" t="e">
        <f>SUMIF('[1]JOBS MAR 15'!$E$8:$E$525,$E$16:$E$533,'[1]JOBS MAR 15'!$I$8:$I$525)</f>
        <v>#VALUE!</v>
      </c>
      <c r="W189" s="55" t="str">
        <f t="shared" si="19"/>
        <v xml:space="preserve"> </v>
      </c>
    </row>
    <row r="190" spans="2:23" x14ac:dyDescent="0.2">
      <c r="B190">
        <v>564</v>
      </c>
      <c r="C190">
        <v>1</v>
      </c>
      <c r="D190" s="2" t="s">
        <v>427</v>
      </c>
      <c r="E190" s="50" t="s">
        <v>428</v>
      </c>
      <c r="F190" s="50">
        <v>2738850</v>
      </c>
      <c r="G190" s="50">
        <v>7</v>
      </c>
      <c r="H190" s="52" t="e">
        <f>SUMIF('[1]Build Detail'!$D$4:$D$521,$B$16:$B$533,'[1]Build Detail'!$H$4:$H$521)</f>
        <v>#VALUE!</v>
      </c>
      <c r="I190" s="52" t="e">
        <f>SUMIF('[1]Build Detail'!$D$4:$D$521,$B$16:$B$533,'[1]Build Detail'!$Q$4:$Q$521)</f>
        <v>#VALUE!</v>
      </c>
      <c r="J190" s="52" t="e">
        <f>SUMIF('[1]Build Detail'!$D$4:$D$521,$B$16:$B$533,'[1]Build Detail'!$T$4:$T$521)</f>
        <v>#VALUE!</v>
      </c>
      <c r="K190" s="53">
        <v>14569861.76</v>
      </c>
      <c r="L190" s="37">
        <f t="shared" si="20"/>
        <v>410882.15</v>
      </c>
      <c r="M190" s="37">
        <v>410118.62</v>
      </c>
      <c r="N190" s="38">
        <v>369106.76</v>
      </c>
      <c r="O190" s="37">
        <f t="shared" si="14"/>
        <v>41775.390000000014</v>
      </c>
      <c r="P190" s="54" t="e">
        <f t="shared" si="15"/>
        <v>#VALUE!</v>
      </c>
      <c r="Q190" s="40">
        <f t="shared" si="16"/>
        <v>0.10167243819182706</v>
      </c>
      <c r="R190" s="37">
        <f t="shared" si="17"/>
        <v>763.53000000002794</v>
      </c>
      <c r="S190" s="41">
        <f t="shared" si="18"/>
        <v>1.8617296625060035E-3</v>
      </c>
      <c r="T190" s="37" t="e">
        <f>SUMIF('[1]JOBS MAR 15'!$E$8:$E$525,$E$16:$E$533,'[1]JOBS MAR 15'!$G$8:$G$525)</f>
        <v>#VALUE!</v>
      </c>
      <c r="U190" s="37" t="e">
        <f>SUMIF('[1]JOBS MAR 15'!$E$8:$E$525,$E$16:$E$533,'[1]JOBS MAR 15'!$H$8:$H$525)</f>
        <v>#VALUE!</v>
      </c>
      <c r="V190" s="37" t="e">
        <f>SUMIF('[1]JOBS MAR 15'!$E$8:$E$525,$E$16:$E$533,'[1]JOBS MAR 15'!$I$8:$I$525)</f>
        <v>#VALUE!</v>
      </c>
      <c r="W190" s="55" t="str">
        <f t="shared" si="19"/>
        <v xml:space="preserve"> </v>
      </c>
    </row>
    <row r="191" spans="2:23" x14ac:dyDescent="0.2">
      <c r="B191">
        <v>577</v>
      </c>
      <c r="C191">
        <v>1</v>
      </c>
      <c r="D191" s="2" t="s">
        <v>429</v>
      </c>
      <c r="E191" s="50" t="s">
        <v>430</v>
      </c>
      <c r="F191" s="50">
        <v>2742750</v>
      </c>
      <c r="G191" s="50">
        <v>8</v>
      </c>
      <c r="H191" s="52" t="e">
        <f>SUMIF('[1]Build Detail'!$D$4:$D$521,$B$16:$B$533,'[1]Build Detail'!$H$4:$H$521)</f>
        <v>#VALUE!</v>
      </c>
      <c r="I191" s="52" t="e">
        <f>SUMIF('[1]Build Detail'!$D$4:$D$521,$B$16:$B$533,'[1]Build Detail'!$Q$4:$Q$521)</f>
        <v>#VALUE!</v>
      </c>
      <c r="J191" s="52" t="e">
        <f>SUMIF('[1]Build Detail'!$D$4:$D$521,$B$16:$B$533,'[1]Build Detail'!$T$4:$T$521)</f>
        <v>#VALUE!</v>
      </c>
      <c r="K191" s="53">
        <v>3249419.93</v>
      </c>
      <c r="L191" s="37">
        <f t="shared" si="20"/>
        <v>91636.33</v>
      </c>
      <c r="M191" s="37">
        <v>90514.17</v>
      </c>
      <c r="N191" s="38">
        <v>81462.75</v>
      </c>
      <c r="O191" s="37">
        <f t="shared" si="14"/>
        <v>10173.580000000002</v>
      </c>
      <c r="P191" s="54" t="e">
        <f t="shared" si="15"/>
        <v>#VALUE!</v>
      </c>
      <c r="Q191" s="40">
        <f t="shared" si="16"/>
        <v>0.11102125106930845</v>
      </c>
      <c r="R191" s="37">
        <f t="shared" si="17"/>
        <v>1122.1600000000035</v>
      </c>
      <c r="S191" s="41">
        <f t="shared" si="18"/>
        <v>1.2397616859327148E-2</v>
      </c>
      <c r="T191" s="37" t="e">
        <f>SUMIF('[1]JOBS MAR 15'!$E$8:$E$525,$E$16:$E$533,'[1]JOBS MAR 15'!$G$8:$G$525)</f>
        <v>#VALUE!</v>
      </c>
      <c r="U191" s="37" t="e">
        <f>SUMIF('[1]JOBS MAR 15'!$E$8:$E$525,$E$16:$E$533,'[1]JOBS MAR 15'!$H$8:$H$525)</f>
        <v>#VALUE!</v>
      </c>
      <c r="V191" s="37" t="e">
        <f>SUMIF('[1]JOBS MAR 15'!$E$8:$E$525,$E$16:$E$533,'[1]JOBS MAR 15'!$I$8:$I$525)</f>
        <v>#VALUE!</v>
      </c>
      <c r="W191" s="55" t="str">
        <f t="shared" si="19"/>
        <v xml:space="preserve"> </v>
      </c>
    </row>
    <row r="192" spans="2:23" x14ac:dyDescent="0.2">
      <c r="B192">
        <v>578</v>
      </c>
      <c r="C192">
        <v>1</v>
      </c>
      <c r="D192" s="2" t="s">
        <v>431</v>
      </c>
      <c r="E192" s="50" t="s">
        <v>432</v>
      </c>
      <c r="F192" s="50">
        <v>2728380</v>
      </c>
      <c r="G192" s="50">
        <v>8</v>
      </c>
      <c r="H192" s="52" t="e">
        <f>SUMIF('[1]Build Detail'!$D$4:$D$521,$B$16:$B$533,'[1]Build Detail'!$H$4:$H$521)</f>
        <v>#VALUE!</v>
      </c>
      <c r="I192" s="52" t="e">
        <f>SUMIF('[1]Build Detail'!$D$4:$D$521,$B$16:$B$533,'[1]Build Detail'!$Q$4:$Q$521)</f>
        <v>#VALUE!</v>
      </c>
      <c r="J192" s="52" t="e">
        <f>SUMIF('[1]Build Detail'!$D$4:$D$521,$B$16:$B$533,'[1]Build Detail'!$T$4:$T$521)</f>
        <v>#VALUE!</v>
      </c>
      <c r="K192" s="53">
        <v>11626781.77</v>
      </c>
      <c r="L192" s="37">
        <f t="shared" si="20"/>
        <v>327884.86</v>
      </c>
      <c r="M192" s="37">
        <v>327065.52</v>
      </c>
      <c r="N192" s="38">
        <v>294358.96999999997</v>
      </c>
      <c r="O192" s="37">
        <f t="shared" si="14"/>
        <v>33525.890000000014</v>
      </c>
      <c r="P192" s="54" t="e">
        <f t="shared" si="15"/>
        <v>#VALUE!</v>
      </c>
      <c r="Q192" s="40">
        <f t="shared" si="16"/>
        <v>0.10224897239842064</v>
      </c>
      <c r="R192" s="37">
        <f t="shared" si="17"/>
        <v>819.3399999999674</v>
      </c>
      <c r="S192" s="41">
        <f t="shared" si="18"/>
        <v>2.5051249670095684E-3</v>
      </c>
      <c r="T192" s="37" t="e">
        <f>SUMIF('[1]JOBS MAR 15'!$E$8:$E$525,$E$16:$E$533,'[1]JOBS MAR 15'!$G$8:$G$525)</f>
        <v>#VALUE!</v>
      </c>
      <c r="U192" s="37" t="e">
        <f>SUMIF('[1]JOBS MAR 15'!$E$8:$E$525,$E$16:$E$533,'[1]JOBS MAR 15'!$H$8:$H$525)</f>
        <v>#VALUE!</v>
      </c>
      <c r="V192" s="37" t="e">
        <f>SUMIF('[1]JOBS MAR 15'!$E$8:$E$525,$E$16:$E$533,'[1]JOBS MAR 15'!$I$8:$I$525)</f>
        <v>#VALUE!</v>
      </c>
      <c r="W192" s="55" t="str">
        <f t="shared" si="19"/>
        <v xml:space="preserve"> </v>
      </c>
    </row>
    <row r="193" spans="2:23" x14ac:dyDescent="0.2">
      <c r="B193">
        <v>581</v>
      </c>
      <c r="C193">
        <v>1</v>
      </c>
      <c r="D193" s="2" t="s">
        <v>433</v>
      </c>
      <c r="E193" s="50" t="s">
        <v>434</v>
      </c>
      <c r="F193" s="50">
        <v>2711220</v>
      </c>
      <c r="G193" s="50">
        <v>1</v>
      </c>
      <c r="H193" s="52" t="e">
        <f>SUMIF('[1]Build Detail'!$D$4:$D$521,$B$16:$B$533,'[1]Build Detail'!$H$4:$H$521)</f>
        <v>#VALUE!</v>
      </c>
      <c r="I193" s="52" t="e">
        <f>SUMIF('[1]Build Detail'!$D$4:$D$521,$B$16:$B$533,'[1]Build Detail'!$Q$4:$Q$521)</f>
        <v>#VALUE!</v>
      </c>
      <c r="J193" s="52" t="e">
        <f>SUMIF('[1]Build Detail'!$D$4:$D$521,$B$16:$B$533,'[1]Build Detail'!$T$4:$T$521)</f>
        <v>#VALUE!</v>
      </c>
      <c r="K193" s="53">
        <v>2540216.5399999991</v>
      </c>
      <c r="L193" s="37">
        <f t="shared" si="20"/>
        <v>71636.210000000006</v>
      </c>
      <c r="M193" s="37">
        <v>72679.06</v>
      </c>
      <c r="N193" s="38">
        <v>65411.15</v>
      </c>
      <c r="O193" s="37">
        <f t="shared" si="14"/>
        <v>6225.0600000000049</v>
      </c>
      <c r="P193" s="54" t="e">
        <f t="shared" si="15"/>
        <v>#VALUE!</v>
      </c>
      <c r="Q193" s="40">
        <f t="shared" si="16"/>
        <v>8.6898232053314997E-2</v>
      </c>
      <c r="R193" s="37">
        <f t="shared" si="17"/>
        <v>-1042.8499999999913</v>
      </c>
      <c r="S193" s="41">
        <f t="shared" si="18"/>
        <v>-1.434869961168996E-2</v>
      </c>
      <c r="T193" s="37" t="e">
        <f>SUMIF('[1]JOBS MAR 15'!$E$8:$E$525,$E$16:$E$533,'[1]JOBS MAR 15'!$G$8:$G$525)</f>
        <v>#VALUE!</v>
      </c>
      <c r="U193" s="37" t="e">
        <f>SUMIF('[1]JOBS MAR 15'!$E$8:$E$525,$E$16:$E$533,'[1]JOBS MAR 15'!$H$8:$H$525)</f>
        <v>#VALUE!</v>
      </c>
      <c r="V193" s="37" t="e">
        <f>SUMIF('[1]JOBS MAR 15'!$E$8:$E$525,$E$16:$E$533,'[1]JOBS MAR 15'!$I$8:$I$525)</f>
        <v>#VALUE!</v>
      </c>
      <c r="W193" s="55" t="str">
        <f t="shared" si="19"/>
        <v xml:space="preserve"> </v>
      </c>
    </row>
    <row r="194" spans="2:23" x14ac:dyDescent="0.2">
      <c r="B194">
        <v>592</v>
      </c>
      <c r="C194">
        <v>1</v>
      </c>
      <c r="D194" s="2" t="s">
        <v>435</v>
      </c>
      <c r="E194" s="50" t="s">
        <v>436</v>
      </c>
      <c r="F194" s="50">
        <v>2709360</v>
      </c>
      <c r="G194" s="50">
        <v>7</v>
      </c>
      <c r="H194" s="52" t="e">
        <f>SUMIF('[1]Build Detail'!$D$4:$D$521,$B$16:$B$533,'[1]Build Detail'!$H$4:$H$521)</f>
        <v>#VALUE!</v>
      </c>
      <c r="I194" s="52" t="e">
        <f>SUMIF('[1]Build Detail'!$D$4:$D$521,$B$16:$B$533,'[1]Build Detail'!$Q$4:$Q$521)</f>
        <v>#VALUE!</v>
      </c>
      <c r="J194" s="52" t="e">
        <f>SUMIF('[1]Build Detail'!$D$4:$D$521,$B$16:$B$533,'[1]Build Detail'!$T$4:$T$521)</f>
        <v>#VALUE!</v>
      </c>
      <c r="K194" s="53">
        <v>1428909.1500000001</v>
      </c>
      <c r="L194" s="37">
        <f t="shared" si="20"/>
        <v>40296.42</v>
      </c>
      <c r="M194" s="37">
        <v>39922.910000000003</v>
      </c>
      <c r="N194" s="38">
        <v>35930.620000000003</v>
      </c>
      <c r="O194" s="37">
        <f t="shared" si="14"/>
        <v>4365.7999999999956</v>
      </c>
      <c r="P194" s="54" t="e">
        <f t="shared" si="15"/>
        <v>#VALUE!</v>
      </c>
      <c r="Q194" s="40">
        <f t="shared" si="16"/>
        <v>0.10834213064088562</v>
      </c>
      <c r="R194" s="37">
        <f t="shared" si="17"/>
        <v>373.50999999999476</v>
      </c>
      <c r="S194" s="41">
        <f t="shared" si="18"/>
        <v>9.3557809287948875E-3</v>
      </c>
      <c r="T194" s="37" t="e">
        <f>SUMIF('[1]JOBS MAR 15'!$E$8:$E$525,$E$16:$E$533,'[1]JOBS MAR 15'!$G$8:$G$525)</f>
        <v>#VALUE!</v>
      </c>
      <c r="U194" s="37" t="e">
        <f>SUMIF('[1]JOBS MAR 15'!$E$8:$E$525,$E$16:$E$533,'[1]JOBS MAR 15'!$H$8:$H$525)</f>
        <v>#VALUE!</v>
      </c>
      <c r="V194" s="37" t="e">
        <f>SUMIF('[1]JOBS MAR 15'!$E$8:$E$525,$E$16:$E$533,'[1]JOBS MAR 15'!$I$8:$I$525)</f>
        <v>#VALUE!</v>
      </c>
      <c r="W194" s="55" t="str">
        <f t="shared" si="19"/>
        <v xml:space="preserve"> </v>
      </c>
    </row>
    <row r="195" spans="2:23" x14ac:dyDescent="0.2">
      <c r="B195">
        <v>593</v>
      </c>
      <c r="C195">
        <v>1</v>
      </c>
      <c r="D195" s="2" t="s">
        <v>437</v>
      </c>
      <c r="E195" s="50" t="s">
        <v>438</v>
      </c>
      <c r="F195" s="50">
        <v>2709720</v>
      </c>
      <c r="G195" s="50">
        <v>7</v>
      </c>
      <c r="H195" s="52" t="e">
        <f>SUMIF('[1]Build Detail'!$D$4:$D$521,$B$16:$B$533,'[1]Build Detail'!$H$4:$H$521)</f>
        <v>#VALUE!</v>
      </c>
      <c r="I195" s="52" t="e">
        <f>SUMIF('[1]Build Detail'!$D$4:$D$521,$B$16:$B$533,'[1]Build Detail'!$Q$4:$Q$521)</f>
        <v>#VALUE!</v>
      </c>
      <c r="J195" s="52" t="e">
        <f>SUMIF('[1]Build Detail'!$D$4:$D$521,$B$16:$B$533,'[1]Build Detail'!$T$4:$T$521)</f>
        <v>#VALUE!</v>
      </c>
      <c r="K195" s="53">
        <v>9572235.5300000012</v>
      </c>
      <c r="L195" s="37">
        <f t="shared" si="20"/>
        <v>269944.96000000002</v>
      </c>
      <c r="M195" s="37">
        <v>273987.65000000002</v>
      </c>
      <c r="N195" s="38">
        <v>246588.89</v>
      </c>
      <c r="O195" s="37">
        <f t="shared" si="14"/>
        <v>23356.070000000007</v>
      </c>
      <c r="P195" s="54" t="e">
        <f t="shared" si="15"/>
        <v>#VALUE!</v>
      </c>
      <c r="Q195" s="40">
        <f t="shared" si="16"/>
        <v>8.652160055146059E-2</v>
      </c>
      <c r="R195" s="37">
        <f t="shared" si="17"/>
        <v>-4042.6900000000023</v>
      </c>
      <c r="S195" s="41">
        <f t="shared" si="18"/>
        <v>-1.4755008118066643E-2</v>
      </c>
      <c r="T195" s="37" t="e">
        <f>SUMIF('[1]JOBS MAR 15'!$E$8:$E$525,$E$16:$E$533,'[1]JOBS MAR 15'!$G$8:$G$525)</f>
        <v>#VALUE!</v>
      </c>
      <c r="U195" s="37" t="e">
        <f>SUMIF('[1]JOBS MAR 15'!$E$8:$E$525,$E$16:$E$533,'[1]JOBS MAR 15'!$H$8:$H$525)</f>
        <v>#VALUE!</v>
      </c>
      <c r="V195" s="37" t="e">
        <f>SUMIF('[1]JOBS MAR 15'!$E$8:$E$525,$E$16:$E$533,'[1]JOBS MAR 15'!$I$8:$I$525)</f>
        <v>#VALUE!</v>
      </c>
      <c r="W195" s="55" t="str">
        <f t="shared" si="19"/>
        <v xml:space="preserve"> </v>
      </c>
    </row>
    <row r="196" spans="2:23" x14ac:dyDescent="0.2">
      <c r="B196">
        <v>595</v>
      </c>
      <c r="C196">
        <v>1</v>
      </c>
      <c r="D196" s="2" t="s">
        <v>439</v>
      </c>
      <c r="E196" s="50" t="s">
        <v>440</v>
      </c>
      <c r="F196" s="50">
        <v>2711130</v>
      </c>
      <c r="G196" s="50">
        <v>7</v>
      </c>
      <c r="H196" s="52" t="e">
        <f>SUMIF('[1]Build Detail'!$D$4:$D$521,$B$16:$B$533,'[1]Build Detail'!$H$4:$H$521)</f>
        <v>#VALUE!</v>
      </c>
      <c r="I196" s="52" t="e">
        <f>SUMIF('[1]Build Detail'!$D$4:$D$521,$B$16:$B$533,'[1]Build Detail'!$Q$4:$Q$521)</f>
        <v>#VALUE!</v>
      </c>
      <c r="J196" s="52" t="e">
        <f>SUMIF('[1]Build Detail'!$D$4:$D$521,$B$16:$B$533,'[1]Build Detail'!$T$4:$T$521)</f>
        <v>#VALUE!</v>
      </c>
      <c r="K196" s="53">
        <v>12423416.27</v>
      </c>
      <c r="L196" s="37">
        <f t="shared" si="20"/>
        <v>350350.61</v>
      </c>
      <c r="M196" s="37">
        <v>349289.4</v>
      </c>
      <c r="N196" s="38">
        <v>314360.46000000002</v>
      </c>
      <c r="O196" s="37">
        <f t="shared" si="14"/>
        <v>35990.149999999965</v>
      </c>
      <c r="P196" s="54" t="e">
        <f t="shared" si="15"/>
        <v>#VALUE!</v>
      </c>
      <c r="Q196" s="40">
        <f t="shared" si="16"/>
        <v>0.10272609486822348</v>
      </c>
      <c r="R196" s="37">
        <f t="shared" si="17"/>
        <v>1061.2099999999627</v>
      </c>
      <c r="S196" s="41">
        <f t="shared" si="18"/>
        <v>3.038196979352831E-3</v>
      </c>
      <c r="T196" s="37" t="e">
        <f>SUMIF('[1]JOBS MAR 15'!$E$8:$E$525,$E$16:$E$533,'[1]JOBS MAR 15'!$G$8:$G$525)</f>
        <v>#VALUE!</v>
      </c>
      <c r="U196" s="37" t="e">
        <f>SUMIF('[1]JOBS MAR 15'!$E$8:$E$525,$E$16:$E$533,'[1]JOBS MAR 15'!$H$8:$H$525)</f>
        <v>#VALUE!</v>
      </c>
      <c r="V196" s="37" t="e">
        <f>SUMIF('[1]JOBS MAR 15'!$E$8:$E$525,$E$16:$E$533,'[1]JOBS MAR 15'!$I$8:$I$525)</f>
        <v>#VALUE!</v>
      </c>
      <c r="W196" s="55" t="str">
        <f t="shared" si="19"/>
        <v xml:space="preserve"> </v>
      </c>
    </row>
    <row r="197" spans="2:23" x14ac:dyDescent="0.2">
      <c r="B197">
        <v>599</v>
      </c>
      <c r="C197">
        <v>1</v>
      </c>
      <c r="D197" s="2" t="s">
        <v>441</v>
      </c>
      <c r="E197" s="50" t="s">
        <v>442</v>
      </c>
      <c r="F197" s="50">
        <v>2711910</v>
      </c>
      <c r="G197" s="50">
        <v>7</v>
      </c>
      <c r="H197" s="52" t="e">
        <f>SUMIF('[1]Build Detail'!$D$4:$D$521,$B$16:$B$533,'[1]Build Detail'!$H$4:$H$521)</f>
        <v>#VALUE!</v>
      </c>
      <c r="I197" s="52" t="e">
        <f>SUMIF('[1]Build Detail'!$D$4:$D$521,$B$16:$B$533,'[1]Build Detail'!$Q$4:$Q$521)</f>
        <v>#VALUE!</v>
      </c>
      <c r="J197" s="52" t="e">
        <f>SUMIF('[1]Build Detail'!$D$4:$D$521,$B$16:$B$533,'[1]Build Detail'!$T$4:$T$521)</f>
        <v>#VALUE!</v>
      </c>
      <c r="K197" s="53">
        <v>3752098.36</v>
      </c>
      <c r="L197" s="37">
        <f t="shared" si="20"/>
        <v>105812.28</v>
      </c>
      <c r="M197" s="37">
        <v>105680.2</v>
      </c>
      <c r="N197" s="38">
        <v>95112.18</v>
      </c>
      <c r="O197" s="37">
        <f t="shared" si="14"/>
        <v>10700.100000000006</v>
      </c>
      <c r="P197" s="54" t="e">
        <f t="shared" si="15"/>
        <v>#VALUE!</v>
      </c>
      <c r="Q197" s="40">
        <f t="shared" si="16"/>
        <v>0.10112342348166022</v>
      </c>
      <c r="R197" s="37">
        <f t="shared" si="17"/>
        <v>132.08000000000175</v>
      </c>
      <c r="S197" s="41">
        <f t="shared" si="18"/>
        <v>1.2498083841628021E-3</v>
      </c>
      <c r="T197" s="37" t="e">
        <f>SUMIF('[1]JOBS MAR 15'!$E$8:$E$525,$E$16:$E$533,'[1]JOBS MAR 15'!$G$8:$G$525)</f>
        <v>#VALUE!</v>
      </c>
      <c r="U197" s="37" t="e">
        <f>SUMIF('[1]JOBS MAR 15'!$E$8:$E$525,$E$16:$E$533,'[1]JOBS MAR 15'!$H$8:$H$525)</f>
        <v>#VALUE!</v>
      </c>
      <c r="V197" s="37" t="e">
        <f>SUMIF('[1]JOBS MAR 15'!$E$8:$E$525,$E$16:$E$533,'[1]JOBS MAR 15'!$I$8:$I$525)</f>
        <v>#VALUE!</v>
      </c>
      <c r="W197" s="55" t="str">
        <f t="shared" si="19"/>
        <v xml:space="preserve"> </v>
      </c>
    </row>
    <row r="198" spans="2:23" x14ac:dyDescent="0.2">
      <c r="B198">
        <v>600</v>
      </c>
      <c r="C198">
        <v>1</v>
      </c>
      <c r="D198" s="2" t="s">
        <v>443</v>
      </c>
      <c r="E198" s="50" t="s">
        <v>444</v>
      </c>
      <c r="F198" s="50">
        <v>2712180</v>
      </c>
      <c r="G198" s="50">
        <v>7</v>
      </c>
      <c r="H198" s="52" t="e">
        <f>SUMIF('[1]Build Detail'!$D$4:$D$521,$B$16:$B$533,'[1]Build Detail'!$H$4:$H$521)</f>
        <v>#VALUE!</v>
      </c>
      <c r="I198" s="52" t="e">
        <f>SUMIF('[1]Build Detail'!$D$4:$D$521,$B$16:$B$533,'[1]Build Detail'!$Q$4:$Q$521)</f>
        <v>#VALUE!</v>
      </c>
      <c r="J198" s="52" t="e">
        <f>SUMIF('[1]Build Detail'!$D$4:$D$521,$B$16:$B$533,'[1]Build Detail'!$T$4:$T$521)</f>
        <v>#VALUE!</v>
      </c>
      <c r="K198" s="53">
        <v>1963202.6600000001</v>
      </c>
      <c r="L198" s="37">
        <f t="shared" si="20"/>
        <v>55363.94</v>
      </c>
      <c r="M198" s="37">
        <v>54114.44</v>
      </c>
      <c r="N198" s="38">
        <v>48703</v>
      </c>
      <c r="O198" s="37">
        <f t="shared" si="14"/>
        <v>6660.9400000000023</v>
      </c>
      <c r="P198" s="54" t="e">
        <f t="shared" si="15"/>
        <v>#VALUE!</v>
      </c>
      <c r="Q198" s="40">
        <f t="shared" si="16"/>
        <v>0.12031188531741061</v>
      </c>
      <c r="R198" s="37">
        <f t="shared" si="17"/>
        <v>1249.5</v>
      </c>
      <c r="S198" s="41">
        <f t="shared" si="18"/>
        <v>2.3089955287350288E-2</v>
      </c>
      <c r="T198" s="37" t="e">
        <f>SUMIF('[1]JOBS MAR 15'!$E$8:$E$525,$E$16:$E$533,'[1]JOBS MAR 15'!$G$8:$G$525)</f>
        <v>#VALUE!</v>
      </c>
      <c r="U198" s="37" t="e">
        <f>SUMIF('[1]JOBS MAR 15'!$E$8:$E$525,$E$16:$E$533,'[1]JOBS MAR 15'!$H$8:$H$525)</f>
        <v>#VALUE!</v>
      </c>
      <c r="V198" s="37" t="e">
        <f>SUMIF('[1]JOBS MAR 15'!$E$8:$E$525,$E$16:$E$533,'[1]JOBS MAR 15'!$I$8:$I$525)</f>
        <v>#VALUE!</v>
      </c>
      <c r="W198" s="55" t="str">
        <f t="shared" si="19"/>
        <v xml:space="preserve"> </v>
      </c>
    </row>
    <row r="199" spans="2:23" x14ac:dyDescent="0.2">
      <c r="B199">
        <v>601</v>
      </c>
      <c r="C199">
        <v>1</v>
      </c>
      <c r="D199" s="2" t="s">
        <v>445</v>
      </c>
      <c r="E199" s="50" t="s">
        <v>446</v>
      </c>
      <c r="F199" s="50">
        <v>2712300</v>
      </c>
      <c r="G199" s="50">
        <v>7</v>
      </c>
      <c r="H199" s="52" t="e">
        <f>SUMIF('[1]Build Detail'!$D$4:$D$521,$B$16:$B$533,'[1]Build Detail'!$H$4:$H$521)</f>
        <v>#VALUE!</v>
      </c>
      <c r="I199" s="52" t="e">
        <f>SUMIF('[1]Build Detail'!$D$4:$D$521,$B$16:$B$533,'[1]Build Detail'!$Q$4:$Q$521)</f>
        <v>#VALUE!</v>
      </c>
      <c r="J199" s="52" t="e">
        <f>SUMIF('[1]Build Detail'!$D$4:$D$521,$B$16:$B$533,'[1]Build Detail'!$T$4:$T$521)</f>
        <v>#VALUE!</v>
      </c>
      <c r="K199" s="53">
        <v>5506185.5600000005</v>
      </c>
      <c r="L199" s="37">
        <f t="shared" si="20"/>
        <v>155278.99</v>
      </c>
      <c r="M199" s="37">
        <v>154867.07999999999</v>
      </c>
      <c r="N199" s="38">
        <v>139380.37</v>
      </c>
      <c r="O199" s="37">
        <f t="shared" si="14"/>
        <v>15898.619999999995</v>
      </c>
      <c r="P199" s="54" t="e">
        <f t="shared" si="15"/>
        <v>#VALUE!</v>
      </c>
      <c r="Q199" s="40">
        <f t="shared" si="16"/>
        <v>0.10238745112909349</v>
      </c>
      <c r="R199" s="37">
        <f t="shared" si="17"/>
        <v>411.91000000000349</v>
      </c>
      <c r="S199" s="41">
        <f t="shared" si="18"/>
        <v>2.6597647479374154E-3</v>
      </c>
      <c r="T199" s="37" t="e">
        <f>SUMIF('[1]JOBS MAR 15'!$E$8:$E$525,$E$16:$E$533,'[1]JOBS MAR 15'!$G$8:$G$525)</f>
        <v>#VALUE!</v>
      </c>
      <c r="U199" s="37" t="e">
        <f>SUMIF('[1]JOBS MAR 15'!$E$8:$E$525,$E$16:$E$533,'[1]JOBS MAR 15'!$H$8:$H$525)</f>
        <v>#VALUE!</v>
      </c>
      <c r="V199" s="37" t="e">
        <f>SUMIF('[1]JOBS MAR 15'!$E$8:$E$525,$E$16:$E$533,'[1]JOBS MAR 15'!$I$8:$I$525)</f>
        <v>#VALUE!</v>
      </c>
      <c r="W199" s="55" t="str">
        <f t="shared" si="19"/>
        <v xml:space="preserve"> </v>
      </c>
    </row>
    <row r="200" spans="2:23" x14ac:dyDescent="0.2">
      <c r="B200">
        <v>611</v>
      </c>
      <c r="C200">
        <v>1</v>
      </c>
      <c r="D200" s="2" t="s">
        <v>447</v>
      </c>
      <c r="E200" s="50" t="s">
        <v>448</v>
      </c>
      <c r="F200" s="50">
        <v>2709960</v>
      </c>
      <c r="G200" s="50">
        <v>7</v>
      </c>
      <c r="H200" s="52" t="e">
        <f>SUMIF('[1]Build Detail'!$D$4:$D$521,$B$16:$B$533,'[1]Build Detail'!$H$4:$H$521)</f>
        <v>#VALUE!</v>
      </c>
      <c r="I200" s="52" t="e">
        <f>SUMIF('[1]Build Detail'!$D$4:$D$521,$B$16:$B$533,'[1]Build Detail'!$Q$4:$Q$521)</f>
        <v>#VALUE!</v>
      </c>
      <c r="J200" s="52" t="e">
        <f>SUMIF('[1]Build Detail'!$D$4:$D$521,$B$16:$B$533,'[1]Build Detail'!$T$4:$T$521)</f>
        <v>#VALUE!</v>
      </c>
      <c r="K200" s="53">
        <v>390881.92000000004</v>
      </c>
      <c r="L200" s="37">
        <f t="shared" si="20"/>
        <v>11023.19</v>
      </c>
      <c r="M200" s="37">
        <v>10687.42</v>
      </c>
      <c r="N200" s="38">
        <v>9618.68</v>
      </c>
      <c r="O200" s="37">
        <f t="shared" si="14"/>
        <v>1404.5100000000002</v>
      </c>
      <c r="P200" s="54" t="e">
        <f t="shared" si="15"/>
        <v>#VALUE!</v>
      </c>
      <c r="Q200" s="40">
        <f t="shared" si="16"/>
        <v>0.12741411515178458</v>
      </c>
      <c r="R200" s="37">
        <f t="shared" si="17"/>
        <v>335.77000000000044</v>
      </c>
      <c r="S200" s="41">
        <f t="shared" si="18"/>
        <v>3.1417311193908393E-2</v>
      </c>
      <c r="T200" s="37" t="e">
        <f>SUMIF('[1]JOBS MAR 15'!$E$8:$E$525,$E$16:$E$533,'[1]JOBS MAR 15'!$G$8:$G$525)</f>
        <v>#VALUE!</v>
      </c>
      <c r="U200" s="37" t="e">
        <f>SUMIF('[1]JOBS MAR 15'!$E$8:$E$525,$E$16:$E$533,'[1]JOBS MAR 15'!$H$8:$H$525)</f>
        <v>#VALUE!</v>
      </c>
      <c r="V200" s="37" t="e">
        <f>SUMIF('[1]JOBS MAR 15'!$E$8:$E$525,$E$16:$E$533,'[1]JOBS MAR 15'!$I$8:$I$525)</f>
        <v>#VALUE!</v>
      </c>
      <c r="W200" s="55" t="str">
        <f t="shared" si="19"/>
        <v xml:space="preserve"> </v>
      </c>
    </row>
    <row r="201" spans="2:23" x14ac:dyDescent="0.2">
      <c r="B201">
        <v>621</v>
      </c>
      <c r="C201">
        <v>1</v>
      </c>
      <c r="D201" s="2" t="s">
        <v>449</v>
      </c>
      <c r="E201" s="50" t="s">
        <v>450</v>
      </c>
      <c r="F201" s="50">
        <v>2722950</v>
      </c>
      <c r="G201" s="50">
        <v>4</v>
      </c>
      <c r="H201" s="52" t="e">
        <f>SUMIF('[1]Build Detail'!$D$4:$D$521,$B$16:$B$533,'[1]Build Detail'!$H$4:$H$521)</f>
        <v>#VALUE!</v>
      </c>
      <c r="I201" s="52" t="e">
        <f>SUMIF('[1]Build Detail'!$D$4:$D$521,$B$16:$B$533,'[1]Build Detail'!$Q$4:$Q$521)</f>
        <v>#VALUE!</v>
      </c>
      <c r="J201" s="52" t="e">
        <f>SUMIF('[1]Build Detail'!$D$4:$D$521,$B$16:$B$533,'[1]Build Detail'!$T$4:$T$521)</f>
        <v>#VALUE!</v>
      </c>
      <c r="K201" s="53">
        <v>66885733</v>
      </c>
      <c r="L201" s="37">
        <f t="shared" si="20"/>
        <v>1886232.98</v>
      </c>
      <c r="M201" s="37">
        <v>1883153.06</v>
      </c>
      <c r="N201" s="38">
        <v>1694837.75</v>
      </c>
      <c r="O201" s="37">
        <f t="shared" si="14"/>
        <v>191395.22999999998</v>
      </c>
      <c r="P201" s="54" t="e">
        <f t="shared" si="15"/>
        <v>#VALUE!</v>
      </c>
      <c r="Q201" s="40">
        <f t="shared" si="16"/>
        <v>0.10146955971472833</v>
      </c>
      <c r="R201" s="37">
        <f t="shared" si="17"/>
        <v>3079.9199999999255</v>
      </c>
      <c r="S201" s="41">
        <f t="shared" si="18"/>
        <v>1.6355123040290339E-3</v>
      </c>
      <c r="T201" s="37" t="e">
        <f>SUMIF('[1]JOBS MAR 15'!$E$8:$E$525,$E$16:$E$533,'[1]JOBS MAR 15'!$G$8:$G$525)</f>
        <v>#VALUE!</v>
      </c>
      <c r="U201" s="37" t="e">
        <f>SUMIF('[1]JOBS MAR 15'!$E$8:$E$525,$E$16:$E$533,'[1]JOBS MAR 15'!$H$8:$H$525)</f>
        <v>#VALUE!</v>
      </c>
      <c r="V201" s="37" t="e">
        <f>SUMIF('[1]JOBS MAR 15'!$E$8:$E$525,$E$16:$E$533,'[1]JOBS MAR 15'!$I$8:$I$525)</f>
        <v>#VALUE!</v>
      </c>
      <c r="W201" s="55" t="str">
        <f t="shared" si="19"/>
        <v xml:space="preserve"> </v>
      </c>
    </row>
    <row r="202" spans="2:23" x14ac:dyDescent="0.2">
      <c r="B202">
        <v>622</v>
      </c>
      <c r="C202">
        <v>1</v>
      </c>
      <c r="D202" s="2" t="s">
        <v>451</v>
      </c>
      <c r="E202" s="50" t="s">
        <v>452</v>
      </c>
      <c r="F202" s="50">
        <v>2723850</v>
      </c>
      <c r="G202" s="50">
        <v>4</v>
      </c>
      <c r="H202" s="52" t="e">
        <f>SUMIF('[1]Build Detail'!$D$4:$D$521,$B$16:$B$533,'[1]Build Detail'!$H$4:$H$521)</f>
        <v>#VALUE!</v>
      </c>
      <c r="I202" s="52" t="e">
        <f>SUMIF('[1]Build Detail'!$D$4:$D$521,$B$16:$B$533,'[1]Build Detail'!$Q$4:$Q$521)</f>
        <v>#VALUE!</v>
      </c>
      <c r="J202" s="52" t="e">
        <f>SUMIF('[1]Build Detail'!$D$4:$D$521,$B$16:$B$533,'[1]Build Detail'!$T$4:$T$521)</f>
        <v>#VALUE!</v>
      </c>
      <c r="K202" s="53">
        <v>79464571.49000001</v>
      </c>
      <c r="L202" s="37">
        <f t="shared" si="20"/>
        <v>2240966.63</v>
      </c>
      <c r="M202" s="37">
        <v>2224736.9</v>
      </c>
      <c r="N202" s="38">
        <v>2002263.21</v>
      </c>
      <c r="O202" s="37">
        <f t="shared" si="14"/>
        <v>238703.41999999993</v>
      </c>
      <c r="P202" s="54" t="e">
        <f t="shared" si="15"/>
        <v>#VALUE!</v>
      </c>
      <c r="Q202" s="40">
        <f t="shared" si="16"/>
        <v>0.10651806091374058</v>
      </c>
      <c r="R202" s="37">
        <f t="shared" si="17"/>
        <v>16229.729999999981</v>
      </c>
      <c r="S202" s="41">
        <f t="shared" si="18"/>
        <v>7.2951233019958369E-3</v>
      </c>
      <c r="T202" s="37" t="e">
        <f>SUMIF('[1]JOBS MAR 15'!$E$8:$E$525,$E$16:$E$533,'[1]JOBS MAR 15'!$G$8:$G$525)</f>
        <v>#VALUE!</v>
      </c>
      <c r="U202" s="37" t="e">
        <f>SUMIF('[1]JOBS MAR 15'!$E$8:$E$525,$E$16:$E$533,'[1]JOBS MAR 15'!$H$8:$H$525)</f>
        <v>#VALUE!</v>
      </c>
      <c r="V202" s="37" t="e">
        <f>SUMIF('[1]JOBS MAR 15'!$E$8:$E$525,$E$16:$E$533,'[1]JOBS MAR 15'!$I$8:$I$525)</f>
        <v>#VALUE!</v>
      </c>
      <c r="W202" s="55" t="str">
        <f t="shared" si="19"/>
        <v xml:space="preserve"> </v>
      </c>
    </row>
    <row r="203" spans="2:23" x14ac:dyDescent="0.2">
      <c r="B203">
        <v>623</v>
      </c>
      <c r="C203">
        <v>1</v>
      </c>
      <c r="D203" s="2" t="s">
        <v>453</v>
      </c>
      <c r="E203" s="50" t="s">
        <v>454</v>
      </c>
      <c r="F203" s="50">
        <v>2732430</v>
      </c>
      <c r="G203" s="50">
        <v>4</v>
      </c>
      <c r="H203" s="52" t="e">
        <f>SUMIF('[1]Build Detail'!$D$4:$D$521,$B$16:$B$533,'[1]Build Detail'!$H$4:$H$521)</f>
        <v>#VALUE!</v>
      </c>
      <c r="I203" s="52" t="e">
        <f>SUMIF('[1]Build Detail'!$D$4:$D$521,$B$16:$B$533,'[1]Build Detail'!$Q$4:$Q$521)</f>
        <v>#VALUE!</v>
      </c>
      <c r="J203" s="52" t="e">
        <f>SUMIF('[1]Build Detail'!$D$4:$D$521,$B$16:$B$533,'[1]Build Detail'!$T$4:$T$521)</f>
        <v>#VALUE!</v>
      </c>
      <c r="K203" s="53">
        <v>46939362.609999992</v>
      </c>
      <c r="L203" s="37">
        <f t="shared" si="20"/>
        <v>1323728.8400000001</v>
      </c>
      <c r="M203" s="37">
        <v>1300877.77</v>
      </c>
      <c r="N203" s="38">
        <v>1170789.99</v>
      </c>
      <c r="O203" s="37">
        <f t="shared" si="14"/>
        <v>152938.85000000009</v>
      </c>
      <c r="P203" s="54" t="e">
        <f t="shared" si="15"/>
        <v>#VALUE!</v>
      </c>
      <c r="Q203" s="40">
        <f t="shared" si="16"/>
        <v>0.11553638885740382</v>
      </c>
      <c r="R203" s="37">
        <f t="shared" si="17"/>
        <v>22851.070000000065</v>
      </c>
      <c r="S203" s="41">
        <f t="shared" si="18"/>
        <v>1.7565885532812252E-2</v>
      </c>
      <c r="T203" s="37" t="e">
        <f>SUMIF('[1]JOBS MAR 15'!$E$8:$E$525,$E$16:$E$533,'[1]JOBS MAR 15'!$G$8:$G$525)</f>
        <v>#VALUE!</v>
      </c>
      <c r="U203" s="37" t="e">
        <f>SUMIF('[1]JOBS MAR 15'!$E$8:$E$525,$E$16:$E$533,'[1]JOBS MAR 15'!$H$8:$H$525)</f>
        <v>#VALUE!</v>
      </c>
      <c r="V203" s="37" t="e">
        <f>SUMIF('[1]JOBS MAR 15'!$E$8:$E$525,$E$16:$E$533,'[1]JOBS MAR 15'!$I$8:$I$525)</f>
        <v>#VALUE!</v>
      </c>
      <c r="W203" s="55" t="str">
        <f t="shared" si="19"/>
        <v xml:space="preserve"> </v>
      </c>
    </row>
    <row r="204" spans="2:23" x14ac:dyDescent="0.2">
      <c r="B204">
        <v>624</v>
      </c>
      <c r="C204">
        <v>1</v>
      </c>
      <c r="D204" s="2" t="s">
        <v>455</v>
      </c>
      <c r="E204" s="50" t="s">
        <v>456</v>
      </c>
      <c r="F204" s="50">
        <v>2742360</v>
      </c>
      <c r="G204" s="50">
        <v>4</v>
      </c>
      <c r="H204" s="52" t="e">
        <f>SUMIF('[1]Build Detail'!$D$4:$D$521,$B$16:$B$533,'[1]Build Detail'!$H$4:$H$521)</f>
        <v>#VALUE!</v>
      </c>
      <c r="I204" s="52" t="e">
        <f>SUMIF('[1]Build Detail'!$D$4:$D$521,$B$16:$B$533,'[1]Build Detail'!$Q$4:$Q$521)</f>
        <v>#VALUE!</v>
      </c>
      <c r="J204" s="52" t="e">
        <f>SUMIF('[1]Build Detail'!$D$4:$D$521,$B$16:$B$533,'[1]Build Detail'!$T$4:$T$521)</f>
        <v>#VALUE!</v>
      </c>
      <c r="K204" s="53">
        <v>49126684.770000003</v>
      </c>
      <c r="L204" s="37">
        <f t="shared" si="20"/>
        <v>1385413.13</v>
      </c>
      <c r="M204" s="37">
        <v>1395633.54</v>
      </c>
      <c r="N204" s="38">
        <v>1256070.19</v>
      </c>
      <c r="O204" s="37">
        <f t="shared" si="14"/>
        <v>129342.93999999994</v>
      </c>
      <c r="P204" s="54" t="e">
        <f t="shared" si="15"/>
        <v>#VALUE!</v>
      </c>
      <c r="Q204" s="40">
        <f t="shared" si="16"/>
        <v>9.3360555923127392E-2</v>
      </c>
      <c r="R204" s="37">
        <f t="shared" si="17"/>
        <v>-10220.410000000149</v>
      </c>
      <c r="S204" s="41">
        <f t="shared" si="18"/>
        <v>-7.3231329765836304E-3</v>
      </c>
      <c r="T204" s="37" t="e">
        <f>SUMIF('[1]JOBS MAR 15'!$E$8:$E$525,$E$16:$E$533,'[1]JOBS MAR 15'!$G$8:$G$525)</f>
        <v>#VALUE!</v>
      </c>
      <c r="U204" s="37" t="e">
        <f>SUMIF('[1]JOBS MAR 15'!$E$8:$E$525,$E$16:$E$533,'[1]JOBS MAR 15'!$H$8:$H$525)</f>
        <v>#VALUE!</v>
      </c>
      <c r="V204" s="37" t="e">
        <f>SUMIF('[1]JOBS MAR 15'!$E$8:$E$525,$E$16:$E$533,'[1]JOBS MAR 15'!$I$8:$I$525)</f>
        <v>#VALUE!</v>
      </c>
      <c r="W204" s="55" t="str">
        <f t="shared" si="19"/>
        <v xml:space="preserve"> </v>
      </c>
    </row>
    <row r="205" spans="2:23" x14ac:dyDescent="0.2">
      <c r="B205">
        <v>625</v>
      </c>
      <c r="C205">
        <v>1</v>
      </c>
      <c r="D205" s="2" t="s">
        <v>457</v>
      </c>
      <c r="E205" s="50" t="s">
        <v>458</v>
      </c>
      <c r="F205" s="50">
        <v>2733840</v>
      </c>
      <c r="G205" s="50">
        <v>4</v>
      </c>
      <c r="H205" s="52" t="e">
        <f>SUMIF('[1]Build Detail'!$D$4:$D$521,$B$16:$B$533,'[1]Build Detail'!$H$4:$H$521)</f>
        <v>#VALUE!</v>
      </c>
      <c r="I205" s="52" t="e">
        <f>SUMIF('[1]Build Detail'!$D$4:$D$521,$B$16:$B$533,'[1]Build Detail'!$Q$4:$Q$521)</f>
        <v>#VALUE!</v>
      </c>
      <c r="J205" s="52" t="e">
        <f>SUMIF('[1]Build Detail'!$D$4:$D$521,$B$16:$B$533,'[1]Build Detail'!$T$4:$T$521)</f>
        <v>#VALUE!</v>
      </c>
      <c r="K205" s="53">
        <v>338992709.00999999</v>
      </c>
      <c r="L205" s="37">
        <f t="shared" si="20"/>
        <v>9559874.7100000009</v>
      </c>
      <c r="M205" s="37">
        <v>9536854.4199999999</v>
      </c>
      <c r="N205" s="38">
        <v>8583168.9800000004</v>
      </c>
      <c r="O205" s="37">
        <f t="shared" si="14"/>
        <v>976705.73000000045</v>
      </c>
      <c r="P205" s="54" t="e">
        <f t="shared" si="15"/>
        <v>#VALUE!</v>
      </c>
      <c r="Q205" s="40">
        <f t="shared" si="16"/>
        <v>0.10216721030646231</v>
      </c>
      <c r="R205" s="37">
        <f t="shared" si="17"/>
        <v>23020.290000000969</v>
      </c>
      <c r="S205" s="41">
        <f t="shared" si="18"/>
        <v>2.4138242009571296E-3</v>
      </c>
      <c r="T205" s="37" t="e">
        <f>SUMIF('[1]JOBS MAR 15'!$E$8:$E$525,$E$16:$E$533,'[1]JOBS MAR 15'!$G$8:$G$525)</f>
        <v>#VALUE!</v>
      </c>
      <c r="U205" s="37" t="e">
        <f>SUMIF('[1]JOBS MAR 15'!$E$8:$E$525,$E$16:$E$533,'[1]JOBS MAR 15'!$H$8:$H$525)</f>
        <v>#VALUE!</v>
      </c>
      <c r="V205" s="37" t="e">
        <f>SUMIF('[1]JOBS MAR 15'!$E$8:$E$525,$E$16:$E$533,'[1]JOBS MAR 15'!$I$8:$I$525)</f>
        <v>#VALUE!</v>
      </c>
      <c r="W205" s="55" t="str">
        <f t="shared" si="19"/>
        <v xml:space="preserve"> </v>
      </c>
    </row>
    <row r="206" spans="2:23" x14ac:dyDescent="0.2">
      <c r="B206">
        <v>627</v>
      </c>
      <c r="C206">
        <v>1</v>
      </c>
      <c r="D206" s="2" t="s">
        <v>459</v>
      </c>
      <c r="E206" s="50" t="s">
        <v>460</v>
      </c>
      <c r="F206" s="50">
        <v>2724030</v>
      </c>
      <c r="G206" s="50">
        <v>7</v>
      </c>
      <c r="H206" s="52" t="e">
        <f>SUMIF('[1]Build Detail'!$D$4:$D$521,$B$16:$B$533,'[1]Build Detail'!$H$4:$H$521)</f>
        <v>#VALUE!</v>
      </c>
      <c r="I206" s="52" t="e">
        <f>SUMIF('[1]Build Detail'!$D$4:$D$521,$B$16:$B$533,'[1]Build Detail'!$Q$4:$Q$521)</f>
        <v>#VALUE!</v>
      </c>
      <c r="J206" s="52" t="e">
        <f>SUMIF('[1]Build Detail'!$D$4:$D$521,$B$16:$B$533,'[1]Build Detail'!$T$4:$T$521)</f>
        <v>#VALUE!</v>
      </c>
      <c r="K206" s="53">
        <v>1969049.59</v>
      </c>
      <c r="L206" s="37">
        <f t="shared" si="20"/>
        <v>55528.83</v>
      </c>
      <c r="M206" s="37">
        <v>55377.35</v>
      </c>
      <c r="N206" s="38">
        <v>49839.62</v>
      </c>
      <c r="O206" s="37">
        <f t="shared" si="14"/>
        <v>5689.2099999999991</v>
      </c>
      <c r="P206" s="54" t="e">
        <f t="shared" si="15"/>
        <v>#VALUE!</v>
      </c>
      <c r="Q206" s="40">
        <f t="shared" si="16"/>
        <v>0.10245506703454763</v>
      </c>
      <c r="R206" s="37">
        <f t="shared" si="17"/>
        <v>151.4800000000032</v>
      </c>
      <c r="S206" s="41">
        <f t="shared" si="18"/>
        <v>2.7354143887348024E-3</v>
      </c>
      <c r="T206" s="37" t="e">
        <f>SUMIF('[1]JOBS MAR 15'!$E$8:$E$525,$E$16:$E$533,'[1]JOBS MAR 15'!$G$8:$G$525)</f>
        <v>#VALUE!</v>
      </c>
      <c r="U206" s="37" t="e">
        <f>SUMIF('[1]JOBS MAR 15'!$E$8:$E$525,$E$16:$E$533,'[1]JOBS MAR 15'!$H$8:$H$525)</f>
        <v>#VALUE!</v>
      </c>
      <c r="V206" s="37" t="e">
        <f>SUMIF('[1]JOBS MAR 15'!$E$8:$E$525,$E$16:$E$533,'[1]JOBS MAR 15'!$I$8:$I$525)</f>
        <v>#VALUE!</v>
      </c>
      <c r="W206" s="55" t="str">
        <f t="shared" si="19"/>
        <v xml:space="preserve"> </v>
      </c>
    </row>
    <row r="207" spans="2:23" x14ac:dyDescent="0.2">
      <c r="B207">
        <v>628</v>
      </c>
      <c r="C207">
        <v>1</v>
      </c>
      <c r="D207" s="2" t="s">
        <v>461</v>
      </c>
      <c r="E207" s="50" t="s">
        <v>462</v>
      </c>
      <c r="F207" s="50">
        <v>2729070</v>
      </c>
      <c r="G207" s="50">
        <v>7</v>
      </c>
      <c r="H207" s="52" t="e">
        <f>SUMIF('[1]Build Detail'!$D$4:$D$521,$B$16:$B$533,'[1]Build Detail'!$H$4:$H$521)</f>
        <v>#VALUE!</v>
      </c>
      <c r="I207" s="52" t="e">
        <f>SUMIF('[1]Build Detail'!$D$4:$D$521,$B$16:$B$533,'[1]Build Detail'!$Q$4:$Q$521)</f>
        <v>#VALUE!</v>
      </c>
      <c r="J207" s="52" t="e">
        <f>SUMIF('[1]Build Detail'!$D$4:$D$521,$B$16:$B$533,'[1]Build Detail'!$T$4:$T$521)</f>
        <v>#VALUE!</v>
      </c>
      <c r="K207" s="53">
        <v>1505866.1099999999</v>
      </c>
      <c r="L207" s="37">
        <f t="shared" si="20"/>
        <v>42466.67</v>
      </c>
      <c r="M207" s="37">
        <v>42259.59</v>
      </c>
      <c r="N207" s="38">
        <v>38033.629999999997</v>
      </c>
      <c r="O207" s="37">
        <f t="shared" si="14"/>
        <v>4433.0400000000009</v>
      </c>
      <c r="P207" s="54" t="e">
        <f t="shared" si="15"/>
        <v>#VALUE!</v>
      </c>
      <c r="Q207" s="40">
        <f t="shared" si="16"/>
        <v>0.10438868882349384</v>
      </c>
      <c r="R207" s="37">
        <f t="shared" si="17"/>
        <v>207.08000000000175</v>
      </c>
      <c r="S207" s="41">
        <f t="shared" si="18"/>
        <v>4.9001895191127451E-3</v>
      </c>
      <c r="T207" s="37" t="e">
        <f>SUMIF('[1]JOBS MAR 15'!$E$8:$E$525,$E$16:$E$533,'[1]JOBS MAR 15'!$G$8:$G$525)</f>
        <v>#VALUE!</v>
      </c>
      <c r="U207" s="37" t="e">
        <f>SUMIF('[1]JOBS MAR 15'!$E$8:$E$525,$E$16:$E$533,'[1]JOBS MAR 15'!$H$8:$H$525)</f>
        <v>#VALUE!</v>
      </c>
      <c r="V207" s="37" t="e">
        <f>SUMIF('[1]JOBS MAR 15'!$E$8:$E$525,$E$16:$E$533,'[1]JOBS MAR 15'!$I$8:$I$525)</f>
        <v>#VALUE!</v>
      </c>
      <c r="W207" s="55" t="str">
        <f t="shared" si="19"/>
        <v xml:space="preserve"> </v>
      </c>
    </row>
    <row r="208" spans="2:23" x14ac:dyDescent="0.2">
      <c r="B208">
        <v>630</v>
      </c>
      <c r="C208">
        <v>1</v>
      </c>
      <c r="D208" s="2" t="s">
        <v>463</v>
      </c>
      <c r="E208" s="50" t="s">
        <v>464</v>
      </c>
      <c r="F208" s="50">
        <v>2730450</v>
      </c>
      <c r="G208" s="50">
        <v>7</v>
      </c>
      <c r="H208" s="52" t="e">
        <f>SUMIF('[1]Build Detail'!$D$4:$D$521,$B$16:$B$533,'[1]Build Detail'!$H$4:$H$521)</f>
        <v>#VALUE!</v>
      </c>
      <c r="I208" s="52" t="e">
        <f>SUMIF('[1]Build Detail'!$D$4:$D$521,$B$16:$B$533,'[1]Build Detail'!$Q$4:$Q$521)</f>
        <v>#VALUE!</v>
      </c>
      <c r="J208" s="52" t="e">
        <f>SUMIF('[1]Build Detail'!$D$4:$D$521,$B$16:$B$533,'[1]Build Detail'!$T$4:$T$521)</f>
        <v>#VALUE!</v>
      </c>
      <c r="K208" s="53">
        <v>3379990.34</v>
      </c>
      <c r="L208" s="37">
        <f t="shared" si="20"/>
        <v>95318.52</v>
      </c>
      <c r="M208" s="37">
        <v>95420.800000000003</v>
      </c>
      <c r="N208" s="38">
        <v>85878.720000000001</v>
      </c>
      <c r="O208" s="37">
        <f t="shared" ref="O208:O271" si="21">L208-N208</f>
        <v>9439.8000000000029</v>
      </c>
      <c r="P208" s="54" t="e">
        <f t="shared" ref="P208:P271" si="22">IF($H208&gt;0,ROUND(L208/$H208,2),"na")</f>
        <v>#VALUE!</v>
      </c>
      <c r="Q208" s="40">
        <f t="shared" ref="Q208:Q271" si="23">O208/L208</f>
        <v>9.9034269520760526E-2</v>
      </c>
      <c r="R208" s="37">
        <f t="shared" ref="R208:R271" si="24">L208-M208</f>
        <v>-102.27999999999884</v>
      </c>
      <c r="S208" s="41">
        <f t="shared" ref="S208:S271" si="25">R208/M208</f>
        <v>-1.0718836983131439E-3</v>
      </c>
      <c r="T208" s="37" t="e">
        <f>SUMIF('[1]JOBS MAR 15'!$E$8:$E$525,$E$16:$E$533,'[1]JOBS MAR 15'!$G$8:$G$525)</f>
        <v>#VALUE!</v>
      </c>
      <c r="U208" s="37" t="e">
        <f>SUMIF('[1]JOBS MAR 15'!$E$8:$E$525,$E$16:$E$533,'[1]JOBS MAR 15'!$H$8:$H$525)</f>
        <v>#VALUE!</v>
      </c>
      <c r="V208" s="37" t="e">
        <f>SUMIF('[1]JOBS MAR 15'!$E$8:$E$525,$E$16:$E$533,'[1]JOBS MAR 15'!$I$8:$I$525)</f>
        <v>#VALUE!</v>
      </c>
      <c r="W208" s="55" t="str">
        <f t="shared" ref="W208:W271" si="26">IF(O208&lt;0,IF(V208-ABS(O208)&lt;0,V208-ABS(O208)," ")," ")</f>
        <v xml:space="preserve"> </v>
      </c>
    </row>
    <row r="209" spans="2:23" x14ac:dyDescent="0.2">
      <c r="B209">
        <v>635</v>
      </c>
      <c r="C209">
        <v>1</v>
      </c>
      <c r="D209" s="2" t="s">
        <v>465</v>
      </c>
      <c r="E209" s="50" t="s">
        <v>466</v>
      </c>
      <c r="F209" s="50">
        <v>2721210</v>
      </c>
      <c r="G209" s="50">
        <v>7</v>
      </c>
      <c r="H209" s="52" t="e">
        <f>SUMIF('[1]Build Detail'!$D$4:$D$521,$B$16:$B$533,'[1]Build Detail'!$H$4:$H$521)</f>
        <v>#VALUE!</v>
      </c>
      <c r="I209" s="52" t="e">
        <f>SUMIF('[1]Build Detail'!$D$4:$D$521,$B$16:$B$533,'[1]Build Detail'!$Q$4:$Q$521)</f>
        <v>#VALUE!</v>
      </c>
      <c r="J209" s="52" t="e">
        <f>SUMIF('[1]Build Detail'!$D$4:$D$521,$B$16:$B$533,'[1]Build Detail'!$T$4:$T$521)</f>
        <v>#VALUE!</v>
      </c>
      <c r="K209" s="53">
        <v>601596.12</v>
      </c>
      <c r="L209" s="37">
        <f t="shared" si="20"/>
        <v>16965.509999999998</v>
      </c>
      <c r="M209" s="37">
        <v>16818.73</v>
      </c>
      <c r="N209" s="38">
        <v>15136.86</v>
      </c>
      <c r="O209" s="37">
        <f t="shared" si="21"/>
        <v>1828.6499999999978</v>
      </c>
      <c r="P209" s="54" t="e">
        <f t="shared" si="22"/>
        <v>#VALUE!</v>
      </c>
      <c r="Q209" s="40">
        <f t="shared" si="23"/>
        <v>0.10778632649416363</v>
      </c>
      <c r="R209" s="37">
        <f t="shared" si="24"/>
        <v>146.77999999999884</v>
      </c>
      <c r="S209" s="41">
        <f t="shared" si="25"/>
        <v>8.7271750007282857E-3</v>
      </c>
      <c r="T209" s="37" t="e">
        <f>SUMIF('[1]JOBS MAR 15'!$E$8:$E$525,$E$16:$E$533,'[1]JOBS MAR 15'!$G$8:$G$525)</f>
        <v>#VALUE!</v>
      </c>
      <c r="U209" s="37" t="e">
        <f>SUMIF('[1]JOBS MAR 15'!$E$8:$E$525,$E$16:$E$533,'[1]JOBS MAR 15'!$H$8:$H$525)</f>
        <v>#VALUE!</v>
      </c>
      <c r="V209" s="37" t="e">
        <f>SUMIF('[1]JOBS MAR 15'!$E$8:$E$525,$E$16:$E$533,'[1]JOBS MAR 15'!$I$8:$I$525)</f>
        <v>#VALUE!</v>
      </c>
      <c r="W209" s="55" t="str">
        <f t="shared" si="26"/>
        <v xml:space="preserve"> </v>
      </c>
    </row>
    <row r="210" spans="2:23" x14ac:dyDescent="0.2">
      <c r="B210">
        <v>640</v>
      </c>
      <c r="C210">
        <v>1</v>
      </c>
      <c r="D210" s="2" t="s">
        <v>467</v>
      </c>
      <c r="E210" s="50" t="s">
        <v>468</v>
      </c>
      <c r="F210" s="50">
        <v>2741430</v>
      </c>
      <c r="G210" s="50">
        <v>7</v>
      </c>
      <c r="H210" s="52" t="e">
        <f>SUMIF('[1]Build Detail'!$D$4:$D$521,$B$16:$B$533,'[1]Build Detail'!$H$4:$H$521)</f>
        <v>#VALUE!</v>
      </c>
      <c r="I210" s="52" t="e">
        <f>SUMIF('[1]Build Detail'!$D$4:$D$521,$B$16:$B$533,'[1]Build Detail'!$Q$4:$Q$521)</f>
        <v>#VALUE!</v>
      </c>
      <c r="J210" s="52" t="e">
        <f>SUMIF('[1]Build Detail'!$D$4:$D$521,$B$16:$B$533,'[1]Build Detail'!$T$4:$T$521)</f>
        <v>#VALUE!</v>
      </c>
      <c r="K210" s="53">
        <v>3146106.18</v>
      </c>
      <c r="L210" s="37">
        <f t="shared" ref="L210:L273" si="27">ROUND(K210*$K$548,2)</f>
        <v>88722.8</v>
      </c>
      <c r="M210" s="37">
        <v>88196.06</v>
      </c>
      <c r="N210" s="38">
        <v>79376.45</v>
      </c>
      <c r="O210" s="37">
        <f t="shared" si="21"/>
        <v>9346.3500000000058</v>
      </c>
      <c r="P210" s="54" t="e">
        <f t="shared" si="22"/>
        <v>#VALUE!</v>
      </c>
      <c r="Q210" s="40">
        <f t="shared" si="23"/>
        <v>0.10534327140261585</v>
      </c>
      <c r="R210" s="37">
        <f t="shared" si="24"/>
        <v>526.74000000000524</v>
      </c>
      <c r="S210" s="41">
        <f t="shared" si="25"/>
        <v>5.9723756367348526E-3</v>
      </c>
      <c r="T210" s="37" t="e">
        <f>SUMIF('[1]JOBS MAR 15'!$E$8:$E$525,$E$16:$E$533,'[1]JOBS MAR 15'!$G$8:$G$525)</f>
        <v>#VALUE!</v>
      </c>
      <c r="U210" s="37" t="e">
        <f>SUMIF('[1]JOBS MAR 15'!$E$8:$E$525,$E$16:$E$533,'[1]JOBS MAR 15'!$H$8:$H$525)</f>
        <v>#VALUE!</v>
      </c>
      <c r="V210" s="37" t="e">
        <f>SUMIF('[1]JOBS MAR 15'!$E$8:$E$525,$E$16:$E$533,'[1]JOBS MAR 15'!$I$8:$I$525)</f>
        <v>#VALUE!</v>
      </c>
      <c r="W210" s="55" t="str">
        <f t="shared" si="26"/>
        <v xml:space="preserve"> </v>
      </c>
    </row>
    <row r="211" spans="2:23" x14ac:dyDescent="0.2">
      <c r="B211">
        <v>656</v>
      </c>
      <c r="C211">
        <v>1</v>
      </c>
      <c r="D211" s="2" t="s">
        <v>469</v>
      </c>
      <c r="E211" s="50" t="s">
        <v>470</v>
      </c>
      <c r="F211" s="50">
        <v>2711760</v>
      </c>
      <c r="G211" s="50">
        <v>2</v>
      </c>
      <c r="H211" s="52" t="e">
        <f>SUMIF('[1]Build Detail'!$D$4:$D$521,$B$16:$B$533,'[1]Build Detail'!$H$4:$H$521)</f>
        <v>#VALUE!</v>
      </c>
      <c r="I211" s="52" t="e">
        <f>SUMIF('[1]Build Detail'!$D$4:$D$521,$B$16:$B$533,'[1]Build Detail'!$Q$4:$Q$521)</f>
        <v>#VALUE!</v>
      </c>
      <c r="J211" s="52" t="e">
        <f>SUMIF('[1]Build Detail'!$D$4:$D$521,$B$16:$B$533,'[1]Build Detail'!$T$4:$T$521)</f>
        <v>#VALUE!</v>
      </c>
      <c r="K211" s="53">
        <v>30152660.010000002</v>
      </c>
      <c r="L211" s="37">
        <f t="shared" si="27"/>
        <v>850329.95</v>
      </c>
      <c r="M211" s="37">
        <v>850355.13</v>
      </c>
      <c r="N211" s="38">
        <v>765319.62</v>
      </c>
      <c r="O211" s="37">
        <f t="shared" si="21"/>
        <v>85010.329999999958</v>
      </c>
      <c r="P211" s="54" t="e">
        <f t="shared" si="22"/>
        <v>#VALUE!</v>
      </c>
      <c r="Q211" s="40">
        <f t="shared" si="23"/>
        <v>9.997334564071271E-2</v>
      </c>
      <c r="R211" s="37">
        <f t="shared" si="24"/>
        <v>-25.180000000051223</v>
      </c>
      <c r="S211" s="41">
        <f t="shared" si="25"/>
        <v>-2.9611157870066854E-5</v>
      </c>
      <c r="T211" s="37" t="e">
        <f>SUMIF('[1]JOBS MAR 15'!$E$8:$E$525,$E$16:$E$533,'[1]JOBS MAR 15'!$G$8:$G$525)</f>
        <v>#VALUE!</v>
      </c>
      <c r="U211" s="37" t="e">
        <f>SUMIF('[1]JOBS MAR 15'!$E$8:$E$525,$E$16:$E$533,'[1]JOBS MAR 15'!$H$8:$H$525)</f>
        <v>#VALUE!</v>
      </c>
      <c r="V211" s="37" t="e">
        <f>SUMIF('[1]JOBS MAR 15'!$E$8:$E$525,$E$16:$E$533,'[1]JOBS MAR 15'!$I$8:$I$525)</f>
        <v>#VALUE!</v>
      </c>
      <c r="W211" s="55" t="str">
        <f t="shared" si="26"/>
        <v xml:space="preserve"> </v>
      </c>
    </row>
    <row r="212" spans="2:23" x14ac:dyDescent="0.2">
      <c r="B212">
        <v>659</v>
      </c>
      <c r="C212">
        <v>1</v>
      </c>
      <c r="D212" s="2" t="s">
        <v>471</v>
      </c>
      <c r="E212" s="50" t="s">
        <v>472</v>
      </c>
      <c r="F212" s="50">
        <v>2723880</v>
      </c>
      <c r="G212" s="50">
        <v>2</v>
      </c>
      <c r="H212" s="52" t="e">
        <f>SUMIF('[1]Build Detail'!$D$4:$D$521,$B$16:$B$533,'[1]Build Detail'!$H$4:$H$521)</f>
        <v>#VALUE!</v>
      </c>
      <c r="I212" s="52" t="e">
        <f>SUMIF('[1]Build Detail'!$D$4:$D$521,$B$16:$B$533,'[1]Build Detail'!$Q$4:$Q$521)</f>
        <v>#VALUE!</v>
      </c>
      <c r="J212" s="52" t="e">
        <f>SUMIF('[1]Build Detail'!$D$4:$D$521,$B$16:$B$533,'[1]Build Detail'!$T$4:$T$521)</f>
        <v>#VALUE!</v>
      </c>
      <c r="K212" s="53">
        <v>24404578.599999998</v>
      </c>
      <c r="L212" s="37">
        <f t="shared" si="27"/>
        <v>688229.3</v>
      </c>
      <c r="M212" s="37">
        <v>682422.17</v>
      </c>
      <c r="N212" s="38">
        <v>614179.94999999995</v>
      </c>
      <c r="O212" s="37">
        <f t="shared" si="21"/>
        <v>74049.350000000093</v>
      </c>
      <c r="P212" s="54" t="e">
        <f t="shared" si="22"/>
        <v>#VALUE!</v>
      </c>
      <c r="Q212" s="40">
        <f t="shared" si="23"/>
        <v>0.10759400972902504</v>
      </c>
      <c r="R212" s="37">
        <f t="shared" si="24"/>
        <v>5807.1300000000047</v>
      </c>
      <c r="S212" s="41">
        <f t="shared" si="25"/>
        <v>8.5095857891017875E-3</v>
      </c>
      <c r="T212" s="37" t="e">
        <f>SUMIF('[1]JOBS MAR 15'!$E$8:$E$525,$E$16:$E$533,'[1]JOBS MAR 15'!$G$8:$G$525)</f>
        <v>#VALUE!</v>
      </c>
      <c r="U212" s="37" t="e">
        <f>SUMIF('[1]JOBS MAR 15'!$E$8:$E$525,$E$16:$E$533,'[1]JOBS MAR 15'!$H$8:$H$525)</f>
        <v>#VALUE!</v>
      </c>
      <c r="V212" s="37" t="e">
        <f>SUMIF('[1]JOBS MAR 15'!$E$8:$E$525,$E$16:$E$533,'[1]JOBS MAR 15'!$I$8:$I$525)</f>
        <v>#VALUE!</v>
      </c>
      <c r="W212" s="55" t="str">
        <f t="shared" si="26"/>
        <v xml:space="preserve"> </v>
      </c>
    </row>
    <row r="213" spans="2:23" x14ac:dyDescent="0.2">
      <c r="B213">
        <v>671</v>
      </c>
      <c r="C213">
        <v>1</v>
      </c>
      <c r="D213" s="2" t="s">
        <v>473</v>
      </c>
      <c r="E213" s="50" t="s">
        <v>474</v>
      </c>
      <c r="F213" s="50">
        <v>2714040</v>
      </c>
      <c r="G213" s="50">
        <v>1</v>
      </c>
      <c r="H213" s="52" t="e">
        <f>SUMIF('[1]Build Detail'!$D$4:$D$521,$B$16:$B$533,'[1]Build Detail'!$H$4:$H$521)</f>
        <v>#VALUE!</v>
      </c>
      <c r="I213" s="52" t="e">
        <f>SUMIF('[1]Build Detail'!$D$4:$D$521,$B$16:$B$533,'[1]Build Detail'!$Q$4:$Q$521)</f>
        <v>#VALUE!</v>
      </c>
      <c r="J213" s="52" t="e">
        <f>SUMIF('[1]Build Detail'!$D$4:$D$521,$B$16:$B$533,'[1]Build Detail'!$T$4:$T$521)</f>
        <v>#VALUE!</v>
      </c>
      <c r="K213" s="53">
        <v>2645301.7100000004</v>
      </c>
      <c r="L213" s="37">
        <f t="shared" si="27"/>
        <v>74599.7</v>
      </c>
      <c r="M213" s="37">
        <v>73688.350000000006</v>
      </c>
      <c r="N213" s="38">
        <v>66319.520000000004</v>
      </c>
      <c r="O213" s="37">
        <f t="shared" si="21"/>
        <v>8280.179999999993</v>
      </c>
      <c r="P213" s="54" t="e">
        <f t="shared" si="22"/>
        <v>#VALUE!</v>
      </c>
      <c r="Q213" s="40">
        <f t="shared" si="23"/>
        <v>0.11099481633304147</v>
      </c>
      <c r="R213" s="37">
        <f t="shared" si="24"/>
        <v>911.34999999999127</v>
      </c>
      <c r="S213" s="41">
        <f t="shared" si="25"/>
        <v>1.2367626632975106E-2</v>
      </c>
      <c r="T213" s="37" t="e">
        <f>SUMIF('[1]JOBS MAR 15'!$E$8:$E$525,$E$16:$E$533,'[1]JOBS MAR 15'!$G$8:$G$525)</f>
        <v>#VALUE!</v>
      </c>
      <c r="U213" s="37" t="e">
        <f>SUMIF('[1]JOBS MAR 15'!$E$8:$E$525,$E$16:$E$533,'[1]JOBS MAR 15'!$H$8:$H$525)</f>
        <v>#VALUE!</v>
      </c>
      <c r="V213" s="37" t="e">
        <f>SUMIF('[1]JOBS MAR 15'!$E$8:$E$525,$E$16:$E$533,'[1]JOBS MAR 15'!$I$8:$I$525)</f>
        <v>#VALUE!</v>
      </c>
      <c r="W213" s="55" t="str">
        <f t="shared" si="26"/>
        <v xml:space="preserve"> </v>
      </c>
    </row>
    <row r="214" spans="2:23" x14ac:dyDescent="0.2">
      <c r="B214">
        <v>676</v>
      </c>
      <c r="C214">
        <v>1</v>
      </c>
      <c r="D214" s="2" t="s">
        <v>475</v>
      </c>
      <c r="E214" s="50" t="s">
        <v>476</v>
      </c>
      <c r="F214" s="50">
        <v>2703540</v>
      </c>
      <c r="G214" s="50">
        <v>7</v>
      </c>
      <c r="H214" s="52" t="e">
        <f>SUMIF('[1]Build Detail'!$D$4:$D$521,$B$16:$B$533,'[1]Build Detail'!$H$4:$H$521)</f>
        <v>#VALUE!</v>
      </c>
      <c r="I214" s="52" t="e">
        <f>SUMIF('[1]Build Detail'!$D$4:$D$521,$B$16:$B$533,'[1]Build Detail'!$Q$4:$Q$521)</f>
        <v>#VALUE!</v>
      </c>
      <c r="J214" s="52" t="e">
        <f>SUMIF('[1]Build Detail'!$D$4:$D$521,$B$16:$B$533,'[1]Build Detail'!$T$4:$T$521)</f>
        <v>#VALUE!</v>
      </c>
      <c r="K214" s="53">
        <v>1834903.34</v>
      </c>
      <c r="L214" s="37">
        <f t="shared" si="27"/>
        <v>51745.79</v>
      </c>
      <c r="M214" s="37">
        <v>51730.720000000001</v>
      </c>
      <c r="N214" s="38">
        <v>46557.65</v>
      </c>
      <c r="O214" s="37">
        <f t="shared" si="21"/>
        <v>5188.1399999999994</v>
      </c>
      <c r="P214" s="54" t="e">
        <f t="shared" si="22"/>
        <v>#VALUE!</v>
      </c>
      <c r="Q214" s="40">
        <f t="shared" si="23"/>
        <v>0.10026206962923939</v>
      </c>
      <c r="R214" s="37">
        <f t="shared" si="24"/>
        <v>15.069999999999709</v>
      </c>
      <c r="S214" s="41">
        <f t="shared" si="25"/>
        <v>2.913162623678872E-4</v>
      </c>
      <c r="T214" s="37" t="e">
        <f>SUMIF('[1]JOBS MAR 15'!$E$8:$E$525,$E$16:$E$533,'[1]JOBS MAR 15'!$G$8:$G$525)</f>
        <v>#VALUE!</v>
      </c>
      <c r="U214" s="37" t="e">
        <f>SUMIF('[1]JOBS MAR 15'!$E$8:$E$525,$E$16:$E$533,'[1]JOBS MAR 15'!$H$8:$H$525)</f>
        <v>#VALUE!</v>
      </c>
      <c r="V214" s="37" t="e">
        <f>SUMIF('[1]JOBS MAR 15'!$E$8:$E$525,$E$16:$E$533,'[1]JOBS MAR 15'!$I$8:$I$525)</f>
        <v>#VALUE!</v>
      </c>
      <c r="W214" s="55" t="str">
        <f t="shared" si="26"/>
        <v xml:space="preserve"> </v>
      </c>
    </row>
    <row r="215" spans="2:23" x14ac:dyDescent="0.2">
      <c r="B215">
        <v>682</v>
      </c>
      <c r="C215">
        <v>1</v>
      </c>
      <c r="D215" s="2" t="s">
        <v>477</v>
      </c>
      <c r="E215" s="50" t="s">
        <v>478</v>
      </c>
      <c r="F215" s="50">
        <v>2732250</v>
      </c>
      <c r="G215" s="50">
        <v>7</v>
      </c>
      <c r="H215" s="52" t="e">
        <f>SUMIF('[1]Build Detail'!$D$4:$D$521,$B$16:$B$533,'[1]Build Detail'!$H$4:$H$521)</f>
        <v>#VALUE!</v>
      </c>
      <c r="I215" s="52" t="e">
        <f>SUMIF('[1]Build Detail'!$D$4:$D$521,$B$16:$B$533,'[1]Build Detail'!$Q$4:$Q$521)</f>
        <v>#VALUE!</v>
      </c>
      <c r="J215" s="52" t="e">
        <f>SUMIF('[1]Build Detail'!$D$4:$D$521,$B$16:$B$533,'[1]Build Detail'!$T$4:$T$521)</f>
        <v>#VALUE!</v>
      </c>
      <c r="K215" s="53">
        <v>9557278.6899999995</v>
      </c>
      <c r="L215" s="37">
        <f t="shared" si="27"/>
        <v>269523.15999999997</v>
      </c>
      <c r="M215" s="37">
        <v>267616.61</v>
      </c>
      <c r="N215" s="38">
        <v>240854.95</v>
      </c>
      <c r="O215" s="37">
        <f t="shared" si="21"/>
        <v>28668.209999999963</v>
      </c>
      <c r="P215" s="54" t="e">
        <f t="shared" si="22"/>
        <v>#VALUE!</v>
      </c>
      <c r="Q215" s="40">
        <f t="shared" si="23"/>
        <v>0.10636640650844241</v>
      </c>
      <c r="R215" s="37">
        <f t="shared" si="24"/>
        <v>1906.5499999999884</v>
      </c>
      <c r="S215" s="41">
        <f t="shared" si="25"/>
        <v>7.1241841080043142E-3</v>
      </c>
      <c r="T215" s="37" t="e">
        <f>SUMIF('[1]JOBS MAR 15'!$E$8:$E$525,$E$16:$E$533,'[1]JOBS MAR 15'!$G$8:$G$525)</f>
        <v>#VALUE!</v>
      </c>
      <c r="U215" s="37" t="e">
        <f>SUMIF('[1]JOBS MAR 15'!$E$8:$E$525,$E$16:$E$533,'[1]JOBS MAR 15'!$H$8:$H$525)</f>
        <v>#VALUE!</v>
      </c>
      <c r="V215" s="37" t="e">
        <f>SUMIF('[1]JOBS MAR 15'!$E$8:$E$525,$E$16:$E$533,'[1]JOBS MAR 15'!$I$8:$I$525)</f>
        <v>#VALUE!</v>
      </c>
      <c r="W215" s="55" t="str">
        <f t="shared" si="26"/>
        <v xml:space="preserve"> </v>
      </c>
    </row>
    <row r="216" spans="2:23" x14ac:dyDescent="0.2">
      <c r="B216">
        <v>690</v>
      </c>
      <c r="C216">
        <v>1</v>
      </c>
      <c r="D216" s="2" t="s">
        <v>479</v>
      </c>
      <c r="E216" s="50" t="s">
        <v>480</v>
      </c>
      <c r="F216" s="50">
        <v>2741850</v>
      </c>
      <c r="G216" s="50">
        <v>7</v>
      </c>
      <c r="H216" s="52" t="e">
        <f>SUMIF('[1]Build Detail'!$D$4:$D$521,$B$16:$B$533,'[1]Build Detail'!$H$4:$H$521)</f>
        <v>#VALUE!</v>
      </c>
      <c r="I216" s="52" t="e">
        <f>SUMIF('[1]Build Detail'!$D$4:$D$521,$B$16:$B$533,'[1]Build Detail'!$Q$4:$Q$521)</f>
        <v>#VALUE!</v>
      </c>
      <c r="J216" s="52" t="e">
        <f>SUMIF('[1]Build Detail'!$D$4:$D$521,$B$16:$B$533,'[1]Build Detail'!$T$4:$T$521)</f>
        <v>#VALUE!</v>
      </c>
      <c r="K216" s="53">
        <v>8372297.1399999997</v>
      </c>
      <c r="L216" s="37">
        <f t="shared" si="27"/>
        <v>236105.7</v>
      </c>
      <c r="M216" s="37">
        <v>234951.86</v>
      </c>
      <c r="N216" s="38">
        <v>211456.67</v>
      </c>
      <c r="O216" s="37">
        <f t="shared" si="21"/>
        <v>24649.03</v>
      </c>
      <c r="P216" s="54" t="e">
        <f t="shared" si="22"/>
        <v>#VALUE!</v>
      </c>
      <c r="Q216" s="40">
        <f t="shared" si="23"/>
        <v>0.10439828432773965</v>
      </c>
      <c r="R216" s="37">
        <f t="shared" si="24"/>
        <v>1153.8400000000256</v>
      </c>
      <c r="S216" s="41">
        <f t="shared" si="25"/>
        <v>4.9109634628984235E-3</v>
      </c>
      <c r="T216" s="37" t="e">
        <f>SUMIF('[1]JOBS MAR 15'!$E$8:$E$525,$E$16:$E$533,'[1]JOBS MAR 15'!$G$8:$G$525)</f>
        <v>#VALUE!</v>
      </c>
      <c r="U216" s="37" t="e">
        <f>SUMIF('[1]JOBS MAR 15'!$E$8:$E$525,$E$16:$E$533,'[1]JOBS MAR 15'!$H$8:$H$525)</f>
        <v>#VALUE!</v>
      </c>
      <c r="V216" s="37" t="e">
        <f>SUMIF('[1]JOBS MAR 15'!$E$8:$E$525,$E$16:$E$533,'[1]JOBS MAR 15'!$I$8:$I$525)</f>
        <v>#VALUE!</v>
      </c>
      <c r="W216" s="55" t="str">
        <f t="shared" si="26"/>
        <v xml:space="preserve"> </v>
      </c>
    </row>
    <row r="217" spans="2:23" x14ac:dyDescent="0.2">
      <c r="B217">
        <v>695</v>
      </c>
      <c r="C217">
        <v>1</v>
      </c>
      <c r="D217" s="2" t="s">
        <v>481</v>
      </c>
      <c r="E217" s="50" t="s">
        <v>482</v>
      </c>
      <c r="F217" s="50">
        <v>2708910</v>
      </c>
      <c r="G217" s="50">
        <v>8</v>
      </c>
      <c r="H217" s="52" t="e">
        <f>SUMIF('[1]Build Detail'!$D$4:$D$521,$B$16:$B$533,'[1]Build Detail'!$H$4:$H$521)</f>
        <v>#VALUE!</v>
      </c>
      <c r="I217" s="52" t="e">
        <f>SUMIF('[1]Build Detail'!$D$4:$D$521,$B$16:$B$533,'[1]Build Detail'!$Q$4:$Q$521)</f>
        <v>#VALUE!</v>
      </c>
      <c r="J217" s="52" t="e">
        <f>SUMIF('[1]Build Detail'!$D$4:$D$521,$B$16:$B$533,'[1]Build Detail'!$T$4:$T$521)</f>
        <v>#VALUE!</v>
      </c>
      <c r="K217" s="53">
        <v>5610074.7599999998</v>
      </c>
      <c r="L217" s="37">
        <f t="shared" si="27"/>
        <v>158208.75</v>
      </c>
      <c r="M217" s="37">
        <v>155737.39000000001</v>
      </c>
      <c r="N217" s="38">
        <v>140163.65</v>
      </c>
      <c r="O217" s="37">
        <f t="shared" si="21"/>
        <v>18045.100000000006</v>
      </c>
      <c r="P217" s="54" t="e">
        <f t="shared" si="22"/>
        <v>#VALUE!</v>
      </c>
      <c r="Q217" s="40">
        <f t="shared" si="23"/>
        <v>0.11405879889702691</v>
      </c>
      <c r="R217" s="37">
        <f t="shared" si="24"/>
        <v>2471.359999999986</v>
      </c>
      <c r="S217" s="41">
        <f t="shared" si="25"/>
        <v>1.5868764719891515E-2</v>
      </c>
      <c r="T217" s="37" t="e">
        <f>SUMIF('[1]JOBS MAR 15'!$E$8:$E$525,$E$16:$E$533,'[1]JOBS MAR 15'!$G$8:$G$525)</f>
        <v>#VALUE!</v>
      </c>
      <c r="U217" s="37" t="e">
        <f>SUMIF('[1]JOBS MAR 15'!$E$8:$E$525,$E$16:$E$533,'[1]JOBS MAR 15'!$H$8:$H$525)</f>
        <v>#VALUE!</v>
      </c>
      <c r="V217" s="37" t="e">
        <f>SUMIF('[1]JOBS MAR 15'!$E$8:$E$525,$E$16:$E$533,'[1]JOBS MAR 15'!$I$8:$I$525)</f>
        <v>#VALUE!</v>
      </c>
      <c r="W217" s="55" t="str">
        <f t="shared" si="26"/>
        <v xml:space="preserve"> </v>
      </c>
    </row>
    <row r="218" spans="2:23" x14ac:dyDescent="0.2">
      <c r="B218">
        <v>696</v>
      </c>
      <c r="C218">
        <v>1</v>
      </c>
      <c r="D218" s="2" t="s">
        <v>483</v>
      </c>
      <c r="E218" s="50" t="s">
        <v>484</v>
      </c>
      <c r="F218" s="50">
        <v>2711520</v>
      </c>
      <c r="G218" s="50">
        <v>8</v>
      </c>
      <c r="H218" s="52" t="e">
        <f>SUMIF('[1]Build Detail'!$D$4:$D$521,$B$16:$B$533,'[1]Build Detail'!$H$4:$H$521)</f>
        <v>#VALUE!</v>
      </c>
      <c r="I218" s="52" t="e">
        <f>SUMIF('[1]Build Detail'!$D$4:$D$521,$B$16:$B$533,'[1]Build Detail'!$Q$4:$Q$521)</f>
        <v>#VALUE!</v>
      </c>
      <c r="J218" s="52" t="e">
        <f>SUMIF('[1]Build Detail'!$D$4:$D$521,$B$16:$B$533,'[1]Build Detail'!$T$4:$T$521)</f>
        <v>#VALUE!</v>
      </c>
      <c r="K218" s="53">
        <v>3545858.4400000009</v>
      </c>
      <c r="L218" s="37">
        <f t="shared" si="27"/>
        <v>99996.14</v>
      </c>
      <c r="M218" s="37">
        <v>99498.27</v>
      </c>
      <c r="N218" s="38">
        <v>89548.44</v>
      </c>
      <c r="O218" s="37">
        <f t="shared" si="21"/>
        <v>10447.699999999997</v>
      </c>
      <c r="P218" s="54" t="e">
        <f t="shared" si="22"/>
        <v>#VALUE!</v>
      </c>
      <c r="Q218" s="40">
        <f t="shared" si="23"/>
        <v>0.10448103296787253</v>
      </c>
      <c r="R218" s="37">
        <f t="shared" si="24"/>
        <v>497.86999999999534</v>
      </c>
      <c r="S218" s="41">
        <f t="shared" si="25"/>
        <v>5.0038055938057546E-3</v>
      </c>
      <c r="T218" s="37" t="e">
        <f>SUMIF('[1]JOBS MAR 15'!$E$8:$E$525,$E$16:$E$533,'[1]JOBS MAR 15'!$G$8:$G$525)</f>
        <v>#VALUE!</v>
      </c>
      <c r="U218" s="37" t="e">
        <f>SUMIF('[1]JOBS MAR 15'!$E$8:$E$525,$E$16:$E$533,'[1]JOBS MAR 15'!$H$8:$H$525)</f>
        <v>#VALUE!</v>
      </c>
      <c r="V218" s="37" t="e">
        <f>SUMIF('[1]JOBS MAR 15'!$E$8:$E$525,$E$16:$E$533,'[1]JOBS MAR 15'!$I$8:$I$525)</f>
        <v>#VALUE!</v>
      </c>
      <c r="W218" s="55" t="str">
        <f t="shared" si="26"/>
        <v xml:space="preserve"> </v>
      </c>
    </row>
    <row r="219" spans="2:23" x14ac:dyDescent="0.2">
      <c r="B219">
        <v>698</v>
      </c>
      <c r="C219">
        <v>1</v>
      </c>
      <c r="D219" s="2" t="s">
        <v>485</v>
      </c>
      <c r="E219" s="50" t="s">
        <v>486</v>
      </c>
      <c r="F219" s="50">
        <v>2712210</v>
      </c>
      <c r="G219" s="50">
        <v>8</v>
      </c>
      <c r="H219" s="52" t="e">
        <f>SUMIF('[1]Build Detail'!$D$4:$D$521,$B$16:$B$533,'[1]Build Detail'!$H$4:$H$521)</f>
        <v>#VALUE!</v>
      </c>
      <c r="I219" s="52" t="e">
        <f>SUMIF('[1]Build Detail'!$D$4:$D$521,$B$16:$B$533,'[1]Build Detail'!$Q$4:$Q$521)</f>
        <v>#VALUE!</v>
      </c>
      <c r="J219" s="52" t="e">
        <f>SUMIF('[1]Build Detail'!$D$4:$D$521,$B$16:$B$533,'[1]Build Detail'!$T$4:$T$521)</f>
        <v>#VALUE!</v>
      </c>
      <c r="K219" s="53">
        <v>2781030.0799999996</v>
      </c>
      <c r="L219" s="37">
        <f t="shared" si="27"/>
        <v>78427.350000000006</v>
      </c>
      <c r="M219" s="37">
        <v>77913.55</v>
      </c>
      <c r="N219" s="38">
        <v>70122.2</v>
      </c>
      <c r="O219" s="37">
        <f t="shared" si="21"/>
        <v>8305.1500000000087</v>
      </c>
      <c r="P219" s="54" t="e">
        <f t="shared" si="22"/>
        <v>#VALUE!</v>
      </c>
      <c r="Q219" s="40">
        <f t="shared" si="23"/>
        <v>0.10589609364590297</v>
      </c>
      <c r="R219" s="37">
        <f t="shared" si="24"/>
        <v>513.80000000000291</v>
      </c>
      <c r="S219" s="41">
        <f t="shared" si="25"/>
        <v>6.5944883784656572E-3</v>
      </c>
      <c r="T219" s="37" t="e">
        <f>SUMIF('[1]JOBS MAR 15'!$E$8:$E$525,$E$16:$E$533,'[1]JOBS MAR 15'!$G$8:$G$525)</f>
        <v>#VALUE!</v>
      </c>
      <c r="U219" s="37" t="e">
        <f>SUMIF('[1]JOBS MAR 15'!$E$8:$E$525,$E$16:$E$533,'[1]JOBS MAR 15'!$H$8:$H$525)</f>
        <v>#VALUE!</v>
      </c>
      <c r="V219" s="37" t="e">
        <f>SUMIF('[1]JOBS MAR 15'!$E$8:$E$525,$E$16:$E$533,'[1]JOBS MAR 15'!$I$8:$I$525)</f>
        <v>#VALUE!</v>
      </c>
      <c r="W219" s="55" t="str">
        <f t="shared" si="26"/>
        <v xml:space="preserve"> </v>
      </c>
    </row>
    <row r="220" spans="2:23" x14ac:dyDescent="0.2">
      <c r="B220">
        <v>700</v>
      </c>
      <c r="C220">
        <v>1</v>
      </c>
      <c r="D220" s="2" t="s">
        <v>487</v>
      </c>
      <c r="E220" s="50" t="s">
        <v>488</v>
      </c>
      <c r="F220" s="50">
        <v>2713920</v>
      </c>
      <c r="G220" s="50">
        <v>8</v>
      </c>
      <c r="H220" s="52" t="e">
        <f>SUMIF('[1]Build Detail'!$D$4:$D$521,$B$16:$B$533,'[1]Build Detail'!$H$4:$H$521)</f>
        <v>#VALUE!</v>
      </c>
      <c r="I220" s="52" t="e">
        <f>SUMIF('[1]Build Detail'!$D$4:$D$521,$B$16:$B$533,'[1]Build Detail'!$Q$4:$Q$521)</f>
        <v>#VALUE!</v>
      </c>
      <c r="J220" s="52" t="e">
        <f>SUMIF('[1]Build Detail'!$D$4:$D$521,$B$16:$B$533,'[1]Build Detail'!$T$4:$T$521)</f>
        <v>#VALUE!</v>
      </c>
      <c r="K220" s="53">
        <v>13936463.729999997</v>
      </c>
      <c r="L220" s="37">
        <f t="shared" si="27"/>
        <v>393019.8</v>
      </c>
      <c r="M220" s="37">
        <v>391058.02</v>
      </c>
      <c r="N220" s="38">
        <v>351952.22</v>
      </c>
      <c r="O220" s="37">
        <f t="shared" si="21"/>
        <v>41067.580000000016</v>
      </c>
      <c r="P220" s="54" t="e">
        <f t="shared" si="22"/>
        <v>#VALUE!</v>
      </c>
      <c r="Q220" s="40">
        <f t="shared" si="23"/>
        <v>0.10449239453075905</v>
      </c>
      <c r="R220" s="37">
        <f t="shared" si="24"/>
        <v>1961.7799999999697</v>
      </c>
      <c r="S220" s="41">
        <f t="shared" si="25"/>
        <v>5.0165957470964789E-3</v>
      </c>
      <c r="T220" s="37" t="e">
        <f>SUMIF('[1]JOBS MAR 15'!$E$8:$E$525,$E$16:$E$533,'[1]JOBS MAR 15'!$G$8:$G$525)</f>
        <v>#VALUE!</v>
      </c>
      <c r="U220" s="37" t="e">
        <f>SUMIF('[1]JOBS MAR 15'!$E$8:$E$525,$E$16:$E$533,'[1]JOBS MAR 15'!$H$8:$H$525)</f>
        <v>#VALUE!</v>
      </c>
      <c r="V220" s="37" t="e">
        <f>SUMIF('[1]JOBS MAR 15'!$E$8:$E$525,$E$16:$E$533,'[1]JOBS MAR 15'!$I$8:$I$525)</f>
        <v>#VALUE!</v>
      </c>
      <c r="W220" s="55" t="str">
        <f t="shared" si="26"/>
        <v xml:space="preserve"> </v>
      </c>
    </row>
    <row r="221" spans="2:23" x14ac:dyDescent="0.2">
      <c r="B221">
        <v>701</v>
      </c>
      <c r="C221">
        <v>1</v>
      </c>
      <c r="D221" s="2" t="s">
        <v>489</v>
      </c>
      <c r="E221" s="50" t="s">
        <v>490</v>
      </c>
      <c r="F221" s="50">
        <v>2713980</v>
      </c>
      <c r="G221" s="50">
        <v>8</v>
      </c>
      <c r="H221" s="52" t="e">
        <f>SUMIF('[1]Build Detail'!$D$4:$D$521,$B$16:$B$533,'[1]Build Detail'!$H$4:$H$521)</f>
        <v>#VALUE!</v>
      </c>
      <c r="I221" s="52" t="e">
        <f>SUMIF('[1]Build Detail'!$D$4:$D$521,$B$16:$B$533,'[1]Build Detail'!$Q$4:$Q$521)</f>
        <v>#VALUE!</v>
      </c>
      <c r="J221" s="52" t="e">
        <f>SUMIF('[1]Build Detail'!$D$4:$D$521,$B$16:$B$533,'[1]Build Detail'!$T$4:$T$521)</f>
        <v>#VALUE!</v>
      </c>
      <c r="K221" s="53">
        <v>17800770.259999998</v>
      </c>
      <c r="L221" s="37">
        <f t="shared" si="27"/>
        <v>501996.44</v>
      </c>
      <c r="M221" s="37">
        <v>498599.36</v>
      </c>
      <c r="N221" s="38">
        <v>448739.42</v>
      </c>
      <c r="O221" s="37">
        <f t="shared" si="21"/>
        <v>53257.020000000019</v>
      </c>
      <c r="P221" s="54" t="e">
        <f t="shared" si="22"/>
        <v>#VALUE!</v>
      </c>
      <c r="Q221" s="40">
        <f t="shared" si="23"/>
        <v>0.10609043362937</v>
      </c>
      <c r="R221" s="37">
        <f t="shared" si="24"/>
        <v>3397.0800000000163</v>
      </c>
      <c r="S221" s="41">
        <f t="shared" si="25"/>
        <v>6.8132458092204857E-3</v>
      </c>
      <c r="T221" s="37" t="e">
        <f>SUMIF('[1]JOBS MAR 15'!$E$8:$E$525,$E$16:$E$533,'[1]JOBS MAR 15'!$G$8:$G$525)</f>
        <v>#VALUE!</v>
      </c>
      <c r="U221" s="37" t="e">
        <f>SUMIF('[1]JOBS MAR 15'!$E$8:$E$525,$E$16:$E$533,'[1]JOBS MAR 15'!$H$8:$H$525)</f>
        <v>#VALUE!</v>
      </c>
      <c r="V221" s="37" t="e">
        <f>SUMIF('[1]JOBS MAR 15'!$E$8:$E$525,$E$16:$E$533,'[1]JOBS MAR 15'!$I$8:$I$525)</f>
        <v>#VALUE!</v>
      </c>
      <c r="W221" s="55" t="str">
        <f t="shared" si="26"/>
        <v xml:space="preserve"> </v>
      </c>
    </row>
    <row r="222" spans="2:23" x14ac:dyDescent="0.2">
      <c r="B222">
        <v>704</v>
      </c>
      <c r="C222">
        <v>1</v>
      </c>
      <c r="D222" s="2" t="s">
        <v>491</v>
      </c>
      <c r="E222" s="50" t="s">
        <v>492</v>
      </c>
      <c r="F222" s="50">
        <v>2730090</v>
      </c>
      <c r="G222" s="50">
        <v>8</v>
      </c>
      <c r="H222" s="52" t="e">
        <f>SUMIF('[1]Build Detail'!$D$4:$D$521,$B$16:$B$533,'[1]Build Detail'!$H$4:$H$521)</f>
        <v>#VALUE!</v>
      </c>
      <c r="I222" s="52" t="e">
        <f>SUMIF('[1]Build Detail'!$D$4:$D$521,$B$16:$B$533,'[1]Build Detail'!$Q$4:$Q$521)</f>
        <v>#VALUE!</v>
      </c>
      <c r="J222" s="52" t="e">
        <f>SUMIF('[1]Build Detail'!$D$4:$D$521,$B$16:$B$533,'[1]Build Detail'!$T$4:$T$521)</f>
        <v>#VALUE!</v>
      </c>
      <c r="K222" s="53">
        <v>11919987.409999998</v>
      </c>
      <c r="L222" s="37">
        <f t="shared" si="27"/>
        <v>336153.5</v>
      </c>
      <c r="M222" s="37">
        <v>332679.46999999997</v>
      </c>
      <c r="N222" s="38">
        <v>299411.52</v>
      </c>
      <c r="O222" s="37">
        <f t="shared" si="21"/>
        <v>36741.979999999981</v>
      </c>
      <c r="P222" s="54" t="e">
        <f t="shared" si="22"/>
        <v>#VALUE!</v>
      </c>
      <c r="Q222" s="40">
        <f t="shared" si="23"/>
        <v>0.10930119722091242</v>
      </c>
      <c r="R222" s="37">
        <f t="shared" si="24"/>
        <v>3474.0300000000279</v>
      </c>
      <c r="S222" s="41">
        <f t="shared" si="25"/>
        <v>1.0442574048828526E-2</v>
      </c>
      <c r="T222" s="37" t="e">
        <f>SUMIF('[1]JOBS MAR 15'!$E$8:$E$525,$E$16:$E$533,'[1]JOBS MAR 15'!$G$8:$G$525)</f>
        <v>#VALUE!</v>
      </c>
      <c r="U222" s="37" t="e">
        <f>SUMIF('[1]JOBS MAR 15'!$E$8:$E$525,$E$16:$E$533,'[1]JOBS MAR 15'!$H$8:$H$525)</f>
        <v>#VALUE!</v>
      </c>
      <c r="V222" s="37" t="e">
        <f>SUMIF('[1]JOBS MAR 15'!$E$8:$E$525,$E$16:$E$533,'[1]JOBS MAR 15'!$I$8:$I$525)</f>
        <v>#VALUE!</v>
      </c>
      <c r="W222" s="55" t="str">
        <f t="shared" si="26"/>
        <v xml:space="preserve"> </v>
      </c>
    </row>
    <row r="223" spans="2:23" x14ac:dyDescent="0.2">
      <c r="B223">
        <v>706</v>
      </c>
      <c r="C223">
        <v>1</v>
      </c>
      <c r="D223" s="2" t="s">
        <v>493</v>
      </c>
      <c r="E223" s="50" t="s">
        <v>494</v>
      </c>
      <c r="F223" s="50">
        <v>2741040</v>
      </c>
      <c r="G223" s="50">
        <v>8</v>
      </c>
      <c r="H223" s="52" t="e">
        <f>SUMIF('[1]Build Detail'!$D$4:$D$521,$B$16:$B$533,'[1]Build Detail'!$H$4:$H$521)</f>
        <v>#VALUE!</v>
      </c>
      <c r="I223" s="52" t="e">
        <f>SUMIF('[1]Build Detail'!$D$4:$D$521,$B$16:$B$533,'[1]Build Detail'!$Q$4:$Q$521)</f>
        <v>#VALUE!</v>
      </c>
      <c r="J223" s="52" t="e">
        <f>SUMIF('[1]Build Detail'!$D$4:$D$521,$B$16:$B$533,'[1]Build Detail'!$T$4:$T$521)</f>
        <v>#VALUE!</v>
      </c>
      <c r="K223" s="53">
        <v>12119548.689999996</v>
      </c>
      <c r="L223" s="37">
        <f t="shared" si="27"/>
        <v>341781.29</v>
      </c>
      <c r="M223" s="37">
        <v>337027.13</v>
      </c>
      <c r="N223" s="38">
        <v>303324.42</v>
      </c>
      <c r="O223" s="37">
        <f t="shared" si="21"/>
        <v>38456.869999999995</v>
      </c>
      <c r="P223" s="54" t="e">
        <f t="shared" si="22"/>
        <v>#VALUE!</v>
      </c>
      <c r="Q223" s="40">
        <f t="shared" si="23"/>
        <v>0.11251894449810286</v>
      </c>
      <c r="R223" s="37">
        <f t="shared" si="24"/>
        <v>4754.1599999999744</v>
      </c>
      <c r="S223" s="41">
        <f t="shared" si="25"/>
        <v>1.410616409426735E-2</v>
      </c>
      <c r="T223" s="37" t="e">
        <f>SUMIF('[1]JOBS MAR 15'!$E$8:$E$525,$E$16:$E$533,'[1]JOBS MAR 15'!$G$8:$G$525)</f>
        <v>#VALUE!</v>
      </c>
      <c r="U223" s="37" t="e">
        <f>SUMIF('[1]JOBS MAR 15'!$E$8:$E$525,$E$16:$E$533,'[1]JOBS MAR 15'!$H$8:$H$525)</f>
        <v>#VALUE!</v>
      </c>
      <c r="V223" s="37" t="e">
        <f>SUMIF('[1]JOBS MAR 15'!$E$8:$E$525,$E$16:$E$533,'[1]JOBS MAR 15'!$I$8:$I$525)</f>
        <v>#VALUE!</v>
      </c>
      <c r="W223" s="55" t="str">
        <f t="shared" si="26"/>
        <v xml:space="preserve"> </v>
      </c>
    </row>
    <row r="224" spans="2:23" x14ac:dyDescent="0.2">
      <c r="B224">
        <v>707</v>
      </c>
      <c r="C224">
        <v>1</v>
      </c>
      <c r="D224" s="2" t="s">
        <v>495</v>
      </c>
      <c r="E224" s="50" t="s">
        <v>496</v>
      </c>
      <c r="F224" s="50">
        <v>2733720</v>
      </c>
      <c r="G224" s="50">
        <v>8</v>
      </c>
      <c r="H224" s="52" t="e">
        <f>SUMIF('[1]Build Detail'!$D$4:$D$521,$B$16:$B$533,'[1]Build Detail'!$H$4:$H$521)</f>
        <v>#VALUE!</v>
      </c>
      <c r="I224" s="52" t="e">
        <f>SUMIF('[1]Build Detail'!$D$4:$D$521,$B$16:$B$533,'[1]Build Detail'!$Q$4:$Q$521)</f>
        <v>#VALUE!</v>
      </c>
      <c r="J224" s="52" t="e">
        <f>SUMIF('[1]Build Detail'!$D$4:$D$521,$B$16:$B$533,'[1]Build Detail'!$T$4:$T$521)</f>
        <v>#VALUE!</v>
      </c>
      <c r="K224" s="53">
        <v>1282498.8599999999</v>
      </c>
      <c r="L224" s="37">
        <f t="shared" si="27"/>
        <v>36167.53</v>
      </c>
      <c r="M224" s="37">
        <v>34742.75</v>
      </c>
      <c r="N224" s="38">
        <v>31268.48</v>
      </c>
      <c r="O224" s="37">
        <f t="shared" si="21"/>
        <v>4899.0499999999993</v>
      </c>
      <c r="P224" s="54" t="e">
        <f t="shared" si="22"/>
        <v>#VALUE!</v>
      </c>
      <c r="Q224" s="40">
        <f t="shared" si="23"/>
        <v>0.13545437025973295</v>
      </c>
      <c r="R224" s="37">
        <f t="shared" si="24"/>
        <v>1424.7799999999988</v>
      </c>
      <c r="S224" s="41">
        <f t="shared" si="25"/>
        <v>4.1009419231350396E-2</v>
      </c>
      <c r="T224" s="37" t="e">
        <f>SUMIF('[1]JOBS MAR 15'!$E$8:$E$525,$E$16:$E$533,'[1]JOBS MAR 15'!$G$8:$G$525)</f>
        <v>#VALUE!</v>
      </c>
      <c r="U224" s="37" t="e">
        <f>SUMIF('[1]JOBS MAR 15'!$E$8:$E$525,$E$16:$E$533,'[1]JOBS MAR 15'!$H$8:$H$525)</f>
        <v>#VALUE!</v>
      </c>
      <c r="V224" s="37" t="e">
        <f>SUMIF('[1]JOBS MAR 15'!$E$8:$E$525,$E$16:$E$533,'[1]JOBS MAR 15'!$I$8:$I$525)</f>
        <v>#VALUE!</v>
      </c>
      <c r="W224" s="55" t="str">
        <f t="shared" si="26"/>
        <v xml:space="preserve"> </v>
      </c>
    </row>
    <row r="225" spans="2:23" x14ac:dyDescent="0.2">
      <c r="B225">
        <v>709</v>
      </c>
      <c r="C225">
        <v>1</v>
      </c>
      <c r="D225" s="2" t="s">
        <v>497</v>
      </c>
      <c r="E225" s="50" t="s">
        <v>498</v>
      </c>
      <c r="F225" s="50">
        <v>2711040</v>
      </c>
      <c r="G225" s="50">
        <v>8</v>
      </c>
      <c r="H225" s="52" t="e">
        <f>SUMIF('[1]Build Detail'!$D$4:$D$521,$B$16:$B$533,'[1]Build Detail'!$H$4:$H$521)</f>
        <v>#VALUE!</v>
      </c>
      <c r="I225" s="52" t="e">
        <f>SUMIF('[1]Build Detail'!$D$4:$D$521,$B$16:$B$533,'[1]Build Detail'!$Q$4:$Q$521)</f>
        <v>#VALUE!</v>
      </c>
      <c r="J225" s="52" t="e">
        <f>SUMIF('[1]Build Detail'!$D$4:$D$521,$B$16:$B$533,'[1]Build Detail'!$T$4:$T$521)</f>
        <v>#VALUE!</v>
      </c>
      <c r="K225" s="53">
        <v>66810070.790000007</v>
      </c>
      <c r="L225" s="37">
        <f t="shared" si="27"/>
        <v>1884099.24</v>
      </c>
      <c r="M225" s="37">
        <v>1844742.63</v>
      </c>
      <c r="N225" s="38">
        <v>1660268.37</v>
      </c>
      <c r="O225" s="37">
        <f t="shared" si="21"/>
        <v>223830.86999999988</v>
      </c>
      <c r="P225" s="54" t="e">
        <f t="shared" si="22"/>
        <v>#VALUE!</v>
      </c>
      <c r="Q225" s="40">
        <f t="shared" si="23"/>
        <v>0.11879993646194555</v>
      </c>
      <c r="R225" s="37">
        <f t="shared" si="24"/>
        <v>39356.610000000102</v>
      </c>
      <c r="S225" s="41">
        <f t="shared" si="25"/>
        <v>2.1334472007078897E-2</v>
      </c>
      <c r="T225" s="37" t="e">
        <f>SUMIF('[1]JOBS MAR 15'!$E$8:$E$525,$E$16:$E$533,'[1]JOBS MAR 15'!$G$8:$G$525)</f>
        <v>#VALUE!</v>
      </c>
      <c r="U225" s="37" t="e">
        <f>SUMIF('[1]JOBS MAR 15'!$E$8:$E$525,$E$16:$E$533,'[1]JOBS MAR 15'!$H$8:$H$525)</f>
        <v>#VALUE!</v>
      </c>
      <c r="V225" s="37" t="e">
        <f>SUMIF('[1]JOBS MAR 15'!$E$8:$E$525,$E$16:$E$533,'[1]JOBS MAR 15'!$I$8:$I$525)</f>
        <v>#VALUE!</v>
      </c>
      <c r="W225" s="55" t="str">
        <f t="shared" si="26"/>
        <v xml:space="preserve"> </v>
      </c>
    </row>
    <row r="226" spans="2:23" x14ac:dyDescent="0.2">
      <c r="B226">
        <v>712</v>
      </c>
      <c r="C226">
        <v>1</v>
      </c>
      <c r="D226" s="2" t="s">
        <v>499</v>
      </c>
      <c r="E226" s="50" t="s">
        <v>500</v>
      </c>
      <c r="F226" s="50">
        <v>2700001</v>
      </c>
      <c r="G226" s="50">
        <v>8</v>
      </c>
      <c r="H226" s="52" t="e">
        <f>SUMIF('[1]Build Detail'!$D$4:$D$521,$B$16:$B$533,'[1]Build Detail'!$H$4:$H$521)</f>
        <v>#VALUE!</v>
      </c>
      <c r="I226" s="52" t="e">
        <f>SUMIF('[1]Build Detail'!$D$4:$D$521,$B$16:$B$533,'[1]Build Detail'!$Q$4:$Q$521)</f>
        <v>#VALUE!</v>
      </c>
      <c r="J226" s="52" t="e">
        <f>SUMIF('[1]Build Detail'!$D$4:$D$521,$B$16:$B$533,'[1]Build Detail'!$T$4:$T$521)</f>
        <v>#VALUE!</v>
      </c>
      <c r="K226" s="53">
        <v>4722483.5199999996</v>
      </c>
      <c r="L226" s="37">
        <f t="shared" si="27"/>
        <v>133177.94</v>
      </c>
      <c r="M226" s="37">
        <v>128247.73</v>
      </c>
      <c r="N226" s="38">
        <v>115422.96</v>
      </c>
      <c r="O226" s="37">
        <f t="shared" si="21"/>
        <v>17754.979999999996</v>
      </c>
      <c r="P226" s="54" t="e">
        <f t="shared" si="22"/>
        <v>#VALUE!</v>
      </c>
      <c r="Q226" s="40">
        <f t="shared" si="23"/>
        <v>0.1333177251427676</v>
      </c>
      <c r="R226" s="37">
        <f t="shared" si="24"/>
        <v>4930.2100000000064</v>
      </c>
      <c r="S226" s="41">
        <f t="shared" si="25"/>
        <v>3.8442863667060671E-2</v>
      </c>
      <c r="T226" s="37" t="e">
        <f>SUMIF('[1]JOBS MAR 15'!$E$8:$E$525,$E$16:$E$533,'[1]JOBS MAR 15'!$G$8:$G$525)</f>
        <v>#VALUE!</v>
      </c>
      <c r="U226" s="37" t="e">
        <f>SUMIF('[1]JOBS MAR 15'!$E$8:$E$525,$E$16:$E$533,'[1]JOBS MAR 15'!$H$8:$H$525)</f>
        <v>#VALUE!</v>
      </c>
      <c r="V226" s="37" t="e">
        <f>SUMIF('[1]JOBS MAR 15'!$E$8:$E$525,$E$16:$E$533,'[1]JOBS MAR 15'!$I$8:$I$525)</f>
        <v>#VALUE!</v>
      </c>
      <c r="W226" s="55" t="str">
        <f t="shared" si="26"/>
        <v xml:space="preserve"> </v>
      </c>
    </row>
    <row r="227" spans="2:23" x14ac:dyDescent="0.2">
      <c r="B227">
        <v>716</v>
      </c>
      <c r="C227">
        <v>1</v>
      </c>
      <c r="D227" s="2" t="s">
        <v>501</v>
      </c>
      <c r="E227" s="50" t="s">
        <v>502</v>
      </c>
      <c r="F227" s="50">
        <v>2704050</v>
      </c>
      <c r="G227" s="50">
        <v>2</v>
      </c>
      <c r="H227" s="52" t="e">
        <f>SUMIF('[1]Build Detail'!$D$4:$D$521,$B$16:$B$533,'[1]Build Detail'!$H$4:$H$521)</f>
        <v>#VALUE!</v>
      </c>
      <c r="I227" s="52" t="e">
        <f>SUMIF('[1]Build Detail'!$D$4:$D$521,$B$16:$B$533,'[1]Build Detail'!$Q$4:$Q$521)</f>
        <v>#VALUE!</v>
      </c>
      <c r="J227" s="52" t="e">
        <f>SUMIF('[1]Build Detail'!$D$4:$D$521,$B$16:$B$533,'[1]Build Detail'!$T$4:$T$521)</f>
        <v>#VALUE!</v>
      </c>
      <c r="K227" s="53">
        <v>10433367.1</v>
      </c>
      <c r="L227" s="37">
        <f t="shared" si="27"/>
        <v>294229.58</v>
      </c>
      <c r="M227" s="37">
        <v>292197.7</v>
      </c>
      <c r="N227" s="38">
        <v>262977.93</v>
      </c>
      <c r="O227" s="37">
        <f t="shared" si="21"/>
        <v>31251.650000000023</v>
      </c>
      <c r="P227" s="54" t="e">
        <f t="shared" si="22"/>
        <v>#VALUE!</v>
      </c>
      <c r="Q227" s="40">
        <f t="shared" si="23"/>
        <v>0.10621518747367284</v>
      </c>
      <c r="R227" s="37">
        <f t="shared" si="24"/>
        <v>2031.8800000000047</v>
      </c>
      <c r="S227" s="41">
        <f t="shared" si="25"/>
        <v>6.953785057171924E-3</v>
      </c>
      <c r="T227" s="37" t="e">
        <f>SUMIF('[1]JOBS MAR 15'!$E$8:$E$525,$E$16:$E$533,'[1]JOBS MAR 15'!$G$8:$G$525)</f>
        <v>#VALUE!</v>
      </c>
      <c r="U227" s="37" t="e">
        <f>SUMIF('[1]JOBS MAR 15'!$E$8:$E$525,$E$16:$E$533,'[1]JOBS MAR 15'!$H$8:$H$525)</f>
        <v>#VALUE!</v>
      </c>
      <c r="V227" s="37" t="e">
        <f>SUMIF('[1]JOBS MAR 15'!$E$8:$E$525,$E$16:$E$533,'[1]JOBS MAR 15'!$I$8:$I$525)</f>
        <v>#VALUE!</v>
      </c>
      <c r="W227" s="55" t="str">
        <f t="shared" si="26"/>
        <v xml:space="preserve"> </v>
      </c>
    </row>
    <row r="228" spans="2:23" x14ac:dyDescent="0.2">
      <c r="B228">
        <v>717</v>
      </c>
      <c r="C228">
        <v>1</v>
      </c>
      <c r="D228" s="2" t="s">
        <v>503</v>
      </c>
      <c r="E228" s="50" t="s">
        <v>504</v>
      </c>
      <c r="F228" s="50">
        <v>2715750</v>
      </c>
      <c r="G228" s="50">
        <v>2</v>
      </c>
      <c r="H228" s="52" t="e">
        <f>SUMIF('[1]Build Detail'!$D$4:$D$521,$B$16:$B$533,'[1]Build Detail'!$H$4:$H$521)</f>
        <v>#VALUE!</v>
      </c>
      <c r="I228" s="52" t="e">
        <f>SUMIF('[1]Build Detail'!$D$4:$D$521,$B$16:$B$533,'[1]Build Detail'!$Q$4:$Q$521)</f>
        <v>#VALUE!</v>
      </c>
      <c r="J228" s="52" t="e">
        <f>SUMIF('[1]Build Detail'!$D$4:$D$521,$B$16:$B$533,'[1]Build Detail'!$T$4:$T$521)</f>
        <v>#VALUE!</v>
      </c>
      <c r="K228" s="53">
        <v>10851512.1</v>
      </c>
      <c r="L228" s="37">
        <f t="shared" si="27"/>
        <v>306021.61</v>
      </c>
      <c r="M228" s="37">
        <v>300251.89</v>
      </c>
      <c r="N228" s="38">
        <v>270226.7</v>
      </c>
      <c r="O228" s="37">
        <f t="shared" si="21"/>
        <v>35794.909999999974</v>
      </c>
      <c r="P228" s="54" t="e">
        <f t="shared" si="22"/>
        <v>#VALUE!</v>
      </c>
      <c r="Q228" s="40">
        <f t="shared" si="23"/>
        <v>0.1169685696379415</v>
      </c>
      <c r="R228" s="37">
        <f t="shared" si="24"/>
        <v>5769.7199999999721</v>
      </c>
      <c r="S228" s="41">
        <f t="shared" si="25"/>
        <v>1.9216265383042126E-2</v>
      </c>
      <c r="T228" s="37" t="e">
        <f>SUMIF('[1]JOBS MAR 15'!$E$8:$E$525,$E$16:$E$533,'[1]JOBS MAR 15'!$G$8:$G$525)</f>
        <v>#VALUE!</v>
      </c>
      <c r="U228" s="37" t="e">
        <f>SUMIF('[1]JOBS MAR 15'!$E$8:$E$525,$E$16:$E$533,'[1]JOBS MAR 15'!$H$8:$H$525)</f>
        <v>#VALUE!</v>
      </c>
      <c r="V228" s="37" t="e">
        <f>SUMIF('[1]JOBS MAR 15'!$E$8:$E$525,$E$16:$E$533,'[1]JOBS MAR 15'!$I$8:$I$525)</f>
        <v>#VALUE!</v>
      </c>
      <c r="W228" s="55" t="str">
        <f t="shared" si="26"/>
        <v xml:space="preserve"> </v>
      </c>
    </row>
    <row r="229" spans="2:23" x14ac:dyDescent="0.2">
      <c r="B229">
        <v>719</v>
      </c>
      <c r="C229">
        <v>1</v>
      </c>
      <c r="D229" s="2" t="s">
        <v>505</v>
      </c>
      <c r="E229" s="50" t="s">
        <v>506</v>
      </c>
      <c r="F229" s="50">
        <v>2730060</v>
      </c>
      <c r="G229" s="50">
        <v>2</v>
      </c>
      <c r="H229" s="52" t="e">
        <f>SUMIF('[1]Build Detail'!$D$4:$D$521,$B$16:$B$533,'[1]Build Detail'!$H$4:$H$521)</f>
        <v>#VALUE!</v>
      </c>
      <c r="I229" s="52" t="e">
        <f>SUMIF('[1]Build Detail'!$D$4:$D$521,$B$16:$B$533,'[1]Build Detail'!$Q$4:$Q$521)</f>
        <v>#VALUE!</v>
      </c>
      <c r="J229" s="52" t="e">
        <f>SUMIF('[1]Build Detail'!$D$4:$D$521,$B$16:$B$533,'[1]Build Detail'!$T$4:$T$521)</f>
        <v>#VALUE!</v>
      </c>
      <c r="K229" s="53">
        <v>42372719.489999995</v>
      </c>
      <c r="L229" s="37">
        <f t="shared" si="27"/>
        <v>1194945.73</v>
      </c>
      <c r="M229" s="37">
        <v>1187852.82</v>
      </c>
      <c r="N229" s="38">
        <v>1069067.54</v>
      </c>
      <c r="O229" s="37">
        <f t="shared" si="21"/>
        <v>125878.18999999994</v>
      </c>
      <c r="P229" s="54" t="e">
        <f t="shared" si="22"/>
        <v>#VALUE!</v>
      </c>
      <c r="Q229" s="40">
        <f t="shared" si="23"/>
        <v>0.10534218152317255</v>
      </c>
      <c r="R229" s="37">
        <f t="shared" si="24"/>
        <v>7092.9099999999162</v>
      </c>
      <c r="S229" s="41">
        <f t="shared" si="25"/>
        <v>5.9712027286342728E-3</v>
      </c>
      <c r="T229" s="37" t="e">
        <f>SUMIF('[1]JOBS MAR 15'!$E$8:$E$525,$E$16:$E$533,'[1]JOBS MAR 15'!$G$8:$G$525)</f>
        <v>#VALUE!</v>
      </c>
      <c r="U229" s="37" t="e">
        <f>SUMIF('[1]JOBS MAR 15'!$E$8:$E$525,$E$16:$E$533,'[1]JOBS MAR 15'!$H$8:$H$525)</f>
        <v>#VALUE!</v>
      </c>
      <c r="V229" s="37" t="e">
        <f>SUMIF('[1]JOBS MAR 15'!$E$8:$E$525,$E$16:$E$533,'[1]JOBS MAR 15'!$I$8:$I$525)</f>
        <v>#VALUE!</v>
      </c>
      <c r="W229" s="55" t="str">
        <f t="shared" si="26"/>
        <v xml:space="preserve"> </v>
      </c>
    </row>
    <row r="230" spans="2:23" x14ac:dyDescent="0.2">
      <c r="B230">
        <v>720</v>
      </c>
      <c r="C230">
        <v>1</v>
      </c>
      <c r="D230" s="2" t="s">
        <v>507</v>
      </c>
      <c r="E230" s="50" t="s">
        <v>508</v>
      </c>
      <c r="F230" s="50">
        <v>2733000</v>
      </c>
      <c r="G230" s="50">
        <v>2</v>
      </c>
      <c r="H230" s="52" t="e">
        <f>SUMIF('[1]Build Detail'!$D$4:$D$521,$B$16:$B$533,'[1]Build Detail'!$H$4:$H$521)</f>
        <v>#VALUE!</v>
      </c>
      <c r="I230" s="52" t="e">
        <f>SUMIF('[1]Build Detail'!$D$4:$D$521,$B$16:$B$533,'[1]Build Detail'!$Q$4:$Q$521)</f>
        <v>#VALUE!</v>
      </c>
      <c r="J230" s="52" t="e">
        <f>SUMIF('[1]Build Detail'!$D$4:$D$521,$B$16:$B$533,'[1]Build Detail'!$T$4:$T$521)</f>
        <v>#VALUE!</v>
      </c>
      <c r="K230" s="53">
        <v>48317254.609999999</v>
      </c>
      <c r="L230" s="37">
        <f t="shared" si="27"/>
        <v>1362586.53</v>
      </c>
      <c r="M230" s="37">
        <v>1361235.82</v>
      </c>
      <c r="N230" s="38">
        <v>1225112.24</v>
      </c>
      <c r="O230" s="37">
        <f t="shared" si="21"/>
        <v>137474.29000000004</v>
      </c>
      <c r="P230" s="54" t="e">
        <f t="shared" si="22"/>
        <v>#VALUE!</v>
      </c>
      <c r="Q230" s="40">
        <f t="shared" si="23"/>
        <v>0.10089215398305752</v>
      </c>
      <c r="R230" s="37">
        <f t="shared" si="24"/>
        <v>1350.7099999999627</v>
      </c>
      <c r="S230" s="41">
        <f t="shared" si="25"/>
        <v>9.9226745296782061E-4</v>
      </c>
      <c r="T230" s="37" t="e">
        <f>SUMIF('[1]JOBS MAR 15'!$E$8:$E$525,$E$16:$E$533,'[1]JOBS MAR 15'!$G$8:$G$525)</f>
        <v>#VALUE!</v>
      </c>
      <c r="U230" s="37" t="e">
        <f>SUMIF('[1]JOBS MAR 15'!$E$8:$E$525,$E$16:$E$533,'[1]JOBS MAR 15'!$H$8:$H$525)</f>
        <v>#VALUE!</v>
      </c>
      <c r="V230" s="37" t="e">
        <f>SUMIF('[1]JOBS MAR 15'!$E$8:$E$525,$E$16:$E$533,'[1]JOBS MAR 15'!$I$8:$I$525)</f>
        <v>#VALUE!</v>
      </c>
      <c r="W230" s="55" t="str">
        <f t="shared" si="26"/>
        <v xml:space="preserve"> </v>
      </c>
    </row>
    <row r="231" spans="2:23" x14ac:dyDescent="0.2">
      <c r="B231">
        <v>721</v>
      </c>
      <c r="C231">
        <v>1</v>
      </c>
      <c r="D231" s="2" t="s">
        <v>509</v>
      </c>
      <c r="E231" s="50" t="s">
        <v>510</v>
      </c>
      <c r="F231" s="50">
        <v>2723430</v>
      </c>
      <c r="G231" s="50">
        <v>2</v>
      </c>
      <c r="H231" s="52" t="e">
        <f>SUMIF('[1]Build Detail'!$D$4:$D$521,$B$16:$B$533,'[1]Build Detail'!$H$4:$H$521)</f>
        <v>#VALUE!</v>
      </c>
      <c r="I231" s="52" t="e">
        <f>SUMIF('[1]Build Detail'!$D$4:$D$521,$B$16:$B$533,'[1]Build Detail'!$Q$4:$Q$521)</f>
        <v>#VALUE!</v>
      </c>
      <c r="J231" s="52" t="e">
        <f>SUMIF('[1]Build Detail'!$D$4:$D$521,$B$16:$B$533,'[1]Build Detail'!$T$4:$T$521)</f>
        <v>#VALUE!</v>
      </c>
      <c r="K231" s="53">
        <v>23069527.160000004</v>
      </c>
      <c r="L231" s="37">
        <f t="shared" si="27"/>
        <v>650579.74</v>
      </c>
      <c r="M231" s="37">
        <v>638565.35</v>
      </c>
      <c r="N231" s="38">
        <v>574708.81999999995</v>
      </c>
      <c r="O231" s="37">
        <f t="shared" si="21"/>
        <v>75870.920000000042</v>
      </c>
      <c r="P231" s="54" t="e">
        <f t="shared" si="22"/>
        <v>#VALUE!</v>
      </c>
      <c r="Q231" s="40">
        <f t="shared" si="23"/>
        <v>0.11662047760663442</v>
      </c>
      <c r="R231" s="37">
        <f t="shared" si="24"/>
        <v>12014.390000000014</v>
      </c>
      <c r="S231" s="41">
        <f t="shared" si="25"/>
        <v>1.8814660081384018E-2</v>
      </c>
      <c r="T231" s="37" t="e">
        <f>SUMIF('[1]JOBS MAR 15'!$E$8:$E$525,$E$16:$E$533,'[1]JOBS MAR 15'!$G$8:$G$525)</f>
        <v>#VALUE!</v>
      </c>
      <c r="U231" s="37" t="e">
        <f>SUMIF('[1]JOBS MAR 15'!$E$8:$E$525,$E$16:$E$533,'[1]JOBS MAR 15'!$H$8:$H$525)</f>
        <v>#VALUE!</v>
      </c>
      <c r="V231" s="37" t="e">
        <f>SUMIF('[1]JOBS MAR 15'!$E$8:$E$525,$E$16:$E$533,'[1]JOBS MAR 15'!$I$8:$I$525)</f>
        <v>#VALUE!</v>
      </c>
      <c r="W231" s="55" t="str">
        <f t="shared" si="26"/>
        <v xml:space="preserve"> </v>
      </c>
    </row>
    <row r="232" spans="2:23" x14ac:dyDescent="0.2">
      <c r="B232">
        <v>726</v>
      </c>
      <c r="C232">
        <v>1</v>
      </c>
      <c r="D232" s="2" t="s">
        <v>511</v>
      </c>
      <c r="E232" s="50" t="s">
        <v>512</v>
      </c>
      <c r="F232" s="50">
        <v>2703870</v>
      </c>
      <c r="G232" s="50">
        <v>6</v>
      </c>
      <c r="H232" s="52" t="e">
        <f>SUMIF('[1]Build Detail'!$D$4:$D$521,$B$16:$B$533,'[1]Build Detail'!$H$4:$H$521)</f>
        <v>#VALUE!</v>
      </c>
      <c r="I232" s="52" t="e">
        <f>SUMIF('[1]Build Detail'!$D$4:$D$521,$B$16:$B$533,'[1]Build Detail'!$Q$4:$Q$521)</f>
        <v>#VALUE!</v>
      </c>
      <c r="J232" s="52" t="e">
        <f>SUMIF('[1]Build Detail'!$D$4:$D$521,$B$16:$B$533,'[1]Build Detail'!$T$4:$T$521)</f>
        <v>#VALUE!</v>
      </c>
      <c r="K232" s="53">
        <v>16843303.949999999</v>
      </c>
      <c r="L232" s="37">
        <f t="shared" si="27"/>
        <v>474995.1</v>
      </c>
      <c r="M232" s="37">
        <v>472209.74</v>
      </c>
      <c r="N232" s="38">
        <v>424988.77</v>
      </c>
      <c r="O232" s="37">
        <f t="shared" si="21"/>
        <v>50006.329999999958</v>
      </c>
      <c r="P232" s="54" t="e">
        <f t="shared" si="22"/>
        <v>#VALUE!</v>
      </c>
      <c r="Q232" s="40">
        <f t="shared" si="23"/>
        <v>0.10527757023177704</v>
      </c>
      <c r="R232" s="37">
        <f t="shared" si="24"/>
        <v>2785.359999999986</v>
      </c>
      <c r="S232" s="41">
        <f t="shared" si="25"/>
        <v>5.8985653281950221E-3</v>
      </c>
      <c r="T232" s="37" t="e">
        <f>SUMIF('[1]JOBS MAR 15'!$E$8:$E$525,$E$16:$E$533,'[1]JOBS MAR 15'!$G$8:$G$525)</f>
        <v>#VALUE!</v>
      </c>
      <c r="U232" s="37" t="e">
        <f>SUMIF('[1]JOBS MAR 15'!$E$8:$E$525,$E$16:$E$533,'[1]JOBS MAR 15'!$H$8:$H$525)</f>
        <v>#VALUE!</v>
      </c>
      <c r="V232" s="37" t="e">
        <f>SUMIF('[1]JOBS MAR 15'!$E$8:$E$525,$E$16:$E$533,'[1]JOBS MAR 15'!$I$8:$I$525)</f>
        <v>#VALUE!</v>
      </c>
      <c r="W232" s="55" t="str">
        <f t="shared" si="26"/>
        <v xml:space="preserve"> </v>
      </c>
    </row>
    <row r="233" spans="2:23" x14ac:dyDescent="0.2">
      <c r="B233">
        <v>727</v>
      </c>
      <c r="C233">
        <v>1</v>
      </c>
      <c r="D233" s="2" t="s">
        <v>513</v>
      </c>
      <c r="E233" s="50" t="s">
        <v>514</v>
      </c>
      <c r="F233" s="50">
        <v>2705460</v>
      </c>
      <c r="G233" s="50">
        <v>6</v>
      </c>
      <c r="H233" s="52" t="e">
        <f>SUMIF('[1]Build Detail'!$D$4:$D$521,$B$16:$B$533,'[1]Build Detail'!$H$4:$H$521)</f>
        <v>#VALUE!</v>
      </c>
      <c r="I233" s="52" t="e">
        <f>SUMIF('[1]Build Detail'!$D$4:$D$521,$B$16:$B$533,'[1]Build Detail'!$Q$4:$Q$521)</f>
        <v>#VALUE!</v>
      </c>
      <c r="J233" s="52" t="e">
        <f>SUMIF('[1]Build Detail'!$D$4:$D$521,$B$16:$B$533,'[1]Build Detail'!$T$4:$T$521)</f>
        <v>#VALUE!</v>
      </c>
      <c r="K233" s="53">
        <v>23626472.800000001</v>
      </c>
      <c r="L233" s="37">
        <f t="shared" si="27"/>
        <v>666286.06999999995</v>
      </c>
      <c r="M233" s="37">
        <v>662621.17000000004</v>
      </c>
      <c r="N233" s="38">
        <v>596359.05000000005</v>
      </c>
      <c r="O233" s="37">
        <f t="shared" si="21"/>
        <v>69927.019999999902</v>
      </c>
      <c r="P233" s="54" t="e">
        <f t="shared" si="22"/>
        <v>#VALUE!</v>
      </c>
      <c r="Q233" s="40">
        <f t="shared" si="23"/>
        <v>0.10495044568468902</v>
      </c>
      <c r="R233" s="37">
        <f t="shared" si="24"/>
        <v>3664.8999999999069</v>
      </c>
      <c r="S233" s="41">
        <f t="shared" si="25"/>
        <v>5.5309129347616628E-3</v>
      </c>
      <c r="T233" s="37" t="e">
        <f>SUMIF('[1]JOBS MAR 15'!$E$8:$E$525,$E$16:$E$533,'[1]JOBS MAR 15'!$G$8:$G$525)</f>
        <v>#VALUE!</v>
      </c>
      <c r="U233" s="37" t="e">
        <f>SUMIF('[1]JOBS MAR 15'!$E$8:$E$525,$E$16:$E$533,'[1]JOBS MAR 15'!$H$8:$H$525)</f>
        <v>#VALUE!</v>
      </c>
      <c r="V233" s="37" t="e">
        <f>SUMIF('[1]JOBS MAR 15'!$E$8:$E$525,$E$16:$E$533,'[1]JOBS MAR 15'!$I$8:$I$525)</f>
        <v>#VALUE!</v>
      </c>
      <c r="W233" s="55" t="str">
        <f t="shared" si="26"/>
        <v xml:space="preserve"> </v>
      </c>
    </row>
    <row r="234" spans="2:23" x14ac:dyDescent="0.2">
      <c r="B234">
        <v>728</v>
      </c>
      <c r="C234">
        <v>1</v>
      </c>
      <c r="D234" s="2" t="s">
        <v>515</v>
      </c>
      <c r="E234" s="50" t="s">
        <v>516</v>
      </c>
      <c r="F234" s="50">
        <v>2711370</v>
      </c>
      <c r="G234" s="50">
        <v>6</v>
      </c>
      <c r="H234" s="52" t="e">
        <f>SUMIF('[1]Build Detail'!$D$4:$D$521,$B$16:$B$533,'[1]Build Detail'!$H$4:$H$521)</f>
        <v>#VALUE!</v>
      </c>
      <c r="I234" s="52" t="e">
        <f>SUMIF('[1]Build Detail'!$D$4:$D$521,$B$16:$B$533,'[1]Build Detail'!$Q$4:$Q$521)</f>
        <v>#VALUE!</v>
      </c>
      <c r="J234" s="52" t="e">
        <f>SUMIF('[1]Build Detail'!$D$4:$D$521,$B$16:$B$533,'[1]Build Detail'!$T$4:$T$521)</f>
        <v>#VALUE!</v>
      </c>
      <c r="K234" s="53">
        <v>85112829.600000009</v>
      </c>
      <c r="L234" s="37">
        <f t="shared" si="27"/>
        <v>2400252.1800000002</v>
      </c>
      <c r="M234" s="37">
        <v>2392665.9900000002</v>
      </c>
      <c r="N234" s="38">
        <v>2153399.39</v>
      </c>
      <c r="O234" s="37">
        <f t="shared" si="21"/>
        <v>246852.79000000004</v>
      </c>
      <c r="P234" s="54" t="e">
        <f t="shared" si="22"/>
        <v>#VALUE!</v>
      </c>
      <c r="Q234" s="40">
        <f t="shared" si="23"/>
        <v>0.10284452277843573</v>
      </c>
      <c r="R234" s="37">
        <f t="shared" si="24"/>
        <v>7586.1899999999441</v>
      </c>
      <c r="S234" s="41">
        <f t="shared" si="25"/>
        <v>3.1706013424798768E-3</v>
      </c>
      <c r="T234" s="37" t="e">
        <f>SUMIF('[1]JOBS MAR 15'!$E$8:$E$525,$E$16:$E$533,'[1]JOBS MAR 15'!$G$8:$G$525)</f>
        <v>#VALUE!</v>
      </c>
      <c r="U234" s="37" t="e">
        <f>SUMIF('[1]JOBS MAR 15'!$E$8:$E$525,$E$16:$E$533,'[1]JOBS MAR 15'!$H$8:$H$525)</f>
        <v>#VALUE!</v>
      </c>
      <c r="V234" s="37" t="e">
        <f>SUMIF('[1]JOBS MAR 15'!$E$8:$E$525,$E$16:$E$533,'[1]JOBS MAR 15'!$I$8:$I$525)</f>
        <v>#VALUE!</v>
      </c>
      <c r="W234" s="55" t="str">
        <f t="shared" si="26"/>
        <v xml:space="preserve"> </v>
      </c>
    </row>
    <row r="235" spans="2:23" x14ac:dyDescent="0.2">
      <c r="B235">
        <v>738</v>
      </c>
      <c r="C235">
        <v>1</v>
      </c>
      <c r="D235" s="2" t="s">
        <v>517</v>
      </c>
      <c r="E235" s="50" t="s">
        <v>518</v>
      </c>
      <c r="F235" s="50">
        <v>2714190</v>
      </c>
      <c r="G235" s="50">
        <v>6</v>
      </c>
      <c r="H235" s="52" t="e">
        <f>SUMIF('[1]Build Detail'!$D$4:$D$521,$B$16:$B$533,'[1]Build Detail'!$H$4:$H$521)</f>
        <v>#VALUE!</v>
      </c>
      <c r="I235" s="52" t="e">
        <f>SUMIF('[1]Build Detail'!$D$4:$D$521,$B$16:$B$533,'[1]Build Detail'!$Q$4:$Q$521)</f>
        <v>#VALUE!</v>
      </c>
      <c r="J235" s="52" t="e">
        <f>SUMIF('[1]Build Detail'!$D$4:$D$521,$B$16:$B$533,'[1]Build Detail'!$T$4:$T$521)</f>
        <v>#VALUE!</v>
      </c>
      <c r="K235" s="53">
        <v>6830992.2200000007</v>
      </c>
      <c r="L235" s="37">
        <f t="shared" si="27"/>
        <v>192639.63</v>
      </c>
      <c r="M235" s="37">
        <v>192436.79</v>
      </c>
      <c r="N235" s="38">
        <v>173193.11</v>
      </c>
      <c r="O235" s="37">
        <f t="shared" si="21"/>
        <v>19446.520000000019</v>
      </c>
      <c r="P235" s="54" t="e">
        <f t="shared" si="22"/>
        <v>#VALUE!</v>
      </c>
      <c r="Q235" s="40">
        <f t="shared" si="23"/>
        <v>0.10094766066566895</v>
      </c>
      <c r="R235" s="37">
        <f t="shared" si="24"/>
        <v>202.83999999999651</v>
      </c>
      <c r="S235" s="41">
        <f t="shared" si="25"/>
        <v>1.0540604008204277E-3</v>
      </c>
      <c r="T235" s="37" t="e">
        <f>SUMIF('[1]JOBS MAR 15'!$E$8:$E$525,$E$16:$E$533,'[1]JOBS MAR 15'!$G$8:$G$525)</f>
        <v>#VALUE!</v>
      </c>
      <c r="U235" s="37" t="e">
        <f>SUMIF('[1]JOBS MAR 15'!$E$8:$E$525,$E$16:$E$533,'[1]JOBS MAR 15'!$H$8:$H$525)</f>
        <v>#VALUE!</v>
      </c>
      <c r="V235" s="37" t="e">
        <f>SUMIF('[1]JOBS MAR 15'!$E$8:$E$525,$E$16:$E$533,'[1]JOBS MAR 15'!$I$8:$I$525)</f>
        <v>#VALUE!</v>
      </c>
      <c r="W235" s="55" t="str">
        <f t="shared" si="26"/>
        <v xml:space="preserve"> </v>
      </c>
    </row>
    <row r="236" spans="2:23" x14ac:dyDescent="0.2">
      <c r="B236">
        <v>739</v>
      </c>
      <c r="C236">
        <v>1</v>
      </c>
      <c r="D236" s="2" t="s">
        <v>519</v>
      </c>
      <c r="E236" s="50" t="s">
        <v>520</v>
      </c>
      <c r="F236" s="50">
        <v>2717220</v>
      </c>
      <c r="G236" s="50">
        <v>6</v>
      </c>
      <c r="H236" s="52" t="e">
        <f>SUMIF('[1]Build Detail'!$D$4:$D$521,$B$16:$B$533,'[1]Build Detail'!$H$4:$H$521)</f>
        <v>#VALUE!</v>
      </c>
      <c r="I236" s="52" t="e">
        <f>SUMIF('[1]Build Detail'!$D$4:$D$521,$B$16:$B$533,'[1]Build Detail'!$Q$4:$Q$521)</f>
        <v>#VALUE!</v>
      </c>
      <c r="J236" s="52" t="e">
        <f>SUMIF('[1]Build Detail'!$D$4:$D$521,$B$16:$B$533,'[1]Build Detail'!$T$4:$T$521)</f>
        <v>#VALUE!</v>
      </c>
      <c r="K236" s="53">
        <v>4551657.3600000003</v>
      </c>
      <c r="L236" s="37">
        <f t="shared" si="27"/>
        <v>128360.5</v>
      </c>
      <c r="M236" s="37">
        <v>126839.84</v>
      </c>
      <c r="N236" s="38">
        <v>114155.86</v>
      </c>
      <c r="O236" s="37">
        <f t="shared" si="21"/>
        <v>14204.64</v>
      </c>
      <c r="P236" s="54" t="e">
        <f t="shared" si="22"/>
        <v>#VALUE!</v>
      </c>
      <c r="Q236" s="40">
        <f t="shared" si="23"/>
        <v>0.11066208062449118</v>
      </c>
      <c r="R236" s="37">
        <f t="shared" si="24"/>
        <v>1520.6600000000035</v>
      </c>
      <c r="S236" s="41">
        <f t="shared" si="25"/>
        <v>1.1988819916518371E-2</v>
      </c>
      <c r="T236" s="37" t="e">
        <f>SUMIF('[1]JOBS MAR 15'!$E$8:$E$525,$E$16:$E$533,'[1]JOBS MAR 15'!$G$8:$G$525)</f>
        <v>#VALUE!</v>
      </c>
      <c r="U236" s="37" t="e">
        <f>SUMIF('[1]JOBS MAR 15'!$E$8:$E$525,$E$16:$E$533,'[1]JOBS MAR 15'!$H$8:$H$525)</f>
        <v>#VALUE!</v>
      </c>
      <c r="V236" s="37" t="e">
        <f>SUMIF('[1]JOBS MAR 15'!$E$8:$E$525,$E$16:$E$533,'[1]JOBS MAR 15'!$I$8:$I$525)</f>
        <v>#VALUE!</v>
      </c>
      <c r="W236" s="55" t="str">
        <f t="shared" si="26"/>
        <v xml:space="preserve"> </v>
      </c>
    </row>
    <row r="237" spans="2:23" x14ac:dyDescent="0.2">
      <c r="B237">
        <v>740</v>
      </c>
      <c r="C237">
        <v>1</v>
      </c>
      <c r="D237" s="2" t="s">
        <v>521</v>
      </c>
      <c r="E237" s="50" t="s">
        <v>522</v>
      </c>
      <c r="F237" s="50">
        <v>2720550</v>
      </c>
      <c r="G237" s="50">
        <v>7</v>
      </c>
      <c r="H237" s="52" t="e">
        <f>SUMIF('[1]Build Detail'!$D$4:$D$521,$B$16:$B$533,'[1]Build Detail'!$H$4:$H$521)</f>
        <v>#VALUE!</v>
      </c>
      <c r="I237" s="52" t="e">
        <f>SUMIF('[1]Build Detail'!$D$4:$D$521,$B$16:$B$533,'[1]Build Detail'!$Q$4:$Q$521)</f>
        <v>#VALUE!</v>
      </c>
      <c r="J237" s="52" t="e">
        <f>SUMIF('[1]Build Detail'!$D$4:$D$521,$B$16:$B$533,'[1]Build Detail'!$T$4:$T$521)</f>
        <v>#VALUE!</v>
      </c>
      <c r="K237" s="53">
        <v>10259430.940000001</v>
      </c>
      <c r="L237" s="37">
        <f t="shared" si="27"/>
        <v>289324.44</v>
      </c>
      <c r="M237" s="37">
        <v>288981.92</v>
      </c>
      <c r="N237" s="38">
        <v>260083.73</v>
      </c>
      <c r="O237" s="37">
        <f t="shared" si="21"/>
        <v>29240.709999999992</v>
      </c>
      <c r="P237" s="54" t="e">
        <f t="shared" si="22"/>
        <v>#VALUE!</v>
      </c>
      <c r="Q237" s="40">
        <f t="shared" si="23"/>
        <v>0.10106546823351664</v>
      </c>
      <c r="R237" s="37">
        <f t="shared" si="24"/>
        <v>342.52000000001863</v>
      </c>
      <c r="S237" s="41">
        <f t="shared" si="25"/>
        <v>1.1852644622197079E-3</v>
      </c>
      <c r="T237" s="37" t="e">
        <f>SUMIF('[1]JOBS MAR 15'!$E$8:$E$525,$E$16:$E$533,'[1]JOBS MAR 15'!$G$8:$G$525)</f>
        <v>#VALUE!</v>
      </c>
      <c r="U237" s="37" t="e">
        <f>SUMIF('[1]JOBS MAR 15'!$E$8:$E$525,$E$16:$E$533,'[1]JOBS MAR 15'!$H$8:$H$525)</f>
        <v>#VALUE!</v>
      </c>
      <c r="V237" s="37" t="e">
        <f>SUMIF('[1]JOBS MAR 15'!$E$8:$E$525,$E$16:$E$533,'[1]JOBS MAR 15'!$I$8:$I$525)</f>
        <v>#VALUE!</v>
      </c>
      <c r="W237" s="55" t="str">
        <f t="shared" si="26"/>
        <v xml:space="preserve"> </v>
      </c>
    </row>
    <row r="238" spans="2:23" x14ac:dyDescent="0.2">
      <c r="B238">
        <v>741</v>
      </c>
      <c r="C238">
        <v>1</v>
      </c>
      <c r="D238" s="2" t="s">
        <v>523</v>
      </c>
      <c r="E238" s="50" t="s">
        <v>524</v>
      </c>
      <c r="F238" s="50">
        <v>2728140</v>
      </c>
      <c r="G238" s="50">
        <v>6</v>
      </c>
      <c r="H238" s="52" t="e">
        <f>SUMIF('[1]Build Detail'!$D$4:$D$521,$B$16:$B$533,'[1]Build Detail'!$H$4:$H$521)</f>
        <v>#VALUE!</v>
      </c>
      <c r="I238" s="52" t="e">
        <f>SUMIF('[1]Build Detail'!$D$4:$D$521,$B$16:$B$533,'[1]Build Detail'!$Q$4:$Q$521)</f>
        <v>#VALUE!</v>
      </c>
      <c r="J238" s="52" t="e">
        <f>SUMIF('[1]Build Detail'!$D$4:$D$521,$B$16:$B$533,'[1]Build Detail'!$T$4:$T$521)</f>
        <v>#VALUE!</v>
      </c>
      <c r="K238" s="53">
        <v>7381436.2799999993</v>
      </c>
      <c r="L238" s="37">
        <f t="shared" si="27"/>
        <v>208162.61</v>
      </c>
      <c r="M238" s="37">
        <v>207883.09</v>
      </c>
      <c r="N238" s="38">
        <v>187094.78</v>
      </c>
      <c r="O238" s="37">
        <f t="shared" si="21"/>
        <v>21067.829999999987</v>
      </c>
      <c r="P238" s="54" t="e">
        <f t="shared" si="22"/>
        <v>#VALUE!</v>
      </c>
      <c r="Q238" s="40">
        <f t="shared" si="23"/>
        <v>0.10120852154957122</v>
      </c>
      <c r="R238" s="37">
        <f t="shared" si="24"/>
        <v>279.51999999998952</v>
      </c>
      <c r="S238" s="41">
        <f t="shared" si="25"/>
        <v>1.3446019106219246E-3</v>
      </c>
      <c r="T238" s="37" t="e">
        <f>SUMIF('[1]JOBS MAR 15'!$E$8:$E$525,$E$16:$E$533,'[1]JOBS MAR 15'!$G$8:$G$525)</f>
        <v>#VALUE!</v>
      </c>
      <c r="U238" s="37" t="e">
        <f>SUMIF('[1]JOBS MAR 15'!$E$8:$E$525,$E$16:$E$533,'[1]JOBS MAR 15'!$H$8:$H$525)</f>
        <v>#VALUE!</v>
      </c>
      <c r="V238" s="37" t="e">
        <f>SUMIF('[1]JOBS MAR 15'!$E$8:$E$525,$E$16:$E$533,'[1]JOBS MAR 15'!$I$8:$I$525)</f>
        <v>#VALUE!</v>
      </c>
      <c r="W238" s="55" t="str">
        <f t="shared" si="26"/>
        <v xml:space="preserve"> </v>
      </c>
    </row>
    <row r="239" spans="2:23" x14ac:dyDescent="0.2">
      <c r="B239">
        <v>742</v>
      </c>
      <c r="C239">
        <v>1</v>
      </c>
      <c r="D239" s="2" t="s">
        <v>525</v>
      </c>
      <c r="E239" s="50" t="s">
        <v>526</v>
      </c>
      <c r="F239" s="50">
        <v>2733510</v>
      </c>
      <c r="G239" s="50">
        <v>6</v>
      </c>
      <c r="H239" s="52" t="e">
        <f>SUMIF('[1]Build Detail'!$D$4:$D$521,$B$16:$B$533,'[1]Build Detail'!$H$4:$H$521)</f>
        <v>#VALUE!</v>
      </c>
      <c r="I239" s="52" t="e">
        <f>SUMIF('[1]Build Detail'!$D$4:$D$521,$B$16:$B$533,'[1]Build Detail'!$Q$4:$Q$521)</f>
        <v>#VALUE!</v>
      </c>
      <c r="J239" s="52" t="e">
        <f>SUMIF('[1]Build Detail'!$D$4:$D$521,$B$16:$B$533,'[1]Build Detail'!$T$4:$T$521)</f>
        <v>#VALUE!</v>
      </c>
      <c r="K239" s="53">
        <v>74271983.090000004</v>
      </c>
      <c r="L239" s="37">
        <f t="shared" si="27"/>
        <v>2094531.34</v>
      </c>
      <c r="M239" s="37">
        <v>2028638.05</v>
      </c>
      <c r="N239" s="38">
        <v>1825774.25</v>
      </c>
      <c r="O239" s="37">
        <f t="shared" si="21"/>
        <v>268757.09000000008</v>
      </c>
      <c r="P239" s="54" t="e">
        <f t="shared" si="22"/>
        <v>#VALUE!</v>
      </c>
      <c r="Q239" s="40">
        <f t="shared" si="23"/>
        <v>0.12831371145776224</v>
      </c>
      <c r="R239" s="37">
        <f t="shared" si="24"/>
        <v>65893.290000000037</v>
      </c>
      <c r="S239" s="41">
        <f t="shared" si="25"/>
        <v>3.248154100234886E-2</v>
      </c>
      <c r="T239" s="37" t="e">
        <f>SUMIF('[1]JOBS MAR 15'!$E$8:$E$525,$E$16:$E$533,'[1]JOBS MAR 15'!$G$8:$G$525)</f>
        <v>#VALUE!</v>
      </c>
      <c r="U239" s="37" t="e">
        <f>SUMIF('[1]JOBS MAR 15'!$E$8:$E$525,$E$16:$E$533,'[1]JOBS MAR 15'!$H$8:$H$525)</f>
        <v>#VALUE!</v>
      </c>
      <c r="V239" s="37" t="e">
        <f>SUMIF('[1]JOBS MAR 15'!$E$8:$E$525,$E$16:$E$533,'[1]JOBS MAR 15'!$I$8:$I$525)</f>
        <v>#VALUE!</v>
      </c>
      <c r="W239" s="55" t="str">
        <f t="shared" si="26"/>
        <v xml:space="preserve"> </v>
      </c>
    </row>
    <row r="240" spans="2:23" x14ac:dyDescent="0.2">
      <c r="B240">
        <v>743</v>
      </c>
      <c r="C240">
        <v>1</v>
      </c>
      <c r="D240" s="2" t="s">
        <v>527</v>
      </c>
      <c r="E240" s="50" t="s">
        <v>528</v>
      </c>
      <c r="F240" s="50">
        <v>2732850</v>
      </c>
      <c r="G240" s="50">
        <v>7</v>
      </c>
      <c r="H240" s="52" t="e">
        <f>SUMIF('[1]Build Detail'!$D$4:$D$521,$B$16:$B$533,'[1]Build Detail'!$H$4:$H$521)</f>
        <v>#VALUE!</v>
      </c>
      <c r="I240" s="52" t="e">
        <f>SUMIF('[1]Build Detail'!$D$4:$D$521,$B$16:$B$533,'[1]Build Detail'!$Q$4:$Q$521)</f>
        <v>#VALUE!</v>
      </c>
      <c r="J240" s="52" t="e">
        <f>SUMIF('[1]Build Detail'!$D$4:$D$521,$B$16:$B$533,'[1]Build Detail'!$T$4:$T$521)</f>
        <v>#VALUE!</v>
      </c>
      <c r="K240" s="53">
        <v>6774082.7700000014</v>
      </c>
      <c r="L240" s="37">
        <f t="shared" si="27"/>
        <v>191034.74</v>
      </c>
      <c r="M240" s="37">
        <v>191143.75</v>
      </c>
      <c r="N240" s="38">
        <v>172029.38</v>
      </c>
      <c r="O240" s="37">
        <f t="shared" si="21"/>
        <v>19005.359999999986</v>
      </c>
      <c r="P240" s="54" t="e">
        <f t="shared" si="22"/>
        <v>#VALUE!</v>
      </c>
      <c r="Q240" s="40">
        <f t="shared" si="23"/>
        <v>9.948640755079409E-2</v>
      </c>
      <c r="R240" s="37">
        <f t="shared" si="24"/>
        <v>-109.01000000000931</v>
      </c>
      <c r="S240" s="41">
        <f t="shared" si="25"/>
        <v>-5.7030376352880656E-4</v>
      </c>
      <c r="T240" s="37" t="e">
        <f>SUMIF('[1]JOBS MAR 15'!$E$8:$E$525,$E$16:$E$533,'[1]JOBS MAR 15'!$G$8:$G$525)</f>
        <v>#VALUE!</v>
      </c>
      <c r="U240" s="37" t="e">
        <f>SUMIF('[1]JOBS MAR 15'!$E$8:$E$525,$E$16:$E$533,'[1]JOBS MAR 15'!$H$8:$H$525)</f>
        <v>#VALUE!</v>
      </c>
      <c r="V240" s="37" t="e">
        <f>SUMIF('[1]JOBS MAR 15'!$E$8:$E$525,$E$16:$E$533,'[1]JOBS MAR 15'!$I$8:$I$525)</f>
        <v>#VALUE!</v>
      </c>
      <c r="W240" s="55" t="str">
        <f t="shared" si="26"/>
        <v xml:space="preserve"> </v>
      </c>
    </row>
    <row r="241" spans="2:23" x14ac:dyDescent="0.2">
      <c r="B241">
        <v>745</v>
      </c>
      <c r="C241">
        <v>1</v>
      </c>
      <c r="D241" s="2" t="s">
        <v>529</v>
      </c>
      <c r="E241" s="50" t="s">
        <v>530</v>
      </c>
      <c r="F241" s="50">
        <v>2702930</v>
      </c>
      <c r="G241" s="50">
        <v>6</v>
      </c>
      <c r="H241" s="52" t="e">
        <f>SUMIF('[1]Build Detail'!$D$4:$D$521,$B$16:$B$533,'[1]Build Detail'!$H$4:$H$521)</f>
        <v>#VALUE!</v>
      </c>
      <c r="I241" s="52" t="e">
        <f>SUMIF('[1]Build Detail'!$D$4:$D$521,$B$16:$B$533,'[1]Build Detail'!$Q$4:$Q$521)</f>
        <v>#VALUE!</v>
      </c>
      <c r="J241" s="52" t="e">
        <f>SUMIF('[1]Build Detail'!$D$4:$D$521,$B$16:$B$533,'[1]Build Detail'!$T$4:$T$521)</f>
        <v>#VALUE!</v>
      </c>
      <c r="K241" s="53">
        <v>11488903.279999997</v>
      </c>
      <c r="L241" s="37">
        <f t="shared" si="27"/>
        <v>323996.57</v>
      </c>
      <c r="M241" s="37">
        <v>322390.28999999998</v>
      </c>
      <c r="N241" s="38">
        <v>290151.26</v>
      </c>
      <c r="O241" s="37">
        <f t="shared" si="21"/>
        <v>33845.31</v>
      </c>
      <c r="P241" s="54" t="e">
        <f t="shared" si="22"/>
        <v>#VALUE!</v>
      </c>
      <c r="Q241" s="40">
        <f t="shared" si="23"/>
        <v>0.10446193921127003</v>
      </c>
      <c r="R241" s="37">
        <f t="shared" si="24"/>
        <v>1606.2800000000279</v>
      </c>
      <c r="S241" s="41">
        <f t="shared" si="25"/>
        <v>4.9824081240164774E-3</v>
      </c>
      <c r="T241" s="37" t="e">
        <f>SUMIF('[1]JOBS MAR 15'!$E$8:$E$525,$E$16:$E$533,'[1]JOBS MAR 15'!$G$8:$G$525)</f>
        <v>#VALUE!</v>
      </c>
      <c r="U241" s="37" t="e">
        <f>SUMIF('[1]JOBS MAR 15'!$E$8:$E$525,$E$16:$E$533,'[1]JOBS MAR 15'!$H$8:$H$525)</f>
        <v>#VALUE!</v>
      </c>
      <c r="V241" s="37" t="e">
        <f>SUMIF('[1]JOBS MAR 15'!$E$8:$E$525,$E$16:$E$533,'[1]JOBS MAR 15'!$I$8:$I$525)</f>
        <v>#VALUE!</v>
      </c>
      <c r="W241" s="55" t="str">
        <f t="shared" si="26"/>
        <v xml:space="preserve"> </v>
      </c>
    </row>
    <row r="242" spans="2:23" x14ac:dyDescent="0.2">
      <c r="B242">
        <v>748</v>
      </c>
      <c r="C242">
        <v>1</v>
      </c>
      <c r="D242" s="2" t="s">
        <v>531</v>
      </c>
      <c r="E242" s="50" t="s">
        <v>532</v>
      </c>
      <c r="F242" s="50">
        <v>2732820</v>
      </c>
      <c r="G242" s="50">
        <v>6</v>
      </c>
      <c r="H242" s="52" t="e">
        <f>SUMIF('[1]Build Detail'!$D$4:$D$521,$B$16:$B$533,'[1]Build Detail'!$H$4:$H$521)</f>
        <v>#VALUE!</v>
      </c>
      <c r="I242" s="52" t="e">
        <f>SUMIF('[1]Build Detail'!$D$4:$D$521,$B$16:$B$533,'[1]Build Detail'!$Q$4:$Q$521)</f>
        <v>#VALUE!</v>
      </c>
      <c r="J242" s="52" t="e">
        <f>SUMIF('[1]Build Detail'!$D$4:$D$521,$B$16:$B$533,'[1]Build Detail'!$T$4:$T$521)</f>
        <v>#VALUE!</v>
      </c>
      <c r="K242" s="53">
        <v>22977830.059999999</v>
      </c>
      <c r="L242" s="37">
        <f t="shared" si="27"/>
        <v>647993.81000000006</v>
      </c>
      <c r="M242" s="37">
        <v>643325.26</v>
      </c>
      <c r="N242" s="38">
        <v>578992.73</v>
      </c>
      <c r="O242" s="37">
        <f t="shared" si="21"/>
        <v>69001.080000000075</v>
      </c>
      <c r="P242" s="54" t="e">
        <f t="shared" si="22"/>
        <v>#VALUE!</v>
      </c>
      <c r="Q242" s="40">
        <f t="shared" si="23"/>
        <v>0.10648416533485107</v>
      </c>
      <c r="R242" s="37">
        <f t="shared" si="24"/>
        <v>4668.5500000000466</v>
      </c>
      <c r="S242" s="41">
        <f t="shared" si="25"/>
        <v>7.2569045400145589E-3</v>
      </c>
      <c r="T242" s="37" t="e">
        <f>SUMIF('[1]JOBS MAR 15'!$E$8:$E$525,$E$16:$E$533,'[1]JOBS MAR 15'!$G$8:$G$525)</f>
        <v>#VALUE!</v>
      </c>
      <c r="U242" s="37" t="e">
        <f>SUMIF('[1]JOBS MAR 15'!$E$8:$E$525,$E$16:$E$533,'[1]JOBS MAR 15'!$H$8:$H$525)</f>
        <v>#VALUE!</v>
      </c>
      <c r="V242" s="37" t="e">
        <f>SUMIF('[1]JOBS MAR 15'!$E$8:$E$525,$E$16:$E$533,'[1]JOBS MAR 15'!$I$8:$I$525)</f>
        <v>#VALUE!</v>
      </c>
      <c r="W242" s="55" t="str">
        <f t="shared" si="26"/>
        <v xml:space="preserve"> </v>
      </c>
    </row>
    <row r="243" spans="2:23" x14ac:dyDescent="0.2">
      <c r="B243">
        <v>750</v>
      </c>
      <c r="C243">
        <v>1</v>
      </c>
      <c r="D243" s="2" t="s">
        <v>533</v>
      </c>
      <c r="E243" s="50" t="s">
        <v>534</v>
      </c>
      <c r="F243" s="50">
        <v>2709440</v>
      </c>
      <c r="G243" s="50">
        <v>6</v>
      </c>
      <c r="H243" s="52" t="e">
        <f>SUMIF('[1]Build Detail'!$D$4:$D$521,$B$16:$B$533,'[1]Build Detail'!$H$4:$H$521)</f>
        <v>#VALUE!</v>
      </c>
      <c r="I243" s="52" t="e">
        <f>SUMIF('[1]Build Detail'!$D$4:$D$521,$B$16:$B$533,'[1]Build Detail'!$Q$4:$Q$521)</f>
        <v>#VALUE!</v>
      </c>
      <c r="J243" s="52" t="e">
        <f>SUMIF('[1]Build Detail'!$D$4:$D$521,$B$16:$B$533,'[1]Build Detail'!$T$4:$T$521)</f>
        <v>#VALUE!</v>
      </c>
      <c r="K243" s="53">
        <v>13442803.92</v>
      </c>
      <c r="L243" s="37">
        <f t="shared" si="27"/>
        <v>379098.19</v>
      </c>
      <c r="M243" s="37">
        <v>379580.81</v>
      </c>
      <c r="N243" s="38">
        <v>341622.73</v>
      </c>
      <c r="O243" s="37">
        <f t="shared" si="21"/>
        <v>37475.460000000021</v>
      </c>
      <c r="P243" s="54" t="e">
        <f t="shared" si="22"/>
        <v>#VALUE!</v>
      </c>
      <c r="Q243" s="40">
        <f t="shared" si="23"/>
        <v>9.8854230878812746E-2</v>
      </c>
      <c r="R243" s="37">
        <f t="shared" si="24"/>
        <v>-482.61999999999534</v>
      </c>
      <c r="S243" s="41">
        <f t="shared" si="25"/>
        <v>-1.27145521397669E-3</v>
      </c>
      <c r="T243" s="37" t="e">
        <f>SUMIF('[1]JOBS MAR 15'!$E$8:$E$525,$E$16:$E$533,'[1]JOBS MAR 15'!$G$8:$G$525)</f>
        <v>#VALUE!</v>
      </c>
      <c r="U243" s="37" t="e">
        <f>SUMIF('[1]JOBS MAR 15'!$E$8:$E$525,$E$16:$E$533,'[1]JOBS MAR 15'!$H$8:$H$525)</f>
        <v>#VALUE!</v>
      </c>
      <c r="V243" s="37" t="e">
        <f>SUMIF('[1]JOBS MAR 15'!$E$8:$E$525,$E$16:$E$533,'[1]JOBS MAR 15'!$I$8:$I$525)</f>
        <v>#VALUE!</v>
      </c>
      <c r="W243" s="55" t="str">
        <f t="shared" si="26"/>
        <v xml:space="preserve"> </v>
      </c>
    </row>
    <row r="244" spans="2:23" x14ac:dyDescent="0.2">
      <c r="B244">
        <v>756</v>
      </c>
      <c r="C244">
        <v>1</v>
      </c>
      <c r="D244" s="2" t="s">
        <v>535</v>
      </c>
      <c r="E244" s="50" t="s">
        <v>536</v>
      </c>
      <c r="F244" s="50">
        <v>2705760</v>
      </c>
      <c r="G244" s="50">
        <v>1</v>
      </c>
      <c r="H244" s="52" t="e">
        <f>SUMIF('[1]Build Detail'!$D$4:$D$521,$B$16:$B$533,'[1]Build Detail'!$H$4:$H$521)</f>
        <v>#VALUE!</v>
      </c>
      <c r="I244" s="52" t="e">
        <f>SUMIF('[1]Build Detail'!$D$4:$D$521,$B$16:$B$533,'[1]Build Detail'!$Q$4:$Q$521)</f>
        <v>#VALUE!</v>
      </c>
      <c r="J244" s="52" t="e">
        <f>SUMIF('[1]Build Detail'!$D$4:$D$521,$B$16:$B$533,'[1]Build Detail'!$T$4:$T$521)</f>
        <v>#VALUE!</v>
      </c>
      <c r="K244" s="53">
        <v>4954673</v>
      </c>
      <c r="L244" s="37">
        <f t="shared" si="27"/>
        <v>139725.88</v>
      </c>
      <c r="M244" s="37">
        <v>138843.07</v>
      </c>
      <c r="N244" s="38">
        <v>124958.76</v>
      </c>
      <c r="O244" s="37">
        <f t="shared" si="21"/>
        <v>14767.12000000001</v>
      </c>
      <c r="P244" s="54" t="e">
        <f t="shared" si="22"/>
        <v>#VALUE!</v>
      </c>
      <c r="Q244" s="40">
        <f t="shared" si="23"/>
        <v>0.10568636246914322</v>
      </c>
      <c r="R244" s="37">
        <f t="shared" si="24"/>
        <v>882.80999999999767</v>
      </c>
      <c r="S244" s="41">
        <f t="shared" si="25"/>
        <v>6.3583295874975803E-3</v>
      </c>
      <c r="T244" s="37" t="e">
        <f>SUMIF('[1]JOBS MAR 15'!$E$8:$E$525,$E$16:$E$533,'[1]JOBS MAR 15'!$G$8:$G$525)</f>
        <v>#VALUE!</v>
      </c>
      <c r="U244" s="37" t="e">
        <f>SUMIF('[1]JOBS MAR 15'!$E$8:$E$525,$E$16:$E$533,'[1]JOBS MAR 15'!$H$8:$H$525)</f>
        <v>#VALUE!</v>
      </c>
      <c r="V244" s="37" t="e">
        <f>SUMIF('[1]JOBS MAR 15'!$E$8:$E$525,$E$16:$E$533,'[1]JOBS MAR 15'!$I$8:$I$525)</f>
        <v>#VALUE!</v>
      </c>
      <c r="W244" s="55" t="str">
        <f t="shared" si="26"/>
        <v xml:space="preserve"> </v>
      </c>
    </row>
    <row r="245" spans="2:23" x14ac:dyDescent="0.2">
      <c r="B245">
        <v>761</v>
      </c>
      <c r="C245">
        <v>1</v>
      </c>
      <c r="D245" s="2" t="s">
        <v>537</v>
      </c>
      <c r="E245" s="50" t="s">
        <v>538</v>
      </c>
      <c r="F245" s="50">
        <v>2728050</v>
      </c>
      <c r="G245" s="50">
        <v>1</v>
      </c>
      <c r="H245" s="52" t="e">
        <f>SUMIF('[1]Build Detail'!$D$4:$D$521,$B$16:$B$533,'[1]Build Detail'!$H$4:$H$521)</f>
        <v>#VALUE!</v>
      </c>
      <c r="I245" s="52" t="e">
        <f>SUMIF('[1]Build Detail'!$D$4:$D$521,$B$16:$B$533,'[1]Build Detail'!$Q$4:$Q$521)</f>
        <v>#VALUE!</v>
      </c>
      <c r="J245" s="52" t="e">
        <f>SUMIF('[1]Build Detail'!$D$4:$D$521,$B$16:$B$533,'[1]Build Detail'!$T$4:$T$521)</f>
        <v>#VALUE!</v>
      </c>
      <c r="K245" s="53">
        <v>34443258.140000001</v>
      </c>
      <c r="L245" s="37">
        <f t="shared" si="27"/>
        <v>971328.36</v>
      </c>
      <c r="M245" s="37">
        <v>970824.25</v>
      </c>
      <c r="N245" s="38">
        <v>873741.83</v>
      </c>
      <c r="O245" s="37">
        <f t="shared" si="21"/>
        <v>97586.530000000028</v>
      </c>
      <c r="P245" s="54" t="e">
        <f t="shared" si="22"/>
        <v>#VALUE!</v>
      </c>
      <c r="Q245" s="40">
        <f t="shared" si="23"/>
        <v>0.10046708612523167</v>
      </c>
      <c r="R245" s="37">
        <f t="shared" si="24"/>
        <v>504.10999999998603</v>
      </c>
      <c r="S245" s="41">
        <f t="shared" si="25"/>
        <v>5.192597939328215E-4</v>
      </c>
      <c r="T245" s="37" t="e">
        <f>SUMIF('[1]JOBS MAR 15'!$E$8:$E$525,$E$16:$E$533,'[1]JOBS MAR 15'!$G$8:$G$525)</f>
        <v>#VALUE!</v>
      </c>
      <c r="U245" s="37" t="e">
        <f>SUMIF('[1]JOBS MAR 15'!$E$8:$E$525,$E$16:$E$533,'[1]JOBS MAR 15'!$H$8:$H$525)</f>
        <v>#VALUE!</v>
      </c>
      <c r="V245" s="37" t="e">
        <f>SUMIF('[1]JOBS MAR 15'!$E$8:$E$525,$E$16:$E$533,'[1]JOBS MAR 15'!$I$8:$I$525)</f>
        <v>#VALUE!</v>
      </c>
      <c r="W245" s="55" t="str">
        <f t="shared" si="26"/>
        <v xml:space="preserve"> </v>
      </c>
    </row>
    <row r="246" spans="2:23" x14ac:dyDescent="0.2">
      <c r="B246">
        <v>763</v>
      </c>
      <c r="C246">
        <v>1</v>
      </c>
      <c r="D246" s="2" t="s">
        <v>539</v>
      </c>
      <c r="E246" s="50" t="s">
        <v>540</v>
      </c>
      <c r="F246" s="50">
        <v>2719320</v>
      </c>
      <c r="G246" s="50">
        <v>1</v>
      </c>
      <c r="H246" s="52" t="e">
        <f>SUMIF('[1]Build Detail'!$D$4:$D$521,$B$16:$B$533,'[1]Build Detail'!$H$4:$H$521)</f>
        <v>#VALUE!</v>
      </c>
      <c r="I246" s="52" t="e">
        <f>SUMIF('[1]Build Detail'!$D$4:$D$521,$B$16:$B$533,'[1]Build Detail'!$Q$4:$Q$521)</f>
        <v>#VALUE!</v>
      </c>
      <c r="J246" s="52" t="e">
        <f>SUMIF('[1]Build Detail'!$D$4:$D$521,$B$16:$B$533,'[1]Build Detail'!$T$4:$T$521)</f>
        <v>#VALUE!</v>
      </c>
      <c r="K246" s="53">
        <v>5330676.0399999982</v>
      </c>
      <c r="L246" s="37">
        <f t="shared" si="27"/>
        <v>150329.47</v>
      </c>
      <c r="M246" s="37">
        <v>148980.26999999999</v>
      </c>
      <c r="N246" s="38">
        <v>134082.23999999999</v>
      </c>
      <c r="O246" s="37">
        <f t="shared" si="21"/>
        <v>16247.23000000001</v>
      </c>
      <c r="P246" s="54" t="e">
        <f t="shared" si="22"/>
        <v>#VALUE!</v>
      </c>
      <c r="Q246" s="40">
        <f t="shared" si="23"/>
        <v>0.10807747808862767</v>
      </c>
      <c r="R246" s="37">
        <f t="shared" si="24"/>
        <v>1349.2000000000116</v>
      </c>
      <c r="S246" s="41">
        <f t="shared" si="25"/>
        <v>9.0562327481351172E-3</v>
      </c>
      <c r="T246" s="37" t="e">
        <f>SUMIF('[1]JOBS MAR 15'!$E$8:$E$525,$E$16:$E$533,'[1]JOBS MAR 15'!$G$8:$G$525)</f>
        <v>#VALUE!</v>
      </c>
      <c r="U246" s="37" t="e">
        <f>SUMIF('[1]JOBS MAR 15'!$E$8:$E$525,$E$16:$E$533,'[1]JOBS MAR 15'!$H$8:$H$525)</f>
        <v>#VALUE!</v>
      </c>
      <c r="V246" s="37" t="e">
        <f>SUMIF('[1]JOBS MAR 15'!$E$8:$E$525,$E$16:$E$533,'[1]JOBS MAR 15'!$I$8:$I$525)</f>
        <v>#VALUE!</v>
      </c>
      <c r="W246" s="55" t="str">
        <f t="shared" si="26"/>
        <v xml:space="preserve"> </v>
      </c>
    </row>
    <row r="247" spans="2:23" x14ac:dyDescent="0.2">
      <c r="B247">
        <v>768</v>
      </c>
      <c r="C247">
        <v>1</v>
      </c>
      <c r="D247" s="2" t="s">
        <v>541</v>
      </c>
      <c r="E247" s="50" t="s">
        <v>542</v>
      </c>
      <c r="F247" s="50">
        <v>2713380</v>
      </c>
      <c r="G247" s="50">
        <v>7</v>
      </c>
      <c r="H247" s="52" t="e">
        <f>SUMIF('[1]Build Detail'!$D$4:$D$521,$B$16:$B$533,'[1]Build Detail'!$H$4:$H$521)</f>
        <v>#VALUE!</v>
      </c>
      <c r="I247" s="52" t="e">
        <f>SUMIF('[1]Build Detail'!$D$4:$D$521,$B$16:$B$533,'[1]Build Detail'!$Q$4:$Q$521)</f>
        <v>#VALUE!</v>
      </c>
      <c r="J247" s="52" t="e">
        <f>SUMIF('[1]Build Detail'!$D$4:$D$521,$B$16:$B$533,'[1]Build Detail'!$T$4:$T$521)</f>
        <v>#VALUE!</v>
      </c>
      <c r="K247" s="53">
        <v>1949328.97</v>
      </c>
      <c r="L247" s="37">
        <f t="shared" si="27"/>
        <v>54972.69</v>
      </c>
      <c r="M247" s="37">
        <v>54898.85</v>
      </c>
      <c r="N247" s="38">
        <v>49408.97</v>
      </c>
      <c r="O247" s="37">
        <f t="shared" si="21"/>
        <v>5563.7200000000012</v>
      </c>
      <c r="P247" s="54" t="e">
        <f t="shared" si="22"/>
        <v>#VALUE!</v>
      </c>
      <c r="Q247" s="40">
        <f t="shared" si="23"/>
        <v>0.10120880022425682</v>
      </c>
      <c r="R247" s="37">
        <f t="shared" si="24"/>
        <v>73.840000000003783</v>
      </c>
      <c r="S247" s="41">
        <f t="shared" si="25"/>
        <v>1.3450190668839836E-3</v>
      </c>
      <c r="T247" s="37" t="e">
        <f>SUMIF('[1]JOBS MAR 15'!$E$8:$E$525,$E$16:$E$533,'[1]JOBS MAR 15'!$G$8:$G$525)</f>
        <v>#VALUE!</v>
      </c>
      <c r="U247" s="37" t="e">
        <f>SUMIF('[1]JOBS MAR 15'!$E$8:$E$525,$E$16:$E$533,'[1]JOBS MAR 15'!$H$8:$H$525)</f>
        <v>#VALUE!</v>
      </c>
      <c r="V247" s="37" t="e">
        <f>SUMIF('[1]JOBS MAR 15'!$E$8:$E$525,$E$16:$E$533,'[1]JOBS MAR 15'!$I$8:$I$525)</f>
        <v>#VALUE!</v>
      </c>
      <c r="W247" s="55" t="str">
        <f t="shared" si="26"/>
        <v xml:space="preserve"> </v>
      </c>
    </row>
    <row r="248" spans="2:23" x14ac:dyDescent="0.2">
      <c r="B248">
        <v>769</v>
      </c>
      <c r="C248">
        <v>1</v>
      </c>
      <c r="D248" s="2" t="s">
        <v>543</v>
      </c>
      <c r="E248" s="50" t="s">
        <v>544</v>
      </c>
      <c r="F248" s="50">
        <v>2721540</v>
      </c>
      <c r="G248" s="50">
        <v>7</v>
      </c>
      <c r="H248" s="52" t="e">
        <f>SUMIF('[1]Build Detail'!$D$4:$D$521,$B$16:$B$533,'[1]Build Detail'!$H$4:$H$521)</f>
        <v>#VALUE!</v>
      </c>
      <c r="I248" s="52" t="e">
        <f>SUMIF('[1]Build Detail'!$D$4:$D$521,$B$16:$B$533,'[1]Build Detail'!$Q$4:$Q$521)</f>
        <v>#VALUE!</v>
      </c>
      <c r="J248" s="52" t="e">
        <f>SUMIF('[1]Build Detail'!$D$4:$D$521,$B$16:$B$533,'[1]Build Detail'!$T$4:$T$521)</f>
        <v>#VALUE!</v>
      </c>
      <c r="K248" s="53">
        <v>7007009.4699999997</v>
      </c>
      <c r="L248" s="37">
        <f t="shared" si="27"/>
        <v>197603.46</v>
      </c>
      <c r="M248" s="37">
        <v>196270.17</v>
      </c>
      <c r="N248" s="38">
        <v>176643.15</v>
      </c>
      <c r="O248" s="37">
        <f t="shared" si="21"/>
        <v>20960.309999999998</v>
      </c>
      <c r="P248" s="54" t="e">
        <f t="shared" si="22"/>
        <v>#VALUE!</v>
      </c>
      <c r="Q248" s="40">
        <f t="shared" si="23"/>
        <v>0.1060725859759743</v>
      </c>
      <c r="R248" s="37">
        <f t="shared" si="24"/>
        <v>1333.289999999979</v>
      </c>
      <c r="S248" s="41">
        <f t="shared" si="25"/>
        <v>6.7931362162674995E-3</v>
      </c>
      <c r="T248" s="37" t="e">
        <f>SUMIF('[1]JOBS MAR 15'!$E$8:$E$525,$E$16:$E$533,'[1]JOBS MAR 15'!$G$8:$G$525)</f>
        <v>#VALUE!</v>
      </c>
      <c r="U248" s="37" t="e">
        <f>SUMIF('[1]JOBS MAR 15'!$E$8:$E$525,$E$16:$E$533,'[1]JOBS MAR 15'!$H$8:$H$525)</f>
        <v>#VALUE!</v>
      </c>
      <c r="V248" s="37" t="e">
        <f>SUMIF('[1]JOBS MAR 15'!$E$8:$E$525,$E$16:$E$533,'[1]JOBS MAR 15'!$I$8:$I$525)</f>
        <v>#VALUE!</v>
      </c>
      <c r="W248" s="55" t="str">
        <f t="shared" si="26"/>
        <v xml:space="preserve"> </v>
      </c>
    </row>
    <row r="249" spans="2:23" x14ac:dyDescent="0.2">
      <c r="B249">
        <v>771</v>
      </c>
      <c r="C249">
        <v>1</v>
      </c>
      <c r="D249" s="2" t="s">
        <v>545</v>
      </c>
      <c r="E249" s="50" t="s">
        <v>546</v>
      </c>
      <c r="F249" s="50">
        <v>2708940</v>
      </c>
      <c r="G249" s="50">
        <v>7</v>
      </c>
      <c r="H249" s="52" t="e">
        <f>SUMIF('[1]Build Detail'!$D$4:$D$521,$B$16:$B$533,'[1]Build Detail'!$H$4:$H$521)</f>
        <v>#VALUE!</v>
      </c>
      <c r="I249" s="52" t="e">
        <f>SUMIF('[1]Build Detail'!$D$4:$D$521,$B$16:$B$533,'[1]Build Detail'!$Q$4:$Q$521)</f>
        <v>#VALUE!</v>
      </c>
      <c r="J249" s="52" t="e">
        <f>SUMIF('[1]Build Detail'!$D$4:$D$521,$B$16:$B$533,'[1]Build Detail'!$T$4:$T$521)</f>
        <v>#VALUE!</v>
      </c>
      <c r="K249" s="53">
        <v>1118923.4000000001</v>
      </c>
      <c r="L249" s="37">
        <f t="shared" si="27"/>
        <v>31554.57</v>
      </c>
      <c r="M249" s="37">
        <v>31794.44</v>
      </c>
      <c r="N249" s="38">
        <v>28615</v>
      </c>
      <c r="O249" s="37">
        <f t="shared" si="21"/>
        <v>2939.5699999999997</v>
      </c>
      <c r="P249" s="54" t="e">
        <f t="shared" si="22"/>
        <v>#VALUE!</v>
      </c>
      <c r="Q249" s="40">
        <f t="shared" si="23"/>
        <v>9.3158296880610308E-2</v>
      </c>
      <c r="R249" s="37">
        <f t="shared" si="24"/>
        <v>-239.86999999999898</v>
      </c>
      <c r="S249" s="41">
        <f t="shared" si="25"/>
        <v>-7.5444008449275721E-3</v>
      </c>
      <c r="T249" s="37" t="e">
        <f>SUMIF('[1]JOBS MAR 15'!$E$8:$E$525,$E$16:$E$533,'[1]JOBS MAR 15'!$G$8:$G$525)</f>
        <v>#VALUE!</v>
      </c>
      <c r="U249" s="37" t="e">
        <f>SUMIF('[1]JOBS MAR 15'!$E$8:$E$525,$E$16:$E$533,'[1]JOBS MAR 15'!$H$8:$H$525)</f>
        <v>#VALUE!</v>
      </c>
      <c r="V249" s="37" t="e">
        <f>SUMIF('[1]JOBS MAR 15'!$E$8:$E$525,$E$16:$E$533,'[1]JOBS MAR 15'!$I$8:$I$525)</f>
        <v>#VALUE!</v>
      </c>
      <c r="W249" s="55" t="str">
        <f t="shared" si="26"/>
        <v xml:space="preserve"> </v>
      </c>
    </row>
    <row r="250" spans="2:23" x14ac:dyDescent="0.2">
      <c r="B250">
        <v>775</v>
      </c>
      <c r="C250">
        <v>1</v>
      </c>
      <c r="D250" s="2" t="s">
        <v>547</v>
      </c>
      <c r="E250" s="50" t="s">
        <v>548</v>
      </c>
      <c r="F250" s="50">
        <v>2717120</v>
      </c>
      <c r="G250" s="50">
        <v>7</v>
      </c>
      <c r="H250" s="52" t="e">
        <f>SUMIF('[1]Build Detail'!$D$4:$D$521,$B$16:$B$533,'[1]Build Detail'!$H$4:$H$521)</f>
        <v>#VALUE!</v>
      </c>
      <c r="I250" s="52" t="e">
        <f>SUMIF('[1]Build Detail'!$D$4:$D$521,$B$16:$B$533,'[1]Build Detail'!$Q$4:$Q$521)</f>
        <v>#VALUE!</v>
      </c>
      <c r="J250" s="52" t="e">
        <f>SUMIF('[1]Build Detail'!$D$4:$D$521,$B$16:$B$533,'[1]Build Detail'!$T$4:$T$521)</f>
        <v>#VALUE!</v>
      </c>
      <c r="K250" s="53">
        <v>4180867.99</v>
      </c>
      <c r="L250" s="37">
        <f t="shared" si="27"/>
        <v>117903.93</v>
      </c>
      <c r="M250" s="37">
        <v>117456.37</v>
      </c>
      <c r="N250" s="38">
        <v>105710.73</v>
      </c>
      <c r="O250" s="37">
        <f t="shared" si="21"/>
        <v>12193.199999999997</v>
      </c>
      <c r="P250" s="54" t="e">
        <f t="shared" si="22"/>
        <v>#VALUE!</v>
      </c>
      <c r="Q250" s="40">
        <f t="shared" si="23"/>
        <v>0.10341640011490709</v>
      </c>
      <c r="R250" s="37">
        <f t="shared" si="24"/>
        <v>447.55999999999767</v>
      </c>
      <c r="S250" s="41">
        <f t="shared" si="25"/>
        <v>3.810436164509406E-3</v>
      </c>
      <c r="T250" s="37" t="e">
        <f>SUMIF('[1]JOBS MAR 15'!$E$8:$E$525,$E$16:$E$533,'[1]JOBS MAR 15'!$G$8:$G$525)</f>
        <v>#VALUE!</v>
      </c>
      <c r="U250" s="37" t="e">
        <f>SUMIF('[1]JOBS MAR 15'!$E$8:$E$525,$E$16:$E$533,'[1]JOBS MAR 15'!$H$8:$H$525)</f>
        <v>#VALUE!</v>
      </c>
      <c r="V250" s="37" t="e">
        <f>SUMIF('[1]JOBS MAR 15'!$E$8:$E$525,$E$16:$E$533,'[1]JOBS MAR 15'!$I$8:$I$525)</f>
        <v>#VALUE!</v>
      </c>
      <c r="W250" s="55" t="str">
        <f t="shared" si="26"/>
        <v xml:space="preserve"> </v>
      </c>
    </row>
    <row r="251" spans="2:23" x14ac:dyDescent="0.2">
      <c r="B251">
        <v>777</v>
      </c>
      <c r="C251">
        <v>1</v>
      </c>
      <c r="D251" s="2" t="s">
        <v>549</v>
      </c>
      <c r="E251" s="50" t="s">
        <v>550</v>
      </c>
      <c r="F251" s="50">
        <v>2704470</v>
      </c>
      <c r="G251" s="50">
        <v>7</v>
      </c>
      <c r="H251" s="52" t="e">
        <f>SUMIF('[1]Build Detail'!$D$4:$D$521,$B$16:$B$533,'[1]Build Detail'!$H$4:$H$521)</f>
        <v>#VALUE!</v>
      </c>
      <c r="I251" s="52" t="e">
        <f>SUMIF('[1]Build Detail'!$D$4:$D$521,$B$16:$B$533,'[1]Build Detail'!$Q$4:$Q$521)</f>
        <v>#VALUE!</v>
      </c>
      <c r="J251" s="52" t="e">
        <f>SUMIF('[1]Build Detail'!$D$4:$D$521,$B$16:$B$533,'[1]Build Detail'!$T$4:$T$521)</f>
        <v>#VALUE!</v>
      </c>
      <c r="K251" s="53">
        <v>7293296.4500000002</v>
      </c>
      <c r="L251" s="37">
        <f t="shared" si="27"/>
        <v>205676.99</v>
      </c>
      <c r="M251" s="37">
        <v>206315.56</v>
      </c>
      <c r="N251" s="38">
        <v>185684</v>
      </c>
      <c r="O251" s="37">
        <f t="shared" si="21"/>
        <v>19992.989999999991</v>
      </c>
      <c r="P251" s="54" t="e">
        <f t="shared" si="22"/>
        <v>#VALUE!</v>
      </c>
      <c r="Q251" s="40">
        <f t="shared" si="23"/>
        <v>9.7205769104263887E-2</v>
      </c>
      <c r="R251" s="37">
        <f t="shared" si="24"/>
        <v>-638.57000000000698</v>
      </c>
      <c r="S251" s="41">
        <f t="shared" si="25"/>
        <v>-3.0951131364013794E-3</v>
      </c>
      <c r="T251" s="37" t="e">
        <f>SUMIF('[1]JOBS MAR 15'!$E$8:$E$525,$E$16:$E$533,'[1]JOBS MAR 15'!$G$8:$G$525)</f>
        <v>#VALUE!</v>
      </c>
      <c r="U251" s="37" t="e">
        <f>SUMIF('[1]JOBS MAR 15'!$E$8:$E$525,$E$16:$E$533,'[1]JOBS MAR 15'!$H$8:$H$525)</f>
        <v>#VALUE!</v>
      </c>
      <c r="V251" s="37" t="e">
        <f>SUMIF('[1]JOBS MAR 15'!$E$8:$E$525,$E$16:$E$533,'[1]JOBS MAR 15'!$I$8:$I$525)</f>
        <v>#VALUE!</v>
      </c>
      <c r="W251" s="55" t="str">
        <f t="shared" si="26"/>
        <v xml:space="preserve"> </v>
      </c>
    </row>
    <row r="252" spans="2:23" x14ac:dyDescent="0.2">
      <c r="B252">
        <v>786</v>
      </c>
      <c r="C252">
        <v>1</v>
      </c>
      <c r="D252" s="2" t="s">
        <v>551</v>
      </c>
      <c r="E252" s="50" t="s">
        <v>552</v>
      </c>
      <c r="F252" s="50">
        <v>2705430</v>
      </c>
      <c r="G252" s="50">
        <v>7</v>
      </c>
      <c r="H252" s="52" t="e">
        <f>SUMIF('[1]Build Detail'!$D$4:$D$521,$B$16:$B$533,'[1]Build Detail'!$H$4:$H$521)</f>
        <v>#VALUE!</v>
      </c>
      <c r="I252" s="52" t="e">
        <f>SUMIF('[1]Build Detail'!$D$4:$D$521,$B$16:$B$533,'[1]Build Detail'!$Q$4:$Q$521)</f>
        <v>#VALUE!</v>
      </c>
      <c r="J252" s="52" t="e">
        <f>SUMIF('[1]Build Detail'!$D$4:$D$521,$B$16:$B$533,'[1]Build Detail'!$T$4:$T$521)</f>
        <v>#VALUE!</v>
      </c>
      <c r="K252" s="53">
        <v>3706369.3499999996</v>
      </c>
      <c r="L252" s="37">
        <f t="shared" si="27"/>
        <v>104522.68</v>
      </c>
      <c r="M252" s="37">
        <v>103971.69</v>
      </c>
      <c r="N252" s="38">
        <v>93574.52</v>
      </c>
      <c r="O252" s="37">
        <f t="shared" si="21"/>
        <v>10948.159999999989</v>
      </c>
      <c r="P252" s="54" t="e">
        <f t="shared" si="22"/>
        <v>#VALUE!</v>
      </c>
      <c r="Q252" s="40">
        <f t="shared" si="23"/>
        <v>0.10474434830794609</v>
      </c>
      <c r="R252" s="37">
        <f t="shared" si="24"/>
        <v>550.98999999999069</v>
      </c>
      <c r="S252" s="41">
        <f t="shared" si="25"/>
        <v>5.2994233334092257E-3</v>
      </c>
      <c r="T252" s="37" t="e">
        <f>SUMIF('[1]JOBS MAR 15'!$E$8:$E$525,$E$16:$E$533,'[1]JOBS MAR 15'!$G$8:$G$525)</f>
        <v>#VALUE!</v>
      </c>
      <c r="U252" s="37" t="e">
        <f>SUMIF('[1]JOBS MAR 15'!$E$8:$E$525,$E$16:$E$533,'[1]JOBS MAR 15'!$H$8:$H$525)</f>
        <v>#VALUE!</v>
      </c>
      <c r="V252" s="37" t="e">
        <f>SUMIF('[1]JOBS MAR 15'!$E$8:$E$525,$E$16:$E$533,'[1]JOBS MAR 15'!$I$8:$I$525)</f>
        <v>#VALUE!</v>
      </c>
      <c r="W252" s="55" t="str">
        <f t="shared" si="26"/>
        <v xml:space="preserve"> </v>
      </c>
    </row>
    <row r="253" spans="2:23" x14ac:dyDescent="0.2">
      <c r="B253">
        <v>787</v>
      </c>
      <c r="C253">
        <v>1</v>
      </c>
      <c r="D253" s="2" t="s">
        <v>553</v>
      </c>
      <c r="E253" s="50" t="s">
        <v>554</v>
      </c>
      <c r="F253" s="50">
        <v>2706300</v>
      </c>
      <c r="G253" s="50">
        <v>7</v>
      </c>
      <c r="H253" s="52" t="e">
        <f>SUMIF('[1]Build Detail'!$D$4:$D$521,$B$16:$B$533,'[1]Build Detail'!$H$4:$H$521)</f>
        <v>#VALUE!</v>
      </c>
      <c r="I253" s="52" t="e">
        <f>SUMIF('[1]Build Detail'!$D$4:$D$521,$B$16:$B$533,'[1]Build Detail'!$Q$4:$Q$521)</f>
        <v>#VALUE!</v>
      </c>
      <c r="J253" s="52" t="e">
        <f>SUMIF('[1]Build Detail'!$D$4:$D$521,$B$16:$B$533,'[1]Build Detail'!$T$4:$T$521)</f>
        <v>#VALUE!</v>
      </c>
      <c r="K253" s="53">
        <v>4105324.6999999997</v>
      </c>
      <c r="L253" s="37">
        <f t="shared" si="27"/>
        <v>115773.55</v>
      </c>
      <c r="M253" s="37">
        <v>115367.98</v>
      </c>
      <c r="N253" s="38">
        <v>103831.18</v>
      </c>
      <c r="O253" s="37">
        <f t="shared" si="21"/>
        <v>11942.37000000001</v>
      </c>
      <c r="P253" s="54" t="e">
        <f t="shared" si="22"/>
        <v>#VALUE!</v>
      </c>
      <c r="Q253" s="40">
        <f t="shared" si="23"/>
        <v>0.10315283585931337</v>
      </c>
      <c r="R253" s="37">
        <f t="shared" si="24"/>
        <v>405.57000000000698</v>
      </c>
      <c r="S253" s="41">
        <f t="shared" si="25"/>
        <v>3.5154468336882298E-3</v>
      </c>
      <c r="T253" s="37" t="e">
        <f>SUMIF('[1]JOBS MAR 15'!$E$8:$E$525,$E$16:$E$533,'[1]JOBS MAR 15'!$G$8:$G$525)</f>
        <v>#VALUE!</v>
      </c>
      <c r="U253" s="37" t="e">
        <f>SUMIF('[1]JOBS MAR 15'!$E$8:$E$525,$E$16:$E$533,'[1]JOBS MAR 15'!$H$8:$H$525)</f>
        <v>#VALUE!</v>
      </c>
      <c r="V253" s="37" t="e">
        <f>SUMIF('[1]JOBS MAR 15'!$E$8:$E$525,$E$16:$E$533,'[1]JOBS MAR 15'!$I$8:$I$525)</f>
        <v>#VALUE!</v>
      </c>
      <c r="W253" s="55" t="str">
        <f t="shared" si="26"/>
        <v xml:space="preserve"> </v>
      </c>
    </row>
    <row r="254" spans="2:23" x14ac:dyDescent="0.2">
      <c r="B254">
        <v>801</v>
      </c>
      <c r="C254">
        <v>1</v>
      </c>
      <c r="D254" s="2" t="s">
        <v>555</v>
      </c>
      <c r="E254" s="50" t="s">
        <v>556</v>
      </c>
      <c r="F254" s="50">
        <v>2707110</v>
      </c>
      <c r="G254" s="50">
        <v>7</v>
      </c>
      <c r="H254" s="52" t="e">
        <f>SUMIF('[1]Build Detail'!$D$4:$D$521,$B$16:$B$533,'[1]Build Detail'!$H$4:$H$521)</f>
        <v>#VALUE!</v>
      </c>
      <c r="I254" s="52" t="e">
        <f>SUMIF('[1]Build Detail'!$D$4:$D$521,$B$16:$B$533,'[1]Build Detail'!$Q$4:$Q$521)</f>
        <v>#VALUE!</v>
      </c>
      <c r="J254" s="52" t="e">
        <f>SUMIF('[1]Build Detail'!$D$4:$D$521,$B$16:$B$533,'[1]Build Detail'!$T$4:$T$521)</f>
        <v>#VALUE!</v>
      </c>
      <c r="K254" s="53">
        <v>1116674.95</v>
      </c>
      <c r="L254" s="37">
        <f t="shared" si="27"/>
        <v>31491.16</v>
      </c>
      <c r="M254" s="37">
        <v>31752.67</v>
      </c>
      <c r="N254" s="38">
        <v>28577.4</v>
      </c>
      <c r="O254" s="37">
        <f t="shared" si="21"/>
        <v>2913.7599999999984</v>
      </c>
      <c r="P254" s="54" t="e">
        <f t="shared" si="22"/>
        <v>#VALUE!</v>
      </c>
      <c r="Q254" s="40">
        <f t="shared" si="23"/>
        <v>9.2526283566562756E-2</v>
      </c>
      <c r="R254" s="37">
        <f t="shared" si="24"/>
        <v>-261.5099999999984</v>
      </c>
      <c r="S254" s="41">
        <f t="shared" si="25"/>
        <v>-8.2358428440820388E-3</v>
      </c>
      <c r="T254" s="37" t="e">
        <f>SUMIF('[1]JOBS MAR 15'!$E$8:$E$525,$E$16:$E$533,'[1]JOBS MAR 15'!$G$8:$G$525)</f>
        <v>#VALUE!</v>
      </c>
      <c r="U254" s="37" t="e">
        <f>SUMIF('[1]JOBS MAR 15'!$E$8:$E$525,$E$16:$E$533,'[1]JOBS MAR 15'!$H$8:$H$525)</f>
        <v>#VALUE!</v>
      </c>
      <c r="V254" s="37" t="e">
        <f>SUMIF('[1]JOBS MAR 15'!$E$8:$E$525,$E$16:$E$533,'[1]JOBS MAR 15'!$I$8:$I$525)</f>
        <v>#VALUE!</v>
      </c>
      <c r="W254" s="55" t="str">
        <f t="shared" si="26"/>
        <v xml:space="preserve"> </v>
      </c>
    </row>
    <row r="255" spans="2:23" x14ac:dyDescent="0.2">
      <c r="B255">
        <v>803</v>
      </c>
      <c r="C255">
        <v>1</v>
      </c>
      <c r="D255" s="2" t="s">
        <v>557</v>
      </c>
      <c r="E255" s="50" t="s">
        <v>558</v>
      </c>
      <c r="F255" s="50">
        <v>2742330</v>
      </c>
      <c r="G255" s="50">
        <v>7</v>
      </c>
      <c r="H255" s="52" t="e">
        <f>SUMIF('[1]Build Detail'!$D$4:$D$521,$B$16:$B$533,'[1]Build Detail'!$H$4:$H$521)</f>
        <v>#VALUE!</v>
      </c>
      <c r="I255" s="52" t="e">
        <f>SUMIF('[1]Build Detail'!$D$4:$D$521,$B$16:$B$533,'[1]Build Detail'!$Q$4:$Q$521)</f>
        <v>#VALUE!</v>
      </c>
      <c r="J255" s="52" t="e">
        <f>SUMIF('[1]Build Detail'!$D$4:$D$521,$B$16:$B$533,'[1]Build Detail'!$T$4:$T$521)</f>
        <v>#VALUE!</v>
      </c>
      <c r="K255" s="53">
        <v>3458304.4400000004</v>
      </c>
      <c r="L255" s="37">
        <f t="shared" si="27"/>
        <v>97527.039999999994</v>
      </c>
      <c r="M255" s="37">
        <v>97819.28</v>
      </c>
      <c r="N255" s="38">
        <v>88037.35</v>
      </c>
      <c r="O255" s="37">
        <f t="shared" si="21"/>
        <v>9489.6899999999878</v>
      </c>
      <c r="P255" s="54" t="e">
        <f t="shared" si="22"/>
        <v>#VALUE!</v>
      </c>
      <c r="Q255" s="40">
        <f t="shared" si="23"/>
        <v>9.7303168434107995E-2</v>
      </c>
      <c r="R255" s="37">
        <f t="shared" si="24"/>
        <v>-292.24000000000524</v>
      </c>
      <c r="S255" s="41">
        <f t="shared" si="25"/>
        <v>-2.9875501025974148E-3</v>
      </c>
      <c r="T255" s="37" t="e">
        <f>SUMIF('[1]JOBS MAR 15'!$E$8:$E$525,$E$16:$E$533,'[1]JOBS MAR 15'!$G$8:$G$525)</f>
        <v>#VALUE!</v>
      </c>
      <c r="U255" s="37" t="e">
        <f>SUMIF('[1]JOBS MAR 15'!$E$8:$E$525,$E$16:$E$533,'[1]JOBS MAR 15'!$H$8:$H$525)</f>
        <v>#VALUE!</v>
      </c>
      <c r="V255" s="37" t="e">
        <f>SUMIF('[1]JOBS MAR 15'!$E$8:$E$525,$E$16:$E$533,'[1]JOBS MAR 15'!$I$8:$I$525)</f>
        <v>#VALUE!</v>
      </c>
      <c r="W255" s="55" t="str">
        <f t="shared" si="26"/>
        <v xml:space="preserve"> </v>
      </c>
    </row>
    <row r="256" spans="2:23" x14ac:dyDescent="0.2">
      <c r="B256">
        <v>811</v>
      </c>
      <c r="C256">
        <v>1</v>
      </c>
      <c r="D256" s="2" t="s">
        <v>559</v>
      </c>
      <c r="E256" s="50" t="s">
        <v>560</v>
      </c>
      <c r="F256" s="50">
        <v>2741060</v>
      </c>
      <c r="G256" s="50">
        <v>1</v>
      </c>
      <c r="H256" s="52" t="e">
        <f>SUMIF('[1]Build Detail'!$D$4:$D$521,$B$16:$B$533,'[1]Build Detail'!$H$4:$H$521)</f>
        <v>#VALUE!</v>
      </c>
      <c r="I256" s="52" t="e">
        <f>SUMIF('[1]Build Detail'!$D$4:$D$521,$B$16:$B$533,'[1]Build Detail'!$Q$4:$Q$521)</f>
        <v>#VALUE!</v>
      </c>
      <c r="J256" s="52" t="e">
        <f>SUMIF('[1]Build Detail'!$D$4:$D$521,$B$16:$B$533,'[1]Build Detail'!$T$4:$T$521)</f>
        <v>#VALUE!</v>
      </c>
      <c r="K256" s="53">
        <v>4100966.26</v>
      </c>
      <c r="L256" s="37">
        <f t="shared" si="27"/>
        <v>115650.64</v>
      </c>
      <c r="M256" s="37">
        <v>114034.43</v>
      </c>
      <c r="N256" s="38">
        <v>102630.99</v>
      </c>
      <c r="O256" s="37">
        <f t="shared" si="21"/>
        <v>13019.649999999994</v>
      </c>
      <c r="P256" s="54" t="e">
        <f t="shared" si="22"/>
        <v>#VALUE!</v>
      </c>
      <c r="Q256" s="40">
        <f t="shared" si="23"/>
        <v>0.11257741418465124</v>
      </c>
      <c r="R256" s="37">
        <f t="shared" si="24"/>
        <v>1616.2100000000064</v>
      </c>
      <c r="S256" s="41">
        <f t="shared" si="25"/>
        <v>1.4173000207042789E-2</v>
      </c>
      <c r="T256" s="37" t="e">
        <f>SUMIF('[1]JOBS MAR 15'!$E$8:$E$525,$E$16:$E$533,'[1]JOBS MAR 15'!$G$8:$G$525)</f>
        <v>#VALUE!</v>
      </c>
      <c r="U256" s="37" t="e">
        <f>SUMIF('[1]JOBS MAR 15'!$E$8:$E$525,$E$16:$E$533,'[1]JOBS MAR 15'!$H$8:$H$525)</f>
        <v>#VALUE!</v>
      </c>
      <c r="V256" s="37" t="e">
        <f>SUMIF('[1]JOBS MAR 15'!$E$8:$E$525,$E$16:$E$533,'[1]JOBS MAR 15'!$I$8:$I$525)</f>
        <v>#VALUE!</v>
      </c>
      <c r="W256" s="55" t="str">
        <f t="shared" si="26"/>
        <v xml:space="preserve"> </v>
      </c>
    </row>
    <row r="257" spans="2:23" x14ac:dyDescent="0.2">
      <c r="B257">
        <v>813</v>
      </c>
      <c r="C257">
        <v>1</v>
      </c>
      <c r="D257" s="2" t="s">
        <v>561</v>
      </c>
      <c r="E257" s="50" t="s">
        <v>562</v>
      </c>
      <c r="F257" s="50">
        <v>2717520</v>
      </c>
      <c r="G257" s="50">
        <v>1</v>
      </c>
      <c r="H257" s="52" t="e">
        <f>SUMIF('[1]Build Detail'!$D$4:$D$521,$B$16:$B$533,'[1]Build Detail'!$H$4:$H$521)</f>
        <v>#VALUE!</v>
      </c>
      <c r="I257" s="52" t="e">
        <f>SUMIF('[1]Build Detail'!$D$4:$D$521,$B$16:$B$533,'[1]Build Detail'!$Q$4:$Q$521)</f>
        <v>#VALUE!</v>
      </c>
      <c r="J257" s="52" t="e">
        <f>SUMIF('[1]Build Detail'!$D$4:$D$521,$B$16:$B$533,'[1]Build Detail'!$T$4:$T$521)</f>
        <v>#VALUE!</v>
      </c>
      <c r="K257" s="53">
        <v>8031426.0699999994</v>
      </c>
      <c r="L257" s="37">
        <f t="shared" si="27"/>
        <v>226492.86</v>
      </c>
      <c r="M257" s="37">
        <v>226058.11</v>
      </c>
      <c r="N257" s="38">
        <v>203452.3</v>
      </c>
      <c r="O257" s="37">
        <f t="shared" si="21"/>
        <v>23040.559999999998</v>
      </c>
      <c r="P257" s="54" t="e">
        <f t="shared" si="22"/>
        <v>#VALUE!</v>
      </c>
      <c r="Q257" s="40">
        <f t="shared" si="23"/>
        <v>0.10172753348604455</v>
      </c>
      <c r="R257" s="37">
        <f t="shared" si="24"/>
        <v>434.75</v>
      </c>
      <c r="S257" s="41">
        <f t="shared" si="25"/>
        <v>1.9231780713374982E-3</v>
      </c>
      <c r="T257" s="37" t="e">
        <f>SUMIF('[1]JOBS MAR 15'!$E$8:$E$525,$E$16:$E$533,'[1]JOBS MAR 15'!$G$8:$G$525)</f>
        <v>#VALUE!</v>
      </c>
      <c r="U257" s="37" t="e">
        <f>SUMIF('[1]JOBS MAR 15'!$E$8:$E$525,$E$16:$E$533,'[1]JOBS MAR 15'!$H$8:$H$525)</f>
        <v>#VALUE!</v>
      </c>
      <c r="V257" s="37" t="e">
        <f>SUMIF('[1]JOBS MAR 15'!$E$8:$E$525,$E$16:$E$533,'[1]JOBS MAR 15'!$I$8:$I$525)</f>
        <v>#VALUE!</v>
      </c>
      <c r="W257" s="55" t="str">
        <f t="shared" si="26"/>
        <v xml:space="preserve"> </v>
      </c>
    </row>
    <row r="258" spans="2:23" x14ac:dyDescent="0.2">
      <c r="B258">
        <v>815</v>
      </c>
      <c r="C258">
        <v>2</v>
      </c>
      <c r="D258" s="2" t="s">
        <v>563</v>
      </c>
      <c r="E258" s="50" t="s">
        <v>564</v>
      </c>
      <c r="F258" s="50">
        <v>2716830</v>
      </c>
      <c r="G258" s="50">
        <v>7</v>
      </c>
      <c r="H258" s="52" t="e">
        <f>SUMIF('[1]Build Detail'!$D$4:$D$521,$B$16:$B$533,'[1]Build Detail'!$H$4:$H$521)</f>
        <v>#VALUE!</v>
      </c>
      <c r="I258" s="52" t="e">
        <f>SUMIF('[1]Build Detail'!$D$4:$D$521,$B$16:$B$533,'[1]Build Detail'!$Q$4:$Q$521)</f>
        <v>#VALUE!</v>
      </c>
      <c r="J258" s="52" t="e">
        <f>SUMIF('[1]Build Detail'!$D$4:$D$521,$B$16:$B$533,'[1]Build Detail'!$T$4:$T$521)</f>
        <v>#VALUE!</v>
      </c>
      <c r="K258" s="53">
        <v>166286.51999999999</v>
      </c>
      <c r="L258" s="37">
        <f t="shared" si="27"/>
        <v>4689.42</v>
      </c>
      <c r="M258" s="37">
        <v>4426.8900000000003</v>
      </c>
      <c r="N258" s="38">
        <v>3984.2</v>
      </c>
      <c r="O258" s="37">
        <f t="shared" si="21"/>
        <v>705.22000000000025</v>
      </c>
      <c r="P258" s="54" t="e">
        <f t="shared" si="22"/>
        <v>#VALUE!</v>
      </c>
      <c r="Q258" s="40">
        <f t="shared" si="23"/>
        <v>0.15038533549991262</v>
      </c>
      <c r="R258" s="37">
        <f t="shared" si="24"/>
        <v>262.52999999999975</v>
      </c>
      <c r="S258" s="41">
        <f t="shared" si="25"/>
        <v>5.9303483935674868E-2</v>
      </c>
      <c r="T258" s="37" t="e">
        <f>SUMIF('[1]JOBS MAR 15'!$E$8:$E$525,$E$16:$E$533,'[1]JOBS MAR 15'!$G$8:$G$525)</f>
        <v>#VALUE!</v>
      </c>
      <c r="U258" s="37" t="e">
        <f>SUMIF('[1]JOBS MAR 15'!$E$8:$E$525,$E$16:$E$533,'[1]JOBS MAR 15'!$H$8:$H$525)</f>
        <v>#VALUE!</v>
      </c>
      <c r="V258" s="37" t="e">
        <f>SUMIF('[1]JOBS MAR 15'!$E$8:$E$525,$E$16:$E$533,'[1]JOBS MAR 15'!$I$8:$I$525)</f>
        <v>#VALUE!</v>
      </c>
      <c r="W258" s="55" t="str">
        <f t="shared" si="26"/>
        <v xml:space="preserve"> </v>
      </c>
    </row>
    <row r="259" spans="2:23" x14ac:dyDescent="0.2">
      <c r="B259">
        <v>818</v>
      </c>
      <c r="C259">
        <v>1</v>
      </c>
      <c r="D259" s="2" t="s">
        <v>565</v>
      </c>
      <c r="E259" s="50" t="s">
        <v>566</v>
      </c>
      <c r="F259" s="50">
        <v>2740920</v>
      </c>
      <c r="G259" s="50">
        <v>8</v>
      </c>
      <c r="H259" s="52" t="e">
        <f>SUMIF('[1]Build Detail'!$D$4:$D$521,$B$16:$B$533,'[1]Build Detail'!$H$4:$H$521)</f>
        <v>#VALUE!</v>
      </c>
      <c r="I259" s="52" t="e">
        <f>SUMIF('[1]Build Detail'!$D$4:$D$521,$B$16:$B$533,'[1]Build Detail'!$Q$4:$Q$521)</f>
        <v>#VALUE!</v>
      </c>
      <c r="J259" s="52" t="e">
        <f>SUMIF('[1]Build Detail'!$D$4:$D$521,$B$16:$B$533,'[1]Build Detail'!$T$4:$T$521)</f>
        <v>#VALUE!</v>
      </c>
      <c r="K259" s="53">
        <v>4121690.63</v>
      </c>
      <c r="L259" s="37">
        <f t="shared" si="27"/>
        <v>116235.08</v>
      </c>
      <c r="M259" s="37">
        <v>114627.04</v>
      </c>
      <c r="N259" s="38">
        <v>103164.34</v>
      </c>
      <c r="O259" s="37">
        <f t="shared" si="21"/>
        <v>13070.740000000005</v>
      </c>
      <c r="P259" s="54" t="e">
        <f t="shared" si="22"/>
        <v>#VALUE!</v>
      </c>
      <c r="Q259" s="40">
        <f t="shared" si="23"/>
        <v>0.11245090552697176</v>
      </c>
      <c r="R259" s="37">
        <f t="shared" si="24"/>
        <v>1608.0400000000081</v>
      </c>
      <c r="S259" s="41">
        <f t="shared" si="25"/>
        <v>1.4028452623395041E-2</v>
      </c>
      <c r="T259" s="37" t="e">
        <f>SUMIF('[1]JOBS MAR 15'!$E$8:$E$525,$E$16:$E$533,'[1]JOBS MAR 15'!$G$8:$G$525)</f>
        <v>#VALUE!</v>
      </c>
      <c r="U259" s="37" t="e">
        <f>SUMIF('[1]JOBS MAR 15'!$E$8:$E$525,$E$16:$E$533,'[1]JOBS MAR 15'!$H$8:$H$525)</f>
        <v>#VALUE!</v>
      </c>
      <c r="V259" s="37" t="e">
        <f>SUMIF('[1]JOBS MAR 15'!$E$8:$E$525,$E$16:$E$533,'[1]JOBS MAR 15'!$I$8:$I$525)</f>
        <v>#VALUE!</v>
      </c>
      <c r="W259" s="55" t="str">
        <f t="shared" si="26"/>
        <v xml:space="preserve"> </v>
      </c>
    </row>
    <row r="260" spans="2:23" x14ac:dyDescent="0.2">
      <c r="B260">
        <v>820</v>
      </c>
      <c r="C260">
        <v>1</v>
      </c>
      <c r="D260" s="2" t="s">
        <v>567</v>
      </c>
      <c r="E260" s="50" t="s">
        <v>568</v>
      </c>
      <c r="F260" s="50">
        <v>2732970</v>
      </c>
      <c r="G260" s="50">
        <v>8</v>
      </c>
      <c r="H260" s="52" t="e">
        <f>SUMIF('[1]Build Detail'!$D$4:$D$521,$B$16:$B$533,'[1]Build Detail'!$H$4:$H$521)</f>
        <v>#VALUE!</v>
      </c>
      <c r="I260" s="52" t="e">
        <f>SUMIF('[1]Build Detail'!$D$4:$D$521,$B$16:$B$533,'[1]Build Detail'!$Q$4:$Q$521)</f>
        <v>#VALUE!</v>
      </c>
      <c r="J260" s="52" t="e">
        <f>SUMIF('[1]Build Detail'!$D$4:$D$521,$B$16:$B$533,'[1]Build Detail'!$T$4:$T$521)</f>
        <v>#VALUE!</v>
      </c>
      <c r="K260" s="53">
        <v>4315640.8</v>
      </c>
      <c r="L260" s="37">
        <f t="shared" si="27"/>
        <v>121704.64</v>
      </c>
      <c r="M260" s="37">
        <v>121654.26</v>
      </c>
      <c r="N260" s="38">
        <v>109488.83</v>
      </c>
      <c r="O260" s="37">
        <f t="shared" si="21"/>
        <v>12215.809999999998</v>
      </c>
      <c r="P260" s="54" t="e">
        <f t="shared" si="22"/>
        <v>#VALUE!</v>
      </c>
      <c r="Q260" s="40">
        <f t="shared" si="23"/>
        <v>0.10037259056022842</v>
      </c>
      <c r="R260" s="37">
        <f t="shared" si="24"/>
        <v>50.380000000004657</v>
      </c>
      <c r="S260" s="41">
        <f t="shared" si="25"/>
        <v>4.1412442112594052E-4</v>
      </c>
      <c r="T260" s="37" t="e">
        <f>SUMIF('[1]JOBS MAR 15'!$E$8:$E$525,$E$16:$E$533,'[1]JOBS MAR 15'!$G$8:$G$525)</f>
        <v>#VALUE!</v>
      </c>
      <c r="U260" s="37" t="e">
        <f>SUMIF('[1]JOBS MAR 15'!$E$8:$E$525,$E$16:$E$533,'[1]JOBS MAR 15'!$H$8:$H$525)</f>
        <v>#VALUE!</v>
      </c>
      <c r="V260" s="37" t="e">
        <f>SUMIF('[1]JOBS MAR 15'!$E$8:$E$525,$E$16:$E$533,'[1]JOBS MAR 15'!$I$8:$I$525)</f>
        <v>#VALUE!</v>
      </c>
      <c r="W260" s="55" t="str">
        <f t="shared" si="26"/>
        <v xml:space="preserve"> </v>
      </c>
    </row>
    <row r="261" spans="2:23" x14ac:dyDescent="0.2">
      <c r="B261">
        <v>821</v>
      </c>
      <c r="C261">
        <v>1</v>
      </c>
      <c r="D261" s="2" t="s">
        <v>569</v>
      </c>
      <c r="E261" s="50" t="s">
        <v>570</v>
      </c>
      <c r="F261" s="50">
        <v>2720580</v>
      </c>
      <c r="G261" s="50">
        <v>8</v>
      </c>
      <c r="H261" s="52" t="e">
        <f>SUMIF('[1]Build Detail'!$D$4:$D$521,$B$16:$B$533,'[1]Build Detail'!$H$4:$H$521)</f>
        <v>#VALUE!</v>
      </c>
      <c r="I261" s="52" t="e">
        <f>SUMIF('[1]Build Detail'!$D$4:$D$521,$B$16:$B$533,'[1]Build Detail'!$Q$4:$Q$521)</f>
        <v>#VALUE!</v>
      </c>
      <c r="J261" s="52" t="e">
        <f>SUMIF('[1]Build Detail'!$D$4:$D$521,$B$16:$B$533,'[1]Build Detail'!$T$4:$T$521)</f>
        <v>#VALUE!</v>
      </c>
      <c r="K261" s="53">
        <v>5830005.3800000008</v>
      </c>
      <c r="L261" s="37">
        <f t="shared" si="27"/>
        <v>164410.97</v>
      </c>
      <c r="M261" s="37">
        <v>163833.32999999999</v>
      </c>
      <c r="N261" s="38">
        <v>147450</v>
      </c>
      <c r="O261" s="37">
        <f t="shared" si="21"/>
        <v>16960.97</v>
      </c>
      <c r="P261" s="54" t="e">
        <f t="shared" si="22"/>
        <v>#VALUE!</v>
      </c>
      <c r="Q261" s="40">
        <f t="shared" si="23"/>
        <v>0.10316203353097425</v>
      </c>
      <c r="R261" s="37">
        <f t="shared" si="24"/>
        <v>577.64000000001397</v>
      </c>
      <c r="S261" s="41">
        <f t="shared" si="25"/>
        <v>3.525778301643591E-3</v>
      </c>
      <c r="T261" s="37" t="e">
        <f>SUMIF('[1]JOBS MAR 15'!$E$8:$E$525,$E$16:$E$533,'[1]JOBS MAR 15'!$G$8:$G$525)</f>
        <v>#VALUE!</v>
      </c>
      <c r="U261" s="37" t="e">
        <f>SUMIF('[1]JOBS MAR 15'!$E$8:$E$525,$E$16:$E$533,'[1]JOBS MAR 15'!$H$8:$H$525)</f>
        <v>#VALUE!</v>
      </c>
      <c r="V261" s="37" t="e">
        <f>SUMIF('[1]JOBS MAR 15'!$E$8:$E$525,$E$16:$E$533,'[1]JOBS MAR 15'!$I$8:$I$525)</f>
        <v>#VALUE!</v>
      </c>
      <c r="W261" s="55" t="str">
        <f t="shared" si="26"/>
        <v xml:space="preserve"> </v>
      </c>
    </row>
    <row r="262" spans="2:23" x14ac:dyDescent="0.2">
      <c r="B262">
        <v>829</v>
      </c>
      <c r="C262">
        <v>1</v>
      </c>
      <c r="D262" s="2" t="s">
        <v>571</v>
      </c>
      <c r="E262" s="50" t="s">
        <v>572</v>
      </c>
      <c r="F262" s="50">
        <v>2741880</v>
      </c>
      <c r="G262" s="50">
        <v>1</v>
      </c>
      <c r="H262" s="52" t="e">
        <f>SUMIF('[1]Build Detail'!$D$4:$D$521,$B$16:$B$533,'[1]Build Detail'!$H$4:$H$521)</f>
        <v>#VALUE!</v>
      </c>
      <c r="I262" s="52" t="e">
        <f>SUMIF('[1]Build Detail'!$D$4:$D$521,$B$16:$B$533,'[1]Build Detail'!$Q$4:$Q$521)</f>
        <v>#VALUE!</v>
      </c>
      <c r="J262" s="52" t="e">
        <f>SUMIF('[1]Build Detail'!$D$4:$D$521,$B$16:$B$533,'[1]Build Detail'!$T$4:$T$521)</f>
        <v>#VALUE!</v>
      </c>
      <c r="K262" s="53">
        <v>14295923.460000001</v>
      </c>
      <c r="L262" s="37">
        <f t="shared" si="27"/>
        <v>403156.86</v>
      </c>
      <c r="M262" s="37">
        <v>402045.03</v>
      </c>
      <c r="N262" s="38">
        <v>361840.53</v>
      </c>
      <c r="O262" s="37">
        <f t="shared" si="21"/>
        <v>41316.329999999958</v>
      </c>
      <c r="P262" s="54" t="e">
        <f t="shared" si="22"/>
        <v>#VALUE!</v>
      </c>
      <c r="Q262" s="40">
        <f t="shared" si="23"/>
        <v>0.10248202151390891</v>
      </c>
      <c r="R262" s="37">
        <f t="shared" si="24"/>
        <v>1111.8299999999581</v>
      </c>
      <c r="S262" s="41">
        <f t="shared" si="25"/>
        <v>2.7654364984936093E-3</v>
      </c>
      <c r="T262" s="37" t="e">
        <f>SUMIF('[1]JOBS MAR 15'!$E$8:$E$525,$E$16:$E$533,'[1]JOBS MAR 15'!$G$8:$G$525)</f>
        <v>#VALUE!</v>
      </c>
      <c r="U262" s="37" t="e">
        <f>SUMIF('[1]JOBS MAR 15'!$E$8:$E$525,$E$16:$E$533,'[1]JOBS MAR 15'!$H$8:$H$525)</f>
        <v>#VALUE!</v>
      </c>
      <c r="V262" s="37" t="e">
        <f>SUMIF('[1]JOBS MAR 15'!$E$8:$E$525,$E$16:$E$533,'[1]JOBS MAR 15'!$I$8:$I$525)</f>
        <v>#VALUE!</v>
      </c>
      <c r="W262" s="55" t="str">
        <f t="shared" si="26"/>
        <v xml:space="preserve"> </v>
      </c>
    </row>
    <row r="263" spans="2:23" x14ac:dyDescent="0.2">
      <c r="B263">
        <v>831</v>
      </c>
      <c r="C263">
        <v>1</v>
      </c>
      <c r="D263" s="2" t="s">
        <v>573</v>
      </c>
      <c r="E263" s="50" t="s">
        <v>574</v>
      </c>
      <c r="F263" s="50">
        <v>2712270</v>
      </c>
      <c r="G263" s="50">
        <v>6</v>
      </c>
      <c r="H263" s="52" t="e">
        <f>SUMIF('[1]Build Detail'!$D$4:$D$521,$B$16:$B$533,'[1]Build Detail'!$H$4:$H$521)</f>
        <v>#VALUE!</v>
      </c>
      <c r="I263" s="52" t="e">
        <f>SUMIF('[1]Build Detail'!$D$4:$D$521,$B$16:$B$533,'[1]Build Detail'!$Q$4:$Q$521)</f>
        <v>#VALUE!</v>
      </c>
      <c r="J263" s="52" t="e">
        <f>SUMIF('[1]Build Detail'!$D$4:$D$521,$B$16:$B$533,'[1]Build Detail'!$T$4:$T$521)</f>
        <v>#VALUE!</v>
      </c>
      <c r="K263" s="53">
        <v>42961915.599999994</v>
      </c>
      <c r="L263" s="37">
        <f t="shared" si="27"/>
        <v>1211561.55</v>
      </c>
      <c r="M263" s="37">
        <v>1204074.9099999999</v>
      </c>
      <c r="N263" s="38">
        <v>1083667.42</v>
      </c>
      <c r="O263" s="37">
        <f t="shared" si="21"/>
        <v>127894.13000000012</v>
      </c>
      <c r="P263" s="54" t="e">
        <f t="shared" si="22"/>
        <v>#VALUE!</v>
      </c>
      <c r="Q263" s="40">
        <f t="shared" si="23"/>
        <v>0.10556139719026253</v>
      </c>
      <c r="R263" s="37">
        <f t="shared" si="24"/>
        <v>7486.6400000001304</v>
      </c>
      <c r="S263" s="41">
        <f t="shared" si="25"/>
        <v>6.2177526811850363E-3</v>
      </c>
      <c r="T263" s="37" t="e">
        <f>SUMIF('[1]JOBS MAR 15'!$E$8:$E$525,$E$16:$E$533,'[1]JOBS MAR 15'!$G$8:$G$525)</f>
        <v>#VALUE!</v>
      </c>
      <c r="U263" s="37" t="e">
        <f>SUMIF('[1]JOBS MAR 15'!$E$8:$E$525,$E$16:$E$533,'[1]JOBS MAR 15'!$H$8:$H$525)</f>
        <v>#VALUE!</v>
      </c>
      <c r="V263" s="37" t="e">
        <f>SUMIF('[1]JOBS MAR 15'!$E$8:$E$525,$E$16:$E$533,'[1]JOBS MAR 15'!$I$8:$I$525)</f>
        <v>#VALUE!</v>
      </c>
      <c r="W263" s="55" t="str">
        <f t="shared" si="26"/>
        <v xml:space="preserve"> </v>
      </c>
    </row>
    <row r="264" spans="2:23" x14ac:dyDescent="0.2">
      <c r="B264">
        <v>832</v>
      </c>
      <c r="C264">
        <v>1</v>
      </c>
      <c r="D264" s="2" t="s">
        <v>575</v>
      </c>
      <c r="E264" s="50" t="s">
        <v>576</v>
      </c>
      <c r="F264" s="50">
        <v>2718750</v>
      </c>
      <c r="G264" s="50">
        <v>4</v>
      </c>
      <c r="H264" s="52" t="e">
        <f>SUMIF('[1]Build Detail'!$D$4:$D$521,$B$16:$B$533,'[1]Build Detail'!$H$4:$H$521)</f>
        <v>#VALUE!</v>
      </c>
      <c r="I264" s="52" t="e">
        <f>SUMIF('[1]Build Detail'!$D$4:$D$521,$B$16:$B$533,'[1]Build Detail'!$Q$4:$Q$521)</f>
        <v>#VALUE!</v>
      </c>
      <c r="J264" s="52" t="e">
        <f>SUMIF('[1]Build Detail'!$D$4:$D$521,$B$16:$B$533,'[1]Build Detail'!$T$4:$T$521)</f>
        <v>#VALUE!</v>
      </c>
      <c r="K264" s="53">
        <v>20344743.740000002</v>
      </c>
      <c r="L264" s="37">
        <f t="shared" si="27"/>
        <v>573738.6</v>
      </c>
      <c r="M264" s="37">
        <v>569938.81999999995</v>
      </c>
      <c r="N264" s="38">
        <v>512944.94</v>
      </c>
      <c r="O264" s="37">
        <f t="shared" si="21"/>
        <v>60793.659999999974</v>
      </c>
      <c r="P264" s="54" t="e">
        <f t="shared" si="22"/>
        <v>#VALUE!</v>
      </c>
      <c r="Q264" s="40">
        <f t="shared" si="23"/>
        <v>0.10596055416177329</v>
      </c>
      <c r="R264" s="37">
        <f t="shared" si="24"/>
        <v>3799.7800000000279</v>
      </c>
      <c r="S264" s="41">
        <f t="shared" si="25"/>
        <v>6.6669962926898512E-3</v>
      </c>
      <c r="T264" s="37" t="e">
        <f>SUMIF('[1]JOBS MAR 15'!$E$8:$E$525,$E$16:$E$533,'[1]JOBS MAR 15'!$G$8:$G$525)</f>
        <v>#VALUE!</v>
      </c>
      <c r="U264" s="37" t="e">
        <f>SUMIF('[1]JOBS MAR 15'!$E$8:$E$525,$E$16:$E$533,'[1]JOBS MAR 15'!$H$8:$H$525)</f>
        <v>#VALUE!</v>
      </c>
      <c r="V264" s="37" t="e">
        <f>SUMIF('[1]JOBS MAR 15'!$E$8:$E$525,$E$16:$E$533,'[1]JOBS MAR 15'!$I$8:$I$525)</f>
        <v>#VALUE!</v>
      </c>
      <c r="W264" s="55" t="str">
        <f t="shared" si="26"/>
        <v xml:space="preserve"> </v>
      </c>
    </row>
    <row r="265" spans="2:23" x14ac:dyDescent="0.2">
      <c r="B265">
        <v>833</v>
      </c>
      <c r="C265">
        <v>1</v>
      </c>
      <c r="D265" s="2" t="s">
        <v>577</v>
      </c>
      <c r="E265" s="50" t="s">
        <v>578</v>
      </c>
      <c r="F265" s="50">
        <v>2733810</v>
      </c>
      <c r="G265" s="50">
        <v>2</v>
      </c>
      <c r="H265" s="52" t="e">
        <f>SUMIF('[1]Build Detail'!$D$4:$D$521,$B$16:$B$533,'[1]Build Detail'!$H$4:$H$521)</f>
        <v>#VALUE!</v>
      </c>
      <c r="I265" s="52" t="e">
        <f>SUMIF('[1]Build Detail'!$D$4:$D$521,$B$16:$B$533,'[1]Build Detail'!$Q$4:$Q$521)</f>
        <v>#VALUE!</v>
      </c>
      <c r="J265" s="52" t="e">
        <f>SUMIF('[1]Build Detail'!$D$4:$D$521,$B$16:$B$533,'[1]Build Detail'!$T$4:$T$521)</f>
        <v>#VALUE!</v>
      </c>
      <c r="K265" s="53">
        <v>107887098.75</v>
      </c>
      <c r="L265" s="37">
        <f t="shared" si="27"/>
        <v>3042505.4</v>
      </c>
      <c r="M265" s="37">
        <v>2995957.5</v>
      </c>
      <c r="N265" s="38">
        <v>2696361.75</v>
      </c>
      <c r="O265" s="37">
        <f t="shared" si="21"/>
        <v>346143.64999999991</v>
      </c>
      <c r="P265" s="54" t="e">
        <f t="shared" si="22"/>
        <v>#VALUE!</v>
      </c>
      <c r="Q265" s="40">
        <f t="shared" si="23"/>
        <v>0.11376928040949406</v>
      </c>
      <c r="R265" s="37">
        <f t="shared" si="24"/>
        <v>46547.899999999907</v>
      </c>
      <c r="S265" s="41">
        <f t="shared" si="25"/>
        <v>1.5536902642978049E-2</v>
      </c>
      <c r="T265" s="37" t="e">
        <f>SUMIF('[1]JOBS MAR 15'!$E$8:$E$525,$E$16:$E$533,'[1]JOBS MAR 15'!$G$8:$G$525)</f>
        <v>#VALUE!</v>
      </c>
      <c r="U265" s="37" t="e">
        <f>SUMIF('[1]JOBS MAR 15'!$E$8:$E$525,$E$16:$E$533,'[1]JOBS MAR 15'!$H$8:$H$525)</f>
        <v>#VALUE!</v>
      </c>
      <c r="V265" s="37" t="e">
        <f>SUMIF('[1]JOBS MAR 15'!$E$8:$E$525,$E$16:$E$533,'[1]JOBS MAR 15'!$I$8:$I$525)</f>
        <v>#VALUE!</v>
      </c>
      <c r="W265" s="55" t="str">
        <f t="shared" si="26"/>
        <v xml:space="preserve"> </v>
      </c>
    </row>
    <row r="266" spans="2:23" x14ac:dyDescent="0.2">
      <c r="B266">
        <v>834</v>
      </c>
      <c r="C266">
        <v>1</v>
      </c>
      <c r="D266" s="2" t="s">
        <v>579</v>
      </c>
      <c r="E266" s="50" t="s">
        <v>580</v>
      </c>
      <c r="F266" s="50">
        <v>2738190</v>
      </c>
      <c r="G266" s="50">
        <v>6</v>
      </c>
      <c r="H266" s="52" t="e">
        <f>SUMIF('[1]Build Detail'!$D$4:$D$521,$B$16:$B$533,'[1]Build Detail'!$H$4:$H$521)</f>
        <v>#VALUE!</v>
      </c>
      <c r="I266" s="52" t="e">
        <f>SUMIF('[1]Build Detail'!$D$4:$D$521,$B$16:$B$533,'[1]Build Detail'!$Q$4:$Q$521)</f>
        <v>#VALUE!</v>
      </c>
      <c r="J266" s="52" t="e">
        <f>SUMIF('[1]Build Detail'!$D$4:$D$521,$B$16:$B$533,'[1]Build Detail'!$T$4:$T$521)</f>
        <v>#VALUE!</v>
      </c>
      <c r="K266" s="53">
        <v>51837483.979999997</v>
      </c>
      <c r="L266" s="37">
        <f t="shared" si="27"/>
        <v>1461859.91</v>
      </c>
      <c r="M266" s="37">
        <v>1451743.65</v>
      </c>
      <c r="N266" s="38">
        <v>1306569.29</v>
      </c>
      <c r="O266" s="37">
        <f t="shared" si="21"/>
        <v>155290.61999999988</v>
      </c>
      <c r="P266" s="54" t="e">
        <f t="shared" si="22"/>
        <v>#VALUE!</v>
      </c>
      <c r="Q266" s="40">
        <f t="shared" si="23"/>
        <v>0.10622811319861689</v>
      </c>
      <c r="R266" s="37">
        <f t="shared" si="24"/>
        <v>10116.260000000009</v>
      </c>
      <c r="S266" s="41">
        <f t="shared" si="25"/>
        <v>6.9683514716940625E-3</v>
      </c>
      <c r="T266" s="37" t="e">
        <f>SUMIF('[1]JOBS MAR 15'!$E$8:$E$525,$E$16:$E$533,'[1]JOBS MAR 15'!$G$8:$G$525)</f>
        <v>#VALUE!</v>
      </c>
      <c r="U266" s="37" t="e">
        <f>SUMIF('[1]JOBS MAR 15'!$E$8:$E$525,$E$16:$E$533,'[1]JOBS MAR 15'!$H$8:$H$525)</f>
        <v>#VALUE!</v>
      </c>
      <c r="V266" s="37" t="e">
        <f>SUMIF('[1]JOBS MAR 15'!$E$8:$E$525,$E$16:$E$533,'[1]JOBS MAR 15'!$I$8:$I$525)</f>
        <v>#VALUE!</v>
      </c>
      <c r="W266" s="55" t="str">
        <f t="shared" si="26"/>
        <v xml:space="preserve"> </v>
      </c>
    </row>
    <row r="267" spans="2:23" x14ac:dyDescent="0.2">
      <c r="B267">
        <v>836</v>
      </c>
      <c r="C267">
        <v>1</v>
      </c>
      <c r="D267" s="2" t="s">
        <v>581</v>
      </c>
      <c r="E267" s="50" t="s">
        <v>582</v>
      </c>
      <c r="F267" s="50">
        <v>2707320</v>
      </c>
      <c r="G267" s="50">
        <v>1</v>
      </c>
      <c r="H267" s="52" t="e">
        <f>SUMIF('[1]Build Detail'!$D$4:$D$521,$B$16:$B$533,'[1]Build Detail'!$H$4:$H$521)</f>
        <v>#VALUE!</v>
      </c>
      <c r="I267" s="52" t="e">
        <f>SUMIF('[1]Build Detail'!$D$4:$D$521,$B$16:$B$533,'[1]Build Detail'!$Q$4:$Q$521)</f>
        <v>#VALUE!</v>
      </c>
      <c r="J267" s="52" t="e">
        <f>SUMIF('[1]Build Detail'!$D$4:$D$521,$B$16:$B$533,'[1]Build Detail'!$T$4:$T$521)</f>
        <v>#VALUE!</v>
      </c>
      <c r="K267" s="53">
        <v>1886034.87</v>
      </c>
      <c r="L267" s="37">
        <f t="shared" si="27"/>
        <v>53187.74</v>
      </c>
      <c r="M267" s="37">
        <v>52737.55</v>
      </c>
      <c r="N267" s="38">
        <v>47463.8</v>
      </c>
      <c r="O267" s="37">
        <f t="shared" si="21"/>
        <v>5723.9399999999951</v>
      </c>
      <c r="P267" s="54" t="e">
        <f t="shared" si="22"/>
        <v>#VALUE!</v>
      </c>
      <c r="Q267" s="40">
        <f t="shared" si="23"/>
        <v>0.10761765775345963</v>
      </c>
      <c r="R267" s="37">
        <f t="shared" si="24"/>
        <v>450.18999999999505</v>
      </c>
      <c r="S267" s="41">
        <f t="shared" si="25"/>
        <v>8.536422340438549E-3</v>
      </c>
      <c r="T267" s="37" t="e">
        <f>SUMIF('[1]JOBS MAR 15'!$E$8:$E$525,$E$16:$E$533,'[1]JOBS MAR 15'!$G$8:$G$525)</f>
        <v>#VALUE!</v>
      </c>
      <c r="U267" s="37" t="e">
        <f>SUMIF('[1]JOBS MAR 15'!$E$8:$E$525,$E$16:$E$533,'[1]JOBS MAR 15'!$H$8:$H$525)</f>
        <v>#VALUE!</v>
      </c>
      <c r="V267" s="37" t="e">
        <f>SUMIF('[1]JOBS MAR 15'!$E$8:$E$525,$E$16:$E$533,'[1]JOBS MAR 15'!$I$8:$I$525)</f>
        <v>#VALUE!</v>
      </c>
      <c r="W267" s="55" t="str">
        <f t="shared" si="26"/>
        <v xml:space="preserve"> </v>
      </c>
    </row>
    <row r="268" spans="2:23" x14ac:dyDescent="0.2">
      <c r="B268">
        <v>837</v>
      </c>
      <c r="C268">
        <v>1</v>
      </c>
      <c r="D268" s="2" t="s">
        <v>583</v>
      </c>
      <c r="E268" s="50" t="s">
        <v>584</v>
      </c>
      <c r="F268" s="50">
        <v>2718570</v>
      </c>
      <c r="G268" s="50">
        <v>1</v>
      </c>
      <c r="H268" s="52" t="e">
        <f>SUMIF('[1]Build Detail'!$D$4:$D$521,$B$16:$B$533,'[1]Build Detail'!$H$4:$H$521)</f>
        <v>#VALUE!</v>
      </c>
      <c r="I268" s="52" t="e">
        <f>SUMIF('[1]Build Detail'!$D$4:$D$521,$B$16:$B$533,'[1]Build Detail'!$Q$4:$Q$521)</f>
        <v>#VALUE!</v>
      </c>
      <c r="J268" s="52" t="e">
        <f>SUMIF('[1]Build Detail'!$D$4:$D$521,$B$16:$B$533,'[1]Build Detail'!$T$4:$T$521)</f>
        <v>#VALUE!</v>
      </c>
      <c r="K268" s="53">
        <v>4347185.1000000006</v>
      </c>
      <c r="L268" s="37">
        <f t="shared" si="27"/>
        <v>122594.21</v>
      </c>
      <c r="M268" s="37">
        <v>126086.5</v>
      </c>
      <c r="N268" s="38">
        <v>113477.85</v>
      </c>
      <c r="O268" s="37">
        <f t="shared" si="21"/>
        <v>9116.36</v>
      </c>
      <c r="P268" s="54" t="e">
        <f t="shared" si="22"/>
        <v>#VALUE!</v>
      </c>
      <c r="Q268" s="40">
        <f t="shared" si="23"/>
        <v>7.4362076316654757E-2</v>
      </c>
      <c r="R268" s="37">
        <f t="shared" si="24"/>
        <v>-3492.2899999999936</v>
      </c>
      <c r="S268" s="41">
        <f t="shared" si="25"/>
        <v>-2.7697572698107995E-2</v>
      </c>
      <c r="T268" s="37" t="e">
        <f>SUMIF('[1]JOBS MAR 15'!$E$8:$E$525,$E$16:$E$533,'[1]JOBS MAR 15'!$G$8:$G$525)</f>
        <v>#VALUE!</v>
      </c>
      <c r="U268" s="37" t="e">
        <f>SUMIF('[1]JOBS MAR 15'!$E$8:$E$525,$E$16:$E$533,'[1]JOBS MAR 15'!$H$8:$H$525)</f>
        <v>#VALUE!</v>
      </c>
      <c r="V268" s="37" t="e">
        <f>SUMIF('[1]JOBS MAR 15'!$E$8:$E$525,$E$16:$E$533,'[1]JOBS MAR 15'!$I$8:$I$525)</f>
        <v>#VALUE!</v>
      </c>
      <c r="W268" s="55" t="str">
        <f t="shared" si="26"/>
        <v xml:space="preserve"> </v>
      </c>
    </row>
    <row r="269" spans="2:23" x14ac:dyDescent="0.2">
      <c r="B269">
        <v>840</v>
      </c>
      <c r="C269">
        <v>1</v>
      </c>
      <c r="D269" s="2" t="s">
        <v>585</v>
      </c>
      <c r="E269" s="50" t="s">
        <v>586</v>
      </c>
      <c r="F269" s="50">
        <v>2733600</v>
      </c>
      <c r="G269" s="50">
        <v>1</v>
      </c>
      <c r="H269" s="52" t="e">
        <f>SUMIF('[1]Build Detail'!$D$4:$D$521,$B$16:$B$533,'[1]Build Detail'!$H$4:$H$521)</f>
        <v>#VALUE!</v>
      </c>
      <c r="I269" s="52" t="e">
        <f>SUMIF('[1]Build Detail'!$D$4:$D$521,$B$16:$B$533,'[1]Build Detail'!$Q$4:$Q$521)</f>
        <v>#VALUE!</v>
      </c>
      <c r="J269" s="52" t="e">
        <f>SUMIF('[1]Build Detail'!$D$4:$D$521,$B$16:$B$533,'[1]Build Detail'!$T$4:$T$521)</f>
        <v>#VALUE!</v>
      </c>
      <c r="K269" s="53">
        <v>8463400.629999999</v>
      </c>
      <c r="L269" s="37">
        <f t="shared" si="27"/>
        <v>238674.9</v>
      </c>
      <c r="M269" s="37">
        <v>238348.79999999999</v>
      </c>
      <c r="N269" s="38">
        <v>214513.92000000001</v>
      </c>
      <c r="O269" s="37">
        <f t="shared" si="21"/>
        <v>24160.979999999981</v>
      </c>
      <c r="P269" s="54" t="e">
        <f t="shared" si="22"/>
        <v>#VALUE!</v>
      </c>
      <c r="Q269" s="40">
        <f t="shared" si="23"/>
        <v>0.10122966428392756</v>
      </c>
      <c r="R269" s="37">
        <f t="shared" si="24"/>
        <v>326.10000000000582</v>
      </c>
      <c r="S269" s="41">
        <f t="shared" si="25"/>
        <v>1.3681629611728939E-3</v>
      </c>
      <c r="T269" s="37" t="e">
        <f>SUMIF('[1]JOBS MAR 15'!$E$8:$E$525,$E$16:$E$533,'[1]JOBS MAR 15'!$G$8:$G$525)</f>
        <v>#VALUE!</v>
      </c>
      <c r="U269" s="37" t="e">
        <f>SUMIF('[1]JOBS MAR 15'!$E$8:$E$525,$E$16:$E$533,'[1]JOBS MAR 15'!$H$8:$H$525)</f>
        <v>#VALUE!</v>
      </c>
      <c r="V269" s="37" t="e">
        <f>SUMIF('[1]JOBS MAR 15'!$E$8:$E$525,$E$16:$E$533,'[1]JOBS MAR 15'!$I$8:$I$525)</f>
        <v>#VALUE!</v>
      </c>
      <c r="W269" s="55" t="str">
        <f t="shared" si="26"/>
        <v xml:space="preserve"> </v>
      </c>
    </row>
    <row r="270" spans="2:23" x14ac:dyDescent="0.2">
      <c r="B270">
        <v>846</v>
      </c>
      <c r="C270">
        <v>1</v>
      </c>
      <c r="D270" s="2" t="s">
        <v>587</v>
      </c>
      <c r="E270" s="50" t="s">
        <v>588</v>
      </c>
      <c r="F270" s="50">
        <v>2706150</v>
      </c>
      <c r="G270" s="50">
        <v>7</v>
      </c>
      <c r="H270" s="52" t="e">
        <f>SUMIF('[1]Build Detail'!$D$4:$D$521,$B$16:$B$533,'[1]Build Detail'!$H$4:$H$521)</f>
        <v>#VALUE!</v>
      </c>
      <c r="I270" s="52" t="e">
        <f>SUMIF('[1]Build Detail'!$D$4:$D$521,$B$16:$B$533,'[1]Build Detail'!$Q$4:$Q$521)</f>
        <v>#VALUE!</v>
      </c>
      <c r="J270" s="52" t="e">
        <f>SUMIF('[1]Build Detail'!$D$4:$D$521,$B$16:$B$533,'[1]Build Detail'!$T$4:$T$521)</f>
        <v>#VALUE!</v>
      </c>
      <c r="K270" s="53">
        <v>5530134.6199999992</v>
      </c>
      <c r="L270" s="37">
        <f t="shared" si="27"/>
        <v>155954.37</v>
      </c>
      <c r="M270" s="37">
        <v>155507.18</v>
      </c>
      <c r="N270" s="38">
        <v>139956.46</v>
      </c>
      <c r="O270" s="37">
        <f t="shared" si="21"/>
        <v>15997.910000000003</v>
      </c>
      <c r="P270" s="54" t="e">
        <f t="shared" si="22"/>
        <v>#VALUE!</v>
      </c>
      <c r="Q270" s="40">
        <f t="shared" si="23"/>
        <v>0.10258070998587603</v>
      </c>
      <c r="R270" s="37">
        <f t="shared" si="24"/>
        <v>447.19000000000233</v>
      </c>
      <c r="S270" s="41">
        <f t="shared" si="25"/>
        <v>2.8756871547667598E-3</v>
      </c>
      <c r="T270" s="37" t="e">
        <f>SUMIF('[1]JOBS MAR 15'!$E$8:$E$525,$E$16:$E$533,'[1]JOBS MAR 15'!$G$8:$G$525)</f>
        <v>#VALUE!</v>
      </c>
      <c r="U270" s="37" t="e">
        <f>SUMIF('[1]JOBS MAR 15'!$E$8:$E$525,$E$16:$E$533,'[1]JOBS MAR 15'!$H$8:$H$525)</f>
        <v>#VALUE!</v>
      </c>
      <c r="V270" s="37" t="e">
        <f>SUMIF('[1]JOBS MAR 15'!$E$8:$E$525,$E$16:$E$533,'[1]JOBS MAR 15'!$I$8:$I$525)</f>
        <v>#VALUE!</v>
      </c>
      <c r="W270" s="55" t="str">
        <f t="shared" si="26"/>
        <v xml:space="preserve"> </v>
      </c>
    </row>
    <row r="271" spans="2:23" x14ac:dyDescent="0.2">
      <c r="B271">
        <v>850</v>
      </c>
      <c r="C271">
        <v>1</v>
      </c>
      <c r="D271" s="2" t="s">
        <v>589</v>
      </c>
      <c r="E271" s="50" t="s">
        <v>590</v>
      </c>
      <c r="F271" s="50">
        <v>2732460</v>
      </c>
      <c r="G271" s="50">
        <v>7</v>
      </c>
      <c r="H271" s="52" t="e">
        <f>SUMIF('[1]Build Detail'!$D$4:$D$521,$B$16:$B$533,'[1]Build Detail'!$H$4:$H$521)</f>
        <v>#VALUE!</v>
      </c>
      <c r="I271" s="52" t="e">
        <f>SUMIF('[1]Build Detail'!$D$4:$D$521,$B$16:$B$533,'[1]Build Detail'!$Q$4:$Q$521)</f>
        <v>#VALUE!</v>
      </c>
      <c r="J271" s="52" t="e">
        <f>SUMIF('[1]Build Detail'!$D$4:$D$521,$B$16:$B$533,'[1]Build Detail'!$T$4:$T$521)</f>
        <v>#VALUE!</v>
      </c>
      <c r="K271" s="53">
        <v>1737814.5</v>
      </c>
      <c r="L271" s="37">
        <f t="shared" si="27"/>
        <v>49007.81</v>
      </c>
      <c r="M271" s="37">
        <v>43498.69</v>
      </c>
      <c r="N271" s="38">
        <v>39148.82</v>
      </c>
      <c r="O271" s="37">
        <f t="shared" si="21"/>
        <v>9858.989999999998</v>
      </c>
      <c r="P271" s="54" t="e">
        <f t="shared" si="22"/>
        <v>#VALUE!</v>
      </c>
      <c r="Q271" s="40">
        <f t="shared" si="23"/>
        <v>0.20117181322732028</v>
      </c>
      <c r="R271" s="37">
        <f t="shared" si="24"/>
        <v>5509.1199999999953</v>
      </c>
      <c r="S271" s="41">
        <f t="shared" si="25"/>
        <v>0.12665025084663459</v>
      </c>
      <c r="T271" s="37" t="e">
        <f>SUMIF('[1]JOBS MAR 15'!$E$8:$E$525,$E$16:$E$533,'[1]JOBS MAR 15'!$G$8:$G$525)</f>
        <v>#VALUE!</v>
      </c>
      <c r="U271" s="37" t="e">
        <f>SUMIF('[1]JOBS MAR 15'!$E$8:$E$525,$E$16:$E$533,'[1]JOBS MAR 15'!$H$8:$H$525)</f>
        <v>#VALUE!</v>
      </c>
      <c r="V271" s="37" t="e">
        <f>SUMIF('[1]JOBS MAR 15'!$E$8:$E$525,$E$16:$E$533,'[1]JOBS MAR 15'!$I$8:$I$525)</f>
        <v>#VALUE!</v>
      </c>
      <c r="W271" s="55" t="str">
        <f t="shared" si="26"/>
        <v xml:space="preserve"> </v>
      </c>
    </row>
    <row r="272" spans="2:23" x14ac:dyDescent="0.2">
      <c r="B272">
        <v>852</v>
      </c>
      <c r="C272">
        <v>1</v>
      </c>
      <c r="D272" s="2" t="s">
        <v>591</v>
      </c>
      <c r="E272" s="50" t="s">
        <v>592</v>
      </c>
      <c r="F272" s="50">
        <v>2707450</v>
      </c>
      <c r="G272" s="50">
        <v>7</v>
      </c>
      <c r="H272" s="52" t="e">
        <f>SUMIF('[1]Build Detail'!$D$4:$D$521,$B$16:$B$533,'[1]Build Detail'!$H$4:$H$521)</f>
        <v>#VALUE!</v>
      </c>
      <c r="I272" s="52" t="e">
        <f>SUMIF('[1]Build Detail'!$D$4:$D$521,$B$16:$B$533,'[1]Build Detail'!$Q$4:$Q$521)</f>
        <v>#VALUE!</v>
      </c>
      <c r="J272" s="52" t="e">
        <f>SUMIF('[1]Build Detail'!$D$4:$D$521,$B$16:$B$533,'[1]Build Detail'!$T$4:$T$521)</f>
        <v>#VALUE!</v>
      </c>
      <c r="K272" s="53">
        <v>1226230.4300000002</v>
      </c>
      <c r="L272" s="37">
        <f t="shared" si="27"/>
        <v>34580.71</v>
      </c>
      <c r="M272" s="37">
        <v>34650.29</v>
      </c>
      <c r="N272" s="38">
        <v>31185.26</v>
      </c>
      <c r="O272" s="37">
        <f t="shared" ref="O272:O335" si="28">L272-N272</f>
        <v>3395.4500000000007</v>
      </c>
      <c r="P272" s="54" t="e">
        <f t="shared" ref="P272:P335" si="29">IF($H272&gt;0,ROUND(L272/$H272,2),"na")</f>
        <v>#VALUE!</v>
      </c>
      <c r="Q272" s="40">
        <f t="shared" ref="Q272:Q335" si="30">O272/L272</f>
        <v>9.8189134925222785E-2</v>
      </c>
      <c r="R272" s="37">
        <f t="shared" ref="R272:R335" si="31">L272-M272</f>
        <v>-69.580000000001746</v>
      </c>
      <c r="S272" s="41">
        <f t="shared" ref="S272:S335" si="32">R272/M272</f>
        <v>-2.0080640017731957E-3</v>
      </c>
      <c r="T272" s="37" t="e">
        <f>SUMIF('[1]JOBS MAR 15'!$E$8:$E$525,$E$16:$E$533,'[1]JOBS MAR 15'!$G$8:$G$525)</f>
        <v>#VALUE!</v>
      </c>
      <c r="U272" s="37" t="e">
        <f>SUMIF('[1]JOBS MAR 15'!$E$8:$E$525,$E$16:$E$533,'[1]JOBS MAR 15'!$H$8:$H$525)</f>
        <v>#VALUE!</v>
      </c>
      <c r="V272" s="37" t="e">
        <f>SUMIF('[1]JOBS MAR 15'!$E$8:$E$525,$E$16:$E$533,'[1]JOBS MAR 15'!$I$8:$I$525)</f>
        <v>#VALUE!</v>
      </c>
      <c r="W272" s="55" t="str">
        <f t="shared" ref="W272:W335" si="33">IF(O272&lt;0,IF(V272-ABS(O272)&lt;0,V272-ABS(O272)," ")," ")</f>
        <v xml:space="preserve"> </v>
      </c>
    </row>
    <row r="273" spans="2:23" x14ac:dyDescent="0.2">
      <c r="B273">
        <v>857</v>
      </c>
      <c r="C273">
        <v>1</v>
      </c>
      <c r="D273" s="2" t="s">
        <v>593</v>
      </c>
      <c r="E273" s="50" t="s">
        <v>594</v>
      </c>
      <c r="F273" s="50">
        <v>2718090</v>
      </c>
      <c r="G273" s="50">
        <v>1</v>
      </c>
      <c r="H273" s="52" t="e">
        <f>SUMIF('[1]Build Detail'!$D$4:$D$521,$B$16:$B$533,'[1]Build Detail'!$H$4:$H$521)</f>
        <v>#VALUE!</v>
      </c>
      <c r="I273" s="52" t="e">
        <f>SUMIF('[1]Build Detail'!$D$4:$D$521,$B$16:$B$533,'[1]Build Detail'!$Q$4:$Q$521)</f>
        <v>#VALUE!</v>
      </c>
      <c r="J273" s="52" t="e">
        <f>SUMIF('[1]Build Detail'!$D$4:$D$521,$B$16:$B$533,'[1]Build Detail'!$T$4:$T$521)</f>
        <v>#VALUE!</v>
      </c>
      <c r="K273" s="53">
        <v>5274811.16</v>
      </c>
      <c r="L273" s="37">
        <f t="shared" si="27"/>
        <v>148754.04</v>
      </c>
      <c r="M273" s="37">
        <v>147090.14000000001</v>
      </c>
      <c r="N273" s="38">
        <v>132381.13</v>
      </c>
      <c r="O273" s="37">
        <f t="shared" si="28"/>
        <v>16372.910000000003</v>
      </c>
      <c r="P273" s="54" t="e">
        <f t="shared" si="29"/>
        <v>#VALUE!</v>
      </c>
      <c r="Q273" s="40">
        <f t="shared" si="30"/>
        <v>0.11006699381072274</v>
      </c>
      <c r="R273" s="37">
        <f t="shared" si="31"/>
        <v>1663.8999999999942</v>
      </c>
      <c r="S273" s="41">
        <f t="shared" si="32"/>
        <v>1.1312111063324802E-2</v>
      </c>
      <c r="T273" s="37" t="e">
        <f>SUMIF('[1]JOBS MAR 15'!$E$8:$E$525,$E$16:$E$533,'[1]JOBS MAR 15'!$G$8:$G$525)</f>
        <v>#VALUE!</v>
      </c>
      <c r="U273" s="37" t="e">
        <f>SUMIF('[1]JOBS MAR 15'!$E$8:$E$525,$E$16:$E$533,'[1]JOBS MAR 15'!$H$8:$H$525)</f>
        <v>#VALUE!</v>
      </c>
      <c r="V273" s="37" t="e">
        <f>SUMIF('[1]JOBS MAR 15'!$E$8:$E$525,$E$16:$E$533,'[1]JOBS MAR 15'!$I$8:$I$525)</f>
        <v>#VALUE!</v>
      </c>
      <c r="W273" s="55" t="str">
        <f t="shared" si="33"/>
        <v xml:space="preserve"> </v>
      </c>
    </row>
    <row r="274" spans="2:23" x14ac:dyDescent="0.2">
      <c r="B274">
        <v>858</v>
      </c>
      <c r="C274">
        <v>1</v>
      </c>
      <c r="D274" s="2" t="s">
        <v>595</v>
      </c>
      <c r="E274" s="50" t="s">
        <v>596</v>
      </c>
      <c r="F274" s="50">
        <v>2733450</v>
      </c>
      <c r="G274" s="50">
        <v>1</v>
      </c>
      <c r="H274" s="52" t="e">
        <f>SUMIF('[1]Build Detail'!$D$4:$D$521,$B$16:$B$533,'[1]Build Detail'!$H$4:$H$521)</f>
        <v>#VALUE!</v>
      </c>
      <c r="I274" s="52" t="e">
        <f>SUMIF('[1]Build Detail'!$D$4:$D$521,$B$16:$B$533,'[1]Build Detail'!$Q$4:$Q$521)</f>
        <v>#VALUE!</v>
      </c>
      <c r="J274" s="52" t="e">
        <f>SUMIF('[1]Build Detail'!$D$4:$D$521,$B$16:$B$533,'[1]Build Detail'!$T$4:$T$521)</f>
        <v>#VALUE!</v>
      </c>
      <c r="K274" s="53">
        <v>6747458.6500000004</v>
      </c>
      <c r="L274" s="37">
        <f t="shared" ref="L274:L337" si="34">ROUND(K274*$K$548,2)</f>
        <v>190283.91</v>
      </c>
      <c r="M274" s="37">
        <v>189023.22</v>
      </c>
      <c r="N274" s="38">
        <v>170120.9</v>
      </c>
      <c r="O274" s="37">
        <f t="shared" si="28"/>
        <v>20163.010000000009</v>
      </c>
      <c r="P274" s="54" t="e">
        <f t="shared" si="29"/>
        <v>#VALUE!</v>
      </c>
      <c r="Q274" s="40">
        <f t="shared" si="30"/>
        <v>0.10596276900133074</v>
      </c>
      <c r="R274" s="37">
        <f t="shared" si="31"/>
        <v>1260.6900000000023</v>
      </c>
      <c r="S274" s="41">
        <f t="shared" si="32"/>
        <v>6.669498064840935E-3</v>
      </c>
      <c r="T274" s="37" t="e">
        <f>SUMIF('[1]JOBS MAR 15'!$E$8:$E$525,$E$16:$E$533,'[1]JOBS MAR 15'!$G$8:$G$525)</f>
        <v>#VALUE!</v>
      </c>
      <c r="U274" s="37" t="e">
        <f>SUMIF('[1]JOBS MAR 15'!$E$8:$E$525,$E$16:$E$533,'[1]JOBS MAR 15'!$H$8:$H$525)</f>
        <v>#VALUE!</v>
      </c>
      <c r="V274" s="37" t="e">
        <f>SUMIF('[1]JOBS MAR 15'!$E$8:$E$525,$E$16:$E$533,'[1]JOBS MAR 15'!$I$8:$I$525)</f>
        <v>#VALUE!</v>
      </c>
      <c r="W274" s="55" t="str">
        <f t="shared" si="33"/>
        <v xml:space="preserve"> </v>
      </c>
    </row>
    <row r="275" spans="2:23" x14ac:dyDescent="0.2">
      <c r="B275">
        <v>861</v>
      </c>
      <c r="C275">
        <v>1</v>
      </c>
      <c r="D275" s="2" t="s">
        <v>597</v>
      </c>
      <c r="E275" s="50" t="s">
        <v>598</v>
      </c>
      <c r="F275" s="50">
        <v>2744070</v>
      </c>
      <c r="G275" s="50">
        <v>1</v>
      </c>
      <c r="H275" s="52" t="e">
        <f>SUMIF('[1]Build Detail'!$D$4:$D$521,$B$16:$B$533,'[1]Build Detail'!$H$4:$H$521)</f>
        <v>#VALUE!</v>
      </c>
      <c r="I275" s="52" t="e">
        <f>SUMIF('[1]Build Detail'!$D$4:$D$521,$B$16:$B$533,'[1]Build Detail'!$Q$4:$Q$521)</f>
        <v>#VALUE!</v>
      </c>
      <c r="J275" s="52" t="e">
        <f>SUMIF('[1]Build Detail'!$D$4:$D$521,$B$16:$B$533,'[1]Build Detail'!$T$4:$T$521)</f>
        <v>#VALUE!</v>
      </c>
      <c r="K275" s="53">
        <v>21712053.050000001</v>
      </c>
      <c r="L275" s="37">
        <f t="shared" si="34"/>
        <v>612297.85</v>
      </c>
      <c r="M275" s="37">
        <v>610748.97</v>
      </c>
      <c r="N275" s="38">
        <v>549674.06999999995</v>
      </c>
      <c r="O275" s="37">
        <f t="shared" si="28"/>
        <v>62623.780000000028</v>
      </c>
      <c r="P275" s="54" t="e">
        <f t="shared" si="29"/>
        <v>#VALUE!</v>
      </c>
      <c r="Q275" s="40">
        <f t="shared" si="30"/>
        <v>0.10227666159533311</v>
      </c>
      <c r="R275" s="37">
        <f t="shared" si="31"/>
        <v>1548.8800000000047</v>
      </c>
      <c r="S275" s="41">
        <f t="shared" si="32"/>
        <v>2.5360337488575784E-3</v>
      </c>
      <c r="T275" s="37" t="e">
        <f>SUMIF('[1]JOBS MAR 15'!$E$8:$E$525,$E$16:$E$533,'[1]JOBS MAR 15'!$G$8:$G$525)</f>
        <v>#VALUE!</v>
      </c>
      <c r="U275" s="37" t="e">
        <f>SUMIF('[1]JOBS MAR 15'!$E$8:$E$525,$E$16:$E$533,'[1]JOBS MAR 15'!$H$8:$H$525)</f>
        <v>#VALUE!</v>
      </c>
      <c r="V275" s="37" t="e">
        <f>SUMIF('[1]JOBS MAR 15'!$E$8:$E$525,$E$16:$E$533,'[1]JOBS MAR 15'!$I$8:$I$525)</f>
        <v>#VALUE!</v>
      </c>
      <c r="W275" s="55" t="str">
        <f t="shared" si="33"/>
        <v xml:space="preserve"> </v>
      </c>
    </row>
    <row r="276" spans="2:23" x14ac:dyDescent="0.2">
      <c r="B276">
        <v>876</v>
      </c>
      <c r="C276">
        <v>1</v>
      </c>
      <c r="D276" s="2" t="s">
        <v>599</v>
      </c>
      <c r="E276" s="50" t="s">
        <v>600</v>
      </c>
      <c r="F276" s="50">
        <v>2703150</v>
      </c>
      <c r="G276" s="50">
        <v>6</v>
      </c>
      <c r="H276" s="52" t="e">
        <f>SUMIF('[1]Build Detail'!$D$4:$D$521,$B$16:$B$533,'[1]Build Detail'!$H$4:$H$521)</f>
        <v>#VALUE!</v>
      </c>
      <c r="I276" s="52" t="e">
        <f>SUMIF('[1]Build Detail'!$D$4:$D$521,$B$16:$B$533,'[1]Build Detail'!$Q$4:$Q$521)</f>
        <v>#VALUE!</v>
      </c>
      <c r="J276" s="52" t="e">
        <f>SUMIF('[1]Build Detail'!$D$4:$D$521,$B$16:$B$533,'[1]Build Detail'!$T$4:$T$521)</f>
        <v>#VALUE!</v>
      </c>
      <c r="K276" s="53">
        <v>11083956.26</v>
      </c>
      <c r="L276" s="37">
        <f t="shared" si="34"/>
        <v>312576.73</v>
      </c>
      <c r="M276" s="37">
        <v>309064.27</v>
      </c>
      <c r="N276" s="38">
        <v>278157.84000000003</v>
      </c>
      <c r="O276" s="37">
        <f t="shared" si="28"/>
        <v>34418.889999999956</v>
      </c>
      <c r="P276" s="54" t="e">
        <f t="shared" si="29"/>
        <v>#VALUE!</v>
      </c>
      <c r="Q276" s="40">
        <f t="shared" si="30"/>
        <v>0.11011341119346907</v>
      </c>
      <c r="R276" s="37">
        <f t="shared" si="31"/>
        <v>3512.4599999999627</v>
      </c>
      <c r="S276" s="41">
        <f t="shared" si="32"/>
        <v>1.1364820656881375E-2</v>
      </c>
      <c r="T276" s="37" t="e">
        <f>SUMIF('[1]JOBS MAR 15'!$E$8:$E$525,$E$16:$E$533,'[1]JOBS MAR 15'!$G$8:$G$525)</f>
        <v>#VALUE!</v>
      </c>
      <c r="U276" s="37" t="e">
        <f>SUMIF('[1]JOBS MAR 15'!$E$8:$E$525,$E$16:$E$533,'[1]JOBS MAR 15'!$H$8:$H$525)</f>
        <v>#VALUE!</v>
      </c>
      <c r="V276" s="37" t="e">
        <f>SUMIF('[1]JOBS MAR 15'!$E$8:$E$525,$E$16:$E$533,'[1]JOBS MAR 15'!$I$8:$I$525)</f>
        <v>#VALUE!</v>
      </c>
      <c r="W276" s="55" t="str">
        <f t="shared" si="33"/>
        <v xml:space="preserve"> </v>
      </c>
    </row>
    <row r="277" spans="2:23" x14ac:dyDescent="0.2">
      <c r="B277">
        <v>877</v>
      </c>
      <c r="C277">
        <v>1</v>
      </c>
      <c r="D277" s="2" t="s">
        <v>601</v>
      </c>
      <c r="E277" s="50" t="s">
        <v>602</v>
      </c>
      <c r="F277" s="50">
        <v>2707200</v>
      </c>
      <c r="G277" s="50">
        <v>6</v>
      </c>
      <c r="H277" s="52" t="e">
        <f>SUMIF('[1]Build Detail'!$D$4:$D$521,$B$16:$B$533,'[1]Build Detail'!$H$4:$H$521)</f>
        <v>#VALUE!</v>
      </c>
      <c r="I277" s="52" t="e">
        <f>SUMIF('[1]Build Detail'!$D$4:$D$521,$B$16:$B$533,'[1]Build Detail'!$Q$4:$Q$521)</f>
        <v>#VALUE!</v>
      </c>
      <c r="J277" s="52" t="e">
        <f>SUMIF('[1]Build Detail'!$D$4:$D$521,$B$16:$B$533,'[1]Build Detail'!$T$4:$T$521)</f>
        <v>#VALUE!</v>
      </c>
      <c r="K277" s="53">
        <v>39067612.31000001</v>
      </c>
      <c r="L277" s="37">
        <f t="shared" si="34"/>
        <v>1101738.97</v>
      </c>
      <c r="M277" s="37">
        <v>1090516.79</v>
      </c>
      <c r="N277" s="38">
        <v>981465.11</v>
      </c>
      <c r="O277" s="37">
        <f t="shared" si="28"/>
        <v>120273.85999999999</v>
      </c>
      <c r="P277" s="54" t="e">
        <f t="shared" si="29"/>
        <v>#VALUE!</v>
      </c>
      <c r="Q277" s="40">
        <f t="shared" si="30"/>
        <v>0.10916729213998846</v>
      </c>
      <c r="R277" s="37">
        <f t="shared" si="31"/>
        <v>11222.179999999935</v>
      </c>
      <c r="S277" s="41">
        <f t="shared" si="32"/>
        <v>1.0290698963011779E-2</v>
      </c>
      <c r="T277" s="37" t="e">
        <f>SUMIF('[1]JOBS MAR 15'!$E$8:$E$525,$E$16:$E$533,'[1]JOBS MAR 15'!$G$8:$G$525)</f>
        <v>#VALUE!</v>
      </c>
      <c r="U277" s="37" t="e">
        <f>SUMIF('[1]JOBS MAR 15'!$E$8:$E$525,$E$16:$E$533,'[1]JOBS MAR 15'!$H$8:$H$525)</f>
        <v>#VALUE!</v>
      </c>
      <c r="V277" s="37" t="e">
        <f>SUMIF('[1]JOBS MAR 15'!$E$8:$E$525,$E$16:$E$533,'[1]JOBS MAR 15'!$I$8:$I$525)</f>
        <v>#VALUE!</v>
      </c>
      <c r="W277" s="55" t="str">
        <f t="shared" si="33"/>
        <v xml:space="preserve"> </v>
      </c>
    </row>
    <row r="278" spans="2:23" x14ac:dyDescent="0.2">
      <c r="B278">
        <v>879</v>
      </c>
      <c r="C278">
        <v>1</v>
      </c>
      <c r="D278" s="2" t="s">
        <v>603</v>
      </c>
      <c r="E278" s="50" t="s">
        <v>604</v>
      </c>
      <c r="F278" s="50">
        <v>2710170</v>
      </c>
      <c r="G278" s="50">
        <v>6</v>
      </c>
      <c r="H278" s="52" t="e">
        <f>SUMIF('[1]Build Detail'!$D$4:$D$521,$B$16:$B$533,'[1]Build Detail'!$H$4:$H$521)</f>
        <v>#VALUE!</v>
      </c>
      <c r="I278" s="52" t="e">
        <f>SUMIF('[1]Build Detail'!$D$4:$D$521,$B$16:$B$533,'[1]Build Detail'!$Q$4:$Q$521)</f>
        <v>#VALUE!</v>
      </c>
      <c r="J278" s="52" t="e">
        <f>SUMIF('[1]Build Detail'!$D$4:$D$521,$B$16:$B$533,'[1]Build Detail'!$T$4:$T$521)</f>
        <v>#VALUE!</v>
      </c>
      <c r="K278" s="53">
        <v>14712043.609999999</v>
      </c>
      <c r="L278" s="37">
        <f t="shared" si="34"/>
        <v>414891.8</v>
      </c>
      <c r="M278" s="37">
        <v>414036.83</v>
      </c>
      <c r="N278" s="38">
        <v>372633.15</v>
      </c>
      <c r="O278" s="37">
        <f t="shared" si="28"/>
        <v>42258.649999999965</v>
      </c>
      <c r="P278" s="54" t="e">
        <f t="shared" si="29"/>
        <v>#VALUE!</v>
      </c>
      <c r="Q278" s="40">
        <f t="shared" si="30"/>
        <v>0.10185462812232</v>
      </c>
      <c r="R278" s="37">
        <f t="shared" si="31"/>
        <v>854.96999999997206</v>
      </c>
      <c r="S278" s="41">
        <f t="shared" si="32"/>
        <v>2.0649612257923338E-3</v>
      </c>
      <c r="T278" s="37" t="e">
        <f>SUMIF('[1]JOBS MAR 15'!$E$8:$E$525,$E$16:$E$533,'[1]JOBS MAR 15'!$G$8:$G$525)</f>
        <v>#VALUE!</v>
      </c>
      <c r="U278" s="37" t="e">
        <f>SUMIF('[1]JOBS MAR 15'!$E$8:$E$525,$E$16:$E$533,'[1]JOBS MAR 15'!$H$8:$H$525)</f>
        <v>#VALUE!</v>
      </c>
      <c r="V278" s="37" t="e">
        <f>SUMIF('[1]JOBS MAR 15'!$E$8:$E$525,$E$16:$E$533,'[1]JOBS MAR 15'!$I$8:$I$525)</f>
        <v>#VALUE!</v>
      </c>
      <c r="W278" s="55" t="str">
        <f t="shared" si="33"/>
        <v xml:space="preserve"> </v>
      </c>
    </row>
    <row r="279" spans="2:23" x14ac:dyDescent="0.2">
      <c r="B279">
        <v>881</v>
      </c>
      <c r="C279">
        <v>1</v>
      </c>
      <c r="D279" s="2" t="s">
        <v>605</v>
      </c>
      <c r="E279" s="50" t="s">
        <v>606</v>
      </c>
      <c r="F279" s="50">
        <v>2718810</v>
      </c>
      <c r="G279" s="50">
        <v>6</v>
      </c>
      <c r="H279" s="52" t="e">
        <f>SUMIF('[1]Build Detail'!$D$4:$D$521,$B$16:$B$533,'[1]Build Detail'!$H$4:$H$521)</f>
        <v>#VALUE!</v>
      </c>
      <c r="I279" s="52" t="e">
        <f>SUMIF('[1]Build Detail'!$D$4:$D$521,$B$16:$B$533,'[1]Build Detail'!$Q$4:$Q$521)</f>
        <v>#VALUE!</v>
      </c>
      <c r="J279" s="52" t="e">
        <f>SUMIF('[1]Build Detail'!$D$4:$D$521,$B$16:$B$533,'[1]Build Detail'!$T$4:$T$521)</f>
        <v>#VALUE!</v>
      </c>
      <c r="K279" s="53">
        <v>7102043.4100000001</v>
      </c>
      <c r="L279" s="37">
        <f t="shared" si="34"/>
        <v>200283.5</v>
      </c>
      <c r="M279" s="37">
        <v>200125.3</v>
      </c>
      <c r="N279" s="38">
        <v>180112.77</v>
      </c>
      <c r="O279" s="37">
        <f t="shared" si="28"/>
        <v>20170.73000000001</v>
      </c>
      <c r="P279" s="54" t="e">
        <f t="shared" si="29"/>
        <v>#VALUE!</v>
      </c>
      <c r="Q279" s="40">
        <f t="shared" si="30"/>
        <v>0.10071089231015042</v>
      </c>
      <c r="R279" s="37">
        <f t="shared" si="31"/>
        <v>158.20000000001164</v>
      </c>
      <c r="S279" s="41">
        <f t="shared" si="32"/>
        <v>7.9050474877495071E-4</v>
      </c>
      <c r="T279" s="37" t="e">
        <f>SUMIF('[1]JOBS MAR 15'!$E$8:$E$525,$E$16:$E$533,'[1]JOBS MAR 15'!$G$8:$G$525)</f>
        <v>#VALUE!</v>
      </c>
      <c r="U279" s="37" t="e">
        <f>SUMIF('[1]JOBS MAR 15'!$E$8:$E$525,$E$16:$E$533,'[1]JOBS MAR 15'!$H$8:$H$525)</f>
        <v>#VALUE!</v>
      </c>
      <c r="V279" s="37" t="e">
        <f>SUMIF('[1]JOBS MAR 15'!$E$8:$E$525,$E$16:$E$533,'[1]JOBS MAR 15'!$I$8:$I$525)</f>
        <v>#VALUE!</v>
      </c>
      <c r="W279" s="55" t="str">
        <f t="shared" si="33"/>
        <v xml:space="preserve"> </v>
      </c>
    </row>
    <row r="280" spans="2:23" x14ac:dyDescent="0.2">
      <c r="B280">
        <v>882</v>
      </c>
      <c r="C280">
        <v>1</v>
      </c>
      <c r="D280" s="2" t="s">
        <v>607</v>
      </c>
      <c r="E280" s="50" t="s">
        <v>608</v>
      </c>
      <c r="F280" s="50">
        <v>2721390</v>
      </c>
      <c r="G280" s="50">
        <v>6</v>
      </c>
      <c r="H280" s="52" t="e">
        <f>SUMIF('[1]Build Detail'!$D$4:$D$521,$B$16:$B$533,'[1]Build Detail'!$H$4:$H$521)</f>
        <v>#VALUE!</v>
      </c>
      <c r="I280" s="52" t="e">
        <f>SUMIF('[1]Build Detail'!$D$4:$D$521,$B$16:$B$533,'[1]Build Detail'!$Q$4:$Q$521)</f>
        <v>#VALUE!</v>
      </c>
      <c r="J280" s="52" t="e">
        <f>SUMIF('[1]Build Detail'!$D$4:$D$521,$B$16:$B$533,'[1]Build Detail'!$T$4:$T$521)</f>
        <v>#VALUE!</v>
      </c>
      <c r="K280" s="53">
        <v>28788146.580000006</v>
      </c>
      <c r="L280" s="37">
        <f t="shared" si="34"/>
        <v>811849.54</v>
      </c>
      <c r="M280" s="37">
        <v>813376.82</v>
      </c>
      <c r="N280" s="38">
        <v>732039.14</v>
      </c>
      <c r="O280" s="37">
        <f t="shared" si="28"/>
        <v>79810.400000000023</v>
      </c>
      <c r="P280" s="54" t="e">
        <f t="shared" si="29"/>
        <v>#VALUE!</v>
      </c>
      <c r="Q280" s="40">
        <f t="shared" si="30"/>
        <v>9.8306885780830786E-2</v>
      </c>
      <c r="R280" s="37">
        <f t="shared" si="31"/>
        <v>-1527.2799999999115</v>
      </c>
      <c r="S280" s="41">
        <f t="shared" si="32"/>
        <v>-1.8777028831481965E-3</v>
      </c>
      <c r="T280" s="37" t="e">
        <f>SUMIF('[1]JOBS MAR 15'!$E$8:$E$525,$E$16:$E$533,'[1]JOBS MAR 15'!$G$8:$G$525)</f>
        <v>#VALUE!</v>
      </c>
      <c r="U280" s="37" t="e">
        <f>SUMIF('[1]JOBS MAR 15'!$E$8:$E$525,$E$16:$E$533,'[1]JOBS MAR 15'!$H$8:$H$525)</f>
        <v>#VALUE!</v>
      </c>
      <c r="V280" s="37" t="e">
        <f>SUMIF('[1]JOBS MAR 15'!$E$8:$E$525,$E$16:$E$533,'[1]JOBS MAR 15'!$I$8:$I$525)</f>
        <v>#VALUE!</v>
      </c>
      <c r="W280" s="55" t="str">
        <f t="shared" si="33"/>
        <v xml:space="preserve"> </v>
      </c>
    </row>
    <row r="281" spans="2:23" x14ac:dyDescent="0.2">
      <c r="B281">
        <v>883</v>
      </c>
      <c r="C281">
        <v>1</v>
      </c>
      <c r="D281" s="2" t="s">
        <v>609</v>
      </c>
      <c r="E281" s="50" t="s">
        <v>610</v>
      </c>
      <c r="F281" s="50">
        <v>2732070</v>
      </c>
      <c r="G281" s="50">
        <v>6</v>
      </c>
      <c r="H281" s="52" t="e">
        <f>SUMIF('[1]Build Detail'!$D$4:$D$521,$B$16:$B$533,'[1]Build Detail'!$H$4:$H$521)</f>
        <v>#VALUE!</v>
      </c>
      <c r="I281" s="52" t="e">
        <f>SUMIF('[1]Build Detail'!$D$4:$D$521,$B$16:$B$533,'[1]Build Detail'!$Q$4:$Q$521)</f>
        <v>#VALUE!</v>
      </c>
      <c r="J281" s="52" t="e">
        <f>SUMIF('[1]Build Detail'!$D$4:$D$521,$B$16:$B$533,'[1]Build Detail'!$T$4:$T$521)</f>
        <v>#VALUE!</v>
      </c>
      <c r="K281" s="53">
        <v>9689496.5500000026</v>
      </c>
      <c r="L281" s="37">
        <f t="shared" si="34"/>
        <v>273251.82</v>
      </c>
      <c r="M281" s="37">
        <v>271666.33</v>
      </c>
      <c r="N281" s="38">
        <v>244499.7</v>
      </c>
      <c r="O281" s="37">
        <f t="shared" si="28"/>
        <v>28752.119999999995</v>
      </c>
      <c r="P281" s="54" t="e">
        <f t="shared" si="29"/>
        <v>#VALUE!</v>
      </c>
      <c r="Q281" s="40">
        <f t="shared" si="30"/>
        <v>0.10522206219889037</v>
      </c>
      <c r="R281" s="37">
        <f t="shared" si="31"/>
        <v>1585.4899999999907</v>
      </c>
      <c r="S281" s="41">
        <f t="shared" si="32"/>
        <v>5.8361667417526145E-3</v>
      </c>
      <c r="T281" s="37" t="e">
        <f>SUMIF('[1]JOBS MAR 15'!$E$8:$E$525,$E$16:$E$533,'[1]JOBS MAR 15'!$G$8:$G$525)</f>
        <v>#VALUE!</v>
      </c>
      <c r="U281" s="37" t="e">
        <f>SUMIF('[1]JOBS MAR 15'!$E$8:$E$525,$E$16:$E$533,'[1]JOBS MAR 15'!$H$8:$H$525)</f>
        <v>#VALUE!</v>
      </c>
      <c r="V281" s="37" t="e">
        <f>SUMIF('[1]JOBS MAR 15'!$E$8:$E$525,$E$16:$E$533,'[1]JOBS MAR 15'!$I$8:$I$525)</f>
        <v>#VALUE!</v>
      </c>
      <c r="W281" s="55" t="str">
        <f t="shared" si="33"/>
        <v xml:space="preserve"> </v>
      </c>
    </row>
    <row r="282" spans="2:23" x14ac:dyDescent="0.2">
      <c r="B282">
        <v>885</v>
      </c>
      <c r="C282">
        <v>1</v>
      </c>
      <c r="D282" s="2" t="s">
        <v>611</v>
      </c>
      <c r="E282" s="50" t="s">
        <v>612</v>
      </c>
      <c r="F282" s="50">
        <v>2733790</v>
      </c>
      <c r="G282" s="50">
        <v>6</v>
      </c>
      <c r="H282" s="52" t="e">
        <f>SUMIF('[1]Build Detail'!$D$4:$D$521,$B$16:$B$533,'[1]Build Detail'!$H$4:$H$521)</f>
        <v>#VALUE!</v>
      </c>
      <c r="I282" s="52" t="e">
        <f>SUMIF('[1]Build Detail'!$D$4:$D$521,$B$16:$B$533,'[1]Build Detail'!$Q$4:$Q$521)</f>
        <v>#VALUE!</v>
      </c>
      <c r="J282" s="52" t="e">
        <f>SUMIF('[1]Build Detail'!$D$4:$D$521,$B$16:$B$533,'[1]Build Detail'!$T$4:$T$521)</f>
        <v>#VALUE!</v>
      </c>
      <c r="K282" s="53">
        <v>32958070.91</v>
      </c>
      <c r="L282" s="37">
        <f t="shared" si="34"/>
        <v>929444.85</v>
      </c>
      <c r="M282" s="37">
        <v>976369.28</v>
      </c>
      <c r="N282" s="38">
        <v>878732.35</v>
      </c>
      <c r="O282" s="37">
        <f t="shared" si="28"/>
        <v>50712.5</v>
      </c>
      <c r="P282" s="54" t="e">
        <f t="shared" si="29"/>
        <v>#VALUE!</v>
      </c>
      <c r="Q282" s="40">
        <f t="shared" si="30"/>
        <v>5.4562139969897089E-2</v>
      </c>
      <c r="R282" s="37">
        <f t="shared" si="31"/>
        <v>-46924.430000000051</v>
      </c>
      <c r="S282" s="41">
        <f t="shared" si="32"/>
        <v>-4.8060125365681362E-2</v>
      </c>
      <c r="T282" s="37" t="e">
        <f>SUMIF('[1]JOBS MAR 15'!$E$8:$E$525,$E$16:$E$533,'[1]JOBS MAR 15'!$G$8:$G$525)</f>
        <v>#VALUE!</v>
      </c>
      <c r="U282" s="37" t="e">
        <f>SUMIF('[1]JOBS MAR 15'!$E$8:$E$525,$E$16:$E$533,'[1]JOBS MAR 15'!$H$8:$H$525)</f>
        <v>#VALUE!</v>
      </c>
      <c r="V282" s="37" t="e">
        <f>SUMIF('[1]JOBS MAR 15'!$E$8:$E$525,$E$16:$E$533,'[1]JOBS MAR 15'!$I$8:$I$525)</f>
        <v>#VALUE!</v>
      </c>
      <c r="W282" s="55" t="str">
        <f t="shared" si="33"/>
        <v xml:space="preserve"> </v>
      </c>
    </row>
    <row r="283" spans="2:23" x14ac:dyDescent="0.2">
      <c r="B283">
        <v>891</v>
      </c>
      <c r="C283">
        <v>1</v>
      </c>
      <c r="D283" s="2" t="s">
        <v>613</v>
      </c>
      <c r="E283" s="50" t="s">
        <v>614</v>
      </c>
      <c r="F283" s="50">
        <v>2707470</v>
      </c>
      <c r="G283" s="50">
        <v>7</v>
      </c>
      <c r="H283" s="52" t="e">
        <f>SUMIF('[1]Build Detail'!$D$4:$D$521,$B$16:$B$533,'[1]Build Detail'!$H$4:$H$521)</f>
        <v>#VALUE!</v>
      </c>
      <c r="I283" s="52" t="e">
        <f>SUMIF('[1]Build Detail'!$D$4:$D$521,$B$16:$B$533,'[1]Build Detail'!$Q$4:$Q$521)</f>
        <v>#VALUE!</v>
      </c>
      <c r="J283" s="52" t="e">
        <f>SUMIF('[1]Build Detail'!$D$4:$D$521,$B$16:$B$533,'[1]Build Detail'!$T$4:$T$521)</f>
        <v>#VALUE!</v>
      </c>
      <c r="K283" s="53">
        <v>4107465.3299999996</v>
      </c>
      <c r="L283" s="37">
        <f t="shared" si="34"/>
        <v>115833.92</v>
      </c>
      <c r="M283" s="37">
        <v>115276.64</v>
      </c>
      <c r="N283" s="38">
        <v>103748.98</v>
      </c>
      <c r="O283" s="37">
        <f t="shared" si="28"/>
        <v>12084.940000000002</v>
      </c>
      <c r="P283" s="54" t="e">
        <f t="shared" si="29"/>
        <v>#VALUE!</v>
      </c>
      <c r="Q283" s="40">
        <f t="shared" si="30"/>
        <v>0.1043298888615701</v>
      </c>
      <c r="R283" s="37">
        <f t="shared" si="31"/>
        <v>557.27999999999884</v>
      </c>
      <c r="S283" s="41">
        <f t="shared" si="32"/>
        <v>4.8342838583775418E-3</v>
      </c>
      <c r="T283" s="37" t="e">
        <f>SUMIF('[1]JOBS MAR 15'!$E$8:$E$525,$E$16:$E$533,'[1]JOBS MAR 15'!$G$8:$G$525)</f>
        <v>#VALUE!</v>
      </c>
      <c r="U283" s="37" t="e">
        <f>SUMIF('[1]JOBS MAR 15'!$E$8:$E$525,$E$16:$E$533,'[1]JOBS MAR 15'!$H$8:$H$525)</f>
        <v>#VALUE!</v>
      </c>
      <c r="V283" s="37" t="e">
        <f>SUMIF('[1]JOBS MAR 15'!$E$8:$E$525,$E$16:$E$533,'[1]JOBS MAR 15'!$I$8:$I$525)</f>
        <v>#VALUE!</v>
      </c>
      <c r="W283" s="55" t="str">
        <f t="shared" si="33"/>
        <v xml:space="preserve"> </v>
      </c>
    </row>
    <row r="284" spans="2:23" x14ac:dyDescent="0.2">
      <c r="B284">
        <v>911</v>
      </c>
      <c r="C284">
        <v>1</v>
      </c>
      <c r="D284" s="2" t="s">
        <v>615</v>
      </c>
      <c r="E284" s="50" t="s">
        <v>616</v>
      </c>
      <c r="F284" s="50">
        <v>2707410</v>
      </c>
      <c r="G284" s="50">
        <v>8</v>
      </c>
      <c r="H284" s="52" t="e">
        <f>SUMIF('[1]Build Detail'!$D$4:$D$521,$B$16:$B$533,'[1]Build Detail'!$H$4:$H$521)</f>
        <v>#VALUE!</v>
      </c>
      <c r="I284" s="52" t="e">
        <f>SUMIF('[1]Build Detail'!$D$4:$D$521,$B$16:$B$533,'[1]Build Detail'!$Q$4:$Q$521)</f>
        <v>#VALUE!</v>
      </c>
      <c r="J284" s="52" t="e">
        <f>SUMIF('[1]Build Detail'!$D$4:$D$521,$B$16:$B$533,'[1]Build Detail'!$T$4:$T$521)</f>
        <v>#VALUE!</v>
      </c>
      <c r="K284" s="53">
        <v>36081110.190000005</v>
      </c>
      <c r="L284" s="37">
        <f t="shared" si="34"/>
        <v>1017517.14</v>
      </c>
      <c r="M284" s="37">
        <v>1036663.65</v>
      </c>
      <c r="N284" s="38">
        <v>932997.29</v>
      </c>
      <c r="O284" s="37">
        <f t="shared" si="28"/>
        <v>84519.849999999977</v>
      </c>
      <c r="P284" s="54" t="e">
        <f t="shared" si="29"/>
        <v>#VALUE!</v>
      </c>
      <c r="Q284" s="40">
        <f t="shared" si="30"/>
        <v>8.3064792402415918E-2</v>
      </c>
      <c r="R284" s="37">
        <f t="shared" si="31"/>
        <v>-19146.510000000009</v>
      </c>
      <c r="S284" s="41">
        <f t="shared" si="32"/>
        <v>-1.8469355996035944E-2</v>
      </c>
      <c r="T284" s="37" t="e">
        <f>SUMIF('[1]JOBS MAR 15'!$E$8:$E$525,$E$16:$E$533,'[1]JOBS MAR 15'!$G$8:$G$525)</f>
        <v>#VALUE!</v>
      </c>
      <c r="U284" s="37" t="e">
        <f>SUMIF('[1]JOBS MAR 15'!$E$8:$E$525,$E$16:$E$533,'[1]JOBS MAR 15'!$H$8:$H$525)</f>
        <v>#VALUE!</v>
      </c>
      <c r="V284" s="37" t="e">
        <f>SUMIF('[1]JOBS MAR 15'!$E$8:$E$525,$E$16:$E$533,'[1]JOBS MAR 15'!$I$8:$I$525)</f>
        <v>#VALUE!</v>
      </c>
      <c r="W284" s="55" t="str">
        <f t="shared" si="33"/>
        <v xml:space="preserve"> </v>
      </c>
    </row>
    <row r="285" spans="2:23" x14ac:dyDescent="0.2">
      <c r="B285">
        <v>912</v>
      </c>
      <c r="C285">
        <v>1</v>
      </c>
      <c r="D285" s="2" t="s">
        <v>617</v>
      </c>
      <c r="E285" s="50" t="s">
        <v>618</v>
      </c>
      <c r="F285" s="50">
        <v>2720670</v>
      </c>
      <c r="G285" s="50">
        <v>8</v>
      </c>
      <c r="H285" s="52" t="e">
        <f>SUMIF('[1]Build Detail'!$D$4:$D$521,$B$16:$B$533,'[1]Build Detail'!$H$4:$H$521)</f>
        <v>#VALUE!</v>
      </c>
      <c r="I285" s="52" t="e">
        <f>SUMIF('[1]Build Detail'!$D$4:$D$521,$B$16:$B$533,'[1]Build Detail'!$Q$4:$Q$521)</f>
        <v>#VALUE!</v>
      </c>
      <c r="J285" s="52" t="e">
        <f>SUMIF('[1]Build Detail'!$D$4:$D$521,$B$16:$B$533,'[1]Build Detail'!$T$4:$T$521)</f>
        <v>#VALUE!</v>
      </c>
      <c r="K285" s="53">
        <v>12934918.6</v>
      </c>
      <c r="L285" s="37">
        <f t="shared" si="34"/>
        <v>364775.4</v>
      </c>
      <c r="M285" s="37">
        <v>361909.87</v>
      </c>
      <c r="N285" s="38">
        <v>325718.88</v>
      </c>
      <c r="O285" s="37">
        <f t="shared" si="28"/>
        <v>39056.520000000019</v>
      </c>
      <c r="P285" s="54" t="e">
        <f t="shared" si="29"/>
        <v>#VALUE!</v>
      </c>
      <c r="Q285" s="40">
        <f t="shared" si="30"/>
        <v>0.10707004913160267</v>
      </c>
      <c r="R285" s="37">
        <f t="shared" si="31"/>
        <v>2865.5300000000279</v>
      </c>
      <c r="S285" s="41">
        <f t="shared" si="32"/>
        <v>7.9178000865243823E-3</v>
      </c>
      <c r="T285" s="37" t="e">
        <f>SUMIF('[1]JOBS MAR 15'!$E$8:$E$525,$E$16:$E$533,'[1]JOBS MAR 15'!$G$8:$G$525)</f>
        <v>#VALUE!</v>
      </c>
      <c r="U285" s="37" t="e">
        <f>SUMIF('[1]JOBS MAR 15'!$E$8:$E$525,$E$16:$E$533,'[1]JOBS MAR 15'!$H$8:$H$525)</f>
        <v>#VALUE!</v>
      </c>
      <c r="V285" s="37" t="e">
        <f>SUMIF('[1]JOBS MAR 15'!$E$8:$E$525,$E$16:$E$533,'[1]JOBS MAR 15'!$I$8:$I$525)</f>
        <v>#VALUE!</v>
      </c>
      <c r="W285" s="55" t="str">
        <f t="shared" si="33"/>
        <v xml:space="preserve"> </v>
      </c>
    </row>
    <row r="286" spans="2:23" x14ac:dyDescent="0.2">
      <c r="B286">
        <v>914</v>
      </c>
      <c r="C286">
        <v>1</v>
      </c>
      <c r="D286" s="2" t="s">
        <v>619</v>
      </c>
      <c r="E286" s="50" t="s">
        <v>620</v>
      </c>
      <c r="F286" s="50">
        <v>2740810</v>
      </c>
      <c r="G286" s="50">
        <v>7</v>
      </c>
      <c r="H286" s="52" t="e">
        <f>SUMIF('[1]Build Detail'!$D$4:$D$521,$B$16:$B$533,'[1]Build Detail'!$H$4:$H$521)</f>
        <v>#VALUE!</v>
      </c>
      <c r="I286" s="52" t="e">
        <f>SUMIF('[1]Build Detail'!$D$4:$D$521,$B$16:$B$533,'[1]Build Detail'!$Q$4:$Q$521)</f>
        <v>#VALUE!</v>
      </c>
      <c r="J286" s="52" t="e">
        <f>SUMIF('[1]Build Detail'!$D$4:$D$521,$B$16:$B$533,'[1]Build Detail'!$T$4:$T$521)</f>
        <v>#VALUE!</v>
      </c>
      <c r="K286" s="53">
        <v>2156165.62</v>
      </c>
      <c r="L286" s="37">
        <f t="shared" si="34"/>
        <v>60805.65</v>
      </c>
      <c r="M286" s="37">
        <v>60811.32</v>
      </c>
      <c r="N286" s="38">
        <v>54730.19</v>
      </c>
      <c r="O286" s="37">
        <f t="shared" si="28"/>
        <v>6075.4599999999991</v>
      </c>
      <c r="P286" s="54" t="e">
        <f t="shared" si="29"/>
        <v>#VALUE!</v>
      </c>
      <c r="Q286" s="40">
        <f t="shared" si="30"/>
        <v>9.9916043986044048E-2</v>
      </c>
      <c r="R286" s="37">
        <f t="shared" si="31"/>
        <v>-5.6699999999982538</v>
      </c>
      <c r="S286" s="41">
        <f t="shared" si="32"/>
        <v>-9.323921927690854E-5</v>
      </c>
      <c r="T286" s="37" t="e">
        <f>SUMIF('[1]JOBS MAR 15'!$E$8:$E$525,$E$16:$E$533,'[1]JOBS MAR 15'!$G$8:$G$525)</f>
        <v>#VALUE!</v>
      </c>
      <c r="U286" s="37" t="e">
        <f>SUMIF('[1]JOBS MAR 15'!$E$8:$E$525,$E$16:$E$533,'[1]JOBS MAR 15'!$H$8:$H$525)</f>
        <v>#VALUE!</v>
      </c>
      <c r="V286" s="37" t="e">
        <f>SUMIF('[1]JOBS MAR 15'!$E$8:$E$525,$E$16:$E$533,'[1]JOBS MAR 15'!$I$8:$I$525)</f>
        <v>#VALUE!</v>
      </c>
      <c r="W286" s="55" t="str">
        <f t="shared" si="33"/>
        <v xml:space="preserve"> </v>
      </c>
    </row>
    <row r="287" spans="2:23" x14ac:dyDescent="0.2">
      <c r="B287">
        <v>915</v>
      </c>
      <c r="C287">
        <v>52</v>
      </c>
      <c r="D287" s="2" t="s">
        <v>621</v>
      </c>
      <c r="E287" s="50" t="s">
        <v>622</v>
      </c>
      <c r="F287" s="50">
        <v>46</v>
      </c>
      <c r="G287" s="50">
        <v>2</v>
      </c>
      <c r="H287" s="52" t="e">
        <f>SUMIF('[1]Build Detail'!$D$4:$D$521,$B$16:$B$533,'[1]Build Detail'!$H$4:$H$521)</f>
        <v>#VALUE!</v>
      </c>
      <c r="I287" s="52" t="e">
        <f>SUMIF('[1]Build Detail'!$D$4:$D$521,$B$16:$B$533,'[1]Build Detail'!$Q$4:$Q$521)</f>
        <v>#VALUE!</v>
      </c>
      <c r="J287" s="52" t="e">
        <f>SUMIF('[1]Build Detail'!$D$4:$D$521,$B$16:$B$533,'[1]Build Detail'!$T$4:$T$521)</f>
        <v>#VALUE!</v>
      </c>
      <c r="K287" s="53">
        <v>1523096.06</v>
      </c>
      <c r="L287" s="37">
        <f t="shared" si="34"/>
        <v>42952.57</v>
      </c>
      <c r="M287" s="37">
        <v>40982.230000000003</v>
      </c>
      <c r="N287" s="38">
        <v>36884.01</v>
      </c>
      <c r="O287" s="37">
        <f t="shared" si="28"/>
        <v>6068.5599999999977</v>
      </c>
      <c r="P287" s="54" t="e">
        <f t="shared" si="29"/>
        <v>#VALUE!</v>
      </c>
      <c r="Q287" s="40">
        <f t="shared" si="30"/>
        <v>0.14128514312414828</v>
      </c>
      <c r="R287" s="37">
        <f t="shared" si="31"/>
        <v>1970.3399999999965</v>
      </c>
      <c r="S287" s="41">
        <f t="shared" si="32"/>
        <v>4.8077910840869237E-2</v>
      </c>
      <c r="T287" s="37" t="e">
        <f>SUMIF('[1]JOBS MAR 15'!$E$8:$E$525,$E$16:$E$533,'[1]JOBS MAR 15'!$G$8:$G$525)</f>
        <v>#VALUE!</v>
      </c>
      <c r="U287" s="37" t="e">
        <f>SUMIF('[1]JOBS MAR 15'!$E$8:$E$525,$E$16:$E$533,'[1]JOBS MAR 15'!$H$8:$H$525)</f>
        <v>#VALUE!</v>
      </c>
      <c r="V287" s="37" t="e">
        <f>SUMIF('[1]JOBS MAR 15'!$E$8:$E$525,$E$16:$E$533,'[1]JOBS MAR 15'!$I$8:$I$525)</f>
        <v>#VALUE!</v>
      </c>
      <c r="W287" s="55" t="str">
        <f t="shared" si="33"/>
        <v xml:space="preserve"> </v>
      </c>
    </row>
    <row r="288" spans="2:23" x14ac:dyDescent="0.2">
      <c r="B288">
        <v>916</v>
      </c>
      <c r="C288">
        <v>6</v>
      </c>
      <c r="D288" s="2" t="s">
        <v>623</v>
      </c>
      <c r="E288" s="50" t="s">
        <v>624</v>
      </c>
      <c r="F288" s="50">
        <v>2264</v>
      </c>
      <c r="G288" s="50">
        <v>6</v>
      </c>
      <c r="H288" s="52" t="e">
        <f>SUMIF('[1]Build Detail'!$D$4:$D$521,$B$16:$B$533,'[1]Build Detail'!$H$4:$H$521)</f>
        <v>#VALUE!</v>
      </c>
      <c r="I288" s="52" t="e">
        <f>SUMIF('[1]Build Detail'!$D$4:$D$521,$B$16:$B$533,'[1]Build Detail'!$Q$4:$Q$521)</f>
        <v>#VALUE!</v>
      </c>
      <c r="J288" s="52" t="e">
        <f>SUMIF('[1]Build Detail'!$D$4:$D$521,$B$16:$B$533,'[1]Build Detail'!$T$4:$T$521)</f>
        <v>#VALUE!</v>
      </c>
      <c r="K288" s="53">
        <v>19253790.59</v>
      </c>
      <c r="L288" s="37">
        <f t="shared" si="34"/>
        <v>542972.81999999995</v>
      </c>
      <c r="M288" s="37">
        <v>547933.18000000005</v>
      </c>
      <c r="N288" s="38">
        <v>493139.86</v>
      </c>
      <c r="O288" s="37">
        <f t="shared" si="28"/>
        <v>49832.959999999963</v>
      </c>
      <c r="P288" s="54" t="e">
        <f t="shared" si="29"/>
        <v>#VALUE!</v>
      </c>
      <c r="Q288" s="40">
        <f t="shared" si="30"/>
        <v>9.1778000968814555E-2</v>
      </c>
      <c r="R288" s="37">
        <f t="shared" si="31"/>
        <v>-4960.3600000001024</v>
      </c>
      <c r="S288" s="41">
        <f t="shared" si="32"/>
        <v>-9.052855678497335E-3</v>
      </c>
      <c r="T288" s="37" t="e">
        <f>SUMIF('[1]JOBS MAR 15'!$E$8:$E$525,$E$16:$E$533,'[1]JOBS MAR 15'!$G$8:$G$525)</f>
        <v>#VALUE!</v>
      </c>
      <c r="U288" s="37" t="e">
        <f>SUMIF('[1]JOBS MAR 15'!$E$8:$E$525,$E$16:$E$533,'[1]JOBS MAR 15'!$H$8:$H$525)</f>
        <v>#VALUE!</v>
      </c>
      <c r="V288" s="37" t="e">
        <f>SUMIF('[1]JOBS MAR 15'!$E$8:$E$525,$E$16:$E$533,'[1]JOBS MAR 15'!$I$8:$I$525)</f>
        <v>#VALUE!</v>
      </c>
      <c r="W288" s="55" t="str">
        <f t="shared" si="33"/>
        <v xml:space="preserve"> </v>
      </c>
    </row>
    <row r="289" spans="2:23" x14ac:dyDescent="0.2">
      <c r="B289">
        <v>917</v>
      </c>
      <c r="C289">
        <v>6</v>
      </c>
      <c r="D289" s="2" t="s">
        <v>625</v>
      </c>
      <c r="E289" s="50" t="s">
        <v>626</v>
      </c>
      <c r="F289" s="50">
        <v>26</v>
      </c>
      <c r="G289" s="50">
        <v>3</v>
      </c>
      <c r="H289" s="52" t="e">
        <f>SUMIF('[1]Build Detail'!$D$4:$D$521,$B$16:$B$533,'[1]Build Detail'!$H$4:$H$521)</f>
        <v>#VALUE!</v>
      </c>
      <c r="I289" s="52" t="e">
        <f>SUMIF('[1]Build Detail'!$D$4:$D$521,$B$16:$B$533,'[1]Build Detail'!$Q$4:$Q$521)</f>
        <v>#VALUE!</v>
      </c>
      <c r="J289" s="52" t="e">
        <f>SUMIF('[1]Build Detail'!$D$4:$D$521,$B$16:$B$533,'[1]Build Detail'!$T$4:$T$521)</f>
        <v>#VALUE!</v>
      </c>
      <c r="K289" s="53">
        <v>13590756.879999999</v>
      </c>
      <c r="L289" s="37">
        <f t="shared" si="34"/>
        <v>383270.58</v>
      </c>
      <c r="M289" s="37">
        <v>417084.43</v>
      </c>
      <c r="N289" s="38">
        <v>375375.99</v>
      </c>
      <c r="O289" s="37">
        <f t="shared" si="28"/>
        <v>7894.5900000000256</v>
      </c>
      <c r="P289" s="54" t="e">
        <f t="shared" si="29"/>
        <v>#VALUE!</v>
      </c>
      <c r="Q289" s="40">
        <f t="shared" si="30"/>
        <v>2.0597954583417347E-2</v>
      </c>
      <c r="R289" s="37">
        <f t="shared" si="31"/>
        <v>-33813.849999999977</v>
      </c>
      <c r="S289" s="41">
        <f t="shared" si="32"/>
        <v>-8.1071954663951312E-2</v>
      </c>
      <c r="T289" s="37" t="e">
        <f>SUMIF('[1]JOBS MAR 15'!$E$8:$E$525,$E$16:$E$533,'[1]JOBS MAR 15'!$G$8:$G$525)</f>
        <v>#VALUE!</v>
      </c>
      <c r="U289" s="37" t="e">
        <f>SUMIF('[1]JOBS MAR 15'!$E$8:$E$525,$E$16:$E$533,'[1]JOBS MAR 15'!$H$8:$H$525)</f>
        <v>#VALUE!</v>
      </c>
      <c r="V289" s="37" t="e">
        <f>SUMIF('[1]JOBS MAR 15'!$E$8:$E$525,$E$16:$E$533,'[1]JOBS MAR 15'!$I$8:$I$525)</f>
        <v>#VALUE!</v>
      </c>
      <c r="W289" s="55" t="str">
        <f t="shared" si="33"/>
        <v xml:space="preserve"> </v>
      </c>
    </row>
    <row r="290" spans="2:23" x14ac:dyDescent="0.2">
      <c r="B290" s="32">
        <v>926</v>
      </c>
      <c r="C290" s="32">
        <v>83</v>
      </c>
      <c r="D290" s="58" t="s">
        <v>627</v>
      </c>
      <c r="E290" s="50" t="s">
        <v>628</v>
      </c>
      <c r="F290" s="50">
        <v>83</v>
      </c>
      <c r="G290" s="50">
        <v>7</v>
      </c>
      <c r="H290" s="52" t="e">
        <f>SUMIF('[1]Build Detail'!$D$4:$D$521,$B$16:$B$533,'[1]Build Detail'!$H$4:$H$521)</f>
        <v>#VALUE!</v>
      </c>
      <c r="I290" s="52" t="e">
        <f>SUMIF('[1]Build Detail'!$D$4:$D$521,$B$16:$B$533,'[1]Build Detail'!$Q$4:$Q$521)</f>
        <v>#VALUE!</v>
      </c>
      <c r="J290" s="52" t="e">
        <f>SUMIF('[1]Build Detail'!$D$4:$D$521,$B$16:$B$533,'[1]Build Detail'!$T$4:$T$521)</f>
        <v>#VALUE!</v>
      </c>
      <c r="K290" s="53">
        <v>40026.5</v>
      </c>
      <c r="L290" s="37">
        <f t="shared" si="34"/>
        <v>1128.78</v>
      </c>
      <c r="M290" s="37">
        <v>1125.04</v>
      </c>
      <c r="N290" s="38">
        <v>1012.54</v>
      </c>
      <c r="O290" s="37">
        <f t="shared" si="28"/>
        <v>116.24000000000001</v>
      </c>
      <c r="P290" s="54" t="e">
        <f t="shared" si="29"/>
        <v>#VALUE!</v>
      </c>
      <c r="Q290" s="40">
        <f t="shared" si="30"/>
        <v>0.10297843689647231</v>
      </c>
      <c r="R290" s="37">
        <f t="shared" si="31"/>
        <v>3.7400000000000091</v>
      </c>
      <c r="S290" s="41">
        <f t="shared" si="32"/>
        <v>3.3243262461779221E-3</v>
      </c>
      <c r="T290" s="37" t="e">
        <f>SUMIF('[1]JOBS MAR 15'!$E$8:$E$525,$E$16:$E$533,'[1]JOBS MAR 15'!$G$8:$G$525)</f>
        <v>#VALUE!</v>
      </c>
      <c r="U290" s="37" t="e">
        <f>SUMIF('[1]JOBS MAR 15'!$E$8:$E$525,$E$16:$E$533,'[1]JOBS MAR 15'!$H$8:$H$525)</f>
        <v>#VALUE!</v>
      </c>
      <c r="V290" s="37" t="e">
        <f>SUMIF('[1]JOBS MAR 15'!$E$8:$E$525,$E$16:$E$533,'[1]JOBS MAR 15'!$I$8:$I$525)</f>
        <v>#VALUE!</v>
      </c>
      <c r="W290" s="55" t="str">
        <f t="shared" si="33"/>
        <v xml:space="preserve"> </v>
      </c>
    </row>
    <row r="291" spans="2:23" x14ac:dyDescent="0.2">
      <c r="B291">
        <v>927</v>
      </c>
      <c r="C291">
        <v>83</v>
      </c>
      <c r="D291" s="2" t="s">
        <v>629</v>
      </c>
      <c r="E291" s="50" t="s">
        <v>630</v>
      </c>
      <c r="F291" s="50">
        <v>84</v>
      </c>
      <c r="G291" s="50">
        <v>8</v>
      </c>
      <c r="H291" s="52" t="e">
        <f>SUMIF('[1]Build Detail'!$D$4:$D$521,$B$16:$B$533,'[1]Build Detail'!$H$4:$H$521)</f>
        <v>#VALUE!</v>
      </c>
      <c r="I291" s="52" t="e">
        <f>SUMIF('[1]Build Detail'!$D$4:$D$521,$B$16:$B$533,'[1]Build Detail'!$Q$4:$Q$521)</f>
        <v>#VALUE!</v>
      </c>
      <c r="J291" s="52" t="e">
        <f>SUMIF('[1]Build Detail'!$D$4:$D$521,$B$16:$B$533,'[1]Build Detail'!$T$4:$T$521)</f>
        <v>#VALUE!</v>
      </c>
      <c r="K291" s="53">
        <v>38685.910000000003</v>
      </c>
      <c r="L291" s="37">
        <f t="shared" si="34"/>
        <v>1090.97</v>
      </c>
      <c r="M291" s="37">
        <v>535.29</v>
      </c>
      <c r="N291" s="38">
        <v>481.76</v>
      </c>
      <c r="O291" s="37">
        <f t="shared" si="28"/>
        <v>609.21</v>
      </c>
      <c r="P291" s="54" t="e">
        <f t="shared" si="29"/>
        <v>#VALUE!</v>
      </c>
      <c r="Q291" s="40">
        <f t="shared" si="30"/>
        <v>0.55841132203451971</v>
      </c>
      <c r="R291" s="37">
        <f t="shared" si="31"/>
        <v>555.68000000000006</v>
      </c>
      <c r="S291" s="41">
        <f t="shared" si="32"/>
        <v>1.0380915018027612</v>
      </c>
      <c r="T291" s="37" t="e">
        <f>SUMIF('[1]JOBS MAR 15'!$E$8:$E$525,$E$16:$E$533,'[1]JOBS MAR 15'!$G$8:$G$525)</f>
        <v>#VALUE!</v>
      </c>
      <c r="U291" s="37" t="e">
        <f>SUMIF('[1]JOBS MAR 15'!$E$8:$E$525,$E$16:$E$533,'[1]JOBS MAR 15'!$H$8:$H$525)</f>
        <v>#VALUE!</v>
      </c>
      <c r="V291" s="37" t="e">
        <f>SUMIF('[1]JOBS MAR 15'!$E$8:$E$525,$E$16:$E$533,'[1]JOBS MAR 15'!$I$8:$I$525)</f>
        <v>#VALUE!</v>
      </c>
      <c r="W291" s="55" t="str">
        <f t="shared" si="33"/>
        <v xml:space="preserve"> </v>
      </c>
    </row>
    <row r="292" spans="2:23" x14ac:dyDescent="0.2">
      <c r="B292">
        <v>930</v>
      </c>
      <c r="C292">
        <v>53</v>
      </c>
      <c r="D292" s="2" t="s">
        <v>631</v>
      </c>
      <c r="E292" s="50" t="s">
        <v>632</v>
      </c>
      <c r="F292" s="50">
        <v>12</v>
      </c>
      <c r="G292" s="50">
        <v>2</v>
      </c>
      <c r="H292" s="52" t="e">
        <f>SUMIF('[1]Build Detail'!$D$4:$D$521,$B$16:$B$533,'[1]Build Detail'!$H$4:$H$521)</f>
        <v>#VALUE!</v>
      </c>
      <c r="I292" s="52" t="e">
        <f>SUMIF('[1]Build Detail'!$D$4:$D$521,$B$16:$B$533,'[1]Build Detail'!$Q$4:$Q$521)</f>
        <v>#VALUE!</v>
      </c>
      <c r="J292" s="52" t="e">
        <f>SUMIF('[1]Build Detail'!$D$4:$D$521,$B$16:$B$533,'[1]Build Detail'!$T$4:$T$521)</f>
        <v>#VALUE!</v>
      </c>
      <c r="K292" s="53">
        <v>3362950.88</v>
      </c>
      <c r="L292" s="37">
        <f t="shared" si="34"/>
        <v>94838</v>
      </c>
      <c r="M292" s="37">
        <v>92460.6</v>
      </c>
      <c r="N292" s="38">
        <v>83214.539999999994</v>
      </c>
      <c r="O292" s="37">
        <f t="shared" si="28"/>
        <v>11623.460000000006</v>
      </c>
      <c r="P292" s="54" t="e">
        <f t="shared" si="29"/>
        <v>#VALUE!</v>
      </c>
      <c r="Q292" s="40">
        <f t="shared" si="30"/>
        <v>0.12256120964170487</v>
      </c>
      <c r="R292" s="37">
        <f t="shared" si="31"/>
        <v>2377.3999999999942</v>
      </c>
      <c r="S292" s="41">
        <f t="shared" si="32"/>
        <v>2.571257378818647E-2</v>
      </c>
      <c r="T292" s="37" t="e">
        <f>SUMIF('[1]JOBS MAR 15'!$E$8:$E$525,$E$16:$E$533,'[1]JOBS MAR 15'!$G$8:$G$525)</f>
        <v>#VALUE!</v>
      </c>
      <c r="U292" s="37" t="e">
        <f>SUMIF('[1]JOBS MAR 15'!$E$8:$E$525,$E$16:$E$533,'[1]JOBS MAR 15'!$H$8:$H$525)</f>
        <v>#VALUE!</v>
      </c>
      <c r="V292" s="37" t="e">
        <f>SUMIF('[1]JOBS MAR 15'!$E$8:$E$525,$E$16:$E$533,'[1]JOBS MAR 15'!$I$8:$I$525)</f>
        <v>#VALUE!</v>
      </c>
      <c r="W292" s="55" t="str">
        <f t="shared" si="33"/>
        <v xml:space="preserve"> </v>
      </c>
    </row>
    <row r="293" spans="2:23" x14ac:dyDescent="0.2">
      <c r="B293">
        <v>935</v>
      </c>
      <c r="C293">
        <v>52</v>
      </c>
      <c r="D293" s="2" t="s">
        <v>633</v>
      </c>
      <c r="E293" s="50" t="s">
        <v>634</v>
      </c>
      <c r="F293" s="50">
        <v>43</v>
      </c>
      <c r="G293" s="50">
        <v>7</v>
      </c>
      <c r="H293" s="52" t="e">
        <f>SUMIF('[1]Build Detail'!$D$4:$D$521,$B$16:$B$533,'[1]Build Detail'!$H$4:$H$521)</f>
        <v>#VALUE!</v>
      </c>
      <c r="I293" s="52" t="e">
        <f>SUMIF('[1]Build Detail'!$D$4:$D$521,$B$16:$B$533,'[1]Build Detail'!$Q$4:$Q$521)</f>
        <v>#VALUE!</v>
      </c>
      <c r="J293" s="52" t="e">
        <f>SUMIF('[1]Build Detail'!$D$4:$D$521,$B$16:$B$533,'[1]Build Detail'!$T$4:$T$521)</f>
        <v>#VALUE!</v>
      </c>
      <c r="K293" s="53">
        <v>1302867.5399999998</v>
      </c>
      <c r="L293" s="37">
        <f t="shared" si="34"/>
        <v>36741.94</v>
      </c>
      <c r="M293" s="37">
        <v>46339.040000000001</v>
      </c>
      <c r="N293" s="38">
        <v>41705.14</v>
      </c>
      <c r="O293" s="37">
        <f t="shared" si="28"/>
        <v>-4963.1999999999971</v>
      </c>
      <c r="P293" s="54" t="e">
        <f t="shared" si="29"/>
        <v>#VALUE!</v>
      </c>
      <c r="Q293" s="40">
        <f t="shared" si="30"/>
        <v>-0.13508268752276001</v>
      </c>
      <c r="R293" s="37">
        <f t="shared" si="31"/>
        <v>-9597.0999999999985</v>
      </c>
      <c r="S293" s="41">
        <f t="shared" si="32"/>
        <v>-0.20710614635089544</v>
      </c>
      <c r="T293" s="37" t="e">
        <f>SUMIF('[1]JOBS MAR 15'!$E$8:$E$525,$E$16:$E$533,'[1]JOBS MAR 15'!$G$8:$G$525)</f>
        <v>#VALUE!</v>
      </c>
      <c r="U293" s="37" t="e">
        <f>SUMIF('[1]JOBS MAR 15'!$E$8:$E$525,$E$16:$E$533,'[1]JOBS MAR 15'!$H$8:$H$525)</f>
        <v>#VALUE!</v>
      </c>
      <c r="V293" s="37" t="e">
        <f>SUMIF('[1]JOBS MAR 15'!$E$8:$E$525,$E$16:$E$533,'[1]JOBS MAR 15'!$I$8:$I$525)</f>
        <v>#VALUE!</v>
      </c>
      <c r="W293" s="55" t="e">
        <f t="shared" si="33"/>
        <v>#VALUE!</v>
      </c>
    </row>
    <row r="294" spans="2:23" x14ac:dyDescent="0.2">
      <c r="B294">
        <v>938</v>
      </c>
      <c r="C294">
        <v>52</v>
      </c>
      <c r="D294" s="2" t="s">
        <v>635</v>
      </c>
      <c r="E294" s="50" t="s">
        <v>636</v>
      </c>
      <c r="F294" s="50">
        <v>45</v>
      </c>
      <c r="G294" s="50">
        <v>6</v>
      </c>
      <c r="H294" s="52" t="e">
        <f>SUMIF('[1]Build Detail'!$D$4:$D$521,$B$16:$B$533,'[1]Build Detail'!$H$4:$H$521)</f>
        <v>#VALUE!</v>
      </c>
      <c r="I294" s="52" t="e">
        <f>SUMIF('[1]Build Detail'!$D$4:$D$521,$B$16:$B$533,'[1]Build Detail'!$Q$4:$Q$521)</f>
        <v>#VALUE!</v>
      </c>
      <c r="J294" s="52" t="e">
        <f>SUMIF('[1]Build Detail'!$D$4:$D$521,$B$16:$B$533,'[1]Build Detail'!$T$4:$T$521)</f>
        <v>#VALUE!</v>
      </c>
      <c r="K294" s="53">
        <v>2424666.62</v>
      </c>
      <c r="L294" s="37">
        <f t="shared" si="34"/>
        <v>68377.600000000006</v>
      </c>
      <c r="M294" s="37">
        <v>68838.53</v>
      </c>
      <c r="N294" s="38">
        <v>61954.68</v>
      </c>
      <c r="O294" s="37">
        <f t="shared" si="28"/>
        <v>6422.9200000000055</v>
      </c>
      <c r="P294" s="54" t="e">
        <f t="shared" si="29"/>
        <v>#VALUE!</v>
      </c>
      <c r="Q294" s="40">
        <f t="shared" si="30"/>
        <v>9.3933100898539942E-2</v>
      </c>
      <c r="R294" s="37">
        <f t="shared" si="31"/>
        <v>-460.92999999999302</v>
      </c>
      <c r="S294" s="41">
        <f t="shared" si="32"/>
        <v>-6.6958141029448632E-3</v>
      </c>
      <c r="T294" s="37" t="e">
        <f>SUMIF('[1]JOBS MAR 15'!$E$8:$E$525,$E$16:$E$533,'[1]JOBS MAR 15'!$G$8:$G$525)</f>
        <v>#VALUE!</v>
      </c>
      <c r="U294" s="37" t="e">
        <f>SUMIF('[1]JOBS MAR 15'!$E$8:$E$525,$E$16:$E$533,'[1]JOBS MAR 15'!$H$8:$H$525)</f>
        <v>#VALUE!</v>
      </c>
      <c r="V294" s="37" t="e">
        <f>SUMIF('[1]JOBS MAR 15'!$E$8:$E$525,$E$16:$E$533,'[1]JOBS MAR 15'!$I$8:$I$525)</f>
        <v>#VALUE!</v>
      </c>
      <c r="W294" s="55" t="str">
        <f t="shared" si="33"/>
        <v xml:space="preserve"> </v>
      </c>
    </row>
    <row r="295" spans="2:23" x14ac:dyDescent="0.2">
      <c r="B295">
        <v>957</v>
      </c>
      <c r="C295">
        <v>51</v>
      </c>
      <c r="D295" s="2" t="s">
        <v>637</v>
      </c>
      <c r="E295" s="50" t="s">
        <v>638</v>
      </c>
      <c r="F295" s="50">
        <v>33</v>
      </c>
      <c r="G295" s="50">
        <v>8</v>
      </c>
      <c r="H295" s="52" t="e">
        <f>SUMIF('[1]Build Detail'!$D$4:$D$521,$B$16:$B$533,'[1]Build Detail'!$H$4:$H$521)</f>
        <v>#VALUE!</v>
      </c>
      <c r="I295" s="52" t="e">
        <f>SUMIF('[1]Build Detail'!$D$4:$D$521,$B$16:$B$533,'[1]Build Detail'!$Q$4:$Q$521)</f>
        <v>#VALUE!</v>
      </c>
      <c r="J295" s="52" t="e">
        <f>SUMIF('[1]Build Detail'!$D$4:$D$521,$B$16:$B$533,'[1]Build Detail'!$T$4:$T$521)</f>
        <v>#VALUE!</v>
      </c>
      <c r="K295" s="53">
        <v>108563.72</v>
      </c>
      <c r="L295" s="37">
        <f t="shared" si="34"/>
        <v>3061.59</v>
      </c>
      <c r="M295" s="37">
        <v>3207.36</v>
      </c>
      <c r="N295" s="38">
        <v>2886.62</v>
      </c>
      <c r="O295" s="37">
        <f t="shared" si="28"/>
        <v>174.97000000000025</v>
      </c>
      <c r="P295" s="54" t="e">
        <f t="shared" si="29"/>
        <v>#VALUE!</v>
      </c>
      <c r="Q295" s="40">
        <f t="shared" si="30"/>
        <v>5.7150042951538332E-2</v>
      </c>
      <c r="R295" s="37">
        <f t="shared" si="31"/>
        <v>-145.76999999999998</v>
      </c>
      <c r="S295" s="41">
        <f t="shared" si="32"/>
        <v>-4.5448593235558207E-2</v>
      </c>
      <c r="T295" s="37" t="e">
        <f>SUMIF('[1]JOBS MAR 15'!$E$8:$E$525,$E$16:$E$533,'[1]JOBS MAR 15'!$G$8:$G$525)</f>
        <v>#VALUE!</v>
      </c>
      <c r="U295" s="37" t="e">
        <f>SUMIF('[1]JOBS MAR 15'!$E$8:$E$525,$E$16:$E$533,'[1]JOBS MAR 15'!$H$8:$H$525)</f>
        <v>#VALUE!</v>
      </c>
      <c r="V295" s="37" t="e">
        <f>SUMIF('[1]JOBS MAR 15'!$E$8:$E$525,$E$16:$E$533,'[1]JOBS MAR 15'!$I$8:$I$525)</f>
        <v>#VALUE!</v>
      </c>
      <c r="W295" s="55" t="str">
        <f t="shared" si="33"/>
        <v xml:space="preserve"> </v>
      </c>
    </row>
    <row r="296" spans="2:23" x14ac:dyDescent="0.2">
      <c r="B296">
        <v>991</v>
      </c>
      <c r="C296">
        <v>83</v>
      </c>
      <c r="D296" s="2" t="s">
        <v>639</v>
      </c>
      <c r="E296" s="50" t="s">
        <v>640</v>
      </c>
      <c r="F296" s="50">
        <v>86</v>
      </c>
      <c r="G296" s="50">
        <v>6</v>
      </c>
      <c r="H296" s="52" t="e">
        <f>SUMIF('[1]Build Detail'!$D$4:$D$521,$B$16:$B$533,'[1]Build Detail'!$H$4:$H$521)</f>
        <v>#VALUE!</v>
      </c>
      <c r="I296" s="52" t="e">
        <f>SUMIF('[1]Build Detail'!$D$4:$D$521,$B$16:$B$533,'[1]Build Detail'!$Q$4:$Q$521)</f>
        <v>#VALUE!</v>
      </c>
      <c r="J296" s="52" t="e">
        <f>SUMIF('[1]Build Detail'!$D$4:$D$521,$B$16:$B$533,'[1]Build Detail'!$T$4:$T$521)</f>
        <v>#VALUE!</v>
      </c>
      <c r="K296" s="53">
        <v>2929471.45</v>
      </c>
      <c r="L296" s="37">
        <f t="shared" si="34"/>
        <v>82613.52</v>
      </c>
      <c r="M296" s="37">
        <v>86527.2</v>
      </c>
      <c r="N296" s="38">
        <v>77874.48</v>
      </c>
      <c r="O296" s="37">
        <f t="shared" si="28"/>
        <v>4739.0400000000081</v>
      </c>
      <c r="P296" s="54" t="e">
        <f t="shared" si="29"/>
        <v>#VALUE!</v>
      </c>
      <c r="Q296" s="40">
        <f t="shared" si="30"/>
        <v>5.7363976259576011E-2</v>
      </c>
      <c r="R296" s="37">
        <f t="shared" si="31"/>
        <v>-3913.679999999993</v>
      </c>
      <c r="S296" s="41">
        <f t="shared" si="32"/>
        <v>-4.5230632679665969E-2</v>
      </c>
      <c r="T296" s="37" t="e">
        <f>SUMIF('[1]JOBS MAR 15'!$E$8:$E$525,$E$16:$E$533,'[1]JOBS MAR 15'!$G$8:$G$525)</f>
        <v>#VALUE!</v>
      </c>
      <c r="U296" s="37" t="e">
        <f>SUMIF('[1]JOBS MAR 15'!$E$8:$E$525,$E$16:$E$533,'[1]JOBS MAR 15'!$H$8:$H$525)</f>
        <v>#VALUE!</v>
      </c>
      <c r="V296" s="37" t="e">
        <f>SUMIF('[1]JOBS MAR 15'!$E$8:$E$525,$E$16:$E$533,'[1]JOBS MAR 15'!$I$8:$I$525)</f>
        <v>#VALUE!</v>
      </c>
      <c r="W296" s="55" t="str">
        <f t="shared" si="33"/>
        <v xml:space="preserve"> </v>
      </c>
    </row>
    <row r="297" spans="2:23" x14ac:dyDescent="0.2">
      <c r="B297">
        <v>993</v>
      </c>
      <c r="C297">
        <v>52</v>
      </c>
      <c r="D297" s="2" t="s">
        <v>641</v>
      </c>
      <c r="E297" s="50" t="s">
        <v>642</v>
      </c>
      <c r="F297" s="50">
        <v>48</v>
      </c>
      <c r="G297" s="50">
        <v>2</v>
      </c>
      <c r="H297" s="52" t="e">
        <f>SUMIF('[1]Build Detail'!$D$4:$D$521,$B$16:$B$533,'[1]Build Detail'!$H$4:$H$521)</f>
        <v>#VALUE!</v>
      </c>
      <c r="I297" s="52" t="e">
        <f>SUMIF('[1]Build Detail'!$D$4:$D$521,$B$16:$B$533,'[1]Build Detail'!$Q$4:$Q$521)</f>
        <v>#VALUE!</v>
      </c>
      <c r="J297" s="52" t="e">
        <f>SUMIF('[1]Build Detail'!$D$4:$D$521,$B$16:$B$533,'[1]Build Detail'!$T$4:$T$521)</f>
        <v>#VALUE!</v>
      </c>
      <c r="K297" s="53">
        <v>3681411.53</v>
      </c>
      <c r="L297" s="37">
        <f t="shared" si="34"/>
        <v>103818.85</v>
      </c>
      <c r="M297" s="37">
        <v>111735.24</v>
      </c>
      <c r="N297" s="38">
        <v>100561.72</v>
      </c>
      <c r="O297" s="37">
        <f t="shared" si="28"/>
        <v>3257.1300000000047</v>
      </c>
      <c r="P297" s="54" t="e">
        <f t="shared" si="29"/>
        <v>#VALUE!</v>
      </c>
      <c r="Q297" s="40">
        <f t="shared" si="30"/>
        <v>3.1373204384367623E-2</v>
      </c>
      <c r="R297" s="37">
        <f t="shared" si="31"/>
        <v>-7916.3899999999994</v>
      </c>
      <c r="S297" s="41">
        <f t="shared" si="32"/>
        <v>-7.0849536815779865E-2</v>
      </c>
      <c r="T297" s="37" t="e">
        <f>SUMIF('[1]JOBS MAR 15'!$E$8:$E$525,$E$16:$E$533,'[1]JOBS MAR 15'!$G$8:$G$525)</f>
        <v>#VALUE!</v>
      </c>
      <c r="U297" s="37" t="e">
        <f>SUMIF('[1]JOBS MAR 15'!$E$8:$E$525,$E$16:$E$533,'[1]JOBS MAR 15'!$H$8:$H$525)</f>
        <v>#VALUE!</v>
      </c>
      <c r="V297" s="37" t="e">
        <f>SUMIF('[1]JOBS MAR 15'!$E$8:$E$525,$E$16:$E$533,'[1]JOBS MAR 15'!$I$8:$I$525)</f>
        <v>#VALUE!</v>
      </c>
      <c r="W297" s="55" t="str">
        <f t="shared" si="33"/>
        <v xml:space="preserve"> </v>
      </c>
    </row>
    <row r="298" spans="2:23" x14ac:dyDescent="0.2">
      <c r="B298">
        <v>998</v>
      </c>
      <c r="C298">
        <v>52</v>
      </c>
      <c r="D298" s="2" t="s">
        <v>643</v>
      </c>
      <c r="E298" s="50" t="s">
        <v>644</v>
      </c>
      <c r="F298" s="50">
        <v>51</v>
      </c>
      <c r="G298" s="50">
        <v>7</v>
      </c>
      <c r="H298" s="52" t="e">
        <f>SUMIF('[1]Build Detail'!$D$4:$D$521,$B$16:$B$533,'[1]Build Detail'!$H$4:$H$521)</f>
        <v>#VALUE!</v>
      </c>
      <c r="I298" s="52" t="e">
        <f>SUMIF('[1]Build Detail'!$D$4:$D$521,$B$16:$B$533,'[1]Build Detail'!$Q$4:$Q$521)</f>
        <v>#VALUE!</v>
      </c>
      <c r="J298" s="52" t="e">
        <f>SUMIF('[1]Build Detail'!$D$4:$D$521,$B$16:$B$533,'[1]Build Detail'!$T$4:$T$521)</f>
        <v>#VALUE!</v>
      </c>
      <c r="K298" s="53">
        <v>260131.59</v>
      </c>
      <c r="L298" s="37">
        <f t="shared" si="34"/>
        <v>7335.93</v>
      </c>
      <c r="M298" s="37">
        <v>6902.18</v>
      </c>
      <c r="N298" s="38">
        <v>6211.96</v>
      </c>
      <c r="O298" s="37">
        <f t="shared" si="28"/>
        <v>1123.9700000000003</v>
      </c>
      <c r="P298" s="54" t="e">
        <f t="shared" si="29"/>
        <v>#VALUE!</v>
      </c>
      <c r="Q298" s="40">
        <f t="shared" si="30"/>
        <v>0.1532143845429278</v>
      </c>
      <c r="R298" s="37">
        <f t="shared" si="31"/>
        <v>433.75</v>
      </c>
      <c r="S298" s="41">
        <f t="shared" si="32"/>
        <v>6.2842464264913397E-2</v>
      </c>
      <c r="T298" s="37" t="e">
        <f>SUMIF('[1]JOBS MAR 15'!$E$8:$E$525,$E$16:$E$533,'[1]JOBS MAR 15'!$G$8:$G$525)</f>
        <v>#VALUE!</v>
      </c>
      <c r="U298" s="37" t="e">
        <f>SUMIF('[1]JOBS MAR 15'!$E$8:$E$525,$E$16:$E$533,'[1]JOBS MAR 15'!$H$8:$H$525)</f>
        <v>#VALUE!</v>
      </c>
      <c r="V298" s="37" t="e">
        <f>SUMIF('[1]JOBS MAR 15'!$E$8:$E$525,$E$16:$E$533,'[1]JOBS MAR 15'!$I$8:$I$525)</f>
        <v>#VALUE!</v>
      </c>
      <c r="W298" s="55" t="str">
        <f t="shared" si="33"/>
        <v xml:space="preserve"> </v>
      </c>
    </row>
    <row r="299" spans="2:23" x14ac:dyDescent="0.2">
      <c r="B299">
        <v>2071</v>
      </c>
      <c r="C299">
        <v>1</v>
      </c>
      <c r="D299" s="2" t="s">
        <v>645</v>
      </c>
      <c r="E299" s="50" t="s">
        <v>646</v>
      </c>
      <c r="F299" s="50">
        <v>2791445</v>
      </c>
      <c r="G299" s="50">
        <v>1</v>
      </c>
      <c r="H299" s="52" t="e">
        <f>SUMIF('[1]Build Detail'!$D$4:$D$521,$B$16:$B$533,'[1]Build Detail'!$H$4:$H$521)</f>
        <v>#VALUE!</v>
      </c>
      <c r="I299" s="52" t="e">
        <f>SUMIF('[1]Build Detail'!$D$4:$D$521,$B$16:$B$533,'[1]Build Detail'!$Q$4:$Q$521)</f>
        <v>#VALUE!</v>
      </c>
      <c r="J299" s="52" t="e">
        <f>SUMIF('[1]Build Detail'!$D$4:$D$521,$B$16:$B$533,'[1]Build Detail'!$T$4:$T$521)</f>
        <v>#VALUE!</v>
      </c>
      <c r="K299" s="53">
        <v>5609663.459999999</v>
      </c>
      <c r="L299" s="37">
        <f t="shared" si="34"/>
        <v>158197.15</v>
      </c>
      <c r="M299" s="37">
        <v>154612.46</v>
      </c>
      <c r="N299" s="38">
        <v>139151.21</v>
      </c>
      <c r="O299" s="37">
        <f t="shared" si="28"/>
        <v>19045.940000000002</v>
      </c>
      <c r="P299" s="54" t="e">
        <f t="shared" si="29"/>
        <v>#VALUE!</v>
      </c>
      <c r="Q299" s="40">
        <f t="shared" si="30"/>
        <v>0.12039369862225711</v>
      </c>
      <c r="R299" s="37">
        <f t="shared" si="31"/>
        <v>3584.6900000000023</v>
      </c>
      <c r="S299" s="41">
        <f t="shared" si="32"/>
        <v>2.3185000743148401E-2</v>
      </c>
      <c r="T299" s="37" t="e">
        <f>SUMIF('[1]JOBS MAR 15'!$E$8:$E$525,$E$16:$E$533,'[1]JOBS MAR 15'!$G$8:$G$525)</f>
        <v>#VALUE!</v>
      </c>
      <c r="U299" s="37" t="e">
        <f>SUMIF('[1]JOBS MAR 15'!$E$8:$E$525,$E$16:$E$533,'[1]JOBS MAR 15'!$H$8:$H$525)</f>
        <v>#VALUE!</v>
      </c>
      <c r="V299" s="37" t="e">
        <f>SUMIF('[1]JOBS MAR 15'!$E$8:$E$525,$E$16:$E$533,'[1]JOBS MAR 15'!$I$8:$I$525)</f>
        <v>#VALUE!</v>
      </c>
      <c r="W299" s="55" t="str">
        <f t="shared" si="33"/>
        <v xml:space="preserve"> </v>
      </c>
    </row>
    <row r="300" spans="2:23" x14ac:dyDescent="0.2">
      <c r="B300">
        <v>2125</v>
      </c>
      <c r="C300">
        <v>1</v>
      </c>
      <c r="D300" s="2" t="s">
        <v>647</v>
      </c>
      <c r="E300" s="50" t="s">
        <v>648</v>
      </c>
      <c r="F300" s="50">
        <v>2740665</v>
      </c>
      <c r="G300" s="50">
        <v>1</v>
      </c>
      <c r="H300" s="52" t="e">
        <f>SUMIF('[1]Build Detail'!$D$4:$D$521,$B$16:$B$533,'[1]Build Detail'!$H$4:$H$521)</f>
        <v>#VALUE!</v>
      </c>
      <c r="I300" s="52" t="e">
        <f>SUMIF('[1]Build Detail'!$D$4:$D$521,$B$16:$B$533,'[1]Build Detail'!$Q$4:$Q$521)</f>
        <v>#VALUE!</v>
      </c>
      <c r="J300" s="52" t="e">
        <f>SUMIF('[1]Build Detail'!$D$4:$D$521,$B$16:$B$533,'[1]Build Detail'!$T$4:$T$521)</f>
        <v>#VALUE!</v>
      </c>
      <c r="K300" s="53">
        <v>8093691.1800000006</v>
      </c>
      <c r="L300" s="37">
        <f t="shared" si="34"/>
        <v>228248.78</v>
      </c>
      <c r="M300" s="37">
        <v>228593.34</v>
      </c>
      <c r="N300" s="38">
        <v>205734.01</v>
      </c>
      <c r="O300" s="37">
        <f t="shared" si="28"/>
        <v>22514.76999999999</v>
      </c>
      <c r="P300" s="54" t="e">
        <f t="shared" si="29"/>
        <v>#VALUE!</v>
      </c>
      <c r="Q300" s="40">
        <f t="shared" si="30"/>
        <v>9.8641359660279412E-2</v>
      </c>
      <c r="R300" s="37">
        <f t="shared" si="31"/>
        <v>-344.55999999999767</v>
      </c>
      <c r="S300" s="41">
        <f t="shared" si="32"/>
        <v>-1.5073055059259279E-3</v>
      </c>
      <c r="T300" s="37" t="e">
        <f>SUMIF('[1]JOBS MAR 15'!$E$8:$E$525,$E$16:$E$533,'[1]JOBS MAR 15'!$G$8:$G$525)</f>
        <v>#VALUE!</v>
      </c>
      <c r="U300" s="37" t="e">
        <f>SUMIF('[1]JOBS MAR 15'!$E$8:$E$525,$E$16:$E$533,'[1]JOBS MAR 15'!$H$8:$H$525)</f>
        <v>#VALUE!</v>
      </c>
      <c r="V300" s="37" t="e">
        <f>SUMIF('[1]JOBS MAR 15'!$E$8:$E$525,$E$16:$E$533,'[1]JOBS MAR 15'!$I$8:$I$525)</f>
        <v>#VALUE!</v>
      </c>
      <c r="W300" s="55" t="str">
        <f t="shared" si="33"/>
        <v xml:space="preserve"> </v>
      </c>
    </row>
    <row r="301" spans="2:23" x14ac:dyDescent="0.2">
      <c r="B301">
        <v>2134</v>
      </c>
      <c r="C301">
        <v>1</v>
      </c>
      <c r="D301" s="2" t="s">
        <v>649</v>
      </c>
      <c r="E301" s="50" t="s">
        <v>650</v>
      </c>
      <c r="F301" s="50">
        <v>2700005</v>
      </c>
      <c r="G301" s="50">
        <v>1</v>
      </c>
      <c r="H301" s="52" t="e">
        <f>SUMIF('[1]Build Detail'!$D$4:$D$521,$B$16:$B$533,'[1]Build Detail'!$H$4:$H$521)</f>
        <v>#VALUE!</v>
      </c>
      <c r="I301" s="52" t="e">
        <f>SUMIF('[1]Build Detail'!$D$4:$D$521,$B$16:$B$533,'[1]Build Detail'!$Q$4:$Q$521)</f>
        <v>#VALUE!</v>
      </c>
      <c r="J301" s="52" t="e">
        <f>SUMIF('[1]Build Detail'!$D$4:$D$521,$B$16:$B$533,'[1]Build Detail'!$T$4:$T$521)</f>
        <v>#VALUE!</v>
      </c>
      <c r="K301" s="53">
        <v>5463079.8599999994</v>
      </c>
      <c r="L301" s="37">
        <f t="shared" si="34"/>
        <v>154063.37</v>
      </c>
      <c r="M301" s="37">
        <v>153978.6</v>
      </c>
      <c r="N301" s="38">
        <v>138580.74</v>
      </c>
      <c r="O301" s="37">
        <f t="shared" si="28"/>
        <v>15482.630000000005</v>
      </c>
      <c r="P301" s="54" t="e">
        <f t="shared" si="29"/>
        <v>#VALUE!</v>
      </c>
      <c r="Q301" s="40">
        <f t="shared" si="30"/>
        <v>0.10049520531713674</v>
      </c>
      <c r="R301" s="37">
        <f t="shared" si="31"/>
        <v>84.769999999989523</v>
      </c>
      <c r="S301" s="41">
        <f t="shared" si="32"/>
        <v>5.5053104782086288E-4</v>
      </c>
      <c r="T301" s="37" t="e">
        <f>SUMIF('[1]JOBS MAR 15'!$E$8:$E$525,$E$16:$E$533,'[1]JOBS MAR 15'!$G$8:$G$525)</f>
        <v>#VALUE!</v>
      </c>
      <c r="U301" s="37" t="e">
        <f>SUMIF('[1]JOBS MAR 15'!$E$8:$E$525,$E$16:$E$533,'[1]JOBS MAR 15'!$H$8:$H$525)</f>
        <v>#VALUE!</v>
      </c>
      <c r="V301" s="37" t="e">
        <f>SUMIF('[1]JOBS MAR 15'!$E$8:$E$525,$E$16:$E$533,'[1]JOBS MAR 15'!$I$8:$I$525)</f>
        <v>#VALUE!</v>
      </c>
      <c r="W301" s="55" t="str">
        <f t="shared" si="33"/>
        <v xml:space="preserve"> </v>
      </c>
    </row>
    <row r="302" spans="2:23" x14ac:dyDescent="0.2">
      <c r="B302">
        <v>2135</v>
      </c>
      <c r="C302">
        <v>1</v>
      </c>
      <c r="D302" s="2" t="s">
        <v>651</v>
      </c>
      <c r="E302" s="50" t="s">
        <v>652</v>
      </c>
      <c r="F302" s="50">
        <v>2700006</v>
      </c>
      <c r="G302" s="50">
        <v>1</v>
      </c>
      <c r="H302" s="52" t="e">
        <f>SUMIF('[1]Build Detail'!$D$4:$D$521,$B$16:$B$533,'[1]Build Detail'!$H$4:$H$521)</f>
        <v>#VALUE!</v>
      </c>
      <c r="I302" s="52" t="e">
        <f>SUMIF('[1]Build Detail'!$D$4:$D$521,$B$16:$B$533,'[1]Build Detail'!$Q$4:$Q$521)</f>
        <v>#VALUE!</v>
      </c>
      <c r="J302" s="52" t="e">
        <f>SUMIF('[1]Build Detail'!$D$4:$D$521,$B$16:$B$533,'[1]Build Detail'!$T$4:$T$521)</f>
        <v>#VALUE!</v>
      </c>
      <c r="K302" s="53">
        <v>8239846.0200000005</v>
      </c>
      <c r="L302" s="37">
        <f t="shared" si="34"/>
        <v>232370.47</v>
      </c>
      <c r="M302" s="37">
        <v>230254.05</v>
      </c>
      <c r="N302" s="38">
        <v>207228.65</v>
      </c>
      <c r="O302" s="37">
        <f t="shared" si="28"/>
        <v>25141.820000000007</v>
      </c>
      <c r="P302" s="54" t="e">
        <f t="shared" si="29"/>
        <v>#VALUE!</v>
      </c>
      <c r="Q302" s="40">
        <f t="shared" si="30"/>
        <v>0.10819713881888696</v>
      </c>
      <c r="R302" s="37">
        <f t="shared" si="31"/>
        <v>2116.4200000000128</v>
      </c>
      <c r="S302" s="41">
        <f t="shared" si="32"/>
        <v>9.1916732843570527E-3</v>
      </c>
      <c r="T302" s="37" t="e">
        <f>SUMIF('[1]JOBS MAR 15'!$E$8:$E$525,$E$16:$E$533,'[1]JOBS MAR 15'!$G$8:$G$525)</f>
        <v>#VALUE!</v>
      </c>
      <c r="U302" s="37" t="e">
        <f>SUMIF('[1]JOBS MAR 15'!$E$8:$E$525,$E$16:$E$533,'[1]JOBS MAR 15'!$H$8:$H$525)</f>
        <v>#VALUE!</v>
      </c>
      <c r="V302" s="37" t="e">
        <f>SUMIF('[1]JOBS MAR 15'!$E$8:$E$525,$E$16:$E$533,'[1]JOBS MAR 15'!$I$8:$I$525)</f>
        <v>#VALUE!</v>
      </c>
      <c r="W302" s="55" t="str">
        <f t="shared" si="33"/>
        <v xml:space="preserve"> </v>
      </c>
    </row>
    <row r="303" spans="2:23" x14ac:dyDescent="0.2">
      <c r="B303">
        <v>2137</v>
      </c>
      <c r="C303">
        <v>1</v>
      </c>
      <c r="D303" s="2" t="s">
        <v>653</v>
      </c>
      <c r="E303" s="50" t="s">
        <v>654</v>
      </c>
      <c r="F303" s="50">
        <v>2700007</v>
      </c>
      <c r="G303" s="50">
        <v>1</v>
      </c>
      <c r="H303" s="52" t="e">
        <f>SUMIF('[1]Build Detail'!$D$4:$D$521,$B$16:$B$533,'[1]Build Detail'!$H$4:$H$521)</f>
        <v>#VALUE!</v>
      </c>
      <c r="I303" s="52" t="e">
        <f>SUMIF('[1]Build Detail'!$D$4:$D$521,$B$16:$B$533,'[1]Build Detail'!$Q$4:$Q$521)</f>
        <v>#VALUE!</v>
      </c>
      <c r="J303" s="52" t="e">
        <f>SUMIF('[1]Build Detail'!$D$4:$D$521,$B$16:$B$533,'[1]Build Detail'!$T$4:$T$521)</f>
        <v>#VALUE!</v>
      </c>
      <c r="K303" s="53">
        <v>4500053.38</v>
      </c>
      <c r="L303" s="37">
        <f t="shared" si="34"/>
        <v>126905.23</v>
      </c>
      <c r="M303" s="37">
        <v>128943.38</v>
      </c>
      <c r="N303" s="38">
        <v>116049.04</v>
      </c>
      <c r="O303" s="37">
        <f t="shared" si="28"/>
        <v>10856.190000000002</v>
      </c>
      <c r="P303" s="54" t="e">
        <f t="shared" si="29"/>
        <v>#VALUE!</v>
      </c>
      <c r="Q303" s="40">
        <f t="shared" si="30"/>
        <v>8.5545646936694433E-2</v>
      </c>
      <c r="R303" s="37">
        <f t="shared" si="31"/>
        <v>-2038.1500000000087</v>
      </c>
      <c r="S303" s="41">
        <f t="shared" si="32"/>
        <v>-1.5806550130762886E-2</v>
      </c>
      <c r="T303" s="37" t="e">
        <f>SUMIF('[1]JOBS MAR 15'!$E$8:$E$525,$E$16:$E$533,'[1]JOBS MAR 15'!$G$8:$G$525)</f>
        <v>#VALUE!</v>
      </c>
      <c r="U303" s="37" t="e">
        <f>SUMIF('[1]JOBS MAR 15'!$E$8:$E$525,$E$16:$E$533,'[1]JOBS MAR 15'!$H$8:$H$525)</f>
        <v>#VALUE!</v>
      </c>
      <c r="V303" s="37" t="e">
        <f>SUMIF('[1]JOBS MAR 15'!$E$8:$E$525,$E$16:$E$533,'[1]JOBS MAR 15'!$I$8:$I$525)</f>
        <v>#VALUE!</v>
      </c>
      <c r="W303" s="55" t="str">
        <f t="shared" si="33"/>
        <v xml:space="preserve"> </v>
      </c>
    </row>
    <row r="304" spans="2:23" x14ac:dyDescent="0.2">
      <c r="B304">
        <v>2142</v>
      </c>
      <c r="C304">
        <v>1</v>
      </c>
      <c r="D304" s="2" t="s">
        <v>655</v>
      </c>
      <c r="E304" s="50" t="s">
        <v>656</v>
      </c>
      <c r="F304" s="50">
        <v>2700008</v>
      </c>
      <c r="G304" s="50">
        <v>8</v>
      </c>
      <c r="H304" s="52" t="e">
        <f>SUMIF('[1]Build Detail'!$D$4:$D$521,$B$16:$B$533,'[1]Build Detail'!$H$4:$H$521)</f>
        <v>#VALUE!</v>
      </c>
      <c r="I304" s="52" t="e">
        <f>SUMIF('[1]Build Detail'!$D$4:$D$521,$B$16:$B$533,'[1]Build Detail'!$Q$4:$Q$521)</f>
        <v>#VALUE!</v>
      </c>
      <c r="J304" s="52" t="e">
        <f>SUMIF('[1]Build Detail'!$D$4:$D$521,$B$16:$B$533,'[1]Build Detail'!$T$4:$T$521)</f>
        <v>#VALUE!</v>
      </c>
      <c r="K304" s="53">
        <v>17734285.879999999</v>
      </c>
      <c r="L304" s="37">
        <f t="shared" si="34"/>
        <v>500121.53</v>
      </c>
      <c r="M304" s="37">
        <v>474481.65</v>
      </c>
      <c r="N304" s="38">
        <v>427033.49</v>
      </c>
      <c r="O304" s="37">
        <f t="shared" si="28"/>
        <v>73088.040000000037</v>
      </c>
      <c r="P304" s="54" t="e">
        <f t="shared" si="29"/>
        <v>#VALUE!</v>
      </c>
      <c r="Q304" s="40">
        <f t="shared" si="30"/>
        <v>0.14614055907571114</v>
      </c>
      <c r="R304" s="37">
        <f t="shared" si="31"/>
        <v>25639.880000000005</v>
      </c>
      <c r="S304" s="41">
        <f t="shared" si="32"/>
        <v>5.4037664048757213E-2</v>
      </c>
      <c r="T304" s="37" t="e">
        <f>SUMIF('[1]JOBS MAR 15'!$E$8:$E$525,$E$16:$E$533,'[1]JOBS MAR 15'!$G$8:$G$525)</f>
        <v>#VALUE!</v>
      </c>
      <c r="U304" s="37" t="e">
        <f>SUMIF('[1]JOBS MAR 15'!$E$8:$E$525,$E$16:$E$533,'[1]JOBS MAR 15'!$H$8:$H$525)</f>
        <v>#VALUE!</v>
      </c>
      <c r="V304" s="37" t="e">
        <f>SUMIF('[1]JOBS MAR 15'!$E$8:$E$525,$E$16:$E$533,'[1]JOBS MAR 15'!$I$8:$I$525)</f>
        <v>#VALUE!</v>
      </c>
      <c r="W304" s="55" t="str">
        <f t="shared" si="33"/>
        <v xml:space="preserve"> </v>
      </c>
    </row>
    <row r="305" spans="2:23" x14ac:dyDescent="0.2">
      <c r="B305">
        <v>2143</v>
      </c>
      <c r="C305">
        <v>1</v>
      </c>
      <c r="D305" s="2" t="s">
        <v>657</v>
      </c>
      <c r="E305" s="50" t="s">
        <v>658</v>
      </c>
      <c r="F305" s="50">
        <v>2700013</v>
      </c>
      <c r="G305" s="50">
        <v>2</v>
      </c>
      <c r="H305" s="52" t="e">
        <f>SUMIF('[1]Build Detail'!$D$4:$D$521,$B$16:$B$533,'[1]Build Detail'!$H$4:$H$521)</f>
        <v>#VALUE!</v>
      </c>
      <c r="I305" s="52" t="e">
        <f>SUMIF('[1]Build Detail'!$D$4:$D$521,$B$16:$B$533,'[1]Build Detail'!$Q$4:$Q$521)</f>
        <v>#VALUE!</v>
      </c>
      <c r="J305" s="52" t="e">
        <f>SUMIF('[1]Build Detail'!$D$4:$D$521,$B$16:$B$533,'[1]Build Detail'!$T$4:$T$521)</f>
        <v>#VALUE!</v>
      </c>
      <c r="K305" s="53">
        <v>5501524.6600000001</v>
      </c>
      <c r="L305" s="37">
        <f t="shared" si="34"/>
        <v>155147.54</v>
      </c>
      <c r="M305" s="37">
        <v>155553.79</v>
      </c>
      <c r="N305" s="38">
        <v>139998.41</v>
      </c>
      <c r="O305" s="37">
        <f t="shared" si="28"/>
        <v>15149.130000000005</v>
      </c>
      <c r="P305" s="54" t="e">
        <f t="shared" si="29"/>
        <v>#VALUE!</v>
      </c>
      <c r="Q305" s="40">
        <f t="shared" si="30"/>
        <v>9.7643378683284335E-2</v>
      </c>
      <c r="R305" s="37">
        <f t="shared" si="31"/>
        <v>-406.25</v>
      </c>
      <c r="S305" s="41">
        <f t="shared" si="32"/>
        <v>-2.6116367849346516E-3</v>
      </c>
      <c r="T305" s="37" t="e">
        <f>SUMIF('[1]JOBS MAR 15'!$E$8:$E$525,$E$16:$E$533,'[1]JOBS MAR 15'!$G$8:$G$525)</f>
        <v>#VALUE!</v>
      </c>
      <c r="U305" s="37" t="e">
        <f>SUMIF('[1]JOBS MAR 15'!$E$8:$E$525,$E$16:$E$533,'[1]JOBS MAR 15'!$H$8:$H$525)</f>
        <v>#VALUE!</v>
      </c>
      <c r="V305" s="37" t="e">
        <f>SUMIF('[1]JOBS MAR 15'!$E$8:$E$525,$E$16:$E$533,'[1]JOBS MAR 15'!$I$8:$I$525)</f>
        <v>#VALUE!</v>
      </c>
      <c r="W305" s="55" t="str">
        <f t="shared" si="33"/>
        <v xml:space="preserve"> </v>
      </c>
    </row>
    <row r="306" spans="2:23" x14ac:dyDescent="0.2">
      <c r="B306">
        <v>2144</v>
      </c>
      <c r="C306">
        <v>1</v>
      </c>
      <c r="D306" s="2" t="s">
        <v>659</v>
      </c>
      <c r="E306" s="50" t="s">
        <v>660</v>
      </c>
      <c r="F306" s="50">
        <v>2700017</v>
      </c>
      <c r="G306" s="50">
        <v>8</v>
      </c>
      <c r="H306" s="52" t="e">
        <f>SUMIF('[1]Build Detail'!$D$4:$D$521,$B$16:$B$533,'[1]Build Detail'!$H$4:$H$521)</f>
        <v>#VALUE!</v>
      </c>
      <c r="I306" s="52" t="e">
        <f>SUMIF('[1]Build Detail'!$D$4:$D$521,$B$16:$B$533,'[1]Build Detail'!$Q$4:$Q$521)</f>
        <v>#VALUE!</v>
      </c>
      <c r="J306" s="52" t="e">
        <f>SUMIF('[1]Build Detail'!$D$4:$D$521,$B$16:$B$533,'[1]Build Detail'!$T$4:$T$521)</f>
        <v>#VALUE!</v>
      </c>
      <c r="K306" s="53">
        <v>23375414.530000001</v>
      </c>
      <c r="L306" s="37">
        <f t="shared" si="34"/>
        <v>659206.02</v>
      </c>
      <c r="M306" s="37">
        <v>637853.06000000006</v>
      </c>
      <c r="N306" s="38">
        <v>574067.75</v>
      </c>
      <c r="O306" s="37">
        <f t="shared" si="28"/>
        <v>85138.270000000019</v>
      </c>
      <c r="P306" s="54" t="e">
        <f t="shared" si="29"/>
        <v>#VALUE!</v>
      </c>
      <c r="Q306" s="40">
        <f t="shared" si="30"/>
        <v>0.12915274954558215</v>
      </c>
      <c r="R306" s="37">
        <f t="shared" si="31"/>
        <v>21352.959999999963</v>
      </c>
      <c r="S306" s="41">
        <f t="shared" si="32"/>
        <v>3.3476299384688948E-2</v>
      </c>
      <c r="T306" s="37" t="e">
        <f>SUMIF('[1]JOBS MAR 15'!$E$8:$E$525,$E$16:$E$533,'[1]JOBS MAR 15'!$G$8:$G$525)</f>
        <v>#VALUE!</v>
      </c>
      <c r="U306" s="37" t="e">
        <f>SUMIF('[1]JOBS MAR 15'!$E$8:$E$525,$E$16:$E$533,'[1]JOBS MAR 15'!$H$8:$H$525)</f>
        <v>#VALUE!</v>
      </c>
      <c r="V306" s="37" t="e">
        <f>SUMIF('[1]JOBS MAR 15'!$E$8:$E$525,$E$16:$E$533,'[1]JOBS MAR 15'!$I$8:$I$525)</f>
        <v>#VALUE!</v>
      </c>
      <c r="W306" s="55" t="str">
        <f t="shared" si="33"/>
        <v xml:space="preserve"> </v>
      </c>
    </row>
    <row r="307" spans="2:23" x14ac:dyDescent="0.2">
      <c r="B307">
        <v>2149</v>
      </c>
      <c r="C307">
        <v>1</v>
      </c>
      <c r="D307" s="2" t="s">
        <v>661</v>
      </c>
      <c r="E307" s="50" t="s">
        <v>662</v>
      </c>
      <c r="F307" s="50">
        <v>2700019</v>
      </c>
      <c r="G307" s="50">
        <v>7</v>
      </c>
      <c r="H307" s="52" t="e">
        <f>SUMIF('[1]Build Detail'!$D$4:$D$521,$B$16:$B$533,'[1]Build Detail'!$H$4:$H$521)</f>
        <v>#VALUE!</v>
      </c>
      <c r="I307" s="52" t="e">
        <f>SUMIF('[1]Build Detail'!$D$4:$D$521,$B$16:$B$533,'[1]Build Detail'!$Q$4:$Q$521)</f>
        <v>#VALUE!</v>
      </c>
      <c r="J307" s="52" t="e">
        <f>SUMIF('[1]Build Detail'!$D$4:$D$521,$B$16:$B$533,'[1]Build Detail'!$T$4:$T$521)</f>
        <v>#VALUE!</v>
      </c>
      <c r="K307" s="53">
        <v>9133064.1999999993</v>
      </c>
      <c r="L307" s="37">
        <f t="shared" si="34"/>
        <v>257559.96</v>
      </c>
      <c r="M307" s="37">
        <v>254889.26</v>
      </c>
      <c r="N307" s="38">
        <v>229400.33</v>
      </c>
      <c r="O307" s="37">
        <f t="shared" si="28"/>
        <v>28159.630000000005</v>
      </c>
      <c r="P307" s="54" t="e">
        <f t="shared" si="29"/>
        <v>#VALUE!</v>
      </c>
      <c r="Q307" s="40">
        <f t="shared" si="30"/>
        <v>0.10933232789755055</v>
      </c>
      <c r="R307" s="37">
        <f t="shared" si="31"/>
        <v>2670.6999999999825</v>
      </c>
      <c r="S307" s="41">
        <f t="shared" si="32"/>
        <v>1.0477883611102258E-2</v>
      </c>
      <c r="T307" s="37" t="e">
        <f>SUMIF('[1]JOBS MAR 15'!$E$8:$E$525,$E$16:$E$533,'[1]JOBS MAR 15'!$G$8:$G$525)</f>
        <v>#VALUE!</v>
      </c>
      <c r="U307" s="37" t="e">
        <f>SUMIF('[1]JOBS MAR 15'!$E$8:$E$525,$E$16:$E$533,'[1]JOBS MAR 15'!$H$8:$H$525)</f>
        <v>#VALUE!</v>
      </c>
      <c r="V307" s="37" t="e">
        <f>SUMIF('[1]JOBS MAR 15'!$E$8:$E$525,$E$16:$E$533,'[1]JOBS MAR 15'!$I$8:$I$525)</f>
        <v>#VALUE!</v>
      </c>
      <c r="W307" s="55" t="str">
        <f t="shared" si="33"/>
        <v xml:space="preserve"> </v>
      </c>
    </row>
    <row r="308" spans="2:23" x14ac:dyDescent="0.2">
      <c r="B308">
        <v>2154</v>
      </c>
      <c r="C308">
        <v>1</v>
      </c>
      <c r="D308" s="2" t="s">
        <v>663</v>
      </c>
      <c r="E308" s="50" t="s">
        <v>664</v>
      </c>
      <c r="F308" s="50">
        <v>2700021</v>
      </c>
      <c r="G308" s="50">
        <v>8</v>
      </c>
      <c r="H308" s="52" t="e">
        <f>SUMIF('[1]Build Detail'!$D$4:$D$521,$B$16:$B$533,'[1]Build Detail'!$H$4:$H$521)</f>
        <v>#VALUE!</v>
      </c>
      <c r="I308" s="52" t="e">
        <f>SUMIF('[1]Build Detail'!$D$4:$D$521,$B$16:$B$533,'[1]Build Detail'!$Q$4:$Q$521)</f>
        <v>#VALUE!</v>
      </c>
      <c r="J308" s="52" t="e">
        <f>SUMIF('[1]Build Detail'!$D$4:$D$521,$B$16:$B$533,'[1]Build Detail'!$T$4:$T$521)</f>
        <v>#VALUE!</v>
      </c>
      <c r="K308" s="53">
        <v>8391257.4600000009</v>
      </c>
      <c r="L308" s="37">
        <f t="shared" si="34"/>
        <v>236640.4</v>
      </c>
      <c r="M308" s="37">
        <v>233954.85</v>
      </c>
      <c r="N308" s="38">
        <v>210559.37</v>
      </c>
      <c r="O308" s="37">
        <f t="shared" si="28"/>
        <v>26081.03</v>
      </c>
      <c r="P308" s="54" t="e">
        <f t="shared" si="29"/>
        <v>#VALUE!</v>
      </c>
      <c r="Q308" s="40">
        <f t="shared" si="30"/>
        <v>0.11021376738714099</v>
      </c>
      <c r="R308" s="37">
        <f t="shared" si="31"/>
        <v>2685.5499999999884</v>
      </c>
      <c r="S308" s="41">
        <f t="shared" si="32"/>
        <v>1.1478924245425936E-2</v>
      </c>
      <c r="T308" s="37" t="e">
        <f>SUMIF('[1]JOBS MAR 15'!$E$8:$E$525,$E$16:$E$533,'[1]JOBS MAR 15'!$G$8:$G$525)</f>
        <v>#VALUE!</v>
      </c>
      <c r="U308" s="37" t="e">
        <f>SUMIF('[1]JOBS MAR 15'!$E$8:$E$525,$E$16:$E$533,'[1]JOBS MAR 15'!$H$8:$H$525)</f>
        <v>#VALUE!</v>
      </c>
      <c r="V308" s="37" t="e">
        <f>SUMIF('[1]JOBS MAR 15'!$E$8:$E$525,$E$16:$E$533,'[1]JOBS MAR 15'!$I$8:$I$525)</f>
        <v>#VALUE!</v>
      </c>
      <c r="W308" s="55" t="str">
        <f t="shared" si="33"/>
        <v xml:space="preserve"> </v>
      </c>
    </row>
    <row r="309" spans="2:23" x14ac:dyDescent="0.2">
      <c r="B309">
        <v>2155</v>
      </c>
      <c r="C309">
        <v>1</v>
      </c>
      <c r="D309" s="2" t="s">
        <v>665</v>
      </c>
      <c r="E309" s="50" t="s">
        <v>666</v>
      </c>
      <c r="F309" s="50">
        <v>2700022</v>
      </c>
      <c r="G309" s="50">
        <v>8</v>
      </c>
      <c r="H309" s="52" t="e">
        <f>SUMIF('[1]Build Detail'!$D$4:$D$521,$B$16:$B$533,'[1]Build Detail'!$H$4:$H$521)</f>
        <v>#VALUE!</v>
      </c>
      <c r="I309" s="52" t="e">
        <f>SUMIF('[1]Build Detail'!$D$4:$D$521,$B$16:$B$533,'[1]Build Detail'!$Q$4:$Q$521)</f>
        <v>#VALUE!</v>
      </c>
      <c r="J309" s="52" t="e">
        <f>SUMIF('[1]Build Detail'!$D$4:$D$521,$B$16:$B$533,'[1]Build Detail'!$T$4:$T$521)</f>
        <v>#VALUE!</v>
      </c>
      <c r="K309" s="53">
        <v>7996604.7200000016</v>
      </c>
      <c r="L309" s="37">
        <f t="shared" si="34"/>
        <v>225510.87</v>
      </c>
      <c r="M309" s="37">
        <v>222389.59</v>
      </c>
      <c r="N309" s="38">
        <v>200150.63</v>
      </c>
      <c r="O309" s="37">
        <f t="shared" si="28"/>
        <v>25360.239999999991</v>
      </c>
      <c r="P309" s="54" t="e">
        <f t="shared" si="29"/>
        <v>#VALUE!</v>
      </c>
      <c r="Q309" s="40">
        <f t="shared" si="30"/>
        <v>0.11245684077224301</v>
      </c>
      <c r="R309" s="37">
        <f t="shared" si="31"/>
        <v>3121.2799999999988</v>
      </c>
      <c r="S309" s="41">
        <f t="shared" si="32"/>
        <v>1.4035189326982431E-2</v>
      </c>
      <c r="T309" s="37" t="e">
        <f>SUMIF('[1]JOBS MAR 15'!$E$8:$E$525,$E$16:$E$533,'[1]JOBS MAR 15'!$G$8:$G$525)</f>
        <v>#VALUE!</v>
      </c>
      <c r="U309" s="37" t="e">
        <f>SUMIF('[1]JOBS MAR 15'!$E$8:$E$525,$E$16:$E$533,'[1]JOBS MAR 15'!$H$8:$H$525)</f>
        <v>#VALUE!</v>
      </c>
      <c r="V309" s="37" t="e">
        <f>SUMIF('[1]JOBS MAR 15'!$E$8:$E$525,$E$16:$E$533,'[1]JOBS MAR 15'!$I$8:$I$525)</f>
        <v>#VALUE!</v>
      </c>
      <c r="W309" s="55" t="str">
        <f t="shared" si="33"/>
        <v xml:space="preserve"> </v>
      </c>
    </row>
    <row r="310" spans="2:23" x14ac:dyDescent="0.2">
      <c r="B310">
        <v>2159</v>
      </c>
      <c r="C310">
        <v>1</v>
      </c>
      <c r="D310" s="2" t="s">
        <v>667</v>
      </c>
      <c r="E310" s="50" t="s">
        <v>668</v>
      </c>
      <c r="F310" s="50">
        <v>2700023</v>
      </c>
      <c r="G310" s="50">
        <v>7</v>
      </c>
      <c r="H310" s="52" t="e">
        <f>SUMIF('[1]Build Detail'!$D$4:$D$521,$B$16:$B$533,'[1]Build Detail'!$H$4:$H$521)</f>
        <v>#VALUE!</v>
      </c>
      <c r="I310" s="52" t="e">
        <f>SUMIF('[1]Build Detail'!$D$4:$D$521,$B$16:$B$533,'[1]Build Detail'!$Q$4:$Q$521)</f>
        <v>#VALUE!</v>
      </c>
      <c r="J310" s="52" t="e">
        <f>SUMIF('[1]Build Detail'!$D$4:$D$521,$B$16:$B$533,'[1]Build Detail'!$T$4:$T$521)</f>
        <v>#VALUE!</v>
      </c>
      <c r="K310" s="53">
        <v>4404613.1899999995</v>
      </c>
      <c r="L310" s="37">
        <f t="shared" si="34"/>
        <v>124213.73</v>
      </c>
      <c r="M310" s="37">
        <v>123215.14</v>
      </c>
      <c r="N310" s="38">
        <v>110893.63</v>
      </c>
      <c r="O310" s="37">
        <f t="shared" si="28"/>
        <v>13320.099999999991</v>
      </c>
      <c r="P310" s="54" t="e">
        <f t="shared" si="29"/>
        <v>#VALUE!</v>
      </c>
      <c r="Q310" s="40">
        <f t="shared" si="30"/>
        <v>0.10723532736678942</v>
      </c>
      <c r="R310" s="37">
        <f t="shared" si="31"/>
        <v>998.58999999999651</v>
      </c>
      <c r="S310" s="41">
        <f t="shared" si="32"/>
        <v>8.1044423599242466E-3</v>
      </c>
      <c r="T310" s="37" t="e">
        <f>SUMIF('[1]JOBS MAR 15'!$E$8:$E$525,$E$16:$E$533,'[1]JOBS MAR 15'!$G$8:$G$525)</f>
        <v>#VALUE!</v>
      </c>
      <c r="U310" s="37" t="e">
        <f>SUMIF('[1]JOBS MAR 15'!$E$8:$E$525,$E$16:$E$533,'[1]JOBS MAR 15'!$H$8:$H$525)</f>
        <v>#VALUE!</v>
      </c>
      <c r="V310" s="37" t="e">
        <f>SUMIF('[1]JOBS MAR 15'!$E$8:$E$525,$E$16:$E$533,'[1]JOBS MAR 15'!$I$8:$I$525)</f>
        <v>#VALUE!</v>
      </c>
      <c r="W310" s="55" t="str">
        <f t="shared" si="33"/>
        <v xml:space="preserve"> </v>
      </c>
    </row>
    <row r="311" spans="2:23" x14ac:dyDescent="0.2">
      <c r="B311">
        <v>2164</v>
      </c>
      <c r="C311">
        <v>1</v>
      </c>
      <c r="D311" s="2" t="s">
        <v>669</v>
      </c>
      <c r="E311" s="50" t="s">
        <v>670</v>
      </c>
      <c r="F311" s="50">
        <v>2710260</v>
      </c>
      <c r="G311" s="50">
        <v>7</v>
      </c>
      <c r="H311" s="52" t="e">
        <f>SUMIF('[1]Build Detail'!$D$4:$D$521,$B$16:$B$533,'[1]Build Detail'!$H$4:$H$521)</f>
        <v>#VALUE!</v>
      </c>
      <c r="I311" s="52" t="e">
        <f>SUMIF('[1]Build Detail'!$D$4:$D$521,$B$16:$B$533,'[1]Build Detail'!$Q$4:$Q$521)</f>
        <v>#VALUE!</v>
      </c>
      <c r="J311" s="52" t="e">
        <f>SUMIF('[1]Build Detail'!$D$4:$D$521,$B$16:$B$533,'[1]Build Detail'!$T$4:$T$521)</f>
        <v>#VALUE!</v>
      </c>
      <c r="K311" s="53">
        <v>10108885.129999999</v>
      </c>
      <c r="L311" s="37">
        <f t="shared" si="34"/>
        <v>285078.92</v>
      </c>
      <c r="M311" s="37">
        <v>282526.52</v>
      </c>
      <c r="N311" s="38">
        <v>254273.87</v>
      </c>
      <c r="O311" s="37">
        <f t="shared" si="28"/>
        <v>30805.049999999988</v>
      </c>
      <c r="P311" s="54" t="e">
        <f t="shared" si="29"/>
        <v>#VALUE!</v>
      </c>
      <c r="Q311" s="40">
        <f t="shared" si="30"/>
        <v>0.10805797215732398</v>
      </c>
      <c r="R311" s="37">
        <f t="shared" si="31"/>
        <v>2552.3999999999651</v>
      </c>
      <c r="S311" s="41">
        <f t="shared" si="32"/>
        <v>9.0341961526300783E-3</v>
      </c>
      <c r="T311" s="37" t="e">
        <f>SUMIF('[1]JOBS MAR 15'!$E$8:$E$525,$E$16:$E$533,'[1]JOBS MAR 15'!$G$8:$G$525)</f>
        <v>#VALUE!</v>
      </c>
      <c r="U311" s="37" t="e">
        <f>SUMIF('[1]JOBS MAR 15'!$E$8:$E$525,$E$16:$E$533,'[1]JOBS MAR 15'!$H$8:$H$525)</f>
        <v>#VALUE!</v>
      </c>
      <c r="V311" s="37" t="e">
        <f>SUMIF('[1]JOBS MAR 15'!$E$8:$E$525,$E$16:$E$533,'[1]JOBS MAR 15'!$I$8:$I$525)</f>
        <v>#VALUE!</v>
      </c>
      <c r="W311" s="55" t="str">
        <f t="shared" si="33"/>
        <v xml:space="preserve"> </v>
      </c>
    </row>
    <row r="312" spans="2:23" x14ac:dyDescent="0.2">
      <c r="B312">
        <v>2165</v>
      </c>
      <c r="C312">
        <v>1</v>
      </c>
      <c r="D312" s="2" t="s">
        <v>671</v>
      </c>
      <c r="E312" s="50" t="s">
        <v>672</v>
      </c>
      <c r="F312" s="50">
        <v>2714070</v>
      </c>
      <c r="G312" s="50">
        <v>8</v>
      </c>
      <c r="H312" s="52" t="e">
        <f>SUMIF('[1]Build Detail'!$D$4:$D$521,$B$16:$B$533,'[1]Build Detail'!$H$4:$H$521)</f>
        <v>#VALUE!</v>
      </c>
      <c r="I312" s="52" t="e">
        <f>SUMIF('[1]Build Detail'!$D$4:$D$521,$B$16:$B$533,'[1]Build Detail'!$Q$4:$Q$521)</f>
        <v>#VALUE!</v>
      </c>
      <c r="J312" s="52" t="e">
        <f>SUMIF('[1]Build Detail'!$D$4:$D$521,$B$16:$B$533,'[1]Build Detail'!$T$4:$T$521)</f>
        <v>#VALUE!</v>
      </c>
      <c r="K312" s="53">
        <v>7623454.0199999996</v>
      </c>
      <c r="L312" s="37">
        <f t="shared" si="34"/>
        <v>214987.71</v>
      </c>
      <c r="M312" s="37">
        <v>212778.79</v>
      </c>
      <c r="N312" s="38">
        <v>191500.91</v>
      </c>
      <c r="O312" s="37">
        <f t="shared" si="28"/>
        <v>23486.799999999988</v>
      </c>
      <c r="P312" s="54" t="e">
        <f t="shared" si="29"/>
        <v>#VALUE!</v>
      </c>
      <c r="Q312" s="40">
        <f t="shared" si="30"/>
        <v>0.10924717510596299</v>
      </c>
      <c r="R312" s="37">
        <f t="shared" si="31"/>
        <v>2208.9199999999837</v>
      </c>
      <c r="S312" s="41">
        <f t="shared" si="32"/>
        <v>1.0381297872781322E-2</v>
      </c>
      <c r="T312" s="37" t="e">
        <f>SUMIF('[1]JOBS MAR 15'!$E$8:$E$525,$E$16:$E$533,'[1]JOBS MAR 15'!$G$8:$G$525)</f>
        <v>#VALUE!</v>
      </c>
      <c r="U312" s="37" t="e">
        <f>SUMIF('[1]JOBS MAR 15'!$E$8:$E$525,$E$16:$E$533,'[1]JOBS MAR 15'!$H$8:$H$525)</f>
        <v>#VALUE!</v>
      </c>
      <c r="V312" s="37" t="e">
        <f>SUMIF('[1]JOBS MAR 15'!$E$8:$E$525,$E$16:$E$533,'[1]JOBS MAR 15'!$I$8:$I$525)</f>
        <v>#VALUE!</v>
      </c>
      <c r="W312" s="55" t="str">
        <f t="shared" si="33"/>
        <v xml:space="preserve"> </v>
      </c>
    </row>
    <row r="313" spans="2:23" x14ac:dyDescent="0.2">
      <c r="B313">
        <v>2167</v>
      </c>
      <c r="C313">
        <v>1</v>
      </c>
      <c r="D313" s="2" t="s">
        <v>673</v>
      </c>
      <c r="E313" s="50" t="s">
        <v>674</v>
      </c>
      <c r="F313" s="50">
        <v>2700088</v>
      </c>
      <c r="G313" s="50">
        <v>7</v>
      </c>
      <c r="H313" s="52" t="e">
        <f>SUMIF('[1]Build Detail'!$D$4:$D$521,$B$16:$B$533,'[1]Build Detail'!$H$4:$H$521)</f>
        <v>#VALUE!</v>
      </c>
      <c r="I313" s="52" t="e">
        <f>SUMIF('[1]Build Detail'!$D$4:$D$521,$B$16:$B$533,'[1]Build Detail'!$Q$4:$Q$521)</f>
        <v>#VALUE!</v>
      </c>
      <c r="J313" s="52" t="e">
        <f>SUMIF('[1]Build Detail'!$D$4:$D$521,$B$16:$B$533,'[1]Build Detail'!$T$4:$T$521)</f>
        <v>#VALUE!</v>
      </c>
      <c r="K313" s="53">
        <v>4328795.43</v>
      </c>
      <c r="L313" s="37">
        <f t="shared" si="34"/>
        <v>122075.61</v>
      </c>
      <c r="M313" s="37">
        <v>120616.46</v>
      </c>
      <c r="N313" s="38">
        <v>108554.81</v>
      </c>
      <c r="O313" s="37">
        <f t="shared" si="28"/>
        <v>13520.800000000003</v>
      </c>
      <c r="P313" s="54" t="e">
        <f t="shared" si="29"/>
        <v>#VALUE!</v>
      </c>
      <c r="Q313" s="40">
        <f t="shared" si="30"/>
        <v>0.11075758703970436</v>
      </c>
      <c r="R313" s="37">
        <f t="shared" si="31"/>
        <v>1459.1499999999942</v>
      </c>
      <c r="S313" s="41">
        <f t="shared" si="32"/>
        <v>1.2097436784332703E-2</v>
      </c>
      <c r="T313" s="37" t="e">
        <f>SUMIF('[1]JOBS MAR 15'!$E$8:$E$525,$E$16:$E$533,'[1]JOBS MAR 15'!$G$8:$G$525)</f>
        <v>#VALUE!</v>
      </c>
      <c r="U313" s="37" t="e">
        <f>SUMIF('[1]JOBS MAR 15'!$E$8:$E$525,$E$16:$E$533,'[1]JOBS MAR 15'!$H$8:$H$525)</f>
        <v>#VALUE!</v>
      </c>
      <c r="V313" s="37" t="e">
        <f>SUMIF('[1]JOBS MAR 15'!$E$8:$E$525,$E$16:$E$533,'[1]JOBS MAR 15'!$I$8:$I$525)</f>
        <v>#VALUE!</v>
      </c>
      <c r="W313" s="55" t="str">
        <f t="shared" si="33"/>
        <v xml:space="preserve"> </v>
      </c>
    </row>
    <row r="314" spans="2:23" x14ac:dyDescent="0.2">
      <c r="B314">
        <v>2168</v>
      </c>
      <c r="C314">
        <v>1</v>
      </c>
      <c r="D314" s="2" t="s">
        <v>675</v>
      </c>
      <c r="E314" s="50" t="s">
        <v>676</v>
      </c>
      <c r="F314" s="50">
        <v>2700089</v>
      </c>
      <c r="G314" s="50">
        <v>1</v>
      </c>
      <c r="H314" s="52" t="e">
        <f>SUMIF('[1]Build Detail'!$D$4:$D$521,$B$16:$B$533,'[1]Build Detail'!$H$4:$H$521)</f>
        <v>#VALUE!</v>
      </c>
      <c r="I314" s="52" t="e">
        <f>SUMIF('[1]Build Detail'!$D$4:$D$521,$B$16:$B$533,'[1]Build Detail'!$Q$4:$Q$521)</f>
        <v>#VALUE!</v>
      </c>
      <c r="J314" s="52" t="e">
        <f>SUMIF('[1]Build Detail'!$D$4:$D$521,$B$16:$B$533,'[1]Build Detail'!$T$4:$T$521)</f>
        <v>#VALUE!</v>
      </c>
      <c r="K314" s="53">
        <v>6745151.7000000002</v>
      </c>
      <c r="L314" s="37">
        <f t="shared" si="34"/>
        <v>190218.86</v>
      </c>
      <c r="M314" s="37">
        <v>189469.99</v>
      </c>
      <c r="N314" s="38">
        <v>170522.99</v>
      </c>
      <c r="O314" s="37">
        <f t="shared" si="28"/>
        <v>19695.869999999995</v>
      </c>
      <c r="P314" s="54" t="e">
        <f t="shared" si="29"/>
        <v>#VALUE!</v>
      </c>
      <c r="Q314" s="40">
        <f t="shared" si="30"/>
        <v>0.10354320281385346</v>
      </c>
      <c r="R314" s="37">
        <f t="shared" si="31"/>
        <v>748.86999999999534</v>
      </c>
      <c r="S314" s="41">
        <f t="shared" si="32"/>
        <v>3.9524465061722726E-3</v>
      </c>
      <c r="T314" s="37" t="e">
        <f>SUMIF('[1]JOBS MAR 15'!$E$8:$E$525,$E$16:$E$533,'[1]JOBS MAR 15'!$G$8:$G$525)</f>
        <v>#VALUE!</v>
      </c>
      <c r="U314" s="37" t="e">
        <f>SUMIF('[1]JOBS MAR 15'!$E$8:$E$525,$E$16:$E$533,'[1]JOBS MAR 15'!$H$8:$H$525)</f>
        <v>#VALUE!</v>
      </c>
      <c r="V314" s="37" t="e">
        <f>SUMIF('[1]JOBS MAR 15'!$E$8:$E$525,$E$16:$E$533,'[1]JOBS MAR 15'!$I$8:$I$525)</f>
        <v>#VALUE!</v>
      </c>
      <c r="W314" s="55" t="str">
        <f t="shared" si="33"/>
        <v xml:space="preserve"> </v>
      </c>
    </row>
    <row r="315" spans="2:23" x14ac:dyDescent="0.2">
      <c r="B315">
        <v>2169</v>
      </c>
      <c r="C315">
        <v>1</v>
      </c>
      <c r="D315" s="2" t="s">
        <v>677</v>
      </c>
      <c r="E315" s="50" t="s">
        <v>678</v>
      </c>
      <c r="F315" s="50">
        <v>2700090</v>
      </c>
      <c r="G315" s="50">
        <v>1</v>
      </c>
      <c r="H315" s="52" t="e">
        <f>SUMIF('[1]Build Detail'!$D$4:$D$521,$B$16:$B$533,'[1]Build Detail'!$H$4:$H$521)</f>
        <v>#VALUE!</v>
      </c>
      <c r="I315" s="52" t="e">
        <f>SUMIF('[1]Build Detail'!$D$4:$D$521,$B$16:$B$533,'[1]Build Detail'!$Q$4:$Q$521)</f>
        <v>#VALUE!</v>
      </c>
      <c r="J315" s="52" t="e">
        <f>SUMIF('[1]Build Detail'!$D$4:$D$521,$B$16:$B$533,'[1]Build Detail'!$T$4:$T$521)</f>
        <v>#VALUE!</v>
      </c>
      <c r="K315" s="53">
        <v>5627407.6699999999</v>
      </c>
      <c r="L315" s="37">
        <f t="shared" si="34"/>
        <v>158697.54999999999</v>
      </c>
      <c r="M315" s="37">
        <v>158713.82</v>
      </c>
      <c r="N315" s="38">
        <v>142842.44</v>
      </c>
      <c r="O315" s="37">
        <f t="shared" si="28"/>
        <v>15855.109999999986</v>
      </c>
      <c r="P315" s="54" t="e">
        <f t="shared" si="29"/>
        <v>#VALUE!</v>
      </c>
      <c r="Q315" s="40">
        <f t="shared" si="30"/>
        <v>9.9907717541953156E-2</v>
      </c>
      <c r="R315" s="37">
        <f t="shared" si="31"/>
        <v>-16.270000000018626</v>
      </c>
      <c r="S315" s="41">
        <f t="shared" si="32"/>
        <v>-1.0251155192420311E-4</v>
      </c>
      <c r="T315" s="37" t="e">
        <f>SUMIF('[1]JOBS MAR 15'!$E$8:$E$525,$E$16:$E$533,'[1]JOBS MAR 15'!$G$8:$G$525)</f>
        <v>#VALUE!</v>
      </c>
      <c r="U315" s="37" t="e">
        <f>SUMIF('[1]JOBS MAR 15'!$E$8:$E$525,$E$16:$E$533,'[1]JOBS MAR 15'!$H$8:$H$525)</f>
        <v>#VALUE!</v>
      </c>
      <c r="V315" s="37" t="e">
        <f>SUMIF('[1]JOBS MAR 15'!$E$8:$E$525,$E$16:$E$533,'[1]JOBS MAR 15'!$I$8:$I$525)</f>
        <v>#VALUE!</v>
      </c>
      <c r="W315" s="55" t="str">
        <f t="shared" si="33"/>
        <v xml:space="preserve"> </v>
      </c>
    </row>
    <row r="316" spans="2:23" x14ac:dyDescent="0.2">
      <c r="B316">
        <v>2170</v>
      </c>
      <c r="C316">
        <v>1</v>
      </c>
      <c r="D316" s="2" t="s">
        <v>679</v>
      </c>
      <c r="E316" s="50" t="s">
        <v>680</v>
      </c>
      <c r="F316" s="50">
        <v>2733900</v>
      </c>
      <c r="G316" s="50">
        <v>7</v>
      </c>
      <c r="H316" s="52" t="e">
        <f>SUMIF('[1]Build Detail'!$D$4:$D$521,$B$16:$B$533,'[1]Build Detail'!$H$4:$H$521)</f>
        <v>#VALUE!</v>
      </c>
      <c r="I316" s="52" t="e">
        <f>SUMIF('[1]Build Detail'!$D$4:$D$521,$B$16:$B$533,'[1]Build Detail'!$Q$4:$Q$521)</f>
        <v>#VALUE!</v>
      </c>
      <c r="J316" s="52" t="e">
        <f>SUMIF('[1]Build Detail'!$D$4:$D$521,$B$16:$B$533,'[1]Build Detail'!$T$4:$T$521)</f>
        <v>#VALUE!</v>
      </c>
      <c r="K316" s="53">
        <v>10649689.539999999</v>
      </c>
      <c r="L316" s="37">
        <f t="shared" si="34"/>
        <v>300330.05</v>
      </c>
      <c r="M316" s="37">
        <v>298285.77</v>
      </c>
      <c r="N316" s="38">
        <v>268457.19</v>
      </c>
      <c r="O316" s="37">
        <f t="shared" si="28"/>
        <v>31872.859999999986</v>
      </c>
      <c r="P316" s="54" t="e">
        <f t="shared" si="29"/>
        <v>#VALUE!</v>
      </c>
      <c r="Q316" s="40">
        <f t="shared" si="30"/>
        <v>0.10612611025769811</v>
      </c>
      <c r="R316" s="37">
        <f t="shared" si="31"/>
        <v>2044.2799999999697</v>
      </c>
      <c r="S316" s="41">
        <f t="shared" si="32"/>
        <v>6.8534278386795646E-3</v>
      </c>
      <c r="T316" s="37" t="e">
        <f>SUMIF('[1]JOBS MAR 15'!$E$8:$E$525,$E$16:$E$533,'[1]JOBS MAR 15'!$G$8:$G$525)</f>
        <v>#VALUE!</v>
      </c>
      <c r="U316" s="37" t="e">
        <f>SUMIF('[1]JOBS MAR 15'!$E$8:$E$525,$E$16:$E$533,'[1]JOBS MAR 15'!$H$8:$H$525)</f>
        <v>#VALUE!</v>
      </c>
      <c r="V316" s="37" t="e">
        <f>SUMIF('[1]JOBS MAR 15'!$E$8:$E$525,$E$16:$E$533,'[1]JOBS MAR 15'!$I$8:$I$525)</f>
        <v>#VALUE!</v>
      </c>
      <c r="W316" s="55" t="str">
        <f t="shared" si="33"/>
        <v xml:space="preserve"> </v>
      </c>
    </row>
    <row r="317" spans="2:23" x14ac:dyDescent="0.2">
      <c r="B317">
        <v>2171</v>
      </c>
      <c r="C317">
        <v>1</v>
      </c>
      <c r="D317" s="2" t="s">
        <v>681</v>
      </c>
      <c r="E317" s="50" t="s">
        <v>682</v>
      </c>
      <c r="F317" s="50">
        <v>2791447</v>
      </c>
      <c r="G317" s="50">
        <v>7</v>
      </c>
      <c r="H317" s="52" t="e">
        <f>SUMIF('[1]Build Detail'!$D$4:$D$521,$B$16:$B$533,'[1]Build Detail'!$H$4:$H$521)</f>
        <v>#VALUE!</v>
      </c>
      <c r="I317" s="52" t="e">
        <f>SUMIF('[1]Build Detail'!$D$4:$D$521,$B$16:$B$533,'[1]Build Detail'!$Q$4:$Q$521)</f>
        <v>#VALUE!</v>
      </c>
      <c r="J317" s="52" t="e">
        <f>SUMIF('[1]Build Detail'!$D$4:$D$521,$B$16:$B$533,'[1]Build Detail'!$T$4:$T$521)</f>
        <v>#VALUE!</v>
      </c>
      <c r="K317" s="53">
        <v>2725902.53</v>
      </c>
      <c r="L317" s="37">
        <f t="shared" si="34"/>
        <v>76872.710000000006</v>
      </c>
      <c r="M317" s="37">
        <v>75830.64</v>
      </c>
      <c r="N317" s="38">
        <v>68247.58</v>
      </c>
      <c r="O317" s="37">
        <f t="shared" si="28"/>
        <v>8625.1300000000047</v>
      </c>
      <c r="P317" s="54" t="e">
        <f t="shared" si="29"/>
        <v>#VALUE!</v>
      </c>
      <c r="Q317" s="40">
        <f t="shared" si="30"/>
        <v>0.112200155295683</v>
      </c>
      <c r="R317" s="37">
        <f t="shared" si="31"/>
        <v>1042.070000000007</v>
      </c>
      <c r="S317" s="41">
        <f t="shared" si="32"/>
        <v>1.3742070487602466E-2</v>
      </c>
      <c r="T317" s="37" t="e">
        <f>SUMIF('[1]JOBS MAR 15'!$E$8:$E$525,$E$16:$E$533,'[1]JOBS MAR 15'!$G$8:$G$525)</f>
        <v>#VALUE!</v>
      </c>
      <c r="U317" s="37" t="e">
        <f>SUMIF('[1]JOBS MAR 15'!$E$8:$E$525,$E$16:$E$533,'[1]JOBS MAR 15'!$H$8:$H$525)</f>
        <v>#VALUE!</v>
      </c>
      <c r="V317" s="37" t="e">
        <f>SUMIF('[1]JOBS MAR 15'!$E$8:$E$525,$E$16:$E$533,'[1]JOBS MAR 15'!$I$8:$I$525)</f>
        <v>#VALUE!</v>
      </c>
      <c r="W317" s="55" t="str">
        <f t="shared" si="33"/>
        <v xml:space="preserve"> </v>
      </c>
    </row>
    <row r="318" spans="2:23" x14ac:dyDescent="0.2">
      <c r="B318">
        <v>2172</v>
      </c>
      <c r="C318">
        <v>1</v>
      </c>
      <c r="D318" s="2" t="s">
        <v>683</v>
      </c>
      <c r="E318" s="50" t="s">
        <v>684</v>
      </c>
      <c r="F318" s="50">
        <v>2717100</v>
      </c>
      <c r="G318" s="50">
        <v>2</v>
      </c>
      <c r="H318" s="52" t="e">
        <f>SUMIF('[1]Build Detail'!$D$4:$D$521,$B$16:$B$533,'[1]Build Detail'!$H$4:$H$521)</f>
        <v>#VALUE!</v>
      </c>
      <c r="I318" s="52" t="e">
        <f>SUMIF('[1]Build Detail'!$D$4:$D$521,$B$16:$B$533,'[1]Build Detail'!$Q$4:$Q$521)</f>
        <v>#VALUE!</v>
      </c>
      <c r="J318" s="52" t="e">
        <f>SUMIF('[1]Build Detail'!$D$4:$D$521,$B$16:$B$533,'[1]Build Detail'!$T$4:$T$521)</f>
        <v>#VALUE!</v>
      </c>
      <c r="K318" s="53">
        <v>5581451.6999999993</v>
      </c>
      <c r="L318" s="37">
        <f t="shared" si="34"/>
        <v>157401.54999999999</v>
      </c>
      <c r="M318" s="37">
        <v>155773.46</v>
      </c>
      <c r="N318" s="38">
        <v>140196.10999999999</v>
      </c>
      <c r="O318" s="37">
        <f t="shared" si="28"/>
        <v>17205.440000000002</v>
      </c>
      <c r="P318" s="54" t="e">
        <f t="shared" si="29"/>
        <v>#VALUE!</v>
      </c>
      <c r="Q318" s="40">
        <f t="shared" si="30"/>
        <v>0.10930921582411357</v>
      </c>
      <c r="R318" s="37">
        <f t="shared" si="31"/>
        <v>1628.0899999999965</v>
      </c>
      <c r="S318" s="41">
        <f t="shared" si="32"/>
        <v>1.0451652033664762E-2</v>
      </c>
      <c r="T318" s="37" t="e">
        <f>SUMIF('[1]JOBS MAR 15'!$E$8:$E$525,$E$16:$E$533,'[1]JOBS MAR 15'!$G$8:$G$525)</f>
        <v>#VALUE!</v>
      </c>
      <c r="U318" s="37" t="e">
        <f>SUMIF('[1]JOBS MAR 15'!$E$8:$E$525,$E$16:$E$533,'[1]JOBS MAR 15'!$H$8:$H$525)</f>
        <v>#VALUE!</v>
      </c>
      <c r="V318" s="37" t="e">
        <f>SUMIF('[1]JOBS MAR 15'!$E$8:$E$525,$E$16:$E$533,'[1]JOBS MAR 15'!$I$8:$I$525)</f>
        <v>#VALUE!</v>
      </c>
      <c r="W318" s="55" t="str">
        <f t="shared" si="33"/>
        <v xml:space="preserve"> </v>
      </c>
    </row>
    <row r="319" spans="2:23" x14ac:dyDescent="0.2">
      <c r="B319">
        <v>2174</v>
      </c>
      <c r="C319">
        <v>1</v>
      </c>
      <c r="D319" s="2" t="s">
        <v>685</v>
      </c>
      <c r="E319" s="50" t="s">
        <v>686</v>
      </c>
      <c r="F319" s="50">
        <v>2728970</v>
      </c>
      <c r="G319" s="50">
        <v>8</v>
      </c>
      <c r="H319" s="52" t="e">
        <f>SUMIF('[1]Build Detail'!$D$4:$D$521,$B$16:$B$533,'[1]Build Detail'!$H$4:$H$521)</f>
        <v>#VALUE!</v>
      </c>
      <c r="I319" s="52" t="e">
        <f>SUMIF('[1]Build Detail'!$D$4:$D$521,$B$16:$B$533,'[1]Build Detail'!$Q$4:$Q$521)</f>
        <v>#VALUE!</v>
      </c>
      <c r="J319" s="52" t="e">
        <f>SUMIF('[1]Build Detail'!$D$4:$D$521,$B$16:$B$533,'[1]Build Detail'!$T$4:$T$521)</f>
        <v>#VALUE!</v>
      </c>
      <c r="K319" s="53">
        <v>7450134.1700000009</v>
      </c>
      <c r="L319" s="37">
        <f t="shared" si="34"/>
        <v>210099.94</v>
      </c>
      <c r="M319" s="37">
        <v>209093.6</v>
      </c>
      <c r="N319" s="38">
        <v>188184.24</v>
      </c>
      <c r="O319" s="37">
        <f t="shared" si="28"/>
        <v>21915.700000000012</v>
      </c>
      <c r="P319" s="54" t="e">
        <f t="shared" si="29"/>
        <v>#VALUE!</v>
      </c>
      <c r="Q319" s="40">
        <f t="shared" si="30"/>
        <v>0.10431083416777755</v>
      </c>
      <c r="R319" s="37">
        <f t="shared" si="31"/>
        <v>1006.3399999999965</v>
      </c>
      <c r="S319" s="41">
        <f t="shared" si="32"/>
        <v>4.8128684952576098E-3</v>
      </c>
      <c r="T319" s="37" t="e">
        <f>SUMIF('[1]JOBS MAR 15'!$E$8:$E$525,$E$16:$E$533,'[1]JOBS MAR 15'!$G$8:$G$525)</f>
        <v>#VALUE!</v>
      </c>
      <c r="U319" s="37" t="e">
        <f>SUMIF('[1]JOBS MAR 15'!$E$8:$E$525,$E$16:$E$533,'[1]JOBS MAR 15'!$H$8:$H$525)</f>
        <v>#VALUE!</v>
      </c>
      <c r="V319" s="37" t="e">
        <f>SUMIF('[1]JOBS MAR 15'!$E$8:$E$525,$E$16:$E$533,'[1]JOBS MAR 15'!$I$8:$I$525)</f>
        <v>#VALUE!</v>
      </c>
      <c r="W319" s="55" t="str">
        <f t="shared" si="33"/>
        <v xml:space="preserve"> </v>
      </c>
    </row>
    <row r="320" spans="2:23" x14ac:dyDescent="0.2">
      <c r="B320">
        <v>2176</v>
      </c>
      <c r="C320">
        <v>1</v>
      </c>
      <c r="D320" s="2" t="s">
        <v>687</v>
      </c>
      <c r="E320" s="50" t="s">
        <v>688</v>
      </c>
      <c r="F320" s="50">
        <v>2700024</v>
      </c>
      <c r="G320" s="50">
        <v>7</v>
      </c>
      <c r="H320" s="52" t="e">
        <f>SUMIF('[1]Build Detail'!$D$4:$D$521,$B$16:$B$533,'[1]Build Detail'!$H$4:$H$521)</f>
        <v>#VALUE!</v>
      </c>
      <c r="I320" s="52" t="e">
        <f>SUMIF('[1]Build Detail'!$D$4:$D$521,$B$16:$B$533,'[1]Build Detail'!$Q$4:$Q$521)</f>
        <v>#VALUE!</v>
      </c>
      <c r="J320" s="52" t="e">
        <f>SUMIF('[1]Build Detail'!$D$4:$D$521,$B$16:$B$533,'[1]Build Detail'!$T$4:$T$521)</f>
        <v>#VALUE!</v>
      </c>
      <c r="K320" s="53">
        <v>3957728.3099999996</v>
      </c>
      <c r="L320" s="37">
        <f t="shared" si="34"/>
        <v>111611.21</v>
      </c>
      <c r="M320" s="37">
        <v>110702.73</v>
      </c>
      <c r="N320" s="38">
        <v>99632.46</v>
      </c>
      <c r="O320" s="37">
        <f t="shared" si="28"/>
        <v>11978.75</v>
      </c>
      <c r="P320" s="54" t="e">
        <f t="shared" si="29"/>
        <v>#VALUE!</v>
      </c>
      <c r="Q320" s="40">
        <f t="shared" si="30"/>
        <v>0.1073256888801761</v>
      </c>
      <c r="R320" s="37">
        <f t="shared" si="31"/>
        <v>908.48000000001048</v>
      </c>
      <c r="S320" s="41">
        <f t="shared" si="32"/>
        <v>8.2064823514290067E-3</v>
      </c>
      <c r="T320" s="37" t="e">
        <f>SUMIF('[1]JOBS MAR 15'!$E$8:$E$525,$E$16:$E$533,'[1]JOBS MAR 15'!$G$8:$G$525)</f>
        <v>#VALUE!</v>
      </c>
      <c r="U320" s="37" t="e">
        <f>SUMIF('[1]JOBS MAR 15'!$E$8:$E$525,$E$16:$E$533,'[1]JOBS MAR 15'!$H$8:$H$525)</f>
        <v>#VALUE!</v>
      </c>
      <c r="V320" s="37" t="e">
        <f>SUMIF('[1]JOBS MAR 15'!$E$8:$E$525,$E$16:$E$533,'[1]JOBS MAR 15'!$I$8:$I$525)</f>
        <v>#VALUE!</v>
      </c>
      <c r="W320" s="55" t="str">
        <f t="shared" si="33"/>
        <v xml:space="preserve"> </v>
      </c>
    </row>
    <row r="321" spans="2:23" x14ac:dyDescent="0.2">
      <c r="B321">
        <v>2180</v>
      </c>
      <c r="C321">
        <v>1</v>
      </c>
      <c r="D321" s="2" t="s">
        <v>689</v>
      </c>
      <c r="E321" s="50" t="s">
        <v>690</v>
      </c>
      <c r="F321" s="50">
        <v>2700091</v>
      </c>
      <c r="G321" s="50">
        <v>7</v>
      </c>
      <c r="H321" s="52" t="e">
        <f>SUMIF('[1]Build Detail'!$D$4:$D$521,$B$16:$B$533,'[1]Build Detail'!$H$4:$H$521)</f>
        <v>#VALUE!</v>
      </c>
      <c r="I321" s="52" t="e">
        <f>SUMIF('[1]Build Detail'!$D$4:$D$521,$B$16:$B$533,'[1]Build Detail'!$Q$4:$Q$521)</f>
        <v>#VALUE!</v>
      </c>
      <c r="J321" s="52" t="e">
        <f>SUMIF('[1]Build Detail'!$D$4:$D$521,$B$16:$B$533,'[1]Build Detail'!$T$4:$T$521)</f>
        <v>#VALUE!</v>
      </c>
      <c r="K321" s="53">
        <v>4909312.33</v>
      </c>
      <c r="L321" s="37">
        <f t="shared" si="34"/>
        <v>138446.67000000001</v>
      </c>
      <c r="M321" s="37">
        <v>138383.79</v>
      </c>
      <c r="N321" s="38">
        <v>124545.41</v>
      </c>
      <c r="O321" s="37">
        <f t="shared" si="28"/>
        <v>13901.260000000009</v>
      </c>
      <c r="P321" s="54" t="e">
        <f t="shared" si="29"/>
        <v>#VALUE!</v>
      </c>
      <c r="Q321" s="40">
        <f t="shared" si="30"/>
        <v>0.10040877111742744</v>
      </c>
      <c r="R321" s="37">
        <f t="shared" si="31"/>
        <v>62.880000000004657</v>
      </c>
      <c r="S321" s="41">
        <f t="shared" si="32"/>
        <v>4.5438848003804964E-4</v>
      </c>
      <c r="T321" s="37" t="e">
        <f>SUMIF('[1]JOBS MAR 15'!$E$8:$E$525,$E$16:$E$533,'[1]JOBS MAR 15'!$G$8:$G$525)</f>
        <v>#VALUE!</v>
      </c>
      <c r="U321" s="37" t="e">
        <f>SUMIF('[1]JOBS MAR 15'!$E$8:$E$525,$E$16:$E$533,'[1]JOBS MAR 15'!$H$8:$H$525)</f>
        <v>#VALUE!</v>
      </c>
      <c r="V321" s="37" t="e">
        <f>SUMIF('[1]JOBS MAR 15'!$E$8:$E$525,$E$16:$E$533,'[1]JOBS MAR 15'!$I$8:$I$525)</f>
        <v>#VALUE!</v>
      </c>
      <c r="W321" s="55" t="str">
        <f t="shared" si="33"/>
        <v xml:space="preserve"> </v>
      </c>
    </row>
    <row r="322" spans="2:23" x14ac:dyDescent="0.2">
      <c r="B322">
        <v>2184</v>
      </c>
      <c r="C322">
        <v>1</v>
      </c>
      <c r="D322" s="2" t="s">
        <v>691</v>
      </c>
      <c r="E322" s="50" t="s">
        <v>692</v>
      </c>
      <c r="F322" s="50">
        <v>2718330</v>
      </c>
      <c r="G322" s="50">
        <v>1</v>
      </c>
      <c r="H322" s="52" t="e">
        <f>SUMIF('[1]Build Detail'!$D$4:$D$521,$B$16:$B$533,'[1]Build Detail'!$H$4:$H$521)</f>
        <v>#VALUE!</v>
      </c>
      <c r="I322" s="52" t="e">
        <f>SUMIF('[1]Build Detail'!$D$4:$D$521,$B$16:$B$533,'[1]Build Detail'!$Q$4:$Q$521)</f>
        <v>#VALUE!</v>
      </c>
      <c r="J322" s="52" t="e">
        <f>SUMIF('[1]Build Detail'!$D$4:$D$521,$B$16:$B$533,'[1]Build Detail'!$T$4:$T$521)</f>
        <v>#VALUE!</v>
      </c>
      <c r="K322" s="53">
        <v>8643991.4900000002</v>
      </c>
      <c r="L322" s="37">
        <f t="shared" si="34"/>
        <v>243767.71</v>
      </c>
      <c r="M322" s="37">
        <v>241667.38</v>
      </c>
      <c r="N322" s="38">
        <v>217500.64</v>
      </c>
      <c r="O322" s="37">
        <f t="shared" si="28"/>
        <v>26267.069999999978</v>
      </c>
      <c r="P322" s="54" t="e">
        <f t="shared" si="29"/>
        <v>#VALUE!</v>
      </c>
      <c r="Q322" s="40">
        <f t="shared" si="30"/>
        <v>0.10775450940569602</v>
      </c>
      <c r="R322" s="37">
        <f t="shared" si="31"/>
        <v>2100.3299999999872</v>
      </c>
      <c r="S322" s="41">
        <f t="shared" si="32"/>
        <v>8.6909950362352873E-3</v>
      </c>
      <c r="T322" s="37" t="e">
        <f>SUMIF('[1]JOBS MAR 15'!$E$8:$E$525,$E$16:$E$533,'[1]JOBS MAR 15'!$G$8:$G$525)</f>
        <v>#VALUE!</v>
      </c>
      <c r="U322" s="37" t="e">
        <f>SUMIF('[1]JOBS MAR 15'!$E$8:$E$525,$E$16:$E$533,'[1]JOBS MAR 15'!$H$8:$H$525)</f>
        <v>#VALUE!</v>
      </c>
      <c r="V322" s="37" t="e">
        <f>SUMIF('[1]JOBS MAR 15'!$E$8:$E$525,$E$16:$E$533,'[1]JOBS MAR 15'!$I$8:$I$525)</f>
        <v>#VALUE!</v>
      </c>
      <c r="W322" s="55" t="str">
        <f t="shared" si="33"/>
        <v xml:space="preserve"> </v>
      </c>
    </row>
    <row r="323" spans="2:23" x14ac:dyDescent="0.2">
      <c r="B323">
        <v>2190</v>
      </c>
      <c r="C323">
        <v>1</v>
      </c>
      <c r="D323" s="2" t="s">
        <v>693</v>
      </c>
      <c r="E323" s="50" t="s">
        <v>694</v>
      </c>
      <c r="F323" s="50">
        <v>2700099</v>
      </c>
      <c r="G323" s="50">
        <v>7</v>
      </c>
      <c r="H323" s="52" t="e">
        <f>SUMIF('[1]Build Detail'!$D$4:$D$521,$B$16:$B$533,'[1]Build Detail'!$H$4:$H$521)</f>
        <v>#VALUE!</v>
      </c>
      <c r="I323" s="52" t="e">
        <f>SUMIF('[1]Build Detail'!$D$4:$D$521,$B$16:$B$533,'[1]Build Detail'!$Q$4:$Q$521)</f>
        <v>#VALUE!</v>
      </c>
      <c r="J323" s="52" t="e">
        <f>SUMIF('[1]Build Detail'!$D$4:$D$521,$B$16:$B$533,'[1]Build Detail'!$T$4:$T$521)</f>
        <v>#VALUE!</v>
      </c>
      <c r="K323" s="53">
        <v>6611315.6600000001</v>
      </c>
      <c r="L323" s="37">
        <f t="shared" si="34"/>
        <v>186444.57</v>
      </c>
      <c r="M323" s="37">
        <v>188116.59</v>
      </c>
      <c r="N323" s="38">
        <v>169304.93</v>
      </c>
      <c r="O323" s="37">
        <f t="shared" si="28"/>
        <v>17139.640000000014</v>
      </c>
      <c r="P323" s="54" t="e">
        <f t="shared" si="29"/>
        <v>#VALUE!</v>
      </c>
      <c r="Q323" s="40">
        <f t="shared" si="30"/>
        <v>9.1928877306536802E-2</v>
      </c>
      <c r="R323" s="37">
        <f t="shared" si="31"/>
        <v>-1672.0199999999895</v>
      </c>
      <c r="S323" s="41">
        <f t="shared" si="32"/>
        <v>-8.8882112949208239E-3</v>
      </c>
      <c r="T323" s="37" t="e">
        <f>SUMIF('[1]JOBS MAR 15'!$E$8:$E$525,$E$16:$E$533,'[1]JOBS MAR 15'!$G$8:$G$525)</f>
        <v>#VALUE!</v>
      </c>
      <c r="U323" s="37" t="e">
        <f>SUMIF('[1]JOBS MAR 15'!$E$8:$E$525,$E$16:$E$533,'[1]JOBS MAR 15'!$H$8:$H$525)</f>
        <v>#VALUE!</v>
      </c>
      <c r="V323" s="37" t="e">
        <f>SUMIF('[1]JOBS MAR 15'!$E$8:$E$525,$E$16:$E$533,'[1]JOBS MAR 15'!$I$8:$I$525)</f>
        <v>#VALUE!</v>
      </c>
      <c r="W323" s="55" t="str">
        <f t="shared" si="33"/>
        <v xml:space="preserve"> </v>
      </c>
    </row>
    <row r="324" spans="2:23" x14ac:dyDescent="0.2">
      <c r="B324">
        <v>2198</v>
      </c>
      <c r="C324">
        <v>1</v>
      </c>
      <c r="D324" s="2" t="s">
        <v>695</v>
      </c>
      <c r="E324" s="50" t="s">
        <v>696</v>
      </c>
      <c r="F324" s="50">
        <v>2700100</v>
      </c>
      <c r="G324" s="50">
        <v>1</v>
      </c>
      <c r="H324" s="52" t="e">
        <f>SUMIF('[1]Build Detail'!$D$4:$D$521,$B$16:$B$533,'[1]Build Detail'!$H$4:$H$521)</f>
        <v>#VALUE!</v>
      </c>
      <c r="I324" s="52" t="e">
        <f>SUMIF('[1]Build Detail'!$D$4:$D$521,$B$16:$B$533,'[1]Build Detail'!$Q$4:$Q$521)</f>
        <v>#VALUE!</v>
      </c>
      <c r="J324" s="52" t="e">
        <f>SUMIF('[1]Build Detail'!$D$4:$D$521,$B$16:$B$533,'[1]Build Detail'!$T$4:$T$521)</f>
        <v>#VALUE!</v>
      </c>
      <c r="K324" s="53">
        <v>3779160.5100000002</v>
      </c>
      <c r="L324" s="37">
        <f t="shared" si="34"/>
        <v>106575.45</v>
      </c>
      <c r="M324" s="37">
        <v>100204.89</v>
      </c>
      <c r="N324" s="38">
        <v>90184.4</v>
      </c>
      <c r="O324" s="37">
        <f t="shared" si="28"/>
        <v>16391.050000000003</v>
      </c>
      <c r="P324" s="54" t="e">
        <f t="shared" si="29"/>
        <v>#VALUE!</v>
      </c>
      <c r="Q324" s="40">
        <f t="shared" si="30"/>
        <v>0.15379761474148129</v>
      </c>
      <c r="R324" s="37">
        <f t="shared" si="31"/>
        <v>6370.5599999999977</v>
      </c>
      <c r="S324" s="41">
        <f t="shared" si="32"/>
        <v>6.3575340484880505E-2</v>
      </c>
      <c r="T324" s="37" t="e">
        <f>SUMIF('[1]JOBS MAR 15'!$E$8:$E$525,$E$16:$E$533,'[1]JOBS MAR 15'!$G$8:$G$525)</f>
        <v>#VALUE!</v>
      </c>
      <c r="U324" s="37" t="e">
        <f>SUMIF('[1]JOBS MAR 15'!$E$8:$E$525,$E$16:$E$533,'[1]JOBS MAR 15'!$H$8:$H$525)</f>
        <v>#VALUE!</v>
      </c>
      <c r="V324" s="37" t="e">
        <f>SUMIF('[1]JOBS MAR 15'!$E$8:$E$525,$E$16:$E$533,'[1]JOBS MAR 15'!$I$8:$I$525)</f>
        <v>#VALUE!</v>
      </c>
      <c r="W324" s="55" t="str">
        <f t="shared" si="33"/>
        <v xml:space="preserve"> </v>
      </c>
    </row>
    <row r="325" spans="2:23" x14ac:dyDescent="0.2">
      <c r="B325">
        <v>2215</v>
      </c>
      <c r="C325">
        <v>1</v>
      </c>
      <c r="D325" s="2" t="s">
        <v>697</v>
      </c>
      <c r="E325" s="50" t="s">
        <v>698</v>
      </c>
      <c r="F325" s="50">
        <v>2700101</v>
      </c>
      <c r="G325" s="50">
        <v>7</v>
      </c>
      <c r="H325" s="52" t="e">
        <f>SUMIF('[1]Build Detail'!$D$4:$D$521,$B$16:$B$533,'[1]Build Detail'!$H$4:$H$521)</f>
        <v>#VALUE!</v>
      </c>
      <c r="I325" s="52" t="e">
        <f>SUMIF('[1]Build Detail'!$D$4:$D$521,$B$16:$B$533,'[1]Build Detail'!$Q$4:$Q$521)</f>
        <v>#VALUE!</v>
      </c>
      <c r="J325" s="52" t="e">
        <f>SUMIF('[1]Build Detail'!$D$4:$D$521,$B$16:$B$533,'[1]Build Detail'!$T$4:$T$521)</f>
        <v>#VALUE!</v>
      </c>
      <c r="K325" s="53">
        <v>2754066.63</v>
      </c>
      <c r="L325" s="37">
        <f t="shared" si="34"/>
        <v>77666.960000000006</v>
      </c>
      <c r="M325" s="37">
        <v>77933.36</v>
      </c>
      <c r="N325" s="38">
        <v>70140.02</v>
      </c>
      <c r="O325" s="37">
        <f t="shared" si="28"/>
        <v>7526.9400000000023</v>
      </c>
      <c r="P325" s="54" t="e">
        <f t="shared" si="29"/>
        <v>#VALUE!</v>
      </c>
      <c r="Q325" s="40">
        <f t="shared" si="30"/>
        <v>9.6913024534499639E-2</v>
      </c>
      <c r="R325" s="37">
        <f t="shared" si="31"/>
        <v>-266.39999999999418</v>
      </c>
      <c r="S325" s="41">
        <f t="shared" si="32"/>
        <v>-3.418305075002466E-3</v>
      </c>
      <c r="T325" s="37" t="e">
        <f>SUMIF('[1]JOBS MAR 15'!$E$8:$E$525,$E$16:$E$533,'[1]JOBS MAR 15'!$G$8:$G$525)</f>
        <v>#VALUE!</v>
      </c>
      <c r="U325" s="37" t="e">
        <f>SUMIF('[1]JOBS MAR 15'!$E$8:$E$525,$E$16:$E$533,'[1]JOBS MAR 15'!$H$8:$H$525)</f>
        <v>#VALUE!</v>
      </c>
      <c r="V325" s="37" t="e">
        <f>SUMIF('[1]JOBS MAR 15'!$E$8:$E$525,$E$16:$E$533,'[1]JOBS MAR 15'!$I$8:$I$525)</f>
        <v>#VALUE!</v>
      </c>
      <c r="W325" s="55" t="str">
        <f t="shared" si="33"/>
        <v xml:space="preserve"> </v>
      </c>
    </row>
    <row r="326" spans="2:23" x14ac:dyDescent="0.2">
      <c r="B326">
        <v>2310</v>
      </c>
      <c r="C326">
        <v>1</v>
      </c>
      <c r="D326" s="2" t="s">
        <v>699</v>
      </c>
      <c r="E326" s="50" t="s">
        <v>700</v>
      </c>
      <c r="F326" s="50">
        <v>2700102</v>
      </c>
      <c r="G326" s="50">
        <v>7</v>
      </c>
      <c r="H326" s="52" t="e">
        <f>SUMIF('[1]Build Detail'!$D$4:$D$521,$B$16:$B$533,'[1]Build Detail'!$H$4:$H$521)</f>
        <v>#VALUE!</v>
      </c>
      <c r="I326" s="52" t="e">
        <f>SUMIF('[1]Build Detail'!$D$4:$D$521,$B$16:$B$533,'[1]Build Detail'!$Q$4:$Q$521)</f>
        <v>#VALUE!</v>
      </c>
      <c r="J326" s="52" t="e">
        <f>SUMIF('[1]Build Detail'!$D$4:$D$521,$B$16:$B$533,'[1]Build Detail'!$T$4:$T$521)</f>
        <v>#VALUE!</v>
      </c>
      <c r="K326" s="53">
        <v>8714858.1400000006</v>
      </c>
      <c r="L326" s="37">
        <f t="shared" si="34"/>
        <v>245766.21</v>
      </c>
      <c r="M326" s="37">
        <v>244778.14</v>
      </c>
      <c r="N326" s="38">
        <v>220300.33</v>
      </c>
      <c r="O326" s="37">
        <f t="shared" si="28"/>
        <v>25465.880000000005</v>
      </c>
      <c r="P326" s="54" t="e">
        <f t="shared" si="29"/>
        <v>#VALUE!</v>
      </c>
      <c r="Q326" s="40">
        <f t="shared" si="30"/>
        <v>0.10361831270458215</v>
      </c>
      <c r="R326" s="37">
        <f t="shared" si="31"/>
        <v>988.06999999997788</v>
      </c>
      <c r="S326" s="41">
        <f t="shared" si="32"/>
        <v>4.0365941174321275E-3</v>
      </c>
      <c r="T326" s="37" t="e">
        <f>SUMIF('[1]JOBS MAR 15'!$E$8:$E$525,$E$16:$E$533,'[1]JOBS MAR 15'!$G$8:$G$525)</f>
        <v>#VALUE!</v>
      </c>
      <c r="U326" s="37" t="e">
        <f>SUMIF('[1]JOBS MAR 15'!$E$8:$E$525,$E$16:$E$533,'[1]JOBS MAR 15'!$H$8:$H$525)</f>
        <v>#VALUE!</v>
      </c>
      <c r="V326" s="37" t="e">
        <f>SUMIF('[1]JOBS MAR 15'!$E$8:$E$525,$E$16:$E$533,'[1]JOBS MAR 15'!$I$8:$I$525)</f>
        <v>#VALUE!</v>
      </c>
      <c r="W326" s="55" t="str">
        <f t="shared" si="33"/>
        <v xml:space="preserve"> </v>
      </c>
    </row>
    <row r="327" spans="2:23" x14ac:dyDescent="0.2">
      <c r="B327">
        <v>2311</v>
      </c>
      <c r="C327">
        <v>1</v>
      </c>
      <c r="D327" s="2" t="s">
        <v>701</v>
      </c>
      <c r="E327" s="50" t="s">
        <v>702</v>
      </c>
      <c r="F327" s="50">
        <v>2700103</v>
      </c>
      <c r="G327" s="50">
        <v>7</v>
      </c>
      <c r="H327" s="52" t="e">
        <f>SUMIF('[1]Build Detail'!$D$4:$D$521,$B$16:$B$533,'[1]Build Detail'!$H$4:$H$521)</f>
        <v>#VALUE!</v>
      </c>
      <c r="I327" s="52" t="e">
        <f>SUMIF('[1]Build Detail'!$D$4:$D$521,$B$16:$B$533,'[1]Build Detail'!$Q$4:$Q$521)</f>
        <v>#VALUE!</v>
      </c>
      <c r="J327" s="52" t="e">
        <f>SUMIF('[1]Build Detail'!$D$4:$D$521,$B$16:$B$533,'[1]Build Detail'!$T$4:$T$521)</f>
        <v>#VALUE!</v>
      </c>
      <c r="K327" s="53">
        <v>3573760.79</v>
      </c>
      <c r="L327" s="37">
        <f t="shared" si="34"/>
        <v>100783.01</v>
      </c>
      <c r="M327" s="37">
        <v>101386.71</v>
      </c>
      <c r="N327" s="38">
        <v>91248.04</v>
      </c>
      <c r="O327" s="37">
        <f t="shared" si="28"/>
        <v>9534.9700000000012</v>
      </c>
      <c r="P327" s="54" t="e">
        <f t="shared" si="29"/>
        <v>#VALUE!</v>
      </c>
      <c r="Q327" s="40">
        <f t="shared" si="30"/>
        <v>9.4608902829951214E-2</v>
      </c>
      <c r="R327" s="37">
        <f t="shared" si="31"/>
        <v>-603.70000000001164</v>
      </c>
      <c r="S327" s="41">
        <f t="shared" si="32"/>
        <v>-5.9544293329965199E-3</v>
      </c>
      <c r="T327" s="37" t="e">
        <f>SUMIF('[1]JOBS MAR 15'!$E$8:$E$525,$E$16:$E$533,'[1]JOBS MAR 15'!$G$8:$G$525)</f>
        <v>#VALUE!</v>
      </c>
      <c r="U327" s="37" t="e">
        <f>SUMIF('[1]JOBS MAR 15'!$E$8:$E$525,$E$16:$E$533,'[1]JOBS MAR 15'!$H$8:$H$525)</f>
        <v>#VALUE!</v>
      </c>
      <c r="V327" s="37" t="e">
        <f>SUMIF('[1]JOBS MAR 15'!$E$8:$E$525,$E$16:$E$533,'[1]JOBS MAR 15'!$I$8:$I$525)</f>
        <v>#VALUE!</v>
      </c>
      <c r="W327" s="55" t="str">
        <f t="shared" si="33"/>
        <v xml:space="preserve"> </v>
      </c>
    </row>
    <row r="328" spans="2:23" x14ac:dyDescent="0.2">
      <c r="B328">
        <v>2342</v>
      </c>
      <c r="C328">
        <v>1</v>
      </c>
      <c r="D328" s="2" t="s">
        <v>703</v>
      </c>
      <c r="E328" s="50" t="s">
        <v>704</v>
      </c>
      <c r="F328" s="50">
        <v>2700104</v>
      </c>
      <c r="G328" s="50">
        <v>7</v>
      </c>
      <c r="H328" s="52" t="e">
        <f>SUMIF('[1]Build Detail'!$D$4:$D$521,$B$16:$B$533,'[1]Build Detail'!$H$4:$H$521)</f>
        <v>#VALUE!</v>
      </c>
      <c r="I328" s="52" t="e">
        <f>SUMIF('[1]Build Detail'!$D$4:$D$521,$B$16:$B$533,'[1]Build Detail'!$Q$4:$Q$521)</f>
        <v>#VALUE!</v>
      </c>
      <c r="J328" s="52" t="e">
        <f>SUMIF('[1]Build Detail'!$D$4:$D$521,$B$16:$B$533,'[1]Build Detail'!$T$4:$T$521)</f>
        <v>#VALUE!</v>
      </c>
      <c r="K328" s="53">
        <v>4838112.2399999993</v>
      </c>
      <c r="L328" s="37">
        <f t="shared" si="34"/>
        <v>136438.76999999999</v>
      </c>
      <c r="M328" s="37">
        <v>136635.53</v>
      </c>
      <c r="N328" s="38">
        <v>122971.98</v>
      </c>
      <c r="O328" s="37">
        <f t="shared" si="28"/>
        <v>13466.789999999994</v>
      </c>
      <c r="P328" s="54" t="e">
        <f t="shared" si="29"/>
        <v>#VALUE!</v>
      </c>
      <c r="Q328" s="40">
        <f t="shared" si="30"/>
        <v>9.8702077129543125E-2</v>
      </c>
      <c r="R328" s="37">
        <f t="shared" si="31"/>
        <v>-196.76000000000931</v>
      </c>
      <c r="S328" s="41">
        <f t="shared" si="32"/>
        <v>-1.4400353992845734E-3</v>
      </c>
      <c r="T328" s="37" t="e">
        <f>SUMIF('[1]JOBS MAR 15'!$E$8:$E$525,$E$16:$E$533,'[1]JOBS MAR 15'!$G$8:$G$525)</f>
        <v>#VALUE!</v>
      </c>
      <c r="U328" s="37" t="e">
        <f>SUMIF('[1]JOBS MAR 15'!$E$8:$E$525,$E$16:$E$533,'[1]JOBS MAR 15'!$H$8:$H$525)</f>
        <v>#VALUE!</v>
      </c>
      <c r="V328" s="37" t="e">
        <f>SUMIF('[1]JOBS MAR 15'!$E$8:$E$525,$E$16:$E$533,'[1]JOBS MAR 15'!$I$8:$I$525)</f>
        <v>#VALUE!</v>
      </c>
      <c r="W328" s="55" t="str">
        <f t="shared" si="33"/>
        <v xml:space="preserve"> </v>
      </c>
    </row>
    <row r="329" spans="2:23" x14ac:dyDescent="0.2">
      <c r="B329">
        <v>2358</v>
      </c>
      <c r="C329">
        <v>1</v>
      </c>
      <c r="D329" s="2" t="s">
        <v>705</v>
      </c>
      <c r="E329" s="50" t="s">
        <v>706</v>
      </c>
      <c r="F329" s="50">
        <v>2791446</v>
      </c>
      <c r="G329" s="50">
        <v>7</v>
      </c>
      <c r="H329" s="52" t="e">
        <f>SUMIF('[1]Build Detail'!$D$4:$D$521,$B$16:$B$533,'[1]Build Detail'!$H$4:$H$521)</f>
        <v>#VALUE!</v>
      </c>
      <c r="I329" s="52" t="e">
        <f>SUMIF('[1]Build Detail'!$D$4:$D$521,$B$16:$B$533,'[1]Build Detail'!$Q$4:$Q$521)</f>
        <v>#VALUE!</v>
      </c>
      <c r="J329" s="52" t="e">
        <f>SUMIF('[1]Build Detail'!$D$4:$D$521,$B$16:$B$533,'[1]Build Detail'!$T$4:$T$521)</f>
        <v>#VALUE!</v>
      </c>
      <c r="K329" s="53">
        <v>2390768.6900000004</v>
      </c>
      <c r="L329" s="37">
        <f t="shared" si="34"/>
        <v>67421.649999999994</v>
      </c>
      <c r="M329" s="37">
        <v>67634.990000000005</v>
      </c>
      <c r="N329" s="38">
        <v>60871.49</v>
      </c>
      <c r="O329" s="37">
        <f t="shared" si="28"/>
        <v>6550.1599999999962</v>
      </c>
      <c r="P329" s="54" t="e">
        <f t="shared" si="29"/>
        <v>#VALUE!</v>
      </c>
      <c r="Q329" s="40">
        <f t="shared" si="30"/>
        <v>9.7152175896021487E-2</v>
      </c>
      <c r="R329" s="37">
        <f t="shared" si="31"/>
        <v>-213.34000000001106</v>
      </c>
      <c r="S329" s="41">
        <f t="shared" si="32"/>
        <v>-3.1542844909123375E-3</v>
      </c>
      <c r="T329" s="37" t="e">
        <f>SUMIF('[1]JOBS MAR 15'!$E$8:$E$525,$E$16:$E$533,'[1]JOBS MAR 15'!$G$8:$G$525)</f>
        <v>#VALUE!</v>
      </c>
      <c r="U329" s="37" t="e">
        <f>SUMIF('[1]JOBS MAR 15'!$E$8:$E$525,$E$16:$E$533,'[1]JOBS MAR 15'!$H$8:$H$525)</f>
        <v>#VALUE!</v>
      </c>
      <c r="V329" s="37" t="e">
        <f>SUMIF('[1]JOBS MAR 15'!$E$8:$E$525,$E$16:$E$533,'[1]JOBS MAR 15'!$I$8:$I$525)</f>
        <v>#VALUE!</v>
      </c>
      <c r="W329" s="55" t="str">
        <f t="shared" si="33"/>
        <v xml:space="preserve"> </v>
      </c>
    </row>
    <row r="330" spans="2:23" x14ac:dyDescent="0.2">
      <c r="B330">
        <v>2364</v>
      </c>
      <c r="C330">
        <v>1</v>
      </c>
      <c r="D330" s="2" t="s">
        <v>707</v>
      </c>
      <c r="E330" s="50" t="s">
        <v>708</v>
      </c>
      <c r="F330" s="50">
        <v>2700105</v>
      </c>
      <c r="G330" s="50">
        <v>7</v>
      </c>
      <c r="H330" s="52" t="e">
        <f>SUMIF('[1]Build Detail'!$D$4:$D$521,$B$16:$B$533,'[1]Build Detail'!$H$4:$H$521)</f>
        <v>#VALUE!</v>
      </c>
      <c r="I330" s="52" t="e">
        <f>SUMIF('[1]Build Detail'!$D$4:$D$521,$B$16:$B$533,'[1]Build Detail'!$Q$4:$Q$521)</f>
        <v>#VALUE!</v>
      </c>
      <c r="J330" s="52" t="e">
        <f>SUMIF('[1]Build Detail'!$D$4:$D$521,$B$16:$B$533,'[1]Build Detail'!$T$4:$T$521)</f>
        <v>#VALUE!</v>
      </c>
      <c r="K330" s="53">
        <v>5168710.3600000003</v>
      </c>
      <c r="L330" s="37">
        <f t="shared" si="34"/>
        <v>145761.91</v>
      </c>
      <c r="M330" s="37">
        <v>145851.87</v>
      </c>
      <c r="N330" s="38">
        <v>131266.68</v>
      </c>
      <c r="O330" s="37">
        <f t="shared" si="28"/>
        <v>14495.23000000001</v>
      </c>
      <c r="P330" s="54" t="e">
        <f t="shared" si="29"/>
        <v>#VALUE!</v>
      </c>
      <c r="Q330" s="40">
        <f t="shared" si="30"/>
        <v>9.9444566828192707E-2</v>
      </c>
      <c r="R330" s="37">
        <f t="shared" si="31"/>
        <v>-89.959999999991851</v>
      </c>
      <c r="S330" s="41">
        <f t="shared" si="32"/>
        <v>-6.1679017211086742E-4</v>
      </c>
      <c r="T330" s="37" t="e">
        <f>SUMIF('[1]JOBS MAR 15'!$E$8:$E$525,$E$16:$E$533,'[1]JOBS MAR 15'!$G$8:$G$525)</f>
        <v>#VALUE!</v>
      </c>
      <c r="U330" s="37" t="e">
        <f>SUMIF('[1]JOBS MAR 15'!$E$8:$E$525,$E$16:$E$533,'[1]JOBS MAR 15'!$H$8:$H$525)</f>
        <v>#VALUE!</v>
      </c>
      <c r="V330" s="37" t="e">
        <f>SUMIF('[1]JOBS MAR 15'!$E$8:$E$525,$E$16:$E$533,'[1]JOBS MAR 15'!$I$8:$I$525)</f>
        <v>#VALUE!</v>
      </c>
      <c r="W330" s="55" t="str">
        <f t="shared" si="33"/>
        <v xml:space="preserve"> </v>
      </c>
    </row>
    <row r="331" spans="2:23" x14ac:dyDescent="0.2">
      <c r="B331">
        <v>2365</v>
      </c>
      <c r="C331">
        <v>1</v>
      </c>
      <c r="D331" s="2" t="s">
        <v>709</v>
      </c>
      <c r="E331" s="50" t="s">
        <v>710</v>
      </c>
      <c r="F331" s="50">
        <v>2712580</v>
      </c>
      <c r="G331" s="50">
        <v>7</v>
      </c>
      <c r="H331" s="52" t="e">
        <f>SUMIF('[1]Build Detail'!$D$4:$D$521,$B$16:$B$533,'[1]Build Detail'!$H$4:$H$521)</f>
        <v>#VALUE!</v>
      </c>
      <c r="I331" s="52" t="e">
        <f>SUMIF('[1]Build Detail'!$D$4:$D$521,$B$16:$B$533,'[1]Build Detail'!$Q$4:$Q$521)</f>
        <v>#VALUE!</v>
      </c>
      <c r="J331" s="52" t="e">
        <f>SUMIF('[1]Build Detail'!$D$4:$D$521,$B$16:$B$533,'[1]Build Detail'!$T$4:$T$521)</f>
        <v>#VALUE!</v>
      </c>
      <c r="K331" s="53">
        <v>6165292.7800000012</v>
      </c>
      <c r="L331" s="37">
        <f t="shared" si="34"/>
        <v>173866.35</v>
      </c>
      <c r="M331" s="37">
        <v>170145.82</v>
      </c>
      <c r="N331" s="38">
        <v>153131.24</v>
      </c>
      <c r="O331" s="37">
        <f t="shared" si="28"/>
        <v>20735.110000000015</v>
      </c>
      <c r="P331" s="54" t="e">
        <f t="shared" si="29"/>
        <v>#VALUE!</v>
      </c>
      <c r="Q331" s="40">
        <f t="shared" si="30"/>
        <v>0.11925890202445738</v>
      </c>
      <c r="R331" s="37">
        <f t="shared" si="31"/>
        <v>3720.5299999999988</v>
      </c>
      <c r="S331" s="41">
        <f t="shared" si="32"/>
        <v>2.1866714092652988E-2</v>
      </c>
      <c r="T331" s="37" t="e">
        <f>SUMIF('[1]JOBS MAR 15'!$E$8:$E$525,$E$16:$E$533,'[1]JOBS MAR 15'!$G$8:$G$525)</f>
        <v>#VALUE!</v>
      </c>
      <c r="U331" s="37" t="e">
        <f>SUMIF('[1]JOBS MAR 15'!$E$8:$E$525,$E$16:$E$533,'[1]JOBS MAR 15'!$H$8:$H$525)</f>
        <v>#VALUE!</v>
      </c>
      <c r="V331" s="37" t="e">
        <f>SUMIF('[1]JOBS MAR 15'!$E$8:$E$525,$E$16:$E$533,'[1]JOBS MAR 15'!$I$8:$I$525)</f>
        <v>#VALUE!</v>
      </c>
      <c r="W331" s="55" t="str">
        <f t="shared" si="33"/>
        <v xml:space="preserve"> </v>
      </c>
    </row>
    <row r="332" spans="2:23" x14ac:dyDescent="0.2">
      <c r="B332">
        <v>2396</v>
      </c>
      <c r="C332">
        <v>1</v>
      </c>
      <c r="D332" s="2" t="s">
        <v>711</v>
      </c>
      <c r="E332" s="50" t="s">
        <v>712</v>
      </c>
      <c r="F332" s="50">
        <v>2700106</v>
      </c>
      <c r="G332" s="50">
        <v>7</v>
      </c>
      <c r="H332" s="52" t="e">
        <f>SUMIF('[1]Build Detail'!$D$4:$D$521,$B$16:$B$533,'[1]Build Detail'!$H$4:$H$521)</f>
        <v>#VALUE!</v>
      </c>
      <c r="I332" s="52" t="e">
        <f>SUMIF('[1]Build Detail'!$D$4:$D$521,$B$16:$B$533,'[1]Build Detail'!$Q$4:$Q$521)</f>
        <v>#VALUE!</v>
      </c>
      <c r="J332" s="52" t="e">
        <f>SUMIF('[1]Build Detail'!$D$4:$D$521,$B$16:$B$533,'[1]Build Detail'!$T$4:$T$521)</f>
        <v>#VALUE!</v>
      </c>
      <c r="K332" s="53">
        <v>5701408.7600000007</v>
      </c>
      <c r="L332" s="37">
        <f t="shared" si="34"/>
        <v>160784.44</v>
      </c>
      <c r="M332" s="37">
        <v>160405.68</v>
      </c>
      <c r="N332" s="38">
        <v>144365.10999999999</v>
      </c>
      <c r="O332" s="37">
        <f t="shared" si="28"/>
        <v>16419.330000000016</v>
      </c>
      <c r="P332" s="54" t="e">
        <f t="shared" si="29"/>
        <v>#VALUE!</v>
      </c>
      <c r="Q332" s="40">
        <f t="shared" si="30"/>
        <v>0.10212014296905855</v>
      </c>
      <c r="R332" s="37">
        <f t="shared" si="31"/>
        <v>378.76000000000931</v>
      </c>
      <c r="S332" s="41">
        <f t="shared" si="32"/>
        <v>2.3612630176188857E-3</v>
      </c>
      <c r="T332" s="37" t="e">
        <f>SUMIF('[1]JOBS MAR 15'!$E$8:$E$525,$E$16:$E$533,'[1]JOBS MAR 15'!$G$8:$G$525)</f>
        <v>#VALUE!</v>
      </c>
      <c r="U332" s="37" t="e">
        <f>SUMIF('[1]JOBS MAR 15'!$E$8:$E$525,$E$16:$E$533,'[1]JOBS MAR 15'!$H$8:$H$525)</f>
        <v>#VALUE!</v>
      </c>
      <c r="V332" s="37" t="e">
        <f>SUMIF('[1]JOBS MAR 15'!$E$8:$E$525,$E$16:$E$533,'[1]JOBS MAR 15'!$I$8:$I$525)</f>
        <v>#VALUE!</v>
      </c>
      <c r="W332" s="55" t="str">
        <f t="shared" si="33"/>
        <v xml:space="preserve"> </v>
      </c>
    </row>
    <row r="333" spans="2:23" x14ac:dyDescent="0.2">
      <c r="B333">
        <v>2397</v>
      </c>
      <c r="C333">
        <v>1</v>
      </c>
      <c r="D333" s="2" t="s">
        <v>713</v>
      </c>
      <c r="E333" s="50" t="s">
        <v>714</v>
      </c>
      <c r="F333" s="50">
        <v>2718070</v>
      </c>
      <c r="G333" s="50">
        <v>2</v>
      </c>
      <c r="H333" s="52" t="e">
        <f>SUMIF('[1]Build Detail'!$D$4:$D$521,$B$16:$B$533,'[1]Build Detail'!$H$4:$H$521)</f>
        <v>#VALUE!</v>
      </c>
      <c r="I333" s="52" t="e">
        <f>SUMIF('[1]Build Detail'!$D$4:$D$521,$B$16:$B$533,'[1]Build Detail'!$Q$4:$Q$521)</f>
        <v>#VALUE!</v>
      </c>
      <c r="J333" s="52" t="e">
        <f>SUMIF('[1]Build Detail'!$D$4:$D$521,$B$16:$B$533,'[1]Build Detail'!$T$4:$T$521)</f>
        <v>#VALUE!</v>
      </c>
      <c r="K333" s="53">
        <v>7655161.3200000003</v>
      </c>
      <c r="L333" s="37">
        <f t="shared" si="34"/>
        <v>215881.88</v>
      </c>
      <c r="M333" s="37">
        <v>217528.2</v>
      </c>
      <c r="N333" s="38">
        <v>195775.38</v>
      </c>
      <c r="O333" s="37">
        <f t="shared" si="28"/>
        <v>20106.5</v>
      </c>
      <c r="P333" s="54" t="e">
        <f t="shared" si="29"/>
        <v>#VALUE!</v>
      </c>
      <c r="Q333" s="40">
        <f t="shared" si="30"/>
        <v>9.3136580059428792E-2</v>
      </c>
      <c r="R333" s="37">
        <f t="shared" si="31"/>
        <v>-1646.320000000007</v>
      </c>
      <c r="S333" s="41">
        <f t="shared" si="32"/>
        <v>-7.568306086291372E-3</v>
      </c>
      <c r="T333" s="37" t="e">
        <f>SUMIF('[1]JOBS MAR 15'!$E$8:$E$525,$E$16:$E$533,'[1]JOBS MAR 15'!$G$8:$G$525)</f>
        <v>#VALUE!</v>
      </c>
      <c r="U333" s="37" t="e">
        <f>SUMIF('[1]JOBS MAR 15'!$E$8:$E$525,$E$16:$E$533,'[1]JOBS MAR 15'!$H$8:$H$525)</f>
        <v>#VALUE!</v>
      </c>
      <c r="V333" s="37" t="e">
        <f>SUMIF('[1]JOBS MAR 15'!$E$8:$E$525,$E$16:$E$533,'[1]JOBS MAR 15'!$I$8:$I$525)</f>
        <v>#VALUE!</v>
      </c>
      <c r="W333" s="55" t="str">
        <f t="shared" si="33"/>
        <v xml:space="preserve"> </v>
      </c>
    </row>
    <row r="334" spans="2:23" x14ac:dyDescent="0.2">
      <c r="B334">
        <v>2448</v>
      </c>
      <c r="C334">
        <v>1</v>
      </c>
      <c r="D334" s="2" t="s">
        <v>715</v>
      </c>
      <c r="E334" s="50" t="s">
        <v>716</v>
      </c>
      <c r="F334" s="50">
        <v>2718960</v>
      </c>
      <c r="G334" s="50">
        <v>1</v>
      </c>
      <c r="H334" s="52" t="e">
        <f>SUMIF('[1]Build Detail'!$D$4:$D$521,$B$16:$B$533,'[1]Build Detail'!$H$4:$H$521)</f>
        <v>#VALUE!</v>
      </c>
      <c r="I334" s="52" t="e">
        <f>SUMIF('[1]Build Detail'!$D$4:$D$521,$B$16:$B$533,'[1]Build Detail'!$Q$4:$Q$521)</f>
        <v>#VALUE!</v>
      </c>
      <c r="J334" s="52" t="e">
        <f>SUMIF('[1]Build Detail'!$D$4:$D$521,$B$16:$B$533,'[1]Build Detail'!$T$4:$T$521)</f>
        <v>#VALUE!</v>
      </c>
      <c r="K334" s="53">
        <v>5237193.72</v>
      </c>
      <c r="L334" s="37">
        <f t="shared" si="34"/>
        <v>147693.19</v>
      </c>
      <c r="M334" s="37">
        <v>146736.07</v>
      </c>
      <c r="N334" s="38">
        <v>132062.46</v>
      </c>
      <c r="O334" s="37">
        <f t="shared" si="28"/>
        <v>15630.73000000001</v>
      </c>
      <c r="P334" s="54" t="e">
        <f t="shared" si="29"/>
        <v>#VALUE!</v>
      </c>
      <c r="Q334" s="40">
        <f t="shared" si="30"/>
        <v>0.1058324354697736</v>
      </c>
      <c r="R334" s="37">
        <f t="shared" si="31"/>
        <v>957.11999999999534</v>
      </c>
      <c r="S334" s="41">
        <f t="shared" si="32"/>
        <v>6.5227315955783422E-3</v>
      </c>
      <c r="T334" s="37" t="e">
        <f>SUMIF('[1]JOBS MAR 15'!$E$8:$E$525,$E$16:$E$533,'[1]JOBS MAR 15'!$G$8:$G$525)</f>
        <v>#VALUE!</v>
      </c>
      <c r="U334" s="37" t="e">
        <f>SUMIF('[1]JOBS MAR 15'!$E$8:$E$525,$E$16:$E$533,'[1]JOBS MAR 15'!$H$8:$H$525)</f>
        <v>#VALUE!</v>
      </c>
      <c r="V334" s="37" t="e">
        <f>SUMIF('[1]JOBS MAR 15'!$E$8:$E$525,$E$16:$E$533,'[1]JOBS MAR 15'!$I$8:$I$525)</f>
        <v>#VALUE!</v>
      </c>
      <c r="W334" s="55" t="str">
        <f t="shared" si="33"/>
        <v xml:space="preserve"> </v>
      </c>
    </row>
    <row r="335" spans="2:23" x14ac:dyDescent="0.2">
      <c r="B335">
        <v>2527</v>
      </c>
      <c r="C335">
        <v>1</v>
      </c>
      <c r="D335" s="2" t="s">
        <v>717</v>
      </c>
      <c r="E335" s="50" t="s">
        <v>718</v>
      </c>
      <c r="F335" s="50">
        <v>2791448</v>
      </c>
      <c r="G335" s="50">
        <v>7</v>
      </c>
      <c r="H335" s="52" t="e">
        <f>SUMIF('[1]Build Detail'!$D$4:$D$521,$B$16:$B$533,'[1]Build Detail'!$H$4:$H$521)</f>
        <v>#VALUE!</v>
      </c>
      <c r="I335" s="52" t="e">
        <f>SUMIF('[1]Build Detail'!$D$4:$D$521,$B$16:$B$533,'[1]Build Detail'!$Q$4:$Q$521)</f>
        <v>#VALUE!</v>
      </c>
      <c r="J335" s="52" t="e">
        <f>SUMIF('[1]Build Detail'!$D$4:$D$521,$B$16:$B$533,'[1]Build Detail'!$T$4:$T$521)</f>
        <v>#VALUE!</v>
      </c>
      <c r="K335" s="53">
        <v>2347124.9199999995</v>
      </c>
      <c r="L335" s="37">
        <f t="shared" si="34"/>
        <v>66190.86</v>
      </c>
      <c r="M335" s="37">
        <v>66231.820000000007</v>
      </c>
      <c r="N335" s="38">
        <v>59608.639999999999</v>
      </c>
      <c r="O335" s="37">
        <f t="shared" si="28"/>
        <v>6582.2200000000012</v>
      </c>
      <c r="P335" s="54" t="e">
        <f t="shared" si="29"/>
        <v>#VALUE!</v>
      </c>
      <c r="Q335" s="40">
        <f t="shared" si="30"/>
        <v>9.9443034884272558E-2</v>
      </c>
      <c r="R335" s="37">
        <f t="shared" si="31"/>
        <v>-40.960000000006403</v>
      </c>
      <c r="S335" s="41">
        <f t="shared" si="32"/>
        <v>-6.1843385852912392E-4</v>
      </c>
      <c r="T335" s="37" t="e">
        <f>SUMIF('[1]JOBS MAR 15'!$E$8:$E$525,$E$16:$E$533,'[1]JOBS MAR 15'!$G$8:$G$525)</f>
        <v>#VALUE!</v>
      </c>
      <c r="U335" s="37" t="e">
        <f>SUMIF('[1]JOBS MAR 15'!$E$8:$E$525,$E$16:$E$533,'[1]JOBS MAR 15'!$H$8:$H$525)</f>
        <v>#VALUE!</v>
      </c>
      <c r="V335" s="37" t="e">
        <f>SUMIF('[1]JOBS MAR 15'!$E$8:$E$525,$E$16:$E$533,'[1]JOBS MAR 15'!$I$8:$I$525)</f>
        <v>#VALUE!</v>
      </c>
      <c r="W335" s="55" t="str">
        <f t="shared" si="33"/>
        <v xml:space="preserve"> </v>
      </c>
    </row>
    <row r="336" spans="2:23" x14ac:dyDescent="0.2">
      <c r="B336">
        <v>2534</v>
      </c>
      <c r="C336">
        <v>1</v>
      </c>
      <c r="D336" s="2" t="s">
        <v>719</v>
      </c>
      <c r="E336" s="50" t="s">
        <v>720</v>
      </c>
      <c r="F336" s="50">
        <v>2705660</v>
      </c>
      <c r="G336" s="50">
        <v>7</v>
      </c>
      <c r="H336" s="52" t="e">
        <f>SUMIF('[1]Build Detail'!$D$4:$D$521,$B$16:$B$533,'[1]Build Detail'!$H$4:$H$521)</f>
        <v>#VALUE!</v>
      </c>
      <c r="I336" s="52" t="e">
        <f>SUMIF('[1]Build Detail'!$D$4:$D$521,$B$16:$B$533,'[1]Build Detail'!$Q$4:$Q$521)</f>
        <v>#VALUE!</v>
      </c>
      <c r="J336" s="52" t="e">
        <f>SUMIF('[1]Build Detail'!$D$4:$D$521,$B$16:$B$533,'[1]Build Detail'!$T$4:$T$521)</f>
        <v>#VALUE!</v>
      </c>
      <c r="K336" s="53">
        <v>5048644.6500000004</v>
      </c>
      <c r="L336" s="37">
        <f t="shared" si="34"/>
        <v>142375.95000000001</v>
      </c>
      <c r="M336" s="37">
        <v>141804.38</v>
      </c>
      <c r="N336" s="38">
        <v>127623.94</v>
      </c>
      <c r="O336" s="37">
        <f t="shared" ref="O336:O399" si="35">L336-N336</f>
        <v>14752.010000000009</v>
      </c>
      <c r="P336" s="54" t="e">
        <f t="shared" ref="P336:P399" si="36">IF($H336&gt;0,ROUND(L336/$H336,2),"na")</f>
        <v>#VALUE!</v>
      </c>
      <c r="Q336" s="40">
        <f t="shared" ref="Q336:Q399" si="37">O336/L336</f>
        <v>0.10361307510151825</v>
      </c>
      <c r="R336" s="37">
        <f t="shared" ref="R336:R399" si="38">L336-M336</f>
        <v>571.57000000000698</v>
      </c>
      <c r="S336" s="41">
        <f t="shared" ref="S336:S399" si="39">R336/M336</f>
        <v>4.030693551214758E-3</v>
      </c>
      <c r="T336" s="37" t="e">
        <f>SUMIF('[1]JOBS MAR 15'!$E$8:$E$525,$E$16:$E$533,'[1]JOBS MAR 15'!$G$8:$G$525)</f>
        <v>#VALUE!</v>
      </c>
      <c r="U336" s="37" t="e">
        <f>SUMIF('[1]JOBS MAR 15'!$E$8:$E$525,$E$16:$E$533,'[1]JOBS MAR 15'!$H$8:$H$525)</f>
        <v>#VALUE!</v>
      </c>
      <c r="V336" s="37" t="e">
        <f>SUMIF('[1]JOBS MAR 15'!$E$8:$E$525,$E$16:$E$533,'[1]JOBS MAR 15'!$I$8:$I$525)</f>
        <v>#VALUE!</v>
      </c>
      <c r="W336" s="55" t="str">
        <f t="shared" ref="W336:W399" si="40">IF(O336&lt;0,IF(V336-ABS(O336)&lt;0,V336-ABS(O336)," ")," ")</f>
        <v xml:space="preserve"> </v>
      </c>
    </row>
    <row r="337" spans="2:23" x14ac:dyDescent="0.2">
      <c r="B337">
        <v>2536</v>
      </c>
      <c r="C337">
        <v>1</v>
      </c>
      <c r="D337" s="2" t="s">
        <v>721</v>
      </c>
      <c r="E337" s="50" t="s">
        <v>722</v>
      </c>
      <c r="F337" s="50">
        <v>2713040</v>
      </c>
      <c r="G337" s="50">
        <v>1</v>
      </c>
      <c r="H337" s="52" t="e">
        <f>SUMIF('[1]Build Detail'!$D$4:$D$521,$B$16:$B$533,'[1]Build Detail'!$H$4:$H$521)</f>
        <v>#VALUE!</v>
      </c>
      <c r="I337" s="52" t="e">
        <f>SUMIF('[1]Build Detail'!$D$4:$D$521,$B$16:$B$533,'[1]Build Detail'!$Q$4:$Q$521)</f>
        <v>#VALUE!</v>
      </c>
      <c r="J337" s="52" t="e">
        <f>SUMIF('[1]Build Detail'!$D$4:$D$521,$B$16:$B$533,'[1]Build Detail'!$T$4:$T$521)</f>
        <v>#VALUE!</v>
      </c>
      <c r="K337" s="53">
        <v>1828474.5999999999</v>
      </c>
      <c r="L337" s="37">
        <f t="shared" si="34"/>
        <v>51564.5</v>
      </c>
      <c r="M337" s="37">
        <v>51630.41</v>
      </c>
      <c r="N337" s="38">
        <v>46467.37</v>
      </c>
      <c r="O337" s="37">
        <f t="shared" si="35"/>
        <v>5097.1299999999974</v>
      </c>
      <c r="P337" s="54" t="e">
        <f t="shared" si="36"/>
        <v>#VALUE!</v>
      </c>
      <c r="Q337" s="40">
        <f t="shared" si="37"/>
        <v>9.8849596136877063E-2</v>
      </c>
      <c r="R337" s="37">
        <f t="shared" si="38"/>
        <v>-65.910000000003492</v>
      </c>
      <c r="S337" s="41">
        <f t="shared" si="39"/>
        <v>-1.2765732443341723E-3</v>
      </c>
      <c r="T337" s="37" t="e">
        <f>SUMIF('[1]JOBS MAR 15'!$E$8:$E$525,$E$16:$E$533,'[1]JOBS MAR 15'!$G$8:$G$525)</f>
        <v>#VALUE!</v>
      </c>
      <c r="U337" s="37" t="e">
        <f>SUMIF('[1]JOBS MAR 15'!$E$8:$E$525,$E$16:$E$533,'[1]JOBS MAR 15'!$H$8:$H$525)</f>
        <v>#VALUE!</v>
      </c>
      <c r="V337" s="37" t="e">
        <f>SUMIF('[1]JOBS MAR 15'!$E$8:$E$525,$E$16:$E$533,'[1]JOBS MAR 15'!$I$8:$I$525)</f>
        <v>#VALUE!</v>
      </c>
      <c r="W337" s="55" t="str">
        <f t="shared" si="40"/>
        <v xml:space="preserve"> </v>
      </c>
    </row>
    <row r="338" spans="2:23" x14ac:dyDescent="0.2">
      <c r="B338">
        <v>2580</v>
      </c>
      <c r="C338">
        <v>1</v>
      </c>
      <c r="D338" s="2" t="s">
        <v>723</v>
      </c>
      <c r="E338" s="50" t="s">
        <v>724</v>
      </c>
      <c r="F338" s="50">
        <v>2711085</v>
      </c>
      <c r="G338" s="50">
        <v>8</v>
      </c>
      <c r="H338" s="52" t="e">
        <f>SUMIF('[1]Build Detail'!$D$4:$D$521,$B$16:$B$533,'[1]Build Detail'!$H$4:$H$521)</f>
        <v>#VALUE!</v>
      </c>
      <c r="I338" s="52" t="e">
        <f>SUMIF('[1]Build Detail'!$D$4:$D$521,$B$16:$B$533,'[1]Build Detail'!$Q$4:$Q$521)</f>
        <v>#VALUE!</v>
      </c>
      <c r="J338" s="52" t="e">
        <f>SUMIF('[1]Build Detail'!$D$4:$D$521,$B$16:$B$533,'[1]Build Detail'!$T$4:$T$521)</f>
        <v>#VALUE!</v>
      </c>
      <c r="K338" s="53">
        <v>6421944.2299999995</v>
      </c>
      <c r="L338" s="37">
        <f t="shared" ref="L338:L401" si="41">ROUND(K338*$K$548,2)</f>
        <v>181104.14</v>
      </c>
      <c r="M338" s="37">
        <v>178136.16</v>
      </c>
      <c r="N338" s="38">
        <v>160322.54</v>
      </c>
      <c r="O338" s="37">
        <f t="shared" si="35"/>
        <v>20781.600000000006</v>
      </c>
      <c r="P338" s="54" t="e">
        <f t="shared" si="36"/>
        <v>#VALUE!</v>
      </c>
      <c r="Q338" s="40">
        <f t="shared" si="37"/>
        <v>0.11474944747259784</v>
      </c>
      <c r="R338" s="37">
        <f t="shared" si="38"/>
        <v>2967.9800000000105</v>
      </c>
      <c r="S338" s="41">
        <f t="shared" si="39"/>
        <v>1.6661299985359573E-2</v>
      </c>
      <c r="T338" s="37" t="e">
        <f>SUMIF('[1]JOBS MAR 15'!$E$8:$E$525,$E$16:$E$533,'[1]JOBS MAR 15'!$G$8:$G$525)</f>
        <v>#VALUE!</v>
      </c>
      <c r="U338" s="37" t="e">
        <f>SUMIF('[1]JOBS MAR 15'!$E$8:$E$525,$E$16:$E$533,'[1]JOBS MAR 15'!$H$8:$H$525)</f>
        <v>#VALUE!</v>
      </c>
      <c r="V338" s="37" t="e">
        <f>SUMIF('[1]JOBS MAR 15'!$E$8:$E$525,$E$16:$E$533,'[1]JOBS MAR 15'!$I$8:$I$525)</f>
        <v>#VALUE!</v>
      </c>
      <c r="W338" s="55" t="str">
        <f t="shared" si="40"/>
        <v xml:space="preserve"> </v>
      </c>
    </row>
    <row r="339" spans="2:23" x14ac:dyDescent="0.2">
      <c r="B339">
        <v>2609</v>
      </c>
      <c r="C339">
        <v>1</v>
      </c>
      <c r="D339" s="2" t="s">
        <v>725</v>
      </c>
      <c r="E339" s="50" t="s">
        <v>726</v>
      </c>
      <c r="F339" s="50">
        <v>2791449</v>
      </c>
      <c r="G339" s="50">
        <v>7</v>
      </c>
      <c r="H339" s="52" t="e">
        <f>SUMIF('[1]Build Detail'!$D$4:$D$521,$B$16:$B$533,'[1]Build Detail'!$H$4:$H$521)</f>
        <v>#VALUE!</v>
      </c>
      <c r="I339" s="52" t="e">
        <f>SUMIF('[1]Build Detail'!$D$4:$D$521,$B$16:$B$533,'[1]Build Detail'!$Q$4:$Q$521)</f>
        <v>#VALUE!</v>
      </c>
      <c r="J339" s="52" t="e">
        <f>SUMIF('[1]Build Detail'!$D$4:$D$521,$B$16:$B$533,'[1]Build Detail'!$T$4:$T$521)</f>
        <v>#VALUE!</v>
      </c>
      <c r="K339" s="53">
        <v>3325495.81</v>
      </c>
      <c r="L339" s="37">
        <f t="shared" si="41"/>
        <v>93781.73</v>
      </c>
      <c r="M339" s="37">
        <v>93696.07</v>
      </c>
      <c r="N339" s="38">
        <v>84326.46</v>
      </c>
      <c r="O339" s="37">
        <f t="shared" si="35"/>
        <v>9455.2699999999895</v>
      </c>
      <c r="P339" s="54" t="e">
        <f t="shared" si="36"/>
        <v>#VALUE!</v>
      </c>
      <c r="Q339" s="40">
        <f t="shared" si="37"/>
        <v>0.10082208976097999</v>
      </c>
      <c r="R339" s="37">
        <f t="shared" si="38"/>
        <v>85.659999999988941</v>
      </c>
      <c r="S339" s="41">
        <f t="shared" si="39"/>
        <v>9.1423258200678994E-4</v>
      </c>
      <c r="T339" s="37" t="e">
        <f>SUMIF('[1]JOBS MAR 15'!$E$8:$E$525,$E$16:$E$533,'[1]JOBS MAR 15'!$G$8:$G$525)</f>
        <v>#VALUE!</v>
      </c>
      <c r="U339" s="37" t="e">
        <f>SUMIF('[1]JOBS MAR 15'!$E$8:$E$525,$E$16:$E$533,'[1]JOBS MAR 15'!$H$8:$H$525)</f>
        <v>#VALUE!</v>
      </c>
      <c r="V339" s="37" t="e">
        <f>SUMIF('[1]JOBS MAR 15'!$E$8:$E$525,$E$16:$E$533,'[1]JOBS MAR 15'!$I$8:$I$525)</f>
        <v>#VALUE!</v>
      </c>
      <c r="W339" s="55" t="str">
        <f t="shared" si="40"/>
        <v xml:space="preserve"> </v>
      </c>
    </row>
    <row r="340" spans="2:23" x14ac:dyDescent="0.2">
      <c r="B340">
        <v>2683</v>
      </c>
      <c r="C340">
        <v>1</v>
      </c>
      <c r="D340" s="2" t="s">
        <v>727</v>
      </c>
      <c r="E340" s="50" t="s">
        <v>728</v>
      </c>
      <c r="F340" s="50">
        <v>2700107</v>
      </c>
      <c r="G340" s="50">
        <v>7</v>
      </c>
      <c r="H340" s="52" t="e">
        <f>SUMIF('[1]Build Detail'!$D$4:$D$521,$B$16:$B$533,'[1]Build Detail'!$H$4:$H$521)</f>
        <v>#VALUE!</v>
      </c>
      <c r="I340" s="52" t="e">
        <f>SUMIF('[1]Build Detail'!$D$4:$D$521,$B$16:$B$533,'[1]Build Detail'!$Q$4:$Q$521)</f>
        <v>#VALUE!</v>
      </c>
      <c r="J340" s="52" t="e">
        <f>SUMIF('[1]Build Detail'!$D$4:$D$521,$B$16:$B$533,'[1]Build Detail'!$T$4:$T$521)</f>
        <v>#VALUE!</v>
      </c>
      <c r="K340" s="53">
        <v>4212900.82</v>
      </c>
      <c r="L340" s="37">
        <f t="shared" si="41"/>
        <v>118807.29</v>
      </c>
      <c r="M340" s="37">
        <v>118479.09</v>
      </c>
      <c r="N340" s="38">
        <v>106631.18</v>
      </c>
      <c r="O340" s="37">
        <f t="shared" si="35"/>
        <v>12176.11</v>
      </c>
      <c r="P340" s="54" t="e">
        <f t="shared" si="36"/>
        <v>#VALUE!</v>
      </c>
      <c r="Q340" s="40">
        <f t="shared" si="37"/>
        <v>0.10248621949040333</v>
      </c>
      <c r="R340" s="37">
        <f t="shared" si="38"/>
        <v>328.19999999999709</v>
      </c>
      <c r="S340" s="41">
        <f t="shared" si="39"/>
        <v>2.7701090546863342E-3</v>
      </c>
      <c r="T340" s="37" t="e">
        <f>SUMIF('[1]JOBS MAR 15'!$E$8:$E$525,$E$16:$E$533,'[1]JOBS MAR 15'!$G$8:$G$525)</f>
        <v>#VALUE!</v>
      </c>
      <c r="U340" s="37" t="e">
        <f>SUMIF('[1]JOBS MAR 15'!$E$8:$E$525,$E$16:$E$533,'[1]JOBS MAR 15'!$H$8:$H$525)</f>
        <v>#VALUE!</v>
      </c>
      <c r="V340" s="37" t="e">
        <f>SUMIF('[1]JOBS MAR 15'!$E$8:$E$525,$E$16:$E$533,'[1]JOBS MAR 15'!$I$8:$I$525)</f>
        <v>#VALUE!</v>
      </c>
      <c r="W340" s="55" t="str">
        <f t="shared" si="40"/>
        <v xml:space="preserve"> </v>
      </c>
    </row>
    <row r="341" spans="2:23" x14ac:dyDescent="0.2">
      <c r="B341">
        <v>2687</v>
      </c>
      <c r="C341">
        <v>1</v>
      </c>
      <c r="D341" s="2" t="s">
        <v>729</v>
      </c>
      <c r="E341" s="50" t="s">
        <v>730</v>
      </c>
      <c r="F341" s="50">
        <v>2700123</v>
      </c>
      <c r="G341" s="50">
        <v>6</v>
      </c>
      <c r="H341" s="52" t="e">
        <f>SUMIF('[1]Build Detail'!$D$4:$D$521,$B$16:$B$533,'[1]Build Detail'!$H$4:$H$521)</f>
        <v>#VALUE!</v>
      </c>
      <c r="I341" s="52" t="e">
        <f>SUMIF('[1]Build Detail'!$D$4:$D$521,$B$16:$B$533,'[1]Build Detail'!$Q$4:$Q$521)</f>
        <v>#VALUE!</v>
      </c>
      <c r="J341" s="52" t="e">
        <f>SUMIF('[1]Build Detail'!$D$4:$D$521,$B$16:$B$533,'[1]Build Detail'!$T$4:$T$521)</f>
        <v>#VALUE!</v>
      </c>
      <c r="K341" s="53">
        <v>6907056.8300000001</v>
      </c>
      <c r="L341" s="37">
        <f t="shared" si="41"/>
        <v>194784.71</v>
      </c>
      <c r="M341" s="37">
        <v>196403.52</v>
      </c>
      <c r="N341" s="38">
        <v>176763.17</v>
      </c>
      <c r="O341" s="37">
        <f t="shared" si="35"/>
        <v>18021.539999999979</v>
      </c>
      <c r="P341" s="54" t="e">
        <f t="shared" si="36"/>
        <v>#VALUE!</v>
      </c>
      <c r="Q341" s="40">
        <f t="shared" si="37"/>
        <v>9.252030100309197E-2</v>
      </c>
      <c r="R341" s="37">
        <f t="shared" si="38"/>
        <v>-1618.8099999999977</v>
      </c>
      <c r="S341" s="41">
        <f t="shared" si="39"/>
        <v>-8.2422657190665306E-3</v>
      </c>
      <c r="T341" s="37" t="e">
        <f>SUMIF('[1]JOBS MAR 15'!$E$8:$E$525,$E$16:$E$533,'[1]JOBS MAR 15'!$G$8:$G$525)</f>
        <v>#VALUE!</v>
      </c>
      <c r="U341" s="37" t="e">
        <f>SUMIF('[1]JOBS MAR 15'!$E$8:$E$525,$E$16:$E$533,'[1]JOBS MAR 15'!$H$8:$H$525)</f>
        <v>#VALUE!</v>
      </c>
      <c r="V341" s="37" t="e">
        <f>SUMIF('[1]JOBS MAR 15'!$E$8:$E$525,$E$16:$E$533,'[1]JOBS MAR 15'!$I$8:$I$525)</f>
        <v>#VALUE!</v>
      </c>
      <c r="W341" s="55" t="str">
        <f t="shared" si="40"/>
        <v xml:space="preserve"> </v>
      </c>
    </row>
    <row r="342" spans="2:23" x14ac:dyDescent="0.2">
      <c r="B342">
        <v>2689</v>
      </c>
      <c r="C342">
        <v>1</v>
      </c>
      <c r="D342" s="2" t="s">
        <v>731</v>
      </c>
      <c r="E342" s="50" t="s">
        <v>732</v>
      </c>
      <c r="F342" s="50">
        <v>2700108</v>
      </c>
      <c r="G342" s="50">
        <v>1</v>
      </c>
      <c r="H342" s="52" t="e">
        <f>SUMIF('[1]Build Detail'!$D$4:$D$521,$B$16:$B$533,'[1]Build Detail'!$H$4:$H$521)</f>
        <v>#VALUE!</v>
      </c>
      <c r="I342" s="52" t="e">
        <f>SUMIF('[1]Build Detail'!$D$4:$D$521,$B$16:$B$533,'[1]Build Detail'!$Q$4:$Q$521)</f>
        <v>#VALUE!</v>
      </c>
      <c r="J342" s="52" t="e">
        <f>SUMIF('[1]Build Detail'!$D$4:$D$521,$B$16:$B$533,'[1]Build Detail'!$T$4:$T$521)</f>
        <v>#VALUE!</v>
      </c>
      <c r="K342" s="53">
        <v>9305090.5099999998</v>
      </c>
      <c r="L342" s="37">
        <f t="shared" si="41"/>
        <v>262411.25</v>
      </c>
      <c r="M342" s="37">
        <v>259251.84</v>
      </c>
      <c r="N342" s="38">
        <v>233326.66</v>
      </c>
      <c r="O342" s="37">
        <f t="shared" si="35"/>
        <v>29084.589999999997</v>
      </c>
      <c r="P342" s="54" t="e">
        <f t="shared" si="36"/>
        <v>#VALUE!</v>
      </c>
      <c r="Q342" s="40">
        <f t="shared" si="37"/>
        <v>0.11083591118902103</v>
      </c>
      <c r="R342" s="37">
        <f t="shared" si="38"/>
        <v>3159.4100000000035</v>
      </c>
      <c r="S342" s="41">
        <f t="shared" si="39"/>
        <v>1.2186644461231225E-2</v>
      </c>
      <c r="T342" s="37" t="e">
        <f>SUMIF('[1]JOBS MAR 15'!$E$8:$E$525,$E$16:$E$533,'[1]JOBS MAR 15'!$G$8:$G$525)</f>
        <v>#VALUE!</v>
      </c>
      <c r="U342" s="37" t="e">
        <f>SUMIF('[1]JOBS MAR 15'!$E$8:$E$525,$E$16:$E$533,'[1]JOBS MAR 15'!$H$8:$H$525)</f>
        <v>#VALUE!</v>
      </c>
      <c r="V342" s="37" t="e">
        <f>SUMIF('[1]JOBS MAR 15'!$E$8:$E$525,$E$16:$E$533,'[1]JOBS MAR 15'!$I$8:$I$525)</f>
        <v>#VALUE!</v>
      </c>
      <c r="W342" s="55" t="str">
        <f t="shared" si="40"/>
        <v xml:space="preserve"> </v>
      </c>
    </row>
    <row r="343" spans="2:23" x14ac:dyDescent="0.2">
      <c r="B343">
        <v>2711</v>
      </c>
      <c r="C343">
        <v>1</v>
      </c>
      <c r="D343" s="2" t="s">
        <v>733</v>
      </c>
      <c r="E343" s="50" t="s">
        <v>734</v>
      </c>
      <c r="F343" s="50">
        <v>2791450</v>
      </c>
      <c r="G343" s="50">
        <v>8</v>
      </c>
      <c r="H343" s="52" t="e">
        <f>SUMIF('[1]Build Detail'!$D$4:$D$521,$B$16:$B$533,'[1]Build Detail'!$H$4:$H$521)</f>
        <v>#VALUE!</v>
      </c>
      <c r="I343" s="52" t="e">
        <f>SUMIF('[1]Build Detail'!$D$4:$D$521,$B$16:$B$533,'[1]Build Detail'!$Q$4:$Q$521)</f>
        <v>#VALUE!</v>
      </c>
      <c r="J343" s="52" t="e">
        <f>SUMIF('[1]Build Detail'!$D$4:$D$521,$B$16:$B$533,'[1]Build Detail'!$T$4:$T$521)</f>
        <v>#VALUE!</v>
      </c>
      <c r="K343" s="53">
        <v>6608416.8900000006</v>
      </c>
      <c r="L343" s="37">
        <f t="shared" si="41"/>
        <v>186362.82</v>
      </c>
      <c r="M343" s="37">
        <v>182461.9</v>
      </c>
      <c r="N343" s="38">
        <v>164215.71</v>
      </c>
      <c r="O343" s="37">
        <f t="shared" si="35"/>
        <v>22147.110000000015</v>
      </c>
      <c r="P343" s="54" t="e">
        <f t="shared" si="36"/>
        <v>#VALUE!</v>
      </c>
      <c r="Q343" s="40">
        <f t="shared" si="37"/>
        <v>0.1188386717908648</v>
      </c>
      <c r="R343" s="37">
        <f t="shared" si="38"/>
        <v>3900.9200000000128</v>
      </c>
      <c r="S343" s="41">
        <f t="shared" si="39"/>
        <v>2.1379367418622806E-2</v>
      </c>
      <c r="T343" s="37" t="e">
        <f>SUMIF('[1]JOBS MAR 15'!$E$8:$E$525,$E$16:$E$533,'[1]JOBS MAR 15'!$G$8:$G$525)</f>
        <v>#VALUE!</v>
      </c>
      <c r="U343" s="37" t="e">
        <f>SUMIF('[1]JOBS MAR 15'!$E$8:$E$525,$E$16:$E$533,'[1]JOBS MAR 15'!$H$8:$H$525)</f>
        <v>#VALUE!</v>
      </c>
      <c r="V343" s="37" t="e">
        <f>SUMIF('[1]JOBS MAR 15'!$E$8:$E$525,$E$16:$E$533,'[1]JOBS MAR 15'!$I$8:$I$525)</f>
        <v>#VALUE!</v>
      </c>
      <c r="W343" s="55" t="str">
        <f t="shared" si="40"/>
        <v xml:space="preserve"> </v>
      </c>
    </row>
    <row r="344" spans="2:23" x14ac:dyDescent="0.2">
      <c r="B344">
        <v>2752</v>
      </c>
      <c r="C344">
        <v>1</v>
      </c>
      <c r="D344" s="2" t="s">
        <v>735</v>
      </c>
      <c r="E344" s="50" t="s">
        <v>736</v>
      </c>
      <c r="F344" s="50">
        <v>2700124</v>
      </c>
      <c r="G344" s="50">
        <v>1</v>
      </c>
      <c r="H344" s="52" t="e">
        <f>SUMIF('[1]Build Detail'!$D$4:$D$521,$B$16:$B$533,'[1]Build Detail'!$H$4:$H$521)</f>
        <v>#VALUE!</v>
      </c>
      <c r="I344" s="52" t="e">
        <f>SUMIF('[1]Build Detail'!$D$4:$D$521,$B$16:$B$533,'[1]Build Detail'!$Q$4:$Q$521)</f>
        <v>#VALUE!</v>
      </c>
      <c r="J344" s="52" t="e">
        <f>SUMIF('[1]Build Detail'!$D$4:$D$521,$B$16:$B$533,'[1]Build Detail'!$T$4:$T$521)</f>
        <v>#VALUE!</v>
      </c>
      <c r="K344" s="53">
        <v>12064404.130000003</v>
      </c>
      <c r="L344" s="37">
        <f t="shared" si="41"/>
        <v>340226.17</v>
      </c>
      <c r="M344" s="37">
        <v>340689.18</v>
      </c>
      <c r="N344" s="38">
        <v>306620.26</v>
      </c>
      <c r="O344" s="37">
        <f t="shared" si="35"/>
        <v>33605.909999999974</v>
      </c>
      <c r="P344" s="54" t="e">
        <f t="shared" si="36"/>
        <v>#VALUE!</v>
      </c>
      <c r="Q344" s="40">
        <f t="shared" si="37"/>
        <v>9.8775205916699402E-2</v>
      </c>
      <c r="R344" s="37">
        <f t="shared" si="38"/>
        <v>-463.01000000000931</v>
      </c>
      <c r="S344" s="41">
        <f t="shared" si="39"/>
        <v>-1.3590393448949841E-3</v>
      </c>
      <c r="T344" s="37" t="e">
        <f>SUMIF('[1]JOBS MAR 15'!$E$8:$E$525,$E$16:$E$533,'[1]JOBS MAR 15'!$G$8:$G$525)</f>
        <v>#VALUE!</v>
      </c>
      <c r="U344" s="37" t="e">
        <f>SUMIF('[1]JOBS MAR 15'!$E$8:$E$525,$E$16:$E$533,'[1]JOBS MAR 15'!$H$8:$H$525)</f>
        <v>#VALUE!</v>
      </c>
      <c r="V344" s="37" t="e">
        <f>SUMIF('[1]JOBS MAR 15'!$E$8:$E$525,$E$16:$E$533,'[1]JOBS MAR 15'!$I$8:$I$525)</f>
        <v>#VALUE!</v>
      </c>
      <c r="W344" s="55" t="str">
        <f t="shared" si="40"/>
        <v xml:space="preserve"> </v>
      </c>
    </row>
    <row r="345" spans="2:23" x14ac:dyDescent="0.2">
      <c r="B345">
        <v>2753</v>
      </c>
      <c r="C345">
        <v>1</v>
      </c>
      <c r="D345" s="2" t="s">
        <v>737</v>
      </c>
      <c r="E345" s="50" t="s">
        <v>738</v>
      </c>
      <c r="F345" s="50">
        <v>2700109</v>
      </c>
      <c r="G345" s="50">
        <v>7</v>
      </c>
      <c r="H345" s="52" t="e">
        <f>SUMIF('[1]Build Detail'!$D$4:$D$521,$B$16:$B$533,'[1]Build Detail'!$H$4:$H$521)</f>
        <v>#VALUE!</v>
      </c>
      <c r="I345" s="52" t="e">
        <f>SUMIF('[1]Build Detail'!$D$4:$D$521,$B$16:$B$533,'[1]Build Detail'!$Q$4:$Q$521)</f>
        <v>#VALUE!</v>
      </c>
      <c r="J345" s="52" t="e">
        <f>SUMIF('[1]Build Detail'!$D$4:$D$521,$B$16:$B$533,'[1]Build Detail'!$T$4:$T$521)</f>
        <v>#VALUE!</v>
      </c>
      <c r="K345" s="53">
        <v>8171629.6600000001</v>
      </c>
      <c r="L345" s="37">
        <f t="shared" si="41"/>
        <v>230446.71</v>
      </c>
      <c r="M345" s="37">
        <v>228587.64</v>
      </c>
      <c r="N345" s="38">
        <v>205728.88</v>
      </c>
      <c r="O345" s="37">
        <f t="shared" si="35"/>
        <v>24717.829999999987</v>
      </c>
      <c r="P345" s="54" t="e">
        <f t="shared" si="36"/>
        <v>#VALUE!</v>
      </c>
      <c r="Q345" s="40">
        <f t="shared" si="37"/>
        <v>0.10726050287287672</v>
      </c>
      <c r="R345" s="37">
        <f t="shared" si="38"/>
        <v>1859.0699999999779</v>
      </c>
      <c r="S345" s="41">
        <f t="shared" si="39"/>
        <v>8.1328544272996472E-3</v>
      </c>
      <c r="T345" s="37" t="e">
        <f>SUMIF('[1]JOBS MAR 15'!$E$8:$E$525,$E$16:$E$533,'[1]JOBS MAR 15'!$G$8:$G$525)</f>
        <v>#VALUE!</v>
      </c>
      <c r="U345" s="37" t="e">
        <f>SUMIF('[1]JOBS MAR 15'!$E$8:$E$525,$E$16:$E$533,'[1]JOBS MAR 15'!$H$8:$H$525)</f>
        <v>#VALUE!</v>
      </c>
      <c r="V345" s="37" t="e">
        <f>SUMIF('[1]JOBS MAR 15'!$E$8:$E$525,$E$16:$E$533,'[1]JOBS MAR 15'!$I$8:$I$525)</f>
        <v>#VALUE!</v>
      </c>
      <c r="W345" s="55" t="str">
        <f t="shared" si="40"/>
        <v xml:space="preserve"> </v>
      </c>
    </row>
    <row r="346" spans="2:23" x14ac:dyDescent="0.2">
      <c r="B346">
        <v>2754</v>
      </c>
      <c r="C346">
        <v>1</v>
      </c>
      <c r="D346" s="2" t="s">
        <v>739</v>
      </c>
      <c r="E346" s="50" t="s">
        <v>740</v>
      </c>
      <c r="F346" s="50">
        <v>2700110</v>
      </c>
      <c r="G346" s="50">
        <v>7</v>
      </c>
      <c r="H346" s="52" t="e">
        <f>SUMIF('[1]Build Detail'!$D$4:$D$521,$B$16:$B$533,'[1]Build Detail'!$H$4:$H$521)</f>
        <v>#VALUE!</v>
      </c>
      <c r="I346" s="52" t="e">
        <f>SUMIF('[1]Build Detail'!$D$4:$D$521,$B$16:$B$533,'[1]Build Detail'!$Q$4:$Q$521)</f>
        <v>#VALUE!</v>
      </c>
      <c r="J346" s="52" t="e">
        <f>SUMIF('[1]Build Detail'!$D$4:$D$521,$B$16:$B$533,'[1]Build Detail'!$T$4:$T$521)</f>
        <v>#VALUE!</v>
      </c>
      <c r="K346" s="53">
        <v>3839947.27</v>
      </c>
      <c r="L346" s="37">
        <f t="shared" si="41"/>
        <v>108289.69</v>
      </c>
      <c r="M346" s="37">
        <v>107660.93</v>
      </c>
      <c r="N346" s="38">
        <v>96894.84</v>
      </c>
      <c r="O346" s="37">
        <f t="shared" si="35"/>
        <v>11394.850000000006</v>
      </c>
      <c r="P346" s="54" t="e">
        <f t="shared" si="36"/>
        <v>#VALUE!</v>
      </c>
      <c r="Q346" s="40">
        <f t="shared" si="37"/>
        <v>0.10522562212524576</v>
      </c>
      <c r="R346" s="37">
        <f t="shared" si="38"/>
        <v>628.76000000000931</v>
      </c>
      <c r="S346" s="41">
        <f t="shared" si="39"/>
        <v>5.8401873362974787E-3</v>
      </c>
      <c r="T346" s="37" t="e">
        <f>SUMIF('[1]JOBS MAR 15'!$E$8:$E$525,$E$16:$E$533,'[1]JOBS MAR 15'!$G$8:$G$525)</f>
        <v>#VALUE!</v>
      </c>
      <c r="U346" s="37" t="e">
        <f>SUMIF('[1]JOBS MAR 15'!$E$8:$E$525,$E$16:$E$533,'[1]JOBS MAR 15'!$H$8:$H$525)</f>
        <v>#VALUE!</v>
      </c>
      <c r="V346" s="37" t="e">
        <f>SUMIF('[1]JOBS MAR 15'!$E$8:$E$525,$E$16:$E$533,'[1]JOBS MAR 15'!$I$8:$I$525)</f>
        <v>#VALUE!</v>
      </c>
      <c r="W346" s="55" t="str">
        <f t="shared" si="40"/>
        <v xml:space="preserve"> </v>
      </c>
    </row>
    <row r="347" spans="2:23" x14ac:dyDescent="0.2">
      <c r="B347">
        <v>2759</v>
      </c>
      <c r="C347">
        <v>1</v>
      </c>
      <c r="D347" s="2" t="s">
        <v>741</v>
      </c>
      <c r="E347" s="50" t="s">
        <v>742</v>
      </c>
      <c r="F347" s="50">
        <v>2700112</v>
      </c>
      <c r="G347" s="50">
        <v>7</v>
      </c>
      <c r="H347" s="52" t="e">
        <f>SUMIF('[1]Build Detail'!$D$4:$D$521,$B$16:$B$533,'[1]Build Detail'!$H$4:$H$521)</f>
        <v>#VALUE!</v>
      </c>
      <c r="I347" s="52" t="e">
        <f>SUMIF('[1]Build Detail'!$D$4:$D$521,$B$16:$B$533,'[1]Build Detail'!$Q$4:$Q$521)</f>
        <v>#VALUE!</v>
      </c>
      <c r="J347" s="52" t="e">
        <f>SUMIF('[1]Build Detail'!$D$4:$D$521,$B$16:$B$533,'[1]Build Detail'!$T$4:$T$521)</f>
        <v>#VALUE!</v>
      </c>
      <c r="K347" s="53">
        <v>2316010.9400000004</v>
      </c>
      <c r="L347" s="37">
        <f t="shared" si="41"/>
        <v>65313.42</v>
      </c>
      <c r="M347" s="37">
        <v>64725.14</v>
      </c>
      <c r="N347" s="38">
        <v>58252.63</v>
      </c>
      <c r="O347" s="37">
        <f t="shared" si="35"/>
        <v>7060.7900000000009</v>
      </c>
      <c r="P347" s="54" t="e">
        <f t="shared" si="36"/>
        <v>#VALUE!</v>
      </c>
      <c r="Q347" s="40">
        <f t="shared" si="37"/>
        <v>0.10810626667536322</v>
      </c>
      <c r="R347" s="37">
        <f t="shared" si="38"/>
        <v>588.27999999999884</v>
      </c>
      <c r="S347" s="41">
        <f t="shared" si="39"/>
        <v>9.0888949796014175E-3</v>
      </c>
      <c r="T347" s="37" t="e">
        <f>SUMIF('[1]JOBS MAR 15'!$E$8:$E$525,$E$16:$E$533,'[1]JOBS MAR 15'!$G$8:$G$525)</f>
        <v>#VALUE!</v>
      </c>
      <c r="U347" s="37" t="e">
        <f>SUMIF('[1]JOBS MAR 15'!$E$8:$E$525,$E$16:$E$533,'[1]JOBS MAR 15'!$H$8:$H$525)</f>
        <v>#VALUE!</v>
      </c>
      <c r="V347" s="37" t="e">
        <f>SUMIF('[1]JOBS MAR 15'!$E$8:$E$525,$E$16:$E$533,'[1]JOBS MAR 15'!$I$8:$I$525)</f>
        <v>#VALUE!</v>
      </c>
      <c r="W347" s="55" t="str">
        <f t="shared" si="40"/>
        <v xml:space="preserve"> </v>
      </c>
    </row>
    <row r="348" spans="2:23" x14ac:dyDescent="0.2">
      <c r="B348">
        <v>2805</v>
      </c>
      <c r="C348">
        <v>1</v>
      </c>
      <c r="D348" s="2" t="s">
        <v>743</v>
      </c>
      <c r="E348" s="50" t="s">
        <v>744</v>
      </c>
      <c r="F348" s="50">
        <v>2745735</v>
      </c>
      <c r="G348" s="50">
        <v>1</v>
      </c>
      <c r="H348" s="52" t="e">
        <f>SUMIF('[1]Build Detail'!$D$4:$D$521,$B$16:$B$533,'[1]Build Detail'!$H$4:$H$521)</f>
        <v>#VALUE!</v>
      </c>
      <c r="I348" s="52" t="e">
        <f>SUMIF('[1]Build Detail'!$D$4:$D$521,$B$16:$B$533,'[1]Build Detail'!$Q$4:$Q$521)</f>
        <v>#VALUE!</v>
      </c>
      <c r="J348" s="52" t="e">
        <f>SUMIF('[1]Build Detail'!$D$4:$D$521,$B$16:$B$533,'[1]Build Detail'!$T$4:$T$521)</f>
        <v>#VALUE!</v>
      </c>
      <c r="K348" s="53">
        <v>6857643.9800000004</v>
      </c>
      <c r="L348" s="37">
        <f t="shared" si="41"/>
        <v>193391.23</v>
      </c>
      <c r="M348" s="37">
        <v>192890.87</v>
      </c>
      <c r="N348" s="38">
        <v>173601.78</v>
      </c>
      <c r="O348" s="37">
        <f t="shared" si="35"/>
        <v>19789.450000000012</v>
      </c>
      <c r="P348" s="54" t="e">
        <f t="shared" si="36"/>
        <v>#VALUE!</v>
      </c>
      <c r="Q348" s="40">
        <f t="shared" si="37"/>
        <v>0.10232858025671594</v>
      </c>
      <c r="R348" s="37">
        <f t="shared" si="38"/>
        <v>500.36000000001513</v>
      </c>
      <c r="S348" s="41">
        <f t="shared" si="39"/>
        <v>2.5940056157142902E-3</v>
      </c>
      <c r="T348" s="37" t="e">
        <f>SUMIF('[1]JOBS MAR 15'!$E$8:$E$525,$E$16:$E$533,'[1]JOBS MAR 15'!$G$8:$G$525)</f>
        <v>#VALUE!</v>
      </c>
      <c r="U348" s="37" t="e">
        <f>SUMIF('[1]JOBS MAR 15'!$E$8:$E$525,$E$16:$E$533,'[1]JOBS MAR 15'!$H$8:$H$525)</f>
        <v>#VALUE!</v>
      </c>
      <c r="V348" s="37" t="e">
        <f>SUMIF('[1]JOBS MAR 15'!$E$8:$E$525,$E$16:$E$533,'[1]JOBS MAR 15'!$I$8:$I$525)</f>
        <v>#VALUE!</v>
      </c>
      <c r="W348" s="55" t="str">
        <f t="shared" si="40"/>
        <v xml:space="preserve"> </v>
      </c>
    </row>
    <row r="349" spans="2:23" x14ac:dyDescent="0.2">
      <c r="B349">
        <v>2835</v>
      </c>
      <c r="C349">
        <v>1</v>
      </c>
      <c r="D349" s="2" t="s">
        <v>745</v>
      </c>
      <c r="E349" s="50" t="s">
        <v>746</v>
      </c>
      <c r="F349" s="50">
        <v>2791451</v>
      </c>
      <c r="G349" s="50">
        <v>1</v>
      </c>
      <c r="H349" s="52" t="e">
        <f>SUMIF('[1]Build Detail'!$D$4:$D$521,$B$16:$B$533,'[1]Build Detail'!$H$4:$H$521)</f>
        <v>#VALUE!</v>
      </c>
      <c r="I349" s="52" t="e">
        <f>SUMIF('[1]Build Detail'!$D$4:$D$521,$B$16:$B$533,'[1]Build Detail'!$Q$4:$Q$521)</f>
        <v>#VALUE!</v>
      </c>
      <c r="J349" s="52" t="e">
        <f>SUMIF('[1]Build Detail'!$D$4:$D$521,$B$16:$B$533,'[1]Build Detail'!$T$4:$T$521)</f>
        <v>#VALUE!</v>
      </c>
      <c r="K349" s="53">
        <v>4281637.3100000005</v>
      </c>
      <c r="L349" s="37">
        <f t="shared" si="41"/>
        <v>120745.71</v>
      </c>
      <c r="M349" s="37">
        <v>119755.61</v>
      </c>
      <c r="N349" s="38">
        <v>107780.05</v>
      </c>
      <c r="O349" s="37">
        <f t="shared" si="35"/>
        <v>12965.660000000003</v>
      </c>
      <c r="P349" s="54" t="e">
        <f t="shared" si="36"/>
        <v>#VALUE!</v>
      </c>
      <c r="Q349" s="40">
        <f t="shared" si="37"/>
        <v>0.10737988123967306</v>
      </c>
      <c r="R349" s="37">
        <f t="shared" si="38"/>
        <v>990.10000000000582</v>
      </c>
      <c r="S349" s="41">
        <f t="shared" si="39"/>
        <v>8.2676711345715317E-3</v>
      </c>
      <c r="T349" s="37" t="e">
        <f>SUMIF('[1]JOBS MAR 15'!$E$8:$E$525,$E$16:$E$533,'[1]JOBS MAR 15'!$G$8:$G$525)</f>
        <v>#VALUE!</v>
      </c>
      <c r="U349" s="37" t="e">
        <f>SUMIF('[1]JOBS MAR 15'!$E$8:$E$525,$E$16:$E$533,'[1]JOBS MAR 15'!$H$8:$H$525)</f>
        <v>#VALUE!</v>
      </c>
      <c r="V349" s="37" t="e">
        <f>SUMIF('[1]JOBS MAR 15'!$E$8:$E$525,$E$16:$E$533,'[1]JOBS MAR 15'!$I$8:$I$525)</f>
        <v>#VALUE!</v>
      </c>
      <c r="W349" s="55" t="str">
        <f t="shared" si="40"/>
        <v xml:space="preserve"> </v>
      </c>
    </row>
    <row r="350" spans="2:23" x14ac:dyDescent="0.2">
      <c r="B350">
        <v>2853</v>
      </c>
      <c r="C350">
        <v>1</v>
      </c>
      <c r="D350" s="2" t="s">
        <v>747</v>
      </c>
      <c r="E350" s="50" t="s">
        <v>748</v>
      </c>
      <c r="F350" s="50">
        <v>2700125</v>
      </c>
      <c r="G350" s="50">
        <v>7</v>
      </c>
      <c r="H350" s="52" t="e">
        <f>SUMIF('[1]Build Detail'!$D$4:$D$521,$B$16:$B$533,'[1]Build Detail'!$H$4:$H$521)</f>
        <v>#VALUE!</v>
      </c>
      <c r="I350" s="52" t="e">
        <f>SUMIF('[1]Build Detail'!$D$4:$D$521,$B$16:$B$533,'[1]Build Detail'!$Q$4:$Q$521)</f>
        <v>#VALUE!</v>
      </c>
      <c r="J350" s="52" t="e">
        <f>SUMIF('[1]Build Detail'!$D$4:$D$521,$B$16:$B$533,'[1]Build Detail'!$T$4:$T$521)</f>
        <v>#VALUE!</v>
      </c>
      <c r="K350" s="53">
        <v>6225974.3199999984</v>
      </c>
      <c r="L350" s="37">
        <f t="shared" si="41"/>
        <v>175577.62</v>
      </c>
      <c r="M350" s="37">
        <v>175505.29</v>
      </c>
      <c r="N350" s="38">
        <v>157954.76</v>
      </c>
      <c r="O350" s="37">
        <f t="shared" si="35"/>
        <v>17622.859999999986</v>
      </c>
      <c r="P350" s="54" t="e">
        <f t="shared" si="36"/>
        <v>#VALUE!</v>
      </c>
      <c r="Q350" s="40">
        <f t="shared" si="37"/>
        <v>0.10037076479337165</v>
      </c>
      <c r="R350" s="37">
        <f t="shared" si="38"/>
        <v>72.329999999987194</v>
      </c>
      <c r="S350" s="41">
        <f t="shared" si="39"/>
        <v>4.1212432969961867E-4</v>
      </c>
      <c r="T350" s="37" t="e">
        <f>SUMIF('[1]JOBS MAR 15'!$E$8:$E$525,$E$16:$E$533,'[1]JOBS MAR 15'!$G$8:$G$525)</f>
        <v>#VALUE!</v>
      </c>
      <c r="U350" s="37" t="e">
        <f>SUMIF('[1]JOBS MAR 15'!$E$8:$E$525,$E$16:$E$533,'[1]JOBS MAR 15'!$H$8:$H$525)</f>
        <v>#VALUE!</v>
      </c>
      <c r="V350" s="37" t="e">
        <f>SUMIF('[1]JOBS MAR 15'!$E$8:$E$525,$E$16:$E$533,'[1]JOBS MAR 15'!$I$8:$I$525)</f>
        <v>#VALUE!</v>
      </c>
      <c r="W350" s="55" t="str">
        <f t="shared" si="40"/>
        <v xml:space="preserve"> </v>
      </c>
    </row>
    <row r="351" spans="2:23" x14ac:dyDescent="0.2">
      <c r="B351">
        <v>2854</v>
      </c>
      <c r="C351">
        <v>1</v>
      </c>
      <c r="D351" s="2" t="s">
        <v>749</v>
      </c>
      <c r="E351" s="50" t="s">
        <v>750</v>
      </c>
      <c r="F351" s="50">
        <v>2700126</v>
      </c>
      <c r="G351" s="50">
        <v>7</v>
      </c>
      <c r="H351" s="52" t="e">
        <f>SUMIF('[1]Build Detail'!$D$4:$D$521,$B$16:$B$533,'[1]Build Detail'!$H$4:$H$521)</f>
        <v>#VALUE!</v>
      </c>
      <c r="I351" s="52" t="e">
        <f>SUMIF('[1]Build Detail'!$D$4:$D$521,$B$16:$B$533,'[1]Build Detail'!$Q$4:$Q$521)</f>
        <v>#VALUE!</v>
      </c>
      <c r="J351" s="52" t="e">
        <f>SUMIF('[1]Build Detail'!$D$4:$D$521,$B$16:$B$533,'[1]Build Detail'!$T$4:$T$521)</f>
        <v>#VALUE!</v>
      </c>
      <c r="K351" s="53">
        <v>4650508.63</v>
      </c>
      <c r="L351" s="37">
        <f t="shared" si="41"/>
        <v>131148.19</v>
      </c>
      <c r="M351" s="37">
        <v>130402.38</v>
      </c>
      <c r="N351" s="38">
        <v>117362.14</v>
      </c>
      <c r="O351" s="37">
        <f t="shared" si="35"/>
        <v>13786.050000000003</v>
      </c>
      <c r="P351" s="54" t="e">
        <f t="shared" si="36"/>
        <v>#VALUE!</v>
      </c>
      <c r="Q351" s="40">
        <f t="shared" si="37"/>
        <v>0.10511811104674798</v>
      </c>
      <c r="R351" s="37">
        <f t="shared" si="38"/>
        <v>745.80999999999767</v>
      </c>
      <c r="S351" s="41">
        <f t="shared" si="39"/>
        <v>5.7192974545403055E-3</v>
      </c>
      <c r="T351" s="37" t="e">
        <f>SUMIF('[1]JOBS MAR 15'!$E$8:$E$525,$E$16:$E$533,'[1]JOBS MAR 15'!$G$8:$G$525)</f>
        <v>#VALUE!</v>
      </c>
      <c r="U351" s="37" t="e">
        <f>SUMIF('[1]JOBS MAR 15'!$E$8:$E$525,$E$16:$E$533,'[1]JOBS MAR 15'!$H$8:$H$525)</f>
        <v>#VALUE!</v>
      </c>
      <c r="V351" s="37" t="e">
        <f>SUMIF('[1]JOBS MAR 15'!$E$8:$E$525,$E$16:$E$533,'[1]JOBS MAR 15'!$I$8:$I$525)</f>
        <v>#VALUE!</v>
      </c>
      <c r="W351" s="55" t="str">
        <f t="shared" si="40"/>
        <v xml:space="preserve"> </v>
      </c>
    </row>
    <row r="352" spans="2:23" x14ac:dyDescent="0.2">
      <c r="B352">
        <v>2856</v>
      </c>
      <c r="C352">
        <v>1</v>
      </c>
      <c r="D352" s="2" t="s">
        <v>751</v>
      </c>
      <c r="E352" s="50" t="s">
        <v>752</v>
      </c>
      <c r="F352" s="50">
        <v>2700127</v>
      </c>
      <c r="G352" s="50">
        <v>7</v>
      </c>
      <c r="H352" s="52" t="e">
        <f>SUMIF('[1]Build Detail'!$D$4:$D$521,$B$16:$B$533,'[1]Build Detail'!$H$4:$H$521)</f>
        <v>#VALUE!</v>
      </c>
      <c r="I352" s="52" t="e">
        <f>SUMIF('[1]Build Detail'!$D$4:$D$521,$B$16:$B$533,'[1]Build Detail'!$Q$4:$Q$521)</f>
        <v>#VALUE!</v>
      </c>
      <c r="J352" s="52" t="e">
        <f>SUMIF('[1]Build Detail'!$D$4:$D$521,$B$16:$B$533,'[1]Build Detail'!$T$4:$T$521)</f>
        <v>#VALUE!</v>
      </c>
      <c r="K352" s="53">
        <v>3233546.5800000005</v>
      </c>
      <c r="L352" s="37">
        <f t="shared" si="41"/>
        <v>91188.69</v>
      </c>
      <c r="M352" s="37">
        <v>91532.28</v>
      </c>
      <c r="N352" s="38">
        <v>82379.05</v>
      </c>
      <c r="O352" s="37">
        <f t="shared" si="35"/>
        <v>8809.64</v>
      </c>
      <c r="P352" s="54" t="e">
        <f t="shared" si="36"/>
        <v>#VALUE!</v>
      </c>
      <c r="Q352" s="40">
        <f t="shared" si="37"/>
        <v>9.6608910600645748E-2</v>
      </c>
      <c r="R352" s="37">
        <f t="shared" si="38"/>
        <v>-343.58999999999651</v>
      </c>
      <c r="S352" s="41">
        <f t="shared" si="39"/>
        <v>-3.7537576907293963E-3</v>
      </c>
      <c r="T352" s="37" t="e">
        <f>SUMIF('[1]JOBS MAR 15'!$E$8:$E$525,$E$16:$E$533,'[1]JOBS MAR 15'!$G$8:$G$525)</f>
        <v>#VALUE!</v>
      </c>
      <c r="U352" s="37" t="e">
        <f>SUMIF('[1]JOBS MAR 15'!$E$8:$E$525,$E$16:$E$533,'[1]JOBS MAR 15'!$H$8:$H$525)</f>
        <v>#VALUE!</v>
      </c>
      <c r="V352" s="37" t="e">
        <f>SUMIF('[1]JOBS MAR 15'!$E$8:$E$525,$E$16:$E$533,'[1]JOBS MAR 15'!$I$8:$I$525)</f>
        <v>#VALUE!</v>
      </c>
      <c r="W352" s="55" t="str">
        <f t="shared" si="40"/>
        <v xml:space="preserve"> </v>
      </c>
    </row>
    <row r="353" spans="2:23" x14ac:dyDescent="0.2">
      <c r="B353">
        <v>2859</v>
      </c>
      <c r="C353">
        <v>1</v>
      </c>
      <c r="D353" s="2" t="s">
        <v>753</v>
      </c>
      <c r="E353" s="50" t="s">
        <v>754</v>
      </c>
      <c r="F353" s="50">
        <v>2700128</v>
      </c>
      <c r="G353" s="50">
        <v>7</v>
      </c>
      <c r="H353" s="52" t="e">
        <f>SUMIF('[1]Build Detail'!$D$4:$D$521,$B$16:$B$533,'[1]Build Detail'!$H$4:$H$521)</f>
        <v>#VALUE!</v>
      </c>
      <c r="I353" s="52" t="e">
        <f>SUMIF('[1]Build Detail'!$D$4:$D$521,$B$16:$B$533,'[1]Build Detail'!$Q$4:$Q$521)</f>
        <v>#VALUE!</v>
      </c>
      <c r="J353" s="52" t="e">
        <f>SUMIF('[1]Build Detail'!$D$4:$D$521,$B$16:$B$533,'[1]Build Detail'!$T$4:$T$521)</f>
        <v>#VALUE!</v>
      </c>
      <c r="K353" s="53">
        <v>11902739.830000002</v>
      </c>
      <c r="L353" s="37">
        <f t="shared" si="41"/>
        <v>335667.11</v>
      </c>
      <c r="M353" s="37">
        <v>333249.39</v>
      </c>
      <c r="N353" s="38">
        <v>299924.45</v>
      </c>
      <c r="O353" s="37">
        <f t="shared" si="35"/>
        <v>35742.659999999974</v>
      </c>
      <c r="P353" s="54" t="e">
        <f t="shared" si="36"/>
        <v>#VALUE!</v>
      </c>
      <c r="Q353" s="40">
        <f t="shared" si="37"/>
        <v>0.10648246115027467</v>
      </c>
      <c r="R353" s="37">
        <f t="shared" si="38"/>
        <v>2417.7199999999721</v>
      </c>
      <c r="S353" s="41">
        <f t="shared" si="39"/>
        <v>7.2549870233820143E-3</v>
      </c>
      <c r="T353" s="37" t="e">
        <f>SUMIF('[1]JOBS MAR 15'!$E$8:$E$525,$E$16:$E$533,'[1]JOBS MAR 15'!$G$8:$G$525)</f>
        <v>#VALUE!</v>
      </c>
      <c r="U353" s="37" t="e">
        <f>SUMIF('[1]JOBS MAR 15'!$E$8:$E$525,$E$16:$E$533,'[1]JOBS MAR 15'!$H$8:$H$525)</f>
        <v>#VALUE!</v>
      </c>
      <c r="V353" s="37" t="e">
        <f>SUMIF('[1]JOBS MAR 15'!$E$8:$E$525,$E$16:$E$533,'[1]JOBS MAR 15'!$I$8:$I$525)</f>
        <v>#VALUE!</v>
      </c>
      <c r="W353" s="55" t="str">
        <f t="shared" si="40"/>
        <v xml:space="preserve"> </v>
      </c>
    </row>
    <row r="354" spans="2:23" x14ac:dyDescent="0.2">
      <c r="B354">
        <v>2860</v>
      </c>
      <c r="C354">
        <v>1</v>
      </c>
      <c r="D354" s="2" t="s">
        <v>755</v>
      </c>
      <c r="E354" s="50" t="s">
        <v>756</v>
      </c>
      <c r="F354" s="50">
        <v>2700130</v>
      </c>
      <c r="G354" s="50">
        <v>1</v>
      </c>
      <c r="H354" s="52" t="e">
        <f>SUMIF('[1]Build Detail'!$D$4:$D$521,$B$16:$B$533,'[1]Build Detail'!$H$4:$H$521)</f>
        <v>#VALUE!</v>
      </c>
      <c r="I354" s="52" t="e">
        <f>SUMIF('[1]Build Detail'!$D$4:$D$521,$B$16:$B$533,'[1]Build Detail'!$Q$4:$Q$521)</f>
        <v>#VALUE!</v>
      </c>
      <c r="J354" s="52" t="e">
        <f>SUMIF('[1]Build Detail'!$D$4:$D$521,$B$16:$B$533,'[1]Build Detail'!$T$4:$T$521)</f>
        <v>#VALUE!</v>
      </c>
      <c r="K354" s="53">
        <v>9002715.7800000012</v>
      </c>
      <c r="L354" s="37">
        <f t="shared" si="41"/>
        <v>253884.03</v>
      </c>
      <c r="M354" s="37">
        <v>257740.33</v>
      </c>
      <c r="N354" s="38">
        <v>231966.3</v>
      </c>
      <c r="O354" s="37">
        <f t="shared" si="35"/>
        <v>21917.73000000001</v>
      </c>
      <c r="P354" s="54" t="e">
        <f t="shared" si="36"/>
        <v>#VALUE!</v>
      </c>
      <c r="Q354" s="40">
        <f t="shared" si="37"/>
        <v>8.6329691552477758E-2</v>
      </c>
      <c r="R354" s="37">
        <f t="shared" si="38"/>
        <v>-3856.2999999999884</v>
      </c>
      <c r="S354" s="41">
        <f t="shared" si="39"/>
        <v>-1.4961958029618371E-2</v>
      </c>
      <c r="T354" s="37" t="e">
        <f>SUMIF('[1]JOBS MAR 15'!$E$8:$E$525,$E$16:$E$533,'[1]JOBS MAR 15'!$G$8:$G$525)</f>
        <v>#VALUE!</v>
      </c>
      <c r="U354" s="37" t="e">
        <f>SUMIF('[1]JOBS MAR 15'!$E$8:$E$525,$E$16:$E$533,'[1]JOBS MAR 15'!$H$8:$H$525)</f>
        <v>#VALUE!</v>
      </c>
      <c r="V354" s="37" t="e">
        <f>SUMIF('[1]JOBS MAR 15'!$E$8:$E$525,$E$16:$E$533,'[1]JOBS MAR 15'!$I$8:$I$525)</f>
        <v>#VALUE!</v>
      </c>
      <c r="W354" s="55" t="str">
        <f t="shared" si="40"/>
        <v xml:space="preserve"> </v>
      </c>
    </row>
    <row r="355" spans="2:23" x14ac:dyDescent="0.2">
      <c r="B355">
        <v>2884</v>
      </c>
      <c r="C355">
        <v>1</v>
      </c>
      <c r="D355" s="2" t="s">
        <v>757</v>
      </c>
      <c r="E355" s="50" t="s">
        <v>758</v>
      </c>
      <c r="F355" s="50">
        <v>2700132</v>
      </c>
      <c r="G355" s="50">
        <v>7</v>
      </c>
      <c r="H355" s="52" t="e">
        <f>SUMIF('[1]Build Detail'!$D$4:$D$521,$B$16:$B$533,'[1]Build Detail'!$H$4:$H$521)</f>
        <v>#VALUE!</v>
      </c>
      <c r="I355" s="52" t="e">
        <f>SUMIF('[1]Build Detail'!$D$4:$D$521,$B$16:$B$533,'[1]Build Detail'!$Q$4:$Q$521)</f>
        <v>#VALUE!</v>
      </c>
      <c r="J355" s="52" t="e">
        <f>SUMIF('[1]Build Detail'!$D$4:$D$521,$B$16:$B$533,'[1]Build Detail'!$T$4:$T$521)</f>
        <v>#VALUE!</v>
      </c>
      <c r="K355" s="53">
        <v>3337613.31</v>
      </c>
      <c r="L355" s="37">
        <f t="shared" si="41"/>
        <v>94123.46</v>
      </c>
      <c r="M355" s="37">
        <v>95460.160000000003</v>
      </c>
      <c r="N355" s="38">
        <v>85914.14</v>
      </c>
      <c r="O355" s="37">
        <f t="shared" si="35"/>
        <v>8209.320000000007</v>
      </c>
      <c r="P355" s="54" t="e">
        <f t="shared" si="36"/>
        <v>#VALUE!</v>
      </c>
      <c r="Q355" s="40">
        <f t="shared" si="37"/>
        <v>8.7218638158860787E-2</v>
      </c>
      <c r="R355" s="37">
        <f t="shared" si="38"/>
        <v>-1336.6999999999971</v>
      </c>
      <c r="S355" s="41">
        <f t="shared" si="39"/>
        <v>-1.4002700184034858E-2</v>
      </c>
      <c r="T355" s="37" t="e">
        <f>SUMIF('[1]JOBS MAR 15'!$E$8:$E$525,$E$16:$E$533,'[1]JOBS MAR 15'!$G$8:$G$525)</f>
        <v>#VALUE!</v>
      </c>
      <c r="U355" s="37" t="e">
        <f>SUMIF('[1]JOBS MAR 15'!$E$8:$E$525,$E$16:$E$533,'[1]JOBS MAR 15'!$H$8:$H$525)</f>
        <v>#VALUE!</v>
      </c>
      <c r="V355" s="37" t="e">
        <f>SUMIF('[1]JOBS MAR 15'!$E$8:$E$525,$E$16:$E$533,'[1]JOBS MAR 15'!$I$8:$I$525)</f>
        <v>#VALUE!</v>
      </c>
      <c r="W355" s="55" t="str">
        <f t="shared" si="40"/>
        <v xml:space="preserve"> </v>
      </c>
    </row>
    <row r="356" spans="2:23" x14ac:dyDescent="0.2">
      <c r="B356">
        <v>2886</v>
      </c>
      <c r="C356">
        <v>1</v>
      </c>
      <c r="D356" s="2" t="s">
        <v>759</v>
      </c>
      <c r="E356" s="50" t="s">
        <v>760</v>
      </c>
      <c r="F356" s="50">
        <v>2700148</v>
      </c>
      <c r="G356" s="50">
        <v>1</v>
      </c>
      <c r="H356" s="52" t="e">
        <f>SUMIF('[1]Build Detail'!$D$4:$D$521,$B$16:$B$533,'[1]Build Detail'!$H$4:$H$521)</f>
        <v>#VALUE!</v>
      </c>
      <c r="I356" s="52" t="e">
        <f>SUMIF('[1]Build Detail'!$D$4:$D$521,$B$16:$B$533,'[1]Build Detail'!$Q$4:$Q$521)</f>
        <v>#VALUE!</v>
      </c>
      <c r="J356" s="52" t="e">
        <f>SUMIF('[1]Build Detail'!$D$4:$D$521,$B$16:$B$533,'[1]Build Detail'!$T$4:$T$521)</f>
        <v>#VALUE!</v>
      </c>
      <c r="K356" s="53">
        <v>2817211.52</v>
      </c>
      <c r="L356" s="37">
        <f t="shared" si="41"/>
        <v>79447.69</v>
      </c>
      <c r="M356" s="37">
        <v>77859.520000000004</v>
      </c>
      <c r="N356" s="38">
        <v>70073.570000000007</v>
      </c>
      <c r="O356" s="37">
        <f t="shared" si="35"/>
        <v>9374.1199999999953</v>
      </c>
      <c r="P356" s="54" t="e">
        <f t="shared" si="36"/>
        <v>#VALUE!</v>
      </c>
      <c r="Q356" s="40">
        <f t="shared" si="37"/>
        <v>0.1179910957763529</v>
      </c>
      <c r="R356" s="37">
        <f t="shared" si="38"/>
        <v>1588.1699999999983</v>
      </c>
      <c r="S356" s="41">
        <f t="shared" si="39"/>
        <v>2.0397890970815107E-2</v>
      </c>
      <c r="T356" s="37" t="e">
        <f>SUMIF('[1]JOBS MAR 15'!$E$8:$E$525,$E$16:$E$533,'[1]JOBS MAR 15'!$G$8:$G$525)</f>
        <v>#VALUE!</v>
      </c>
      <c r="U356" s="37" t="e">
        <f>SUMIF('[1]JOBS MAR 15'!$E$8:$E$525,$E$16:$E$533,'[1]JOBS MAR 15'!$H$8:$H$525)</f>
        <v>#VALUE!</v>
      </c>
      <c r="V356" s="37" t="e">
        <f>SUMIF('[1]JOBS MAR 15'!$E$8:$E$525,$E$16:$E$533,'[1]JOBS MAR 15'!$I$8:$I$525)</f>
        <v>#VALUE!</v>
      </c>
      <c r="W356" s="55" t="str">
        <f t="shared" si="40"/>
        <v xml:space="preserve"> </v>
      </c>
    </row>
    <row r="357" spans="2:23" x14ac:dyDescent="0.2">
      <c r="B357">
        <v>2888</v>
      </c>
      <c r="C357">
        <v>1</v>
      </c>
      <c r="D357" s="2" t="s">
        <v>761</v>
      </c>
      <c r="E357" s="50" t="s">
        <v>762</v>
      </c>
      <c r="F357" s="50">
        <v>2700150</v>
      </c>
      <c r="G357" s="50">
        <v>7</v>
      </c>
      <c r="H357" s="52" t="e">
        <f>SUMIF('[1]Build Detail'!$D$4:$D$521,$B$16:$B$533,'[1]Build Detail'!$H$4:$H$521)</f>
        <v>#VALUE!</v>
      </c>
      <c r="I357" s="52" t="e">
        <f>SUMIF('[1]Build Detail'!$D$4:$D$521,$B$16:$B$533,'[1]Build Detail'!$Q$4:$Q$521)</f>
        <v>#VALUE!</v>
      </c>
      <c r="J357" s="52" t="e">
        <f>SUMIF('[1]Build Detail'!$D$4:$D$521,$B$16:$B$533,'[1]Build Detail'!$T$4:$T$521)</f>
        <v>#VALUE!</v>
      </c>
      <c r="K357" s="53">
        <v>3233375.01</v>
      </c>
      <c r="L357" s="37">
        <f t="shared" si="41"/>
        <v>91183.85</v>
      </c>
      <c r="M357" s="37">
        <v>91196.13</v>
      </c>
      <c r="N357" s="38">
        <v>82076.52</v>
      </c>
      <c r="O357" s="37">
        <f t="shared" si="35"/>
        <v>9107.3300000000017</v>
      </c>
      <c r="P357" s="54" t="e">
        <f t="shared" si="36"/>
        <v>#VALUE!</v>
      </c>
      <c r="Q357" s="40">
        <f t="shared" si="37"/>
        <v>9.9878761425405943E-2</v>
      </c>
      <c r="R357" s="37">
        <f t="shared" si="38"/>
        <v>-12.279999999998836</v>
      </c>
      <c r="S357" s="41">
        <f t="shared" si="39"/>
        <v>-1.3465483677869703E-4</v>
      </c>
      <c r="T357" s="37" t="e">
        <f>SUMIF('[1]JOBS MAR 15'!$E$8:$E$525,$E$16:$E$533,'[1]JOBS MAR 15'!$G$8:$G$525)</f>
        <v>#VALUE!</v>
      </c>
      <c r="U357" s="37" t="e">
        <f>SUMIF('[1]JOBS MAR 15'!$E$8:$E$525,$E$16:$E$533,'[1]JOBS MAR 15'!$H$8:$H$525)</f>
        <v>#VALUE!</v>
      </c>
      <c r="V357" s="37" t="e">
        <f>SUMIF('[1]JOBS MAR 15'!$E$8:$E$525,$E$16:$E$533,'[1]JOBS MAR 15'!$I$8:$I$525)</f>
        <v>#VALUE!</v>
      </c>
      <c r="W357" s="55" t="str">
        <f t="shared" si="40"/>
        <v xml:space="preserve"> </v>
      </c>
    </row>
    <row r="358" spans="2:23" x14ac:dyDescent="0.2">
      <c r="B358">
        <v>2889</v>
      </c>
      <c r="C358">
        <v>1</v>
      </c>
      <c r="D358" s="2" t="s">
        <v>763</v>
      </c>
      <c r="E358" s="50" t="s">
        <v>764</v>
      </c>
      <c r="F358" s="50">
        <v>2700162</v>
      </c>
      <c r="G358" s="50">
        <v>7</v>
      </c>
      <c r="H358" s="52" t="e">
        <f>SUMIF('[1]Build Detail'!$D$4:$D$521,$B$16:$B$533,'[1]Build Detail'!$H$4:$H$521)</f>
        <v>#VALUE!</v>
      </c>
      <c r="I358" s="52" t="e">
        <f>SUMIF('[1]Build Detail'!$D$4:$D$521,$B$16:$B$533,'[1]Build Detail'!$Q$4:$Q$521)</f>
        <v>#VALUE!</v>
      </c>
      <c r="J358" s="52" t="e">
        <f>SUMIF('[1]Build Detail'!$D$4:$D$521,$B$16:$B$533,'[1]Build Detail'!$T$4:$T$521)</f>
        <v>#VALUE!</v>
      </c>
      <c r="K358" s="53">
        <v>3947387.24</v>
      </c>
      <c r="L358" s="37">
        <f t="shared" si="41"/>
        <v>111319.58</v>
      </c>
      <c r="M358" s="37">
        <v>109532.06</v>
      </c>
      <c r="N358" s="38">
        <v>98578.85</v>
      </c>
      <c r="O358" s="37">
        <f t="shared" si="35"/>
        <v>12740.729999999996</v>
      </c>
      <c r="P358" s="54" t="e">
        <f t="shared" si="36"/>
        <v>#VALUE!</v>
      </c>
      <c r="Q358" s="40">
        <f t="shared" si="37"/>
        <v>0.11445183318154807</v>
      </c>
      <c r="R358" s="37">
        <f t="shared" si="38"/>
        <v>1787.5200000000041</v>
      </c>
      <c r="S358" s="41">
        <f t="shared" si="39"/>
        <v>1.6319605419636993E-2</v>
      </c>
      <c r="T358" s="37" t="e">
        <f>SUMIF('[1]JOBS MAR 15'!$E$8:$E$525,$E$16:$E$533,'[1]JOBS MAR 15'!$G$8:$G$525)</f>
        <v>#VALUE!</v>
      </c>
      <c r="U358" s="37" t="e">
        <f>SUMIF('[1]JOBS MAR 15'!$E$8:$E$525,$E$16:$E$533,'[1]JOBS MAR 15'!$H$8:$H$525)</f>
        <v>#VALUE!</v>
      </c>
      <c r="V358" s="37" t="e">
        <f>SUMIF('[1]JOBS MAR 15'!$E$8:$E$525,$E$16:$E$533,'[1]JOBS MAR 15'!$I$8:$I$525)</f>
        <v>#VALUE!</v>
      </c>
      <c r="W358" s="55" t="str">
        <f t="shared" si="40"/>
        <v xml:space="preserve"> </v>
      </c>
    </row>
    <row r="359" spans="2:23" x14ac:dyDescent="0.2">
      <c r="B359">
        <v>2890</v>
      </c>
      <c r="C359">
        <v>1</v>
      </c>
      <c r="D359" s="2" t="s">
        <v>765</v>
      </c>
      <c r="E359" s="50" t="s">
        <v>766</v>
      </c>
      <c r="F359" s="50">
        <v>2700163</v>
      </c>
      <c r="G359" s="50">
        <v>7</v>
      </c>
      <c r="H359" s="52" t="e">
        <f>SUMIF('[1]Build Detail'!$D$4:$D$521,$B$16:$B$533,'[1]Build Detail'!$H$4:$H$521)</f>
        <v>#VALUE!</v>
      </c>
      <c r="I359" s="52" t="e">
        <f>SUMIF('[1]Build Detail'!$D$4:$D$521,$B$16:$B$533,'[1]Build Detail'!$Q$4:$Q$521)</f>
        <v>#VALUE!</v>
      </c>
      <c r="J359" s="52" t="e">
        <f>SUMIF('[1]Build Detail'!$D$4:$D$521,$B$16:$B$533,'[1]Build Detail'!$T$4:$T$521)</f>
        <v>#VALUE!</v>
      </c>
      <c r="K359" s="53">
        <v>3786866.1999999997</v>
      </c>
      <c r="L359" s="37">
        <f t="shared" si="41"/>
        <v>106792.76</v>
      </c>
      <c r="M359" s="37">
        <v>105570.05</v>
      </c>
      <c r="N359" s="38">
        <v>95013.05</v>
      </c>
      <c r="O359" s="37">
        <f t="shared" si="35"/>
        <v>11779.709999999992</v>
      </c>
      <c r="P359" s="54" t="e">
        <f t="shared" si="36"/>
        <v>#VALUE!</v>
      </c>
      <c r="Q359" s="40">
        <f t="shared" si="37"/>
        <v>0.11030438767571878</v>
      </c>
      <c r="R359" s="37">
        <f t="shared" si="38"/>
        <v>1222.7099999999919</v>
      </c>
      <c r="S359" s="41">
        <f t="shared" si="39"/>
        <v>1.1581978032595341E-2</v>
      </c>
      <c r="T359" s="37" t="e">
        <f>SUMIF('[1]JOBS MAR 15'!$E$8:$E$525,$E$16:$E$533,'[1]JOBS MAR 15'!$G$8:$G$525)</f>
        <v>#VALUE!</v>
      </c>
      <c r="U359" s="37" t="e">
        <f>SUMIF('[1]JOBS MAR 15'!$E$8:$E$525,$E$16:$E$533,'[1]JOBS MAR 15'!$H$8:$H$525)</f>
        <v>#VALUE!</v>
      </c>
      <c r="V359" s="37" t="e">
        <f>SUMIF('[1]JOBS MAR 15'!$E$8:$E$525,$E$16:$E$533,'[1]JOBS MAR 15'!$I$8:$I$525)</f>
        <v>#VALUE!</v>
      </c>
      <c r="W359" s="55" t="str">
        <f t="shared" si="40"/>
        <v xml:space="preserve"> </v>
      </c>
    </row>
    <row r="360" spans="2:23" x14ac:dyDescent="0.2">
      <c r="B360">
        <v>2895</v>
      </c>
      <c r="C360">
        <v>1</v>
      </c>
      <c r="D360" s="2" t="s">
        <v>767</v>
      </c>
      <c r="E360" s="50" t="s">
        <v>768</v>
      </c>
      <c r="F360" s="50">
        <v>2700231</v>
      </c>
      <c r="G360" s="50">
        <v>1</v>
      </c>
      <c r="H360" s="52" t="e">
        <f>SUMIF('[1]Build Detail'!$D$4:$D$521,$B$16:$B$533,'[1]Build Detail'!$H$4:$H$521)</f>
        <v>#VALUE!</v>
      </c>
      <c r="I360" s="52" t="e">
        <f>SUMIF('[1]Build Detail'!$D$4:$D$521,$B$16:$B$533,'[1]Build Detail'!$Q$4:$Q$521)</f>
        <v>#VALUE!</v>
      </c>
      <c r="J360" s="52" t="e">
        <f>SUMIF('[1]Build Detail'!$D$4:$D$521,$B$16:$B$533,'[1]Build Detail'!$T$4:$T$521)</f>
        <v>#VALUE!</v>
      </c>
      <c r="K360" s="53">
        <v>8188433.7800000012</v>
      </c>
      <c r="L360" s="37">
        <f t="shared" si="41"/>
        <v>230920.6</v>
      </c>
      <c r="M360" s="37">
        <v>231257.3</v>
      </c>
      <c r="N360" s="38">
        <v>208131.57</v>
      </c>
      <c r="O360" s="37">
        <f t="shared" si="35"/>
        <v>22789.03</v>
      </c>
      <c r="P360" s="54" t="e">
        <f t="shared" si="36"/>
        <v>#VALUE!</v>
      </c>
      <c r="Q360" s="40">
        <f t="shared" si="37"/>
        <v>9.8687730761136072E-2</v>
      </c>
      <c r="R360" s="37">
        <f t="shared" si="38"/>
        <v>-336.69999999998254</v>
      </c>
      <c r="S360" s="41">
        <f t="shared" si="39"/>
        <v>-1.4559540390724208E-3</v>
      </c>
      <c r="T360" s="37" t="e">
        <f>SUMIF('[1]JOBS MAR 15'!$E$8:$E$525,$E$16:$E$533,'[1]JOBS MAR 15'!$G$8:$G$525)</f>
        <v>#VALUE!</v>
      </c>
      <c r="U360" s="37" t="e">
        <f>SUMIF('[1]JOBS MAR 15'!$E$8:$E$525,$E$16:$E$533,'[1]JOBS MAR 15'!$H$8:$H$525)</f>
        <v>#VALUE!</v>
      </c>
      <c r="V360" s="37" t="e">
        <f>SUMIF('[1]JOBS MAR 15'!$E$8:$E$525,$E$16:$E$533,'[1]JOBS MAR 15'!$I$8:$I$525)</f>
        <v>#VALUE!</v>
      </c>
      <c r="W360" s="55" t="str">
        <f t="shared" si="40"/>
        <v xml:space="preserve"> </v>
      </c>
    </row>
    <row r="361" spans="2:23" x14ac:dyDescent="0.2">
      <c r="B361">
        <v>2897</v>
      </c>
      <c r="C361">
        <v>1</v>
      </c>
      <c r="D361" s="2" t="s">
        <v>769</v>
      </c>
      <c r="E361" s="50" t="s">
        <v>770</v>
      </c>
      <c r="F361" s="50">
        <v>2700182</v>
      </c>
      <c r="G361" s="50">
        <v>7</v>
      </c>
      <c r="H361" s="52" t="e">
        <f>SUMIF('[1]Build Detail'!$D$4:$D$521,$B$16:$B$533,'[1]Build Detail'!$H$4:$H$521)</f>
        <v>#VALUE!</v>
      </c>
      <c r="I361" s="52" t="e">
        <f>SUMIF('[1]Build Detail'!$D$4:$D$521,$B$16:$B$533,'[1]Build Detail'!$Q$4:$Q$521)</f>
        <v>#VALUE!</v>
      </c>
      <c r="J361" s="52" t="e">
        <f>SUMIF('[1]Build Detail'!$D$4:$D$521,$B$16:$B$533,'[1]Build Detail'!$T$4:$T$521)</f>
        <v>#VALUE!</v>
      </c>
      <c r="K361" s="53">
        <v>8344954.9299999997</v>
      </c>
      <c r="L361" s="37">
        <f t="shared" si="41"/>
        <v>235334.63</v>
      </c>
      <c r="M361" s="37">
        <v>237548.95</v>
      </c>
      <c r="N361" s="38">
        <v>213794.06</v>
      </c>
      <c r="O361" s="37">
        <f t="shared" si="35"/>
        <v>21540.570000000007</v>
      </c>
      <c r="P361" s="54" t="e">
        <f t="shared" si="36"/>
        <v>#VALUE!</v>
      </c>
      <c r="Q361" s="40">
        <f t="shared" si="37"/>
        <v>9.1531662807127059E-2</v>
      </c>
      <c r="R361" s="37">
        <f t="shared" si="38"/>
        <v>-2214.320000000007</v>
      </c>
      <c r="S361" s="41">
        <f t="shared" si="39"/>
        <v>-9.3215314148936759E-3</v>
      </c>
      <c r="T361" s="37" t="e">
        <f>SUMIF('[1]JOBS MAR 15'!$E$8:$E$525,$E$16:$E$533,'[1]JOBS MAR 15'!$G$8:$G$525)</f>
        <v>#VALUE!</v>
      </c>
      <c r="U361" s="37" t="e">
        <f>SUMIF('[1]JOBS MAR 15'!$E$8:$E$525,$E$16:$E$533,'[1]JOBS MAR 15'!$H$8:$H$525)</f>
        <v>#VALUE!</v>
      </c>
      <c r="V361" s="37" t="e">
        <f>SUMIF('[1]JOBS MAR 15'!$E$8:$E$525,$E$16:$E$533,'[1]JOBS MAR 15'!$I$8:$I$525)</f>
        <v>#VALUE!</v>
      </c>
      <c r="W361" s="55" t="str">
        <f t="shared" si="40"/>
        <v xml:space="preserve"> </v>
      </c>
    </row>
    <row r="362" spans="2:23" x14ac:dyDescent="0.2">
      <c r="B362">
        <v>2898</v>
      </c>
      <c r="C362">
        <v>1</v>
      </c>
      <c r="D362" s="2" t="s">
        <v>771</v>
      </c>
      <c r="E362" s="50" t="s">
        <v>772</v>
      </c>
      <c r="F362" s="50">
        <v>2700183</v>
      </c>
      <c r="G362" s="50">
        <v>1</v>
      </c>
      <c r="H362" s="52" t="e">
        <f>SUMIF('[1]Build Detail'!$D$4:$D$521,$B$16:$B$533,'[1]Build Detail'!$H$4:$H$521)</f>
        <v>#VALUE!</v>
      </c>
      <c r="I362" s="52" t="e">
        <f>SUMIF('[1]Build Detail'!$D$4:$D$521,$B$16:$B$533,'[1]Build Detail'!$Q$4:$Q$521)</f>
        <v>#VALUE!</v>
      </c>
      <c r="J362" s="52" t="e">
        <f>SUMIF('[1]Build Detail'!$D$4:$D$521,$B$16:$B$533,'[1]Build Detail'!$T$4:$T$521)</f>
        <v>#VALUE!</v>
      </c>
      <c r="K362" s="53">
        <v>4223773.9700000007</v>
      </c>
      <c r="L362" s="37">
        <f t="shared" si="41"/>
        <v>119113.92</v>
      </c>
      <c r="M362" s="37">
        <v>119071.79</v>
      </c>
      <c r="N362" s="38">
        <v>107164.61</v>
      </c>
      <c r="O362" s="37">
        <f t="shared" si="35"/>
        <v>11949.309999999998</v>
      </c>
      <c r="P362" s="54" t="e">
        <f t="shared" si="36"/>
        <v>#VALUE!</v>
      </c>
      <c r="Q362" s="40">
        <f t="shared" si="37"/>
        <v>0.10031833391093163</v>
      </c>
      <c r="R362" s="37">
        <f t="shared" si="38"/>
        <v>42.130000000004657</v>
      </c>
      <c r="S362" s="41">
        <f t="shared" si="39"/>
        <v>3.5382016176967407E-4</v>
      </c>
      <c r="T362" s="37" t="e">
        <f>SUMIF('[1]JOBS MAR 15'!$E$8:$E$525,$E$16:$E$533,'[1]JOBS MAR 15'!$G$8:$G$525)</f>
        <v>#VALUE!</v>
      </c>
      <c r="U362" s="37" t="e">
        <f>SUMIF('[1]JOBS MAR 15'!$E$8:$E$525,$E$16:$E$533,'[1]JOBS MAR 15'!$H$8:$H$525)</f>
        <v>#VALUE!</v>
      </c>
      <c r="V362" s="37" t="e">
        <f>SUMIF('[1]JOBS MAR 15'!$E$8:$E$525,$E$16:$E$533,'[1]JOBS MAR 15'!$I$8:$I$525)</f>
        <v>#VALUE!</v>
      </c>
      <c r="W362" s="55" t="str">
        <f t="shared" si="40"/>
        <v xml:space="preserve"> </v>
      </c>
    </row>
    <row r="363" spans="2:23" x14ac:dyDescent="0.2">
      <c r="B363">
        <v>2899</v>
      </c>
      <c r="C363">
        <v>1</v>
      </c>
      <c r="D363" s="2" t="s">
        <v>773</v>
      </c>
      <c r="E363" s="50" t="s">
        <v>774</v>
      </c>
      <c r="F363" s="50">
        <v>2700287</v>
      </c>
      <c r="G363" s="50">
        <v>1</v>
      </c>
      <c r="H363" s="52" t="e">
        <f>SUMIF('[1]Build Detail'!$D$4:$D$521,$B$16:$B$533,'[1]Build Detail'!$H$4:$H$521)</f>
        <v>#VALUE!</v>
      </c>
      <c r="I363" s="52" t="e">
        <f>SUMIF('[1]Build Detail'!$D$4:$D$521,$B$16:$B$533,'[1]Build Detail'!$Q$4:$Q$521)</f>
        <v>#VALUE!</v>
      </c>
      <c r="J363" s="52" t="e">
        <f>SUMIF('[1]Build Detail'!$D$4:$D$521,$B$16:$B$533,'[1]Build Detail'!$T$4:$T$521)</f>
        <v>#VALUE!</v>
      </c>
      <c r="K363" s="53">
        <v>10095879.660000004</v>
      </c>
      <c r="L363" s="37">
        <f t="shared" si="41"/>
        <v>284712.15000000002</v>
      </c>
      <c r="M363" s="37">
        <v>284006.78000000003</v>
      </c>
      <c r="N363" s="38">
        <v>255606.1</v>
      </c>
      <c r="O363" s="37">
        <f t="shared" si="35"/>
        <v>29106.050000000017</v>
      </c>
      <c r="P363" s="54" t="e">
        <f t="shared" si="36"/>
        <v>#VALUE!</v>
      </c>
      <c r="Q363" s="40">
        <f t="shared" si="37"/>
        <v>0.10222974326877168</v>
      </c>
      <c r="R363" s="37">
        <f t="shared" si="38"/>
        <v>705.36999999999534</v>
      </c>
      <c r="S363" s="41">
        <f t="shared" si="39"/>
        <v>2.4836378906165383E-3</v>
      </c>
      <c r="T363" s="37" t="e">
        <f>SUMIF('[1]JOBS MAR 15'!$E$8:$E$525,$E$16:$E$533,'[1]JOBS MAR 15'!$G$8:$G$525)</f>
        <v>#VALUE!</v>
      </c>
      <c r="U363" s="37" t="e">
        <f>SUMIF('[1]JOBS MAR 15'!$E$8:$E$525,$E$16:$E$533,'[1]JOBS MAR 15'!$H$8:$H$525)</f>
        <v>#VALUE!</v>
      </c>
      <c r="V363" s="37" t="e">
        <f>SUMIF('[1]JOBS MAR 15'!$E$8:$E$525,$E$16:$E$533,'[1]JOBS MAR 15'!$I$8:$I$525)</f>
        <v>#VALUE!</v>
      </c>
      <c r="W363" s="55" t="str">
        <f t="shared" si="40"/>
        <v xml:space="preserve"> </v>
      </c>
    </row>
    <row r="364" spans="2:23" x14ac:dyDescent="0.2">
      <c r="B364">
        <v>2902</v>
      </c>
      <c r="C364">
        <v>1</v>
      </c>
      <c r="D364" s="2" t="s">
        <v>775</v>
      </c>
      <c r="E364" s="50" t="s">
        <v>776</v>
      </c>
      <c r="F364" s="50">
        <v>2700294</v>
      </c>
      <c r="G364" s="50">
        <v>7</v>
      </c>
      <c r="H364" s="52" t="e">
        <f>SUMIF('[1]Build Detail'!$D$4:$D$521,$B$16:$B$533,'[1]Build Detail'!$H$4:$H$521)</f>
        <v>#VALUE!</v>
      </c>
      <c r="I364" s="52" t="e">
        <f>SUMIF('[1]Build Detail'!$D$4:$D$521,$B$16:$B$533,'[1]Build Detail'!$Q$4:$Q$521)</f>
        <v>#VALUE!</v>
      </c>
      <c r="J364" s="52" t="e">
        <f>SUMIF('[1]Build Detail'!$D$4:$D$521,$B$16:$B$533,'[1]Build Detail'!$T$4:$T$521)</f>
        <v>#VALUE!</v>
      </c>
      <c r="K364" s="53">
        <v>4247504.84</v>
      </c>
      <c r="L364" s="37">
        <f t="shared" si="41"/>
        <v>119783.15</v>
      </c>
      <c r="M364" s="37">
        <v>118206.94</v>
      </c>
      <c r="N364" s="38">
        <v>106386.25</v>
      </c>
      <c r="O364" s="37">
        <f t="shared" si="35"/>
        <v>13396.899999999994</v>
      </c>
      <c r="P364" s="54" t="e">
        <f t="shared" si="36"/>
        <v>#VALUE!</v>
      </c>
      <c r="Q364" s="40">
        <f t="shared" si="37"/>
        <v>0.11184294285131084</v>
      </c>
      <c r="R364" s="37">
        <f t="shared" si="38"/>
        <v>1576.2099999999919</v>
      </c>
      <c r="S364" s="41">
        <f t="shared" si="39"/>
        <v>1.3334327070813201E-2</v>
      </c>
      <c r="T364" s="37" t="e">
        <f>SUMIF('[1]JOBS MAR 15'!$E$8:$E$525,$E$16:$E$533,'[1]JOBS MAR 15'!$G$8:$G$525)</f>
        <v>#VALUE!</v>
      </c>
      <c r="U364" s="37" t="e">
        <f>SUMIF('[1]JOBS MAR 15'!$E$8:$E$525,$E$16:$E$533,'[1]JOBS MAR 15'!$H$8:$H$525)</f>
        <v>#VALUE!</v>
      </c>
      <c r="V364" s="37" t="e">
        <f>SUMIF('[1]JOBS MAR 15'!$E$8:$E$525,$E$16:$E$533,'[1]JOBS MAR 15'!$I$8:$I$525)</f>
        <v>#VALUE!</v>
      </c>
      <c r="W364" s="55" t="str">
        <f t="shared" si="40"/>
        <v xml:space="preserve"> </v>
      </c>
    </row>
    <row r="365" spans="2:23" x14ac:dyDescent="0.2">
      <c r="B365">
        <v>2903</v>
      </c>
      <c r="C365">
        <v>1</v>
      </c>
      <c r="D365" s="2" t="s">
        <v>777</v>
      </c>
      <c r="E365" s="50" t="s">
        <v>778</v>
      </c>
      <c r="F365" s="50">
        <v>2700328</v>
      </c>
      <c r="G365" s="50">
        <v>7</v>
      </c>
      <c r="H365" s="52" t="e">
        <f>SUMIF('[1]Build Detail'!$D$4:$D$521,$B$16:$B$533,'[1]Build Detail'!$H$4:$H$521)</f>
        <v>#VALUE!</v>
      </c>
      <c r="I365" s="52" t="e">
        <f>SUMIF('[1]Build Detail'!$D$4:$D$521,$B$16:$B$533,'[1]Build Detail'!$Q$4:$Q$521)</f>
        <v>#VALUE!</v>
      </c>
      <c r="J365" s="52" t="e">
        <f>SUMIF('[1]Build Detail'!$D$4:$D$521,$B$16:$B$533,'[1]Build Detail'!$T$4:$T$521)</f>
        <v>#VALUE!</v>
      </c>
      <c r="K365" s="53">
        <v>3998224.5999999996</v>
      </c>
      <c r="L365" s="37">
        <f t="shared" si="41"/>
        <v>112753.24</v>
      </c>
      <c r="M365" s="37">
        <v>112415.3</v>
      </c>
      <c r="N365" s="38">
        <v>101173.77</v>
      </c>
      <c r="O365" s="37">
        <f t="shared" si="35"/>
        <v>11579.470000000001</v>
      </c>
      <c r="P365" s="54" t="e">
        <f t="shared" si="36"/>
        <v>#VALUE!</v>
      </c>
      <c r="Q365" s="40">
        <f t="shared" si="37"/>
        <v>0.10269744798464328</v>
      </c>
      <c r="R365" s="37">
        <f t="shared" si="38"/>
        <v>337.94000000000233</v>
      </c>
      <c r="S365" s="41">
        <f t="shared" si="39"/>
        <v>3.0061744264348565E-3</v>
      </c>
      <c r="T365" s="37" t="e">
        <f>SUMIF('[1]JOBS MAR 15'!$E$8:$E$525,$E$16:$E$533,'[1]JOBS MAR 15'!$G$8:$G$525)</f>
        <v>#VALUE!</v>
      </c>
      <c r="U365" s="37" t="e">
        <f>SUMIF('[1]JOBS MAR 15'!$E$8:$E$525,$E$16:$E$533,'[1]JOBS MAR 15'!$H$8:$H$525)</f>
        <v>#VALUE!</v>
      </c>
      <c r="V365" s="37" t="e">
        <f>SUMIF('[1]JOBS MAR 15'!$E$8:$E$525,$E$16:$E$533,'[1]JOBS MAR 15'!$I$8:$I$525)</f>
        <v>#VALUE!</v>
      </c>
      <c r="W365" s="55" t="str">
        <f t="shared" si="40"/>
        <v xml:space="preserve"> </v>
      </c>
    </row>
    <row r="366" spans="2:23" x14ac:dyDescent="0.2">
      <c r="B366">
        <v>2904</v>
      </c>
      <c r="C366">
        <v>1</v>
      </c>
      <c r="D366" s="2" t="s">
        <v>779</v>
      </c>
      <c r="E366" s="50" t="s">
        <v>780</v>
      </c>
      <c r="F366" s="50">
        <v>2700326</v>
      </c>
      <c r="G366" s="50">
        <v>7</v>
      </c>
      <c r="H366" s="52" t="e">
        <f>SUMIF('[1]Build Detail'!$D$4:$D$521,$B$16:$B$533,'[1]Build Detail'!$H$4:$H$521)</f>
        <v>#VALUE!</v>
      </c>
      <c r="I366" s="52" t="e">
        <f>SUMIF('[1]Build Detail'!$D$4:$D$521,$B$16:$B$533,'[1]Build Detail'!$Q$4:$Q$521)</f>
        <v>#VALUE!</v>
      </c>
      <c r="J366" s="52" t="e">
        <f>SUMIF('[1]Build Detail'!$D$4:$D$521,$B$16:$B$533,'[1]Build Detail'!$T$4:$T$521)</f>
        <v>#VALUE!</v>
      </c>
      <c r="K366" s="53">
        <v>5673788.7400000002</v>
      </c>
      <c r="L366" s="37">
        <f t="shared" si="41"/>
        <v>160005.53</v>
      </c>
      <c r="M366" s="37">
        <v>160677.71</v>
      </c>
      <c r="N366" s="38">
        <v>144609.94</v>
      </c>
      <c r="O366" s="37">
        <f t="shared" si="35"/>
        <v>15395.589999999997</v>
      </c>
      <c r="P366" s="54" t="e">
        <f t="shared" si="36"/>
        <v>#VALUE!</v>
      </c>
      <c r="Q366" s="40">
        <f t="shared" si="37"/>
        <v>9.6219111926944004E-2</v>
      </c>
      <c r="R366" s="37">
        <f t="shared" si="38"/>
        <v>-672.17999999999302</v>
      </c>
      <c r="S366" s="41">
        <f t="shared" si="39"/>
        <v>-4.1834054020311404E-3</v>
      </c>
      <c r="T366" s="37" t="e">
        <f>SUMIF('[1]JOBS MAR 15'!$E$8:$E$525,$E$16:$E$533,'[1]JOBS MAR 15'!$G$8:$G$525)</f>
        <v>#VALUE!</v>
      </c>
      <c r="U366" s="37" t="e">
        <f>SUMIF('[1]JOBS MAR 15'!$E$8:$E$525,$E$16:$E$533,'[1]JOBS MAR 15'!$H$8:$H$525)</f>
        <v>#VALUE!</v>
      </c>
      <c r="V366" s="37" t="e">
        <f>SUMIF('[1]JOBS MAR 15'!$E$8:$E$525,$E$16:$E$533,'[1]JOBS MAR 15'!$I$8:$I$525)</f>
        <v>#VALUE!</v>
      </c>
      <c r="W366" s="55" t="str">
        <f t="shared" si="40"/>
        <v xml:space="preserve"> </v>
      </c>
    </row>
    <row r="367" spans="2:23" x14ac:dyDescent="0.2">
      <c r="B367">
        <v>4000</v>
      </c>
      <c r="C367">
        <v>7</v>
      </c>
      <c r="D367" s="2" t="s">
        <v>781</v>
      </c>
      <c r="E367" s="50" t="s">
        <v>782</v>
      </c>
      <c r="F367" s="50">
        <v>2708955</v>
      </c>
      <c r="G367" s="50">
        <v>4</v>
      </c>
      <c r="H367" s="52" t="e">
        <f>SUMIF('[1]Build Detail'!$D$4:$D$521,$B$16:$B$533,'[1]Build Detail'!$H$4:$H$521)</f>
        <v>#VALUE!</v>
      </c>
      <c r="I367" s="52" t="e">
        <f>SUMIF('[1]Build Detail'!$D$4:$D$521,$B$16:$B$533,'[1]Build Detail'!$Q$4:$Q$521)</f>
        <v>#VALUE!</v>
      </c>
      <c r="J367" s="52" t="e">
        <f>SUMIF('[1]Build Detail'!$D$4:$D$521,$B$16:$B$533,'[1]Build Detail'!$T$4:$T$521)</f>
        <v>#VALUE!</v>
      </c>
      <c r="K367" s="53">
        <v>1300537.47</v>
      </c>
      <c r="L367" s="37">
        <f t="shared" si="41"/>
        <v>36676.230000000003</v>
      </c>
      <c r="M367" s="37">
        <v>36530.769999999997</v>
      </c>
      <c r="N367" s="38">
        <v>32877.69</v>
      </c>
      <c r="O367" s="37">
        <f t="shared" si="35"/>
        <v>3798.5400000000009</v>
      </c>
      <c r="P367" s="54" t="e">
        <f t="shared" si="36"/>
        <v>#VALUE!</v>
      </c>
      <c r="Q367" s="40">
        <f t="shared" si="37"/>
        <v>0.10356953263735123</v>
      </c>
      <c r="R367" s="37">
        <f t="shared" si="38"/>
        <v>145.4600000000064</v>
      </c>
      <c r="S367" s="41">
        <f t="shared" si="39"/>
        <v>3.9818487264299774E-3</v>
      </c>
      <c r="T367" s="37" t="e">
        <f>SUMIF('[1]JOBS MAR 15'!$E$8:$E$525,$E$16:$E$533,'[1]JOBS MAR 15'!$G$8:$G$525)</f>
        <v>#VALUE!</v>
      </c>
      <c r="U367" s="37" t="e">
        <f>SUMIF('[1]JOBS MAR 15'!$E$8:$E$525,$E$16:$E$533,'[1]JOBS MAR 15'!$H$8:$H$525)</f>
        <v>#VALUE!</v>
      </c>
      <c r="V367" s="37" t="e">
        <f>SUMIF('[1]JOBS MAR 15'!$E$8:$E$525,$E$16:$E$533,'[1]JOBS MAR 15'!$I$8:$I$525)</f>
        <v>#VALUE!</v>
      </c>
      <c r="W367" s="55" t="str">
        <f t="shared" si="40"/>
        <v xml:space="preserve"> </v>
      </c>
    </row>
    <row r="368" spans="2:23" x14ac:dyDescent="0.2">
      <c r="B368">
        <v>4001</v>
      </c>
      <c r="C368">
        <v>7</v>
      </c>
      <c r="D368" s="2" t="s">
        <v>783</v>
      </c>
      <c r="E368" s="50" t="s">
        <v>784</v>
      </c>
      <c r="F368" s="50">
        <v>2705850</v>
      </c>
      <c r="G368" s="50">
        <v>1</v>
      </c>
      <c r="H368" s="52" t="e">
        <f>SUMIF('[1]Build Detail'!$D$4:$D$521,$B$16:$B$533,'[1]Build Detail'!$H$4:$H$521)</f>
        <v>#VALUE!</v>
      </c>
      <c r="I368" s="52" t="e">
        <f>SUMIF('[1]Build Detail'!$D$4:$D$521,$B$16:$B$533,'[1]Build Detail'!$Q$4:$Q$521)</f>
        <v>#VALUE!</v>
      </c>
      <c r="J368" s="52" t="e">
        <f>SUMIF('[1]Build Detail'!$D$4:$D$521,$B$16:$B$533,'[1]Build Detail'!$T$4:$T$521)</f>
        <v>#VALUE!</v>
      </c>
      <c r="K368" s="53">
        <v>1411079.18</v>
      </c>
      <c r="L368" s="37">
        <f t="shared" si="41"/>
        <v>39793.599999999999</v>
      </c>
      <c r="M368" s="37">
        <v>40303.58</v>
      </c>
      <c r="N368" s="38">
        <v>36273.22</v>
      </c>
      <c r="O368" s="37">
        <f t="shared" si="35"/>
        <v>3520.3799999999974</v>
      </c>
      <c r="P368" s="54" t="e">
        <f t="shared" si="36"/>
        <v>#VALUE!</v>
      </c>
      <c r="Q368" s="40">
        <f t="shared" si="37"/>
        <v>8.8465984479916313E-2</v>
      </c>
      <c r="R368" s="37">
        <f t="shared" si="38"/>
        <v>-509.9800000000032</v>
      </c>
      <c r="S368" s="41">
        <f t="shared" si="39"/>
        <v>-1.2653466515877825E-2</v>
      </c>
      <c r="T368" s="37" t="e">
        <f>SUMIF('[1]JOBS MAR 15'!$E$8:$E$525,$E$16:$E$533,'[1]JOBS MAR 15'!$G$8:$G$525)</f>
        <v>#VALUE!</v>
      </c>
      <c r="U368" s="37" t="e">
        <f>SUMIF('[1]JOBS MAR 15'!$E$8:$E$525,$E$16:$E$533,'[1]JOBS MAR 15'!$H$8:$H$525)</f>
        <v>#VALUE!</v>
      </c>
      <c r="V368" s="37" t="e">
        <f>SUMIF('[1]JOBS MAR 15'!$E$8:$E$525,$E$16:$E$533,'[1]JOBS MAR 15'!$I$8:$I$525)</f>
        <v>#VALUE!</v>
      </c>
      <c r="W368" s="55" t="str">
        <f t="shared" si="40"/>
        <v xml:space="preserve"> </v>
      </c>
    </row>
    <row r="369" spans="2:23" x14ac:dyDescent="0.2">
      <c r="B369">
        <v>4003</v>
      </c>
      <c r="C369">
        <v>7</v>
      </c>
      <c r="D369" s="2" t="s">
        <v>785</v>
      </c>
      <c r="E369" s="50" t="s">
        <v>786</v>
      </c>
      <c r="F369" s="50">
        <v>2723380</v>
      </c>
      <c r="G369" s="50">
        <v>6</v>
      </c>
      <c r="H369" s="52" t="e">
        <f>SUMIF('[1]Build Detail'!$D$4:$D$521,$B$16:$B$533,'[1]Build Detail'!$H$4:$H$521)</f>
        <v>#VALUE!</v>
      </c>
      <c r="I369" s="52" t="e">
        <f>SUMIF('[1]Build Detail'!$D$4:$D$521,$B$16:$B$533,'[1]Build Detail'!$Q$4:$Q$521)</f>
        <v>#VALUE!</v>
      </c>
      <c r="J369" s="52" t="e">
        <f>SUMIF('[1]Build Detail'!$D$4:$D$521,$B$16:$B$533,'[1]Build Detail'!$T$4:$T$521)</f>
        <v>#VALUE!</v>
      </c>
      <c r="K369" s="53">
        <v>1185467.6700000002</v>
      </c>
      <c r="L369" s="37">
        <f t="shared" si="41"/>
        <v>33431.17</v>
      </c>
      <c r="M369" s="37">
        <v>34041.58</v>
      </c>
      <c r="N369" s="38">
        <v>30637.42</v>
      </c>
      <c r="O369" s="37">
        <f t="shared" si="35"/>
        <v>2793.75</v>
      </c>
      <c r="P369" s="54" t="e">
        <f t="shared" si="36"/>
        <v>#VALUE!</v>
      </c>
      <c r="Q369" s="40">
        <f t="shared" si="37"/>
        <v>8.3567221847156412E-2</v>
      </c>
      <c r="R369" s="37">
        <f t="shared" si="38"/>
        <v>-610.41000000000349</v>
      </c>
      <c r="S369" s="41">
        <f t="shared" si="39"/>
        <v>-1.7931306361220704E-2</v>
      </c>
      <c r="T369" s="37" t="e">
        <f>SUMIF('[1]JOBS MAR 15'!$E$8:$E$525,$E$16:$E$533,'[1]JOBS MAR 15'!$G$8:$G$525)</f>
        <v>#VALUE!</v>
      </c>
      <c r="U369" s="37" t="e">
        <f>SUMIF('[1]JOBS MAR 15'!$E$8:$E$525,$E$16:$E$533,'[1]JOBS MAR 15'!$H$8:$H$525)</f>
        <v>#VALUE!</v>
      </c>
      <c r="V369" s="37" t="e">
        <f>SUMIF('[1]JOBS MAR 15'!$E$8:$E$525,$E$16:$E$533,'[1]JOBS MAR 15'!$I$8:$I$525)</f>
        <v>#VALUE!</v>
      </c>
      <c r="W369" s="55" t="str">
        <f t="shared" si="40"/>
        <v xml:space="preserve"> </v>
      </c>
    </row>
    <row r="370" spans="2:23" x14ac:dyDescent="0.2">
      <c r="B370">
        <v>4004</v>
      </c>
      <c r="C370">
        <v>7</v>
      </c>
      <c r="D370" s="2" t="s">
        <v>787</v>
      </c>
      <c r="E370" s="50" t="s">
        <v>788</v>
      </c>
      <c r="F370" s="50">
        <v>2700027</v>
      </c>
      <c r="G370" s="50">
        <v>5</v>
      </c>
      <c r="H370" s="52" t="e">
        <f>SUMIF('[1]Build Detail'!$D$4:$D$521,$B$16:$B$533,'[1]Build Detail'!$H$4:$H$521)</f>
        <v>#VALUE!</v>
      </c>
      <c r="I370" s="52" t="e">
        <f>SUMIF('[1]Build Detail'!$D$4:$D$521,$B$16:$B$533,'[1]Build Detail'!$Q$4:$Q$521)</f>
        <v>#VALUE!</v>
      </c>
      <c r="J370" s="52" t="e">
        <f>SUMIF('[1]Build Detail'!$D$4:$D$521,$B$16:$B$533,'[1]Build Detail'!$T$4:$T$521)</f>
        <v>#VALUE!</v>
      </c>
      <c r="K370" s="53">
        <v>1476819.0399999998</v>
      </c>
      <c r="L370" s="37">
        <f t="shared" si="41"/>
        <v>41647.519999999997</v>
      </c>
      <c r="M370" s="37">
        <v>41497.480000000003</v>
      </c>
      <c r="N370" s="38">
        <v>37347.730000000003</v>
      </c>
      <c r="O370" s="37">
        <f t="shared" si="35"/>
        <v>4299.7899999999936</v>
      </c>
      <c r="P370" s="54" t="e">
        <f t="shared" si="36"/>
        <v>#VALUE!</v>
      </c>
      <c r="Q370" s="40">
        <f t="shared" si="37"/>
        <v>0.10324240194854326</v>
      </c>
      <c r="R370" s="37">
        <f t="shared" si="38"/>
        <v>150.0399999999936</v>
      </c>
      <c r="S370" s="41">
        <f t="shared" si="39"/>
        <v>3.6156412389377278E-3</v>
      </c>
      <c r="T370" s="37" t="e">
        <f>SUMIF('[1]JOBS MAR 15'!$E$8:$E$525,$E$16:$E$533,'[1]JOBS MAR 15'!$G$8:$G$525)</f>
        <v>#VALUE!</v>
      </c>
      <c r="U370" s="37" t="e">
        <f>SUMIF('[1]JOBS MAR 15'!$E$8:$E$525,$E$16:$E$533,'[1]JOBS MAR 15'!$H$8:$H$525)</f>
        <v>#VALUE!</v>
      </c>
      <c r="V370" s="37" t="e">
        <f>SUMIF('[1]JOBS MAR 15'!$E$8:$E$525,$E$16:$E$533,'[1]JOBS MAR 15'!$I$8:$I$525)</f>
        <v>#VALUE!</v>
      </c>
      <c r="W370" s="55" t="str">
        <f t="shared" si="40"/>
        <v xml:space="preserve"> </v>
      </c>
    </row>
    <row r="371" spans="2:23" x14ac:dyDescent="0.2">
      <c r="B371">
        <v>4005</v>
      </c>
      <c r="C371">
        <v>7</v>
      </c>
      <c r="D371" s="2" t="s">
        <v>789</v>
      </c>
      <c r="E371" s="50" t="s">
        <v>790</v>
      </c>
      <c r="F371" s="50">
        <v>2700028</v>
      </c>
      <c r="G371" s="50">
        <v>4</v>
      </c>
      <c r="H371" s="52" t="e">
        <f>SUMIF('[1]Build Detail'!$D$4:$D$521,$B$16:$B$533,'[1]Build Detail'!$H$4:$H$521)</f>
        <v>#VALUE!</v>
      </c>
      <c r="I371" s="52" t="e">
        <f>SUMIF('[1]Build Detail'!$D$4:$D$521,$B$16:$B$533,'[1]Build Detail'!$Q$4:$Q$521)</f>
        <v>#VALUE!</v>
      </c>
      <c r="J371" s="52" t="e">
        <f>SUMIF('[1]Build Detail'!$D$4:$D$521,$B$16:$B$533,'[1]Build Detail'!$T$4:$T$521)</f>
        <v>#VALUE!</v>
      </c>
      <c r="K371" s="53">
        <v>3939940.94</v>
      </c>
      <c r="L371" s="37">
        <f t="shared" si="41"/>
        <v>111109.59</v>
      </c>
      <c r="M371" s="37">
        <v>116838.58</v>
      </c>
      <c r="N371" s="38">
        <v>105154.72</v>
      </c>
      <c r="O371" s="37">
        <f t="shared" si="35"/>
        <v>5954.8699999999953</v>
      </c>
      <c r="P371" s="54" t="e">
        <f t="shared" si="36"/>
        <v>#VALUE!</v>
      </c>
      <c r="Q371" s="40">
        <f t="shared" si="37"/>
        <v>5.3594563709577145E-2</v>
      </c>
      <c r="R371" s="37">
        <f t="shared" si="38"/>
        <v>-5728.9900000000052</v>
      </c>
      <c r="S371" s="41">
        <f t="shared" si="39"/>
        <v>-4.9033375790770523E-2</v>
      </c>
      <c r="T371" s="37" t="e">
        <f>SUMIF('[1]JOBS MAR 15'!$E$8:$E$525,$E$16:$E$533,'[1]JOBS MAR 15'!$G$8:$G$525)</f>
        <v>#VALUE!</v>
      </c>
      <c r="U371" s="37" t="e">
        <f>SUMIF('[1]JOBS MAR 15'!$E$8:$E$525,$E$16:$E$533,'[1]JOBS MAR 15'!$H$8:$H$525)</f>
        <v>#VALUE!</v>
      </c>
      <c r="V371" s="37" t="e">
        <f>SUMIF('[1]JOBS MAR 15'!$E$8:$E$525,$E$16:$E$533,'[1]JOBS MAR 15'!$I$8:$I$525)</f>
        <v>#VALUE!</v>
      </c>
      <c r="W371" s="55" t="str">
        <f t="shared" si="40"/>
        <v xml:space="preserve"> </v>
      </c>
    </row>
    <row r="372" spans="2:23" x14ac:dyDescent="0.2">
      <c r="B372">
        <v>4007</v>
      </c>
      <c r="C372">
        <v>7</v>
      </c>
      <c r="D372" s="2" t="s">
        <v>791</v>
      </c>
      <c r="E372" s="50" t="s">
        <v>792</v>
      </c>
      <c r="F372" s="50">
        <v>2700092</v>
      </c>
      <c r="G372" s="50">
        <v>7</v>
      </c>
      <c r="H372" s="52" t="e">
        <f>SUMIF('[1]Build Detail'!$D$4:$D$521,$B$16:$B$533,'[1]Build Detail'!$H$4:$H$521)</f>
        <v>#VALUE!</v>
      </c>
      <c r="I372" s="52" t="e">
        <f>SUMIF('[1]Build Detail'!$D$4:$D$521,$B$16:$B$533,'[1]Build Detail'!$Q$4:$Q$521)</f>
        <v>#VALUE!</v>
      </c>
      <c r="J372" s="52" t="e">
        <f>SUMIF('[1]Build Detail'!$D$4:$D$521,$B$16:$B$533,'[1]Build Detail'!$T$4:$T$521)</f>
        <v>#VALUE!</v>
      </c>
      <c r="K372" s="53">
        <v>974414.45000000007</v>
      </c>
      <c r="L372" s="37">
        <f t="shared" si="41"/>
        <v>27479.29</v>
      </c>
      <c r="M372" s="37">
        <v>27674.81</v>
      </c>
      <c r="N372" s="38">
        <v>24907.33</v>
      </c>
      <c r="O372" s="37">
        <f t="shared" si="35"/>
        <v>2571.9599999999991</v>
      </c>
      <c r="P372" s="54" t="e">
        <f t="shared" si="36"/>
        <v>#VALUE!</v>
      </c>
      <c r="Q372" s="40">
        <f t="shared" si="37"/>
        <v>9.359630470801826E-2</v>
      </c>
      <c r="R372" s="37">
        <f t="shared" si="38"/>
        <v>-195.52000000000044</v>
      </c>
      <c r="S372" s="41">
        <f t="shared" si="39"/>
        <v>-7.0649084853699239E-3</v>
      </c>
      <c r="T372" s="37" t="e">
        <f>SUMIF('[1]JOBS MAR 15'!$E$8:$E$525,$E$16:$E$533,'[1]JOBS MAR 15'!$G$8:$G$525)</f>
        <v>#VALUE!</v>
      </c>
      <c r="U372" s="37" t="e">
        <f>SUMIF('[1]JOBS MAR 15'!$E$8:$E$525,$E$16:$E$533,'[1]JOBS MAR 15'!$H$8:$H$525)</f>
        <v>#VALUE!</v>
      </c>
      <c r="V372" s="37" t="e">
        <f>SUMIF('[1]JOBS MAR 15'!$E$8:$E$525,$E$16:$E$533,'[1]JOBS MAR 15'!$I$8:$I$525)</f>
        <v>#VALUE!</v>
      </c>
      <c r="W372" s="55" t="str">
        <f t="shared" si="40"/>
        <v xml:space="preserve"> </v>
      </c>
    </row>
    <row r="373" spans="2:23" x14ac:dyDescent="0.2">
      <c r="B373">
        <v>4008</v>
      </c>
      <c r="C373">
        <v>7</v>
      </c>
      <c r="D373" s="2" t="s">
        <v>793</v>
      </c>
      <c r="E373" s="50" t="s">
        <v>794</v>
      </c>
      <c r="F373" s="50">
        <v>2700093</v>
      </c>
      <c r="G373" s="50">
        <v>6</v>
      </c>
      <c r="H373" s="52" t="e">
        <f>SUMIF('[1]Build Detail'!$D$4:$D$521,$B$16:$B$533,'[1]Build Detail'!$H$4:$H$521)</f>
        <v>#VALUE!</v>
      </c>
      <c r="I373" s="52" t="e">
        <f>SUMIF('[1]Build Detail'!$D$4:$D$521,$B$16:$B$533,'[1]Build Detail'!$Q$4:$Q$521)</f>
        <v>#VALUE!</v>
      </c>
      <c r="J373" s="52" t="e">
        <f>SUMIF('[1]Build Detail'!$D$4:$D$521,$B$16:$B$533,'[1]Build Detail'!$T$4:$T$521)</f>
        <v>#VALUE!</v>
      </c>
      <c r="K373" s="53">
        <v>4438798.9399999995</v>
      </c>
      <c r="L373" s="37">
        <f t="shared" si="41"/>
        <v>125177.8</v>
      </c>
      <c r="M373" s="37">
        <v>125597.05</v>
      </c>
      <c r="N373" s="38">
        <v>113037.35</v>
      </c>
      <c r="O373" s="37">
        <f t="shared" si="35"/>
        <v>12140.449999999997</v>
      </c>
      <c r="P373" s="54" t="e">
        <f t="shared" si="36"/>
        <v>#VALUE!</v>
      </c>
      <c r="Q373" s="40">
        <f t="shared" si="37"/>
        <v>9.6985647614832637E-2</v>
      </c>
      <c r="R373" s="37">
        <f t="shared" si="38"/>
        <v>-419.25</v>
      </c>
      <c r="S373" s="41">
        <f t="shared" si="39"/>
        <v>-3.3380561088019183E-3</v>
      </c>
      <c r="T373" s="37" t="e">
        <f>SUMIF('[1]JOBS MAR 15'!$E$8:$E$525,$E$16:$E$533,'[1]JOBS MAR 15'!$G$8:$G$525)</f>
        <v>#VALUE!</v>
      </c>
      <c r="U373" s="37" t="e">
        <f>SUMIF('[1]JOBS MAR 15'!$E$8:$E$525,$E$16:$E$533,'[1]JOBS MAR 15'!$H$8:$H$525)</f>
        <v>#VALUE!</v>
      </c>
      <c r="V373" s="37" t="e">
        <f>SUMIF('[1]JOBS MAR 15'!$E$8:$E$525,$E$16:$E$533,'[1]JOBS MAR 15'!$I$8:$I$525)</f>
        <v>#VALUE!</v>
      </c>
      <c r="W373" s="55" t="str">
        <f t="shared" si="40"/>
        <v xml:space="preserve"> </v>
      </c>
    </row>
    <row r="374" spans="2:23" x14ac:dyDescent="0.2">
      <c r="B374">
        <v>4011</v>
      </c>
      <c r="C374">
        <v>7</v>
      </c>
      <c r="D374" s="2" t="s">
        <v>795</v>
      </c>
      <c r="E374" s="50" t="s">
        <v>796</v>
      </c>
      <c r="F374" s="50">
        <v>2700096</v>
      </c>
      <c r="G374" s="50">
        <v>5</v>
      </c>
      <c r="H374" s="52" t="e">
        <f>SUMIF('[1]Build Detail'!$D$4:$D$521,$B$16:$B$533,'[1]Build Detail'!$H$4:$H$521)</f>
        <v>#VALUE!</v>
      </c>
      <c r="I374" s="52" t="e">
        <f>SUMIF('[1]Build Detail'!$D$4:$D$521,$B$16:$B$533,'[1]Build Detail'!$Q$4:$Q$521)</f>
        <v>#VALUE!</v>
      </c>
      <c r="J374" s="52" t="e">
        <f>SUMIF('[1]Build Detail'!$D$4:$D$521,$B$16:$B$533,'[1]Build Detail'!$T$4:$T$521)</f>
        <v>#VALUE!</v>
      </c>
      <c r="K374" s="53">
        <v>2754911.17</v>
      </c>
      <c r="L374" s="37">
        <f t="shared" si="41"/>
        <v>77690.77</v>
      </c>
      <c r="M374" s="37">
        <v>77794.899999999994</v>
      </c>
      <c r="N374" s="38">
        <v>70015.41</v>
      </c>
      <c r="O374" s="37">
        <f t="shared" si="35"/>
        <v>7675.3600000000006</v>
      </c>
      <c r="P374" s="54" t="e">
        <f t="shared" si="36"/>
        <v>#VALUE!</v>
      </c>
      <c r="Q374" s="40">
        <f t="shared" si="37"/>
        <v>9.879371770932377E-2</v>
      </c>
      <c r="R374" s="37">
        <f t="shared" si="38"/>
        <v>-104.1299999999901</v>
      </c>
      <c r="S374" s="41">
        <f t="shared" si="39"/>
        <v>-1.3385196201806302E-3</v>
      </c>
      <c r="T374" s="37" t="e">
        <f>SUMIF('[1]JOBS MAR 15'!$E$8:$E$525,$E$16:$E$533,'[1]JOBS MAR 15'!$G$8:$G$525)</f>
        <v>#VALUE!</v>
      </c>
      <c r="U374" s="37" t="e">
        <f>SUMIF('[1]JOBS MAR 15'!$E$8:$E$525,$E$16:$E$533,'[1]JOBS MAR 15'!$H$8:$H$525)</f>
        <v>#VALUE!</v>
      </c>
      <c r="V374" s="37" t="e">
        <f>SUMIF('[1]JOBS MAR 15'!$E$8:$E$525,$E$16:$E$533,'[1]JOBS MAR 15'!$I$8:$I$525)</f>
        <v>#VALUE!</v>
      </c>
      <c r="W374" s="55" t="str">
        <f t="shared" si="40"/>
        <v xml:space="preserve"> </v>
      </c>
    </row>
    <row r="375" spans="2:23" x14ac:dyDescent="0.2">
      <c r="B375">
        <v>4015</v>
      </c>
      <c r="C375">
        <v>7</v>
      </c>
      <c r="D375" s="2" t="s">
        <v>797</v>
      </c>
      <c r="E375" s="50" t="s">
        <v>798</v>
      </c>
      <c r="F375" s="50">
        <v>2700115</v>
      </c>
      <c r="G375" s="50">
        <v>4</v>
      </c>
      <c r="H375" s="52" t="e">
        <f>SUMIF('[1]Build Detail'!$D$4:$D$521,$B$16:$B$533,'[1]Build Detail'!$H$4:$H$521)</f>
        <v>#VALUE!</v>
      </c>
      <c r="I375" s="52" t="e">
        <f>SUMIF('[1]Build Detail'!$D$4:$D$521,$B$16:$B$533,'[1]Build Detail'!$Q$4:$Q$521)</f>
        <v>#VALUE!</v>
      </c>
      <c r="J375" s="52" t="e">
        <f>SUMIF('[1]Build Detail'!$D$4:$D$521,$B$16:$B$533,'[1]Build Detail'!$T$4:$T$521)</f>
        <v>#VALUE!</v>
      </c>
      <c r="K375" s="53">
        <v>7007630.04</v>
      </c>
      <c r="L375" s="37">
        <f t="shared" si="41"/>
        <v>197620.96</v>
      </c>
      <c r="M375" s="37">
        <v>196700.95</v>
      </c>
      <c r="N375" s="38">
        <v>177030.86</v>
      </c>
      <c r="O375" s="37">
        <f t="shared" si="35"/>
        <v>20590.100000000006</v>
      </c>
      <c r="P375" s="54" t="e">
        <f t="shared" si="36"/>
        <v>#VALUE!</v>
      </c>
      <c r="Q375" s="40">
        <f t="shared" si="37"/>
        <v>0.10418985921331425</v>
      </c>
      <c r="R375" s="37">
        <f t="shared" si="38"/>
        <v>920.00999999998021</v>
      </c>
      <c r="S375" s="41">
        <f t="shared" si="39"/>
        <v>4.6772016098548591E-3</v>
      </c>
      <c r="T375" s="37" t="e">
        <f>SUMIF('[1]JOBS MAR 15'!$E$8:$E$525,$E$16:$E$533,'[1]JOBS MAR 15'!$G$8:$G$525)</f>
        <v>#VALUE!</v>
      </c>
      <c r="U375" s="37" t="e">
        <f>SUMIF('[1]JOBS MAR 15'!$E$8:$E$525,$E$16:$E$533,'[1]JOBS MAR 15'!$H$8:$H$525)</f>
        <v>#VALUE!</v>
      </c>
      <c r="V375" s="37" t="e">
        <f>SUMIF('[1]JOBS MAR 15'!$E$8:$E$525,$E$16:$E$533,'[1]JOBS MAR 15'!$I$8:$I$525)</f>
        <v>#VALUE!</v>
      </c>
      <c r="W375" s="55" t="str">
        <f t="shared" si="40"/>
        <v xml:space="preserve"> </v>
      </c>
    </row>
    <row r="376" spans="2:23" x14ac:dyDescent="0.2">
      <c r="B376">
        <v>4016</v>
      </c>
      <c r="C376">
        <v>7</v>
      </c>
      <c r="D376" s="2" t="s">
        <v>799</v>
      </c>
      <c r="E376" s="50" t="s">
        <v>800</v>
      </c>
      <c r="F376" s="50">
        <v>2700116</v>
      </c>
      <c r="G376" s="50">
        <v>2</v>
      </c>
      <c r="H376" s="52" t="e">
        <f>SUMIF('[1]Build Detail'!$D$4:$D$521,$B$16:$B$533,'[1]Build Detail'!$H$4:$H$521)</f>
        <v>#VALUE!</v>
      </c>
      <c r="I376" s="52" t="e">
        <f>SUMIF('[1]Build Detail'!$D$4:$D$521,$B$16:$B$533,'[1]Build Detail'!$Q$4:$Q$521)</f>
        <v>#VALUE!</v>
      </c>
      <c r="J376" s="52" t="e">
        <f>SUMIF('[1]Build Detail'!$D$4:$D$521,$B$16:$B$533,'[1]Build Detail'!$T$4:$T$521)</f>
        <v>#VALUE!</v>
      </c>
      <c r="K376" s="53">
        <v>1187183.69</v>
      </c>
      <c r="L376" s="37">
        <f t="shared" si="41"/>
        <v>33479.56</v>
      </c>
      <c r="M376" s="37">
        <v>33339.75</v>
      </c>
      <c r="N376" s="38">
        <v>30005.78</v>
      </c>
      <c r="O376" s="37">
        <f t="shared" si="35"/>
        <v>3473.7799999999988</v>
      </c>
      <c r="P376" s="54" t="e">
        <f t="shared" si="36"/>
        <v>#VALUE!</v>
      </c>
      <c r="Q376" s="40">
        <f t="shared" si="37"/>
        <v>0.10375823338180069</v>
      </c>
      <c r="R376" s="37">
        <f t="shared" si="38"/>
        <v>139.80999999999767</v>
      </c>
      <c r="S376" s="41">
        <f t="shared" si="39"/>
        <v>4.1934927526450462E-3</v>
      </c>
      <c r="T376" s="37" t="e">
        <f>SUMIF('[1]JOBS MAR 15'!$E$8:$E$525,$E$16:$E$533,'[1]JOBS MAR 15'!$G$8:$G$525)</f>
        <v>#VALUE!</v>
      </c>
      <c r="U376" s="37" t="e">
        <f>SUMIF('[1]JOBS MAR 15'!$E$8:$E$525,$E$16:$E$533,'[1]JOBS MAR 15'!$H$8:$H$525)</f>
        <v>#VALUE!</v>
      </c>
      <c r="V376" s="37" t="e">
        <f>SUMIF('[1]JOBS MAR 15'!$E$8:$E$525,$E$16:$E$533,'[1]JOBS MAR 15'!$I$8:$I$525)</f>
        <v>#VALUE!</v>
      </c>
      <c r="W376" s="55" t="str">
        <f t="shared" si="40"/>
        <v xml:space="preserve"> </v>
      </c>
    </row>
    <row r="377" spans="2:23" x14ac:dyDescent="0.2">
      <c r="B377">
        <v>4017</v>
      </c>
      <c r="C377">
        <v>7</v>
      </c>
      <c r="D377" s="2" t="s">
        <v>801</v>
      </c>
      <c r="E377" s="50" t="s">
        <v>802</v>
      </c>
      <c r="F377" s="50">
        <v>2700117</v>
      </c>
      <c r="G377" s="50">
        <v>5</v>
      </c>
      <c r="H377" s="52" t="e">
        <f>SUMIF('[1]Build Detail'!$D$4:$D$521,$B$16:$B$533,'[1]Build Detail'!$H$4:$H$521)</f>
        <v>#VALUE!</v>
      </c>
      <c r="I377" s="52" t="e">
        <f>SUMIF('[1]Build Detail'!$D$4:$D$521,$B$16:$B$533,'[1]Build Detail'!$Q$4:$Q$521)</f>
        <v>#VALUE!</v>
      </c>
      <c r="J377" s="52" t="e">
        <f>SUMIF('[1]Build Detail'!$D$4:$D$521,$B$16:$B$533,'[1]Build Detail'!$T$4:$T$521)</f>
        <v>#VALUE!</v>
      </c>
      <c r="K377" s="53">
        <v>24527004.880000003</v>
      </c>
      <c r="L377" s="37">
        <f t="shared" si="41"/>
        <v>691681.82</v>
      </c>
      <c r="M377" s="37">
        <v>708505.21</v>
      </c>
      <c r="N377" s="38">
        <v>637654.68999999994</v>
      </c>
      <c r="O377" s="37">
        <f t="shared" si="35"/>
        <v>54027.130000000005</v>
      </c>
      <c r="P377" s="54" t="e">
        <f t="shared" si="36"/>
        <v>#VALUE!</v>
      </c>
      <c r="Q377" s="40">
        <f t="shared" si="37"/>
        <v>7.8109801989591124E-2</v>
      </c>
      <c r="R377" s="37">
        <f t="shared" si="38"/>
        <v>-16823.390000000014</v>
      </c>
      <c r="S377" s="41">
        <f t="shared" si="39"/>
        <v>-2.3744906547687933E-2</v>
      </c>
      <c r="T377" s="37" t="e">
        <f>SUMIF('[1]JOBS MAR 15'!$E$8:$E$525,$E$16:$E$533,'[1]JOBS MAR 15'!$G$8:$G$525)</f>
        <v>#VALUE!</v>
      </c>
      <c r="U377" s="37" t="e">
        <f>SUMIF('[1]JOBS MAR 15'!$E$8:$E$525,$E$16:$E$533,'[1]JOBS MAR 15'!$H$8:$H$525)</f>
        <v>#VALUE!</v>
      </c>
      <c r="V377" s="37" t="e">
        <f>SUMIF('[1]JOBS MAR 15'!$E$8:$E$525,$E$16:$E$533,'[1]JOBS MAR 15'!$I$8:$I$525)</f>
        <v>#VALUE!</v>
      </c>
      <c r="W377" s="55" t="str">
        <f t="shared" si="40"/>
        <v xml:space="preserve"> </v>
      </c>
    </row>
    <row r="378" spans="2:23" x14ac:dyDescent="0.2">
      <c r="B378">
        <v>4018</v>
      </c>
      <c r="C378">
        <v>7</v>
      </c>
      <c r="D378" s="2" t="s">
        <v>803</v>
      </c>
      <c r="E378" s="50" t="s">
        <v>804</v>
      </c>
      <c r="F378" s="50">
        <v>2700118</v>
      </c>
      <c r="G378" s="50">
        <v>4</v>
      </c>
      <c r="H378" s="52" t="e">
        <f>SUMIF('[1]Build Detail'!$D$4:$D$521,$B$16:$B$533,'[1]Build Detail'!$H$4:$H$521)</f>
        <v>#VALUE!</v>
      </c>
      <c r="I378" s="52" t="e">
        <f>SUMIF('[1]Build Detail'!$D$4:$D$521,$B$16:$B$533,'[1]Build Detail'!$Q$4:$Q$521)</f>
        <v>#VALUE!</v>
      </c>
      <c r="J378" s="52" t="e">
        <f>SUMIF('[1]Build Detail'!$D$4:$D$521,$B$16:$B$533,'[1]Build Detail'!$T$4:$T$521)</f>
        <v>#VALUE!</v>
      </c>
      <c r="K378" s="53">
        <v>3848148.55</v>
      </c>
      <c r="L378" s="37">
        <f t="shared" si="41"/>
        <v>108520.97</v>
      </c>
      <c r="M378" s="37">
        <v>107263.45</v>
      </c>
      <c r="N378" s="38">
        <v>96537.11</v>
      </c>
      <c r="O378" s="37">
        <f t="shared" si="35"/>
        <v>11983.86</v>
      </c>
      <c r="P378" s="54" t="e">
        <f t="shared" si="36"/>
        <v>#VALUE!</v>
      </c>
      <c r="Q378" s="40">
        <f t="shared" si="37"/>
        <v>0.11042897976308173</v>
      </c>
      <c r="R378" s="37">
        <f t="shared" si="38"/>
        <v>1257.5200000000041</v>
      </c>
      <c r="S378" s="41">
        <f t="shared" si="39"/>
        <v>1.1723657965504597E-2</v>
      </c>
      <c r="T378" s="37" t="e">
        <f>SUMIF('[1]JOBS MAR 15'!$E$8:$E$525,$E$16:$E$533,'[1]JOBS MAR 15'!$G$8:$G$525)</f>
        <v>#VALUE!</v>
      </c>
      <c r="U378" s="37" t="e">
        <f>SUMIF('[1]JOBS MAR 15'!$E$8:$E$525,$E$16:$E$533,'[1]JOBS MAR 15'!$H$8:$H$525)</f>
        <v>#VALUE!</v>
      </c>
      <c r="V378" s="37" t="e">
        <f>SUMIF('[1]JOBS MAR 15'!$E$8:$E$525,$E$16:$E$533,'[1]JOBS MAR 15'!$I$8:$I$525)</f>
        <v>#VALUE!</v>
      </c>
      <c r="W378" s="55" t="str">
        <f t="shared" si="40"/>
        <v xml:space="preserve"> </v>
      </c>
    </row>
    <row r="379" spans="2:23" x14ac:dyDescent="0.2">
      <c r="B379">
        <v>4020</v>
      </c>
      <c r="C379">
        <v>7</v>
      </c>
      <c r="D379" s="2" t="s">
        <v>805</v>
      </c>
      <c r="E379" s="50" t="s">
        <v>806</v>
      </c>
      <c r="F379" s="50">
        <v>2700133</v>
      </c>
      <c r="G379" s="50">
        <v>8</v>
      </c>
      <c r="H379" s="52" t="e">
        <f>SUMIF('[1]Build Detail'!$D$4:$D$521,$B$16:$B$533,'[1]Build Detail'!$H$4:$H$521)</f>
        <v>#VALUE!</v>
      </c>
      <c r="I379" s="52" t="e">
        <f>SUMIF('[1]Build Detail'!$D$4:$D$521,$B$16:$B$533,'[1]Build Detail'!$Q$4:$Q$521)</f>
        <v>#VALUE!</v>
      </c>
      <c r="J379" s="52" t="e">
        <f>SUMIF('[1]Build Detail'!$D$4:$D$521,$B$16:$B$533,'[1]Build Detail'!$T$4:$T$521)</f>
        <v>#VALUE!</v>
      </c>
      <c r="K379" s="53">
        <v>10379140.15</v>
      </c>
      <c r="L379" s="37">
        <f t="shared" si="41"/>
        <v>292700.33</v>
      </c>
      <c r="M379" s="37">
        <v>281610.49</v>
      </c>
      <c r="N379" s="38">
        <v>253449.44</v>
      </c>
      <c r="O379" s="37">
        <f t="shared" si="35"/>
        <v>39250.890000000014</v>
      </c>
      <c r="P379" s="54" t="e">
        <f t="shared" si="36"/>
        <v>#VALUE!</v>
      </c>
      <c r="Q379" s="40">
        <f t="shared" si="37"/>
        <v>0.13409923384780609</v>
      </c>
      <c r="R379" s="37">
        <f t="shared" si="38"/>
        <v>11089.840000000026</v>
      </c>
      <c r="S379" s="41">
        <f t="shared" si="39"/>
        <v>3.9380067127471087E-2</v>
      </c>
      <c r="T379" s="37" t="e">
        <f>SUMIF('[1]JOBS MAR 15'!$E$8:$E$525,$E$16:$E$533,'[1]JOBS MAR 15'!$G$8:$G$525)</f>
        <v>#VALUE!</v>
      </c>
      <c r="U379" s="37" t="e">
        <f>SUMIF('[1]JOBS MAR 15'!$E$8:$E$525,$E$16:$E$533,'[1]JOBS MAR 15'!$H$8:$H$525)</f>
        <v>#VALUE!</v>
      </c>
      <c r="V379" s="37" t="e">
        <f>SUMIF('[1]JOBS MAR 15'!$E$8:$E$525,$E$16:$E$533,'[1]JOBS MAR 15'!$I$8:$I$525)</f>
        <v>#VALUE!</v>
      </c>
      <c r="W379" s="55" t="str">
        <f t="shared" si="40"/>
        <v xml:space="preserve"> </v>
      </c>
    </row>
    <row r="380" spans="2:23" x14ac:dyDescent="0.2">
      <c r="B380">
        <v>4025</v>
      </c>
      <c r="C380">
        <v>7</v>
      </c>
      <c r="D380" s="2" t="s">
        <v>807</v>
      </c>
      <c r="E380" s="50" t="s">
        <v>808</v>
      </c>
      <c r="F380" s="50">
        <v>2700138</v>
      </c>
      <c r="G380" s="50">
        <v>4</v>
      </c>
      <c r="H380" s="52" t="e">
        <f>SUMIF('[1]Build Detail'!$D$4:$D$521,$B$16:$B$533,'[1]Build Detail'!$H$4:$H$521)</f>
        <v>#VALUE!</v>
      </c>
      <c r="I380" s="52" t="e">
        <f>SUMIF('[1]Build Detail'!$D$4:$D$521,$B$16:$B$533,'[1]Build Detail'!$Q$4:$Q$521)</f>
        <v>#VALUE!</v>
      </c>
      <c r="J380" s="52" t="e">
        <f>SUMIF('[1]Build Detail'!$D$4:$D$521,$B$16:$B$533,'[1]Build Detail'!$T$4:$T$521)</f>
        <v>#VALUE!</v>
      </c>
      <c r="K380" s="53">
        <v>983720.36</v>
      </c>
      <c r="L380" s="37">
        <f t="shared" si="41"/>
        <v>27741.73</v>
      </c>
      <c r="M380" s="37">
        <v>27394.78</v>
      </c>
      <c r="N380" s="38">
        <v>24655.3</v>
      </c>
      <c r="O380" s="37">
        <f t="shared" si="35"/>
        <v>3086.4300000000003</v>
      </c>
      <c r="P380" s="54" t="e">
        <f t="shared" si="36"/>
        <v>#VALUE!</v>
      </c>
      <c r="Q380" s="40">
        <f t="shared" si="37"/>
        <v>0.11125585895328087</v>
      </c>
      <c r="R380" s="37">
        <f t="shared" si="38"/>
        <v>346.95000000000073</v>
      </c>
      <c r="S380" s="41">
        <f t="shared" si="39"/>
        <v>1.2664821546294613E-2</v>
      </c>
      <c r="T380" s="37" t="e">
        <f>SUMIF('[1]JOBS MAR 15'!$E$8:$E$525,$E$16:$E$533,'[1]JOBS MAR 15'!$G$8:$G$525)</f>
        <v>#VALUE!</v>
      </c>
      <c r="U380" s="37" t="e">
        <f>SUMIF('[1]JOBS MAR 15'!$E$8:$E$525,$E$16:$E$533,'[1]JOBS MAR 15'!$H$8:$H$525)</f>
        <v>#VALUE!</v>
      </c>
      <c r="V380" s="37" t="e">
        <f>SUMIF('[1]JOBS MAR 15'!$E$8:$E$525,$E$16:$E$533,'[1]JOBS MAR 15'!$I$8:$I$525)</f>
        <v>#VALUE!</v>
      </c>
      <c r="W380" s="55" t="str">
        <f t="shared" si="40"/>
        <v xml:space="preserve"> </v>
      </c>
    </row>
    <row r="381" spans="2:23" x14ac:dyDescent="0.2">
      <c r="B381">
        <v>4026</v>
      </c>
      <c r="C381">
        <v>7</v>
      </c>
      <c r="D381" s="2" t="s">
        <v>809</v>
      </c>
      <c r="E381" s="50" t="s">
        <v>810</v>
      </c>
      <c r="F381" s="50">
        <v>2700139</v>
      </c>
      <c r="G381" s="50">
        <v>7</v>
      </c>
      <c r="H381" s="52" t="e">
        <f>SUMIF('[1]Build Detail'!$D$4:$D$521,$B$16:$B$533,'[1]Build Detail'!$H$4:$H$521)</f>
        <v>#VALUE!</v>
      </c>
      <c r="I381" s="52" t="e">
        <f>SUMIF('[1]Build Detail'!$D$4:$D$521,$B$16:$B$533,'[1]Build Detail'!$Q$4:$Q$521)</f>
        <v>#VALUE!</v>
      </c>
      <c r="J381" s="52" t="e">
        <f>SUMIF('[1]Build Detail'!$D$4:$D$521,$B$16:$B$533,'[1]Build Detail'!$T$4:$T$521)</f>
        <v>#VALUE!</v>
      </c>
      <c r="K381" s="53">
        <v>1661452.0499999998</v>
      </c>
      <c r="L381" s="37">
        <f t="shared" si="41"/>
        <v>46854.32</v>
      </c>
      <c r="M381" s="37">
        <v>46566.97</v>
      </c>
      <c r="N381" s="38">
        <v>41910.269999999997</v>
      </c>
      <c r="O381" s="37">
        <f t="shared" si="35"/>
        <v>4944.0500000000029</v>
      </c>
      <c r="P381" s="54" t="e">
        <f t="shared" si="36"/>
        <v>#VALUE!</v>
      </c>
      <c r="Q381" s="40">
        <f t="shared" si="37"/>
        <v>0.10551961910876101</v>
      </c>
      <c r="R381" s="37">
        <f t="shared" si="38"/>
        <v>287.34999999999854</v>
      </c>
      <c r="S381" s="41">
        <f t="shared" si="39"/>
        <v>6.1706827822381087E-3</v>
      </c>
      <c r="T381" s="37" t="e">
        <f>SUMIF('[1]JOBS MAR 15'!$E$8:$E$525,$E$16:$E$533,'[1]JOBS MAR 15'!$G$8:$G$525)</f>
        <v>#VALUE!</v>
      </c>
      <c r="U381" s="37" t="e">
        <f>SUMIF('[1]JOBS MAR 15'!$E$8:$E$525,$E$16:$E$533,'[1]JOBS MAR 15'!$H$8:$H$525)</f>
        <v>#VALUE!</v>
      </c>
      <c r="V381" s="37" t="e">
        <f>SUMIF('[1]JOBS MAR 15'!$E$8:$E$525,$E$16:$E$533,'[1]JOBS MAR 15'!$I$8:$I$525)</f>
        <v>#VALUE!</v>
      </c>
      <c r="W381" s="55" t="str">
        <f t="shared" si="40"/>
        <v xml:space="preserve"> </v>
      </c>
    </row>
    <row r="382" spans="2:23" x14ac:dyDescent="0.2">
      <c r="B382">
        <v>4027</v>
      </c>
      <c r="C382">
        <v>7</v>
      </c>
      <c r="D382" s="2" t="s">
        <v>811</v>
      </c>
      <c r="E382" s="50" t="s">
        <v>812</v>
      </c>
      <c r="F382" s="50">
        <v>2700140</v>
      </c>
      <c r="G382" s="50">
        <v>4</v>
      </c>
      <c r="H382" s="52" t="e">
        <f>SUMIF('[1]Build Detail'!$D$4:$D$521,$B$16:$B$533,'[1]Build Detail'!$H$4:$H$521)</f>
        <v>#VALUE!</v>
      </c>
      <c r="I382" s="52" t="e">
        <f>SUMIF('[1]Build Detail'!$D$4:$D$521,$B$16:$B$533,'[1]Build Detail'!$Q$4:$Q$521)</f>
        <v>#VALUE!</v>
      </c>
      <c r="J382" s="52" t="e">
        <f>SUMIF('[1]Build Detail'!$D$4:$D$521,$B$16:$B$533,'[1]Build Detail'!$T$4:$T$521)</f>
        <v>#VALUE!</v>
      </c>
      <c r="K382" s="53">
        <v>6573474.1299999999</v>
      </c>
      <c r="L382" s="37">
        <f t="shared" si="41"/>
        <v>185377.41</v>
      </c>
      <c r="M382" s="37">
        <v>185296.46</v>
      </c>
      <c r="N382" s="38">
        <v>166766.81</v>
      </c>
      <c r="O382" s="37">
        <f t="shared" si="35"/>
        <v>18610.600000000006</v>
      </c>
      <c r="P382" s="54" t="e">
        <f t="shared" si="36"/>
        <v>#VALUE!</v>
      </c>
      <c r="Q382" s="40">
        <f t="shared" si="37"/>
        <v>0.100393030628705</v>
      </c>
      <c r="R382" s="37">
        <f t="shared" si="38"/>
        <v>80.950000000011642</v>
      </c>
      <c r="S382" s="41">
        <f t="shared" si="39"/>
        <v>4.3686749331321088E-4</v>
      </c>
      <c r="T382" s="37" t="e">
        <f>SUMIF('[1]JOBS MAR 15'!$E$8:$E$525,$E$16:$E$533,'[1]JOBS MAR 15'!$G$8:$G$525)</f>
        <v>#VALUE!</v>
      </c>
      <c r="U382" s="37" t="e">
        <f>SUMIF('[1]JOBS MAR 15'!$E$8:$E$525,$E$16:$E$533,'[1]JOBS MAR 15'!$H$8:$H$525)</f>
        <v>#VALUE!</v>
      </c>
      <c r="V382" s="37" t="e">
        <f>SUMIF('[1]JOBS MAR 15'!$E$8:$E$525,$E$16:$E$533,'[1]JOBS MAR 15'!$I$8:$I$525)</f>
        <v>#VALUE!</v>
      </c>
      <c r="W382" s="55" t="str">
        <f t="shared" si="40"/>
        <v xml:space="preserve"> </v>
      </c>
    </row>
    <row r="383" spans="2:23" x14ac:dyDescent="0.2">
      <c r="B383">
        <v>4029</v>
      </c>
      <c r="C383">
        <v>7</v>
      </c>
      <c r="D383" s="2" t="s">
        <v>813</v>
      </c>
      <c r="E383" s="50" t="s">
        <v>814</v>
      </c>
      <c r="F383" s="50">
        <v>2700142</v>
      </c>
      <c r="G383" s="50">
        <v>4</v>
      </c>
      <c r="H383" s="52" t="e">
        <f>SUMIF('[1]Build Detail'!$D$4:$D$521,$B$16:$B$533,'[1]Build Detail'!$H$4:$H$521)</f>
        <v>#VALUE!</v>
      </c>
      <c r="I383" s="52" t="e">
        <f>SUMIF('[1]Build Detail'!$D$4:$D$521,$B$16:$B$533,'[1]Build Detail'!$Q$4:$Q$521)</f>
        <v>#VALUE!</v>
      </c>
      <c r="J383" s="52" t="e">
        <f>SUMIF('[1]Build Detail'!$D$4:$D$521,$B$16:$B$533,'[1]Build Detail'!$T$4:$T$521)</f>
        <v>#VALUE!</v>
      </c>
      <c r="K383" s="53">
        <v>3285995.1</v>
      </c>
      <c r="L383" s="37">
        <f t="shared" si="41"/>
        <v>92667.78</v>
      </c>
      <c r="M383" s="37">
        <v>91906.71</v>
      </c>
      <c r="N383" s="38">
        <v>82716.039999999994</v>
      </c>
      <c r="O383" s="37">
        <f t="shared" si="35"/>
        <v>9951.7400000000052</v>
      </c>
      <c r="P383" s="54" t="e">
        <f t="shared" si="36"/>
        <v>#VALUE!</v>
      </c>
      <c r="Q383" s="40">
        <f t="shared" si="37"/>
        <v>0.10739158745358965</v>
      </c>
      <c r="R383" s="37">
        <f t="shared" si="38"/>
        <v>761.06999999999243</v>
      </c>
      <c r="S383" s="41">
        <f t="shared" si="39"/>
        <v>8.280897009587139E-3</v>
      </c>
      <c r="T383" s="37" t="e">
        <f>SUMIF('[1]JOBS MAR 15'!$E$8:$E$525,$E$16:$E$533,'[1]JOBS MAR 15'!$G$8:$G$525)</f>
        <v>#VALUE!</v>
      </c>
      <c r="U383" s="37" t="e">
        <f>SUMIF('[1]JOBS MAR 15'!$E$8:$E$525,$E$16:$E$533,'[1]JOBS MAR 15'!$H$8:$H$525)</f>
        <v>#VALUE!</v>
      </c>
      <c r="V383" s="37" t="e">
        <f>SUMIF('[1]JOBS MAR 15'!$E$8:$E$525,$E$16:$E$533,'[1]JOBS MAR 15'!$I$8:$I$525)</f>
        <v>#VALUE!</v>
      </c>
      <c r="W383" s="55" t="str">
        <f t="shared" si="40"/>
        <v xml:space="preserve"> </v>
      </c>
    </row>
    <row r="384" spans="2:23" x14ac:dyDescent="0.2">
      <c r="B384">
        <v>4030</v>
      </c>
      <c r="C384">
        <v>7</v>
      </c>
      <c r="D384" s="2" t="s">
        <v>815</v>
      </c>
      <c r="E384" s="50" t="s">
        <v>816</v>
      </c>
      <c r="F384" s="50">
        <v>2700151</v>
      </c>
      <c r="G384" s="50">
        <v>6</v>
      </c>
      <c r="H384" s="52" t="e">
        <f>SUMIF('[1]Build Detail'!$D$4:$D$521,$B$16:$B$533,'[1]Build Detail'!$H$4:$H$521)</f>
        <v>#VALUE!</v>
      </c>
      <c r="I384" s="52" t="e">
        <f>SUMIF('[1]Build Detail'!$D$4:$D$521,$B$16:$B$533,'[1]Build Detail'!$Q$4:$Q$521)</f>
        <v>#VALUE!</v>
      </c>
      <c r="J384" s="52" t="e">
        <f>SUMIF('[1]Build Detail'!$D$4:$D$521,$B$16:$B$533,'[1]Build Detail'!$T$4:$T$521)</f>
        <v>#VALUE!</v>
      </c>
      <c r="K384" s="53">
        <v>2371405.8000000003</v>
      </c>
      <c r="L384" s="37">
        <f t="shared" si="41"/>
        <v>66875.600000000006</v>
      </c>
      <c r="M384" s="37">
        <v>66954.3</v>
      </c>
      <c r="N384" s="38">
        <v>60258.87</v>
      </c>
      <c r="O384" s="37">
        <f t="shared" si="35"/>
        <v>6616.7300000000032</v>
      </c>
      <c r="P384" s="54" t="e">
        <f t="shared" si="36"/>
        <v>#VALUE!</v>
      </c>
      <c r="Q384" s="40">
        <f t="shared" si="37"/>
        <v>9.8940869315565061E-2</v>
      </c>
      <c r="R384" s="37">
        <f t="shared" si="38"/>
        <v>-78.69999999999709</v>
      </c>
      <c r="S384" s="41">
        <f t="shared" si="39"/>
        <v>-1.1754286132480973E-3</v>
      </c>
      <c r="T384" s="37" t="e">
        <f>SUMIF('[1]JOBS MAR 15'!$E$8:$E$525,$E$16:$E$533,'[1]JOBS MAR 15'!$G$8:$G$525)</f>
        <v>#VALUE!</v>
      </c>
      <c r="U384" s="37" t="e">
        <f>SUMIF('[1]JOBS MAR 15'!$E$8:$E$525,$E$16:$E$533,'[1]JOBS MAR 15'!$H$8:$H$525)</f>
        <v>#VALUE!</v>
      </c>
      <c r="V384" s="37" t="e">
        <f>SUMIF('[1]JOBS MAR 15'!$E$8:$E$525,$E$16:$E$533,'[1]JOBS MAR 15'!$I$8:$I$525)</f>
        <v>#VALUE!</v>
      </c>
      <c r="W384" s="55" t="str">
        <f t="shared" si="40"/>
        <v xml:space="preserve"> </v>
      </c>
    </row>
    <row r="385" spans="1:23" x14ac:dyDescent="0.2">
      <c r="B385">
        <v>4031</v>
      </c>
      <c r="C385">
        <v>7</v>
      </c>
      <c r="D385" s="2" t="s">
        <v>817</v>
      </c>
      <c r="E385" s="50" t="s">
        <v>818</v>
      </c>
      <c r="F385" s="50">
        <v>2700152</v>
      </c>
      <c r="G385" s="50">
        <v>4</v>
      </c>
      <c r="H385" s="52" t="e">
        <f>SUMIF('[1]Build Detail'!$D$4:$D$521,$B$16:$B$533,'[1]Build Detail'!$H$4:$H$521)</f>
        <v>#VALUE!</v>
      </c>
      <c r="I385" s="52" t="e">
        <f>SUMIF('[1]Build Detail'!$D$4:$D$521,$B$16:$B$533,'[1]Build Detail'!$Q$4:$Q$521)</f>
        <v>#VALUE!</v>
      </c>
      <c r="J385" s="52" t="e">
        <f>SUMIF('[1]Build Detail'!$D$4:$D$521,$B$16:$B$533,'[1]Build Detail'!$T$4:$T$521)</f>
        <v>#VALUE!</v>
      </c>
      <c r="K385" s="53">
        <v>735641.96000000008</v>
      </c>
      <c r="L385" s="37">
        <f t="shared" si="41"/>
        <v>20745.71</v>
      </c>
      <c r="M385" s="37">
        <v>20593.919999999998</v>
      </c>
      <c r="N385" s="38">
        <v>18534.53</v>
      </c>
      <c r="O385" s="37">
        <f t="shared" si="35"/>
        <v>2211.1800000000003</v>
      </c>
      <c r="P385" s="54" t="e">
        <f t="shared" si="36"/>
        <v>#VALUE!</v>
      </c>
      <c r="Q385" s="40">
        <f t="shared" si="37"/>
        <v>0.10658492767902378</v>
      </c>
      <c r="R385" s="37">
        <f t="shared" si="38"/>
        <v>151.79000000000087</v>
      </c>
      <c r="S385" s="41">
        <f t="shared" si="39"/>
        <v>7.3706220088259489E-3</v>
      </c>
      <c r="T385" s="37" t="e">
        <f>SUMIF('[1]JOBS MAR 15'!$E$8:$E$525,$E$16:$E$533,'[1]JOBS MAR 15'!$G$8:$G$525)</f>
        <v>#VALUE!</v>
      </c>
      <c r="U385" s="37" t="e">
        <f>SUMIF('[1]JOBS MAR 15'!$E$8:$E$525,$E$16:$E$533,'[1]JOBS MAR 15'!$H$8:$H$525)</f>
        <v>#VALUE!</v>
      </c>
      <c r="V385" s="37" t="e">
        <f>SUMIF('[1]JOBS MAR 15'!$E$8:$E$525,$E$16:$E$533,'[1]JOBS MAR 15'!$I$8:$I$525)</f>
        <v>#VALUE!</v>
      </c>
      <c r="W385" s="55" t="str">
        <f t="shared" si="40"/>
        <v xml:space="preserve"> </v>
      </c>
    </row>
    <row r="386" spans="1:23" x14ac:dyDescent="0.2">
      <c r="B386">
        <v>4032</v>
      </c>
      <c r="C386">
        <v>7</v>
      </c>
      <c r="D386" s="2" t="s">
        <v>819</v>
      </c>
      <c r="E386" s="50" t="s">
        <v>820</v>
      </c>
      <c r="F386" s="50">
        <v>2700153</v>
      </c>
      <c r="G386" s="50">
        <v>5</v>
      </c>
      <c r="H386" s="52" t="e">
        <f>SUMIF('[1]Build Detail'!$D$4:$D$521,$B$16:$B$533,'[1]Build Detail'!$H$4:$H$521)</f>
        <v>#VALUE!</v>
      </c>
      <c r="I386" s="52" t="e">
        <f>SUMIF('[1]Build Detail'!$D$4:$D$521,$B$16:$B$533,'[1]Build Detail'!$Q$4:$Q$521)</f>
        <v>#VALUE!</v>
      </c>
      <c r="J386" s="52" t="e">
        <f>SUMIF('[1]Build Detail'!$D$4:$D$521,$B$16:$B$533,'[1]Build Detail'!$T$4:$T$521)</f>
        <v>#VALUE!</v>
      </c>
      <c r="K386" s="53">
        <v>2936010.89</v>
      </c>
      <c r="L386" s="37">
        <f t="shared" si="41"/>
        <v>82797.929999999993</v>
      </c>
      <c r="M386" s="37">
        <v>83056</v>
      </c>
      <c r="N386" s="38">
        <v>74750.399999999994</v>
      </c>
      <c r="O386" s="37">
        <f t="shared" si="35"/>
        <v>8047.5299999999988</v>
      </c>
      <c r="P386" s="54" t="e">
        <f t="shared" si="36"/>
        <v>#VALUE!</v>
      </c>
      <c r="Q386" s="40">
        <f t="shared" si="37"/>
        <v>9.7194821174877197E-2</v>
      </c>
      <c r="R386" s="37">
        <f t="shared" si="38"/>
        <v>-258.07000000000698</v>
      </c>
      <c r="S386" s="41">
        <f t="shared" si="39"/>
        <v>-3.107180697360901E-3</v>
      </c>
      <c r="T386" s="37" t="e">
        <f>SUMIF('[1]JOBS MAR 15'!$E$8:$E$525,$E$16:$E$533,'[1]JOBS MAR 15'!$G$8:$G$525)</f>
        <v>#VALUE!</v>
      </c>
      <c r="U386" s="37" t="e">
        <f>SUMIF('[1]JOBS MAR 15'!$E$8:$E$525,$E$16:$E$533,'[1]JOBS MAR 15'!$H$8:$H$525)</f>
        <v>#VALUE!</v>
      </c>
      <c r="V386" s="37" t="e">
        <f>SUMIF('[1]JOBS MAR 15'!$E$8:$E$525,$E$16:$E$533,'[1]JOBS MAR 15'!$I$8:$I$525)</f>
        <v>#VALUE!</v>
      </c>
      <c r="W386" s="55" t="str">
        <f t="shared" si="40"/>
        <v xml:space="preserve"> </v>
      </c>
    </row>
    <row r="387" spans="1:23" x14ac:dyDescent="0.2">
      <c r="B387">
        <v>4035</v>
      </c>
      <c r="C387">
        <v>7</v>
      </c>
      <c r="D387" s="2" t="s">
        <v>821</v>
      </c>
      <c r="E387" s="50" t="s">
        <v>822</v>
      </c>
      <c r="F387" s="50">
        <v>2700156</v>
      </c>
      <c r="G387" s="50">
        <v>4</v>
      </c>
      <c r="H387" s="52" t="e">
        <f>SUMIF('[1]Build Detail'!$D$4:$D$521,$B$16:$B$533,'[1]Build Detail'!$H$4:$H$521)</f>
        <v>#VALUE!</v>
      </c>
      <c r="I387" s="52" t="e">
        <f>SUMIF('[1]Build Detail'!$D$4:$D$521,$B$16:$B$533,'[1]Build Detail'!$Q$4:$Q$521)</f>
        <v>#VALUE!</v>
      </c>
      <c r="J387" s="52" t="e">
        <f>SUMIF('[1]Build Detail'!$D$4:$D$521,$B$16:$B$533,'[1]Build Detail'!$T$4:$T$521)</f>
        <v>#VALUE!</v>
      </c>
      <c r="K387" s="53">
        <v>3714308.76</v>
      </c>
      <c r="L387" s="37">
        <f t="shared" si="41"/>
        <v>104746.58</v>
      </c>
      <c r="M387" s="37">
        <v>101531.35</v>
      </c>
      <c r="N387" s="38">
        <v>91378.22</v>
      </c>
      <c r="O387" s="37">
        <f t="shared" si="35"/>
        <v>13368.36</v>
      </c>
      <c r="P387" s="54" t="e">
        <f t="shared" si="36"/>
        <v>#VALUE!</v>
      </c>
      <c r="Q387" s="40">
        <f t="shared" si="37"/>
        <v>0.12762574205286703</v>
      </c>
      <c r="R387" s="37">
        <f t="shared" si="38"/>
        <v>3215.2299999999959</v>
      </c>
      <c r="S387" s="41">
        <f t="shared" si="39"/>
        <v>3.1667361854244978E-2</v>
      </c>
      <c r="T387" s="37" t="e">
        <f>SUMIF('[1]JOBS MAR 15'!$E$8:$E$525,$E$16:$E$533,'[1]JOBS MAR 15'!$G$8:$G$525)</f>
        <v>#VALUE!</v>
      </c>
      <c r="U387" s="37" t="e">
        <f>SUMIF('[1]JOBS MAR 15'!$E$8:$E$525,$E$16:$E$533,'[1]JOBS MAR 15'!$H$8:$H$525)</f>
        <v>#VALUE!</v>
      </c>
      <c r="V387" s="37" t="e">
        <f>SUMIF('[1]JOBS MAR 15'!$E$8:$E$525,$E$16:$E$533,'[1]JOBS MAR 15'!$I$8:$I$525)</f>
        <v>#VALUE!</v>
      </c>
      <c r="W387" s="55" t="str">
        <f t="shared" si="40"/>
        <v xml:space="preserve"> </v>
      </c>
    </row>
    <row r="388" spans="1:23" x14ac:dyDescent="0.2">
      <c r="B388">
        <v>4036</v>
      </c>
      <c r="C388">
        <v>7</v>
      </c>
      <c r="D388" s="2" t="s">
        <v>823</v>
      </c>
      <c r="E388" s="50" t="s">
        <v>824</v>
      </c>
      <c r="F388" s="50">
        <v>2700157</v>
      </c>
      <c r="G388" s="50">
        <v>4</v>
      </c>
      <c r="H388" s="52" t="e">
        <f>SUMIF('[1]Build Detail'!$D$4:$D$521,$B$16:$B$533,'[1]Build Detail'!$H$4:$H$521)</f>
        <v>#VALUE!</v>
      </c>
      <c r="I388" s="52" t="e">
        <f>SUMIF('[1]Build Detail'!$D$4:$D$521,$B$16:$B$533,'[1]Build Detail'!$Q$4:$Q$521)</f>
        <v>#VALUE!</v>
      </c>
      <c r="J388" s="52" t="e">
        <f>SUMIF('[1]Build Detail'!$D$4:$D$521,$B$16:$B$533,'[1]Build Detail'!$T$4:$T$521)</f>
        <v>#VALUE!</v>
      </c>
      <c r="K388" s="53">
        <v>774144.98</v>
      </c>
      <c r="L388" s="37">
        <f t="shared" si="41"/>
        <v>21831.53</v>
      </c>
      <c r="M388" s="37">
        <v>21607.77</v>
      </c>
      <c r="N388" s="38">
        <v>19446.990000000002</v>
      </c>
      <c r="O388" s="37">
        <f t="shared" si="35"/>
        <v>2384.5399999999972</v>
      </c>
      <c r="P388" s="54" t="e">
        <f t="shared" si="36"/>
        <v>#VALUE!</v>
      </c>
      <c r="Q388" s="40">
        <f t="shared" si="37"/>
        <v>0.10922459397028048</v>
      </c>
      <c r="R388" s="37">
        <f t="shared" si="38"/>
        <v>223.7599999999984</v>
      </c>
      <c r="S388" s="41">
        <f t="shared" si="39"/>
        <v>1.0355534143504786E-2</v>
      </c>
      <c r="T388" s="37" t="e">
        <f>SUMIF('[1]JOBS MAR 15'!$E$8:$E$525,$E$16:$E$533,'[1]JOBS MAR 15'!$G$8:$G$525)</f>
        <v>#VALUE!</v>
      </c>
      <c r="U388" s="37" t="e">
        <f>SUMIF('[1]JOBS MAR 15'!$E$8:$E$525,$E$16:$E$533,'[1]JOBS MAR 15'!$H$8:$H$525)</f>
        <v>#VALUE!</v>
      </c>
      <c r="V388" s="37" t="e">
        <f>SUMIF('[1]JOBS MAR 15'!$E$8:$E$525,$E$16:$E$533,'[1]JOBS MAR 15'!$I$8:$I$525)</f>
        <v>#VALUE!</v>
      </c>
      <c r="W388" s="55" t="str">
        <f t="shared" si="40"/>
        <v xml:space="preserve"> </v>
      </c>
    </row>
    <row r="389" spans="1:23" x14ac:dyDescent="0.2">
      <c r="B389">
        <v>4038</v>
      </c>
      <c r="C389">
        <v>7</v>
      </c>
      <c r="D389" s="2" t="s">
        <v>825</v>
      </c>
      <c r="E389" s="50" t="s">
        <v>826</v>
      </c>
      <c r="F389" s="50">
        <v>2700159</v>
      </c>
      <c r="G389" s="50">
        <v>5</v>
      </c>
      <c r="H389" s="52" t="e">
        <f>SUMIF('[1]Build Detail'!$D$4:$D$521,$B$16:$B$533,'[1]Build Detail'!$H$4:$H$521)</f>
        <v>#VALUE!</v>
      </c>
      <c r="I389" s="52" t="e">
        <f>SUMIF('[1]Build Detail'!$D$4:$D$521,$B$16:$B$533,'[1]Build Detail'!$Q$4:$Q$521)</f>
        <v>#VALUE!</v>
      </c>
      <c r="J389" s="52" t="e">
        <f>SUMIF('[1]Build Detail'!$D$4:$D$521,$B$16:$B$533,'[1]Build Detail'!$T$4:$T$521)</f>
        <v>#VALUE!</v>
      </c>
      <c r="K389" s="53">
        <v>3542330.01</v>
      </c>
      <c r="L389" s="37">
        <f t="shared" si="41"/>
        <v>99896.639999999999</v>
      </c>
      <c r="M389" s="37">
        <v>96311.7</v>
      </c>
      <c r="N389" s="38">
        <v>86680.53</v>
      </c>
      <c r="O389" s="37">
        <f t="shared" si="35"/>
        <v>13216.11</v>
      </c>
      <c r="P389" s="54" t="e">
        <f t="shared" si="36"/>
        <v>#VALUE!</v>
      </c>
      <c r="Q389" s="40">
        <f t="shared" si="37"/>
        <v>0.1322978430505771</v>
      </c>
      <c r="R389" s="37">
        <f t="shared" si="38"/>
        <v>3584.9400000000023</v>
      </c>
      <c r="S389" s="41">
        <f t="shared" si="39"/>
        <v>3.7222268945517549E-2</v>
      </c>
      <c r="T389" s="37" t="e">
        <f>SUMIF('[1]JOBS MAR 15'!$E$8:$E$525,$E$16:$E$533,'[1]JOBS MAR 15'!$G$8:$G$525)</f>
        <v>#VALUE!</v>
      </c>
      <c r="U389" s="37" t="e">
        <f>SUMIF('[1]JOBS MAR 15'!$E$8:$E$525,$E$16:$E$533,'[1]JOBS MAR 15'!$H$8:$H$525)</f>
        <v>#VALUE!</v>
      </c>
      <c r="V389" s="37" t="e">
        <f>SUMIF('[1]JOBS MAR 15'!$E$8:$E$525,$E$16:$E$533,'[1]JOBS MAR 15'!$I$8:$I$525)</f>
        <v>#VALUE!</v>
      </c>
      <c r="W389" s="55" t="str">
        <f t="shared" si="40"/>
        <v xml:space="preserve"> </v>
      </c>
    </row>
    <row r="390" spans="1:23" x14ac:dyDescent="0.2">
      <c r="B390">
        <v>4039</v>
      </c>
      <c r="C390">
        <v>7</v>
      </c>
      <c r="D390" s="2" t="s">
        <v>827</v>
      </c>
      <c r="E390" s="50" t="s">
        <v>828</v>
      </c>
      <c r="F390" s="50">
        <v>2700160</v>
      </c>
      <c r="G390" s="50">
        <v>4</v>
      </c>
      <c r="H390" s="52" t="e">
        <f>SUMIF('[1]Build Detail'!$D$4:$D$521,$B$16:$B$533,'[1]Build Detail'!$H$4:$H$521)</f>
        <v>#VALUE!</v>
      </c>
      <c r="I390" s="52" t="e">
        <f>SUMIF('[1]Build Detail'!$D$4:$D$521,$B$16:$B$533,'[1]Build Detail'!$Q$4:$Q$521)</f>
        <v>#VALUE!</v>
      </c>
      <c r="J390" s="52" t="e">
        <f>SUMIF('[1]Build Detail'!$D$4:$D$521,$B$16:$B$533,'[1]Build Detail'!$T$4:$T$521)</f>
        <v>#VALUE!</v>
      </c>
      <c r="K390" s="53">
        <v>2286741.5099999998</v>
      </c>
      <c r="L390" s="37">
        <f t="shared" si="41"/>
        <v>64488</v>
      </c>
      <c r="M390" s="37">
        <v>64336.73</v>
      </c>
      <c r="N390" s="38">
        <v>57903.06</v>
      </c>
      <c r="O390" s="37">
        <f t="shared" si="35"/>
        <v>6584.9400000000023</v>
      </c>
      <c r="P390" s="54" t="e">
        <f t="shared" si="36"/>
        <v>#VALUE!</v>
      </c>
      <c r="Q390" s="40">
        <f t="shared" si="37"/>
        <v>0.10211109043542989</v>
      </c>
      <c r="R390" s="37">
        <f t="shared" si="38"/>
        <v>151.2699999999968</v>
      </c>
      <c r="S390" s="41">
        <f t="shared" si="39"/>
        <v>2.3512230105570612E-3</v>
      </c>
      <c r="T390" s="37" t="e">
        <f>SUMIF('[1]JOBS MAR 15'!$E$8:$E$525,$E$16:$E$533,'[1]JOBS MAR 15'!$G$8:$G$525)</f>
        <v>#VALUE!</v>
      </c>
      <c r="U390" s="37" t="e">
        <f>SUMIF('[1]JOBS MAR 15'!$E$8:$E$525,$E$16:$E$533,'[1]JOBS MAR 15'!$H$8:$H$525)</f>
        <v>#VALUE!</v>
      </c>
      <c r="V390" s="37" t="e">
        <f>SUMIF('[1]JOBS MAR 15'!$E$8:$E$525,$E$16:$E$533,'[1]JOBS MAR 15'!$I$8:$I$525)</f>
        <v>#VALUE!</v>
      </c>
      <c r="W390" s="55" t="str">
        <f t="shared" si="40"/>
        <v xml:space="preserve"> </v>
      </c>
    </row>
    <row r="391" spans="1:23" x14ac:dyDescent="0.2">
      <c r="B391">
        <v>4042</v>
      </c>
      <c r="C391">
        <v>7</v>
      </c>
      <c r="D391" s="2" t="s">
        <v>829</v>
      </c>
      <c r="E391" s="50" t="s">
        <v>830</v>
      </c>
      <c r="F391" s="50">
        <v>2700166</v>
      </c>
      <c r="G391" s="50">
        <v>4</v>
      </c>
      <c r="H391" s="52" t="e">
        <f>SUMIF('[1]Build Detail'!$D$4:$D$521,$B$16:$B$533,'[1]Build Detail'!$H$4:$H$521)</f>
        <v>#VALUE!</v>
      </c>
      <c r="I391" s="52" t="e">
        <f>SUMIF('[1]Build Detail'!$D$4:$D$521,$B$16:$B$533,'[1]Build Detail'!$Q$4:$Q$521)</f>
        <v>#VALUE!</v>
      </c>
      <c r="J391" s="52" t="e">
        <f>SUMIF('[1]Build Detail'!$D$4:$D$521,$B$16:$B$533,'[1]Build Detail'!$T$4:$T$521)</f>
        <v>#VALUE!</v>
      </c>
      <c r="K391" s="53">
        <v>1354113.31</v>
      </c>
      <c r="L391" s="37">
        <f t="shared" si="41"/>
        <v>38187.120000000003</v>
      </c>
      <c r="M391" s="37">
        <v>38265.800000000003</v>
      </c>
      <c r="N391" s="38">
        <v>34439.22</v>
      </c>
      <c r="O391" s="37">
        <f t="shared" si="35"/>
        <v>3747.9000000000015</v>
      </c>
      <c r="P391" s="54" t="e">
        <f t="shared" si="36"/>
        <v>#VALUE!</v>
      </c>
      <c r="Q391" s="40">
        <f t="shared" si="37"/>
        <v>9.8145657488703034E-2</v>
      </c>
      <c r="R391" s="37">
        <f t="shared" si="38"/>
        <v>-78.680000000000291</v>
      </c>
      <c r="S391" s="41">
        <f t="shared" si="39"/>
        <v>-2.0561441286997863E-3</v>
      </c>
      <c r="T391" s="37" t="e">
        <f>SUMIF('[1]JOBS MAR 15'!$E$8:$E$525,$E$16:$E$533,'[1]JOBS MAR 15'!$G$8:$G$525)</f>
        <v>#VALUE!</v>
      </c>
      <c r="U391" s="37" t="e">
        <f>SUMIF('[1]JOBS MAR 15'!$E$8:$E$525,$E$16:$E$533,'[1]JOBS MAR 15'!$H$8:$H$525)</f>
        <v>#VALUE!</v>
      </c>
      <c r="V391" s="37" t="e">
        <f>SUMIF('[1]JOBS MAR 15'!$E$8:$E$525,$E$16:$E$533,'[1]JOBS MAR 15'!$I$8:$I$525)</f>
        <v>#VALUE!</v>
      </c>
      <c r="W391" s="55" t="str">
        <f t="shared" si="40"/>
        <v xml:space="preserve"> </v>
      </c>
    </row>
    <row r="392" spans="1:23" x14ac:dyDescent="0.2">
      <c r="B392">
        <v>4043</v>
      </c>
      <c r="C392">
        <v>7</v>
      </c>
      <c r="D392" s="2" t="s">
        <v>831</v>
      </c>
      <c r="E392" s="50" t="s">
        <v>832</v>
      </c>
      <c r="F392" s="50">
        <v>2700167</v>
      </c>
      <c r="G392" s="50">
        <v>6</v>
      </c>
      <c r="H392" s="52" t="e">
        <f>SUMIF('[1]Build Detail'!$D$4:$D$521,$B$16:$B$533,'[1]Build Detail'!$H$4:$H$521)</f>
        <v>#VALUE!</v>
      </c>
      <c r="I392" s="52" t="e">
        <f>SUMIF('[1]Build Detail'!$D$4:$D$521,$B$16:$B$533,'[1]Build Detail'!$Q$4:$Q$521)</f>
        <v>#VALUE!</v>
      </c>
      <c r="J392" s="52" t="e">
        <f>SUMIF('[1]Build Detail'!$D$4:$D$521,$B$16:$B$533,'[1]Build Detail'!$T$4:$T$521)</f>
        <v>#VALUE!</v>
      </c>
      <c r="K392" s="53">
        <v>2308619.37</v>
      </c>
      <c r="L392" s="37">
        <f t="shared" si="41"/>
        <v>65104.98</v>
      </c>
      <c r="M392" s="37">
        <v>64459.199999999997</v>
      </c>
      <c r="N392" s="38">
        <v>58013.279999999999</v>
      </c>
      <c r="O392" s="37">
        <f t="shared" si="35"/>
        <v>7091.7000000000044</v>
      </c>
      <c r="P392" s="54" t="e">
        <f t="shared" si="36"/>
        <v>#VALUE!</v>
      </c>
      <c r="Q392" s="40">
        <f t="shared" si="37"/>
        <v>0.10892715119488561</v>
      </c>
      <c r="R392" s="37">
        <f t="shared" si="38"/>
        <v>645.78000000000611</v>
      </c>
      <c r="S392" s="41">
        <f t="shared" si="39"/>
        <v>1.0018430262864047E-2</v>
      </c>
      <c r="T392" s="37" t="e">
        <f>SUMIF('[1]JOBS MAR 15'!$E$8:$E$525,$E$16:$E$533,'[1]JOBS MAR 15'!$G$8:$G$525)</f>
        <v>#VALUE!</v>
      </c>
      <c r="U392" s="37" t="e">
        <f>SUMIF('[1]JOBS MAR 15'!$E$8:$E$525,$E$16:$E$533,'[1]JOBS MAR 15'!$H$8:$H$525)</f>
        <v>#VALUE!</v>
      </c>
      <c r="V392" s="37" t="e">
        <f>SUMIF('[1]JOBS MAR 15'!$E$8:$E$525,$E$16:$E$533,'[1]JOBS MAR 15'!$I$8:$I$525)</f>
        <v>#VALUE!</v>
      </c>
      <c r="W392" s="55" t="str">
        <f t="shared" si="40"/>
        <v xml:space="preserve"> </v>
      </c>
    </row>
    <row r="393" spans="1:23" x14ac:dyDescent="0.2">
      <c r="B393">
        <v>4045</v>
      </c>
      <c r="C393">
        <v>7</v>
      </c>
      <c r="D393" s="2" t="s">
        <v>833</v>
      </c>
      <c r="E393" s="50" t="s">
        <v>834</v>
      </c>
      <c r="F393" s="50">
        <v>2700169</v>
      </c>
      <c r="G393" s="50">
        <v>7</v>
      </c>
      <c r="H393" s="52" t="e">
        <f>SUMIF('[1]Build Detail'!$D$4:$D$521,$B$16:$B$533,'[1]Build Detail'!$H$4:$H$521)</f>
        <v>#VALUE!</v>
      </c>
      <c r="I393" s="52" t="e">
        <f>SUMIF('[1]Build Detail'!$D$4:$D$521,$B$16:$B$533,'[1]Build Detail'!$Q$4:$Q$521)</f>
        <v>#VALUE!</v>
      </c>
      <c r="J393" s="52" t="e">
        <f>SUMIF('[1]Build Detail'!$D$4:$D$521,$B$16:$B$533,'[1]Build Detail'!$T$4:$T$521)</f>
        <v>#VALUE!</v>
      </c>
      <c r="K393" s="53">
        <v>531031.66</v>
      </c>
      <c r="L393" s="37">
        <f t="shared" si="41"/>
        <v>14975.53</v>
      </c>
      <c r="M393" s="37">
        <v>14883.1</v>
      </c>
      <c r="N393" s="38">
        <v>13394.79</v>
      </c>
      <c r="O393" s="37">
        <f t="shared" si="35"/>
        <v>1580.7399999999998</v>
      </c>
      <c r="P393" s="54" t="e">
        <f t="shared" si="36"/>
        <v>#VALUE!</v>
      </c>
      <c r="Q393" s="40">
        <f t="shared" si="37"/>
        <v>0.10555486183126739</v>
      </c>
      <c r="R393" s="37">
        <f t="shared" si="38"/>
        <v>92.430000000000291</v>
      </c>
      <c r="S393" s="41">
        <f t="shared" si="39"/>
        <v>6.2103997151131346E-3</v>
      </c>
      <c r="T393" s="37" t="e">
        <f>SUMIF('[1]JOBS MAR 15'!$E$8:$E$525,$E$16:$E$533,'[1]JOBS MAR 15'!$G$8:$G$525)</f>
        <v>#VALUE!</v>
      </c>
      <c r="U393" s="37" t="e">
        <f>SUMIF('[1]JOBS MAR 15'!$E$8:$E$525,$E$16:$E$533,'[1]JOBS MAR 15'!$H$8:$H$525)</f>
        <v>#VALUE!</v>
      </c>
      <c r="V393" s="37" t="e">
        <f>SUMIF('[1]JOBS MAR 15'!$E$8:$E$525,$E$16:$E$533,'[1]JOBS MAR 15'!$I$8:$I$525)</f>
        <v>#VALUE!</v>
      </c>
      <c r="W393" s="55" t="str">
        <f t="shared" si="40"/>
        <v xml:space="preserve"> </v>
      </c>
    </row>
    <row r="394" spans="1:23" x14ac:dyDescent="0.2">
      <c r="A394" s="56" t="s">
        <v>835</v>
      </c>
      <c r="B394" s="56">
        <v>4046</v>
      </c>
      <c r="C394" s="56">
        <v>7</v>
      </c>
      <c r="D394" s="59" t="s">
        <v>836</v>
      </c>
      <c r="E394" s="60" t="s">
        <v>837</v>
      </c>
      <c r="F394" s="60">
        <v>2700170</v>
      </c>
      <c r="G394" s="60">
        <v>8</v>
      </c>
      <c r="H394" s="61" t="e">
        <f>SUMIF('[1]Build Detail'!$D$4:$D$521,$B$16:$B$533,'[1]Build Detail'!$H$4:$H$521)</f>
        <v>#VALUE!</v>
      </c>
      <c r="I394" s="61" t="e">
        <f>SUMIF('[1]Build Detail'!$D$4:$D$521,$B$16:$B$533,'[1]Build Detail'!$Q$4:$Q$521)</f>
        <v>#VALUE!</v>
      </c>
      <c r="J394" s="61" t="e">
        <f>SUMIF('[1]Build Detail'!$D$4:$D$521,$B$16:$B$533,'[1]Build Detail'!$T$4:$T$521)</f>
        <v>#VALUE!</v>
      </c>
      <c r="K394" s="62">
        <v>884653.93</v>
      </c>
      <c r="L394" s="63">
        <f t="shared" si="41"/>
        <v>24947.97</v>
      </c>
      <c r="M394" s="63">
        <v>25018.73</v>
      </c>
      <c r="N394" s="64">
        <v>22516.86</v>
      </c>
      <c r="O394" s="63">
        <f t="shared" si="35"/>
        <v>2431.1100000000006</v>
      </c>
      <c r="P394" s="65" t="e">
        <f t="shared" si="36"/>
        <v>#VALUE!</v>
      </c>
      <c r="Q394" s="66">
        <f t="shared" si="37"/>
        <v>9.744720712747372E-2</v>
      </c>
      <c r="R394" s="63">
        <f t="shared" si="38"/>
        <v>-70.759999999998399</v>
      </c>
      <c r="S394" s="67">
        <f t="shared" si="39"/>
        <v>-2.8282810518359004E-3</v>
      </c>
      <c r="T394" s="63" t="e">
        <f>SUMIF('[1]JOBS MAR 15'!$E$8:$E$525,$E$16:$E$533,'[1]JOBS MAR 15'!$G$8:$G$525)</f>
        <v>#VALUE!</v>
      </c>
      <c r="U394" s="63" t="e">
        <f>SUMIF('[1]JOBS MAR 15'!$E$8:$E$525,$E$16:$E$533,'[1]JOBS MAR 15'!$H$8:$H$525)</f>
        <v>#VALUE!</v>
      </c>
      <c r="V394" s="63" t="e">
        <f>SUMIF('[1]JOBS MAR 15'!$E$8:$E$525,$E$16:$E$533,'[1]JOBS MAR 15'!$I$8:$I$525)</f>
        <v>#VALUE!</v>
      </c>
      <c r="W394" s="68" t="str">
        <f t="shared" si="40"/>
        <v xml:space="preserve"> </v>
      </c>
    </row>
    <row r="395" spans="1:23" x14ac:dyDescent="0.2">
      <c r="A395" s="56" t="s">
        <v>835</v>
      </c>
      <c r="B395" s="69">
        <v>4048</v>
      </c>
      <c r="C395" s="69">
        <v>7</v>
      </c>
      <c r="D395" s="70" t="s">
        <v>838</v>
      </c>
      <c r="E395" s="60" t="s">
        <v>839</v>
      </c>
      <c r="F395" s="60">
        <v>2700172</v>
      </c>
      <c r="G395" s="60">
        <v>6</v>
      </c>
      <c r="H395" s="61" t="e">
        <f>SUMIF('[1]Build Detail'!$D$4:$D$521,$B$16:$B$533,'[1]Build Detail'!$H$4:$H$521)</f>
        <v>#VALUE!</v>
      </c>
      <c r="I395" s="61" t="e">
        <f>SUMIF('[1]Build Detail'!$D$4:$D$521,$B$16:$B$533,'[1]Build Detail'!$Q$4:$Q$521)</f>
        <v>#VALUE!</v>
      </c>
      <c r="J395" s="61" t="e">
        <f>SUMIF('[1]Build Detail'!$D$4:$D$521,$B$16:$B$533,'[1]Build Detail'!$T$4:$T$521)</f>
        <v>#VALUE!</v>
      </c>
      <c r="K395" s="62">
        <v>246976.68</v>
      </c>
      <c r="L395" s="63">
        <f t="shared" si="41"/>
        <v>6964.95</v>
      </c>
      <c r="M395" s="63">
        <v>8219.1200000000008</v>
      </c>
      <c r="N395" s="64">
        <v>7397.21</v>
      </c>
      <c r="O395" s="63">
        <f t="shared" si="35"/>
        <v>-432.26000000000022</v>
      </c>
      <c r="P395" s="65" t="e">
        <f t="shared" si="36"/>
        <v>#VALUE!</v>
      </c>
      <c r="Q395" s="66">
        <f t="shared" si="37"/>
        <v>-6.2062182786667558E-2</v>
      </c>
      <c r="R395" s="63">
        <f t="shared" si="38"/>
        <v>-1254.170000000001</v>
      </c>
      <c r="S395" s="67">
        <f t="shared" si="39"/>
        <v>-0.15259176164844909</v>
      </c>
      <c r="T395" s="63" t="e">
        <f>SUMIF('[1]JOBS MAR 15'!$E$8:$E$525,$E$16:$E$533,'[1]JOBS MAR 15'!$G$8:$G$525)</f>
        <v>#VALUE!</v>
      </c>
      <c r="U395" s="63" t="e">
        <f>SUMIF('[1]JOBS MAR 15'!$E$8:$E$525,$E$16:$E$533,'[1]JOBS MAR 15'!$H$8:$H$525)</f>
        <v>#VALUE!</v>
      </c>
      <c r="V395" s="63" t="e">
        <f>SUMIF('[1]JOBS MAR 15'!$E$8:$E$525,$E$16:$E$533,'[1]JOBS MAR 15'!$I$8:$I$525)</f>
        <v>#VALUE!</v>
      </c>
      <c r="W395" s="68" t="e">
        <f t="shared" si="40"/>
        <v>#VALUE!</v>
      </c>
    </row>
    <row r="396" spans="1:23" x14ac:dyDescent="0.2">
      <c r="B396">
        <v>4049</v>
      </c>
      <c r="C396">
        <v>7</v>
      </c>
      <c r="D396" s="2" t="s">
        <v>840</v>
      </c>
      <c r="E396" s="50" t="s">
        <v>841</v>
      </c>
      <c r="F396" s="50">
        <v>2700173</v>
      </c>
      <c r="G396" s="50">
        <v>6</v>
      </c>
      <c r="H396" s="52" t="e">
        <f>SUMIF('[1]Build Detail'!$D$4:$D$521,$B$16:$B$533,'[1]Build Detail'!$H$4:$H$521)</f>
        <v>#VALUE!</v>
      </c>
      <c r="I396" s="52" t="e">
        <f>SUMIF('[1]Build Detail'!$D$4:$D$521,$B$16:$B$533,'[1]Build Detail'!$Q$4:$Q$521)</f>
        <v>#VALUE!</v>
      </c>
      <c r="J396" s="52" t="e">
        <f>SUMIF('[1]Build Detail'!$D$4:$D$521,$B$16:$B$533,'[1]Build Detail'!$T$4:$T$521)</f>
        <v>#VALUE!</v>
      </c>
      <c r="K396" s="53">
        <v>1650330.3299999998</v>
      </c>
      <c r="L396" s="37">
        <f t="shared" si="41"/>
        <v>46540.68</v>
      </c>
      <c r="M396" s="37">
        <v>46101.36</v>
      </c>
      <c r="N396" s="38">
        <v>41491.22</v>
      </c>
      <c r="O396" s="37">
        <f t="shared" si="35"/>
        <v>5049.4599999999991</v>
      </c>
      <c r="P396" s="54" t="e">
        <f t="shared" si="36"/>
        <v>#VALUE!</v>
      </c>
      <c r="Q396" s="40">
        <f t="shared" si="37"/>
        <v>0.10849562146492056</v>
      </c>
      <c r="R396" s="37">
        <f t="shared" si="38"/>
        <v>439.31999999999971</v>
      </c>
      <c r="S396" s="41">
        <f t="shared" si="39"/>
        <v>9.5294368756149422E-3</v>
      </c>
      <c r="T396" s="37" t="e">
        <f>SUMIF('[1]JOBS MAR 15'!$E$8:$E$525,$E$16:$E$533,'[1]JOBS MAR 15'!$G$8:$G$525)</f>
        <v>#VALUE!</v>
      </c>
      <c r="U396" s="37" t="e">
        <f>SUMIF('[1]JOBS MAR 15'!$E$8:$E$525,$E$16:$E$533,'[1]JOBS MAR 15'!$H$8:$H$525)</f>
        <v>#VALUE!</v>
      </c>
      <c r="V396" s="37" t="e">
        <f>SUMIF('[1]JOBS MAR 15'!$E$8:$E$525,$E$16:$E$533,'[1]JOBS MAR 15'!$I$8:$I$525)</f>
        <v>#VALUE!</v>
      </c>
      <c r="W396" s="55" t="str">
        <f t="shared" si="40"/>
        <v xml:space="preserve"> </v>
      </c>
    </row>
    <row r="397" spans="1:23" x14ac:dyDescent="0.2">
      <c r="B397">
        <v>4050</v>
      </c>
      <c r="C397">
        <v>7</v>
      </c>
      <c r="D397" s="2" t="s">
        <v>842</v>
      </c>
      <c r="E397" s="50" t="s">
        <v>843</v>
      </c>
      <c r="F397" s="50">
        <v>2700174</v>
      </c>
      <c r="G397" s="50">
        <v>7</v>
      </c>
      <c r="H397" s="52" t="e">
        <f>SUMIF('[1]Build Detail'!$D$4:$D$521,$B$16:$B$533,'[1]Build Detail'!$H$4:$H$521)</f>
        <v>#VALUE!</v>
      </c>
      <c r="I397" s="52" t="e">
        <f>SUMIF('[1]Build Detail'!$D$4:$D$521,$B$16:$B$533,'[1]Build Detail'!$Q$4:$Q$521)</f>
        <v>#VALUE!</v>
      </c>
      <c r="J397" s="52" t="e">
        <f>SUMIF('[1]Build Detail'!$D$4:$D$521,$B$16:$B$533,'[1]Build Detail'!$T$4:$T$521)</f>
        <v>#VALUE!</v>
      </c>
      <c r="K397" s="53">
        <v>582907.59</v>
      </c>
      <c r="L397" s="37">
        <f t="shared" si="41"/>
        <v>16438.48</v>
      </c>
      <c r="M397" s="37">
        <v>16677.89</v>
      </c>
      <c r="N397" s="38">
        <v>15010.1</v>
      </c>
      <c r="O397" s="37">
        <f t="shared" si="35"/>
        <v>1428.3799999999992</v>
      </c>
      <c r="P397" s="54" t="e">
        <f t="shared" si="36"/>
        <v>#VALUE!</v>
      </c>
      <c r="Q397" s="40">
        <f t="shared" si="37"/>
        <v>8.6892462076785637E-2</v>
      </c>
      <c r="R397" s="37">
        <f t="shared" si="38"/>
        <v>-239.40999999999985</v>
      </c>
      <c r="S397" s="41">
        <f t="shared" si="39"/>
        <v>-1.435493338785661E-2</v>
      </c>
      <c r="T397" s="37" t="e">
        <f>SUMIF('[1]JOBS MAR 15'!$E$8:$E$525,$E$16:$E$533,'[1]JOBS MAR 15'!$G$8:$G$525)</f>
        <v>#VALUE!</v>
      </c>
      <c r="U397" s="37" t="e">
        <f>SUMIF('[1]JOBS MAR 15'!$E$8:$E$525,$E$16:$E$533,'[1]JOBS MAR 15'!$H$8:$H$525)</f>
        <v>#VALUE!</v>
      </c>
      <c r="V397" s="37" t="e">
        <f>SUMIF('[1]JOBS MAR 15'!$E$8:$E$525,$E$16:$E$533,'[1]JOBS MAR 15'!$I$8:$I$525)</f>
        <v>#VALUE!</v>
      </c>
      <c r="W397" s="55" t="str">
        <f t="shared" si="40"/>
        <v xml:space="preserve"> </v>
      </c>
    </row>
    <row r="398" spans="1:23" x14ac:dyDescent="0.2">
      <c r="B398">
        <v>4052</v>
      </c>
      <c r="C398">
        <v>7</v>
      </c>
      <c r="D398" s="2" t="s">
        <v>844</v>
      </c>
      <c r="E398" s="50" t="s">
        <v>845</v>
      </c>
      <c r="F398" s="50">
        <v>2700176</v>
      </c>
      <c r="G398" s="50">
        <v>5</v>
      </c>
      <c r="H398" s="52" t="e">
        <f>SUMIF('[1]Build Detail'!$D$4:$D$521,$B$16:$B$533,'[1]Build Detail'!$H$4:$H$521)</f>
        <v>#VALUE!</v>
      </c>
      <c r="I398" s="52" t="e">
        <f>SUMIF('[1]Build Detail'!$D$4:$D$521,$B$16:$B$533,'[1]Build Detail'!$Q$4:$Q$521)</f>
        <v>#VALUE!</v>
      </c>
      <c r="J398" s="52" t="e">
        <f>SUMIF('[1]Build Detail'!$D$4:$D$521,$B$16:$B$533,'[1]Build Detail'!$T$4:$T$521)</f>
        <v>#VALUE!</v>
      </c>
      <c r="K398" s="53">
        <v>1116692.08</v>
      </c>
      <c r="L398" s="37">
        <f t="shared" si="41"/>
        <v>31491.64</v>
      </c>
      <c r="M398" s="37">
        <v>31595.89</v>
      </c>
      <c r="N398" s="38">
        <v>28436.3</v>
      </c>
      <c r="O398" s="37">
        <f t="shared" si="35"/>
        <v>3055.34</v>
      </c>
      <c r="P398" s="54" t="e">
        <f t="shared" si="36"/>
        <v>#VALUE!</v>
      </c>
      <c r="Q398" s="40">
        <f t="shared" si="37"/>
        <v>9.7020669612633711E-2</v>
      </c>
      <c r="R398" s="37">
        <f t="shared" si="38"/>
        <v>-104.25</v>
      </c>
      <c r="S398" s="41">
        <f t="shared" si="39"/>
        <v>-3.2994797741098605E-3</v>
      </c>
      <c r="T398" s="37" t="e">
        <f>SUMIF('[1]JOBS MAR 15'!$E$8:$E$525,$E$16:$E$533,'[1]JOBS MAR 15'!$G$8:$G$525)</f>
        <v>#VALUE!</v>
      </c>
      <c r="U398" s="37" t="e">
        <f>SUMIF('[1]JOBS MAR 15'!$E$8:$E$525,$E$16:$E$533,'[1]JOBS MAR 15'!$H$8:$H$525)</f>
        <v>#VALUE!</v>
      </c>
      <c r="V398" s="37" t="e">
        <f>SUMIF('[1]JOBS MAR 15'!$E$8:$E$525,$E$16:$E$533,'[1]JOBS MAR 15'!$I$8:$I$525)</f>
        <v>#VALUE!</v>
      </c>
      <c r="W398" s="55" t="str">
        <f t="shared" si="40"/>
        <v xml:space="preserve"> </v>
      </c>
    </row>
    <row r="399" spans="1:23" x14ac:dyDescent="0.2">
      <c r="B399">
        <v>4053</v>
      </c>
      <c r="C399">
        <v>7</v>
      </c>
      <c r="D399" s="2" t="s">
        <v>846</v>
      </c>
      <c r="E399" s="50" t="s">
        <v>847</v>
      </c>
      <c r="F399" s="50">
        <v>2700177</v>
      </c>
      <c r="G399" s="50">
        <v>6</v>
      </c>
      <c r="H399" s="52" t="e">
        <f>SUMIF('[1]Build Detail'!$D$4:$D$521,$B$16:$B$533,'[1]Build Detail'!$H$4:$H$521)</f>
        <v>#VALUE!</v>
      </c>
      <c r="I399" s="52" t="e">
        <f>SUMIF('[1]Build Detail'!$D$4:$D$521,$B$16:$B$533,'[1]Build Detail'!$Q$4:$Q$521)</f>
        <v>#VALUE!</v>
      </c>
      <c r="J399" s="52" t="e">
        <f>SUMIF('[1]Build Detail'!$D$4:$D$521,$B$16:$B$533,'[1]Build Detail'!$T$4:$T$521)</f>
        <v>#VALUE!</v>
      </c>
      <c r="K399" s="53">
        <v>2293469.37</v>
      </c>
      <c r="L399" s="37">
        <f t="shared" si="41"/>
        <v>64677.73</v>
      </c>
      <c r="M399" s="37">
        <v>66861.34</v>
      </c>
      <c r="N399" s="38">
        <v>60175.21</v>
      </c>
      <c r="O399" s="37">
        <f t="shared" si="35"/>
        <v>4502.5200000000041</v>
      </c>
      <c r="P399" s="54" t="e">
        <f t="shared" si="36"/>
        <v>#VALUE!</v>
      </c>
      <c r="Q399" s="40">
        <f t="shared" si="37"/>
        <v>6.9614688085064269E-2</v>
      </c>
      <c r="R399" s="37">
        <f t="shared" si="38"/>
        <v>-2183.6099999999933</v>
      </c>
      <c r="S399" s="41">
        <f t="shared" si="39"/>
        <v>-3.2658783087506076E-2</v>
      </c>
      <c r="T399" s="37" t="e">
        <f>SUMIF('[1]JOBS MAR 15'!$E$8:$E$525,$E$16:$E$533,'[1]JOBS MAR 15'!$G$8:$G$525)</f>
        <v>#VALUE!</v>
      </c>
      <c r="U399" s="37" t="e">
        <f>SUMIF('[1]JOBS MAR 15'!$E$8:$E$525,$E$16:$E$533,'[1]JOBS MAR 15'!$H$8:$H$525)</f>
        <v>#VALUE!</v>
      </c>
      <c r="V399" s="37" t="e">
        <f>SUMIF('[1]JOBS MAR 15'!$E$8:$E$525,$E$16:$E$533,'[1]JOBS MAR 15'!$I$8:$I$525)</f>
        <v>#VALUE!</v>
      </c>
      <c r="W399" s="55" t="str">
        <f t="shared" si="40"/>
        <v xml:space="preserve"> </v>
      </c>
    </row>
    <row r="400" spans="1:23" x14ac:dyDescent="0.2">
      <c r="B400">
        <v>4054</v>
      </c>
      <c r="C400">
        <v>7</v>
      </c>
      <c r="D400" s="2" t="s">
        <v>848</v>
      </c>
      <c r="E400" s="50" t="s">
        <v>849</v>
      </c>
      <c r="F400" s="50">
        <v>2700178</v>
      </c>
      <c r="G400" s="50">
        <v>1</v>
      </c>
      <c r="H400" s="52" t="e">
        <f>SUMIF('[1]Build Detail'!$D$4:$D$521,$B$16:$B$533,'[1]Build Detail'!$H$4:$H$521)</f>
        <v>#VALUE!</v>
      </c>
      <c r="I400" s="52" t="e">
        <f>SUMIF('[1]Build Detail'!$D$4:$D$521,$B$16:$B$533,'[1]Build Detail'!$Q$4:$Q$521)</f>
        <v>#VALUE!</v>
      </c>
      <c r="J400" s="52" t="e">
        <f>SUMIF('[1]Build Detail'!$D$4:$D$521,$B$16:$B$533,'[1]Build Detail'!$T$4:$T$521)</f>
        <v>#VALUE!</v>
      </c>
      <c r="K400" s="53">
        <v>241780.29</v>
      </c>
      <c r="L400" s="37">
        <f t="shared" si="41"/>
        <v>6818.4</v>
      </c>
      <c r="M400" s="37">
        <v>6868.7</v>
      </c>
      <c r="N400" s="38">
        <v>6181.83</v>
      </c>
      <c r="O400" s="37">
        <f t="shared" ref="O400:O434" si="42">L400-N400</f>
        <v>636.56999999999971</v>
      </c>
      <c r="P400" s="54" t="e">
        <f t="shared" ref="P400:P463" si="43">IF($H400&gt;0,ROUND(L400/$H400,2),"na")</f>
        <v>#VALUE!</v>
      </c>
      <c r="Q400" s="40">
        <f t="shared" ref="Q400:Q463" si="44">O400/L400</f>
        <v>9.3360612460401227E-2</v>
      </c>
      <c r="R400" s="37">
        <f t="shared" ref="R400:R463" si="45">L400-M400</f>
        <v>-50.300000000000182</v>
      </c>
      <c r="S400" s="41">
        <f t="shared" ref="S400:S463" si="46">R400/M400</f>
        <v>-7.3230742352992824E-3</v>
      </c>
      <c r="T400" s="37" t="e">
        <f>SUMIF('[1]JOBS MAR 15'!$E$8:$E$525,$E$16:$E$533,'[1]JOBS MAR 15'!$G$8:$G$525)</f>
        <v>#VALUE!</v>
      </c>
      <c r="U400" s="37" t="e">
        <f>SUMIF('[1]JOBS MAR 15'!$E$8:$E$525,$E$16:$E$533,'[1]JOBS MAR 15'!$H$8:$H$525)</f>
        <v>#VALUE!</v>
      </c>
      <c r="V400" s="37" t="e">
        <f>SUMIF('[1]JOBS MAR 15'!$E$8:$E$525,$E$16:$E$533,'[1]JOBS MAR 15'!$I$8:$I$525)</f>
        <v>#VALUE!</v>
      </c>
      <c r="W400" s="55" t="str">
        <f t="shared" ref="W400:W463" si="47">IF(O400&lt;0,IF(V400-ABS(O400)&lt;0,V400-ABS(O400)," ")," ")</f>
        <v xml:space="preserve"> </v>
      </c>
    </row>
    <row r="401" spans="1:23" x14ac:dyDescent="0.2">
      <c r="B401">
        <v>4055</v>
      </c>
      <c r="C401">
        <v>7</v>
      </c>
      <c r="D401" s="2" t="s">
        <v>850</v>
      </c>
      <c r="E401" s="50" t="s">
        <v>851</v>
      </c>
      <c r="F401" s="50">
        <v>2700179</v>
      </c>
      <c r="G401" s="50">
        <v>1</v>
      </c>
      <c r="H401" s="52" t="e">
        <f>SUMIF('[1]Build Detail'!$D$4:$D$521,$B$16:$B$533,'[1]Build Detail'!$H$4:$H$521)</f>
        <v>#VALUE!</v>
      </c>
      <c r="I401" s="52" t="e">
        <f>SUMIF('[1]Build Detail'!$D$4:$D$521,$B$16:$B$533,'[1]Build Detail'!$Q$4:$Q$521)</f>
        <v>#VALUE!</v>
      </c>
      <c r="J401" s="52" t="e">
        <f>SUMIF('[1]Build Detail'!$D$4:$D$521,$B$16:$B$533,'[1]Build Detail'!$T$4:$T$521)</f>
        <v>#VALUE!</v>
      </c>
      <c r="K401" s="53">
        <v>951262.78</v>
      </c>
      <c r="L401" s="37">
        <f t="shared" si="41"/>
        <v>26826.400000000001</v>
      </c>
      <c r="M401" s="37">
        <v>26852.99</v>
      </c>
      <c r="N401" s="38">
        <v>24167.69</v>
      </c>
      <c r="O401" s="37">
        <f t="shared" si="42"/>
        <v>2658.7100000000028</v>
      </c>
      <c r="P401" s="54" t="e">
        <f t="shared" si="43"/>
        <v>#VALUE!</v>
      </c>
      <c r="Q401" s="40">
        <f t="shared" si="44"/>
        <v>9.9107968270062421E-2</v>
      </c>
      <c r="R401" s="37">
        <f t="shared" si="45"/>
        <v>-26.590000000000146</v>
      </c>
      <c r="S401" s="41">
        <f t="shared" si="46"/>
        <v>-9.9020630477276994E-4</v>
      </c>
      <c r="T401" s="37" t="e">
        <f>SUMIF('[1]JOBS MAR 15'!$E$8:$E$525,$E$16:$E$533,'[1]JOBS MAR 15'!$G$8:$G$525)</f>
        <v>#VALUE!</v>
      </c>
      <c r="U401" s="37" t="e">
        <f>SUMIF('[1]JOBS MAR 15'!$E$8:$E$525,$E$16:$E$533,'[1]JOBS MAR 15'!$H$8:$H$525)</f>
        <v>#VALUE!</v>
      </c>
      <c r="V401" s="37" t="e">
        <f>SUMIF('[1]JOBS MAR 15'!$E$8:$E$525,$E$16:$E$533,'[1]JOBS MAR 15'!$I$8:$I$525)</f>
        <v>#VALUE!</v>
      </c>
      <c r="W401" s="55" t="str">
        <f t="shared" si="47"/>
        <v xml:space="preserve"> </v>
      </c>
    </row>
    <row r="402" spans="1:23" x14ac:dyDescent="0.2">
      <c r="B402">
        <v>4056</v>
      </c>
      <c r="C402">
        <v>7</v>
      </c>
      <c r="D402" s="2" t="s">
        <v>852</v>
      </c>
      <c r="E402" s="50" t="s">
        <v>853</v>
      </c>
      <c r="F402" s="50">
        <v>2700180</v>
      </c>
      <c r="G402" s="50">
        <v>1</v>
      </c>
      <c r="H402" s="52" t="e">
        <f>SUMIF('[1]Build Detail'!$D$4:$D$521,$B$16:$B$533,'[1]Build Detail'!$H$4:$H$521)</f>
        <v>#VALUE!</v>
      </c>
      <c r="I402" s="52" t="e">
        <f>SUMIF('[1]Build Detail'!$D$4:$D$521,$B$16:$B$533,'[1]Build Detail'!$Q$4:$Q$521)</f>
        <v>#VALUE!</v>
      </c>
      <c r="J402" s="52" t="e">
        <f>SUMIF('[1]Build Detail'!$D$4:$D$521,$B$16:$B$533,'[1]Build Detail'!$T$4:$T$521)</f>
        <v>#VALUE!</v>
      </c>
      <c r="K402" s="53">
        <v>1162189.92</v>
      </c>
      <c r="L402" s="37">
        <f t="shared" ref="L402:L434" si="48">ROUND(K402*$K$548,2)</f>
        <v>32774.720000000001</v>
      </c>
      <c r="M402" s="37">
        <v>31750.74</v>
      </c>
      <c r="N402" s="38">
        <v>28575.67</v>
      </c>
      <c r="O402" s="37">
        <f t="shared" si="42"/>
        <v>4199.0500000000029</v>
      </c>
      <c r="P402" s="54" t="e">
        <f t="shared" si="43"/>
        <v>#VALUE!</v>
      </c>
      <c r="Q402" s="40">
        <f t="shared" si="44"/>
        <v>0.12811856211128586</v>
      </c>
      <c r="R402" s="37">
        <f t="shared" si="45"/>
        <v>1023.9799999999996</v>
      </c>
      <c r="S402" s="41">
        <f t="shared" si="46"/>
        <v>3.225058691545455E-2</v>
      </c>
      <c r="T402" s="37" t="e">
        <f>SUMIF('[1]JOBS MAR 15'!$E$8:$E$525,$E$16:$E$533,'[1]JOBS MAR 15'!$G$8:$G$525)</f>
        <v>#VALUE!</v>
      </c>
      <c r="U402" s="37" t="e">
        <f>SUMIF('[1]JOBS MAR 15'!$E$8:$E$525,$E$16:$E$533,'[1]JOBS MAR 15'!$H$8:$H$525)</f>
        <v>#VALUE!</v>
      </c>
      <c r="V402" s="37" t="e">
        <f>SUMIF('[1]JOBS MAR 15'!$E$8:$E$525,$E$16:$E$533,'[1]JOBS MAR 15'!$I$8:$I$525)</f>
        <v>#VALUE!</v>
      </c>
      <c r="W402" s="55" t="str">
        <f t="shared" si="47"/>
        <v xml:space="preserve"> </v>
      </c>
    </row>
    <row r="403" spans="1:23" x14ac:dyDescent="0.2">
      <c r="B403">
        <v>4057</v>
      </c>
      <c r="C403">
        <v>7</v>
      </c>
      <c r="D403" s="2" t="s">
        <v>854</v>
      </c>
      <c r="E403" s="50" t="s">
        <v>855</v>
      </c>
      <c r="F403" s="50">
        <v>2700181</v>
      </c>
      <c r="G403" s="50">
        <v>5</v>
      </c>
      <c r="H403" s="52" t="e">
        <f>SUMIF('[1]Build Detail'!$D$4:$D$521,$B$16:$B$533,'[1]Build Detail'!$H$4:$H$521)</f>
        <v>#VALUE!</v>
      </c>
      <c r="I403" s="52" t="e">
        <f>SUMIF('[1]Build Detail'!$D$4:$D$521,$B$16:$B$533,'[1]Build Detail'!$Q$4:$Q$521)</f>
        <v>#VALUE!</v>
      </c>
      <c r="J403" s="52" t="e">
        <f>SUMIF('[1]Build Detail'!$D$4:$D$521,$B$16:$B$533,'[1]Build Detail'!$T$4:$T$521)</f>
        <v>#VALUE!</v>
      </c>
      <c r="K403" s="53">
        <v>902613.77999999991</v>
      </c>
      <c r="L403" s="37">
        <f t="shared" si="48"/>
        <v>25454.45</v>
      </c>
      <c r="M403" s="37">
        <v>25444.47</v>
      </c>
      <c r="N403" s="38">
        <v>22900.02</v>
      </c>
      <c r="O403" s="37">
        <f t="shared" si="42"/>
        <v>2554.4300000000003</v>
      </c>
      <c r="P403" s="54" t="e">
        <f t="shared" si="43"/>
        <v>#VALUE!</v>
      </c>
      <c r="Q403" s="40">
        <f t="shared" si="44"/>
        <v>0.10035298346654516</v>
      </c>
      <c r="R403" s="37">
        <f t="shared" si="45"/>
        <v>9.9799999999995634</v>
      </c>
      <c r="S403" s="41">
        <f t="shared" si="46"/>
        <v>3.9222668029633014E-4</v>
      </c>
      <c r="T403" s="37" t="e">
        <f>SUMIF('[1]JOBS MAR 15'!$E$8:$E$525,$E$16:$E$533,'[1]JOBS MAR 15'!$G$8:$G$525)</f>
        <v>#VALUE!</v>
      </c>
      <c r="U403" s="37" t="e">
        <f>SUMIF('[1]JOBS MAR 15'!$E$8:$E$525,$E$16:$E$533,'[1]JOBS MAR 15'!$H$8:$H$525)</f>
        <v>#VALUE!</v>
      </c>
      <c r="V403" s="37" t="e">
        <f>SUMIF('[1]JOBS MAR 15'!$E$8:$E$525,$E$16:$E$533,'[1]JOBS MAR 15'!$I$8:$I$525)</f>
        <v>#VALUE!</v>
      </c>
      <c r="W403" s="55" t="str">
        <f t="shared" si="47"/>
        <v xml:space="preserve"> </v>
      </c>
    </row>
    <row r="404" spans="1:23" x14ac:dyDescent="0.2">
      <c r="B404">
        <v>4058</v>
      </c>
      <c r="C404">
        <v>7</v>
      </c>
      <c r="D404" s="2" t="s">
        <v>856</v>
      </c>
      <c r="E404" s="50" t="s">
        <v>857</v>
      </c>
      <c r="F404" s="50">
        <v>2700225</v>
      </c>
      <c r="G404" s="50">
        <v>8</v>
      </c>
      <c r="H404" s="52" t="e">
        <f>SUMIF('[1]Build Detail'!$D$4:$D$521,$B$16:$B$533,'[1]Build Detail'!$H$4:$H$521)</f>
        <v>#VALUE!</v>
      </c>
      <c r="I404" s="52" t="e">
        <f>SUMIF('[1]Build Detail'!$D$4:$D$521,$B$16:$B$533,'[1]Build Detail'!$Q$4:$Q$521)</f>
        <v>#VALUE!</v>
      </c>
      <c r="J404" s="52" t="e">
        <f>SUMIF('[1]Build Detail'!$D$4:$D$521,$B$16:$B$533,'[1]Build Detail'!$T$4:$T$521)</f>
        <v>#VALUE!</v>
      </c>
      <c r="K404" s="53">
        <v>1474035.2800000003</v>
      </c>
      <c r="L404" s="37">
        <f t="shared" si="48"/>
        <v>41569.01</v>
      </c>
      <c r="M404" s="37">
        <v>41381.230000000003</v>
      </c>
      <c r="N404" s="38">
        <v>37243.11</v>
      </c>
      <c r="O404" s="37">
        <f t="shared" si="42"/>
        <v>4325.9000000000015</v>
      </c>
      <c r="P404" s="54" t="e">
        <f t="shared" si="43"/>
        <v>#VALUE!</v>
      </c>
      <c r="Q404" s="40">
        <f t="shared" si="44"/>
        <v>0.10406550456698395</v>
      </c>
      <c r="R404" s="37">
        <f t="shared" si="45"/>
        <v>187.77999999999884</v>
      </c>
      <c r="S404" s="41">
        <f t="shared" si="46"/>
        <v>4.5378061502763167E-3</v>
      </c>
      <c r="T404" s="37" t="e">
        <f>SUMIF('[1]JOBS MAR 15'!$E$8:$E$525,$E$16:$E$533,'[1]JOBS MAR 15'!$G$8:$G$525)</f>
        <v>#VALUE!</v>
      </c>
      <c r="U404" s="37" t="e">
        <f>SUMIF('[1]JOBS MAR 15'!$E$8:$E$525,$E$16:$E$533,'[1]JOBS MAR 15'!$H$8:$H$525)</f>
        <v>#VALUE!</v>
      </c>
      <c r="V404" s="37" t="e">
        <f>SUMIF('[1]JOBS MAR 15'!$E$8:$E$525,$E$16:$E$533,'[1]JOBS MAR 15'!$I$8:$I$525)</f>
        <v>#VALUE!</v>
      </c>
      <c r="W404" s="55" t="str">
        <f t="shared" si="47"/>
        <v xml:space="preserve"> </v>
      </c>
    </row>
    <row r="405" spans="1:23" x14ac:dyDescent="0.2">
      <c r="B405">
        <v>4059</v>
      </c>
      <c r="C405">
        <v>7</v>
      </c>
      <c r="D405" s="2" t="s">
        <v>858</v>
      </c>
      <c r="E405" s="50" t="s">
        <v>859</v>
      </c>
      <c r="F405" s="50">
        <v>2700218</v>
      </c>
      <c r="G405" s="50">
        <v>8</v>
      </c>
      <c r="H405" s="52" t="e">
        <f>SUMIF('[1]Build Detail'!$D$4:$D$521,$B$16:$B$533,'[1]Build Detail'!$H$4:$H$521)</f>
        <v>#VALUE!</v>
      </c>
      <c r="I405" s="52" t="e">
        <f>SUMIF('[1]Build Detail'!$D$4:$D$521,$B$16:$B$533,'[1]Build Detail'!$Q$4:$Q$521)</f>
        <v>#VALUE!</v>
      </c>
      <c r="J405" s="52" t="e">
        <f>SUMIF('[1]Build Detail'!$D$4:$D$521,$B$16:$B$533,'[1]Build Detail'!$T$4:$T$521)</f>
        <v>#VALUE!</v>
      </c>
      <c r="K405" s="53">
        <v>1053573.53</v>
      </c>
      <c r="L405" s="37">
        <f t="shared" si="48"/>
        <v>29711.64</v>
      </c>
      <c r="M405" s="37">
        <v>29230.68</v>
      </c>
      <c r="N405" s="38">
        <v>26307.61</v>
      </c>
      <c r="O405" s="37">
        <f t="shared" si="42"/>
        <v>3404.0299999999988</v>
      </c>
      <c r="P405" s="54" t="e">
        <f t="shared" si="43"/>
        <v>#VALUE!</v>
      </c>
      <c r="Q405" s="40">
        <f t="shared" si="44"/>
        <v>0.11456890296193677</v>
      </c>
      <c r="R405" s="37">
        <f t="shared" si="45"/>
        <v>480.95999999999913</v>
      </c>
      <c r="S405" s="41">
        <f t="shared" si="46"/>
        <v>1.6453944964674071E-2</v>
      </c>
      <c r="T405" s="37" t="e">
        <f>SUMIF('[1]JOBS MAR 15'!$E$8:$E$525,$E$16:$E$533,'[1]JOBS MAR 15'!$G$8:$G$525)</f>
        <v>#VALUE!</v>
      </c>
      <c r="U405" s="37" t="e">
        <f>SUMIF('[1]JOBS MAR 15'!$E$8:$E$525,$E$16:$E$533,'[1]JOBS MAR 15'!$H$8:$H$525)</f>
        <v>#VALUE!</v>
      </c>
      <c r="V405" s="37" t="e">
        <f>SUMIF('[1]JOBS MAR 15'!$E$8:$E$525,$E$16:$E$533,'[1]JOBS MAR 15'!$I$8:$I$525)</f>
        <v>#VALUE!</v>
      </c>
      <c r="W405" s="55" t="str">
        <f t="shared" si="47"/>
        <v xml:space="preserve"> </v>
      </c>
    </row>
    <row r="406" spans="1:23" x14ac:dyDescent="0.2">
      <c r="A406" s="56" t="s">
        <v>835</v>
      </c>
      <c r="B406" s="56">
        <v>4061</v>
      </c>
      <c r="C406" s="56">
        <v>7</v>
      </c>
      <c r="D406" s="59" t="s">
        <v>860</v>
      </c>
      <c r="E406" s="60" t="s">
        <v>861</v>
      </c>
      <c r="F406" s="60">
        <v>2700222</v>
      </c>
      <c r="G406" s="60">
        <v>1</v>
      </c>
      <c r="H406" s="61" t="e">
        <f>SUMIF('[1]Build Detail'!$D$4:$D$521,$B$16:$B$533,'[1]Build Detail'!$H$4:$H$521)</f>
        <v>#VALUE!</v>
      </c>
      <c r="I406" s="61" t="e">
        <f>SUMIF('[1]Build Detail'!$D$4:$D$521,$B$16:$B$533,'[1]Build Detail'!$Q$4:$Q$521)</f>
        <v>#VALUE!</v>
      </c>
      <c r="J406" s="61" t="e">
        <f>SUMIF('[1]Build Detail'!$D$4:$D$521,$B$16:$B$533,'[1]Build Detail'!$T$4:$T$521)</f>
        <v>#VALUE!</v>
      </c>
      <c r="K406" s="62">
        <v>755880.52</v>
      </c>
      <c r="L406" s="63">
        <f t="shared" si="48"/>
        <v>21316.46</v>
      </c>
      <c r="M406" s="63">
        <v>20424.46</v>
      </c>
      <c r="N406" s="64">
        <v>18382.009999999998</v>
      </c>
      <c r="O406" s="63">
        <f t="shared" si="42"/>
        <v>2934.4500000000007</v>
      </c>
      <c r="P406" s="65" t="e">
        <f t="shared" si="43"/>
        <v>#VALUE!</v>
      </c>
      <c r="Q406" s="66">
        <f t="shared" si="44"/>
        <v>0.13766122517528712</v>
      </c>
      <c r="R406" s="63">
        <f t="shared" si="45"/>
        <v>892</v>
      </c>
      <c r="S406" s="67">
        <f t="shared" si="46"/>
        <v>4.3673125262552841E-2</v>
      </c>
      <c r="T406" s="63" t="e">
        <f>SUMIF('[1]JOBS MAR 15'!$E$8:$E$525,$E$16:$E$533,'[1]JOBS MAR 15'!$G$8:$G$525)</f>
        <v>#VALUE!</v>
      </c>
      <c r="U406" s="63" t="e">
        <f>SUMIF('[1]JOBS MAR 15'!$E$8:$E$525,$E$16:$E$533,'[1]JOBS MAR 15'!$H$8:$H$525)</f>
        <v>#VALUE!</v>
      </c>
      <c r="V406" s="63" t="e">
        <f>SUMIF('[1]JOBS MAR 15'!$E$8:$E$525,$E$16:$E$533,'[1]JOBS MAR 15'!$I$8:$I$525)</f>
        <v>#VALUE!</v>
      </c>
      <c r="W406" s="68" t="str">
        <f t="shared" si="47"/>
        <v xml:space="preserve"> </v>
      </c>
    </row>
    <row r="407" spans="1:23" x14ac:dyDescent="0.2">
      <c r="B407">
        <v>4064</v>
      </c>
      <c r="C407">
        <v>7</v>
      </c>
      <c r="D407" s="2" t="s">
        <v>862</v>
      </c>
      <c r="E407" s="50" t="s">
        <v>863</v>
      </c>
      <c r="F407" s="50">
        <v>2700221</v>
      </c>
      <c r="G407" s="50">
        <v>1</v>
      </c>
      <c r="H407" s="52" t="e">
        <f>SUMIF('[1]Build Detail'!$D$4:$D$521,$B$16:$B$533,'[1]Build Detail'!$H$4:$H$521)</f>
        <v>#VALUE!</v>
      </c>
      <c r="I407" s="52" t="e">
        <f>SUMIF('[1]Build Detail'!$D$4:$D$521,$B$16:$B$533,'[1]Build Detail'!$Q$4:$Q$521)</f>
        <v>#VALUE!</v>
      </c>
      <c r="J407" s="52" t="e">
        <f>SUMIF('[1]Build Detail'!$D$4:$D$521,$B$16:$B$533,'[1]Build Detail'!$T$4:$T$521)</f>
        <v>#VALUE!</v>
      </c>
      <c r="K407" s="53">
        <v>913305.16000000015</v>
      </c>
      <c r="L407" s="37">
        <f t="shared" si="48"/>
        <v>25755.96</v>
      </c>
      <c r="M407" s="37">
        <v>25576.51</v>
      </c>
      <c r="N407" s="38">
        <v>23018.86</v>
      </c>
      <c r="O407" s="37">
        <f t="shared" si="42"/>
        <v>2737.0999999999985</v>
      </c>
      <c r="P407" s="54" t="e">
        <f t="shared" si="43"/>
        <v>#VALUE!</v>
      </c>
      <c r="Q407" s="40">
        <f t="shared" si="44"/>
        <v>0.10627054864194535</v>
      </c>
      <c r="R407" s="37">
        <f t="shared" si="45"/>
        <v>179.45000000000073</v>
      </c>
      <c r="S407" s="41">
        <f t="shared" si="46"/>
        <v>7.0162035398887782E-3</v>
      </c>
      <c r="T407" s="37" t="e">
        <f>SUMIF('[1]JOBS MAR 15'!$E$8:$E$525,$E$16:$E$533,'[1]JOBS MAR 15'!$G$8:$G$525)</f>
        <v>#VALUE!</v>
      </c>
      <c r="U407" s="37" t="e">
        <f>SUMIF('[1]JOBS MAR 15'!$E$8:$E$525,$E$16:$E$533,'[1]JOBS MAR 15'!$H$8:$H$525)</f>
        <v>#VALUE!</v>
      </c>
      <c r="V407" s="37" t="e">
        <f>SUMIF('[1]JOBS MAR 15'!$E$8:$E$525,$E$16:$E$533,'[1]JOBS MAR 15'!$I$8:$I$525)</f>
        <v>#VALUE!</v>
      </c>
      <c r="W407" s="55" t="str">
        <f t="shared" si="47"/>
        <v xml:space="preserve"> </v>
      </c>
    </row>
    <row r="408" spans="1:23" x14ac:dyDescent="0.2">
      <c r="B408">
        <v>4066</v>
      </c>
      <c r="C408">
        <v>7</v>
      </c>
      <c r="D408" s="2" t="s">
        <v>864</v>
      </c>
      <c r="E408" s="50" t="s">
        <v>865</v>
      </c>
      <c r="F408" s="50">
        <v>2700226</v>
      </c>
      <c r="G408" s="50">
        <v>1</v>
      </c>
      <c r="H408" s="52" t="e">
        <f>SUMIF('[1]Build Detail'!$D$4:$D$521,$B$16:$B$533,'[1]Build Detail'!$H$4:$H$521)</f>
        <v>#VALUE!</v>
      </c>
      <c r="I408" s="52" t="e">
        <f>SUMIF('[1]Build Detail'!$D$4:$D$521,$B$16:$B$533,'[1]Build Detail'!$Q$4:$Q$521)</f>
        <v>#VALUE!</v>
      </c>
      <c r="J408" s="52" t="e">
        <f>SUMIF('[1]Build Detail'!$D$4:$D$521,$B$16:$B$533,'[1]Build Detail'!$T$4:$T$521)</f>
        <v>#VALUE!</v>
      </c>
      <c r="K408" s="53">
        <v>624680.77</v>
      </c>
      <c r="L408" s="37">
        <f t="shared" si="48"/>
        <v>17616.509999999998</v>
      </c>
      <c r="M408" s="37">
        <v>17649.12</v>
      </c>
      <c r="N408" s="38">
        <v>15884.21</v>
      </c>
      <c r="O408" s="37">
        <f t="shared" si="42"/>
        <v>1732.2999999999993</v>
      </c>
      <c r="P408" s="54" t="e">
        <f t="shared" si="43"/>
        <v>#VALUE!</v>
      </c>
      <c r="Q408" s="40">
        <f t="shared" si="44"/>
        <v>9.8333892467917849E-2</v>
      </c>
      <c r="R408" s="37">
        <f t="shared" si="45"/>
        <v>-32.610000000000582</v>
      </c>
      <c r="S408" s="41">
        <f t="shared" si="46"/>
        <v>-1.8476841904865842E-3</v>
      </c>
      <c r="T408" s="37" t="e">
        <f>SUMIF('[1]JOBS MAR 15'!$E$8:$E$525,$E$16:$E$533,'[1]JOBS MAR 15'!$G$8:$G$525)</f>
        <v>#VALUE!</v>
      </c>
      <c r="U408" s="37" t="e">
        <f>SUMIF('[1]JOBS MAR 15'!$E$8:$E$525,$E$16:$E$533,'[1]JOBS MAR 15'!$H$8:$H$525)</f>
        <v>#VALUE!</v>
      </c>
      <c r="V408" s="37" t="e">
        <f>SUMIF('[1]JOBS MAR 15'!$E$8:$E$525,$E$16:$E$533,'[1]JOBS MAR 15'!$I$8:$I$525)</f>
        <v>#VALUE!</v>
      </c>
      <c r="W408" s="55" t="str">
        <f t="shared" si="47"/>
        <v xml:space="preserve"> </v>
      </c>
    </row>
    <row r="409" spans="1:23" x14ac:dyDescent="0.2">
      <c r="B409">
        <v>4067</v>
      </c>
      <c r="C409">
        <v>7</v>
      </c>
      <c r="D409" s="2" t="s">
        <v>866</v>
      </c>
      <c r="E409" s="50" t="s">
        <v>867</v>
      </c>
      <c r="F409" s="50">
        <v>2700220</v>
      </c>
      <c r="G409" s="50">
        <v>5</v>
      </c>
      <c r="H409" s="52" t="e">
        <f>SUMIF('[1]Build Detail'!$D$4:$D$521,$B$16:$B$533,'[1]Build Detail'!$H$4:$H$521)</f>
        <v>#VALUE!</v>
      </c>
      <c r="I409" s="52" t="e">
        <f>SUMIF('[1]Build Detail'!$D$4:$D$521,$B$16:$B$533,'[1]Build Detail'!$Q$4:$Q$521)</f>
        <v>#VALUE!</v>
      </c>
      <c r="J409" s="52" t="e">
        <f>SUMIF('[1]Build Detail'!$D$4:$D$521,$B$16:$B$533,'[1]Build Detail'!$T$4:$T$521)</f>
        <v>#VALUE!</v>
      </c>
      <c r="K409" s="53">
        <v>2832739.27</v>
      </c>
      <c r="L409" s="37">
        <f t="shared" si="48"/>
        <v>79885.59</v>
      </c>
      <c r="M409" s="37">
        <v>79617.63</v>
      </c>
      <c r="N409" s="38">
        <v>71655.87</v>
      </c>
      <c r="O409" s="37">
        <f t="shared" si="42"/>
        <v>8229.7200000000012</v>
      </c>
      <c r="P409" s="54" t="e">
        <f t="shared" si="43"/>
        <v>#VALUE!</v>
      </c>
      <c r="Q409" s="40">
        <f t="shared" si="44"/>
        <v>0.10301882980397342</v>
      </c>
      <c r="R409" s="37">
        <f t="shared" si="45"/>
        <v>267.95999999999185</v>
      </c>
      <c r="S409" s="41">
        <f t="shared" si="46"/>
        <v>3.365586240132893E-3</v>
      </c>
      <c r="T409" s="37" t="e">
        <f>SUMIF('[1]JOBS MAR 15'!$E$8:$E$525,$E$16:$E$533,'[1]JOBS MAR 15'!$G$8:$G$525)</f>
        <v>#VALUE!</v>
      </c>
      <c r="U409" s="37" t="e">
        <f>SUMIF('[1]JOBS MAR 15'!$E$8:$E$525,$E$16:$E$533,'[1]JOBS MAR 15'!$H$8:$H$525)</f>
        <v>#VALUE!</v>
      </c>
      <c r="V409" s="37" t="e">
        <f>SUMIF('[1]JOBS MAR 15'!$E$8:$E$525,$E$16:$E$533,'[1]JOBS MAR 15'!$I$8:$I$525)</f>
        <v>#VALUE!</v>
      </c>
      <c r="W409" s="55" t="str">
        <f t="shared" si="47"/>
        <v xml:space="preserve"> </v>
      </c>
    </row>
    <row r="410" spans="1:23" x14ac:dyDescent="0.2">
      <c r="B410">
        <v>4068</v>
      </c>
      <c r="C410">
        <v>7</v>
      </c>
      <c r="D410" s="2" t="s">
        <v>868</v>
      </c>
      <c r="E410" s="50" t="s">
        <v>869</v>
      </c>
      <c r="F410" s="50">
        <v>2700184</v>
      </c>
      <c r="G410" s="50">
        <v>3</v>
      </c>
      <c r="H410" s="52" t="e">
        <f>SUMIF('[1]Build Detail'!$D$4:$D$521,$B$16:$B$533,'[1]Build Detail'!$H$4:$H$521)</f>
        <v>#VALUE!</v>
      </c>
      <c r="I410" s="52" t="e">
        <f>SUMIF('[1]Build Detail'!$D$4:$D$521,$B$16:$B$533,'[1]Build Detail'!$Q$4:$Q$521)</f>
        <v>#VALUE!</v>
      </c>
      <c r="J410" s="52" t="e">
        <f>SUMIF('[1]Build Detail'!$D$4:$D$521,$B$16:$B$533,'[1]Build Detail'!$T$4:$T$521)</f>
        <v>#VALUE!</v>
      </c>
      <c r="K410" s="53">
        <v>3956357.66</v>
      </c>
      <c r="L410" s="37">
        <f t="shared" si="48"/>
        <v>111572.56</v>
      </c>
      <c r="M410" s="37">
        <v>110336.07</v>
      </c>
      <c r="N410" s="38">
        <v>99302.46</v>
      </c>
      <c r="O410" s="37">
        <f t="shared" si="42"/>
        <v>12270.099999999991</v>
      </c>
      <c r="P410" s="54" t="e">
        <f t="shared" si="43"/>
        <v>#VALUE!</v>
      </c>
      <c r="Q410" s="40">
        <f t="shared" si="44"/>
        <v>0.1099741728611407</v>
      </c>
      <c r="R410" s="37">
        <f t="shared" si="45"/>
        <v>1236.4899999999907</v>
      </c>
      <c r="S410" s="41">
        <f t="shared" si="46"/>
        <v>1.1206580042229079E-2</v>
      </c>
      <c r="T410" s="37" t="e">
        <f>SUMIF('[1]JOBS MAR 15'!$E$8:$E$525,$E$16:$E$533,'[1]JOBS MAR 15'!$G$8:$G$525)</f>
        <v>#VALUE!</v>
      </c>
      <c r="U410" s="37" t="e">
        <f>SUMIF('[1]JOBS MAR 15'!$E$8:$E$525,$E$16:$E$533,'[1]JOBS MAR 15'!$H$8:$H$525)</f>
        <v>#VALUE!</v>
      </c>
      <c r="V410" s="37" t="e">
        <f>SUMIF('[1]JOBS MAR 15'!$E$8:$E$525,$E$16:$E$533,'[1]JOBS MAR 15'!$I$8:$I$525)</f>
        <v>#VALUE!</v>
      </c>
      <c r="W410" s="55" t="str">
        <f t="shared" si="47"/>
        <v xml:space="preserve"> </v>
      </c>
    </row>
    <row r="411" spans="1:23" x14ac:dyDescent="0.2">
      <c r="B411">
        <v>4070</v>
      </c>
      <c r="C411">
        <v>7</v>
      </c>
      <c r="D411" s="2" t="s">
        <v>870</v>
      </c>
      <c r="E411" s="50" t="s">
        <v>871</v>
      </c>
      <c r="F411" s="50">
        <v>2700230</v>
      </c>
      <c r="G411" s="50">
        <v>4</v>
      </c>
      <c r="H411" s="52" t="e">
        <f>SUMIF('[1]Build Detail'!$D$4:$D$521,$B$16:$B$533,'[1]Build Detail'!$H$4:$H$521)</f>
        <v>#VALUE!</v>
      </c>
      <c r="I411" s="52" t="e">
        <f>SUMIF('[1]Build Detail'!$D$4:$D$521,$B$16:$B$533,'[1]Build Detail'!$Q$4:$Q$521)</f>
        <v>#VALUE!</v>
      </c>
      <c r="J411" s="52" t="e">
        <f>SUMIF('[1]Build Detail'!$D$4:$D$521,$B$16:$B$533,'[1]Build Detail'!$T$4:$T$521)</f>
        <v>#VALUE!</v>
      </c>
      <c r="K411" s="53">
        <v>4403788.9000000004</v>
      </c>
      <c r="L411" s="37">
        <f t="shared" si="48"/>
        <v>124190.49</v>
      </c>
      <c r="M411" s="37">
        <v>122876.86</v>
      </c>
      <c r="N411" s="38">
        <v>110589.17</v>
      </c>
      <c r="O411" s="37">
        <f t="shared" si="42"/>
        <v>13601.320000000007</v>
      </c>
      <c r="P411" s="54" t="e">
        <f t="shared" si="43"/>
        <v>#VALUE!</v>
      </c>
      <c r="Q411" s="40">
        <f t="shared" si="44"/>
        <v>0.10951981911014287</v>
      </c>
      <c r="R411" s="37">
        <f t="shared" si="45"/>
        <v>1313.6300000000047</v>
      </c>
      <c r="S411" s="41">
        <f t="shared" si="46"/>
        <v>1.0690621488862953E-2</v>
      </c>
      <c r="T411" s="37" t="e">
        <f>SUMIF('[1]JOBS MAR 15'!$E$8:$E$525,$E$16:$E$533,'[1]JOBS MAR 15'!$G$8:$G$525)</f>
        <v>#VALUE!</v>
      </c>
      <c r="U411" s="37" t="e">
        <f>SUMIF('[1]JOBS MAR 15'!$E$8:$E$525,$E$16:$E$533,'[1]JOBS MAR 15'!$H$8:$H$525)</f>
        <v>#VALUE!</v>
      </c>
      <c r="V411" s="37" t="e">
        <f>SUMIF('[1]JOBS MAR 15'!$E$8:$E$525,$E$16:$E$533,'[1]JOBS MAR 15'!$I$8:$I$525)</f>
        <v>#VALUE!</v>
      </c>
      <c r="W411" s="55" t="str">
        <f t="shared" si="47"/>
        <v xml:space="preserve"> </v>
      </c>
    </row>
    <row r="412" spans="1:23" x14ac:dyDescent="0.2">
      <c r="B412">
        <v>4073</v>
      </c>
      <c r="C412">
        <v>7</v>
      </c>
      <c r="D412" s="2" t="s">
        <v>872</v>
      </c>
      <c r="E412" s="50" t="s">
        <v>873</v>
      </c>
      <c r="F412" s="50">
        <v>2700185</v>
      </c>
      <c r="G412" s="50">
        <v>4</v>
      </c>
      <c r="H412" s="52" t="e">
        <f>SUMIF('[1]Build Detail'!$D$4:$D$521,$B$16:$B$533,'[1]Build Detail'!$H$4:$H$521)</f>
        <v>#VALUE!</v>
      </c>
      <c r="I412" s="52" t="e">
        <f>SUMIF('[1]Build Detail'!$D$4:$D$521,$B$16:$B$533,'[1]Build Detail'!$Q$4:$Q$521)</f>
        <v>#VALUE!</v>
      </c>
      <c r="J412" s="52" t="e">
        <f>SUMIF('[1]Build Detail'!$D$4:$D$521,$B$16:$B$533,'[1]Build Detail'!$T$4:$T$521)</f>
        <v>#VALUE!</v>
      </c>
      <c r="K412" s="53">
        <v>3233843.4700000007</v>
      </c>
      <c r="L412" s="37">
        <f t="shared" si="48"/>
        <v>91197.06</v>
      </c>
      <c r="M412" s="37">
        <v>90507.34</v>
      </c>
      <c r="N412" s="38">
        <v>81456.61</v>
      </c>
      <c r="O412" s="37">
        <f t="shared" si="42"/>
        <v>9740.4499999999971</v>
      </c>
      <c r="P412" s="54" t="e">
        <f t="shared" si="43"/>
        <v>#VALUE!</v>
      </c>
      <c r="Q412" s="40">
        <f t="shared" si="44"/>
        <v>0.10680662293280066</v>
      </c>
      <c r="R412" s="37">
        <f t="shared" si="45"/>
        <v>689.72000000000116</v>
      </c>
      <c r="S412" s="41">
        <f t="shared" si="46"/>
        <v>7.6205974012715566E-3</v>
      </c>
      <c r="T412" s="37" t="e">
        <f>SUMIF('[1]JOBS MAR 15'!$E$8:$E$525,$E$16:$E$533,'[1]JOBS MAR 15'!$G$8:$G$525)</f>
        <v>#VALUE!</v>
      </c>
      <c r="U412" s="37" t="e">
        <f>SUMIF('[1]JOBS MAR 15'!$E$8:$E$525,$E$16:$E$533,'[1]JOBS MAR 15'!$H$8:$H$525)</f>
        <v>#VALUE!</v>
      </c>
      <c r="V412" s="37" t="e">
        <f>SUMIF('[1]JOBS MAR 15'!$E$8:$E$525,$E$16:$E$533,'[1]JOBS MAR 15'!$I$8:$I$525)</f>
        <v>#VALUE!</v>
      </c>
      <c r="W412" s="55" t="str">
        <f t="shared" si="47"/>
        <v xml:space="preserve"> </v>
      </c>
    </row>
    <row r="413" spans="1:23" x14ac:dyDescent="0.2">
      <c r="B413">
        <v>4074</v>
      </c>
      <c r="C413">
        <v>7</v>
      </c>
      <c r="D413" s="2" t="s">
        <v>874</v>
      </c>
      <c r="E413" s="50" t="s">
        <v>875</v>
      </c>
      <c r="F413" s="50">
        <v>2700186</v>
      </c>
      <c r="G413" s="50">
        <v>4</v>
      </c>
      <c r="H413" s="52" t="e">
        <f>SUMIF('[1]Build Detail'!$D$4:$D$521,$B$16:$B$533,'[1]Build Detail'!$H$4:$H$521)</f>
        <v>#VALUE!</v>
      </c>
      <c r="I413" s="52" t="e">
        <f>SUMIF('[1]Build Detail'!$D$4:$D$521,$B$16:$B$533,'[1]Build Detail'!$Q$4:$Q$521)</f>
        <v>#VALUE!</v>
      </c>
      <c r="J413" s="52" t="e">
        <f>SUMIF('[1]Build Detail'!$D$4:$D$521,$B$16:$B$533,'[1]Build Detail'!$T$4:$T$521)</f>
        <v>#VALUE!</v>
      </c>
      <c r="K413" s="53">
        <v>2158784</v>
      </c>
      <c r="L413" s="37">
        <f t="shared" si="48"/>
        <v>60879.49</v>
      </c>
      <c r="M413" s="37">
        <v>60405.9</v>
      </c>
      <c r="N413" s="38">
        <v>54365.31</v>
      </c>
      <c r="O413" s="37">
        <f t="shared" si="42"/>
        <v>6514.18</v>
      </c>
      <c r="P413" s="54" t="e">
        <f t="shared" si="43"/>
        <v>#VALUE!</v>
      </c>
      <c r="Q413" s="40">
        <f t="shared" si="44"/>
        <v>0.10700122487885494</v>
      </c>
      <c r="R413" s="37">
        <f t="shared" si="45"/>
        <v>473.58999999999651</v>
      </c>
      <c r="S413" s="41">
        <f t="shared" si="46"/>
        <v>7.8401281993976824E-3</v>
      </c>
      <c r="T413" s="37" t="e">
        <f>SUMIF('[1]JOBS MAR 15'!$E$8:$E$525,$E$16:$E$533,'[1]JOBS MAR 15'!$G$8:$G$525)</f>
        <v>#VALUE!</v>
      </c>
      <c r="U413" s="37" t="e">
        <f>SUMIF('[1]JOBS MAR 15'!$E$8:$E$525,$E$16:$E$533,'[1]JOBS MAR 15'!$H$8:$H$525)</f>
        <v>#VALUE!</v>
      </c>
      <c r="V413" s="37" t="e">
        <f>SUMIF('[1]JOBS MAR 15'!$E$8:$E$525,$E$16:$E$533,'[1]JOBS MAR 15'!$I$8:$I$525)</f>
        <v>#VALUE!</v>
      </c>
      <c r="W413" s="55" t="str">
        <f t="shared" si="47"/>
        <v xml:space="preserve"> </v>
      </c>
    </row>
    <row r="414" spans="1:23" x14ac:dyDescent="0.2">
      <c r="B414">
        <v>4075</v>
      </c>
      <c r="C414">
        <v>7</v>
      </c>
      <c r="D414" s="2" t="s">
        <v>876</v>
      </c>
      <c r="E414" s="50" t="s">
        <v>877</v>
      </c>
      <c r="F414" s="50">
        <v>2700187</v>
      </c>
      <c r="G414" s="50">
        <v>4</v>
      </c>
      <c r="H414" s="52" t="e">
        <f>SUMIF('[1]Build Detail'!$D$4:$D$521,$B$16:$B$533,'[1]Build Detail'!$H$4:$H$521)</f>
        <v>#VALUE!</v>
      </c>
      <c r="I414" s="52" t="e">
        <f>SUMIF('[1]Build Detail'!$D$4:$D$521,$B$16:$B$533,'[1]Build Detail'!$Q$4:$Q$521)</f>
        <v>#VALUE!</v>
      </c>
      <c r="J414" s="52" t="e">
        <f>SUMIF('[1]Build Detail'!$D$4:$D$521,$B$16:$B$533,'[1]Build Detail'!$T$4:$T$521)</f>
        <v>#VALUE!</v>
      </c>
      <c r="K414" s="53">
        <v>1551926.3900000001</v>
      </c>
      <c r="L414" s="37">
        <f t="shared" si="48"/>
        <v>43765.61</v>
      </c>
      <c r="M414" s="37">
        <v>45595.73</v>
      </c>
      <c r="N414" s="38">
        <v>41036.160000000003</v>
      </c>
      <c r="O414" s="37">
        <f t="shared" si="42"/>
        <v>2729.4499999999971</v>
      </c>
      <c r="P414" s="54" t="e">
        <f t="shared" si="43"/>
        <v>#VALUE!</v>
      </c>
      <c r="Q414" s="40">
        <f t="shared" si="44"/>
        <v>6.2365176676390369E-2</v>
      </c>
      <c r="R414" s="37">
        <f t="shared" si="45"/>
        <v>-1830.1200000000026</v>
      </c>
      <c r="S414" s="41">
        <f t="shared" si="46"/>
        <v>-4.0137969059822101E-2</v>
      </c>
      <c r="T414" s="37" t="e">
        <f>SUMIF('[1]JOBS MAR 15'!$E$8:$E$525,$E$16:$E$533,'[1]JOBS MAR 15'!$G$8:$G$525)</f>
        <v>#VALUE!</v>
      </c>
      <c r="U414" s="37" t="e">
        <f>SUMIF('[1]JOBS MAR 15'!$E$8:$E$525,$E$16:$E$533,'[1]JOBS MAR 15'!$H$8:$H$525)</f>
        <v>#VALUE!</v>
      </c>
      <c r="V414" s="37" t="e">
        <f>SUMIF('[1]JOBS MAR 15'!$E$8:$E$525,$E$16:$E$533,'[1]JOBS MAR 15'!$I$8:$I$525)</f>
        <v>#VALUE!</v>
      </c>
      <c r="W414" s="55" t="str">
        <f t="shared" si="47"/>
        <v xml:space="preserve"> </v>
      </c>
    </row>
    <row r="415" spans="1:23" x14ac:dyDescent="0.2">
      <c r="B415">
        <v>4077</v>
      </c>
      <c r="C415">
        <v>7</v>
      </c>
      <c r="D415" s="2" t="s">
        <v>878</v>
      </c>
      <c r="E415" s="50" t="s">
        <v>879</v>
      </c>
      <c r="F415" s="50">
        <v>2700188</v>
      </c>
      <c r="G415" s="50">
        <v>5</v>
      </c>
      <c r="H415" s="52" t="e">
        <f>SUMIF('[1]Build Detail'!$D$4:$D$521,$B$16:$B$533,'[1]Build Detail'!$H$4:$H$521)</f>
        <v>#VALUE!</v>
      </c>
      <c r="I415" s="52" t="e">
        <f>SUMIF('[1]Build Detail'!$D$4:$D$521,$B$16:$B$533,'[1]Build Detail'!$Q$4:$Q$521)</f>
        <v>#VALUE!</v>
      </c>
      <c r="J415" s="52" t="e">
        <f>SUMIF('[1]Build Detail'!$D$4:$D$521,$B$16:$B$533,'[1]Build Detail'!$T$4:$T$521)</f>
        <v>#VALUE!</v>
      </c>
      <c r="K415" s="53">
        <v>5658316.2500000009</v>
      </c>
      <c r="L415" s="37">
        <f t="shared" si="48"/>
        <v>159569.20000000001</v>
      </c>
      <c r="M415" s="37">
        <v>158939.47</v>
      </c>
      <c r="N415" s="38">
        <v>143045.51999999999</v>
      </c>
      <c r="O415" s="37">
        <f t="shared" si="42"/>
        <v>16523.680000000022</v>
      </c>
      <c r="P415" s="54" t="e">
        <f t="shared" si="43"/>
        <v>#VALUE!</v>
      </c>
      <c r="Q415" s="40">
        <f t="shared" si="44"/>
        <v>0.10355181325719513</v>
      </c>
      <c r="R415" s="37">
        <f t="shared" si="45"/>
        <v>629.73000000001048</v>
      </c>
      <c r="S415" s="41">
        <f t="shared" si="46"/>
        <v>3.962074367053133E-3</v>
      </c>
      <c r="T415" s="37" t="e">
        <f>SUMIF('[1]JOBS MAR 15'!$E$8:$E$525,$E$16:$E$533,'[1]JOBS MAR 15'!$G$8:$G$525)</f>
        <v>#VALUE!</v>
      </c>
      <c r="U415" s="37" t="e">
        <f>SUMIF('[1]JOBS MAR 15'!$E$8:$E$525,$E$16:$E$533,'[1]JOBS MAR 15'!$H$8:$H$525)</f>
        <v>#VALUE!</v>
      </c>
      <c r="V415" s="37" t="e">
        <f>SUMIF('[1]JOBS MAR 15'!$E$8:$E$525,$E$16:$E$533,'[1]JOBS MAR 15'!$I$8:$I$525)</f>
        <v>#VALUE!</v>
      </c>
      <c r="W415" s="55" t="str">
        <f t="shared" si="47"/>
        <v xml:space="preserve"> </v>
      </c>
    </row>
    <row r="416" spans="1:23" x14ac:dyDescent="0.2">
      <c r="B416">
        <v>4078</v>
      </c>
      <c r="C416">
        <v>7</v>
      </c>
      <c r="D416" s="2" t="s">
        <v>880</v>
      </c>
      <c r="E416" s="50" t="s">
        <v>881</v>
      </c>
      <c r="F416" s="50">
        <v>2700189</v>
      </c>
      <c r="G416" s="50">
        <v>5</v>
      </c>
      <c r="H416" s="52" t="e">
        <f>SUMIF('[1]Build Detail'!$D$4:$D$521,$B$16:$B$533,'[1]Build Detail'!$H$4:$H$521)</f>
        <v>#VALUE!</v>
      </c>
      <c r="I416" s="52" t="e">
        <f>SUMIF('[1]Build Detail'!$D$4:$D$521,$B$16:$B$533,'[1]Build Detail'!$Q$4:$Q$521)</f>
        <v>#VALUE!</v>
      </c>
      <c r="J416" s="52" t="e">
        <f>SUMIF('[1]Build Detail'!$D$4:$D$521,$B$16:$B$533,'[1]Build Detail'!$T$4:$T$521)</f>
        <v>#VALUE!</v>
      </c>
      <c r="K416" s="53">
        <v>3418777.25</v>
      </c>
      <c r="L416" s="37">
        <f t="shared" si="48"/>
        <v>96412.35</v>
      </c>
      <c r="M416" s="37">
        <v>97656.95</v>
      </c>
      <c r="N416" s="38">
        <v>87891.26</v>
      </c>
      <c r="O416" s="37">
        <f t="shared" si="42"/>
        <v>8521.0900000000111</v>
      </c>
      <c r="P416" s="54" t="e">
        <f t="shared" si="43"/>
        <v>#VALUE!</v>
      </c>
      <c r="Q416" s="40">
        <f t="shared" si="44"/>
        <v>8.8381727029784155E-2</v>
      </c>
      <c r="R416" s="37">
        <f t="shared" si="45"/>
        <v>-1244.5999999999913</v>
      </c>
      <c r="S416" s="41">
        <f t="shared" si="46"/>
        <v>-1.2744612646616461E-2</v>
      </c>
      <c r="T416" s="37" t="e">
        <f>SUMIF('[1]JOBS MAR 15'!$E$8:$E$525,$E$16:$E$533,'[1]JOBS MAR 15'!$G$8:$G$525)</f>
        <v>#VALUE!</v>
      </c>
      <c r="U416" s="37" t="e">
        <f>SUMIF('[1]JOBS MAR 15'!$E$8:$E$525,$E$16:$E$533,'[1]JOBS MAR 15'!$H$8:$H$525)</f>
        <v>#VALUE!</v>
      </c>
      <c r="V416" s="37" t="e">
        <f>SUMIF('[1]JOBS MAR 15'!$E$8:$E$525,$E$16:$E$533,'[1]JOBS MAR 15'!$I$8:$I$525)</f>
        <v>#VALUE!</v>
      </c>
      <c r="W416" s="55" t="str">
        <f t="shared" si="47"/>
        <v xml:space="preserve"> </v>
      </c>
    </row>
    <row r="417" spans="1:23" x14ac:dyDescent="0.2">
      <c r="B417">
        <v>4079</v>
      </c>
      <c r="C417">
        <v>7</v>
      </c>
      <c r="D417" s="2" t="s">
        <v>882</v>
      </c>
      <c r="E417" s="50" t="s">
        <v>883</v>
      </c>
      <c r="F417" s="50">
        <v>2700190</v>
      </c>
      <c r="G417" s="50">
        <v>5</v>
      </c>
      <c r="H417" s="52" t="e">
        <f>SUMIF('[1]Build Detail'!$D$4:$D$521,$B$16:$B$533,'[1]Build Detail'!$H$4:$H$521)</f>
        <v>#VALUE!</v>
      </c>
      <c r="I417" s="52" t="e">
        <f>SUMIF('[1]Build Detail'!$D$4:$D$521,$B$16:$B$533,'[1]Build Detail'!$Q$4:$Q$521)</f>
        <v>#VALUE!</v>
      </c>
      <c r="J417" s="52" t="e">
        <f>SUMIF('[1]Build Detail'!$D$4:$D$521,$B$16:$B$533,'[1]Build Detail'!$T$4:$T$521)</f>
        <v>#VALUE!</v>
      </c>
      <c r="K417" s="53">
        <v>945924.47</v>
      </c>
      <c r="L417" s="37">
        <f t="shared" si="48"/>
        <v>26675.85</v>
      </c>
      <c r="M417" s="37">
        <v>26918.79</v>
      </c>
      <c r="N417" s="38">
        <v>24226.91</v>
      </c>
      <c r="O417" s="37">
        <f t="shared" si="42"/>
        <v>2448.9399999999987</v>
      </c>
      <c r="P417" s="54" t="e">
        <f t="shared" si="43"/>
        <v>#VALUE!</v>
      </c>
      <c r="Q417" s="40">
        <f t="shared" si="44"/>
        <v>9.1803635123154426E-2</v>
      </c>
      <c r="R417" s="37">
        <f t="shared" si="45"/>
        <v>-242.94000000000233</v>
      </c>
      <c r="S417" s="41">
        <f t="shared" si="46"/>
        <v>-9.0249227398409189E-3</v>
      </c>
      <c r="T417" s="37" t="e">
        <f>SUMIF('[1]JOBS MAR 15'!$E$8:$E$525,$E$16:$E$533,'[1]JOBS MAR 15'!$G$8:$G$525)</f>
        <v>#VALUE!</v>
      </c>
      <c r="U417" s="37" t="e">
        <f>SUMIF('[1]JOBS MAR 15'!$E$8:$E$525,$E$16:$E$533,'[1]JOBS MAR 15'!$H$8:$H$525)</f>
        <v>#VALUE!</v>
      </c>
      <c r="V417" s="37" t="e">
        <f>SUMIF('[1]JOBS MAR 15'!$E$8:$E$525,$E$16:$E$533,'[1]JOBS MAR 15'!$I$8:$I$525)</f>
        <v>#VALUE!</v>
      </c>
      <c r="W417" s="55" t="str">
        <f t="shared" si="47"/>
        <v xml:space="preserve"> </v>
      </c>
    </row>
    <row r="418" spans="1:23" x14ac:dyDescent="0.2">
      <c r="B418">
        <v>4080</v>
      </c>
      <c r="C418">
        <v>7</v>
      </c>
      <c r="D418" s="2" t="s">
        <v>884</v>
      </c>
      <c r="E418" s="50" t="s">
        <v>885</v>
      </c>
      <c r="F418" s="50">
        <v>2700191</v>
      </c>
      <c r="G418" s="50">
        <v>8</v>
      </c>
      <c r="H418" s="52" t="e">
        <f>SUMIF('[1]Build Detail'!$D$4:$D$521,$B$16:$B$533,'[1]Build Detail'!$H$4:$H$521)</f>
        <v>#VALUE!</v>
      </c>
      <c r="I418" s="52" t="e">
        <f>SUMIF('[1]Build Detail'!$D$4:$D$521,$B$16:$B$533,'[1]Build Detail'!$Q$4:$Q$521)</f>
        <v>#VALUE!</v>
      </c>
      <c r="J418" s="52" t="e">
        <f>SUMIF('[1]Build Detail'!$D$4:$D$521,$B$16:$B$533,'[1]Build Detail'!$T$4:$T$521)</f>
        <v>#VALUE!</v>
      </c>
      <c r="K418" s="53">
        <v>534256.99</v>
      </c>
      <c r="L418" s="37">
        <f t="shared" si="48"/>
        <v>15066.49</v>
      </c>
      <c r="M418" s="37">
        <v>14584.09</v>
      </c>
      <c r="N418" s="38">
        <v>13125.68</v>
      </c>
      <c r="O418" s="37">
        <f t="shared" si="42"/>
        <v>1940.8099999999995</v>
      </c>
      <c r="P418" s="54" t="e">
        <f t="shared" si="43"/>
        <v>#VALUE!</v>
      </c>
      <c r="Q418" s="40">
        <f t="shared" si="44"/>
        <v>0.12881633346585697</v>
      </c>
      <c r="R418" s="37">
        <f t="shared" si="45"/>
        <v>482.39999999999964</v>
      </c>
      <c r="S418" s="41">
        <f t="shared" si="46"/>
        <v>3.3077140911774383E-2</v>
      </c>
      <c r="T418" s="37" t="e">
        <f>SUMIF('[1]JOBS MAR 15'!$E$8:$E$525,$E$16:$E$533,'[1]JOBS MAR 15'!$G$8:$G$525)</f>
        <v>#VALUE!</v>
      </c>
      <c r="U418" s="37" t="e">
        <f>SUMIF('[1]JOBS MAR 15'!$E$8:$E$525,$E$16:$E$533,'[1]JOBS MAR 15'!$H$8:$H$525)</f>
        <v>#VALUE!</v>
      </c>
      <c r="V418" s="37" t="e">
        <f>SUMIF('[1]JOBS MAR 15'!$E$8:$E$525,$E$16:$E$533,'[1]JOBS MAR 15'!$I$8:$I$525)</f>
        <v>#VALUE!</v>
      </c>
      <c r="W418" s="55" t="str">
        <f t="shared" si="47"/>
        <v xml:space="preserve"> </v>
      </c>
    </row>
    <row r="419" spans="1:23" x14ac:dyDescent="0.2">
      <c r="B419">
        <v>4081</v>
      </c>
      <c r="C419">
        <v>7</v>
      </c>
      <c r="D419" s="2" t="s">
        <v>886</v>
      </c>
      <c r="E419" s="50" t="s">
        <v>887</v>
      </c>
      <c r="F419" s="50">
        <v>2700192</v>
      </c>
      <c r="G419" s="50">
        <v>1</v>
      </c>
      <c r="H419" s="52" t="e">
        <f>SUMIF('[1]Build Detail'!$D$4:$D$521,$B$16:$B$533,'[1]Build Detail'!$H$4:$H$521)</f>
        <v>#VALUE!</v>
      </c>
      <c r="I419" s="52" t="e">
        <f>SUMIF('[1]Build Detail'!$D$4:$D$521,$B$16:$B$533,'[1]Build Detail'!$Q$4:$Q$521)</f>
        <v>#VALUE!</v>
      </c>
      <c r="J419" s="52" t="e">
        <f>SUMIF('[1]Build Detail'!$D$4:$D$521,$B$16:$B$533,'[1]Build Detail'!$T$4:$T$521)</f>
        <v>#VALUE!</v>
      </c>
      <c r="K419" s="53">
        <v>657383.67000000004</v>
      </c>
      <c r="L419" s="37">
        <f t="shared" si="48"/>
        <v>18538.759999999998</v>
      </c>
      <c r="M419" s="37">
        <v>18348.2</v>
      </c>
      <c r="N419" s="38">
        <v>16513.38</v>
      </c>
      <c r="O419" s="37">
        <f t="shared" si="42"/>
        <v>2025.3799999999974</v>
      </c>
      <c r="P419" s="54" t="e">
        <f t="shared" si="43"/>
        <v>#VALUE!</v>
      </c>
      <c r="Q419" s="40">
        <f t="shared" si="44"/>
        <v>0.10925110417309451</v>
      </c>
      <c r="R419" s="37">
        <f t="shared" si="45"/>
        <v>190.55999999999767</v>
      </c>
      <c r="S419" s="41">
        <f t="shared" si="46"/>
        <v>1.0385759911053819E-2</v>
      </c>
      <c r="T419" s="37" t="e">
        <f>SUMIF('[1]JOBS MAR 15'!$E$8:$E$525,$E$16:$E$533,'[1]JOBS MAR 15'!$G$8:$G$525)</f>
        <v>#VALUE!</v>
      </c>
      <c r="U419" s="37" t="e">
        <f>SUMIF('[1]JOBS MAR 15'!$E$8:$E$525,$E$16:$E$533,'[1]JOBS MAR 15'!$H$8:$H$525)</f>
        <v>#VALUE!</v>
      </c>
      <c r="V419" s="37" t="e">
        <f>SUMIF('[1]JOBS MAR 15'!$E$8:$E$525,$E$16:$E$533,'[1]JOBS MAR 15'!$I$8:$I$525)</f>
        <v>#VALUE!</v>
      </c>
      <c r="W419" s="55" t="str">
        <f t="shared" si="47"/>
        <v xml:space="preserve"> </v>
      </c>
    </row>
    <row r="420" spans="1:23" x14ac:dyDescent="0.2">
      <c r="B420" s="69">
        <v>4082</v>
      </c>
      <c r="C420" s="69">
        <v>7</v>
      </c>
      <c r="D420" s="70" t="s">
        <v>888</v>
      </c>
      <c r="E420" s="60" t="s">
        <v>889</v>
      </c>
      <c r="F420" s="60">
        <v>2700193</v>
      </c>
      <c r="G420" s="60">
        <v>4</v>
      </c>
      <c r="H420" s="52" t="e">
        <f>SUMIF('[1]Build Detail'!$D$4:$D$521,$B$16:$B$533,'[1]Build Detail'!$H$4:$H$521)</f>
        <v>#VALUE!</v>
      </c>
      <c r="I420" s="52" t="e">
        <f>SUMIF('[1]Build Detail'!$D$4:$D$521,$B$16:$B$533,'[1]Build Detail'!$Q$4:$Q$521)</f>
        <v>#VALUE!</v>
      </c>
      <c r="J420" s="52" t="e">
        <f>SUMIF('[1]Build Detail'!$D$4:$D$521,$B$16:$B$533,'[1]Build Detail'!$T$4:$T$521)</f>
        <v>#VALUE!</v>
      </c>
      <c r="K420" s="62">
        <v>5183368.040000001</v>
      </c>
      <c r="L420" s="63">
        <f t="shared" si="48"/>
        <v>146175.26</v>
      </c>
      <c r="M420" s="63">
        <v>144715.26</v>
      </c>
      <c r="N420" s="64">
        <v>130243.73</v>
      </c>
      <c r="O420" s="63">
        <f t="shared" si="42"/>
        <v>15931.530000000013</v>
      </c>
      <c r="P420" s="65" t="e">
        <f t="shared" si="43"/>
        <v>#VALUE!</v>
      </c>
      <c r="Q420" s="66">
        <f t="shared" si="44"/>
        <v>0.1089892366191106</v>
      </c>
      <c r="R420" s="63">
        <f t="shared" si="45"/>
        <v>1460</v>
      </c>
      <c r="S420" s="67">
        <f t="shared" si="46"/>
        <v>1.0088777092339811E-2</v>
      </c>
      <c r="T420" s="63" t="e">
        <f>SUMIF('[1]JOBS MAR 15'!$E$8:$E$525,$E$16:$E$533,'[1]JOBS MAR 15'!$G$8:$G$525)</f>
        <v>#VALUE!</v>
      </c>
      <c r="U420" s="63" t="e">
        <f>SUMIF('[1]JOBS MAR 15'!$E$8:$E$525,$E$16:$E$533,'[1]JOBS MAR 15'!$H$8:$H$525)</f>
        <v>#VALUE!</v>
      </c>
      <c r="V420" s="63" t="e">
        <f>SUMIF('[1]JOBS MAR 15'!$E$8:$E$525,$E$16:$E$533,'[1]JOBS MAR 15'!$I$8:$I$525)</f>
        <v>#VALUE!</v>
      </c>
      <c r="W420" s="55" t="str">
        <f t="shared" si="47"/>
        <v xml:space="preserve"> </v>
      </c>
    </row>
    <row r="421" spans="1:23" x14ac:dyDescent="0.2">
      <c r="B421">
        <v>4083</v>
      </c>
      <c r="C421">
        <v>7</v>
      </c>
      <c r="D421" s="2" t="s">
        <v>890</v>
      </c>
      <c r="E421" s="50" t="s">
        <v>891</v>
      </c>
      <c r="F421" s="50">
        <v>2700194</v>
      </c>
      <c r="G421" s="50">
        <v>1</v>
      </c>
      <c r="H421" s="52" t="e">
        <f>SUMIF('[1]Build Detail'!$D$4:$D$521,$B$16:$B$533,'[1]Build Detail'!$H$4:$H$521)</f>
        <v>#VALUE!</v>
      </c>
      <c r="I421" s="52" t="e">
        <f>SUMIF('[1]Build Detail'!$D$4:$D$521,$B$16:$B$533,'[1]Build Detail'!$Q$4:$Q$521)</f>
        <v>#VALUE!</v>
      </c>
      <c r="J421" s="52" t="e">
        <f>SUMIF('[1]Build Detail'!$D$4:$D$521,$B$16:$B$533,'[1]Build Detail'!$T$4:$T$521)</f>
        <v>#VALUE!</v>
      </c>
      <c r="K421" s="53">
        <v>557994.97</v>
      </c>
      <c r="L421" s="37">
        <f t="shared" si="48"/>
        <v>15735.92</v>
      </c>
      <c r="M421" s="37">
        <v>15939.1</v>
      </c>
      <c r="N421" s="38">
        <v>14345.19</v>
      </c>
      <c r="O421" s="37">
        <f t="shared" si="42"/>
        <v>1390.7299999999996</v>
      </c>
      <c r="P421" s="54" t="e">
        <f t="shared" si="43"/>
        <v>#VALUE!</v>
      </c>
      <c r="Q421" s="40">
        <f t="shared" si="44"/>
        <v>8.8379325771864595E-2</v>
      </c>
      <c r="R421" s="37">
        <f t="shared" si="45"/>
        <v>-203.18000000000029</v>
      </c>
      <c r="S421" s="41">
        <f t="shared" si="46"/>
        <v>-1.2747269293749352E-2</v>
      </c>
      <c r="T421" s="37" t="e">
        <f>SUMIF('[1]JOBS MAR 15'!$E$8:$E$525,$E$16:$E$533,'[1]JOBS MAR 15'!$G$8:$G$525)</f>
        <v>#VALUE!</v>
      </c>
      <c r="U421" s="37" t="e">
        <f>SUMIF('[1]JOBS MAR 15'!$E$8:$E$525,$E$16:$E$533,'[1]JOBS MAR 15'!$H$8:$H$525)</f>
        <v>#VALUE!</v>
      </c>
      <c r="V421" s="37" t="e">
        <f>SUMIF('[1]JOBS MAR 15'!$E$8:$E$525,$E$16:$E$533,'[1]JOBS MAR 15'!$I$8:$I$525)</f>
        <v>#VALUE!</v>
      </c>
      <c r="W421" s="55" t="str">
        <f t="shared" si="47"/>
        <v xml:space="preserve"> </v>
      </c>
    </row>
    <row r="422" spans="1:23" x14ac:dyDescent="0.2">
      <c r="B422">
        <v>4084</v>
      </c>
      <c r="C422">
        <v>7</v>
      </c>
      <c r="D422" s="2" t="s">
        <v>892</v>
      </c>
      <c r="E422" s="50" t="s">
        <v>893</v>
      </c>
      <c r="F422" s="50">
        <v>2700208</v>
      </c>
      <c r="G422" s="50">
        <v>8</v>
      </c>
      <c r="H422" s="52" t="e">
        <f>SUMIF('[1]Build Detail'!$D$4:$D$521,$B$16:$B$533,'[1]Build Detail'!$H$4:$H$521)</f>
        <v>#VALUE!</v>
      </c>
      <c r="I422" s="52" t="e">
        <f>SUMIF('[1]Build Detail'!$D$4:$D$521,$B$16:$B$533,'[1]Build Detail'!$Q$4:$Q$521)</f>
        <v>#VALUE!</v>
      </c>
      <c r="J422" s="52" t="e">
        <f>SUMIF('[1]Build Detail'!$D$4:$D$521,$B$16:$B$533,'[1]Build Detail'!$T$4:$T$521)</f>
        <v>#VALUE!</v>
      </c>
      <c r="K422" s="53">
        <v>2352420.04</v>
      </c>
      <c r="L422" s="37">
        <f t="shared" si="48"/>
        <v>66340.19</v>
      </c>
      <c r="M422" s="37">
        <v>67371.34</v>
      </c>
      <c r="N422" s="38">
        <v>60634.21</v>
      </c>
      <c r="O422" s="37">
        <f t="shared" si="42"/>
        <v>5705.9800000000032</v>
      </c>
      <c r="P422" s="54" t="e">
        <f t="shared" si="43"/>
        <v>#VALUE!</v>
      </c>
      <c r="Q422" s="40">
        <f t="shared" si="44"/>
        <v>8.6010908319677754E-2</v>
      </c>
      <c r="R422" s="37">
        <f t="shared" si="45"/>
        <v>-1031.1499999999942</v>
      </c>
      <c r="S422" s="41">
        <f t="shared" si="46"/>
        <v>-1.5305469655197509E-2</v>
      </c>
      <c r="T422" s="37" t="e">
        <f>SUMIF('[1]JOBS MAR 15'!$E$8:$E$525,$E$16:$E$533,'[1]JOBS MAR 15'!$G$8:$G$525)</f>
        <v>#VALUE!</v>
      </c>
      <c r="U422" s="37" t="e">
        <f>SUMIF('[1]JOBS MAR 15'!$E$8:$E$525,$E$16:$E$533,'[1]JOBS MAR 15'!$H$8:$H$525)</f>
        <v>#VALUE!</v>
      </c>
      <c r="V422" s="37" t="e">
        <f>SUMIF('[1]JOBS MAR 15'!$E$8:$E$525,$E$16:$E$533,'[1]JOBS MAR 15'!$I$8:$I$525)</f>
        <v>#VALUE!</v>
      </c>
      <c r="W422" s="55" t="str">
        <f t="shared" si="47"/>
        <v xml:space="preserve"> </v>
      </c>
    </row>
    <row r="423" spans="1:23" x14ac:dyDescent="0.2">
      <c r="B423">
        <v>4085</v>
      </c>
      <c r="C423">
        <v>7</v>
      </c>
      <c r="D423" s="2" t="s">
        <v>894</v>
      </c>
      <c r="E423" s="50" t="s">
        <v>895</v>
      </c>
      <c r="F423" s="50">
        <v>2700209</v>
      </c>
      <c r="G423" s="50">
        <v>8</v>
      </c>
      <c r="H423" s="52" t="e">
        <f>SUMIF('[1]Build Detail'!$D$4:$D$521,$B$16:$B$533,'[1]Build Detail'!$H$4:$H$521)</f>
        <v>#VALUE!</v>
      </c>
      <c r="I423" s="52" t="e">
        <f>SUMIF('[1]Build Detail'!$D$4:$D$521,$B$16:$B$533,'[1]Build Detail'!$Q$4:$Q$521)</f>
        <v>#VALUE!</v>
      </c>
      <c r="J423" s="52" t="e">
        <f>SUMIF('[1]Build Detail'!$D$4:$D$521,$B$16:$B$533,'[1]Build Detail'!$T$4:$T$521)</f>
        <v>#VALUE!</v>
      </c>
      <c r="K423" s="53">
        <v>1826980.6500000001</v>
      </c>
      <c r="L423" s="37">
        <f t="shared" si="48"/>
        <v>51522.37</v>
      </c>
      <c r="M423" s="37">
        <v>51168.7</v>
      </c>
      <c r="N423" s="38">
        <v>46051.83</v>
      </c>
      <c r="O423" s="37">
        <f t="shared" si="42"/>
        <v>5470.5400000000009</v>
      </c>
      <c r="P423" s="54" t="e">
        <f t="shared" si="43"/>
        <v>#VALUE!</v>
      </c>
      <c r="Q423" s="40">
        <f t="shared" si="44"/>
        <v>0.10617795726400009</v>
      </c>
      <c r="R423" s="37">
        <f t="shared" si="45"/>
        <v>353.67000000000553</v>
      </c>
      <c r="S423" s="41">
        <f t="shared" si="46"/>
        <v>6.9118425912717257E-3</v>
      </c>
      <c r="T423" s="37" t="e">
        <f>SUMIF('[1]JOBS MAR 15'!$E$8:$E$525,$E$16:$E$533,'[1]JOBS MAR 15'!$G$8:$G$525)</f>
        <v>#VALUE!</v>
      </c>
      <c r="U423" s="37" t="e">
        <f>SUMIF('[1]JOBS MAR 15'!$E$8:$E$525,$E$16:$E$533,'[1]JOBS MAR 15'!$H$8:$H$525)</f>
        <v>#VALUE!</v>
      </c>
      <c r="V423" s="37" t="e">
        <f>SUMIF('[1]JOBS MAR 15'!$E$8:$E$525,$E$16:$E$533,'[1]JOBS MAR 15'!$I$8:$I$525)</f>
        <v>#VALUE!</v>
      </c>
      <c r="W423" s="55" t="str">
        <f t="shared" si="47"/>
        <v xml:space="preserve"> </v>
      </c>
    </row>
    <row r="424" spans="1:23" x14ac:dyDescent="0.2">
      <c r="B424">
        <v>4086</v>
      </c>
      <c r="C424">
        <v>7</v>
      </c>
      <c r="D424" s="2" t="s">
        <v>896</v>
      </c>
      <c r="E424" s="50" t="s">
        <v>897</v>
      </c>
      <c r="F424" s="50">
        <v>2700210</v>
      </c>
      <c r="G424" s="50">
        <v>5</v>
      </c>
      <c r="H424" s="52" t="e">
        <f>SUMIF('[1]Build Detail'!$D$4:$D$521,$B$16:$B$533,'[1]Build Detail'!$H$4:$H$521)</f>
        <v>#VALUE!</v>
      </c>
      <c r="I424" s="52" t="e">
        <f>SUMIF('[1]Build Detail'!$D$4:$D$521,$B$16:$B$533,'[1]Build Detail'!$Q$4:$Q$521)</f>
        <v>#VALUE!</v>
      </c>
      <c r="J424" s="52" t="e">
        <f>SUMIF('[1]Build Detail'!$D$4:$D$521,$B$16:$B$533,'[1]Build Detail'!$T$4:$T$521)</f>
        <v>#VALUE!</v>
      </c>
      <c r="K424" s="53">
        <v>2993494.96</v>
      </c>
      <c r="L424" s="37">
        <f t="shared" si="48"/>
        <v>84419.03</v>
      </c>
      <c r="M424" s="37">
        <v>85513.7</v>
      </c>
      <c r="N424" s="38">
        <v>76962.33</v>
      </c>
      <c r="O424" s="37">
        <f t="shared" si="42"/>
        <v>7456.6999999999971</v>
      </c>
      <c r="P424" s="54" t="e">
        <f t="shared" si="43"/>
        <v>#VALUE!</v>
      </c>
      <c r="Q424" s="40">
        <f t="shared" si="44"/>
        <v>8.8329610041716869E-2</v>
      </c>
      <c r="R424" s="37">
        <f t="shared" si="45"/>
        <v>-1094.6699999999983</v>
      </c>
      <c r="S424" s="41">
        <f t="shared" si="46"/>
        <v>-1.2801106723250173E-2</v>
      </c>
      <c r="T424" s="37" t="e">
        <f>SUMIF('[1]JOBS MAR 15'!$E$8:$E$525,$E$16:$E$533,'[1]JOBS MAR 15'!$G$8:$G$525)</f>
        <v>#VALUE!</v>
      </c>
      <c r="U424" s="37" t="e">
        <f>SUMIF('[1]JOBS MAR 15'!$E$8:$E$525,$E$16:$E$533,'[1]JOBS MAR 15'!$H$8:$H$525)</f>
        <v>#VALUE!</v>
      </c>
      <c r="V424" s="37" t="e">
        <f>SUMIF('[1]JOBS MAR 15'!$E$8:$E$525,$E$16:$E$533,'[1]JOBS MAR 15'!$I$8:$I$525)</f>
        <v>#VALUE!</v>
      </c>
      <c r="W424" s="55" t="str">
        <f t="shared" si="47"/>
        <v xml:space="preserve"> </v>
      </c>
    </row>
    <row r="425" spans="1:23" x14ac:dyDescent="0.2">
      <c r="A425" s="71"/>
      <c r="B425" s="69">
        <v>4087</v>
      </c>
      <c r="C425" s="69">
        <v>7</v>
      </c>
      <c r="D425" s="70" t="s">
        <v>898</v>
      </c>
      <c r="E425" s="71" t="s">
        <v>899</v>
      </c>
      <c r="F425" s="71">
        <v>2700211</v>
      </c>
      <c r="G425" s="71">
        <v>6</v>
      </c>
      <c r="H425" s="52" t="e">
        <f>SUMIF('[1]Build Detail'!$D$4:$D$521,$B$16:$B$533,'[1]Build Detail'!$H$4:$H$521)</f>
        <v>#VALUE!</v>
      </c>
      <c r="I425" s="52" t="e">
        <f>SUMIF('[1]Build Detail'!$D$4:$D$521,$B$16:$B$533,'[1]Build Detail'!$Q$4:$Q$521)</f>
        <v>#VALUE!</v>
      </c>
      <c r="J425" s="52" t="e">
        <f>SUMIF('[1]Build Detail'!$D$4:$D$521,$B$16:$B$533,'[1]Build Detail'!$T$4:$T$521)</f>
        <v>#VALUE!</v>
      </c>
      <c r="K425" s="72">
        <v>871316.67</v>
      </c>
      <c r="L425" s="64">
        <f t="shared" si="48"/>
        <v>24571.85</v>
      </c>
      <c r="M425" s="64">
        <v>24568.62</v>
      </c>
      <c r="N425" s="64">
        <v>22111.759999999998</v>
      </c>
      <c r="O425" s="64">
        <f t="shared" si="42"/>
        <v>2460.09</v>
      </c>
      <c r="P425" s="73" t="e">
        <f t="shared" si="43"/>
        <v>#VALUE!</v>
      </c>
      <c r="Q425" s="74">
        <f t="shared" si="44"/>
        <v>0.1001182247164947</v>
      </c>
      <c r="R425" s="64">
        <f t="shared" si="45"/>
        <v>3.2299999999995634</v>
      </c>
      <c r="S425" s="75">
        <f t="shared" si="46"/>
        <v>1.3146851552914098E-4</v>
      </c>
      <c r="T425" s="64" t="e">
        <f>SUMIF('[1]JOBS MAR 15'!$E$8:$E$525,$E$16:$E$533,'[1]JOBS MAR 15'!$G$8:$G$525)</f>
        <v>#VALUE!</v>
      </c>
      <c r="U425" s="64" t="e">
        <f>SUMIF('[1]JOBS MAR 15'!$E$8:$E$525,$E$16:$E$533,'[1]JOBS MAR 15'!$H$8:$H$525)</f>
        <v>#VALUE!</v>
      </c>
      <c r="V425" s="64" t="e">
        <f>SUMIF('[1]JOBS MAR 15'!$E$8:$E$525,$E$16:$E$533,'[1]JOBS MAR 15'!$I$8:$I$525)</f>
        <v>#VALUE!</v>
      </c>
      <c r="W425" s="55" t="str">
        <f t="shared" si="47"/>
        <v xml:space="preserve"> </v>
      </c>
    </row>
    <row r="426" spans="1:23" x14ac:dyDescent="0.2">
      <c r="B426">
        <v>4088</v>
      </c>
      <c r="C426">
        <v>7</v>
      </c>
      <c r="D426" s="2" t="s">
        <v>900</v>
      </c>
      <c r="E426" s="50" t="s">
        <v>901</v>
      </c>
      <c r="F426" s="50">
        <v>2700353</v>
      </c>
      <c r="G426" s="50">
        <v>4</v>
      </c>
      <c r="H426" s="52" t="e">
        <f>SUMIF('[1]Build Detail'!$D$4:$D$521,$B$16:$B$533,'[1]Build Detail'!$H$4:$H$521)</f>
        <v>#VALUE!</v>
      </c>
      <c r="I426" s="52" t="e">
        <f>SUMIF('[1]Build Detail'!$D$4:$D$521,$B$16:$B$533,'[1]Build Detail'!$Q$4:$Q$521)</f>
        <v>#VALUE!</v>
      </c>
      <c r="J426" s="52" t="e">
        <f>SUMIF('[1]Build Detail'!$D$4:$D$521,$B$16:$B$533,'[1]Build Detail'!$T$4:$T$521)</f>
        <v>#VALUE!</v>
      </c>
      <c r="K426" s="53">
        <v>2491986</v>
      </c>
      <c r="L426" s="37">
        <f t="shared" si="48"/>
        <v>70276.070000000007</v>
      </c>
      <c r="M426" s="37">
        <v>69328.570000000007</v>
      </c>
      <c r="N426" s="38">
        <v>62395.71</v>
      </c>
      <c r="O426" s="37">
        <f t="shared" si="42"/>
        <v>7880.3600000000079</v>
      </c>
      <c r="P426" s="54" t="e">
        <f t="shared" si="43"/>
        <v>#VALUE!</v>
      </c>
      <c r="Q426" s="40">
        <f t="shared" si="44"/>
        <v>0.1121343296516155</v>
      </c>
      <c r="R426" s="37">
        <f t="shared" si="45"/>
        <v>947.5</v>
      </c>
      <c r="S426" s="41">
        <f t="shared" si="46"/>
        <v>1.3666804320354508E-2</v>
      </c>
      <c r="T426" s="37" t="e">
        <f>SUMIF('[1]JOBS MAR 15'!$E$8:$E$525,$E$16:$E$533,'[1]JOBS MAR 15'!$G$8:$G$525)</f>
        <v>#VALUE!</v>
      </c>
      <c r="U426" s="37" t="e">
        <f>SUMIF('[1]JOBS MAR 15'!$E$8:$E$525,$E$16:$E$533,'[1]JOBS MAR 15'!$H$8:$H$525)</f>
        <v>#VALUE!</v>
      </c>
      <c r="V426" s="37" t="e">
        <f>SUMIF('[1]JOBS MAR 15'!$E$8:$E$525,$E$16:$E$533,'[1]JOBS MAR 15'!$I$8:$I$525)</f>
        <v>#VALUE!</v>
      </c>
      <c r="W426" s="55" t="str">
        <f t="shared" si="47"/>
        <v xml:space="preserve"> </v>
      </c>
    </row>
    <row r="427" spans="1:23" x14ac:dyDescent="0.2">
      <c r="B427">
        <v>4089</v>
      </c>
      <c r="C427">
        <v>7</v>
      </c>
      <c r="D427" s="2" t="s">
        <v>902</v>
      </c>
      <c r="E427" s="50" t="s">
        <v>903</v>
      </c>
      <c r="F427" s="50">
        <v>2700354</v>
      </c>
      <c r="G427" s="50">
        <v>5</v>
      </c>
      <c r="H427" s="52" t="e">
        <f>SUMIF('[1]Build Detail'!$D$4:$D$521,$B$16:$B$533,'[1]Build Detail'!$H$4:$H$521)</f>
        <v>#VALUE!</v>
      </c>
      <c r="I427" s="52" t="e">
        <f>SUMIF('[1]Build Detail'!$D$4:$D$521,$B$16:$B$533,'[1]Build Detail'!$Q$4:$Q$521)</f>
        <v>#VALUE!</v>
      </c>
      <c r="J427" s="52" t="e">
        <f>SUMIF('[1]Build Detail'!$D$4:$D$521,$B$16:$B$533,'[1]Build Detail'!$T$4:$T$521)</f>
        <v>#VALUE!</v>
      </c>
      <c r="K427" s="53">
        <v>875944.55</v>
      </c>
      <c r="L427" s="37">
        <f t="shared" si="48"/>
        <v>24702.36</v>
      </c>
      <c r="M427" s="37">
        <v>24721.22</v>
      </c>
      <c r="N427" s="38">
        <v>22249.1</v>
      </c>
      <c r="O427" s="37">
        <f t="shared" si="42"/>
        <v>2453.260000000002</v>
      </c>
      <c r="P427" s="54" t="e">
        <f t="shared" si="43"/>
        <v>#VALUE!</v>
      </c>
      <c r="Q427" s="40">
        <f t="shared" si="44"/>
        <v>9.931277821228425E-2</v>
      </c>
      <c r="R427" s="37">
        <f t="shared" si="45"/>
        <v>-18.860000000000582</v>
      </c>
      <c r="S427" s="41">
        <f t="shared" si="46"/>
        <v>-7.6290733224333512E-4</v>
      </c>
      <c r="T427" s="37" t="e">
        <f>SUMIF('[1]JOBS MAR 15'!$E$8:$E$525,$E$16:$E$533,'[1]JOBS MAR 15'!$G$8:$G$525)</f>
        <v>#VALUE!</v>
      </c>
      <c r="U427" s="37" t="e">
        <f>SUMIF('[1]JOBS MAR 15'!$E$8:$E$525,$E$16:$E$533,'[1]JOBS MAR 15'!$H$8:$H$525)</f>
        <v>#VALUE!</v>
      </c>
      <c r="V427" s="37" t="e">
        <f>SUMIF('[1]JOBS MAR 15'!$E$8:$E$525,$E$16:$E$533,'[1]JOBS MAR 15'!$I$8:$I$525)</f>
        <v>#VALUE!</v>
      </c>
      <c r="W427" s="55" t="str">
        <f t="shared" si="47"/>
        <v xml:space="preserve"> </v>
      </c>
    </row>
    <row r="428" spans="1:23" x14ac:dyDescent="0.2">
      <c r="B428">
        <v>4090</v>
      </c>
      <c r="C428">
        <v>7</v>
      </c>
      <c r="D428" s="2" t="s">
        <v>904</v>
      </c>
      <c r="E428" s="50" t="s">
        <v>905</v>
      </c>
      <c r="F428" s="50">
        <v>2700212</v>
      </c>
      <c r="G428" s="50">
        <v>1</v>
      </c>
      <c r="H428" s="52" t="e">
        <f>SUMIF('[1]Build Detail'!$D$4:$D$521,$B$16:$B$533,'[1]Build Detail'!$H$4:$H$521)</f>
        <v>#VALUE!</v>
      </c>
      <c r="I428" s="52" t="e">
        <f>SUMIF('[1]Build Detail'!$D$4:$D$521,$B$16:$B$533,'[1]Build Detail'!$Q$4:$Q$521)</f>
        <v>#VALUE!</v>
      </c>
      <c r="J428" s="52" t="e">
        <f>SUMIF('[1]Build Detail'!$D$4:$D$521,$B$16:$B$533,'[1]Build Detail'!$T$4:$T$521)</f>
        <v>#VALUE!</v>
      </c>
      <c r="K428" s="53">
        <v>1150048.69</v>
      </c>
      <c r="L428" s="37">
        <f t="shared" si="48"/>
        <v>32432.32</v>
      </c>
      <c r="M428" s="37">
        <v>32512.37</v>
      </c>
      <c r="N428" s="38">
        <v>29261.13</v>
      </c>
      <c r="O428" s="37">
        <f t="shared" si="42"/>
        <v>3171.1899999999987</v>
      </c>
      <c r="P428" s="54" t="e">
        <f t="shared" si="43"/>
        <v>#VALUE!</v>
      </c>
      <c r="Q428" s="40">
        <f t="shared" si="44"/>
        <v>9.7778697299483935E-2</v>
      </c>
      <c r="R428" s="37">
        <f t="shared" si="45"/>
        <v>-80.049999999999272</v>
      </c>
      <c r="S428" s="41">
        <f t="shared" si="46"/>
        <v>-2.4621397947919292E-3</v>
      </c>
      <c r="T428" s="37" t="e">
        <f>SUMIF('[1]JOBS MAR 15'!$E$8:$E$525,$E$16:$E$533,'[1]JOBS MAR 15'!$G$8:$G$525)</f>
        <v>#VALUE!</v>
      </c>
      <c r="U428" s="37" t="e">
        <f>SUMIF('[1]JOBS MAR 15'!$E$8:$E$525,$E$16:$E$533,'[1]JOBS MAR 15'!$H$8:$H$525)</f>
        <v>#VALUE!</v>
      </c>
      <c r="V428" s="37" t="e">
        <f>SUMIF('[1]JOBS MAR 15'!$E$8:$E$525,$E$16:$E$533,'[1]JOBS MAR 15'!$I$8:$I$525)</f>
        <v>#VALUE!</v>
      </c>
      <c r="W428" s="55" t="str">
        <f t="shared" si="47"/>
        <v xml:space="preserve"> </v>
      </c>
    </row>
    <row r="429" spans="1:23" x14ac:dyDescent="0.2">
      <c r="B429">
        <v>4091</v>
      </c>
      <c r="C429">
        <v>7</v>
      </c>
      <c r="D429" s="2" t="s">
        <v>906</v>
      </c>
      <c r="E429" s="50" t="s">
        <v>907</v>
      </c>
      <c r="F429" s="50">
        <v>2700355</v>
      </c>
      <c r="G429" s="50">
        <v>1</v>
      </c>
      <c r="H429" s="52" t="e">
        <f>SUMIF('[1]Build Detail'!$D$4:$D$521,$B$16:$B$533,'[1]Build Detail'!$H$4:$H$521)</f>
        <v>#VALUE!</v>
      </c>
      <c r="I429" s="52" t="e">
        <f>SUMIF('[1]Build Detail'!$D$4:$D$521,$B$16:$B$533,'[1]Build Detail'!$Q$4:$Q$521)</f>
        <v>#VALUE!</v>
      </c>
      <c r="J429" s="52" t="e">
        <f>SUMIF('[1]Build Detail'!$D$4:$D$521,$B$16:$B$533,'[1]Build Detail'!$T$4:$T$521)</f>
        <v>#VALUE!</v>
      </c>
      <c r="K429" s="53">
        <v>1097797.6299999999</v>
      </c>
      <c r="L429" s="37">
        <f t="shared" si="48"/>
        <v>30958.799999999999</v>
      </c>
      <c r="M429" s="37">
        <v>31197.41</v>
      </c>
      <c r="N429" s="38">
        <v>28077.67</v>
      </c>
      <c r="O429" s="37">
        <f t="shared" si="42"/>
        <v>2881.130000000001</v>
      </c>
      <c r="P429" s="54" t="e">
        <f t="shared" si="43"/>
        <v>#VALUE!</v>
      </c>
      <c r="Q429" s="40">
        <f t="shared" si="44"/>
        <v>9.3063361629003749E-2</v>
      </c>
      <c r="R429" s="37">
        <f t="shared" si="45"/>
        <v>-238.61000000000058</v>
      </c>
      <c r="S429" s="41">
        <f t="shared" si="46"/>
        <v>-7.6483913247926858E-3</v>
      </c>
      <c r="T429" s="37" t="e">
        <f>SUMIF('[1]JOBS MAR 15'!$E$8:$E$525,$E$16:$E$533,'[1]JOBS MAR 15'!$G$8:$G$525)</f>
        <v>#VALUE!</v>
      </c>
      <c r="U429" s="37" t="e">
        <f>SUMIF('[1]JOBS MAR 15'!$E$8:$E$525,$E$16:$E$533,'[1]JOBS MAR 15'!$H$8:$H$525)</f>
        <v>#VALUE!</v>
      </c>
      <c r="V429" s="37" t="e">
        <f>SUMIF('[1]JOBS MAR 15'!$E$8:$E$525,$E$16:$E$533,'[1]JOBS MAR 15'!$I$8:$I$525)</f>
        <v>#VALUE!</v>
      </c>
      <c r="W429" s="55" t="str">
        <f t="shared" si="47"/>
        <v xml:space="preserve"> </v>
      </c>
    </row>
    <row r="430" spans="1:23" x14ac:dyDescent="0.2">
      <c r="B430">
        <v>4092</v>
      </c>
      <c r="C430">
        <v>7</v>
      </c>
      <c r="D430" s="2" t="s">
        <v>908</v>
      </c>
      <c r="E430" s="50" t="s">
        <v>909</v>
      </c>
      <c r="F430" s="50">
        <v>2700213</v>
      </c>
      <c r="G430" s="50">
        <v>5</v>
      </c>
      <c r="H430" s="52" t="e">
        <f>SUMIF('[1]Build Detail'!$D$4:$D$521,$B$16:$B$533,'[1]Build Detail'!$H$4:$H$521)</f>
        <v>#VALUE!</v>
      </c>
      <c r="I430" s="52" t="e">
        <f>SUMIF('[1]Build Detail'!$D$4:$D$521,$B$16:$B$533,'[1]Build Detail'!$Q$4:$Q$521)</f>
        <v>#VALUE!</v>
      </c>
      <c r="J430" s="52" t="e">
        <f>SUMIF('[1]Build Detail'!$D$4:$D$521,$B$16:$B$533,'[1]Build Detail'!$T$4:$T$521)</f>
        <v>#VALUE!</v>
      </c>
      <c r="K430" s="53">
        <v>690928.57000000007</v>
      </c>
      <c r="L430" s="37">
        <f t="shared" si="48"/>
        <v>19484.759999999998</v>
      </c>
      <c r="M430" s="37">
        <v>19335.3</v>
      </c>
      <c r="N430" s="38">
        <v>17401.77</v>
      </c>
      <c r="O430" s="37">
        <f t="shared" si="42"/>
        <v>2082.989999999998</v>
      </c>
      <c r="P430" s="54" t="e">
        <f t="shared" si="43"/>
        <v>#VALUE!</v>
      </c>
      <c r="Q430" s="40">
        <f t="shared" si="44"/>
        <v>0.10690354923540234</v>
      </c>
      <c r="R430" s="37">
        <f t="shared" si="45"/>
        <v>149.45999999999913</v>
      </c>
      <c r="S430" s="41">
        <f t="shared" si="46"/>
        <v>7.7299033374190794E-3</v>
      </c>
      <c r="T430" s="37" t="e">
        <f>SUMIF('[1]JOBS MAR 15'!$E$8:$E$525,$E$16:$E$533,'[1]JOBS MAR 15'!$G$8:$G$525)</f>
        <v>#VALUE!</v>
      </c>
      <c r="U430" s="37" t="e">
        <f>SUMIF('[1]JOBS MAR 15'!$E$8:$E$525,$E$16:$E$533,'[1]JOBS MAR 15'!$H$8:$H$525)</f>
        <v>#VALUE!</v>
      </c>
      <c r="V430" s="37" t="e">
        <f>SUMIF('[1]JOBS MAR 15'!$E$8:$E$525,$E$16:$E$533,'[1]JOBS MAR 15'!$I$8:$I$525)</f>
        <v>#VALUE!</v>
      </c>
      <c r="W430" s="55" t="str">
        <f t="shared" si="47"/>
        <v xml:space="preserve"> </v>
      </c>
    </row>
    <row r="431" spans="1:23" x14ac:dyDescent="0.2">
      <c r="B431">
        <v>4093</v>
      </c>
      <c r="C431">
        <v>7</v>
      </c>
      <c r="D431" s="2" t="s">
        <v>910</v>
      </c>
      <c r="E431" s="50" t="s">
        <v>911</v>
      </c>
      <c r="F431" s="50">
        <v>2700214</v>
      </c>
      <c r="G431" s="50">
        <v>7</v>
      </c>
      <c r="H431" s="52" t="e">
        <f>SUMIF('[1]Build Detail'!$D$4:$D$521,$B$16:$B$533,'[1]Build Detail'!$H$4:$H$521)</f>
        <v>#VALUE!</v>
      </c>
      <c r="I431" s="52" t="e">
        <f>SUMIF('[1]Build Detail'!$D$4:$D$521,$B$16:$B$533,'[1]Build Detail'!$Q$4:$Q$521)</f>
        <v>#VALUE!</v>
      </c>
      <c r="J431" s="52" t="e">
        <f>SUMIF('[1]Build Detail'!$D$4:$D$521,$B$16:$B$533,'[1]Build Detail'!$T$4:$T$521)</f>
        <v>#VALUE!</v>
      </c>
      <c r="K431" s="53">
        <v>1201360.2000000002</v>
      </c>
      <c r="L431" s="37">
        <f t="shared" si="48"/>
        <v>33879.35</v>
      </c>
      <c r="M431" s="37">
        <v>33968.379999999997</v>
      </c>
      <c r="N431" s="38">
        <v>30571.54</v>
      </c>
      <c r="O431" s="37">
        <f t="shared" si="42"/>
        <v>3307.8099999999977</v>
      </c>
      <c r="P431" s="54" t="e">
        <f t="shared" si="43"/>
        <v>#VALUE!</v>
      </c>
      <c r="Q431" s="40">
        <f t="shared" si="44"/>
        <v>9.7634990045558659E-2</v>
      </c>
      <c r="R431" s="37">
        <f t="shared" si="45"/>
        <v>-89.029999999998836</v>
      </c>
      <c r="S431" s="41">
        <f t="shared" si="46"/>
        <v>-2.6209669109918945E-3</v>
      </c>
      <c r="T431" s="37" t="e">
        <f>SUMIF('[1]JOBS MAR 15'!$E$8:$E$525,$E$16:$E$533,'[1]JOBS MAR 15'!$G$8:$G$525)</f>
        <v>#VALUE!</v>
      </c>
      <c r="U431" s="37" t="e">
        <f>SUMIF('[1]JOBS MAR 15'!$E$8:$E$525,$E$16:$E$533,'[1]JOBS MAR 15'!$H$8:$H$525)</f>
        <v>#VALUE!</v>
      </c>
      <c r="V431" s="37" t="e">
        <f>SUMIF('[1]JOBS MAR 15'!$E$8:$E$525,$E$16:$E$533,'[1]JOBS MAR 15'!$I$8:$I$525)</f>
        <v>#VALUE!</v>
      </c>
      <c r="W431" s="55" t="str">
        <f t="shared" si="47"/>
        <v xml:space="preserve"> </v>
      </c>
    </row>
    <row r="432" spans="1:23" x14ac:dyDescent="0.2">
      <c r="B432">
        <v>4095</v>
      </c>
      <c r="C432">
        <v>7</v>
      </c>
      <c r="D432" s="2" t="s">
        <v>912</v>
      </c>
      <c r="E432" s="50" t="s">
        <v>913</v>
      </c>
      <c r="F432" s="50">
        <v>2700235</v>
      </c>
      <c r="G432" s="50">
        <v>8</v>
      </c>
      <c r="H432" s="52" t="e">
        <f>SUMIF('[1]Build Detail'!$D$4:$D$521,$B$16:$B$533,'[1]Build Detail'!$H$4:$H$521)</f>
        <v>#VALUE!</v>
      </c>
      <c r="I432" s="52" t="e">
        <f>SUMIF('[1]Build Detail'!$D$4:$D$521,$B$16:$B$533,'[1]Build Detail'!$Q$4:$Q$521)</f>
        <v>#VALUE!</v>
      </c>
      <c r="J432" s="52" t="e">
        <f>SUMIF('[1]Build Detail'!$D$4:$D$521,$B$16:$B$533,'[1]Build Detail'!$T$4:$T$521)</f>
        <v>#VALUE!</v>
      </c>
      <c r="K432" s="53">
        <v>1142305.6500000001</v>
      </c>
      <c r="L432" s="37">
        <f t="shared" si="48"/>
        <v>32213.96</v>
      </c>
      <c r="M432" s="37">
        <v>33280.68</v>
      </c>
      <c r="N432" s="38">
        <v>29952.61</v>
      </c>
      <c r="O432" s="37">
        <f t="shared" si="42"/>
        <v>2261.3499999999985</v>
      </c>
      <c r="P432" s="54" t="e">
        <f t="shared" si="43"/>
        <v>#VALUE!</v>
      </c>
      <c r="Q432" s="40">
        <f t="shared" si="44"/>
        <v>7.0197827277366662E-2</v>
      </c>
      <c r="R432" s="37">
        <f t="shared" si="45"/>
        <v>-1066.7200000000012</v>
      </c>
      <c r="S432" s="41">
        <f t="shared" si="46"/>
        <v>-3.2052229702037374E-2</v>
      </c>
      <c r="T432" s="37" t="e">
        <f>SUMIF('[1]JOBS MAR 15'!$E$8:$E$525,$E$16:$E$533,'[1]JOBS MAR 15'!$G$8:$G$525)</f>
        <v>#VALUE!</v>
      </c>
      <c r="U432" s="37" t="e">
        <f>SUMIF('[1]JOBS MAR 15'!$E$8:$E$525,$E$16:$E$533,'[1]JOBS MAR 15'!$H$8:$H$525)</f>
        <v>#VALUE!</v>
      </c>
      <c r="V432" s="37" t="e">
        <f>SUMIF('[1]JOBS MAR 15'!$E$8:$E$525,$E$16:$E$533,'[1]JOBS MAR 15'!$I$8:$I$525)</f>
        <v>#VALUE!</v>
      </c>
      <c r="W432" s="55" t="str">
        <f t="shared" si="47"/>
        <v xml:space="preserve"> </v>
      </c>
    </row>
    <row r="433" spans="1:23" x14ac:dyDescent="0.2">
      <c r="B433">
        <v>4097</v>
      </c>
      <c r="C433">
        <v>7</v>
      </c>
      <c r="D433" s="2" t="s">
        <v>914</v>
      </c>
      <c r="E433" s="50" t="s">
        <v>915</v>
      </c>
      <c r="F433" s="50">
        <v>2700237</v>
      </c>
      <c r="G433" s="50">
        <v>5</v>
      </c>
      <c r="H433" s="52" t="e">
        <f>SUMIF('[1]Build Detail'!$D$4:$D$521,$B$16:$B$533,'[1]Build Detail'!$H$4:$H$521)</f>
        <v>#VALUE!</v>
      </c>
      <c r="I433" s="52" t="e">
        <f>SUMIF('[1]Build Detail'!$D$4:$D$521,$B$16:$B$533,'[1]Build Detail'!$Q$4:$Q$521)</f>
        <v>#VALUE!</v>
      </c>
      <c r="J433" s="52" t="e">
        <f>SUMIF('[1]Build Detail'!$D$4:$D$521,$B$16:$B$533,'[1]Build Detail'!$T$4:$T$521)</f>
        <v>#VALUE!</v>
      </c>
      <c r="K433" s="53">
        <v>2510012.89</v>
      </c>
      <c r="L433" s="37">
        <f t="shared" si="48"/>
        <v>70784.44</v>
      </c>
      <c r="M433" s="37">
        <v>70785.95</v>
      </c>
      <c r="N433" s="38">
        <v>63707.360000000001</v>
      </c>
      <c r="O433" s="37">
        <f t="shared" si="42"/>
        <v>7077.0800000000017</v>
      </c>
      <c r="P433" s="54" t="e">
        <f t="shared" si="43"/>
        <v>#VALUE!</v>
      </c>
      <c r="Q433" s="40">
        <f t="shared" si="44"/>
        <v>9.9980730228281828E-2</v>
      </c>
      <c r="R433" s="37">
        <f t="shared" si="45"/>
        <v>-1.5099999999947613</v>
      </c>
      <c r="S433" s="41">
        <f t="shared" si="46"/>
        <v>-2.1331916856307804E-5</v>
      </c>
      <c r="T433" s="37" t="e">
        <f>SUMIF('[1]JOBS MAR 15'!$E$8:$E$525,$E$16:$E$533,'[1]JOBS MAR 15'!$G$8:$G$525)</f>
        <v>#VALUE!</v>
      </c>
      <c r="U433" s="37" t="e">
        <f>SUMIF('[1]JOBS MAR 15'!$E$8:$E$525,$E$16:$E$533,'[1]JOBS MAR 15'!$H$8:$H$525)</f>
        <v>#VALUE!</v>
      </c>
      <c r="V433" s="37" t="e">
        <f>SUMIF('[1]JOBS MAR 15'!$E$8:$E$525,$E$16:$E$533,'[1]JOBS MAR 15'!$I$8:$I$525)</f>
        <v>#VALUE!</v>
      </c>
      <c r="W433" s="55" t="str">
        <f t="shared" si="47"/>
        <v xml:space="preserve"> </v>
      </c>
    </row>
    <row r="434" spans="1:23" x14ac:dyDescent="0.2">
      <c r="B434">
        <v>4098</v>
      </c>
      <c r="C434">
        <v>7</v>
      </c>
      <c r="D434" s="2" t="s">
        <v>916</v>
      </c>
      <c r="E434" s="50" t="s">
        <v>917</v>
      </c>
      <c r="F434" s="50">
        <v>2700337</v>
      </c>
      <c r="G434" s="50">
        <v>4</v>
      </c>
      <c r="H434" s="52" t="e">
        <f>SUMIF('[1]Build Detail'!$D$4:$D$521,$B$16:$B$533,'[1]Build Detail'!$H$4:$H$521)</f>
        <v>#VALUE!</v>
      </c>
      <c r="I434" s="52" t="e">
        <f>SUMIF('[1]Build Detail'!$D$4:$D$521,$B$16:$B$533,'[1]Build Detail'!$Q$4:$Q$521)</f>
        <v>#VALUE!</v>
      </c>
      <c r="J434" s="52" t="e">
        <f>SUMIF('[1]Build Detail'!$D$4:$D$521,$B$16:$B$533,'[1]Build Detail'!$T$4:$T$521)</f>
        <v>#VALUE!</v>
      </c>
      <c r="K434" s="53">
        <v>4233504.55</v>
      </c>
      <c r="L434" s="37">
        <f t="shared" si="48"/>
        <v>119388.33</v>
      </c>
      <c r="M434" s="37">
        <v>120178.35</v>
      </c>
      <c r="N434" s="38">
        <v>108160.52</v>
      </c>
      <c r="O434" s="37">
        <f t="shared" si="42"/>
        <v>11227.809999999998</v>
      </c>
      <c r="P434" s="54" t="e">
        <f t="shared" si="43"/>
        <v>#VALUE!</v>
      </c>
      <c r="Q434" s="40">
        <f t="shared" si="44"/>
        <v>9.4044451413299757E-2</v>
      </c>
      <c r="R434" s="37">
        <f t="shared" si="45"/>
        <v>-790.02000000000407</v>
      </c>
      <c r="S434" s="41">
        <f t="shared" si="46"/>
        <v>-6.5737297940935621E-3</v>
      </c>
      <c r="T434" s="37" t="e">
        <f>SUMIF('[1]JOBS MAR 15'!$E$8:$E$525,$E$16:$E$533,'[1]JOBS MAR 15'!$G$8:$G$525)</f>
        <v>#VALUE!</v>
      </c>
      <c r="U434" s="37" t="e">
        <f>SUMIF('[1]JOBS MAR 15'!$E$8:$E$525,$E$16:$E$533,'[1]JOBS MAR 15'!$H$8:$H$525)</f>
        <v>#VALUE!</v>
      </c>
      <c r="V434" s="37" t="e">
        <f>SUMIF('[1]JOBS MAR 15'!$E$8:$E$525,$E$16:$E$533,'[1]JOBS MAR 15'!$I$8:$I$525)</f>
        <v>#VALUE!</v>
      </c>
      <c r="W434" s="55" t="str">
        <f t="shared" si="47"/>
        <v xml:space="preserve"> </v>
      </c>
    </row>
    <row r="435" spans="1:23" x14ac:dyDescent="0.2">
      <c r="A435" s="56" t="s">
        <v>918</v>
      </c>
      <c r="B435" s="56">
        <v>4099</v>
      </c>
      <c r="C435" s="56">
        <v>7</v>
      </c>
      <c r="D435" s="59" t="s">
        <v>919</v>
      </c>
      <c r="E435" s="60" t="s">
        <v>920</v>
      </c>
      <c r="F435" s="60">
        <v>2700338</v>
      </c>
      <c r="G435" s="60">
        <v>3</v>
      </c>
      <c r="H435" s="61" t="e">
        <f>SUMIF('[1]Build Detail'!$D$4:$D$521,$B$16:$B$533,'[1]Build Detail'!$H$4:$H$521)</f>
        <v>#VALUE!</v>
      </c>
      <c r="I435" s="61" t="e">
        <f>SUMIF('[1]Build Detail'!$D$4:$D$521,$B$16:$B$533,'[1]Build Detail'!$Q$4:$Q$521)</f>
        <v>#VALUE!</v>
      </c>
      <c r="J435" s="61" t="e">
        <f>SUMIF('[1]Build Detail'!$D$4:$D$521,$B$16:$B$533,'[1]Build Detail'!$T$4:$T$521)</f>
        <v>#VALUE!</v>
      </c>
      <c r="K435" s="62">
        <v>3088231.32</v>
      </c>
      <c r="L435" s="63">
        <v>113010.06</v>
      </c>
      <c r="M435" s="63">
        <v>142239.34</v>
      </c>
      <c r="N435" s="64">
        <v>128015.41</v>
      </c>
      <c r="O435" s="63">
        <v>0</v>
      </c>
      <c r="P435" s="65" t="e">
        <f t="shared" si="43"/>
        <v>#VALUE!</v>
      </c>
      <c r="Q435" s="66">
        <f t="shared" si="44"/>
        <v>0</v>
      </c>
      <c r="R435" s="63">
        <f t="shared" si="45"/>
        <v>-29229.279999999999</v>
      </c>
      <c r="S435" s="67">
        <f t="shared" si="46"/>
        <v>-0.20549364191369279</v>
      </c>
      <c r="T435" s="63" t="e">
        <f>SUMIF('[1]JOBS MAR 15'!$E$8:$E$525,$E$16:$E$533,'[1]JOBS MAR 15'!$G$8:$G$525)</f>
        <v>#VALUE!</v>
      </c>
      <c r="U435" s="63" t="e">
        <f>SUMIF('[1]JOBS MAR 15'!$E$8:$E$525,$E$16:$E$533,'[1]JOBS MAR 15'!$H$8:$H$525)</f>
        <v>#VALUE!</v>
      </c>
      <c r="V435" s="63" t="e">
        <f>SUMIF('[1]JOBS MAR 15'!$E$8:$E$525,$E$16:$E$533,'[1]JOBS MAR 15'!$I$8:$I$525)</f>
        <v>#VALUE!</v>
      </c>
      <c r="W435" s="68" t="str">
        <f t="shared" si="47"/>
        <v xml:space="preserve"> </v>
      </c>
    </row>
    <row r="436" spans="1:23" x14ac:dyDescent="0.2">
      <c r="B436">
        <v>4100</v>
      </c>
      <c r="C436">
        <v>7</v>
      </c>
      <c r="D436" s="2" t="s">
        <v>921</v>
      </c>
      <c r="E436" s="50" t="s">
        <v>922</v>
      </c>
      <c r="F436" s="50">
        <v>2700339</v>
      </c>
      <c r="G436" s="50">
        <v>8</v>
      </c>
      <c r="H436" s="52" t="e">
        <f>SUMIF('[1]Build Detail'!$D$4:$D$521,$B$16:$B$533,'[1]Build Detail'!$H$4:$H$521)</f>
        <v>#VALUE!</v>
      </c>
      <c r="I436" s="52" t="e">
        <f>SUMIF('[1]Build Detail'!$D$4:$D$521,$B$16:$B$533,'[1]Build Detail'!$Q$4:$Q$521)</f>
        <v>#VALUE!</v>
      </c>
      <c r="J436" s="52" t="e">
        <f>SUMIF('[1]Build Detail'!$D$4:$D$521,$B$16:$B$533,'[1]Build Detail'!$T$4:$T$521)</f>
        <v>#VALUE!</v>
      </c>
      <c r="K436" s="53">
        <v>550664.46</v>
      </c>
      <c r="L436" s="37">
        <f t="shared" ref="L436:L467" si="49">ROUND(K436*$K$548,2)</f>
        <v>15529.19</v>
      </c>
      <c r="M436" s="37">
        <v>15370.01</v>
      </c>
      <c r="N436" s="38">
        <v>13833.01</v>
      </c>
      <c r="O436" s="37">
        <f t="shared" ref="O436:O467" si="50">L436-N436</f>
        <v>1696.1800000000003</v>
      </c>
      <c r="P436" s="54" t="e">
        <f t="shared" si="43"/>
        <v>#VALUE!</v>
      </c>
      <c r="Q436" s="40">
        <f t="shared" si="44"/>
        <v>0.10922527189119331</v>
      </c>
      <c r="R436" s="37">
        <f t="shared" si="45"/>
        <v>159.18000000000029</v>
      </c>
      <c r="S436" s="41">
        <f t="shared" si="46"/>
        <v>1.0356531973629183E-2</v>
      </c>
      <c r="T436" s="37" t="e">
        <f>SUMIF('[1]JOBS MAR 15'!$E$8:$E$525,$E$16:$E$533,'[1]JOBS MAR 15'!$G$8:$G$525)</f>
        <v>#VALUE!</v>
      </c>
      <c r="U436" s="37" t="e">
        <f>SUMIF('[1]JOBS MAR 15'!$E$8:$E$525,$E$16:$E$533,'[1]JOBS MAR 15'!$H$8:$H$525)</f>
        <v>#VALUE!</v>
      </c>
      <c r="V436" s="37" t="e">
        <f>SUMIF('[1]JOBS MAR 15'!$E$8:$E$525,$E$16:$E$533,'[1]JOBS MAR 15'!$I$8:$I$525)</f>
        <v>#VALUE!</v>
      </c>
      <c r="W436" s="55" t="str">
        <f t="shared" si="47"/>
        <v xml:space="preserve"> </v>
      </c>
    </row>
    <row r="437" spans="1:23" x14ac:dyDescent="0.2">
      <c r="B437">
        <v>4102</v>
      </c>
      <c r="C437">
        <v>7</v>
      </c>
      <c r="D437" s="2" t="s">
        <v>923</v>
      </c>
      <c r="E437" s="50" t="s">
        <v>924</v>
      </c>
      <c r="F437" s="50">
        <v>2700341</v>
      </c>
      <c r="G437" s="50">
        <v>5</v>
      </c>
      <c r="H437" s="52" t="e">
        <f>SUMIF('[1]Build Detail'!$D$4:$D$521,$B$16:$B$533,'[1]Build Detail'!$H$4:$H$521)</f>
        <v>#VALUE!</v>
      </c>
      <c r="I437" s="52" t="e">
        <f>SUMIF('[1]Build Detail'!$D$4:$D$521,$B$16:$B$533,'[1]Build Detail'!$Q$4:$Q$521)</f>
        <v>#VALUE!</v>
      </c>
      <c r="J437" s="52" t="e">
        <f>SUMIF('[1]Build Detail'!$D$4:$D$521,$B$16:$B$533,'[1]Build Detail'!$T$4:$T$521)</f>
        <v>#VALUE!</v>
      </c>
      <c r="K437" s="53">
        <v>2799979.17</v>
      </c>
      <c r="L437" s="37">
        <f t="shared" si="49"/>
        <v>78961.73</v>
      </c>
      <c r="M437" s="37">
        <v>77377.119999999995</v>
      </c>
      <c r="N437" s="38">
        <v>69639.41</v>
      </c>
      <c r="O437" s="37">
        <f t="shared" si="50"/>
        <v>9322.3199999999924</v>
      </c>
      <c r="P437" s="54" t="e">
        <f t="shared" si="43"/>
        <v>#VALUE!</v>
      </c>
      <c r="Q437" s="40">
        <f t="shared" si="44"/>
        <v>0.11806124308573271</v>
      </c>
      <c r="R437" s="37">
        <f t="shared" si="45"/>
        <v>1584.6100000000006</v>
      </c>
      <c r="S437" s="41">
        <f t="shared" si="46"/>
        <v>2.0479051171715886E-2</v>
      </c>
      <c r="T437" s="37" t="e">
        <f>SUMIF('[1]JOBS MAR 15'!$E$8:$E$525,$E$16:$E$533,'[1]JOBS MAR 15'!$G$8:$G$525)</f>
        <v>#VALUE!</v>
      </c>
      <c r="U437" s="37" t="e">
        <f>SUMIF('[1]JOBS MAR 15'!$E$8:$E$525,$E$16:$E$533,'[1]JOBS MAR 15'!$H$8:$H$525)</f>
        <v>#VALUE!</v>
      </c>
      <c r="V437" s="37" t="e">
        <f>SUMIF('[1]JOBS MAR 15'!$E$8:$E$525,$E$16:$E$533,'[1]JOBS MAR 15'!$I$8:$I$525)</f>
        <v>#VALUE!</v>
      </c>
      <c r="W437" s="55" t="str">
        <f t="shared" si="47"/>
        <v xml:space="preserve"> </v>
      </c>
    </row>
    <row r="438" spans="1:23" x14ac:dyDescent="0.2">
      <c r="B438">
        <v>4103</v>
      </c>
      <c r="C438">
        <v>7</v>
      </c>
      <c r="D438" s="2" t="s">
        <v>925</v>
      </c>
      <c r="E438" s="50" t="s">
        <v>926</v>
      </c>
      <c r="F438" s="50">
        <v>2700342</v>
      </c>
      <c r="G438" s="50">
        <v>6</v>
      </c>
      <c r="H438" s="52" t="e">
        <f>SUMIF('[1]Build Detail'!$D$4:$D$521,$B$16:$B$533,'[1]Build Detail'!$H$4:$H$521)</f>
        <v>#VALUE!</v>
      </c>
      <c r="I438" s="52" t="e">
        <f>SUMIF('[1]Build Detail'!$D$4:$D$521,$B$16:$B$533,'[1]Build Detail'!$Q$4:$Q$521)</f>
        <v>#VALUE!</v>
      </c>
      <c r="J438" s="52" t="e">
        <f>SUMIF('[1]Build Detail'!$D$4:$D$521,$B$16:$B$533,'[1]Build Detail'!$T$4:$T$521)</f>
        <v>#VALUE!</v>
      </c>
      <c r="K438" s="53">
        <v>6635198.9700000007</v>
      </c>
      <c r="L438" s="37">
        <f t="shared" si="49"/>
        <v>187118.1</v>
      </c>
      <c r="M438" s="37">
        <v>186767.06</v>
      </c>
      <c r="N438" s="38">
        <v>168090.35</v>
      </c>
      <c r="O438" s="37">
        <f t="shared" si="50"/>
        <v>19027.75</v>
      </c>
      <c r="P438" s="54" t="e">
        <f t="shared" si="43"/>
        <v>#VALUE!</v>
      </c>
      <c r="Q438" s="40">
        <f t="shared" si="44"/>
        <v>0.10168845237312692</v>
      </c>
      <c r="R438" s="37">
        <f t="shared" si="45"/>
        <v>351.04000000000815</v>
      </c>
      <c r="S438" s="41">
        <f t="shared" si="46"/>
        <v>1.87956056062567E-3</v>
      </c>
      <c r="T438" s="37" t="e">
        <f>SUMIF('[1]JOBS MAR 15'!$E$8:$E$525,$E$16:$E$533,'[1]JOBS MAR 15'!$G$8:$G$525)</f>
        <v>#VALUE!</v>
      </c>
      <c r="U438" s="37" t="e">
        <f>SUMIF('[1]JOBS MAR 15'!$E$8:$E$525,$E$16:$E$533,'[1]JOBS MAR 15'!$H$8:$H$525)</f>
        <v>#VALUE!</v>
      </c>
      <c r="V438" s="37" t="e">
        <f>SUMIF('[1]JOBS MAR 15'!$E$8:$E$525,$E$16:$E$533,'[1]JOBS MAR 15'!$I$8:$I$525)</f>
        <v>#VALUE!</v>
      </c>
      <c r="W438" s="55" t="str">
        <f t="shared" si="47"/>
        <v xml:space="preserve"> </v>
      </c>
    </row>
    <row r="439" spans="1:23" x14ac:dyDescent="0.2">
      <c r="B439">
        <v>4104</v>
      </c>
      <c r="C439">
        <v>7</v>
      </c>
      <c r="D439" s="2" t="s">
        <v>927</v>
      </c>
      <c r="E439" s="50" t="s">
        <v>928</v>
      </c>
      <c r="F439" s="50">
        <v>2700343</v>
      </c>
      <c r="G439" s="50">
        <v>6</v>
      </c>
      <c r="H439" s="52" t="e">
        <f>SUMIF('[1]Build Detail'!$D$4:$D$521,$B$16:$B$533,'[1]Build Detail'!$H$4:$H$521)</f>
        <v>#VALUE!</v>
      </c>
      <c r="I439" s="52" t="e">
        <f>SUMIF('[1]Build Detail'!$D$4:$D$521,$B$16:$B$533,'[1]Build Detail'!$Q$4:$Q$521)</f>
        <v>#VALUE!</v>
      </c>
      <c r="J439" s="52" t="e">
        <f>SUMIF('[1]Build Detail'!$D$4:$D$521,$B$16:$B$533,'[1]Build Detail'!$T$4:$T$521)</f>
        <v>#VALUE!</v>
      </c>
      <c r="K439" s="53">
        <v>1461669.4900000002</v>
      </c>
      <c r="L439" s="37">
        <f t="shared" si="49"/>
        <v>41220.29</v>
      </c>
      <c r="M439" s="37">
        <v>39143.410000000003</v>
      </c>
      <c r="N439" s="38">
        <v>35229.07</v>
      </c>
      <c r="O439" s="37">
        <f t="shared" si="50"/>
        <v>5991.2200000000012</v>
      </c>
      <c r="P439" s="54" t="e">
        <f t="shared" si="43"/>
        <v>#VALUE!</v>
      </c>
      <c r="Q439" s="40">
        <f t="shared" si="44"/>
        <v>0.1453463815999354</v>
      </c>
      <c r="R439" s="37">
        <f t="shared" si="45"/>
        <v>2076.8799999999974</v>
      </c>
      <c r="S439" s="41">
        <f t="shared" si="46"/>
        <v>5.3058228703120068E-2</v>
      </c>
      <c r="T439" s="37" t="e">
        <f>SUMIF('[1]JOBS MAR 15'!$E$8:$E$525,$E$16:$E$533,'[1]JOBS MAR 15'!$G$8:$G$525)</f>
        <v>#VALUE!</v>
      </c>
      <c r="U439" s="37" t="e">
        <f>SUMIF('[1]JOBS MAR 15'!$E$8:$E$525,$E$16:$E$533,'[1]JOBS MAR 15'!$H$8:$H$525)</f>
        <v>#VALUE!</v>
      </c>
      <c r="V439" s="37" t="e">
        <f>SUMIF('[1]JOBS MAR 15'!$E$8:$E$525,$E$16:$E$533,'[1]JOBS MAR 15'!$I$8:$I$525)</f>
        <v>#VALUE!</v>
      </c>
      <c r="W439" s="55" t="str">
        <f t="shared" si="47"/>
        <v xml:space="preserve"> </v>
      </c>
    </row>
    <row r="440" spans="1:23" x14ac:dyDescent="0.2">
      <c r="B440">
        <v>4105</v>
      </c>
      <c r="C440">
        <v>7</v>
      </c>
      <c r="D440" s="2" t="s">
        <v>929</v>
      </c>
      <c r="E440" s="50" t="s">
        <v>930</v>
      </c>
      <c r="F440" s="50">
        <v>2700344</v>
      </c>
      <c r="G440" s="50">
        <v>4</v>
      </c>
      <c r="H440" s="52" t="e">
        <f>SUMIF('[1]Build Detail'!$D$4:$D$521,$B$16:$B$533,'[1]Build Detail'!$H$4:$H$521)</f>
        <v>#VALUE!</v>
      </c>
      <c r="I440" s="52" t="e">
        <f>SUMIF('[1]Build Detail'!$D$4:$D$521,$B$16:$B$533,'[1]Build Detail'!$Q$4:$Q$521)</f>
        <v>#VALUE!</v>
      </c>
      <c r="J440" s="52" t="e">
        <f>SUMIF('[1]Build Detail'!$D$4:$D$521,$B$16:$B$533,'[1]Build Detail'!$T$4:$T$521)</f>
        <v>#VALUE!</v>
      </c>
      <c r="K440" s="53">
        <v>2092405.5699999998</v>
      </c>
      <c r="L440" s="37">
        <f t="shared" si="49"/>
        <v>59007.57</v>
      </c>
      <c r="M440" s="37">
        <v>59413.31</v>
      </c>
      <c r="N440" s="38">
        <v>53471.98</v>
      </c>
      <c r="O440" s="37">
        <f t="shared" si="50"/>
        <v>5535.5899999999965</v>
      </c>
      <c r="P440" s="54" t="e">
        <f t="shared" si="43"/>
        <v>#VALUE!</v>
      </c>
      <c r="Q440" s="40">
        <f t="shared" si="44"/>
        <v>9.3811522826647439E-2</v>
      </c>
      <c r="R440" s="37">
        <f t="shared" si="45"/>
        <v>-405.73999999999796</v>
      </c>
      <c r="S440" s="41">
        <f t="shared" si="46"/>
        <v>-6.8291095042507808E-3</v>
      </c>
      <c r="T440" s="37" t="e">
        <f>SUMIF('[1]JOBS MAR 15'!$E$8:$E$525,$E$16:$E$533,'[1]JOBS MAR 15'!$G$8:$G$525)</f>
        <v>#VALUE!</v>
      </c>
      <c r="U440" s="37" t="e">
        <f>SUMIF('[1]JOBS MAR 15'!$E$8:$E$525,$E$16:$E$533,'[1]JOBS MAR 15'!$H$8:$H$525)</f>
        <v>#VALUE!</v>
      </c>
      <c r="V440" s="37" t="e">
        <f>SUMIF('[1]JOBS MAR 15'!$E$8:$E$525,$E$16:$E$533,'[1]JOBS MAR 15'!$I$8:$I$525)</f>
        <v>#VALUE!</v>
      </c>
      <c r="W440" s="55" t="str">
        <f t="shared" si="47"/>
        <v xml:space="preserve"> </v>
      </c>
    </row>
    <row r="441" spans="1:23" x14ac:dyDescent="0.2">
      <c r="B441">
        <v>4106</v>
      </c>
      <c r="C441">
        <v>7</v>
      </c>
      <c r="D441" s="2" t="s">
        <v>931</v>
      </c>
      <c r="E441" s="50" t="s">
        <v>932</v>
      </c>
      <c r="F441" s="50">
        <v>2700345</v>
      </c>
      <c r="G441" s="50">
        <v>7</v>
      </c>
      <c r="H441" s="52" t="e">
        <f>SUMIF('[1]Build Detail'!$D$4:$D$521,$B$16:$B$533,'[1]Build Detail'!$H$4:$H$521)</f>
        <v>#VALUE!</v>
      </c>
      <c r="I441" s="52" t="e">
        <f>SUMIF('[1]Build Detail'!$D$4:$D$521,$B$16:$B$533,'[1]Build Detail'!$Q$4:$Q$521)</f>
        <v>#VALUE!</v>
      </c>
      <c r="J441" s="52" t="e">
        <f>SUMIF('[1]Build Detail'!$D$4:$D$521,$B$16:$B$533,'[1]Build Detail'!$T$4:$T$521)</f>
        <v>#VALUE!</v>
      </c>
      <c r="K441" s="53">
        <v>1513317</v>
      </c>
      <c r="L441" s="37">
        <f t="shared" si="49"/>
        <v>42676.79</v>
      </c>
      <c r="M441" s="37">
        <v>43069.279999999999</v>
      </c>
      <c r="N441" s="38">
        <v>38762.35</v>
      </c>
      <c r="O441" s="37">
        <f t="shared" si="50"/>
        <v>3914.4400000000023</v>
      </c>
      <c r="P441" s="54" t="e">
        <f t="shared" si="43"/>
        <v>#VALUE!</v>
      </c>
      <c r="Q441" s="40">
        <f t="shared" si="44"/>
        <v>9.1722924802919867E-2</v>
      </c>
      <c r="R441" s="37">
        <f t="shared" si="45"/>
        <v>-392.48999999999796</v>
      </c>
      <c r="S441" s="41">
        <f t="shared" si="46"/>
        <v>-9.1129919051351205E-3</v>
      </c>
      <c r="T441" s="37" t="e">
        <f>SUMIF('[1]JOBS MAR 15'!$E$8:$E$525,$E$16:$E$533,'[1]JOBS MAR 15'!$G$8:$G$525)</f>
        <v>#VALUE!</v>
      </c>
      <c r="U441" s="37" t="e">
        <f>SUMIF('[1]JOBS MAR 15'!$E$8:$E$525,$E$16:$E$533,'[1]JOBS MAR 15'!$H$8:$H$525)</f>
        <v>#VALUE!</v>
      </c>
      <c r="V441" s="37" t="e">
        <f>SUMIF('[1]JOBS MAR 15'!$E$8:$E$525,$E$16:$E$533,'[1]JOBS MAR 15'!$I$8:$I$525)</f>
        <v>#VALUE!</v>
      </c>
      <c r="W441" s="55" t="str">
        <f t="shared" si="47"/>
        <v xml:space="preserve"> </v>
      </c>
    </row>
    <row r="442" spans="1:23" x14ac:dyDescent="0.2">
      <c r="B442">
        <v>4107</v>
      </c>
      <c r="C442">
        <v>7</v>
      </c>
      <c r="D442" s="2" t="s">
        <v>933</v>
      </c>
      <c r="E442" s="50" t="s">
        <v>934</v>
      </c>
      <c r="F442" s="50">
        <v>2700346</v>
      </c>
      <c r="G442" s="50">
        <v>7</v>
      </c>
      <c r="H442" s="52" t="e">
        <f>SUMIF('[1]Build Detail'!$D$4:$D$521,$B$16:$B$533,'[1]Build Detail'!$H$4:$H$521)</f>
        <v>#VALUE!</v>
      </c>
      <c r="I442" s="52" t="e">
        <f>SUMIF('[1]Build Detail'!$D$4:$D$521,$B$16:$B$533,'[1]Build Detail'!$Q$4:$Q$521)</f>
        <v>#VALUE!</v>
      </c>
      <c r="J442" s="52" t="e">
        <f>SUMIF('[1]Build Detail'!$D$4:$D$521,$B$16:$B$533,'[1]Build Detail'!$T$4:$T$521)</f>
        <v>#VALUE!</v>
      </c>
      <c r="K442" s="53">
        <v>751325.82000000007</v>
      </c>
      <c r="L442" s="37">
        <f t="shared" si="49"/>
        <v>21188.01</v>
      </c>
      <c r="M442" s="37">
        <v>21598.54</v>
      </c>
      <c r="N442" s="38">
        <v>19438.689999999999</v>
      </c>
      <c r="O442" s="37">
        <f t="shared" si="50"/>
        <v>1749.3199999999997</v>
      </c>
      <c r="P442" s="54" t="e">
        <f t="shared" si="43"/>
        <v>#VALUE!</v>
      </c>
      <c r="Q442" s="40">
        <f t="shared" si="44"/>
        <v>8.256178848320346E-2</v>
      </c>
      <c r="R442" s="37">
        <f t="shared" si="45"/>
        <v>-410.53000000000247</v>
      </c>
      <c r="S442" s="41">
        <f t="shared" si="46"/>
        <v>-1.9007303271424941E-2</v>
      </c>
      <c r="T442" s="37" t="e">
        <f>SUMIF('[1]JOBS MAR 15'!$E$8:$E$525,$E$16:$E$533,'[1]JOBS MAR 15'!$G$8:$G$525)</f>
        <v>#VALUE!</v>
      </c>
      <c r="U442" s="37" t="e">
        <f>SUMIF('[1]JOBS MAR 15'!$E$8:$E$525,$E$16:$E$533,'[1]JOBS MAR 15'!$H$8:$H$525)</f>
        <v>#VALUE!</v>
      </c>
      <c r="V442" s="37" t="e">
        <f>SUMIF('[1]JOBS MAR 15'!$E$8:$E$525,$E$16:$E$533,'[1]JOBS MAR 15'!$I$8:$I$525)</f>
        <v>#VALUE!</v>
      </c>
      <c r="W442" s="55" t="str">
        <f t="shared" si="47"/>
        <v xml:space="preserve"> </v>
      </c>
    </row>
    <row r="443" spans="1:23" x14ac:dyDescent="0.2">
      <c r="B443">
        <v>4108</v>
      </c>
      <c r="C443">
        <v>7</v>
      </c>
      <c r="D443" s="2" t="s">
        <v>935</v>
      </c>
      <c r="E443" s="50" t="s">
        <v>936</v>
      </c>
      <c r="F443" s="50">
        <v>2700347</v>
      </c>
      <c r="G443" s="50">
        <v>4</v>
      </c>
      <c r="H443" s="52" t="e">
        <f>SUMIF('[1]Build Detail'!$D$4:$D$521,$B$16:$B$533,'[1]Build Detail'!$H$4:$H$521)</f>
        <v>#VALUE!</v>
      </c>
      <c r="I443" s="52" t="e">
        <f>SUMIF('[1]Build Detail'!$D$4:$D$521,$B$16:$B$533,'[1]Build Detail'!$Q$4:$Q$521)</f>
        <v>#VALUE!</v>
      </c>
      <c r="J443" s="52" t="e">
        <f>SUMIF('[1]Build Detail'!$D$4:$D$521,$B$16:$B$533,'[1]Build Detail'!$T$4:$T$521)</f>
        <v>#VALUE!</v>
      </c>
      <c r="K443" s="53">
        <v>878195.46000000008</v>
      </c>
      <c r="L443" s="37">
        <f t="shared" si="49"/>
        <v>24765.84</v>
      </c>
      <c r="M443" s="37">
        <v>24915.19</v>
      </c>
      <c r="N443" s="38">
        <v>22423.67</v>
      </c>
      <c r="O443" s="37">
        <f t="shared" si="50"/>
        <v>2342.1700000000019</v>
      </c>
      <c r="P443" s="54" t="e">
        <f t="shared" si="43"/>
        <v>#VALUE!</v>
      </c>
      <c r="Q443" s="40">
        <f t="shared" si="44"/>
        <v>9.4572604846029931E-2</v>
      </c>
      <c r="R443" s="37">
        <f t="shared" si="45"/>
        <v>-149.34999999999854</v>
      </c>
      <c r="S443" s="41">
        <f t="shared" si="46"/>
        <v>-5.9943351826736444E-3</v>
      </c>
      <c r="T443" s="37" t="e">
        <f>SUMIF('[1]JOBS MAR 15'!$E$8:$E$525,$E$16:$E$533,'[1]JOBS MAR 15'!$G$8:$G$525)</f>
        <v>#VALUE!</v>
      </c>
      <c r="U443" s="37" t="e">
        <f>SUMIF('[1]JOBS MAR 15'!$E$8:$E$525,$E$16:$E$533,'[1]JOBS MAR 15'!$H$8:$H$525)</f>
        <v>#VALUE!</v>
      </c>
      <c r="V443" s="37" t="e">
        <f>SUMIF('[1]JOBS MAR 15'!$E$8:$E$525,$E$16:$E$533,'[1]JOBS MAR 15'!$I$8:$I$525)</f>
        <v>#VALUE!</v>
      </c>
      <c r="W443" s="55" t="str">
        <f t="shared" si="47"/>
        <v xml:space="preserve"> </v>
      </c>
    </row>
    <row r="444" spans="1:23" x14ac:dyDescent="0.2">
      <c r="B444">
        <v>4109</v>
      </c>
      <c r="C444">
        <v>7</v>
      </c>
      <c r="D444" s="2" t="s">
        <v>937</v>
      </c>
      <c r="E444" s="50" t="s">
        <v>938</v>
      </c>
      <c r="F444" s="50">
        <v>2700348</v>
      </c>
      <c r="G444" s="50">
        <v>2</v>
      </c>
      <c r="H444" s="52" t="e">
        <f>SUMIF('[1]Build Detail'!$D$4:$D$521,$B$16:$B$533,'[1]Build Detail'!$H$4:$H$521)</f>
        <v>#VALUE!</v>
      </c>
      <c r="I444" s="52" t="e">
        <f>SUMIF('[1]Build Detail'!$D$4:$D$521,$B$16:$B$533,'[1]Build Detail'!$Q$4:$Q$521)</f>
        <v>#VALUE!</v>
      </c>
      <c r="J444" s="52" t="e">
        <f>SUMIF('[1]Build Detail'!$D$4:$D$521,$B$16:$B$533,'[1]Build Detail'!$T$4:$T$521)</f>
        <v>#VALUE!</v>
      </c>
      <c r="K444" s="53">
        <v>888352.55</v>
      </c>
      <c r="L444" s="37">
        <f t="shared" si="49"/>
        <v>25052.28</v>
      </c>
      <c r="M444" s="37">
        <v>24430.33</v>
      </c>
      <c r="N444" s="38">
        <v>21987.3</v>
      </c>
      <c r="O444" s="37">
        <f t="shared" si="50"/>
        <v>3064.9799999999996</v>
      </c>
      <c r="P444" s="54" t="e">
        <f t="shared" si="43"/>
        <v>#VALUE!</v>
      </c>
      <c r="Q444" s="40">
        <f t="shared" si="44"/>
        <v>0.12234335557482193</v>
      </c>
      <c r="R444" s="37">
        <f t="shared" si="45"/>
        <v>621.94999999999709</v>
      </c>
      <c r="S444" s="41">
        <f t="shared" si="46"/>
        <v>2.5458108834387299E-2</v>
      </c>
      <c r="T444" s="37" t="e">
        <f>SUMIF('[1]JOBS MAR 15'!$E$8:$E$525,$E$16:$E$533,'[1]JOBS MAR 15'!$G$8:$G$525)</f>
        <v>#VALUE!</v>
      </c>
      <c r="U444" s="37" t="e">
        <f>SUMIF('[1]JOBS MAR 15'!$E$8:$E$525,$E$16:$E$533,'[1]JOBS MAR 15'!$H$8:$H$525)</f>
        <v>#VALUE!</v>
      </c>
      <c r="V444" s="37" t="e">
        <f>SUMIF('[1]JOBS MAR 15'!$E$8:$E$525,$E$16:$E$533,'[1]JOBS MAR 15'!$I$8:$I$525)</f>
        <v>#VALUE!</v>
      </c>
      <c r="W444" s="55" t="str">
        <f t="shared" si="47"/>
        <v xml:space="preserve"> </v>
      </c>
    </row>
    <row r="445" spans="1:23" x14ac:dyDescent="0.2">
      <c r="B445">
        <v>4110</v>
      </c>
      <c r="C445">
        <v>7</v>
      </c>
      <c r="D445" s="2" t="s">
        <v>939</v>
      </c>
      <c r="E445" s="50" t="s">
        <v>940</v>
      </c>
      <c r="F445" s="50">
        <v>2700349</v>
      </c>
      <c r="G445" s="50">
        <v>3</v>
      </c>
      <c r="H445" s="52" t="e">
        <f>SUMIF('[1]Build Detail'!$D$4:$D$521,$B$16:$B$533,'[1]Build Detail'!$H$4:$H$521)</f>
        <v>#VALUE!</v>
      </c>
      <c r="I445" s="52" t="e">
        <f>SUMIF('[1]Build Detail'!$D$4:$D$521,$B$16:$B$533,'[1]Build Detail'!$Q$4:$Q$521)</f>
        <v>#VALUE!</v>
      </c>
      <c r="J445" s="52" t="e">
        <f>SUMIF('[1]Build Detail'!$D$4:$D$521,$B$16:$B$533,'[1]Build Detail'!$T$4:$T$521)</f>
        <v>#VALUE!</v>
      </c>
      <c r="K445" s="53">
        <v>2010928.99</v>
      </c>
      <c r="L445" s="37">
        <f t="shared" si="49"/>
        <v>56709.86</v>
      </c>
      <c r="M445" s="37">
        <v>57213.73</v>
      </c>
      <c r="N445" s="38">
        <v>51492.36</v>
      </c>
      <c r="O445" s="37">
        <f t="shared" si="50"/>
        <v>5217.5</v>
      </c>
      <c r="P445" s="54" t="e">
        <f t="shared" si="43"/>
        <v>#VALUE!</v>
      </c>
      <c r="Q445" s="40">
        <f t="shared" si="44"/>
        <v>9.2003401172212382E-2</v>
      </c>
      <c r="R445" s="37">
        <f t="shared" si="45"/>
        <v>-503.87000000000262</v>
      </c>
      <c r="S445" s="41">
        <f t="shared" si="46"/>
        <v>-8.8068021434715513E-3</v>
      </c>
      <c r="T445" s="37" t="e">
        <f>SUMIF('[1]JOBS MAR 15'!$E$8:$E$525,$E$16:$E$533,'[1]JOBS MAR 15'!$G$8:$G$525)</f>
        <v>#VALUE!</v>
      </c>
      <c r="U445" s="37" t="e">
        <f>SUMIF('[1]JOBS MAR 15'!$E$8:$E$525,$E$16:$E$533,'[1]JOBS MAR 15'!$H$8:$H$525)</f>
        <v>#VALUE!</v>
      </c>
      <c r="V445" s="37" t="e">
        <f>SUMIF('[1]JOBS MAR 15'!$E$8:$E$525,$E$16:$E$533,'[1]JOBS MAR 15'!$I$8:$I$525)</f>
        <v>#VALUE!</v>
      </c>
      <c r="W445" s="55" t="str">
        <f t="shared" si="47"/>
        <v xml:space="preserve"> </v>
      </c>
    </row>
    <row r="446" spans="1:23" x14ac:dyDescent="0.2">
      <c r="B446">
        <v>4111</v>
      </c>
      <c r="C446">
        <v>7</v>
      </c>
      <c r="D446" s="2" t="s">
        <v>941</v>
      </c>
      <c r="E446" s="50" t="s">
        <v>942</v>
      </c>
      <c r="F446" s="50">
        <v>2700350</v>
      </c>
      <c r="G446" s="50">
        <v>5</v>
      </c>
      <c r="H446" s="52" t="e">
        <f>SUMIF('[1]Build Detail'!$D$4:$D$521,$B$16:$B$533,'[1]Build Detail'!$H$4:$H$521)</f>
        <v>#VALUE!</v>
      </c>
      <c r="I446" s="52" t="e">
        <f>SUMIF('[1]Build Detail'!$D$4:$D$521,$B$16:$B$533,'[1]Build Detail'!$Q$4:$Q$521)</f>
        <v>#VALUE!</v>
      </c>
      <c r="J446" s="52" t="e">
        <f>SUMIF('[1]Build Detail'!$D$4:$D$521,$B$16:$B$533,'[1]Build Detail'!$T$4:$T$521)</f>
        <v>#VALUE!</v>
      </c>
      <c r="K446" s="53">
        <v>1095151.33</v>
      </c>
      <c r="L446" s="37">
        <f t="shared" si="49"/>
        <v>30884.17</v>
      </c>
      <c r="M446" s="37">
        <v>30992.05</v>
      </c>
      <c r="N446" s="38">
        <v>27892.85</v>
      </c>
      <c r="O446" s="37">
        <f t="shared" si="50"/>
        <v>2991.3199999999997</v>
      </c>
      <c r="P446" s="54" t="e">
        <f t="shared" si="43"/>
        <v>#VALUE!</v>
      </c>
      <c r="Q446" s="40">
        <f t="shared" si="44"/>
        <v>9.6856091648245685E-2</v>
      </c>
      <c r="R446" s="37">
        <f t="shared" si="45"/>
        <v>-107.88000000000102</v>
      </c>
      <c r="S446" s="41">
        <f t="shared" si="46"/>
        <v>-3.4808926805423011E-3</v>
      </c>
      <c r="T446" s="37" t="e">
        <f>SUMIF('[1]JOBS MAR 15'!$E$8:$E$525,$E$16:$E$533,'[1]JOBS MAR 15'!$G$8:$G$525)</f>
        <v>#VALUE!</v>
      </c>
      <c r="U446" s="37" t="e">
        <f>SUMIF('[1]JOBS MAR 15'!$E$8:$E$525,$E$16:$E$533,'[1]JOBS MAR 15'!$H$8:$H$525)</f>
        <v>#VALUE!</v>
      </c>
      <c r="V446" s="37" t="e">
        <f>SUMIF('[1]JOBS MAR 15'!$E$8:$E$525,$E$16:$E$533,'[1]JOBS MAR 15'!$I$8:$I$525)</f>
        <v>#VALUE!</v>
      </c>
      <c r="W446" s="55" t="str">
        <f t="shared" si="47"/>
        <v xml:space="preserve"> </v>
      </c>
    </row>
    <row r="447" spans="1:23" x14ac:dyDescent="0.2">
      <c r="B447">
        <v>4112</v>
      </c>
      <c r="C447">
        <v>7</v>
      </c>
      <c r="D447" s="2" t="s">
        <v>943</v>
      </c>
      <c r="E447" s="50" t="s">
        <v>944</v>
      </c>
      <c r="F447" s="50">
        <v>2700351</v>
      </c>
      <c r="G447" s="50">
        <v>4</v>
      </c>
      <c r="H447" s="52" t="e">
        <f>SUMIF('[1]Build Detail'!$D$4:$D$521,$B$16:$B$533,'[1]Build Detail'!$H$4:$H$521)</f>
        <v>#VALUE!</v>
      </c>
      <c r="I447" s="52" t="e">
        <f>SUMIF('[1]Build Detail'!$D$4:$D$521,$B$16:$B$533,'[1]Build Detail'!$Q$4:$Q$521)</f>
        <v>#VALUE!</v>
      </c>
      <c r="J447" s="52" t="e">
        <f>SUMIF('[1]Build Detail'!$D$4:$D$521,$B$16:$B$533,'[1]Build Detail'!$T$4:$T$521)</f>
        <v>#VALUE!</v>
      </c>
      <c r="K447" s="53">
        <v>3820350.8400000003</v>
      </c>
      <c r="L447" s="37">
        <f t="shared" si="49"/>
        <v>107737.05</v>
      </c>
      <c r="M447" s="37">
        <v>107688.61</v>
      </c>
      <c r="N447" s="38">
        <v>96919.75</v>
      </c>
      <c r="O447" s="37">
        <f t="shared" si="50"/>
        <v>10817.300000000003</v>
      </c>
      <c r="P447" s="54" t="e">
        <f t="shared" si="43"/>
        <v>#VALUE!</v>
      </c>
      <c r="Q447" s="40">
        <f t="shared" si="44"/>
        <v>0.10040464259973707</v>
      </c>
      <c r="R447" s="37">
        <f t="shared" si="45"/>
        <v>48.440000000002328</v>
      </c>
      <c r="S447" s="41">
        <f t="shared" si="46"/>
        <v>4.4981544473461334E-4</v>
      </c>
      <c r="T447" s="37" t="e">
        <f>SUMIF('[1]JOBS MAR 15'!$E$8:$E$525,$E$16:$E$533,'[1]JOBS MAR 15'!$G$8:$G$525)</f>
        <v>#VALUE!</v>
      </c>
      <c r="U447" s="37" t="e">
        <f>SUMIF('[1]JOBS MAR 15'!$E$8:$E$525,$E$16:$E$533,'[1]JOBS MAR 15'!$H$8:$H$525)</f>
        <v>#VALUE!</v>
      </c>
      <c r="V447" s="37" t="e">
        <f>SUMIF('[1]JOBS MAR 15'!$E$8:$E$525,$E$16:$E$533,'[1]JOBS MAR 15'!$I$8:$I$525)</f>
        <v>#VALUE!</v>
      </c>
      <c r="W447" s="55" t="str">
        <f t="shared" si="47"/>
        <v xml:space="preserve"> </v>
      </c>
    </row>
    <row r="448" spans="1:23" x14ac:dyDescent="0.2">
      <c r="B448">
        <v>4113</v>
      </c>
      <c r="C448">
        <v>7</v>
      </c>
      <c r="D448" s="2" t="s">
        <v>945</v>
      </c>
      <c r="E448" s="50" t="s">
        <v>946</v>
      </c>
      <c r="F448" s="50">
        <v>2700352</v>
      </c>
      <c r="G448" s="50">
        <v>5</v>
      </c>
      <c r="H448" s="52" t="e">
        <f>SUMIF('[1]Build Detail'!$D$4:$D$521,$B$16:$B$533,'[1]Build Detail'!$H$4:$H$521)</f>
        <v>#VALUE!</v>
      </c>
      <c r="I448" s="52" t="e">
        <f>SUMIF('[1]Build Detail'!$D$4:$D$521,$B$16:$B$533,'[1]Build Detail'!$Q$4:$Q$521)</f>
        <v>#VALUE!</v>
      </c>
      <c r="J448" s="52" t="e">
        <f>SUMIF('[1]Build Detail'!$D$4:$D$521,$B$16:$B$533,'[1]Build Detail'!$T$4:$T$521)</f>
        <v>#VALUE!</v>
      </c>
      <c r="K448" s="53">
        <v>2315180.2400000002</v>
      </c>
      <c r="L448" s="37">
        <f t="shared" si="49"/>
        <v>65290</v>
      </c>
      <c r="M448" s="37">
        <v>65559.62</v>
      </c>
      <c r="N448" s="38">
        <v>59003.66</v>
      </c>
      <c r="O448" s="37">
        <f t="shared" si="50"/>
        <v>6286.3399999999965</v>
      </c>
      <c r="P448" s="54" t="e">
        <f t="shared" si="43"/>
        <v>#VALUE!</v>
      </c>
      <c r="Q448" s="40">
        <f t="shared" si="44"/>
        <v>9.6283351202328019E-2</v>
      </c>
      <c r="R448" s="37">
        <f t="shared" si="45"/>
        <v>-269.61999999999534</v>
      </c>
      <c r="S448" s="41">
        <f t="shared" si="46"/>
        <v>-4.1125924768934804E-3</v>
      </c>
      <c r="T448" s="37" t="e">
        <f>SUMIF('[1]JOBS MAR 15'!$E$8:$E$525,$E$16:$E$533,'[1]JOBS MAR 15'!$G$8:$G$525)</f>
        <v>#VALUE!</v>
      </c>
      <c r="U448" s="37" t="e">
        <f>SUMIF('[1]JOBS MAR 15'!$E$8:$E$525,$E$16:$E$533,'[1]JOBS MAR 15'!$H$8:$H$525)</f>
        <v>#VALUE!</v>
      </c>
      <c r="V448" s="37" t="e">
        <f>SUMIF('[1]JOBS MAR 15'!$E$8:$E$525,$E$16:$E$533,'[1]JOBS MAR 15'!$I$8:$I$525)</f>
        <v>#VALUE!</v>
      </c>
      <c r="W448" s="55" t="str">
        <f t="shared" si="47"/>
        <v xml:space="preserve"> </v>
      </c>
    </row>
    <row r="449" spans="1:23" x14ac:dyDescent="0.2">
      <c r="A449" s="56" t="s">
        <v>835</v>
      </c>
      <c r="B449" s="56">
        <v>4114</v>
      </c>
      <c r="C449" s="56">
        <v>7</v>
      </c>
      <c r="D449" s="59" t="s">
        <v>947</v>
      </c>
      <c r="E449" s="60" t="s">
        <v>948</v>
      </c>
      <c r="F449" s="60">
        <v>2700356</v>
      </c>
      <c r="G449" s="60">
        <v>5</v>
      </c>
      <c r="H449" s="61" t="e">
        <f>SUMIF('[1]Build Detail'!$D$4:$D$521,$B$16:$B$533,'[1]Build Detail'!$H$4:$H$521)</f>
        <v>#VALUE!</v>
      </c>
      <c r="I449" s="61" t="e">
        <f>SUMIF('[1]Build Detail'!$D$4:$D$521,$B$16:$B$533,'[1]Build Detail'!$Q$4:$Q$521)</f>
        <v>#VALUE!</v>
      </c>
      <c r="J449" s="61" t="e">
        <f>SUMIF('[1]Build Detail'!$D$4:$D$521,$B$16:$B$533,'[1]Build Detail'!$T$4:$T$521)</f>
        <v>#VALUE!</v>
      </c>
      <c r="K449" s="62">
        <v>664282.24999999988</v>
      </c>
      <c r="L449" s="63">
        <f t="shared" si="49"/>
        <v>18733.310000000001</v>
      </c>
      <c r="M449" s="63">
        <v>22071.17</v>
      </c>
      <c r="N449" s="64">
        <v>19864.05</v>
      </c>
      <c r="O449" s="63">
        <f t="shared" si="50"/>
        <v>-1130.739999999998</v>
      </c>
      <c r="P449" s="65" t="e">
        <f t="shared" si="43"/>
        <v>#VALUE!</v>
      </c>
      <c r="Q449" s="66">
        <f t="shared" si="44"/>
        <v>-6.0359861658190565E-2</v>
      </c>
      <c r="R449" s="63">
        <f t="shared" si="45"/>
        <v>-3337.8599999999969</v>
      </c>
      <c r="S449" s="67">
        <f t="shared" si="46"/>
        <v>-0.15123167462350193</v>
      </c>
      <c r="T449" s="63" t="e">
        <f>SUMIF('[1]JOBS MAR 15'!$E$8:$E$525,$E$16:$E$533,'[1]JOBS MAR 15'!$G$8:$G$525)</f>
        <v>#VALUE!</v>
      </c>
      <c r="U449" s="63" t="e">
        <f>SUMIF('[1]JOBS MAR 15'!$E$8:$E$525,$E$16:$E$533,'[1]JOBS MAR 15'!$H$8:$H$525)</f>
        <v>#VALUE!</v>
      </c>
      <c r="V449" s="63" t="e">
        <f>SUMIF('[1]JOBS MAR 15'!$E$8:$E$525,$E$16:$E$533,'[1]JOBS MAR 15'!$I$8:$I$525)</f>
        <v>#VALUE!</v>
      </c>
      <c r="W449" s="68" t="e">
        <f t="shared" si="47"/>
        <v>#VALUE!</v>
      </c>
    </row>
    <row r="450" spans="1:23" x14ac:dyDescent="0.2">
      <c r="B450">
        <v>4115</v>
      </c>
      <c r="C450">
        <v>7</v>
      </c>
      <c r="D450" s="2" t="s">
        <v>949</v>
      </c>
      <c r="E450" s="50" t="s">
        <v>950</v>
      </c>
      <c r="F450" s="50">
        <v>2700357</v>
      </c>
      <c r="G450" s="50">
        <v>5</v>
      </c>
      <c r="H450" s="52" t="e">
        <f>SUMIF('[1]Build Detail'!$D$4:$D$521,$B$16:$B$533,'[1]Build Detail'!$H$4:$H$521)</f>
        <v>#VALUE!</v>
      </c>
      <c r="I450" s="52" t="e">
        <f>SUMIF('[1]Build Detail'!$D$4:$D$521,$B$16:$B$533,'[1]Build Detail'!$Q$4:$Q$521)</f>
        <v>#VALUE!</v>
      </c>
      <c r="J450" s="52" t="e">
        <f>SUMIF('[1]Build Detail'!$D$4:$D$521,$B$16:$B$533,'[1]Build Detail'!$T$4:$T$521)</f>
        <v>#VALUE!</v>
      </c>
      <c r="K450" s="53">
        <v>1344371.89</v>
      </c>
      <c r="L450" s="37">
        <f t="shared" si="49"/>
        <v>37912.400000000001</v>
      </c>
      <c r="M450" s="37">
        <v>37965.72</v>
      </c>
      <c r="N450" s="38">
        <v>34169.15</v>
      </c>
      <c r="O450" s="37">
        <f t="shared" si="50"/>
        <v>3743.25</v>
      </c>
      <c r="P450" s="54" t="e">
        <f t="shared" si="43"/>
        <v>#VALUE!</v>
      </c>
      <c r="Q450" s="40">
        <f t="shared" si="44"/>
        <v>9.8734187231618142E-2</v>
      </c>
      <c r="R450" s="37">
        <f t="shared" si="45"/>
        <v>-53.319999999999709</v>
      </c>
      <c r="S450" s="41">
        <f t="shared" si="46"/>
        <v>-1.4044248337710889E-3</v>
      </c>
      <c r="T450" s="37" t="e">
        <f>SUMIF('[1]JOBS MAR 15'!$E$8:$E$525,$E$16:$E$533,'[1]JOBS MAR 15'!$G$8:$G$525)</f>
        <v>#VALUE!</v>
      </c>
      <c r="U450" s="37" t="e">
        <f>SUMIF('[1]JOBS MAR 15'!$E$8:$E$525,$E$16:$E$533,'[1]JOBS MAR 15'!$H$8:$H$525)</f>
        <v>#VALUE!</v>
      </c>
      <c r="V450" s="37" t="e">
        <f>SUMIF('[1]JOBS MAR 15'!$E$8:$E$525,$E$16:$E$533,'[1]JOBS MAR 15'!$I$8:$I$525)</f>
        <v>#VALUE!</v>
      </c>
      <c r="W450" s="55" t="str">
        <f t="shared" si="47"/>
        <v xml:space="preserve"> </v>
      </c>
    </row>
    <row r="451" spans="1:23" x14ac:dyDescent="0.2">
      <c r="B451">
        <v>4116</v>
      </c>
      <c r="C451">
        <v>7</v>
      </c>
      <c r="D451" s="2" t="s">
        <v>951</v>
      </c>
      <c r="E451" s="50" t="s">
        <v>952</v>
      </c>
      <c r="F451" s="50">
        <v>2700358</v>
      </c>
      <c r="G451" s="50">
        <v>6</v>
      </c>
      <c r="H451" s="52" t="e">
        <f>SUMIF('[1]Build Detail'!$D$4:$D$521,$B$16:$B$533,'[1]Build Detail'!$H$4:$H$521)</f>
        <v>#VALUE!</v>
      </c>
      <c r="I451" s="52" t="e">
        <f>SUMIF('[1]Build Detail'!$D$4:$D$521,$B$16:$B$533,'[1]Build Detail'!$Q$4:$Q$521)</f>
        <v>#VALUE!</v>
      </c>
      <c r="J451" s="52" t="e">
        <f>SUMIF('[1]Build Detail'!$D$4:$D$521,$B$16:$B$533,'[1]Build Detail'!$T$4:$T$521)</f>
        <v>#VALUE!</v>
      </c>
      <c r="K451" s="53">
        <v>3568088.0600000005</v>
      </c>
      <c r="L451" s="37">
        <f t="shared" si="49"/>
        <v>100623.03</v>
      </c>
      <c r="M451" s="37">
        <v>100571.05</v>
      </c>
      <c r="N451" s="38">
        <v>90513.95</v>
      </c>
      <c r="O451" s="37">
        <f t="shared" si="50"/>
        <v>10109.080000000002</v>
      </c>
      <c r="P451" s="54" t="e">
        <f t="shared" si="43"/>
        <v>#VALUE!</v>
      </c>
      <c r="Q451" s="40">
        <f t="shared" si="44"/>
        <v>0.10046487369740309</v>
      </c>
      <c r="R451" s="37">
        <f t="shared" si="45"/>
        <v>51.979999999995925</v>
      </c>
      <c r="S451" s="41">
        <f t="shared" si="46"/>
        <v>5.1684853643266053E-4</v>
      </c>
      <c r="T451" s="37" t="e">
        <f>SUMIF('[1]JOBS MAR 15'!$E$8:$E$525,$E$16:$E$533,'[1]JOBS MAR 15'!$G$8:$G$525)</f>
        <v>#VALUE!</v>
      </c>
      <c r="U451" s="37" t="e">
        <f>SUMIF('[1]JOBS MAR 15'!$E$8:$E$525,$E$16:$E$533,'[1]JOBS MAR 15'!$H$8:$H$525)</f>
        <v>#VALUE!</v>
      </c>
      <c r="V451" s="37" t="e">
        <f>SUMIF('[1]JOBS MAR 15'!$E$8:$E$525,$E$16:$E$533,'[1]JOBS MAR 15'!$I$8:$I$525)</f>
        <v>#VALUE!</v>
      </c>
      <c r="W451" s="55" t="str">
        <f t="shared" si="47"/>
        <v xml:space="preserve"> </v>
      </c>
    </row>
    <row r="452" spans="1:23" x14ac:dyDescent="0.2">
      <c r="B452">
        <v>4118</v>
      </c>
      <c r="C452">
        <v>7</v>
      </c>
      <c r="D452" s="2" t="s">
        <v>953</v>
      </c>
      <c r="E452" s="50" t="s">
        <v>954</v>
      </c>
      <c r="F452" s="50">
        <v>2700360</v>
      </c>
      <c r="G452" s="50">
        <v>6</v>
      </c>
      <c r="H452" s="52" t="e">
        <f>SUMIF('[1]Build Detail'!$D$4:$D$521,$B$16:$B$533,'[1]Build Detail'!$H$4:$H$521)</f>
        <v>#VALUE!</v>
      </c>
      <c r="I452" s="52" t="e">
        <f>SUMIF('[1]Build Detail'!$D$4:$D$521,$B$16:$B$533,'[1]Build Detail'!$Q$4:$Q$521)</f>
        <v>#VALUE!</v>
      </c>
      <c r="J452" s="52" t="e">
        <f>SUMIF('[1]Build Detail'!$D$4:$D$521,$B$16:$B$533,'[1]Build Detail'!$T$4:$T$521)</f>
        <v>#VALUE!</v>
      </c>
      <c r="K452" s="53">
        <v>2829365.1399999997</v>
      </c>
      <c r="L452" s="37">
        <f t="shared" si="49"/>
        <v>79790.44</v>
      </c>
      <c r="M452" s="37">
        <v>79385</v>
      </c>
      <c r="N452" s="38">
        <v>71446.5</v>
      </c>
      <c r="O452" s="37">
        <f t="shared" si="50"/>
        <v>8343.9400000000023</v>
      </c>
      <c r="P452" s="54" t="e">
        <f t="shared" si="43"/>
        <v>#VALUE!</v>
      </c>
      <c r="Q452" s="40">
        <f t="shared" si="44"/>
        <v>0.10457317944355241</v>
      </c>
      <c r="R452" s="37">
        <f t="shared" si="45"/>
        <v>405.44000000000233</v>
      </c>
      <c r="S452" s="41">
        <f t="shared" si="46"/>
        <v>5.1072620772186477E-3</v>
      </c>
      <c r="T452" s="37" t="e">
        <f>SUMIF('[1]JOBS MAR 15'!$E$8:$E$525,$E$16:$E$533,'[1]JOBS MAR 15'!$G$8:$G$525)</f>
        <v>#VALUE!</v>
      </c>
      <c r="U452" s="37" t="e">
        <f>SUMIF('[1]JOBS MAR 15'!$E$8:$E$525,$E$16:$E$533,'[1]JOBS MAR 15'!$H$8:$H$525)</f>
        <v>#VALUE!</v>
      </c>
      <c r="V452" s="37" t="e">
        <f>SUMIF('[1]JOBS MAR 15'!$E$8:$E$525,$E$16:$E$533,'[1]JOBS MAR 15'!$I$8:$I$525)</f>
        <v>#VALUE!</v>
      </c>
      <c r="W452" s="55" t="str">
        <f t="shared" si="47"/>
        <v xml:space="preserve"> </v>
      </c>
    </row>
    <row r="453" spans="1:23" x14ac:dyDescent="0.2">
      <c r="B453">
        <v>4119</v>
      </c>
      <c r="C453">
        <v>7</v>
      </c>
      <c r="D453" s="2" t="s">
        <v>955</v>
      </c>
      <c r="E453" s="50" t="s">
        <v>956</v>
      </c>
      <c r="F453" s="50">
        <v>2700361</v>
      </c>
      <c r="G453" s="50">
        <v>3</v>
      </c>
      <c r="H453" s="52" t="e">
        <f>SUMIF('[1]Build Detail'!$D$4:$D$521,$B$16:$B$533,'[1]Build Detail'!$H$4:$H$521)</f>
        <v>#VALUE!</v>
      </c>
      <c r="I453" s="52" t="e">
        <f>SUMIF('[1]Build Detail'!$D$4:$D$521,$B$16:$B$533,'[1]Build Detail'!$Q$4:$Q$521)</f>
        <v>#VALUE!</v>
      </c>
      <c r="J453" s="52" t="e">
        <f>SUMIF('[1]Build Detail'!$D$4:$D$521,$B$16:$B$533,'[1]Build Detail'!$T$4:$T$521)</f>
        <v>#VALUE!</v>
      </c>
      <c r="K453" s="53">
        <v>506363.86000000004</v>
      </c>
      <c r="L453" s="37">
        <f t="shared" si="49"/>
        <v>14279.88</v>
      </c>
      <c r="M453" s="37">
        <v>14352.42</v>
      </c>
      <c r="N453" s="38">
        <v>12917.18</v>
      </c>
      <c r="O453" s="37">
        <f t="shared" si="50"/>
        <v>1362.6999999999989</v>
      </c>
      <c r="P453" s="54" t="e">
        <f t="shared" si="43"/>
        <v>#VALUE!</v>
      </c>
      <c r="Q453" s="40">
        <f t="shared" si="44"/>
        <v>9.542797278408495E-2</v>
      </c>
      <c r="R453" s="37">
        <f t="shared" si="45"/>
        <v>-72.540000000000873</v>
      </c>
      <c r="S453" s="41">
        <f t="shared" si="46"/>
        <v>-5.0541999188987554E-3</v>
      </c>
      <c r="T453" s="37" t="e">
        <f>SUMIF('[1]JOBS MAR 15'!$E$8:$E$525,$E$16:$E$533,'[1]JOBS MAR 15'!$G$8:$G$525)</f>
        <v>#VALUE!</v>
      </c>
      <c r="U453" s="37" t="e">
        <f>SUMIF('[1]JOBS MAR 15'!$E$8:$E$525,$E$16:$E$533,'[1]JOBS MAR 15'!$H$8:$H$525)</f>
        <v>#VALUE!</v>
      </c>
      <c r="V453" s="37" t="e">
        <f>SUMIF('[1]JOBS MAR 15'!$E$8:$E$525,$E$16:$E$533,'[1]JOBS MAR 15'!$I$8:$I$525)</f>
        <v>#VALUE!</v>
      </c>
      <c r="W453" s="55" t="str">
        <f t="shared" si="47"/>
        <v xml:space="preserve"> </v>
      </c>
    </row>
    <row r="454" spans="1:23" x14ac:dyDescent="0.2">
      <c r="B454">
        <v>4120</v>
      </c>
      <c r="C454">
        <v>7</v>
      </c>
      <c r="D454" s="2" t="s">
        <v>957</v>
      </c>
      <c r="E454" s="50" t="s">
        <v>958</v>
      </c>
      <c r="F454" s="50">
        <v>2700362</v>
      </c>
      <c r="G454" s="50">
        <v>6</v>
      </c>
      <c r="H454" s="52" t="e">
        <f>SUMIF('[1]Build Detail'!$D$4:$D$521,$B$16:$B$533,'[1]Build Detail'!$H$4:$H$521)</f>
        <v>#VALUE!</v>
      </c>
      <c r="I454" s="52" t="e">
        <f>SUMIF('[1]Build Detail'!$D$4:$D$521,$B$16:$B$533,'[1]Build Detail'!$Q$4:$Q$521)</f>
        <v>#VALUE!</v>
      </c>
      <c r="J454" s="52" t="e">
        <f>SUMIF('[1]Build Detail'!$D$4:$D$521,$B$16:$B$533,'[1]Build Detail'!$T$4:$T$521)</f>
        <v>#VALUE!</v>
      </c>
      <c r="K454" s="53">
        <v>6264757.8500000006</v>
      </c>
      <c r="L454" s="37">
        <f t="shared" si="49"/>
        <v>176671.35</v>
      </c>
      <c r="M454" s="37">
        <v>176956.22</v>
      </c>
      <c r="N454" s="38">
        <v>159260.6</v>
      </c>
      <c r="O454" s="37">
        <f t="shared" si="50"/>
        <v>17410.75</v>
      </c>
      <c r="P454" s="54" t="e">
        <f t="shared" si="43"/>
        <v>#VALUE!</v>
      </c>
      <c r="Q454" s="40">
        <f t="shared" si="44"/>
        <v>9.8548802621364465E-2</v>
      </c>
      <c r="R454" s="37">
        <f t="shared" si="45"/>
        <v>-284.86999999999534</v>
      </c>
      <c r="S454" s="41">
        <f t="shared" si="46"/>
        <v>-1.6098332118531654E-3</v>
      </c>
      <c r="T454" s="37" t="e">
        <f>SUMIF('[1]JOBS MAR 15'!$E$8:$E$525,$E$16:$E$533,'[1]JOBS MAR 15'!$G$8:$G$525)</f>
        <v>#VALUE!</v>
      </c>
      <c r="U454" s="37" t="e">
        <f>SUMIF('[1]JOBS MAR 15'!$E$8:$E$525,$E$16:$E$533,'[1]JOBS MAR 15'!$H$8:$H$525)</f>
        <v>#VALUE!</v>
      </c>
      <c r="V454" s="37" t="e">
        <f>SUMIF('[1]JOBS MAR 15'!$E$8:$E$525,$E$16:$E$533,'[1]JOBS MAR 15'!$I$8:$I$525)</f>
        <v>#VALUE!</v>
      </c>
      <c r="W454" s="55" t="str">
        <f t="shared" si="47"/>
        <v xml:space="preserve"> </v>
      </c>
    </row>
    <row r="455" spans="1:23" x14ac:dyDescent="0.2">
      <c r="B455">
        <v>4121</v>
      </c>
      <c r="C455">
        <v>7</v>
      </c>
      <c r="D455" s="2" t="s">
        <v>959</v>
      </c>
      <c r="E455" s="50" t="s">
        <v>960</v>
      </c>
      <c r="F455" s="50">
        <v>2700363</v>
      </c>
      <c r="G455" s="50">
        <v>3</v>
      </c>
      <c r="H455" s="52" t="e">
        <f>SUMIF('[1]Build Detail'!$D$4:$D$521,$B$16:$B$533,'[1]Build Detail'!$H$4:$H$521)</f>
        <v>#VALUE!</v>
      </c>
      <c r="I455" s="52" t="e">
        <f>SUMIF('[1]Build Detail'!$D$4:$D$521,$B$16:$B$533,'[1]Build Detail'!$Q$4:$Q$521)</f>
        <v>#VALUE!</v>
      </c>
      <c r="J455" s="52" t="e">
        <f>SUMIF('[1]Build Detail'!$D$4:$D$521,$B$16:$B$533,'[1]Build Detail'!$T$4:$T$521)</f>
        <v>#VALUE!</v>
      </c>
      <c r="K455" s="53">
        <v>2384056.0300000003</v>
      </c>
      <c r="L455" s="37">
        <f t="shared" si="49"/>
        <v>67232.350000000006</v>
      </c>
      <c r="M455" s="37">
        <v>66652.850000000006</v>
      </c>
      <c r="N455" s="38">
        <v>59987.57</v>
      </c>
      <c r="O455" s="37">
        <f t="shared" si="50"/>
        <v>7244.7800000000061</v>
      </c>
      <c r="P455" s="54" t="e">
        <f t="shared" si="43"/>
        <v>#VALUE!</v>
      </c>
      <c r="Q455" s="40">
        <f t="shared" si="44"/>
        <v>0.10775735192953996</v>
      </c>
      <c r="R455" s="37">
        <f t="shared" si="45"/>
        <v>579.5</v>
      </c>
      <c r="S455" s="41">
        <f t="shared" si="46"/>
        <v>8.6943018940675455E-3</v>
      </c>
      <c r="T455" s="37" t="e">
        <f>SUMIF('[1]JOBS MAR 15'!$E$8:$E$525,$E$16:$E$533,'[1]JOBS MAR 15'!$G$8:$G$525)</f>
        <v>#VALUE!</v>
      </c>
      <c r="U455" s="37" t="e">
        <f>SUMIF('[1]JOBS MAR 15'!$E$8:$E$525,$E$16:$E$533,'[1]JOBS MAR 15'!$H$8:$H$525)</f>
        <v>#VALUE!</v>
      </c>
      <c r="V455" s="37" t="e">
        <f>SUMIF('[1]JOBS MAR 15'!$E$8:$E$525,$E$16:$E$533,'[1]JOBS MAR 15'!$I$8:$I$525)</f>
        <v>#VALUE!</v>
      </c>
      <c r="W455" s="55" t="str">
        <f t="shared" si="47"/>
        <v xml:space="preserve"> </v>
      </c>
    </row>
    <row r="456" spans="1:23" x14ac:dyDescent="0.2">
      <c r="B456">
        <v>4122</v>
      </c>
      <c r="C456">
        <v>7</v>
      </c>
      <c r="D456" s="2" t="s">
        <v>961</v>
      </c>
      <c r="E456" s="50" t="s">
        <v>962</v>
      </c>
      <c r="F456" s="50">
        <v>2700364</v>
      </c>
      <c r="G456" s="50">
        <v>3</v>
      </c>
      <c r="H456" s="52" t="e">
        <f>SUMIF('[1]Build Detail'!$D$4:$D$521,$B$16:$B$533,'[1]Build Detail'!$H$4:$H$521)</f>
        <v>#VALUE!</v>
      </c>
      <c r="I456" s="52" t="e">
        <f>SUMIF('[1]Build Detail'!$D$4:$D$521,$B$16:$B$533,'[1]Build Detail'!$Q$4:$Q$521)</f>
        <v>#VALUE!</v>
      </c>
      <c r="J456" s="52" t="e">
        <f>SUMIF('[1]Build Detail'!$D$4:$D$521,$B$16:$B$533,'[1]Build Detail'!$T$4:$T$521)</f>
        <v>#VALUE!</v>
      </c>
      <c r="K456" s="53">
        <v>3838285.65</v>
      </c>
      <c r="L456" s="37">
        <f t="shared" si="49"/>
        <v>108242.83</v>
      </c>
      <c r="M456" s="37">
        <v>108409.94</v>
      </c>
      <c r="N456" s="38">
        <v>97568.95</v>
      </c>
      <c r="O456" s="37">
        <f t="shared" si="50"/>
        <v>10673.880000000005</v>
      </c>
      <c r="P456" s="54" t="e">
        <f t="shared" si="43"/>
        <v>#VALUE!</v>
      </c>
      <c r="Q456" s="40">
        <f t="shared" si="44"/>
        <v>9.8610503808889735E-2</v>
      </c>
      <c r="R456" s="37">
        <f t="shared" si="45"/>
        <v>-167.11000000000058</v>
      </c>
      <c r="S456" s="41">
        <f t="shared" si="46"/>
        <v>-1.5414638178012144E-3</v>
      </c>
      <c r="T456" s="37" t="e">
        <f>SUMIF('[1]JOBS MAR 15'!$E$8:$E$525,$E$16:$E$533,'[1]JOBS MAR 15'!$G$8:$G$525)</f>
        <v>#VALUE!</v>
      </c>
      <c r="U456" s="37" t="e">
        <f>SUMIF('[1]JOBS MAR 15'!$E$8:$E$525,$E$16:$E$533,'[1]JOBS MAR 15'!$H$8:$H$525)</f>
        <v>#VALUE!</v>
      </c>
      <c r="V456" s="37" t="e">
        <f>SUMIF('[1]JOBS MAR 15'!$E$8:$E$525,$E$16:$E$533,'[1]JOBS MAR 15'!$I$8:$I$525)</f>
        <v>#VALUE!</v>
      </c>
      <c r="W456" s="55" t="str">
        <f t="shared" si="47"/>
        <v xml:space="preserve"> </v>
      </c>
    </row>
    <row r="457" spans="1:23" x14ac:dyDescent="0.2">
      <c r="B457">
        <v>4123</v>
      </c>
      <c r="C457">
        <v>7</v>
      </c>
      <c r="D457" s="2" t="s">
        <v>963</v>
      </c>
      <c r="E457" s="50" t="s">
        <v>964</v>
      </c>
      <c r="F457" s="50">
        <v>2700365</v>
      </c>
      <c r="G457" s="50">
        <v>1</v>
      </c>
      <c r="H457" s="52" t="e">
        <f>SUMIF('[1]Build Detail'!$D$4:$D$521,$B$16:$B$533,'[1]Build Detail'!$H$4:$H$521)</f>
        <v>#VALUE!</v>
      </c>
      <c r="I457" s="52" t="e">
        <f>SUMIF('[1]Build Detail'!$D$4:$D$521,$B$16:$B$533,'[1]Build Detail'!$Q$4:$Q$521)</f>
        <v>#VALUE!</v>
      </c>
      <c r="J457" s="52" t="e">
        <f>SUMIF('[1]Build Detail'!$D$4:$D$521,$B$16:$B$533,'[1]Build Detail'!$T$4:$T$521)</f>
        <v>#VALUE!</v>
      </c>
      <c r="K457" s="53">
        <v>235345.91</v>
      </c>
      <c r="L457" s="37">
        <f t="shared" si="49"/>
        <v>6636.95</v>
      </c>
      <c r="M457" s="37">
        <v>6705.23</v>
      </c>
      <c r="N457" s="38">
        <v>6034.71</v>
      </c>
      <c r="O457" s="37">
        <f t="shared" si="50"/>
        <v>602.23999999999978</v>
      </c>
      <c r="P457" s="54" t="e">
        <f t="shared" si="43"/>
        <v>#VALUE!</v>
      </c>
      <c r="Q457" s="40">
        <f t="shared" si="44"/>
        <v>9.074047567030033E-2</v>
      </c>
      <c r="R457" s="37">
        <f t="shared" si="45"/>
        <v>-68.279999999999745</v>
      </c>
      <c r="S457" s="41">
        <f t="shared" si="46"/>
        <v>-1.0183095881871279E-2</v>
      </c>
      <c r="T457" s="37" t="e">
        <f>SUMIF('[1]JOBS MAR 15'!$E$8:$E$525,$E$16:$E$533,'[1]JOBS MAR 15'!$G$8:$G$525)</f>
        <v>#VALUE!</v>
      </c>
      <c r="U457" s="37" t="e">
        <f>SUMIF('[1]JOBS MAR 15'!$E$8:$E$525,$E$16:$E$533,'[1]JOBS MAR 15'!$H$8:$H$525)</f>
        <v>#VALUE!</v>
      </c>
      <c r="V457" s="37" t="e">
        <f>SUMIF('[1]JOBS MAR 15'!$E$8:$E$525,$E$16:$E$533,'[1]JOBS MAR 15'!$I$8:$I$525)</f>
        <v>#VALUE!</v>
      </c>
      <c r="W457" s="55" t="str">
        <f t="shared" si="47"/>
        <v xml:space="preserve"> </v>
      </c>
    </row>
    <row r="458" spans="1:23" x14ac:dyDescent="0.2">
      <c r="B458">
        <v>4124</v>
      </c>
      <c r="C458">
        <v>7</v>
      </c>
      <c r="D458" s="2" t="s">
        <v>965</v>
      </c>
      <c r="E458" s="50" t="s">
        <v>966</v>
      </c>
      <c r="F458" s="50">
        <v>2700366</v>
      </c>
      <c r="G458" s="50">
        <v>3</v>
      </c>
      <c r="H458" s="52" t="e">
        <f>SUMIF('[1]Build Detail'!$D$4:$D$521,$B$16:$B$533,'[1]Build Detail'!$H$4:$H$521)</f>
        <v>#VALUE!</v>
      </c>
      <c r="I458" s="52" t="e">
        <f>SUMIF('[1]Build Detail'!$D$4:$D$521,$B$16:$B$533,'[1]Build Detail'!$Q$4:$Q$521)</f>
        <v>#VALUE!</v>
      </c>
      <c r="J458" s="52" t="e">
        <f>SUMIF('[1]Build Detail'!$D$4:$D$521,$B$16:$B$533,'[1]Build Detail'!$T$4:$T$521)</f>
        <v>#VALUE!</v>
      </c>
      <c r="K458" s="53">
        <v>3386826.7</v>
      </c>
      <c r="L458" s="37">
        <f t="shared" si="49"/>
        <v>95511.31</v>
      </c>
      <c r="M458" s="37">
        <v>95367.12</v>
      </c>
      <c r="N458" s="38">
        <v>85830.41</v>
      </c>
      <c r="O458" s="37">
        <f t="shared" si="50"/>
        <v>9680.8999999999942</v>
      </c>
      <c r="P458" s="54" t="e">
        <f t="shared" si="43"/>
        <v>#VALUE!</v>
      </c>
      <c r="Q458" s="40">
        <f t="shared" si="44"/>
        <v>0.10135867678916763</v>
      </c>
      <c r="R458" s="37">
        <f t="shared" si="45"/>
        <v>144.19000000000233</v>
      </c>
      <c r="S458" s="41">
        <f t="shared" si="46"/>
        <v>1.5119466751224357E-3</v>
      </c>
      <c r="T458" s="37" t="e">
        <f>SUMIF('[1]JOBS MAR 15'!$E$8:$E$525,$E$16:$E$533,'[1]JOBS MAR 15'!$G$8:$G$525)</f>
        <v>#VALUE!</v>
      </c>
      <c r="U458" s="37" t="e">
        <f>SUMIF('[1]JOBS MAR 15'!$E$8:$E$525,$E$16:$E$533,'[1]JOBS MAR 15'!$H$8:$H$525)</f>
        <v>#VALUE!</v>
      </c>
      <c r="V458" s="37" t="e">
        <f>SUMIF('[1]JOBS MAR 15'!$E$8:$E$525,$E$16:$E$533,'[1]JOBS MAR 15'!$I$8:$I$525)</f>
        <v>#VALUE!</v>
      </c>
      <c r="W458" s="55" t="str">
        <f t="shared" si="47"/>
        <v xml:space="preserve"> </v>
      </c>
    </row>
    <row r="459" spans="1:23" x14ac:dyDescent="0.2">
      <c r="B459">
        <v>4126</v>
      </c>
      <c r="C459">
        <v>7</v>
      </c>
      <c r="D459" s="2" t="s">
        <v>967</v>
      </c>
      <c r="E459" s="50" t="s">
        <v>968</v>
      </c>
      <c r="F459" s="50">
        <v>2700240</v>
      </c>
      <c r="G459" s="50">
        <v>2</v>
      </c>
      <c r="H459" s="52" t="e">
        <f>SUMIF('[1]Build Detail'!$D$4:$D$521,$B$16:$B$533,'[1]Build Detail'!$H$4:$H$521)</f>
        <v>#VALUE!</v>
      </c>
      <c r="I459" s="52" t="e">
        <f>SUMIF('[1]Build Detail'!$D$4:$D$521,$B$16:$B$533,'[1]Build Detail'!$Q$4:$Q$521)</f>
        <v>#VALUE!</v>
      </c>
      <c r="J459" s="52" t="e">
        <f>SUMIF('[1]Build Detail'!$D$4:$D$521,$B$16:$B$533,'[1]Build Detail'!$T$4:$T$521)</f>
        <v>#VALUE!</v>
      </c>
      <c r="K459" s="53">
        <v>6163343.1900000004</v>
      </c>
      <c r="L459" s="37">
        <f t="shared" si="49"/>
        <v>173811.37</v>
      </c>
      <c r="M459" s="37">
        <v>172828.99</v>
      </c>
      <c r="N459" s="38">
        <v>155546.09</v>
      </c>
      <c r="O459" s="37">
        <f t="shared" si="50"/>
        <v>18265.28</v>
      </c>
      <c r="P459" s="54" t="e">
        <f t="shared" si="43"/>
        <v>#VALUE!</v>
      </c>
      <c r="Q459" s="40">
        <f t="shared" si="44"/>
        <v>0.10508679610545615</v>
      </c>
      <c r="R459" s="37">
        <f t="shared" si="45"/>
        <v>982.38000000000466</v>
      </c>
      <c r="S459" s="41">
        <f t="shared" si="46"/>
        <v>5.6841158419082627E-3</v>
      </c>
      <c r="T459" s="37" t="e">
        <f>SUMIF('[1]JOBS MAR 15'!$E$8:$E$525,$E$16:$E$533,'[1]JOBS MAR 15'!$G$8:$G$525)</f>
        <v>#VALUE!</v>
      </c>
      <c r="U459" s="37" t="e">
        <f>SUMIF('[1]JOBS MAR 15'!$E$8:$E$525,$E$16:$E$533,'[1]JOBS MAR 15'!$H$8:$H$525)</f>
        <v>#VALUE!</v>
      </c>
      <c r="V459" s="37" t="e">
        <f>SUMIF('[1]JOBS MAR 15'!$E$8:$E$525,$E$16:$E$533,'[1]JOBS MAR 15'!$I$8:$I$525)</f>
        <v>#VALUE!</v>
      </c>
      <c r="W459" s="55" t="str">
        <f t="shared" si="47"/>
        <v xml:space="preserve"> </v>
      </c>
    </row>
    <row r="460" spans="1:23" x14ac:dyDescent="0.2">
      <c r="B460">
        <v>4127</v>
      </c>
      <c r="C460">
        <v>7</v>
      </c>
      <c r="D460" s="2" t="s">
        <v>969</v>
      </c>
      <c r="E460" s="50" t="s">
        <v>970</v>
      </c>
      <c r="F460" s="50">
        <v>2700241</v>
      </c>
      <c r="G460" s="50">
        <v>1</v>
      </c>
      <c r="H460" s="52" t="e">
        <f>SUMIF('[1]Build Detail'!$D$4:$D$521,$B$16:$B$533,'[1]Build Detail'!$H$4:$H$521)</f>
        <v>#VALUE!</v>
      </c>
      <c r="I460" s="52" t="e">
        <f>SUMIF('[1]Build Detail'!$D$4:$D$521,$B$16:$B$533,'[1]Build Detail'!$Q$4:$Q$521)</f>
        <v>#VALUE!</v>
      </c>
      <c r="J460" s="52" t="e">
        <f>SUMIF('[1]Build Detail'!$D$4:$D$521,$B$16:$B$533,'[1]Build Detail'!$T$4:$T$521)</f>
        <v>#VALUE!</v>
      </c>
      <c r="K460" s="53">
        <v>1086358.8999999999</v>
      </c>
      <c r="L460" s="37">
        <f t="shared" si="49"/>
        <v>30636.22</v>
      </c>
      <c r="M460" s="37">
        <v>30436.35</v>
      </c>
      <c r="N460" s="38">
        <v>27392.720000000001</v>
      </c>
      <c r="O460" s="37">
        <f t="shared" si="50"/>
        <v>3243.5</v>
      </c>
      <c r="P460" s="54" t="e">
        <f t="shared" si="43"/>
        <v>#VALUE!</v>
      </c>
      <c r="Q460" s="40">
        <f t="shared" si="44"/>
        <v>0.10587141625174384</v>
      </c>
      <c r="R460" s="37">
        <f t="shared" si="45"/>
        <v>199.87000000000262</v>
      </c>
      <c r="S460" s="41">
        <f t="shared" si="46"/>
        <v>6.5668189516812176E-3</v>
      </c>
      <c r="T460" s="37" t="e">
        <f>SUMIF('[1]JOBS MAR 15'!$E$8:$E$525,$E$16:$E$533,'[1]JOBS MAR 15'!$G$8:$G$525)</f>
        <v>#VALUE!</v>
      </c>
      <c r="U460" s="37" t="e">
        <f>SUMIF('[1]JOBS MAR 15'!$E$8:$E$525,$E$16:$E$533,'[1]JOBS MAR 15'!$H$8:$H$525)</f>
        <v>#VALUE!</v>
      </c>
      <c r="V460" s="37" t="e">
        <f>SUMIF('[1]JOBS MAR 15'!$E$8:$E$525,$E$16:$E$533,'[1]JOBS MAR 15'!$I$8:$I$525)</f>
        <v>#VALUE!</v>
      </c>
      <c r="W460" s="55" t="str">
        <f t="shared" si="47"/>
        <v xml:space="preserve"> </v>
      </c>
    </row>
    <row r="461" spans="1:23" x14ac:dyDescent="0.2">
      <c r="B461">
        <v>4131</v>
      </c>
      <c r="C461">
        <v>7</v>
      </c>
      <c r="D461" s="2" t="s">
        <v>971</v>
      </c>
      <c r="E461" s="50" t="s">
        <v>972</v>
      </c>
      <c r="F461" s="50">
        <v>2700245</v>
      </c>
      <c r="G461" s="50">
        <v>5</v>
      </c>
      <c r="H461" s="52" t="e">
        <f>SUMIF('[1]Build Detail'!$D$4:$D$521,$B$16:$B$533,'[1]Build Detail'!$H$4:$H$521)</f>
        <v>#VALUE!</v>
      </c>
      <c r="I461" s="52" t="e">
        <f>SUMIF('[1]Build Detail'!$D$4:$D$521,$B$16:$B$533,'[1]Build Detail'!$Q$4:$Q$521)</f>
        <v>#VALUE!</v>
      </c>
      <c r="J461" s="52" t="e">
        <f>SUMIF('[1]Build Detail'!$D$4:$D$521,$B$16:$B$533,'[1]Build Detail'!$T$4:$T$521)</f>
        <v>#VALUE!</v>
      </c>
      <c r="K461" s="53">
        <v>1919415.7999999998</v>
      </c>
      <c r="L461" s="37">
        <f t="shared" si="49"/>
        <v>54129.11</v>
      </c>
      <c r="M461" s="37">
        <v>53862.47</v>
      </c>
      <c r="N461" s="38">
        <v>48476.22</v>
      </c>
      <c r="O461" s="37">
        <f t="shared" si="50"/>
        <v>5652.8899999999994</v>
      </c>
      <c r="P461" s="54" t="e">
        <f t="shared" si="43"/>
        <v>#VALUE!</v>
      </c>
      <c r="Q461" s="40">
        <f t="shared" si="44"/>
        <v>0.10443345549187857</v>
      </c>
      <c r="R461" s="37">
        <f t="shared" si="45"/>
        <v>266.63999999999942</v>
      </c>
      <c r="S461" s="41">
        <f t="shared" si="46"/>
        <v>4.9503856767058657E-3</v>
      </c>
      <c r="T461" s="37" t="e">
        <f>SUMIF('[1]JOBS MAR 15'!$E$8:$E$525,$E$16:$E$533,'[1]JOBS MAR 15'!$G$8:$G$525)</f>
        <v>#VALUE!</v>
      </c>
      <c r="U461" s="37" t="e">
        <f>SUMIF('[1]JOBS MAR 15'!$E$8:$E$525,$E$16:$E$533,'[1]JOBS MAR 15'!$H$8:$H$525)</f>
        <v>#VALUE!</v>
      </c>
      <c r="V461" s="37" t="e">
        <f>SUMIF('[1]JOBS MAR 15'!$E$8:$E$525,$E$16:$E$533,'[1]JOBS MAR 15'!$I$8:$I$525)</f>
        <v>#VALUE!</v>
      </c>
      <c r="W461" s="55" t="str">
        <f t="shared" si="47"/>
        <v xml:space="preserve"> </v>
      </c>
    </row>
    <row r="462" spans="1:23" x14ac:dyDescent="0.2">
      <c r="B462">
        <v>4132</v>
      </c>
      <c r="C462">
        <v>7</v>
      </c>
      <c r="D462" s="2" t="s">
        <v>973</v>
      </c>
      <c r="E462" s="50" t="s">
        <v>974</v>
      </c>
      <c r="F462" s="50">
        <v>2700246</v>
      </c>
      <c r="G462" s="50">
        <v>4</v>
      </c>
      <c r="H462" s="52" t="e">
        <f>SUMIF('[1]Build Detail'!$D$4:$D$521,$B$16:$B$533,'[1]Build Detail'!$H$4:$H$521)</f>
        <v>#VALUE!</v>
      </c>
      <c r="I462" s="52" t="e">
        <f>SUMIF('[1]Build Detail'!$D$4:$D$521,$B$16:$B$533,'[1]Build Detail'!$Q$4:$Q$521)</f>
        <v>#VALUE!</v>
      </c>
      <c r="J462" s="52" t="e">
        <f>SUMIF('[1]Build Detail'!$D$4:$D$521,$B$16:$B$533,'[1]Build Detail'!$T$4:$T$521)</f>
        <v>#VALUE!</v>
      </c>
      <c r="K462" s="53">
        <v>948997.55999999994</v>
      </c>
      <c r="L462" s="37">
        <f t="shared" si="49"/>
        <v>26762.52</v>
      </c>
      <c r="M462" s="37">
        <v>26869.55</v>
      </c>
      <c r="N462" s="38">
        <v>24182.6</v>
      </c>
      <c r="O462" s="37">
        <f t="shared" si="50"/>
        <v>2579.9200000000019</v>
      </c>
      <c r="P462" s="54" t="e">
        <f t="shared" si="43"/>
        <v>#VALUE!</v>
      </c>
      <c r="Q462" s="40">
        <f t="shared" si="44"/>
        <v>9.6400488444287086E-2</v>
      </c>
      <c r="R462" s="37">
        <f t="shared" si="45"/>
        <v>-107.02999999999884</v>
      </c>
      <c r="S462" s="41">
        <f t="shared" si="46"/>
        <v>-3.9833194080287479E-3</v>
      </c>
      <c r="T462" s="37" t="e">
        <f>SUMIF('[1]JOBS MAR 15'!$E$8:$E$525,$E$16:$E$533,'[1]JOBS MAR 15'!$G$8:$G$525)</f>
        <v>#VALUE!</v>
      </c>
      <c r="U462" s="37" t="e">
        <f>SUMIF('[1]JOBS MAR 15'!$E$8:$E$525,$E$16:$E$533,'[1]JOBS MAR 15'!$H$8:$H$525)</f>
        <v>#VALUE!</v>
      </c>
      <c r="V462" s="37" t="e">
        <f>SUMIF('[1]JOBS MAR 15'!$E$8:$E$525,$E$16:$E$533,'[1]JOBS MAR 15'!$I$8:$I$525)</f>
        <v>#VALUE!</v>
      </c>
      <c r="W462" s="55" t="str">
        <f t="shared" si="47"/>
        <v xml:space="preserve"> </v>
      </c>
    </row>
    <row r="463" spans="1:23" x14ac:dyDescent="0.2">
      <c r="B463">
        <v>4133</v>
      </c>
      <c r="C463">
        <v>7</v>
      </c>
      <c r="D463" s="2" t="s">
        <v>975</v>
      </c>
      <c r="E463" s="50" t="s">
        <v>976</v>
      </c>
      <c r="F463" s="50">
        <v>2700279</v>
      </c>
      <c r="G463" s="50">
        <v>3</v>
      </c>
      <c r="H463" s="52" t="e">
        <f>SUMIF('[1]Build Detail'!$D$4:$D$521,$B$16:$B$533,'[1]Build Detail'!$H$4:$H$521)</f>
        <v>#VALUE!</v>
      </c>
      <c r="I463" s="52" t="e">
        <f>SUMIF('[1]Build Detail'!$D$4:$D$521,$B$16:$B$533,'[1]Build Detail'!$Q$4:$Q$521)</f>
        <v>#VALUE!</v>
      </c>
      <c r="J463" s="52" t="e">
        <f>SUMIF('[1]Build Detail'!$D$4:$D$521,$B$16:$B$533,'[1]Build Detail'!$T$4:$T$521)</f>
        <v>#VALUE!</v>
      </c>
      <c r="K463" s="53">
        <v>1109715.22</v>
      </c>
      <c r="L463" s="37">
        <f t="shared" si="49"/>
        <v>31294.89</v>
      </c>
      <c r="M463" s="37">
        <v>30988.48</v>
      </c>
      <c r="N463" s="38">
        <v>27889.63</v>
      </c>
      <c r="O463" s="37">
        <f t="shared" si="50"/>
        <v>3405.2599999999984</v>
      </c>
      <c r="P463" s="54" t="e">
        <f t="shared" si="43"/>
        <v>#VALUE!</v>
      </c>
      <c r="Q463" s="40">
        <f t="shared" si="44"/>
        <v>0.10881201371853355</v>
      </c>
      <c r="R463" s="37">
        <f t="shared" si="45"/>
        <v>306.40999999999985</v>
      </c>
      <c r="S463" s="41">
        <f t="shared" si="46"/>
        <v>9.8878680077241557E-3</v>
      </c>
      <c r="T463" s="37" t="e">
        <f>SUMIF('[1]JOBS MAR 15'!$E$8:$E$525,$E$16:$E$533,'[1]JOBS MAR 15'!$G$8:$G$525)</f>
        <v>#VALUE!</v>
      </c>
      <c r="U463" s="37" t="e">
        <f>SUMIF('[1]JOBS MAR 15'!$E$8:$E$525,$E$16:$E$533,'[1]JOBS MAR 15'!$H$8:$H$525)</f>
        <v>#VALUE!</v>
      </c>
      <c r="V463" s="37" t="e">
        <f>SUMIF('[1]JOBS MAR 15'!$E$8:$E$525,$E$16:$E$533,'[1]JOBS MAR 15'!$I$8:$I$525)</f>
        <v>#VALUE!</v>
      </c>
      <c r="W463" s="55" t="str">
        <f t="shared" si="47"/>
        <v xml:space="preserve"> </v>
      </c>
    </row>
    <row r="464" spans="1:23" x14ac:dyDescent="0.2">
      <c r="B464">
        <v>4135</v>
      </c>
      <c r="C464">
        <v>7</v>
      </c>
      <c r="D464" s="2" t="s">
        <v>977</v>
      </c>
      <c r="E464" s="50" t="s">
        <v>978</v>
      </c>
      <c r="F464" s="50">
        <v>2700247</v>
      </c>
      <c r="G464" s="50">
        <v>4</v>
      </c>
      <c r="H464" s="52" t="e">
        <f>SUMIF('[1]Build Detail'!$D$4:$D$521,$B$16:$B$533,'[1]Build Detail'!$H$4:$H$521)</f>
        <v>#VALUE!</v>
      </c>
      <c r="I464" s="52" t="e">
        <f>SUMIF('[1]Build Detail'!$D$4:$D$521,$B$16:$B$533,'[1]Build Detail'!$Q$4:$Q$521)</f>
        <v>#VALUE!</v>
      </c>
      <c r="J464" s="52" t="e">
        <f>SUMIF('[1]Build Detail'!$D$4:$D$521,$B$16:$B$533,'[1]Build Detail'!$T$4:$T$521)</f>
        <v>#VALUE!</v>
      </c>
      <c r="K464" s="53">
        <v>2046452.21</v>
      </c>
      <c r="L464" s="37">
        <f t="shared" si="49"/>
        <v>57711.64</v>
      </c>
      <c r="M464" s="37">
        <v>57370.28</v>
      </c>
      <c r="N464" s="38">
        <v>51633.25</v>
      </c>
      <c r="O464" s="37">
        <f t="shared" si="50"/>
        <v>6078.3899999999994</v>
      </c>
      <c r="P464" s="54" t="e">
        <f t="shared" ref="P464:P527" si="51">IF($H464&gt;0,ROUND(L464/$H464,2),"na")</f>
        <v>#VALUE!</v>
      </c>
      <c r="Q464" s="40">
        <f t="shared" ref="Q464:Q530" si="52">O464/L464</f>
        <v>0.10532346680842893</v>
      </c>
      <c r="R464" s="37">
        <f t="shared" ref="R464:R527" si="53">L464-M464</f>
        <v>341.36000000000058</v>
      </c>
      <c r="S464" s="41">
        <f t="shared" ref="S464:S527" si="54">R464/M464</f>
        <v>5.9501191209106975E-3</v>
      </c>
      <c r="T464" s="37" t="e">
        <f>SUMIF('[1]JOBS MAR 15'!$E$8:$E$525,$E$16:$E$533,'[1]JOBS MAR 15'!$G$8:$G$525)</f>
        <v>#VALUE!</v>
      </c>
      <c r="U464" s="37" t="e">
        <f>SUMIF('[1]JOBS MAR 15'!$E$8:$E$525,$E$16:$E$533,'[1]JOBS MAR 15'!$H$8:$H$525)</f>
        <v>#VALUE!</v>
      </c>
      <c r="V464" s="37" t="e">
        <f>SUMIF('[1]JOBS MAR 15'!$E$8:$E$525,$E$16:$E$533,'[1]JOBS MAR 15'!$I$8:$I$525)</f>
        <v>#VALUE!</v>
      </c>
      <c r="W464" s="55" t="str">
        <f t="shared" ref="W464:W527" si="55">IF(O464&lt;0,IF(V464-ABS(O464)&lt;0,V464-ABS(O464)," ")," ")</f>
        <v xml:space="preserve"> </v>
      </c>
    </row>
    <row r="465" spans="2:23" x14ac:dyDescent="0.2">
      <c r="B465">
        <v>4137</v>
      </c>
      <c r="C465">
        <v>7</v>
      </c>
      <c r="D465" s="2" t="s">
        <v>979</v>
      </c>
      <c r="E465" s="50" t="s">
        <v>980</v>
      </c>
      <c r="F465" s="50">
        <v>2700249</v>
      </c>
      <c r="G465" s="50">
        <v>6</v>
      </c>
      <c r="H465" s="52" t="e">
        <f>SUMIF('[1]Build Detail'!$D$4:$D$521,$B$16:$B$533,'[1]Build Detail'!$H$4:$H$521)</f>
        <v>#VALUE!</v>
      </c>
      <c r="I465" s="52" t="e">
        <f>SUMIF('[1]Build Detail'!$D$4:$D$521,$B$16:$B$533,'[1]Build Detail'!$Q$4:$Q$521)</f>
        <v>#VALUE!</v>
      </c>
      <c r="J465" s="52" t="e">
        <f>SUMIF('[1]Build Detail'!$D$4:$D$521,$B$16:$B$533,'[1]Build Detail'!$T$4:$T$521)</f>
        <v>#VALUE!</v>
      </c>
      <c r="K465" s="53">
        <v>937255.19000000006</v>
      </c>
      <c r="L465" s="37">
        <f t="shared" si="49"/>
        <v>26431.37</v>
      </c>
      <c r="M465" s="37">
        <v>26473.93</v>
      </c>
      <c r="N465" s="38">
        <v>23826.54</v>
      </c>
      <c r="O465" s="37">
        <f t="shared" si="50"/>
        <v>2604.8299999999981</v>
      </c>
      <c r="P465" s="54" t="e">
        <f t="shared" si="51"/>
        <v>#VALUE!</v>
      </c>
      <c r="Q465" s="40">
        <f t="shared" si="52"/>
        <v>9.855069941512673E-2</v>
      </c>
      <c r="R465" s="37">
        <f t="shared" si="53"/>
        <v>-42.56000000000131</v>
      </c>
      <c r="S465" s="41">
        <f t="shared" si="54"/>
        <v>-1.6076192692207507E-3</v>
      </c>
      <c r="T465" s="37" t="e">
        <f>SUMIF('[1]JOBS MAR 15'!$E$8:$E$525,$E$16:$E$533,'[1]JOBS MAR 15'!$G$8:$G$525)</f>
        <v>#VALUE!</v>
      </c>
      <c r="U465" s="37" t="e">
        <f>SUMIF('[1]JOBS MAR 15'!$E$8:$E$525,$E$16:$E$533,'[1]JOBS MAR 15'!$H$8:$H$525)</f>
        <v>#VALUE!</v>
      </c>
      <c r="V465" s="37" t="e">
        <f>SUMIF('[1]JOBS MAR 15'!$E$8:$E$525,$E$16:$E$533,'[1]JOBS MAR 15'!$I$8:$I$525)</f>
        <v>#VALUE!</v>
      </c>
      <c r="W465" s="55" t="str">
        <f t="shared" si="55"/>
        <v xml:space="preserve"> </v>
      </c>
    </row>
    <row r="466" spans="2:23" x14ac:dyDescent="0.2">
      <c r="B466">
        <v>4138</v>
      </c>
      <c r="C466">
        <v>7</v>
      </c>
      <c r="D466" s="2" t="s">
        <v>981</v>
      </c>
      <c r="E466" s="50" t="s">
        <v>982</v>
      </c>
      <c r="F466" s="50">
        <v>2700250</v>
      </c>
      <c r="G466" s="50">
        <v>7</v>
      </c>
      <c r="H466" s="52" t="e">
        <f>SUMIF('[1]Build Detail'!$D$4:$D$521,$B$16:$B$533,'[1]Build Detail'!$H$4:$H$521)</f>
        <v>#VALUE!</v>
      </c>
      <c r="I466" s="52" t="e">
        <f>SUMIF('[1]Build Detail'!$D$4:$D$521,$B$16:$B$533,'[1]Build Detail'!$Q$4:$Q$521)</f>
        <v>#VALUE!</v>
      </c>
      <c r="J466" s="52" t="e">
        <f>SUMIF('[1]Build Detail'!$D$4:$D$521,$B$16:$B$533,'[1]Build Detail'!$T$4:$T$521)</f>
        <v>#VALUE!</v>
      </c>
      <c r="K466" s="53">
        <v>335534.23</v>
      </c>
      <c r="L466" s="37">
        <f t="shared" si="49"/>
        <v>9462.34</v>
      </c>
      <c r="M466" s="37">
        <v>9485.32</v>
      </c>
      <c r="N466" s="38">
        <v>8536.7900000000009</v>
      </c>
      <c r="O466" s="37">
        <f t="shared" si="50"/>
        <v>925.54999999999927</v>
      </c>
      <c r="P466" s="54" t="e">
        <f t="shared" si="51"/>
        <v>#VALUE!</v>
      </c>
      <c r="Q466" s="40">
        <f t="shared" si="52"/>
        <v>9.7814071360783836E-2</v>
      </c>
      <c r="R466" s="37">
        <f t="shared" si="53"/>
        <v>-22.979999999999563</v>
      </c>
      <c r="S466" s="41">
        <f t="shared" si="54"/>
        <v>-2.4226910636646485E-3</v>
      </c>
      <c r="T466" s="37" t="e">
        <f>SUMIF('[1]JOBS MAR 15'!$E$8:$E$525,$E$16:$E$533,'[1]JOBS MAR 15'!$G$8:$G$525)</f>
        <v>#VALUE!</v>
      </c>
      <c r="U466" s="37" t="e">
        <f>SUMIF('[1]JOBS MAR 15'!$E$8:$E$525,$E$16:$E$533,'[1]JOBS MAR 15'!$H$8:$H$525)</f>
        <v>#VALUE!</v>
      </c>
      <c r="V466" s="37" t="e">
        <f>SUMIF('[1]JOBS MAR 15'!$E$8:$E$525,$E$16:$E$533,'[1]JOBS MAR 15'!$I$8:$I$525)</f>
        <v>#VALUE!</v>
      </c>
      <c r="W466" s="55" t="str">
        <f t="shared" si="55"/>
        <v xml:space="preserve"> </v>
      </c>
    </row>
    <row r="467" spans="2:23" x14ac:dyDescent="0.2">
      <c r="B467">
        <v>4139</v>
      </c>
      <c r="C467">
        <v>7</v>
      </c>
      <c r="D467" s="2" t="s">
        <v>983</v>
      </c>
      <c r="E467" s="50" t="s">
        <v>984</v>
      </c>
      <c r="F467" s="50">
        <v>2700273</v>
      </c>
      <c r="G467" s="50">
        <v>5</v>
      </c>
      <c r="H467" s="52" t="e">
        <f>SUMIF('[1]Build Detail'!$D$4:$D$521,$B$16:$B$533,'[1]Build Detail'!$H$4:$H$521)</f>
        <v>#VALUE!</v>
      </c>
      <c r="I467" s="52" t="e">
        <f>SUMIF('[1]Build Detail'!$D$4:$D$521,$B$16:$B$533,'[1]Build Detail'!$Q$4:$Q$521)</f>
        <v>#VALUE!</v>
      </c>
      <c r="J467" s="52" t="e">
        <f>SUMIF('[1]Build Detail'!$D$4:$D$521,$B$16:$B$533,'[1]Build Detail'!$T$4:$T$521)</f>
        <v>#VALUE!</v>
      </c>
      <c r="K467" s="53">
        <v>1967192.55</v>
      </c>
      <c r="L467" s="37">
        <f t="shared" si="49"/>
        <v>55476.46</v>
      </c>
      <c r="M467" s="37">
        <v>54770.18</v>
      </c>
      <c r="N467" s="38">
        <v>49293.16</v>
      </c>
      <c r="O467" s="37">
        <f t="shared" si="50"/>
        <v>6183.2999999999956</v>
      </c>
      <c r="P467" s="54" t="e">
        <f t="shared" si="51"/>
        <v>#VALUE!</v>
      </c>
      <c r="Q467" s="40">
        <f t="shared" si="52"/>
        <v>0.11145808510492551</v>
      </c>
      <c r="R467" s="37">
        <f t="shared" si="53"/>
        <v>706.27999999999884</v>
      </c>
      <c r="S467" s="41">
        <f t="shared" si="54"/>
        <v>1.2895338302704114E-2</v>
      </c>
      <c r="T467" s="37" t="e">
        <f>SUMIF('[1]JOBS MAR 15'!$E$8:$E$525,$E$16:$E$533,'[1]JOBS MAR 15'!$G$8:$G$525)</f>
        <v>#VALUE!</v>
      </c>
      <c r="U467" s="37" t="e">
        <f>SUMIF('[1]JOBS MAR 15'!$E$8:$E$525,$E$16:$E$533,'[1]JOBS MAR 15'!$H$8:$H$525)</f>
        <v>#VALUE!</v>
      </c>
      <c r="V467" s="37" t="e">
        <f>SUMIF('[1]JOBS MAR 15'!$E$8:$E$525,$E$16:$E$533,'[1]JOBS MAR 15'!$I$8:$I$525)</f>
        <v>#VALUE!</v>
      </c>
      <c r="W467" s="55" t="str">
        <f t="shared" si="55"/>
        <v xml:space="preserve"> </v>
      </c>
    </row>
    <row r="468" spans="2:23" x14ac:dyDescent="0.2">
      <c r="B468">
        <v>4140</v>
      </c>
      <c r="C468">
        <v>7</v>
      </c>
      <c r="D468" s="2" t="s">
        <v>985</v>
      </c>
      <c r="E468" s="50" t="s">
        <v>986</v>
      </c>
      <c r="F468" s="50">
        <v>2700281</v>
      </c>
      <c r="G468" s="50">
        <v>5</v>
      </c>
      <c r="H468" s="52" t="e">
        <f>SUMIF('[1]Build Detail'!$D$4:$D$521,$B$16:$B$533,'[1]Build Detail'!$H$4:$H$521)</f>
        <v>#VALUE!</v>
      </c>
      <c r="I468" s="52" t="e">
        <f>SUMIF('[1]Build Detail'!$D$4:$D$521,$B$16:$B$533,'[1]Build Detail'!$Q$4:$Q$521)</f>
        <v>#VALUE!</v>
      </c>
      <c r="J468" s="52" t="e">
        <f>SUMIF('[1]Build Detail'!$D$4:$D$521,$B$16:$B$533,'[1]Build Detail'!$T$4:$T$521)</f>
        <v>#VALUE!</v>
      </c>
      <c r="K468" s="53">
        <v>2270644.6799999997</v>
      </c>
      <c r="L468" s="37">
        <f t="shared" ref="L468:L499" si="56">ROUND(K468*$K$548,2)</f>
        <v>64034.06</v>
      </c>
      <c r="M468" s="37">
        <v>64074.27</v>
      </c>
      <c r="N468" s="38">
        <v>57666.84</v>
      </c>
      <c r="O468" s="37">
        <f t="shared" ref="O468:O499" si="57">L468-N468</f>
        <v>6367.2200000000012</v>
      </c>
      <c r="P468" s="54" t="e">
        <f t="shared" si="51"/>
        <v>#VALUE!</v>
      </c>
      <c r="Q468" s="40">
        <f t="shared" si="52"/>
        <v>9.9434894492087519E-2</v>
      </c>
      <c r="R468" s="37">
        <f t="shared" si="53"/>
        <v>-40.209999999999127</v>
      </c>
      <c r="S468" s="41">
        <f t="shared" si="54"/>
        <v>-6.2755299436106145E-4</v>
      </c>
      <c r="T468" s="37" t="e">
        <f>SUMIF('[1]JOBS MAR 15'!$E$8:$E$525,$E$16:$E$533,'[1]JOBS MAR 15'!$G$8:$G$525)</f>
        <v>#VALUE!</v>
      </c>
      <c r="U468" s="37" t="e">
        <f>SUMIF('[1]JOBS MAR 15'!$E$8:$E$525,$E$16:$E$533,'[1]JOBS MAR 15'!$H$8:$H$525)</f>
        <v>#VALUE!</v>
      </c>
      <c r="V468" s="37" t="e">
        <f>SUMIF('[1]JOBS MAR 15'!$E$8:$E$525,$E$16:$E$533,'[1]JOBS MAR 15'!$I$8:$I$525)</f>
        <v>#VALUE!</v>
      </c>
      <c r="W468" s="55" t="str">
        <f t="shared" si="55"/>
        <v xml:space="preserve"> </v>
      </c>
    </row>
    <row r="469" spans="2:23" x14ac:dyDescent="0.2">
      <c r="B469">
        <v>4141</v>
      </c>
      <c r="C469">
        <v>7</v>
      </c>
      <c r="D469" s="2" t="s">
        <v>987</v>
      </c>
      <c r="E469" s="50" t="s">
        <v>988</v>
      </c>
      <c r="F469" s="50">
        <v>2700251</v>
      </c>
      <c r="G469" s="50">
        <v>2</v>
      </c>
      <c r="H469" s="52" t="e">
        <f>SUMIF('[1]Build Detail'!$D$4:$D$521,$B$16:$B$533,'[1]Build Detail'!$H$4:$H$521)</f>
        <v>#VALUE!</v>
      </c>
      <c r="I469" s="52" t="e">
        <f>SUMIF('[1]Build Detail'!$D$4:$D$521,$B$16:$B$533,'[1]Build Detail'!$Q$4:$Q$521)</f>
        <v>#VALUE!</v>
      </c>
      <c r="J469" s="52" t="e">
        <f>SUMIF('[1]Build Detail'!$D$4:$D$521,$B$16:$B$533,'[1]Build Detail'!$T$4:$T$521)</f>
        <v>#VALUE!</v>
      </c>
      <c r="K469" s="53">
        <v>3200160.4899999998</v>
      </c>
      <c r="L469" s="37">
        <f t="shared" si="56"/>
        <v>90247.17</v>
      </c>
      <c r="M469" s="37">
        <v>90609.81</v>
      </c>
      <c r="N469" s="38">
        <v>81548.83</v>
      </c>
      <c r="O469" s="37">
        <f t="shared" si="57"/>
        <v>8698.3399999999965</v>
      </c>
      <c r="P469" s="54" t="e">
        <f t="shared" si="51"/>
        <v>#VALUE!</v>
      </c>
      <c r="Q469" s="40">
        <f t="shared" si="52"/>
        <v>9.6383520945864526E-2</v>
      </c>
      <c r="R469" s="37">
        <f t="shared" si="53"/>
        <v>-362.63999999999942</v>
      </c>
      <c r="S469" s="41">
        <f t="shared" si="54"/>
        <v>-4.0022156541328078E-3</v>
      </c>
      <c r="T469" s="37" t="e">
        <f>SUMIF('[1]JOBS MAR 15'!$E$8:$E$525,$E$16:$E$533,'[1]JOBS MAR 15'!$G$8:$G$525)</f>
        <v>#VALUE!</v>
      </c>
      <c r="U469" s="37" t="e">
        <f>SUMIF('[1]JOBS MAR 15'!$E$8:$E$525,$E$16:$E$533,'[1]JOBS MAR 15'!$H$8:$H$525)</f>
        <v>#VALUE!</v>
      </c>
      <c r="V469" s="37" t="e">
        <f>SUMIF('[1]JOBS MAR 15'!$E$8:$E$525,$E$16:$E$533,'[1]JOBS MAR 15'!$I$8:$I$525)</f>
        <v>#VALUE!</v>
      </c>
      <c r="W469" s="55" t="str">
        <f t="shared" si="55"/>
        <v xml:space="preserve"> </v>
      </c>
    </row>
    <row r="470" spans="2:23" x14ac:dyDescent="0.2">
      <c r="B470">
        <v>4142</v>
      </c>
      <c r="C470">
        <v>7</v>
      </c>
      <c r="D470" s="2" t="s">
        <v>989</v>
      </c>
      <c r="E470" s="50" t="s">
        <v>990</v>
      </c>
      <c r="F470" s="50">
        <v>2700252</v>
      </c>
      <c r="G470" s="50">
        <v>6</v>
      </c>
      <c r="H470" s="52" t="e">
        <f>SUMIF('[1]Build Detail'!$D$4:$D$521,$B$16:$B$533,'[1]Build Detail'!$H$4:$H$521)</f>
        <v>#VALUE!</v>
      </c>
      <c r="I470" s="52" t="e">
        <f>SUMIF('[1]Build Detail'!$D$4:$D$521,$B$16:$B$533,'[1]Build Detail'!$Q$4:$Q$521)</f>
        <v>#VALUE!</v>
      </c>
      <c r="J470" s="52" t="e">
        <f>SUMIF('[1]Build Detail'!$D$4:$D$521,$B$16:$B$533,'[1]Build Detail'!$T$4:$T$521)</f>
        <v>#VALUE!</v>
      </c>
      <c r="K470" s="53">
        <v>2539977.1500000004</v>
      </c>
      <c r="L470" s="37">
        <f t="shared" si="56"/>
        <v>71629.460000000006</v>
      </c>
      <c r="M470" s="37">
        <v>70809.429999999993</v>
      </c>
      <c r="N470" s="38">
        <v>63728.49</v>
      </c>
      <c r="O470" s="37">
        <f t="shared" si="57"/>
        <v>7900.9700000000084</v>
      </c>
      <c r="P470" s="54" t="e">
        <f t="shared" si="51"/>
        <v>#VALUE!</v>
      </c>
      <c r="Q470" s="40">
        <f t="shared" si="52"/>
        <v>0.11030335842263794</v>
      </c>
      <c r="R470" s="37">
        <f t="shared" si="53"/>
        <v>820.03000000001339</v>
      </c>
      <c r="S470" s="41">
        <f t="shared" si="54"/>
        <v>1.1580802161520203E-2</v>
      </c>
      <c r="T470" s="37" t="e">
        <f>SUMIF('[1]JOBS MAR 15'!$E$8:$E$525,$E$16:$E$533,'[1]JOBS MAR 15'!$G$8:$G$525)</f>
        <v>#VALUE!</v>
      </c>
      <c r="U470" s="37" t="e">
        <f>SUMIF('[1]JOBS MAR 15'!$E$8:$E$525,$E$16:$E$533,'[1]JOBS MAR 15'!$H$8:$H$525)</f>
        <v>#VALUE!</v>
      </c>
      <c r="V470" s="37" t="e">
        <f>SUMIF('[1]JOBS MAR 15'!$E$8:$E$525,$E$16:$E$533,'[1]JOBS MAR 15'!$I$8:$I$525)</f>
        <v>#VALUE!</v>
      </c>
      <c r="W470" s="55" t="str">
        <f t="shared" si="55"/>
        <v xml:space="preserve"> </v>
      </c>
    </row>
    <row r="471" spans="2:23" x14ac:dyDescent="0.2">
      <c r="B471">
        <v>4143</v>
      </c>
      <c r="C471">
        <v>7</v>
      </c>
      <c r="D471" s="2" t="s">
        <v>991</v>
      </c>
      <c r="E471" s="50" t="s">
        <v>992</v>
      </c>
      <c r="F471" s="50">
        <v>2700253</v>
      </c>
      <c r="G471" s="50">
        <v>5</v>
      </c>
      <c r="H471" s="52" t="e">
        <f>SUMIF('[1]Build Detail'!$D$4:$D$521,$B$16:$B$533,'[1]Build Detail'!$H$4:$H$521)</f>
        <v>#VALUE!</v>
      </c>
      <c r="I471" s="52" t="e">
        <f>SUMIF('[1]Build Detail'!$D$4:$D$521,$B$16:$B$533,'[1]Build Detail'!$Q$4:$Q$521)</f>
        <v>#VALUE!</v>
      </c>
      <c r="J471" s="52" t="e">
        <f>SUMIF('[1]Build Detail'!$D$4:$D$521,$B$16:$B$533,'[1]Build Detail'!$T$4:$T$521)</f>
        <v>#VALUE!</v>
      </c>
      <c r="K471" s="53">
        <v>3824617.25</v>
      </c>
      <c r="L471" s="37">
        <f t="shared" si="56"/>
        <v>107857.37</v>
      </c>
      <c r="M471" s="37">
        <v>107047.49</v>
      </c>
      <c r="N471" s="38">
        <v>96342.74</v>
      </c>
      <c r="O471" s="37">
        <f t="shared" si="57"/>
        <v>11514.62999999999</v>
      </c>
      <c r="P471" s="54" t="e">
        <f t="shared" si="51"/>
        <v>#VALUE!</v>
      </c>
      <c r="Q471" s="40">
        <f t="shared" si="52"/>
        <v>0.10675793411243006</v>
      </c>
      <c r="R471" s="37">
        <f t="shared" si="53"/>
        <v>809.8799999999901</v>
      </c>
      <c r="S471" s="41">
        <f t="shared" si="54"/>
        <v>7.5656141026752711E-3</v>
      </c>
      <c r="T471" s="37" t="e">
        <f>SUMIF('[1]JOBS MAR 15'!$E$8:$E$525,$E$16:$E$533,'[1]JOBS MAR 15'!$G$8:$G$525)</f>
        <v>#VALUE!</v>
      </c>
      <c r="U471" s="37" t="e">
        <f>SUMIF('[1]JOBS MAR 15'!$E$8:$E$525,$E$16:$E$533,'[1]JOBS MAR 15'!$H$8:$H$525)</f>
        <v>#VALUE!</v>
      </c>
      <c r="V471" s="37" t="e">
        <f>SUMIF('[1]JOBS MAR 15'!$E$8:$E$525,$E$16:$E$533,'[1]JOBS MAR 15'!$I$8:$I$525)</f>
        <v>#VALUE!</v>
      </c>
      <c r="W471" s="55" t="str">
        <f t="shared" si="55"/>
        <v xml:space="preserve"> </v>
      </c>
    </row>
    <row r="472" spans="2:23" x14ac:dyDescent="0.2">
      <c r="B472">
        <v>4144</v>
      </c>
      <c r="C472">
        <v>7</v>
      </c>
      <c r="D472" s="2" t="s">
        <v>993</v>
      </c>
      <c r="E472" s="50" t="s">
        <v>994</v>
      </c>
      <c r="F472" s="50">
        <v>2700254</v>
      </c>
      <c r="G472" s="50">
        <v>7</v>
      </c>
      <c r="H472" s="52" t="e">
        <f>SUMIF('[1]Build Detail'!$D$4:$D$521,$B$16:$B$533,'[1]Build Detail'!$H$4:$H$521)</f>
        <v>#VALUE!</v>
      </c>
      <c r="I472" s="52" t="e">
        <f>SUMIF('[1]Build Detail'!$D$4:$D$521,$B$16:$B$533,'[1]Build Detail'!$Q$4:$Q$521)</f>
        <v>#VALUE!</v>
      </c>
      <c r="J472" s="52" t="e">
        <f>SUMIF('[1]Build Detail'!$D$4:$D$521,$B$16:$B$533,'[1]Build Detail'!$T$4:$T$521)</f>
        <v>#VALUE!</v>
      </c>
      <c r="K472" s="53">
        <v>533963.36</v>
      </c>
      <c r="L472" s="37">
        <f t="shared" si="56"/>
        <v>15058.21</v>
      </c>
      <c r="M472" s="37">
        <v>15183.79</v>
      </c>
      <c r="N472" s="38">
        <v>13665.41</v>
      </c>
      <c r="O472" s="37">
        <f t="shared" si="57"/>
        <v>1392.7999999999993</v>
      </c>
      <c r="P472" s="54" t="e">
        <f t="shared" si="51"/>
        <v>#VALUE!</v>
      </c>
      <c r="Q472" s="40">
        <f t="shared" si="52"/>
        <v>9.2494393423919533E-2</v>
      </c>
      <c r="R472" s="37">
        <f t="shared" si="53"/>
        <v>-125.58000000000175</v>
      </c>
      <c r="S472" s="41">
        <f t="shared" si="54"/>
        <v>-8.270662331341631E-3</v>
      </c>
      <c r="T472" s="37" t="e">
        <f>SUMIF('[1]JOBS MAR 15'!$E$8:$E$525,$E$16:$E$533,'[1]JOBS MAR 15'!$G$8:$G$525)</f>
        <v>#VALUE!</v>
      </c>
      <c r="U472" s="37" t="e">
        <f>SUMIF('[1]JOBS MAR 15'!$E$8:$E$525,$E$16:$E$533,'[1]JOBS MAR 15'!$H$8:$H$525)</f>
        <v>#VALUE!</v>
      </c>
      <c r="V472" s="37" t="e">
        <f>SUMIF('[1]JOBS MAR 15'!$E$8:$E$525,$E$16:$E$533,'[1]JOBS MAR 15'!$I$8:$I$525)</f>
        <v>#VALUE!</v>
      </c>
      <c r="W472" s="55" t="str">
        <f t="shared" si="55"/>
        <v xml:space="preserve"> </v>
      </c>
    </row>
    <row r="473" spans="2:23" x14ac:dyDescent="0.2">
      <c r="B473">
        <v>4145</v>
      </c>
      <c r="C473">
        <v>7</v>
      </c>
      <c r="D473" s="2" t="s">
        <v>995</v>
      </c>
      <c r="E473" s="50" t="s">
        <v>996</v>
      </c>
      <c r="F473" s="50">
        <v>2700255</v>
      </c>
      <c r="G473" s="50">
        <v>8</v>
      </c>
      <c r="H473" s="52" t="e">
        <f>SUMIF('[1]Build Detail'!$D$4:$D$521,$B$16:$B$533,'[1]Build Detail'!$H$4:$H$521)</f>
        <v>#VALUE!</v>
      </c>
      <c r="I473" s="52" t="e">
        <f>SUMIF('[1]Build Detail'!$D$4:$D$521,$B$16:$B$533,'[1]Build Detail'!$Q$4:$Q$521)</f>
        <v>#VALUE!</v>
      </c>
      <c r="J473" s="52" t="e">
        <f>SUMIF('[1]Build Detail'!$D$4:$D$521,$B$16:$B$533,'[1]Build Detail'!$T$4:$T$521)</f>
        <v>#VALUE!</v>
      </c>
      <c r="K473" s="53">
        <v>287976.52</v>
      </c>
      <c r="L473" s="37">
        <f t="shared" si="56"/>
        <v>8121.18</v>
      </c>
      <c r="M473" s="37">
        <v>8189.5</v>
      </c>
      <c r="N473" s="38">
        <v>7370.55</v>
      </c>
      <c r="O473" s="37">
        <f t="shared" si="57"/>
        <v>750.63000000000011</v>
      </c>
      <c r="P473" s="54" t="e">
        <f t="shared" si="51"/>
        <v>#VALUE!</v>
      </c>
      <c r="Q473" s="40">
        <f t="shared" si="52"/>
        <v>9.2428686471670379E-2</v>
      </c>
      <c r="R473" s="37">
        <f t="shared" si="53"/>
        <v>-68.319999999999709</v>
      </c>
      <c r="S473" s="41">
        <f t="shared" si="54"/>
        <v>-8.3423896452774534E-3</v>
      </c>
      <c r="T473" s="37" t="e">
        <f>SUMIF('[1]JOBS MAR 15'!$E$8:$E$525,$E$16:$E$533,'[1]JOBS MAR 15'!$G$8:$G$525)</f>
        <v>#VALUE!</v>
      </c>
      <c r="U473" s="37" t="e">
        <f>SUMIF('[1]JOBS MAR 15'!$E$8:$E$525,$E$16:$E$533,'[1]JOBS MAR 15'!$H$8:$H$525)</f>
        <v>#VALUE!</v>
      </c>
      <c r="V473" s="37" t="e">
        <f>SUMIF('[1]JOBS MAR 15'!$E$8:$E$525,$E$16:$E$533,'[1]JOBS MAR 15'!$I$8:$I$525)</f>
        <v>#VALUE!</v>
      </c>
      <c r="W473" s="55" t="str">
        <f t="shared" si="55"/>
        <v xml:space="preserve"> </v>
      </c>
    </row>
    <row r="474" spans="2:23" x14ac:dyDescent="0.2">
      <c r="B474">
        <v>4146</v>
      </c>
      <c r="C474">
        <v>7</v>
      </c>
      <c r="D474" s="2" t="s">
        <v>997</v>
      </c>
      <c r="E474" s="50" t="s">
        <v>998</v>
      </c>
      <c r="F474" s="50">
        <v>2700256</v>
      </c>
      <c r="G474" s="50">
        <v>8</v>
      </c>
      <c r="H474" s="52" t="e">
        <f>SUMIF('[1]Build Detail'!$D$4:$D$521,$B$16:$B$533,'[1]Build Detail'!$H$4:$H$521)</f>
        <v>#VALUE!</v>
      </c>
      <c r="I474" s="52" t="e">
        <f>SUMIF('[1]Build Detail'!$D$4:$D$521,$B$16:$B$533,'[1]Build Detail'!$Q$4:$Q$521)</f>
        <v>#VALUE!</v>
      </c>
      <c r="J474" s="52" t="e">
        <f>SUMIF('[1]Build Detail'!$D$4:$D$521,$B$16:$B$533,'[1]Build Detail'!$T$4:$T$521)</f>
        <v>#VALUE!</v>
      </c>
      <c r="K474" s="53">
        <v>1175845.1599999999</v>
      </c>
      <c r="L474" s="37">
        <f t="shared" si="56"/>
        <v>33159.81</v>
      </c>
      <c r="M474" s="37">
        <v>34775.870000000003</v>
      </c>
      <c r="N474" s="38">
        <v>31298.28</v>
      </c>
      <c r="O474" s="37">
        <f t="shared" si="57"/>
        <v>1861.5299999999988</v>
      </c>
      <c r="P474" s="54" t="e">
        <f t="shared" si="51"/>
        <v>#VALUE!</v>
      </c>
      <c r="Q474" s="40">
        <f t="shared" si="52"/>
        <v>5.6138138306582548E-2</v>
      </c>
      <c r="R474" s="37">
        <f t="shared" si="53"/>
        <v>-1616.0600000000049</v>
      </c>
      <c r="S474" s="41">
        <f t="shared" si="54"/>
        <v>-4.6470728122689806E-2</v>
      </c>
      <c r="T474" s="37" t="e">
        <f>SUMIF('[1]JOBS MAR 15'!$E$8:$E$525,$E$16:$E$533,'[1]JOBS MAR 15'!$G$8:$G$525)</f>
        <v>#VALUE!</v>
      </c>
      <c r="U474" s="37" t="e">
        <f>SUMIF('[1]JOBS MAR 15'!$E$8:$E$525,$E$16:$E$533,'[1]JOBS MAR 15'!$H$8:$H$525)</f>
        <v>#VALUE!</v>
      </c>
      <c r="V474" s="37" t="e">
        <f>SUMIF('[1]JOBS MAR 15'!$E$8:$E$525,$E$16:$E$533,'[1]JOBS MAR 15'!$I$8:$I$525)</f>
        <v>#VALUE!</v>
      </c>
      <c r="W474" s="55" t="str">
        <f t="shared" si="55"/>
        <v xml:space="preserve"> </v>
      </c>
    </row>
    <row r="475" spans="2:23" x14ac:dyDescent="0.2">
      <c r="B475">
        <v>4150</v>
      </c>
      <c r="C475">
        <v>7</v>
      </c>
      <c r="D475" s="2" t="s">
        <v>999</v>
      </c>
      <c r="E475" s="50" t="s">
        <v>1000</v>
      </c>
      <c r="F475" s="50">
        <v>2700260</v>
      </c>
      <c r="G475" s="50">
        <v>5</v>
      </c>
      <c r="H475" s="52" t="e">
        <f>SUMIF('[1]Build Detail'!$D$4:$D$521,$B$16:$B$533,'[1]Build Detail'!$H$4:$H$521)</f>
        <v>#VALUE!</v>
      </c>
      <c r="I475" s="52" t="e">
        <f>SUMIF('[1]Build Detail'!$D$4:$D$521,$B$16:$B$533,'[1]Build Detail'!$Q$4:$Q$521)</f>
        <v>#VALUE!</v>
      </c>
      <c r="J475" s="52" t="e">
        <f>SUMIF('[1]Build Detail'!$D$4:$D$521,$B$16:$B$533,'[1]Build Detail'!$T$4:$T$521)</f>
        <v>#VALUE!</v>
      </c>
      <c r="K475" s="53">
        <v>1045683.83</v>
      </c>
      <c r="L475" s="37">
        <f t="shared" si="56"/>
        <v>29489.15</v>
      </c>
      <c r="M475" s="37">
        <v>31587.08</v>
      </c>
      <c r="N475" s="38">
        <v>28428.37</v>
      </c>
      <c r="O475" s="37">
        <f t="shared" si="57"/>
        <v>1060.7800000000025</v>
      </c>
      <c r="P475" s="54" t="e">
        <f t="shared" si="51"/>
        <v>#VALUE!</v>
      </c>
      <c r="Q475" s="40">
        <f t="shared" si="52"/>
        <v>3.597187440126292E-2</v>
      </c>
      <c r="R475" s="37">
        <f t="shared" si="53"/>
        <v>-2097.9300000000003</v>
      </c>
      <c r="S475" s="41">
        <f t="shared" si="54"/>
        <v>-6.6417345319668683E-2</v>
      </c>
      <c r="T475" s="37" t="e">
        <f>SUMIF('[1]JOBS MAR 15'!$E$8:$E$525,$E$16:$E$533,'[1]JOBS MAR 15'!$G$8:$G$525)</f>
        <v>#VALUE!</v>
      </c>
      <c r="U475" s="37" t="e">
        <f>SUMIF('[1]JOBS MAR 15'!$E$8:$E$525,$E$16:$E$533,'[1]JOBS MAR 15'!$H$8:$H$525)</f>
        <v>#VALUE!</v>
      </c>
      <c r="V475" s="37" t="e">
        <f>SUMIF('[1]JOBS MAR 15'!$E$8:$E$525,$E$16:$E$533,'[1]JOBS MAR 15'!$I$8:$I$525)</f>
        <v>#VALUE!</v>
      </c>
      <c r="W475" s="55" t="str">
        <f t="shared" si="55"/>
        <v xml:space="preserve"> </v>
      </c>
    </row>
    <row r="476" spans="2:23" x14ac:dyDescent="0.2">
      <c r="B476">
        <v>4151</v>
      </c>
      <c r="C476">
        <v>7</v>
      </c>
      <c r="D476" s="2" t="s">
        <v>1001</v>
      </c>
      <c r="E476" s="50" t="s">
        <v>1002</v>
      </c>
      <c r="F476" s="50">
        <v>2700261</v>
      </c>
      <c r="G476" s="50">
        <v>7</v>
      </c>
      <c r="H476" s="52" t="e">
        <f>SUMIF('[1]Build Detail'!$D$4:$D$521,$B$16:$B$533,'[1]Build Detail'!$H$4:$H$521)</f>
        <v>#VALUE!</v>
      </c>
      <c r="I476" s="52" t="e">
        <f>SUMIF('[1]Build Detail'!$D$4:$D$521,$B$16:$B$533,'[1]Build Detail'!$Q$4:$Q$521)</f>
        <v>#VALUE!</v>
      </c>
      <c r="J476" s="52" t="e">
        <f>SUMIF('[1]Build Detail'!$D$4:$D$521,$B$16:$B$533,'[1]Build Detail'!$T$4:$T$521)</f>
        <v>#VALUE!</v>
      </c>
      <c r="K476" s="53">
        <v>725490.77999999991</v>
      </c>
      <c r="L476" s="37">
        <f t="shared" si="56"/>
        <v>20459.439999999999</v>
      </c>
      <c r="M476" s="37">
        <v>20687.28</v>
      </c>
      <c r="N476" s="38">
        <v>18618.55</v>
      </c>
      <c r="O476" s="37">
        <f t="shared" si="57"/>
        <v>1840.8899999999994</v>
      </c>
      <c r="P476" s="54" t="e">
        <f t="shared" si="51"/>
        <v>#VALUE!</v>
      </c>
      <c r="Q476" s="40">
        <f t="shared" si="52"/>
        <v>8.9977536042042186E-2</v>
      </c>
      <c r="R476" s="37">
        <f t="shared" si="53"/>
        <v>-227.84000000000015</v>
      </c>
      <c r="S476" s="41">
        <f t="shared" si="54"/>
        <v>-1.1013531020027773E-2</v>
      </c>
      <c r="T476" s="37" t="e">
        <f>SUMIF('[1]JOBS MAR 15'!$E$8:$E$525,$E$16:$E$533,'[1]JOBS MAR 15'!$G$8:$G$525)</f>
        <v>#VALUE!</v>
      </c>
      <c r="U476" s="37" t="e">
        <f>SUMIF('[1]JOBS MAR 15'!$E$8:$E$525,$E$16:$E$533,'[1]JOBS MAR 15'!$H$8:$H$525)</f>
        <v>#VALUE!</v>
      </c>
      <c r="V476" s="37" t="e">
        <f>SUMIF('[1]JOBS MAR 15'!$E$8:$E$525,$E$16:$E$533,'[1]JOBS MAR 15'!$I$8:$I$525)</f>
        <v>#VALUE!</v>
      </c>
      <c r="W476" s="55" t="str">
        <f t="shared" si="55"/>
        <v xml:space="preserve"> </v>
      </c>
    </row>
    <row r="477" spans="2:23" x14ac:dyDescent="0.2">
      <c r="B477">
        <v>4152</v>
      </c>
      <c r="C477">
        <v>7</v>
      </c>
      <c r="D477" s="2" t="s">
        <v>1003</v>
      </c>
      <c r="E477" s="50" t="s">
        <v>1004</v>
      </c>
      <c r="F477" s="50">
        <v>2700262</v>
      </c>
      <c r="G477" s="50">
        <v>4</v>
      </c>
      <c r="H477" s="52" t="e">
        <f>SUMIF('[1]Build Detail'!$D$4:$D$521,$B$16:$B$533,'[1]Build Detail'!$H$4:$H$521)</f>
        <v>#VALUE!</v>
      </c>
      <c r="I477" s="52" t="e">
        <f>SUMIF('[1]Build Detail'!$D$4:$D$521,$B$16:$B$533,'[1]Build Detail'!$Q$4:$Q$521)</f>
        <v>#VALUE!</v>
      </c>
      <c r="J477" s="52" t="e">
        <f>SUMIF('[1]Build Detail'!$D$4:$D$521,$B$16:$B$533,'[1]Build Detail'!$T$4:$T$521)</f>
        <v>#VALUE!</v>
      </c>
      <c r="K477" s="53">
        <v>1567761.53</v>
      </c>
      <c r="L477" s="37">
        <f t="shared" si="56"/>
        <v>44212.17</v>
      </c>
      <c r="M477" s="37">
        <v>44191.13</v>
      </c>
      <c r="N477" s="38">
        <v>39772.019999999997</v>
      </c>
      <c r="O477" s="37">
        <f t="shared" si="57"/>
        <v>4440.1500000000015</v>
      </c>
      <c r="P477" s="54" t="e">
        <f t="shared" si="51"/>
        <v>#VALUE!</v>
      </c>
      <c r="Q477" s="40">
        <f t="shared" si="52"/>
        <v>0.10042823050757295</v>
      </c>
      <c r="R477" s="37">
        <f t="shared" si="53"/>
        <v>21.040000000000873</v>
      </c>
      <c r="S477" s="41">
        <f t="shared" si="54"/>
        <v>4.7611364543067523E-4</v>
      </c>
      <c r="T477" s="37" t="e">
        <f>SUMIF('[1]JOBS MAR 15'!$E$8:$E$525,$E$16:$E$533,'[1]JOBS MAR 15'!$G$8:$G$525)</f>
        <v>#VALUE!</v>
      </c>
      <c r="U477" s="37" t="e">
        <f>SUMIF('[1]JOBS MAR 15'!$E$8:$E$525,$E$16:$E$533,'[1]JOBS MAR 15'!$H$8:$H$525)</f>
        <v>#VALUE!</v>
      </c>
      <c r="V477" s="37" t="e">
        <f>SUMIF('[1]JOBS MAR 15'!$E$8:$E$525,$E$16:$E$533,'[1]JOBS MAR 15'!$I$8:$I$525)</f>
        <v>#VALUE!</v>
      </c>
      <c r="W477" s="55" t="str">
        <f t="shared" si="55"/>
        <v xml:space="preserve"> </v>
      </c>
    </row>
    <row r="478" spans="2:23" x14ac:dyDescent="0.2">
      <c r="B478">
        <v>4153</v>
      </c>
      <c r="C478">
        <v>7</v>
      </c>
      <c r="D478" s="2" t="s">
        <v>1005</v>
      </c>
      <c r="E478" s="50" t="s">
        <v>1006</v>
      </c>
      <c r="F478" s="50">
        <v>2700263</v>
      </c>
      <c r="G478" s="50">
        <v>4</v>
      </c>
      <c r="H478" s="52" t="e">
        <f>SUMIF('[1]Build Detail'!$D$4:$D$521,$B$16:$B$533,'[1]Build Detail'!$H$4:$H$521)</f>
        <v>#VALUE!</v>
      </c>
      <c r="I478" s="52" t="e">
        <f>SUMIF('[1]Build Detail'!$D$4:$D$521,$B$16:$B$533,'[1]Build Detail'!$Q$4:$Q$521)</f>
        <v>#VALUE!</v>
      </c>
      <c r="J478" s="52" t="e">
        <f>SUMIF('[1]Build Detail'!$D$4:$D$521,$B$16:$B$533,'[1]Build Detail'!$T$4:$T$521)</f>
        <v>#VALUE!</v>
      </c>
      <c r="K478" s="53">
        <v>2581511.44</v>
      </c>
      <c r="L478" s="37">
        <f t="shared" si="56"/>
        <v>72800.759999999995</v>
      </c>
      <c r="M478" s="37">
        <v>72342.399999999994</v>
      </c>
      <c r="N478" s="38">
        <v>65108.160000000003</v>
      </c>
      <c r="O478" s="37">
        <f t="shared" si="57"/>
        <v>7692.5999999999913</v>
      </c>
      <c r="P478" s="54" t="e">
        <f t="shared" si="51"/>
        <v>#VALUE!</v>
      </c>
      <c r="Q478" s="40">
        <f t="shared" si="52"/>
        <v>0.10566647930598516</v>
      </c>
      <c r="R478" s="37">
        <f t="shared" si="53"/>
        <v>458.36000000000058</v>
      </c>
      <c r="S478" s="41">
        <f t="shared" si="54"/>
        <v>6.3359800061927804E-3</v>
      </c>
      <c r="T478" s="37" t="e">
        <f>SUMIF('[1]JOBS MAR 15'!$E$8:$E$525,$E$16:$E$533,'[1]JOBS MAR 15'!$G$8:$G$525)</f>
        <v>#VALUE!</v>
      </c>
      <c r="U478" s="37" t="e">
        <f>SUMIF('[1]JOBS MAR 15'!$E$8:$E$525,$E$16:$E$533,'[1]JOBS MAR 15'!$H$8:$H$525)</f>
        <v>#VALUE!</v>
      </c>
      <c r="V478" s="37" t="e">
        <f>SUMIF('[1]JOBS MAR 15'!$E$8:$E$525,$E$16:$E$533,'[1]JOBS MAR 15'!$I$8:$I$525)</f>
        <v>#VALUE!</v>
      </c>
      <c r="W478" s="55" t="str">
        <f t="shared" si="55"/>
        <v xml:space="preserve"> </v>
      </c>
    </row>
    <row r="479" spans="2:23" x14ac:dyDescent="0.2">
      <c r="B479">
        <v>4155</v>
      </c>
      <c r="C479">
        <v>7</v>
      </c>
      <c r="D479" s="2" t="s">
        <v>1007</v>
      </c>
      <c r="E479" s="50" t="s">
        <v>1008</v>
      </c>
      <c r="F479" s="50">
        <v>2700275</v>
      </c>
      <c r="G479" s="50">
        <v>7</v>
      </c>
      <c r="H479" s="52" t="e">
        <f>SUMIF('[1]Build Detail'!$D$4:$D$521,$B$16:$B$533,'[1]Build Detail'!$H$4:$H$521)</f>
        <v>#VALUE!</v>
      </c>
      <c r="I479" s="52" t="e">
        <f>SUMIF('[1]Build Detail'!$D$4:$D$521,$B$16:$B$533,'[1]Build Detail'!$Q$4:$Q$521)</f>
        <v>#VALUE!</v>
      </c>
      <c r="J479" s="52" t="e">
        <f>SUMIF('[1]Build Detail'!$D$4:$D$521,$B$16:$B$533,'[1]Build Detail'!$T$4:$T$521)</f>
        <v>#VALUE!</v>
      </c>
      <c r="K479" s="53">
        <v>974693.1</v>
      </c>
      <c r="L479" s="37">
        <f t="shared" si="56"/>
        <v>27487.15</v>
      </c>
      <c r="M479" s="37">
        <v>27383.09</v>
      </c>
      <c r="N479" s="38">
        <v>24644.78</v>
      </c>
      <c r="O479" s="37">
        <f t="shared" si="57"/>
        <v>2842.3700000000026</v>
      </c>
      <c r="P479" s="54" t="e">
        <f t="shared" si="51"/>
        <v>#VALUE!</v>
      </c>
      <c r="Q479" s="40">
        <f t="shared" si="52"/>
        <v>0.1034072284685754</v>
      </c>
      <c r="R479" s="37">
        <f t="shared" si="53"/>
        <v>104.06000000000131</v>
      </c>
      <c r="S479" s="41">
        <f t="shared" si="54"/>
        <v>3.8001554974256488E-3</v>
      </c>
      <c r="T479" s="37" t="e">
        <f>SUMIF('[1]JOBS MAR 15'!$E$8:$E$525,$E$16:$E$533,'[1]JOBS MAR 15'!$G$8:$G$525)</f>
        <v>#VALUE!</v>
      </c>
      <c r="U479" s="37" t="e">
        <f>SUMIF('[1]JOBS MAR 15'!$E$8:$E$525,$E$16:$E$533,'[1]JOBS MAR 15'!$H$8:$H$525)</f>
        <v>#VALUE!</v>
      </c>
      <c r="V479" s="37" t="e">
        <f>SUMIF('[1]JOBS MAR 15'!$E$8:$E$525,$E$16:$E$533,'[1]JOBS MAR 15'!$I$8:$I$525)</f>
        <v>#VALUE!</v>
      </c>
      <c r="W479" s="55" t="str">
        <f t="shared" si="55"/>
        <v xml:space="preserve"> </v>
      </c>
    </row>
    <row r="480" spans="2:23" x14ac:dyDescent="0.2">
      <c r="B480">
        <v>4159</v>
      </c>
      <c r="C480">
        <v>7</v>
      </c>
      <c r="D480" s="2" t="s">
        <v>1009</v>
      </c>
      <c r="E480" s="50" t="s">
        <v>1010</v>
      </c>
      <c r="F480" s="50">
        <v>2700284</v>
      </c>
      <c r="G480" s="50">
        <v>3</v>
      </c>
      <c r="H480" s="52" t="e">
        <f>SUMIF('[1]Build Detail'!$D$4:$D$521,$B$16:$B$533,'[1]Build Detail'!$H$4:$H$521)</f>
        <v>#VALUE!</v>
      </c>
      <c r="I480" s="52" t="e">
        <f>SUMIF('[1]Build Detail'!$D$4:$D$521,$B$16:$B$533,'[1]Build Detail'!$Q$4:$Q$521)</f>
        <v>#VALUE!</v>
      </c>
      <c r="J480" s="52" t="e">
        <f>SUMIF('[1]Build Detail'!$D$4:$D$521,$B$16:$B$533,'[1]Build Detail'!$T$4:$T$521)</f>
        <v>#VALUE!</v>
      </c>
      <c r="K480" s="53">
        <v>3145427.08</v>
      </c>
      <c r="L480" s="37">
        <f t="shared" si="56"/>
        <v>88703.64</v>
      </c>
      <c r="M480" s="37">
        <v>88830.71</v>
      </c>
      <c r="N480" s="38">
        <v>79947.64</v>
      </c>
      <c r="O480" s="37">
        <f t="shared" si="57"/>
        <v>8756</v>
      </c>
      <c r="P480" s="54" t="e">
        <f t="shared" si="51"/>
        <v>#VALUE!</v>
      </c>
      <c r="Q480" s="40">
        <f t="shared" si="52"/>
        <v>9.8710718071997952E-2</v>
      </c>
      <c r="R480" s="37">
        <f t="shared" si="53"/>
        <v>-127.07000000000698</v>
      </c>
      <c r="S480" s="41">
        <f t="shared" si="54"/>
        <v>-1.4304737629588571E-3</v>
      </c>
      <c r="T480" s="37" t="e">
        <f>SUMIF('[1]JOBS MAR 15'!$E$8:$E$525,$E$16:$E$533,'[1]JOBS MAR 15'!$G$8:$G$525)</f>
        <v>#VALUE!</v>
      </c>
      <c r="U480" s="37" t="e">
        <f>SUMIF('[1]JOBS MAR 15'!$E$8:$E$525,$E$16:$E$533,'[1]JOBS MAR 15'!$H$8:$H$525)</f>
        <v>#VALUE!</v>
      </c>
      <c r="V480" s="37" t="e">
        <f>SUMIF('[1]JOBS MAR 15'!$E$8:$E$525,$E$16:$E$533,'[1]JOBS MAR 15'!$I$8:$I$525)</f>
        <v>#VALUE!</v>
      </c>
      <c r="W480" s="55" t="str">
        <f t="shared" si="55"/>
        <v xml:space="preserve"> </v>
      </c>
    </row>
    <row r="481" spans="1:23" x14ac:dyDescent="0.2">
      <c r="B481">
        <v>4160</v>
      </c>
      <c r="C481">
        <v>7</v>
      </c>
      <c r="D481" s="2" t="s">
        <v>1011</v>
      </c>
      <c r="E481" s="50" t="s">
        <v>1012</v>
      </c>
      <c r="F481" s="50">
        <v>2700276</v>
      </c>
      <c r="G481" s="50">
        <v>6</v>
      </c>
      <c r="H481" s="52" t="e">
        <f>SUMIF('[1]Build Detail'!$D$4:$D$521,$B$16:$B$533,'[1]Build Detail'!$H$4:$H$521)</f>
        <v>#VALUE!</v>
      </c>
      <c r="I481" s="52" t="e">
        <f>SUMIF('[1]Build Detail'!$D$4:$D$521,$B$16:$B$533,'[1]Build Detail'!$Q$4:$Q$521)</f>
        <v>#VALUE!</v>
      </c>
      <c r="J481" s="52" t="e">
        <f>SUMIF('[1]Build Detail'!$D$4:$D$521,$B$16:$B$533,'[1]Build Detail'!$T$4:$T$521)</f>
        <v>#VALUE!</v>
      </c>
      <c r="K481" s="53">
        <v>1811970.06</v>
      </c>
      <c r="L481" s="37">
        <f t="shared" si="56"/>
        <v>51099.05</v>
      </c>
      <c r="M481" s="37">
        <v>51350.239999999998</v>
      </c>
      <c r="N481" s="38">
        <v>46215.22</v>
      </c>
      <c r="O481" s="37">
        <f t="shared" si="57"/>
        <v>4883.8300000000017</v>
      </c>
      <c r="P481" s="54" t="e">
        <f t="shared" si="51"/>
        <v>#VALUE!</v>
      </c>
      <c r="Q481" s="40">
        <f t="shared" si="52"/>
        <v>9.5575749451310768E-2</v>
      </c>
      <c r="R481" s="37">
        <f t="shared" si="53"/>
        <v>-251.18999999999505</v>
      </c>
      <c r="S481" s="41">
        <f t="shared" si="54"/>
        <v>-4.8917006035413867E-3</v>
      </c>
      <c r="T481" s="37" t="e">
        <f>SUMIF('[1]JOBS MAR 15'!$E$8:$E$525,$E$16:$E$533,'[1]JOBS MAR 15'!$G$8:$G$525)</f>
        <v>#VALUE!</v>
      </c>
      <c r="U481" s="37" t="e">
        <f>SUMIF('[1]JOBS MAR 15'!$E$8:$E$525,$E$16:$E$533,'[1]JOBS MAR 15'!$H$8:$H$525)</f>
        <v>#VALUE!</v>
      </c>
      <c r="V481" s="37" t="e">
        <f>SUMIF('[1]JOBS MAR 15'!$E$8:$E$525,$E$16:$E$533,'[1]JOBS MAR 15'!$I$8:$I$525)</f>
        <v>#VALUE!</v>
      </c>
      <c r="W481" s="55" t="str">
        <f t="shared" si="55"/>
        <v xml:space="preserve"> </v>
      </c>
    </row>
    <row r="482" spans="1:23" x14ac:dyDescent="0.2">
      <c r="B482">
        <v>4161</v>
      </c>
      <c r="C482">
        <v>7</v>
      </c>
      <c r="D482" s="2" t="s">
        <v>1013</v>
      </c>
      <c r="E482" s="50" t="s">
        <v>1014</v>
      </c>
      <c r="F482" s="50">
        <v>2700277</v>
      </c>
      <c r="G482" s="50">
        <v>7</v>
      </c>
      <c r="H482" s="52" t="e">
        <f>SUMIF('[1]Build Detail'!$D$4:$D$521,$B$16:$B$533,'[1]Build Detail'!$H$4:$H$521)</f>
        <v>#VALUE!</v>
      </c>
      <c r="I482" s="52" t="e">
        <f>SUMIF('[1]Build Detail'!$D$4:$D$521,$B$16:$B$533,'[1]Build Detail'!$Q$4:$Q$521)</f>
        <v>#VALUE!</v>
      </c>
      <c r="J482" s="52" t="e">
        <f>SUMIF('[1]Build Detail'!$D$4:$D$521,$B$16:$B$533,'[1]Build Detail'!$T$4:$T$521)</f>
        <v>#VALUE!</v>
      </c>
      <c r="K482" s="53">
        <v>1488443.6400000001</v>
      </c>
      <c r="L482" s="37">
        <f t="shared" si="56"/>
        <v>41975.34</v>
      </c>
      <c r="M482" s="37">
        <v>43494.77</v>
      </c>
      <c r="N482" s="38">
        <v>39145.29</v>
      </c>
      <c r="O482" s="37">
        <f t="shared" si="57"/>
        <v>2830.0499999999956</v>
      </c>
      <c r="P482" s="54" t="e">
        <f t="shared" si="51"/>
        <v>#VALUE!</v>
      </c>
      <c r="Q482" s="40">
        <f t="shared" si="52"/>
        <v>6.7421729043767031E-2</v>
      </c>
      <c r="R482" s="37">
        <f t="shared" si="53"/>
        <v>-1519.4300000000003</v>
      </c>
      <c r="S482" s="41">
        <f t="shared" si="54"/>
        <v>-3.4933625353117177E-2</v>
      </c>
      <c r="T482" s="37" t="e">
        <f>SUMIF('[1]JOBS MAR 15'!$E$8:$E$525,$E$16:$E$533,'[1]JOBS MAR 15'!$G$8:$G$525)</f>
        <v>#VALUE!</v>
      </c>
      <c r="U482" s="37" t="e">
        <f>SUMIF('[1]JOBS MAR 15'!$E$8:$E$525,$E$16:$E$533,'[1]JOBS MAR 15'!$H$8:$H$525)</f>
        <v>#VALUE!</v>
      </c>
      <c r="V482" s="37" t="e">
        <f>SUMIF('[1]JOBS MAR 15'!$E$8:$E$525,$E$16:$E$533,'[1]JOBS MAR 15'!$I$8:$I$525)</f>
        <v>#VALUE!</v>
      </c>
      <c r="W482" s="55" t="str">
        <f t="shared" si="55"/>
        <v xml:space="preserve"> </v>
      </c>
    </row>
    <row r="483" spans="1:23" x14ac:dyDescent="0.2">
      <c r="B483">
        <v>4162</v>
      </c>
      <c r="C483">
        <v>7</v>
      </c>
      <c r="D483" s="2" t="s">
        <v>1015</v>
      </c>
      <c r="E483" s="50" t="s">
        <v>1016</v>
      </c>
      <c r="F483" s="50">
        <v>2700278</v>
      </c>
      <c r="G483" s="50">
        <v>5</v>
      </c>
      <c r="H483" s="52" t="e">
        <f>SUMIF('[1]Build Detail'!$D$4:$D$521,$B$16:$B$533,'[1]Build Detail'!$H$4:$H$521)</f>
        <v>#VALUE!</v>
      </c>
      <c r="I483" s="52" t="e">
        <f>SUMIF('[1]Build Detail'!$D$4:$D$521,$B$16:$B$533,'[1]Build Detail'!$Q$4:$Q$521)</f>
        <v>#VALUE!</v>
      </c>
      <c r="J483" s="52" t="e">
        <f>SUMIF('[1]Build Detail'!$D$4:$D$521,$B$16:$B$533,'[1]Build Detail'!$T$4:$T$521)</f>
        <v>#VALUE!</v>
      </c>
      <c r="K483" s="53">
        <v>690480.21</v>
      </c>
      <c r="L483" s="37">
        <f t="shared" si="56"/>
        <v>19472.11</v>
      </c>
      <c r="M483" s="37">
        <v>19324.599999999999</v>
      </c>
      <c r="N483" s="38">
        <v>17392.14</v>
      </c>
      <c r="O483" s="37">
        <f t="shared" si="57"/>
        <v>2079.9700000000012</v>
      </c>
      <c r="P483" s="54" t="e">
        <f t="shared" si="51"/>
        <v>#VALUE!</v>
      </c>
      <c r="Q483" s="40">
        <f t="shared" si="52"/>
        <v>0.10681790519876896</v>
      </c>
      <c r="R483" s="37">
        <f t="shared" si="53"/>
        <v>147.51000000000204</v>
      </c>
      <c r="S483" s="41">
        <f t="shared" si="54"/>
        <v>7.6332757211017071E-3</v>
      </c>
      <c r="T483" s="37" t="e">
        <f>SUMIF('[1]JOBS MAR 15'!$E$8:$E$525,$E$16:$E$533,'[1]JOBS MAR 15'!$G$8:$G$525)</f>
        <v>#VALUE!</v>
      </c>
      <c r="U483" s="37" t="e">
        <f>SUMIF('[1]JOBS MAR 15'!$E$8:$E$525,$E$16:$E$533,'[1]JOBS MAR 15'!$H$8:$H$525)</f>
        <v>#VALUE!</v>
      </c>
      <c r="V483" s="37" t="e">
        <f>SUMIF('[1]JOBS MAR 15'!$E$8:$E$525,$E$16:$E$533,'[1]JOBS MAR 15'!$I$8:$I$525)</f>
        <v>#VALUE!</v>
      </c>
      <c r="W483" s="55" t="str">
        <f t="shared" si="55"/>
        <v xml:space="preserve"> </v>
      </c>
    </row>
    <row r="484" spans="1:23" x14ac:dyDescent="0.2">
      <c r="B484">
        <v>4163</v>
      </c>
      <c r="C484">
        <v>7</v>
      </c>
      <c r="D484" s="2" t="s">
        <v>1017</v>
      </c>
      <c r="E484" s="50" t="s">
        <v>1018</v>
      </c>
      <c r="F484" s="50">
        <v>2700285</v>
      </c>
      <c r="G484" s="50">
        <v>5</v>
      </c>
      <c r="H484" s="52" t="e">
        <f>SUMIF('[1]Build Detail'!$D$4:$D$521,$B$16:$B$533,'[1]Build Detail'!$H$4:$H$521)</f>
        <v>#VALUE!</v>
      </c>
      <c r="I484" s="52" t="e">
        <f>SUMIF('[1]Build Detail'!$D$4:$D$521,$B$16:$B$533,'[1]Build Detail'!$Q$4:$Q$521)</f>
        <v>#VALUE!</v>
      </c>
      <c r="J484" s="52" t="e">
        <f>SUMIF('[1]Build Detail'!$D$4:$D$521,$B$16:$B$533,'[1]Build Detail'!$T$4:$T$521)</f>
        <v>#VALUE!</v>
      </c>
      <c r="K484" s="53">
        <v>2154347.15</v>
      </c>
      <c r="L484" s="37">
        <f t="shared" si="56"/>
        <v>60754.37</v>
      </c>
      <c r="M484" s="37">
        <v>59745.45</v>
      </c>
      <c r="N484" s="38">
        <v>53770.91</v>
      </c>
      <c r="O484" s="37">
        <f t="shared" si="57"/>
        <v>6983.4599999999991</v>
      </c>
      <c r="P484" s="54" t="e">
        <f t="shared" si="51"/>
        <v>#VALUE!</v>
      </c>
      <c r="Q484" s="40">
        <f t="shared" si="52"/>
        <v>0.11494580554452295</v>
      </c>
      <c r="R484" s="37">
        <f t="shared" si="53"/>
        <v>1008.9200000000055</v>
      </c>
      <c r="S484" s="41">
        <f t="shared" si="54"/>
        <v>1.6886976330415214E-2</v>
      </c>
      <c r="T484" s="37" t="e">
        <f>SUMIF('[1]JOBS MAR 15'!$E$8:$E$525,$E$16:$E$533,'[1]JOBS MAR 15'!$G$8:$G$525)</f>
        <v>#VALUE!</v>
      </c>
      <c r="U484" s="37" t="e">
        <f>SUMIF('[1]JOBS MAR 15'!$E$8:$E$525,$E$16:$E$533,'[1]JOBS MAR 15'!$H$8:$H$525)</f>
        <v>#VALUE!</v>
      </c>
      <c r="V484" s="37" t="e">
        <f>SUMIF('[1]JOBS MAR 15'!$E$8:$E$525,$E$16:$E$533,'[1]JOBS MAR 15'!$I$8:$I$525)</f>
        <v>#VALUE!</v>
      </c>
      <c r="W484" s="55" t="str">
        <f t="shared" si="55"/>
        <v xml:space="preserve"> </v>
      </c>
    </row>
    <row r="485" spans="1:23" x14ac:dyDescent="0.2">
      <c r="B485">
        <v>4164</v>
      </c>
      <c r="C485">
        <v>7</v>
      </c>
      <c r="D485" s="2" t="s">
        <v>1019</v>
      </c>
      <c r="E485" s="50" t="s">
        <v>1020</v>
      </c>
      <c r="F485" s="50">
        <v>2700292</v>
      </c>
      <c r="G485" s="50">
        <v>4</v>
      </c>
      <c r="H485" s="52" t="e">
        <f>SUMIF('[1]Build Detail'!$D$4:$D$521,$B$16:$B$533,'[1]Build Detail'!$H$4:$H$521)</f>
        <v>#VALUE!</v>
      </c>
      <c r="I485" s="52" t="e">
        <f>SUMIF('[1]Build Detail'!$D$4:$D$521,$B$16:$B$533,'[1]Build Detail'!$Q$4:$Q$521)</f>
        <v>#VALUE!</v>
      </c>
      <c r="J485" s="52" t="e">
        <f>SUMIF('[1]Build Detail'!$D$4:$D$521,$B$16:$B$533,'[1]Build Detail'!$T$4:$T$521)</f>
        <v>#VALUE!</v>
      </c>
      <c r="K485" s="53">
        <v>1626548.1</v>
      </c>
      <c r="L485" s="37">
        <f t="shared" si="56"/>
        <v>45870</v>
      </c>
      <c r="M485" s="37">
        <v>45980.480000000003</v>
      </c>
      <c r="N485" s="38">
        <v>41382.43</v>
      </c>
      <c r="O485" s="37">
        <f t="shared" si="57"/>
        <v>4487.57</v>
      </c>
      <c r="P485" s="54" t="e">
        <f t="shared" si="51"/>
        <v>#VALUE!</v>
      </c>
      <c r="Q485" s="40">
        <f t="shared" si="52"/>
        <v>9.7832352299978192E-2</v>
      </c>
      <c r="R485" s="37">
        <f t="shared" si="53"/>
        <v>-110.4800000000032</v>
      </c>
      <c r="S485" s="41">
        <f t="shared" si="54"/>
        <v>-2.4027587358810346E-3</v>
      </c>
      <c r="T485" s="37" t="e">
        <f>SUMIF('[1]JOBS MAR 15'!$E$8:$E$525,$E$16:$E$533,'[1]JOBS MAR 15'!$G$8:$G$525)</f>
        <v>#VALUE!</v>
      </c>
      <c r="U485" s="37" t="e">
        <f>SUMIF('[1]JOBS MAR 15'!$E$8:$E$525,$E$16:$E$533,'[1]JOBS MAR 15'!$H$8:$H$525)</f>
        <v>#VALUE!</v>
      </c>
      <c r="V485" s="37" t="e">
        <f>SUMIF('[1]JOBS MAR 15'!$E$8:$E$525,$E$16:$E$533,'[1]JOBS MAR 15'!$I$8:$I$525)</f>
        <v>#VALUE!</v>
      </c>
      <c r="W485" s="55" t="str">
        <f t="shared" si="55"/>
        <v xml:space="preserve"> </v>
      </c>
    </row>
    <row r="486" spans="1:23" x14ac:dyDescent="0.2">
      <c r="B486">
        <v>4166</v>
      </c>
      <c r="C486">
        <v>7</v>
      </c>
      <c r="D486" s="2" t="s">
        <v>1021</v>
      </c>
      <c r="E486" s="50" t="s">
        <v>1022</v>
      </c>
      <c r="F486" s="50">
        <v>2700291</v>
      </c>
      <c r="G486" s="50">
        <v>8</v>
      </c>
      <c r="H486" s="52" t="e">
        <f>SUMIF('[1]Build Detail'!$D$4:$D$521,$B$16:$B$533,'[1]Build Detail'!$H$4:$H$521)</f>
        <v>#VALUE!</v>
      </c>
      <c r="I486" s="52" t="e">
        <f>SUMIF('[1]Build Detail'!$D$4:$D$521,$B$16:$B$533,'[1]Build Detail'!$Q$4:$Q$521)</f>
        <v>#VALUE!</v>
      </c>
      <c r="J486" s="52" t="e">
        <f>SUMIF('[1]Build Detail'!$D$4:$D$521,$B$16:$B$533,'[1]Build Detail'!$T$4:$T$521)</f>
        <v>#VALUE!</v>
      </c>
      <c r="K486" s="53">
        <v>1055806.2</v>
      </c>
      <c r="L486" s="37">
        <f t="shared" si="56"/>
        <v>29774.61</v>
      </c>
      <c r="M486" s="37">
        <v>30000.21</v>
      </c>
      <c r="N486" s="38">
        <v>27000.19</v>
      </c>
      <c r="O486" s="37">
        <f t="shared" si="57"/>
        <v>2774.4200000000019</v>
      </c>
      <c r="P486" s="54" t="e">
        <f t="shared" si="51"/>
        <v>#VALUE!</v>
      </c>
      <c r="Q486" s="40">
        <f t="shared" si="52"/>
        <v>9.3180733517584338E-2</v>
      </c>
      <c r="R486" s="37">
        <f t="shared" si="53"/>
        <v>-225.59999999999854</v>
      </c>
      <c r="S486" s="41">
        <f t="shared" si="54"/>
        <v>-7.5199473603684295E-3</v>
      </c>
      <c r="T486" s="37" t="e">
        <f>SUMIF('[1]JOBS MAR 15'!$E$8:$E$525,$E$16:$E$533,'[1]JOBS MAR 15'!$G$8:$G$525)</f>
        <v>#VALUE!</v>
      </c>
      <c r="U486" s="37" t="e">
        <f>SUMIF('[1]JOBS MAR 15'!$E$8:$E$525,$E$16:$E$533,'[1]JOBS MAR 15'!$H$8:$H$525)</f>
        <v>#VALUE!</v>
      </c>
      <c r="V486" s="37" t="e">
        <f>SUMIF('[1]JOBS MAR 15'!$E$8:$E$525,$E$16:$E$533,'[1]JOBS MAR 15'!$I$8:$I$525)</f>
        <v>#VALUE!</v>
      </c>
      <c r="W486" s="55" t="str">
        <f t="shared" si="55"/>
        <v xml:space="preserve"> </v>
      </c>
    </row>
    <row r="487" spans="1:23" x14ac:dyDescent="0.2">
      <c r="B487">
        <v>4167</v>
      </c>
      <c r="C487">
        <v>7</v>
      </c>
      <c r="D487" s="2" t="s">
        <v>1023</v>
      </c>
      <c r="E487" s="50" t="s">
        <v>1024</v>
      </c>
      <c r="F487" s="50">
        <v>2700296</v>
      </c>
      <c r="G487" s="50">
        <v>3</v>
      </c>
      <c r="H487" s="52" t="e">
        <f>SUMIF('[1]Build Detail'!$D$4:$D$521,$B$16:$B$533,'[1]Build Detail'!$H$4:$H$521)</f>
        <v>#VALUE!</v>
      </c>
      <c r="I487" s="52" t="e">
        <f>SUMIF('[1]Build Detail'!$D$4:$D$521,$B$16:$B$533,'[1]Build Detail'!$Q$4:$Q$521)</f>
        <v>#VALUE!</v>
      </c>
      <c r="J487" s="52" t="e">
        <f>SUMIF('[1]Build Detail'!$D$4:$D$521,$B$16:$B$533,'[1]Build Detail'!$T$4:$T$521)</f>
        <v>#VALUE!</v>
      </c>
      <c r="K487" s="53">
        <v>1100359.6200000001</v>
      </c>
      <c r="L487" s="37">
        <f t="shared" si="56"/>
        <v>31031.05</v>
      </c>
      <c r="M487" s="37">
        <v>31085.38</v>
      </c>
      <c r="N487" s="38">
        <v>27976.84</v>
      </c>
      <c r="O487" s="37">
        <f t="shared" si="57"/>
        <v>3054.2099999999991</v>
      </c>
      <c r="P487" s="54" t="e">
        <f t="shared" si="51"/>
        <v>#VALUE!</v>
      </c>
      <c r="Q487" s="40">
        <f t="shared" si="52"/>
        <v>9.8424320156746195E-2</v>
      </c>
      <c r="R487" s="37">
        <f t="shared" si="53"/>
        <v>-54.330000000001746</v>
      </c>
      <c r="S487" s="41">
        <f t="shared" si="54"/>
        <v>-1.7477669566851601E-3</v>
      </c>
      <c r="T487" s="37" t="e">
        <f>SUMIF('[1]JOBS MAR 15'!$E$8:$E$525,$E$16:$E$533,'[1]JOBS MAR 15'!$G$8:$G$525)</f>
        <v>#VALUE!</v>
      </c>
      <c r="U487" s="37" t="e">
        <f>SUMIF('[1]JOBS MAR 15'!$E$8:$E$525,$E$16:$E$533,'[1]JOBS MAR 15'!$H$8:$H$525)</f>
        <v>#VALUE!</v>
      </c>
      <c r="V487" s="37" t="e">
        <f>SUMIF('[1]JOBS MAR 15'!$E$8:$E$525,$E$16:$E$533,'[1]JOBS MAR 15'!$I$8:$I$525)</f>
        <v>#VALUE!</v>
      </c>
      <c r="W487" s="55" t="str">
        <f t="shared" si="55"/>
        <v xml:space="preserve"> </v>
      </c>
    </row>
    <row r="488" spans="1:23" x14ac:dyDescent="0.2">
      <c r="B488">
        <v>4168</v>
      </c>
      <c r="C488">
        <v>7</v>
      </c>
      <c r="D488" s="2" t="s">
        <v>1025</v>
      </c>
      <c r="E488" s="50" t="s">
        <v>1026</v>
      </c>
      <c r="F488" s="50">
        <v>2700293</v>
      </c>
      <c r="G488" s="50">
        <v>7</v>
      </c>
      <c r="H488" s="52" t="e">
        <f>SUMIF('[1]Build Detail'!$D$4:$D$521,$B$16:$B$533,'[1]Build Detail'!$H$4:$H$521)</f>
        <v>#VALUE!</v>
      </c>
      <c r="I488" s="52" t="e">
        <f>SUMIF('[1]Build Detail'!$D$4:$D$521,$B$16:$B$533,'[1]Build Detail'!$Q$4:$Q$521)</f>
        <v>#VALUE!</v>
      </c>
      <c r="J488" s="52" t="e">
        <f>SUMIF('[1]Build Detail'!$D$4:$D$521,$B$16:$B$533,'[1]Build Detail'!$T$4:$T$521)</f>
        <v>#VALUE!</v>
      </c>
      <c r="K488" s="53">
        <v>667700.91000000015</v>
      </c>
      <c r="L488" s="37">
        <f t="shared" si="56"/>
        <v>18829.72</v>
      </c>
      <c r="M488" s="37">
        <v>18646.11</v>
      </c>
      <c r="N488" s="38">
        <v>16781.5</v>
      </c>
      <c r="O488" s="37">
        <f t="shared" si="57"/>
        <v>2048.2200000000012</v>
      </c>
      <c r="P488" s="54" t="e">
        <f t="shared" si="51"/>
        <v>#VALUE!</v>
      </c>
      <c r="Q488" s="40">
        <f t="shared" si="52"/>
        <v>0.10877591382134207</v>
      </c>
      <c r="R488" s="37">
        <f t="shared" si="53"/>
        <v>183.61000000000058</v>
      </c>
      <c r="S488" s="41">
        <f t="shared" si="54"/>
        <v>9.8470941123913018E-3</v>
      </c>
      <c r="T488" s="37" t="e">
        <f>SUMIF('[1]JOBS MAR 15'!$E$8:$E$525,$E$16:$E$533,'[1]JOBS MAR 15'!$G$8:$G$525)</f>
        <v>#VALUE!</v>
      </c>
      <c r="U488" s="37" t="e">
        <f>SUMIF('[1]JOBS MAR 15'!$E$8:$E$525,$E$16:$E$533,'[1]JOBS MAR 15'!$H$8:$H$525)</f>
        <v>#VALUE!</v>
      </c>
      <c r="V488" s="37" t="e">
        <f>SUMIF('[1]JOBS MAR 15'!$E$8:$E$525,$E$16:$E$533,'[1]JOBS MAR 15'!$I$8:$I$525)</f>
        <v>#VALUE!</v>
      </c>
      <c r="W488" s="55" t="str">
        <f t="shared" si="55"/>
        <v xml:space="preserve"> </v>
      </c>
    </row>
    <row r="489" spans="1:23" x14ac:dyDescent="0.2">
      <c r="B489">
        <v>4169</v>
      </c>
      <c r="C489">
        <v>7</v>
      </c>
      <c r="D489" s="2" t="s">
        <v>1027</v>
      </c>
      <c r="E489" s="50" t="s">
        <v>1028</v>
      </c>
      <c r="F489" s="50">
        <v>2700289</v>
      </c>
      <c r="G489" s="50">
        <v>5</v>
      </c>
      <c r="H489" s="52" t="e">
        <f>SUMIF('[1]Build Detail'!$D$4:$D$521,$B$16:$B$533,'[1]Build Detail'!$H$4:$H$521)</f>
        <v>#VALUE!</v>
      </c>
      <c r="I489" s="52" t="e">
        <f>SUMIF('[1]Build Detail'!$D$4:$D$521,$B$16:$B$533,'[1]Build Detail'!$Q$4:$Q$521)</f>
        <v>#VALUE!</v>
      </c>
      <c r="J489" s="52" t="e">
        <f>SUMIF('[1]Build Detail'!$D$4:$D$521,$B$16:$B$533,'[1]Build Detail'!$T$4:$T$521)</f>
        <v>#VALUE!</v>
      </c>
      <c r="K489" s="53">
        <v>1316957.82</v>
      </c>
      <c r="L489" s="37">
        <f t="shared" si="56"/>
        <v>37139.300000000003</v>
      </c>
      <c r="M489" s="37">
        <v>37002.559999999998</v>
      </c>
      <c r="N489" s="38">
        <v>33302.300000000003</v>
      </c>
      <c r="O489" s="37">
        <f t="shared" si="57"/>
        <v>3837</v>
      </c>
      <c r="P489" s="54" t="e">
        <f t="shared" si="51"/>
        <v>#VALUE!</v>
      </c>
      <c r="Q489" s="40">
        <f t="shared" si="52"/>
        <v>0.10331374043129514</v>
      </c>
      <c r="R489" s="37">
        <f t="shared" si="53"/>
        <v>136.74000000000524</v>
      </c>
      <c r="S489" s="41">
        <f t="shared" si="54"/>
        <v>3.6954199925628185E-3</v>
      </c>
      <c r="T489" s="37" t="e">
        <f>SUMIF('[1]JOBS MAR 15'!$E$8:$E$525,$E$16:$E$533,'[1]JOBS MAR 15'!$G$8:$G$525)</f>
        <v>#VALUE!</v>
      </c>
      <c r="U489" s="37" t="e">
        <f>SUMIF('[1]JOBS MAR 15'!$E$8:$E$525,$E$16:$E$533,'[1]JOBS MAR 15'!$H$8:$H$525)</f>
        <v>#VALUE!</v>
      </c>
      <c r="V489" s="37" t="e">
        <f>SUMIF('[1]JOBS MAR 15'!$E$8:$E$525,$E$16:$E$533,'[1]JOBS MAR 15'!$I$8:$I$525)</f>
        <v>#VALUE!</v>
      </c>
      <c r="W489" s="55" t="str">
        <f t="shared" si="55"/>
        <v xml:space="preserve"> </v>
      </c>
    </row>
    <row r="490" spans="1:23" x14ac:dyDescent="0.2">
      <c r="B490">
        <v>4170</v>
      </c>
      <c r="C490">
        <v>7</v>
      </c>
      <c r="D490" s="2" t="s">
        <v>1029</v>
      </c>
      <c r="E490" s="50" t="s">
        <v>1030</v>
      </c>
      <c r="F490" s="50">
        <v>2700288</v>
      </c>
      <c r="G490" s="50">
        <v>5</v>
      </c>
      <c r="H490" s="52" t="e">
        <f>SUMIF('[1]Build Detail'!$D$4:$D$521,$B$16:$B$533,'[1]Build Detail'!$H$4:$H$521)</f>
        <v>#VALUE!</v>
      </c>
      <c r="I490" s="52" t="e">
        <f>SUMIF('[1]Build Detail'!$D$4:$D$521,$B$16:$B$533,'[1]Build Detail'!$Q$4:$Q$521)</f>
        <v>#VALUE!</v>
      </c>
      <c r="J490" s="52" t="e">
        <f>SUMIF('[1]Build Detail'!$D$4:$D$521,$B$16:$B$533,'[1]Build Detail'!$T$4:$T$521)</f>
        <v>#VALUE!</v>
      </c>
      <c r="K490" s="53">
        <v>3176200.1799999997</v>
      </c>
      <c r="L490" s="37">
        <f t="shared" si="56"/>
        <v>89571.47</v>
      </c>
      <c r="M490" s="37">
        <v>89299.67</v>
      </c>
      <c r="N490" s="38">
        <v>80369.7</v>
      </c>
      <c r="O490" s="37">
        <f t="shared" si="57"/>
        <v>9201.7700000000041</v>
      </c>
      <c r="P490" s="54" t="e">
        <f t="shared" si="51"/>
        <v>#VALUE!</v>
      </c>
      <c r="Q490" s="40">
        <f t="shared" si="52"/>
        <v>0.10273103701435295</v>
      </c>
      <c r="R490" s="37">
        <f t="shared" si="53"/>
        <v>271.80000000000291</v>
      </c>
      <c r="S490" s="41">
        <f t="shared" si="54"/>
        <v>3.0436842599754614E-3</v>
      </c>
      <c r="T490" s="37" t="e">
        <f>SUMIF('[1]JOBS MAR 15'!$E$8:$E$525,$E$16:$E$533,'[1]JOBS MAR 15'!$G$8:$G$525)</f>
        <v>#VALUE!</v>
      </c>
      <c r="U490" s="37" t="e">
        <f>SUMIF('[1]JOBS MAR 15'!$E$8:$E$525,$E$16:$E$533,'[1]JOBS MAR 15'!$H$8:$H$525)</f>
        <v>#VALUE!</v>
      </c>
      <c r="V490" s="37" t="e">
        <f>SUMIF('[1]JOBS MAR 15'!$E$8:$E$525,$E$16:$E$533,'[1]JOBS MAR 15'!$I$8:$I$525)</f>
        <v>#VALUE!</v>
      </c>
      <c r="W490" s="55" t="str">
        <f t="shared" si="55"/>
        <v xml:space="preserve"> </v>
      </c>
    </row>
    <row r="491" spans="1:23" x14ac:dyDescent="0.2">
      <c r="B491">
        <v>4171</v>
      </c>
      <c r="C491">
        <v>7</v>
      </c>
      <c r="D491" s="2" t="s">
        <v>1031</v>
      </c>
      <c r="E491" s="50" t="s">
        <v>1032</v>
      </c>
      <c r="F491" s="50">
        <v>2700295</v>
      </c>
      <c r="G491" s="50">
        <v>5</v>
      </c>
      <c r="H491" s="52" t="e">
        <f>SUMIF('[1]Build Detail'!$D$4:$D$521,$B$16:$B$533,'[1]Build Detail'!$H$4:$H$521)</f>
        <v>#VALUE!</v>
      </c>
      <c r="I491" s="52" t="e">
        <f>SUMIF('[1]Build Detail'!$D$4:$D$521,$B$16:$B$533,'[1]Build Detail'!$Q$4:$Q$521)</f>
        <v>#VALUE!</v>
      </c>
      <c r="J491" s="52" t="e">
        <f>SUMIF('[1]Build Detail'!$D$4:$D$521,$B$16:$B$533,'[1]Build Detail'!$T$4:$T$521)</f>
        <v>#VALUE!</v>
      </c>
      <c r="K491" s="53">
        <v>4263286.7700000005</v>
      </c>
      <c r="L491" s="37">
        <f t="shared" si="56"/>
        <v>120228.21</v>
      </c>
      <c r="M491" s="37">
        <v>119503.8</v>
      </c>
      <c r="N491" s="38">
        <v>107553.42</v>
      </c>
      <c r="O491" s="37">
        <f t="shared" si="57"/>
        <v>12674.790000000008</v>
      </c>
      <c r="P491" s="54" t="e">
        <f t="shared" si="51"/>
        <v>#VALUE!</v>
      </c>
      <c r="Q491" s="40">
        <f t="shared" si="52"/>
        <v>0.10542276226186856</v>
      </c>
      <c r="R491" s="37">
        <f t="shared" si="53"/>
        <v>724.41000000000349</v>
      </c>
      <c r="S491" s="41">
        <f t="shared" si="54"/>
        <v>6.0618156075371949E-3</v>
      </c>
      <c r="T491" s="37" t="e">
        <f>SUMIF('[1]JOBS MAR 15'!$E$8:$E$525,$E$16:$E$533,'[1]JOBS MAR 15'!$G$8:$G$525)</f>
        <v>#VALUE!</v>
      </c>
      <c r="U491" s="37" t="e">
        <f>SUMIF('[1]JOBS MAR 15'!$E$8:$E$525,$E$16:$E$533,'[1]JOBS MAR 15'!$H$8:$H$525)</f>
        <v>#VALUE!</v>
      </c>
      <c r="V491" s="37" t="e">
        <f>SUMIF('[1]JOBS MAR 15'!$E$8:$E$525,$E$16:$E$533,'[1]JOBS MAR 15'!$I$8:$I$525)</f>
        <v>#VALUE!</v>
      </c>
      <c r="W491" s="55" t="str">
        <f t="shared" si="55"/>
        <v xml:space="preserve"> </v>
      </c>
    </row>
    <row r="492" spans="1:23" x14ac:dyDescent="0.2">
      <c r="B492">
        <v>4172</v>
      </c>
      <c r="C492">
        <v>7</v>
      </c>
      <c r="D492" s="2" t="s">
        <v>1033</v>
      </c>
      <c r="E492" s="50" t="s">
        <v>1034</v>
      </c>
      <c r="F492" s="50">
        <v>2700290</v>
      </c>
      <c r="G492" s="50">
        <v>7</v>
      </c>
      <c r="H492" s="52" t="e">
        <f>SUMIF('[1]Build Detail'!$D$4:$D$521,$B$16:$B$533,'[1]Build Detail'!$H$4:$H$521)</f>
        <v>#VALUE!</v>
      </c>
      <c r="I492" s="52" t="e">
        <f>SUMIF('[1]Build Detail'!$D$4:$D$521,$B$16:$B$533,'[1]Build Detail'!$Q$4:$Q$521)</f>
        <v>#VALUE!</v>
      </c>
      <c r="J492" s="52" t="e">
        <f>SUMIF('[1]Build Detail'!$D$4:$D$521,$B$16:$B$533,'[1]Build Detail'!$T$4:$T$521)</f>
        <v>#VALUE!</v>
      </c>
      <c r="K492" s="53">
        <v>580187.30000000005</v>
      </c>
      <c r="L492" s="37">
        <f t="shared" si="56"/>
        <v>16361.76</v>
      </c>
      <c r="M492" s="37">
        <v>16316.29</v>
      </c>
      <c r="N492" s="38">
        <v>14684.66</v>
      </c>
      <c r="O492" s="37">
        <f t="shared" si="57"/>
        <v>1677.1000000000004</v>
      </c>
      <c r="P492" s="54" t="e">
        <f t="shared" si="51"/>
        <v>#VALUE!</v>
      </c>
      <c r="Q492" s="40">
        <f t="shared" si="52"/>
        <v>0.10250119791513873</v>
      </c>
      <c r="R492" s="37">
        <f t="shared" si="53"/>
        <v>45.469999999999345</v>
      </c>
      <c r="S492" s="41">
        <f t="shared" si="54"/>
        <v>2.7867854763551853E-3</v>
      </c>
      <c r="T492" s="37" t="e">
        <f>SUMIF('[1]JOBS MAR 15'!$E$8:$E$525,$E$16:$E$533,'[1]JOBS MAR 15'!$G$8:$G$525)</f>
        <v>#VALUE!</v>
      </c>
      <c r="U492" s="37" t="e">
        <f>SUMIF('[1]JOBS MAR 15'!$E$8:$E$525,$E$16:$E$533,'[1]JOBS MAR 15'!$H$8:$H$525)</f>
        <v>#VALUE!</v>
      </c>
      <c r="V492" s="37" t="e">
        <f>SUMIF('[1]JOBS MAR 15'!$E$8:$E$525,$E$16:$E$533,'[1]JOBS MAR 15'!$I$8:$I$525)</f>
        <v>#VALUE!</v>
      </c>
      <c r="W492" s="55" t="str">
        <f t="shared" si="55"/>
        <v xml:space="preserve"> </v>
      </c>
    </row>
    <row r="493" spans="1:23" x14ac:dyDescent="0.2">
      <c r="B493">
        <v>4173</v>
      </c>
      <c r="C493">
        <v>7</v>
      </c>
      <c r="D493" s="2" t="s">
        <v>1035</v>
      </c>
      <c r="E493" s="50" t="s">
        <v>1036</v>
      </c>
      <c r="F493" s="50">
        <v>2700305</v>
      </c>
      <c r="G493" s="50">
        <v>5</v>
      </c>
      <c r="H493" s="52" t="e">
        <f>SUMIF('[1]Build Detail'!$D$4:$D$521,$B$16:$B$533,'[1]Build Detail'!$H$4:$H$521)</f>
        <v>#VALUE!</v>
      </c>
      <c r="I493" s="52" t="e">
        <f>SUMIF('[1]Build Detail'!$D$4:$D$521,$B$16:$B$533,'[1]Build Detail'!$Q$4:$Q$521)</f>
        <v>#VALUE!</v>
      </c>
      <c r="J493" s="52" t="e">
        <f>SUMIF('[1]Build Detail'!$D$4:$D$521,$B$16:$B$533,'[1]Build Detail'!$T$4:$T$521)</f>
        <v>#VALUE!</v>
      </c>
      <c r="K493" s="53">
        <v>1200573.6700000002</v>
      </c>
      <c r="L493" s="37">
        <f t="shared" si="56"/>
        <v>33857.17</v>
      </c>
      <c r="M493" s="37">
        <v>33010.71</v>
      </c>
      <c r="N493" s="38">
        <v>29709.64</v>
      </c>
      <c r="O493" s="37">
        <f t="shared" si="57"/>
        <v>4147.5299999999988</v>
      </c>
      <c r="P493" s="54" t="e">
        <f t="shared" si="51"/>
        <v>#VALUE!</v>
      </c>
      <c r="Q493" s="40">
        <f t="shared" si="52"/>
        <v>0.12250078786856666</v>
      </c>
      <c r="R493" s="37">
        <f t="shared" si="53"/>
        <v>846.45999999999913</v>
      </c>
      <c r="S493" s="41">
        <f t="shared" si="54"/>
        <v>2.5641981041910313E-2</v>
      </c>
      <c r="T493" s="37" t="e">
        <f>SUMIF('[1]JOBS MAR 15'!$E$8:$E$525,$E$16:$E$533,'[1]JOBS MAR 15'!$G$8:$G$525)</f>
        <v>#VALUE!</v>
      </c>
      <c r="U493" s="37" t="e">
        <f>SUMIF('[1]JOBS MAR 15'!$E$8:$E$525,$E$16:$E$533,'[1]JOBS MAR 15'!$H$8:$H$525)</f>
        <v>#VALUE!</v>
      </c>
      <c r="V493" s="37" t="e">
        <f>SUMIF('[1]JOBS MAR 15'!$E$8:$E$525,$E$16:$E$533,'[1]JOBS MAR 15'!$I$8:$I$525)</f>
        <v>#VALUE!</v>
      </c>
      <c r="W493" s="55" t="str">
        <f t="shared" si="55"/>
        <v xml:space="preserve"> </v>
      </c>
    </row>
    <row r="494" spans="1:23" x14ac:dyDescent="0.2">
      <c r="B494">
        <v>4174</v>
      </c>
      <c r="C494">
        <v>7</v>
      </c>
      <c r="D494" s="2" t="s">
        <v>1037</v>
      </c>
      <c r="E494" s="50" t="s">
        <v>1038</v>
      </c>
      <c r="F494" s="50">
        <v>2700303</v>
      </c>
      <c r="G494" s="50">
        <v>8</v>
      </c>
      <c r="H494" s="52" t="e">
        <f>SUMIF('[1]Build Detail'!$D$4:$D$521,$B$16:$B$533,'[1]Build Detail'!$H$4:$H$521)</f>
        <v>#VALUE!</v>
      </c>
      <c r="I494" s="52" t="e">
        <f>SUMIF('[1]Build Detail'!$D$4:$D$521,$B$16:$B$533,'[1]Build Detail'!$Q$4:$Q$521)</f>
        <v>#VALUE!</v>
      </c>
      <c r="J494" s="52" t="e">
        <f>SUMIF('[1]Build Detail'!$D$4:$D$521,$B$16:$B$533,'[1]Build Detail'!$T$4:$T$521)</f>
        <v>#VALUE!</v>
      </c>
      <c r="K494" s="53">
        <v>178853.21</v>
      </c>
      <c r="L494" s="37">
        <f t="shared" si="56"/>
        <v>5043.8100000000004</v>
      </c>
      <c r="M494" s="37">
        <v>5120.76</v>
      </c>
      <c r="N494" s="38">
        <v>4608.68</v>
      </c>
      <c r="O494" s="37">
        <f t="shared" si="57"/>
        <v>435.13000000000011</v>
      </c>
      <c r="P494" s="54" t="e">
        <f t="shared" si="51"/>
        <v>#VALUE!</v>
      </c>
      <c r="Q494" s="40">
        <f t="shared" si="52"/>
        <v>8.6270101371780469E-2</v>
      </c>
      <c r="R494" s="37">
        <f t="shared" si="53"/>
        <v>-76.949999999999818</v>
      </c>
      <c r="S494" s="41">
        <f t="shared" si="54"/>
        <v>-1.5027066294846823E-2</v>
      </c>
      <c r="T494" s="37" t="e">
        <f>SUMIF('[1]JOBS MAR 15'!$E$8:$E$525,$E$16:$E$533,'[1]JOBS MAR 15'!$G$8:$G$525)</f>
        <v>#VALUE!</v>
      </c>
      <c r="U494" s="37" t="e">
        <f>SUMIF('[1]JOBS MAR 15'!$E$8:$E$525,$E$16:$E$533,'[1]JOBS MAR 15'!$H$8:$H$525)</f>
        <v>#VALUE!</v>
      </c>
      <c r="V494" s="37" t="e">
        <f>SUMIF('[1]JOBS MAR 15'!$E$8:$E$525,$E$16:$E$533,'[1]JOBS MAR 15'!$I$8:$I$525)</f>
        <v>#VALUE!</v>
      </c>
      <c r="W494" s="55" t="str">
        <f t="shared" si="55"/>
        <v xml:space="preserve"> </v>
      </c>
    </row>
    <row r="495" spans="1:23" x14ac:dyDescent="0.2">
      <c r="A495" s="56" t="s">
        <v>835</v>
      </c>
      <c r="B495" s="56">
        <v>4175</v>
      </c>
      <c r="C495" s="56">
        <v>7</v>
      </c>
      <c r="D495" s="59" t="s">
        <v>1039</v>
      </c>
      <c r="E495" s="60" t="s">
        <v>1040</v>
      </c>
      <c r="F495" s="60">
        <v>2700302</v>
      </c>
      <c r="G495" s="60">
        <v>5</v>
      </c>
      <c r="H495" s="61" t="e">
        <f>SUMIF('[1]Build Detail'!$D$4:$D$521,$B$16:$B$533,'[1]Build Detail'!$H$4:$H$521)</f>
        <v>#VALUE!</v>
      </c>
      <c r="I495" s="61" t="e">
        <f>SUMIF('[1]Build Detail'!$D$4:$D$521,$B$16:$B$533,'[1]Build Detail'!$Q$4:$Q$521)</f>
        <v>#VALUE!</v>
      </c>
      <c r="J495" s="61" t="e">
        <f>SUMIF('[1]Build Detail'!$D$4:$D$521,$B$16:$B$533,'[1]Build Detail'!$T$4:$T$521)</f>
        <v>#VALUE!</v>
      </c>
      <c r="K495" s="62">
        <v>1028646.3699999999</v>
      </c>
      <c r="L495" s="63">
        <f t="shared" si="56"/>
        <v>29008.68</v>
      </c>
      <c r="M495" s="63">
        <v>27716.959999999999</v>
      </c>
      <c r="N495" s="64">
        <v>24945.26</v>
      </c>
      <c r="O495" s="63">
        <f t="shared" si="57"/>
        <v>4063.4200000000019</v>
      </c>
      <c r="P495" s="65" t="e">
        <f t="shared" si="51"/>
        <v>#VALUE!</v>
      </c>
      <c r="Q495" s="66">
        <f t="shared" si="52"/>
        <v>0.14007600483717295</v>
      </c>
      <c r="R495" s="63">
        <f t="shared" si="53"/>
        <v>1291.7200000000012</v>
      </c>
      <c r="S495" s="67">
        <f t="shared" si="54"/>
        <v>4.6603956566665362E-2</v>
      </c>
      <c r="T495" s="63" t="e">
        <f>SUMIF('[1]JOBS MAR 15'!$E$8:$E$525,$E$16:$E$533,'[1]JOBS MAR 15'!$G$8:$G$525)</f>
        <v>#VALUE!</v>
      </c>
      <c r="U495" s="63" t="e">
        <f>SUMIF('[1]JOBS MAR 15'!$E$8:$E$525,$E$16:$E$533,'[1]JOBS MAR 15'!$H$8:$H$525)</f>
        <v>#VALUE!</v>
      </c>
      <c r="V495" s="63" t="e">
        <f>SUMIF('[1]JOBS MAR 15'!$E$8:$E$525,$E$16:$E$533,'[1]JOBS MAR 15'!$I$8:$I$525)</f>
        <v>#VALUE!</v>
      </c>
      <c r="W495" s="68" t="str">
        <f t="shared" si="55"/>
        <v xml:space="preserve"> </v>
      </c>
    </row>
    <row r="496" spans="1:23" x14ac:dyDescent="0.2">
      <c r="B496">
        <v>4177</v>
      </c>
      <c r="C496">
        <v>7</v>
      </c>
      <c r="D496" s="2" t="s">
        <v>1041</v>
      </c>
      <c r="E496" s="50" t="s">
        <v>1042</v>
      </c>
      <c r="F496" s="50">
        <v>2700300</v>
      </c>
      <c r="G496" s="50">
        <v>8</v>
      </c>
      <c r="H496" s="52" t="e">
        <f>SUMIF('[1]Build Detail'!$D$4:$D$521,$B$16:$B$533,'[1]Build Detail'!$H$4:$H$521)</f>
        <v>#VALUE!</v>
      </c>
      <c r="I496" s="52" t="e">
        <f>SUMIF('[1]Build Detail'!$D$4:$D$521,$B$16:$B$533,'[1]Build Detail'!$Q$4:$Q$521)</f>
        <v>#VALUE!</v>
      </c>
      <c r="J496" s="52" t="e">
        <f>SUMIF('[1]Build Detail'!$D$4:$D$521,$B$16:$B$533,'[1]Build Detail'!$T$4:$T$521)</f>
        <v>#VALUE!</v>
      </c>
      <c r="K496" s="53">
        <v>407349.69</v>
      </c>
      <c r="L496" s="37">
        <f t="shared" si="56"/>
        <v>11487.6</v>
      </c>
      <c r="M496" s="37">
        <v>11991.61</v>
      </c>
      <c r="N496" s="38">
        <v>10792.45</v>
      </c>
      <c r="O496" s="37">
        <f t="shared" si="57"/>
        <v>695.14999999999964</v>
      </c>
      <c r="P496" s="54" t="e">
        <f t="shared" si="51"/>
        <v>#VALUE!</v>
      </c>
      <c r="Q496" s="40">
        <f t="shared" si="52"/>
        <v>6.0513074967791326E-2</v>
      </c>
      <c r="R496" s="37">
        <f t="shared" si="53"/>
        <v>-504.01000000000022</v>
      </c>
      <c r="S496" s="41">
        <f t="shared" si="54"/>
        <v>-4.2030219461773703E-2</v>
      </c>
      <c r="T496" s="37" t="e">
        <f>SUMIF('[1]JOBS MAR 15'!$E$8:$E$525,$E$16:$E$533,'[1]JOBS MAR 15'!$G$8:$G$525)</f>
        <v>#VALUE!</v>
      </c>
      <c r="U496" s="37" t="e">
        <f>SUMIF('[1]JOBS MAR 15'!$E$8:$E$525,$E$16:$E$533,'[1]JOBS MAR 15'!$H$8:$H$525)</f>
        <v>#VALUE!</v>
      </c>
      <c r="V496" s="37" t="e">
        <f>SUMIF('[1]JOBS MAR 15'!$E$8:$E$525,$E$16:$E$533,'[1]JOBS MAR 15'!$I$8:$I$525)</f>
        <v>#VALUE!</v>
      </c>
      <c r="W496" s="55" t="str">
        <f t="shared" si="55"/>
        <v xml:space="preserve"> </v>
      </c>
    </row>
    <row r="497" spans="2:23" x14ac:dyDescent="0.2">
      <c r="B497">
        <v>4178</v>
      </c>
      <c r="C497">
        <v>7</v>
      </c>
      <c r="D497" s="2" t="s">
        <v>1043</v>
      </c>
      <c r="E497" s="50" t="s">
        <v>1044</v>
      </c>
      <c r="F497" s="50">
        <v>2700299</v>
      </c>
      <c r="G497" s="50">
        <v>5</v>
      </c>
      <c r="H497" s="52" t="e">
        <f>SUMIF('[1]Build Detail'!$D$4:$D$521,$B$16:$B$533,'[1]Build Detail'!$H$4:$H$521)</f>
        <v>#VALUE!</v>
      </c>
      <c r="I497" s="52" t="e">
        <f>SUMIF('[1]Build Detail'!$D$4:$D$521,$B$16:$B$533,'[1]Build Detail'!$Q$4:$Q$521)</f>
        <v>#VALUE!</v>
      </c>
      <c r="J497" s="52" t="e">
        <f>SUMIF('[1]Build Detail'!$D$4:$D$521,$B$16:$B$533,'[1]Build Detail'!$T$4:$T$521)</f>
        <v>#VALUE!</v>
      </c>
      <c r="K497" s="53">
        <v>1211044.26</v>
      </c>
      <c r="L497" s="37">
        <f t="shared" si="56"/>
        <v>34152.449999999997</v>
      </c>
      <c r="M497" s="37">
        <v>33511.040000000001</v>
      </c>
      <c r="N497" s="38">
        <v>30159.94</v>
      </c>
      <c r="O497" s="37">
        <f t="shared" si="57"/>
        <v>3992.5099999999984</v>
      </c>
      <c r="P497" s="54" t="e">
        <f t="shared" si="51"/>
        <v>#VALUE!</v>
      </c>
      <c r="Q497" s="40">
        <f t="shared" si="52"/>
        <v>0.11690259410379046</v>
      </c>
      <c r="R497" s="37">
        <f t="shared" si="53"/>
        <v>641.40999999999622</v>
      </c>
      <c r="S497" s="41">
        <f t="shared" si="54"/>
        <v>1.9140259448826302E-2</v>
      </c>
      <c r="T497" s="37" t="e">
        <f>SUMIF('[1]JOBS MAR 15'!$E$8:$E$525,$E$16:$E$533,'[1]JOBS MAR 15'!$G$8:$G$525)</f>
        <v>#VALUE!</v>
      </c>
      <c r="U497" s="37" t="e">
        <f>SUMIF('[1]JOBS MAR 15'!$E$8:$E$525,$E$16:$E$533,'[1]JOBS MAR 15'!$H$8:$H$525)</f>
        <v>#VALUE!</v>
      </c>
      <c r="V497" s="37" t="e">
        <f>SUMIF('[1]JOBS MAR 15'!$E$8:$E$525,$E$16:$E$533,'[1]JOBS MAR 15'!$I$8:$I$525)</f>
        <v>#VALUE!</v>
      </c>
      <c r="W497" s="55" t="str">
        <f t="shared" si="55"/>
        <v xml:space="preserve"> </v>
      </c>
    </row>
    <row r="498" spans="2:23" x14ac:dyDescent="0.2">
      <c r="B498">
        <v>4180</v>
      </c>
      <c r="C498">
        <v>7</v>
      </c>
      <c r="D498" s="2" t="s">
        <v>1045</v>
      </c>
      <c r="E498" s="50" t="s">
        <v>1046</v>
      </c>
      <c r="F498" s="50">
        <v>2700306</v>
      </c>
      <c r="G498" s="50">
        <v>5</v>
      </c>
      <c r="H498" s="52" t="e">
        <f>SUMIF('[1]Build Detail'!$D$4:$D$521,$B$16:$B$533,'[1]Build Detail'!$H$4:$H$521)</f>
        <v>#VALUE!</v>
      </c>
      <c r="I498" s="52" t="e">
        <f>SUMIF('[1]Build Detail'!$D$4:$D$521,$B$16:$B$533,'[1]Build Detail'!$Q$4:$Q$521)</f>
        <v>#VALUE!</v>
      </c>
      <c r="J498" s="52" t="e">
        <f>SUMIF('[1]Build Detail'!$D$4:$D$521,$B$16:$B$533,'[1]Build Detail'!$T$4:$T$521)</f>
        <v>#VALUE!</v>
      </c>
      <c r="K498" s="53">
        <v>2108783.4500000002</v>
      </c>
      <c r="L498" s="37">
        <f t="shared" si="56"/>
        <v>59469.440000000002</v>
      </c>
      <c r="M498" s="37">
        <v>60064.14</v>
      </c>
      <c r="N498" s="38">
        <v>54057.73</v>
      </c>
      <c r="O498" s="37">
        <f t="shared" si="57"/>
        <v>5411.7099999999991</v>
      </c>
      <c r="P498" s="54" t="e">
        <f t="shared" si="51"/>
        <v>#VALUE!</v>
      </c>
      <c r="Q498" s="40">
        <f t="shared" si="52"/>
        <v>9.0999847989152061E-2</v>
      </c>
      <c r="R498" s="37">
        <f t="shared" si="53"/>
        <v>-594.69999999999709</v>
      </c>
      <c r="S498" s="41">
        <f t="shared" si="54"/>
        <v>-9.9010824095707873E-3</v>
      </c>
      <c r="T498" s="37" t="e">
        <f>SUMIF('[1]JOBS MAR 15'!$E$8:$E$525,$E$16:$E$533,'[1]JOBS MAR 15'!$G$8:$G$525)</f>
        <v>#VALUE!</v>
      </c>
      <c r="U498" s="37" t="e">
        <f>SUMIF('[1]JOBS MAR 15'!$E$8:$E$525,$E$16:$E$533,'[1]JOBS MAR 15'!$H$8:$H$525)</f>
        <v>#VALUE!</v>
      </c>
      <c r="V498" s="37" t="e">
        <f>SUMIF('[1]JOBS MAR 15'!$E$8:$E$525,$E$16:$E$533,'[1]JOBS MAR 15'!$I$8:$I$525)</f>
        <v>#VALUE!</v>
      </c>
      <c r="W498" s="55" t="str">
        <f t="shared" si="55"/>
        <v xml:space="preserve"> </v>
      </c>
    </row>
    <row r="499" spans="2:23" x14ac:dyDescent="0.2">
      <c r="B499">
        <v>4181</v>
      </c>
      <c r="C499">
        <v>7</v>
      </c>
      <c r="D499" s="2" t="s">
        <v>1047</v>
      </c>
      <c r="E499" s="50" t="s">
        <v>1048</v>
      </c>
      <c r="F499" s="50">
        <v>2700304</v>
      </c>
      <c r="G499" s="50">
        <v>4</v>
      </c>
      <c r="H499" s="52" t="e">
        <f>SUMIF('[1]Build Detail'!$D$4:$D$521,$B$16:$B$533,'[1]Build Detail'!$H$4:$H$521)</f>
        <v>#VALUE!</v>
      </c>
      <c r="I499" s="52" t="e">
        <f>SUMIF('[1]Build Detail'!$D$4:$D$521,$B$16:$B$533,'[1]Build Detail'!$Q$4:$Q$521)</f>
        <v>#VALUE!</v>
      </c>
      <c r="J499" s="52" t="e">
        <f>SUMIF('[1]Build Detail'!$D$4:$D$521,$B$16:$B$533,'[1]Build Detail'!$T$4:$T$521)</f>
        <v>#VALUE!</v>
      </c>
      <c r="K499" s="53">
        <v>5508790.9199999999</v>
      </c>
      <c r="L499" s="37">
        <f t="shared" si="56"/>
        <v>155352.46</v>
      </c>
      <c r="M499" s="37">
        <v>154587.53</v>
      </c>
      <c r="N499" s="38">
        <v>139128.78</v>
      </c>
      <c r="O499" s="37">
        <f t="shared" si="57"/>
        <v>16223.679999999993</v>
      </c>
      <c r="P499" s="54" t="e">
        <f t="shared" si="51"/>
        <v>#VALUE!</v>
      </c>
      <c r="Q499" s="40">
        <f t="shared" si="52"/>
        <v>0.10443143288493786</v>
      </c>
      <c r="R499" s="37">
        <f t="shared" si="53"/>
        <v>764.92999999999302</v>
      </c>
      <c r="S499" s="41">
        <f t="shared" si="54"/>
        <v>4.948199896848038E-3</v>
      </c>
      <c r="T499" s="37" t="e">
        <f>SUMIF('[1]JOBS MAR 15'!$E$8:$E$525,$E$16:$E$533,'[1]JOBS MAR 15'!$G$8:$G$525)</f>
        <v>#VALUE!</v>
      </c>
      <c r="U499" s="37" t="e">
        <f>SUMIF('[1]JOBS MAR 15'!$E$8:$E$525,$E$16:$E$533,'[1]JOBS MAR 15'!$H$8:$H$525)</f>
        <v>#VALUE!</v>
      </c>
      <c r="V499" s="37" t="e">
        <f>SUMIF('[1]JOBS MAR 15'!$E$8:$E$525,$E$16:$E$533,'[1]JOBS MAR 15'!$I$8:$I$525)</f>
        <v>#VALUE!</v>
      </c>
      <c r="W499" s="55" t="str">
        <f t="shared" si="55"/>
        <v xml:space="preserve"> </v>
      </c>
    </row>
    <row r="500" spans="2:23" x14ac:dyDescent="0.2">
      <c r="B500">
        <v>4182</v>
      </c>
      <c r="C500">
        <v>7</v>
      </c>
      <c r="D500" s="2" t="s">
        <v>1049</v>
      </c>
      <c r="E500" s="50" t="s">
        <v>1050</v>
      </c>
      <c r="F500" s="50">
        <v>2700307</v>
      </c>
      <c r="G500" s="50">
        <v>5</v>
      </c>
      <c r="H500" s="52" t="e">
        <f>SUMIF('[1]Build Detail'!$D$4:$D$521,$B$16:$B$533,'[1]Build Detail'!$H$4:$H$521)</f>
        <v>#VALUE!</v>
      </c>
      <c r="I500" s="52" t="e">
        <f>SUMIF('[1]Build Detail'!$D$4:$D$521,$B$16:$B$533,'[1]Build Detail'!$Q$4:$Q$521)</f>
        <v>#VALUE!</v>
      </c>
      <c r="J500" s="52" t="e">
        <f>SUMIF('[1]Build Detail'!$D$4:$D$521,$B$16:$B$533,'[1]Build Detail'!$T$4:$T$521)</f>
        <v>#VALUE!</v>
      </c>
      <c r="K500" s="53">
        <v>1055639.3700000001</v>
      </c>
      <c r="L500" s="37">
        <f t="shared" ref="L500:L513" si="58">ROUND(K500*$K$548,2)</f>
        <v>29769.9</v>
      </c>
      <c r="M500" s="37">
        <v>29505.66</v>
      </c>
      <c r="N500" s="38">
        <v>26555.09</v>
      </c>
      <c r="O500" s="37">
        <f t="shared" ref="O500:O513" si="59">L500-N500</f>
        <v>3214.8100000000013</v>
      </c>
      <c r="P500" s="54" t="e">
        <f t="shared" si="51"/>
        <v>#VALUE!</v>
      </c>
      <c r="Q500" s="40">
        <f t="shared" si="52"/>
        <v>0.10798860594090008</v>
      </c>
      <c r="R500" s="37">
        <f t="shared" si="53"/>
        <v>264.2400000000016</v>
      </c>
      <c r="S500" s="41">
        <f t="shared" si="54"/>
        <v>8.955569880490781E-3</v>
      </c>
      <c r="T500" s="37" t="e">
        <f>SUMIF('[1]JOBS MAR 15'!$E$8:$E$525,$E$16:$E$533,'[1]JOBS MAR 15'!$G$8:$G$525)</f>
        <v>#VALUE!</v>
      </c>
      <c r="U500" s="37" t="e">
        <f>SUMIF('[1]JOBS MAR 15'!$E$8:$E$525,$E$16:$E$533,'[1]JOBS MAR 15'!$H$8:$H$525)</f>
        <v>#VALUE!</v>
      </c>
      <c r="V500" s="37" t="e">
        <f>SUMIF('[1]JOBS MAR 15'!$E$8:$E$525,$E$16:$E$533,'[1]JOBS MAR 15'!$I$8:$I$525)</f>
        <v>#VALUE!</v>
      </c>
      <c r="W500" s="55" t="str">
        <f t="shared" si="55"/>
        <v xml:space="preserve"> </v>
      </c>
    </row>
    <row r="501" spans="2:23" x14ac:dyDescent="0.2">
      <c r="B501">
        <v>4183</v>
      </c>
      <c r="C501">
        <v>7</v>
      </c>
      <c r="D501" s="2" t="s">
        <v>1051</v>
      </c>
      <c r="E501" s="50" t="s">
        <v>1052</v>
      </c>
      <c r="F501" s="50">
        <v>2700315</v>
      </c>
      <c r="G501" s="50">
        <v>5</v>
      </c>
      <c r="H501" s="52" t="e">
        <f>SUMIF('[1]Build Detail'!$D$4:$D$521,$B$16:$B$533,'[1]Build Detail'!$H$4:$H$521)</f>
        <v>#VALUE!</v>
      </c>
      <c r="I501" s="52" t="e">
        <f>SUMIF('[1]Build Detail'!$D$4:$D$521,$B$16:$B$533,'[1]Build Detail'!$Q$4:$Q$521)</f>
        <v>#VALUE!</v>
      </c>
      <c r="J501" s="52" t="e">
        <f>SUMIF('[1]Build Detail'!$D$4:$D$521,$B$16:$B$533,'[1]Build Detail'!$T$4:$T$521)</f>
        <v>#VALUE!</v>
      </c>
      <c r="K501" s="53">
        <v>5015777.93</v>
      </c>
      <c r="L501" s="37">
        <f t="shared" si="58"/>
        <v>141449.09</v>
      </c>
      <c r="M501" s="37">
        <v>115551.48</v>
      </c>
      <c r="N501" s="38">
        <v>103996.33</v>
      </c>
      <c r="O501" s="37">
        <f t="shared" si="59"/>
        <v>37452.759999999995</v>
      </c>
      <c r="P501" s="54" t="e">
        <f t="shared" si="51"/>
        <v>#VALUE!</v>
      </c>
      <c r="Q501" s="40">
        <f t="shared" si="52"/>
        <v>0.26477908058652055</v>
      </c>
      <c r="R501" s="37">
        <f t="shared" si="53"/>
        <v>25897.61</v>
      </c>
      <c r="S501" s="41">
        <f t="shared" si="54"/>
        <v>0.22412183729710777</v>
      </c>
      <c r="T501" s="37" t="e">
        <f>SUMIF('[1]JOBS MAR 15'!$E$8:$E$525,$E$16:$E$533,'[1]JOBS MAR 15'!$G$8:$G$525)</f>
        <v>#VALUE!</v>
      </c>
      <c r="U501" s="37" t="e">
        <f>SUMIF('[1]JOBS MAR 15'!$E$8:$E$525,$E$16:$E$533,'[1]JOBS MAR 15'!$H$8:$H$525)</f>
        <v>#VALUE!</v>
      </c>
      <c r="V501" s="37" t="e">
        <f>SUMIF('[1]JOBS MAR 15'!$E$8:$E$525,$E$16:$E$533,'[1]JOBS MAR 15'!$I$8:$I$525)</f>
        <v>#VALUE!</v>
      </c>
      <c r="W501" s="55" t="str">
        <f t="shared" si="55"/>
        <v xml:space="preserve"> </v>
      </c>
    </row>
    <row r="502" spans="2:23" x14ac:dyDescent="0.2">
      <c r="B502">
        <v>4184</v>
      </c>
      <c r="C502">
        <v>7</v>
      </c>
      <c r="D502" s="2" t="s">
        <v>1053</v>
      </c>
      <c r="E502" s="50" t="s">
        <v>1054</v>
      </c>
      <c r="F502" s="50">
        <v>2700311</v>
      </c>
      <c r="G502" s="50">
        <v>2</v>
      </c>
      <c r="H502" s="52" t="e">
        <f>SUMIF('[1]Build Detail'!$D$4:$D$521,$B$16:$B$533,'[1]Build Detail'!$H$4:$H$521)</f>
        <v>#VALUE!</v>
      </c>
      <c r="I502" s="52" t="e">
        <f>SUMIF('[1]Build Detail'!$D$4:$D$521,$B$16:$B$533,'[1]Build Detail'!$Q$4:$Q$521)</f>
        <v>#VALUE!</v>
      </c>
      <c r="J502" s="52" t="e">
        <f>SUMIF('[1]Build Detail'!$D$4:$D$521,$B$16:$B$533,'[1]Build Detail'!$T$4:$T$521)</f>
        <v>#VALUE!</v>
      </c>
      <c r="K502" s="53">
        <v>1568118.63</v>
      </c>
      <c r="L502" s="37">
        <f t="shared" si="58"/>
        <v>44222.239999999998</v>
      </c>
      <c r="M502" s="37">
        <v>43982.48</v>
      </c>
      <c r="N502" s="38">
        <v>39584.230000000003</v>
      </c>
      <c r="O502" s="37">
        <f t="shared" si="59"/>
        <v>4638.0099999999948</v>
      </c>
      <c r="P502" s="54" t="e">
        <f t="shared" si="51"/>
        <v>#VALUE!</v>
      </c>
      <c r="Q502" s="40">
        <f t="shared" si="52"/>
        <v>0.10487958095293216</v>
      </c>
      <c r="R502" s="37">
        <f t="shared" si="53"/>
        <v>239.75999999999476</v>
      </c>
      <c r="S502" s="41">
        <f t="shared" si="54"/>
        <v>5.4512615023071627E-3</v>
      </c>
      <c r="T502" s="37" t="e">
        <f>SUMIF('[1]JOBS MAR 15'!$E$8:$E$525,$E$16:$E$533,'[1]JOBS MAR 15'!$G$8:$G$525)</f>
        <v>#VALUE!</v>
      </c>
      <c r="U502" s="37" t="e">
        <f>SUMIF('[1]JOBS MAR 15'!$E$8:$E$525,$E$16:$E$533,'[1]JOBS MAR 15'!$H$8:$H$525)</f>
        <v>#VALUE!</v>
      </c>
      <c r="V502" s="37" t="e">
        <f>SUMIF('[1]JOBS MAR 15'!$E$8:$E$525,$E$16:$E$533,'[1]JOBS MAR 15'!$I$8:$I$525)</f>
        <v>#VALUE!</v>
      </c>
      <c r="W502" s="55" t="str">
        <f t="shared" si="55"/>
        <v xml:space="preserve"> </v>
      </c>
    </row>
    <row r="503" spans="2:23" x14ac:dyDescent="0.2">
      <c r="B503">
        <v>4185</v>
      </c>
      <c r="C503">
        <v>7</v>
      </c>
      <c r="D503" s="2" t="s">
        <v>1055</v>
      </c>
      <c r="E503" s="50" t="s">
        <v>1056</v>
      </c>
      <c r="F503" s="50">
        <v>2700320</v>
      </c>
      <c r="G503" s="50">
        <v>3</v>
      </c>
      <c r="H503" s="52" t="e">
        <f>SUMIF('[1]Build Detail'!$D$4:$D$521,$B$16:$B$533,'[1]Build Detail'!$H$4:$H$521)</f>
        <v>#VALUE!</v>
      </c>
      <c r="I503" s="52" t="e">
        <f>SUMIF('[1]Build Detail'!$D$4:$D$521,$B$16:$B$533,'[1]Build Detail'!$Q$4:$Q$521)</f>
        <v>#VALUE!</v>
      </c>
      <c r="J503" s="52" t="e">
        <f>SUMIF('[1]Build Detail'!$D$4:$D$521,$B$16:$B$533,'[1]Build Detail'!$T$4:$T$521)</f>
        <v>#VALUE!</v>
      </c>
      <c r="K503" s="53">
        <v>2492487.7199999997</v>
      </c>
      <c r="L503" s="37">
        <f t="shared" si="58"/>
        <v>70290.210000000006</v>
      </c>
      <c r="M503" s="37">
        <v>70597.17</v>
      </c>
      <c r="N503" s="38">
        <v>63537.45</v>
      </c>
      <c r="O503" s="37">
        <f t="shared" si="59"/>
        <v>6752.7600000000093</v>
      </c>
      <c r="P503" s="54" t="e">
        <f t="shared" si="51"/>
        <v>#VALUE!</v>
      </c>
      <c r="Q503" s="40">
        <f t="shared" si="52"/>
        <v>9.6069708711924592E-2</v>
      </c>
      <c r="R503" s="37">
        <f t="shared" si="53"/>
        <v>-306.95999999999185</v>
      </c>
      <c r="S503" s="41">
        <f t="shared" si="54"/>
        <v>-4.3480496456159909E-3</v>
      </c>
      <c r="T503" s="37" t="e">
        <f>SUMIF('[1]JOBS MAR 15'!$E$8:$E$525,$E$16:$E$533,'[1]JOBS MAR 15'!$G$8:$G$525)</f>
        <v>#VALUE!</v>
      </c>
      <c r="U503" s="37" t="e">
        <f>SUMIF('[1]JOBS MAR 15'!$E$8:$E$525,$E$16:$E$533,'[1]JOBS MAR 15'!$H$8:$H$525)</f>
        <v>#VALUE!</v>
      </c>
      <c r="V503" s="37" t="e">
        <f>SUMIF('[1]JOBS MAR 15'!$E$8:$E$525,$E$16:$E$533,'[1]JOBS MAR 15'!$I$8:$I$525)</f>
        <v>#VALUE!</v>
      </c>
      <c r="W503" s="55" t="str">
        <f t="shared" si="55"/>
        <v xml:space="preserve"> </v>
      </c>
    </row>
    <row r="504" spans="2:23" x14ac:dyDescent="0.2">
      <c r="B504">
        <v>4186</v>
      </c>
      <c r="C504">
        <v>7</v>
      </c>
      <c r="D504" s="2" t="s">
        <v>1057</v>
      </c>
      <c r="E504" s="50" t="s">
        <v>1058</v>
      </c>
      <c r="F504" s="50">
        <v>2700313</v>
      </c>
      <c r="G504" s="50">
        <v>5</v>
      </c>
      <c r="H504" s="52" t="e">
        <f>SUMIF('[1]Build Detail'!$D$4:$D$521,$B$16:$B$533,'[1]Build Detail'!$H$4:$H$521)</f>
        <v>#VALUE!</v>
      </c>
      <c r="I504" s="52" t="e">
        <f>SUMIF('[1]Build Detail'!$D$4:$D$521,$B$16:$B$533,'[1]Build Detail'!$Q$4:$Q$521)</f>
        <v>#VALUE!</v>
      </c>
      <c r="J504" s="52" t="e">
        <f>SUMIF('[1]Build Detail'!$D$4:$D$521,$B$16:$B$533,'[1]Build Detail'!$T$4:$T$521)</f>
        <v>#VALUE!</v>
      </c>
      <c r="K504" s="53">
        <v>3633544.17</v>
      </c>
      <c r="L504" s="37">
        <f t="shared" si="58"/>
        <v>102468.95</v>
      </c>
      <c r="M504" s="37">
        <v>103761.33</v>
      </c>
      <c r="N504" s="38">
        <v>93385.2</v>
      </c>
      <c r="O504" s="37">
        <f t="shared" si="59"/>
        <v>9083.75</v>
      </c>
      <c r="P504" s="54" t="e">
        <f t="shared" si="51"/>
        <v>#VALUE!</v>
      </c>
      <c r="Q504" s="40">
        <f t="shared" si="52"/>
        <v>8.8648805321026522E-2</v>
      </c>
      <c r="R504" s="37">
        <f t="shared" si="53"/>
        <v>-1292.3800000000047</v>
      </c>
      <c r="S504" s="41">
        <f t="shared" si="54"/>
        <v>-1.2455314518424201E-2</v>
      </c>
      <c r="T504" s="37" t="e">
        <f>SUMIF('[1]JOBS MAR 15'!$E$8:$E$525,$E$16:$E$533,'[1]JOBS MAR 15'!$G$8:$G$525)</f>
        <v>#VALUE!</v>
      </c>
      <c r="U504" s="37" t="e">
        <f>SUMIF('[1]JOBS MAR 15'!$E$8:$E$525,$E$16:$E$533,'[1]JOBS MAR 15'!$H$8:$H$525)</f>
        <v>#VALUE!</v>
      </c>
      <c r="V504" s="37" t="e">
        <f>SUMIF('[1]JOBS MAR 15'!$E$8:$E$525,$E$16:$E$533,'[1]JOBS MAR 15'!$I$8:$I$525)</f>
        <v>#VALUE!</v>
      </c>
      <c r="W504" s="55" t="str">
        <f t="shared" si="55"/>
        <v xml:space="preserve"> </v>
      </c>
    </row>
    <row r="505" spans="2:23" x14ac:dyDescent="0.2">
      <c r="B505">
        <v>4187</v>
      </c>
      <c r="C505">
        <v>7</v>
      </c>
      <c r="D505" s="2" t="s">
        <v>1059</v>
      </c>
      <c r="E505" s="50" t="s">
        <v>1060</v>
      </c>
      <c r="F505" s="50">
        <v>2700310</v>
      </c>
      <c r="G505" s="50">
        <v>6</v>
      </c>
      <c r="H505" s="52" t="e">
        <f>SUMIF('[1]Build Detail'!$D$4:$D$521,$B$16:$B$533,'[1]Build Detail'!$H$4:$H$521)</f>
        <v>#VALUE!</v>
      </c>
      <c r="I505" s="52" t="e">
        <f>SUMIF('[1]Build Detail'!$D$4:$D$521,$B$16:$B$533,'[1]Build Detail'!$Q$4:$Q$521)</f>
        <v>#VALUE!</v>
      </c>
      <c r="J505" s="52" t="e">
        <f>SUMIF('[1]Build Detail'!$D$4:$D$521,$B$16:$B$533,'[1]Build Detail'!$T$4:$T$521)</f>
        <v>#VALUE!</v>
      </c>
      <c r="K505" s="53">
        <v>366443.10000000003</v>
      </c>
      <c r="L505" s="37">
        <f t="shared" si="58"/>
        <v>10334</v>
      </c>
      <c r="M505" s="37">
        <v>10271.84</v>
      </c>
      <c r="N505" s="38">
        <v>9244.66</v>
      </c>
      <c r="O505" s="37">
        <f t="shared" si="59"/>
        <v>1089.3400000000001</v>
      </c>
      <c r="P505" s="54" t="e">
        <f t="shared" si="51"/>
        <v>#VALUE!</v>
      </c>
      <c r="Q505" s="40">
        <f t="shared" si="52"/>
        <v>0.10541319914844205</v>
      </c>
      <c r="R505" s="37">
        <f t="shared" si="53"/>
        <v>62.159999999999854</v>
      </c>
      <c r="S505" s="41">
        <f t="shared" si="54"/>
        <v>6.0514961292231825E-3</v>
      </c>
      <c r="T505" s="37" t="e">
        <f>SUMIF('[1]JOBS MAR 15'!$E$8:$E$525,$E$16:$E$533,'[1]JOBS MAR 15'!$G$8:$G$525)</f>
        <v>#VALUE!</v>
      </c>
      <c r="U505" s="37" t="e">
        <f>SUMIF('[1]JOBS MAR 15'!$E$8:$E$525,$E$16:$E$533,'[1]JOBS MAR 15'!$H$8:$H$525)</f>
        <v>#VALUE!</v>
      </c>
      <c r="V505" s="37" t="e">
        <f>SUMIF('[1]JOBS MAR 15'!$E$8:$E$525,$E$16:$E$533,'[1]JOBS MAR 15'!$I$8:$I$525)</f>
        <v>#VALUE!</v>
      </c>
      <c r="W505" s="55" t="str">
        <f t="shared" si="55"/>
        <v xml:space="preserve"> </v>
      </c>
    </row>
    <row r="506" spans="2:23" x14ac:dyDescent="0.2">
      <c r="B506">
        <v>4188</v>
      </c>
      <c r="C506">
        <v>7</v>
      </c>
      <c r="D506" s="2" t="s">
        <v>1061</v>
      </c>
      <c r="E506" s="50" t="s">
        <v>1062</v>
      </c>
      <c r="F506" s="50">
        <v>2700319</v>
      </c>
      <c r="G506" s="50">
        <v>2</v>
      </c>
      <c r="H506" s="52" t="e">
        <f>SUMIF('[1]Build Detail'!$D$4:$D$521,$B$16:$B$533,'[1]Build Detail'!$H$4:$H$521)</f>
        <v>#VALUE!</v>
      </c>
      <c r="I506" s="52" t="e">
        <f>SUMIF('[1]Build Detail'!$D$4:$D$521,$B$16:$B$533,'[1]Build Detail'!$Q$4:$Q$521)</f>
        <v>#VALUE!</v>
      </c>
      <c r="J506" s="52" t="e">
        <f>SUMIF('[1]Build Detail'!$D$4:$D$521,$B$16:$B$533,'[1]Build Detail'!$T$4:$T$521)</f>
        <v>#VALUE!</v>
      </c>
      <c r="K506" s="53">
        <v>1900428.33</v>
      </c>
      <c r="L506" s="37">
        <f t="shared" si="58"/>
        <v>53593.65</v>
      </c>
      <c r="M506" s="37">
        <v>51942.71</v>
      </c>
      <c r="N506" s="38">
        <v>46748.44</v>
      </c>
      <c r="O506" s="37">
        <f t="shared" si="59"/>
        <v>6845.2099999999991</v>
      </c>
      <c r="P506" s="54" t="e">
        <f t="shared" si="51"/>
        <v>#VALUE!</v>
      </c>
      <c r="Q506" s="40">
        <f t="shared" si="52"/>
        <v>0.12772427330476649</v>
      </c>
      <c r="R506" s="37">
        <f t="shared" si="53"/>
        <v>1650.9400000000023</v>
      </c>
      <c r="S506" s="41">
        <f t="shared" si="54"/>
        <v>3.1783863414134576E-2</v>
      </c>
      <c r="T506" s="37" t="e">
        <f>SUMIF('[1]JOBS MAR 15'!$E$8:$E$525,$E$16:$E$533,'[1]JOBS MAR 15'!$G$8:$G$525)</f>
        <v>#VALUE!</v>
      </c>
      <c r="U506" s="37" t="e">
        <f>SUMIF('[1]JOBS MAR 15'!$E$8:$E$525,$E$16:$E$533,'[1]JOBS MAR 15'!$H$8:$H$525)</f>
        <v>#VALUE!</v>
      </c>
      <c r="V506" s="37" t="e">
        <f>SUMIF('[1]JOBS MAR 15'!$E$8:$E$525,$E$16:$E$533,'[1]JOBS MAR 15'!$I$8:$I$525)</f>
        <v>#VALUE!</v>
      </c>
      <c r="W506" s="55" t="str">
        <f t="shared" si="55"/>
        <v xml:space="preserve"> </v>
      </c>
    </row>
    <row r="507" spans="2:23" x14ac:dyDescent="0.2">
      <c r="B507">
        <v>4189</v>
      </c>
      <c r="C507">
        <v>7</v>
      </c>
      <c r="D507" s="2" t="s">
        <v>1063</v>
      </c>
      <c r="E507" s="50" t="s">
        <v>1064</v>
      </c>
      <c r="F507" s="50">
        <v>2700316</v>
      </c>
      <c r="G507" s="50">
        <v>5</v>
      </c>
      <c r="H507" s="52" t="e">
        <f>SUMIF('[1]Build Detail'!$D$4:$D$521,$B$16:$B$533,'[1]Build Detail'!$H$4:$H$521)</f>
        <v>#VALUE!</v>
      </c>
      <c r="I507" s="52" t="e">
        <f>SUMIF('[1]Build Detail'!$D$4:$D$521,$B$16:$B$533,'[1]Build Detail'!$Q$4:$Q$521)</f>
        <v>#VALUE!</v>
      </c>
      <c r="J507" s="52" t="e">
        <f>SUMIF('[1]Build Detail'!$D$4:$D$521,$B$16:$B$533,'[1]Build Detail'!$T$4:$T$521)</f>
        <v>#VALUE!</v>
      </c>
      <c r="K507" s="53">
        <v>628057.98</v>
      </c>
      <c r="L507" s="37">
        <f t="shared" si="58"/>
        <v>17711.75</v>
      </c>
      <c r="M507" s="37">
        <v>17269.02</v>
      </c>
      <c r="N507" s="38">
        <v>15542.12</v>
      </c>
      <c r="O507" s="37">
        <f t="shared" si="59"/>
        <v>2169.6299999999992</v>
      </c>
      <c r="P507" s="54" t="e">
        <f t="shared" si="51"/>
        <v>#VALUE!</v>
      </c>
      <c r="Q507" s="40">
        <f t="shared" si="52"/>
        <v>0.1224966477056191</v>
      </c>
      <c r="R507" s="37">
        <f t="shared" si="53"/>
        <v>442.72999999999956</v>
      </c>
      <c r="S507" s="41">
        <f t="shared" si="54"/>
        <v>2.5637239403278216E-2</v>
      </c>
      <c r="T507" s="37" t="e">
        <f>SUMIF('[1]JOBS MAR 15'!$E$8:$E$525,$E$16:$E$533,'[1]JOBS MAR 15'!$G$8:$G$525)</f>
        <v>#VALUE!</v>
      </c>
      <c r="U507" s="37" t="e">
        <f>SUMIF('[1]JOBS MAR 15'!$E$8:$E$525,$E$16:$E$533,'[1]JOBS MAR 15'!$H$8:$H$525)</f>
        <v>#VALUE!</v>
      </c>
      <c r="V507" s="37" t="e">
        <f>SUMIF('[1]JOBS MAR 15'!$E$8:$E$525,$E$16:$E$533,'[1]JOBS MAR 15'!$I$8:$I$525)</f>
        <v>#VALUE!</v>
      </c>
      <c r="W507" s="55" t="str">
        <f t="shared" si="55"/>
        <v xml:space="preserve"> </v>
      </c>
    </row>
    <row r="508" spans="2:23" x14ac:dyDescent="0.2">
      <c r="B508">
        <v>4190</v>
      </c>
      <c r="C508">
        <v>7</v>
      </c>
      <c r="D508" s="2" t="s">
        <v>1065</v>
      </c>
      <c r="E508" s="50" t="s">
        <v>1066</v>
      </c>
      <c r="F508" s="50">
        <v>2700314</v>
      </c>
      <c r="G508" s="50">
        <v>4</v>
      </c>
      <c r="H508" s="52" t="e">
        <f>SUMIF('[1]Build Detail'!$D$4:$D$521,$B$16:$B$533,'[1]Build Detail'!$H$4:$H$521)</f>
        <v>#VALUE!</v>
      </c>
      <c r="I508" s="52" t="e">
        <f>SUMIF('[1]Build Detail'!$D$4:$D$521,$B$16:$B$533,'[1]Build Detail'!$Q$4:$Q$521)</f>
        <v>#VALUE!</v>
      </c>
      <c r="J508" s="52" t="e">
        <f>SUMIF('[1]Build Detail'!$D$4:$D$521,$B$16:$B$533,'[1]Build Detail'!$T$4:$T$521)</f>
        <v>#VALUE!</v>
      </c>
      <c r="K508" s="53">
        <v>459275.98</v>
      </c>
      <c r="L508" s="37">
        <f t="shared" si="58"/>
        <v>12951.96</v>
      </c>
      <c r="M508" s="37">
        <v>12762.52</v>
      </c>
      <c r="N508" s="38">
        <v>11486.27</v>
      </c>
      <c r="O508" s="37">
        <f t="shared" si="59"/>
        <v>1465.6899999999987</v>
      </c>
      <c r="P508" s="54" t="e">
        <f t="shared" si="51"/>
        <v>#VALUE!</v>
      </c>
      <c r="Q508" s="40">
        <f t="shared" si="52"/>
        <v>0.11316356752182671</v>
      </c>
      <c r="R508" s="37">
        <f t="shared" si="53"/>
        <v>189.43999999999869</v>
      </c>
      <c r="S508" s="41">
        <f t="shared" si="54"/>
        <v>1.484346351660947E-2</v>
      </c>
      <c r="T508" s="37" t="e">
        <f>SUMIF('[1]JOBS MAR 15'!$E$8:$E$525,$E$16:$E$533,'[1]JOBS MAR 15'!$G$8:$G$525)</f>
        <v>#VALUE!</v>
      </c>
      <c r="U508" s="37" t="e">
        <f>SUMIF('[1]JOBS MAR 15'!$E$8:$E$525,$E$16:$E$533,'[1]JOBS MAR 15'!$H$8:$H$525)</f>
        <v>#VALUE!</v>
      </c>
      <c r="V508" s="37" t="e">
        <f>SUMIF('[1]JOBS MAR 15'!$E$8:$E$525,$E$16:$E$533,'[1]JOBS MAR 15'!$I$8:$I$525)</f>
        <v>#VALUE!</v>
      </c>
      <c r="W508" s="55" t="str">
        <f t="shared" si="55"/>
        <v xml:space="preserve"> </v>
      </c>
    </row>
    <row r="509" spans="2:23" x14ac:dyDescent="0.2">
      <c r="B509">
        <v>4191</v>
      </c>
      <c r="C509">
        <v>7</v>
      </c>
      <c r="D509" s="2" t="s">
        <v>1067</v>
      </c>
      <c r="E509" s="50" t="s">
        <v>1068</v>
      </c>
      <c r="F509" s="50">
        <v>2700308</v>
      </c>
      <c r="G509" s="50">
        <v>5</v>
      </c>
      <c r="H509" s="52" t="e">
        <f>SUMIF('[1]Build Detail'!$D$4:$D$521,$B$16:$B$533,'[1]Build Detail'!$H$4:$H$521)</f>
        <v>#VALUE!</v>
      </c>
      <c r="I509" s="52" t="e">
        <f>SUMIF('[1]Build Detail'!$D$4:$D$521,$B$16:$B$533,'[1]Build Detail'!$Q$4:$Q$521)</f>
        <v>#VALUE!</v>
      </c>
      <c r="J509" s="52" t="e">
        <f>SUMIF('[1]Build Detail'!$D$4:$D$521,$B$16:$B$533,'[1]Build Detail'!$T$4:$T$521)</f>
        <v>#VALUE!</v>
      </c>
      <c r="K509" s="53">
        <v>1331809.8400000001</v>
      </c>
      <c r="L509" s="37">
        <f t="shared" si="58"/>
        <v>37558.14</v>
      </c>
      <c r="M509" s="37">
        <v>37901.74</v>
      </c>
      <c r="N509" s="38">
        <v>34111.57</v>
      </c>
      <c r="O509" s="37">
        <f t="shared" si="59"/>
        <v>3446.5699999999997</v>
      </c>
      <c r="P509" s="54" t="e">
        <f t="shared" si="51"/>
        <v>#VALUE!</v>
      </c>
      <c r="Q509" s="40">
        <f t="shared" si="52"/>
        <v>9.1766258925495239E-2</v>
      </c>
      <c r="R509" s="37">
        <f t="shared" si="53"/>
        <v>-343.59999999999854</v>
      </c>
      <c r="S509" s="41">
        <f t="shared" si="54"/>
        <v>-9.0655468587985295E-3</v>
      </c>
      <c r="T509" s="37" t="e">
        <f>SUMIF('[1]JOBS MAR 15'!$E$8:$E$525,$E$16:$E$533,'[1]JOBS MAR 15'!$G$8:$G$525)</f>
        <v>#VALUE!</v>
      </c>
      <c r="U509" s="37" t="e">
        <f>SUMIF('[1]JOBS MAR 15'!$E$8:$E$525,$E$16:$E$533,'[1]JOBS MAR 15'!$H$8:$H$525)</f>
        <v>#VALUE!</v>
      </c>
      <c r="V509" s="37" t="e">
        <f>SUMIF('[1]JOBS MAR 15'!$E$8:$E$525,$E$16:$E$533,'[1]JOBS MAR 15'!$I$8:$I$525)</f>
        <v>#VALUE!</v>
      </c>
      <c r="W509" s="55" t="str">
        <f t="shared" si="55"/>
        <v xml:space="preserve"> </v>
      </c>
    </row>
    <row r="510" spans="2:23" x14ac:dyDescent="0.2">
      <c r="B510">
        <v>4192</v>
      </c>
      <c r="C510">
        <v>7</v>
      </c>
      <c r="D510" s="2" t="s">
        <v>1069</v>
      </c>
      <c r="E510" s="50" t="s">
        <v>1070</v>
      </c>
      <c r="F510" s="50">
        <v>2700309</v>
      </c>
      <c r="G510" s="50">
        <v>5</v>
      </c>
      <c r="H510" s="52" t="e">
        <f>SUMIF('[1]Build Detail'!$D$4:$D$521,$B$16:$B$533,'[1]Build Detail'!$H$4:$H$521)</f>
        <v>#VALUE!</v>
      </c>
      <c r="I510" s="52" t="e">
        <f>SUMIF('[1]Build Detail'!$D$4:$D$521,$B$16:$B$533,'[1]Build Detail'!$Q$4:$Q$521)</f>
        <v>#VALUE!</v>
      </c>
      <c r="J510" s="52" t="e">
        <f>SUMIF('[1]Build Detail'!$D$4:$D$521,$B$16:$B$533,'[1]Build Detail'!$T$4:$T$521)</f>
        <v>#VALUE!</v>
      </c>
      <c r="K510" s="53">
        <v>4512583.6799999997</v>
      </c>
      <c r="L510" s="37">
        <f t="shared" si="58"/>
        <v>127258.59</v>
      </c>
      <c r="M510" s="37">
        <v>124664.64</v>
      </c>
      <c r="N510" s="38">
        <v>112198.18</v>
      </c>
      <c r="O510" s="37">
        <f t="shared" si="59"/>
        <v>15060.410000000003</v>
      </c>
      <c r="P510" s="54" t="e">
        <f t="shared" si="51"/>
        <v>#VALUE!</v>
      </c>
      <c r="Q510" s="40">
        <f t="shared" si="52"/>
        <v>0.11834493844384103</v>
      </c>
      <c r="R510" s="37">
        <f t="shared" si="53"/>
        <v>2593.9499999999971</v>
      </c>
      <c r="S510" s="41">
        <f t="shared" si="54"/>
        <v>2.0807423821221454E-2</v>
      </c>
      <c r="T510" s="37" t="e">
        <f>SUMIF('[1]JOBS MAR 15'!$E$8:$E$525,$E$16:$E$533,'[1]JOBS MAR 15'!$G$8:$G$525)</f>
        <v>#VALUE!</v>
      </c>
      <c r="U510" s="37" t="e">
        <f>SUMIF('[1]JOBS MAR 15'!$E$8:$E$525,$E$16:$E$533,'[1]JOBS MAR 15'!$H$8:$H$525)</f>
        <v>#VALUE!</v>
      </c>
      <c r="V510" s="37" t="e">
        <f>SUMIF('[1]JOBS MAR 15'!$E$8:$E$525,$E$16:$E$533,'[1]JOBS MAR 15'!$I$8:$I$525)</f>
        <v>#VALUE!</v>
      </c>
      <c r="W510" s="55" t="str">
        <f t="shared" si="55"/>
        <v xml:space="preserve"> </v>
      </c>
    </row>
    <row r="511" spans="2:23" x14ac:dyDescent="0.2">
      <c r="B511">
        <v>4193</v>
      </c>
      <c r="C511">
        <v>7</v>
      </c>
      <c r="D511" s="2" t="s">
        <v>1071</v>
      </c>
      <c r="E511" s="50" t="s">
        <v>1072</v>
      </c>
      <c r="F511" s="50">
        <v>2700325</v>
      </c>
      <c r="G511" s="50">
        <v>4</v>
      </c>
      <c r="H511" s="52" t="e">
        <f>SUMIF('[1]Build Detail'!$D$4:$D$521,$B$16:$B$533,'[1]Build Detail'!$H$4:$H$521)</f>
        <v>#VALUE!</v>
      </c>
      <c r="I511" s="52" t="e">
        <f>SUMIF('[1]Build Detail'!$D$4:$D$521,$B$16:$B$533,'[1]Build Detail'!$Q$4:$Q$521)</f>
        <v>#VALUE!</v>
      </c>
      <c r="J511" s="52" t="e">
        <f>SUMIF('[1]Build Detail'!$D$4:$D$521,$B$16:$B$533,'[1]Build Detail'!$T$4:$T$521)</f>
        <v>#VALUE!</v>
      </c>
      <c r="K511" s="53">
        <v>1828181.4500000002</v>
      </c>
      <c r="L511" s="37">
        <f t="shared" si="58"/>
        <v>51556.23</v>
      </c>
      <c r="M511" s="37">
        <v>51022.57</v>
      </c>
      <c r="N511" s="38">
        <v>45920.31</v>
      </c>
      <c r="O511" s="37">
        <f t="shared" si="59"/>
        <v>5635.9200000000055</v>
      </c>
      <c r="P511" s="54" t="e">
        <f t="shared" si="51"/>
        <v>#VALUE!</v>
      </c>
      <c r="Q511" s="40">
        <f t="shared" si="52"/>
        <v>0.10931598373271291</v>
      </c>
      <c r="R511" s="37">
        <f t="shared" si="53"/>
        <v>533.66000000000349</v>
      </c>
      <c r="S511" s="41">
        <f t="shared" si="54"/>
        <v>1.0459292818844749E-2</v>
      </c>
      <c r="T511" s="37" t="e">
        <f>SUMIF('[1]JOBS MAR 15'!$E$8:$E$525,$E$16:$E$533,'[1]JOBS MAR 15'!$G$8:$G$525)</f>
        <v>#VALUE!</v>
      </c>
      <c r="U511" s="37" t="e">
        <f>SUMIF('[1]JOBS MAR 15'!$E$8:$E$525,$E$16:$E$533,'[1]JOBS MAR 15'!$H$8:$H$525)</f>
        <v>#VALUE!</v>
      </c>
      <c r="V511" s="37" t="e">
        <f>SUMIF('[1]JOBS MAR 15'!$E$8:$E$525,$E$16:$E$533,'[1]JOBS MAR 15'!$I$8:$I$525)</f>
        <v>#VALUE!</v>
      </c>
      <c r="W511" s="55" t="str">
        <f t="shared" si="55"/>
        <v xml:space="preserve"> </v>
      </c>
    </row>
    <row r="512" spans="2:23" x14ac:dyDescent="0.2">
      <c r="B512">
        <v>4194</v>
      </c>
      <c r="C512">
        <v>7</v>
      </c>
      <c r="D512" s="2" t="s">
        <v>1073</v>
      </c>
      <c r="E512" s="50" t="s">
        <v>1074</v>
      </c>
      <c r="F512" s="50">
        <v>2700324</v>
      </c>
      <c r="G512" s="50">
        <v>2</v>
      </c>
      <c r="H512" s="52" t="e">
        <f>SUMIF('[1]Build Detail'!$D$4:$D$521,$B$16:$B$533,'[1]Build Detail'!$H$4:$H$521)</f>
        <v>#VALUE!</v>
      </c>
      <c r="I512" s="52" t="e">
        <f>SUMIF('[1]Build Detail'!$D$4:$D$521,$B$16:$B$533,'[1]Build Detail'!$Q$4:$Q$521)</f>
        <v>#VALUE!</v>
      </c>
      <c r="J512" s="52" t="e">
        <f>SUMIF('[1]Build Detail'!$D$4:$D$521,$B$16:$B$533,'[1]Build Detail'!$T$4:$T$521)</f>
        <v>#VALUE!</v>
      </c>
      <c r="K512" s="53">
        <v>1118559.9099999999</v>
      </c>
      <c r="L512" s="37">
        <f t="shared" si="58"/>
        <v>31544.31</v>
      </c>
      <c r="M512" s="37">
        <v>31559.3</v>
      </c>
      <c r="N512" s="38">
        <v>28403.37</v>
      </c>
      <c r="O512" s="37">
        <f t="shared" si="59"/>
        <v>3140.9400000000023</v>
      </c>
      <c r="P512" s="54" t="e">
        <f t="shared" si="51"/>
        <v>#VALUE!</v>
      </c>
      <c r="Q512" s="40">
        <f t="shared" si="52"/>
        <v>9.9572315894689165E-2</v>
      </c>
      <c r="R512" s="37">
        <f t="shared" si="53"/>
        <v>-14.989999999997963</v>
      </c>
      <c r="S512" s="41">
        <f t="shared" si="54"/>
        <v>-4.7497884934070029E-4</v>
      </c>
      <c r="T512" s="37" t="e">
        <f>SUMIF('[1]JOBS MAR 15'!$E$8:$E$525,$E$16:$E$533,'[1]JOBS MAR 15'!$G$8:$G$525)</f>
        <v>#VALUE!</v>
      </c>
      <c r="U512" s="37" t="e">
        <f>SUMIF('[1]JOBS MAR 15'!$E$8:$E$525,$E$16:$E$533,'[1]JOBS MAR 15'!$H$8:$H$525)</f>
        <v>#VALUE!</v>
      </c>
      <c r="V512" s="37" t="e">
        <f>SUMIF('[1]JOBS MAR 15'!$E$8:$E$525,$E$16:$E$533,'[1]JOBS MAR 15'!$I$8:$I$525)</f>
        <v>#VALUE!</v>
      </c>
      <c r="W512" s="55" t="str">
        <f t="shared" si="55"/>
        <v xml:space="preserve"> </v>
      </c>
    </row>
    <row r="513" spans="1:23" x14ac:dyDescent="0.2">
      <c r="B513">
        <v>4195</v>
      </c>
      <c r="C513">
        <v>7</v>
      </c>
      <c r="D513" s="2" t="s">
        <v>1075</v>
      </c>
      <c r="E513" s="50" t="s">
        <v>1076</v>
      </c>
      <c r="F513" s="50">
        <v>2700321</v>
      </c>
      <c r="G513" s="50">
        <v>8</v>
      </c>
      <c r="H513" s="52" t="e">
        <f>SUMIF('[1]Build Detail'!$D$4:$D$521,$B$16:$B$533,'[1]Build Detail'!$H$4:$H$521)</f>
        <v>#VALUE!</v>
      </c>
      <c r="I513" s="52" t="e">
        <f>SUMIF('[1]Build Detail'!$D$4:$D$521,$B$16:$B$533,'[1]Build Detail'!$Q$4:$Q$521)</f>
        <v>#VALUE!</v>
      </c>
      <c r="J513" s="52" t="e">
        <f>SUMIF('[1]Build Detail'!$D$4:$D$521,$B$16:$B$533,'[1]Build Detail'!$T$4:$T$521)</f>
        <v>#VALUE!</v>
      </c>
      <c r="K513" s="53">
        <v>382610.83999999997</v>
      </c>
      <c r="L513" s="37">
        <f t="shared" si="58"/>
        <v>10789.94</v>
      </c>
      <c r="M513" s="37">
        <v>10206.120000000001</v>
      </c>
      <c r="N513" s="38">
        <v>9185.51</v>
      </c>
      <c r="O513" s="37">
        <f t="shared" si="59"/>
        <v>1604.4300000000003</v>
      </c>
      <c r="P513" s="54" t="e">
        <f t="shared" si="51"/>
        <v>#VALUE!</v>
      </c>
      <c r="Q513" s="40">
        <f t="shared" si="52"/>
        <v>0.14869684168772024</v>
      </c>
      <c r="R513" s="37">
        <f t="shared" si="53"/>
        <v>583.81999999999971</v>
      </c>
      <c r="S513" s="41">
        <f t="shared" si="54"/>
        <v>5.7202933142075509E-2</v>
      </c>
      <c r="T513" s="37" t="e">
        <f>SUMIF('[1]JOBS MAR 15'!$E$8:$E$525,$E$16:$E$533,'[1]JOBS MAR 15'!$G$8:$G$525)</f>
        <v>#VALUE!</v>
      </c>
      <c r="U513" s="37" t="e">
        <f>SUMIF('[1]JOBS MAR 15'!$E$8:$E$525,$E$16:$E$533,'[1]JOBS MAR 15'!$H$8:$H$525)</f>
        <v>#VALUE!</v>
      </c>
      <c r="V513" s="37" t="e">
        <f>SUMIF('[1]JOBS MAR 15'!$E$8:$E$525,$E$16:$E$533,'[1]JOBS MAR 15'!$I$8:$I$525)</f>
        <v>#VALUE!</v>
      </c>
      <c r="W513" s="55" t="str">
        <f t="shared" si="55"/>
        <v xml:space="preserve"> </v>
      </c>
    </row>
    <row r="514" spans="1:23" x14ac:dyDescent="0.2">
      <c r="A514" s="56" t="s">
        <v>918</v>
      </c>
      <c r="B514" s="56">
        <v>4196</v>
      </c>
      <c r="C514" s="56">
        <v>7</v>
      </c>
      <c r="D514" s="59" t="s">
        <v>1077</v>
      </c>
      <c r="E514" s="60" t="s">
        <v>1078</v>
      </c>
      <c r="F514" s="60">
        <v>2700317</v>
      </c>
      <c r="G514" s="60">
        <v>5</v>
      </c>
      <c r="H514" s="61" t="e">
        <f>SUMIF('[1]Build Detail'!$D$4:$D$521,$B$16:$B$533,'[1]Build Detail'!$H$4:$H$521)</f>
        <v>#VALUE!</v>
      </c>
      <c r="I514" s="61" t="e">
        <f>SUMIF('[1]Build Detail'!$D$4:$D$521,$B$16:$B$533,'[1]Build Detail'!$Q$4:$Q$521)</f>
        <v>#VALUE!</v>
      </c>
      <c r="J514" s="61" t="e">
        <f>SUMIF('[1]Build Detail'!$D$4:$D$521,$B$16:$B$533,'[1]Build Detail'!$T$4:$T$521)</f>
        <v>#VALUE!</v>
      </c>
      <c r="K514" s="62">
        <v>252779.31</v>
      </c>
      <c r="L514" s="63">
        <v>18164</v>
      </c>
      <c r="M514" s="63">
        <v>20554.73</v>
      </c>
      <c r="N514" s="64">
        <v>18499.259999999998</v>
      </c>
      <c r="O514" s="63">
        <v>0</v>
      </c>
      <c r="P514" s="65" t="e">
        <f t="shared" si="51"/>
        <v>#VALUE!</v>
      </c>
      <c r="Q514" s="66">
        <f t="shared" si="52"/>
        <v>0</v>
      </c>
      <c r="R514" s="63">
        <f t="shared" si="53"/>
        <v>-2390.7299999999996</v>
      </c>
      <c r="S514" s="67">
        <f t="shared" si="54"/>
        <v>-0.11631045506314117</v>
      </c>
      <c r="T514" s="63" t="e">
        <f>SUMIF('[1]JOBS MAR 15'!$E$8:$E$525,$E$18:$E$533,'[1]JOBS MAR 15'!$G$8:$G$525)</f>
        <v>#VALUE!</v>
      </c>
      <c r="U514" s="63" t="e">
        <f>SUMIF('[1]JOBS MAR 15'!$E$8:$E$525,$E$18:$E$533,'[1]JOBS MAR 15'!$H$8:$H$525)</f>
        <v>#VALUE!</v>
      </c>
      <c r="V514" s="63" t="e">
        <f>SUMIF('[1]JOBS MAR 15'!$E$8:$E$525,$E$18:$E$533,'[1]JOBS MAR 15'!$I$8:$I$525)</f>
        <v>#VALUE!</v>
      </c>
      <c r="W514" s="68" t="str">
        <f t="shared" si="55"/>
        <v xml:space="preserve"> </v>
      </c>
    </row>
    <row r="515" spans="1:23" x14ac:dyDescent="0.2">
      <c r="B515" s="32">
        <v>4197</v>
      </c>
      <c r="C515" s="32">
        <v>7</v>
      </c>
      <c r="D515" s="58" t="s">
        <v>1079</v>
      </c>
      <c r="E515" s="50" t="s">
        <v>1080</v>
      </c>
      <c r="F515" s="50">
        <v>0</v>
      </c>
      <c r="G515" s="50">
        <v>5</v>
      </c>
      <c r="H515" s="52" t="e">
        <f>SUMIF('[1]Build Detail'!$D$4:$D$521,$B$16:$B$533,'[1]Build Detail'!$H$4:$H$521)</f>
        <v>#VALUE!</v>
      </c>
      <c r="I515" s="52" t="e">
        <f>SUMIF('[1]Build Detail'!$D$4:$D$521,$B$16:$B$533,'[1]Build Detail'!$Q$4:$Q$521)</f>
        <v>#VALUE!</v>
      </c>
      <c r="J515" s="52" t="e">
        <f>SUMIF('[1]Build Detail'!$D$4:$D$521,$B$16:$B$533,'[1]Build Detail'!$T$4:$T$521)</f>
        <v>#VALUE!</v>
      </c>
      <c r="K515" s="53">
        <v>1034419.81</v>
      </c>
      <c r="L515" s="37">
        <f t="shared" ref="L515:L533" si="60">ROUND(K515*$K$548,2)</f>
        <v>29171.49</v>
      </c>
      <c r="M515" s="37">
        <v>28809.14</v>
      </c>
      <c r="N515" s="38">
        <v>25928.23</v>
      </c>
      <c r="O515" s="37">
        <f t="shared" ref="O515:O530" si="61">L515-N515</f>
        <v>3243.260000000002</v>
      </c>
      <c r="P515" s="54" t="e">
        <f t="shared" si="51"/>
        <v>#VALUE!</v>
      </c>
      <c r="Q515" s="40">
        <f t="shared" si="52"/>
        <v>0.11117909986771336</v>
      </c>
      <c r="R515" s="37">
        <f t="shared" si="53"/>
        <v>362.35000000000218</v>
      </c>
      <c r="S515" s="41">
        <f t="shared" si="54"/>
        <v>1.2577605579340522E-2</v>
      </c>
      <c r="T515" s="37" t="e">
        <f>SUMIF('[1]JOBS MAR 15'!$E$8:$E$525,$E$16:$E$533,'[1]JOBS MAR 15'!$G$8:$G$525)</f>
        <v>#VALUE!</v>
      </c>
      <c r="U515" s="37" t="e">
        <f>SUMIF('[1]JOBS MAR 15'!$E$8:$E$525,$E$16:$E$533,'[1]JOBS MAR 15'!$H$8:$H$525)</f>
        <v>#VALUE!</v>
      </c>
      <c r="V515" s="37" t="e">
        <f>SUMIF('[1]JOBS MAR 15'!$E$8:$E$525,$E$16:$E$533,'[1]JOBS MAR 15'!$I$8:$I$525)</f>
        <v>#VALUE!</v>
      </c>
      <c r="W515" s="55" t="str">
        <f t="shared" si="55"/>
        <v xml:space="preserve"> </v>
      </c>
    </row>
    <row r="516" spans="1:23" x14ac:dyDescent="0.2">
      <c r="B516">
        <v>6004</v>
      </c>
      <c r="C516">
        <v>61</v>
      </c>
      <c r="D516" s="2" t="s">
        <v>1081</v>
      </c>
      <c r="E516" s="50" t="s">
        <v>1082</v>
      </c>
      <c r="F516" s="50">
        <v>14</v>
      </c>
      <c r="G516" s="50">
        <v>7</v>
      </c>
      <c r="H516" s="52" t="e">
        <f>SUMIF('[1]Build Detail'!$D$4:$D$521,$B$16:$B$533,'[1]Build Detail'!$H$4:$H$521)</f>
        <v>#VALUE!</v>
      </c>
      <c r="I516" s="52" t="e">
        <f>SUMIF('[1]Build Detail'!$D$4:$D$521,$B$16:$B$533,'[1]Build Detail'!$Q$4:$Q$521)</f>
        <v>#VALUE!</v>
      </c>
      <c r="J516" s="52" t="e">
        <f>SUMIF('[1]Build Detail'!$D$4:$D$521,$B$16:$B$533,'[1]Build Detail'!$T$4:$T$521)</f>
        <v>#VALUE!</v>
      </c>
      <c r="K516" s="53">
        <v>1382176.95</v>
      </c>
      <c r="L516" s="37">
        <f t="shared" si="60"/>
        <v>38978.53</v>
      </c>
      <c r="M516" s="37">
        <v>41208.86</v>
      </c>
      <c r="N516" s="38">
        <v>37087.97</v>
      </c>
      <c r="O516" s="37">
        <f t="shared" si="61"/>
        <v>1890.5599999999977</v>
      </c>
      <c r="P516" s="54" t="e">
        <f t="shared" si="51"/>
        <v>#VALUE!</v>
      </c>
      <c r="Q516" s="40">
        <f t="shared" si="52"/>
        <v>4.8502598738331015E-2</v>
      </c>
      <c r="R516" s="37">
        <f t="shared" si="53"/>
        <v>-2230.3300000000017</v>
      </c>
      <c r="S516" s="41">
        <f t="shared" si="54"/>
        <v>-5.4122584318032622E-2</v>
      </c>
      <c r="T516" s="37" t="e">
        <f>SUMIF('[1]JOBS MAR 15'!$E$8:$E$525,$E$16:$E$533,'[1]JOBS MAR 15'!$G$8:$G$525)</f>
        <v>#VALUE!</v>
      </c>
      <c r="U516" s="37" t="e">
        <f>SUMIF('[1]JOBS MAR 15'!$E$8:$E$525,$E$16:$E$533,'[1]JOBS MAR 15'!$H$8:$H$525)</f>
        <v>#VALUE!</v>
      </c>
      <c r="V516" s="37" t="e">
        <f>SUMIF('[1]JOBS MAR 15'!$E$8:$E$525,$E$16:$E$533,'[1]JOBS MAR 15'!$I$8:$I$525)</f>
        <v>#VALUE!</v>
      </c>
      <c r="W516" s="55" t="str">
        <f t="shared" si="55"/>
        <v xml:space="preserve"> </v>
      </c>
    </row>
    <row r="517" spans="1:23" x14ac:dyDescent="0.2">
      <c r="B517">
        <v>6012</v>
      </c>
      <c r="C517">
        <v>61</v>
      </c>
      <c r="D517" s="2" t="s">
        <v>1083</v>
      </c>
      <c r="E517" s="50" t="s">
        <v>1084</v>
      </c>
      <c r="F517" s="50">
        <v>54</v>
      </c>
      <c r="G517" s="50">
        <v>1</v>
      </c>
      <c r="H517" s="52" t="e">
        <f>SUMIF('[1]Build Detail'!$D$4:$D$521,$B$16:$B$533,'[1]Build Detail'!$H$4:$H$521)</f>
        <v>#VALUE!</v>
      </c>
      <c r="I517" s="52" t="e">
        <f>SUMIF('[1]Build Detail'!$D$4:$D$521,$B$16:$B$533,'[1]Build Detail'!$Q$4:$Q$521)</f>
        <v>#VALUE!</v>
      </c>
      <c r="J517" s="52" t="e">
        <f>SUMIF('[1]Build Detail'!$D$4:$D$521,$B$16:$B$533,'[1]Build Detail'!$T$4:$T$521)</f>
        <v>#VALUE!</v>
      </c>
      <c r="K517" s="53">
        <v>1205985.7799999998</v>
      </c>
      <c r="L517" s="37">
        <f t="shared" si="60"/>
        <v>34009.800000000003</v>
      </c>
      <c r="M517" s="37">
        <v>33721.96</v>
      </c>
      <c r="N517" s="38">
        <v>30349.759999999998</v>
      </c>
      <c r="O517" s="37">
        <f t="shared" si="61"/>
        <v>3660.0400000000045</v>
      </c>
      <c r="P517" s="54" t="e">
        <f t="shared" si="51"/>
        <v>#VALUE!</v>
      </c>
      <c r="Q517" s="40">
        <f t="shared" si="52"/>
        <v>0.10761721621415016</v>
      </c>
      <c r="R517" s="37">
        <f t="shared" si="53"/>
        <v>287.84000000000378</v>
      </c>
      <c r="S517" s="41">
        <f t="shared" si="54"/>
        <v>8.5356841654519421E-3</v>
      </c>
      <c r="T517" s="37" t="e">
        <f>SUMIF('[1]JOBS MAR 15'!$E$8:$E$525,$E$16:$E$533,'[1]JOBS MAR 15'!$G$8:$G$525)</f>
        <v>#VALUE!</v>
      </c>
      <c r="U517" s="37" t="e">
        <f>SUMIF('[1]JOBS MAR 15'!$E$8:$E$525,$E$16:$E$533,'[1]JOBS MAR 15'!$H$8:$H$525)</f>
        <v>#VALUE!</v>
      </c>
      <c r="V517" s="37" t="e">
        <f>SUMIF('[1]JOBS MAR 15'!$E$8:$E$525,$E$16:$E$533,'[1]JOBS MAR 15'!$I$8:$I$525)</f>
        <v>#VALUE!</v>
      </c>
      <c r="W517" s="55" t="str">
        <f t="shared" si="55"/>
        <v xml:space="preserve"> </v>
      </c>
    </row>
    <row r="518" spans="1:23" x14ac:dyDescent="0.2">
      <c r="B518">
        <v>6013</v>
      </c>
      <c r="C518">
        <v>61</v>
      </c>
      <c r="D518" s="2" t="s">
        <v>1085</v>
      </c>
      <c r="E518" s="50" t="s">
        <v>1086</v>
      </c>
      <c r="F518" s="50">
        <v>55</v>
      </c>
      <c r="G518" s="50">
        <v>1</v>
      </c>
      <c r="H518" s="52" t="e">
        <f>SUMIF('[1]Build Detail'!$D$4:$D$521,$B$16:$B$533,'[1]Build Detail'!$H$4:$H$521)</f>
        <v>#VALUE!</v>
      </c>
      <c r="I518" s="52" t="e">
        <f>SUMIF('[1]Build Detail'!$D$4:$D$521,$B$16:$B$533,'[1]Build Detail'!$Q$4:$Q$521)</f>
        <v>#VALUE!</v>
      </c>
      <c r="J518" s="52" t="e">
        <f>SUMIF('[1]Build Detail'!$D$4:$D$521,$B$16:$B$533,'[1]Build Detail'!$T$4:$T$521)</f>
        <v>#VALUE!</v>
      </c>
      <c r="K518" s="53">
        <v>1245792.72</v>
      </c>
      <c r="L518" s="37">
        <f t="shared" si="60"/>
        <v>35132.379999999997</v>
      </c>
      <c r="M518" s="37">
        <v>34344.71</v>
      </c>
      <c r="N518" s="38">
        <v>30910.240000000002</v>
      </c>
      <c r="O518" s="37">
        <f t="shared" si="61"/>
        <v>4222.1399999999958</v>
      </c>
      <c r="P518" s="54" t="e">
        <f t="shared" si="51"/>
        <v>#VALUE!</v>
      </c>
      <c r="Q518" s="40">
        <f t="shared" si="52"/>
        <v>0.12017802380595895</v>
      </c>
      <c r="R518" s="37">
        <f t="shared" si="53"/>
        <v>787.66999999999825</v>
      </c>
      <c r="S518" s="41">
        <f t="shared" si="54"/>
        <v>2.2934245186522123E-2</v>
      </c>
      <c r="T518" s="37" t="e">
        <f>SUMIF('[1]JOBS MAR 15'!$E$8:$E$525,$E$16:$E$533,'[1]JOBS MAR 15'!$G$8:$G$525)</f>
        <v>#VALUE!</v>
      </c>
      <c r="U518" s="37" t="e">
        <f>SUMIF('[1]JOBS MAR 15'!$E$8:$E$525,$E$16:$E$533,'[1]JOBS MAR 15'!$H$8:$H$525)</f>
        <v>#VALUE!</v>
      </c>
      <c r="V518" s="37" t="e">
        <f>SUMIF('[1]JOBS MAR 15'!$E$8:$E$525,$E$16:$E$533,'[1]JOBS MAR 15'!$I$8:$I$525)</f>
        <v>#VALUE!</v>
      </c>
      <c r="W518" s="55" t="str">
        <f t="shared" si="55"/>
        <v xml:space="preserve"> </v>
      </c>
    </row>
    <row r="519" spans="1:23" x14ac:dyDescent="0.2">
      <c r="B519">
        <v>6014</v>
      </c>
      <c r="C519">
        <v>61</v>
      </c>
      <c r="D519" s="2" t="s">
        <v>1087</v>
      </c>
      <c r="E519" s="50" t="s">
        <v>1088</v>
      </c>
      <c r="F519" s="50">
        <v>16</v>
      </c>
      <c r="G519" s="50">
        <v>7</v>
      </c>
      <c r="H519" s="52" t="e">
        <f>SUMIF('[1]Build Detail'!$D$4:$D$521,$B$16:$B$533,'[1]Build Detail'!$H$4:$H$521)</f>
        <v>#VALUE!</v>
      </c>
      <c r="I519" s="52" t="e">
        <f>SUMIF('[1]Build Detail'!$D$4:$D$521,$B$16:$B$533,'[1]Build Detail'!$Q$4:$Q$521)</f>
        <v>#VALUE!</v>
      </c>
      <c r="J519" s="52" t="e">
        <f>SUMIF('[1]Build Detail'!$D$4:$D$521,$B$16:$B$533,'[1]Build Detail'!$T$4:$T$521)</f>
        <v>#VALUE!</v>
      </c>
      <c r="K519" s="53">
        <v>118299.57999999999</v>
      </c>
      <c r="L519" s="37">
        <f t="shared" si="60"/>
        <v>3336.15</v>
      </c>
      <c r="M519" s="37">
        <v>3483.06</v>
      </c>
      <c r="N519" s="38">
        <v>3134.75</v>
      </c>
      <c r="O519" s="37">
        <f t="shared" si="61"/>
        <v>201.40000000000009</v>
      </c>
      <c r="P519" s="54" t="e">
        <f t="shared" si="51"/>
        <v>#VALUE!</v>
      </c>
      <c r="Q519" s="40">
        <f t="shared" si="52"/>
        <v>6.0368988204966827E-2</v>
      </c>
      <c r="R519" s="37">
        <f t="shared" si="53"/>
        <v>-146.90999999999985</v>
      </c>
      <c r="S519" s="41">
        <f t="shared" si="54"/>
        <v>-4.2178429312156512E-2</v>
      </c>
      <c r="T519" s="37" t="e">
        <f>SUMIF('[1]JOBS MAR 15'!$E$8:$E$525,$E$16:$E$533,'[1]JOBS MAR 15'!$G$8:$G$525)</f>
        <v>#VALUE!</v>
      </c>
      <c r="U519" s="37" t="e">
        <f>SUMIF('[1]JOBS MAR 15'!$E$8:$E$525,$E$16:$E$533,'[1]JOBS MAR 15'!$H$8:$H$525)</f>
        <v>#VALUE!</v>
      </c>
      <c r="V519" s="37" t="e">
        <f>SUMIF('[1]JOBS MAR 15'!$E$8:$E$525,$E$16:$E$533,'[1]JOBS MAR 15'!$I$8:$I$525)</f>
        <v>#VALUE!</v>
      </c>
      <c r="W519" s="55" t="str">
        <f t="shared" si="55"/>
        <v xml:space="preserve"> </v>
      </c>
    </row>
    <row r="520" spans="1:23" x14ac:dyDescent="0.2">
      <c r="B520" s="32">
        <v>6018</v>
      </c>
      <c r="C520" s="32">
        <v>61</v>
      </c>
      <c r="D520" s="58" t="s">
        <v>1089</v>
      </c>
      <c r="E520" s="50" t="s">
        <v>1090</v>
      </c>
      <c r="F520" s="50">
        <v>58</v>
      </c>
      <c r="G520" s="76">
        <v>7</v>
      </c>
      <c r="H520" s="52" t="e">
        <f>SUMIF('[1]Build Detail'!$D$4:$D$521,$B$16:$B$533,'[1]Build Detail'!$H$4:$H$521)</f>
        <v>#VALUE!</v>
      </c>
      <c r="I520" s="52" t="e">
        <f>SUMIF('[1]Build Detail'!$D$4:$D$521,$B$16:$B$533,'[1]Build Detail'!$Q$4:$Q$521)</f>
        <v>#VALUE!</v>
      </c>
      <c r="J520" s="52" t="e">
        <f>SUMIF('[1]Build Detail'!$D$4:$D$521,$B$16:$B$533,'[1]Build Detail'!$T$4:$T$521)</f>
        <v>#VALUE!</v>
      </c>
      <c r="K520" s="53">
        <v>275736.56</v>
      </c>
      <c r="L520" s="37">
        <f t="shared" si="60"/>
        <v>7776</v>
      </c>
      <c r="M520" s="37">
        <v>7778.9</v>
      </c>
      <c r="N520" s="38">
        <v>7001.01</v>
      </c>
      <c r="O520" s="37">
        <f t="shared" si="61"/>
        <v>774.98999999999978</v>
      </c>
      <c r="P520" s="54" t="e">
        <f t="shared" si="51"/>
        <v>#VALUE!</v>
      </c>
      <c r="Q520" s="40">
        <f t="shared" si="52"/>
        <v>9.9664351851851823E-2</v>
      </c>
      <c r="R520" s="37">
        <f t="shared" si="53"/>
        <v>-2.8999999999996362</v>
      </c>
      <c r="S520" s="41">
        <f t="shared" si="54"/>
        <v>-3.7280335265906959E-4</v>
      </c>
      <c r="T520" s="37" t="e">
        <f>SUMIF('[1]JOBS MAR 15'!$E$8:$E$525,$E$16:$E$533,'[1]JOBS MAR 15'!$G$8:$G$525)</f>
        <v>#VALUE!</v>
      </c>
      <c r="U520" s="37" t="e">
        <f>SUMIF('[1]JOBS MAR 15'!$E$8:$E$525,$E$16:$E$533,'[1]JOBS MAR 15'!$H$8:$H$525)</f>
        <v>#VALUE!</v>
      </c>
      <c r="V520" s="37" t="e">
        <f>SUMIF('[1]JOBS MAR 15'!$E$8:$E$525,$E$16:$E$533,'[1]JOBS MAR 15'!$I$8:$I$525)</f>
        <v>#VALUE!</v>
      </c>
      <c r="W520" s="55" t="str">
        <f t="shared" si="55"/>
        <v xml:space="preserve"> </v>
      </c>
    </row>
    <row r="521" spans="1:23" x14ac:dyDescent="0.2">
      <c r="B521">
        <v>6026</v>
      </c>
      <c r="C521">
        <v>61</v>
      </c>
      <c r="D521" s="2" t="s">
        <v>1091</v>
      </c>
      <c r="E521" s="50" t="s">
        <v>1092</v>
      </c>
      <c r="F521" s="50">
        <v>91455</v>
      </c>
      <c r="G521" s="50">
        <v>7</v>
      </c>
      <c r="H521" s="52" t="e">
        <f>SUMIF('[1]Build Detail'!$D$4:$D$521,$B$16:$B$533,'[1]Build Detail'!$H$4:$H$521)</f>
        <v>#VALUE!</v>
      </c>
      <c r="I521" s="52" t="e">
        <f>SUMIF('[1]Build Detail'!$D$4:$D$521,$B$16:$B$533,'[1]Build Detail'!$Q$4:$Q$521)</f>
        <v>#VALUE!</v>
      </c>
      <c r="J521" s="52" t="e">
        <f>SUMIF('[1]Build Detail'!$D$4:$D$521,$B$16:$B$533,'[1]Build Detail'!$T$4:$T$521)</f>
        <v>#VALUE!</v>
      </c>
      <c r="K521" s="53">
        <v>586030.64</v>
      </c>
      <c r="L521" s="37">
        <f t="shared" si="60"/>
        <v>16526.55</v>
      </c>
      <c r="M521" s="37">
        <v>16545.490000000002</v>
      </c>
      <c r="N521" s="38">
        <v>14890.94</v>
      </c>
      <c r="O521" s="37">
        <f t="shared" si="61"/>
        <v>1635.6099999999988</v>
      </c>
      <c r="P521" s="54" t="e">
        <f t="shared" si="51"/>
        <v>#VALUE!</v>
      </c>
      <c r="Q521" s="40">
        <f t="shared" si="52"/>
        <v>9.8968629266241226E-2</v>
      </c>
      <c r="R521" s="37">
        <f t="shared" si="53"/>
        <v>-18.940000000002328</v>
      </c>
      <c r="S521" s="41">
        <f t="shared" si="54"/>
        <v>-1.1447228217479402E-3</v>
      </c>
      <c r="T521" s="37" t="e">
        <f>SUMIF('[1]JOBS MAR 15'!$E$8:$E$525,$E$16:$E$533,'[1]JOBS MAR 15'!$G$8:$G$525)</f>
        <v>#VALUE!</v>
      </c>
      <c r="U521" s="37" t="e">
        <f>SUMIF('[1]JOBS MAR 15'!$E$8:$E$525,$E$16:$E$533,'[1]JOBS MAR 15'!$H$8:$H$525)</f>
        <v>#VALUE!</v>
      </c>
      <c r="V521" s="37" t="e">
        <f>SUMIF('[1]JOBS MAR 15'!$E$8:$E$525,$E$16:$E$533,'[1]JOBS MAR 15'!$I$8:$I$525)</f>
        <v>#VALUE!</v>
      </c>
      <c r="W521" s="55" t="str">
        <f t="shared" si="55"/>
        <v xml:space="preserve"> </v>
      </c>
    </row>
    <row r="522" spans="1:23" x14ac:dyDescent="0.2">
      <c r="B522">
        <v>6027</v>
      </c>
      <c r="C522">
        <v>61</v>
      </c>
      <c r="D522" s="2" t="s">
        <v>1093</v>
      </c>
      <c r="E522" s="50" t="s">
        <v>1094</v>
      </c>
      <c r="F522" s="50">
        <v>63</v>
      </c>
      <c r="G522" s="50">
        <v>1</v>
      </c>
      <c r="H522" s="52" t="e">
        <f>SUMIF('[1]Build Detail'!$D$4:$D$521,$B$16:$B$533,'[1]Build Detail'!$H$4:$H$521)</f>
        <v>#VALUE!</v>
      </c>
      <c r="I522" s="52" t="e">
        <f>SUMIF('[1]Build Detail'!$D$4:$D$521,$B$16:$B$533,'[1]Build Detail'!$Q$4:$Q$521)</f>
        <v>#VALUE!</v>
      </c>
      <c r="J522" s="52" t="e">
        <f>SUMIF('[1]Build Detail'!$D$4:$D$521,$B$16:$B$533,'[1]Build Detail'!$T$4:$T$521)</f>
        <v>#VALUE!</v>
      </c>
      <c r="K522" s="53">
        <v>1682698.9200000002</v>
      </c>
      <c r="L522" s="37">
        <f t="shared" si="60"/>
        <v>47453.5</v>
      </c>
      <c r="M522" s="37">
        <v>54853.23</v>
      </c>
      <c r="N522" s="38">
        <v>49367.91</v>
      </c>
      <c r="O522" s="37">
        <f t="shared" si="61"/>
        <v>-1914.4100000000035</v>
      </c>
      <c r="P522" s="54" t="e">
        <f t="shared" si="51"/>
        <v>#VALUE!</v>
      </c>
      <c r="Q522" s="40">
        <f t="shared" si="52"/>
        <v>-4.0342861959602634E-2</v>
      </c>
      <c r="R522" s="37">
        <f t="shared" si="53"/>
        <v>-7399.7300000000032</v>
      </c>
      <c r="S522" s="41">
        <f t="shared" si="54"/>
        <v>-0.1349005336604609</v>
      </c>
      <c r="T522" s="37" t="e">
        <f>SUMIF('[1]JOBS MAR 15'!$E$8:$E$525,$E$16:$E$533,'[1]JOBS MAR 15'!$G$8:$G$525)</f>
        <v>#VALUE!</v>
      </c>
      <c r="U522" s="37" t="e">
        <f>SUMIF('[1]JOBS MAR 15'!$E$8:$E$525,$E$16:$E$533,'[1]JOBS MAR 15'!$H$8:$H$525)</f>
        <v>#VALUE!</v>
      </c>
      <c r="V522" s="37" t="e">
        <f>SUMIF('[1]JOBS MAR 15'!$E$8:$E$525,$E$16:$E$533,'[1]JOBS MAR 15'!$I$8:$I$525)</f>
        <v>#VALUE!</v>
      </c>
      <c r="W522" s="55" t="e">
        <f t="shared" si="55"/>
        <v>#VALUE!</v>
      </c>
    </row>
    <row r="523" spans="1:23" x14ac:dyDescent="0.2">
      <c r="B523">
        <v>6049</v>
      </c>
      <c r="C523">
        <v>61</v>
      </c>
      <c r="D523" s="2" t="s">
        <v>1095</v>
      </c>
      <c r="E523" s="50" t="s">
        <v>1096</v>
      </c>
      <c r="F523" s="50">
        <v>91353</v>
      </c>
      <c r="G523" s="50">
        <v>1</v>
      </c>
      <c r="H523" s="52" t="e">
        <f>SUMIF('[1]Build Detail'!$D$4:$D$521,$B$16:$B$533,'[1]Build Detail'!$H$4:$H$521)</f>
        <v>#VALUE!</v>
      </c>
      <c r="I523" s="52" t="e">
        <f>SUMIF('[1]Build Detail'!$D$4:$D$521,$B$16:$B$533,'[1]Build Detail'!$Q$4:$Q$521)</f>
        <v>#VALUE!</v>
      </c>
      <c r="J523" s="52" t="e">
        <f>SUMIF('[1]Build Detail'!$D$4:$D$521,$B$16:$B$533,'[1]Build Detail'!$T$4:$T$521)</f>
        <v>#VALUE!</v>
      </c>
      <c r="K523" s="53">
        <v>1464091.8</v>
      </c>
      <c r="L523" s="37">
        <f t="shared" si="60"/>
        <v>41288.6</v>
      </c>
      <c r="M523" s="37">
        <v>44707.91</v>
      </c>
      <c r="N523" s="38">
        <v>40237.120000000003</v>
      </c>
      <c r="O523" s="37">
        <f t="shared" si="61"/>
        <v>1051.4799999999959</v>
      </c>
      <c r="P523" s="54" t="e">
        <f t="shared" si="51"/>
        <v>#VALUE!</v>
      </c>
      <c r="Q523" s="40">
        <f t="shared" si="52"/>
        <v>2.5466593684455176E-2</v>
      </c>
      <c r="R523" s="37">
        <f t="shared" si="53"/>
        <v>-3419.3100000000049</v>
      </c>
      <c r="S523" s="41">
        <f t="shared" si="54"/>
        <v>-7.648109696919414E-2</v>
      </c>
      <c r="T523" s="37" t="e">
        <f>SUMIF('[1]JOBS MAR 15'!$E$8:$E$525,$E$16:$E$533,'[1]JOBS MAR 15'!$G$8:$G$525)</f>
        <v>#VALUE!</v>
      </c>
      <c r="U523" s="37" t="e">
        <f>SUMIF('[1]JOBS MAR 15'!$E$8:$E$525,$E$16:$E$533,'[1]JOBS MAR 15'!$H$8:$H$525)</f>
        <v>#VALUE!</v>
      </c>
      <c r="V523" s="37" t="e">
        <f>SUMIF('[1]JOBS MAR 15'!$E$8:$E$525,$E$16:$E$533,'[1]JOBS MAR 15'!$I$8:$I$525)</f>
        <v>#VALUE!</v>
      </c>
      <c r="W523" s="55" t="str">
        <f t="shared" si="55"/>
        <v xml:space="preserve"> </v>
      </c>
    </row>
    <row r="524" spans="1:23" x14ac:dyDescent="0.2">
      <c r="B524">
        <v>6051</v>
      </c>
      <c r="C524">
        <v>61</v>
      </c>
      <c r="D524" s="2" t="s">
        <v>1097</v>
      </c>
      <c r="E524" s="50" t="s">
        <v>1098</v>
      </c>
      <c r="F524" s="50">
        <v>91443</v>
      </c>
      <c r="G524" s="50">
        <v>2</v>
      </c>
      <c r="H524" s="52" t="e">
        <f>SUMIF('[1]Build Detail'!$D$4:$D$521,$B$16:$B$533,'[1]Build Detail'!$H$4:$H$521)</f>
        <v>#VALUE!</v>
      </c>
      <c r="I524" s="52" t="e">
        <f>SUMIF('[1]Build Detail'!$D$4:$D$521,$B$16:$B$533,'[1]Build Detail'!$Q$4:$Q$521)</f>
        <v>#VALUE!</v>
      </c>
      <c r="J524" s="52" t="e">
        <f>SUMIF('[1]Build Detail'!$D$4:$D$521,$B$16:$B$533,'[1]Build Detail'!$T$4:$T$521)</f>
        <v>#VALUE!</v>
      </c>
      <c r="K524" s="53">
        <v>1767190.03</v>
      </c>
      <c r="L524" s="37">
        <f t="shared" si="60"/>
        <v>49836.22</v>
      </c>
      <c r="M524" s="37">
        <v>53941.31</v>
      </c>
      <c r="N524" s="38">
        <v>48547.18</v>
      </c>
      <c r="O524" s="37">
        <f t="shared" si="61"/>
        <v>1289.0400000000009</v>
      </c>
      <c r="P524" s="54" t="e">
        <f t="shared" si="51"/>
        <v>#VALUE!</v>
      </c>
      <c r="Q524" s="40">
        <f t="shared" si="52"/>
        <v>2.5865525114063644E-2</v>
      </c>
      <c r="R524" s="37">
        <f t="shared" si="53"/>
        <v>-4105.0899999999965</v>
      </c>
      <c r="S524" s="41">
        <f t="shared" si="54"/>
        <v>-7.6102897760547461E-2</v>
      </c>
      <c r="T524" s="37" t="e">
        <f>SUMIF('[1]JOBS MAR 15'!$E$8:$E$525,$E$16:$E$533,'[1]JOBS MAR 15'!$G$8:$G$525)</f>
        <v>#VALUE!</v>
      </c>
      <c r="U524" s="37" t="e">
        <f>SUMIF('[1]JOBS MAR 15'!$E$8:$E$525,$E$16:$E$533,'[1]JOBS MAR 15'!$H$8:$H$525)</f>
        <v>#VALUE!</v>
      </c>
      <c r="V524" s="37" t="e">
        <f>SUMIF('[1]JOBS MAR 15'!$E$8:$E$525,$E$16:$E$533,'[1]JOBS MAR 15'!$I$8:$I$525)</f>
        <v>#VALUE!</v>
      </c>
      <c r="W524" s="55" t="str">
        <f t="shared" si="55"/>
        <v xml:space="preserve"> </v>
      </c>
    </row>
    <row r="525" spans="1:23" x14ac:dyDescent="0.2">
      <c r="B525">
        <v>6067</v>
      </c>
      <c r="C525">
        <v>62</v>
      </c>
      <c r="D525" s="2" t="s">
        <v>1099</v>
      </c>
      <c r="E525" s="50" t="s">
        <v>1100</v>
      </c>
      <c r="F525" s="50">
        <v>145</v>
      </c>
      <c r="G525" s="50">
        <v>4</v>
      </c>
      <c r="H525" s="52" t="e">
        <f>SUMIF('[1]Build Detail'!$D$4:$D$521,$B$16:$B$533,'[1]Build Detail'!$H$4:$H$521)</f>
        <v>#VALUE!</v>
      </c>
      <c r="I525" s="52" t="e">
        <f>SUMIF('[1]Build Detail'!$D$4:$D$521,$B$16:$B$533,'[1]Build Detail'!$Q$4:$Q$521)</f>
        <v>#VALUE!</v>
      </c>
      <c r="J525" s="52" t="e">
        <f>SUMIF('[1]Build Detail'!$D$4:$D$521,$B$16:$B$533,'[1]Build Detail'!$T$4:$T$521)</f>
        <v>#VALUE!</v>
      </c>
      <c r="K525" s="53">
        <v>3342465.09</v>
      </c>
      <c r="L525" s="37">
        <f t="shared" si="60"/>
        <v>94260.28</v>
      </c>
      <c r="M525" s="37">
        <v>87953.4</v>
      </c>
      <c r="N525" s="38">
        <v>79158.06</v>
      </c>
      <c r="O525" s="37">
        <f t="shared" si="61"/>
        <v>15102.220000000001</v>
      </c>
      <c r="P525" s="54" t="e">
        <f t="shared" si="51"/>
        <v>#VALUE!</v>
      </c>
      <c r="Q525" s="40">
        <f t="shared" si="52"/>
        <v>0.16021828070105459</v>
      </c>
      <c r="R525" s="37">
        <f t="shared" si="53"/>
        <v>6306.8800000000047</v>
      </c>
      <c r="S525" s="41">
        <f t="shared" si="54"/>
        <v>7.1707063058392348E-2</v>
      </c>
      <c r="T525" s="37" t="e">
        <f>SUMIF('[1]JOBS MAR 15'!$E$8:$E$525,$E$16:$E$533,'[1]JOBS MAR 15'!$G$8:$G$525)</f>
        <v>#VALUE!</v>
      </c>
      <c r="U525" s="37" t="e">
        <f>SUMIF('[1]JOBS MAR 15'!$E$8:$E$525,$E$16:$E$533,'[1]JOBS MAR 15'!$H$8:$H$525)</f>
        <v>#VALUE!</v>
      </c>
      <c r="V525" s="37" t="e">
        <f>SUMIF('[1]JOBS MAR 15'!$E$8:$E$525,$E$16:$E$533,'[1]JOBS MAR 15'!$I$8:$I$525)</f>
        <v>#VALUE!</v>
      </c>
      <c r="W525" s="55" t="str">
        <f t="shared" si="55"/>
        <v xml:space="preserve"> </v>
      </c>
    </row>
    <row r="526" spans="1:23" x14ac:dyDescent="0.2">
      <c r="B526">
        <v>6069</v>
      </c>
      <c r="C526">
        <v>62</v>
      </c>
      <c r="D526" s="2" t="s">
        <v>1101</v>
      </c>
      <c r="E526" s="50" t="s">
        <v>1102</v>
      </c>
      <c r="F526" s="50">
        <v>161</v>
      </c>
      <c r="G526" s="50">
        <v>5</v>
      </c>
      <c r="H526" s="52" t="e">
        <f>SUMIF('[1]Build Detail'!$D$4:$D$521,$B$16:$B$533,'[1]Build Detail'!$H$4:$H$521)</f>
        <v>#VALUE!</v>
      </c>
      <c r="I526" s="52" t="e">
        <f>SUMIF('[1]Build Detail'!$D$4:$D$521,$B$16:$B$533,'[1]Build Detail'!$Q$4:$Q$521)</f>
        <v>#VALUE!</v>
      </c>
      <c r="J526" s="52" t="e">
        <f>SUMIF('[1]Build Detail'!$D$4:$D$521,$B$16:$B$533,'[1]Build Detail'!$T$4:$T$521)</f>
        <v>#VALUE!</v>
      </c>
      <c r="K526" s="53">
        <v>2074308.4700000002</v>
      </c>
      <c r="L526" s="37">
        <f t="shared" si="60"/>
        <v>58497.21</v>
      </c>
      <c r="M526" s="37">
        <v>58330.09</v>
      </c>
      <c r="N526" s="38">
        <v>52497.08</v>
      </c>
      <c r="O526" s="37">
        <f t="shared" si="61"/>
        <v>6000.1299999999974</v>
      </c>
      <c r="P526" s="54" t="e">
        <f t="shared" si="51"/>
        <v>#VALUE!</v>
      </c>
      <c r="Q526" s="40">
        <f t="shared" si="52"/>
        <v>0.10257121664434932</v>
      </c>
      <c r="R526" s="37">
        <f t="shared" si="53"/>
        <v>167.12000000000262</v>
      </c>
      <c r="S526" s="41">
        <f t="shared" si="54"/>
        <v>2.8650735838055903E-3</v>
      </c>
      <c r="T526" s="37" t="e">
        <f>SUMIF('[1]JOBS MAR 15'!$E$8:$E$525,$E$16:$E$533,'[1]JOBS MAR 15'!$G$8:$G$525)</f>
        <v>#VALUE!</v>
      </c>
      <c r="U526" s="37" t="e">
        <f>SUMIF('[1]JOBS MAR 15'!$E$8:$E$525,$E$16:$E$533,'[1]JOBS MAR 15'!$H$8:$H$525)</f>
        <v>#VALUE!</v>
      </c>
      <c r="V526" s="37" t="e">
        <f>SUMIF('[1]JOBS MAR 15'!$E$8:$E$525,$E$16:$E$533,'[1]JOBS MAR 15'!$I$8:$I$525)</f>
        <v>#VALUE!</v>
      </c>
      <c r="W526" s="55" t="str">
        <f t="shared" si="55"/>
        <v xml:space="preserve"> </v>
      </c>
    </row>
    <row r="527" spans="1:23" x14ac:dyDescent="0.2">
      <c r="B527">
        <v>6072</v>
      </c>
      <c r="C527">
        <v>62</v>
      </c>
      <c r="D527" s="2" t="s">
        <v>1103</v>
      </c>
      <c r="E527" s="50" t="s">
        <v>1104</v>
      </c>
      <c r="F527" s="50">
        <v>146</v>
      </c>
      <c r="G527" s="50">
        <v>6</v>
      </c>
      <c r="H527" s="52" t="e">
        <f>SUMIF('[1]Build Detail'!$D$4:$D$521,$B$16:$B$533,'[1]Build Detail'!$H$4:$H$521)</f>
        <v>#VALUE!</v>
      </c>
      <c r="I527" s="52" t="e">
        <f>SUMIF('[1]Build Detail'!$D$4:$D$521,$B$16:$B$533,'[1]Build Detail'!$Q$4:$Q$521)</f>
        <v>#VALUE!</v>
      </c>
      <c r="J527" s="52" t="e">
        <f>SUMIF('[1]Build Detail'!$D$4:$D$521,$B$16:$B$533,'[1]Build Detail'!$T$4:$T$521)</f>
        <v>#VALUE!</v>
      </c>
      <c r="K527" s="53">
        <v>1471029.72</v>
      </c>
      <c r="L527" s="37">
        <f t="shared" si="60"/>
        <v>41484.25</v>
      </c>
      <c r="M527" s="37">
        <v>40635.440000000002</v>
      </c>
      <c r="N527" s="38">
        <v>36571.9</v>
      </c>
      <c r="O527" s="37">
        <f t="shared" si="61"/>
        <v>4912.3499999999985</v>
      </c>
      <c r="P527" s="54" t="e">
        <f t="shared" si="51"/>
        <v>#VALUE!</v>
      </c>
      <c r="Q527" s="40">
        <f t="shared" si="52"/>
        <v>0.11841482008232036</v>
      </c>
      <c r="R527" s="37">
        <f t="shared" si="53"/>
        <v>848.80999999999767</v>
      </c>
      <c r="S527" s="41">
        <f t="shared" si="54"/>
        <v>2.0888416613675097E-2</v>
      </c>
      <c r="T527" s="37" t="e">
        <f>SUMIF('[1]JOBS MAR 15'!$E$8:$E$525,$E$16:$E$533,'[1]JOBS MAR 15'!$G$8:$G$525)</f>
        <v>#VALUE!</v>
      </c>
      <c r="U527" s="37" t="e">
        <f>SUMIF('[1]JOBS MAR 15'!$E$8:$E$525,$E$16:$E$533,'[1]JOBS MAR 15'!$H$8:$H$525)</f>
        <v>#VALUE!</v>
      </c>
      <c r="V527" s="37" t="e">
        <f>SUMIF('[1]JOBS MAR 15'!$E$8:$E$525,$E$16:$E$533,'[1]JOBS MAR 15'!$I$8:$I$525)</f>
        <v>#VALUE!</v>
      </c>
      <c r="W527" s="55" t="str">
        <f t="shared" si="55"/>
        <v xml:space="preserve"> </v>
      </c>
    </row>
    <row r="528" spans="1:23" x14ac:dyDescent="0.2">
      <c r="B528" s="32">
        <v>6074</v>
      </c>
      <c r="C528" s="32">
        <v>50</v>
      </c>
      <c r="D528" s="58" t="s">
        <v>1105</v>
      </c>
      <c r="E528" s="50" t="s">
        <v>1106</v>
      </c>
      <c r="F528" s="50">
        <v>143</v>
      </c>
      <c r="G528" s="50">
        <v>7</v>
      </c>
      <c r="H528" s="52" t="e">
        <f>SUMIF('[1]Build Detail'!$D$4:$D$521,$B$16:$B$533,'[1]Build Detail'!$H$4:$H$521)</f>
        <v>#VALUE!</v>
      </c>
      <c r="I528" s="52" t="e">
        <f>SUMIF('[1]Build Detail'!$D$4:$D$521,$B$16:$B$533,'[1]Build Detail'!$Q$4:$Q$521)</f>
        <v>#VALUE!</v>
      </c>
      <c r="J528" s="52" t="e">
        <f>SUMIF('[1]Build Detail'!$D$4:$D$521,$B$16:$B$533,'[1]Build Detail'!$T$4:$T$521)</f>
        <v>#VALUE!</v>
      </c>
      <c r="K528" s="53">
        <v>11725.41</v>
      </c>
      <c r="L528" s="37">
        <f t="shared" si="60"/>
        <v>330.67</v>
      </c>
      <c r="M528" s="37">
        <v>329.57</v>
      </c>
      <c r="N528" s="38">
        <v>296.61</v>
      </c>
      <c r="O528" s="37">
        <f t="shared" si="61"/>
        <v>34.06</v>
      </c>
      <c r="P528" s="54" t="e">
        <f t="shared" ref="P528:P533" si="62">IF($H528&gt;0,ROUND(L528/$H528,2),"na")</f>
        <v>#VALUE!</v>
      </c>
      <c r="Q528" s="40">
        <f t="shared" si="52"/>
        <v>0.10300299392143225</v>
      </c>
      <c r="R528" s="37">
        <f t="shared" ref="R528:R533" si="63">L528-M528</f>
        <v>1.1000000000000227</v>
      </c>
      <c r="S528" s="41">
        <f t="shared" ref="S528:S533" si="64">R528/M528</f>
        <v>3.3376824346876923E-3</v>
      </c>
      <c r="T528" s="37" t="e">
        <f>SUMIF('[1]JOBS MAR 15'!$E$8:$E$525,$E$16:$E$533,'[1]JOBS MAR 15'!$G$8:$G$525)</f>
        <v>#VALUE!</v>
      </c>
      <c r="U528" s="37" t="e">
        <f>SUMIF('[1]JOBS MAR 15'!$E$8:$E$525,$E$16:$E$533,'[1]JOBS MAR 15'!$H$8:$H$525)</f>
        <v>#VALUE!</v>
      </c>
      <c r="V528" s="37" t="e">
        <f>SUMIF('[1]JOBS MAR 15'!$E$8:$E$525,$E$16:$E$533,'[1]JOBS MAR 15'!$I$8:$I$525)</f>
        <v>#VALUE!</v>
      </c>
      <c r="W528" s="55" t="str">
        <f t="shared" ref="W528:W533" si="65">IF(O528&lt;0,IF(V528-ABS(O528)&lt;0,V528-ABS(O528)," ")," ")</f>
        <v xml:space="preserve"> </v>
      </c>
    </row>
    <row r="529" spans="2:23" x14ac:dyDescent="0.2">
      <c r="B529">
        <v>6076</v>
      </c>
      <c r="C529">
        <v>50</v>
      </c>
      <c r="D529" s="2" t="s">
        <v>1107</v>
      </c>
      <c r="E529" s="50" t="s">
        <v>1108</v>
      </c>
      <c r="F529" s="50">
        <v>224</v>
      </c>
      <c r="G529" s="50">
        <v>8</v>
      </c>
      <c r="H529" s="52" t="e">
        <f>SUMIF('[1]Build Detail'!$D$4:$D$521,$B$16:$B$533,'[1]Build Detail'!$H$4:$H$521)</f>
        <v>#VALUE!</v>
      </c>
      <c r="I529" s="52" t="e">
        <f>SUMIF('[1]Build Detail'!$D$4:$D$521,$B$16:$B$533,'[1]Build Detail'!$Q$4:$Q$521)</f>
        <v>#VALUE!</v>
      </c>
      <c r="J529" s="52" t="e">
        <f>SUMIF('[1]Build Detail'!$D$4:$D$521,$B$16:$B$533,'[1]Build Detail'!$T$4:$T$521)</f>
        <v>#VALUE!</v>
      </c>
      <c r="K529" s="53">
        <v>1258899.9500000002</v>
      </c>
      <c r="L529" s="37">
        <f t="shared" si="60"/>
        <v>35502.019999999997</v>
      </c>
      <c r="M529" s="37">
        <v>35419</v>
      </c>
      <c r="N529" s="38">
        <v>31877.1</v>
      </c>
      <c r="O529" s="37">
        <f t="shared" si="61"/>
        <v>3624.9199999999983</v>
      </c>
      <c r="P529" s="54" t="e">
        <f t="shared" si="62"/>
        <v>#VALUE!</v>
      </c>
      <c r="Q529" s="40">
        <f t="shared" si="52"/>
        <v>0.10210461263894276</v>
      </c>
      <c r="R529" s="37">
        <f t="shared" si="63"/>
        <v>83.019999999996799</v>
      </c>
      <c r="S529" s="41">
        <f t="shared" si="64"/>
        <v>2.3439396933848159E-3</v>
      </c>
      <c r="T529" s="37" t="e">
        <f>SUMIF('[1]JOBS MAR 15'!$E$8:$E$525,$E$16:$E$533,'[1]JOBS MAR 15'!$G$8:$G$525)</f>
        <v>#VALUE!</v>
      </c>
      <c r="U529" s="37" t="e">
        <f>SUMIF('[1]JOBS MAR 15'!$E$8:$E$525,$E$16:$E$533,'[1]JOBS MAR 15'!$H$8:$H$525)</f>
        <v>#VALUE!</v>
      </c>
      <c r="V529" s="37" t="e">
        <f>SUMIF('[1]JOBS MAR 15'!$E$8:$E$525,$E$16:$E$533,'[1]JOBS MAR 15'!$I$8:$I$525)</f>
        <v>#VALUE!</v>
      </c>
      <c r="W529" s="55" t="str">
        <f t="shared" si="65"/>
        <v xml:space="preserve"> </v>
      </c>
    </row>
    <row r="530" spans="2:23" x14ac:dyDescent="0.2">
      <c r="B530">
        <v>6079</v>
      </c>
      <c r="C530">
        <v>52</v>
      </c>
      <c r="D530" s="2" t="s">
        <v>1109</v>
      </c>
      <c r="E530" s="50" t="s">
        <v>1110</v>
      </c>
      <c r="F530" s="50">
        <v>318</v>
      </c>
      <c r="G530" s="50">
        <v>8</v>
      </c>
      <c r="H530" s="52" t="e">
        <f>SUMIF('[1]Build Detail'!$D$4:$D$521,$B$16:$B$533,'[1]Build Detail'!$H$4:$H$521)</f>
        <v>#VALUE!</v>
      </c>
      <c r="I530" s="52" t="e">
        <f>SUMIF('[1]Build Detail'!$D$4:$D$521,$B$16:$B$533,'[1]Build Detail'!$Q$4:$Q$521)</f>
        <v>#VALUE!</v>
      </c>
      <c r="J530" s="52" t="e">
        <f>SUMIF('[1]Build Detail'!$D$4:$D$521,$B$16:$B$533,'[1]Build Detail'!$T$4:$T$521)</f>
        <v>#VALUE!</v>
      </c>
      <c r="K530" s="53">
        <v>1599560.0599999998</v>
      </c>
      <c r="L530" s="37">
        <f t="shared" si="60"/>
        <v>45108.92</v>
      </c>
      <c r="M530" s="37">
        <v>51634.8</v>
      </c>
      <c r="N530" s="38">
        <v>46471.32</v>
      </c>
      <c r="O530" s="37">
        <f t="shared" si="61"/>
        <v>-1362.4000000000015</v>
      </c>
      <c r="P530" s="54" t="e">
        <f t="shared" si="62"/>
        <v>#VALUE!</v>
      </c>
      <c r="Q530" s="40">
        <f t="shared" si="52"/>
        <v>-3.0202452197924525E-2</v>
      </c>
      <c r="R530" s="37">
        <f t="shared" si="63"/>
        <v>-6525.8800000000047</v>
      </c>
      <c r="S530" s="41">
        <f t="shared" si="64"/>
        <v>-0.12638530603391521</v>
      </c>
      <c r="T530" s="37" t="e">
        <f>SUMIF('[1]JOBS MAR 15'!$E$8:$E$525,$E$16:$E$533,'[1]JOBS MAR 15'!$G$8:$G$525)</f>
        <v>#VALUE!</v>
      </c>
      <c r="U530" s="37" t="e">
        <f>SUMIF('[1]JOBS MAR 15'!$E$8:$E$525,$E$16:$E$533,'[1]JOBS MAR 15'!$H$8:$H$525)</f>
        <v>#VALUE!</v>
      </c>
      <c r="V530" s="37" t="e">
        <f>SUMIF('[1]JOBS MAR 15'!$E$8:$E$525,$E$16:$E$533,'[1]JOBS MAR 15'!$I$8:$I$525)</f>
        <v>#VALUE!</v>
      </c>
      <c r="W530" s="55" t="e">
        <f t="shared" si="65"/>
        <v>#VALUE!</v>
      </c>
    </row>
    <row r="531" spans="2:23" x14ac:dyDescent="0.2">
      <c r="B531" s="32">
        <v>6080</v>
      </c>
      <c r="C531" s="32">
        <v>50</v>
      </c>
      <c r="D531" s="58" t="s">
        <v>1111</v>
      </c>
      <c r="E531" s="50" t="s">
        <v>1112</v>
      </c>
      <c r="F531" s="50">
        <v>312</v>
      </c>
      <c r="G531" s="50">
        <v>8</v>
      </c>
      <c r="H531" s="52" t="e">
        <f>SUMIF('[1]Build Detail'!$D$4:$D$521,$B$16:$B$533,'[1]Build Detail'!$H$4:$H$521)</f>
        <v>#VALUE!</v>
      </c>
      <c r="I531" s="52" t="e">
        <f>SUMIF('[1]Build Detail'!$D$4:$D$521,$B$16:$B$533,'[1]Build Detail'!$Q$4:$Q$521)</f>
        <v>#VALUE!</v>
      </c>
      <c r="J531" s="52" t="e">
        <f>SUMIF('[1]Build Detail'!$D$4:$D$521,$B$16:$B$533,'[1]Build Detail'!$T$4:$T$521)</f>
        <v>#VALUE!</v>
      </c>
      <c r="K531" s="53">
        <v>0</v>
      </c>
      <c r="L531" s="37">
        <f t="shared" si="60"/>
        <v>0</v>
      </c>
      <c r="M531" s="37">
        <v>13.73</v>
      </c>
      <c r="N531" s="38">
        <v>12.36</v>
      </c>
      <c r="O531" s="37">
        <v>0</v>
      </c>
      <c r="P531" s="54" t="e">
        <f t="shared" si="62"/>
        <v>#VALUE!</v>
      </c>
      <c r="Q531" s="40">
        <v>0</v>
      </c>
      <c r="R531" s="37">
        <f t="shared" si="63"/>
        <v>-13.73</v>
      </c>
      <c r="S531" s="41">
        <f t="shared" si="64"/>
        <v>-1</v>
      </c>
      <c r="T531" s="37" t="e">
        <f>SUMIF('[1]JOBS MAR 15'!$E$8:$E$525,$E$16:$E$533,'[1]JOBS MAR 15'!$G$8:$G$525)</f>
        <v>#VALUE!</v>
      </c>
      <c r="U531" s="37" t="e">
        <f>SUMIF('[1]JOBS MAR 15'!$E$8:$E$525,$E$16:$E$533,'[1]JOBS MAR 15'!$H$8:$H$525)</f>
        <v>#VALUE!</v>
      </c>
      <c r="V531" s="37" t="e">
        <f>SUMIF('[1]JOBS MAR 15'!$E$8:$E$525,$E$16:$E$533,'[1]JOBS MAR 15'!$I$8:$I$525)</f>
        <v>#VALUE!</v>
      </c>
      <c r="W531" s="55" t="str">
        <f t="shared" si="65"/>
        <v xml:space="preserve"> </v>
      </c>
    </row>
    <row r="532" spans="2:23" x14ac:dyDescent="0.2">
      <c r="B532">
        <v>6383</v>
      </c>
      <c r="C532">
        <v>61</v>
      </c>
      <c r="D532" s="2" t="s">
        <v>1113</v>
      </c>
      <c r="E532" s="50" t="s">
        <v>1114</v>
      </c>
      <c r="F532" s="50">
        <v>71</v>
      </c>
      <c r="G532" s="50">
        <v>6</v>
      </c>
      <c r="H532" s="52" t="e">
        <f>SUMIF('[1]Build Detail'!$D$4:$D$521,$B$16:$B$533,'[1]Build Detail'!$H$4:$H$521)</f>
        <v>#VALUE!</v>
      </c>
      <c r="I532" s="52" t="e">
        <f>SUMIF('[1]Build Detail'!$D$4:$D$521,$B$16:$B$533,'[1]Build Detail'!$Q$4:$Q$521)</f>
        <v>#VALUE!</v>
      </c>
      <c r="J532" s="52" t="e">
        <f>SUMIF('[1]Build Detail'!$D$4:$D$521,$B$16:$B$533,'[1]Build Detail'!$T$4:$T$521)</f>
        <v>#VALUE!</v>
      </c>
      <c r="K532" s="53">
        <v>1496058.5599999998</v>
      </c>
      <c r="L532" s="37">
        <f t="shared" si="60"/>
        <v>42190.09</v>
      </c>
      <c r="M532" s="37">
        <v>43791.199999999997</v>
      </c>
      <c r="N532" s="38">
        <v>39412.080000000002</v>
      </c>
      <c r="O532" s="37">
        <f>L532-N532</f>
        <v>2778.0099999999948</v>
      </c>
      <c r="P532" s="54" t="e">
        <f t="shared" si="62"/>
        <v>#VALUE!</v>
      </c>
      <c r="Q532" s="40">
        <f>O532/L532</f>
        <v>6.5845083525538695E-2</v>
      </c>
      <c r="R532" s="37">
        <f t="shared" si="63"/>
        <v>-1601.1100000000006</v>
      </c>
      <c r="S532" s="41">
        <f t="shared" si="64"/>
        <v>-3.6562368695080304E-2</v>
      </c>
      <c r="T532" s="37" t="e">
        <f>SUMIF('[1]JOBS MAR 15'!$E$8:$E$525,$E$16:$E$533,'[1]JOBS MAR 15'!$G$8:$G$525)</f>
        <v>#VALUE!</v>
      </c>
      <c r="U532" s="37" t="e">
        <f>SUMIF('[1]JOBS MAR 15'!$E$8:$E$525,$E$16:$E$533,'[1]JOBS MAR 15'!$H$8:$H$525)</f>
        <v>#VALUE!</v>
      </c>
      <c r="V532" s="37" t="e">
        <f>SUMIF('[1]JOBS MAR 15'!$E$8:$E$525,$E$16:$E$533,'[1]JOBS MAR 15'!$I$8:$I$525)</f>
        <v>#VALUE!</v>
      </c>
      <c r="W532" s="55" t="str">
        <f t="shared" si="65"/>
        <v xml:space="preserve"> </v>
      </c>
    </row>
    <row r="533" spans="2:23" x14ac:dyDescent="0.2">
      <c r="B533">
        <v>6979</v>
      </c>
      <c r="C533">
        <v>61</v>
      </c>
      <c r="D533" s="2" t="s">
        <v>1115</v>
      </c>
      <c r="E533" s="50" t="s">
        <v>1116</v>
      </c>
      <c r="F533" s="50">
        <v>73</v>
      </c>
      <c r="G533" s="50">
        <v>8</v>
      </c>
      <c r="H533" s="52" t="e">
        <f>SUMIF('[1]Build Detail'!$D$4:$D$521,$B$16:$B$533,'[1]Build Detail'!$H$4:$H$521)</f>
        <v>#VALUE!</v>
      </c>
      <c r="I533" s="52" t="e">
        <f>SUMIF('[1]Build Detail'!$D$4:$D$521,$B$16:$B$533,'[1]Build Detail'!$Q$4:$Q$521)</f>
        <v>#VALUE!</v>
      </c>
      <c r="J533" s="52" t="e">
        <f>SUMIF('[1]Build Detail'!$D$4:$D$521,$B$16:$B$533,'[1]Build Detail'!$T$4:$T$521)</f>
        <v>#VALUE!</v>
      </c>
      <c r="K533" s="53">
        <v>1180277.03</v>
      </c>
      <c r="L533" s="37">
        <f t="shared" si="60"/>
        <v>33284.79</v>
      </c>
      <c r="M533" s="37">
        <v>30551.759999999998</v>
      </c>
      <c r="N533" s="38">
        <v>27496.58</v>
      </c>
      <c r="O533" s="37">
        <f>L533-N533</f>
        <v>5788.2099999999991</v>
      </c>
      <c r="P533" s="54" t="e">
        <f t="shared" si="62"/>
        <v>#VALUE!</v>
      </c>
      <c r="Q533" s="40">
        <f>O533/L533</f>
        <v>0.17389954991454051</v>
      </c>
      <c r="R533" s="37">
        <f t="shared" si="63"/>
        <v>2733.0300000000025</v>
      </c>
      <c r="S533" s="41">
        <f t="shared" si="64"/>
        <v>8.9455730209978171E-2</v>
      </c>
      <c r="T533" s="37" t="e">
        <f>SUMIF('[1]JOBS MAR 15'!$E$8:$E$525,$E$16:$E$533,'[1]JOBS MAR 15'!$G$8:$G$525)</f>
        <v>#VALUE!</v>
      </c>
      <c r="U533" s="37" t="e">
        <f>SUMIF('[1]JOBS MAR 15'!$E$8:$E$525,$E$16:$E$533,'[1]JOBS MAR 15'!$H$8:$H$525)</f>
        <v>#VALUE!</v>
      </c>
      <c r="V533" s="37" t="e">
        <f>SUMIF('[1]JOBS MAR 15'!$E$8:$E$525,$E$16:$E$533,'[1]JOBS MAR 15'!$I$8:$I$525)</f>
        <v>#VALUE!</v>
      </c>
      <c r="W533" s="55" t="str">
        <f t="shared" si="65"/>
        <v xml:space="preserve"> </v>
      </c>
    </row>
    <row r="534" spans="2:23" x14ac:dyDescent="0.2">
      <c r="D534" s="2"/>
      <c r="E534" s="14"/>
      <c r="F534" s="14"/>
      <c r="G534" s="14"/>
      <c r="H534" s="77"/>
      <c r="I534" s="78"/>
      <c r="J534" s="78"/>
      <c r="K534" s="53"/>
      <c r="L534" s="37"/>
      <c r="M534" s="37"/>
      <c r="N534" s="38"/>
      <c r="O534" s="37">
        <f>L534-N534</f>
        <v>0</v>
      </c>
      <c r="P534" s="79"/>
      <c r="Q534" s="42"/>
      <c r="R534" s="37"/>
    </row>
    <row r="535" spans="2:23" x14ac:dyDescent="0.2">
      <c r="D535" s="2" t="s">
        <v>1117</v>
      </c>
      <c r="E535" s="14"/>
      <c r="F535" s="14"/>
      <c r="G535" s="14"/>
      <c r="H535" s="78"/>
      <c r="I535" s="78"/>
      <c r="J535" s="78"/>
      <c r="K535" s="36"/>
      <c r="L535" s="37">
        <f>$K$542</f>
        <v>70000</v>
      </c>
      <c r="M535" s="37">
        <v>670000</v>
      </c>
      <c r="N535" s="38">
        <v>603000</v>
      </c>
      <c r="O535" s="37">
        <f>L535-N535</f>
        <v>-533000</v>
      </c>
      <c r="P535" s="79"/>
      <c r="Q535" s="42"/>
      <c r="R535" s="37">
        <f>L535-M535</f>
        <v>-600000</v>
      </c>
    </row>
    <row r="536" spans="2:23" x14ac:dyDescent="0.2">
      <c r="H536" s="78"/>
      <c r="I536" s="78"/>
      <c r="J536" s="78"/>
      <c r="K536" s="35"/>
      <c r="L536" s="37"/>
      <c r="M536" s="37"/>
      <c r="N536" s="37"/>
      <c r="O536" s="37"/>
      <c r="P536" s="79"/>
    </row>
    <row r="537" spans="2:23" x14ac:dyDescent="0.2">
      <c r="L537" s="37"/>
      <c r="M537" s="80" t="s">
        <v>1118</v>
      </c>
      <c r="N537" s="81"/>
      <c r="O537" s="37"/>
    </row>
    <row r="538" spans="2:23" ht="13.5" thickBot="1" x14ac:dyDescent="0.25">
      <c r="B538" t="s">
        <v>1119</v>
      </c>
      <c r="K538" s="37"/>
      <c r="L538" s="37"/>
      <c r="M538" s="37"/>
      <c r="N538" s="37"/>
      <c r="O538" s="37"/>
    </row>
    <row r="539" spans="2:23" x14ac:dyDescent="0.2">
      <c r="D539" s="82" t="s">
        <v>1120</v>
      </c>
      <c r="E539" s="83"/>
      <c r="F539" s="83"/>
      <c r="G539" s="83"/>
      <c r="H539" s="83"/>
      <c r="I539" s="83"/>
      <c r="J539" s="83"/>
      <c r="K539" s="84">
        <v>166717087</v>
      </c>
      <c r="L539" s="85"/>
      <c r="M539" s="37"/>
      <c r="N539" s="37"/>
      <c r="O539" s="37"/>
      <c r="P539" s="79"/>
    </row>
    <row r="540" spans="2:23" x14ac:dyDescent="0.2">
      <c r="D540" s="86" t="s">
        <v>1121</v>
      </c>
      <c r="E540" s="14"/>
      <c r="F540" s="14"/>
      <c r="G540" s="14"/>
      <c r="H540" s="14"/>
      <c r="I540" s="14"/>
      <c r="J540" s="14"/>
      <c r="K540" s="87">
        <v>2462967</v>
      </c>
      <c r="L540" s="85"/>
      <c r="M540" s="37"/>
      <c r="N540" s="37"/>
      <c r="O540" s="37"/>
      <c r="P540" s="79"/>
    </row>
    <row r="541" spans="2:23" x14ac:dyDescent="0.2">
      <c r="D541" s="86" t="s">
        <v>1122</v>
      </c>
      <c r="E541" s="14"/>
      <c r="F541" s="14"/>
      <c r="G541" s="14"/>
      <c r="H541" s="14"/>
      <c r="I541" s="14"/>
      <c r="J541" s="14"/>
      <c r="K541" s="87">
        <f>SUM(K539:K540)</f>
        <v>169180054</v>
      </c>
      <c r="L541" s="85"/>
      <c r="M541" s="37"/>
      <c r="N541" s="37"/>
      <c r="O541" s="37"/>
      <c r="P541" s="79"/>
    </row>
    <row r="542" spans="2:23" x14ac:dyDescent="0.2">
      <c r="D542" s="86" t="s">
        <v>1123</v>
      </c>
      <c r="E542" s="14"/>
      <c r="F542" s="14"/>
      <c r="G542" s="14"/>
      <c r="H542" s="14"/>
      <c r="I542" s="14"/>
      <c r="J542" s="14"/>
      <c r="K542" s="87">
        <v>70000</v>
      </c>
      <c r="L542" s="85"/>
      <c r="M542" s="37"/>
      <c r="N542" s="37"/>
      <c r="O542" s="37"/>
      <c r="P542" s="35"/>
    </row>
    <row r="543" spans="2:23" x14ac:dyDescent="0.2">
      <c r="D543" s="86" t="s">
        <v>1124</v>
      </c>
      <c r="E543" s="14"/>
      <c r="F543" s="14"/>
      <c r="G543" s="14"/>
      <c r="H543" s="14"/>
      <c r="I543" s="14"/>
      <c r="J543" s="14"/>
      <c r="K543" s="87">
        <f>K541-K542</f>
        <v>169110054</v>
      </c>
      <c r="L543" s="85"/>
      <c r="M543" s="37"/>
      <c r="N543" s="37"/>
      <c r="O543" s="37"/>
      <c r="P543" s="35"/>
    </row>
    <row r="544" spans="2:23" x14ac:dyDescent="0.2">
      <c r="D544" s="86"/>
      <c r="E544" s="14"/>
      <c r="F544" s="14"/>
      <c r="G544" s="14"/>
      <c r="H544" s="14"/>
      <c r="I544" s="14"/>
      <c r="J544" s="14"/>
      <c r="K544" s="87"/>
      <c r="L544" s="85"/>
      <c r="M544" s="37"/>
      <c r="N544" s="37"/>
      <c r="O544" s="37"/>
      <c r="P544" s="35"/>
    </row>
    <row r="545" spans="4:16" x14ac:dyDescent="0.2">
      <c r="D545" s="86" t="s">
        <v>1125</v>
      </c>
      <c r="E545" s="14"/>
      <c r="F545" s="14"/>
      <c r="G545" s="14"/>
      <c r="H545" s="14"/>
      <c r="I545" s="14"/>
      <c r="J545" s="14"/>
      <c r="K545" s="87">
        <v>131174.06</v>
      </c>
      <c r="L545" s="85"/>
      <c r="M545" s="37"/>
      <c r="N545" s="37"/>
      <c r="O545" s="37"/>
      <c r="P545" s="35"/>
    </row>
    <row r="546" spans="4:16" x14ac:dyDescent="0.2">
      <c r="D546" s="86" t="s">
        <v>1126</v>
      </c>
      <c r="E546" s="14"/>
      <c r="F546" s="14"/>
      <c r="G546" s="14"/>
      <c r="H546" s="14"/>
      <c r="I546" s="14"/>
      <c r="J546" s="14"/>
      <c r="K546" s="87">
        <f>K541-K542-K545</f>
        <v>168978879.94</v>
      </c>
      <c r="L546" s="85"/>
      <c r="M546" s="37"/>
      <c r="N546" s="37"/>
      <c r="O546" s="37"/>
      <c r="P546" s="35"/>
    </row>
    <row r="547" spans="4:16" x14ac:dyDescent="0.2">
      <c r="D547" s="86"/>
      <c r="E547" s="14"/>
      <c r="F547" s="14"/>
      <c r="G547" s="14"/>
      <c r="H547" s="14"/>
      <c r="I547" s="14"/>
      <c r="J547" s="14"/>
      <c r="K547" s="88"/>
      <c r="L547" s="85"/>
      <c r="M547" s="37"/>
      <c r="N547" s="37"/>
      <c r="O547" s="37"/>
      <c r="P547" s="35"/>
    </row>
    <row r="548" spans="4:16" ht="13.5" thickBot="1" x14ac:dyDescent="0.25">
      <c r="D548" s="89" t="s">
        <v>1127</v>
      </c>
      <c r="E548" s="23"/>
      <c r="F548" s="23"/>
      <c r="G548" s="23"/>
      <c r="H548" s="23"/>
      <c r="I548" s="23"/>
      <c r="J548" s="23"/>
      <c r="K548" s="90">
        <v>2.8200826921111363E-2</v>
      </c>
      <c r="L548" s="85"/>
      <c r="M548" s="37"/>
      <c r="N548" s="37"/>
      <c r="O548" s="37"/>
    </row>
    <row r="550" spans="4:16" x14ac:dyDescent="0.2">
      <c r="K550" s="79"/>
      <c r="L550" s="39"/>
      <c r="M550" s="79"/>
      <c r="N550" s="79"/>
      <c r="O550" s="79"/>
      <c r="P550" s="79"/>
    </row>
    <row r="553" spans="4:16" x14ac:dyDescent="0.2">
      <c r="L553" s="55"/>
    </row>
  </sheetData>
  <conditionalFormatting sqref="Q23:Q533 R18:R22 W18:W22 R16 W16">
    <cfRule type="cellIs" dxfId="6" priority="7" operator="lessThan">
      <formula>0</formula>
    </cfRule>
  </conditionalFormatting>
  <conditionalFormatting sqref="S23:S533">
    <cfRule type="cellIs" dxfId="5" priority="6" operator="lessThan">
      <formula>0</formula>
    </cfRule>
  </conditionalFormatting>
  <conditionalFormatting sqref="W23">
    <cfRule type="cellIs" dxfId="4" priority="5" operator="lessThan">
      <formula>0</formula>
    </cfRule>
  </conditionalFormatting>
  <conditionalFormatting sqref="W24:W533">
    <cfRule type="cellIs" dxfId="3" priority="4" operator="lessThan">
      <formula>0</formula>
    </cfRule>
  </conditionalFormatting>
  <conditionalFormatting sqref="W17">
    <cfRule type="cellIs" dxfId="2" priority="3" operator="lessThan">
      <formula>0</formula>
    </cfRule>
  </conditionalFormatting>
  <conditionalFormatting sqref="R23:R533">
    <cfRule type="cellIs" dxfId="1" priority="2" operator="lessThan">
      <formula>0</formula>
    </cfRule>
  </conditionalFormatting>
  <conditionalFormatting sqref="R17">
    <cfRule type="cellIs" dxfId="0" priority="1" operator="lessThan">
      <formula>0</formula>
    </cfRule>
  </conditionalFormatting>
  <printOptions gridLines="1"/>
  <pageMargins left="0.45" right="0.2" top="1" bottom="0.75" header="0.3" footer="0.55000000000000004"/>
  <pageSetup scale="78" fitToHeight="12" orientation="portrait" r:id="rId1"/>
  <headerFooter>
    <oddHeader>&amp;LMDE, School Finance&amp;CAllocation of Education Jobs Fund Dollars and Supplemental Award
Based on State Aid Under FY 2011 Primary Elementary and Secondary Education Funding Formulas
FINAL February 28, 2012 IDEAS Payment Basis&amp;R3/15/20112</oddHeader>
    <oddFooter>&amp;C&amp;P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Summary-to post</vt:lpstr>
      <vt:lpstr>'Summary-to post'!Print_Area</vt:lpstr>
      <vt:lpstr>'Summary-to post'!Print_Titles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Yetter, Terri</dc:creator>
  <cp:lastModifiedBy>Kostelecky, Teri</cp:lastModifiedBy>
  <dcterms:created xsi:type="dcterms:W3CDTF">2012-03-15T22:07:58Z</dcterms:created>
  <dcterms:modified xsi:type="dcterms:W3CDTF">2012-03-16T18:23:26Z</dcterms:modified>
</cp:coreProperties>
</file>