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240" yWindow="75" windowWidth="18960" windowHeight="7995"/>
  </bookViews>
  <sheets>
    <sheet name="Instructions" sheetId="4" r:id="rId1"/>
    <sheet name="K-5" sheetId="1" r:id="rId2"/>
    <sheet name="K-5 multiple " sheetId="10" r:id="rId3"/>
    <sheet name="6-8" sheetId="2" r:id="rId4"/>
    <sheet name="6-8 multiple " sheetId="9" r:id="rId5"/>
    <sheet name="9-12 " sheetId="12" r:id="rId6"/>
    <sheet name="9-12 multiple" sheetId="3" r:id="rId7"/>
    <sheet name="9-12 multiple sample" sheetId="11" r:id="rId8"/>
    <sheet name="K-5 sample" sheetId="6" r:id="rId9"/>
    <sheet name="6-8 Sample" sheetId="7" r:id="rId10"/>
    <sheet name="9-12 Sample" sheetId="8" r:id="rId11"/>
    <sheet name="Sheet2" sheetId="5" r:id="rId12"/>
  </sheets>
  <calcPr calcId="125725"/>
</workbook>
</file>

<file path=xl/calcChain.xml><?xml version="1.0" encoding="utf-8"?>
<calcChain xmlns="http://schemas.openxmlformats.org/spreadsheetml/2006/main">
  <c r="N33" i="12"/>
  <c r="M33"/>
  <c r="M31"/>
  <c r="N31" s="1"/>
  <c r="M29"/>
  <c r="N29" s="1"/>
  <c r="K25"/>
  <c r="L25" s="1"/>
  <c r="I25"/>
  <c r="J25" s="1"/>
  <c r="G25"/>
  <c r="H25" s="1"/>
  <c r="E25"/>
  <c r="F25" s="1"/>
  <c r="C25"/>
  <c r="D25" s="1"/>
  <c r="M24"/>
  <c r="N24" s="1"/>
  <c r="M22"/>
  <c r="N22" s="1"/>
  <c r="M20"/>
  <c r="N20" s="1"/>
  <c r="N18"/>
  <c r="M18"/>
  <c r="M16"/>
  <c r="M12"/>
  <c r="N12" s="1"/>
  <c r="N17" i="9"/>
  <c r="M15"/>
  <c r="M22" i="10"/>
  <c r="N22" s="1"/>
  <c r="C34" i="11"/>
  <c r="D34" s="1"/>
  <c r="E34"/>
  <c r="F34" s="1"/>
  <c r="G34"/>
  <c r="H34" s="1"/>
  <c r="I34"/>
  <c r="J34" s="1"/>
  <c r="K34"/>
  <c r="L34" s="1"/>
  <c r="N34" i="10"/>
  <c r="M15"/>
  <c r="N15" s="1"/>
  <c r="M40" i="11"/>
  <c r="N40" s="1"/>
  <c r="M38"/>
  <c r="N38" s="1"/>
  <c r="M33"/>
  <c r="N33" s="1"/>
  <c r="M31"/>
  <c r="N31" s="1"/>
  <c r="M29"/>
  <c r="N29" s="1"/>
  <c r="M27"/>
  <c r="N27" s="1"/>
  <c r="M25"/>
  <c r="M21"/>
  <c r="N21" s="1"/>
  <c r="M18"/>
  <c r="N18" s="1"/>
  <c r="M16"/>
  <c r="N16" s="1"/>
  <c r="M14"/>
  <c r="N14" s="1"/>
  <c r="M43" i="10"/>
  <c r="N43" s="1"/>
  <c r="M41"/>
  <c r="N41" s="1"/>
  <c r="K35"/>
  <c r="L35" s="1"/>
  <c r="I35"/>
  <c r="J35" s="1"/>
  <c r="G35"/>
  <c r="H35" s="1"/>
  <c r="E35"/>
  <c r="F35" s="1"/>
  <c r="C35"/>
  <c r="D35" s="1"/>
  <c r="M34"/>
  <c r="M32"/>
  <c r="N32" s="1"/>
  <c r="M30"/>
  <c r="N30" s="1"/>
  <c r="M28"/>
  <c r="N28" s="1"/>
  <c r="M26"/>
  <c r="M19"/>
  <c r="N19" s="1"/>
  <c r="M17"/>
  <c r="N17" s="1"/>
  <c r="N43" i="9"/>
  <c r="M43"/>
  <c r="M41"/>
  <c r="N41" s="1"/>
  <c r="K35"/>
  <c r="L35" s="1"/>
  <c r="I35"/>
  <c r="J35" s="1"/>
  <c r="G35"/>
  <c r="H35" s="1"/>
  <c r="E35"/>
  <c r="F35" s="1"/>
  <c r="C35"/>
  <c r="D35" s="1"/>
  <c r="M34"/>
  <c r="N34" s="1"/>
  <c r="M32"/>
  <c r="N32" s="1"/>
  <c r="M30"/>
  <c r="N30" s="1"/>
  <c r="M28"/>
  <c r="N28" s="1"/>
  <c r="M26"/>
  <c r="N26" s="1"/>
  <c r="M22"/>
  <c r="N22" s="1"/>
  <c r="M19"/>
  <c r="N19" s="1"/>
  <c r="M17"/>
  <c r="N15"/>
  <c r="N19" i="3"/>
  <c r="M19"/>
  <c r="M15"/>
  <c r="N15" s="1"/>
  <c r="M33" i="8"/>
  <c r="N33" s="1"/>
  <c r="M31"/>
  <c r="N31" s="1"/>
  <c r="M29"/>
  <c r="N29" s="1"/>
  <c r="K25"/>
  <c r="L25" s="1"/>
  <c r="I25"/>
  <c r="J25" s="1"/>
  <c r="G25"/>
  <c r="H25" s="1"/>
  <c r="E25"/>
  <c r="F25" s="1"/>
  <c r="C25"/>
  <c r="D25" s="1"/>
  <c r="M24"/>
  <c r="N24" s="1"/>
  <c r="M22"/>
  <c r="N22" s="1"/>
  <c r="M20"/>
  <c r="N20" s="1"/>
  <c r="M18"/>
  <c r="N18" s="1"/>
  <c r="M16"/>
  <c r="M25" s="1"/>
  <c r="M12"/>
  <c r="N12" s="1"/>
  <c r="M12" i="7"/>
  <c r="N12"/>
  <c r="M16"/>
  <c r="N16"/>
  <c r="M18"/>
  <c r="N18"/>
  <c r="M20"/>
  <c r="N20"/>
  <c r="M22"/>
  <c r="N22"/>
  <c r="M24"/>
  <c r="N24"/>
  <c r="C25"/>
  <c r="D25"/>
  <c r="E25"/>
  <c r="F25"/>
  <c r="G25"/>
  <c r="H25"/>
  <c r="I25"/>
  <c r="J25"/>
  <c r="K25"/>
  <c r="L25"/>
  <c r="M25"/>
  <c r="N26"/>
  <c r="M29"/>
  <c r="N29"/>
  <c r="M31"/>
  <c r="N31"/>
  <c r="M33"/>
  <c r="N33"/>
  <c r="M12" i="6"/>
  <c r="N12" s="1"/>
  <c r="M16"/>
  <c r="N16" s="1"/>
  <c r="M18"/>
  <c r="N18" s="1"/>
  <c r="M20"/>
  <c r="N20" s="1"/>
  <c r="M22"/>
  <c r="N22" s="1"/>
  <c r="M24"/>
  <c r="N24" s="1"/>
  <c r="C25"/>
  <c r="D25" s="1"/>
  <c r="E25"/>
  <c r="F25" s="1"/>
  <c r="G25"/>
  <c r="H25" s="1"/>
  <c r="I25"/>
  <c r="J25" s="1"/>
  <c r="K25"/>
  <c r="L25" s="1"/>
  <c r="M25"/>
  <c r="M29"/>
  <c r="N29" s="1"/>
  <c r="M31"/>
  <c r="N31" s="1"/>
  <c r="M33"/>
  <c r="N33" s="1"/>
  <c r="M25" i="12" l="1"/>
  <c r="N16"/>
  <c r="N26"/>
  <c r="M34" i="11"/>
  <c r="M35" i="10"/>
  <c r="N36"/>
  <c r="M35" i="9"/>
  <c r="N36"/>
  <c r="N25" i="11"/>
  <c r="N35"/>
  <c r="N26" i="10"/>
  <c r="N16" i="8"/>
  <c r="N26"/>
  <c r="N26" i="6"/>
  <c r="N12" i="2" l="1"/>
  <c r="M16"/>
  <c r="N16" s="1"/>
  <c r="K35" i="3"/>
  <c r="L35" s="1"/>
  <c r="I35"/>
  <c r="J35" s="1"/>
  <c r="G35"/>
  <c r="H35" s="1"/>
  <c r="E35"/>
  <c r="F35" s="1"/>
  <c r="C35"/>
  <c r="D35" s="1"/>
  <c r="M24" i="2" l="1"/>
  <c r="M22"/>
  <c r="M20"/>
  <c r="M18"/>
  <c r="K25" i="1" l="1"/>
  <c r="L25" s="1"/>
  <c r="I25"/>
  <c r="J25" s="1"/>
  <c r="G25"/>
  <c r="H25" s="1"/>
  <c r="E25"/>
  <c r="F25" s="1"/>
  <c r="C25"/>
  <c r="K25" i="2"/>
  <c r="L25" s="1"/>
  <c r="I25"/>
  <c r="J25" s="1"/>
  <c r="G25"/>
  <c r="H25" s="1"/>
  <c r="E25"/>
  <c r="F25" s="1"/>
  <c r="C25"/>
  <c r="D25" l="1"/>
  <c r="D25" i="1"/>
  <c r="M41" i="3" l="1"/>
  <c r="N41" s="1"/>
  <c r="M17"/>
  <c r="N17" s="1"/>
  <c r="M22"/>
  <c r="N22" s="1"/>
  <c r="M34"/>
  <c r="N34" s="1"/>
  <c r="M32"/>
  <c r="M30"/>
  <c r="N30" s="1"/>
  <c r="M28"/>
  <c r="N28" s="1"/>
  <c r="M26"/>
  <c r="M35" s="1"/>
  <c r="M39"/>
  <c r="N39" s="1"/>
  <c r="M33" i="2"/>
  <c r="N33" s="1"/>
  <c r="M12"/>
  <c r="M29"/>
  <c r="N29" s="1"/>
  <c r="N24"/>
  <c r="N22"/>
  <c r="N20"/>
  <c r="N18"/>
  <c r="M31"/>
  <c r="N31" s="1"/>
  <c r="N36" i="3" l="1"/>
  <c r="M25" i="2"/>
  <c r="N26"/>
  <c r="N32" i="3"/>
  <c r="N26"/>
  <c r="M31" i="1"/>
  <c r="N31" s="1"/>
  <c r="M33"/>
  <c r="N33" s="1"/>
  <c r="M12"/>
  <c r="N12" s="1"/>
  <c r="M29"/>
  <c r="N29" s="1"/>
  <c r="M24"/>
  <c r="N24" s="1"/>
  <c r="M22"/>
  <c r="N22" s="1"/>
  <c r="M20"/>
  <c r="M18"/>
  <c r="N18" s="1"/>
  <c r="M16"/>
  <c r="N16" s="1"/>
  <c r="N20" l="1"/>
  <c r="M25"/>
  <c r="N26"/>
</calcChain>
</file>

<file path=xl/sharedStrings.xml><?xml version="1.0" encoding="utf-8"?>
<sst xmlns="http://schemas.openxmlformats.org/spreadsheetml/2006/main" count="1139" uniqueCount="209">
  <si>
    <t>Monday</t>
  </si>
  <si>
    <t>Tuesday</t>
  </si>
  <si>
    <t>Wednesday</t>
  </si>
  <si>
    <t>Thursday</t>
  </si>
  <si>
    <t>Friday</t>
  </si>
  <si>
    <t>Requirements</t>
  </si>
  <si>
    <t>Fruits (1/2 Cup per day) (2 1/2 cups per week)</t>
  </si>
  <si>
    <t>Additional Vegetable to reach Goal (1 Cup per week)</t>
  </si>
  <si>
    <t>Cup</t>
  </si>
  <si>
    <t>Oz Eq</t>
  </si>
  <si>
    <t xml:space="preserve">Cup </t>
  </si>
  <si>
    <t>Skim or 1 %</t>
  </si>
  <si>
    <t xml:space="preserve"> MENU - 9-12</t>
  </si>
  <si>
    <t>MENU - 6-8</t>
  </si>
  <si>
    <t xml:space="preserve"> MENU - K-5</t>
  </si>
  <si>
    <t>Fruits (1 Cup per day) (5cups per week)</t>
  </si>
  <si>
    <t>Additional Vegetable to reach Goal (1 1/2 Cup per week)</t>
  </si>
  <si>
    <t>Decimal Equivalents</t>
  </si>
  <si>
    <t>1/8 Cup</t>
  </si>
  <si>
    <t>1/4 Cup</t>
  </si>
  <si>
    <t>3/8 Cup</t>
  </si>
  <si>
    <t>1/3 Cup</t>
  </si>
  <si>
    <t>1/2 Cup</t>
  </si>
  <si>
    <t>5/8 Cup</t>
  </si>
  <si>
    <t>2/3 Cup</t>
  </si>
  <si>
    <t>3/4 Cup</t>
  </si>
  <si>
    <t>1 Cup</t>
  </si>
  <si>
    <t>7/8 Cup</t>
  </si>
  <si>
    <t>Weekly Total
MET
Yes/No</t>
  </si>
  <si>
    <t>Dark Green 
(1/2 Cup per week)</t>
  </si>
  <si>
    <t>Red/Orange 
(3/4 Cup per week)</t>
  </si>
  <si>
    <t>Beans/Peas (Legumes)
(1/2 Cup per week)</t>
  </si>
  <si>
    <t>Starchy
(1/2 Cup per week)</t>
  </si>
  <si>
    <t>Other 
(1/2 per week)</t>
  </si>
  <si>
    <t>Grains (1 oz eq day)
(8-9 oz eq per week)</t>
  </si>
  <si>
    <t>Mt/MA (1 oz eq per day) 
(8-10 oz eq per week)</t>
  </si>
  <si>
    <t>Fluid Milk (1 Cup per day) 
(5 a week)</t>
  </si>
  <si>
    <t>Fruits (1/2 Cup per day) 
(2 1/2 cups per week)</t>
  </si>
  <si>
    <t>Starchy 
(1/2 Cup per week)</t>
  </si>
  <si>
    <t>Other 
(1/2 cup per week)</t>
  </si>
  <si>
    <t>Red/Orange 
(1 1/4 Cup per wk)</t>
  </si>
  <si>
    <t>Other 
(3/4 per week)</t>
  </si>
  <si>
    <t>Grains(2 oz eq day)
(10-12 oz eq per week)</t>
  </si>
  <si>
    <t>Mt/MA (2 oz eq per day) 
(10-12 oz eq per week)</t>
  </si>
  <si>
    <t>Daily total</t>
  </si>
  <si>
    <t>Vegetables (3/4 Cup per day) (3 3/4 Cup per week)</t>
  </si>
  <si>
    <t>Grains(1 oz eq day)
(8-10 oz eq per week)</t>
  </si>
  <si>
    <t>Mt/MA (1 oz eq per day) 
(9-10 oz eq per week)</t>
  </si>
  <si>
    <t xml:space="preserve">   1 cup leafy  greens
 = 1/2 cup vegetable</t>
  </si>
  <si>
    <t>1/4 cup dried fruit
 = 1/2 cup fruit</t>
  </si>
  <si>
    <t>Vegetables (3/4 Cup per day)      (3 3/4 Cup per week)</t>
  </si>
  <si>
    <t>Vegetables (1 Cup per day)    (5 Cups per week)</t>
  </si>
  <si>
    <t>Instructions for using Meal Planning Spreadsheet Tool</t>
  </si>
  <si>
    <r>
      <t xml:space="preserve">Entering serving sizes:  </t>
    </r>
    <r>
      <rPr>
        <sz val="11"/>
        <color theme="1"/>
        <rFont val="Calibri"/>
        <family val="2"/>
        <scheme val="minor"/>
      </rPr>
      <t>The correct  decimal equivalent must be entered in the colored cells for the spreadsheet to work correctly.  A guide to fraction equivalents is included on each page.   See the special notes below for each component.</t>
    </r>
  </si>
  <si>
    <t>Cantaloupe (1/2c)</t>
  </si>
  <si>
    <t>Pineapple (1/2c)</t>
  </si>
  <si>
    <t>Peaches (1/2c)</t>
  </si>
  <si>
    <t>Kiwi (1/2 c)</t>
  </si>
  <si>
    <t>Strawberries (1/2 c)</t>
  </si>
  <si>
    <t>WW Tortilla</t>
  </si>
  <si>
    <t>Pizza crust</t>
  </si>
  <si>
    <t>Breading and 1 oz roll</t>
  </si>
  <si>
    <t>3/4 c. brown rice</t>
  </si>
  <si>
    <t>1.5 oz bun</t>
  </si>
  <si>
    <t xml:space="preserve">Salsa (1/4c) </t>
  </si>
  <si>
    <t xml:space="preserve">Green Beans (1/4c) </t>
  </si>
  <si>
    <t xml:space="preserve">Green Pepper Strips (1/4c) </t>
  </si>
  <si>
    <t>Corn (1/4c)</t>
  </si>
  <si>
    <t>Mashed potatoes</t>
  </si>
  <si>
    <t>Refried Beans (1/2c)</t>
  </si>
  <si>
    <t>Tomato</t>
  </si>
  <si>
    <t>Carrots  (1/4 c)</t>
  </si>
  <si>
    <t>Sweet Potato Fries</t>
  </si>
  <si>
    <t>Romaine- 1 cup
(1 c)</t>
  </si>
  <si>
    <t xml:space="preserve">Broccoli </t>
  </si>
  <si>
    <t>Taco meat</t>
  </si>
  <si>
    <t>1/2 c. Teriyaki = 2 oz</t>
  </si>
  <si>
    <t>Cantaloupe</t>
  </si>
  <si>
    <t>Corn</t>
  </si>
  <si>
    <t>Pineapple</t>
  </si>
  <si>
    <t>Peaches</t>
  </si>
  <si>
    <t>Kiwi</t>
  </si>
  <si>
    <t xml:space="preserve">Frozen Strawberries </t>
  </si>
  <si>
    <t>Refried Beans</t>
  </si>
  <si>
    <t>Sliced tomato</t>
  </si>
  <si>
    <t>Green Beans</t>
  </si>
  <si>
    <t>Carrots</t>
  </si>
  <si>
    <t>Green Pepper Strips</t>
  </si>
  <si>
    <t>Salsa</t>
  </si>
  <si>
    <t xml:space="preserve">Romaine Lettuce </t>
  </si>
  <si>
    <t>Mashed Potatoes</t>
  </si>
  <si>
    <t>Broccoli</t>
  </si>
  <si>
    <t xml:space="preserve">Sweet Potato Fries </t>
  </si>
  <si>
    <t>on Whole Grain Tortilla</t>
  </si>
  <si>
    <t>Whole Wheat Roll</t>
  </si>
  <si>
    <t>Brown Rice</t>
  </si>
  <si>
    <t xml:space="preserve">Whole Wheat Bun </t>
  </si>
  <si>
    <t xml:space="preserve">Beef  Taco  Meat
</t>
  </si>
  <si>
    <t xml:space="preserve">Oven Baked Fish Nuggets </t>
  </si>
  <si>
    <t>Chicken Teriyaki</t>
  </si>
  <si>
    <t xml:space="preserve">Submarine Sandwich </t>
  </si>
  <si>
    <t>Strawberries</t>
  </si>
  <si>
    <t>Pizza Crust</t>
  </si>
  <si>
    <t xml:space="preserve">Brown Rice (3/4c) </t>
  </si>
  <si>
    <t>Romaine - 1 c.</t>
  </si>
  <si>
    <t>Broccoli - 1/2 c</t>
  </si>
  <si>
    <t>Taco meat- 2 oz</t>
  </si>
  <si>
    <t>Cheese Pizza</t>
  </si>
  <si>
    <t>with Whole Wheat Crust</t>
  </si>
  <si>
    <t>1 sl =1.5 oz M/MA and 2 oz G/B</t>
  </si>
  <si>
    <t>Fresh orange</t>
  </si>
  <si>
    <t>3/4 cup</t>
  </si>
  <si>
    <t>Reduced fat sausage pizza</t>
  </si>
  <si>
    <t>7/8 cup</t>
  </si>
  <si>
    <t>Broccoli (1/2c)</t>
  </si>
  <si>
    <t>Romaine-1 cup</t>
  </si>
  <si>
    <t>Carrots  (1/2 c)</t>
  </si>
  <si>
    <t>1 c. brown rice</t>
  </si>
  <si>
    <t>Breading &amp; 2 oz roll</t>
  </si>
  <si>
    <t>Tortilla</t>
  </si>
  <si>
    <t>1/2 c. strawberries and fresh orange</t>
  </si>
  <si>
    <t>3 whole  kiwi</t>
  </si>
  <si>
    <t>1 c. cantaloupe</t>
  </si>
  <si>
    <t>1 sl = 2 oz M/MA and 2 G/B</t>
  </si>
  <si>
    <t>3/4 C teriyaki = 3 oz meat</t>
  </si>
  <si>
    <t>1.6 oz USDA deli turkey, .5oz  cheese</t>
  </si>
  <si>
    <t>2.4 oz USDA deli turkey, .5oz cheese</t>
  </si>
  <si>
    <t>4 nuggets = 1.5 M/MA and 0.5 G/B</t>
  </si>
  <si>
    <t>6 nuggets = 2.25 M/MA and 0.75 G/B</t>
  </si>
  <si>
    <t>with whole wheat crust</t>
  </si>
  <si>
    <t>Fresh Apple</t>
  </si>
  <si>
    <t xml:space="preserve">1/2 c. peaches and fresh apple </t>
  </si>
  <si>
    <r>
      <t xml:space="preserve">Vegetable Sub-Groups:  </t>
    </r>
    <r>
      <rPr>
        <sz val="11"/>
        <color theme="1"/>
        <rFont val="Calibri"/>
        <family val="2"/>
        <scheme val="minor"/>
      </rPr>
      <t>Use the vegetable sub-group lists to determine which sub-group the vegetables on the menu belong.  Enter the correct serving size in cups of each vegetable in the correct sub-group section.  The spreadsheet calculates the daily totals and compares with the daily requirement for that age group.  It totals weekly totals of each vegetable sub-group and the total amount of vegetables for the week and compares with the requirements for that age group.   Note that leafy greens are credited  for only half of the volume.  It takes 1 cup of leafy greens to equal a  1/2 cup serving.</t>
    </r>
  </si>
  <si>
    <r>
      <t xml:space="preserve">Milk:  </t>
    </r>
    <r>
      <rPr>
        <sz val="11"/>
        <color theme="1"/>
        <rFont val="Calibri"/>
        <family val="2"/>
        <scheme val="minor"/>
      </rPr>
      <t>All grade groups must be offered 1 cup of fluid milk daily.</t>
    </r>
  </si>
  <si>
    <r>
      <rPr>
        <b/>
        <sz val="11"/>
        <color theme="1"/>
        <rFont val="Calibri"/>
        <family val="2"/>
        <scheme val="minor"/>
      </rPr>
      <t xml:space="preserve">Grains:  </t>
    </r>
    <r>
      <rPr>
        <sz val="11"/>
        <color theme="1"/>
        <rFont val="Calibri"/>
        <family val="2"/>
        <scheme val="minor"/>
      </rPr>
      <t xml:space="preserve">There is both a minimum and maximum number of ounce-equivalents per week. Enter the number of ounce-equivalents of grain/bread that you intend to serve to the grade group. This will be based on information from Child Nutrition labels or recipe analysis of combination foods, crediting information from USDA Fact Sheets, or the Food Buying Guide.   You will visually need to check that the daily minimum oz-equivalent for the age group (1 oz for Grades K-8 and 2 oz for 9-12) is included, and that half of grains offered are whole-grain rich. 
</t>
    </r>
  </si>
  <si>
    <r>
      <t xml:space="preserve">Entering the menu:  </t>
    </r>
    <r>
      <rPr>
        <sz val="11"/>
        <color theme="1"/>
        <rFont val="Calibri"/>
        <family val="2"/>
        <scheme val="minor"/>
      </rPr>
      <t>The white cells at the top of the spreadsheet are only for reference so that you do not forget to enter food items in the colored sections below.  You may want to enter the foods as they appear on the menus you provide to students and families.  The formulas are based on the information entered in the colored rows.</t>
    </r>
  </si>
  <si>
    <t>1/4 c. raisins</t>
  </si>
  <si>
    <t>1/2 c. pineapple
1/4 c. raisins</t>
  </si>
  <si>
    <r>
      <t xml:space="preserve">Meat/Meat alternate: </t>
    </r>
    <r>
      <rPr>
        <sz val="11"/>
        <color theme="1"/>
        <rFont val="Calibri"/>
        <family val="2"/>
        <scheme val="minor"/>
      </rPr>
      <t xml:space="preserve">There is both a minimum and maximum number of ounce-equivalents per week. Enter the number of ounce-equivalents of meat/meat alternate that you intend to serve to the grade group. This will be based on information from Child Nutrition labels or recipe analysis of combination foods, crediting information from USDA Fact Sheets, or the Food Buying Guide.  You will visually need to check that the daily minimum oz-equivalent for the age group (1 oz for Grades K-8 and 2 oz for 9-12) is included.  
Examples:  
- A CN label on a 3.3 oz. chicken pattie says that one pattie is equal to 2 oz meat/meat alternate and 1 grain/bread serving.  You would enter 2 oz-equivalents under Meat/Meat Alternate and 1 under grain/bread.  
- The USDA deli turkey fact sheet indicates that 1.6 oz of turkey = 1 ounce meat/meat alternate.  If you are serving 1.6 ounces of USDA deli turkey, you would enter 1 ounce-equivalent.  </t>
    </r>
  </si>
  <si>
    <r>
      <t xml:space="preserve">Fruit:  </t>
    </r>
    <r>
      <rPr>
        <sz val="11"/>
        <color theme="1"/>
        <rFont val="Calibri"/>
        <family val="2"/>
        <scheme val="minor"/>
      </rPr>
      <t>Use the information in the USDA Food Buying Guide to determine how to credit whole fruit.  Note that the 2012 meal pattern regulations indicate that dried fruit can be credited for twice its volume.  1/4 cup dried fruit = 1/2 cup fruit serving.  You will need to visually check that the required 1/2 cup per day for Grades K-8 and 1 cup per day for Grades 9-12 is included.</t>
    </r>
  </si>
  <si>
    <r>
      <t xml:space="preserve">Basic Excel Information:  
- </t>
    </r>
    <r>
      <rPr>
        <sz val="11"/>
        <color theme="1"/>
        <rFont val="Calibri"/>
        <family val="2"/>
        <scheme val="minor"/>
      </rPr>
      <t xml:space="preserve"> Before you begin to enter your own information in the spreadsheet,  save it under a name and location that you will recognize and remember.  
-  Use the Tab or Arrow keys to move between cells horizontally.  The Arrow keys also can be used to move vertically.  The Enter key moves to the next cell below.</t>
    </r>
    <r>
      <rPr>
        <b/>
        <sz val="11"/>
        <color theme="1"/>
        <rFont val="Calibri"/>
        <family val="2"/>
        <scheme val="minor"/>
      </rPr>
      <t xml:space="preserve">
</t>
    </r>
    <r>
      <rPr>
        <sz val="11"/>
        <color theme="1"/>
        <rFont val="Calibri"/>
        <family val="2"/>
        <scheme val="minor"/>
      </rPr>
      <t xml:space="preserve">- Cells have been formatted to wrap text.  If you want to make a line break at a certain spot, Alt+ Enter.  If you just "Enter", you will go to the next cell.  Press F2 to edit information inside a cell.
- Cells with formulas are locked.  You will not be able to enter information in a locked cell.  
- You can copy and paste information by highlighting a cell or cells, doing a right click and choosing copy, then right click and paste at the location to which you want to copy.  ALT-C and ALT-V key strokes also work.
- Click on the ? in a blue circle on the toolbar at the top of the right side of the screen for additional Excel help.
</t>
    </r>
  </si>
  <si>
    <r>
      <rPr>
        <b/>
        <sz val="11"/>
        <color theme="1"/>
        <rFont val="Calibri"/>
        <family val="2"/>
        <scheme val="minor"/>
      </rPr>
      <t xml:space="preserve">How the Tool Works: </t>
    </r>
    <r>
      <rPr>
        <sz val="11"/>
        <color theme="1"/>
        <rFont val="Calibri"/>
        <family val="2"/>
        <scheme val="minor"/>
      </rPr>
      <t xml:space="preserve"> The Meal Planning Spreadsheet Tool contains formulas to evaluate  whether the daily required vegetable servings, weekly required vegetable subgroup servings, and weekly minimum and maximum requirements for other food groups are met.  Look at the tabs at the bottom of this page.  There is a blank spreadsheet and a sample for each grade group.  The correct grade group must be used since the minimum and maximum amounts vary.  Until adequate amounts are entered, a red </t>
    </r>
    <r>
      <rPr>
        <sz val="11"/>
        <color rgb="FFFF0000"/>
        <rFont val="Calibri"/>
        <family val="2"/>
        <scheme val="minor"/>
      </rPr>
      <t xml:space="preserve">No </t>
    </r>
    <r>
      <rPr>
        <sz val="11"/>
        <color theme="1"/>
        <rFont val="Calibri"/>
        <family val="2"/>
        <scheme val="minor"/>
      </rPr>
      <t>appears next to the total. The tool does not evaluate whether the nutrient standards for calories, sodium, and saturated fat are met, and cannot evaluate whether the serving size information entered is correct.  The calculations are made based on information entered by the school.  If incorrect information is entered, the results will not be accurate.  After you have saved this worksheet under another name, feel free to make changes to the sample to explore.</t>
    </r>
  </si>
  <si>
    <t>3.2 oz USDA  deli turkey, 5 oz cheese</t>
  </si>
  <si>
    <t>Low</t>
  </si>
  <si>
    <t>High</t>
  </si>
  <si>
    <t>Monday 11/5</t>
  </si>
  <si>
    <t>Grains(2 oz eq day)</t>
  </si>
  <si>
    <t>(10-12 oz eq per week)
(10-12 oz eq per week)</t>
  </si>
  <si>
    <t>Grains(1 oz eq day)</t>
  </si>
  <si>
    <t>(8-10 oz eq per week)
(10-12 oz eq per week)</t>
  </si>
  <si>
    <t>(8-9 oz eq per week)
(10-12 oz eq per week)</t>
  </si>
  <si>
    <t xml:space="preserve"> MENU - 6-8 Multiple entrees</t>
  </si>
  <si>
    <t xml:space="preserve"> MENU - K-5 Multiple Entrees</t>
  </si>
  <si>
    <t>Cherry Crisp- 0.25 G/B 
.25 fruit</t>
  </si>
  <si>
    <t>Canned peaches</t>
  </si>
  <si>
    <t xml:space="preserve">Broccoli Cheese Soup (.25 V- No M/MA) </t>
  </si>
  <si>
    <t>Sloppy Jo (2 M/MA) on 1.5 oz. bun</t>
  </si>
  <si>
    <t>Soup</t>
  </si>
  <si>
    <t>Sw Pot. Fries</t>
  </si>
  <si>
    <t>Pepper</t>
  </si>
  <si>
    <t>Strawberries -.5
Peaches .5</t>
  </si>
  <si>
    <t>French fries</t>
  </si>
  <si>
    <t>Canned pears</t>
  </si>
  <si>
    <t>Bun, crackers, crisp</t>
  </si>
  <si>
    <t>Corn Dog ( 2 M/MA and 2 G/B)</t>
  </si>
  <si>
    <t xml:space="preserve">Sweet Potato Fries  </t>
  </si>
  <si>
    <t>Both 2 oz</t>
  </si>
  <si>
    <t>Brown Rice (1 cup)</t>
  </si>
  <si>
    <t>Fresh Carrots-1/2 cup</t>
  </si>
  <si>
    <t>Oriental veg in Teriyaki- 0.5cup</t>
  </si>
  <si>
    <t>Roast pork-  2 oz</t>
  </si>
  <si>
    <t>Romaine Lettuce - 3/4 cup</t>
  </si>
  <si>
    <t>Sliced tomato - 1/4 cup</t>
  </si>
  <si>
    <t>Green beans</t>
  </si>
  <si>
    <t>Roll &amp; nuggets</t>
  </si>
  <si>
    <t>Kiwi-.5
Pears .5</t>
  </si>
  <si>
    <t>Peaches.5  &amp; fresh apple- 1</t>
  </si>
  <si>
    <t>Salsa- 1/4 cup)</t>
  </si>
  <si>
    <t>Refried Beans - 1/2 c</t>
  </si>
  <si>
    <t>Corn- 1/2 cup</t>
  </si>
  <si>
    <t>Whole fresh apple</t>
  </si>
  <si>
    <t>Bun &amp; cookie  or Crust &amp; cookie</t>
  </si>
  <si>
    <t xml:space="preserve">Cantaloupe </t>
  </si>
  <si>
    <t>Applesauce</t>
  </si>
  <si>
    <t>Romaine</t>
  </si>
  <si>
    <t>Peas &amp; carrots- 1/2 cup</t>
  </si>
  <si>
    <t>Peas &amp; carrots</t>
  </si>
  <si>
    <t>Submarine Sandwich  3 M/MA- 2  WG bun</t>
  </si>
  <si>
    <t>Oven Baked Fish Nuggets-6
2.25 M/MA and 3/4 G/B</t>
  </si>
  <si>
    <t>Cheese Pizza -2 oz M/MA and Whole Wheat Crust 2 G/B</t>
  </si>
  <si>
    <t xml:space="preserve">Beef  Taco  Meat- 2 oz on Whole Grain Tortilla- 2 oz
</t>
  </si>
  <si>
    <t>Whole wheat roll- 2 oz</t>
  </si>
  <si>
    <t>Chef salad 2 M/MA 1.5 muffin.5 G/B crackers ( 2 pkg)</t>
  </si>
  <si>
    <t>Yogurt- 8 oz with 1.5 muffin.5 G/B crackers ( 2 pkg)</t>
  </si>
  <si>
    <t>Dried blueberries - 1/4 c.</t>
  </si>
  <si>
    <t xml:space="preserve">Whole grain cookie 0.5 G/B </t>
  </si>
  <si>
    <t>Pineapple- .5
Applesauce- .5</t>
  </si>
  <si>
    <t>Cantaloupe- .5
Dried fruit = .5</t>
  </si>
  <si>
    <t>Sloppy Jo- Low
 Sub-High</t>
  </si>
  <si>
    <t>Pork-Low
Fish- High</t>
  </si>
  <si>
    <t>Grilled chicken- 2.5 oz on Whole grain bun- 1.5 oz</t>
  </si>
  <si>
    <t>Crackers- 4 (0.5 G/B)</t>
  </si>
  <si>
    <t>Tortillas or
 muffin &amp; crackers</t>
  </si>
  <si>
    <t xml:space="preserve">Rice or corn dog </t>
  </si>
  <si>
    <t>Chicken Teriyaki 2 M/MA and 1/2 c. veg</t>
  </si>
  <si>
    <t>Pizza- Low
Chicken- High</t>
  </si>
  <si>
    <r>
      <t xml:space="preserve">Multiple Entrees: </t>
    </r>
    <r>
      <rPr>
        <sz val="11"/>
        <color theme="1"/>
        <rFont val="Calibri"/>
        <family val="2"/>
        <scheme val="minor"/>
      </rPr>
      <t>If more than one entree is offered each day, enter the minimum oz-equivalents of grain and of meat/meat alternate that a student could take each day in the row labeled "Low" for each of these two components.  Enter the maximum oz-equivalents of meat/meat alternate and grain/bread in the rows labeled "High" for each of these components.  The spread sheets checks whether  the sum of all daily minimum offerings meets at least the weekly minimum requirement and whether the sum of the daily maximum offerings for grains and meat/meat alternates is equal to or less than the weekly maximum limit.   In the vegetable and fruit rows, enter only those that are available to all students. Do not include  a vegetable or fruit that is part of an entree that wouldn't be available to all students.  Remember there is no maximum on fruits or vegetables as long as calories, sodium, and fat stay within the nutrient standards in the weighted nutrient analysis.</t>
    </r>
    <r>
      <rPr>
        <b/>
        <sz val="11"/>
        <color theme="1"/>
        <rFont val="Calibri"/>
        <family val="2"/>
        <scheme val="minor"/>
      </rPr>
      <t xml:space="preserve">
</t>
    </r>
    <r>
      <rPr>
        <sz val="11"/>
        <color theme="1"/>
        <rFont val="Calibri"/>
        <family val="2"/>
        <scheme val="minor"/>
      </rPr>
      <t xml:space="preserve">
</t>
    </r>
  </si>
  <si>
    <t>Fruits (1/2 Cup per day) (2.5 cups per week)</t>
  </si>
  <si>
    <t>Additional Vegetable to reach Goal (1  Cup per week)</t>
  </si>
</sst>
</file>

<file path=xl/styles.xml><?xml version="1.0" encoding="utf-8"?>
<styleSheet xmlns="http://schemas.openxmlformats.org/spreadsheetml/2006/main">
  <fonts count="8">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sz val="11"/>
      <color theme="6" tint="0.59999389629810485"/>
      <name val="Calibri"/>
      <family val="2"/>
      <scheme val="minor"/>
    </font>
    <font>
      <sz val="10"/>
      <color theme="1"/>
      <name val="Calibri"/>
      <family val="2"/>
      <scheme val="minor"/>
    </font>
    <font>
      <sz val="11"/>
      <color rgb="FFFF0000"/>
      <name val="Calibri"/>
      <family val="2"/>
      <scheme val="minor"/>
    </font>
    <font>
      <b/>
      <sz val="12"/>
      <color theme="1"/>
      <name val="Calibri"/>
      <family val="2"/>
      <scheme val="minor"/>
    </font>
  </fonts>
  <fills count="13">
    <fill>
      <patternFill patternType="none"/>
    </fill>
    <fill>
      <patternFill patternType="gray125"/>
    </fill>
    <fill>
      <patternFill patternType="solid">
        <fgColor theme="3" tint="0.59999389629810485"/>
        <bgColor indexed="64"/>
      </patternFill>
    </fill>
    <fill>
      <patternFill patternType="solid">
        <fgColor rgb="FFFFFF00"/>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0" tint="-0.249977111117893"/>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s>
  <cellStyleXfs count="1">
    <xf numFmtId="0" fontId="0" fillId="0" borderId="0"/>
  </cellStyleXfs>
  <cellXfs count="421">
    <xf numFmtId="0" fontId="0" fillId="0" borderId="0" xfId="0"/>
    <xf numFmtId="0" fontId="0" fillId="0" borderId="0" xfId="0" applyAlignment="1">
      <alignment horizontal="center"/>
    </xf>
    <xf numFmtId="0" fontId="0" fillId="0" borderId="0" xfId="0" applyBorder="1"/>
    <xf numFmtId="0" fontId="0" fillId="3" borderId="1" xfId="0" applyFill="1" applyBorder="1" applyAlignment="1">
      <alignment horizontal="center"/>
    </xf>
    <xf numFmtId="0" fontId="0" fillId="2" borderId="1" xfId="0" applyFill="1" applyBorder="1" applyAlignment="1">
      <alignment horizontal="center"/>
    </xf>
    <xf numFmtId="0" fontId="1" fillId="2" borderId="1" xfId="0" applyFont="1" applyFill="1" applyBorder="1" applyAlignment="1" applyProtection="1">
      <alignment horizontal="center"/>
    </xf>
    <xf numFmtId="0" fontId="0" fillId="2" borderId="1" xfId="0" applyFill="1" applyBorder="1" applyAlignment="1" applyProtection="1">
      <alignment horizontal="center"/>
    </xf>
    <xf numFmtId="0" fontId="1" fillId="3" borderId="1" xfId="0" applyFont="1" applyFill="1" applyBorder="1" applyAlignment="1" applyProtection="1">
      <alignment horizontal="center"/>
    </xf>
    <xf numFmtId="0" fontId="0" fillId="3" borderId="1" xfId="0" applyFill="1" applyBorder="1" applyAlignment="1" applyProtection="1">
      <alignment horizontal="center"/>
    </xf>
    <xf numFmtId="0" fontId="0" fillId="3" borderId="1" xfId="0" applyFill="1" applyBorder="1" applyAlignment="1" applyProtection="1">
      <alignment horizontal="center"/>
      <protection locked="0"/>
    </xf>
    <xf numFmtId="0" fontId="0" fillId="2" borderId="1" xfId="0" applyFill="1" applyBorder="1" applyAlignment="1" applyProtection="1">
      <alignment horizontal="center"/>
      <protection locked="0"/>
    </xf>
    <xf numFmtId="0" fontId="0" fillId="0" borderId="5" xfId="0" applyBorder="1"/>
    <xf numFmtId="0" fontId="0" fillId="0" borderId="6" xfId="0" applyBorder="1"/>
    <xf numFmtId="0" fontId="0" fillId="0" borderId="7" xfId="0" applyBorder="1"/>
    <xf numFmtId="0" fontId="0" fillId="0" borderId="9" xfId="0" applyBorder="1"/>
    <xf numFmtId="0" fontId="0" fillId="5" borderId="1" xfId="0" applyFill="1" applyBorder="1" applyAlignment="1">
      <alignment horizontal="center"/>
    </xf>
    <xf numFmtId="0" fontId="0" fillId="5" borderId="1" xfId="0" applyFill="1" applyBorder="1" applyAlignment="1" applyProtection="1">
      <alignment horizontal="center"/>
      <protection locked="0"/>
    </xf>
    <xf numFmtId="0" fontId="1" fillId="5" borderId="1" xfId="0" applyFont="1" applyFill="1" applyBorder="1" applyAlignment="1" applyProtection="1">
      <alignment horizontal="center"/>
    </xf>
    <xf numFmtId="0" fontId="0" fillId="5" borderId="1" xfId="0" applyFill="1" applyBorder="1" applyAlignment="1" applyProtection="1">
      <alignment horizontal="center"/>
    </xf>
    <xf numFmtId="0" fontId="0" fillId="6" borderId="1" xfId="0" applyFill="1" applyBorder="1" applyAlignment="1">
      <alignment horizontal="center"/>
    </xf>
    <xf numFmtId="0" fontId="0" fillId="6" borderId="1" xfId="0" applyFill="1" applyBorder="1" applyAlignment="1" applyProtection="1">
      <alignment horizontal="center"/>
      <protection locked="0"/>
    </xf>
    <xf numFmtId="0" fontId="1" fillId="6" borderId="1" xfId="0" applyFont="1" applyFill="1" applyBorder="1" applyAlignment="1" applyProtection="1">
      <alignment horizontal="center"/>
    </xf>
    <xf numFmtId="0" fontId="0" fillId="6" borderId="1" xfId="0" applyFill="1" applyBorder="1" applyAlignment="1" applyProtection="1">
      <alignment horizontal="center"/>
    </xf>
    <xf numFmtId="0" fontId="0" fillId="7" borderId="1" xfId="0" applyFill="1" applyBorder="1" applyAlignment="1">
      <alignment horizontal="center"/>
    </xf>
    <xf numFmtId="0" fontId="0" fillId="7" borderId="1" xfId="0" applyFill="1" applyBorder="1" applyAlignment="1" applyProtection="1">
      <alignment horizontal="center"/>
      <protection locked="0"/>
    </xf>
    <xf numFmtId="0" fontId="1" fillId="7" borderId="1" xfId="0" applyFont="1" applyFill="1" applyBorder="1" applyAlignment="1" applyProtection="1">
      <alignment horizontal="center"/>
    </xf>
    <xf numFmtId="0" fontId="0" fillId="7" borderId="1" xfId="0" applyFill="1" applyBorder="1" applyAlignment="1" applyProtection="1">
      <alignment horizontal="center"/>
    </xf>
    <xf numFmtId="0" fontId="0" fillId="8" borderId="1" xfId="0" applyFill="1" applyBorder="1" applyAlignment="1">
      <alignment horizontal="center"/>
    </xf>
    <xf numFmtId="0" fontId="0" fillId="8" borderId="1" xfId="0" applyFill="1" applyBorder="1" applyAlignment="1" applyProtection="1">
      <alignment horizontal="center"/>
      <protection locked="0"/>
    </xf>
    <xf numFmtId="0" fontId="1" fillId="8" borderId="1" xfId="0" applyFont="1" applyFill="1" applyBorder="1" applyAlignment="1" applyProtection="1">
      <alignment horizontal="center"/>
    </xf>
    <xf numFmtId="0" fontId="0" fillId="8" borderId="1" xfId="0" applyFill="1" applyBorder="1" applyAlignment="1" applyProtection="1">
      <alignment horizontal="center"/>
    </xf>
    <xf numFmtId="0" fontId="0" fillId="9" borderId="1" xfId="0" applyFill="1" applyBorder="1" applyAlignment="1">
      <alignment horizontal="center"/>
    </xf>
    <xf numFmtId="0" fontId="0" fillId="5" borderId="1" xfId="0" applyFill="1" applyBorder="1" applyAlignment="1">
      <alignment horizontal="center" wrapText="1"/>
    </xf>
    <xf numFmtId="0" fontId="0" fillId="5" borderId="1" xfId="0" applyFill="1" applyBorder="1" applyAlignment="1" applyProtection="1">
      <alignment horizontal="center" wrapText="1"/>
      <protection locked="0"/>
    </xf>
    <xf numFmtId="0" fontId="1" fillId="5" borderId="1" xfId="0" applyFont="1" applyFill="1" applyBorder="1" applyAlignment="1" applyProtection="1">
      <alignment horizontal="center" wrapText="1"/>
    </xf>
    <xf numFmtId="0" fontId="0" fillId="6" borderId="1" xfId="0" applyFill="1" applyBorder="1" applyAlignment="1" applyProtection="1">
      <alignment horizontal="center" wrapText="1"/>
      <protection locked="0"/>
    </xf>
    <xf numFmtId="0" fontId="1" fillId="6" borderId="1" xfId="0" applyFont="1" applyFill="1" applyBorder="1" applyAlignment="1" applyProtection="1">
      <alignment horizontal="center" wrapText="1"/>
    </xf>
    <xf numFmtId="0" fontId="0" fillId="7" borderId="1" xfId="0" applyFill="1" applyBorder="1" applyAlignment="1" applyProtection="1">
      <alignment horizontal="center" wrapText="1"/>
      <protection locked="0"/>
    </xf>
    <xf numFmtId="0" fontId="1" fillId="7" borderId="1" xfId="0" applyFont="1" applyFill="1" applyBorder="1" applyAlignment="1" applyProtection="1">
      <alignment horizontal="center" wrapText="1"/>
    </xf>
    <xf numFmtId="0" fontId="0" fillId="3" borderId="1" xfId="0" applyFill="1" applyBorder="1" applyAlignment="1" applyProtection="1">
      <alignment horizontal="center" wrapText="1"/>
      <protection locked="0"/>
    </xf>
    <xf numFmtId="0" fontId="1" fillId="3" borderId="1" xfId="0" applyFont="1" applyFill="1" applyBorder="1" applyAlignment="1" applyProtection="1">
      <alignment horizontal="center" wrapText="1"/>
    </xf>
    <xf numFmtId="0" fontId="0" fillId="2" borderId="1" xfId="0" applyFill="1" applyBorder="1" applyAlignment="1">
      <alignment horizontal="center" wrapText="1"/>
    </xf>
    <xf numFmtId="0" fontId="0" fillId="2" borderId="1" xfId="0" applyFill="1" applyBorder="1" applyAlignment="1" applyProtection="1">
      <alignment horizontal="center" wrapText="1"/>
      <protection locked="0"/>
    </xf>
    <xf numFmtId="0" fontId="1" fillId="2" borderId="1" xfId="0" applyFont="1" applyFill="1" applyBorder="1" applyAlignment="1" applyProtection="1">
      <alignment horizontal="center" wrapText="1"/>
    </xf>
    <xf numFmtId="0" fontId="0" fillId="8" borderId="1" xfId="0" applyFill="1" applyBorder="1" applyAlignment="1">
      <alignment horizontal="center" wrapText="1"/>
    </xf>
    <xf numFmtId="0" fontId="0" fillId="8" borderId="1" xfId="0" applyFill="1" applyBorder="1" applyAlignment="1" applyProtection="1">
      <alignment horizontal="center" wrapText="1"/>
      <protection locked="0"/>
    </xf>
    <xf numFmtId="0" fontId="1" fillId="8" borderId="1" xfId="0" applyFont="1" applyFill="1" applyBorder="1" applyAlignment="1" applyProtection="1">
      <alignment horizontal="center" wrapText="1"/>
    </xf>
    <xf numFmtId="0" fontId="0" fillId="8" borderId="1" xfId="0" applyFill="1" applyBorder="1" applyAlignment="1" applyProtection="1">
      <alignment horizontal="center" wrapText="1"/>
    </xf>
    <xf numFmtId="0" fontId="0" fillId="2" borderId="1" xfId="0" applyFill="1" applyBorder="1" applyAlignment="1" applyProtection="1">
      <alignment horizontal="center" wrapText="1"/>
    </xf>
    <xf numFmtId="0" fontId="0" fillId="10" borderId="1" xfId="0" applyFill="1" applyBorder="1" applyAlignment="1">
      <alignment horizontal="center" wrapText="1"/>
    </xf>
    <xf numFmtId="0" fontId="0" fillId="10" borderId="1" xfId="0" applyFill="1" applyBorder="1" applyAlignment="1" applyProtection="1">
      <alignment horizontal="center" wrapText="1"/>
      <protection locked="0"/>
    </xf>
    <xf numFmtId="0" fontId="1" fillId="10" borderId="1" xfId="0" applyFont="1" applyFill="1" applyBorder="1" applyAlignment="1" applyProtection="1">
      <alignment horizontal="center" wrapText="1"/>
    </xf>
    <xf numFmtId="0" fontId="0" fillId="10" borderId="12" xfId="0" applyFill="1" applyBorder="1" applyAlignment="1" applyProtection="1">
      <alignment horizontal="center" wrapText="1"/>
      <protection locked="0"/>
    </xf>
    <xf numFmtId="0" fontId="0" fillId="10" borderId="1" xfId="0" applyFill="1" applyBorder="1" applyAlignment="1" applyProtection="1">
      <alignment horizontal="center" wrapText="1"/>
    </xf>
    <xf numFmtId="0" fontId="0" fillId="10" borderId="1" xfId="0" applyFill="1" applyBorder="1" applyAlignment="1">
      <alignment horizontal="center"/>
    </xf>
    <xf numFmtId="0" fontId="0" fillId="10" borderId="1" xfId="0" applyFill="1" applyBorder="1" applyAlignment="1" applyProtection="1">
      <alignment horizontal="center"/>
      <protection locked="0"/>
    </xf>
    <xf numFmtId="0" fontId="1" fillId="10" borderId="1" xfId="0" applyFont="1" applyFill="1" applyBorder="1" applyAlignment="1" applyProtection="1">
      <alignment horizontal="center"/>
    </xf>
    <xf numFmtId="0" fontId="0" fillId="10" borderId="12" xfId="0" applyFill="1" applyBorder="1" applyAlignment="1" applyProtection="1">
      <alignment horizontal="center"/>
      <protection locked="0"/>
    </xf>
    <xf numFmtId="0" fontId="0" fillId="10" borderId="1" xfId="0" applyFill="1" applyBorder="1" applyAlignment="1" applyProtection="1">
      <alignment horizontal="center"/>
    </xf>
    <xf numFmtId="0" fontId="0" fillId="9" borderId="14" xfId="0" applyFill="1" applyBorder="1" applyAlignment="1" applyProtection="1">
      <alignment horizontal="center"/>
    </xf>
    <xf numFmtId="0" fontId="0" fillId="9" borderId="14" xfId="0" applyFill="1" applyBorder="1" applyAlignment="1" applyProtection="1">
      <alignment horizontal="center"/>
      <protection locked="0"/>
    </xf>
    <xf numFmtId="0" fontId="1" fillId="9" borderId="14" xfId="0" applyFont="1" applyFill="1" applyBorder="1" applyAlignment="1" applyProtection="1">
      <alignment horizontal="center"/>
    </xf>
    <xf numFmtId="0" fontId="0" fillId="9" borderId="14" xfId="0" applyFill="1" applyBorder="1" applyAlignment="1" applyProtection="1">
      <alignment horizontal="center" wrapText="1"/>
      <protection locked="0"/>
    </xf>
    <xf numFmtId="0" fontId="1" fillId="9" borderId="14" xfId="0" applyFont="1" applyFill="1" applyBorder="1" applyAlignment="1" applyProtection="1">
      <alignment horizontal="center" wrapText="1"/>
    </xf>
    <xf numFmtId="0" fontId="1" fillId="9" borderId="15" xfId="0" applyFont="1" applyFill="1" applyBorder="1" applyAlignment="1" applyProtection="1">
      <alignment horizontal="center"/>
    </xf>
    <xf numFmtId="0" fontId="0" fillId="11" borderId="1" xfId="0" applyFill="1" applyBorder="1" applyAlignment="1">
      <alignment horizontal="center" wrapText="1"/>
    </xf>
    <xf numFmtId="0" fontId="0" fillId="11" borderId="1" xfId="0" applyFill="1" applyBorder="1" applyAlignment="1">
      <alignment horizontal="center"/>
    </xf>
    <xf numFmtId="0" fontId="0" fillId="11" borderId="1" xfId="0" applyFill="1" applyBorder="1" applyAlignment="1" applyProtection="1">
      <alignment horizontal="center" wrapText="1"/>
      <protection locked="0"/>
    </xf>
    <xf numFmtId="0" fontId="1" fillId="11" borderId="1" xfId="0" applyFont="1" applyFill="1" applyBorder="1" applyAlignment="1" applyProtection="1">
      <alignment horizontal="center" wrapText="1"/>
    </xf>
    <xf numFmtId="0" fontId="0" fillId="11" borderId="1" xfId="0" applyFill="1" applyBorder="1" applyAlignment="1" applyProtection="1">
      <alignment horizontal="center"/>
    </xf>
    <xf numFmtId="0" fontId="0" fillId="11" borderId="1" xfId="0" applyFill="1" applyBorder="1" applyAlignment="1" applyProtection="1">
      <alignment horizontal="center"/>
      <protection locked="0"/>
    </xf>
    <xf numFmtId="0" fontId="1" fillId="11" borderId="1" xfId="0" applyFont="1" applyFill="1" applyBorder="1" applyAlignment="1" applyProtection="1">
      <alignment horizontal="center"/>
    </xf>
    <xf numFmtId="0" fontId="0" fillId="0" borderId="3" xfId="0" applyBorder="1"/>
    <xf numFmtId="0" fontId="3" fillId="8" borderId="1" xfId="0" applyFont="1" applyFill="1" applyBorder="1" applyAlignment="1" applyProtection="1">
      <alignment horizontal="center"/>
    </xf>
    <xf numFmtId="0" fontId="0" fillId="9" borderId="15" xfId="0" applyFill="1" applyBorder="1" applyAlignment="1" applyProtection="1">
      <alignment horizontal="center"/>
    </xf>
    <xf numFmtId="0" fontId="0" fillId="9" borderId="14" xfId="0" applyFill="1" applyBorder="1" applyAlignment="1">
      <alignment horizontal="center"/>
    </xf>
    <xf numFmtId="0" fontId="0" fillId="0" borderId="0" xfId="0"/>
    <xf numFmtId="0" fontId="0" fillId="0" borderId="0" xfId="0" applyProtection="1"/>
    <xf numFmtId="0" fontId="0" fillId="11" borderId="1" xfId="0" applyNumberFormat="1" applyFill="1" applyBorder="1" applyAlignment="1">
      <alignment horizontal="center" wrapText="1"/>
    </xf>
    <xf numFmtId="0" fontId="0" fillId="11" borderId="1" xfId="0" applyNumberFormat="1" applyFill="1" applyBorder="1" applyAlignment="1" applyProtection="1">
      <alignment horizontal="center" wrapText="1"/>
      <protection locked="0"/>
    </xf>
    <xf numFmtId="0" fontId="1" fillId="11" borderId="1" xfId="0" applyNumberFormat="1" applyFont="1" applyFill="1" applyBorder="1" applyAlignment="1" applyProtection="1">
      <alignment horizontal="center" wrapText="1"/>
    </xf>
    <xf numFmtId="0" fontId="0" fillId="11" borderId="1" xfId="0" applyNumberFormat="1" applyFill="1" applyBorder="1" applyAlignment="1" applyProtection="1">
      <alignment horizontal="center" wrapText="1"/>
    </xf>
    <xf numFmtId="0" fontId="3" fillId="5" borderId="1" xfId="0" applyNumberFormat="1" applyFont="1" applyFill="1" applyBorder="1" applyAlignment="1">
      <alignment horizontal="center" wrapText="1"/>
    </xf>
    <xf numFmtId="0" fontId="4" fillId="5" borderId="1" xfId="0" applyNumberFormat="1" applyFont="1" applyFill="1" applyBorder="1" applyAlignment="1">
      <alignment horizontal="center" wrapText="1"/>
    </xf>
    <xf numFmtId="0" fontId="3" fillId="5" borderId="1" xfId="0" applyNumberFormat="1" applyFont="1" applyFill="1" applyBorder="1" applyAlignment="1" applyProtection="1">
      <alignment horizontal="center" wrapText="1"/>
      <protection locked="0"/>
    </xf>
    <xf numFmtId="0" fontId="2" fillId="5" borderId="1" xfId="0" applyNumberFormat="1" applyFont="1" applyFill="1" applyBorder="1" applyAlignment="1" applyProtection="1">
      <alignment horizontal="center" wrapText="1"/>
    </xf>
    <xf numFmtId="0" fontId="3" fillId="5" borderId="1" xfId="0" applyNumberFormat="1" applyFont="1" applyFill="1" applyBorder="1" applyAlignment="1" applyProtection="1">
      <alignment horizontal="center" wrapText="1"/>
    </xf>
    <xf numFmtId="0" fontId="0" fillId="6" borderId="1" xfId="0" applyNumberFormat="1" applyFill="1" applyBorder="1" applyAlignment="1">
      <alignment horizontal="center" wrapText="1"/>
    </xf>
    <xf numFmtId="0" fontId="0" fillId="6" borderId="1" xfId="0" applyNumberFormat="1" applyFill="1" applyBorder="1" applyAlignment="1" applyProtection="1">
      <alignment horizontal="center" wrapText="1"/>
      <protection locked="0"/>
    </xf>
    <xf numFmtId="0" fontId="1" fillId="6" borderId="1" xfId="0" applyNumberFormat="1" applyFont="1" applyFill="1" applyBorder="1" applyAlignment="1" applyProtection="1">
      <alignment horizontal="center" wrapText="1"/>
    </xf>
    <xf numFmtId="0" fontId="0" fillId="6" borderId="1" xfId="0" applyNumberFormat="1" applyFill="1" applyBorder="1" applyAlignment="1" applyProtection="1">
      <alignment horizontal="center" wrapText="1"/>
    </xf>
    <xf numFmtId="0" fontId="0" fillId="7" borderId="1" xfId="0" applyNumberFormat="1" applyFill="1" applyBorder="1" applyAlignment="1">
      <alignment horizontal="center" wrapText="1"/>
    </xf>
    <xf numFmtId="0" fontId="0" fillId="7" borderId="1" xfId="0" applyNumberFormat="1" applyFill="1" applyBorder="1" applyAlignment="1" applyProtection="1">
      <alignment horizontal="center" wrapText="1"/>
      <protection locked="0"/>
    </xf>
    <xf numFmtId="0" fontId="1" fillId="7" borderId="1" xfId="0" applyNumberFormat="1" applyFont="1" applyFill="1" applyBorder="1" applyAlignment="1" applyProtection="1">
      <alignment horizontal="center" wrapText="1"/>
    </xf>
    <xf numFmtId="0" fontId="0" fillId="7" borderId="1" xfId="0" applyNumberFormat="1" applyFill="1" applyBorder="1" applyAlignment="1" applyProtection="1">
      <alignment horizontal="center" wrapText="1"/>
    </xf>
    <xf numFmtId="0" fontId="0" fillId="3" borderId="1" xfId="0" applyNumberFormat="1" applyFill="1" applyBorder="1" applyAlignment="1">
      <alignment horizontal="center" wrapText="1"/>
    </xf>
    <xf numFmtId="0" fontId="0" fillId="3" borderId="1" xfId="0" applyNumberFormat="1" applyFill="1" applyBorder="1" applyAlignment="1" applyProtection="1">
      <alignment horizontal="center" wrapText="1"/>
      <protection locked="0"/>
    </xf>
    <xf numFmtId="0" fontId="1" fillId="3" borderId="1" xfId="0" applyNumberFormat="1" applyFont="1" applyFill="1" applyBorder="1" applyAlignment="1" applyProtection="1">
      <alignment horizontal="center" wrapText="1"/>
    </xf>
    <xf numFmtId="0" fontId="0" fillId="3" borderId="1" xfId="0" applyNumberFormat="1" applyFill="1" applyBorder="1" applyAlignment="1" applyProtection="1">
      <alignment horizontal="center" wrapText="1"/>
    </xf>
    <xf numFmtId="0" fontId="0" fillId="9" borderId="1" xfId="0" applyNumberFormat="1" applyFill="1" applyBorder="1" applyAlignment="1">
      <alignment horizontal="center" wrapText="1"/>
    </xf>
    <xf numFmtId="0" fontId="0" fillId="9" borderId="14" xfId="0" applyNumberFormat="1" applyFill="1" applyBorder="1" applyAlignment="1" applyProtection="1">
      <alignment horizontal="center" wrapText="1"/>
      <protection locked="0"/>
    </xf>
    <xf numFmtId="0" fontId="1" fillId="9" borderId="14" xfId="0" applyNumberFormat="1" applyFont="1" applyFill="1" applyBorder="1" applyAlignment="1" applyProtection="1">
      <alignment horizontal="center" wrapText="1"/>
    </xf>
    <xf numFmtId="0" fontId="0" fillId="9" borderId="14" xfId="0" applyNumberFormat="1" applyFill="1" applyBorder="1" applyAlignment="1">
      <alignment horizontal="center" wrapText="1"/>
    </xf>
    <xf numFmtId="0" fontId="0" fillId="9" borderId="14" xfId="0" applyNumberFormat="1" applyFill="1" applyBorder="1" applyAlignment="1" applyProtection="1">
      <alignment horizontal="center" wrapText="1"/>
    </xf>
    <xf numFmtId="0" fontId="0" fillId="10" borderId="1" xfId="0" applyFill="1" applyBorder="1" applyAlignment="1" applyProtection="1">
      <alignment horizontal="center" wrapText="1"/>
      <protection locked="0"/>
    </xf>
    <xf numFmtId="0" fontId="0" fillId="8" borderId="1" xfId="0" applyFill="1" applyBorder="1" applyAlignment="1" applyProtection="1">
      <alignment horizontal="center" wrapText="1"/>
      <protection locked="0"/>
    </xf>
    <xf numFmtId="0" fontId="0" fillId="5" borderId="1" xfId="0" applyFill="1" applyBorder="1" applyAlignment="1" applyProtection="1">
      <alignment horizontal="center" wrapText="1"/>
    </xf>
    <xf numFmtId="0" fontId="0" fillId="9" borderId="1" xfId="0" applyFill="1" applyBorder="1" applyAlignment="1" applyProtection="1">
      <alignment horizontal="center"/>
    </xf>
    <xf numFmtId="0" fontId="0" fillId="6" borderId="1" xfId="0" applyFill="1" applyBorder="1" applyAlignment="1" applyProtection="1">
      <alignment horizontal="center" wrapText="1"/>
    </xf>
    <xf numFmtId="0" fontId="0" fillId="7" borderId="1" xfId="0" applyFill="1" applyBorder="1" applyAlignment="1" applyProtection="1">
      <alignment horizontal="center" wrapText="1"/>
    </xf>
    <xf numFmtId="0" fontId="0" fillId="3" borderId="1" xfId="0" applyFill="1" applyBorder="1" applyAlignment="1" applyProtection="1">
      <alignment horizontal="center" wrapText="1"/>
    </xf>
    <xf numFmtId="0" fontId="0" fillId="9" borderId="1" xfId="0" applyFill="1" applyBorder="1" applyAlignment="1" applyProtection="1">
      <alignment horizontal="center" wrapText="1"/>
    </xf>
    <xf numFmtId="0" fontId="0" fillId="9" borderId="14" xfId="0" applyFill="1" applyBorder="1" applyAlignment="1" applyProtection="1">
      <alignment horizontal="center" wrapText="1"/>
    </xf>
    <xf numFmtId="0" fontId="0" fillId="10" borderId="1" xfId="0" applyFill="1" applyBorder="1" applyAlignment="1" applyProtection="1">
      <alignment horizontal="center" wrapText="1"/>
      <protection locked="0"/>
    </xf>
    <xf numFmtId="0" fontId="1" fillId="10" borderId="1" xfId="0" applyFont="1" applyFill="1" applyBorder="1" applyAlignment="1" applyProtection="1">
      <alignment horizontal="center" wrapText="1"/>
    </xf>
    <xf numFmtId="0" fontId="3" fillId="5" borderId="1" xfId="0" applyNumberFormat="1" applyFont="1" applyFill="1" applyBorder="1" applyAlignment="1" applyProtection="1">
      <alignment horizontal="center" wrapText="1"/>
      <protection locked="0"/>
    </xf>
    <xf numFmtId="0" fontId="0" fillId="6" borderId="1" xfId="0" applyNumberFormat="1" applyFill="1" applyBorder="1" applyAlignment="1" applyProtection="1">
      <alignment horizontal="center" wrapText="1"/>
      <protection locked="0"/>
    </xf>
    <xf numFmtId="0" fontId="0" fillId="3" borderId="1" xfId="0" applyNumberFormat="1" applyFill="1" applyBorder="1" applyAlignment="1" applyProtection="1">
      <alignment horizontal="center" wrapText="1"/>
      <protection locked="0"/>
    </xf>
    <xf numFmtId="0" fontId="0" fillId="2" borderId="1" xfId="0" applyFill="1" applyBorder="1" applyAlignment="1" applyProtection="1">
      <alignment horizontal="center" wrapText="1"/>
      <protection locked="0"/>
    </xf>
    <xf numFmtId="0" fontId="0" fillId="8" borderId="1" xfId="0" applyFill="1" applyBorder="1" applyAlignment="1" applyProtection="1">
      <alignment horizontal="center"/>
      <protection locked="0"/>
    </xf>
    <xf numFmtId="0" fontId="0" fillId="8" borderId="1" xfId="0" applyFill="1" applyBorder="1" applyAlignment="1" applyProtection="1">
      <alignment horizontal="center" wrapText="1"/>
      <protection locked="0"/>
    </xf>
    <xf numFmtId="0" fontId="0" fillId="7" borderId="1" xfId="0" applyNumberFormat="1" applyFill="1" applyBorder="1" applyAlignment="1" applyProtection="1">
      <alignment horizontal="center" wrapText="1"/>
      <protection locked="0"/>
    </xf>
    <xf numFmtId="0" fontId="0" fillId="11" borderId="1" xfId="0" applyNumberFormat="1" applyFill="1" applyBorder="1" applyAlignment="1" applyProtection="1">
      <alignment horizontal="center" wrapText="1"/>
      <protection locked="0"/>
    </xf>
    <xf numFmtId="0" fontId="0" fillId="0" borderId="0" xfId="0" applyBorder="1" applyAlignment="1">
      <alignment horizontal="left" wrapText="1"/>
    </xf>
    <xf numFmtId="0" fontId="0" fillId="2" borderId="1" xfId="0" applyFill="1" applyBorder="1" applyAlignment="1" applyProtection="1">
      <alignment horizontal="center" wrapText="1"/>
    </xf>
    <xf numFmtId="0" fontId="0" fillId="11" borderId="1" xfId="0" applyFill="1" applyBorder="1" applyAlignment="1" applyProtection="1">
      <alignment horizontal="center" wrapText="1"/>
      <protection locked="0"/>
    </xf>
    <xf numFmtId="0" fontId="0" fillId="3" borderId="1" xfId="0" applyFill="1" applyBorder="1" applyAlignment="1" applyProtection="1">
      <alignment horizontal="center" wrapText="1"/>
      <protection locked="0"/>
    </xf>
    <xf numFmtId="0" fontId="0" fillId="10" borderId="1" xfId="0" applyFill="1" applyBorder="1" applyAlignment="1" applyProtection="1">
      <alignment horizontal="center"/>
      <protection locked="0"/>
    </xf>
    <xf numFmtId="0" fontId="0" fillId="7" borderId="1" xfId="0" applyFill="1" applyBorder="1" applyAlignment="1" applyProtection="1">
      <alignment horizontal="center" wrapText="1"/>
      <protection locked="0"/>
    </xf>
    <xf numFmtId="0" fontId="0" fillId="6" borderId="1" xfId="0" applyFill="1" applyBorder="1" applyAlignment="1" applyProtection="1">
      <alignment horizontal="center" wrapText="1"/>
      <protection locked="0"/>
    </xf>
    <xf numFmtId="0" fontId="0" fillId="5" borderId="1" xfId="0" applyFill="1" applyBorder="1" applyAlignment="1" applyProtection="1">
      <alignment horizontal="center" wrapText="1"/>
      <protection locked="0"/>
    </xf>
    <xf numFmtId="0" fontId="0" fillId="7" borderId="1" xfId="0" applyFill="1" applyBorder="1" applyAlignment="1" applyProtection="1">
      <alignment horizontal="center"/>
      <protection locked="0"/>
    </xf>
    <xf numFmtId="0" fontId="0" fillId="6" borderId="1" xfId="0" applyFill="1" applyBorder="1" applyAlignment="1" applyProtection="1">
      <alignment horizontal="center"/>
      <protection locked="0"/>
    </xf>
    <xf numFmtId="0" fontId="0" fillId="2" borderId="1" xfId="0" applyFill="1" applyBorder="1" applyAlignment="1" applyProtection="1">
      <alignment horizontal="center"/>
      <protection locked="0"/>
    </xf>
    <xf numFmtId="0" fontId="0" fillId="11" borderId="1" xfId="0" applyFill="1" applyBorder="1" applyAlignment="1" applyProtection="1">
      <alignment horizontal="center"/>
      <protection locked="0"/>
    </xf>
    <xf numFmtId="0" fontId="0" fillId="3" borderId="1" xfId="0" applyFill="1" applyBorder="1" applyAlignment="1" applyProtection="1">
      <alignment horizontal="center"/>
      <protection locked="0"/>
    </xf>
    <xf numFmtId="0" fontId="0" fillId="5" borderId="1" xfId="0" applyFill="1" applyBorder="1" applyAlignment="1" applyProtection="1">
      <alignment horizontal="center"/>
      <protection locked="0"/>
    </xf>
    <xf numFmtId="0" fontId="0" fillId="0" borderId="0" xfId="0" applyAlignment="1">
      <alignment horizontal="left" wrapText="1"/>
    </xf>
    <xf numFmtId="0" fontId="0" fillId="0" borderId="0" xfId="0" applyAlignment="1">
      <alignment wrapText="1"/>
    </xf>
    <xf numFmtId="0" fontId="1" fillId="0" borderId="0" xfId="0" applyFont="1" applyAlignment="1">
      <alignment horizontal="left" vertical="center" wrapText="1"/>
    </xf>
    <xf numFmtId="0" fontId="7" fillId="0" borderId="0" xfId="0" applyFont="1" applyAlignment="1">
      <alignment horizontal="center"/>
    </xf>
    <xf numFmtId="0" fontId="1" fillId="10" borderId="1" xfId="0" applyNumberFormat="1" applyFont="1" applyFill="1" applyBorder="1" applyAlignment="1" applyProtection="1">
      <alignment horizontal="center" wrapText="1"/>
    </xf>
    <xf numFmtId="0" fontId="0" fillId="10" borderId="1" xfId="0" applyNumberFormat="1" applyFill="1" applyBorder="1" applyAlignment="1" applyProtection="1">
      <alignment horizontal="center" wrapText="1"/>
      <protection locked="0"/>
    </xf>
    <xf numFmtId="0" fontId="0" fillId="10" borderId="12" xfId="0" applyNumberFormat="1" applyFill="1" applyBorder="1" applyAlignment="1" applyProtection="1">
      <alignment horizontal="center" wrapText="1"/>
      <protection locked="0"/>
    </xf>
    <xf numFmtId="0" fontId="0" fillId="0" borderId="0" xfId="0" applyBorder="1" applyAlignment="1">
      <alignment wrapText="1"/>
    </xf>
    <xf numFmtId="0" fontId="0" fillId="0" borderId="5" xfId="0" applyFill="1" applyBorder="1"/>
    <xf numFmtId="0" fontId="0" fillId="0" borderId="6" xfId="0" applyFill="1" applyBorder="1"/>
    <xf numFmtId="0" fontId="0" fillId="0" borderId="0" xfId="0" applyAlignment="1"/>
    <xf numFmtId="0" fontId="0" fillId="0" borderId="15" xfId="0" applyNumberFormat="1" applyFill="1" applyBorder="1" applyAlignment="1" applyProtection="1">
      <alignment horizontal="center"/>
    </xf>
    <xf numFmtId="0" fontId="1" fillId="0" borderId="15" xfId="0" applyNumberFormat="1" applyFont="1" applyFill="1" applyBorder="1" applyAlignment="1" applyProtection="1">
      <alignment horizontal="center"/>
    </xf>
    <xf numFmtId="0" fontId="0" fillId="0" borderId="0" xfId="0" applyFill="1"/>
    <xf numFmtId="0" fontId="0" fillId="8" borderId="13" xfId="0" applyFill="1" applyBorder="1" applyAlignment="1">
      <alignment horizontal="center" wrapText="1"/>
    </xf>
    <xf numFmtId="0" fontId="0" fillId="0" borderId="15" xfId="0" applyFill="1" applyBorder="1" applyAlignment="1" applyProtection="1">
      <alignment horizontal="center"/>
    </xf>
    <xf numFmtId="0" fontId="1" fillId="0" borderId="15" xfId="0" applyFont="1" applyFill="1" applyBorder="1" applyAlignment="1" applyProtection="1">
      <alignment horizontal="center"/>
    </xf>
    <xf numFmtId="0" fontId="0" fillId="11" borderId="1" xfId="0" applyFill="1" applyBorder="1" applyAlignment="1" applyProtection="1">
      <alignment horizontal="center"/>
      <protection locked="0"/>
    </xf>
    <xf numFmtId="0" fontId="1" fillId="0" borderId="0" xfId="0" applyFont="1" applyAlignment="1">
      <alignment horizontal="left" vertical="center" wrapText="1"/>
    </xf>
    <xf numFmtId="0" fontId="1" fillId="8" borderId="5" xfId="0" applyFont="1" applyFill="1" applyBorder="1" applyAlignment="1" applyProtection="1">
      <alignment horizontal="left" wrapText="1"/>
    </xf>
    <xf numFmtId="0" fontId="0" fillId="10" borderId="1" xfId="0" applyFill="1" applyBorder="1" applyAlignment="1" applyProtection="1">
      <alignment horizontal="center"/>
      <protection locked="0"/>
    </xf>
    <xf numFmtId="0" fontId="0" fillId="7" borderId="1" xfId="0" applyFill="1" applyBorder="1" applyAlignment="1" applyProtection="1">
      <alignment horizontal="center"/>
      <protection locked="0"/>
    </xf>
    <xf numFmtId="0" fontId="0" fillId="6" borderId="1" xfId="0" applyFill="1" applyBorder="1" applyAlignment="1" applyProtection="1">
      <alignment horizontal="center"/>
      <protection locked="0"/>
    </xf>
    <xf numFmtId="0" fontId="0" fillId="2" borderId="1" xfId="0" applyFill="1" applyBorder="1" applyAlignment="1" applyProtection="1">
      <alignment horizontal="center"/>
      <protection locked="0"/>
    </xf>
    <xf numFmtId="0" fontId="0" fillId="11" borderId="1" xfId="0" applyFill="1" applyBorder="1" applyAlignment="1" applyProtection="1">
      <alignment horizontal="center"/>
      <protection locked="0"/>
    </xf>
    <xf numFmtId="0" fontId="0" fillId="3" borderId="1" xfId="0" applyFill="1" applyBorder="1" applyAlignment="1" applyProtection="1">
      <alignment horizontal="center"/>
      <protection locked="0"/>
    </xf>
    <xf numFmtId="0" fontId="0" fillId="5" borderId="1" xfId="0" applyFill="1" applyBorder="1" applyAlignment="1" applyProtection="1">
      <alignment horizontal="center"/>
      <protection locked="0"/>
    </xf>
    <xf numFmtId="0" fontId="0" fillId="8" borderId="1" xfId="0" applyFill="1" applyBorder="1" applyAlignment="1" applyProtection="1">
      <alignment horizontal="center"/>
      <protection locked="0"/>
    </xf>
    <xf numFmtId="0" fontId="1" fillId="11" borderId="5" xfId="0" applyFont="1" applyFill="1" applyBorder="1" applyAlignment="1" applyProtection="1">
      <alignment wrapText="1"/>
    </xf>
    <xf numFmtId="0" fontId="1" fillId="11" borderId="0" xfId="0" applyFont="1" applyFill="1" applyBorder="1" applyAlignment="1" applyProtection="1">
      <alignment wrapText="1"/>
    </xf>
    <xf numFmtId="0" fontId="0" fillId="11" borderId="0" xfId="0" applyFill="1" applyBorder="1" applyAlignment="1" applyProtection="1">
      <alignment horizontal="center"/>
      <protection locked="0"/>
    </xf>
    <xf numFmtId="0" fontId="1" fillId="11" borderId="0" xfId="0" applyFont="1" applyFill="1" applyBorder="1" applyAlignment="1" applyProtection="1">
      <alignment horizontal="center"/>
    </xf>
    <xf numFmtId="0" fontId="0" fillId="11" borderId="0" xfId="0" applyFill="1" applyBorder="1" applyAlignment="1">
      <alignment horizontal="center"/>
    </xf>
    <xf numFmtId="0" fontId="0" fillId="11" borderId="6" xfId="0" applyFill="1" applyBorder="1" applyAlignment="1" applyProtection="1">
      <alignment horizontal="center"/>
    </xf>
    <xf numFmtId="0" fontId="1" fillId="11" borderId="5" xfId="0" applyFont="1" applyFill="1" applyBorder="1" applyAlignment="1" applyProtection="1">
      <alignment horizontal="center" vertical="center"/>
    </xf>
    <xf numFmtId="0" fontId="1" fillId="11" borderId="0" xfId="0" applyFont="1" applyFill="1" applyBorder="1" applyAlignment="1" applyProtection="1">
      <alignment horizontal="center" vertical="center"/>
    </xf>
    <xf numFmtId="0" fontId="1" fillId="11" borderId="7" xfId="0" applyFont="1" applyFill="1" applyBorder="1" applyAlignment="1" applyProtection="1">
      <alignment wrapText="1"/>
    </xf>
    <xf numFmtId="0" fontId="1" fillId="11" borderId="9" xfId="0" applyFont="1" applyFill="1" applyBorder="1" applyAlignment="1" applyProtection="1">
      <alignment horizontal="center" wrapText="1"/>
    </xf>
    <xf numFmtId="0" fontId="1" fillId="8" borderId="5" xfId="0" applyFont="1" applyFill="1" applyBorder="1" applyAlignment="1" applyProtection="1">
      <alignment wrapText="1"/>
    </xf>
    <xf numFmtId="0" fontId="1" fillId="8" borderId="0" xfId="0" applyFont="1" applyFill="1" applyBorder="1" applyAlignment="1" applyProtection="1">
      <alignment horizontal="center" wrapText="1"/>
    </xf>
    <xf numFmtId="0" fontId="1" fillId="8" borderId="6" xfId="0" applyFont="1" applyFill="1" applyBorder="1" applyAlignment="1" applyProtection="1">
      <alignment horizontal="center" wrapText="1"/>
    </xf>
    <xf numFmtId="0" fontId="0" fillId="7" borderId="1" xfId="0" applyFill="1" applyBorder="1" applyAlignment="1" applyProtection="1">
      <alignment horizontal="center"/>
      <protection locked="0"/>
    </xf>
    <xf numFmtId="0" fontId="0" fillId="3" borderId="1" xfId="0" applyFill="1" applyBorder="1" applyAlignment="1" applyProtection="1">
      <alignment horizontal="center"/>
      <protection locked="0"/>
    </xf>
    <xf numFmtId="0" fontId="0" fillId="6" borderId="1" xfId="0" applyFill="1" applyBorder="1" applyAlignment="1" applyProtection="1">
      <alignment horizontal="center"/>
      <protection locked="0"/>
    </xf>
    <xf numFmtId="0" fontId="0" fillId="8" borderId="1" xfId="0" applyFill="1" applyBorder="1" applyAlignment="1" applyProtection="1">
      <alignment horizontal="center"/>
      <protection locked="0"/>
    </xf>
    <xf numFmtId="0" fontId="0" fillId="0" borderId="0" xfId="0" applyBorder="1" applyAlignment="1">
      <alignment horizontal="left" wrapText="1"/>
    </xf>
    <xf numFmtId="0" fontId="0" fillId="11" borderId="1" xfId="0" applyFill="1" applyBorder="1" applyAlignment="1" applyProtection="1">
      <alignment horizontal="center"/>
      <protection locked="0"/>
    </xf>
    <xf numFmtId="0" fontId="0" fillId="5" borderId="1" xfId="0" applyFill="1" applyBorder="1" applyAlignment="1" applyProtection="1">
      <alignment horizontal="center"/>
      <protection locked="0"/>
    </xf>
    <xf numFmtId="0" fontId="0" fillId="6" borderId="1" xfId="0" applyFill="1" applyBorder="1" applyAlignment="1" applyProtection="1">
      <alignment horizontal="center"/>
      <protection locked="0"/>
    </xf>
    <xf numFmtId="0" fontId="0" fillId="2" borderId="1" xfId="0" applyFill="1" applyBorder="1" applyAlignment="1" applyProtection="1">
      <alignment horizontal="center"/>
      <protection locked="0"/>
    </xf>
    <xf numFmtId="0" fontId="0" fillId="7" borderId="1" xfId="0" applyFill="1" applyBorder="1" applyAlignment="1" applyProtection="1">
      <alignment horizontal="center"/>
      <protection locked="0"/>
    </xf>
    <xf numFmtId="0" fontId="0" fillId="3" borderId="1" xfId="0" applyFill="1" applyBorder="1" applyAlignment="1" applyProtection="1">
      <alignment horizontal="center"/>
      <protection locked="0"/>
    </xf>
    <xf numFmtId="0" fontId="0" fillId="10" borderId="1" xfId="0" applyFill="1" applyBorder="1" applyAlignment="1" applyProtection="1">
      <alignment horizontal="center"/>
      <protection locked="0"/>
    </xf>
    <xf numFmtId="0" fontId="0" fillId="8" borderId="1" xfId="0" applyFill="1" applyBorder="1" applyAlignment="1" applyProtection="1">
      <alignment horizontal="center"/>
      <protection locked="0"/>
    </xf>
    <xf numFmtId="0" fontId="1" fillId="0" borderId="0" xfId="0" applyFont="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horizontal="left" vertical="center" wrapText="1"/>
    </xf>
    <xf numFmtId="0" fontId="7" fillId="0" borderId="0" xfId="0" applyFont="1" applyAlignment="1">
      <alignment horizontal="center"/>
    </xf>
    <xf numFmtId="0" fontId="1" fillId="2" borderId="5" xfId="0" applyFont="1" applyFill="1" applyBorder="1" applyAlignment="1" applyProtection="1">
      <alignment horizontal="left" wrapText="1"/>
    </xf>
    <xf numFmtId="0" fontId="1" fillId="2" borderId="6" xfId="0" applyFont="1" applyFill="1" applyBorder="1" applyAlignment="1" applyProtection="1">
      <alignment horizontal="left" wrapText="1"/>
    </xf>
    <xf numFmtId="0" fontId="1" fillId="2" borderId="7" xfId="0" applyFont="1" applyFill="1" applyBorder="1" applyAlignment="1" applyProtection="1">
      <alignment horizontal="left" wrapText="1"/>
    </xf>
    <xf numFmtId="0" fontId="1" fillId="2" borderId="9" xfId="0" applyFont="1" applyFill="1" applyBorder="1" applyAlignment="1" applyProtection="1">
      <alignment horizontal="left" wrapText="1"/>
    </xf>
    <xf numFmtId="0" fontId="0" fillId="10" borderId="1" xfId="0" applyFill="1" applyBorder="1" applyAlignment="1" applyProtection="1">
      <alignment horizontal="center" wrapText="1"/>
      <protection locked="0"/>
    </xf>
    <xf numFmtId="0" fontId="0" fillId="10" borderId="9" xfId="0" applyFill="1" applyBorder="1" applyAlignment="1" applyProtection="1">
      <alignment horizontal="center" wrapText="1"/>
      <protection locked="0"/>
    </xf>
    <xf numFmtId="0" fontId="0" fillId="10" borderId="13" xfId="0" applyFill="1" applyBorder="1" applyAlignment="1" applyProtection="1">
      <alignment horizontal="center" wrapText="1"/>
      <protection locked="0"/>
    </xf>
    <xf numFmtId="0" fontId="1" fillId="10" borderId="1" xfId="0" applyFont="1" applyFill="1" applyBorder="1" applyAlignment="1" applyProtection="1">
      <alignment horizontal="center" wrapText="1"/>
    </xf>
    <xf numFmtId="0" fontId="2" fillId="5" borderId="5" xfId="0" applyNumberFormat="1" applyFont="1" applyFill="1" applyBorder="1" applyAlignment="1" applyProtection="1">
      <alignment horizontal="left" wrapText="1"/>
    </xf>
    <xf numFmtId="0" fontId="2" fillId="5" borderId="6" xfId="0" applyNumberFormat="1" applyFont="1" applyFill="1" applyBorder="1" applyAlignment="1" applyProtection="1">
      <alignment horizontal="left" wrapText="1"/>
    </xf>
    <xf numFmtId="0" fontId="1" fillId="6" borderId="5" xfId="0" applyNumberFormat="1" applyFont="1" applyFill="1" applyBorder="1" applyAlignment="1" applyProtection="1">
      <alignment horizontal="left" wrapText="1"/>
    </xf>
    <xf numFmtId="0" fontId="1" fillId="6" borderId="6" xfId="0" applyNumberFormat="1" applyFont="1" applyFill="1" applyBorder="1" applyAlignment="1" applyProtection="1">
      <alignment horizontal="left" wrapText="1"/>
    </xf>
    <xf numFmtId="0" fontId="1" fillId="7" borderId="5" xfId="0" applyNumberFormat="1" applyFont="1" applyFill="1" applyBorder="1" applyAlignment="1" applyProtection="1">
      <alignment horizontal="left" wrapText="1"/>
    </xf>
    <xf numFmtId="0" fontId="1" fillId="7" borderId="6" xfId="0" applyNumberFormat="1" applyFont="1" applyFill="1" applyBorder="1" applyAlignment="1" applyProtection="1">
      <alignment horizontal="left" wrapText="1"/>
    </xf>
    <xf numFmtId="0" fontId="1" fillId="3" borderId="5" xfId="0" applyNumberFormat="1" applyFont="1" applyFill="1" applyBorder="1" applyAlignment="1" applyProtection="1">
      <alignment horizontal="left" wrapText="1"/>
    </xf>
    <xf numFmtId="0" fontId="1" fillId="3" borderId="6" xfId="0" applyNumberFormat="1" applyFont="1" applyFill="1" applyBorder="1" applyAlignment="1" applyProtection="1">
      <alignment horizontal="left" wrapText="1"/>
    </xf>
    <xf numFmtId="0" fontId="1" fillId="9" borderId="5" xfId="0" applyNumberFormat="1" applyFont="1" applyFill="1" applyBorder="1" applyAlignment="1" applyProtection="1">
      <alignment horizontal="left" wrapText="1"/>
    </xf>
    <xf numFmtId="0" fontId="1" fillId="9" borderId="6" xfId="0" applyNumberFormat="1" applyFont="1" applyFill="1" applyBorder="1" applyAlignment="1" applyProtection="1">
      <alignment horizontal="left" wrapText="1"/>
    </xf>
    <xf numFmtId="0" fontId="1" fillId="8" borderId="5" xfId="0" applyFont="1" applyFill="1" applyBorder="1" applyAlignment="1" applyProtection="1">
      <alignment horizontal="left" wrapText="1"/>
    </xf>
    <xf numFmtId="0" fontId="1" fillId="8" borderId="6" xfId="0" applyFont="1" applyFill="1" applyBorder="1" applyAlignment="1" applyProtection="1">
      <alignment horizontal="left" wrapText="1"/>
    </xf>
    <xf numFmtId="0" fontId="3" fillId="5" borderId="1" xfId="0" applyNumberFormat="1" applyFont="1" applyFill="1" applyBorder="1" applyAlignment="1" applyProtection="1">
      <alignment horizontal="center" wrapText="1"/>
      <protection locked="0"/>
    </xf>
    <xf numFmtId="0" fontId="0" fillId="6" borderId="1" xfId="0" applyNumberFormat="1" applyFill="1" applyBorder="1" applyAlignment="1" applyProtection="1">
      <alignment horizontal="center" wrapText="1"/>
      <protection locked="0"/>
    </xf>
    <xf numFmtId="0" fontId="0" fillId="3" borderId="1" xfId="0" applyNumberFormat="1" applyFill="1" applyBorder="1" applyAlignment="1" applyProtection="1">
      <alignment horizontal="center" wrapText="1"/>
      <protection locked="0"/>
    </xf>
    <xf numFmtId="0" fontId="0" fillId="2" borderId="1" xfId="0" applyFill="1" applyBorder="1" applyAlignment="1" applyProtection="1">
      <alignment horizontal="center" wrapText="1"/>
      <protection locked="0"/>
    </xf>
    <xf numFmtId="0" fontId="1" fillId="12" borderId="17" xfId="0" applyNumberFormat="1" applyFont="1" applyFill="1" applyBorder="1" applyAlignment="1" applyProtection="1">
      <alignment horizontal="center" vertical="center" wrapText="1"/>
    </xf>
    <xf numFmtId="0" fontId="1" fillId="12" borderId="18" xfId="0" applyNumberFormat="1" applyFont="1" applyFill="1" applyBorder="1" applyAlignment="1" applyProtection="1">
      <alignment horizontal="center" vertical="center" wrapText="1"/>
    </xf>
    <xf numFmtId="0" fontId="1" fillId="12" borderId="19" xfId="0" applyNumberFormat="1" applyFont="1" applyFill="1" applyBorder="1" applyAlignment="1" applyProtection="1">
      <alignment horizontal="center" vertical="center" wrapText="1"/>
    </xf>
    <xf numFmtId="0" fontId="1" fillId="12" borderId="7" xfId="0" applyNumberFormat="1" applyFont="1" applyFill="1" applyBorder="1" applyAlignment="1" applyProtection="1">
      <alignment horizontal="center" vertical="center" wrapText="1"/>
    </xf>
    <xf numFmtId="0" fontId="1" fillId="12" borderId="8" xfId="0" applyNumberFormat="1" applyFont="1" applyFill="1" applyBorder="1" applyAlignment="1" applyProtection="1">
      <alignment horizontal="center" vertical="center" wrapText="1"/>
    </xf>
    <xf numFmtId="0" fontId="1" fillId="12" borderId="9" xfId="0" applyNumberFormat="1" applyFont="1" applyFill="1" applyBorder="1" applyAlignment="1" applyProtection="1">
      <alignment horizontal="center" vertical="center" wrapText="1"/>
    </xf>
    <xf numFmtId="0" fontId="0" fillId="8" borderId="13" xfId="0" applyFill="1" applyBorder="1" applyAlignment="1" applyProtection="1">
      <alignment horizontal="center"/>
      <protection locked="0"/>
    </xf>
    <xf numFmtId="0" fontId="0" fillId="8" borderId="13" xfId="0" applyFill="1" applyBorder="1" applyAlignment="1" applyProtection="1">
      <alignment horizontal="center" wrapText="1"/>
      <protection locked="0"/>
    </xf>
    <xf numFmtId="0" fontId="0" fillId="7" borderId="1" xfId="0" applyNumberFormat="1" applyFill="1" applyBorder="1" applyAlignment="1" applyProtection="1">
      <alignment horizontal="center" wrapText="1"/>
      <protection locked="0"/>
    </xf>
    <xf numFmtId="0" fontId="1" fillId="0" borderId="15" xfId="0" applyNumberFormat="1" applyFont="1" applyFill="1" applyBorder="1" applyAlignment="1" applyProtection="1">
      <alignment horizontal="left" wrapText="1"/>
    </xf>
    <xf numFmtId="0" fontId="1" fillId="0" borderId="2" xfId="0" applyNumberFormat="1" applyFont="1" applyBorder="1" applyAlignment="1" applyProtection="1">
      <alignment horizontal="center" vertical="center" wrapText="1"/>
    </xf>
    <xf numFmtId="0" fontId="0" fillId="0" borderId="3" xfId="0" applyNumberFormat="1" applyBorder="1"/>
    <xf numFmtId="0" fontId="0" fillId="0" borderId="4" xfId="0" applyNumberFormat="1" applyBorder="1"/>
    <xf numFmtId="0" fontId="0" fillId="0" borderId="5" xfId="0" applyNumberFormat="1" applyBorder="1"/>
    <xf numFmtId="0" fontId="0" fillId="0" borderId="0" xfId="0" applyNumberFormat="1"/>
    <xf numFmtId="0" fontId="0" fillId="0" borderId="6" xfId="0" applyNumberFormat="1" applyBorder="1"/>
    <xf numFmtId="0" fontId="1" fillId="0" borderId="2" xfId="0" applyFont="1" applyBorder="1" applyAlignment="1">
      <alignment horizontal="center"/>
    </xf>
    <xf numFmtId="0" fontId="1" fillId="0" borderId="4" xfId="0" applyFont="1" applyBorder="1" applyAlignment="1">
      <alignment horizontal="center"/>
    </xf>
    <xf numFmtId="0" fontId="1" fillId="0" borderId="10" xfId="0" applyFont="1" applyBorder="1" applyAlignment="1" applyProtection="1">
      <alignment horizontal="center"/>
    </xf>
    <xf numFmtId="0" fontId="1" fillId="0" borderId="11" xfId="0" applyFont="1" applyBorder="1" applyAlignment="1" applyProtection="1">
      <alignment horizontal="center"/>
    </xf>
    <xf numFmtId="0" fontId="1" fillId="0" borderId="12" xfId="0" applyFont="1" applyBorder="1" applyAlignment="1" applyProtection="1">
      <alignment horizontal="center"/>
    </xf>
    <xf numFmtId="0" fontId="1" fillId="11" borderId="5" xfId="0" applyNumberFormat="1" applyFont="1" applyFill="1" applyBorder="1" applyAlignment="1" applyProtection="1">
      <alignment horizontal="left" vertical="top" wrapText="1"/>
    </xf>
    <xf numFmtId="0" fontId="1" fillId="11" borderId="6" xfId="0" applyNumberFormat="1" applyFont="1" applyFill="1" applyBorder="1" applyAlignment="1" applyProtection="1">
      <alignment horizontal="left" vertical="top" wrapText="1"/>
    </xf>
    <xf numFmtId="0" fontId="0" fillId="11" borderId="1" xfId="0" applyNumberFormat="1" applyFill="1" applyBorder="1" applyAlignment="1" applyProtection="1">
      <alignment horizontal="center" wrapText="1"/>
      <protection locked="0"/>
    </xf>
    <xf numFmtId="0" fontId="0" fillId="9" borderId="1" xfId="0" applyNumberFormat="1" applyFill="1" applyBorder="1" applyAlignment="1" applyProtection="1">
      <alignment horizontal="center" wrapText="1"/>
      <protection locked="0"/>
    </xf>
    <xf numFmtId="0" fontId="0" fillId="6" borderId="12" xfId="0" applyNumberFormat="1" applyFill="1" applyBorder="1" applyAlignment="1" applyProtection="1">
      <alignment horizontal="center" wrapText="1"/>
      <protection locked="0"/>
    </xf>
    <xf numFmtId="0" fontId="0" fillId="7" borderId="10" xfId="0" applyNumberFormat="1" applyFill="1" applyBorder="1" applyAlignment="1" applyProtection="1">
      <alignment horizontal="center" wrapText="1"/>
      <protection locked="0"/>
    </xf>
    <xf numFmtId="0" fontId="0" fillId="7" borderId="12" xfId="0" applyNumberFormat="1" applyFill="1" applyBorder="1" applyAlignment="1" applyProtection="1">
      <alignment horizontal="center" wrapText="1"/>
      <protection locked="0"/>
    </xf>
    <xf numFmtId="0" fontId="1" fillId="0" borderId="1" xfId="0" applyNumberFormat="1" applyFont="1" applyBorder="1" applyAlignment="1" applyProtection="1">
      <alignment horizontal="center" wrapText="1"/>
    </xf>
    <xf numFmtId="0" fontId="5" fillId="0" borderId="1" xfId="0" applyNumberFormat="1" applyFont="1" applyBorder="1" applyAlignment="1" applyProtection="1">
      <alignment horizontal="center" wrapText="1"/>
      <protection locked="0"/>
    </xf>
    <xf numFmtId="0" fontId="1" fillId="0" borderId="3" xfId="0" applyNumberFormat="1" applyFont="1" applyBorder="1" applyAlignment="1" applyProtection="1">
      <alignment horizontal="center" vertical="center" wrapText="1"/>
    </xf>
    <xf numFmtId="0" fontId="1" fillId="0" borderId="5" xfId="0" applyNumberFormat="1" applyFont="1" applyBorder="1" applyAlignment="1" applyProtection="1">
      <alignment horizontal="center" vertical="center" wrapText="1"/>
    </xf>
    <xf numFmtId="0" fontId="1" fillId="0" borderId="0" xfId="0" applyNumberFormat="1" applyFont="1" applyBorder="1" applyAlignment="1" applyProtection="1">
      <alignment horizontal="center" vertical="center" wrapText="1"/>
    </xf>
    <xf numFmtId="0" fontId="1" fillId="0" borderId="7" xfId="0" applyNumberFormat="1" applyFont="1" applyBorder="1" applyAlignment="1" applyProtection="1">
      <alignment horizontal="center" vertical="center" wrapText="1"/>
    </xf>
    <xf numFmtId="0" fontId="1" fillId="0" borderId="8" xfId="0" applyNumberFormat="1" applyFont="1" applyBorder="1" applyAlignment="1" applyProtection="1">
      <alignment horizontal="center" vertical="center" wrapText="1"/>
    </xf>
    <xf numFmtId="0" fontId="5" fillId="0" borderId="10" xfId="0" applyNumberFormat="1" applyFont="1" applyBorder="1" applyAlignment="1" applyProtection="1">
      <alignment horizontal="center" wrapText="1"/>
      <protection locked="0"/>
    </xf>
    <xf numFmtId="0" fontId="5" fillId="0" borderId="12" xfId="0" applyNumberFormat="1" applyFont="1" applyBorder="1" applyProtection="1">
      <protection locked="0"/>
    </xf>
    <xf numFmtId="0" fontId="5" fillId="0" borderId="12" xfId="0" applyNumberFormat="1" applyFont="1" applyBorder="1" applyAlignment="1" applyProtection="1">
      <alignment horizontal="center" wrapText="1"/>
      <protection locked="0"/>
    </xf>
    <xf numFmtId="0" fontId="0" fillId="0" borderId="0" xfId="0" applyBorder="1" applyAlignment="1">
      <alignment horizontal="left" wrapText="1"/>
    </xf>
    <xf numFmtId="0" fontId="0" fillId="0" borderId="0" xfId="0" applyAlignment="1">
      <alignment horizontal="center" wrapText="1"/>
    </xf>
    <xf numFmtId="0" fontId="0" fillId="0" borderId="7" xfId="0" applyNumberFormat="1" applyBorder="1"/>
    <xf numFmtId="0" fontId="0" fillId="0" borderId="9" xfId="0" applyNumberFormat="1" applyBorder="1"/>
    <xf numFmtId="0" fontId="1" fillId="0" borderId="10" xfId="0" applyNumberFormat="1" applyFont="1" applyBorder="1" applyAlignment="1">
      <alignment horizontal="center" vertical="top" wrapText="1"/>
    </xf>
    <xf numFmtId="0" fontId="1" fillId="0" borderId="11" xfId="0" applyNumberFormat="1" applyFont="1" applyBorder="1" applyAlignment="1">
      <alignment horizontal="center" vertical="top" wrapText="1"/>
    </xf>
    <xf numFmtId="0" fontId="1" fillId="0" borderId="12" xfId="0" applyNumberFormat="1" applyFont="1" applyBorder="1" applyAlignment="1">
      <alignment horizontal="center" vertical="top" wrapText="1"/>
    </xf>
    <xf numFmtId="0" fontId="0" fillId="12" borderId="16" xfId="0" applyNumberFormat="1" applyFill="1" applyBorder="1" applyAlignment="1" applyProtection="1">
      <alignment horizontal="center" vertical="center" wrapText="1"/>
    </xf>
    <xf numFmtId="0" fontId="0" fillId="12" borderId="13" xfId="0" applyNumberFormat="1" applyFill="1" applyBorder="1" applyAlignment="1" applyProtection="1">
      <alignment horizontal="center" vertical="center" wrapText="1"/>
    </xf>
    <xf numFmtId="0" fontId="0" fillId="12" borderId="16" xfId="0" applyFill="1" applyBorder="1" applyAlignment="1" applyProtection="1">
      <alignment horizontal="center" vertical="center"/>
    </xf>
    <xf numFmtId="0" fontId="0" fillId="12" borderId="13" xfId="0" applyFill="1" applyBorder="1" applyAlignment="1" applyProtection="1">
      <alignment horizontal="center" vertical="center"/>
    </xf>
    <xf numFmtId="0" fontId="1" fillId="10" borderId="2" xfId="0" applyFont="1" applyFill="1" applyBorder="1" applyAlignment="1" applyProtection="1">
      <alignment horizontal="left" wrapText="1"/>
    </xf>
    <xf numFmtId="0" fontId="1" fillId="10" borderId="4" xfId="0" applyFont="1" applyFill="1" applyBorder="1" applyAlignment="1" applyProtection="1">
      <alignment horizontal="left" wrapText="1"/>
    </xf>
    <xf numFmtId="0" fontId="1" fillId="10" borderId="7" xfId="0" applyFont="1" applyFill="1" applyBorder="1" applyAlignment="1" applyProtection="1">
      <alignment horizontal="left" wrapText="1"/>
    </xf>
    <xf numFmtId="0" fontId="1" fillId="10" borderId="9" xfId="0" applyFont="1" applyFill="1" applyBorder="1" applyAlignment="1" applyProtection="1">
      <alignment horizontal="left" wrapText="1"/>
    </xf>
    <xf numFmtId="0" fontId="0" fillId="9" borderId="1" xfId="0" applyFill="1" applyBorder="1" applyAlignment="1" applyProtection="1">
      <alignment horizontal="center"/>
      <protection locked="0"/>
    </xf>
    <xf numFmtId="0" fontId="0" fillId="7" borderId="1" xfId="0" applyFill="1" applyBorder="1" applyAlignment="1" applyProtection="1">
      <alignment horizontal="center"/>
      <protection locked="0"/>
    </xf>
    <xf numFmtId="0" fontId="0" fillId="3" borderId="1" xfId="0" applyFill="1" applyBorder="1" applyAlignment="1" applyProtection="1">
      <alignment horizontal="center"/>
      <protection locked="0"/>
    </xf>
    <xf numFmtId="0" fontId="0" fillId="2" borderId="1" xfId="0" applyFill="1" applyBorder="1" applyAlignment="1" applyProtection="1">
      <alignment horizontal="center"/>
      <protection locked="0"/>
    </xf>
    <xf numFmtId="0" fontId="1" fillId="0" borderId="15" xfId="0" applyFont="1" applyFill="1" applyBorder="1" applyAlignment="1" applyProtection="1">
      <alignment horizontal="left" wrapText="1"/>
    </xf>
    <xf numFmtId="0" fontId="1" fillId="12" borderId="5" xfId="0" applyFont="1" applyFill="1" applyBorder="1" applyAlignment="1" applyProtection="1">
      <alignment horizontal="center" vertical="center"/>
    </xf>
    <xf numFmtId="0" fontId="1" fillId="12" borderId="0" xfId="0" applyFont="1" applyFill="1" applyBorder="1" applyAlignment="1" applyProtection="1">
      <alignment horizontal="center" vertical="center"/>
    </xf>
    <xf numFmtId="0" fontId="1" fillId="12" borderId="6" xfId="0" applyFont="1" applyFill="1" applyBorder="1" applyAlignment="1" applyProtection="1">
      <alignment horizontal="center" vertical="center"/>
    </xf>
    <xf numFmtId="0" fontId="1" fillId="12" borderId="7" xfId="0" applyFont="1" applyFill="1" applyBorder="1" applyAlignment="1" applyProtection="1">
      <alignment horizontal="center" vertical="center"/>
    </xf>
    <xf numFmtId="0" fontId="1" fillId="12" borderId="8" xfId="0" applyFont="1" applyFill="1" applyBorder="1" applyAlignment="1" applyProtection="1">
      <alignment horizontal="center" vertical="center"/>
    </xf>
    <xf numFmtId="0" fontId="1" fillId="12" borderId="9" xfId="0" applyFont="1" applyFill="1" applyBorder="1" applyAlignment="1" applyProtection="1">
      <alignment horizontal="center" vertical="center"/>
    </xf>
    <xf numFmtId="0" fontId="1" fillId="0" borderId="5" xfId="0" applyFont="1" applyBorder="1" applyAlignment="1" applyProtection="1">
      <alignment horizontal="center" vertical="center"/>
    </xf>
    <xf numFmtId="0" fontId="1" fillId="0" borderId="0" xfId="0" applyFont="1" applyBorder="1" applyAlignment="1" applyProtection="1">
      <alignment horizontal="center" vertical="center"/>
    </xf>
    <xf numFmtId="0" fontId="1" fillId="0" borderId="6" xfId="0" applyFont="1" applyBorder="1" applyAlignment="1" applyProtection="1">
      <alignment horizontal="center" vertical="center"/>
    </xf>
    <xf numFmtId="0" fontId="0" fillId="5" borderId="1" xfId="0" applyFill="1" applyBorder="1" applyAlignment="1" applyProtection="1">
      <alignment horizontal="center"/>
      <protection locked="0"/>
    </xf>
    <xf numFmtId="0" fontId="0" fillId="6" borderId="1" xfId="0" applyFill="1" applyBorder="1" applyAlignment="1" applyProtection="1">
      <alignment horizontal="center"/>
      <protection locked="0"/>
    </xf>
    <xf numFmtId="0" fontId="0" fillId="11" borderId="10" xfId="0" applyFill="1" applyBorder="1" applyAlignment="1">
      <alignment horizontal="center"/>
    </xf>
    <xf numFmtId="0" fontId="0" fillId="11" borderId="12" xfId="0" applyFill="1" applyBorder="1" applyAlignment="1">
      <alignment horizontal="center"/>
    </xf>
    <xf numFmtId="0" fontId="1" fillId="8" borderId="5" xfId="0" applyFont="1" applyFill="1" applyBorder="1" applyAlignment="1" applyProtection="1">
      <alignment horizontal="center" wrapText="1"/>
    </xf>
    <xf numFmtId="0" fontId="1" fillId="8" borderId="0" xfId="0" applyFont="1" applyFill="1" applyBorder="1" applyAlignment="1" applyProtection="1">
      <alignment horizontal="center" wrapText="1"/>
    </xf>
    <xf numFmtId="0" fontId="0" fillId="8" borderId="2" xfId="0" applyFill="1" applyBorder="1" applyAlignment="1" applyProtection="1">
      <alignment horizontal="center"/>
      <protection locked="0"/>
    </xf>
    <xf numFmtId="0" fontId="0" fillId="8" borderId="4" xfId="0" applyFill="1" applyBorder="1" applyAlignment="1" applyProtection="1">
      <alignment horizontal="center"/>
      <protection locked="0"/>
    </xf>
    <xf numFmtId="0" fontId="0" fillId="8" borderId="7" xfId="0" applyFill="1" applyBorder="1" applyAlignment="1" applyProtection="1">
      <alignment horizontal="center"/>
      <protection locked="0"/>
    </xf>
    <xf numFmtId="0" fontId="0" fillId="8" borderId="9" xfId="0" applyFill="1" applyBorder="1" applyAlignment="1" applyProtection="1">
      <alignment horizontal="center"/>
      <protection locked="0"/>
    </xf>
    <xf numFmtId="0" fontId="0" fillId="8" borderId="2" xfId="0" applyFill="1" applyBorder="1" applyAlignment="1">
      <alignment horizontal="center"/>
    </xf>
    <xf numFmtId="0" fontId="0" fillId="8" borderId="4" xfId="0" applyFill="1" applyBorder="1" applyAlignment="1">
      <alignment horizontal="center"/>
    </xf>
    <xf numFmtId="0" fontId="0" fillId="8" borderId="7" xfId="0" applyFill="1" applyBorder="1" applyAlignment="1">
      <alignment horizontal="center"/>
    </xf>
    <xf numFmtId="0" fontId="0" fillId="8" borderId="9" xfId="0" applyFill="1" applyBorder="1" applyAlignment="1">
      <alignment horizontal="center"/>
    </xf>
    <xf numFmtId="0" fontId="1" fillId="8" borderId="6" xfId="0" applyFont="1" applyFill="1" applyBorder="1" applyAlignment="1" applyProtection="1">
      <alignment horizontal="center" wrapText="1"/>
    </xf>
    <xf numFmtId="0" fontId="1" fillId="0" borderId="10" xfId="0" applyFont="1" applyBorder="1" applyAlignment="1">
      <alignment horizontal="center" vertical="top"/>
    </xf>
    <xf numFmtId="0" fontId="1" fillId="0" borderId="11" xfId="0" applyFont="1" applyBorder="1" applyAlignment="1">
      <alignment horizontal="center" vertical="top"/>
    </xf>
    <xf numFmtId="0" fontId="1" fillId="0" borderId="12" xfId="0" applyFont="1" applyBorder="1" applyAlignment="1">
      <alignment horizontal="center" vertical="top"/>
    </xf>
    <xf numFmtId="0" fontId="1" fillId="11" borderId="5" xfId="0" applyFont="1" applyFill="1" applyBorder="1" applyAlignment="1" applyProtection="1">
      <alignment horizontal="center" wrapText="1"/>
    </xf>
    <xf numFmtId="0" fontId="1" fillId="11" borderId="6" xfId="0" applyFont="1" applyFill="1" applyBorder="1" applyAlignment="1" applyProtection="1">
      <alignment horizontal="center" wrapText="1"/>
    </xf>
    <xf numFmtId="0" fontId="0" fillId="11" borderId="10" xfId="0" applyFill="1" applyBorder="1" applyAlignment="1" applyProtection="1">
      <alignment horizontal="center" wrapText="1"/>
      <protection locked="0"/>
    </xf>
    <xf numFmtId="0" fontId="0" fillId="11" borderId="12" xfId="0" applyFill="1" applyBorder="1" applyAlignment="1" applyProtection="1">
      <alignment horizontal="center" wrapText="1"/>
      <protection locked="0"/>
    </xf>
    <xf numFmtId="0" fontId="0" fillId="11" borderId="1" xfId="0" applyFill="1" applyBorder="1" applyAlignment="1" applyProtection="1">
      <alignment horizontal="center"/>
      <protection locked="0"/>
    </xf>
    <xf numFmtId="0" fontId="5" fillId="0" borderId="10" xfId="0" applyFont="1" applyBorder="1" applyAlignment="1" applyProtection="1">
      <alignment horizontal="center" wrapText="1"/>
      <protection locked="0"/>
    </xf>
    <xf numFmtId="0" fontId="5" fillId="0" borderId="12" xfId="0" applyFont="1" applyBorder="1" applyAlignment="1" applyProtection="1">
      <alignment horizontal="center" wrapText="1"/>
      <protection locked="0"/>
    </xf>
    <xf numFmtId="0" fontId="5" fillId="0" borderId="1" xfId="0" applyFont="1" applyBorder="1" applyAlignment="1" applyProtection="1">
      <alignment horizontal="center" wrapText="1"/>
      <protection locked="0"/>
    </xf>
    <xf numFmtId="0" fontId="1" fillId="0" borderId="2" xfId="0" applyFont="1" applyBorder="1" applyAlignment="1" applyProtection="1">
      <alignment horizontal="center" vertical="center"/>
    </xf>
    <xf numFmtId="0" fontId="1" fillId="0" borderId="3" xfId="0" applyFont="1" applyBorder="1" applyAlignment="1" applyProtection="1">
      <alignment horizontal="center" vertical="center"/>
    </xf>
    <xf numFmtId="0" fontId="1" fillId="0" borderId="7" xfId="0" applyFont="1" applyBorder="1" applyAlignment="1" applyProtection="1">
      <alignment horizontal="center" vertical="center"/>
    </xf>
    <xf numFmtId="0" fontId="1" fillId="0" borderId="8" xfId="0" applyFont="1" applyBorder="1" applyAlignment="1" applyProtection="1">
      <alignment horizontal="center" vertical="center"/>
    </xf>
    <xf numFmtId="0" fontId="1" fillId="0" borderId="1" xfId="0" applyFont="1" applyBorder="1" applyAlignment="1" applyProtection="1">
      <alignment horizontal="center"/>
    </xf>
    <xf numFmtId="0" fontId="1" fillId="0" borderId="3" xfId="0" applyFont="1" applyBorder="1" applyAlignment="1" applyProtection="1">
      <alignment horizontal="center" vertical="center" wrapText="1"/>
    </xf>
    <xf numFmtId="0" fontId="1" fillId="0" borderId="4" xfId="0" applyFont="1" applyBorder="1" applyAlignment="1" applyProtection="1">
      <alignment horizontal="center" vertical="center"/>
    </xf>
    <xf numFmtId="0" fontId="1" fillId="0" borderId="9" xfId="0" applyFont="1" applyBorder="1" applyAlignment="1" applyProtection="1">
      <alignment horizontal="center" vertical="center"/>
    </xf>
    <xf numFmtId="0" fontId="0" fillId="2" borderId="1" xfId="0" applyFill="1" applyBorder="1" applyAlignment="1" applyProtection="1">
      <alignment horizontal="center" wrapText="1"/>
    </xf>
    <xf numFmtId="0" fontId="1" fillId="11" borderId="2" xfId="0" applyFont="1" applyFill="1" applyBorder="1" applyAlignment="1" applyProtection="1">
      <alignment horizontal="left" vertical="top" wrapText="1"/>
    </xf>
    <xf numFmtId="0" fontId="1" fillId="11" borderId="4" xfId="0" applyFont="1" applyFill="1" applyBorder="1" applyAlignment="1" applyProtection="1">
      <alignment horizontal="left" vertical="top" wrapText="1"/>
    </xf>
    <xf numFmtId="0" fontId="1" fillId="11" borderId="7" xfId="0" applyFont="1" applyFill="1" applyBorder="1" applyAlignment="1" applyProtection="1">
      <alignment horizontal="left" vertical="top" wrapText="1"/>
    </xf>
    <xf numFmtId="0" fontId="1" fillId="11" borderId="9" xfId="0" applyFont="1" applyFill="1" applyBorder="1" applyAlignment="1" applyProtection="1">
      <alignment horizontal="left" vertical="top" wrapText="1"/>
    </xf>
    <xf numFmtId="0" fontId="0" fillId="11" borderId="1" xfId="0" applyFill="1" applyBorder="1" applyAlignment="1" applyProtection="1">
      <alignment horizontal="center" wrapText="1"/>
      <protection locked="0"/>
    </xf>
    <xf numFmtId="0" fontId="1" fillId="12" borderId="17" xfId="0" applyFont="1" applyFill="1" applyBorder="1" applyAlignment="1" applyProtection="1">
      <alignment horizontal="center" vertical="center" wrapText="1"/>
    </xf>
    <xf numFmtId="0" fontId="1" fillId="12" borderId="18" xfId="0" applyFont="1" applyFill="1" applyBorder="1" applyAlignment="1" applyProtection="1">
      <alignment horizontal="center" vertical="center" wrapText="1"/>
    </xf>
    <xf numFmtId="0" fontId="1" fillId="12" borderId="19" xfId="0" applyFont="1" applyFill="1" applyBorder="1" applyAlignment="1" applyProtection="1">
      <alignment horizontal="center" vertical="center" wrapText="1"/>
    </xf>
    <xf numFmtId="0" fontId="1" fillId="12" borderId="7" xfId="0" applyFont="1" applyFill="1" applyBorder="1" applyAlignment="1" applyProtection="1">
      <alignment horizontal="center" vertical="center" wrapText="1"/>
    </xf>
    <xf numFmtId="0" fontId="1" fillId="12" borderId="8" xfId="0" applyFont="1" applyFill="1" applyBorder="1" applyAlignment="1" applyProtection="1">
      <alignment horizontal="center" vertical="center" wrapText="1"/>
    </xf>
    <xf numFmtId="0" fontId="1" fillId="12" borderId="9" xfId="0" applyFont="1" applyFill="1" applyBorder="1" applyAlignment="1" applyProtection="1">
      <alignment horizontal="center" vertical="center" wrapText="1"/>
    </xf>
    <xf numFmtId="0" fontId="0" fillId="3" borderId="1" xfId="0" applyFill="1" applyBorder="1" applyAlignment="1" applyProtection="1">
      <alignment horizontal="center" wrapText="1"/>
      <protection locked="0"/>
    </xf>
    <xf numFmtId="0" fontId="1" fillId="9" borderId="5" xfId="0" applyFont="1" applyFill="1" applyBorder="1" applyAlignment="1" applyProtection="1">
      <alignment horizontal="left" wrapText="1"/>
    </xf>
    <xf numFmtId="0" fontId="1" fillId="9" borderId="6" xfId="0" applyFont="1" applyFill="1" applyBorder="1" applyAlignment="1" applyProtection="1">
      <alignment horizontal="left" wrapText="1"/>
    </xf>
    <xf numFmtId="0" fontId="0" fillId="9" borderId="1" xfId="0" applyFill="1" applyBorder="1" applyAlignment="1" applyProtection="1">
      <alignment horizontal="center" wrapText="1"/>
      <protection locked="0"/>
    </xf>
    <xf numFmtId="0" fontId="1" fillId="10" borderId="4" xfId="0" applyFont="1" applyFill="1" applyBorder="1" applyAlignment="1" applyProtection="1">
      <alignment horizontal="left"/>
    </xf>
    <xf numFmtId="0" fontId="1" fillId="10" borderId="7" xfId="0" applyFont="1" applyFill="1" applyBorder="1" applyAlignment="1" applyProtection="1">
      <alignment horizontal="left"/>
    </xf>
    <xf numFmtId="0" fontId="1" fillId="10" borderId="9" xfId="0" applyFont="1" applyFill="1" applyBorder="1" applyAlignment="1" applyProtection="1">
      <alignment horizontal="left"/>
    </xf>
    <xf numFmtId="0" fontId="0" fillId="10" borderId="1" xfId="0" applyFill="1" applyBorder="1" applyAlignment="1" applyProtection="1">
      <alignment horizontal="center"/>
      <protection locked="0"/>
    </xf>
    <xf numFmtId="0" fontId="0" fillId="10" borderId="9" xfId="0" applyFill="1" applyBorder="1" applyAlignment="1" applyProtection="1">
      <alignment horizontal="center"/>
      <protection locked="0"/>
    </xf>
    <xf numFmtId="0" fontId="0" fillId="10" borderId="13" xfId="0" applyFill="1" applyBorder="1" applyAlignment="1" applyProtection="1">
      <alignment horizontal="center"/>
      <protection locked="0"/>
    </xf>
    <xf numFmtId="0" fontId="0" fillId="7" borderId="1" xfId="0" applyFill="1" applyBorder="1" applyAlignment="1" applyProtection="1">
      <alignment horizontal="center" wrapText="1"/>
      <protection locked="0"/>
    </xf>
    <xf numFmtId="0" fontId="1" fillId="6" borderId="5" xfId="0" applyFont="1" applyFill="1" applyBorder="1" applyAlignment="1" applyProtection="1">
      <alignment horizontal="left" wrapText="1"/>
    </xf>
    <xf numFmtId="0" fontId="1" fillId="6" borderId="6" xfId="0" applyFont="1" applyFill="1" applyBorder="1" applyAlignment="1" applyProtection="1">
      <alignment horizontal="left" wrapText="1"/>
    </xf>
    <xf numFmtId="0" fontId="0" fillId="6" borderId="1" xfId="0" applyFill="1" applyBorder="1" applyAlignment="1" applyProtection="1">
      <alignment horizontal="center" wrapText="1"/>
      <protection locked="0"/>
    </xf>
    <xf numFmtId="0" fontId="1" fillId="7" borderId="5" xfId="0" applyFont="1" applyFill="1" applyBorder="1" applyAlignment="1" applyProtection="1">
      <alignment horizontal="left" wrapText="1"/>
    </xf>
    <xf numFmtId="0" fontId="1" fillId="7" borderId="6" xfId="0" applyFont="1" applyFill="1" applyBorder="1" applyAlignment="1" applyProtection="1">
      <alignment horizontal="left" wrapText="1"/>
    </xf>
    <xf numFmtId="0" fontId="1" fillId="3" borderId="5" xfId="0" applyFont="1" applyFill="1" applyBorder="1" applyAlignment="1" applyProtection="1">
      <alignment horizontal="left" wrapText="1"/>
    </xf>
    <xf numFmtId="0" fontId="1" fillId="3" borderId="6" xfId="0" applyFont="1" applyFill="1" applyBorder="1" applyAlignment="1" applyProtection="1">
      <alignment horizontal="left" wrapText="1"/>
    </xf>
    <xf numFmtId="0" fontId="1" fillId="5" borderId="5" xfId="0" applyFont="1" applyFill="1" applyBorder="1" applyAlignment="1" applyProtection="1">
      <alignment horizontal="left" wrapText="1"/>
    </xf>
    <xf numFmtId="0" fontId="1" fillId="5" borderId="6" xfId="0" applyFont="1" applyFill="1" applyBorder="1" applyAlignment="1" applyProtection="1">
      <alignment horizontal="left" wrapText="1"/>
    </xf>
    <xf numFmtId="0" fontId="0" fillId="5" borderId="1" xfId="0" applyFill="1" applyBorder="1" applyAlignment="1" applyProtection="1">
      <alignment horizontal="center" wrapText="1"/>
      <protection locked="0"/>
    </xf>
    <xf numFmtId="0" fontId="1" fillId="11" borderId="5" xfId="0" applyFont="1" applyFill="1" applyBorder="1" applyAlignment="1" applyProtection="1">
      <alignment horizontal="left" wrapText="1"/>
    </xf>
    <xf numFmtId="0" fontId="1" fillId="11" borderId="6" xfId="0" applyFont="1" applyFill="1" applyBorder="1" applyAlignment="1" applyProtection="1">
      <alignment horizontal="left" wrapText="1"/>
    </xf>
    <xf numFmtId="0" fontId="0" fillId="0" borderId="0" xfId="0" applyBorder="1" applyAlignment="1">
      <alignment horizontal="center" wrapText="1"/>
    </xf>
    <xf numFmtId="0" fontId="0" fillId="0" borderId="0" xfId="0" applyAlignment="1">
      <alignment horizontal="center"/>
    </xf>
    <xf numFmtId="0" fontId="2" fillId="5" borderId="5" xfId="0" applyFont="1" applyFill="1" applyBorder="1" applyAlignment="1" applyProtection="1">
      <alignment horizontal="left" wrapText="1"/>
    </xf>
    <xf numFmtId="0" fontId="2" fillId="5" borderId="6" xfId="0" applyFont="1" applyFill="1" applyBorder="1" applyAlignment="1" applyProtection="1">
      <alignment horizontal="left" wrapText="1"/>
    </xf>
    <xf numFmtId="0" fontId="1" fillId="7" borderId="5" xfId="0" applyFont="1" applyFill="1" applyBorder="1" applyAlignment="1" applyProtection="1">
      <alignment wrapText="1"/>
    </xf>
    <xf numFmtId="0" fontId="1" fillId="7" borderId="6" xfId="0" applyFont="1" applyFill="1" applyBorder="1" applyAlignment="1" applyProtection="1">
      <alignment wrapText="1"/>
    </xf>
    <xf numFmtId="0" fontId="1" fillId="9" borderId="5" xfId="0" applyFont="1" applyFill="1" applyBorder="1" applyAlignment="1" applyProtection="1">
      <alignment wrapText="1"/>
    </xf>
    <xf numFmtId="0" fontId="1" fillId="9" borderId="6" xfId="0" applyFont="1" applyFill="1" applyBorder="1" applyAlignment="1" applyProtection="1">
      <alignment wrapText="1"/>
    </xf>
    <xf numFmtId="0" fontId="1" fillId="3" borderId="5" xfId="0" applyFont="1" applyFill="1" applyBorder="1" applyAlignment="1" applyProtection="1">
      <alignment wrapText="1"/>
    </xf>
    <xf numFmtId="0" fontId="1" fillId="3" borderId="6" xfId="0" applyFont="1" applyFill="1" applyBorder="1" applyAlignment="1" applyProtection="1">
      <alignment wrapText="1"/>
    </xf>
    <xf numFmtId="0" fontId="1" fillId="9" borderId="15" xfId="0" applyFont="1" applyFill="1" applyBorder="1" applyAlignment="1" applyProtection="1">
      <alignment horizontal="left" wrapText="1"/>
    </xf>
    <xf numFmtId="0" fontId="1" fillId="4" borderId="5" xfId="0" applyFont="1" applyFill="1" applyBorder="1" applyAlignment="1" applyProtection="1">
      <alignment horizontal="center" vertical="center"/>
    </xf>
    <xf numFmtId="0" fontId="1" fillId="4" borderId="0" xfId="0" applyFont="1" applyFill="1" applyBorder="1" applyAlignment="1" applyProtection="1">
      <alignment horizontal="center" vertical="center"/>
    </xf>
    <xf numFmtId="0" fontId="1" fillId="4" borderId="6" xfId="0" applyFont="1" applyFill="1" applyBorder="1" applyAlignment="1" applyProtection="1">
      <alignment horizontal="center" vertical="center"/>
    </xf>
    <xf numFmtId="0" fontId="0" fillId="4" borderId="16" xfId="0" applyFill="1" applyBorder="1" applyAlignment="1" applyProtection="1">
      <alignment horizontal="center" vertical="center"/>
    </xf>
    <xf numFmtId="0" fontId="0" fillId="4" borderId="13" xfId="0" applyFill="1" applyBorder="1" applyAlignment="1" applyProtection="1">
      <alignment horizontal="center" vertical="center"/>
    </xf>
    <xf numFmtId="0" fontId="0" fillId="8" borderId="1" xfId="0" applyFill="1" applyBorder="1" applyAlignment="1" applyProtection="1">
      <alignment horizontal="center"/>
      <protection locked="0"/>
    </xf>
    <xf numFmtId="0" fontId="5" fillId="0" borderId="10" xfId="0" applyFont="1" applyBorder="1" applyAlignment="1" applyProtection="1">
      <alignment horizontal="left" wrapText="1"/>
      <protection locked="0"/>
    </xf>
    <xf numFmtId="0" fontId="5" fillId="0" borderId="12" xfId="0" applyFont="1" applyBorder="1" applyAlignment="1" applyProtection="1">
      <alignment horizontal="left" wrapText="1"/>
      <protection locked="0"/>
    </xf>
    <xf numFmtId="0" fontId="0" fillId="10" borderId="10" xfId="0" applyFill="1" applyBorder="1" applyAlignment="1" applyProtection="1">
      <alignment horizontal="center" wrapText="1"/>
      <protection locked="0"/>
    </xf>
    <xf numFmtId="0" fontId="0" fillId="10" borderId="12" xfId="0" applyFill="1" applyBorder="1" applyAlignment="1" applyProtection="1">
      <alignment horizontal="center" wrapText="1"/>
      <protection locked="0"/>
    </xf>
    <xf numFmtId="0" fontId="0" fillId="7" borderId="10" xfId="0" applyFill="1" applyBorder="1" applyAlignment="1" applyProtection="1">
      <alignment horizontal="center"/>
      <protection locked="0"/>
    </xf>
    <xf numFmtId="0" fontId="0" fillId="7" borderId="12" xfId="0" applyFill="1" applyBorder="1" applyAlignment="1" applyProtection="1">
      <alignment horizontal="center"/>
      <protection locked="0"/>
    </xf>
    <xf numFmtId="0" fontId="0" fillId="2" borderId="10" xfId="0" applyFill="1" applyBorder="1" applyAlignment="1" applyProtection="1">
      <alignment horizontal="center"/>
      <protection locked="0"/>
    </xf>
    <xf numFmtId="0" fontId="0" fillId="2" borderId="12" xfId="0" applyFill="1" applyBorder="1" applyAlignment="1" applyProtection="1">
      <alignment horizontal="center"/>
      <protection locked="0"/>
    </xf>
    <xf numFmtId="0" fontId="0" fillId="9" borderId="10" xfId="0" applyFill="1" applyBorder="1" applyAlignment="1" applyProtection="1">
      <alignment horizontal="center"/>
      <protection locked="0"/>
    </xf>
    <xf numFmtId="0" fontId="0" fillId="9" borderId="12" xfId="0" applyFill="1" applyBorder="1" applyAlignment="1" applyProtection="1">
      <alignment horizontal="center"/>
      <protection locked="0"/>
    </xf>
    <xf numFmtId="0" fontId="0" fillId="3" borderId="10" xfId="0" applyFill="1" applyBorder="1" applyAlignment="1" applyProtection="1">
      <alignment horizontal="center"/>
      <protection locked="0"/>
    </xf>
    <xf numFmtId="0" fontId="0" fillId="3" borderId="12" xfId="0" applyFill="1" applyBorder="1" applyAlignment="1" applyProtection="1">
      <alignment horizontal="center"/>
      <protection locked="0"/>
    </xf>
    <xf numFmtId="0" fontId="0" fillId="5" borderId="10" xfId="0" applyFill="1" applyBorder="1" applyAlignment="1" applyProtection="1">
      <alignment horizontal="center"/>
      <protection locked="0"/>
    </xf>
    <xf numFmtId="0" fontId="0" fillId="5" borderId="12" xfId="0" applyFill="1" applyBorder="1" applyAlignment="1" applyProtection="1">
      <alignment horizontal="center"/>
      <protection locked="0"/>
    </xf>
    <xf numFmtId="0" fontId="0" fillId="6" borderId="10" xfId="0" applyFill="1" applyBorder="1" applyAlignment="1" applyProtection="1">
      <alignment horizontal="center"/>
      <protection locked="0"/>
    </xf>
    <xf numFmtId="0" fontId="0" fillId="6" borderId="12" xfId="0" applyFill="1" applyBorder="1" applyAlignment="1" applyProtection="1">
      <alignment horizontal="center"/>
      <protection locked="0"/>
    </xf>
    <xf numFmtId="0" fontId="0" fillId="8" borderId="2" xfId="0" applyFill="1" applyBorder="1" applyAlignment="1" applyProtection="1">
      <alignment horizontal="center" wrapText="1"/>
      <protection locked="0"/>
    </xf>
    <xf numFmtId="0" fontId="0" fillId="8" borderId="4" xfId="0" applyFill="1" applyBorder="1" applyAlignment="1" applyProtection="1">
      <alignment horizontal="center" wrapText="1"/>
      <protection locked="0"/>
    </xf>
    <xf numFmtId="0" fontId="0" fillId="8" borderId="7" xfId="0" applyFill="1" applyBorder="1" applyAlignment="1" applyProtection="1">
      <alignment horizontal="center" wrapText="1"/>
      <protection locked="0"/>
    </xf>
    <xf numFmtId="0" fontId="0" fillId="8" borderId="9" xfId="0" applyFill="1" applyBorder="1" applyAlignment="1" applyProtection="1">
      <alignment horizontal="center" wrapText="1"/>
      <protection locked="0"/>
    </xf>
    <xf numFmtId="0" fontId="0" fillId="11" borderId="10" xfId="0" applyFill="1" applyBorder="1" applyAlignment="1" applyProtection="1">
      <alignment horizontal="center" vertical="top" wrapText="1"/>
      <protection locked="0"/>
    </xf>
    <xf numFmtId="0" fontId="0" fillId="11" borderId="12" xfId="0" applyFill="1" applyBorder="1" applyAlignment="1" applyProtection="1">
      <alignment horizontal="center" vertical="top" wrapText="1"/>
      <protection locked="0"/>
    </xf>
    <xf numFmtId="0" fontId="0" fillId="11" borderId="10" xfId="0" applyFill="1" applyBorder="1" applyAlignment="1" applyProtection="1">
      <alignment horizontal="center"/>
      <protection locked="0"/>
    </xf>
    <xf numFmtId="0" fontId="0" fillId="11" borderId="12" xfId="0" applyFill="1" applyBorder="1" applyAlignment="1" applyProtection="1">
      <alignment horizontal="center"/>
      <protection locked="0"/>
    </xf>
    <xf numFmtId="0" fontId="5" fillId="0" borderId="10" xfId="0" applyFont="1" applyBorder="1" applyAlignment="1">
      <alignment horizontal="center" wrapText="1"/>
    </xf>
    <xf numFmtId="0" fontId="5" fillId="0" borderId="12" xfId="0" applyFont="1" applyBorder="1" applyAlignment="1">
      <alignment horizontal="center" wrapText="1"/>
    </xf>
    <xf numFmtId="0" fontId="0" fillId="0" borderId="1" xfId="0" applyBorder="1" applyAlignment="1">
      <alignment horizontal="center"/>
    </xf>
    <xf numFmtId="0" fontId="5" fillId="0" borderId="10" xfId="0" applyNumberFormat="1" applyFont="1" applyBorder="1" applyAlignment="1" applyProtection="1">
      <alignment horizontal="center" vertical="center" wrapText="1"/>
      <protection locked="0"/>
    </xf>
    <xf numFmtId="0" fontId="5" fillId="0" borderId="12" xfId="0" applyNumberFormat="1" applyFont="1" applyBorder="1" applyAlignment="1" applyProtection="1">
      <alignment horizontal="center" vertical="center" wrapText="1"/>
      <protection locked="0"/>
    </xf>
    <xf numFmtId="0" fontId="5" fillId="0" borderId="10" xfId="0" applyFont="1" applyBorder="1" applyAlignment="1" applyProtection="1">
      <alignment horizontal="center" vertical="center" wrapText="1"/>
      <protection locked="0"/>
    </xf>
    <xf numFmtId="0" fontId="5" fillId="0" borderId="12" xfId="0" applyFont="1" applyBorder="1" applyAlignment="1" applyProtection="1">
      <alignment horizontal="center" vertical="center" wrapText="1"/>
      <protection locked="0"/>
    </xf>
    <xf numFmtId="0" fontId="5" fillId="0" borderId="10" xfId="0" applyFont="1" applyBorder="1" applyAlignment="1">
      <alignment horizontal="center"/>
    </xf>
    <xf numFmtId="0" fontId="5" fillId="0" borderId="12" xfId="0" applyFont="1" applyBorder="1" applyAlignment="1">
      <alignment horizontal="center"/>
    </xf>
    <xf numFmtId="0" fontId="1" fillId="4" borderId="17" xfId="0" applyNumberFormat="1" applyFont="1" applyFill="1" applyBorder="1" applyAlignment="1" applyProtection="1">
      <alignment horizontal="center" vertical="center" wrapText="1"/>
    </xf>
    <xf numFmtId="0" fontId="1" fillId="4" borderId="18" xfId="0" applyNumberFormat="1" applyFont="1" applyFill="1" applyBorder="1" applyAlignment="1" applyProtection="1">
      <alignment horizontal="center" vertical="center" wrapText="1"/>
    </xf>
    <xf numFmtId="0" fontId="1" fillId="4" borderId="19" xfId="0" applyNumberFormat="1" applyFont="1" applyFill="1" applyBorder="1" applyAlignment="1" applyProtection="1">
      <alignment horizontal="center" vertical="center" wrapText="1"/>
    </xf>
    <xf numFmtId="0" fontId="1" fillId="4" borderId="7" xfId="0" applyNumberFormat="1" applyFont="1" applyFill="1" applyBorder="1" applyAlignment="1" applyProtection="1">
      <alignment horizontal="center" vertical="center" wrapText="1"/>
    </xf>
    <xf numFmtId="0" fontId="1" fillId="4" borderId="8" xfId="0" applyNumberFormat="1" applyFont="1" applyFill="1" applyBorder="1" applyAlignment="1" applyProtection="1">
      <alignment horizontal="center" vertical="center" wrapText="1"/>
    </xf>
    <xf numFmtId="0" fontId="1" fillId="4" borderId="9" xfId="0" applyNumberFormat="1" applyFont="1" applyFill="1" applyBorder="1" applyAlignment="1" applyProtection="1">
      <alignment horizontal="center" vertical="center" wrapText="1"/>
    </xf>
    <xf numFmtId="0" fontId="0" fillId="4" borderId="16" xfId="0" applyNumberFormat="1" applyFill="1" applyBorder="1" applyAlignment="1" applyProtection="1">
      <alignment horizontal="center" vertical="center" wrapText="1"/>
    </xf>
    <xf numFmtId="0" fontId="0" fillId="4" borderId="13" xfId="0" applyNumberFormat="1" applyFill="1" applyBorder="1" applyAlignment="1" applyProtection="1">
      <alignment horizontal="center" vertical="center" wrapText="1"/>
    </xf>
    <xf numFmtId="0" fontId="1" fillId="4" borderId="17" xfId="0" applyFont="1" applyFill="1" applyBorder="1" applyAlignment="1" applyProtection="1">
      <alignment horizontal="center" vertical="center" wrapText="1"/>
    </xf>
    <xf numFmtId="0" fontId="1" fillId="4" borderId="18" xfId="0" applyFont="1" applyFill="1" applyBorder="1" applyAlignment="1" applyProtection="1">
      <alignment horizontal="center" vertical="center" wrapText="1"/>
    </xf>
    <xf numFmtId="0" fontId="1" fillId="4" borderId="19" xfId="0" applyFont="1" applyFill="1" applyBorder="1" applyAlignment="1" applyProtection="1">
      <alignment horizontal="center" vertical="center" wrapText="1"/>
    </xf>
    <xf numFmtId="0" fontId="1" fillId="4" borderId="7" xfId="0" applyFont="1" applyFill="1" applyBorder="1" applyAlignment="1" applyProtection="1">
      <alignment horizontal="center" vertical="center" wrapText="1"/>
    </xf>
    <xf numFmtId="0" fontId="1" fillId="4" borderId="8" xfId="0" applyFont="1" applyFill="1" applyBorder="1" applyAlignment="1" applyProtection="1">
      <alignment horizontal="center" vertical="center" wrapText="1"/>
    </xf>
    <xf numFmtId="0" fontId="1" fillId="4" borderId="9" xfId="0" applyFont="1" applyFill="1" applyBorder="1" applyAlignment="1" applyProtection="1">
      <alignment horizontal="center" vertical="center" wrapText="1"/>
    </xf>
  </cellXfs>
  <cellStyles count="1">
    <cellStyle name="Normal" xfId="0" builtinId="0"/>
  </cellStyles>
  <dxfs count="73">
    <dxf>
      <font>
        <color rgb="FFFF0000"/>
      </font>
    </dxf>
    <dxf>
      <font>
        <b/>
        <i val="0"/>
        <color rgb="FFC00000"/>
      </font>
    </dxf>
    <dxf>
      <font>
        <color rgb="FFFF0000"/>
      </font>
    </dxf>
    <dxf>
      <font>
        <b/>
        <i val="0"/>
        <color rgb="FFC00000"/>
      </font>
    </dxf>
    <dxf>
      <font>
        <color rgb="FFFF3300"/>
      </font>
    </dxf>
    <dxf>
      <font>
        <color rgb="FFFF3300"/>
      </font>
    </dxf>
    <dxf>
      <font>
        <color rgb="FFFF3300"/>
      </font>
    </dxf>
    <dxf>
      <font>
        <color rgb="FFFF3300"/>
      </font>
    </dxf>
    <dxf>
      <font>
        <color rgb="FFFF33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color rgb="FFFF0000"/>
      </font>
    </dxf>
    <dxf>
      <font>
        <b/>
        <i val="0"/>
        <color rgb="FFC00000"/>
      </font>
    </dxf>
    <dxf>
      <font>
        <color rgb="FFFF0000"/>
      </font>
    </dxf>
    <dxf>
      <font>
        <b/>
        <i val="0"/>
        <color rgb="FFC00000"/>
      </font>
    </dxf>
    <dxf>
      <font>
        <color rgb="FFFF0000"/>
      </font>
    </dxf>
    <dxf>
      <font>
        <b/>
        <i val="0"/>
        <color rgb="FFC00000"/>
      </font>
    </dxf>
    <dxf>
      <font>
        <b/>
        <i val="0"/>
        <color rgb="FFC00000"/>
      </font>
    </dxf>
    <dxf>
      <font>
        <b/>
        <i val="0"/>
        <color rgb="FFC00000"/>
      </font>
    </dxf>
    <dxf>
      <font>
        <b/>
        <i val="0"/>
        <color rgb="FFC00000"/>
      </font>
    </dxf>
    <dxf>
      <font>
        <color rgb="FFFF0000"/>
      </font>
    </dxf>
    <dxf>
      <font>
        <b/>
        <i val="0"/>
        <color rgb="FFC00000"/>
      </font>
    </dxf>
    <dxf>
      <font>
        <b/>
        <i val="0"/>
        <color rgb="FFC0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color rgb="FFFF0000"/>
      </font>
    </dxf>
    <dxf>
      <font>
        <b/>
        <i val="0"/>
        <color rgb="FFC00000"/>
      </font>
    </dxf>
    <dxf>
      <font>
        <b/>
        <i val="0"/>
        <color rgb="FFC00000"/>
      </font>
    </dxf>
    <dxf>
      <font>
        <color rgb="FFFF3300"/>
      </font>
    </dxf>
    <dxf>
      <font>
        <color rgb="FFFF3300"/>
      </font>
    </dxf>
    <dxf>
      <font>
        <color rgb="FFFF3300"/>
      </font>
    </dxf>
    <dxf>
      <font>
        <color rgb="FFFF3300"/>
      </font>
    </dxf>
    <dxf>
      <font>
        <color rgb="FFFF33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dimension ref="A1:L26"/>
  <sheetViews>
    <sheetView tabSelected="1" workbookViewId="0">
      <selection activeCell="A11" sqref="A11:K11"/>
    </sheetView>
  </sheetViews>
  <sheetFormatPr defaultRowHeight="15"/>
  <sheetData>
    <row r="1" spans="1:12" ht="15.75">
      <c r="A1" s="196" t="s">
        <v>52</v>
      </c>
      <c r="B1" s="196"/>
      <c r="C1" s="196"/>
      <c r="D1" s="196"/>
      <c r="E1" s="196"/>
      <c r="F1" s="196"/>
      <c r="G1" s="196"/>
      <c r="H1" s="196"/>
      <c r="I1" s="196"/>
      <c r="J1" s="196"/>
      <c r="K1" s="196"/>
      <c r="L1" s="140"/>
    </row>
    <row r="2" spans="1:12" ht="8.1" customHeight="1"/>
    <row r="3" spans="1:12" ht="135" customHeight="1">
      <c r="A3" s="194" t="s">
        <v>141</v>
      </c>
      <c r="B3" s="194"/>
      <c r="C3" s="194"/>
      <c r="D3" s="194"/>
      <c r="E3" s="194"/>
      <c r="F3" s="194"/>
      <c r="G3" s="194"/>
      <c r="H3" s="194"/>
      <c r="I3" s="194"/>
      <c r="J3" s="194"/>
      <c r="K3" s="194"/>
      <c r="L3" s="137"/>
    </row>
    <row r="4" spans="1:12" ht="8.1" customHeight="1">
      <c r="A4" s="137"/>
      <c r="B4" s="137"/>
      <c r="C4" s="137"/>
      <c r="D4" s="137"/>
      <c r="E4" s="137"/>
      <c r="F4" s="137"/>
      <c r="G4" s="137"/>
      <c r="H4" s="137"/>
      <c r="I4" s="137"/>
      <c r="J4" s="137"/>
      <c r="K4" s="137"/>
      <c r="L4" s="137"/>
    </row>
    <row r="5" spans="1:12">
      <c r="A5" s="195" t="s">
        <v>135</v>
      </c>
      <c r="B5" s="195"/>
      <c r="C5" s="195"/>
      <c r="D5" s="195"/>
      <c r="E5" s="195"/>
      <c r="F5" s="195"/>
      <c r="G5" s="195"/>
      <c r="H5" s="195"/>
      <c r="I5" s="195"/>
      <c r="J5" s="195"/>
      <c r="K5" s="195"/>
    </row>
    <row r="6" spans="1:12">
      <c r="A6" s="195"/>
      <c r="B6" s="195"/>
      <c r="C6" s="195"/>
      <c r="D6" s="195"/>
      <c r="E6" s="195"/>
      <c r="F6" s="195"/>
      <c r="G6" s="195"/>
      <c r="H6" s="195"/>
      <c r="I6" s="195"/>
      <c r="J6" s="195"/>
      <c r="K6" s="195"/>
    </row>
    <row r="7" spans="1:12">
      <c r="A7" s="195"/>
      <c r="B7" s="195"/>
      <c r="C7" s="195"/>
      <c r="D7" s="195"/>
      <c r="E7" s="195"/>
      <c r="F7" s="195"/>
      <c r="G7" s="195"/>
      <c r="H7" s="195"/>
      <c r="I7" s="195"/>
      <c r="J7" s="195"/>
      <c r="K7" s="195"/>
    </row>
    <row r="8" spans="1:12" s="76" customFormat="1" ht="8.1" customHeight="1">
      <c r="A8" s="139"/>
      <c r="B8" s="139"/>
      <c r="C8" s="139"/>
      <c r="D8" s="139"/>
      <c r="E8" s="139"/>
      <c r="F8" s="139"/>
      <c r="G8" s="139"/>
      <c r="H8" s="139"/>
      <c r="I8" s="139"/>
      <c r="J8" s="139"/>
      <c r="K8" s="139"/>
    </row>
    <row r="9" spans="1:12" s="76" customFormat="1" ht="45" customHeight="1">
      <c r="A9" s="195" t="s">
        <v>53</v>
      </c>
      <c r="B9" s="195"/>
      <c r="C9" s="195"/>
      <c r="D9" s="195"/>
      <c r="E9" s="195"/>
      <c r="F9" s="195"/>
      <c r="G9" s="195"/>
      <c r="H9" s="195"/>
      <c r="I9" s="195"/>
      <c r="J9" s="195"/>
      <c r="K9" s="195"/>
    </row>
    <row r="10" spans="1:12" s="76" customFormat="1" ht="9.9499999999999993" customHeight="1">
      <c r="A10" s="139"/>
      <c r="B10" s="139"/>
      <c r="C10" s="139"/>
      <c r="D10" s="139"/>
      <c r="E10" s="139"/>
      <c r="F10" s="139"/>
      <c r="G10" s="139"/>
      <c r="H10" s="139"/>
      <c r="I10" s="139"/>
      <c r="J10" s="139"/>
      <c r="K10" s="139"/>
    </row>
    <row r="11" spans="1:12" s="76" customFormat="1" ht="140.1" customHeight="1">
      <c r="A11" s="195" t="s">
        <v>206</v>
      </c>
      <c r="B11" s="195"/>
      <c r="C11" s="195"/>
      <c r="D11" s="195"/>
      <c r="E11" s="195"/>
      <c r="F11" s="195"/>
      <c r="G11" s="195"/>
      <c r="H11" s="195"/>
      <c r="I11" s="195"/>
      <c r="J11" s="195"/>
      <c r="K11" s="195"/>
    </row>
    <row r="12" spans="1:12" s="76" customFormat="1" ht="9.9499999999999993" customHeight="1">
      <c r="A12" s="155"/>
      <c r="B12" s="155"/>
      <c r="C12" s="155"/>
      <c r="D12" s="155"/>
      <c r="E12" s="155"/>
      <c r="F12" s="155"/>
      <c r="G12" s="155"/>
      <c r="H12" s="155"/>
      <c r="I12" s="155"/>
      <c r="J12" s="155"/>
      <c r="K12" s="155"/>
    </row>
    <row r="13" spans="1:12" ht="147" customHeight="1">
      <c r="A13" s="191" t="s">
        <v>138</v>
      </c>
      <c r="B13" s="192"/>
      <c r="C13" s="192"/>
      <c r="D13" s="192"/>
      <c r="E13" s="192"/>
      <c r="F13" s="192"/>
      <c r="G13" s="192"/>
      <c r="H13" s="192"/>
      <c r="I13" s="192"/>
      <c r="J13" s="192"/>
      <c r="K13" s="192"/>
    </row>
    <row r="14" spans="1:12" ht="9.9499999999999993" customHeight="1"/>
    <row r="15" spans="1:12" ht="90" customHeight="1">
      <c r="A15" s="191" t="s">
        <v>132</v>
      </c>
      <c r="B15" s="192"/>
      <c r="C15" s="192"/>
      <c r="D15" s="192"/>
      <c r="E15" s="192"/>
      <c r="F15" s="192"/>
      <c r="G15" s="192"/>
      <c r="H15" s="192"/>
      <c r="I15" s="192"/>
      <c r="J15" s="192"/>
      <c r="K15" s="192"/>
    </row>
    <row r="16" spans="1:12" ht="8.1" customHeight="1"/>
    <row r="17" spans="1:11" ht="39.950000000000003" customHeight="1">
      <c r="A17" s="193" t="s">
        <v>134</v>
      </c>
      <c r="B17" s="193"/>
      <c r="C17" s="193"/>
      <c r="D17" s="193"/>
      <c r="E17" s="193"/>
      <c r="F17" s="193"/>
      <c r="G17" s="193"/>
      <c r="H17" s="193"/>
      <c r="I17" s="193"/>
      <c r="J17" s="193"/>
      <c r="K17" s="193"/>
    </row>
    <row r="18" spans="1:11" ht="39.950000000000003" customHeight="1">
      <c r="A18" s="193"/>
      <c r="B18" s="193"/>
      <c r="C18" s="193"/>
      <c r="D18" s="193"/>
      <c r="E18" s="193"/>
      <c r="F18" s="193"/>
      <c r="G18" s="193"/>
      <c r="H18" s="193"/>
      <c r="I18" s="193"/>
      <c r="J18" s="193"/>
      <c r="K18" s="193"/>
    </row>
    <row r="19" spans="1:11" ht="8.1" customHeight="1"/>
    <row r="20" spans="1:11" ht="30" customHeight="1">
      <c r="A20" s="191" t="s">
        <v>139</v>
      </c>
      <c r="B20" s="192"/>
      <c r="C20" s="192"/>
      <c r="D20" s="192"/>
      <c r="E20" s="192"/>
      <c r="F20" s="192"/>
      <c r="G20" s="192"/>
      <c r="H20" s="192"/>
      <c r="I20" s="192"/>
      <c r="J20" s="192"/>
      <c r="K20" s="192"/>
    </row>
    <row r="21" spans="1:11" ht="30" customHeight="1">
      <c r="A21" s="192"/>
      <c r="B21" s="192"/>
      <c r="C21" s="192"/>
      <c r="D21" s="192"/>
      <c r="E21" s="192"/>
      <c r="F21" s="192"/>
      <c r="G21" s="192"/>
      <c r="H21" s="192"/>
      <c r="I21" s="192"/>
      <c r="J21" s="192"/>
      <c r="K21" s="192"/>
    </row>
    <row r="22" spans="1:11" ht="8.1" customHeight="1"/>
    <row r="23" spans="1:11" ht="20.100000000000001" customHeight="1">
      <c r="A23" s="191" t="s">
        <v>133</v>
      </c>
      <c r="B23" s="192"/>
      <c r="C23" s="192"/>
      <c r="D23" s="192"/>
      <c r="E23" s="192"/>
      <c r="F23" s="192"/>
      <c r="G23" s="192"/>
      <c r="H23" s="192"/>
      <c r="I23" s="192"/>
      <c r="J23" s="192"/>
      <c r="K23" s="192"/>
    </row>
    <row r="24" spans="1:11" ht="20.100000000000001" customHeight="1"/>
    <row r="25" spans="1:11" ht="90" customHeight="1">
      <c r="A25" s="191" t="s">
        <v>140</v>
      </c>
      <c r="B25" s="192"/>
      <c r="C25" s="192"/>
      <c r="D25" s="192"/>
      <c r="E25" s="192"/>
      <c r="F25" s="192"/>
      <c r="G25" s="192"/>
      <c r="H25" s="192"/>
      <c r="I25" s="192"/>
      <c r="J25" s="192"/>
      <c r="K25" s="192"/>
    </row>
    <row r="26" spans="1:11" ht="90" customHeight="1">
      <c r="A26" s="192"/>
      <c r="B26" s="192"/>
      <c r="C26" s="192"/>
      <c r="D26" s="192"/>
      <c r="E26" s="192"/>
      <c r="F26" s="192"/>
      <c r="G26" s="192"/>
      <c r="H26" s="192"/>
      <c r="I26" s="192"/>
      <c r="J26" s="192"/>
      <c r="K26" s="192"/>
    </row>
  </sheetData>
  <mergeCells count="11">
    <mergeCell ref="A3:K3"/>
    <mergeCell ref="A5:K7"/>
    <mergeCell ref="A13:K13"/>
    <mergeCell ref="A9:K9"/>
    <mergeCell ref="A1:K1"/>
    <mergeCell ref="A11:K11"/>
    <mergeCell ref="A15:K15"/>
    <mergeCell ref="A17:K18"/>
    <mergeCell ref="A20:K21"/>
    <mergeCell ref="A23:K23"/>
    <mergeCell ref="A25:K26"/>
  </mergeCells>
  <pageMargins left="0.25" right="0.25"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dimension ref="A1:R33"/>
  <sheetViews>
    <sheetView workbookViewId="0">
      <selection activeCell="C15" sqref="C15:D15"/>
    </sheetView>
  </sheetViews>
  <sheetFormatPr defaultRowHeight="15"/>
  <cols>
    <col min="2" max="2" width="15.7109375" customWidth="1"/>
    <col min="3" max="3" width="9.140625" style="1"/>
    <col min="5" max="5" width="9.140625" style="1"/>
    <col min="7" max="7" width="9.140625" style="1"/>
    <col min="8" max="8" width="12.140625" customWidth="1"/>
    <col min="9" max="9" width="9.140625" style="1"/>
    <col min="11" max="11" width="9.140625" style="1"/>
    <col min="13" max="13" width="6.28515625" style="1" customWidth="1"/>
    <col min="14" max="14" width="6" style="1" customWidth="1"/>
  </cols>
  <sheetData>
    <row r="1" spans="1:18" ht="15.75" customHeight="1">
      <c r="A1" s="239" t="s">
        <v>14</v>
      </c>
      <c r="B1" s="240"/>
      <c r="C1" s="240"/>
      <c r="D1" s="240"/>
      <c r="E1" s="240"/>
      <c r="F1" s="240"/>
      <c r="G1" s="240"/>
      <c r="H1" s="240"/>
      <c r="I1" s="240"/>
      <c r="J1" s="240"/>
      <c r="K1" s="240"/>
      <c r="L1" s="240"/>
      <c r="M1" s="240"/>
      <c r="N1" s="241"/>
    </row>
    <row r="2" spans="1:18" ht="15.75" customHeight="1">
      <c r="A2" s="231" t="s">
        <v>5</v>
      </c>
      <c r="B2" s="251"/>
      <c r="C2" s="249" t="s">
        <v>0</v>
      </c>
      <c r="D2" s="249"/>
      <c r="E2" s="249" t="s">
        <v>1</v>
      </c>
      <c r="F2" s="249"/>
      <c r="G2" s="249" t="s">
        <v>2</v>
      </c>
      <c r="H2" s="249"/>
      <c r="I2" s="249" t="s">
        <v>3</v>
      </c>
      <c r="J2" s="249"/>
      <c r="K2" s="249" t="s">
        <v>4</v>
      </c>
      <c r="L2" s="249"/>
      <c r="M2" s="231" t="s">
        <v>28</v>
      </c>
      <c r="N2" s="233"/>
      <c r="P2" s="237" t="s">
        <v>17</v>
      </c>
      <c r="Q2" s="238"/>
    </row>
    <row r="3" spans="1:18" ht="24.95" customHeight="1">
      <c r="A3" s="252"/>
      <c r="B3" s="253"/>
      <c r="C3" s="250"/>
      <c r="D3" s="250"/>
      <c r="E3" s="250"/>
      <c r="F3" s="250"/>
      <c r="G3" s="250"/>
      <c r="H3" s="250"/>
      <c r="I3" s="250"/>
      <c r="J3" s="250"/>
      <c r="K3" s="250"/>
      <c r="L3" s="250"/>
      <c r="M3" s="234"/>
      <c r="N3" s="236"/>
      <c r="P3" s="11" t="s">
        <v>18</v>
      </c>
      <c r="Q3" s="12">
        <v>0.125</v>
      </c>
    </row>
    <row r="4" spans="1:18" ht="24.95" customHeight="1">
      <c r="A4" s="252"/>
      <c r="B4" s="253"/>
      <c r="C4" s="250"/>
      <c r="D4" s="250"/>
      <c r="E4" s="250"/>
      <c r="F4" s="250"/>
      <c r="G4" s="250"/>
      <c r="H4" s="250"/>
      <c r="I4" s="250"/>
      <c r="J4" s="250"/>
      <c r="K4" s="250"/>
      <c r="L4" s="250"/>
      <c r="M4" s="234"/>
      <c r="N4" s="236"/>
      <c r="P4" s="11" t="s">
        <v>19</v>
      </c>
      <c r="Q4" s="12">
        <v>0.25</v>
      </c>
    </row>
    <row r="5" spans="1:18" ht="24.95" customHeight="1">
      <c r="A5" s="252"/>
      <c r="B5" s="253"/>
      <c r="C5" s="250"/>
      <c r="D5" s="250"/>
      <c r="E5" s="250"/>
      <c r="F5" s="250"/>
      <c r="G5" s="250"/>
      <c r="H5" s="250"/>
      <c r="I5" s="256"/>
      <c r="J5" s="258"/>
      <c r="K5" s="250"/>
      <c r="L5" s="250"/>
      <c r="M5" s="234"/>
      <c r="N5" s="236"/>
      <c r="P5" s="11" t="s">
        <v>20</v>
      </c>
      <c r="Q5" s="12">
        <v>0.375</v>
      </c>
    </row>
    <row r="6" spans="1:18" ht="24.95" customHeight="1">
      <c r="A6" s="252"/>
      <c r="B6" s="253"/>
      <c r="C6" s="250"/>
      <c r="D6" s="250"/>
      <c r="E6" s="250"/>
      <c r="F6" s="250"/>
      <c r="G6" s="250"/>
      <c r="H6" s="250"/>
      <c r="I6" s="250"/>
      <c r="J6" s="250"/>
      <c r="K6" s="250"/>
      <c r="L6" s="250"/>
      <c r="M6" s="234"/>
      <c r="N6" s="236"/>
      <c r="P6" s="11" t="s">
        <v>21</v>
      </c>
      <c r="Q6" s="12">
        <v>0.33300000000000002</v>
      </c>
    </row>
    <row r="7" spans="1:18" ht="24.95" customHeight="1">
      <c r="A7" s="252"/>
      <c r="B7" s="253"/>
      <c r="C7" s="256"/>
      <c r="D7" s="257"/>
      <c r="E7" s="256"/>
      <c r="F7" s="258"/>
      <c r="G7" s="256"/>
      <c r="H7" s="258"/>
      <c r="I7" s="256"/>
      <c r="J7" s="258"/>
      <c r="K7" s="256"/>
      <c r="L7" s="258"/>
      <c r="M7" s="234"/>
      <c r="N7" s="236"/>
      <c r="P7" s="11" t="s">
        <v>22</v>
      </c>
      <c r="Q7" s="12">
        <v>0.5</v>
      </c>
    </row>
    <row r="8" spans="1:18" ht="24.95" customHeight="1">
      <c r="A8" s="252"/>
      <c r="B8" s="253"/>
      <c r="C8" s="250"/>
      <c r="D8" s="250"/>
      <c r="E8" s="250"/>
      <c r="F8" s="250"/>
      <c r="G8" s="250"/>
      <c r="H8" s="250"/>
      <c r="I8" s="250"/>
      <c r="J8" s="250"/>
      <c r="K8" s="250"/>
      <c r="L8" s="250"/>
      <c r="M8" s="234"/>
      <c r="N8" s="236"/>
      <c r="P8" s="11" t="s">
        <v>23</v>
      </c>
      <c r="Q8" s="12">
        <v>0.625</v>
      </c>
    </row>
    <row r="9" spans="1:18" ht="24.95" customHeight="1">
      <c r="A9" s="252"/>
      <c r="B9" s="253"/>
      <c r="C9" s="250"/>
      <c r="D9" s="250"/>
      <c r="E9" s="250"/>
      <c r="F9" s="250"/>
      <c r="G9" s="250"/>
      <c r="H9" s="250"/>
      <c r="I9" s="250"/>
      <c r="J9" s="250"/>
      <c r="K9" s="250"/>
      <c r="L9" s="250"/>
      <c r="M9" s="234"/>
      <c r="N9" s="236"/>
      <c r="P9" s="11" t="s">
        <v>24</v>
      </c>
      <c r="Q9" s="12">
        <v>0.66600000000000004</v>
      </c>
    </row>
    <row r="10" spans="1:18" ht="15" customHeight="1">
      <c r="A10" s="254"/>
      <c r="B10" s="255"/>
      <c r="C10" s="263"/>
      <c r="D10" s="264"/>
      <c r="E10" s="264"/>
      <c r="F10" s="264"/>
      <c r="G10" s="264"/>
      <c r="H10" s="264"/>
      <c r="I10" s="264"/>
      <c r="J10" s="264"/>
      <c r="K10" s="264"/>
      <c r="L10" s="265"/>
      <c r="M10" s="261"/>
      <c r="N10" s="262"/>
      <c r="P10" s="11" t="s">
        <v>25</v>
      </c>
      <c r="Q10" s="12">
        <v>0.75</v>
      </c>
    </row>
    <row r="11" spans="1:18" ht="30" customHeight="1">
      <c r="A11" s="242" t="s">
        <v>35</v>
      </c>
      <c r="B11" s="243"/>
      <c r="C11" s="244"/>
      <c r="D11" s="244"/>
      <c r="E11" s="244"/>
      <c r="F11" s="244"/>
      <c r="G11" s="244"/>
      <c r="H11" s="244"/>
      <c r="I11" s="244"/>
      <c r="J11" s="244"/>
      <c r="K11" s="244"/>
      <c r="L11" s="244"/>
      <c r="M11" s="78"/>
      <c r="N11" s="78"/>
      <c r="P11" s="11" t="s">
        <v>27</v>
      </c>
      <c r="Q11" s="12">
        <v>0.875</v>
      </c>
    </row>
    <row r="12" spans="1:18">
      <c r="A12" s="242"/>
      <c r="B12" s="243"/>
      <c r="C12" s="79"/>
      <c r="D12" s="80" t="s">
        <v>9</v>
      </c>
      <c r="E12" s="79"/>
      <c r="F12" s="80" t="s">
        <v>9</v>
      </c>
      <c r="G12" s="79"/>
      <c r="H12" s="80" t="s">
        <v>9</v>
      </c>
      <c r="I12" s="79"/>
      <c r="J12" s="80" t="s">
        <v>9</v>
      </c>
      <c r="K12" s="79"/>
      <c r="L12" s="80" t="s">
        <v>9</v>
      </c>
      <c r="M12" s="78">
        <f>C12+E12+G12+I12+K12</f>
        <v>0</v>
      </c>
      <c r="N12" s="81" t="str">
        <f>IF(AND(M12&gt;=8,M12&lt;=10),"Yes","No")</f>
        <v>No</v>
      </c>
      <c r="P12" s="13" t="s">
        <v>26</v>
      </c>
      <c r="Q12" s="14">
        <v>1</v>
      </c>
    </row>
    <row r="13" spans="1:18" ht="15" customHeight="1">
      <c r="A13" s="231" t="s">
        <v>45</v>
      </c>
      <c r="B13" s="232"/>
      <c r="C13" s="232"/>
      <c r="D13" s="232"/>
      <c r="E13" s="232"/>
      <c r="F13" s="232"/>
      <c r="G13" s="232"/>
      <c r="H13" s="232"/>
      <c r="I13" s="232"/>
      <c r="J13" s="232"/>
      <c r="K13" s="232"/>
      <c r="L13" s="232"/>
      <c r="M13" s="232"/>
      <c r="N13" s="233"/>
    </row>
    <row r="14" spans="1:18">
      <c r="A14" s="234"/>
      <c r="B14" s="235"/>
      <c r="C14" s="235"/>
      <c r="D14" s="235"/>
      <c r="E14" s="235"/>
      <c r="F14" s="235"/>
      <c r="G14" s="235"/>
      <c r="H14" s="235"/>
      <c r="I14" s="235"/>
      <c r="J14" s="235"/>
      <c r="K14" s="235"/>
      <c r="L14" s="235"/>
      <c r="M14" s="235"/>
      <c r="N14" s="236"/>
      <c r="P14" s="259" t="s">
        <v>48</v>
      </c>
      <c r="Q14" s="259"/>
      <c r="R14" s="259"/>
    </row>
    <row r="15" spans="1:18">
      <c r="A15" s="205" t="s">
        <v>29</v>
      </c>
      <c r="B15" s="206"/>
      <c r="C15" s="217"/>
      <c r="D15" s="217"/>
      <c r="E15" s="217"/>
      <c r="F15" s="217"/>
      <c r="G15" s="217"/>
      <c r="H15" s="217"/>
      <c r="I15" s="217"/>
      <c r="J15" s="217"/>
      <c r="K15" s="217"/>
      <c r="L15" s="217"/>
      <c r="M15" s="82"/>
      <c r="N15" s="83"/>
      <c r="P15" s="259"/>
      <c r="Q15" s="259"/>
      <c r="R15" s="259"/>
    </row>
    <row r="16" spans="1:18">
      <c r="A16" s="205"/>
      <c r="B16" s="206"/>
      <c r="C16" s="84"/>
      <c r="D16" s="85" t="s">
        <v>8</v>
      </c>
      <c r="E16" s="84"/>
      <c r="F16" s="85" t="s">
        <v>8</v>
      </c>
      <c r="G16" s="84"/>
      <c r="H16" s="85" t="s">
        <v>8</v>
      </c>
      <c r="I16" s="84"/>
      <c r="J16" s="85" t="s">
        <v>8</v>
      </c>
      <c r="K16" s="84"/>
      <c r="L16" s="85" t="s">
        <v>8</v>
      </c>
      <c r="M16" s="82">
        <f>C16+E16+G16+I16+K16</f>
        <v>0</v>
      </c>
      <c r="N16" s="86" t="str">
        <f>IF(M16 &gt;= 0.5,"Yes","No")</f>
        <v>No</v>
      </c>
      <c r="P16" s="76"/>
      <c r="Q16" s="76"/>
      <c r="R16" s="76"/>
    </row>
    <row r="17" spans="1:18">
      <c r="A17" s="207" t="s">
        <v>30</v>
      </c>
      <c r="B17" s="208"/>
      <c r="C17" s="218"/>
      <c r="D17" s="246"/>
      <c r="E17" s="218"/>
      <c r="F17" s="218"/>
      <c r="G17" s="218"/>
      <c r="H17" s="218"/>
      <c r="I17" s="218"/>
      <c r="J17" s="218"/>
      <c r="K17" s="218"/>
      <c r="L17" s="218"/>
      <c r="M17" s="87"/>
      <c r="N17" s="87"/>
      <c r="P17" s="260" t="s">
        <v>49</v>
      </c>
      <c r="Q17" s="260"/>
      <c r="R17" s="76"/>
    </row>
    <row r="18" spans="1:18">
      <c r="A18" s="207"/>
      <c r="B18" s="208"/>
      <c r="C18" s="88"/>
      <c r="D18" s="89" t="s">
        <v>8</v>
      </c>
      <c r="E18" s="88"/>
      <c r="F18" s="89" t="s">
        <v>8</v>
      </c>
      <c r="G18" s="88"/>
      <c r="H18" s="89" t="s">
        <v>8</v>
      </c>
      <c r="I18" s="88"/>
      <c r="J18" s="89" t="s">
        <v>8</v>
      </c>
      <c r="K18" s="88"/>
      <c r="L18" s="89" t="s">
        <v>8</v>
      </c>
      <c r="M18" s="87">
        <f>C18+E18+G18+I18+K18</f>
        <v>0</v>
      </c>
      <c r="N18" s="90" t="str">
        <f>IF(M18 &gt;= 0.75,"Yes","No")</f>
        <v>No</v>
      </c>
      <c r="P18" s="260"/>
      <c r="Q18" s="260"/>
      <c r="R18" s="76"/>
    </row>
    <row r="19" spans="1:18" ht="15" customHeight="1">
      <c r="A19" s="209" t="s">
        <v>31</v>
      </c>
      <c r="B19" s="210"/>
      <c r="C19" s="229"/>
      <c r="D19" s="229"/>
      <c r="E19" s="229"/>
      <c r="F19" s="229"/>
      <c r="G19" s="229"/>
      <c r="H19" s="229"/>
      <c r="I19" s="247"/>
      <c r="J19" s="248"/>
      <c r="K19" s="229"/>
      <c r="L19" s="229"/>
      <c r="M19" s="91"/>
      <c r="N19" s="91"/>
      <c r="P19" s="76"/>
      <c r="Q19" s="76"/>
      <c r="R19" s="76"/>
    </row>
    <row r="20" spans="1:18">
      <c r="A20" s="209"/>
      <c r="B20" s="210"/>
      <c r="C20" s="92"/>
      <c r="D20" s="93" t="s">
        <v>8</v>
      </c>
      <c r="E20" s="92"/>
      <c r="F20" s="93" t="s">
        <v>8</v>
      </c>
      <c r="G20" s="92"/>
      <c r="H20" s="93" t="s">
        <v>8</v>
      </c>
      <c r="I20" s="92"/>
      <c r="J20" s="93" t="s">
        <v>8</v>
      </c>
      <c r="K20" s="92"/>
      <c r="L20" s="93" t="s">
        <v>8</v>
      </c>
      <c r="M20" s="91">
        <f>C20+E20+G20+I20+K20</f>
        <v>0</v>
      </c>
      <c r="N20" s="94" t="str">
        <f>IF(M20 &gt;= 0.5,"Yes","No")</f>
        <v>No</v>
      </c>
    </row>
    <row r="21" spans="1:18" ht="15" customHeight="1">
      <c r="A21" s="211" t="s">
        <v>32</v>
      </c>
      <c r="B21" s="212"/>
      <c r="C21" s="219"/>
      <c r="D21" s="219"/>
      <c r="E21" s="219"/>
      <c r="F21" s="219"/>
      <c r="G21" s="219"/>
      <c r="H21" s="219"/>
      <c r="I21" s="219"/>
      <c r="J21" s="219"/>
      <c r="K21" s="219"/>
      <c r="L21" s="219"/>
      <c r="M21" s="95"/>
      <c r="N21" s="95"/>
    </row>
    <row r="22" spans="1:18">
      <c r="A22" s="211"/>
      <c r="B22" s="212"/>
      <c r="C22" s="96"/>
      <c r="D22" s="97" t="s">
        <v>8</v>
      </c>
      <c r="E22" s="96"/>
      <c r="F22" s="97" t="s">
        <v>8</v>
      </c>
      <c r="G22" s="96"/>
      <c r="H22" s="97" t="s">
        <v>8</v>
      </c>
      <c r="I22" s="96"/>
      <c r="J22" s="97" t="s">
        <v>8</v>
      </c>
      <c r="K22" s="96"/>
      <c r="L22" s="97" t="s">
        <v>8</v>
      </c>
      <c r="M22" s="95">
        <f>C22+E22+G22+I22+K22</f>
        <v>0</v>
      </c>
      <c r="N22" s="98" t="str">
        <f>IF(M22 &gt;= 0.5,"Yes","No")</f>
        <v>No</v>
      </c>
      <c r="Q22" s="77"/>
    </row>
    <row r="23" spans="1:18">
      <c r="A23" s="213" t="s">
        <v>33</v>
      </c>
      <c r="B23" s="214"/>
      <c r="C23" s="245"/>
      <c r="D23" s="245"/>
      <c r="E23" s="245"/>
      <c r="F23" s="245"/>
      <c r="G23" s="245"/>
      <c r="H23" s="245"/>
      <c r="I23" s="245"/>
      <c r="J23" s="245"/>
      <c r="K23" s="245"/>
      <c r="L23" s="245"/>
      <c r="M23" s="99"/>
      <c r="N23" s="99"/>
    </row>
    <row r="24" spans="1:18" ht="15.75" thickBot="1">
      <c r="A24" s="213"/>
      <c r="B24" s="214"/>
      <c r="C24" s="100"/>
      <c r="D24" s="101" t="s">
        <v>8</v>
      </c>
      <c r="E24" s="100"/>
      <c r="F24" s="101" t="s">
        <v>8</v>
      </c>
      <c r="G24" s="100"/>
      <c r="H24" s="101" t="s">
        <v>8</v>
      </c>
      <c r="I24" s="100"/>
      <c r="J24" s="101" t="s">
        <v>8</v>
      </c>
      <c r="K24" s="100"/>
      <c r="L24" s="101" t="s">
        <v>8</v>
      </c>
      <c r="M24" s="102">
        <f>C24+E24+G24+I24+K24</f>
        <v>0</v>
      </c>
      <c r="N24" s="103" t="str">
        <f>IF(M24 &gt;= 0.5,"Yes","No")</f>
        <v>No</v>
      </c>
    </row>
    <row r="25" spans="1:18" s="150" customFormat="1" ht="16.5" thickTop="1" thickBot="1">
      <c r="A25" s="230" t="s">
        <v>44</v>
      </c>
      <c r="B25" s="230"/>
      <c r="C25" s="148">
        <f>C16 + C18+ C20+ C22+ C24</f>
        <v>0</v>
      </c>
      <c r="D25" s="149" t="str">
        <f>IF(C25&gt;=0.75,"Yes","No")</f>
        <v>No</v>
      </c>
      <c r="E25" s="148">
        <f>E16 + E18+ E20+ E22+ E24</f>
        <v>0</v>
      </c>
      <c r="F25" s="149" t="str">
        <f>IF(E25&gt;=0.75,"Yes","No")</f>
        <v>No</v>
      </c>
      <c r="G25" s="148">
        <f>G16 + G18+ G20+ G22+ G24</f>
        <v>0</v>
      </c>
      <c r="H25" s="149" t="str">
        <f>IF(G25&gt;=0.75,"Yes","No")</f>
        <v>No</v>
      </c>
      <c r="I25" s="148">
        <f>I16 + I18+ I20+ I22+ I24</f>
        <v>0</v>
      </c>
      <c r="J25" s="149" t="str">
        <f>IF(I25&gt;=0.75,"Yes","No")</f>
        <v>No</v>
      </c>
      <c r="K25" s="148">
        <f>K16 + K18+ K20+ K22+ K24</f>
        <v>0</v>
      </c>
      <c r="L25" s="149" t="str">
        <f>IF(K25&gt;=0.75,"Yes","No")</f>
        <v>No</v>
      </c>
      <c r="M25" s="148">
        <f>M16 + M18+ M20+ M22+ M24</f>
        <v>0</v>
      </c>
      <c r="N25" s="148"/>
    </row>
    <row r="26" spans="1:18" s="150" customFormat="1" ht="15.75" customHeight="1" thickTop="1">
      <c r="A26" s="221" t="s">
        <v>7</v>
      </c>
      <c r="B26" s="222"/>
      <c r="C26" s="222"/>
      <c r="D26" s="222"/>
      <c r="E26" s="222"/>
      <c r="F26" s="222"/>
      <c r="G26" s="222"/>
      <c r="H26" s="222"/>
      <c r="I26" s="222"/>
      <c r="J26" s="222"/>
      <c r="K26" s="222"/>
      <c r="L26" s="222"/>
      <c r="M26" s="223"/>
      <c r="N26" s="266" t="str">
        <f>IF(M16+M18+M20+M22+M24 &gt;= 3.75,"Yes","No")</f>
        <v>No</v>
      </c>
    </row>
    <row r="27" spans="1:18" s="150" customFormat="1" ht="15" customHeight="1">
      <c r="A27" s="224"/>
      <c r="B27" s="225"/>
      <c r="C27" s="225"/>
      <c r="D27" s="225"/>
      <c r="E27" s="225"/>
      <c r="F27" s="225"/>
      <c r="G27" s="225"/>
      <c r="H27" s="225"/>
      <c r="I27" s="225"/>
      <c r="J27" s="225"/>
      <c r="K27" s="225"/>
      <c r="L27" s="225"/>
      <c r="M27" s="226"/>
      <c r="N27" s="267"/>
    </row>
    <row r="28" spans="1:18" ht="15" customHeight="1">
      <c r="A28" s="215" t="s">
        <v>34</v>
      </c>
      <c r="B28" s="216"/>
      <c r="C28" s="227"/>
      <c r="D28" s="227"/>
      <c r="E28" s="228"/>
      <c r="F28" s="228"/>
      <c r="G28" s="228"/>
      <c r="H28" s="228"/>
      <c r="I28" s="228"/>
      <c r="J28" s="228"/>
      <c r="K28" s="227"/>
      <c r="L28" s="227"/>
      <c r="M28" s="151"/>
      <c r="N28" s="44"/>
    </row>
    <row r="29" spans="1:18">
      <c r="A29" s="215"/>
      <c r="B29" s="216"/>
      <c r="C29" s="45"/>
      <c r="D29" s="46" t="s">
        <v>9</v>
      </c>
      <c r="E29" s="105"/>
      <c r="F29" s="46" t="s">
        <v>9</v>
      </c>
      <c r="G29" s="105"/>
      <c r="H29" s="46" t="s">
        <v>9</v>
      </c>
      <c r="I29" s="45"/>
      <c r="J29" s="46" t="s">
        <v>9</v>
      </c>
      <c r="K29" s="45"/>
      <c r="L29" s="46" t="s">
        <v>9</v>
      </c>
      <c r="M29" s="44">
        <f>C29+E29+G29+I29+K29</f>
        <v>0</v>
      </c>
      <c r="N29" s="47" t="str">
        <f>IF(AND(M29&gt;=8,M29&lt;=9),"Yes","No")</f>
        <v>No</v>
      </c>
    </row>
    <row r="30" spans="1:18">
      <c r="A30" s="204" t="s">
        <v>6</v>
      </c>
      <c r="B30" s="204"/>
      <c r="C30" s="201"/>
      <c r="D30" s="201"/>
      <c r="E30" s="202"/>
      <c r="F30" s="203"/>
      <c r="G30" s="203"/>
      <c r="H30" s="203"/>
      <c r="I30" s="203"/>
      <c r="J30" s="203"/>
      <c r="K30" s="203"/>
      <c r="L30" s="203"/>
      <c r="M30" s="49"/>
      <c r="N30" s="49"/>
    </row>
    <row r="31" spans="1:18">
      <c r="A31" s="204"/>
      <c r="B31" s="204"/>
      <c r="C31" s="50"/>
      <c r="D31" s="51" t="s">
        <v>8</v>
      </c>
      <c r="E31" s="52"/>
      <c r="F31" s="51" t="s">
        <v>8</v>
      </c>
      <c r="G31" s="104"/>
      <c r="H31" s="51" t="s">
        <v>8</v>
      </c>
      <c r="I31" s="50"/>
      <c r="J31" s="51" t="s">
        <v>8</v>
      </c>
      <c r="K31" s="50"/>
      <c r="L31" s="51" t="s">
        <v>8</v>
      </c>
      <c r="M31" s="49">
        <f>C31+E31+G31+I31+K31</f>
        <v>0</v>
      </c>
      <c r="N31" s="53" t="str">
        <f>IF(M31 &gt;= 2.5,"Yes","No")</f>
        <v>No</v>
      </c>
    </row>
    <row r="32" spans="1:18" ht="30" customHeight="1">
      <c r="A32" s="197" t="s">
        <v>36</v>
      </c>
      <c r="B32" s="198"/>
      <c r="C32" s="220" t="s">
        <v>11</v>
      </c>
      <c r="D32" s="220"/>
      <c r="E32" s="220" t="s">
        <v>11</v>
      </c>
      <c r="F32" s="220"/>
      <c r="G32" s="220" t="s">
        <v>11</v>
      </c>
      <c r="H32" s="220"/>
      <c r="I32" s="220" t="s">
        <v>11</v>
      </c>
      <c r="J32" s="220"/>
      <c r="K32" s="220" t="s">
        <v>11</v>
      </c>
      <c r="L32" s="220"/>
      <c r="M32" s="41"/>
      <c r="N32" s="41"/>
    </row>
    <row r="33" spans="1:14" ht="24.95" customHeight="1">
      <c r="A33" s="199"/>
      <c r="B33" s="200"/>
      <c r="C33" s="42">
        <v>1</v>
      </c>
      <c r="D33" s="43" t="s">
        <v>8</v>
      </c>
      <c r="E33" s="42">
        <v>1</v>
      </c>
      <c r="F33" s="43" t="s">
        <v>8</v>
      </c>
      <c r="G33" s="42">
        <v>1</v>
      </c>
      <c r="H33" s="43" t="s">
        <v>10</v>
      </c>
      <c r="I33" s="42">
        <v>1</v>
      </c>
      <c r="J33" s="43" t="s">
        <v>8</v>
      </c>
      <c r="K33" s="42">
        <v>1</v>
      </c>
      <c r="L33" s="43" t="s">
        <v>8</v>
      </c>
      <c r="M33" s="41">
        <f>C33+E33+G33+I33+K33</f>
        <v>5</v>
      </c>
      <c r="N33" s="48" t="str">
        <f>IF(M33 &gt;= 5,"Yes","No")</f>
        <v>Yes</v>
      </c>
    </row>
  </sheetData>
  <sheetProtection sheet="1" objects="1" scenarios="1" insertRows="0" selectLockedCells="1"/>
  <mergeCells count="105">
    <mergeCell ref="P14:R15"/>
    <mergeCell ref="P17:Q18"/>
    <mergeCell ref="E4:F4"/>
    <mergeCell ref="E3:F3"/>
    <mergeCell ref="E7:F7"/>
    <mergeCell ref="E9:F9"/>
    <mergeCell ref="M2:N10"/>
    <mergeCell ref="C10:L10"/>
    <mergeCell ref="N26:N27"/>
    <mergeCell ref="G9:H9"/>
    <mergeCell ref="G8:H8"/>
    <mergeCell ref="G6:H6"/>
    <mergeCell ref="G5:H5"/>
    <mergeCell ref="G4:H4"/>
    <mergeCell ref="G3:H3"/>
    <mergeCell ref="K3:L3"/>
    <mergeCell ref="I9:J9"/>
    <mergeCell ref="I8:J8"/>
    <mergeCell ref="I6:J6"/>
    <mergeCell ref="I5:J5"/>
    <mergeCell ref="I4:J4"/>
    <mergeCell ref="E2:F2"/>
    <mergeCell ref="G2:H2"/>
    <mergeCell ref="I2:J2"/>
    <mergeCell ref="K8:L8"/>
    <mergeCell ref="K6:L6"/>
    <mergeCell ref="K5:L5"/>
    <mergeCell ref="K4:L4"/>
    <mergeCell ref="I3:J3"/>
    <mergeCell ref="E8:F8"/>
    <mergeCell ref="E6:F6"/>
    <mergeCell ref="E5:F5"/>
    <mergeCell ref="G7:H7"/>
    <mergeCell ref="I7:J7"/>
    <mergeCell ref="K7:L7"/>
    <mergeCell ref="A2:B10"/>
    <mergeCell ref="C3:D3"/>
    <mergeCell ref="C4:D4"/>
    <mergeCell ref="C5:D5"/>
    <mergeCell ref="C6:D6"/>
    <mergeCell ref="C8:D8"/>
    <mergeCell ref="C9:D9"/>
    <mergeCell ref="C2:D2"/>
    <mergeCell ref="C7:D7"/>
    <mergeCell ref="K32:L32"/>
    <mergeCell ref="I32:J32"/>
    <mergeCell ref="G32:H32"/>
    <mergeCell ref="E32:F32"/>
    <mergeCell ref="E23:F23"/>
    <mergeCell ref="K15:L15"/>
    <mergeCell ref="I15:J15"/>
    <mergeCell ref="G15:H15"/>
    <mergeCell ref="E15:F15"/>
    <mergeCell ref="K30:L30"/>
    <mergeCell ref="I30:J30"/>
    <mergeCell ref="G21:H21"/>
    <mergeCell ref="E21:F21"/>
    <mergeCell ref="A25:B25"/>
    <mergeCell ref="A13:N14"/>
    <mergeCell ref="P2:Q2"/>
    <mergeCell ref="A1:N1"/>
    <mergeCell ref="A11:B12"/>
    <mergeCell ref="K17:L17"/>
    <mergeCell ref="I17:J17"/>
    <mergeCell ref="K11:L11"/>
    <mergeCell ref="I11:J11"/>
    <mergeCell ref="G11:H11"/>
    <mergeCell ref="E11:F11"/>
    <mergeCell ref="C11:D11"/>
    <mergeCell ref="K23:L23"/>
    <mergeCell ref="I23:J23"/>
    <mergeCell ref="G23:H23"/>
    <mergeCell ref="C17:D17"/>
    <mergeCell ref="C23:D23"/>
    <mergeCell ref="K19:L19"/>
    <mergeCell ref="I19:J19"/>
    <mergeCell ref="G19:H19"/>
    <mergeCell ref="E19:F19"/>
    <mergeCell ref="I21:J21"/>
    <mergeCell ref="K2:L2"/>
    <mergeCell ref="K9:L9"/>
    <mergeCell ref="A32:B33"/>
    <mergeCell ref="C30:D30"/>
    <mergeCell ref="E30:F30"/>
    <mergeCell ref="G30:H30"/>
    <mergeCell ref="A30:B31"/>
    <mergeCell ref="A15:B16"/>
    <mergeCell ref="A17:B18"/>
    <mergeCell ref="A19:B20"/>
    <mergeCell ref="A21:B22"/>
    <mergeCell ref="A23:B24"/>
    <mergeCell ref="A28:B29"/>
    <mergeCell ref="C15:D15"/>
    <mergeCell ref="G17:H17"/>
    <mergeCell ref="E17:F17"/>
    <mergeCell ref="C21:D21"/>
    <mergeCell ref="C32:D32"/>
    <mergeCell ref="A26:M27"/>
    <mergeCell ref="K28:L28"/>
    <mergeCell ref="I28:J28"/>
    <mergeCell ref="G28:H28"/>
    <mergeCell ref="E28:F28"/>
    <mergeCell ref="C28:D28"/>
    <mergeCell ref="C19:D19"/>
    <mergeCell ref="K21:L21"/>
  </mergeCells>
  <conditionalFormatting sqref="N12">
    <cfRule type="cellIs" dxfId="72" priority="15" operator="equal">
      <formula>"No"</formula>
    </cfRule>
  </conditionalFormatting>
  <conditionalFormatting sqref="N16">
    <cfRule type="cellIs" dxfId="71" priority="14" operator="equal">
      <formula>"No"</formula>
    </cfRule>
  </conditionalFormatting>
  <conditionalFormatting sqref="N18">
    <cfRule type="cellIs" dxfId="70" priority="13" operator="equal">
      <formula>"No"</formula>
    </cfRule>
  </conditionalFormatting>
  <conditionalFormatting sqref="N20">
    <cfRule type="cellIs" dxfId="69" priority="12" operator="equal">
      <formula>"No"</formula>
    </cfRule>
  </conditionalFormatting>
  <conditionalFormatting sqref="N22">
    <cfRule type="cellIs" dxfId="68" priority="11" operator="equal">
      <formula>"No"</formula>
    </cfRule>
  </conditionalFormatting>
  <conditionalFormatting sqref="N24">
    <cfRule type="cellIs" dxfId="67" priority="10" operator="equal">
      <formula>"No"</formula>
    </cfRule>
  </conditionalFormatting>
  <conditionalFormatting sqref="N26:N27">
    <cfRule type="cellIs" dxfId="66" priority="9" operator="equal">
      <formula>"No"</formula>
    </cfRule>
  </conditionalFormatting>
  <conditionalFormatting sqref="N29">
    <cfRule type="cellIs" dxfId="65" priority="8" operator="equal">
      <formula>"No"</formula>
    </cfRule>
  </conditionalFormatting>
  <conditionalFormatting sqref="N31">
    <cfRule type="cellIs" dxfId="64" priority="7" operator="equal">
      <formula>"No"</formula>
    </cfRule>
  </conditionalFormatting>
  <conditionalFormatting sqref="N33">
    <cfRule type="cellIs" dxfId="63" priority="6" operator="equal">
      <formula>"No"</formula>
    </cfRule>
  </conditionalFormatting>
  <conditionalFormatting sqref="D25">
    <cfRule type="containsText" dxfId="62" priority="5" operator="containsText" text="No">
      <formula>NOT(ISERROR(SEARCH("No",D25)))</formula>
    </cfRule>
  </conditionalFormatting>
  <conditionalFormatting sqref="F25">
    <cfRule type="containsText" dxfId="61" priority="4" operator="containsText" text="No">
      <formula>NOT(ISERROR(SEARCH("No",F25)))</formula>
    </cfRule>
  </conditionalFormatting>
  <conditionalFormatting sqref="H25">
    <cfRule type="containsText" dxfId="60" priority="3" operator="containsText" text="No">
      <formula>NOT(ISERROR(SEARCH("No",H25)))</formula>
    </cfRule>
  </conditionalFormatting>
  <conditionalFormatting sqref="J25">
    <cfRule type="containsText" dxfId="59" priority="2" operator="containsText" text="No">
      <formula>NOT(ISERROR(SEARCH("No",J25)))</formula>
    </cfRule>
  </conditionalFormatting>
  <conditionalFormatting sqref="L25">
    <cfRule type="containsText" dxfId="58" priority="1" operator="containsText" text="No">
      <formula>NOT(ISERROR(SEARCH("No",L25)))</formula>
    </cfRule>
  </conditionalFormatting>
  <pageMargins left="0.2" right="0.2" top="0.42" bottom="0.53" header="0.3" footer="0.3"/>
  <pageSetup orientation="landscape" r:id="rId1"/>
</worksheet>
</file>

<file path=xl/worksheets/sheet3.xml><?xml version="1.0" encoding="utf-8"?>
<worksheet xmlns="http://schemas.openxmlformats.org/spreadsheetml/2006/main" xmlns:r="http://schemas.openxmlformats.org/officeDocument/2006/relationships">
  <dimension ref="A1:R43"/>
  <sheetViews>
    <sheetView topLeftCell="A3" workbookViewId="0">
      <selection activeCell="I16" sqref="I16:J16"/>
    </sheetView>
  </sheetViews>
  <sheetFormatPr defaultRowHeight="15"/>
  <cols>
    <col min="1" max="1" width="9.140625" style="76"/>
    <col min="2" max="2" width="14.5703125" style="76" customWidth="1"/>
    <col min="3" max="16384" width="9.140625" style="76"/>
  </cols>
  <sheetData>
    <row r="1" spans="1:17">
      <c r="A1" s="239" t="s">
        <v>152</v>
      </c>
      <c r="B1" s="240"/>
      <c r="C1" s="240"/>
      <c r="D1" s="240"/>
      <c r="E1" s="240"/>
      <c r="F1" s="240"/>
      <c r="G1" s="240"/>
      <c r="H1" s="240"/>
      <c r="I1" s="240"/>
      <c r="J1" s="240"/>
      <c r="K1" s="240"/>
      <c r="L1" s="240"/>
      <c r="M1" s="240"/>
      <c r="N1" s="241"/>
    </row>
    <row r="2" spans="1:17">
      <c r="A2" s="314" t="s">
        <v>5</v>
      </c>
      <c r="B2" s="315"/>
      <c r="C2" s="318" t="s">
        <v>0</v>
      </c>
      <c r="D2" s="318"/>
      <c r="E2" s="318" t="s">
        <v>1</v>
      </c>
      <c r="F2" s="318"/>
      <c r="G2" s="318" t="s">
        <v>2</v>
      </c>
      <c r="H2" s="318"/>
      <c r="I2" s="318" t="s">
        <v>3</v>
      </c>
      <c r="J2" s="318"/>
      <c r="K2" s="318" t="s">
        <v>4</v>
      </c>
      <c r="L2" s="318"/>
      <c r="M2" s="319" t="s">
        <v>28</v>
      </c>
      <c r="N2" s="320"/>
      <c r="P2" s="237" t="s">
        <v>17</v>
      </c>
      <c r="Q2" s="238"/>
    </row>
    <row r="3" spans="1:17" ht="24.95" customHeight="1">
      <c r="A3" s="285"/>
      <c r="B3" s="286"/>
      <c r="C3" s="250"/>
      <c r="D3" s="250"/>
      <c r="E3" s="313"/>
      <c r="F3" s="313"/>
      <c r="G3" s="313"/>
      <c r="H3" s="313"/>
      <c r="I3" s="313"/>
      <c r="J3" s="313"/>
      <c r="K3" s="313"/>
      <c r="L3" s="313"/>
      <c r="M3" s="286"/>
      <c r="N3" s="287"/>
      <c r="P3" s="11" t="s">
        <v>18</v>
      </c>
      <c r="Q3" s="12">
        <v>0.125</v>
      </c>
    </row>
    <row r="4" spans="1:17" ht="24.95" customHeight="1">
      <c r="A4" s="285"/>
      <c r="B4" s="286"/>
      <c r="C4" s="250"/>
      <c r="D4" s="250"/>
      <c r="E4" s="313"/>
      <c r="F4" s="313"/>
      <c r="G4" s="313"/>
      <c r="H4" s="313"/>
      <c r="I4" s="313"/>
      <c r="J4" s="313"/>
      <c r="K4" s="313"/>
      <c r="L4" s="313"/>
      <c r="M4" s="286"/>
      <c r="N4" s="287"/>
      <c r="P4" s="11" t="s">
        <v>19</v>
      </c>
      <c r="Q4" s="12">
        <v>0.25</v>
      </c>
    </row>
    <row r="5" spans="1:17" ht="24.95" customHeight="1">
      <c r="A5" s="285"/>
      <c r="B5" s="286"/>
      <c r="C5" s="250"/>
      <c r="D5" s="250"/>
      <c r="E5" s="313"/>
      <c r="F5" s="313"/>
      <c r="G5" s="313"/>
      <c r="H5" s="313"/>
      <c r="I5" s="313"/>
      <c r="J5" s="313"/>
      <c r="K5" s="313"/>
      <c r="L5" s="313"/>
      <c r="M5" s="286"/>
      <c r="N5" s="287"/>
      <c r="P5" s="11" t="s">
        <v>20</v>
      </c>
      <c r="Q5" s="12">
        <v>0.375</v>
      </c>
    </row>
    <row r="6" spans="1:17" ht="24.95" customHeight="1">
      <c r="A6" s="285"/>
      <c r="B6" s="286"/>
      <c r="C6" s="250"/>
      <c r="D6" s="250"/>
      <c r="E6" s="313"/>
      <c r="F6" s="313"/>
      <c r="G6" s="313"/>
      <c r="H6" s="313"/>
      <c r="I6" s="313"/>
      <c r="J6" s="313"/>
      <c r="K6" s="313"/>
      <c r="L6" s="313"/>
      <c r="M6" s="286"/>
      <c r="N6" s="287"/>
      <c r="P6" s="11" t="s">
        <v>21</v>
      </c>
      <c r="Q6" s="12">
        <v>0.33300000000000002</v>
      </c>
    </row>
    <row r="7" spans="1:17" ht="24.95" customHeight="1">
      <c r="A7" s="285"/>
      <c r="B7" s="286"/>
      <c r="C7" s="256"/>
      <c r="D7" s="257"/>
      <c r="E7" s="311"/>
      <c r="F7" s="312"/>
      <c r="G7" s="311"/>
      <c r="H7" s="312"/>
      <c r="I7" s="311"/>
      <c r="J7" s="312"/>
      <c r="K7" s="311"/>
      <c r="L7" s="312"/>
      <c r="M7" s="286"/>
      <c r="N7" s="287"/>
      <c r="P7" s="11" t="s">
        <v>22</v>
      </c>
      <c r="Q7" s="12">
        <v>0.5</v>
      </c>
    </row>
    <row r="8" spans="1:17" ht="24.95" customHeight="1">
      <c r="A8" s="285"/>
      <c r="B8" s="286"/>
      <c r="C8" s="250"/>
      <c r="D8" s="250"/>
      <c r="E8" s="313"/>
      <c r="F8" s="313"/>
      <c r="G8" s="313"/>
      <c r="H8" s="313"/>
      <c r="I8" s="313"/>
      <c r="J8" s="313"/>
      <c r="K8" s="313"/>
      <c r="L8" s="313"/>
      <c r="M8" s="286"/>
      <c r="N8" s="287"/>
      <c r="P8" s="11" t="s">
        <v>23</v>
      </c>
      <c r="Q8" s="12">
        <v>0.625</v>
      </c>
    </row>
    <row r="9" spans="1:17" ht="24.95" customHeight="1">
      <c r="A9" s="285"/>
      <c r="B9" s="286"/>
      <c r="C9" s="311"/>
      <c r="D9" s="312"/>
      <c r="E9" s="311"/>
      <c r="F9" s="312"/>
      <c r="G9" s="311"/>
      <c r="H9" s="312"/>
      <c r="I9" s="311"/>
      <c r="J9" s="312"/>
      <c r="K9" s="311"/>
      <c r="L9" s="312"/>
      <c r="M9" s="286"/>
      <c r="N9" s="287"/>
      <c r="P9" s="11" t="s">
        <v>24</v>
      </c>
      <c r="Q9" s="12">
        <v>0.66600000000000004</v>
      </c>
    </row>
    <row r="10" spans="1:17" ht="24.95" customHeight="1">
      <c r="A10" s="285"/>
      <c r="B10" s="286"/>
      <c r="C10" s="311"/>
      <c r="D10" s="312"/>
      <c r="E10" s="311"/>
      <c r="F10" s="312"/>
      <c r="G10" s="311"/>
      <c r="H10" s="312"/>
      <c r="I10" s="311"/>
      <c r="J10" s="312"/>
      <c r="K10" s="311"/>
      <c r="L10" s="312"/>
      <c r="M10" s="286"/>
      <c r="N10" s="287"/>
      <c r="P10" s="11"/>
      <c r="Q10" s="12"/>
    </row>
    <row r="11" spans="1:17" ht="24.95" customHeight="1">
      <c r="A11" s="285"/>
      <c r="B11" s="286"/>
      <c r="C11" s="311"/>
      <c r="D11" s="312"/>
      <c r="E11" s="311"/>
      <c r="F11" s="312"/>
      <c r="G11" s="311"/>
      <c r="H11" s="312"/>
      <c r="I11" s="311"/>
      <c r="J11" s="312"/>
      <c r="K11" s="311"/>
      <c r="L11" s="312"/>
      <c r="M11" s="286"/>
      <c r="N11" s="287"/>
      <c r="P11" s="11"/>
      <c r="Q11" s="12"/>
    </row>
    <row r="12" spans="1:17" ht="24.95" customHeight="1">
      <c r="A12" s="285"/>
      <c r="B12" s="286"/>
      <c r="C12" s="311"/>
      <c r="D12" s="312"/>
      <c r="E12" s="311"/>
      <c r="F12" s="312"/>
      <c r="G12" s="311"/>
      <c r="H12" s="312"/>
      <c r="I12" s="311"/>
      <c r="J12" s="312"/>
      <c r="K12" s="311"/>
      <c r="L12" s="312"/>
      <c r="M12" s="286"/>
      <c r="N12" s="287"/>
      <c r="P12" s="11"/>
      <c r="Q12" s="12"/>
    </row>
    <row r="13" spans="1:17" ht="24.95" customHeight="1">
      <c r="A13" s="285"/>
      <c r="B13" s="286"/>
      <c r="C13" s="313"/>
      <c r="D13" s="313"/>
      <c r="E13" s="313"/>
      <c r="F13" s="313"/>
      <c r="G13" s="313"/>
      <c r="H13" s="313"/>
      <c r="I13" s="313"/>
      <c r="J13" s="313"/>
      <c r="K13" s="313"/>
      <c r="L13" s="313"/>
      <c r="M13" s="286"/>
      <c r="N13" s="287"/>
      <c r="P13" s="11" t="s">
        <v>25</v>
      </c>
      <c r="Q13" s="12">
        <v>0.75</v>
      </c>
    </row>
    <row r="14" spans="1:17">
      <c r="A14" s="316"/>
      <c r="B14" s="317"/>
      <c r="C14" s="303"/>
      <c r="D14" s="304"/>
      <c r="E14" s="304"/>
      <c r="F14" s="304"/>
      <c r="G14" s="304"/>
      <c r="H14" s="304"/>
      <c r="I14" s="304"/>
      <c r="J14" s="304"/>
      <c r="K14" s="304"/>
      <c r="L14" s="305"/>
      <c r="M14" s="317"/>
      <c r="N14" s="321"/>
      <c r="P14" s="11" t="s">
        <v>27</v>
      </c>
      <c r="Q14" s="12">
        <v>0.875</v>
      </c>
    </row>
    <row r="15" spans="1:17">
      <c r="A15" s="171"/>
      <c r="B15" s="172" t="s">
        <v>143</v>
      </c>
      <c r="C15" s="161"/>
      <c r="D15" s="71" t="s">
        <v>9</v>
      </c>
      <c r="E15" s="161"/>
      <c r="F15" s="71" t="s">
        <v>9</v>
      </c>
      <c r="G15" s="161"/>
      <c r="H15" s="71" t="s">
        <v>9</v>
      </c>
      <c r="I15" s="161"/>
      <c r="J15" s="71" t="s">
        <v>9</v>
      </c>
      <c r="K15" s="161"/>
      <c r="L15" s="71" t="s">
        <v>9</v>
      </c>
      <c r="M15" s="66">
        <f>C15+E15+G15+I15+K15</f>
        <v>0</v>
      </c>
      <c r="N15" s="69" t="str">
        <f>IF(AND(M15&gt;=8,M15&lt;=10),"Yes","No")</f>
        <v>No</v>
      </c>
      <c r="P15" s="11"/>
      <c r="Q15" s="12"/>
    </row>
    <row r="16" spans="1:17" ht="30" customHeight="1">
      <c r="A16" s="306" t="s">
        <v>35</v>
      </c>
      <c r="B16" s="307"/>
      <c r="C16" s="308"/>
      <c r="D16" s="309"/>
      <c r="E16" s="310"/>
      <c r="F16" s="310"/>
      <c r="G16" s="310"/>
      <c r="H16" s="310"/>
      <c r="I16" s="310"/>
      <c r="J16" s="310"/>
      <c r="K16" s="310"/>
      <c r="L16" s="310"/>
      <c r="M16" s="290"/>
      <c r="N16" s="291"/>
      <c r="P16" s="11" t="s">
        <v>26</v>
      </c>
      <c r="Q16" s="12">
        <v>1</v>
      </c>
    </row>
    <row r="17" spans="1:18">
      <c r="A17" s="173"/>
      <c r="B17" s="174" t="s">
        <v>144</v>
      </c>
      <c r="C17" s="161"/>
      <c r="D17" s="71" t="s">
        <v>9</v>
      </c>
      <c r="E17" s="161"/>
      <c r="F17" s="71" t="s">
        <v>9</v>
      </c>
      <c r="G17" s="161"/>
      <c r="H17" s="71" t="s">
        <v>9</v>
      </c>
      <c r="I17" s="161"/>
      <c r="J17" s="71" t="s">
        <v>9</v>
      </c>
      <c r="K17" s="161"/>
      <c r="L17" s="71" t="s">
        <v>9</v>
      </c>
      <c r="M17" s="66">
        <f>C17+E17+G17+I17+K17</f>
        <v>0</v>
      </c>
      <c r="N17" s="69" t="str">
        <f>IF(AND(M17&gt;=8,M17&lt;=10),"Yes","No")</f>
        <v>No</v>
      </c>
      <c r="P17" s="72"/>
      <c r="Q17" s="72"/>
    </row>
    <row r="18" spans="1:18">
      <c r="A18" s="165"/>
      <c r="B18" s="166"/>
      <c r="C18" s="167"/>
      <c r="D18" s="168"/>
      <c r="E18" s="167"/>
      <c r="F18" s="168"/>
      <c r="G18" s="167"/>
      <c r="H18" s="168"/>
      <c r="I18" s="167"/>
      <c r="J18" s="168"/>
      <c r="K18" s="167"/>
      <c r="L18" s="168"/>
      <c r="M18" s="169"/>
      <c r="N18" s="170"/>
      <c r="P18" s="2"/>
      <c r="Q18" s="2"/>
    </row>
    <row r="19" spans="1:18">
      <c r="A19" s="175"/>
      <c r="B19" s="176" t="s">
        <v>143</v>
      </c>
      <c r="C19" s="164"/>
      <c r="D19" s="29" t="s">
        <v>9</v>
      </c>
      <c r="E19" s="181"/>
      <c r="F19" s="29" t="s">
        <v>9</v>
      </c>
      <c r="G19" s="181"/>
      <c r="H19" s="29" t="s">
        <v>9</v>
      </c>
      <c r="I19" s="181"/>
      <c r="J19" s="29" t="s">
        <v>9</v>
      </c>
      <c r="K19" s="181"/>
      <c r="L19" s="29" t="s">
        <v>9</v>
      </c>
      <c r="M19" s="27">
        <f>C19+E19+G19+I19+K19</f>
        <v>0</v>
      </c>
      <c r="N19" s="30" t="str">
        <f>IF(AND(M19&gt;=8,M19&lt;=9),"Yes","No")</f>
        <v>No</v>
      </c>
      <c r="P19" s="2"/>
      <c r="Q19" s="2"/>
    </row>
    <row r="20" spans="1:18" ht="15" customHeight="1">
      <c r="A20" s="292" t="s">
        <v>148</v>
      </c>
      <c r="B20" s="293"/>
      <c r="C20" s="294"/>
      <c r="D20" s="295"/>
      <c r="E20" s="294"/>
      <c r="F20" s="295"/>
      <c r="G20" s="294"/>
      <c r="H20" s="295"/>
      <c r="I20" s="294"/>
      <c r="J20" s="295"/>
      <c r="K20" s="294"/>
      <c r="L20" s="295"/>
      <c r="M20" s="298"/>
      <c r="N20" s="299"/>
      <c r="P20" s="2"/>
      <c r="Q20" s="2"/>
    </row>
    <row r="21" spans="1:18" ht="15" customHeight="1">
      <c r="A21" s="292" t="s">
        <v>150</v>
      </c>
      <c r="B21" s="302"/>
      <c r="C21" s="296"/>
      <c r="D21" s="297"/>
      <c r="E21" s="296"/>
      <c r="F21" s="297"/>
      <c r="G21" s="296"/>
      <c r="H21" s="297"/>
      <c r="I21" s="296"/>
      <c r="J21" s="297"/>
      <c r="K21" s="296"/>
      <c r="L21" s="297"/>
      <c r="M21" s="300"/>
      <c r="N21" s="301"/>
      <c r="P21" s="2"/>
      <c r="Q21" s="2"/>
    </row>
    <row r="22" spans="1:18">
      <c r="A22" s="156"/>
      <c r="B22" s="177" t="s">
        <v>144</v>
      </c>
      <c r="C22" s="164"/>
      <c r="D22" s="29" t="s">
        <v>9</v>
      </c>
      <c r="E22" s="164"/>
      <c r="F22" s="29" t="s">
        <v>9</v>
      </c>
      <c r="G22" s="164"/>
      <c r="H22" s="29" t="s">
        <v>9</v>
      </c>
      <c r="I22" s="164"/>
      <c r="J22" s="29" t="s">
        <v>9</v>
      </c>
      <c r="K22" s="164"/>
      <c r="L22" s="29" t="s">
        <v>9</v>
      </c>
      <c r="M22" s="27">
        <f>C22+E22+G22+I22+K22</f>
        <v>0</v>
      </c>
      <c r="N22" s="30" t="str">
        <f>IF(AND(M22&gt;=8,M22&lt;=9),"Yes","No")</f>
        <v>No</v>
      </c>
      <c r="P22" s="2"/>
      <c r="Q22" s="2"/>
    </row>
    <row r="23" spans="1:18">
      <c r="A23" s="285" t="s">
        <v>45</v>
      </c>
      <c r="B23" s="286"/>
      <c r="C23" s="286"/>
      <c r="D23" s="286"/>
      <c r="E23" s="286"/>
      <c r="F23" s="286"/>
      <c r="G23" s="286"/>
      <c r="H23" s="286"/>
      <c r="I23" s="286"/>
      <c r="J23" s="286"/>
      <c r="K23" s="286"/>
      <c r="L23" s="286"/>
      <c r="M23" s="286"/>
      <c r="N23" s="287"/>
      <c r="P23" s="259" t="s">
        <v>48</v>
      </c>
      <c r="Q23" s="259"/>
      <c r="R23" s="259"/>
    </row>
    <row r="24" spans="1:18">
      <c r="A24" s="285"/>
      <c r="B24" s="286"/>
      <c r="C24" s="286"/>
      <c r="D24" s="286"/>
      <c r="E24" s="286"/>
      <c r="F24" s="286"/>
      <c r="G24" s="286"/>
      <c r="H24" s="286"/>
      <c r="I24" s="286"/>
      <c r="J24" s="286"/>
      <c r="K24" s="286"/>
      <c r="L24" s="286"/>
      <c r="M24" s="286"/>
      <c r="N24" s="287"/>
      <c r="P24" s="259"/>
      <c r="Q24" s="259"/>
      <c r="R24" s="259"/>
    </row>
    <row r="25" spans="1:18" ht="15" customHeight="1">
      <c r="A25" s="205" t="s">
        <v>29</v>
      </c>
      <c r="B25" s="206"/>
      <c r="C25" s="288"/>
      <c r="D25" s="288"/>
      <c r="E25" s="288"/>
      <c r="F25" s="288"/>
      <c r="G25" s="288"/>
      <c r="H25" s="288"/>
      <c r="I25" s="288"/>
      <c r="J25" s="288"/>
      <c r="K25" s="288"/>
      <c r="L25" s="288"/>
      <c r="M25" s="15"/>
      <c r="N25" s="15"/>
    </row>
    <row r="26" spans="1:18">
      <c r="A26" s="205"/>
      <c r="B26" s="206"/>
      <c r="C26" s="163"/>
      <c r="D26" s="17" t="s">
        <v>8</v>
      </c>
      <c r="E26" s="163"/>
      <c r="F26" s="17" t="s">
        <v>8</v>
      </c>
      <c r="G26" s="163"/>
      <c r="H26" s="17" t="s">
        <v>8</v>
      </c>
      <c r="I26" s="163"/>
      <c r="J26" s="17" t="s">
        <v>8</v>
      </c>
      <c r="K26" s="163"/>
      <c r="L26" s="17" t="s">
        <v>8</v>
      </c>
      <c r="M26" s="15">
        <f>C26+E26+G26+I26+K26</f>
        <v>0</v>
      </c>
      <c r="N26" s="18" t="str">
        <f>IF(M26 &gt;= 0.5,"Yes","No")</f>
        <v>No</v>
      </c>
      <c r="P26" s="260" t="s">
        <v>49</v>
      </c>
      <c r="Q26" s="260"/>
    </row>
    <row r="27" spans="1:18" ht="15" customHeight="1">
      <c r="A27" s="207" t="s">
        <v>30</v>
      </c>
      <c r="B27" s="208"/>
      <c r="C27" s="289"/>
      <c r="D27" s="289"/>
      <c r="E27" s="289"/>
      <c r="F27" s="289"/>
      <c r="G27" s="289"/>
      <c r="H27" s="289"/>
      <c r="I27" s="289"/>
      <c r="J27" s="289"/>
      <c r="K27" s="289"/>
      <c r="L27" s="289"/>
      <c r="M27" s="19"/>
      <c r="N27" s="19"/>
      <c r="P27" s="260"/>
      <c r="Q27" s="260"/>
    </row>
    <row r="28" spans="1:18">
      <c r="A28" s="207"/>
      <c r="B28" s="208"/>
      <c r="C28" s="159"/>
      <c r="D28" s="21" t="s">
        <v>8</v>
      </c>
      <c r="E28" s="159"/>
      <c r="F28" s="21" t="s">
        <v>8</v>
      </c>
      <c r="G28" s="159"/>
      <c r="H28" s="21" t="s">
        <v>8</v>
      </c>
      <c r="I28" s="159"/>
      <c r="J28" s="21" t="s">
        <v>8</v>
      </c>
      <c r="K28" s="159"/>
      <c r="L28" s="21" t="s">
        <v>8</v>
      </c>
      <c r="M28" s="19">
        <f>C28+E28+G28+I28+K28</f>
        <v>0</v>
      </c>
      <c r="N28" s="22" t="str">
        <f>IF(M28 &gt;= 0.75,"Yes","No")</f>
        <v>No</v>
      </c>
    </row>
    <row r="29" spans="1:18" ht="15" customHeight="1">
      <c r="A29" s="209" t="s">
        <v>31</v>
      </c>
      <c r="B29" s="210"/>
      <c r="C29" s="275"/>
      <c r="D29" s="275"/>
      <c r="E29" s="275"/>
      <c r="F29" s="275"/>
      <c r="G29" s="275"/>
      <c r="H29" s="275"/>
      <c r="I29" s="275"/>
      <c r="J29" s="275"/>
      <c r="K29" s="275"/>
      <c r="L29" s="275"/>
      <c r="M29" s="23"/>
      <c r="N29" s="23"/>
    </row>
    <row r="30" spans="1:18">
      <c r="A30" s="209"/>
      <c r="B30" s="210"/>
      <c r="C30" s="158"/>
      <c r="D30" s="25" t="s">
        <v>8</v>
      </c>
      <c r="E30" s="158"/>
      <c r="F30" s="25" t="s">
        <v>8</v>
      </c>
      <c r="G30" s="158"/>
      <c r="H30" s="25" t="s">
        <v>8</v>
      </c>
      <c r="I30" s="158"/>
      <c r="J30" s="25">
        <v>0</v>
      </c>
      <c r="K30" s="158"/>
      <c r="L30" s="25" t="s">
        <v>8</v>
      </c>
      <c r="M30" s="23">
        <f>C30+E30+G30+I30+K30</f>
        <v>0</v>
      </c>
      <c r="N30" s="26" t="str">
        <f>IF(M30 &gt;= 0.5,"Yes","No")</f>
        <v>No</v>
      </c>
    </row>
    <row r="31" spans="1:18" ht="15" customHeight="1">
      <c r="A31" s="211" t="s">
        <v>32</v>
      </c>
      <c r="B31" s="212"/>
      <c r="C31" s="276"/>
      <c r="D31" s="276"/>
      <c r="E31" s="276"/>
      <c r="F31" s="276"/>
      <c r="G31" s="276"/>
      <c r="H31" s="276"/>
      <c r="I31" s="276"/>
      <c r="J31" s="276"/>
      <c r="K31" s="276"/>
      <c r="L31" s="276"/>
      <c r="M31" s="3"/>
      <c r="N31" s="3"/>
    </row>
    <row r="32" spans="1:18">
      <c r="A32" s="211"/>
      <c r="B32" s="212"/>
      <c r="C32" s="162"/>
      <c r="D32" s="7" t="s">
        <v>8</v>
      </c>
      <c r="E32" s="162"/>
      <c r="F32" s="7" t="s">
        <v>8</v>
      </c>
      <c r="G32" s="162"/>
      <c r="H32" s="7" t="s">
        <v>8</v>
      </c>
      <c r="I32" s="162"/>
      <c r="J32" s="7" t="s">
        <v>8</v>
      </c>
      <c r="K32" s="162"/>
      <c r="L32" s="7" t="s">
        <v>8</v>
      </c>
      <c r="M32" s="3">
        <f>C32+E32+G32+I32+K32</f>
        <v>0</v>
      </c>
      <c r="N32" s="8" t="str">
        <f>IF(M32 &gt;= 0.5,"Yes","No")</f>
        <v>No</v>
      </c>
    </row>
    <row r="33" spans="1:14" ht="15" customHeight="1">
      <c r="A33" s="213" t="s">
        <v>33</v>
      </c>
      <c r="B33" s="214"/>
      <c r="C33" s="274"/>
      <c r="D33" s="274"/>
      <c r="E33" s="274"/>
      <c r="F33" s="274"/>
      <c r="G33" s="274"/>
      <c r="H33" s="274"/>
      <c r="I33" s="274"/>
      <c r="J33" s="274"/>
      <c r="K33" s="274"/>
      <c r="L33" s="274"/>
      <c r="M33" s="31"/>
      <c r="N33" s="31"/>
    </row>
    <row r="34" spans="1:14" ht="15.75" thickBot="1">
      <c r="A34" s="213"/>
      <c r="B34" s="214"/>
      <c r="C34" s="60"/>
      <c r="D34" s="61" t="s">
        <v>8</v>
      </c>
      <c r="E34" s="60"/>
      <c r="F34" s="61" t="s">
        <v>8</v>
      </c>
      <c r="G34" s="60"/>
      <c r="H34" s="61" t="s">
        <v>8</v>
      </c>
      <c r="I34" s="60"/>
      <c r="J34" s="61" t="s">
        <v>8</v>
      </c>
      <c r="K34" s="60"/>
      <c r="L34" s="61" t="s">
        <v>8</v>
      </c>
      <c r="M34" s="75">
        <f>C34+E34+G34+I34+K34</f>
        <v>0</v>
      </c>
      <c r="N34" s="59" t="str">
        <f>IF(M34 &gt;= 0.5,"Yes","No")</f>
        <v>No</v>
      </c>
    </row>
    <row r="35" spans="1:14" ht="15" customHeight="1" thickTop="1" thickBot="1">
      <c r="A35" s="278" t="s">
        <v>44</v>
      </c>
      <c r="B35" s="278"/>
      <c r="C35" s="152">
        <f>C26 + C28+ C30+ C32+ C34</f>
        <v>0</v>
      </c>
      <c r="D35" s="153" t="str">
        <f>IF(C35&gt;=0.75,"Yes","No")</f>
        <v>No</v>
      </c>
      <c r="E35" s="152">
        <f>E26 + E28+ E30+ E32+ E34</f>
        <v>0</v>
      </c>
      <c r="F35" s="153" t="str">
        <f>IF(E35&gt;=0.75,"Yes","No")</f>
        <v>No</v>
      </c>
      <c r="G35" s="152">
        <f>G26 + G28+ G30+ G32+ G34</f>
        <v>0</v>
      </c>
      <c r="H35" s="153" t="str">
        <f>IF(G35&gt;=0.75,"Yes","No")</f>
        <v>No</v>
      </c>
      <c r="I35" s="152">
        <f>I26 + I28+ I30+ I32+ I34</f>
        <v>0</v>
      </c>
      <c r="J35" s="153" t="str">
        <f>IF(I35&gt;=0.75,"Yes","No")</f>
        <v>No</v>
      </c>
      <c r="K35" s="152">
        <f>K26 + K28+ K30+ K32+ K34</f>
        <v>0</v>
      </c>
      <c r="L35" s="153" t="str">
        <f>IF(K35&gt;=0.75,"Yes","No")</f>
        <v>No</v>
      </c>
      <c r="M35" s="152">
        <f>M26 + M28+ M30+ M32+ M34</f>
        <v>0</v>
      </c>
      <c r="N35" s="152"/>
    </row>
    <row r="36" spans="1:14" ht="15.75" thickTop="1">
      <c r="A36" s="279" t="s">
        <v>208</v>
      </c>
      <c r="B36" s="280"/>
      <c r="C36" s="280"/>
      <c r="D36" s="280"/>
      <c r="E36" s="280"/>
      <c r="F36" s="280"/>
      <c r="G36" s="280"/>
      <c r="H36" s="280"/>
      <c r="I36" s="280"/>
      <c r="J36" s="280"/>
      <c r="K36" s="280"/>
      <c r="L36" s="280"/>
      <c r="M36" s="281"/>
      <c r="N36" s="268" t="str">
        <f>IF(M26+M28+M30+M32+M34 &gt;= 3.75,"Yes","No")</f>
        <v>No</v>
      </c>
    </row>
    <row r="37" spans="1:14">
      <c r="A37" s="282"/>
      <c r="B37" s="283"/>
      <c r="C37" s="283"/>
      <c r="D37" s="283"/>
      <c r="E37" s="283"/>
      <c r="F37" s="283"/>
      <c r="G37" s="283"/>
      <c r="H37" s="283"/>
      <c r="I37" s="283"/>
      <c r="J37" s="283"/>
      <c r="K37" s="283"/>
      <c r="L37" s="283"/>
      <c r="M37" s="284"/>
      <c r="N37" s="269"/>
    </row>
    <row r="40" spans="1:14" ht="30" customHeight="1">
      <c r="A40" s="270" t="s">
        <v>207</v>
      </c>
      <c r="B40" s="271"/>
      <c r="C40" s="201"/>
      <c r="D40" s="201"/>
      <c r="E40" s="202"/>
      <c r="F40" s="203"/>
      <c r="G40" s="203"/>
      <c r="H40" s="203"/>
      <c r="I40" s="203"/>
      <c r="J40" s="203"/>
      <c r="K40" s="203"/>
      <c r="L40" s="203"/>
      <c r="M40" s="54"/>
      <c r="N40" s="54"/>
    </row>
    <row r="41" spans="1:14">
      <c r="A41" s="272"/>
      <c r="B41" s="273"/>
      <c r="C41" s="157"/>
      <c r="D41" s="56" t="s">
        <v>8</v>
      </c>
      <c r="E41" s="57"/>
      <c r="F41" s="56" t="s">
        <v>8</v>
      </c>
      <c r="G41" s="157"/>
      <c r="H41" s="56" t="s">
        <v>10</v>
      </c>
      <c r="I41" s="157"/>
      <c r="J41" s="56" t="s">
        <v>8</v>
      </c>
      <c r="K41" s="157"/>
      <c r="L41" s="56" t="s">
        <v>8</v>
      </c>
      <c r="M41" s="54">
        <f>C41+E41+G41+I41+K41</f>
        <v>0</v>
      </c>
      <c r="N41" s="58" t="str">
        <f>IF(M41 &gt;= 2.5,"Yes","No")</f>
        <v>No</v>
      </c>
    </row>
    <row r="42" spans="1:14">
      <c r="A42" s="197" t="s">
        <v>36</v>
      </c>
      <c r="B42" s="198"/>
      <c r="C42" s="277" t="s">
        <v>11</v>
      </c>
      <c r="D42" s="277"/>
      <c r="E42" s="277" t="s">
        <v>11</v>
      </c>
      <c r="F42" s="277"/>
      <c r="G42" s="277" t="s">
        <v>11</v>
      </c>
      <c r="H42" s="277"/>
      <c r="I42" s="277" t="s">
        <v>11</v>
      </c>
      <c r="J42" s="277"/>
      <c r="K42" s="277"/>
      <c r="L42" s="277"/>
      <c r="M42" s="4"/>
      <c r="N42" s="4"/>
    </row>
    <row r="43" spans="1:14">
      <c r="A43" s="199"/>
      <c r="B43" s="200"/>
      <c r="C43" s="160">
        <v>1</v>
      </c>
      <c r="D43" s="5" t="s">
        <v>8</v>
      </c>
      <c r="E43" s="160">
        <v>1</v>
      </c>
      <c r="F43" s="5" t="s">
        <v>8</v>
      </c>
      <c r="G43" s="160">
        <v>1</v>
      </c>
      <c r="H43" s="5" t="s">
        <v>10</v>
      </c>
      <c r="I43" s="160">
        <v>1</v>
      </c>
      <c r="J43" s="5" t="s">
        <v>8</v>
      </c>
      <c r="K43" s="160">
        <v>1</v>
      </c>
      <c r="L43" s="5" t="s">
        <v>8</v>
      </c>
      <c r="M43" s="4">
        <f>C43+E43+G43+I43+K43</f>
        <v>5</v>
      </c>
      <c r="N43" s="6" t="str">
        <f>IF(M43 &gt;= 5,"Yes","No")</f>
        <v>Yes</v>
      </c>
    </row>
  </sheetData>
  <sheetProtection sheet="1" objects="1" scenarios="1" insertRows="0" selectLockedCells="1"/>
  <mergeCells count="128">
    <mergeCell ref="A1:N1"/>
    <mergeCell ref="A2:B14"/>
    <mergeCell ref="C2:D2"/>
    <mergeCell ref="E2:F2"/>
    <mergeCell ref="G2:H2"/>
    <mergeCell ref="I2:J2"/>
    <mergeCell ref="K2:L2"/>
    <mergeCell ref="M2:N14"/>
    <mergeCell ref="C4:D4"/>
    <mergeCell ref="E4:F4"/>
    <mergeCell ref="G4:H4"/>
    <mergeCell ref="I4:J4"/>
    <mergeCell ref="K4:L4"/>
    <mergeCell ref="C5:D5"/>
    <mergeCell ref="E5:F5"/>
    <mergeCell ref="G5:H5"/>
    <mergeCell ref="I5:J5"/>
    <mergeCell ref="K5:L5"/>
    <mergeCell ref="C7:D7"/>
    <mergeCell ref="E7:F7"/>
    <mergeCell ref="G7:H7"/>
    <mergeCell ref="I7:J7"/>
    <mergeCell ref="K7:L7"/>
    <mergeCell ref="C8:D8"/>
    <mergeCell ref="P2:Q2"/>
    <mergeCell ref="C3:D3"/>
    <mergeCell ref="E3:F3"/>
    <mergeCell ref="G3:H3"/>
    <mergeCell ref="I3:J3"/>
    <mergeCell ref="K3:L3"/>
    <mergeCell ref="C6:D6"/>
    <mergeCell ref="E6:F6"/>
    <mergeCell ref="G6:H6"/>
    <mergeCell ref="I6:J6"/>
    <mergeCell ref="K6:L6"/>
    <mergeCell ref="E8:F8"/>
    <mergeCell ref="G8:H8"/>
    <mergeCell ref="I8:J8"/>
    <mergeCell ref="K8:L8"/>
    <mergeCell ref="C9:D9"/>
    <mergeCell ref="E9:F9"/>
    <mergeCell ref="G9:H9"/>
    <mergeCell ref="I9:J9"/>
    <mergeCell ref="K9:L9"/>
    <mergeCell ref="C10:D10"/>
    <mergeCell ref="E10:F10"/>
    <mergeCell ref="G10:H10"/>
    <mergeCell ref="I10:J10"/>
    <mergeCell ref="K10:L10"/>
    <mergeCell ref="C11:D11"/>
    <mergeCell ref="E11:F11"/>
    <mergeCell ref="G11:H11"/>
    <mergeCell ref="I11:J11"/>
    <mergeCell ref="K11:L11"/>
    <mergeCell ref="C14:L14"/>
    <mergeCell ref="A16:B16"/>
    <mergeCell ref="C16:D16"/>
    <mergeCell ref="E16:F16"/>
    <mergeCell ref="G16:H16"/>
    <mergeCell ref="I16:J16"/>
    <mergeCell ref="K16:L16"/>
    <mergeCell ref="C12:D12"/>
    <mergeCell ref="E12:F12"/>
    <mergeCell ref="G12:H12"/>
    <mergeCell ref="I12:J12"/>
    <mergeCell ref="K12:L12"/>
    <mergeCell ref="C13:D13"/>
    <mergeCell ref="E13:F13"/>
    <mergeCell ref="G13:H13"/>
    <mergeCell ref="I13:J13"/>
    <mergeCell ref="K13:L13"/>
    <mergeCell ref="M16:N16"/>
    <mergeCell ref="A20:B20"/>
    <mergeCell ref="C20:D21"/>
    <mergeCell ref="E20:F21"/>
    <mergeCell ref="G20:H21"/>
    <mergeCell ref="I20:J21"/>
    <mergeCell ref="K20:L21"/>
    <mergeCell ref="M20:N21"/>
    <mergeCell ref="A21:B21"/>
    <mergeCell ref="A23:N24"/>
    <mergeCell ref="P23:R24"/>
    <mergeCell ref="A25:B26"/>
    <mergeCell ref="C25:D25"/>
    <mergeCell ref="E25:F25"/>
    <mergeCell ref="G25:H25"/>
    <mergeCell ref="I25:J25"/>
    <mergeCell ref="K25:L25"/>
    <mergeCell ref="P26:Q27"/>
    <mergeCell ref="A27:B28"/>
    <mergeCell ref="C27:D27"/>
    <mergeCell ref="E27:F27"/>
    <mergeCell ref="G27:H27"/>
    <mergeCell ref="I27:J27"/>
    <mergeCell ref="K27:L27"/>
    <mergeCell ref="A42:B43"/>
    <mergeCell ref="C42:D42"/>
    <mergeCell ref="E42:F42"/>
    <mergeCell ref="G42:H42"/>
    <mergeCell ref="I42:J42"/>
    <mergeCell ref="K42:L42"/>
    <mergeCell ref="A35:B35"/>
    <mergeCell ref="A36:M37"/>
    <mergeCell ref="A29:B30"/>
    <mergeCell ref="C29:D29"/>
    <mergeCell ref="E29:F29"/>
    <mergeCell ref="G29:H29"/>
    <mergeCell ref="I29:J29"/>
    <mergeCell ref="A33:B34"/>
    <mergeCell ref="C33:D33"/>
    <mergeCell ref="E33:F33"/>
    <mergeCell ref="G33:H33"/>
    <mergeCell ref="I33:J33"/>
    <mergeCell ref="N36:N37"/>
    <mergeCell ref="A40:B41"/>
    <mergeCell ref="C40:D40"/>
    <mergeCell ref="E40:F40"/>
    <mergeCell ref="G40:H40"/>
    <mergeCell ref="I40:J40"/>
    <mergeCell ref="K40:L40"/>
    <mergeCell ref="K33:L33"/>
    <mergeCell ref="K29:L29"/>
    <mergeCell ref="A31:B32"/>
    <mergeCell ref="C31:D31"/>
    <mergeCell ref="E31:F31"/>
    <mergeCell ref="G31:H31"/>
    <mergeCell ref="I31:J31"/>
    <mergeCell ref="K31:L31"/>
  </mergeCells>
  <conditionalFormatting sqref="N15 N26 N28 N30 N32 N34 N36:N37 N41 N43 N17:N19">
    <cfRule type="cellIs" dxfId="57" priority="6" operator="equal">
      <formula>"No"</formula>
    </cfRule>
  </conditionalFormatting>
  <conditionalFormatting sqref="N22">
    <cfRule type="cellIs" dxfId="56" priority="5" operator="equal">
      <formula>"No"</formula>
    </cfRule>
  </conditionalFormatting>
  <conditionalFormatting sqref="L35 J35 H35 F35 D35">
    <cfRule type="containsText" dxfId="55" priority="4" operator="containsText" text="No">
      <formula>NOT(ISERROR(SEARCH("No",D35)))</formula>
    </cfRule>
  </conditionalFormatting>
  <conditionalFormatting sqref="N19">
    <cfRule type="cellIs" dxfId="54" priority="3" operator="equal">
      <formula>"No"</formula>
    </cfRule>
  </conditionalFormatting>
  <conditionalFormatting sqref="N22">
    <cfRule type="cellIs" dxfId="53" priority="2" operator="equal">
      <formula>"No"</formula>
    </cfRule>
  </conditionalFormatting>
  <conditionalFormatting sqref="N22">
    <cfRule type="cellIs" dxfId="52" priority="1" operator="equal">
      <formula>"No"</formula>
    </cfRule>
  </conditionalFormatting>
  <pageMargins left="0.2" right="0.2" top="0.22" bottom="0.14000000000000001" header="0.3" footer="0.3"/>
  <pageSetup orientation="landscape" r:id="rId1"/>
</worksheet>
</file>

<file path=xl/worksheets/sheet4.xml><?xml version="1.0" encoding="utf-8"?>
<worksheet xmlns="http://schemas.openxmlformats.org/spreadsheetml/2006/main" xmlns:r="http://schemas.openxmlformats.org/officeDocument/2006/relationships">
  <dimension ref="A1:R33"/>
  <sheetViews>
    <sheetView workbookViewId="0">
      <selection activeCell="C16" sqref="C16"/>
    </sheetView>
  </sheetViews>
  <sheetFormatPr defaultRowHeight="15"/>
  <cols>
    <col min="2" max="2" width="15.140625" customWidth="1"/>
    <col min="8" max="8" width="12" customWidth="1"/>
    <col min="13" max="14" width="7.28515625" customWidth="1"/>
  </cols>
  <sheetData>
    <row r="1" spans="1:18">
      <c r="A1" s="239" t="s">
        <v>13</v>
      </c>
      <c r="B1" s="240"/>
      <c r="C1" s="240"/>
      <c r="D1" s="240"/>
      <c r="E1" s="240"/>
      <c r="F1" s="240"/>
      <c r="G1" s="240"/>
      <c r="H1" s="240"/>
      <c r="I1" s="240"/>
      <c r="J1" s="240"/>
      <c r="K1" s="240"/>
      <c r="L1" s="240"/>
      <c r="M1" s="240"/>
      <c r="N1" s="241"/>
    </row>
    <row r="2" spans="1:18">
      <c r="A2" s="314" t="s">
        <v>5</v>
      </c>
      <c r="B2" s="315"/>
      <c r="C2" s="318" t="s">
        <v>0</v>
      </c>
      <c r="D2" s="318"/>
      <c r="E2" s="318" t="s">
        <v>1</v>
      </c>
      <c r="F2" s="318"/>
      <c r="G2" s="318" t="s">
        <v>2</v>
      </c>
      <c r="H2" s="318"/>
      <c r="I2" s="318" t="s">
        <v>3</v>
      </c>
      <c r="J2" s="318"/>
      <c r="K2" s="318" t="s">
        <v>4</v>
      </c>
      <c r="L2" s="318"/>
      <c r="M2" s="319" t="s">
        <v>28</v>
      </c>
      <c r="N2" s="320"/>
      <c r="P2" s="237" t="s">
        <v>17</v>
      </c>
      <c r="Q2" s="238"/>
    </row>
    <row r="3" spans="1:18" ht="24.95" customHeight="1">
      <c r="A3" s="285"/>
      <c r="B3" s="286"/>
      <c r="C3" s="313"/>
      <c r="D3" s="313"/>
      <c r="E3" s="313"/>
      <c r="F3" s="313"/>
      <c r="G3" s="313"/>
      <c r="H3" s="313"/>
      <c r="I3" s="313"/>
      <c r="J3" s="313"/>
      <c r="K3" s="313"/>
      <c r="L3" s="313"/>
      <c r="M3" s="286"/>
      <c r="N3" s="287"/>
      <c r="P3" s="11" t="s">
        <v>18</v>
      </c>
      <c r="Q3" s="12">
        <v>0.125</v>
      </c>
    </row>
    <row r="4" spans="1:18" ht="24.95" customHeight="1">
      <c r="A4" s="285"/>
      <c r="B4" s="286"/>
      <c r="C4" s="313"/>
      <c r="D4" s="313"/>
      <c r="E4" s="313"/>
      <c r="F4" s="313"/>
      <c r="G4" s="313"/>
      <c r="H4" s="313"/>
      <c r="I4" s="313"/>
      <c r="J4" s="313"/>
      <c r="K4" s="313"/>
      <c r="L4" s="313"/>
      <c r="M4" s="286"/>
      <c r="N4" s="287"/>
      <c r="P4" s="11" t="s">
        <v>19</v>
      </c>
      <c r="Q4" s="12">
        <v>0.25</v>
      </c>
    </row>
    <row r="5" spans="1:18" ht="24.95" customHeight="1">
      <c r="A5" s="285"/>
      <c r="B5" s="286"/>
      <c r="C5" s="313"/>
      <c r="D5" s="313"/>
      <c r="E5" s="313"/>
      <c r="F5" s="313"/>
      <c r="G5" s="313"/>
      <c r="H5" s="313"/>
      <c r="I5" s="313"/>
      <c r="J5" s="313"/>
      <c r="K5" s="313"/>
      <c r="L5" s="313"/>
      <c r="M5" s="286"/>
      <c r="N5" s="287"/>
      <c r="P5" s="11" t="s">
        <v>20</v>
      </c>
      <c r="Q5" s="12">
        <v>0.375</v>
      </c>
    </row>
    <row r="6" spans="1:18" ht="24.95" customHeight="1">
      <c r="A6" s="285"/>
      <c r="B6" s="286"/>
      <c r="C6" s="313"/>
      <c r="D6" s="313"/>
      <c r="E6" s="313"/>
      <c r="F6" s="313"/>
      <c r="G6" s="313"/>
      <c r="H6" s="313"/>
      <c r="I6" s="313"/>
      <c r="J6" s="313"/>
      <c r="K6" s="313"/>
      <c r="L6" s="313"/>
      <c r="M6" s="286"/>
      <c r="N6" s="287"/>
      <c r="P6" s="11" t="s">
        <v>21</v>
      </c>
      <c r="Q6" s="12">
        <v>0.33300000000000002</v>
      </c>
    </row>
    <row r="7" spans="1:18" ht="24.95" customHeight="1">
      <c r="A7" s="285"/>
      <c r="B7" s="286"/>
      <c r="C7" s="311"/>
      <c r="D7" s="312"/>
      <c r="E7" s="311"/>
      <c r="F7" s="312"/>
      <c r="G7" s="311"/>
      <c r="H7" s="312"/>
      <c r="I7" s="311"/>
      <c r="J7" s="312"/>
      <c r="K7" s="311"/>
      <c r="L7" s="312"/>
      <c r="M7" s="286"/>
      <c r="N7" s="287"/>
      <c r="P7" s="11" t="s">
        <v>22</v>
      </c>
      <c r="Q7" s="12">
        <v>0.5</v>
      </c>
    </row>
    <row r="8" spans="1:18" ht="24.95" customHeight="1">
      <c r="A8" s="285"/>
      <c r="B8" s="286"/>
      <c r="C8" s="313"/>
      <c r="D8" s="313"/>
      <c r="E8" s="313"/>
      <c r="F8" s="313"/>
      <c r="G8" s="313"/>
      <c r="H8" s="313"/>
      <c r="I8" s="313"/>
      <c r="J8" s="313"/>
      <c r="K8" s="313"/>
      <c r="L8" s="313"/>
      <c r="M8" s="286"/>
      <c r="N8" s="287"/>
      <c r="P8" s="11" t="s">
        <v>23</v>
      </c>
      <c r="Q8" s="12">
        <v>0.625</v>
      </c>
    </row>
    <row r="9" spans="1:18" ht="24.95" customHeight="1">
      <c r="A9" s="285"/>
      <c r="B9" s="286"/>
      <c r="C9" s="313"/>
      <c r="D9" s="313"/>
      <c r="E9" s="313"/>
      <c r="F9" s="313"/>
      <c r="G9" s="313"/>
      <c r="H9" s="313"/>
      <c r="I9" s="313"/>
      <c r="J9" s="313"/>
      <c r="K9" s="313"/>
      <c r="L9" s="313"/>
      <c r="M9" s="286"/>
      <c r="N9" s="287"/>
      <c r="P9" s="11" t="s">
        <v>24</v>
      </c>
      <c r="Q9" s="12">
        <v>0.66600000000000004</v>
      </c>
    </row>
    <row r="10" spans="1:18">
      <c r="A10" s="316"/>
      <c r="B10" s="317"/>
      <c r="C10" s="303"/>
      <c r="D10" s="304"/>
      <c r="E10" s="304"/>
      <c r="F10" s="304"/>
      <c r="G10" s="304"/>
      <c r="H10" s="304"/>
      <c r="I10" s="304"/>
      <c r="J10" s="304"/>
      <c r="K10" s="304"/>
      <c r="L10" s="305"/>
      <c r="M10" s="317"/>
      <c r="N10" s="321"/>
      <c r="P10" s="11" t="s">
        <v>25</v>
      </c>
      <c r="Q10" s="12">
        <v>0.75</v>
      </c>
    </row>
    <row r="11" spans="1:18" ht="30" customHeight="1">
      <c r="A11" s="323" t="s">
        <v>47</v>
      </c>
      <c r="B11" s="324"/>
      <c r="C11" s="327"/>
      <c r="D11" s="327"/>
      <c r="E11" s="327"/>
      <c r="F11" s="327"/>
      <c r="G11" s="327"/>
      <c r="H11" s="327"/>
      <c r="I11" s="327"/>
      <c r="J11" s="327"/>
      <c r="K11" s="327"/>
      <c r="L11" s="327"/>
      <c r="M11" s="65"/>
      <c r="N11" s="66"/>
      <c r="P11" s="11" t="s">
        <v>27</v>
      </c>
      <c r="Q11" s="12">
        <v>0.875</v>
      </c>
    </row>
    <row r="12" spans="1:18">
      <c r="A12" s="325"/>
      <c r="B12" s="326"/>
      <c r="C12" s="67"/>
      <c r="D12" s="68" t="s">
        <v>9</v>
      </c>
      <c r="E12" s="67"/>
      <c r="F12" s="68" t="s">
        <v>9</v>
      </c>
      <c r="G12" s="67"/>
      <c r="H12" s="68" t="s">
        <v>9</v>
      </c>
      <c r="I12" s="67"/>
      <c r="J12" s="68" t="s">
        <v>9</v>
      </c>
      <c r="K12" s="67"/>
      <c r="L12" s="68" t="s">
        <v>9</v>
      </c>
      <c r="M12" s="65">
        <f>C12+E12+G12+I12+K12</f>
        <v>0</v>
      </c>
      <c r="N12" s="69" t="str">
        <f>IF(AND(M12&gt;=9,M12&lt;=10),"Yes","No")</f>
        <v>No</v>
      </c>
      <c r="P12" s="13" t="s">
        <v>26</v>
      </c>
      <c r="Q12" s="14">
        <v>1</v>
      </c>
    </row>
    <row r="13" spans="1:18">
      <c r="A13" s="285" t="s">
        <v>50</v>
      </c>
      <c r="B13" s="286"/>
      <c r="C13" s="286"/>
      <c r="D13" s="286"/>
      <c r="E13" s="286"/>
      <c r="F13" s="286"/>
      <c r="G13" s="286"/>
      <c r="H13" s="286"/>
      <c r="I13" s="286"/>
      <c r="J13" s="286"/>
      <c r="K13" s="286"/>
      <c r="L13" s="286"/>
      <c r="M13" s="286"/>
      <c r="N13" s="287"/>
      <c r="P13" s="2"/>
      <c r="Q13" s="2"/>
    </row>
    <row r="14" spans="1:18">
      <c r="A14" s="285"/>
      <c r="B14" s="286"/>
      <c r="C14" s="286"/>
      <c r="D14" s="286"/>
      <c r="E14" s="286"/>
      <c r="F14" s="286"/>
      <c r="G14" s="286"/>
      <c r="H14" s="286"/>
      <c r="I14" s="286"/>
      <c r="J14" s="286"/>
      <c r="K14" s="286"/>
      <c r="L14" s="286"/>
      <c r="M14" s="286"/>
      <c r="N14" s="287"/>
      <c r="P14" s="259" t="s">
        <v>48</v>
      </c>
      <c r="Q14" s="259"/>
      <c r="R14" s="259"/>
    </row>
    <row r="15" spans="1:18">
      <c r="A15" s="352" t="s">
        <v>29</v>
      </c>
      <c r="B15" s="353"/>
      <c r="C15" s="354"/>
      <c r="D15" s="354"/>
      <c r="E15" s="354"/>
      <c r="F15" s="354"/>
      <c r="G15" s="354"/>
      <c r="H15" s="354"/>
      <c r="I15" s="354"/>
      <c r="J15" s="354"/>
      <c r="K15" s="354"/>
      <c r="L15" s="354"/>
      <c r="M15" s="32"/>
      <c r="N15" s="15"/>
      <c r="P15" s="259"/>
      <c r="Q15" s="259"/>
      <c r="R15" s="259"/>
    </row>
    <row r="16" spans="1:18">
      <c r="A16" s="352"/>
      <c r="B16" s="353"/>
      <c r="C16" s="33"/>
      <c r="D16" s="34" t="s">
        <v>8</v>
      </c>
      <c r="E16" s="33"/>
      <c r="F16" s="34" t="s">
        <v>8</v>
      </c>
      <c r="G16" s="33"/>
      <c r="H16" s="34" t="s">
        <v>8</v>
      </c>
      <c r="I16" s="33"/>
      <c r="J16" s="34" t="s">
        <v>8</v>
      </c>
      <c r="K16" s="33"/>
      <c r="L16" s="34" t="s">
        <v>8</v>
      </c>
      <c r="M16" s="106">
        <f>C16+E16+G16+I16+K16</f>
        <v>0</v>
      </c>
      <c r="N16" s="18" t="str">
        <f>IF(M16 &gt;= 0.5,"Yes","No")</f>
        <v>No</v>
      </c>
      <c r="P16" s="76"/>
      <c r="Q16" s="76"/>
      <c r="R16" s="76"/>
    </row>
    <row r="17" spans="1:18">
      <c r="A17" s="345" t="s">
        <v>30</v>
      </c>
      <c r="B17" s="346"/>
      <c r="C17" s="347"/>
      <c r="D17" s="347"/>
      <c r="E17" s="347"/>
      <c r="F17" s="347"/>
      <c r="G17" s="347"/>
      <c r="H17" s="347"/>
      <c r="I17" s="347"/>
      <c r="J17" s="347"/>
      <c r="K17" s="347"/>
      <c r="L17" s="347"/>
      <c r="M17" s="108"/>
      <c r="N17" s="22"/>
      <c r="P17" s="260" t="s">
        <v>49</v>
      </c>
      <c r="Q17" s="260"/>
      <c r="R17" s="76"/>
    </row>
    <row r="18" spans="1:18">
      <c r="A18" s="345"/>
      <c r="B18" s="346"/>
      <c r="C18" s="35"/>
      <c r="D18" s="36" t="s">
        <v>8</v>
      </c>
      <c r="E18" s="35"/>
      <c r="F18" s="36" t="s">
        <v>8</v>
      </c>
      <c r="G18" s="35"/>
      <c r="H18" s="36" t="s">
        <v>8</v>
      </c>
      <c r="I18" s="35"/>
      <c r="J18" s="36" t="s">
        <v>8</v>
      </c>
      <c r="K18" s="35"/>
      <c r="L18" s="36" t="s">
        <v>8</v>
      </c>
      <c r="M18" s="108">
        <f>C18+E18+G18+I18+K18</f>
        <v>0</v>
      </c>
      <c r="N18" s="22" t="str">
        <f>IF(M18 &gt;= 0.75,"Yes","No")</f>
        <v>No</v>
      </c>
      <c r="P18" s="260"/>
      <c r="Q18" s="260"/>
      <c r="R18" s="76"/>
    </row>
    <row r="19" spans="1:18">
      <c r="A19" s="348" t="s">
        <v>31</v>
      </c>
      <c r="B19" s="349"/>
      <c r="C19" s="344"/>
      <c r="D19" s="344"/>
      <c r="E19" s="344"/>
      <c r="F19" s="344"/>
      <c r="G19" s="344"/>
      <c r="H19" s="344"/>
      <c r="I19" s="344"/>
      <c r="J19" s="344"/>
      <c r="K19" s="344"/>
      <c r="L19" s="344"/>
      <c r="M19" s="109"/>
      <c r="N19" s="26"/>
      <c r="P19" s="76"/>
      <c r="Q19" s="76"/>
      <c r="R19" s="76"/>
    </row>
    <row r="20" spans="1:18">
      <c r="A20" s="348"/>
      <c r="B20" s="349"/>
      <c r="C20" s="37"/>
      <c r="D20" s="38" t="s">
        <v>8</v>
      </c>
      <c r="E20" s="37"/>
      <c r="F20" s="38" t="s">
        <v>8</v>
      </c>
      <c r="G20" s="37"/>
      <c r="H20" s="38" t="s">
        <v>8</v>
      </c>
      <c r="I20" s="37"/>
      <c r="J20" s="38" t="s">
        <v>8</v>
      </c>
      <c r="K20" s="37"/>
      <c r="L20" s="38" t="s">
        <v>8</v>
      </c>
      <c r="M20" s="109">
        <f>C20+E20+G20+I20+K20</f>
        <v>0</v>
      </c>
      <c r="N20" s="26" t="str">
        <f>IF(M20 &gt;= 0.5,"Yes","No")</f>
        <v>No</v>
      </c>
    </row>
    <row r="21" spans="1:18">
      <c r="A21" s="350" t="s">
        <v>38</v>
      </c>
      <c r="B21" s="351"/>
      <c r="C21" s="334"/>
      <c r="D21" s="334"/>
      <c r="E21" s="334"/>
      <c r="F21" s="334"/>
      <c r="G21" s="334"/>
      <c r="H21" s="334"/>
      <c r="I21" s="334"/>
      <c r="J21" s="334"/>
      <c r="K21" s="334"/>
      <c r="L21" s="334"/>
      <c r="M21" s="110"/>
      <c r="N21" s="8"/>
    </row>
    <row r="22" spans="1:18">
      <c r="A22" s="350"/>
      <c r="B22" s="351"/>
      <c r="C22" s="39"/>
      <c r="D22" s="40" t="s">
        <v>8</v>
      </c>
      <c r="E22" s="39"/>
      <c r="F22" s="40" t="s">
        <v>8</v>
      </c>
      <c r="G22" s="39"/>
      <c r="H22" s="40" t="s">
        <v>8</v>
      </c>
      <c r="I22" s="39"/>
      <c r="J22" s="40" t="s">
        <v>8</v>
      </c>
      <c r="K22" s="39"/>
      <c r="L22" s="40" t="s">
        <v>8</v>
      </c>
      <c r="M22" s="110">
        <f>C22+E22+G22+I22+K22</f>
        <v>0</v>
      </c>
      <c r="N22" s="8" t="str">
        <f>IF(M22 &gt;= 0.5,"Yes","No")</f>
        <v>No</v>
      </c>
    </row>
    <row r="23" spans="1:18">
      <c r="A23" s="335" t="s">
        <v>39</v>
      </c>
      <c r="B23" s="336"/>
      <c r="C23" s="337"/>
      <c r="D23" s="337"/>
      <c r="E23" s="337"/>
      <c r="F23" s="337"/>
      <c r="G23" s="337"/>
      <c r="H23" s="337"/>
      <c r="I23" s="337"/>
      <c r="J23" s="337"/>
      <c r="K23" s="337"/>
      <c r="L23" s="337"/>
      <c r="M23" s="111"/>
      <c r="N23" s="107"/>
    </row>
    <row r="24" spans="1:18" ht="15.75" thickBot="1">
      <c r="A24" s="335"/>
      <c r="B24" s="336"/>
      <c r="C24" s="100"/>
      <c r="D24" s="63" t="s">
        <v>8</v>
      </c>
      <c r="E24" s="62"/>
      <c r="F24" s="63" t="s">
        <v>8</v>
      </c>
      <c r="G24" s="62"/>
      <c r="H24" s="63" t="s">
        <v>8</v>
      </c>
      <c r="I24" s="62"/>
      <c r="J24" s="63" t="s">
        <v>8</v>
      </c>
      <c r="K24" s="62"/>
      <c r="L24" s="63" t="s">
        <v>8</v>
      </c>
      <c r="M24" s="112">
        <f>C24+E24+G24+I24+K24</f>
        <v>0</v>
      </c>
      <c r="N24" s="59" t="str">
        <f>IF(M24 &gt;= 0.5,"Yes","No")</f>
        <v>No</v>
      </c>
    </row>
    <row r="25" spans="1:18" s="150" customFormat="1" ht="15" customHeight="1" thickTop="1" thickBot="1">
      <c r="A25" s="278" t="s">
        <v>44</v>
      </c>
      <c r="B25" s="278"/>
      <c r="C25" s="152">
        <f>C16 + C18+ C20+ C22+ C24</f>
        <v>0</v>
      </c>
      <c r="D25" s="153" t="str">
        <f>IF(C25&gt;=0.75,"Yes","No")</f>
        <v>No</v>
      </c>
      <c r="E25" s="152">
        <f>E16 + E18+ E20+ E22+ E24</f>
        <v>0</v>
      </c>
      <c r="F25" s="153" t="str">
        <f>IF(E25&gt;=0.75,"Yes","No")</f>
        <v>No</v>
      </c>
      <c r="G25" s="152">
        <f>G16 + G18+ G20+ G22+ G24</f>
        <v>0</v>
      </c>
      <c r="H25" s="153" t="str">
        <f>IF(G25&gt;=0.75,"Yes","No")</f>
        <v>No</v>
      </c>
      <c r="I25" s="152">
        <f>I16 + I18+ I20+ I22+ I24</f>
        <v>0</v>
      </c>
      <c r="J25" s="153" t="str">
        <f>IF(I25&gt;=0.75,"Yes","No")</f>
        <v>No</v>
      </c>
      <c r="K25" s="152">
        <f>K16 + K18+ K20+ K22+ K24</f>
        <v>0</v>
      </c>
      <c r="L25" s="153" t="str">
        <f>IF(K25&gt;=0.75,"Yes","No")</f>
        <v>No</v>
      </c>
      <c r="M25" s="152">
        <f>M16 + M18+ M20+ M22+ M24</f>
        <v>0</v>
      </c>
      <c r="N25" s="152"/>
    </row>
    <row r="26" spans="1:18" s="150" customFormat="1" ht="15.75" thickTop="1">
      <c r="A26" s="328" t="s">
        <v>7</v>
      </c>
      <c r="B26" s="329"/>
      <c r="C26" s="329"/>
      <c r="D26" s="329"/>
      <c r="E26" s="329"/>
      <c r="F26" s="329"/>
      <c r="G26" s="329"/>
      <c r="H26" s="329"/>
      <c r="I26" s="329"/>
      <c r="J26" s="329"/>
      <c r="K26" s="329"/>
      <c r="L26" s="329"/>
      <c r="M26" s="330"/>
      <c r="N26" s="268" t="str">
        <f>IF(M16+M18+M20+M22+M24 &gt;= 3.75,"Yes","No")</f>
        <v>No</v>
      </c>
    </row>
    <row r="27" spans="1:18" s="150" customFormat="1">
      <c r="A27" s="331"/>
      <c r="B27" s="332"/>
      <c r="C27" s="332"/>
      <c r="D27" s="332"/>
      <c r="E27" s="332"/>
      <c r="F27" s="332"/>
      <c r="G27" s="332"/>
      <c r="H27" s="332"/>
      <c r="I27" s="332"/>
      <c r="J27" s="332"/>
      <c r="K27" s="332"/>
      <c r="L27" s="332"/>
      <c r="M27" s="333"/>
      <c r="N27" s="269"/>
    </row>
    <row r="28" spans="1:18" ht="15" customHeight="1">
      <c r="A28" s="215" t="s">
        <v>46</v>
      </c>
      <c r="B28" s="216"/>
      <c r="C28" s="227"/>
      <c r="D28" s="227"/>
      <c r="E28" s="228"/>
      <c r="F28" s="228"/>
      <c r="G28" s="228"/>
      <c r="H28" s="228"/>
      <c r="I28" s="228"/>
      <c r="J28" s="228"/>
      <c r="K28" s="227"/>
      <c r="L28" s="227"/>
      <c r="M28" s="151"/>
      <c r="N28" s="30"/>
    </row>
    <row r="29" spans="1:18">
      <c r="A29" s="215"/>
      <c r="B29" s="216"/>
      <c r="C29" s="45"/>
      <c r="D29" s="46" t="s">
        <v>9</v>
      </c>
      <c r="E29" s="45"/>
      <c r="F29" s="46" t="s">
        <v>9</v>
      </c>
      <c r="G29" s="45"/>
      <c r="H29" s="46" t="s">
        <v>9</v>
      </c>
      <c r="I29" s="45"/>
      <c r="J29" s="46" t="s">
        <v>9</v>
      </c>
      <c r="K29" s="45"/>
      <c r="L29" s="46" t="s">
        <v>9</v>
      </c>
      <c r="M29" s="44">
        <f>C29+E29+G29+I29+K29</f>
        <v>0</v>
      </c>
      <c r="N29" s="73" t="str">
        <f>IF(AND(M29&gt;=8,M29&lt;=10),"Yes","No")</f>
        <v>No</v>
      </c>
    </row>
    <row r="30" spans="1:18">
      <c r="A30" s="270" t="s">
        <v>37</v>
      </c>
      <c r="B30" s="338"/>
      <c r="C30" s="341"/>
      <c r="D30" s="341"/>
      <c r="E30" s="342"/>
      <c r="F30" s="343"/>
      <c r="G30" s="343"/>
      <c r="H30" s="343"/>
      <c r="I30" s="343"/>
      <c r="J30" s="343"/>
      <c r="K30" s="343"/>
      <c r="L30" s="343"/>
      <c r="M30" s="54"/>
      <c r="N30" s="58"/>
    </row>
    <row r="31" spans="1:18">
      <c r="A31" s="339"/>
      <c r="B31" s="340"/>
      <c r="C31" s="55"/>
      <c r="D31" s="56" t="s">
        <v>8</v>
      </c>
      <c r="E31" s="57"/>
      <c r="F31" s="56" t="s">
        <v>8</v>
      </c>
      <c r="G31" s="55"/>
      <c r="H31" s="56" t="s">
        <v>8</v>
      </c>
      <c r="I31" s="55"/>
      <c r="J31" s="56" t="s">
        <v>8</v>
      </c>
      <c r="K31" s="55"/>
      <c r="L31" s="56" t="s">
        <v>8</v>
      </c>
      <c r="M31" s="58">
        <f>C31+E31+G31+I31+K31</f>
        <v>0</v>
      </c>
      <c r="N31" s="58" t="str">
        <f>IF(M31 &gt;= 2.5,"Yes","No")</f>
        <v>No</v>
      </c>
    </row>
    <row r="32" spans="1:18">
      <c r="A32" s="197" t="s">
        <v>36</v>
      </c>
      <c r="B32" s="198"/>
      <c r="C32" s="322" t="s">
        <v>11</v>
      </c>
      <c r="D32" s="322"/>
      <c r="E32" s="322" t="s">
        <v>11</v>
      </c>
      <c r="F32" s="322"/>
      <c r="G32" s="322" t="s">
        <v>11</v>
      </c>
      <c r="H32" s="322"/>
      <c r="I32" s="322" t="s">
        <v>11</v>
      </c>
      <c r="J32" s="322"/>
      <c r="K32" s="322" t="s">
        <v>11</v>
      </c>
      <c r="L32" s="322"/>
      <c r="M32" s="41"/>
      <c r="N32" s="6"/>
    </row>
    <row r="33" spans="1:14">
      <c r="A33" s="199"/>
      <c r="B33" s="200"/>
      <c r="C33" s="48">
        <v>1</v>
      </c>
      <c r="D33" s="43" t="s">
        <v>8</v>
      </c>
      <c r="E33" s="48">
        <v>1</v>
      </c>
      <c r="F33" s="43" t="s">
        <v>8</v>
      </c>
      <c r="G33" s="48">
        <v>1</v>
      </c>
      <c r="H33" s="43" t="s">
        <v>10</v>
      </c>
      <c r="I33" s="48">
        <v>1</v>
      </c>
      <c r="J33" s="43" t="s">
        <v>8</v>
      </c>
      <c r="K33" s="48">
        <v>1</v>
      </c>
      <c r="L33" s="43" t="s">
        <v>8</v>
      </c>
      <c r="M33" s="48">
        <f>C33+E33+G33+I33+K33</f>
        <v>5</v>
      </c>
      <c r="N33" s="6" t="str">
        <f>IF(M33 &gt;= 5,"Yes","No")</f>
        <v>Yes</v>
      </c>
    </row>
  </sheetData>
  <sheetProtection password="CA07" sheet="1" objects="1" scenarios="1" insertRows="0" selectLockedCells="1"/>
  <dataConsolidate/>
  <mergeCells count="105">
    <mergeCell ref="P14:R15"/>
    <mergeCell ref="P17:Q18"/>
    <mergeCell ref="A1:N1"/>
    <mergeCell ref="A2:B10"/>
    <mergeCell ref="C2:D2"/>
    <mergeCell ref="E2:F2"/>
    <mergeCell ref="G2:H2"/>
    <mergeCell ref="I2:J2"/>
    <mergeCell ref="K2:L2"/>
    <mergeCell ref="M2:N10"/>
    <mergeCell ref="C3:D3"/>
    <mergeCell ref="E3:F3"/>
    <mergeCell ref="G3:H3"/>
    <mergeCell ref="I3:J3"/>
    <mergeCell ref="K3:L3"/>
    <mergeCell ref="C4:D4"/>
    <mergeCell ref="E4:F4"/>
    <mergeCell ref="G4:H4"/>
    <mergeCell ref="I4:J4"/>
    <mergeCell ref="K4:L4"/>
    <mergeCell ref="C6:D6"/>
    <mergeCell ref="E6:F6"/>
    <mergeCell ref="G6:H6"/>
    <mergeCell ref="I6:J6"/>
    <mergeCell ref="K6:L6"/>
    <mergeCell ref="C5:D5"/>
    <mergeCell ref="E5:F5"/>
    <mergeCell ref="G5:H5"/>
    <mergeCell ref="I5:J5"/>
    <mergeCell ref="K5:L5"/>
    <mergeCell ref="C8:D8"/>
    <mergeCell ref="E8:F8"/>
    <mergeCell ref="G8:H8"/>
    <mergeCell ref="I8:J8"/>
    <mergeCell ref="K8:L8"/>
    <mergeCell ref="C9:D9"/>
    <mergeCell ref="E9:F9"/>
    <mergeCell ref="G9:H9"/>
    <mergeCell ref="I9:J9"/>
    <mergeCell ref="K9:L9"/>
    <mergeCell ref="A13:N14"/>
    <mergeCell ref="A15:B16"/>
    <mergeCell ref="C15:D15"/>
    <mergeCell ref="E15:F15"/>
    <mergeCell ref="G15:H15"/>
    <mergeCell ref="I15:J15"/>
    <mergeCell ref="K15:L15"/>
    <mergeCell ref="C10:L10"/>
    <mergeCell ref="A30:B31"/>
    <mergeCell ref="C30:D30"/>
    <mergeCell ref="E30:F30"/>
    <mergeCell ref="G30:H30"/>
    <mergeCell ref="I30:J30"/>
    <mergeCell ref="K30:L30"/>
    <mergeCell ref="K19:L19"/>
    <mergeCell ref="A17:B18"/>
    <mergeCell ref="C17:D17"/>
    <mergeCell ref="E17:F17"/>
    <mergeCell ref="G17:H17"/>
    <mergeCell ref="I17:J17"/>
    <mergeCell ref="K17:L17"/>
    <mergeCell ref="A19:B20"/>
    <mergeCell ref="C19:D19"/>
    <mergeCell ref="E19:F19"/>
    <mergeCell ref="G19:H19"/>
    <mergeCell ref="I19:J19"/>
    <mergeCell ref="G28:H28"/>
    <mergeCell ref="I28:J28"/>
    <mergeCell ref="K28:L28"/>
    <mergeCell ref="K23:L23"/>
    <mergeCell ref="A21:B22"/>
    <mergeCell ref="C21:D21"/>
    <mergeCell ref="E21:F21"/>
    <mergeCell ref="G21:H21"/>
    <mergeCell ref="I21:J21"/>
    <mergeCell ref="K21:L21"/>
    <mergeCell ref="A23:B24"/>
    <mergeCell ref="C23:D23"/>
    <mergeCell ref="E23:F23"/>
    <mergeCell ref="G23:H23"/>
    <mergeCell ref="I23:J23"/>
    <mergeCell ref="A25:B25"/>
    <mergeCell ref="C7:D7"/>
    <mergeCell ref="E7:F7"/>
    <mergeCell ref="G7:H7"/>
    <mergeCell ref="I7:J7"/>
    <mergeCell ref="K7:L7"/>
    <mergeCell ref="P2:Q2"/>
    <mergeCell ref="K32:L32"/>
    <mergeCell ref="A11:B12"/>
    <mergeCell ref="C11:D11"/>
    <mergeCell ref="E11:F11"/>
    <mergeCell ref="G11:H11"/>
    <mergeCell ref="I11:J11"/>
    <mergeCell ref="K11:L11"/>
    <mergeCell ref="A32:B33"/>
    <mergeCell ref="C32:D32"/>
    <mergeCell ref="E32:F32"/>
    <mergeCell ref="G32:H32"/>
    <mergeCell ref="I32:J32"/>
    <mergeCell ref="A26:M27"/>
    <mergeCell ref="N26:N27"/>
    <mergeCell ref="A28:B29"/>
    <mergeCell ref="C28:D28"/>
    <mergeCell ref="E28:F28"/>
  </mergeCells>
  <conditionalFormatting sqref="N12">
    <cfRule type="cellIs" dxfId="51" priority="22" operator="equal">
      <formula>"No"</formula>
    </cfRule>
  </conditionalFormatting>
  <conditionalFormatting sqref="N16">
    <cfRule type="cellIs" dxfId="50" priority="21" operator="equal">
      <formula>"No"</formula>
    </cfRule>
  </conditionalFormatting>
  <conditionalFormatting sqref="N18">
    <cfRule type="cellIs" dxfId="49" priority="20" operator="equal">
      <formula>"No"</formula>
    </cfRule>
  </conditionalFormatting>
  <conditionalFormatting sqref="N20">
    <cfRule type="cellIs" dxfId="48" priority="19" operator="equal">
      <formula>"No"</formula>
    </cfRule>
  </conditionalFormatting>
  <conditionalFormatting sqref="N22">
    <cfRule type="cellIs" dxfId="47" priority="18" operator="equal">
      <formula>"No"</formula>
    </cfRule>
  </conditionalFormatting>
  <conditionalFormatting sqref="N24">
    <cfRule type="cellIs" dxfId="46" priority="17" operator="equal">
      <formula>"No"</formula>
    </cfRule>
  </conditionalFormatting>
  <conditionalFormatting sqref="N26:N27">
    <cfRule type="cellIs" dxfId="45" priority="16" operator="equal">
      <formula>"No"</formula>
    </cfRule>
  </conditionalFormatting>
  <conditionalFormatting sqref="N29 N31 N33">
    <cfRule type="cellIs" dxfId="44" priority="15" operator="equal">
      <formula>"No"</formula>
    </cfRule>
  </conditionalFormatting>
  <conditionalFormatting sqref="D25">
    <cfRule type="containsText" dxfId="43" priority="13" operator="containsText" text="No">
      <formula>NOT(ISERROR(SEARCH("No",D25)))</formula>
    </cfRule>
  </conditionalFormatting>
  <conditionalFormatting sqref="F25">
    <cfRule type="containsText" dxfId="42" priority="12" operator="containsText" text="No">
      <formula>NOT(ISERROR(SEARCH("No",F25)))</formula>
    </cfRule>
  </conditionalFormatting>
  <conditionalFormatting sqref="F25">
    <cfRule type="containsText" dxfId="41" priority="11" operator="containsText" text="No">
      <formula>NOT(ISERROR(SEARCH("No",F25)))</formula>
    </cfRule>
  </conditionalFormatting>
  <conditionalFormatting sqref="F25">
    <cfRule type="containsText" dxfId="40" priority="10" operator="containsText" text="No">
      <formula>NOT(ISERROR(SEARCH("No",F25)))</formula>
    </cfRule>
  </conditionalFormatting>
  <conditionalFormatting sqref="H25">
    <cfRule type="containsText" dxfId="39" priority="9" operator="containsText" text="No">
      <formula>NOT(ISERROR(SEARCH("No",H25)))</formula>
    </cfRule>
  </conditionalFormatting>
  <conditionalFormatting sqref="H25">
    <cfRule type="containsText" dxfId="38" priority="8" operator="containsText" text="No">
      <formula>NOT(ISERROR(SEARCH("No",H25)))</formula>
    </cfRule>
  </conditionalFormatting>
  <conditionalFormatting sqref="H25">
    <cfRule type="containsText" dxfId="37" priority="7" operator="containsText" text="No">
      <formula>NOT(ISERROR(SEARCH("No",H25)))</formula>
    </cfRule>
  </conditionalFormatting>
  <conditionalFormatting sqref="J25">
    <cfRule type="containsText" dxfId="36" priority="6" operator="containsText" text="No">
      <formula>NOT(ISERROR(SEARCH("No",J25)))</formula>
    </cfRule>
  </conditionalFormatting>
  <conditionalFormatting sqref="J25">
    <cfRule type="containsText" dxfId="35" priority="5" operator="containsText" text="No">
      <formula>NOT(ISERROR(SEARCH("No",J25)))</formula>
    </cfRule>
  </conditionalFormatting>
  <conditionalFormatting sqref="J25">
    <cfRule type="containsText" dxfId="34" priority="4" operator="containsText" text="No">
      <formula>NOT(ISERROR(SEARCH("No",J25)))</formula>
    </cfRule>
  </conditionalFormatting>
  <conditionalFormatting sqref="L25">
    <cfRule type="containsText" dxfId="33" priority="3" operator="containsText" text="No">
      <formula>NOT(ISERROR(SEARCH("No",L25)))</formula>
    </cfRule>
  </conditionalFormatting>
  <conditionalFormatting sqref="L25">
    <cfRule type="containsText" dxfId="32" priority="2" operator="containsText" text="No">
      <formula>NOT(ISERROR(SEARCH("No",L25)))</formula>
    </cfRule>
  </conditionalFormatting>
  <conditionalFormatting sqref="L25">
    <cfRule type="containsText" dxfId="31" priority="1" operator="containsText" text="No">
      <formula>NOT(ISERROR(SEARCH("No",L25)))</formula>
    </cfRule>
  </conditionalFormatting>
  <pageMargins left="0.2" right="0.2" top="0.28999999999999998" bottom="0.3" header="0.3" footer="0.3"/>
  <pageSetup orientation="landscape" horizontalDpi="4294967293" r:id="rId1"/>
</worksheet>
</file>

<file path=xl/worksheets/sheet5.xml><?xml version="1.0" encoding="utf-8"?>
<worksheet xmlns="http://schemas.openxmlformats.org/spreadsheetml/2006/main" xmlns:r="http://schemas.openxmlformats.org/officeDocument/2006/relationships">
  <dimension ref="A1:R43"/>
  <sheetViews>
    <sheetView topLeftCell="A10" workbookViewId="0">
      <selection activeCell="C25" sqref="C25:D25"/>
    </sheetView>
  </sheetViews>
  <sheetFormatPr defaultRowHeight="15"/>
  <cols>
    <col min="1" max="1" width="9.140625" style="76"/>
    <col min="2" max="2" width="14.5703125" style="76" customWidth="1"/>
    <col min="3" max="16384" width="9.140625" style="76"/>
  </cols>
  <sheetData>
    <row r="1" spans="1:17">
      <c r="A1" s="239" t="s">
        <v>151</v>
      </c>
      <c r="B1" s="240"/>
      <c r="C1" s="240"/>
      <c r="D1" s="240"/>
      <c r="E1" s="240"/>
      <c r="F1" s="240"/>
      <c r="G1" s="240"/>
      <c r="H1" s="240"/>
      <c r="I1" s="240"/>
      <c r="J1" s="240"/>
      <c r="K1" s="240"/>
      <c r="L1" s="240"/>
      <c r="M1" s="240"/>
      <c r="N1" s="241"/>
    </row>
    <row r="2" spans="1:17">
      <c r="A2" s="314" t="s">
        <v>5</v>
      </c>
      <c r="B2" s="315"/>
      <c r="C2" s="318" t="s">
        <v>0</v>
      </c>
      <c r="D2" s="318"/>
      <c r="E2" s="318" t="s">
        <v>1</v>
      </c>
      <c r="F2" s="318"/>
      <c r="G2" s="318" t="s">
        <v>2</v>
      </c>
      <c r="H2" s="318"/>
      <c r="I2" s="318" t="s">
        <v>3</v>
      </c>
      <c r="J2" s="318"/>
      <c r="K2" s="318" t="s">
        <v>4</v>
      </c>
      <c r="L2" s="318"/>
      <c r="M2" s="319" t="s">
        <v>28</v>
      </c>
      <c r="N2" s="320"/>
      <c r="P2" s="237" t="s">
        <v>17</v>
      </c>
      <c r="Q2" s="238"/>
    </row>
    <row r="3" spans="1:17" ht="24.95" customHeight="1">
      <c r="A3" s="285"/>
      <c r="B3" s="286"/>
      <c r="C3" s="250"/>
      <c r="D3" s="250"/>
      <c r="E3" s="313"/>
      <c r="F3" s="313"/>
      <c r="G3" s="313"/>
      <c r="H3" s="313"/>
      <c r="I3" s="313"/>
      <c r="J3" s="313"/>
      <c r="K3" s="313"/>
      <c r="L3" s="313"/>
      <c r="M3" s="286"/>
      <c r="N3" s="287"/>
      <c r="P3" s="11" t="s">
        <v>18</v>
      </c>
      <c r="Q3" s="12">
        <v>0.125</v>
      </c>
    </row>
    <row r="4" spans="1:17" ht="24.95" customHeight="1">
      <c r="A4" s="285"/>
      <c r="B4" s="286"/>
      <c r="C4" s="250"/>
      <c r="D4" s="250"/>
      <c r="E4" s="313"/>
      <c r="F4" s="313"/>
      <c r="G4" s="313"/>
      <c r="H4" s="313"/>
      <c r="I4" s="313"/>
      <c r="J4" s="313"/>
      <c r="K4" s="313"/>
      <c r="L4" s="313"/>
      <c r="M4" s="286"/>
      <c r="N4" s="287"/>
      <c r="P4" s="11" t="s">
        <v>19</v>
      </c>
      <c r="Q4" s="12">
        <v>0.25</v>
      </c>
    </row>
    <row r="5" spans="1:17" ht="24.95" customHeight="1">
      <c r="A5" s="285"/>
      <c r="B5" s="286"/>
      <c r="C5" s="250"/>
      <c r="D5" s="250"/>
      <c r="E5" s="313"/>
      <c r="F5" s="313"/>
      <c r="G5" s="313"/>
      <c r="H5" s="313"/>
      <c r="I5" s="313"/>
      <c r="J5" s="313"/>
      <c r="K5" s="313"/>
      <c r="L5" s="313"/>
      <c r="M5" s="286"/>
      <c r="N5" s="287"/>
      <c r="P5" s="11" t="s">
        <v>20</v>
      </c>
      <c r="Q5" s="12">
        <v>0.375</v>
      </c>
    </row>
    <row r="6" spans="1:17" ht="24.95" customHeight="1">
      <c r="A6" s="285"/>
      <c r="B6" s="286"/>
      <c r="C6" s="250"/>
      <c r="D6" s="250"/>
      <c r="E6" s="313"/>
      <c r="F6" s="313"/>
      <c r="G6" s="313"/>
      <c r="H6" s="313"/>
      <c r="I6" s="313"/>
      <c r="J6" s="313"/>
      <c r="K6" s="313"/>
      <c r="L6" s="313"/>
      <c r="M6" s="286"/>
      <c r="N6" s="287"/>
      <c r="P6" s="11" t="s">
        <v>21</v>
      </c>
      <c r="Q6" s="12">
        <v>0.33300000000000002</v>
      </c>
    </row>
    <row r="7" spans="1:17" ht="24.95" customHeight="1">
      <c r="A7" s="285"/>
      <c r="B7" s="286"/>
      <c r="C7" s="256"/>
      <c r="D7" s="257"/>
      <c r="E7" s="311"/>
      <c r="F7" s="312"/>
      <c r="G7" s="311"/>
      <c r="H7" s="312"/>
      <c r="I7" s="311"/>
      <c r="J7" s="312"/>
      <c r="K7" s="311"/>
      <c r="L7" s="312"/>
      <c r="M7" s="286"/>
      <c r="N7" s="287"/>
      <c r="P7" s="11" t="s">
        <v>22</v>
      </c>
      <c r="Q7" s="12">
        <v>0.5</v>
      </c>
    </row>
    <row r="8" spans="1:17" ht="24.95" customHeight="1">
      <c r="A8" s="285"/>
      <c r="B8" s="286"/>
      <c r="C8" s="250"/>
      <c r="D8" s="250"/>
      <c r="E8" s="313"/>
      <c r="F8" s="313"/>
      <c r="G8" s="313"/>
      <c r="H8" s="313"/>
      <c r="I8" s="313"/>
      <c r="J8" s="313"/>
      <c r="K8" s="313"/>
      <c r="L8" s="313"/>
      <c r="M8" s="286"/>
      <c r="N8" s="287"/>
      <c r="P8" s="11" t="s">
        <v>23</v>
      </c>
      <c r="Q8" s="12">
        <v>0.625</v>
      </c>
    </row>
    <row r="9" spans="1:17" ht="24.95" customHeight="1">
      <c r="A9" s="285"/>
      <c r="B9" s="286"/>
      <c r="C9" s="311"/>
      <c r="D9" s="312"/>
      <c r="E9" s="311"/>
      <c r="F9" s="312"/>
      <c r="G9" s="311"/>
      <c r="H9" s="312"/>
      <c r="I9" s="311"/>
      <c r="J9" s="312"/>
      <c r="K9" s="311"/>
      <c r="L9" s="312"/>
      <c r="M9" s="286"/>
      <c r="N9" s="287"/>
      <c r="P9" s="11" t="s">
        <v>24</v>
      </c>
      <c r="Q9" s="12">
        <v>0.66600000000000004</v>
      </c>
    </row>
    <row r="10" spans="1:17" ht="24.95" customHeight="1">
      <c r="A10" s="285"/>
      <c r="B10" s="286"/>
      <c r="C10" s="311"/>
      <c r="D10" s="312"/>
      <c r="E10" s="311"/>
      <c r="F10" s="312"/>
      <c r="G10" s="311"/>
      <c r="H10" s="312"/>
      <c r="I10" s="311"/>
      <c r="J10" s="312"/>
      <c r="K10" s="311"/>
      <c r="L10" s="312"/>
      <c r="M10" s="286"/>
      <c r="N10" s="287"/>
      <c r="P10" s="11"/>
      <c r="Q10" s="12"/>
    </row>
    <row r="11" spans="1:17" ht="24.95" customHeight="1">
      <c r="A11" s="285"/>
      <c r="B11" s="286"/>
      <c r="C11" s="311"/>
      <c r="D11" s="312"/>
      <c r="E11" s="311"/>
      <c r="F11" s="312"/>
      <c r="G11" s="311"/>
      <c r="H11" s="312"/>
      <c r="I11" s="311"/>
      <c r="J11" s="312"/>
      <c r="K11" s="311"/>
      <c r="L11" s="312"/>
      <c r="M11" s="286"/>
      <c r="N11" s="287"/>
      <c r="P11" s="11"/>
      <c r="Q11" s="12"/>
    </row>
    <row r="12" spans="1:17" ht="24.95" customHeight="1">
      <c r="A12" s="285"/>
      <c r="B12" s="286"/>
      <c r="C12" s="311"/>
      <c r="D12" s="312"/>
      <c r="E12" s="311"/>
      <c r="F12" s="312"/>
      <c r="G12" s="311"/>
      <c r="H12" s="312"/>
      <c r="I12" s="311"/>
      <c r="J12" s="312"/>
      <c r="K12" s="311"/>
      <c r="L12" s="312"/>
      <c r="M12" s="286"/>
      <c r="N12" s="287"/>
      <c r="P12" s="11"/>
      <c r="Q12" s="12"/>
    </row>
    <row r="13" spans="1:17" ht="24.95" customHeight="1">
      <c r="A13" s="285"/>
      <c r="B13" s="286"/>
      <c r="C13" s="313"/>
      <c r="D13" s="313"/>
      <c r="E13" s="313"/>
      <c r="F13" s="313"/>
      <c r="G13" s="313"/>
      <c r="H13" s="313"/>
      <c r="I13" s="313"/>
      <c r="J13" s="313"/>
      <c r="K13" s="313"/>
      <c r="L13" s="313"/>
      <c r="M13" s="286"/>
      <c r="N13" s="287"/>
      <c r="P13" s="11" t="s">
        <v>25</v>
      </c>
      <c r="Q13" s="12">
        <v>0.75</v>
      </c>
    </row>
    <row r="14" spans="1:17">
      <c r="A14" s="316"/>
      <c r="B14" s="317"/>
      <c r="C14" s="303"/>
      <c r="D14" s="304"/>
      <c r="E14" s="304"/>
      <c r="F14" s="304"/>
      <c r="G14" s="304"/>
      <c r="H14" s="304"/>
      <c r="I14" s="304"/>
      <c r="J14" s="304"/>
      <c r="K14" s="304"/>
      <c r="L14" s="305"/>
      <c r="M14" s="317"/>
      <c r="N14" s="321"/>
      <c r="P14" s="11" t="s">
        <v>27</v>
      </c>
      <c r="Q14" s="12">
        <v>0.875</v>
      </c>
    </row>
    <row r="15" spans="1:17">
      <c r="A15" s="171"/>
      <c r="B15" s="172" t="s">
        <v>143</v>
      </c>
      <c r="C15" s="161"/>
      <c r="D15" s="71" t="s">
        <v>9</v>
      </c>
      <c r="E15" s="161"/>
      <c r="F15" s="71" t="s">
        <v>9</v>
      </c>
      <c r="G15" s="161"/>
      <c r="H15" s="71" t="s">
        <v>9</v>
      </c>
      <c r="I15" s="161"/>
      <c r="J15" s="71" t="s">
        <v>9</v>
      </c>
      <c r="K15" s="161"/>
      <c r="L15" s="71" t="s">
        <v>9</v>
      </c>
      <c r="M15" s="66">
        <f>C15+E15+G15+I15+K15</f>
        <v>0</v>
      </c>
      <c r="N15" s="69" t="str">
        <f>IF(AND(M15&gt;=9,M15&lt;=10),"Yes","No")</f>
        <v>No</v>
      </c>
      <c r="P15" s="11"/>
      <c r="Q15" s="12"/>
    </row>
    <row r="16" spans="1:17" ht="30" customHeight="1">
      <c r="A16" s="306" t="s">
        <v>47</v>
      </c>
      <c r="B16" s="307"/>
      <c r="C16" s="308"/>
      <c r="D16" s="309"/>
      <c r="E16" s="310"/>
      <c r="F16" s="310"/>
      <c r="G16" s="310"/>
      <c r="H16" s="310"/>
      <c r="I16" s="310"/>
      <c r="J16" s="310"/>
      <c r="K16" s="310"/>
      <c r="L16" s="310"/>
      <c r="M16" s="290"/>
      <c r="N16" s="291"/>
      <c r="P16" s="11" t="s">
        <v>26</v>
      </c>
      <c r="Q16" s="12">
        <v>1</v>
      </c>
    </row>
    <row r="17" spans="1:18">
      <c r="A17" s="173"/>
      <c r="B17" s="174" t="s">
        <v>144</v>
      </c>
      <c r="C17" s="161"/>
      <c r="D17" s="71" t="s">
        <v>9</v>
      </c>
      <c r="E17" s="161"/>
      <c r="F17" s="71" t="s">
        <v>9</v>
      </c>
      <c r="G17" s="161"/>
      <c r="H17" s="71" t="s">
        <v>9</v>
      </c>
      <c r="I17" s="161"/>
      <c r="J17" s="71" t="s">
        <v>9</v>
      </c>
      <c r="K17" s="161"/>
      <c r="L17" s="71" t="s">
        <v>9</v>
      </c>
      <c r="M17" s="66">
        <f>C17+E17+G17+I17+K17</f>
        <v>0</v>
      </c>
      <c r="N17" s="69" t="str">
        <f>IF(AND(M17&gt;=9,M17&lt;=10),"Yes","No")</f>
        <v>No</v>
      </c>
      <c r="P17" s="72"/>
      <c r="Q17" s="72"/>
    </row>
    <row r="18" spans="1:18">
      <c r="A18" s="165"/>
      <c r="B18" s="166"/>
      <c r="C18" s="167"/>
      <c r="D18" s="168"/>
      <c r="E18" s="167"/>
      <c r="F18" s="168"/>
      <c r="G18" s="167"/>
      <c r="H18" s="168"/>
      <c r="I18" s="167"/>
      <c r="J18" s="168"/>
      <c r="K18" s="167"/>
      <c r="L18" s="168"/>
      <c r="M18" s="169"/>
      <c r="N18" s="170"/>
      <c r="P18" s="2"/>
      <c r="Q18" s="2"/>
    </row>
    <row r="19" spans="1:18">
      <c r="A19" s="175"/>
      <c r="B19" s="176" t="s">
        <v>143</v>
      </c>
      <c r="C19" s="181"/>
      <c r="D19" s="29" t="s">
        <v>9</v>
      </c>
      <c r="E19" s="164"/>
      <c r="F19" s="29" t="s">
        <v>9</v>
      </c>
      <c r="G19" s="164"/>
      <c r="H19" s="29" t="s">
        <v>9</v>
      </c>
      <c r="I19" s="164"/>
      <c r="J19" s="29" t="s">
        <v>9</v>
      </c>
      <c r="K19" s="164"/>
      <c r="L19" s="29" t="s">
        <v>9</v>
      </c>
      <c r="M19" s="27">
        <f>C19+E19+G19+I19+K19</f>
        <v>0</v>
      </c>
      <c r="N19" s="30" t="str">
        <f>IF(AND(M19&gt;=8,M19&lt;=10),"Yes","No")</f>
        <v>No</v>
      </c>
      <c r="P19" s="2"/>
      <c r="Q19" s="2"/>
    </row>
    <row r="20" spans="1:18" ht="15" customHeight="1">
      <c r="A20" s="292" t="s">
        <v>148</v>
      </c>
      <c r="B20" s="293"/>
      <c r="C20" s="294"/>
      <c r="D20" s="295"/>
      <c r="E20" s="294"/>
      <c r="F20" s="295"/>
      <c r="G20" s="294"/>
      <c r="H20" s="295"/>
      <c r="I20" s="294"/>
      <c r="J20" s="295"/>
      <c r="K20" s="294"/>
      <c r="L20" s="295"/>
      <c r="M20" s="298"/>
      <c r="N20" s="299"/>
      <c r="P20" s="2"/>
      <c r="Q20" s="2"/>
    </row>
    <row r="21" spans="1:18" ht="15" customHeight="1">
      <c r="A21" s="292" t="s">
        <v>149</v>
      </c>
      <c r="B21" s="302"/>
      <c r="C21" s="296"/>
      <c r="D21" s="297"/>
      <c r="E21" s="296"/>
      <c r="F21" s="297"/>
      <c r="G21" s="296"/>
      <c r="H21" s="297"/>
      <c r="I21" s="296"/>
      <c r="J21" s="297"/>
      <c r="K21" s="296"/>
      <c r="L21" s="297"/>
      <c r="M21" s="300"/>
      <c r="N21" s="301"/>
      <c r="P21" s="2"/>
      <c r="Q21" s="2"/>
    </row>
    <row r="22" spans="1:18">
      <c r="A22" s="156"/>
      <c r="B22" s="177" t="s">
        <v>144</v>
      </c>
      <c r="C22" s="164"/>
      <c r="D22" s="29" t="s">
        <v>9</v>
      </c>
      <c r="E22" s="164"/>
      <c r="F22" s="29" t="s">
        <v>9</v>
      </c>
      <c r="G22" s="164"/>
      <c r="H22" s="29" t="s">
        <v>9</v>
      </c>
      <c r="I22" s="164"/>
      <c r="J22" s="29" t="s">
        <v>9</v>
      </c>
      <c r="K22" s="164"/>
      <c r="L22" s="29" t="s">
        <v>9</v>
      </c>
      <c r="M22" s="27">
        <f>C22+E22+G22+I22+K22</f>
        <v>0</v>
      </c>
      <c r="N22" s="30" t="str">
        <f>IF(AND(M22&gt;=8,M22&lt;=10),"Yes","No")</f>
        <v>No</v>
      </c>
      <c r="P22" s="2"/>
      <c r="Q22" s="2"/>
    </row>
    <row r="23" spans="1:18">
      <c r="A23" s="285" t="s">
        <v>50</v>
      </c>
      <c r="B23" s="286"/>
      <c r="C23" s="286"/>
      <c r="D23" s="286"/>
      <c r="E23" s="286"/>
      <c r="F23" s="286"/>
      <c r="G23" s="286"/>
      <c r="H23" s="286"/>
      <c r="I23" s="286"/>
      <c r="J23" s="286"/>
      <c r="K23" s="286"/>
      <c r="L23" s="286"/>
      <c r="M23" s="286"/>
      <c r="N23" s="287"/>
      <c r="P23" s="259" t="s">
        <v>48</v>
      </c>
      <c r="Q23" s="259"/>
      <c r="R23" s="259"/>
    </row>
    <row r="24" spans="1:18">
      <c r="A24" s="285"/>
      <c r="B24" s="286"/>
      <c r="C24" s="286"/>
      <c r="D24" s="286"/>
      <c r="E24" s="286"/>
      <c r="F24" s="286"/>
      <c r="G24" s="286"/>
      <c r="H24" s="286"/>
      <c r="I24" s="286"/>
      <c r="J24" s="286"/>
      <c r="K24" s="286"/>
      <c r="L24" s="286"/>
      <c r="M24" s="286"/>
      <c r="N24" s="287"/>
      <c r="P24" s="259"/>
      <c r="Q24" s="259"/>
      <c r="R24" s="259"/>
    </row>
    <row r="25" spans="1:18" ht="15" customHeight="1">
      <c r="A25" s="205" t="s">
        <v>29</v>
      </c>
      <c r="B25" s="206"/>
      <c r="C25" s="288"/>
      <c r="D25" s="288"/>
      <c r="E25" s="288"/>
      <c r="F25" s="288"/>
      <c r="G25" s="288"/>
      <c r="H25" s="288"/>
      <c r="I25" s="288"/>
      <c r="J25" s="288"/>
      <c r="K25" s="288"/>
      <c r="L25" s="288"/>
      <c r="M25" s="15"/>
      <c r="N25" s="15"/>
    </row>
    <row r="26" spans="1:18">
      <c r="A26" s="205"/>
      <c r="B26" s="206"/>
      <c r="C26" s="163"/>
      <c r="D26" s="17" t="s">
        <v>8</v>
      </c>
      <c r="E26" s="163"/>
      <c r="F26" s="17" t="s">
        <v>8</v>
      </c>
      <c r="G26" s="163"/>
      <c r="H26" s="17" t="s">
        <v>8</v>
      </c>
      <c r="I26" s="163"/>
      <c r="J26" s="17" t="s">
        <v>8</v>
      </c>
      <c r="K26" s="163"/>
      <c r="L26" s="17" t="s">
        <v>8</v>
      </c>
      <c r="M26" s="15">
        <f>C26+E26+G26+I26+K26</f>
        <v>0</v>
      </c>
      <c r="N26" s="18" t="str">
        <f>IF(M26 &gt;= 0.5,"Yes","No")</f>
        <v>No</v>
      </c>
      <c r="P26" s="260" t="s">
        <v>49</v>
      </c>
      <c r="Q26" s="260"/>
    </row>
    <row r="27" spans="1:18" ht="15" customHeight="1">
      <c r="A27" s="207" t="s">
        <v>30</v>
      </c>
      <c r="B27" s="208"/>
      <c r="C27" s="289"/>
      <c r="D27" s="289"/>
      <c r="E27" s="289"/>
      <c r="F27" s="289"/>
      <c r="G27" s="289"/>
      <c r="H27" s="289"/>
      <c r="I27" s="289"/>
      <c r="J27" s="289"/>
      <c r="K27" s="289"/>
      <c r="L27" s="289"/>
      <c r="M27" s="19"/>
      <c r="N27" s="19"/>
      <c r="P27" s="260"/>
      <c r="Q27" s="260"/>
    </row>
    <row r="28" spans="1:18">
      <c r="A28" s="207"/>
      <c r="B28" s="208"/>
      <c r="C28" s="159"/>
      <c r="D28" s="21" t="s">
        <v>8</v>
      </c>
      <c r="E28" s="159"/>
      <c r="F28" s="21" t="s">
        <v>8</v>
      </c>
      <c r="G28" s="159"/>
      <c r="H28" s="21" t="s">
        <v>8</v>
      </c>
      <c r="I28" s="159"/>
      <c r="J28" s="21" t="s">
        <v>8</v>
      </c>
      <c r="K28" s="159"/>
      <c r="L28" s="21" t="s">
        <v>8</v>
      </c>
      <c r="M28" s="19">
        <f>C28+E28+G28+I28+K28</f>
        <v>0</v>
      </c>
      <c r="N28" s="22" t="str">
        <f>IF(M28 &gt;= 0.75,"Yes","No")</f>
        <v>No</v>
      </c>
    </row>
    <row r="29" spans="1:18" ht="15" customHeight="1">
      <c r="A29" s="209" t="s">
        <v>31</v>
      </c>
      <c r="B29" s="210"/>
      <c r="C29" s="275"/>
      <c r="D29" s="275"/>
      <c r="E29" s="275"/>
      <c r="F29" s="275"/>
      <c r="G29" s="275"/>
      <c r="H29" s="275"/>
      <c r="I29" s="275"/>
      <c r="J29" s="275"/>
      <c r="K29" s="275"/>
      <c r="L29" s="275"/>
      <c r="M29" s="23"/>
      <c r="N29" s="23"/>
    </row>
    <row r="30" spans="1:18">
      <c r="A30" s="209"/>
      <c r="B30" s="210"/>
      <c r="C30" s="158"/>
      <c r="D30" s="25" t="s">
        <v>8</v>
      </c>
      <c r="E30" s="158"/>
      <c r="F30" s="25" t="s">
        <v>8</v>
      </c>
      <c r="G30" s="158"/>
      <c r="H30" s="25" t="s">
        <v>8</v>
      </c>
      <c r="I30" s="158"/>
      <c r="J30" s="25" t="s">
        <v>8</v>
      </c>
      <c r="K30" s="158"/>
      <c r="L30" s="25" t="s">
        <v>8</v>
      </c>
      <c r="M30" s="23">
        <f>C30+E30+G30+I30+K30</f>
        <v>0</v>
      </c>
      <c r="N30" s="26" t="str">
        <f>IF(M30 &gt;= 0.5,"Yes","No")</f>
        <v>No</v>
      </c>
    </row>
    <row r="31" spans="1:18" ht="15" customHeight="1">
      <c r="A31" s="211" t="s">
        <v>32</v>
      </c>
      <c r="B31" s="212"/>
      <c r="C31" s="276"/>
      <c r="D31" s="276"/>
      <c r="E31" s="276"/>
      <c r="F31" s="276"/>
      <c r="G31" s="276"/>
      <c r="H31" s="276"/>
      <c r="I31" s="276"/>
      <c r="J31" s="276"/>
      <c r="K31" s="276"/>
      <c r="L31" s="276"/>
      <c r="M31" s="3"/>
      <c r="N31" s="3"/>
    </row>
    <row r="32" spans="1:18">
      <c r="A32" s="211"/>
      <c r="B32" s="212"/>
      <c r="C32" s="162"/>
      <c r="D32" s="7" t="s">
        <v>8</v>
      </c>
      <c r="E32" s="162"/>
      <c r="F32" s="7" t="s">
        <v>8</v>
      </c>
      <c r="G32" s="162"/>
      <c r="H32" s="7" t="s">
        <v>8</v>
      </c>
      <c r="I32" s="162"/>
      <c r="J32" s="7" t="s">
        <v>8</v>
      </c>
      <c r="K32" s="162"/>
      <c r="L32" s="7" t="s">
        <v>8</v>
      </c>
      <c r="M32" s="3">
        <f>C32+E32+G32+I32+K32</f>
        <v>0</v>
      </c>
      <c r="N32" s="8" t="str">
        <f>IF(M32 &gt;= 0.5,"Yes","No")</f>
        <v>No</v>
      </c>
    </row>
    <row r="33" spans="1:14" ht="15" customHeight="1">
      <c r="A33" s="213" t="s">
        <v>33</v>
      </c>
      <c r="B33" s="214"/>
      <c r="C33" s="274"/>
      <c r="D33" s="274"/>
      <c r="E33" s="274"/>
      <c r="F33" s="274"/>
      <c r="G33" s="274"/>
      <c r="H33" s="274"/>
      <c r="I33" s="274"/>
      <c r="J33" s="274"/>
      <c r="K33" s="274"/>
      <c r="L33" s="274"/>
      <c r="M33" s="31"/>
      <c r="N33" s="31"/>
    </row>
    <row r="34" spans="1:14" ht="15.75" thickBot="1">
      <c r="A34" s="213"/>
      <c r="B34" s="214"/>
      <c r="C34" s="60"/>
      <c r="D34" s="61" t="s">
        <v>8</v>
      </c>
      <c r="E34" s="60"/>
      <c r="F34" s="61" t="s">
        <v>8</v>
      </c>
      <c r="G34" s="60"/>
      <c r="H34" s="61" t="s">
        <v>8</v>
      </c>
      <c r="I34" s="60"/>
      <c r="J34" s="61" t="s">
        <v>8</v>
      </c>
      <c r="K34" s="60"/>
      <c r="L34" s="61" t="s">
        <v>8</v>
      </c>
      <c r="M34" s="75">
        <f>C34+E34+G34+I34+K34</f>
        <v>0</v>
      </c>
      <c r="N34" s="59" t="str">
        <f>IF(M34 &gt;= 0.5,"Yes","No")</f>
        <v>No</v>
      </c>
    </row>
    <row r="35" spans="1:14" ht="15" customHeight="1" thickTop="1" thickBot="1">
      <c r="A35" s="278" t="s">
        <v>44</v>
      </c>
      <c r="B35" s="278"/>
      <c r="C35" s="152">
        <f>C26 + C28+ C30+ C32+ C34</f>
        <v>0</v>
      </c>
      <c r="D35" s="153" t="str">
        <f>IF(C35&gt;=0.75,"Yes","No")</f>
        <v>No</v>
      </c>
      <c r="E35" s="152">
        <f>E26 + E28+ E30+ E32+ E34</f>
        <v>0</v>
      </c>
      <c r="F35" s="153" t="str">
        <f>IF(E35&gt;=0.75,"Yes","No")</f>
        <v>No</v>
      </c>
      <c r="G35" s="152">
        <f>G26 + G28+ G30+ G32+ G34</f>
        <v>0</v>
      </c>
      <c r="H35" s="153" t="str">
        <f>IF(G35&gt;=0.75,"Yes","No")</f>
        <v>No</v>
      </c>
      <c r="I35" s="152">
        <f>I26 + I28+ I30+ I32+ I34</f>
        <v>0</v>
      </c>
      <c r="J35" s="153" t="str">
        <f>IF(I35&gt;=0.75,"Yes","No")</f>
        <v>No</v>
      </c>
      <c r="K35" s="152">
        <f>K26 + K28+ K30+ K32+ K34</f>
        <v>0</v>
      </c>
      <c r="L35" s="153" t="str">
        <f>IF(K35&gt;=0.75,"Yes","No")</f>
        <v>No</v>
      </c>
      <c r="M35" s="152">
        <f>M26 + M28+ M30+ M32+ M34</f>
        <v>0</v>
      </c>
      <c r="N35" s="152"/>
    </row>
    <row r="36" spans="1:14" ht="15.75" thickTop="1">
      <c r="A36" s="279" t="s">
        <v>208</v>
      </c>
      <c r="B36" s="280"/>
      <c r="C36" s="280"/>
      <c r="D36" s="280"/>
      <c r="E36" s="280"/>
      <c r="F36" s="280"/>
      <c r="G36" s="280"/>
      <c r="H36" s="280"/>
      <c r="I36" s="280"/>
      <c r="J36" s="280"/>
      <c r="K36" s="280"/>
      <c r="L36" s="280"/>
      <c r="M36" s="281"/>
      <c r="N36" s="268" t="str">
        <f>IF(M26+M28+M30+M32+M34 &gt;= 3.75,"Yes","No")</f>
        <v>No</v>
      </c>
    </row>
    <row r="37" spans="1:14">
      <c r="A37" s="282"/>
      <c r="B37" s="283"/>
      <c r="C37" s="283"/>
      <c r="D37" s="283"/>
      <c r="E37" s="283"/>
      <c r="F37" s="283"/>
      <c r="G37" s="283"/>
      <c r="H37" s="283"/>
      <c r="I37" s="283"/>
      <c r="J37" s="283"/>
      <c r="K37" s="283"/>
      <c r="L37" s="283"/>
      <c r="M37" s="284"/>
      <c r="N37" s="269"/>
    </row>
    <row r="40" spans="1:14" ht="30" customHeight="1">
      <c r="A40" s="270" t="s">
        <v>207</v>
      </c>
      <c r="B40" s="271"/>
      <c r="C40" s="201"/>
      <c r="D40" s="201"/>
      <c r="E40" s="202"/>
      <c r="F40" s="203"/>
      <c r="G40" s="203"/>
      <c r="H40" s="203"/>
      <c r="I40" s="203"/>
      <c r="J40" s="203"/>
      <c r="K40" s="203"/>
      <c r="L40" s="203"/>
      <c r="M40" s="54"/>
      <c r="N40" s="54"/>
    </row>
    <row r="41" spans="1:14">
      <c r="A41" s="272"/>
      <c r="B41" s="273"/>
      <c r="C41" s="157"/>
      <c r="D41" s="56" t="s">
        <v>8</v>
      </c>
      <c r="E41" s="57"/>
      <c r="F41" s="56" t="s">
        <v>8</v>
      </c>
      <c r="G41" s="157"/>
      <c r="H41" s="56" t="s">
        <v>8</v>
      </c>
      <c r="I41" s="157"/>
      <c r="J41" s="56" t="s">
        <v>8</v>
      </c>
      <c r="K41" s="157"/>
      <c r="L41" s="56" t="s">
        <v>8</v>
      </c>
      <c r="M41" s="54">
        <f>C41+E41+G41+I41+K41</f>
        <v>0</v>
      </c>
      <c r="N41" s="58" t="str">
        <f>IF(M41 &gt;= 2.5,"Yes","No")</f>
        <v>No</v>
      </c>
    </row>
    <row r="42" spans="1:14">
      <c r="A42" s="197" t="s">
        <v>36</v>
      </c>
      <c r="B42" s="198"/>
      <c r="C42" s="277" t="s">
        <v>11</v>
      </c>
      <c r="D42" s="277"/>
      <c r="E42" s="277" t="s">
        <v>11</v>
      </c>
      <c r="F42" s="277"/>
      <c r="G42" s="277" t="s">
        <v>11</v>
      </c>
      <c r="H42" s="277"/>
      <c r="I42" s="277" t="s">
        <v>11</v>
      </c>
      <c r="J42" s="277"/>
      <c r="K42" s="277" t="s">
        <v>11</v>
      </c>
      <c r="L42" s="277"/>
      <c r="M42" s="4"/>
      <c r="N42" s="4"/>
    </row>
    <row r="43" spans="1:14">
      <c r="A43" s="199"/>
      <c r="B43" s="200"/>
      <c r="C43" s="160">
        <v>1</v>
      </c>
      <c r="D43" s="5" t="s">
        <v>8</v>
      </c>
      <c r="E43" s="160">
        <v>1</v>
      </c>
      <c r="F43" s="5" t="s">
        <v>8</v>
      </c>
      <c r="G43" s="160">
        <v>1</v>
      </c>
      <c r="H43" s="5" t="s">
        <v>10</v>
      </c>
      <c r="I43" s="160">
        <v>1</v>
      </c>
      <c r="J43" s="5" t="s">
        <v>8</v>
      </c>
      <c r="K43" s="160">
        <v>1</v>
      </c>
      <c r="L43" s="5" t="s">
        <v>8</v>
      </c>
      <c r="M43" s="4">
        <f>C43+E43+G43+I43+K43</f>
        <v>5</v>
      </c>
      <c r="N43" s="6" t="str">
        <f>IF(M43 &gt;= 5,"Yes","No")</f>
        <v>Yes</v>
      </c>
    </row>
  </sheetData>
  <sheetProtection password="CA07" sheet="1" objects="1" scenarios="1" insertRows="0" selectLockedCells="1"/>
  <mergeCells count="128">
    <mergeCell ref="A1:N1"/>
    <mergeCell ref="A2:B14"/>
    <mergeCell ref="C2:D2"/>
    <mergeCell ref="E2:F2"/>
    <mergeCell ref="G2:H2"/>
    <mergeCell ref="I2:J2"/>
    <mergeCell ref="K2:L2"/>
    <mergeCell ref="M2:N14"/>
    <mergeCell ref="C4:D4"/>
    <mergeCell ref="E4:F4"/>
    <mergeCell ref="G4:H4"/>
    <mergeCell ref="I4:J4"/>
    <mergeCell ref="K4:L4"/>
    <mergeCell ref="C5:D5"/>
    <mergeCell ref="E5:F5"/>
    <mergeCell ref="G5:H5"/>
    <mergeCell ref="I5:J5"/>
    <mergeCell ref="K5:L5"/>
    <mergeCell ref="C7:D7"/>
    <mergeCell ref="E7:F7"/>
    <mergeCell ref="G7:H7"/>
    <mergeCell ref="I7:J7"/>
    <mergeCell ref="K7:L7"/>
    <mergeCell ref="C8:D8"/>
    <mergeCell ref="P2:Q2"/>
    <mergeCell ref="C3:D3"/>
    <mergeCell ref="E3:F3"/>
    <mergeCell ref="G3:H3"/>
    <mergeCell ref="I3:J3"/>
    <mergeCell ref="K3:L3"/>
    <mergeCell ref="C6:D6"/>
    <mergeCell ref="E6:F6"/>
    <mergeCell ref="G6:H6"/>
    <mergeCell ref="I6:J6"/>
    <mergeCell ref="K6:L6"/>
    <mergeCell ref="E8:F8"/>
    <mergeCell ref="G8:H8"/>
    <mergeCell ref="I8:J8"/>
    <mergeCell ref="K8:L8"/>
    <mergeCell ref="C9:D9"/>
    <mergeCell ref="E9:F9"/>
    <mergeCell ref="G9:H9"/>
    <mergeCell ref="I9:J9"/>
    <mergeCell ref="K9:L9"/>
    <mergeCell ref="C13:D13"/>
    <mergeCell ref="E13:F13"/>
    <mergeCell ref="G13:H13"/>
    <mergeCell ref="I13:J13"/>
    <mergeCell ref="K13:L13"/>
    <mergeCell ref="C14:L14"/>
    <mergeCell ref="C10:D10"/>
    <mergeCell ref="E10:F10"/>
    <mergeCell ref="C11:D11"/>
    <mergeCell ref="E11:F11"/>
    <mergeCell ref="C12:D12"/>
    <mergeCell ref="E12:F12"/>
    <mergeCell ref="M16:N16"/>
    <mergeCell ref="A20:B20"/>
    <mergeCell ref="C20:D21"/>
    <mergeCell ref="E20:F21"/>
    <mergeCell ref="G20:H21"/>
    <mergeCell ref="I20:J21"/>
    <mergeCell ref="K20:L21"/>
    <mergeCell ref="M20:N21"/>
    <mergeCell ref="A21:B21"/>
    <mergeCell ref="A16:B16"/>
    <mergeCell ref="C16:D16"/>
    <mergeCell ref="E16:F16"/>
    <mergeCell ref="G16:H16"/>
    <mergeCell ref="I16:J16"/>
    <mergeCell ref="K16:L16"/>
    <mergeCell ref="A23:N24"/>
    <mergeCell ref="P23:R24"/>
    <mergeCell ref="A25:B26"/>
    <mergeCell ref="C25:D25"/>
    <mergeCell ref="E25:F25"/>
    <mergeCell ref="G25:H25"/>
    <mergeCell ref="I25:J25"/>
    <mergeCell ref="K25:L25"/>
    <mergeCell ref="P26:Q27"/>
    <mergeCell ref="A27:B28"/>
    <mergeCell ref="C27:D27"/>
    <mergeCell ref="E27:F27"/>
    <mergeCell ref="G27:H27"/>
    <mergeCell ref="I27:J27"/>
    <mergeCell ref="K27:L27"/>
    <mergeCell ref="A42:B43"/>
    <mergeCell ref="C42:D42"/>
    <mergeCell ref="E42:F42"/>
    <mergeCell ref="G42:H42"/>
    <mergeCell ref="I42:J42"/>
    <mergeCell ref="K42:L42"/>
    <mergeCell ref="A35:B35"/>
    <mergeCell ref="A36:M37"/>
    <mergeCell ref="A29:B30"/>
    <mergeCell ref="C29:D29"/>
    <mergeCell ref="E29:F29"/>
    <mergeCell ref="G29:H29"/>
    <mergeCell ref="I29:J29"/>
    <mergeCell ref="A33:B34"/>
    <mergeCell ref="C33:D33"/>
    <mergeCell ref="E33:F33"/>
    <mergeCell ref="G33:H33"/>
    <mergeCell ref="I33:J33"/>
    <mergeCell ref="N36:N37"/>
    <mergeCell ref="A40:B41"/>
    <mergeCell ref="C40:D40"/>
    <mergeCell ref="E40:F40"/>
    <mergeCell ref="G40:H40"/>
    <mergeCell ref="I40:J40"/>
    <mergeCell ref="K40:L40"/>
    <mergeCell ref="K10:L10"/>
    <mergeCell ref="K11:L11"/>
    <mergeCell ref="K12:L12"/>
    <mergeCell ref="G10:H10"/>
    <mergeCell ref="G11:H11"/>
    <mergeCell ref="G12:H12"/>
    <mergeCell ref="I10:J10"/>
    <mergeCell ref="I11:J11"/>
    <mergeCell ref="I12:J12"/>
    <mergeCell ref="K33:L33"/>
    <mergeCell ref="K29:L29"/>
    <mergeCell ref="A31:B32"/>
    <mergeCell ref="C31:D31"/>
    <mergeCell ref="E31:F31"/>
    <mergeCell ref="G31:H31"/>
    <mergeCell ref="I31:J31"/>
    <mergeCell ref="K31:L31"/>
  </mergeCells>
  <conditionalFormatting sqref="N15 N26 N28 N30 N32 N34 N36:N37 N41 N43 N17:N19">
    <cfRule type="cellIs" dxfId="30" priority="6" operator="equal">
      <formula>"No"</formula>
    </cfRule>
  </conditionalFormatting>
  <conditionalFormatting sqref="N22">
    <cfRule type="cellIs" dxfId="29" priority="5" operator="equal">
      <formula>"No"</formula>
    </cfRule>
  </conditionalFormatting>
  <conditionalFormatting sqref="D35 F35 H35 J35 L35">
    <cfRule type="containsText" dxfId="28" priority="4" operator="containsText" text="No">
      <formula>NOT(ISERROR(SEARCH("No",D35)))</formula>
    </cfRule>
  </conditionalFormatting>
  <conditionalFormatting sqref="N19">
    <cfRule type="cellIs" dxfId="27" priority="3" operator="equal">
      <formula>"No"</formula>
    </cfRule>
  </conditionalFormatting>
  <conditionalFormatting sqref="N22">
    <cfRule type="cellIs" dxfId="26" priority="2" operator="equal">
      <formula>"No"</formula>
    </cfRule>
  </conditionalFormatting>
  <conditionalFormatting sqref="N22">
    <cfRule type="cellIs" dxfId="25" priority="1" operator="equal">
      <formula>"No"</formula>
    </cfRule>
  </conditionalFormatting>
  <pageMargins left="0.2" right="0.2" top="0.22" bottom="0.14000000000000001" header="0.3" footer="0.3"/>
  <pageSetup orientation="landscape" r:id="rId1"/>
</worksheet>
</file>

<file path=xl/worksheets/sheet6.xml><?xml version="1.0" encoding="utf-8"?>
<worksheet xmlns="http://schemas.openxmlformats.org/spreadsheetml/2006/main" xmlns:r="http://schemas.openxmlformats.org/officeDocument/2006/relationships">
  <dimension ref="A1:R33"/>
  <sheetViews>
    <sheetView workbookViewId="0">
      <selection activeCell="C15" sqref="C15:D15"/>
    </sheetView>
  </sheetViews>
  <sheetFormatPr defaultRowHeight="15"/>
  <cols>
    <col min="1" max="1" width="9.140625" style="76"/>
    <col min="2" max="2" width="14.5703125" style="76" customWidth="1"/>
    <col min="3" max="16384" width="9.140625" style="76"/>
  </cols>
  <sheetData>
    <row r="1" spans="1:18">
      <c r="A1" s="239" t="s">
        <v>12</v>
      </c>
      <c r="B1" s="240"/>
      <c r="C1" s="240"/>
      <c r="D1" s="240"/>
      <c r="E1" s="240"/>
      <c r="F1" s="240"/>
      <c r="G1" s="240"/>
      <c r="H1" s="240"/>
      <c r="I1" s="240"/>
      <c r="J1" s="240"/>
      <c r="K1" s="240"/>
      <c r="L1" s="240"/>
      <c r="M1" s="240"/>
      <c r="N1" s="241"/>
    </row>
    <row r="2" spans="1:18">
      <c r="A2" s="314" t="s">
        <v>5</v>
      </c>
      <c r="B2" s="315"/>
      <c r="C2" s="318" t="s">
        <v>0</v>
      </c>
      <c r="D2" s="318"/>
      <c r="E2" s="318" t="s">
        <v>1</v>
      </c>
      <c r="F2" s="318"/>
      <c r="G2" s="318" t="s">
        <v>2</v>
      </c>
      <c r="H2" s="318"/>
      <c r="I2" s="318" t="s">
        <v>3</v>
      </c>
      <c r="J2" s="318"/>
      <c r="K2" s="318" t="s">
        <v>4</v>
      </c>
      <c r="L2" s="318"/>
      <c r="M2" s="319" t="s">
        <v>28</v>
      </c>
      <c r="N2" s="320"/>
      <c r="P2" s="237" t="s">
        <v>17</v>
      </c>
      <c r="Q2" s="238"/>
    </row>
    <row r="3" spans="1:18" ht="24.95" customHeight="1">
      <c r="A3" s="285"/>
      <c r="B3" s="286"/>
      <c r="C3" s="250"/>
      <c r="D3" s="250"/>
      <c r="E3" s="250"/>
      <c r="F3" s="250"/>
      <c r="G3" s="250"/>
      <c r="H3" s="250"/>
      <c r="I3" s="250"/>
      <c r="J3" s="250"/>
      <c r="K3" s="250"/>
      <c r="L3" s="250"/>
      <c r="M3" s="286"/>
      <c r="N3" s="287"/>
      <c r="P3" s="11" t="s">
        <v>18</v>
      </c>
      <c r="Q3" s="12">
        <v>0.125</v>
      </c>
    </row>
    <row r="4" spans="1:18" ht="24.95" customHeight="1">
      <c r="A4" s="285"/>
      <c r="B4" s="286"/>
      <c r="C4" s="250"/>
      <c r="D4" s="250"/>
      <c r="E4" s="250"/>
      <c r="F4" s="250"/>
      <c r="G4" s="250"/>
      <c r="H4" s="250"/>
      <c r="I4" s="250"/>
      <c r="J4" s="250"/>
      <c r="K4" s="250"/>
      <c r="L4" s="250"/>
      <c r="M4" s="286"/>
      <c r="N4" s="287"/>
      <c r="P4" s="11" t="s">
        <v>19</v>
      </c>
      <c r="Q4" s="12">
        <v>0.25</v>
      </c>
    </row>
    <row r="5" spans="1:18" ht="24.95" customHeight="1">
      <c r="A5" s="285"/>
      <c r="B5" s="286"/>
      <c r="C5" s="250"/>
      <c r="D5" s="250"/>
      <c r="E5" s="250"/>
      <c r="F5" s="250"/>
      <c r="G5" s="250"/>
      <c r="H5" s="250"/>
      <c r="I5" s="256"/>
      <c r="J5" s="258"/>
      <c r="K5" s="250"/>
      <c r="L5" s="250"/>
      <c r="M5" s="286"/>
      <c r="N5" s="287"/>
      <c r="P5" s="11" t="s">
        <v>20</v>
      </c>
      <c r="Q5" s="12">
        <v>0.375</v>
      </c>
    </row>
    <row r="6" spans="1:18" ht="24.95" customHeight="1">
      <c r="A6" s="285"/>
      <c r="B6" s="286"/>
      <c r="C6" s="250"/>
      <c r="D6" s="250"/>
      <c r="E6" s="250"/>
      <c r="F6" s="250"/>
      <c r="G6" s="250"/>
      <c r="H6" s="250"/>
      <c r="I6" s="250"/>
      <c r="J6" s="250"/>
      <c r="K6" s="250"/>
      <c r="L6" s="250"/>
      <c r="M6" s="286"/>
      <c r="N6" s="287"/>
      <c r="P6" s="11" t="s">
        <v>21</v>
      </c>
      <c r="Q6" s="12">
        <v>0.33300000000000002</v>
      </c>
    </row>
    <row r="7" spans="1:18" ht="24.95" customHeight="1">
      <c r="A7" s="285"/>
      <c r="B7" s="286"/>
      <c r="C7" s="256"/>
      <c r="D7" s="257"/>
      <c r="E7" s="256"/>
      <c r="F7" s="258"/>
      <c r="G7" s="256"/>
      <c r="H7" s="258"/>
      <c r="I7" s="256"/>
      <c r="J7" s="258"/>
      <c r="K7" s="256"/>
      <c r="L7" s="258"/>
      <c r="M7" s="286"/>
      <c r="N7" s="287"/>
      <c r="P7" s="11" t="s">
        <v>22</v>
      </c>
      <c r="Q7" s="12">
        <v>0.5</v>
      </c>
    </row>
    <row r="8" spans="1:18" ht="24.95" customHeight="1">
      <c r="A8" s="285"/>
      <c r="B8" s="286"/>
      <c r="C8" s="250"/>
      <c r="D8" s="250"/>
      <c r="E8" s="250"/>
      <c r="F8" s="250"/>
      <c r="G8" s="250"/>
      <c r="H8" s="250"/>
      <c r="I8" s="250"/>
      <c r="J8" s="250"/>
      <c r="K8" s="250"/>
      <c r="L8" s="250"/>
      <c r="M8" s="286"/>
      <c r="N8" s="287"/>
      <c r="P8" s="11" t="s">
        <v>23</v>
      </c>
      <c r="Q8" s="12">
        <v>0.625</v>
      </c>
    </row>
    <row r="9" spans="1:18" ht="24.95" customHeight="1">
      <c r="A9" s="285"/>
      <c r="B9" s="286"/>
      <c r="C9" s="250"/>
      <c r="D9" s="250"/>
      <c r="E9" s="250"/>
      <c r="F9" s="250"/>
      <c r="G9" s="250"/>
      <c r="H9" s="250"/>
      <c r="I9" s="250"/>
      <c r="J9" s="250"/>
      <c r="K9" s="256"/>
      <c r="L9" s="258"/>
      <c r="M9" s="286"/>
      <c r="N9" s="287"/>
      <c r="P9" s="11" t="s">
        <v>24</v>
      </c>
      <c r="Q9" s="12">
        <v>0.66600000000000004</v>
      </c>
    </row>
    <row r="10" spans="1:18">
      <c r="A10" s="316"/>
      <c r="B10" s="317"/>
      <c r="C10" s="303"/>
      <c r="D10" s="304"/>
      <c r="E10" s="304"/>
      <c r="F10" s="304"/>
      <c r="G10" s="304"/>
      <c r="H10" s="304"/>
      <c r="I10" s="304"/>
      <c r="J10" s="304"/>
      <c r="K10" s="304"/>
      <c r="L10" s="305"/>
      <c r="M10" s="317"/>
      <c r="N10" s="321"/>
      <c r="P10" s="145" t="s">
        <v>111</v>
      </c>
      <c r="Q10" s="146">
        <v>0.75</v>
      </c>
    </row>
    <row r="11" spans="1:18" ht="30" customHeight="1">
      <c r="A11" s="355" t="s">
        <v>43</v>
      </c>
      <c r="B11" s="356"/>
      <c r="C11" s="308"/>
      <c r="D11" s="309"/>
      <c r="E11" s="327"/>
      <c r="F11" s="327"/>
      <c r="G11" s="327"/>
      <c r="H11" s="327"/>
      <c r="I11" s="308"/>
      <c r="J11" s="309"/>
      <c r="K11" s="327"/>
      <c r="L11" s="327"/>
      <c r="M11" s="66"/>
      <c r="N11" s="66"/>
      <c r="P11" s="11" t="s">
        <v>113</v>
      </c>
      <c r="Q11" s="12">
        <v>0.875</v>
      </c>
    </row>
    <row r="12" spans="1:18">
      <c r="A12" s="355"/>
      <c r="B12" s="356"/>
      <c r="C12" s="183"/>
      <c r="D12" s="71" t="s">
        <v>9</v>
      </c>
      <c r="E12" s="183"/>
      <c r="F12" s="71" t="s">
        <v>9</v>
      </c>
      <c r="G12" s="183"/>
      <c r="H12" s="71" t="s">
        <v>9</v>
      </c>
      <c r="I12" s="183"/>
      <c r="J12" s="71" t="s">
        <v>9</v>
      </c>
      <c r="K12" s="183"/>
      <c r="L12" s="71" t="s">
        <v>9</v>
      </c>
      <c r="M12" s="66">
        <f>C12+E12+G12+I12+K12</f>
        <v>0</v>
      </c>
      <c r="N12" s="69" t="str">
        <f>IF(AND(M12&gt;=10,M12&lt;=12),"Yes","No")</f>
        <v>No</v>
      </c>
      <c r="P12" s="72"/>
      <c r="Q12" s="72"/>
    </row>
    <row r="13" spans="1:18" ht="9.9499999999999993" customHeight="1">
      <c r="A13" s="285" t="s">
        <v>51</v>
      </c>
      <c r="B13" s="286"/>
      <c r="C13" s="286"/>
      <c r="D13" s="286"/>
      <c r="E13" s="286"/>
      <c r="F13" s="286"/>
      <c r="G13" s="286"/>
      <c r="H13" s="286"/>
      <c r="I13" s="286"/>
      <c r="J13" s="286"/>
      <c r="K13" s="286"/>
      <c r="L13" s="286"/>
      <c r="M13" s="286"/>
      <c r="N13" s="287"/>
      <c r="P13" s="357" t="s">
        <v>48</v>
      </c>
      <c r="Q13" s="358"/>
      <c r="R13" s="182"/>
    </row>
    <row r="14" spans="1:18" ht="9.9499999999999993" customHeight="1">
      <c r="A14" s="285"/>
      <c r="B14" s="286"/>
      <c r="C14" s="286"/>
      <c r="D14" s="286"/>
      <c r="E14" s="286"/>
      <c r="F14" s="286"/>
      <c r="G14" s="286"/>
      <c r="H14" s="286"/>
      <c r="I14" s="286"/>
      <c r="J14" s="286"/>
      <c r="K14" s="286"/>
      <c r="L14" s="286"/>
      <c r="M14" s="286"/>
      <c r="N14" s="287"/>
      <c r="P14" s="358"/>
      <c r="Q14" s="358"/>
      <c r="R14" s="182"/>
    </row>
    <row r="15" spans="1:18" ht="15" customHeight="1">
      <c r="A15" s="359" t="s">
        <v>29</v>
      </c>
      <c r="B15" s="360"/>
      <c r="C15" s="288"/>
      <c r="D15" s="288"/>
      <c r="E15" s="288"/>
      <c r="F15" s="288"/>
      <c r="G15" s="288"/>
      <c r="H15" s="288"/>
      <c r="I15" s="288"/>
      <c r="J15" s="288"/>
      <c r="K15" s="288"/>
      <c r="L15" s="288"/>
      <c r="M15" s="15"/>
      <c r="N15" s="15"/>
      <c r="P15" s="358"/>
      <c r="Q15" s="358"/>
      <c r="R15" s="147"/>
    </row>
    <row r="16" spans="1:18">
      <c r="A16" s="359"/>
      <c r="B16" s="360"/>
      <c r="C16" s="184"/>
      <c r="D16" s="17" t="s">
        <v>8</v>
      </c>
      <c r="E16" s="184"/>
      <c r="F16" s="17" t="s">
        <v>8</v>
      </c>
      <c r="G16" s="184"/>
      <c r="H16" s="17" t="s">
        <v>8</v>
      </c>
      <c r="I16" s="184"/>
      <c r="J16" s="17" t="s">
        <v>8</v>
      </c>
      <c r="K16" s="184"/>
      <c r="L16" s="17" t="s">
        <v>8</v>
      </c>
      <c r="M16" s="15">
        <f>C16+E16+G16+I16+K16</f>
        <v>0</v>
      </c>
      <c r="N16" s="18" t="str">
        <f>IF(M16 &gt;= 0.5,"Yes","No")</f>
        <v>No</v>
      </c>
      <c r="P16" s="260"/>
      <c r="Q16" s="260"/>
    </row>
    <row r="17" spans="1:17" ht="15" customHeight="1">
      <c r="A17" s="345" t="s">
        <v>40</v>
      </c>
      <c r="B17" s="346"/>
      <c r="C17" s="289"/>
      <c r="D17" s="289"/>
      <c r="E17" s="289"/>
      <c r="F17" s="289"/>
      <c r="G17" s="289"/>
      <c r="H17" s="289"/>
      <c r="I17" s="289"/>
      <c r="J17" s="289"/>
      <c r="K17" s="289"/>
      <c r="L17" s="289"/>
      <c r="M17" s="19"/>
      <c r="N17" s="19"/>
      <c r="P17" s="260"/>
      <c r="Q17" s="260"/>
    </row>
    <row r="18" spans="1:17" ht="15" customHeight="1">
      <c r="A18" s="345"/>
      <c r="B18" s="346"/>
      <c r="C18" s="185"/>
      <c r="D18" s="21" t="s">
        <v>8</v>
      </c>
      <c r="E18" s="185"/>
      <c r="F18" s="21" t="s">
        <v>8</v>
      </c>
      <c r="G18" s="185"/>
      <c r="H18" s="21" t="s">
        <v>8</v>
      </c>
      <c r="I18" s="185"/>
      <c r="J18" s="21" t="s">
        <v>8</v>
      </c>
      <c r="K18" s="185"/>
      <c r="L18" s="21" t="s">
        <v>8</v>
      </c>
      <c r="M18" s="19">
        <f>C18+E18+G18+I18+K18</f>
        <v>0</v>
      </c>
      <c r="N18" s="22" t="str">
        <f>IF(M18 &gt;= 1.25,"Yes","No")</f>
        <v>No</v>
      </c>
      <c r="P18" s="260" t="s">
        <v>49</v>
      </c>
      <c r="Q18" s="260"/>
    </row>
    <row r="19" spans="1:17">
      <c r="A19" s="361" t="s">
        <v>31</v>
      </c>
      <c r="B19" s="362"/>
      <c r="C19" s="275"/>
      <c r="D19" s="275"/>
      <c r="E19" s="275"/>
      <c r="F19" s="275"/>
      <c r="G19" s="275"/>
      <c r="H19" s="275"/>
      <c r="I19" s="275"/>
      <c r="J19" s="275"/>
      <c r="K19" s="275"/>
      <c r="L19" s="275"/>
      <c r="M19" s="23"/>
      <c r="N19" s="23"/>
      <c r="P19" s="260"/>
      <c r="Q19" s="260"/>
    </row>
    <row r="20" spans="1:17">
      <c r="A20" s="361"/>
      <c r="B20" s="362"/>
      <c r="C20" s="187"/>
      <c r="D20" s="25" t="s">
        <v>8</v>
      </c>
      <c r="E20" s="187"/>
      <c r="F20" s="25" t="s">
        <v>8</v>
      </c>
      <c r="G20" s="187"/>
      <c r="H20" s="25" t="s">
        <v>8</v>
      </c>
      <c r="I20" s="187"/>
      <c r="J20" s="25" t="s">
        <v>8</v>
      </c>
      <c r="K20" s="187"/>
      <c r="L20" s="25" t="s">
        <v>8</v>
      </c>
      <c r="M20" s="23">
        <f>C20+E20+G20+I20+K20</f>
        <v>0</v>
      </c>
      <c r="N20" s="26" t="str">
        <f>IF(M20 &gt;= 0.5,"Yes","No")</f>
        <v>No</v>
      </c>
    </row>
    <row r="21" spans="1:17">
      <c r="A21" s="365" t="s">
        <v>38</v>
      </c>
      <c r="B21" s="366"/>
      <c r="C21" s="276"/>
      <c r="D21" s="276"/>
      <c r="E21" s="276"/>
      <c r="F21" s="276"/>
      <c r="G21" s="276"/>
      <c r="H21" s="276"/>
      <c r="I21" s="276"/>
      <c r="J21" s="276"/>
      <c r="K21" s="276"/>
      <c r="L21" s="276"/>
      <c r="M21" s="3"/>
      <c r="N21" s="3"/>
    </row>
    <row r="22" spans="1:17">
      <c r="A22" s="365"/>
      <c r="B22" s="366"/>
      <c r="C22" s="188"/>
      <c r="D22" s="7" t="s">
        <v>8</v>
      </c>
      <c r="E22" s="188"/>
      <c r="F22" s="7" t="s">
        <v>8</v>
      </c>
      <c r="G22" s="188"/>
      <c r="H22" s="7" t="s">
        <v>8</v>
      </c>
      <c r="I22" s="188"/>
      <c r="J22" s="7" t="s">
        <v>8</v>
      </c>
      <c r="K22" s="188"/>
      <c r="L22" s="7" t="s">
        <v>8</v>
      </c>
      <c r="M22" s="3">
        <f>C22+E22+G22+I22+K22</f>
        <v>0</v>
      </c>
      <c r="N22" s="8" t="str">
        <f>IF(M22 &gt;= 0.5,"Yes","No")</f>
        <v>No</v>
      </c>
    </row>
    <row r="23" spans="1:17">
      <c r="A23" s="363" t="s">
        <v>41</v>
      </c>
      <c r="B23" s="364"/>
      <c r="C23" s="274"/>
      <c r="D23" s="274"/>
      <c r="E23" s="274"/>
      <c r="F23" s="274"/>
      <c r="G23" s="274"/>
      <c r="H23" s="274"/>
      <c r="I23" s="274"/>
      <c r="J23" s="274"/>
      <c r="K23" s="274"/>
      <c r="L23" s="274"/>
      <c r="M23" s="31"/>
      <c r="N23" s="31"/>
    </row>
    <row r="24" spans="1:17" ht="15.75" thickBot="1">
      <c r="A24" s="363"/>
      <c r="B24" s="364"/>
      <c r="C24" s="60"/>
      <c r="D24" s="61" t="s">
        <v>8</v>
      </c>
      <c r="E24" s="60"/>
      <c r="F24" s="61" t="s">
        <v>8</v>
      </c>
      <c r="G24" s="60"/>
      <c r="H24" s="61" t="s">
        <v>8</v>
      </c>
      <c r="I24" s="60"/>
      <c r="J24" s="61" t="s">
        <v>8</v>
      </c>
      <c r="K24" s="60"/>
      <c r="L24" s="61" t="s">
        <v>8</v>
      </c>
      <c r="M24" s="75">
        <f>C24+E24+G24+I24+K24</f>
        <v>0</v>
      </c>
      <c r="N24" s="59" t="str">
        <f>IF(M24 &gt;= 0.75,"Yes","No")</f>
        <v>No</v>
      </c>
    </row>
    <row r="25" spans="1:17" ht="15" customHeight="1" thickTop="1" thickBot="1">
      <c r="A25" s="367" t="s">
        <v>44</v>
      </c>
      <c r="B25" s="367"/>
      <c r="C25" s="74">
        <f>C16 + C18+ C20+ C22+ C24</f>
        <v>0</v>
      </c>
      <c r="D25" s="64" t="str">
        <f>IF(C25&gt;=1,"Yes","No")</f>
        <v>No</v>
      </c>
      <c r="E25" s="74">
        <f>E16 + E18+ E20+ E22+ E24</f>
        <v>0</v>
      </c>
      <c r="F25" s="64" t="str">
        <f>IF(E25&gt;=1,"Yes","No")</f>
        <v>No</v>
      </c>
      <c r="G25" s="74">
        <f>G16 + G18+ G20+ G22+ G24</f>
        <v>0</v>
      </c>
      <c r="H25" s="64" t="str">
        <f>IF(G25&gt;=1,"Yes","No")</f>
        <v>No</v>
      </c>
      <c r="I25" s="74">
        <f>I16 + I18+ I20+ I22+ I24</f>
        <v>0</v>
      </c>
      <c r="J25" s="64" t="str">
        <f>IF(I25&gt;=1,"Yes","No")</f>
        <v>No</v>
      </c>
      <c r="K25" s="74">
        <f>K16 + K18+ K20+ K22+ K24</f>
        <v>0</v>
      </c>
      <c r="L25" s="64" t="str">
        <f>IF(K25&gt;=1,"Yes","No")</f>
        <v>No</v>
      </c>
      <c r="M25" s="74">
        <f>M16 + M18+ M20+ M22+ M24</f>
        <v>0</v>
      </c>
      <c r="N25" s="74"/>
    </row>
    <row r="26" spans="1:17" ht="9.9499999999999993" customHeight="1" thickTop="1">
      <c r="A26" s="368" t="s">
        <v>16</v>
      </c>
      <c r="B26" s="369"/>
      <c r="C26" s="369"/>
      <c r="D26" s="369"/>
      <c r="E26" s="369"/>
      <c r="F26" s="369"/>
      <c r="G26" s="369"/>
      <c r="H26" s="369"/>
      <c r="I26" s="369"/>
      <c r="J26" s="369"/>
      <c r="K26" s="369"/>
      <c r="L26" s="369"/>
      <c r="M26" s="370"/>
      <c r="N26" s="371" t="str">
        <f>IF(M16+M18+M20+M22+M24 &gt;= 5,"Yes","No")</f>
        <v>No</v>
      </c>
    </row>
    <row r="27" spans="1:17" ht="9.9499999999999993" customHeight="1">
      <c r="A27" s="368"/>
      <c r="B27" s="369"/>
      <c r="C27" s="369"/>
      <c r="D27" s="369"/>
      <c r="E27" s="369"/>
      <c r="F27" s="369"/>
      <c r="G27" s="369"/>
      <c r="H27" s="369"/>
      <c r="I27" s="369"/>
      <c r="J27" s="369"/>
      <c r="K27" s="369"/>
      <c r="L27" s="369"/>
      <c r="M27" s="370"/>
      <c r="N27" s="372"/>
    </row>
    <row r="28" spans="1:17">
      <c r="A28" s="215" t="s">
        <v>42</v>
      </c>
      <c r="B28" s="216"/>
      <c r="C28" s="373"/>
      <c r="D28" s="373"/>
      <c r="E28" s="373"/>
      <c r="F28" s="373"/>
      <c r="G28" s="373"/>
      <c r="H28" s="373"/>
      <c r="I28" s="373"/>
      <c r="J28" s="373"/>
      <c r="K28" s="373"/>
      <c r="L28" s="373"/>
      <c r="M28" s="27"/>
      <c r="N28" s="27"/>
    </row>
    <row r="29" spans="1:17">
      <c r="A29" s="215"/>
      <c r="B29" s="216"/>
      <c r="C29" s="190"/>
      <c r="D29" s="29" t="s">
        <v>9</v>
      </c>
      <c r="E29" s="190"/>
      <c r="F29" s="29" t="s">
        <v>9</v>
      </c>
      <c r="G29" s="190"/>
      <c r="H29" s="29" t="s">
        <v>9</v>
      </c>
      <c r="I29" s="190"/>
      <c r="J29" s="29" t="s">
        <v>9</v>
      </c>
      <c r="K29" s="190"/>
      <c r="L29" s="29" t="s">
        <v>9</v>
      </c>
      <c r="M29" s="27">
        <f>C29+E29+G29+I29+K29</f>
        <v>0</v>
      </c>
      <c r="N29" s="30" t="str">
        <f>IF(AND(M29&gt;=10,M29&lt;=12),"Yes","No")</f>
        <v>No</v>
      </c>
    </row>
    <row r="30" spans="1:17" ht="30" customHeight="1">
      <c r="A30" s="270" t="s">
        <v>15</v>
      </c>
      <c r="B30" s="271"/>
      <c r="C30" s="201"/>
      <c r="D30" s="201"/>
      <c r="E30" s="202"/>
      <c r="F30" s="203"/>
      <c r="G30" s="203"/>
      <c r="H30" s="203"/>
      <c r="I30" s="203"/>
      <c r="J30" s="203"/>
      <c r="K30" s="203"/>
      <c r="L30" s="203"/>
      <c r="M30" s="54"/>
      <c r="N30" s="54"/>
    </row>
    <row r="31" spans="1:17">
      <c r="A31" s="272"/>
      <c r="B31" s="273"/>
      <c r="C31" s="189"/>
      <c r="D31" s="56" t="s">
        <v>8</v>
      </c>
      <c r="E31" s="57"/>
      <c r="F31" s="56" t="s">
        <v>8</v>
      </c>
      <c r="G31" s="189"/>
      <c r="H31" s="56" t="s">
        <v>8</v>
      </c>
      <c r="I31" s="189"/>
      <c r="J31" s="56" t="s">
        <v>8</v>
      </c>
      <c r="K31" s="189"/>
      <c r="L31" s="56" t="s">
        <v>8</v>
      </c>
      <c r="M31" s="54">
        <f>C31+E31+G31+I31+K31</f>
        <v>0</v>
      </c>
      <c r="N31" s="58" t="str">
        <f>IF(M31 &gt;= 5,"Yes","No")</f>
        <v>No</v>
      </c>
    </row>
    <row r="32" spans="1:17">
      <c r="A32" s="197" t="s">
        <v>36</v>
      </c>
      <c r="B32" s="198"/>
      <c r="C32" s="277" t="s">
        <v>11</v>
      </c>
      <c r="D32" s="277"/>
      <c r="E32" s="277" t="s">
        <v>11</v>
      </c>
      <c r="F32" s="277"/>
      <c r="G32" s="277" t="s">
        <v>11</v>
      </c>
      <c r="H32" s="277"/>
      <c r="I32" s="277" t="s">
        <v>11</v>
      </c>
      <c r="J32" s="277"/>
      <c r="K32" s="277" t="s">
        <v>11</v>
      </c>
      <c r="L32" s="277"/>
      <c r="M32" s="4"/>
      <c r="N32" s="4"/>
    </row>
    <row r="33" spans="1:14">
      <c r="A33" s="199"/>
      <c r="B33" s="200"/>
      <c r="C33" s="186">
        <v>1</v>
      </c>
      <c r="D33" s="5" t="s">
        <v>8</v>
      </c>
      <c r="E33" s="186">
        <v>1</v>
      </c>
      <c r="F33" s="5" t="s">
        <v>8</v>
      </c>
      <c r="G33" s="186">
        <v>1</v>
      </c>
      <c r="H33" s="5" t="s">
        <v>10</v>
      </c>
      <c r="I33" s="186">
        <v>1</v>
      </c>
      <c r="J33" s="5" t="s">
        <v>8</v>
      </c>
      <c r="K33" s="186">
        <v>1</v>
      </c>
      <c r="L33" s="5" t="s">
        <v>8</v>
      </c>
      <c r="M33" s="4">
        <f>C33+E33+G33+I33+K33</f>
        <v>5</v>
      </c>
      <c r="N33" s="6" t="str">
        <f>IF(M33 &gt;= 5,"Yes","No")</f>
        <v>Yes</v>
      </c>
    </row>
  </sheetData>
  <sheetProtection sheet="1" objects="1" scenarios="1" insertRows="0" selectLockedCells="1"/>
  <mergeCells count="106">
    <mergeCell ref="A32:B33"/>
    <mergeCell ref="C32:D32"/>
    <mergeCell ref="E32:F32"/>
    <mergeCell ref="G32:H32"/>
    <mergeCell ref="I32:J32"/>
    <mergeCell ref="K32:L32"/>
    <mergeCell ref="A30:B31"/>
    <mergeCell ref="C30:D30"/>
    <mergeCell ref="E30:F30"/>
    <mergeCell ref="G30:H30"/>
    <mergeCell ref="I30:J30"/>
    <mergeCell ref="K30:L30"/>
    <mergeCell ref="A25:B25"/>
    <mergeCell ref="A26:M27"/>
    <mergeCell ref="N26:N27"/>
    <mergeCell ref="A28:B29"/>
    <mergeCell ref="C28:D28"/>
    <mergeCell ref="E28:F28"/>
    <mergeCell ref="G28:H28"/>
    <mergeCell ref="I28:J28"/>
    <mergeCell ref="K28:L28"/>
    <mergeCell ref="A23:B24"/>
    <mergeCell ref="C23:D23"/>
    <mergeCell ref="E23:F23"/>
    <mergeCell ref="G23:H23"/>
    <mergeCell ref="I23:J23"/>
    <mergeCell ref="K23:L23"/>
    <mergeCell ref="A21:B22"/>
    <mergeCell ref="C21:D21"/>
    <mergeCell ref="E21:F21"/>
    <mergeCell ref="G21:H21"/>
    <mergeCell ref="I21:J21"/>
    <mergeCell ref="K21:L21"/>
    <mergeCell ref="P18:Q19"/>
    <mergeCell ref="A13:N14"/>
    <mergeCell ref="P13:Q15"/>
    <mergeCell ref="A15:B16"/>
    <mergeCell ref="C15:D15"/>
    <mergeCell ref="E15:F15"/>
    <mergeCell ref="G15:H15"/>
    <mergeCell ref="I15:J15"/>
    <mergeCell ref="K15:L15"/>
    <mergeCell ref="P16:Q17"/>
    <mergeCell ref="A17:B18"/>
    <mergeCell ref="A19:B20"/>
    <mergeCell ref="C19:D19"/>
    <mergeCell ref="E19:F19"/>
    <mergeCell ref="G19:H19"/>
    <mergeCell ref="I19:J19"/>
    <mergeCell ref="K19:L19"/>
    <mergeCell ref="C17:D17"/>
    <mergeCell ref="E17:F17"/>
    <mergeCell ref="G17:H17"/>
    <mergeCell ref="I17:J17"/>
    <mergeCell ref="K17:L17"/>
    <mergeCell ref="A11:B12"/>
    <mergeCell ref="C11:D11"/>
    <mergeCell ref="E11:F11"/>
    <mergeCell ref="G11:H11"/>
    <mergeCell ref="I11:J11"/>
    <mergeCell ref="K11:L11"/>
    <mergeCell ref="C8:D8"/>
    <mergeCell ref="E8:F8"/>
    <mergeCell ref="G8:H8"/>
    <mergeCell ref="I8:J8"/>
    <mergeCell ref="K8:L8"/>
    <mergeCell ref="C9:D9"/>
    <mergeCell ref="E9:F9"/>
    <mergeCell ref="G9:H9"/>
    <mergeCell ref="I9:J9"/>
    <mergeCell ref="K9:L9"/>
    <mergeCell ref="P2:Q2"/>
    <mergeCell ref="C3:D3"/>
    <mergeCell ref="E3:F3"/>
    <mergeCell ref="G3:H3"/>
    <mergeCell ref="I3:J3"/>
    <mergeCell ref="K3:L3"/>
    <mergeCell ref="C6:D6"/>
    <mergeCell ref="E6:F6"/>
    <mergeCell ref="G6:H6"/>
    <mergeCell ref="I6:J6"/>
    <mergeCell ref="K6:L6"/>
    <mergeCell ref="A1:N1"/>
    <mergeCell ref="A2:B10"/>
    <mergeCell ref="C2:D2"/>
    <mergeCell ref="E2:F2"/>
    <mergeCell ref="G2:H2"/>
    <mergeCell ref="I2:J2"/>
    <mergeCell ref="K2:L2"/>
    <mergeCell ref="M2:N10"/>
    <mergeCell ref="C4:D4"/>
    <mergeCell ref="E4:F4"/>
    <mergeCell ref="G4:H4"/>
    <mergeCell ref="I4:J4"/>
    <mergeCell ref="K4:L4"/>
    <mergeCell ref="C5:D5"/>
    <mergeCell ref="E5:F5"/>
    <mergeCell ref="G5:H5"/>
    <mergeCell ref="I5:J5"/>
    <mergeCell ref="K5:L5"/>
    <mergeCell ref="C7:D7"/>
    <mergeCell ref="E7:F7"/>
    <mergeCell ref="G7:H7"/>
    <mergeCell ref="I7:J7"/>
    <mergeCell ref="K7:L7"/>
    <mergeCell ref="C10:L10"/>
  </mergeCells>
  <conditionalFormatting sqref="N12 N16 N18 N20 N22 N24 N26:N27 N29 N31 N33">
    <cfRule type="cellIs" dxfId="24" priority="2" operator="equal">
      <formula>"No"</formula>
    </cfRule>
  </conditionalFormatting>
  <conditionalFormatting sqref="D25 F25 H25 J25 L25">
    <cfRule type="containsText" dxfId="23" priority="1" operator="containsText" text="No">
      <formula>NOT(ISERROR(SEARCH("No",D25)))</formula>
    </cfRule>
  </conditionalFormatting>
  <pageMargins left="0.2" right="0.2" top="0.32" bottom="0.75" header="0.3" footer="0.3"/>
  <pageSetup orientation="landscape" r:id="rId1"/>
</worksheet>
</file>

<file path=xl/worksheets/sheet7.xml><?xml version="1.0" encoding="utf-8"?>
<worksheet xmlns="http://schemas.openxmlformats.org/spreadsheetml/2006/main" xmlns:r="http://schemas.openxmlformats.org/officeDocument/2006/relationships">
  <dimension ref="A1:R41"/>
  <sheetViews>
    <sheetView topLeftCell="A18" workbookViewId="0">
      <selection activeCell="K12" sqref="K12:L12"/>
    </sheetView>
  </sheetViews>
  <sheetFormatPr defaultRowHeight="15"/>
  <cols>
    <col min="2" max="2" width="14.5703125" customWidth="1"/>
  </cols>
  <sheetData>
    <row r="1" spans="1:17">
      <c r="A1" s="239" t="s">
        <v>12</v>
      </c>
      <c r="B1" s="240"/>
      <c r="C1" s="240"/>
      <c r="D1" s="240"/>
      <c r="E1" s="240"/>
      <c r="F1" s="240"/>
      <c r="G1" s="240"/>
      <c r="H1" s="240"/>
      <c r="I1" s="240"/>
      <c r="J1" s="240"/>
      <c r="K1" s="240"/>
      <c r="L1" s="240"/>
      <c r="M1" s="240"/>
      <c r="N1" s="241"/>
    </row>
    <row r="2" spans="1:17">
      <c r="A2" s="314" t="s">
        <v>5</v>
      </c>
      <c r="B2" s="315"/>
      <c r="C2" s="318" t="s">
        <v>0</v>
      </c>
      <c r="D2" s="318"/>
      <c r="E2" s="318" t="s">
        <v>1</v>
      </c>
      <c r="F2" s="318"/>
      <c r="G2" s="318" t="s">
        <v>2</v>
      </c>
      <c r="H2" s="318"/>
      <c r="I2" s="318" t="s">
        <v>3</v>
      </c>
      <c r="J2" s="318"/>
      <c r="K2" s="318" t="s">
        <v>4</v>
      </c>
      <c r="L2" s="318"/>
      <c r="M2" s="319" t="s">
        <v>28</v>
      </c>
      <c r="N2" s="320"/>
      <c r="P2" s="237" t="s">
        <v>17</v>
      </c>
      <c r="Q2" s="238"/>
    </row>
    <row r="3" spans="1:17" ht="24.95" customHeight="1">
      <c r="A3" s="285"/>
      <c r="B3" s="286"/>
      <c r="C3" s="250"/>
      <c r="D3" s="250"/>
      <c r="E3" s="313"/>
      <c r="F3" s="313"/>
      <c r="G3" s="313"/>
      <c r="H3" s="313"/>
      <c r="I3" s="313"/>
      <c r="J3" s="313"/>
      <c r="K3" s="313"/>
      <c r="L3" s="313"/>
      <c r="M3" s="286"/>
      <c r="N3" s="287"/>
      <c r="P3" s="11" t="s">
        <v>18</v>
      </c>
      <c r="Q3" s="12">
        <v>0.125</v>
      </c>
    </row>
    <row r="4" spans="1:17" ht="24.95" customHeight="1">
      <c r="A4" s="285"/>
      <c r="B4" s="286"/>
      <c r="C4" s="250"/>
      <c r="D4" s="250"/>
      <c r="E4" s="313"/>
      <c r="F4" s="313"/>
      <c r="G4" s="313"/>
      <c r="H4" s="313"/>
      <c r="I4" s="313"/>
      <c r="J4" s="313"/>
      <c r="K4" s="313"/>
      <c r="L4" s="313"/>
      <c r="M4" s="286"/>
      <c r="N4" s="287"/>
      <c r="P4" s="11" t="s">
        <v>19</v>
      </c>
      <c r="Q4" s="12">
        <v>0.25</v>
      </c>
    </row>
    <row r="5" spans="1:17" ht="24.95" customHeight="1">
      <c r="A5" s="285"/>
      <c r="B5" s="286"/>
      <c r="C5" s="250"/>
      <c r="D5" s="250"/>
      <c r="E5" s="313"/>
      <c r="F5" s="313"/>
      <c r="G5" s="313"/>
      <c r="H5" s="313"/>
      <c r="I5" s="313"/>
      <c r="J5" s="313"/>
      <c r="K5" s="313"/>
      <c r="L5" s="313"/>
      <c r="M5" s="286"/>
      <c r="N5" s="287"/>
      <c r="P5" s="11" t="s">
        <v>20</v>
      </c>
      <c r="Q5" s="12">
        <v>0.375</v>
      </c>
    </row>
    <row r="6" spans="1:17" ht="24.95" customHeight="1">
      <c r="A6" s="285"/>
      <c r="B6" s="286"/>
      <c r="C6" s="250"/>
      <c r="D6" s="250"/>
      <c r="E6" s="313"/>
      <c r="F6" s="313"/>
      <c r="G6" s="313"/>
      <c r="H6" s="313"/>
      <c r="I6" s="313"/>
      <c r="J6" s="313"/>
      <c r="K6" s="313"/>
      <c r="L6" s="313"/>
      <c r="M6" s="286"/>
      <c r="N6" s="287"/>
      <c r="P6" s="11" t="s">
        <v>21</v>
      </c>
      <c r="Q6" s="12">
        <v>0.33300000000000002</v>
      </c>
    </row>
    <row r="7" spans="1:17" ht="24.95" customHeight="1">
      <c r="A7" s="285"/>
      <c r="B7" s="286"/>
      <c r="C7" s="256"/>
      <c r="D7" s="257"/>
      <c r="E7" s="311"/>
      <c r="F7" s="312"/>
      <c r="G7" s="311"/>
      <c r="H7" s="312"/>
      <c r="I7" s="311"/>
      <c r="J7" s="312"/>
      <c r="K7" s="311"/>
      <c r="L7" s="312"/>
      <c r="M7" s="286"/>
      <c r="N7" s="287"/>
      <c r="P7" s="11" t="s">
        <v>22</v>
      </c>
      <c r="Q7" s="12">
        <v>0.5</v>
      </c>
    </row>
    <row r="8" spans="1:17" ht="24.95" customHeight="1">
      <c r="A8" s="285"/>
      <c r="B8" s="286"/>
      <c r="C8" s="250"/>
      <c r="D8" s="250"/>
      <c r="E8" s="313"/>
      <c r="F8" s="313"/>
      <c r="G8" s="313"/>
      <c r="H8" s="313"/>
      <c r="I8" s="313"/>
      <c r="J8" s="313"/>
      <c r="K8" s="313"/>
      <c r="L8" s="313"/>
      <c r="M8" s="286"/>
      <c r="N8" s="287"/>
      <c r="P8" s="11" t="s">
        <v>23</v>
      </c>
      <c r="Q8" s="12">
        <v>0.625</v>
      </c>
    </row>
    <row r="9" spans="1:17" ht="24.95" customHeight="1">
      <c r="A9" s="285"/>
      <c r="B9" s="286"/>
      <c r="C9" s="311"/>
      <c r="D9" s="312"/>
      <c r="E9" s="311"/>
      <c r="F9" s="312"/>
      <c r="G9" s="311"/>
      <c r="H9" s="312"/>
      <c r="I9" s="311"/>
      <c r="J9" s="312"/>
      <c r="K9" s="311"/>
      <c r="L9" s="312"/>
      <c r="M9" s="286"/>
      <c r="N9" s="287"/>
      <c r="P9" s="11" t="s">
        <v>24</v>
      </c>
      <c r="Q9" s="12">
        <v>0.66600000000000004</v>
      </c>
    </row>
    <row r="10" spans="1:17" s="76" customFormat="1" ht="24.95" customHeight="1">
      <c r="A10" s="285"/>
      <c r="B10" s="286"/>
      <c r="C10" s="311"/>
      <c r="D10" s="312"/>
      <c r="E10" s="311"/>
      <c r="F10" s="312"/>
      <c r="G10" s="311"/>
      <c r="H10" s="312"/>
      <c r="I10" s="311"/>
      <c r="J10" s="312"/>
      <c r="K10" s="311"/>
      <c r="L10" s="312"/>
      <c r="M10" s="286"/>
      <c r="N10" s="287"/>
      <c r="P10" s="11"/>
      <c r="Q10" s="12"/>
    </row>
    <row r="11" spans="1:17" s="76" customFormat="1" ht="24.95" customHeight="1">
      <c r="A11" s="285"/>
      <c r="B11" s="286"/>
      <c r="C11" s="311"/>
      <c r="D11" s="312"/>
      <c r="E11" s="311"/>
      <c r="F11" s="312"/>
      <c r="G11" s="311"/>
      <c r="H11" s="312"/>
      <c r="I11" s="311"/>
      <c r="J11" s="312"/>
      <c r="K11" s="311"/>
      <c r="L11" s="312"/>
      <c r="M11" s="286"/>
      <c r="N11" s="287"/>
      <c r="P11" s="11"/>
      <c r="Q11" s="12"/>
    </row>
    <row r="12" spans="1:17" s="76" customFormat="1" ht="24.95" customHeight="1">
      <c r="A12" s="285"/>
      <c r="B12" s="286"/>
      <c r="C12" s="311"/>
      <c r="D12" s="312"/>
      <c r="E12" s="311"/>
      <c r="F12" s="312"/>
      <c r="G12" s="374"/>
      <c r="H12" s="375"/>
      <c r="I12" s="311"/>
      <c r="J12" s="312"/>
      <c r="K12" s="311"/>
      <c r="L12" s="312"/>
      <c r="M12" s="286"/>
      <c r="N12" s="287"/>
      <c r="P12" s="11"/>
      <c r="Q12" s="12"/>
    </row>
    <row r="13" spans="1:17" ht="24.95" customHeight="1">
      <c r="A13" s="285"/>
      <c r="B13" s="286"/>
      <c r="C13" s="313"/>
      <c r="D13" s="313"/>
      <c r="E13" s="313"/>
      <c r="F13" s="313"/>
      <c r="G13" s="313"/>
      <c r="H13" s="313"/>
      <c r="I13" s="313"/>
      <c r="J13" s="313"/>
      <c r="K13" s="313"/>
      <c r="L13" s="313"/>
      <c r="M13" s="286"/>
      <c r="N13" s="287"/>
      <c r="P13" s="11" t="s">
        <v>25</v>
      </c>
      <c r="Q13" s="12">
        <v>0.75</v>
      </c>
    </row>
    <row r="14" spans="1:17">
      <c r="A14" s="316"/>
      <c r="B14" s="317"/>
      <c r="C14" s="303"/>
      <c r="D14" s="304"/>
      <c r="E14" s="304"/>
      <c r="F14" s="304"/>
      <c r="G14" s="304"/>
      <c r="H14" s="304"/>
      <c r="I14" s="304"/>
      <c r="J14" s="304"/>
      <c r="K14" s="304"/>
      <c r="L14" s="305"/>
      <c r="M14" s="317"/>
      <c r="N14" s="321"/>
      <c r="P14" s="11" t="s">
        <v>27</v>
      </c>
      <c r="Q14" s="12">
        <v>0.875</v>
      </c>
    </row>
    <row r="15" spans="1:17" s="76" customFormat="1">
      <c r="A15" s="171"/>
      <c r="B15" s="172" t="s">
        <v>143</v>
      </c>
      <c r="C15" s="154"/>
      <c r="D15" s="71" t="s">
        <v>9</v>
      </c>
      <c r="E15" s="154"/>
      <c r="F15" s="71" t="s">
        <v>9</v>
      </c>
      <c r="G15" s="154"/>
      <c r="H15" s="71" t="s">
        <v>9</v>
      </c>
      <c r="I15" s="154"/>
      <c r="J15" s="71" t="s">
        <v>9</v>
      </c>
      <c r="K15" s="154"/>
      <c r="L15" s="71" t="s">
        <v>9</v>
      </c>
      <c r="M15" s="66">
        <f>C15+E15+G15+I15+K15</f>
        <v>0</v>
      </c>
      <c r="N15" s="69" t="str">
        <f>IF(AND(M15&gt;=10,M15&lt;=12),"Yes","No")</f>
        <v>No</v>
      </c>
      <c r="P15" s="11"/>
      <c r="Q15" s="12"/>
    </row>
    <row r="16" spans="1:17" ht="30" customHeight="1">
      <c r="A16" s="306" t="s">
        <v>43</v>
      </c>
      <c r="B16" s="307"/>
      <c r="C16" s="308"/>
      <c r="D16" s="309"/>
      <c r="E16" s="310"/>
      <c r="F16" s="310"/>
      <c r="G16" s="310"/>
      <c r="H16" s="310"/>
      <c r="I16" s="310"/>
      <c r="J16" s="310"/>
      <c r="K16" s="310"/>
      <c r="L16" s="310"/>
      <c r="M16" s="290"/>
      <c r="N16" s="291"/>
      <c r="P16" s="11" t="s">
        <v>26</v>
      </c>
      <c r="Q16" s="12">
        <v>1</v>
      </c>
    </row>
    <row r="17" spans="1:18">
      <c r="A17" s="173"/>
      <c r="B17" s="174" t="s">
        <v>144</v>
      </c>
      <c r="C17" s="70"/>
      <c r="D17" s="71" t="s">
        <v>9</v>
      </c>
      <c r="E17" s="70"/>
      <c r="F17" s="71" t="s">
        <v>9</v>
      </c>
      <c r="G17" s="70"/>
      <c r="H17" s="71" t="s">
        <v>9</v>
      </c>
      <c r="I17" s="70"/>
      <c r="J17" s="71" t="s">
        <v>9</v>
      </c>
      <c r="K17" s="70"/>
      <c r="L17" s="71" t="s">
        <v>9</v>
      </c>
      <c r="M17" s="66">
        <f>C17+E17+G17+I17+K17</f>
        <v>0</v>
      </c>
      <c r="N17" s="69" t="str">
        <f>IF(AND(M17&gt;=10,M17&lt;=12),"Yes","No")</f>
        <v>No</v>
      </c>
      <c r="P17" s="72"/>
      <c r="Q17" s="72"/>
    </row>
    <row r="18" spans="1:18" s="76" customFormat="1">
      <c r="A18" s="165"/>
      <c r="B18" s="166"/>
      <c r="C18" s="167"/>
      <c r="D18" s="168"/>
      <c r="E18" s="167"/>
      <c r="F18" s="168"/>
      <c r="G18" s="167"/>
      <c r="H18" s="168"/>
      <c r="I18" s="167"/>
      <c r="J18" s="168"/>
      <c r="K18" s="167"/>
      <c r="L18" s="168"/>
      <c r="M18" s="169"/>
      <c r="N18" s="170"/>
      <c r="P18" s="2"/>
      <c r="Q18" s="2"/>
    </row>
    <row r="19" spans="1:18" s="76" customFormat="1">
      <c r="A19" s="175"/>
      <c r="B19" s="176" t="s">
        <v>143</v>
      </c>
      <c r="C19" s="164"/>
      <c r="D19" s="29" t="s">
        <v>9</v>
      </c>
      <c r="E19" s="164"/>
      <c r="F19" s="29" t="s">
        <v>9</v>
      </c>
      <c r="G19" s="164"/>
      <c r="H19" s="29" t="s">
        <v>9</v>
      </c>
      <c r="I19" s="164"/>
      <c r="J19" s="29" t="s">
        <v>9</v>
      </c>
      <c r="K19" s="164"/>
      <c r="L19" s="29" t="s">
        <v>9</v>
      </c>
      <c r="M19" s="27">
        <f>C19+E19+G19+I19+K19</f>
        <v>0</v>
      </c>
      <c r="N19" s="30" t="str">
        <f>IF(AND(M19&gt;=10,M19&lt;=12),"Yes","No")</f>
        <v>No</v>
      </c>
      <c r="P19" s="2"/>
      <c r="Q19" s="2"/>
    </row>
    <row r="20" spans="1:18" s="76" customFormat="1" ht="15" customHeight="1">
      <c r="A20" s="292" t="s">
        <v>146</v>
      </c>
      <c r="B20" s="293"/>
      <c r="C20" s="294"/>
      <c r="D20" s="295"/>
      <c r="E20" s="294"/>
      <c r="F20" s="295"/>
      <c r="G20" s="294"/>
      <c r="H20" s="295"/>
      <c r="I20" s="294"/>
      <c r="J20" s="295"/>
      <c r="K20" s="294"/>
      <c r="L20" s="295"/>
      <c r="M20" s="298"/>
      <c r="N20" s="299"/>
      <c r="P20" s="2"/>
      <c r="Q20" s="2"/>
    </row>
    <row r="21" spans="1:18" s="76" customFormat="1" ht="15" customHeight="1">
      <c r="A21" s="292" t="s">
        <v>147</v>
      </c>
      <c r="B21" s="302"/>
      <c r="C21" s="296"/>
      <c r="D21" s="297"/>
      <c r="E21" s="296"/>
      <c r="F21" s="297"/>
      <c r="G21" s="296"/>
      <c r="H21" s="297"/>
      <c r="I21" s="296"/>
      <c r="J21" s="297"/>
      <c r="K21" s="296"/>
      <c r="L21" s="297"/>
      <c r="M21" s="300"/>
      <c r="N21" s="301"/>
      <c r="P21" s="2"/>
      <c r="Q21" s="2"/>
    </row>
    <row r="22" spans="1:18" s="76" customFormat="1">
      <c r="A22" s="156"/>
      <c r="B22" s="177" t="s">
        <v>144</v>
      </c>
      <c r="C22" s="28"/>
      <c r="D22" s="29" t="s">
        <v>9</v>
      </c>
      <c r="E22" s="28"/>
      <c r="F22" s="29" t="s">
        <v>9</v>
      </c>
      <c r="G22" s="28"/>
      <c r="H22" s="29" t="s">
        <v>9</v>
      </c>
      <c r="I22" s="28"/>
      <c r="J22" s="29" t="s">
        <v>9</v>
      </c>
      <c r="K22" s="28"/>
      <c r="L22" s="29" t="s">
        <v>9</v>
      </c>
      <c r="M22" s="27">
        <f>C22+E22+G22+I22+K22</f>
        <v>0</v>
      </c>
      <c r="N22" s="30" t="str">
        <f>IF(AND(M22&gt;=10,M22&lt;=12),"Yes","No")</f>
        <v>No</v>
      </c>
      <c r="P22" s="2"/>
      <c r="Q22" s="2"/>
    </row>
    <row r="23" spans="1:18">
      <c r="A23" s="285" t="s">
        <v>51</v>
      </c>
      <c r="B23" s="286"/>
      <c r="C23" s="286"/>
      <c r="D23" s="286"/>
      <c r="E23" s="286"/>
      <c r="F23" s="286"/>
      <c r="G23" s="286"/>
      <c r="H23" s="286"/>
      <c r="I23" s="286"/>
      <c r="J23" s="286"/>
      <c r="K23" s="286"/>
      <c r="L23" s="286"/>
      <c r="M23" s="286"/>
      <c r="N23" s="287"/>
      <c r="P23" s="259" t="s">
        <v>48</v>
      </c>
      <c r="Q23" s="259"/>
      <c r="R23" s="259"/>
    </row>
    <row r="24" spans="1:18">
      <c r="A24" s="285"/>
      <c r="B24" s="286"/>
      <c r="C24" s="286"/>
      <c r="D24" s="286"/>
      <c r="E24" s="286"/>
      <c r="F24" s="286"/>
      <c r="G24" s="286"/>
      <c r="H24" s="286"/>
      <c r="I24" s="286"/>
      <c r="J24" s="286"/>
      <c r="K24" s="286"/>
      <c r="L24" s="286"/>
      <c r="M24" s="286"/>
      <c r="N24" s="287"/>
      <c r="P24" s="259"/>
      <c r="Q24" s="259"/>
      <c r="R24" s="259"/>
    </row>
    <row r="25" spans="1:18" ht="15" customHeight="1">
      <c r="A25" s="359" t="s">
        <v>29</v>
      </c>
      <c r="B25" s="360"/>
      <c r="C25" s="288"/>
      <c r="D25" s="288"/>
      <c r="E25" s="288"/>
      <c r="F25" s="288"/>
      <c r="G25" s="288"/>
      <c r="H25" s="288"/>
      <c r="I25" s="288"/>
      <c r="J25" s="288"/>
      <c r="K25" s="288"/>
      <c r="L25" s="288"/>
      <c r="M25" s="15"/>
      <c r="N25" s="15"/>
      <c r="P25" s="76"/>
      <c r="Q25" s="76"/>
      <c r="R25" s="76"/>
    </row>
    <row r="26" spans="1:18">
      <c r="A26" s="359"/>
      <c r="B26" s="360"/>
      <c r="C26" s="16"/>
      <c r="D26" s="17" t="s">
        <v>8</v>
      </c>
      <c r="E26" s="16"/>
      <c r="F26" s="17" t="s">
        <v>8</v>
      </c>
      <c r="G26" s="16"/>
      <c r="H26" s="17" t="s">
        <v>8</v>
      </c>
      <c r="I26" s="16"/>
      <c r="J26" s="17" t="s">
        <v>8</v>
      </c>
      <c r="K26" s="16"/>
      <c r="L26" s="17" t="s">
        <v>8</v>
      </c>
      <c r="M26" s="15">
        <f>C26+E26+G26+I26+K26</f>
        <v>0</v>
      </c>
      <c r="N26" s="18" t="str">
        <f>IF(M26 &gt;= 0.5,"Yes","No")</f>
        <v>No</v>
      </c>
      <c r="P26" s="260" t="s">
        <v>49</v>
      </c>
      <c r="Q26" s="260"/>
      <c r="R26" s="76"/>
    </row>
    <row r="27" spans="1:18" ht="15" customHeight="1">
      <c r="A27" s="345" t="s">
        <v>40</v>
      </c>
      <c r="B27" s="346"/>
      <c r="C27" s="289"/>
      <c r="D27" s="289"/>
      <c r="E27" s="289"/>
      <c r="F27" s="289"/>
      <c r="G27" s="289"/>
      <c r="H27" s="289"/>
      <c r="I27" s="289"/>
      <c r="J27" s="289"/>
      <c r="K27" s="289"/>
      <c r="L27" s="289"/>
      <c r="M27" s="19"/>
      <c r="N27" s="19"/>
      <c r="P27" s="260"/>
      <c r="Q27" s="260"/>
      <c r="R27" s="76"/>
    </row>
    <row r="28" spans="1:18">
      <c r="A28" s="345"/>
      <c r="B28" s="346"/>
      <c r="C28" s="20"/>
      <c r="D28" s="21" t="s">
        <v>8</v>
      </c>
      <c r="E28" s="180"/>
      <c r="F28" s="21" t="s">
        <v>8</v>
      </c>
      <c r="G28" s="20"/>
      <c r="H28" s="21" t="s">
        <v>8</v>
      </c>
      <c r="I28" s="20"/>
      <c r="J28" s="21" t="s">
        <v>8</v>
      </c>
      <c r="K28" s="20"/>
      <c r="L28" s="21" t="s">
        <v>8</v>
      </c>
      <c r="M28" s="19">
        <f>C28+E28+G28+I28+K28</f>
        <v>0</v>
      </c>
      <c r="N28" s="22" t="str">
        <f>IF(M28 &gt;= 1.25,"Yes","No")</f>
        <v>No</v>
      </c>
      <c r="P28" s="76"/>
      <c r="Q28" s="76"/>
      <c r="R28" s="76"/>
    </row>
    <row r="29" spans="1:18">
      <c r="A29" s="361" t="s">
        <v>31</v>
      </c>
      <c r="B29" s="362"/>
      <c r="C29" s="275"/>
      <c r="D29" s="275"/>
      <c r="E29" s="275"/>
      <c r="F29" s="275"/>
      <c r="G29" s="275"/>
      <c r="H29" s="275"/>
      <c r="I29" s="275"/>
      <c r="J29" s="275"/>
      <c r="K29" s="275"/>
      <c r="L29" s="275"/>
      <c r="M29" s="23"/>
      <c r="N29" s="23"/>
    </row>
    <row r="30" spans="1:18">
      <c r="A30" s="361"/>
      <c r="B30" s="362"/>
      <c r="C30" s="24"/>
      <c r="D30" s="25" t="s">
        <v>8</v>
      </c>
      <c r="E30" s="24"/>
      <c r="F30" s="25" t="s">
        <v>8</v>
      </c>
      <c r="G30" s="178"/>
      <c r="H30" s="25" t="s">
        <v>8</v>
      </c>
      <c r="I30" s="24"/>
      <c r="J30" s="25" t="s">
        <v>8</v>
      </c>
      <c r="K30" s="24"/>
      <c r="L30" s="25" t="s">
        <v>8</v>
      </c>
      <c r="M30" s="23">
        <f>C30+E30+G30+I30+K30</f>
        <v>0</v>
      </c>
      <c r="N30" s="26" t="str">
        <f>IF(M30 &gt;= 0.5,"Yes","No")</f>
        <v>No</v>
      </c>
    </row>
    <row r="31" spans="1:18">
      <c r="A31" s="365" t="s">
        <v>38</v>
      </c>
      <c r="B31" s="366"/>
      <c r="C31" s="276"/>
      <c r="D31" s="276"/>
      <c r="E31" s="276"/>
      <c r="F31" s="276"/>
      <c r="G31" s="276"/>
      <c r="H31" s="276"/>
      <c r="I31" s="276"/>
      <c r="J31" s="276"/>
      <c r="K31" s="276"/>
      <c r="L31" s="276"/>
      <c r="M31" s="3"/>
      <c r="N31" s="3"/>
    </row>
    <row r="32" spans="1:18">
      <c r="A32" s="365"/>
      <c r="B32" s="366"/>
      <c r="C32" s="179"/>
      <c r="D32" s="7" t="s">
        <v>8</v>
      </c>
      <c r="E32" s="179"/>
      <c r="F32" s="7" t="s">
        <v>8</v>
      </c>
      <c r="G32" s="9"/>
      <c r="H32" s="7" t="s">
        <v>8</v>
      </c>
      <c r="I32" s="179"/>
      <c r="J32" s="7" t="s">
        <v>8</v>
      </c>
      <c r="K32" s="179"/>
      <c r="L32" s="7" t="s">
        <v>8</v>
      </c>
      <c r="M32" s="3">
        <f>C32+E32+G32+I32+K32</f>
        <v>0</v>
      </c>
      <c r="N32" s="8" t="str">
        <f>IF(M32 &gt;= 0.5,"Yes","No")</f>
        <v>No</v>
      </c>
    </row>
    <row r="33" spans="1:14">
      <c r="A33" s="363" t="s">
        <v>41</v>
      </c>
      <c r="B33" s="364"/>
      <c r="C33" s="274"/>
      <c r="D33" s="274"/>
      <c r="E33" s="274"/>
      <c r="F33" s="274"/>
      <c r="G33" s="274"/>
      <c r="H33" s="274"/>
      <c r="I33" s="274"/>
      <c r="J33" s="274"/>
      <c r="K33" s="274"/>
      <c r="L33" s="274"/>
      <c r="M33" s="31"/>
      <c r="N33" s="31"/>
    </row>
    <row r="34" spans="1:14" ht="15.75" thickBot="1">
      <c r="A34" s="363"/>
      <c r="B34" s="364"/>
      <c r="C34" s="60"/>
      <c r="D34" s="61" t="s">
        <v>8</v>
      </c>
      <c r="E34" s="60"/>
      <c r="F34" s="61" t="s">
        <v>8</v>
      </c>
      <c r="G34" s="60"/>
      <c r="H34" s="61" t="s">
        <v>8</v>
      </c>
      <c r="I34" s="60"/>
      <c r="J34" s="61" t="s">
        <v>8</v>
      </c>
      <c r="K34" s="60"/>
      <c r="L34" s="61" t="s">
        <v>8</v>
      </c>
      <c r="M34" s="75">
        <f>C34+E34+G34+I34+K34</f>
        <v>0</v>
      </c>
      <c r="N34" s="59" t="str">
        <f>IF(M34 &gt;= 0.75,"Yes","No")</f>
        <v>No</v>
      </c>
    </row>
    <row r="35" spans="1:14" ht="15" customHeight="1" thickTop="1" thickBot="1">
      <c r="A35" s="278" t="s">
        <v>44</v>
      </c>
      <c r="B35" s="278"/>
      <c r="C35" s="152">
        <f>C26 + C28+ C30+ C32+ C34</f>
        <v>0</v>
      </c>
      <c r="D35" s="153" t="str">
        <f>IF(C35&gt;=1,"Yes","No")</f>
        <v>No</v>
      </c>
      <c r="E35" s="152">
        <f>E26 + E28+ E30+ E32+ E34</f>
        <v>0</v>
      </c>
      <c r="F35" s="153" t="str">
        <f>IF(E35&gt;=1,"Yes","No")</f>
        <v>No</v>
      </c>
      <c r="G35" s="152">
        <f>G26 + G28+ G30+ G32+ G34</f>
        <v>0</v>
      </c>
      <c r="H35" s="153" t="str">
        <f>IF(G35&gt;=1,"Yes","No")</f>
        <v>No</v>
      </c>
      <c r="I35" s="152">
        <f>I26 + I28+ I30+ I32+ I34</f>
        <v>0</v>
      </c>
      <c r="J35" s="153" t="str">
        <f>IF(I35&gt;=1,"Yes","No")</f>
        <v>No</v>
      </c>
      <c r="K35" s="152">
        <f>K26 + K28+ K30+ K32+ K34</f>
        <v>0</v>
      </c>
      <c r="L35" s="153" t="str">
        <f>IF(K35&gt;=1,"Yes","No")</f>
        <v>No</v>
      </c>
      <c r="M35" s="152">
        <f>M26 + M28+ M30+ M32+ M34</f>
        <v>0</v>
      </c>
      <c r="N35" s="152"/>
    </row>
    <row r="36" spans="1:14" ht="15.75" thickTop="1">
      <c r="A36" s="279" t="s">
        <v>16</v>
      </c>
      <c r="B36" s="280"/>
      <c r="C36" s="280"/>
      <c r="D36" s="280"/>
      <c r="E36" s="280"/>
      <c r="F36" s="280"/>
      <c r="G36" s="280"/>
      <c r="H36" s="280"/>
      <c r="I36" s="280"/>
      <c r="J36" s="280"/>
      <c r="K36" s="280"/>
      <c r="L36" s="280"/>
      <c r="M36" s="281"/>
      <c r="N36" s="268" t="str">
        <f>IF(M26+M28+M30+M32+M34 &gt;= 5,"Yes","No")</f>
        <v>No</v>
      </c>
    </row>
    <row r="37" spans="1:14">
      <c r="A37" s="282"/>
      <c r="B37" s="283"/>
      <c r="C37" s="283"/>
      <c r="D37" s="283"/>
      <c r="E37" s="283"/>
      <c r="F37" s="283"/>
      <c r="G37" s="283"/>
      <c r="H37" s="283"/>
      <c r="I37" s="283"/>
      <c r="J37" s="283"/>
      <c r="K37" s="283"/>
      <c r="L37" s="283"/>
      <c r="M37" s="284"/>
      <c r="N37" s="269"/>
    </row>
    <row r="38" spans="1:14" ht="30" customHeight="1">
      <c r="A38" s="270" t="s">
        <v>15</v>
      </c>
      <c r="B38" s="271"/>
      <c r="C38" s="201"/>
      <c r="D38" s="201"/>
      <c r="E38" s="202"/>
      <c r="F38" s="203"/>
      <c r="G38" s="203"/>
      <c r="H38" s="203"/>
      <c r="I38" s="203"/>
      <c r="J38" s="203"/>
      <c r="K38" s="203"/>
      <c r="L38" s="203"/>
      <c r="M38" s="54"/>
      <c r="N38" s="54"/>
    </row>
    <row r="39" spans="1:14">
      <c r="A39" s="272"/>
      <c r="B39" s="273"/>
      <c r="C39" s="55"/>
      <c r="D39" s="56" t="s">
        <v>8</v>
      </c>
      <c r="E39" s="57"/>
      <c r="F39" s="56" t="s">
        <v>8</v>
      </c>
      <c r="G39" s="55"/>
      <c r="H39" s="56" t="s">
        <v>8</v>
      </c>
      <c r="I39" s="55"/>
      <c r="J39" s="56" t="s">
        <v>8</v>
      </c>
      <c r="K39" s="55"/>
      <c r="L39" s="56" t="s">
        <v>8</v>
      </c>
      <c r="M39" s="54">
        <f>C39+E39+G39+I39+K39</f>
        <v>0</v>
      </c>
      <c r="N39" s="58" t="str">
        <f>IF(M39 &gt;= 5,"Yes","No")</f>
        <v>No</v>
      </c>
    </row>
    <row r="40" spans="1:14">
      <c r="A40" s="197" t="s">
        <v>36</v>
      </c>
      <c r="B40" s="198"/>
      <c r="C40" s="277" t="s">
        <v>11</v>
      </c>
      <c r="D40" s="277"/>
      <c r="E40" s="277" t="s">
        <v>11</v>
      </c>
      <c r="F40" s="277"/>
      <c r="G40" s="277" t="s">
        <v>11</v>
      </c>
      <c r="H40" s="277"/>
      <c r="I40" s="277" t="s">
        <v>11</v>
      </c>
      <c r="J40" s="277"/>
      <c r="K40" s="277" t="s">
        <v>11</v>
      </c>
      <c r="L40" s="277"/>
      <c r="M40" s="4"/>
      <c r="N40" s="4"/>
    </row>
    <row r="41" spans="1:14">
      <c r="A41" s="199"/>
      <c r="B41" s="200"/>
      <c r="C41" s="10">
        <v>1</v>
      </c>
      <c r="D41" s="5" t="s">
        <v>8</v>
      </c>
      <c r="E41" s="10">
        <v>1</v>
      </c>
      <c r="F41" s="5" t="s">
        <v>8</v>
      </c>
      <c r="G41" s="10">
        <v>1</v>
      </c>
      <c r="H41" s="5" t="s">
        <v>10</v>
      </c>
      <c r="I41" s="10">
        <v>1</v>
      </c>
      <c r="J41" s="5" t="s">
        <v>8</v>
      </c>
      <c r="K41" s="10">
        <v>1</v>
      </c>
      <c r="L41" s="5" t="s">
        <v>8</v>
      </c>
      <c r="M41" s="4">
        <f>C41+E41+G41+I41+K41</f>
        <v>5</v>
      </c>
      <c r="N41" s="6" t="str">
        <f>IF(M41 &gt;= 5,"Yes","No")</f>
        <v>Yes</v>
      </c>
    </row>
  </sheetData>
  <sheetProtection password="CA07" sheet="1" objects="1" scenarios="1" insertRows="0" selectLockedCells="1"/>
  <mergeCells count="128">
    <mergeCell ref="P23:R24"/>
    <mergeCell ref="P26:Q27"/>
    <mergeCell ref="A1:N1"/>
    <mergeCell ref="A2:B14"/>
    <mergeCell ref="C2:D2"/>
    <mergeCell ref="E2:F2"/>
    <mergeCell ref="G2:H2"/>
    <mergeCell ref="I2:J2"/>
    <mergeCell ref="K2:L2"/>
    <mergeCell ref="M2:N14"/>
    <mergeCell ref="C3:D3"/>
    <mergeCell ref="E3:F3"/>
    <mergeCell ref="G3:H3"/>
    <mergeCell ref="I3:J3"/>
    <mergeCell ref="K3:L3"/>
    <mergeCell ref="C4:D4"/>
    <mergeCell ref="E4:F4"/>
    <mergeCell ref="G4:H4"/>
    <mergeCell ref="I4:J4"/>
    <mergeCell ref="K4:L4"/>
    <mergeCell ref="C6:D6"/>
    <mergeCell ref="E6:F6"/>
    <mergeCell ref="G6:H6"/>
    <mergeCell ref="I6:J6"/>
    <mergeCell ref="K6:L6"/>
    <mergeCell ref="C5:D5"/>
    <mergeCell ref="E5:F5"/>
    <mergeCell ref="G5:H5"/>
    <mergeCell ref="I5:J5"/>
    <mergeCell ref="K5:L5"/>
    <mergeCell ref="C13:D13"/>
    <mergeCell ref="E13:F13"/>
    <mergeCell ref="G13:H13"/>
    <mergeCell ref="I13:J13"/>
    <mergeCell ref="K13:L13"/>
    <mergeCell ref="C8:D8"/>
    <mergeCell ref="E8:F8"/>
    <mergeCell ref="G8:H8"/>
    <mergeCell ref="I8:J8"/>
    <mergeCell ref="K8:L8"/>
    <mergeCell ref="C9:D9"/>
    <mergeCell ref="E9:F9"/>
    <mergeCell ref="G9:H9"/>
    <mergeCell ref="I9:J9"/>
    <mergeCell ref="K9:L9"/>
    <mergeCell ref="I7:J7"/>
    <mergeCell ref="C7:D7"/>
    <mergeCell ref="K7:L7"/>
    <mergeCell ref="A38:B39"/>
    <mergeCell ref="C38:D38"/>
    <mergeCell ref="E38:F38"/>
    <mergeCell ref="G38:H38"/>
    <mergeCell ref="I38:J38"/>
    <mergeCell ref="K38:L38"/>
    <mergeCell ref="A23:N24"/>
    <mergeCell ref="A25:B26"/>
    <mergeCell ref="C25:D25"/>
    <mergeCell ref="E25:F25"/>
    <mergeCell ref="G25:H25"/>
    <mergeCell ref="I25:J25"/>
    <mergeCell ref="K25:L25"/>
    <mergeCell ref="A35:B35"/>
    <mergeCell ref="K31:L31"/>
    <mergeCell ref="A33:B34"/>
    <mergeCell ref="C33:D33"/>
    <mergeCell ref="E33:F33"/>
    <mergeCell ref="I33:J33"/>
    <mergeCell ref="K29:L29"/>
    <mergeCell ref="A27:B28"/>
    <mergeCell ref="C27:D27"/>
    <mergeCell ref="E27:F27"/>
    <mergeCell ref="G27:H27"/>
    <mergeCell ref="P2:Q2"/>
    <mergeCell ref="K40:L40"/>
    <mergeCell ref="C16:D16"/>
    <mergeCell ref="E16:F16"/>
    <mergeCell ref="G16:H16"/>
    <mergeCell ref="I16:J16"/>
    <mergeCell ref="K16:L16"/>
    <mergeCell ref="A40:B41"/>
    <mergeCell ref="C40:D40"/>
    <mergeCell ref="E40:F40"/>
    <mergeCell ref="G40:H40"/>
    <mergeCell ref="I40:J40"/>
    <mergeCell ref="A36:M37"/>
    <mergeCell ref="N36:N37"/>
    <mergeCell ref="E7:F7"/>
    <mergeCell ref="G7:H7"/>
    <mergeCell ref="K33:L33"/>
    <mergeCell ref="A31:B32"/>
    <mergeCell ref="C31:D31"/>
    <mergeCell ref="E31:F31"/>
    <mergeCell ref="G31:H31"/>
    <mergeCell ref="I31:J31"/>
    <mergeCell ref="G33:H33"/>
    <mergeCell ref="C14:L14"/>
    <mergeCell ref="M16:N16"/>
    <mergeCell ref="A21:B21"/>
    <mergeCell ref="C20:D21"/>
    <mergeCell ref="E20:F21"/>
    <mergeCell ref="G20:H21"/>
    <mergeCell ref="I20:J21"/>
    <mergeCell ref="K20:L21"/>
    <mergeCell ref="M20:N21"/>
    <mergeCell ref="A16:B16"/>
    <mergeCell ref="A20:B20"/>
    <mergeCell ref="I10:J10"/>
    <mergeCell ref="I11:J11"/>
    <mergeCell ref="I12:J12"/>
    <mergeCell ref="K10:L10"/>
    <mergeCell ref="K11:L11"/>
    <mergeCell ref="K12:L12"/>
    <mergeCell ref="K27:L27"/>
    <mergeCell ref="A29:B30"/>
    <mergeCell ref="C29:D29"/>
    <mergeCell ref="E29:F29"/>
    <mergeCell ref="G29:H29"/>
    <mergeCell ref="I29:J29"/>
    <mergeCell ref="I27:J27"/>
    <mergeCell ref="C10:D10"/>
    <mergeCell ref="C11:D11"/>
    <mergeCell ref="C12:D12"/>
    <mergeCell ref="E10:F10"/>
    <mergeCell ref="E11:F11"/>
    <mergeCell ref="E12:F12"/>
    <mergeCell ref="G10:H10"/>
    <mergeCell ref="G11:H11"/>
    <mergeCell ref="G12:H12"/>
  </mergeCells>
  <conditionalFormatting sqref="N39 N41 N15 N26 N28 N30 N32 N34 N36:N37 N22 N17:N19">
    <cfRule type="cellIs" dxfId="22" priority="25" operator="equal">
      <formula>"No"</formula>
    </cfRule>
  </conditionalFormatting>
  <conditionalFormatting sqref="D35 F35 H35 J35 L35">
    <cfRule type="containsText" dxfId="21" priority="15" operator="containsText" text="No">
      <formula>NOT(ISERROR(SEARCH("No",D35)))</formula>
    </cfRule>
  </conditionalFormatting>
  <pageMargins left="0.2" right="0.2" top="0.22" bottom="0.14000000000000001" header="0.3" footer="0.3"/>
  <pageSetup orientation="landscape" r:id="rId1"/>
</worksheet>
</file>

<file path=xl/worksheets/sheet8.xml><?xml version="1.0" encoding="utf-8"?>
<worksheet xmlns="http://schemas.openxmlformats.org/spreadsheetml/2006/main" xmlns:r="http://schemas.openxmlformats.org/officeDocument/2006/relationships">
  <dimension ref="A1:R40"/>
  <sheetViews>
    <sheetView topLeftCell="A16" workbookViewId="0">
      <selection activeCell="E25" sqref="E25"/>
    </sheetView>
  </sheetViews>
  <sheetFormatPr defaultRowHeight="15"/>
  <cols>
    <col min="1" max="1" width="9.140625" style="76"/>
    <col min="2" max="2" width="14.5703125" style="76" customWidth="1"/>
    <col min="3" max="16384" width="9.140625" style="76"/>
  </cols>
  <sheetData>
    <row r="1" spans="1:17">
      <c r="A1" s="239" t="s">
        <v>12</v>
      </c>
      <c r="B1" s="240"/>
      <c r="C1" s="240"/>
      <c r="D1" s="240"/>
      <c r="E1" s="240"/>
      <c r="F1" s="240"/>
      <c r="G1" s="240"/>
      <c r="H1" s="240"/>
      <c r="I1" s="240"/>
      <c r="J1" s="240"/>
      <c r="K1" s="240"/>
      <c r="L1" s="240"/>
      <c r="M1" s="240"/>
      <c r="N1" s="241"/>
    </row>
    <row r="2" spans="1:17">
      <c r="A2" s="314" t="s">
        <v>5</v>
      </c>
      <c r="B2" s="315"/>
      <c r="C2" s="239" t="s">
        <v>0</v>
      </c>
      <c r="D2" s="241"/>
      <c r="E2" s="239" t="s">
        <v>1</v>
      </c>
      <c r="F2" s="241"/>
      <c r="G2" s="239" t="s">
        <v>2</v>
      </c>
      <c r="H2" s="241"/>
      <c r="I2" s="239" t="s">
        <v>3</v>
      </c>
      <c r="J2" s="241"/>
      <c r="K2" s="239" t="s">
        <v>4</v>
      </c>
      <c r="L2" s="241"/>
      <c r="M2" s="319" t="s">
        <v>28</v>
      </c>
      <c r="N2" s="320"/>
      <c r="P2" s="237" t="s">
        <v>17</v>
      </c>
      <c r="Q2" s="238"/>
    </row>
    <row r="3" spans="1:17" ht="50.1" customHeight="1">
      <c r="A3" s="285"/>
      <c r="B3" s="286"/>
      <c r="C3" s="401" t="s">
        <v>187</v>
      </c>
      <c r="D3" s="402"/>
      <c r="E3" s="401" t="s">
        <v>204</v>
      </c>
      <c r="F3" s="402"/>
      <c r="G3" s="401" t="s">
        <v>188</v>
      </c>
      <c r="H3" s="402"/>
      <c r="I3" s="401" t="s">
        <v>189</v>
      </c>
      <c r="J3" s="402"/>
      <c r="K3" s="401" t="s">
        <v>190</v>
      </c>
      <c r="L3" s="402"/>
      <c r="M3" s="286"/>
      <c r="N3" s="287"/>
      <c r="P3" s="11" t="s">
        <v>18</v>
      </c>
      <c r="Q3" s="12">
        <v>0.125</v>
      </c>
    </row>
    <row r="4" spans="1:17" ht="39.950000000000003" customHeight="1">
      <c r="A4" s="285"/>
      <c r="B4" s="286"/>
      <c r="C4" s="403" t="s">
        <v>156</v>
      </c>
      <c r="D4" s="404"/>
      <c r="E4" s="401" t="s">
        <v>167</v>
      </c>
      <c r="F4" s="402"/>
      <c r="G4" s="403" t="s">
        <v>170</v>
      </c>
      <c r="H4" s="404"/>
      <c r="I4" s="403" t="s">
        <v>200</v>
      </c>
      <c r="J4" s="404"/>
      <c r="K4" s="256" t="s">
        <v>192</v>
      </c>
      <c r="L4" s="258"/>
      <c r="M4" s="286"/>
      <c r="N4" s="287"/>
      <c r="P4" s="11" t="s">
        <v>19</v>
      </c>
      <c r="Q4" s="12">
        <v>0.25</v>
      </c>
    </row>
    <row r="5" spans="1:17" ht="39.950000000000003" customHeight="1">
      <c r="A5" s="285"/>
      <c r="B5" s="286"/>
      <c r="C5" s="311" t="s">
        <v>155</v>
      </c>
      <c r="D5" s="312"/>
      <c r="E5" s="311" t="s">
        <v>164</v>
      </c>
      <c r="F5" s="312"/>
      <c r="G5" s="405" t="s">
        <v>191</v>
      </c>
      <c r="H5" s="406"/>
      <c r="I5" s="256" t="s">
        <v>185</v>
      </c>
      <c r="J5" s="258"/>
      <c r="K5" s="256" t="s">
        <v>193</v>
      </c>
      <c r="L5" s="258"/>
      <c r="M5" s="286"/>
      <c r="N5" s="287"/>
      <c r="P5" s="11"/>
      <c r="Q5" s="12"/>
    </row>
    <row r="6" spans="1:17" ht="24.95" customHeight="1">
      <c r="A6" s="285"/>
      <c r="B6" s="286"/>
      <c r="C6" s="311" t="s">
        <v>201</v>
      </c>
      <c r="D6" s="312"/>
      <c r="E6" s="311" t="s">
        <v>161</v>
      </c>
      <c r="F6" s="312"/>
      <c r="G6" s="256" t="s">
        <v>90</v>
      </c>
      <c r="H6" s="258"/>
      <c r="I6" s="256" t="s">
        <v>171</v>
      </c>
      <c r="J6" s="258"/>
      <c r="K6" s="256" t="s">
        <v>177</v>
      </c>
      <c r="L6" s="258"/>
      <c r="M6" s="286"/>
      <c r="N6" s="287"/>
      <c r="P6" s="11"/>
      <c r="Q6" s="12"/>
    </row>
    <row r="7" spans="1:17" ht="24.95" customHeight="1">
      <c r="A7" s="285"/>
      <c r="B7" s="286"/>
      <c r="C7" s="256" t="s">
        <v>165</v>
      </c>
      <c r="D7" s="258"/>
      <c r="E7" s="256" t="s">
        <v>169</v>
      </c>
      <c r="F7" s="258"/>
      <c r="G7" s="256" t="s">
        <v>85</v>
      </c>
      <c r="H7" s="258"/>
      <c r="I7" s="256" t="s">
        <v>172</v>
      </c>
      <c r="J7" s="258"/>
      <c r="K7" s="256" t="s">
        <v>178</v>
      </c>
      <c r="L7" s="258"/>
      <c r="M7" s="286"/>
      <c r="N7" s="287"/>
      <c r="P7" s="11"/>
      <c r="Q7" s="12"/>
    </row>
    <row r="8" spans="1:17" ht="24.95" customHeight="1">
      <c r="A8" s="285"/>
      <c r="B8" s="286"/>
      <c r="C8" s="256" t="s">
        <v>87</v>
      </c>
      <c r="D8" s="258"/>
      <c r="E8" s="256" t="s">
        <v>168</v>
      </c>
      <c r="F8" s="258"/>
      <c r="G8" s="256" t="s">
        <v>80</v>
      </c>
      <c r="H8" s="258"/>
      <c r="I8" s="256" t="s">
        <v>79</v>
      </c>
      <c r="J8" s="258"/>
      <c r="K8" s="256" t="s">
        <v>179</v>
      </c>
      <c r="L8" s="258"/>
      <c r="M8" s="286"/>
      <c r="N8" s="287"/>
      <c r="P8" s="11" t="s">
        <v>20</v>
      </c>
      <c r="Q8" s="12">
        <v>0.375</v>
      </c>
    </row>
    <row r="9" spans="1:17" ht="24.95" customHeight="1">
      <c r="A9" s="285"/>
      <c r="B9" s="286"/>
      <c r="C9" s="256" t="s">
        <v>82</v>
      </c>
      <c r="D9" s="258"/>
      <c r="E9" s="256" t="s">
        <v>81</v>
      </c>
      <c r="F9" s="258"/>
      <c r="G9" s="311" t="s">
        <v>180</v>
      </c>
      <c r="H9" s="312"/>
      <c r="I9" s="311" t="s">
        <v>183</v>
      </c>
      <c r="J9" s="312"/>
      <c r="K9" s="256" t="s">
        <v>182</v>
      </c>
      <c r="L9" s="258"/>
      <c r="M9" s="286"/>
      <c r="N9" s="287"/>
      <c r="P9" s="11" t="s">
        <v>21</v>
      </c>
      <c r="Q9" s="12">
        <v>0.33300000000000002</v>
      </c>
    </row>
    <row r="10" spans="1:17" ht="24.95" customHeight="1">
      <c r="A10" s="285"/>
      <c r="B10" s="286"/>
      <c r="C10" s="313" t="s">
        <v>154</v>
      </c>
      <c r="D10" s="313"/>
      <c r="E10" s="313" t="s">
        <v>162</v>
      </c>
      <c r="F10" s="313"/>
      <c r="G10" s="400"/>
      <c r="H10" s="400"/>
      <c r="I10" s="313" t="s">
        <v>195</v>
      </c>
      <c r="J10" s="313"/>
      <c r="K10" s="398" t="s">
        <v>194</v>
      </c>
      <c r="L10" s="399"/>
      <c r="M10" s="286"/>
      <c r="N10" s="287"/>
      <c r="P10" s="11" t="s">
        <v>22</v>
      </c>
      <c r="Q10" s="12">
        <v>0.5</v>
      </c>
    </row>
    <row r="11" spans="1:17" ht="24.95" customHeight="1">
      <c r="A11" s="285"/>
      <c r="B11" s="286"/>
      <c r="C11" s="313" t="s">
        <v>153</v>
      </c>
      <c r="D11" s="313"/>
      <c r="E11" s="400"/>
      <c r="F11" s="400"/>
      <c r="G11" s="400"/>
      <c r="H11" s="400"/>
      <c r="I11" s="400"/>
      <c r="J11" s="400"/>
      <c r="K11" s="400"/>
      <c r="L11" s="400"/>
      <c r="M11" s="286"/>
      <c r="N11" s="287"/>
      <c r="P11" s="11" t="s">
        <v>24</v>
      </c>
      <c r="Q11" s="12">
        <v>0.66600000000000004</v>
      </c>
    </row>
    <row r="12" spans="1:17" ht="24.95" customHeight="1">
      <c r="A12" s="285"/>
      <c r="B12" s="286"/>
      <c r="C12" s="256" t="s">
        <v>11</v>
      </c>
      <c r="D12" s="258"/>
      <c r="E12" s="256" t="s">
        <v>11</v>
      </c>
      <c r="F12" s="258"/>
      <c r="G12" s="256" t="s">
        <v>11</v>
      </c>
      <c r="H12" s="258"/>
      <c r="I12" s="256" t="s">
        <v>11</v>
      </c>
      <c r="J12" s="258"/>
      <c r="K12" s="256" t="s">
        <v>11</v>
      </c>
      <c r="L12" s="258"/>
      <c r="M12" s="286"/>
      <c r="N12" s="287"/>
      <c r="P12" s="11"/>
      <c r="Q12" s="12"/>
    </row>
    <row r="13" spans="1:17">
      <c r="A13" s="316"/>
      <c r="B13" s="317"/>
      <c r="C13" s="303"/>
      <c r="D13" s="304"/>
      <c r="E13" s="304"/>
      <c r="F13" s="304"/>
      <c r="G13" s="304"/>
      <c r="H13" s="304"/>
      <c r="I13" s="304"/>
      <c r="J13" s="304"/>
      <c r="K13" s="304"/>
      <c r="L13" s="305"/>
      <c r="M13" s="317"/>
      <c r="N13" s="321"/>
      <c r="P13" s="11" t="s">
        <v>27</v>
      </c>
      <c r="Q13" s="12">
        <v>0.875</v>
      </c>
    </row>
    <row r="14" spans="1:17">
      <c r="A14" s="171"/>
      <c r="B14" s="172" t="s">
        <v>143</v>
      </c>
      <c r="C14" s="161">
        <v>2</v>
      </c>
      <c r="D14" s="71" t="s">
        <v>9</v>
      </c>
      <c r="E14" s="161">
        <v>2</v>
      </c>
      <c r="F14" s="71" t="s">
        <v>9</v>
      </c>
      <c r="G14" s="161">
        <v>2</v>
      </c>
      <c r="H14" s="71" t="s">
        <v>9</v>
      </c>
      <c r="I14" s="161">
        <v>2</v>
      </c>
      <c r="J14" s="71" t="s">
        <v>9</v>
      </c>
      <c r="K14" s="161">
        <v>2</v>
      </c>
      <c r="L14" s="71" t="s">
        <v>9</v>
      </c>
      <c r="M14" s="66">
        <f>C14+E14+G14+I14+K14</f>
        <v>10</v>
      </c>
      <c r="N14" s="69" t="str">
        <f>IF(AND(M14&gt;=10,M14&lt;=12),"Yes","No")</f>
        <v>Yes</v>
      </c>
      <c r="P14" s="11"/>
      <c r="Q14" s="12"/>
    </row>
    <row r="15" spans="1:17" ht="30" customHeight="1">
      <c r="A15" s="306" t="s">
        <v>43</v>
      </c>
      <c r="B15" s="307"/>
      <c r="C15" s="394" t="s">
        <v>198</v>
      </c>
      <c r="D15" s="395"/>
      <c r="E15" s="396" t="s">
        <v>166</v>
      </c>
      <c r="F15" s="397"/>
      <c r="G15" s="308" t="s">
        <v>199</v>
      </c>
      <c r="H15" s="309"/>
      <c r="I15" s="308" t="s">
        <v>205</v>
      </c>
      <c r="J15" s="397"/>
      <c r="K15" s="396" t="s">
        <v>166</v>
      </c>
      <c r="L15" s="397"/>
      <c r="M15" s="290"/>
      <c r="N15" s="291"/>
      <c r="P15" s="11" t="s">
        <v>26</v>
      </c>
      <c r="Q15" s="12">
        <v>1</v>
      </c>
    </row>
    <row r="16" spans="1:17">
      <c r="A16" s="173"/>
      <c r="B16" s="174" t="s">
        <v>144</v>
      </c>
      <c r="C16" s="161">
        <v>3</v>
      </c>
      <c r="D16" s="71" t="s">
        <v>9</v>
      </c>
      <c r="E16" s="161">
        <v>2</v>
      </c>
      <c r="F16" s="71" t="s">
        <v>9</v>
      </c>
      <c r="G16" s="161">
        <v>2.25</v>
      </c>
      <c r="H16" s="71" t="s">
        <v>9</v>
      </c>
      <c r="I16" s="161">
        <v>2.5</v>
      </c>
      <c r="J16" s="71" t="s">
        <v>9</v>
      </c>
      <c r="K16" s="161">
        <v>2</v>
      </c>
      <c r="L16" s="71" t="s">
        <v>9</v>
      </c>
      <c r="M16" s="66">
        <f>C16+E16+G16+I16+K16</f>
        <v>11.75</v>
      </c>
      <c r="N16" s="69" t="str">
        <f>IF(AND(M16&gt;=10,M16&lt;=12),"Yes","No")</f>
        <v>Yes</v>
      </c>
      <c r="P16" s="72"/>
      <c r="Q16" s="72"/>
    </row>
    <row r="17" spans="1:18">
      <c r="A17" s="165"/>
      <c r="B17" s="166"/>
      <c r="C17" s="167"/>
      <c r="D17" s="168"/>
      <c r="E17" s="167"/>
      <c r="F17" s="168"/>
      <c r="G17" s="167"/>
      <c r="H17" s="168"/>
      <c r="I17" s="167"/>
      <c r="J17" s="168"/>
      <c r="K17" s="167"/>
      <c r="L17" s="168"/>
      <c r="M17" s="169"/>
      <c r="N17" s="170"/>
      <c r="P17" s="2"/>
      <c r="Q17" s="2"/>
    </row>
    <row r="18" spans="1:18">
      <c r="A18" s="175"/>
      <c r="B18" s="176" t="s">
        <v>143</v>
      </c>
      <c r="C18" s="164">
        <v>2.25</v>
      </c>
      <c r="D18" s="29" t="s">
        <v>9</v>
      </c>
      <c r="E18" s="164">
        <v>2</v>
      </c>
      <c r="F18" s="29" t="s">
        <v>9</v>
      </c>
      <c r="G18" s="164">
        <v>2</v>
      </c>
      <c r="H18" s="29" t="s">
        <v>9</v>
      </c>
      <c r="I18" s="164">
        <v>2</v>
      </c>
      <c r="J18" s="29" t="s">
        <v>9</v>
      </c>
      <c r="K18" s="164">
        <v>2</v>
      </c>
      <c r="L18" s="29" t="s">
        <v>9</v>
      </c>
      <c r="M18" s="27">
        <f>C18+E18+G18+I18+K18</f>
        <v>10.25</v>
      </c>
      <c r="N18" s="30" t="str">
        <f>IF(AND(M18&gt;=10,M18&lt;=12),"Yes","No")</f>
        <v>Yes</v>
      </c>
      <c r="P18" s="2"/>
      <c r="Q18" s="2"/>
    </row>
    <row r="19" spans="1:18" ht="15" customHeight="1">
      <c r="A19" s="292" t="s">
        <v>146</v>
      </c>
      <c r="B19" s="293"/>
      <c r="C19" s="294" t="s">
        <v>163</v>
      </c>
      <c r="D19" s="295"/>
      <c r="E19" s="390" t="s">
        <v>203</v>
      </c>
      <c r="F19" s="391"/>
      <c r="G19" s="294" t="s">
        <v>174</v>
      </c>
      <c r="H19" s="295"/>
      <c r="I19" s="390" t="s">
        <v>181</v>
      </c>
      <c r="J19" s="391"/>
      <c r="K19" s="390" t="s">
        <v>202</v>
      </c>
      <c r="L19" s="391"/>
      <c r="M19" s="298"/>
      <c r="N19" s="299"/>
      <c r="P19" s="2"/>
      <c r="Q19" s="2"/>
    </row>
    <row r="20" spans="1:18" ht="15" customHeight="1">
      <c r="A20" s="292" t="s">
        <v>147</v>
      </c>
      <c r="B20" s="302"/>
      <c r="C20" s="296"/>
      <c r="D20" s="297"/>
      <c r="E20" s="392"/>
      <c r="F20" s="393"/>
      <c r="G20" s="296"/>
      <c r="H20" s="297"/>
      <c r="I20" s="392"/>
      <c r="J20" s="393"/>
      <c r="K20" s="392"/>
      <c r="L20" s="393"/>
      <c r="M20" s="300"/>
      <c r="N20" s="301"/>
      <c r="P20" s="2"/>
      <c r="Q20" s="2"/>
    </row>
    <row r="21" spans="1:18">
      <c r="A21" s="156"/>
      <c r="B21" s="177" t="s">
        <v>144</v>
      </c>
      <c r="C21" s="164">
        <v>2.75</v>
      </c>
      <c r="D21" s="29" t="s">
        <v>9</v>
      </c>
      <c r="E21" s="164">
        <v>2</v>
      </c>
      <c r="F21" s="29" t="s">
        <v>9</v>
      </c>
      <c r="G21" s="164">
        <v>2.75</v>
      </c>
      <c r="H21" s="29" t="s">
        <v>9</v>
      </c>
      <c r="I21" s="164">
        <v>2.5</v>
      </c>
      <c r="J21" s="29" t="s">
        <v>9</v>
      </c>
      <c r="K21" s="164">
        <v>2</v>
      </c>
      <c r="L21" s="29" t="s">
        <v>9</v>
      </c>
      <c r="M21" s="27">
        <f>C21+E21+G21+I21+K21</f>
        <v>12</v>
      </c>
      <c r="N21" s="30" t="str">
        <f>IF(AND(M21&gt;=10,M21&lt;=12),"Yes","No")</f>
        <v>Yes</v>
      </c>
      <c r="P21" s="2"/>
      <c r="Q21" s="2"/>
    </row>
    <row r="22" spans="1:18">
      <c r="A22" s="285" t="s">
        <v>51</v>
      </c>
      <c r="B22" s="286"/>
      <c r="C22" s="286"/>
      <c r="D22" s="286"/>
      <c r="E22" s="286"/>
      <c r="F22" s="286"/>
      <c r="G22" s="286"/>
      <c r="H22" s="286"/>
      <c r="I22" s="286"/>
      <c r="J22" s="286"/>
      <c r="K22" s="286"/>
      <c r="L22" s="286"/>
      <c r="M22" s="286"/>
      <c r="N22" s="287"/>
      <c r="P22" s="259" t="s">
        <v>48</v>
      </c>
      <c r="Q22" s="259"/>
      <c r="R22" s="259"/>
    </row>
    <row r="23" spans="1:18">
      <c r="A23" s="285"/>
      <c r="B23" s="286"/>
      <c r="C23" s="286"/>
      <c r="D23" s="286"/>
      <c r="E23" s="286"/>
      <c r="F23" s="286"/>
      <c r="G23" s="286"/>
      <c r="H23" s="286"/>
      <c r="I23" s="286"/>
      <c r="J23" s="286"/>
      <c r="K23" s="286"/>
      <c r="L23" s="286"/>
      <c r="M23" s="286"/>
      <c r="N23" s="287"/>
      <c r="P23" s="259"/>
      <c r="Q23" s="259"/>
      <c r="R23" s="259"/>
    </row>
    <row r="24" spans="1:18" ht="15" customHeight="1">
      <c r="A24" s="359" t="s">
        <v>29</v>
      </c>
      <c r="B24" s="360"/>
      <c r="C24" s="386" t="s">
        <v>157</v>
      </c>
      <c r="D24" s="387"/>
      <c r="E24" s="386"/>
      <c r="F24" s="387"/>
      <c r="G24" s="386"/>
      <c r="H24" s="387"/>
      <c r="I24" s="386" t="s">
        <v>184</v>
      </c>
      <c r="J24" s="387"/>
      <c r="K24" s="386"/>
      <c r="L24" s="387"/>
      <c r="M24" s="15"/>
      <c r="N24" s="15"/>
    </row>
    <row r="25" spans="1:18">
      <c r="A25" s="359"/>
      <c r="B25" s="360"/>
      <c r="C25" s="163">
        <v>0.25</v>
      </c>
      <c r="D25" s="17" t="s">
        <v>8</v>
      </c>
      <c r="E25" s="163"/>
      <c r="F25" s="17" t="s">
        <v>8</v>
      </c>
      <c r="G25" s="163"/>
      <c r="H25" s="17" t="s">
        <v>8</v>
      </c>
      <c r="I25" s="163">
        <v>0.375</v>
      </c>
      <c r="J25" s="17" t="s">
        <v>8</v>
      </c>
      <c r="K25" s="163"/>
      <c r="L25" s="17" t="s">
        <v>8</v>
      </c>
      <c r="M25" s="15">
        <f>C25+E25+G25+I25+K25</f>
        <v>0.625</v>
      </c>
      <c r="N25" s="18" t="str">
        <f>IF(M25 &gt;= 0.5,"Yes","No")</f>
        <v>Yes</v>
      </c>
      <c r="P25" s="260" t="s">
        <v>49</v>
      </c>
      <c r="Q25" s="260"/>
    </row>
    <row r="26" spans="1:18" ht="15" customHeight="1">
      <c r="A26" s="345" t="s">
        <v>40</v>
      </c>
      <c r="B26" s="346"/>
      <c r="C26" s="388" t="s">
        <v>158</v>
      </c>
      <c r="D26" s="389"/>
      <c r="E26" s="388" t="s">
        <v>86</v>
      </c>
      <c r="F26" s="389"/>
      <c r="G26" s="388"/>
      <c r="H26" s="389"/>
      <c r="I26" s="388" t="s">
        <v>70</v>
      </c>
      <c r="J26" s="389"/>
      <c r="K26" s="388"/>
      <c r="L26" s="389"/>
      <c r="M26" s="19"/>
      <c r="N26" s="19"/>
      <c r="P26" s="260"/>
      <c r="Q26" s="260"/>
    </row>
    <row r="27" spans="1:18">
      <c r="A27" s="345"/>
      <c r="B27" s="346"/>
      <c r="C27" s="159">
        <v>0.5</v>
      </c>
      <c r="D27" s="21" t="s">
        <v>8</v>
      </c>
      <c r="E27" s="159">
        <v>0.5</v>
      </c>
      <c r="F27" s="21" t="s">
        <v>8</v>
      </c>
      <c r="G27" s="159"/>
      <c r="H27" s="21" t="s">
        <v>8</v>
      </c>
      <c r="I27" s="159">
        <v>0.25</v>
      </c>
      <c r="J27" s="21" t="s">
        <v>8</v>
      </c>
      <c r="K27" s="159"/>
      <c r="L27" s="21" t="s">
        <v>8</v>
      </c>
      <c r="M27" s="19">
        <f>C27+E27+G27+I27+K27</f>
        <v>1.25</v>
      </c>
      <c r="N27" s="22" t="str">
        <f>IF(M27 &gt;= 1.25,"Yes","No")</f>
        <v>Yes</v>
      </c>
    </row>
    <row r="28" spans="1:18">
      <c r="A28" s="361" t="s">
        <v>31</v>
      </c>
      <c r="B28" s="362"/>
      <c r="C28" s="378"/>
      <c r="D28" s="379"/>
      <c r="E28" s="378"/>
      <c r="F28" s="379"/>
      <c r="G28" s="378"/>
      <c r="H28" s="379"/>
      <c r="I28" s="378"/>
      <c r="J28" s="379"/>
      <c r="K28" s="378"/>
      <c r="L28" s="379"/>
      <c r="M28" s="23"/>
      <c r="N28" s="23"/>
    </row>
    <row r="29" spans="1:18">
      <c r="A29" s="361"/>
      <c r="B29" s="362"/>
      <c r="C29" s="158"/>
      <c r="D29" s="25" t="s">
        <v>8</v>
      </c>
      <c r="E29" s="158"/>
      <c r="F29" s="25" t="s">
        <v>8</v>
      </c>
      <c r="G29" s="158"/>
      <c r="H29" s="25" t="s">
        <v>8</v>
      </c>
      <c r="I29" s="158"/>
      <c r="J29" s="25" t="s">
        <v>8</v>
      </c>
      <c r="K29" s="158">
        <v>0.5</v>
      </c>
      <c r="L29" s="25" t="s">
        <v>8</v>
      </c>
      <c r="M29" s="23">
        <f>C29+E29+G29+I29+K29</f>
        <v>0.5</v>
      </c>
      <c r="N29" s="26" t="str">
        <f>IF(M29 &gt;= 0.5,"Yes","No")</f>
        <v>Yes</v>
      </c>
    </row>
    <row r="30" spans="1:18">
      <c r="A30" s="365" t="s">
        <v>38</v>
      </c>
      <c r="B30" s="366"/>
      <c r="C30" s="384"/>
      <c r="D30" s="385"/>
      <c r="E30" s="384" t="s">
        <v>161</v>
      </c>
      <c r="F30" s="385"/>
      <c r="G30" s="384" t="s">
        <v>68</v>
      </c>
      <c r="H30" s="385"/>
      <c r="I30" s="384"/>
      <c r="J30" s="385"/>
      <c r="K30" s="384" t="s">
        <v>78</v>
      </c>
      <c r="L30" s="385"/>
      <c r="M30" s="3"/>
      <c r="N30" s="3"/>
    </row>
    <row r="31" spans="1:18">
      <c r="A31" s="365"/>
      <c r="B31" s="366"/>
      <c r="C31" s="162"/>
      <c r="D31" s="7" t="s">
        <v>8</v>
      </c>
      <c r="E31" s="162">
        <v>0.5</v>
      </c>
      <c r="F31" s="7" t="s">
        <v>8</v>
      </c>
      <c r="G31" s="162">
        <v>0.5</v>
      </c>
      <c r="H31" s="7" t="s">
        <v>8</v>
      </c>
      <c r="I31" s="162"/>
      <c r="J31" s="7" t="s">
        <v>8</v>
      </c>
      <c r="K31" s="162">
        <v>0.5</v>
      </c>
      <c r="L31" s="7" t="s">
        <v>8</v>
      </c>
      <c r="M31" s="3">
        <f>C31+E31+G31+I31+K31</f>
        <v>1.5</v>
      </c>
      <c r="N31" s="8" t="str">
        <f>IF(M31 &gt;= 0.5,"Yes","No")</f>
        <v>Yes</v>
      </c>
    </row>
    <row r="32" spans="1:18">
      <c r="A32" s="363" t="s">
        <v>41</v>
      </c>
      <c r="B32" s="364"/>
      <c r="C32" s="382" t="s">
        <v>159</v>
      </c>
      <c r="D32" s="383"/>
      <c r="E32" s="382"/>
      <c r="F32" s="383"/>
      <c r="G32" s="382" t="s">
        <v>173</v>
      </c>
      <c r="H32" s="383"/>
      <c r="I32" s="382" t="s">
        <v>186</v>
      </c>
      <c r="J32" s="383"/>
      <c r="K32" s="382" t="s">
        <v>88</v>
      </c>
      <c r="L32" s="383"/>
      <c r="M32" s="31"/>
      <c r="N32" s="31"/>
    </row>
    <row r="33" spans="1:14" ht="15.75" thickBot="1">
      <c r="A33" s="363"/>
      <c r="B33" s="364"/>
      <c r="C33" s="60">
        <v>0.5</v>
      </c>
      <c r="D33" s="61" t="s">
        <v>8</v>
      </c>
      <c r="E33" s="60"/>
      <c r="F33" s="61" t="s">
        <v>8</v>
      </c>
      <c r="G33" s="60">
        <v>0.5</v>
      </c>
      <c r="H33" s="61" t="s">
        <v>8</v>
      </c>
      <c r="I33" s="60">
        <v>0.5</v>
      </c>
      <c r="J33" s="61" t="s">
        <v>8</v>
      </c>
      <c r="K33" s="60">
        <v>0.25</v>
      </c>
      <c r="L33" s="61" t="s">
        <v>8</v>
      </c>
      <c r="M33" s="75">
        <f>C33+E33+G33+I33+K33</f>
        <v>1.75</v>
      </c>
      <c r="N33" s="59" t="str">
        <f>IF(M33 &gt;= 0.75,"Yes","No")</f>
        <v>Yes</v>
      </c>
    </row>
    <row r="34" spans="1:14" ht="15" customHeight="1" thickTop="1" thickBot="1">
      <c r="A34" s="278" t="s">
        <v>44</v>
      </c>
      <c r="B34" s="278"/>
      <c r="C34" s="152">
        <f>C25 + C27+ C29+ C31+ C33</f>
        <v>1.25</v>
      </c>
      <c r="D34" s="153" t="str">
        <f>IF(C34&gt;=1,"Yes","No")</f>
        <v>Yes</v>
      </c>
      <c r="E34" s="152">
        <f>E25 + E27+ E29+ E31+ E33</f>
        <v>1</v>
      </c>
      <c r="F34" s="153" t="str">
        <f>IF(E34&gt;=1,"Yes","No")</f>
        <v>Yes</v>
      </c>
      <c r="G34" s="152">
        <f>G25 + G27+ G29+ G31+ G33</f>
        <v>1</v>
      </c>
      <c r="H34" s="153" t="str">
        <f>IF(G34&gt;=1,"Yes","No")</f>
        <v>Yes</v>
      </c>
      <c r="I34" s="152">
        <f>I25 + I27+ I29+ I31+ I33</f>
        <v>1.125</v>
      </c>
      <c r="J34" s="153" t="str">
        <f>IF(I34&gt;=1,"Yes","No")</f>
        <v>Yes</v>
      </c>
      <c r="K34" s="152">
        <f>K25 + K27+ K29+ K31+ K33</f>
        <v>1.25</v>
      </c>
      <c r="L34" s="153" t="str">
        <f>IF(K34&gt;=1,"Yes","No")</f>
        <v>Yes</v>
      </c>
      <c r="M34" s="152">
        <f>M25 + M27+ M29+ M31+ M33</f>
        <v>5.625</v>
      </c>
      <c r="N34" s="152"/>
    </row>
    <row r="35" spans="1:14" ht="15.75" thickTop="1">
      <c r="A35" s="279" t="s">
        <v>16</v>
      </c>
      <c r="B35" s="280"/>
      <c r="C35" s="280"/>
      <c r="D35" s="280"/>
      <c r="E35" s="280"/>
      <c r="F35" s="280"/>
      <c r="G35" s="280"/>
      <c r="H35" s="280"/>
      <c r="I35" s="280"/>
      <c r="J35" s="280"/>
      <c r="K35" s="280"/>
      <c r="L35" s="280"/>
      <c r="M35" s="281"/>
      <c r="N35" s="268" t="str">
        <f>IF(M25+M27+M29+M31+M33 &gt;= 5,"Yes","No")</f>
        <v>Yes</v>
      </c>
    </row>
    <row r="36" spans="1:14">
      <c r="A36" s="282"/>
      <c r="B36" s="283"/>
      <c r="C36" s="283"/>
      <c r="D36" s="283"/>
      <c r="E36" s="283"/>
      <c r="F36" s="283"/>
      <c r="G36" s="283"/>
      <c r="H36" s="283"/>
      <c r="I36" s="283"/>
      <c r="J36" s="283"/>
      <c r="K36" s="283"/>
      <c r="L36" s="283"/>
      <c r="M36" s="284"/>
      <c r="N36" s="269"/>
    </row>
    <row r="37" spans="1:14" ht="30" customHeight="1">
      <c r="A37" s="270" t="s">
        <v>15</v>
      </c>
      <c r="B37" s="271"/>
      <c r="C37" s="376" t="s">
        <v>160</v>
      </c>
      <c r="D37" s="377"/>
      <c r="E37" s="376" t="s">
        <v>175</v>
      </c>
      <c r="F37" s="377"/>
      <c r="G37" s="376" t="s">
        <v>176</v>
      </c>
      <c r="H37" s="377"/>
      <c r="I37" s="376" t="s">
        <v>196</v>
      </c>
      <c r="J37" s="377"/>
      <c r="K37" s="376" t="s">
        <v>197</v>
      </c>
      <c r="L37" s="377"/>
      <c r="M37" s="54"/>
      <c r="N37" s="54"/>
    </row>
    <row r="38" spans="1:14">
      <c r="A38" s="272"/>
      <c r="B38" s="273"/>
      <c r="C38" s="157">
        <v>1</v>
      </c>
      <c r="D38" s="56" t="s">
        <v>8</v>
      </c>
      <c r="E38" s="57">
        <v>1</v>
      </c>
      <c r="F38" s="56" t="s">
        <v>8</v>
      </c>
      <c r="G38" s="157">
        <v>1.5</v>
      </c>
      <c r="H38" s="56" t="s">
        <v>8</v>
      </c>
      <c r="I38" s="157">
        <v>1</v>
      </c>
      <c r="J38" s="56" t="s">
        <v>8</v>
      </c>
      <c r="K38" s="157">
        <v>1</v>
      </c>
      <c r="L38" s="56" t="s">
        <v>8</v>
      </c>
      <c r="M38" s="54">
        <f>C38+E38+G38+I38+K38</f>
        <v>5.5</v>
      </c>
      <c r="N38" s="58" t="str">
        <f>IF(M38 &gt;= 5,"Yes","No")</f>
        <v>Yes</v>
      </c>
    </row>
    <row r="39" spans="1:14">
      <c r="A39" s="197" t="s">
        <v>36</v>
      </c>
      <c r="B39" s="198"/>
      <c r="C39" s="380" t="s">
        <v>11</v>
      </c>
      <c r="D39" s="381"/>
      <c r="E39" s="380" t="s">
        <v>11</v>
      </c>
      <c r="F39" s="381"/>
      <c r="G39" s="380" t="s">
        <v>11</v>
      </c>
      <c r="H39" s="381"/>
      <c r="I39" s="380" t="s">
        <v>11</v>
      </c>
      <c r="J39" s="381"/>
      <c r="K39" s="380" t="s">
        <v>11</v>
      </c>
      <c r="L39" s="381"/>
      <c r="M39" s="4"/>
      <c r="N39" s="4"/>
    </row>
    <row r="40" spans="1:14">
      <c r="A40" s="199"/>
      <c r="B40" s="200"/>
      <c r="C40" s="160">
        <v>1</v>
      </c>
      <c r="D40" s="5" t="s">
        <v>8</v>
      </c>
      <c r="E40" s="160">
        <v>1</v>
      </c>
      <c r="F40" s="5" t="s">
        <v>8</v>
      </c>
      <c r="G40" s="160">
        <v>1</v>
      </c>
      <c r="H40" s="5" t="s">
        <v>10</v>
      </c>
      <c r="I40" s="160">
        <v>1</v>
      </c>
      <c r="J40" s="5" t="s">
        <v>8</v>
      </c>
      <c r="K40" s="160">
        <v>1</v>
      </c>
      <c r="L40" s="5" t="s">
        <v>8</v>
      </c>
      <c r="M40" s="4">
        <f>C40+E40+G40+I40+K40</f>
        <v>5</v>
      </c>
      <c r="N40" s="6" t="str">
        <f>IF(M40 &gt;= 5,"Yes","No")</f>
        <v>Yes</v>
      </c>
    </row>
  </sheetData>
  <sheetProtection sheet="1" objects="1" scenarios="1" insertRows="0" selectLockedCells="1"/>
  <mergeCells count="123">
    <mergeCell ref="A1:N1"/>
    <mergeCell ref="A2:B13"/>
    <mergeCell ref="C2:D2"/>
    <mergeCell ref="E2:F2"/>
    <mergeCell ref="G2:H2"/>
    <mergeCell ref="I2:J2"/>
    <mergeCell ref="K2:L2"/>
    <mergeCell ref="M2:N13"/>
    <mergeCell ref="C4:D4"/>
    <mergeCell ref="E4:F4"/>
    <mergeCell ref="K9:L9"/>
    <mergeCell ref="E5:F5"/>
    <mergeCell ref="G5:H5"/>
    <mergeCell ref="I5:J5"/>
    <mergeCell ref="K5:L5"/>
    <mergeCell ref="C6:D6"/>
    <mergeCell ref="C5:D5"/>
    <mergeCell ref="C7:D7"/>
    <mergeCell ref="E7:F7"/>
    <mergeCell ref="G4:H4"/>
    <mergeCell ref="I4:J4"/>
    <mergeCell ref="K4:L4"/>
    <mergeCell ref="E8:F8"/>
    <mergeCell ref="G8:H8"/>
    <mergeCell ref="I8:J8"/>
    <mergeCell ref="K8:L8"/>
    <mergeCell ref="P2:Q2"/>
    <mergeCell ref="C3:D3"/>
    <mergeCell ref="E3:F3"/>
    <mergeCell ref="G3:H3"/>
    <mergeCell ref="I3:J3"/>
    <mergeCell ref="K3:L3"/>
    <mergeCell ref="E6:F6"/>
    <mergeCell ref="G6:H6"/>
    <mergeCell ref="G7:H7"/>
    <mergeCell ref="I6:J6"/>
    <mergeCell ref="I7:J7"/>
    <mergeCell ref="K6:L6"/>
    <mergeCell ref="K7:L7"/>
    <mergeCell ref="C8:D8"/>
    <mergeCell ref="C9:D9"/>
    <mergeCell ref="E9:F9"/>
    <mergeCell ref="G9:H9"/>
    <mergeCell ref="I9:J9"/>
    <mergeCell ref="E10:F10"/>
    <mergeCell ref="I10:J10"/>
    <mergeCell ref="K10:L10"/>
    <mergeCell ref="G10:H10"/>
    <mergeCell ref="C12:D12"/>
    <mergeCell ref="E12:F12"/>
    <mergeCell ref="G12:H12"/>
    <mergeCell ref="I12:J12"/>
    <mergeCell ref="C10:D10"/>
    <mergeCell ref="I11:J11"/>
    <mergeCell ref="K12:L12"/>
    <mergeCell ref="E11:F11"/>
    <mergeCell ref="G11:H11"/>
    <mergeCell ref="K11:L11"/>
    <mergeCell ref="C13:L13"/>
    <mergeCell ref="C11:D11"/>
    <mergeCell ref="M15:N15"/>
    <mergeCell ref="A19:B19"/>
    <mergeCell ref="C19:D20"/>
    <mergeCell ref="E19:F20"/>
    <mergeCell ref="G19:H20"/>
    <mergeCell ref="I19:J20"/>
    <mergeCell ref="K19:L20"/>
    <mergeCell ref="M19:N20"/>
    <mergeCell ref="A20:B20"/>
    <mergeCell ref="A15:B15"/>
    <mergeCell ref="C15:D15"/>
    <mergeCell ref="E15:F15"/>
    <mergeCell ref="G15:H15"/>
    <mergeCell ref="I15:J15"/>
    <mergeCell ref="K15:L15"/>
    <mergeCell ref="P22:R23"/>
    <mergeCell ref="A24:B25"/>
    <mergeCell ref="C24:D24"/>
    <mergeCell ref="E24:F24"/>
    <mergeCell ref="G24:H24"/>
    <mergeCell ref="I24:J24"/>
    <mergeCell ref="K24:L24"/>
    <mergeCell ref="P25:Q26"/>
    <mergeCell ref="A26:B27"/>
    <mergeCell ref="C26:D26"/>
    <mergeCell ref="E26:F26"/>
    <mergeCell ref="G26:H26"/>
    <mergeCell ref="I26:J26"/>
    <mergeCell ref="K26:L26"/>
    <mergeCell ref="A39:B40"/>
    <mergeCell ref="C39:D39"/>
    <mergeCell ref="E39:F39"/>
    <mergeCell ref="G39:H39"/>
    <mergeCell ref="I39:J39"/>
    <mergeCell ref="K39:L39"/>
    <mergeCell ref="A34:B34"/>
    <mergeCell ref="A35:M36"/>
    <mergeCell ref="A22:N23"/>
    <mergeCell ref="K32:L32"/>
    <mergeCell ref="I32:J32"/>
    <mergeCell ref="G32:H32"/>
    <mergeCell ref="E32:F32"/>
    <mergeCell ref="C32:D32"/>
    <mergeCell ref="K30:L30"/>
    <mergeCell ref="I30:J30"/>
    <mergeCell ref="G30:H30"/>
    <mergeCell ref="E30:F30"/>
    <mergeCell ref="C30:D30"/>
    <mergeCell ref="N35:N36"/>
    <mergeCell ref="A37:B38"/>
    <mergeCell ref="C37:D37"/>
    <mergeCell ref="E37:F37"/>
    <mergeCell ref="G37:H37"/>
    <mergeCell ref="I37:J37"/>
    <mergeCell ref="K37:L37"/>
    <mergeCell ref="A28:B29"/>
    <mergeCell ref="C28:D28"/>
    <mergeCell ref="E28:F28"/>
    <mergeCell ref="G28:H28"/>
    <mergeCell ref="I28:J28"/>
    <mergeCell ref="K28:L28"/>
    <mergeCell ref="A32:B33"/>
    <mergeCell ref="A30:B31"/>
  </mergeCells>
  <conditionalFormatting sqref="N38 N40 N14 N25 N27 N29 N31 N33 N35:N36 N21 N16:N18">
    <cfRule type="cellIs" dxfId="20" priority="2" operator="equal">
      <formula>"No"</formula>
    </cfRule>
  </conditionalFormatting>
  <conditionalFormatting sqref="D34 F34 H34 J34 L34">
    <cfRule type="containsText" dxfId="19" priority="1" operator="containsText" text="No">
      <formula>NOT(ISERROR(SEARCH("No",D34)))</formula>
    </cfRule>
  </conditionalFormatting>
  <pageMargins left="0.2" right="0.2" top="0.22" bottom="0.14000000000000001" header="0.3" footer="0.3"/>
  <pageSetup orientation="landscape" r:id="rId1"/>
</worksheet>
</file>

<file path=xl/worksheets/sheet9.xml><?xml version="1.0" encoding="utf-8"?>
<worksheet xmlns="http://schemas.openxmlformats.org/spreadsheetml/2006/main" xmlns:r="http://schemas.openxmlformats.org/officeDocument/2006/relationships">
  <dimension ref="A1:R33"/>
  <sheetViews>
    <sheetView topLeftCell="A9" workbookViewId="0">
      <selection activeCell="K9" sqref="K9:L9"/>
    </sheetView>
  </sheetViews>
  <sheetFormatPr defaultRowHeight="15"/>
  <cols>
    <col min="1" max="1" width="9.140625" style="76"/>
    <col min="2" max="2" width="15.7109375" style="76" customWidth="1"/>
    <col min="3" max="3" width="9.140625" style="1"/>
    <col min="4" max="4" width="9.140625" style="76"/>
    <col min="5" max="5" width="9.140625" style="1"/>
    <col min="6" max="6" width="9.140625" style="76"/>
    <col min="7" max="7" width="9.140625" style="1"/>
    <col min="8" max="8" width="12.140625" style="76" customWidth="1"/>
    <col min="9" max="9" width="9.140625" style="1"/>
    <col min="10" max="10" width="9.140625" style="76"/>
    <col min="11" max="11" width="9.140625" style="1"/>
    <col min="12" max="12" width="9.140625" style="76"/>
    <col min="13" max="13" width="6.28515625" style="1" customWidth="1"/>
    <col min="14" max="14" width="6" style="1" customWidth="1"/>
    <col min="15" max="16384" width="9.140625" style="76"/>
  </cols>
  <sheetData>
    <row r="1" spans="1:18" ht="15.75" customHeight="1">
      <c r="A1" s="239" t="s">
        <v>14</v>
      </c>
      <c r="B1" s="240"/>
      <c r="C1" s="240"/>
      <c r="D1" s="240"/>
      <c r="E1" s="240"/>
      <c r="F1" s="240"/>
      <c r="G1" s="240"/>
      <c r="H1" s="240"/>
      <c r="I1" s="240"/>
      <c r="J1" s="240"/>
      <c r="K1" s="240"/>
      <c r="L1" s="240"/>
      <c r="M1" s="240"/>
      <c r="N1" s="241"/>
    </row>
    <row r="2" spans="1:18" ht="15.75" customHeight="1">
      <c r="A2" s="231" t="s">
        <v>5</v>
      </c>
      <c r="B2" s="251"/>
      <c r="C2" s="249" t="s">
        <v>145</v>
      </c>
      <c r="D2" s="249"/>
      <c r="E2" s="249" t="s">
        <v>1</v>
      </c>
      <c r="F2" s="249"/>
      <c r="G2" s="249" t="s">
        <v>2</v>
      </c>
      <c r="H2" s="249"/>
      <c r="I2" s="249" t="s">
        <v>3</v>
      </c>
      <c r="J2" s="249"/>
      <c r="K2" s="249" t="s">
        <v>4</v>
      </c>
      <c r="L2" s="249"/>
      <c r="M2" s="231" t="s">
        <v>28</v>
      </c>
      <c r="N2" s="233"/>
      <c r="P2" s="237" t="s">
        <v>17</v>
      </c>
      <c r="Q2" s="238"/>
    </row>
    <row r="3" spans="1:18" ht="24.95" customHeight="1">
      <c r="A3" s="252"/>
      <c r="B3" s="253"/>
      <c r="C3" s="250" t="s">
        <v>100</v>
      </c>
      <c r="D3" s="250"/>
      <c r="E3" s="250" t="s">
        <v>99</v>
      </c>
      <c r="F3" s="250"/>
      <c r="G3" s="250" t="s">
        <v>98</v>
      </c>
      <c r="H3" s="250"/>
      <c r="I3" s="250" t="s">
        <v>107</v>
      </c>
      <c r="J3" s="250"/>
      <c r="K3" s="250" t="s">
        <v>97</v>
      </c>
      <c r="L3" s="250"/>
      <c r="M3" s="234"/>
      <c r="N3" s="236"/>
      <c r="P3" s="11" t="s">
        <v>18</v>
      </c>
      <c r="Q3" s="12">
        <v>0.125</v>
      </c>
    </row>
    <row r="4" spans="1:18" ht="24.95" customHeight="1">
      <c r="A4" s="252"/>
      <c r="B4" s="253"/>
      <c r="C4" s="250" t="s">
        <v>96</v>
      </c>
      <c r="D4" s="250"/>
      <c r="E4" s="250" t="s">
        <v>95</v>
      </c>
      <c r="F4" s="250"/>
      <c r="G4" s="250" t="s">
        <v>94</v>
      </c>
      <c r="H4" s="250"/>
      <c r="I4" s="250" t="s">
        <v>108</v>
      </c>
      <c r="J4" s="250"/>
      <c r="K4" s="250" t="s">
        <v>93</v>
      </c>
      <c r="L4" s="250"/>
      <c r="M4" s="234"/>
      <c r="N4" s="236"/>
      <c r="P4" s="11" t="s">
        <v>19</v>
      </c>
      <c r="Q4" s="12">
        <v>0.25</v>
      </c>
    </row>
    <row r="5" spans="1:18" ht="24.95" customHeight="1">
      <c r="A5" s="252"/>
      <c r="B5" s="253"/>
      <c r="C5" s="250" t="s">
        <v>92</v>
      </c>
      <c r="D5" s="250"/>
      <c r="E5" s="250" t="s">
        <v>91</v>
      </c>
      <c r="F5" s="250"/>
      <c r="G5" s="250" t="s">
        <v>90</v>
      </c>
      <c r="H5" s="250"/>
      <c r="I5" s="256" t="s">
        <v>89</v>
      </c>
      <c r="J5" s="258"/>
      <c r="K5" s="250" t="s">
        <v>88</v>
      </c>
      <c r="L5" s="250"/>
      <c r="M5" s="234"/>
      <c r="N5" s="236"/>
      <c r="P5" s="11" t="s">
        <v>20</v>
      </c>
      <c r="Q5" s="12">
        <v>0.375</v>
      </c>
    </row>
    <row r="6" spans="1:18" ht="24.95" customHeight="1">
      <c r="A6" s="252"/>
      <c r="B6" s="253"/>
      <c r="C6" s="250" t="s">
        <v>87</v>
      </c>
      <c r="D6" s="250"/>
      <c r="E6" s="250" t="s">
        <v>86</v>
      </c>
      <c r="F6" s="250"/>
      <c r="G6" s="250" t="s">
        <v>85</v>
      </c>
      <c r="H6" s="250"/>
      <c r="I6" s="250" t="s">
        <v>84</v>
      </c>
      <c r="J6" s="250"/>
      <c r="K6" s="250" t="s">
        <v>83</v>
      </c>
      <c r="L6" s="250"/>
      <c r="M6" s="234"/>
      <c r="N6" s="236"/>
      <c r="P6" s="11" t="s">
        <v>21</v>
      </c>
      <c r="Q6" s="12">
        <v>0.33300000000000002</v>
      </c>
    </row>
    <row r="7" spans="1:18" ht="24.95" customHeight="1">
      <c r="A7" s="252"/>
      <c r="B7" s="253"/>
      <c r="C7" s="256" t="s">
        <v>82</v>
      </c>
      <c r="D7" s="257"/>
      <c r="E7" s="256" t="s">
        <v>81</v>
      </c>
      <c r="F7" s="258"/>
      <c r="G7" s="256" t="s">
        <v>80</v>
      </c>
      <c r="H7" s="258"/>
      <c r="I7" s="256" t="s">
        <v>79</v>
      </c>
      <c r="J7" s="258"/>
      <c r="K7" s="256" t="s">
        <v>78</v>
      </c>
      <c r="L7" s="258"/>
      <c r="M7" s="234"/>
      <c r="N7" s="236"/>
      <c r="P7" s="11" t="s">
        <v>22</v>
      </c>
      <c r="Q7" s="12">
        <v>0.5</v>
      </c>
    </row>
    <row r="8" spans="1:18" ht="24.95" customHeight="1">
      <c r="A8" s="252"/>
      <c r="B8" s="253"/>
      <c r="C8" s="250" t="s">
        <v>11</v>
      </c>
      <c r="D8" s="250"/>
      <c r="E8" s="250" t="s">
        <v>11</v>
      </c>
      <c r="F8" s="250"/>
      <c r="G8" s="250" t="s">
        <v>11</v>
      </c>
      <c r="H8" s="250"/>
      <c r="I8" s="250" t="s">
        <v>11</v>
      </c>
      <c r="J8" s="250"/>
      <c r="K8" s="250" t="s">
        <v>77</v>
      </c>
      <c r="L8" s="250"/>
      <c r="M8" s="234"/>
      <c r="N8" s="236"/>
      <c r="P8" s="11" t="s">
        <v>23</v>
      </c>
      <c r="Q8" s="12">
        <v>0.625</v>
      </c>
    </row>
    <row r="9" spans="1:18" ht="24.95" customHeight="1">
      <c r="A9" s="252"/>
      <c r="B9" s="253"/>
      <c r="C9" s="250"/>
      <c r="D9" s="250"/>
      <c r="E9" s="250"/>
      <c r="F9" s="250"/>
      <c r="G9" s="250"/>
      <c r="H9" s="250"/>
      <c r="I9" s="250"/>
      <c r="J9" s="250"/>
      <c r="K9" s="256" t="s">
        <v>11</v>
      </c>
      <c r="L9" s="258"/>
      <c r="M9" s="234"/>
      <c r="N9" s="236"/>
      <c r="P9" s="11" t="s">
        <v>24</v>
      </c>
      <c r="Q9" s="12">
        <v>0.66600000000000004</v>
      </c>
    </row>
    <row r="10" spans="1:18" ht="15" customHeight="1">
      <c r="A10" s="254"/>
      <c r="B10" s="255"/>
      <c r="C10" s="263"/>
      <c r="D10" s="264"/>
      <c r="E10" s="264"/>
      <c r="F10" s="264"/>
      <c r="G10" s="264"/>
      <c r="H10" s="264"/>
      <c r="I10" s="264"/>
      <c r="J10" s="264"/>
      <c r="K10" s="264"/>
      <c r="L10" s="265"/>
      <c r="M10" s="261"/>
      <c r="N10" s="262"/>
      <c r="P10" s="11" t="s">
        <v>25</v>
      </c>
      <c r="Q10" s="12">
        <v>0.75</v>
      </c>
    </row>
    <row r="11" spans="1:18" ht="30" customHeight="1">
      <c r="A11" s="242" t="s">
        <v>35</v>
      </c>
      <c r="B11" s="243"/>
      <c r="C11" s="244" t="s">
        <v>125</v>
      </c>
      <c r="D11" s="244"/>
      <c r="E11" s="244" t="s">
        <v>76</v>
      </c>
      <c r="F11" s="244"/>
      <c r="G11" s="327" t="s">
        <v>127</v>
      </c>
      <c r="H11" s="327"/>
      <c r="I11" s="244" t="s">
        <v>109</v>
      </c>
      <c r="J11" s="244"/>
      <c r="K11" s="244" t="s">
        <v>75</v>
      </c>
      <c r="L11" s="244"/>
      <c r="M11" s="78"/>
      <c r="N11" s="78"/>
      <c r="P11" s="11" t="s">
        <v>27</v>
      </c>
      <c r="Q11" s="12">
        <v>0.875</v>
      </c>
    </row>
    <row r="12" spans="1:18">
      <c r="A12" s="242"/>
      <c r="B12" s="243"/>
      <c r="C12" s="122">
        <v>1.5</v>
      </c>
      <c r="D12" s="80" t="s">
        <v>9</v>
      </c>
      <c r="E12" s="122">
        <v>2</v>
      </c>
      <c r="F12" s="80" t="s">
        <v>9</v>
      </c>
      <c r="G12" s="122">
        <v>1.5</v>
      </c>
      <c r="H12" s="80" t="s">
        <v>9</v>
      </c>
      <c r="I12" s="122">
        <v>1.5</v>
      </c>
      <c r="J12" s="80" t="s">
        <v>9</v>
      </c>
      <c r="K12" s="122">
        <v>2</v>
      </c>
      <c r="L12" s="80" t="s">
        <v>9</v>
      </c>
      <c r="M12" s="78">
        <f>C12+E12+G12+I12+K12</f>
        <v>8.5</v>
      </c>
      <c r="N12" s="81" t="str">
        <f>IF(AND(M12&gt;=8,M12&lt;=10),"Yes","No")</f>
        <v>Yes</v>
      </c>
      <c r="P12" s="13" t="s">
        <v>26</v>
      </c>
      <c r="Q12" s="14">
        <v>1</v>
      </c>
    </row>
    <row r="13" spans="1:18" ht="15" customHeight="1">
      <c r="A13" s="231" t="s">
        <v>45</v>
      </c>
      <c r="B13" s="232"/>
      <c r="C13" s="232"/>
      <c r="D13" s="232"/>
      <c r="E13" s="232"/>
      <c r="F13" s="232"/>
      <c r="G13" s="232"/>
      <c r="H13" s="232"/>
      <c r="I13" s="232"/>
      <c r="J13" s="232"/>
      <c r="K13" s="232"/>
      <c r="L13" s="232"/>
      <c r="M13" s="232"/>
      <c r="N13" s="233"/>
    </row>
    <row r="14" spans="1:18">
      <c r="A14" s="234"/>
      <c r="B14" s="235"/>
      <c r="C14" s="235"/>
      <c r="D14" s="235"/>
      <c r="E14" s="235"/>
      <c r="F14" s="235"/>
      <c r="G14" s="235"/>
      <c r="H14" s="235"/>
      <c r="I14" s="235"/>
      <c r="J14" s="235"/>
      <c r="K14" s="235"/>
      <c r="L14" s="235"/>
      <c r="M14" s="235"/>
      <c r="N14" s="236"/>
      <c r="P14" s="259" t="s">
        <v>48</v>
      </c>
      <c r="Q14" s="259"/>
      <c r="R14" s="259"/>
    </row>
    <row r="15" spans="1:18">
      <c r="A15" s="205" t="s">
        <v>29</v>
      </c>
      <c r="B15" s="206"/>
      <c r="C15" s="217"/>
      <c r="D15" s="217"/>
      <c r="E15" s="217" t="s">
        <v>74</v>
      </c>
      <c r="F15" s="217"/>
      <c r="G15" s="217"/>
      <c r="H15" s="217"/>
      <c r="I15" s="217" t="s">
        <v>73</v>
      </c>
      <c r="J15" s="217"/>
      <c r="K15" s="217"/>
      <c r="L15" s="217"/>
      <c r="M15" s="82"/>
      <c r="N15" s="83"/>
      <c r="P15" s="259"/>
      <c r="Q15" s="259"/>
      <c r="R15" s="259"/>
    </row>
    <row r="16" spans="1:18">
      <c r="A16" s="205"/>
      <c r="B16" s="206"/>
      <c r="C16" s="115"/>
      <c r="D16" s="85" t="s">
        <v>8</v>
      </c>
      <c r="E16" s="115">
        <v>0.5</v>
      </c>
      <c r="F16" s="85" t="s">
        <v>8</v>
      </c>
      <c r="G16" s="115"/>
      <c r="H16" s="85" t="s">
        <v>8</v>
      </c>
      <c r="I16" s="115">
        <v>0.5</v>
      </c>
      <c r="J16" s="85" t="s">
        <v>8</v>
      </c>
      <c r="K16" s="115"/>
      <c r="L16" s="85" t="s">
        <v>8</v>
      </c>
      <c r="M16" s="82">
        <f>C16+E16+G16+I16+K16</f>
        <v>1</v>
      </c>
      <c r="N16" s="86" t="str">
        <f>IF(M16 &gt;= 0.5,"Yes","No")</f>
        <v>Yes</v>
      </c>
    </row>
    <row r="17" spans="1:17">
      <c r="A17" s="207" t="s">
        <v>30</v>
      </c>
      <c r="B17" s="208"/>
      <c r="C17" s="218" t="s">
        <v>72</v>
      </c>
      <c r="D17" s="246"/>
      <c r="E17" s="218" t="s">
        <v>71</v>
      </c>
      <c r="F17" s="218"/>
      <c r="G17" s="218"/>
      <c r="H17" s="218"/>
      <c r="I17" s="218" t="s">
        <v>70</v>
      </c>
      <c r="J17" s="218"/>
      <c r="K17" s="218"/>
      <c r="L17" s="218"/>
      <c r="M17" s="87"/>
      <c r="N17" s="87"/>
      <c r="P17" s="260" t="s">
        <v>49</v>
      </c>
      <c r="Q17" s="260"/>
    </row>
    <row r="18" spans="1:17">
      <c r="A18" s="207"/>
      <c r="B18" s="208"/>
      <c r="C18" s="116">
        <v>0.5</v>
      </c>
      <c r="D18" s="89" t="s">
        <v>8</v>
      </c>
      <c r="E18" s="116">
        <v>0.25</v>
      </c>
      <c r="F18" s="89" t="s">
        <v>8</v>
      </c>
      <c r="G18" s="116"/>
      <c r="H18" s="89" t="s">
        <v>8</v>
      </c>
      <c r="I18" s="116">
        <v>0.25</v>
      </c>
      <c r="J18" s="89" t="s">
        <v>8</v>
      </c>
      <c r="K18" s="116"/>
      <c r="L18" s="89" t="s">
        <v>8</v>
      </c>
      <c r="M18" s="87">
        <f>C18+E18+G18+I18+K18</f>
        <v>1</v>
      </c>
      <c r="N18" s="90" t="str">
        <f>IF(M18 &gt;= 0.75,"Yes","No")</f>
        <v>Yes</v>
      </c>
      <c r="P18" s="260"/>
      <c r="Q18" s="260"/>
    </row>
    <row r="19" spans="1:17" ht="15" customHeight="1">
      <c r="A19" s="209" t="s">
        <v>31</v>
      </c>
      <c r="B19" s="210"/>
      <c r="C19" s="229"/>
      <c r="D19" s="229"/>
      <c r="E19" s="229"/>
      <c r="F19" s="229"/>
      <c r="G19" s="229"/>
      <c r="H19" s="229"/>
      <c r="I19" s="247"/>
      <c r="J19" s="248"/>
      <c r="K19" s="229" t="s">
        <v>69</v>
      </c>
      <c r="L19" s="229"/>
      <c r="M19" s="91"/>
      <c r="N19" s="91"/>
    </row>
    <row r="20" spans="1:17">
      <c r="A20" s="209"/>
      <c r="B20" s="210"/>
      <c r="C20" s="121"/>
      <c r="D20" s="93" t="s">
        <v>8</v>
      </c>
      <c r="E20" s="121"/>
      <c r="F20" s="93" t="s">
        <v>8</v>
      </c>
      <c r="G20" s="121"/>
      <c r="H20" s="93" t="s">
        <v>8</v>
      </c>
      <c r="I20" s="121"/>
      <c r="J20" s="93" t="s">
        <v>8</v>
      </c>
      <c r="K20" s="121">
        <v>0.5</v>
      </c>
      <c r="L20" s="93" t="s">
        <v>8</v>
      </c>
      <c r="M20" s="91">
        <f>C20+E20+G20+I20+K20</f>
        <v>0.5</v>
      </c>
      <c r="N20" s="94" t="str">
        <f>IF(M20 &gt;= 0.5,"Yes","No")</f>
        <v>Yes</v>
      </c>
    </row>
    <row r="21" spans="1:17" ht="15" customHeight="1">
      <c r="A21" s="211" t="s">
        <v>32</v>
      </c>
      <c r="B21" s="212"/>
      <c r="C21" s="219"/>
      <c r="D21" s="219"/>
      <c r="E21" s="219"/>
      <c r="F21" s="219"/>
      <c r="G21" s="219" t="s">
        <v>68</v>
      </c>
      <c r="H21" s="219"/>
      <c r="I21" s="219"/>
      <c r="J21" s="219"/>
      <c r="K21" s="219" t="s">
        <v>67</v>
      </c>
      <c r="L21" s="219"/>
      <c r="M21" s="95"/>
      <c r="N21" s="95"/>
    </row>
    <row r="22" spans="1:17">
      <c r="A22" s="211"/>
      <c r="B22" s="212"/>
      <c r="C22" s="117"/>
      <c r="D22" s="97" t="s">
        <v>8</v>
      </c>
      <c r="E22" s="117"/>
      <c r="F22" s="97" t="s">
        <v>8</v>
      </c>
      <c r="G22" s="117">
        <v>0.5</v>
      </c>
      <c r="H22" s="97" t="s">
        <v>8</v>
      </c>
      <c r="I22" s="117"/>
      <c r="J22" s="97" t="s">
        <v>8</v>
      </c>
      <c r="K22" s="117">
        <v>0.25</v>
      </c>
      <c r="L22" s="97" t="s">
        <v>8</v>
      </c>
      <c r="M22" s="95">
        <f>C22+E22+G22+I22+K22</f>
        <v>0.75</v>
      </c>
      <c r="N22" s="98" t="str">
        <f>IF(M22 &gt;= 0.5,"Yes","No")</f>
        <v>Yes</v>
      </c>
      <c r="Q22" s="77"/>
    </row>
    <row r="23" spans="1:17">
      <c r="A23" s="213" t="s">
        <v>33</v>
      </c>
      <c r="B23" s="214"/>
      <c r="C23" s="245" t="s">
        <v>66</v>
      </c>
      <c r="D23" s="245"/>
      <c r="E23" s="245"/>
      <c r="F23" s="245"/>
      <c r="G23" s="245" t="s">
        <v>65</v>
      </c>
      <c r="H23" s="245"/>
      <c r="I23" s="245"/>
      <c r="J23" s="245"/>
      <c r="K23" s="245" t="s">
        <v>64</v>
      </c>
      <c r="L23" s="245"/>
      <c r="M23" s="99"/>
      <c r="N23" s="99"/>
    </row>
    <row r="24" spans="1:17" ht="15.75" thickBot="1">
      <c r="A24" s="213"/>
      <c r="B24" s="214"/>
      <c r="C24" s="100">
        <v>0.25</v>
      </c>
      <c r="D24" s="101" t="s">
        <v>8</v>
      </c>
      <c r="E24" s="100"/>
      <c r="F24" s="101" t="s">
        <v>8</v>
      </c>
      <c r="G24" s="100">
        <v>0.25</v>
      </c>
      <c r="H24" s="101" t="s">
        <v>8</v>
      </c>
      <c r="I24" s="100"/>
      <c r="J24" s="101" t="s">
        <v>8</v>
      </c>
      <c r="K24" s="100">
        <v>0.25</v>
      </c>
      <c r="L24" s="101" t="s">
        <v>8</v>
      </c>
      <c r="M24" s="102">
        <f>C24+E24+G24+I24+K24</f>
        <v>0.75</v>
      </c>
      <c r="N24" s="103" t="str">
        <f>IF(M24 &gt;= 0.5,"Yes","No")</f>
        <v>Yes</v>
      </c>
    </row>
    <row r="25" spans="1:17" s="150" customFormat="1" ht="16.5" thickTop="1" thickBot="1">
      <c r="A25" s="230" t="s">
        <v>44</v>
      </c>
      <c r="B25" s="230"/>
      <c r="C25" s="148">
        <f>C16 + C18+ C20+ C22+ C24</f>
        <v>0.75</v>
      </c>
      <c r="D25" s="149" t="str">
        <f>IF(C25&gt;=0.75,"Yes","No")</f>
        <v>Yes</v>
      </c>
      <c r="E25" s="148">
        <f>E16 + E18+ E20+ E22+ E24</f>
        <v>0.75</v>
      </c>
      <c r="F25" s="149" t="str">
        <f>IF(E25&gt;=0.75,"Yes","No")</f>
        <v>Yes</v>
      </c>
      <c r="G25" s="148">
        <f>G16 + G18+ G20+ G22+ G24</f>
        <v>0.75</v>
      </c>
      <c r="H25" s="149" t="str">
        <f>IF(G25&gt;=0.75,"Yes","No")</f>
        <v>Yes</v>
      </c>
      <c r="I25" s="148">
        <f>I16 + I18+ I20+ I22+ I24</f>
        <v>0.75</v>
      </c>
      <c r="J25" s="149" t="str">
        <f>IF(I25&gt;=0.75,"Yes","No")</f>
        <v>Yes</v>
      </c>
      <c r="K25" s="148">
        <f>K16 + K18+ K20+ K22+ K24</f>
        <v>1</v>
      </c>
      <c r="L25" s="149" t="str">
        <f>IF(K25&gt;=0.75,"Yes","No")</f>
        <v>Yes</v>
      </c>
      <c r="M25" s="148">
        <f>M16 + M18+ M20+ M22+ M24</f>
        <v>4</v>
      </c>
      <c r="N25" s="148"/>
    </row>
    <row r="26" spans="1:17" ht="15.75" customHeight="1" thickTop="1">
      <c r="A26" s="407" t="s">
        <v>7</v>
      </c>
      <c r="B26" s="408"/>
      <c r="C26" s="408"/>
      <c r="D26" s="408"/>
      <c r="E26" s="408"/>
      <c r="F26" s="408"/>
      <c r="G26" s="408"/>
      <c r="H26" s="408"/>
      <c r="I26" s="408"/>
      <c r="J26" s="408"/>
      <c r="K26" s="408"/>
      <c r="L26" s="408"/>
      <c r="M26" s="409"/>
      <c r="N26" s="413" t="str">
        <f>IF(M16+M18+M20+M22+M24 &gt;= 3.75,"Yes","No")</f>
        <v>Yes</v>
      </c>
    </row>
    <row r="27" spans="1:17" ht="15" customHeight="1">
      <c r="A27" s="410"/>
      <c r="B27" s="411"/>
      <c r="C27" s="411"/>
      <c r="D27" s="411"/>
      <c r="E27" s="411"/>
      <c r="F27" s="411"/>
      <c r="G27" s="411"/>
      <c r="H27" s="411"/>
      <c r="I27" s="411"/>
      <c r="J27" s="411"/>
      <c r="K27" s="411"/>
      <c r="L27" s="411"/>
      <c r="M27" s="412"/>
      <c r="N27" s="414"/>
    </row>
    <row r="28" spans="1:17" ht="15" customHeight="1">
      <c r="A28" s="215" t="s">
        <v>34</v>
      </c>
      <c r="B28" s="216"/>
      <c r="C28" s="227" t="s">
        <v>63</v>
      </c>
      <c r="D28" s="227"/>
      <c r="E28" s="228" t="s">
        <v>62</v>
      </c>
      <c r="F28" s="228"/>
      <c r="G28" s="228" t="s">
        <v>61</v>
      </c>
      <c r="H28" s="228"/>
      <c r="I28" s="228" t="s">
        <v>60</v>
      </c>
      <c r="J28" s="228"/>
      <c r="K28" s="227" t="s">
        <v>59</v>
      </c>
      <c r="L28" s="227"/>
      <c r="M28" s="151"/>
      <c r="N28" s="44"/>
    </row>
    <row r="29" spans="1:17">
      <c r="A29" s="215"/>
      <c r="B29" s="216"/>
      <c r="C29" s="120">
        <v>1.5</v>
      </c>
      <c r="D29" s="46" t="s">
        <v>9</v>
      </c>
      <c r="E29" s="120">
        <v>1.5</v>
      </c>
      <c r="F29" s="46" t="s">
        <v>9</v>
      </c>
      <c r="G29" s="120">
        <v>1.5</v>
      </c>
      <c r="H29" s="46" t="s">
        <v>9</v>
      </c>
      <c r="I29" s="120">
        <v>2</v>
      </c>
      <c r="J29" s="46" t="s">
        <v>9</v>
      </c>
      <c r="K29" s="120">
        <v>1.5</v>
      </c>
      <c r="L29" s="46" t="s">
        <v>9</v>
      </c>
      <c r="M29" s="44">
        <f>C29+E29+G29+I29+K29</f>
        <v>8</v>
      </c>
      <c r="N29" s="47" t="str">
        <f>IF(AND(M29&gt;=8,M29&lt;=9),"Yes","No")</f>
        <v>Yes</v>
      </c>
    </row>
    <row r="30" spans="1:17">
      <c r="A30" s="204" t="s">
        <v>6</v>
      </c>
      <c r="B30" s="204"/>
      <c r="C30" s="201" t="s">
        <v>58</v>
      </c>
      <c r="D30" s="201"/>
      <c r="E30" s="202" t="s">
        <v>57</v>
      </c>
      <c r="F30" s="203"/>
      <c r="G30" s="203" t="s">
        <v>56</v>
      </c>
      <c r="H30" s="203"/>
      <c r="I30" s="203" t="s">
        <v>55</v>
      </c>
      <c r="J30" s="203"/>
      <c r="K30" s="203" t="s">
        <v>54</v>
      </c>
      <c r="L30" s="203"/>
      <c r="M30" s="49"/>
      <c r="N30" s="49"/>
    </row>
    <row r="31" spans="1:17">
      <c r="A31" s="204"/>
      <c r="B31" s="204"/>
      <c r="C31" s="113">
        <v>0.5</v>
      </c>
      <c r="D31" s="114" t="s">
        <v>8</v>
      </c>
      <c r="E31" s="143">
        <v>0.5</v>
      </c>
      <c r="F31" s="141" t="s">
        <v>8</v>
      </c>
      <c r="G31" s="142">
        <v>0.5</v>
      </c>
      <c r="H31" s="141" t="s">
        <v>8</v>
      </c>
      <c r="I31" s="142">
        <v>0.5</v>
      </c>
      <c r="J31" s="141" t="s">
        <v>8</v>
      </c>
      <c r="K31" s="142">
        <v>0.5</v>
      </c>
      <c r="L31" s="141" t="s">
        <v>8</v>
      </c>
      <c r="M31" s="49">
        <f>C31+E31+G31+I31+K31</f>
        <v>2.5</v>
      </c>
      <c r="N31" s="53" t="str">
        <f>IF(M31 &gt;= 2.5,"Yes","No")</f>
        <v>Yes</v>
      </c>
    </row>
    <row r="32" spans="1:17" ht="30" customHeight="1">
      <c r="A32" s="197" t="s">
        <v>36</v>
      </c>
      <c r="B32" s="198"/>
      <c r="C32" s="220" t="s">
        <v>11</v>
      </c>
      <c r="D32" s="220"/>
      <c r="E32" s="220" t="s">
        <v>11</v>
      </c>
      <c r="F32" s="220"/>
      <c r="G32" s="220" t="s">
        <v>11</v>
      </c>
      <c r="H32" s="220"/>
      <c r="I32" s="220" t="s">
        <v>11</v>
      </c>
      <c r="J32" s="220"/>
      <c r="K32" s="220" t="s">
        <v>11</v>
      </c>
      <c r="L32" s="220"/>
      <c r="M32" s="41"/>
      <c r="N32" s="41"/>
    </row>
    <row r="33" spans="1:14" ht="24.95" customHeight="1">
      <c r="A33" s="199"/>
      <c r="B33" s="200"/>
      <c r="C33" s="118">
        <v>1</v>
      </c>
      <c r="D33" s="43" t="s">
        <v>8</v>
      </c>
      <c r="E33" s="118">
        <v>1</v>
      </c>
      <c r="F33" s="43" t="s">
        <v>8</v>
      </c>
      <c r="G33" s="118">
        <v>1</v>
      </c>
      <c r="H33" s="43" t="s">
        <v>10</v>
      </c>
      <c r="I33" s="118">
        <v>1</v>
      </c>
      <c r="J33" s="43" t="s">
        <v>8</v>
      </c>
      <c r="K33" s="118">
        <v>1</v>
      </c>
      <c r="L33" s="43" t="s">
        <v>8</v>
      </c>
      <c r="M33" s="41">
        <f>C33+E33+G33+I33+K33</f>
        <v>5</v>
      </c>
      <c r="N33" s="124" t="str">
        <f>IF(M33 &gt;= 5,"Yes","No")</f>
        <v>Yes</v>
      </c>
    </row>
  </sheetData>
  <sheetProtection password="CA07" sheet="1" objects="1" scenarios="1" insertRows="0" selectLockedCells="1"/>
  <mergeCells count="105">
    <mergeCell ref="N26:N27"/>
    <mergeCell ref="G9:H9"/>
    <mergeCell ref="G8:H8"/>
    <mergeCell ref="G6:H6"/>
    <mergeCell ref="G5:H5"/>
    <mergeCell ref="G4:H4"/>
    <mergeCell ref="I9:J9"/>
    <mergeCell ref="I8:J8"/>
    <mergeCell ref="I6:J6"/>
    <mergeCell ref="I5:J5"/>
    <mergeCell ref="K15:L15"/>
    <mergeCell ref="G7:H7"/>
    <mergeCell ref="I7:J7"/>
    <mergeCell ref="K7:L7"/>
    <mergeCell ref="K8:L8"/>
    <mergeCell ref="K6:L6"/>
    <mergeCell ref="K5:L5"/>
    <mergeCell ref="K4:L4"/>
    <mergeCell ref="G19:H19"/>
    <mergeCell ref="G17:H17"/>
    <mergeCell ref="M2:N10"/>
    <mergeCell ref="C10:L10"/>
    <mergeCell ref="G3:H3"/>
    <mergeCell ref="K3:L3"/>
    <mergeCell ref="E19:F19"/>
    <mergeCell ref="I21:J21"/>
    <mergeCell ref="K21:L21"/>
    <mergeCell ref="C8:D8"/>
    <mergeCell ref="C9:D9"/>
    <mergeCell ref="C2:D2"/>
    <mergeCell ref="C7:D7"/>
    <mergeCell ref="E23:F23"/>
    <mergeCell ref="C15:D15"/>
    <mergeCell ref="C3:D3"/>
    <mergeCell ref="C4:D4"/>
    <mergeCell ref="C5:D5"/>
    <mergeCell ref="C6:D6"/>
    <mergeCell ref="I4:J4"/>
    <mergeCell ref="E2:F2"/>
    <mergeCell ref="G2:H2"/>
    <mergeCell ref="I2:J2"/>
    <mergeCell ref="I3:J3"/>
    <mergeCell ref="E8:F8"/>
    <mergeCell ref="E4:F4"/>
    <mergeCell ref="E3:F3"/>
    <mergeCell ref="E7:F7"/>
    <mergeCell ref="E9:F9"/>
    <mergeCell ref="E6:F6"/>
    <mergeCell ref="A13:N14"/>
    <mergeCell ref="P2:Q2"/>
    <mergeCell ref="A1:N1"/>
    <mergeCell ref="A11:B12"/>
    <mergeCell ref="K17:L17"/>
    <mergeCell ref="I17:J17"/>
    <mergeCell ref="K11:L11"/>
    <mergeCell ref="I11:J11"/>
    <mergeCell ref="G11:H11"/>
    <mergeCell ref="I15:J15"/>
    <mergeCell ref="G15:H15"/>
    <mergeCell ref="E15:F15"/>
    <mergeCell ref="A2:B10"/>
    <mergeCell ref="P14:R15"/>
    <mergeCell ref="P17:Q18"/>
    <mergeCell ref="E5:F5"/>
    <mergeCell ref="E17:F17"/>
    <mergeCell ref="C19:D19"/>
    <mergeCell ref="K2:L2"/>
    <mergeCell ref="K9:L9"/>
    <mergeCell ref="A32:B33"/>
    <mergeCell ref="C30:D30"/>
    <mergeCell ref="E30:F30"/>
    <mergeCell ref="G30:H30"/>
    <mergeCell ref="A30:B31"/>
    <mergeCell ref="A15:B16"/>
    <mergeCell ref="A17:B18"/>
    <mergeCell ref="A19:B20"/>
    <mergeCell ref="E11:F11"/>
    <mergeCell ref="C11:D11"/>
    <mergeCell ref="K23:L23"/>
    <mergeCell ref="I23:J23"/>
    <mergeCell ref="G23:H23"/>
    <mergeCell ref="C17:D17"/>
    <mergeCell ref="C23:D23"/>
    <mergeCell ref="K19:L19"/>
    <mergeCell ref="I19:J19"/>
    <mergeCell ref="C32:D32"/>
    <mergeCell ref="A26:M27"/>
    <mergeCell ref="K28:L28"/>
    <mergeCell ref="A25:B25"/>
    <mergeCell ref="K32:L32"/>
    <mergeCell ref="I32:J32"/>
    <mergeCell ref="G32:H32"/>
    <mergeCell ref="E32:F32"/>
    <mergeCell ref="I28:J28"/>
    <mergeCell ref="G28:H28"/>
    <mergeCell ref="E28:F28"/>
    <mergeCell ref="C28:D28"/>
    <mergeCell ref="A21:B22"/>
    <mergeCell ref="A23:B24"/>
    <mergeCell ref="A28:B29"/>
    <mergeCell ref="K30:L30"/>
    <mergeCell ref="I30:J30"/>
    <mergeCell ref="C21:D21"/>
    <mergeCell ref="G21:H21"/>
    <mergeCell ref="E21:F21"/>
  </mergeCells>
  <conditionalFormatting sqref="N12">
    <cfRule type="cellIs" dxfId="18" priority="15" operator="equal">
      <formula>"No"</formula>
    </cfRule>
  </conditionalFormatting>
  <conditionalFormatting sqref="N16">
    <cfRule type="cellIs" dxfId="17" priority="14" operator="equal">
      <formula>"No"</formula>
    </cfRule>
  </conditionalFormatting>
  <conditionalFormatting sqref="N18">
    <cfRule type="cellIs" dxfId="16" priority="13" operator="equal">
      <formula>"No"</formula>
    </cfRule>
  </conditionalFormatting>
  <conditionalFormatting sqref="N20">
    <cfRule type="cellIs" dxfId="15" priority="12" operator="equal">
      <formula>"No"</formula>
    </cfRule>
  </conditionalFormatting>
  <conditionalFormatting sqref="N22">
    <cfRule type="cellIs" dxfId="14" priority="11" operator="equal">
      <formula>"No"</formula>
    </cfRule>
  </conditionalFormatting>
  <conditionalFormatting sqref="N24">
    <cfRule type="cellIs" dxfId="13" priority="10" operator="equal">
      <formula>"No"</formula>
    </cfRule>
  </conditionalFormatting>
  <conditionalFormatting sqref="N26:N27">
    <cfRule type="cellIs" dxfId="12" priority="9" operator="equal">
      <formula>"No"</formula>
    </cfRule>
  </conditionalFormatting>
  <conditionalFormatting sqref="N29">
    <cfRule type="cellIs" dxfId="11" priority="8" operator="equal">
      <formula>"No"</formula>
    </cfRule>
  </conditionalFormatting>
  <conditionalFormatting sqref="N31">
    <cfRule type="cellIs" dxfId="10" priority="7" operator="equal">
      <formula>"No"</formula>
    </cfRule>
  </conditionalFormatting>
  <conditionalFormatting sqref="N33">
    <cfRule type="cellIs" dxfId="9" priority="6" operator="equal">
      <formula>"No"</formula>
    </cfRule>
  </conditionalFormatting>
  <conditionalFormatting sqref="D25">
    <cfRule type="containsText" dxfId="8" priority="5" operator="containsText" text="No">
      <formula>NOT(ISERROR(SEARCH("No",D25)))</formula>
    </cfRule>
  </conditionalFormatting>
  <conditionalFormatting sqref="F25">
    <cfRule type="containsText" dxfId="7" priority="4" operator="containsText" text="No">
      <formula>NOT(ISERROR(SEARCH("No",F25)))</formula>
    </cfRule>
  </conditionalFormatting>
  <conditionalFormatting sqref="H25">
    <cfRule type="containsText" dxfId="6" priority="3" operator="containsText" text="No">
      <formula>NOT(ISERROR(SEARCH("No",H25)))</formula>
    </cfRule>
  </conditionalFormatting>
  <conditionalFormatting sqref="J25">
    <cfRule type="containsText" dxfId="5" priority="2" operator="containsText" text="No">
      <formula>NOT(ISERROR(SEARCH("No",J25)))</formula>
    </cfRule>
  </conditionalFormatting>
  <conditionalFormatting sqref="L25">
    <cfRule type="containsText" dxfId="4" priority="1" operator="containsText" text="No">
      <formula>NOT(ISERROR(SEARCH("No",L25)))</formula>
    </cfRule>
  </conditionalFormatting>
  <pageMargins left="0.25" right="0.25" top="0.31" bottom="0.5" header="0.3" footer="0.3"/>
  <pageSetup orientation="landscape" r:id="rId1"/>
</worksheet>
</file>

<file path=xl/worksheets/sheet10.xml><?xml version="1.0" encoding="utf-8"?>
<worksheet xmlns="http://schemas.openxmlformats.org/spreadsheetml/2006/main" xmlns:r="http://schemas.openxmlformats.org/officeDocument/2006/relationships">
  <dimension ref="A1:R33"/>
  <sheetViews>
    <sheetView workbookViewId="0">
      <selection activeCell="C28" sqref="C28:D28"/>
    </sheetView>
  </sheetViews>
  <sheetFormatPr defaultRowHeight="15"/>
  <cols>
    <col min="1" max="1" width="9.140625" style="76"/>
    <col min="2" max="2" width="15.140625" style="76" customWidth="1"/>
    <col min="3" max="7" width="9.140625" style="76"/>
    <col min="8" max="8" width="12" style="76" customWidth="1"/>
    <col min="9" max="12" width="9.140625" style="76"/>
    <col min="13" max="14" width="7.28515625" style="76" customWidth="1"/>
    <col min="15" max="16384" width="9.140625" style="76"/>
  </cols>
  <sheetData>
    <row r="1" spans="1:18">
      <c r="A1" s="239" t="s">
        <v>13</v>
      </c>
      <c r="B1" s="240"/>
      <c r="C1" s="240"/>
      <c r="D1" s="240"/>
      <c r="E1" s="240"/>
      <c r="F1" s="240"/>
      <c r="G1" s="240"/>
      <c r="H1" s="240"/>
      <c r="I1" s="240"/>
      <c r="J1" s="240"/>
      <c r="K1" s="240"/>
      <c r="L1" s="240"/>
      <c r="M1" s="240"/>
      <c r="N1" s="241"/>
    </row>
    <row r="2" spans="1:18">
      <c r="A2" s="314" t="s">
        <v>5</v>
      </c>
      <c r="B2" s="315"/>
      <c r="C2" s="318" t="s">
        <v>0</v>
      </c>
      <c r="D2" s="318"/>
      <c r="E2" s="318" t="s">
        <v>1</v>
      </c>
      <c r="F2" s="318"/>
      <c r="G2" s="318" t="s">
        <v>2</v>
      </c>
      <c r="H2" s="318"/>
      <c r="I2" s="318" t="s">
        <v>3</v>
      </c>
      <c r="J2" s="318"/>
      <c r="K2" s="318" t="s">
        <v>4</v>
      </c>
      <c r="L2" s="318"/>
      <c r="M2" s="319" t="s">
        <v>28</v>
      </c>
      <c r="N2" s="320"/>
      <c r="P2" s="237" t="s">
        <v>17</v>
      </c>
      <c r="Q2" s="238"/>
    </row>
    <row r="3" spans="1:18" ht="24.95" customHeight="1">
      <c r="A3" s="285"/>
      <c r="B3" s="286"/>
      <c r="C3" s="250" t="s">
        <v>100</v>
      </c>
      <c r="D3" s="250"/>
      <c r="E3" s="250" t="s">
        <v>99</v>
      </c>
      <c r="F3" s="250"/>
      <c r="G3" s="250" t="s">
        <v>98</v>
      </c>
      <c r="H3" s="250"/>
      <c r="I3" s="250" t="s">
        <v>107</v>
      </c>
      <c r="J3" s="250"/>
      <c r="K3" s="250" t="s">
        <v>97</v>
      </c>
      <c r="L3" s="250"/>
      <c r="M3" s="286"/>
      <c r="N3" s="287"/>
      <c r="P3" s="11" t="s">
        <v>18</v>
      </c>
      <c r="Q3" s="12">
        <v>0.125</v>
      </c>
    </row>
    <row r="4" spans="1:18" ht="24.95" customHeight="1">
      <c r="A4" s="285"/>
      <c r="B4" s="286"/>
      <c r="C4" s="250" t="s">
        <v>96</v>
      </c>
      <c r="D4" s="250"/>
      <c r="E4" s="250" t="s">
        <v>95</v>
      </c>
      <c r="F4" s="250"/>
      <c r="G4" s="250" t="s">
        <v>94</v>
      </c>
      <c r="H4" s="250"/>
      <c r="I4" s="250" t="s">
        <v>108</v>
      </c>
      <c r="J4" s="250"/>
      <c r="K4" s="250" t="s">
        <v>93</v>
      </c>
      <c r="L4" s="250"/>
      <c r="M4" s="286"/>
      <c r="N4" s="287"/>
      <c r="P4" s="11" t="s">
        <v>19</v>
      </c>
      <c r="Q4" s="12">
        <v>0.25</v>
      </c>
    </row>
    <row r="5" spans="1:18" ht="24.95" customHeight="1">
      <c r="A5" s="285"/>
      <c r="B5" s="286"/>
      <c r="C5" s="250" t="s">
        <v>92</v>
      </c>
      <c r="D5" s="250"/>
      <c r="E5" s="250" t="s">
        <v>91</v>
      </c>
      <c r="F5" s="250"/>
      <c r="G5" s="250" t="s">
        <v>90</v>
      </c>
      <c r="H5" s="250"/>
      <c r="I5" s="256" t="s">
        <v>89</v>
      </c>
      <c r="J5" s="258"/>
      <c r="K5" s="250" t="s">
        <v>88</v>
      </c>
      <c r="L5" s="250"/>
      <c r="M5" s="286"/>
      <c r="N5" s="287"/>
      <c r="P5" s="11" t="s">
        <v>20</v>
      </c>
      <c r="Q5" s="12">
        <v>0.375</v>
      </c>
    </row>
    <row r="6" spans="1:18" ht="24.95" customHeight="1">
      <c r="A6" s="285"/>
      <c r="B6" s="286"/>
      <c r="C6" s="250" t="s">
        <v>87</v>
      </c>
      <c r="D6" s="250"/>
      <c r="E6" s="250" t="s">
        <v>86</v>
      </c>
      <c r="F6" s="250"/>
      <c r="G6" s="250" t="s">
        <v>85</v>
      </c>
      <c r="H6" s="250"/>
      <c r="I6" s="250" t="s">
        <v>84</v>
      </c>
      <c r="J6" s="250"/>
      <c r="K6" s="250" t="s">
        <v>83</v>
      </c>
      <c r="L6" s="250"/>
      <c r="M6" s="286"/>
      <c r="N6" s="287"/>
      <c r="P6" s="11" t="s">
        <v>21</v>
      </c>
      <c r="Q6" s="12">
        <v>0.33300000000000002</v>
      </c>
    </row>
    <row r="7" spans="1:18" ht="24.95" customHeight="1">
      <c r="A7" s="285"/>
      <c r="B7" s="286"/>
      <c r="C7" s="256" t="s">
        <v>82</v>
      </c>
      <c r="D7" s="257"/>
      <c r="E7" s="256" t="s">
        <v>81</v>
      </c>
      <c r="F7" s="258"/>
      <c r="G7" s="256" t="s">
        <v>80</v>
      </c>
      <c r="H7" s="258"/>
      <c r="I7" s="256" t="s">
        <v>79</v>
      </c>
      <c r="J7" s="258"/>
      <c r="K7" s="256" t="s">
        <v>78</v>
      </c>
      <c r="L7" s="258"/>
      <c r="M7" s="286"/>
      <c r="N7" s="287"/>
      <c r="P7" s="11" t="s">
        <v>22</v>
      </c>
      <c r="Q7" s="12">
        <v>0.5</v>
      </c>
    </row>
    <row r="8" spans="1:18" ht="24.95" customHeight="1">
      <c r="A8" s="285"/>
      <c r="B8" s="286"/>
      <c r="C8" s="250" t="s">
        <v>11</v>
      </c>
      <c r="D8" s="250"/>
      <c r="E8" s="250" t="s">
        <v>11</v>
      </c>
      <c r="F8" s="250"/>
      <c r="G8" s="250" t="s">
        <v>11</v>
      </c>
      <c r="H8" s="250"/>
      <c r="I8" s="250" t="s">
        <v>11</v>
      </c>
      <c r="J8" s="250"/>
      <c r="K8" s="250" t="s">
        <v>77</v>
      </c>
      <c r="L8" s="250"/>
      <c r="M8" s="286"/>
      <c r="N8" s="287"/>
      <c r="P8" s="11" t="s">
        <v>23</v>
      </c>
      <c r="Q8" s="12">
        <v>0.625</v>
      </c>
    </row>
    <row r="9" spans="1:18" ht="24.95" customHeight="1">
      <c r="A9" s="285"/>
      <c r="B9" s="286"/>
      <c r="C9" s="250"/>
      <c r="D9" s="250"/>
      <c r="E9" s="250"/>
      <c r="F9" s="250"/>
      <c r="G9" s="250"/>
      <c r="H9" s="250"/>
      <c r="I9" s="250"/>
      <c r="J9" s="250"/>
      <c r="K9" s="256" t="s">
        <v>11</v>
      </c>
      <c r="L9" s="258"/>
      <c r="M9" s="286"/>
      <c r="N9" s="287"/>
      <c r="P9" s="11" t="s">
        <v>24</v>
      </c>
      <c r="Q9" s="12">
        <v>0.66600000000000004</v>
      </c>
    </row>
    <row r="10" spans="1:18">
      <c r="A10" s="316"/>
      <c r="B10" s="317"/>
      <c r="C10" s="303"/>
      <c r="D10" s="304"/>
      <c r="E10" s="304"/>
      <c r="F10" s="304"/>
      <c r="G10" s="304"/>
      <c r="H10" s="304"/>
      <c r="I10" s="304"/>
      <c r="J10" s="304"/>
      <c r="K10" s="304"/>
      <c r="L10" s="305"/>
      <c r="M10" s="317"/>
      <c r="N10" s="321"/>
      <c r="P10" s="11" t="s">
        <v>25</v>
      </c>
      <c r="Q10" s="12">
        <v>0.75</v>
      </c>
    </row>
    <row r="11" spans="1:18" ht="30" customHeight="1">
      <c r="A11" s="323" t="s">
        <v>47</v>
      </c>
      <c r="B11" s="324"/>
      <c r="C11" s="244" t="s">
        <v>126</v>
      </c>
      <c r="D11" s="244"/>
      <c r="E11" s="244" t="s">
        <v>76</v>
      </c>
      <c r="F11" s="244"/>
      <c r="G11" s="327" t="s">
        <v>128</v>
      </c>
      <c r="H11" s="327"/>
      <c r="I11" s="244" t="s">
        <v>109</v>
      </c>
      <c r="J11" s="244"/>
      <c r="K11" s="244" t="s">
        <v>106</v>
      </c>
      <c r="L11" s="244"/>
      <c r="M11" s="65"/>
      <c r="N11" s="66"/>
      <c r="P11" s="11" t="s">
        <v>27</v>
      </c>
      <c r="Q11" s="12">
        <v>0.875</v>
      </c>
    </row>
    <row r="12" spans="1:18">
      <c r="A12" s="325"/>
      <c r="B12" s="326"/>
      <c r="C12" s="125">
        <v>2</v>
      </c>
      <c r="D12" s="68" t="s">
        <v>9</v>
      </c>
      <c r="E12" s="125">
        <v>2</v>
      </c>
      <c r="F12" s="68" t="s">
        <v>9</v>
      </c>
      <c r="G12" s="125">
        <v>2.25</v>
      </c>
      <c r="H12" s="68" t="s">
        <v>9</v>
      </c>
      <c r="I12" s="125">
        <v>1.5</v>
      </c>
      <c r="J12" s="68" t="s">
        <v>9</v>
      </c>
      <c r="K12" s="125">
        <v>2</v>
      </c>
      <c r="L12" s="68" t="s">
        <v>9</v>
      </c>
      <c r="M12" s="65">
        <f>C12+E12+G12+I12+K12</f>
        <v>9.75</v>
      </c>
      <c r="N12" s="69" t="str">
        <f>IF(AND(M12&gt;=9,M12&lt;=10),"Yes","No")</f>
        <v>Yes</v>
      </c>
      <c r="P12" s="13" t="s">
        <v>26</v>
      </c>
      <c r="Q12" s="14">
        <v>1</v>
      </c>
    </row>
    <row r="13" spans="1:18" ht="8.1" customHeight="1">
      <c r="A13" s="285" t="s">
        <v>50</v>
      </c>
      <c r="B13" s="286"/>
      <c r="C13" s="286"/>
      <c r="D13" s="286"/>
      <c r="E13" s="286"/>
      <c r="F13" s="286"/>
      <c r="G13" s="286"/>
      <c r="H13" s="286"/>
      <c r="I13" s="286"/>
      <c r="J13" s="286"/>
      <c r="K13" s="286"/>
      <c r="L13" s="286"/>
      <c r="M13" s="286"/>
      <c r="N13" s="287"/>
      <c r="P13" s="2"/>
      <c r="Q13" s="2"/>
    </row>
    <row r="14" spans="1:18" ht="8.1" customHeight="1">
      <c r="A14" s="285"/>
      <c r="B14" s="286"/>
      <c r="C14" s="286"/>
      <c r="D14" s="286"/>
      <c r="E14" s="286"/>
      <c r="F14" s="286"/>
      <c r="G14" s="286"/>
      <c r="H14" s="286"/>
      <c r="I14" s="286"/>
      <c r="J14" s="286"/>
      <c r="K14" s="286"/>
      <c r="L14" s="286"/>
      <c r="M14" s="286"/>
      <c r="N14" s="287"/>
      <c r="P14" s="144"/>
      <c r="Q14" s="144"/>
      <c r="R14" s="144"/>
    </row>
    <row r="15" spans="1:18">
      <c r="A15" s="352" t="s">
        <v>29</v>
      </c>
      <c r="B15" s="353"/>
      <c r="C15" s="217"/>
      <c r="D15" s="217"/>
      <c r="E15" s="217" t="s">
        <v>105</v>
      </c>
      <c r="F15" s="217"/>
      <c r="G15" s="217"/>
      <c r="H15" s="217"/>
      <c r="I15" s="217" t="s">
        <v>104</v>
      </c>
      <c r="J15" s="217"/>
      <c r="K15" s="217"/>
      <c r="L15" s="217"/>
      <c r="M15" s="32"/>
      <c r="N15" s="15"/>
      <c r="P15" s="357" t="s">
        <v>48</v>
      </c>
      <c r="Q15" s="358"/>
      <c r="R15" s="144"/>
    </row>
    <row r="16" spans="1:18">
      <c r="A16" s="352"/>
      <c r="B16" s="353"/>
      <c r="C16" s="130"/>
      <c r="D16" s="34" t="s">
        <v>8</v>
      </c>
      <c r="E16" s="130">
        <v>0.5</v>
      </c>
      <c r="F16" s="34" t="s">
        <v>8</v>
      </c>
      <c r="G16" s="130"/>
      <c r="H16" s="34" t="s">
        <v>8</v>
      </c>
      <c r="I16" s="130">
        <v>0.5</v>
      </c>
      <c r="J16" s="34" t="s">
        <v>8</v>
      </c>
      <c r="K16" s="130"/>
      <c r="L16" s="34" t="s">
        <v>8</v>
      </c>
      <c r="M16" s="106">
        <f>C16+E16+G16+I16+K16</f>
        <v>1</v>
      </c>
      <c r="N16" s="18" t="str">
        <f>IF(M16 &gt;= 0.5,"Yes","No")</f>
        <v>Yes</v>
      </c>
      <c r="P16" s="358"/>
      <c r="Q16" s="358"/>
    </row>
    <row r="17" spans="1:17" ht="15" customHeight="1">
      <c r="A17" s="345" t="s">
        <v>30</v>
      </c>
      <c r="B17" s="346"/>
      <c r="C17" s="347"/>
      <c r="D17" s="347"/>
      <c r="E17" s="347" t="s">
        <v>71</v>
      </c>
      <c r="F17" s="347"/>
      <c r="G17" s="347"/>
      <c r="H17" s="347"/>
      <c r="I17" s="347" t="s">
        <v>70</v>
      </c>
      <c r="J17" s="347"/>
      <c r="K17" s="347"/>
      <c r="L17" s="347"/>
      <c r="M17" s="108"/>
      <c r="N17" s="22"/>
      <c r="P17" s="358"/>
      <c r="Q17" s="358"/>
    </row>
    <row r="18" spans="1:17">
      <c r="A18" s="345"/>
      <c r="B18" s="346"/>
      <c r="C18" s="129">
        <v>0.5</v>
      </c>
      <c r="D18" s="36" t="s">
        <v>8</v>
      </c>
      <c r="E18" s="129">
        <v>0.25</v>
      </c>
      <c r="F18" s="36" t="s">
        <v>8</v>
      </c>
      <c r="G18" s="129"/>
      <c r="H18" s="36" t="s">
        <v>8</v>
      </c>
      <c r="I18" s="129">
        <v>0.25</v>
      </c>
      <c r="J18" s="36" t="s">
        <v>8</v>
      </c>
      <c r="K18" s="129"/>
      <c r="L18" s="36" t="s">
        <v>8</v>
      </c>
      <c r="M18" s="108">
        <f>C18+E18+G18+I18+K18</f>
        <v>1</v>
      </c>
      <c r="N18" s="22" t="str">
        <f>IF(M18 &gt;= 0.75,"Yes","No")</f>
        <v>Yes</v>
      </c>
      <c r="P18" s="138"/>
      <c r="Q18" s="138"/>
    </row>
    <row r="19" spans="1:17">
      <c r="A19" s="348" t="s">
        <v>31</v>
      </c>
      <c r="B19" s="349"/>
      <c r="C19" s="344"/>
      <c r="D19" s="344"/>
      <c r="E19" s="344"/>
      <c r="F19" s="344"/>
      <c r="G19" s="344"/>
      <c r="H19" s="344"/>
      <c r="I19" s="344"/>
      <c r="J19" s="344"/>
      <c r="K19" s="344" t="s">
        <v>69</v>
      </c>
      <c r="L19" s="344"/>
      <c r="M19" s="109"/>
      <c r="N19" s="26"/>
      <c r="P19" s="260" t="s">
        <v>49</v>
      </c>
      <c r="Q19" s="358"/>
    </row>
    <row r="20" spans="1:17">
      <c r="A20" s="348"/>
      <c r="B20" s="349"/>
      <c r="C20" s="128"/>
      <c r="D20" s="38" t="s">
        <v>8</v>
      </c>
      <c r="E20" s="128"/>
      <c r="F20" s="38" t="s">
        <v>8</v>
      </c>
      <c r="G20" s="128"/>
      <c r="H20" s="38" t="s">
        <v>8</v>
      </c>
      <c r="I20" s="128"/>
      <c r="J20" s="38" t="s">
        <v>8</v>
      </c>
      <c r="K20" s="128">
        <v>0.5</v>
      </c>
      <c r="L20" s="38" t="s">
        <v>8</v>
      </c>
      <c r="M20" s="109">
        <f>C20+E20+G20+I20+K20</f>
        <v>0.5</v>
      </c>
      <c r="N20" s="26" t="str">
        <f>IF(M20 &gt;= 0.5,"Yes","No")</f>
        <v>Yes</v>
      </c>
      <c r="P20" s="358"/>
      <c r="Q20" s="358"/>
    </row>
    <row r="21" spans="1:17">
      <c r="A21" s="350" t="s">
        <v>38</v>
      </c>
      <c r="B21" s="351"/>
      <c r="C21" s="334"/>
      <c r="D21" s="334"/>
      <c r="E21" s="334"/>
      <c r="F21" s="334"/>
      <c r="G21" s="334" t="s">
        <v>68</v>
      </c>
      <c r="H21" s="334"/>
      <c r="I21" s="334"/>
      <c r="J21" s="334"/>
      <c r="K21" s="334" t="s">
        <v>67</v>
      </c>
      <c r="L21" s="334"/>
      <c r="M21" s="110"/>
      <c r="N21" s="8"/>
    </row>
    <row r="22" spans="1:17">
      <c r="A22" s="350"/>
      <c r="B22" s="351"/>
      <c r="C22" s="126"/>
      <c r="D22" s="40" t="s">
        <v>8</v>
      </c>
      <c r="E22" s="126"/>
      <c r="F22" s="40" t="s">
        <v>8</v>
      </c>
      <c r="G22" s="126">
        <v>0.5</v>
      </c>
      <c r="H22" s="40" t="s">
        <v>8</v>
      </c>
      <c r="I22" s="126"/>
      <c r="J22" s="40" t="s">
        <v>8</v>
      </c>
      <c r="K22" s="126"/>
      <c r="L22" s="40" t="s">
        <v>8</v>
      </c>
      <c r="M22" s="110">
        <f>C22+E22+G22+I22+K22</f>
        <v>0.5</v>
      </c>
      <c r="N22" s="8" t="str">
        <f>IF(M22 &gt;= 0.5,"Yes","No")</f>
        <v>Yes</v>
      </c>
    </row>
    <row r="23" spans="1:17">
      <c r="A23" s="335" t="s">
        <v>39</v>
      </c>
      <c r="B23" s="336"/>
      <c r="C23" s="337" t="s">
        <v>66</v>
      </c>
      <c r="D23" s="337"/>
      <c r="E23" s="337"/>
      <c r="F23" s="337"/>
      <c r="G23" s="337"/>
      <c r="H23" s="337"/>
      <c r="I23" s="337"/>
      <c r="J23" s="337"/>
      <c r="K23" s="337" t="s">
        <v>64</v>
      </c>
      <c r="L23" s="337"/>
      <c r="M23" s="111"/>
      <c r="N23" s="107"/>
    </row>
    <row r="24" spans="1:17" ht="15.75" thickBot="1">
      <c r="A24" s="335"/>
      <c r="B24" s="336"/>
      <c r="C24" s="62">
        <v>0.25</v>
      </c>
      <c r="D24" s="63" t="s">
        <v>8</v>
      </c>
      <c r="E24" s="62"/>
      <c r="F24" s="63" t="s">
        <v>8</v>
      </c>
      <c r="G24" s="62">
        <v>0.25</v>
      </c>
      <c r="H24" s="63" t="s">
        <v>8</v>
      </c>
      <c r="I24" s="62"/>
      <c r="J24" s="63" t="s">
        <v>8</v>
      </c>
      <c r="K24" s="62">
        <v>0.25</v>
      </c>
      <c r="L24" s="63" t="s">
        <v>8</v>
      </c>
      <c r="M24" s="112">
        <f>C24+E24+G24+I24+K24</f>
        <v>0.75</v>
      </c>
      <c r="N24" s="59" t="str">
        <f>IF(M24 &gt;= 0.5,"Yes","No")</f>
        <v>Yes</v>
      </c>
    </row>
    <row r="25" spans="1:17" s="150" customFormat="1" ht="15" customHeight="1" thickTop="1" thickBot="1">
      <c r="A25" s="278" t="s">
        <v>44</v>
      </c>
      <c r="B25" s="278"/>
      <c r="C25" s="152">
        <f>C16 + C18+ C20+ C22+ C24</f>
        <v>0.75</v>
      </c>
      <c r="D25" s="153" t="str">
        <f>IF(C25&gt;=0.75,"Yes","No")</f>
        <v>Yes</v>
      </c>
      <c r="E25" s="152">
        <f>E16 + E18+ E20+ E22+ E24</f>
        <v>0.75</v>
      </c>
      <c r="F25" s="153" t="str">
        <f>IF(E25&gt;=0.75,"Yes","No")</f>
        <v>Yes</v>
      </c>
      <c r="G25" s="152">
        <f>G16 + G18+ G20+ G22+ G24</f>
        <v>0.75</v>
      </c>
      <c r="H25" s="153" t="str">
        <f>IF(G25&gt;=0.75,"Yes","No")</f>
        <v>Yes</v>
      </c>
      <c r="I25" s="152">
        <f>I16 + I18+ I20+ I22+ I24</f>
        <v>0.75</v>
      </c>
      <c r="J25" s="153" t="str">
        <f>IF(I25&gt;=0.75,"Yes","No")</f>
        <v>Yes</v>
      </c>
      <c r="K25" s="152">
        <f>K16 + K18+ K20+ K22+ K24</f>
        <v>0.75</v>
      </c>
      <c r="L25" s="153" t="str">
        <f>IF(K25&gt;=0.75,"Yes","No")</f>
        <v>Yes</v>
      </c>
      <c r="M25" s="152">
        <f>M16 + M18+ M20+ M22+ M24</f>
        <v>3.75</v>
      </c>
      <c r="N25" s="152"/>
    </row>
    <row r="26" spans="1:17" ht="8.1" customHeight="1" thickTop="1">
      <c r="A26" s="415" t="s">
        <v>7</v>
      </c>
      <c r="B26" s="416"/>
      <c r="C26" s="416"/>
      <c r="D26" s="416"/>
      <c r="E26" s="416"/>
      <c r="F26" s="416"/>
      <c r="G26" s="416"/>
      <c r="H26" s="416"/>
      <c r="I26" s="416"/>
      <c r="J26" s="416"/>
      <c r="K26" s="416"/>
      <c r="L26" s="416"/>
      <c r="M26" s="417"/>
      <c r="N26" s="371" t="str">
        <f>IF(M16+M18+M20+M22+M24 &gt;= 3.75,"Yes","No")</f>
        <v>Yes</v>
      </c>
    </row>
    <row r="27" spans="1:17" ht="8.1" customHeight="1">
      <c r="A27" s="418"/>
      <c r="B27" s="419"/>
      <c r="C27" s="419"/>
      <c r="D27" s="419"/>
      <c r="E27" s="419"/>
      <c r="F27" s="419"/>
      <c r="G27" s="419"/>
      <c r="H27" s="419"/>
      <c r="I27" s="419"/>
      <c r="J27" s="419"/>
      <c r="K27" s="419"/>
      <c r="L27" s="419"/>
      <c r="M27" s="420"/>
      <c r="N27" s="372"/>
    </row>
    <row r="28" spans="1:17" ht="15" customHeight="1">
      <c r="A28" s="215" t="s">
        <v>46</v>
      </c>
      <c r="B28" s="216"/>
      <c r="C28" s="227" t="s">
        <v>96</v>
      </c>
      <c r="D28" s="227"/>
      <c r="E28" s="228" t="s">
        <v>103</v>
      </c>
      <c r="F28" s="228"/>
      <c r="G28" s="228" t="s">
        <v>61</v>
      </c>
      <c r="H28" s="228"/>
      <c r="I28" s="228" t="s">
        <v>102</v>
      </c>
      <c r="J28" s="228"/>
      <c r="K28" s="227" t="s">
        <v>59</v>
      </c>
      <c r="L28" s="227"/>
      <c r="M28" s="151"/>
      <c r="N28" s="30"/>
    </row>
    <row r="29" spans="1:17">
      <c r="A29" s="215"/>
      <c r="B29" s="216"/>
      <c r="C29" s="120">
        <v>1.5</v>
      </c>
      <c r="D29" s="46" t="s">
        <v>9</v>
      </c>
      <c r="E29" s="120">
        <v>1.5</v>
      </c>
      <c r="F29" s="46" t="s">
        <v>9</v>
      </c>
      <c r="G29" s="120">
        <v>1.75</v>
      </c>
      <c r="H29" s="46" t="s">
        <v>9</v>
      </c>
      <c r="I29" s="120">
        <v>2</v>
      </c>
      <c r="J29" s="46" t="s">
        <v>9</v>
      </c>
      <c r="K29" s="120">
        <v>1.5</v>
      </c>
      <c r="L29" s="46" t="s">
        <v>9</v>
      </c>
      <c r="M29" s="44">
        <f>C29+E29+G29+I29+K29</f>
        <v>8.25</v>
      </c>
      <c r="N29" s="73" t="str">
        <f>IF(AND(M29&gt;=8,M29&lt;=10),"Yes","No")</f>
        <v>Yes</v>
      </c>
    </row>
    <row r="30" spans="1:17">
      <c r="A30" s="270" t="s">
        <v>37</v>
      </c>
      <c r="B30" s="338"/>
      <c r="C30" s="341" t="s">
        <v>101</v>
      </c>
      <c r="D30" s="341"/>
      <c r="E30" s="342" t="s">
        <v>57</v>
      </c>
      <c r="F30" s="343"/>
      <c r="G30" s="343" t="s">
        <v>56</v>
      </c>
      <c r="H30" s="343"/>
      <c r="I30" s="343" t="s">
        <v>55</v>
      </c>
      <c r="J30" s="343"/>
      <c r="K30" s="343" t="s">
        <v>54</v>
      </c>
      <c r="L30" s="343"/>
      <c r="M30" s="54"/>
      <c r="N30" s="58"/>
    </row>
    <row r="31" spans="1:17">
      <c r="A31" s="339"/>
      <c r="B31" s="340"/>
      <c r="C31" s="127">
        <v>0.5</v>
      </c>
      <c r="D31" s="56" t="s">
        <v>8</v>
      </c>
      <c r="E31" s="57">
        <v>0.5</v>
      </c>
      <c r="F31" s="56" t="s">
        <v>8</v>
      </c>
      <c r="G31" s="127">
        <v>0.5</v>
      </c>
      <c r="H31" s="56" t="s">
        <v>8</v>
      </c>
      <c r="I31" s="127">
        <v>0.5</v>
      </c>
      <c r="J31" s="56" t="s">
        <v>8</v>
      </c>
      <c r="K31" s="127">
        <v>0.5</v>
      </c>
      <c r="L31" s="56" t="s">
        <v>8</v>
      </c>
      <c r="M31" s="58">
        <f>C31+E31+G31+I31+K31</f>
        <v>2.5</v>
      </c>
      <c r="N31" s="58" t="str">
        <f>IF(M31 &gt;= 2.5,"Yes","No")</f>
        <v>Yes</v>
      </c>
    </row>
    <row r="32" spans="1:17">
      <c r="A32" s="197" t="s">
        <v>36</v>
      </c>
      <c r="B32" s="198"/>
      <c r="C32" s="322" t="s">
        <v>11</v>
      </c>
      <c r="D32" s="322"/>
      <c r="E32" s="322" t="s">
        <v>11</v>
      </c>
      <c r="F32" s="322"/>
      <c r="G32" s="322" t="s">
        <v>11</v>
      </c>
      <c r="H32" s="322"/>
      <c r="I32" s="322" t="s">
        <v>11</v>
      </c>
      <c r="J32" s="322"/>
      <c r="K32" s="322" t="s">
        <v>11</v>
      </c>
      <c r="L32" s="322"/>
      <c r="M32" s="41"/>
      <c r="N32" s="6"/>
    </row>
    <row r="33" spans="1:14">
      <c r="A33" s="199"/>
      <c r="B33" s="200"/>
      <c r="C33" s="124">
        <v>1</v>
      </c>
      <c r="D33" s="43" t="s">
        <v>8</v>
      </c>
      <c r="E33" s="124">
        <v>1</v>
      </c>
      <c r="F33" s="43" t="s">
        <v>8</v>
      </c>
      <c r="G33" s="124">
        <v>1</v>
      </c>
      <c r="H33" s="43" t="s">
        <v>10</v>
      </c>
      <c r="I33" s="124">
        <v>1</v>
      </c>
      <c r="J33" s="43" t="s">
        <v>8</v>
      </c>
      <c r="K33" s="124">
        <v>1</v>
      </c>
      <c r="L33" s="43" t="s">
        <v>8</v>
      </c>
      <c r="M33" s="124">
        <f>C33+E33+G33+I33+K33</f>
        <v>5</v>
      </c>
      <c r="N33" s="6" t="str">
        <f>IF(M33 &gt;= 5,"Yes","No")</f>
        <v>Yes</v>
      </c>
    </row>
  </sheetData>
  <sheetProtection password="CA07" sheet="1" objects="1" scenarios="1" insertRows="0" selectLockedCells="1"/>
  <dataConsolidate/>
  <mergeCells count="105">
    <mergeCell ref="A1:N1"/>
    <mergeCell ref="A2:B10"/>
    <mergeCell ref="C2:D2"/>
    <mergeCell ref="E2:F2"/>
    <mergeCell ref="G2:H2"/>
    <mergeCell ref="I2:J2"/>
    <mergeCell ref="K2:L2"/>
    <mergeCell ref="M2:N10"/>
    <mergeCell ref="C3:D3"/>
    <mergeCell ref="E3:F3"/>
    <mergeCell ref="E6:F6"/>
    <mergeCell ref="G6:H6"/>
    <mergeCell ref="I6:J6"/>
    <mergeCell ref="K7:L7"/>
    <mergeCell ref="G8:H8"/>
    <mergeCell ref="I8:J8"/>
    <mergeCell ref="G3:H3"/>
    <mergeCell ref="I3:J3"/>
    <mergeCell ref="C7:D7"/>
    <mergeCell ref="E7:F7"/>
    <mergeCell ref="G7:H7"/>
    <mergeCell ref="I7:J7"/>
    <mergeCell ref="N26:N27"/>
    <mergeCell ref="K19:L19"/>
    <mergeCell ref="K3:L3"/>
    <mergeCell ref="C4:D4"/>
    <mergeCell ref="E4:F4"/>
    <mergeCell ref="G4:H4"/>
    <mergeCell ref="I4:J4"/>
    <mergeCell ref="K4:L4"/>
    <mergeCell ref="E21:F21"/>
    <mergeCell ref="G21:H21"/>
    <mergeCell ref="I21:J21"/>
    <mergeCell ref="K21:L21"/>
    <mergeCell ref="A23:B24"/>
    <mergeCell ref="A25:B25"/>
    <mergeCell ref="K23:L23"/>
    <mergeCell ref="A21:B22"/>
    <mergeCell ref="C21:D21"/>
    <mergeCell ref="C23:D23"/>
    <mergeCell ref="E23:F23"/>
    <mergeCell ref="G23:H23"/>
    <mergeCell ref="I23:J23"/>
    <mergeCell ref="A32:B33"/>
    <mergeCell ref="C32:D32"/>
    <mergeCell ref="E32:F32"/>
    <mergeCell ref="G32:H32"/>
    <mergeCell ref="I32:J32"/>
    <mergeCell ref="A26:M27"/>
    <mergeCell ref="A30:B31"/>
    <mergeCell ref="C30:D30"/>
    <mergeCell ref="E30:F30"/>
    <mergeCell ref="K28:L28"/>
    <mergeCell ref="K32:L32"/>
    <mergeCell ref="G30:H30"/>
    <mergeCell ref="I30:J30"/>
    <mergeCell ref="K30:L30"/>
    <mergeCell ref="G28:H28"/>
    <mergeCell ref="I28:J28"/>
    <mergeCell ref="A28:B29"/>
    <mergeCell ref="C28:D28"/>
    <mergeCell ref="E28:F28"/>
    <mergeCell ref="P2:Q2"/>
    <mergeCell ref="I17:J17"/>
    <mergeCell ref="K17:L17"/>
    <mergeCell ref="K6:L6"/>
    <mergeCell ref="C5:D5"/>
    <mergeCell ref="E5:F5"/>
    <mergeCell ref="G5:H5"/>
    <mergeCell ref="I5:J5"/>
    <mergeCell ref="K5:L5"/>
    <mergeCell ref="C6:D6"/>
    <mergeCell ref="K8:L8"/>
    <mergeCell ref="C8:D8"/>
    <mergeCell ref="E8:F8"/>
    <mergeCell ref="C11:D11"/>
    <mergeCell ref="E11:F11"/>
    <mergeCell ref="G11:H11"/>
    <mergeCell ref="K9:L9"/>
    <mergeCell ref="A13:N14"/>
    <mergeCell ref="A15:B16"/>
    <mergeCell ref="C15:D15"/>
    <mergeCell ref="K15:L15"/>
    <mergeCell ref="C10:L10"/>
    <mergeCell ref="G9:H9"/>
    <mergeCell ref="I9:J9"/>
    <mergeCell ref="A19:B20"/>
    <mergeCell ref="C19:D19"/>
    <mergeCell ref="E19:F19"/>
    <mergeCell ref="G19:H19"/>
    <mergeCell ref="I19:J19"/>
    <mergeCell ref="C9:D9"/>
    <mergeCell ref="E9:F9"/>
    <mergeCell ref="P15:Q17"/>
    <mergeCell ref="P19:Q20"/>
    <mergeCell ref="I11:J11"/>
    <mergeCell ref="K11:L11"/>
    <mergeCell ref="A17:B18"/>
    <mergeCell ref="C17:D17"/>
    <mergeCell ref="E17:F17"/>
    <mergeCell ref="G17:H17"/>
    <mergeCell ref="E15:F15"/>
    <mergeCell ref="G15:H15"/>
    <mergeCell ref="I15:J15"/>
    <mergeCell ref="A11:B12"/>
  </mergeCells>
  <conditionalFormatting sqref="N12 N16 N18 N20 N22 N24 N26:N27 N29 N31 N33">
    <cfRule type="cellIs" dxfId="3" priority="2" operator="equal">
      <formula>"No"</formula>
    </cfRule>
  </conditionalFormatting>
  <conditionalFormatting sqref="D25 F25 H25 J25 L25">
    <cfRule type="containsText" dxfId="2" priority="1" operator="containsText" text="No">
      <formula>NOT(ISERROR(SEARCH("No",D25)))</formula>
    </cfRule>
  </conditionalFormatting>
  <pageMargins left="0.2" right="0.2" top="0.32" bottom="0.75" header="0.3" footer="0.3"/>
  <pageSetup orientation="landscape" horizontalDpi="4294967293" r:id="rId1"/>
</worksheet>
</file>

<file path=xl/worksheets/sheet11.xml><?xml version="1.0" encoding="utf-8"?>
<worksheet xmlns="http://schemas.openxmlformats.org/spreadsheetml/2006/main" xmlns:r="http://schemas.openxmlformats.org/officeDocument/2006/relationships">
  <dimension ref="A1:R33"/>
  <sheetViews>
    <sheetView workbookViewId="0">
      <selection activeCell="I21" sqref="I21:J21"/>
    </sheetView>
  </sheetViews>
  <sheetFormatPr defaultRowHeight="15"/>
  <cols>
    <col min="1" max="1" width="9.140625" style="76"/>
    <col min="2" max="2" width="14.5703125" style="76" customWidth="1"/>
    <col min="3" max="16384" width="9.140625" style="76"/>
  </cols>
  <sheetData>
    <row r="1" spans="1:18">
      <c r="A1" s="239" t="s">
        <v>12</v>
      </c>
      <c r="B1" s="240"/>
      <c r="C1" s="240"/>
      <c r="D1" s="240"/>
      <c r="E1" s="240"/>
      <c r="F1" s="240"/>
      <c r="G1" s="240"/>
      <c r="H1" s="240"/>
      <c r="I1" s="240"/>
      <c r="J1" s="240"/>
      <c r="K1" s="240"/>
      <c r="L1" s="240"/>
      <c r="M1" s="240"/>
      <c r="N1" s="241"/>
    </row>
    <row r="2" spans="1:18">
      <c r="A2" s="314" t="s">
        <v>5</v>
      </c>
      <c r="B2" s="315"/>
      <c r="C2" s="318" t="s">
        <v>0</v>
      </c>
      <c r="D2" s="318"/>
      <c r="E2" s="318" t="s">
        <v>1</v>
      </c>
      <c r="F2" s="318"/>
      <c r="G2" s="318" t="s">
        <v>2</v>
      </c>
      <c r="H2" s="318"/>
      <c r="I2" s="318" t="s">
        <v>3</v>
      </c>
      <c r="J2" s="318"/>
      <c r="K2" s="318" t="s">
        <v>4</v>
      </c>
      <c r="L2" s="318"/>
      <c r="M2" s="319" t="s">
        <v>28</v>
      </c>
      <c r="N2" s="320"/>
      <c r="P2" s="237" t="s">
        <v>17</v>
      </c>
      <c r="Q2" s="238"/>
    </row>
    <row r="3" spans="1:18" ht="24.95" customHeight="1">
      <c r="A3" s="285"/>
      <c r="B3" s="286"/>
      <c r="C3" s="250" t="s">
        <v>100</v>
      </c>
      <c r="D3" s="250"/>
      <c r="E3" s="250" t="s">
        <v>99</v>
      </c>
      <c r="F3" s="250"/>
      <c r="G3" s="250" t="s">
        <v>98</v>
      </c>
      <c r="H3" s="250"/>
      <c r="I3" s="250" t="s">
        <v>112</v>
      </c>
      <c r="J3" s="250"/>
      <c r="K3" s="250" t="s">
        <v>97</v>
      </c>
      <c r="L3" s="250"/>
      <c r="M3" s="286"/>
      <c r="N3" s="287"/>
      <c r="P3" s="11" t="s">
        <v>18</v>
      </c>
      <c r="Q3" s="12">
        <v>0.125</v>
      </c>
    </row>
    <row r="4" spans="1:18" ht="24.95" customHeight="1">
      <c r="A4" s="285"/>
      <c r="B4" s="286"/>
      <c r="C4" s="250" t="s">
        <v>96</v>
      </c>
      <c r="D4" s="250"/>
      <c r="E4" s="250" t="s">
        <v>95</v>
      </c>
      <c r="F4" s="250"/>
      <c r="G4" s="250" t="s">
        <v>94</v>
      </c>
      <c r="H4" s="250"/>
      <c r="I4" s="250" t="s">
        <v>129</v>
      </c>
      <c r="J4" s="250"/>
      <c r="K4" s="250" t="s">
        <v>93</v>
      </c>
      <c r="L4" s="250"/>
      <c r="M4" s="286"/>
      <c r="N4" s="287"/>
      <c r="P4" s="11" t="s">
        <v>19</v>
      </c>
      <c r="Q4" s="12">
        <v>0.25</v>
      </c>
    </row>
    <row r="5" spans="1:18" ht="24.95" customHeight="1">
      <c r="A5" s="285"/>
      <c r="B5" s="286"/>
      <c r="C5" s="250" t="s">
        <v>92</v>
      </c>
      <c r="D5" s="250"/>
      <c r="E5" s="250" t="s">
        <v>91</v>
      </c>
      <c r="F5" s="250"/>
      <c r="G5" s="250" t="s">
        <v>90</v>
      </c>
      <c r="H5" s="250"/>
      <c r="I5" s="256" t="s">
        <v>89</v>
      </c>
      <c r="J5" s="258"/>
      <c r="K5" s="250" t="s">
        <v>88</v>
      </c>
      <c r="L5" s="250"/>
      <c r="M5" s="286"/>
      <c r="N5" s="287"/>
      <c r="P5" s="11" t="s">
        <v>20</v>
      </c>
      <c r="Q5" s="12">
        <v>0.375</v>
      </c>
    </row>
    <row r="6" spans="1:18" ht="24.95" customHeight="1">
      <c r="A6" s="285"/>
      <c r="B6" s="286"/>
      <c r="C6" s="250" t="s">
        <v>87</v>
      </c>
      <c r="D6" s="250"/>
      <c r="E6" s="250" t="s">
        <v>86</v>
      </c>
      <c r="F6" s="250"/>
      <c r="G6" s="250" t="s">
        <v>85</v>
      </c>
      <c r="H6" s="250"/>
      <c r="I6" s="250" t="s">
        <v>84</v>
      </c>
      <c r="J6" s="250"/>
      <c r="K6" s="250" t="s">
        <v>83</v>
      </c>
      <c r="L6" s="250"/>
      <c r="M6" s="286"/>
      <c r="N6" s="287"/>
      <c r="P6" s="11" t="s">
        <v>21</v>
      </c>
      <c r="Q6" s="12">
        <v>0.33300000000000002</v>
      </c>
    </row>
    <row r="7" spans="1:18" ht="24.95" customHeight="1">
      <c r="A7" s="285"/>
      <c r="B7" s="286"/>
      <c r="C7" s="256" t="s">
        <v>82</v>
      </c>
      <c r="D7" s="257"/>
      <c r="E7" s="256" t="s">
        <v>81</v>
      </c>
      <c r="F7" s="258"/>
      <c r="G7" s="256" t="s">
        <v>80</v>
      </c>
      <c r="H7" s="258"/>
      <c r="I7" s="256" t="s">
        <v>79</v>
      </c>
      <c r="J7" s="258"/>
      <c r="K7" s="256" t="s">
        <v>78</v>
      </c>
      <c r="L7" s="258"/>
      <c r="M7" s="286"/>
      <c r="N7" s="287"/>
      <c r="P7" s="11" t="s">
        <v>22</v>
      </c>
      <c r="Q7" s="12">
        <v>0.5</v>
      </c>
    </row>
    <row r="8" spans="1:18" ht="24.95" customHeight="1">
      <c r="A8" s="285"/>
      <c r="B8" s="286"/>
      <c r="C8" s="250" t="s">
        <v>110</v>
      </c>
      <c r="D8" s="250"/>
      <c r="E8" s="250"/>
      <c r="F8" s="250"/>
      <c r="G8" s="250" t="s">
        <v>130</v>
      </c>
      <c r="H8" s="250"/>
      <c r="I8" s="250" t="s">
        <v>136</v>
      </c>
      <c r="J8" s="250"/>
      <c r="K8" s="250" t="s">
        <v>77</v>
      </c>
      <c r="L8" s="250"/>
      <c r="M8" s="286"/>
      <c r="N8" s="287"/>
      <c r="P8" s="11" t="s">
        <v>23</v>
      </c>
      <c r="Q8" s="12">
        <v>0.625</v>
      </c>
    </row>
    <row r="9" spans="1:18" ht="24.95" customHeight="1">
      <c r="A9" s="285"/>
      <c r="B9" s="286"/>
      <c r="C9" s="250" t="s">
        <v>11</v>
      </c>
      <c r="D9" s="250"/>
      <c r="E9" s="250" t="s">
        <v>11</v>
      </c>
      <c r="F9" s="250"/>
      <c r="G9" s="250" t="s">
        <v>11</v>
      </c>
      <c r="H9" s="250"/>
      <c r="I9" s="250" t="s">
        <v>11</v>
      </c>
      <c r="J9" s="250"/>
      <c r="K9" s="256" t="s">
        <v>11</v>
      </c>
      <c r="L9" s="258"/>
      <c r="M9" s="286"/>
      <c r="N9" s="287"/>
      <c r="P9" s="11" t="s">
        <v>24</v>
      </c>
      <c r="Q9" s="12">
        <v>0.66600000000000004</v>
      </c>
    </row>
    <row r="10" spans="1:18">
      <c r="A10" s="316"/>
      <c r="B10" s="317"/>
      <c r="C10" s="303"/>
      <c r="D10" s="304"/>
      <c r="E10" s="304"/>
      <c r="F10" s="304"/>
      <c r="G10" s="304"/>
      <c r="H10" s="304"/>
      <c r="I10" s="304"/>
      <c r="J10" s="304"/>
      <c r="K10" s="304"/>
      <c r="L10" s="305"/>
      <c r="M10" s="317"/>
      <c r="N10" s="321"/>
      <c r="P10" s="145" t="s">
        <v>111</v>
      </c>
      <c r="Q10" s="146">
        <v>0.75</v>
      </c>
    </row>
    <row r="11" spans="1:18" ht="30" customHeight="1">
      <c r="A11" s="355" t="s">
        <v>43</v>
      </c>
      <c r="B11" s="356"/>
      <c r="C11" s="308" t="s">
        <v>142</v>
      </c>
      <c r="D11" s="309"/>
      <c r="E11" s="327" t="s">
        <v>124</v>
      </c>
      <c r="F11" s="327"/>
      <c r="G11" s="327" t="s">
        <v>128</v>
      </c>
      <c r="H11" s="327"/>
      <c r="I11" s="308" t="s">
        <v>123</v>
      </c>
      <c r="J11" s="309"/>
      <c r="K11" s="327" t="s">
        <v>75</v>
      </c>
      <c r="L11" s="327"/>
      <c r="M11" s="66"/>
      <c r="N11" s="66"/>
      <c r="P11" s="11" t="s">
        <v>113</v>
      </c>
      <c r="Q11" s="12">
        <v>0.875</v>
      </c>
    </row>
    <row r="12" spans="1:18">
      <c r="A12" s="355"/>
      <c r="B12" s="356"/>
      <c r="C12" s="134">
        <v>2.5</v>
      </c>
      <c r="D12" s="71" t="s">
        <v>9</v>
      </c>
      <c r="E12" s="134">
        <v>3</v>
      </c>
      <c r="F12" s="71" t="s">
        <v>9</v>
      </c>
      <c r="G12" s="134">
        <v>2.25</v>
      </c>
      <c r="H12" s="71" t="s">
        <v>9</v>
      </c>
      <c r="I12" s="134">
        <v>2</v>
      </c>
      <c r="J12" s="71" t="s">
        <v>9</v>
      </c>
      <c r="K12" s="134">
        <v>2</v>
      </c>
      <c r="L12" s="71" t="s">
        <v>9</v>
      </c>
      <c r="M12" s="66">
        <f>C12+E12+G12+I12+K12</f>
        <v>11.75</v>
      </c>
      <c r="N12" s="69" t="str">
        <f>IF(AND(M12&gt;=10,M12&lt;=12),"Yes","No")</f>
        <v>Yes</v>
      </c>
      <c r="P12" s="72"/>
      <c r="Q12" s="72"/>
    </row>
    <row r="13" spans="1:18" ht="9.9499999999999993" customHeight="1">
      <c r="A13" s="285" t="s">
        <v>51</v>
      </c>
      <c r="B13" s="286"/>
      <c r="C13" s="286"/>
      <c r="D13" s="286"/>
      <c r="E13" s="286"/>
      <c r="F13" s="286"/>
      <c r="G13" s="286"/>
      <c r="H13" s="286"/>
      <c r="I13" s="286"/>
      <c r="J13" s="286"/>
      <c r="K13" s="286"/>
      <c r="L13" s="286"/>
      <c r="M13" s="286"/>
      <c r="N13" s="287"/>
      <c r="P13" s="357" t="s">
        <v>48</v>
      </c>
      <c r="Q13" s="358"/>
      <c r="R13" s="123"/>
    </row>
    <row r="14" spans="1:18" ht="9.9499999999999993" customHeight="1">
      <c r="A14" s="285"/>
      <c r="B14" s="286"/>
      <c r="C14" s="286"/>
      <c r="D14" s="286"/>
      <c r="E14" s="286"/>
      <c r="F14" s="286"/>
      <c r="G14" s="286"/>
      <c r="H14" s="286"/>
      <c r="I14" s="286"/>
      <c r="J14" s="286"/>
      <c r="K14" s="286"/>
      <c r="L14" s="286"/>
      <c r="M14" s="286"/>
      <c r="N14" s="287"/>
      <c r="P14" s="358"/>
      <c r="Q14" s="358"/>
      <c r="R14" s="123"/>
    </row>
    <row r="15" spans="1:18" ht="15" customHeight="1">
      <c r="A15" s="359" t="s">
        <v>29</v>
      </c>
      <c r="B15" s="360"/>
      <c r="C15" s="288"/>
      <c r="D15" s="288"/>
      <c r="E15" s="288" t="s">
        <v>114</v>
      </c>
      <c r="F15" s="288"/>
      <c r="G15" s="288"/>
      <c r="H15" s="288"/>
      <c r="I15" s="288" t="s">
        <v>115</v>
      </c>
      <c r="J15" s="288"/>
      <c r="K15" s="288"/>
      <c r="L15" s="288"/>
      <c r="M15" s="15"/>
      <c r="N15" s="15"/>
      <c r="P15" s="358"/>
      <c r="Q15" s="358"/>
      <c r="R15" s="147"/>
    </row>
    <row r="16" spans="1:18">
      <c r="A16" s="359"/>
      <c r="B16" s="360"/>
      <c r="C16" s="136"/>
      <c r="D16" s="17" t="s">
        <v>8</v>
      </c>
      <c r="E16" s="136">
        <v>0.5</v>
      </c>
      <c r="F16" s="17" t="s">
        <v>8</v>
      </c>
      <c r="G16" s="136"/>
      <c r="H16" s="17" t="s">
        <v>8</v>
      </c>
      <c r="I16" s="136">
        <v>0.5</v>
      </c>
      <c r="J16" s="17" t="s">
        <v>8</v>
      </c>
      <c r="K16" s="136"/>
      <c r="L16" s="17" t="s">
        <v>8</v>
      </c>
      <c r="M16" s="15">
        <f>C16+E16+G16+I16+K16</f>
        <v>1</v>
      </c>
      <c r="N16" s="18" t="str">
        <f>IF(M16 &gt;= 0.5,"Yes","No")</f>
        <v>Yes</v>
      </c>
      <c r="P16" s="260"/>
      <c r="Q16" s="260"/>
    </row>
    <row r="17" spans="1:17" ht="15" customHeight="1">
      <c r="A17" s="345" t="s">
        <v>40</v>
      </c>
      <c r="B17" s="346"/>
      <c r="C17" s="289" t="s">
        <v>92</v>
      </c>
      <c r="D17" s="289"/>
      <c r="E17" s="289" t="s">
        <v>116</v>
      </c>
      <c r="F17" s="289"/>
      <c r="G17" s="289"/>
      <c r="H17" s="289"/>
      <c r="I17" s="289" t="s">
        <v>70</v>
      </c>
      <c r="J17" s="289"/>
      <c r="K17" s="289"/>
      <c r="L17" s="289"/>
      <c r="M17" s="19"/>
      <c r="N17" s="19"/>
      <c r="P17" s="260"/>
      <c r="Q17" s="260"/>
    </row>
    <row r="18" spans="1:17" ht="15" customHeight="1">
      <c r="A18" s="345"/>
      <c r="B18" s="346"/>
      <c r="C18" s="132">
        <v>0.75</v>
      </c>
      <c r="D18" s="21" t="s">
        <v>8</v>
      </c>
      <c r="E18" s="132">
        <v>0.5</v>
      </c>
      <c r="F18" s="21" t="s">
        <v>8</v>
      </c>
      <c r="G18" s="132"/>
      <c r="H18" s="21" t="s">
        <v>8</v>
      </c>
      <c r="I18" s="132">
        <v>0.5</v>
      </c>
      <c r="J18" s="21" t="s">
        <v>8</v>
      </c>
      <c r="K18" s="132"/>
      <c r="L18" s="21" t="s">
        <v>8</v>
      </c>
      <c r="M18" s="19">
        <f>C18+E18+G18+I18+K18</f>
        <v>1.75</v>
      </c>
      <c r="N18" s="22" t="str">
        <f>IF(M18 &gt;= 1.25,"Yes","No")</f>
        <v>Yes</v>
      </c>
      <c r="P18" s="260" t="s">
        <v>49</v>
      </c>
      <c r="Q18" s="260"/>
    </row>
    <row r="19" spans="1:17">
      <c r="A19" s="361" t="s">
        <v>31</v>
      </c>
      <c r="B19" s="362"/>
      <c r="C19" s="275"/>
      <c r="D19" s="275"/>
      <c r="E19" s="275"/>
      <c r="F19" s="275"/>
      <c r="G19" s="275"/>
      <c r="H19" s="275"/>
      <c r="I19" s="275"/>
      <c r="J19" s="275"/>
      <c r="K19" s="275" t="s">
        <v>83</v>
      </c>
      <c r="L19" s="275"/>
      <c r="M19" s="23"/>
      <c r="N19" s="23"/>
      <c r="P19" s="260"/>
      <c r="Q19" s="260"/>
    </row>
    <row r="20" spans="1:17">
      <c r="A20" s="361"/>
      <c r="B20" s="362"/>
      <c r="C20" s="131"/>
      <c r="D20" s="25" t="s">
        <v>8</v>
      </c>
      <c r="E20" s="131"/>
      <c r="F20" s="25" t="s">
        <v>8</v>
      </c>
      <c r="G20" s="131"/>
      <c r="H20" s="25" t="s">
        <v>8</v>
      </c>
      <c r="I20" s="131"/>
      <c r="J20" s="25" t="s">
        <v>8</v>
      </c>
      <c r="K20" s="131">
        <v>0.5</v>
      </c>
      <c r="L20" s="25" t="s">
        <v>8</v>
      </c>
      <c r="M20" s="23">
        <f>C20+E20+G20+I20+K20</f>
        <v>0.5</v>
      </c>
      <c r="N20" s="26" t="str">
        <f>IF(M20 &gt;= 0.5,"Yes","No")</f>
        <v>Yes</v>
      </c>
    </row>
    <row r="21" spans="1:17">
      <c r="A21" s="365" t="s">
        <v>38</v>
      </c>
      <c r="B21" s="366"/>
      <c r="C21" s="276"/>
      <c r="D21" s="276"/>
      <c r="E21" s="276"/>
      <c r="F21" s="276"/>
      <c r="G21" s="276" t="s">
        <v>90</v>
      </c>
      <c r="H21" s="276"/>
      <c r="I21" s="276"/>
      <c r="J21" s="276"/>
      <c r="K21" s="276" t="s">
        <v>78</v>
      </c>
      <c r="L21" s="276"/>
      <c r="M21" s="3"/>
      <c r="N21" s="3"/>
    </row>
    <row r="22" spans="1:17">
      <c r="A22" s="365"/>
      <c r="B22" s="366"/>
      <c r="C22" s="135"/>
      <c r="D22" s="7" t="s">
        <v>8</v>
      </c>
      <c r="E22" s="135"/>
      <c r="F22" s="7" t="s">
        <v>8</v>
      </c>
      <c r="G22" s="135">
        <v>0.5</v>
      </c>
      <c r="H22" s="7" t="s">
        <v>8</v>
      </c>
      <c r="I22" s="135"/>
      <c r="J22" s="7" t="s">
        <v>8</v>
      </c>
      <c r="K22" s="135">
        <v>0.5</v>
      </c>
      <c r="L22" s="7" t="s">
        <v>8</v>
      </c>
      <c r="M22" s="3">
        <f>C22+E22+G22+I22+K22</f>
        <v>1</v>
      </c>
      <c r="N22" s="8" t="str">
        <f>IF(M22 &gt;= 0.5,"Yes","No")</f>
        <v>Yes</v>
      </c>
    </row>
    <row r="23" spans="1:17">
      <c r="A23" s="363" t="s">
        <v>41</v>
      </c>
      <c r="B23" s="364"/>
      <c r="C23" s="274" t="s">
        <v>87</v>
      </c>
      <c r="D23" s="274"/>
      <c r="E23" s="274"/>
      <c r="F23" s="274"/>
      <c r="G23" s="274" t="s">
        <v>85</v>
      </c>
      <c r="H23" s="274"/>
      <c r="I23" s="274"/>
      <c r="J23" s="274"/>
      <c r="K23" s="274" t="s">
        <v>88</v>
      </c>
      <c r="L23" s="274"/>
      <c r="M23" s="31"/>
      <c r="N23" s="31"/>
    </row>
    <row r="24" spans="1:17" ht="15.75" thickBot="1">
      <c r="A24" s="363"/>
      <c r="B24" s="364"/>
      <c r="C24" s="60">
        <v>0.5</v>
      </c>
      <c r="D24" s="61" t="s">
        <v>8</v>
      </c>
      <c r="E24" s="60"/>
      <c r="F24" s="61" t="s">
        <v>8</v>
      </c>
      <c r="G24" s="60">
        <v>0.5</v>
      </c>
      <c r="H24" s="61" t="s">
        <v>8</v>
      </c>
      <c r="I24" s="60"/>
      <c r="J24" s="61" t="s">
        <v>8</v>
      </c>
      <c r="K24" s="60">
        <v>0.25</v>
      </c>
      <c r="L24" s="61" t="s">
        <v>8</v>
      </c>
      <c r="M24" s="75">
        <f>C24+E24+G24+I24+K24</f>
        <v>1.25</v>
      </c>
      <c r="N24" s="59" t="str">
        <f>IF(M24 &gt;= 0.75,"Yes","No")</f>
        <v>Yes</v>
      </c>
    </row>
    <row r="25" spans="1:17" ht="15" customHeight="1" thickTop="1" thickBot="1">
      <c r="A25" s="367" t="s">
        <v>44</v>
      </c>
      <c r="B25" s="367"/>
      <c r="C25" s="74">
        <f>C16 + C18+ C20+ C22+ C24</f>
        <v>1.25</v>
      </c>
      <c r="D25" s="64" t="str">
        <f>IF(C25&gt;=1,"Yes","No")</f>
        <v>Yes</v>
      </c>
      <c r="E25" s="74">
        <f>E16 + E18+ E20+ E22+ E24</f>
        <v>1</v>
      </c>
      <c r="F25" s="64" t="str">
        <f>IF(E25&gt;=1,"Yes","No")</f>
        <v>Yes</v>
      </c>
      <c r="G25" s="74">
        <f>G16 + G18+ G20+ G22+ G24</f>
        <v>1</v>
      </c>
      <c r="H25" s="64" t="str">
        <f>IF(G25&gt;=1,"Yes","No")</f>
        <v>Yes</v>
      </c>
      <c r="I25" s="74">
        <f>I16 + I18+ I20+ I22+ I24</f>
        <v>1</v>
      </c>
      <c r="J25" s="64" t="str">
        <f>IF(I25&gt;=1,"Yes","No")</f>
        <v>Yes</v>
      </c>
      <c r="K25" s="74">
        <f>K16 + K18+ K20+ K22+ K24</f>
        <v>1.25</v>
      </c>
      <c r="L25" s="64" t="str">
        <f>IF(K25&gt;=1,"Yes","No")</f>
        <v>Yes</v>
      </c>
      <c r="M25" s="74">
        <f>M16 + M18+ M20+ M22+ M24</f>
        <v>5.5</v>
      </c>
      <c r="N25" s="74"/>
    </row>
    <row r="26" spans="1:17" ht="9.9499999999999993" customHeight="1" thickTop="1">
      <c r="A26" s="368" t="s">
        <v>16</v>
      </c>
      <c r="B26" s="369"/>
      <c r="C26" s="369"/>
      <c r="D26" s="369"/>
      <c r="E26" s="369"/>
      <c r="F26" s="369"/>
      <c r="G26" s="369"/>
      <c r="H26" s="369"/>
      <c r="I26" s="369"/>
      <c r="J26" s="369"/>
      <c r="K26" s="369"/>
      <c r="L26" s="369"/>
      <c r="M26" s="370"/>
      <c r="N26" s="371" t="str">
        <f>IF(M16+M18+M20+M22+M24 &gt;= 5,"Yes","No")</f>
        <v>Yes</v>
      </c>
    </row>
    <row r="27" spans="1:17" ht="9.9499999999999993" customHeight="1">
      <c r="A27" s="368"/>
      <c r="B27" s="369"/>
      <c r="C27" s="369"/>
      <c r="D27" s="369"/>
      <c r="E27" s="369"/>
      <c r="F27" s="369"/>
      <c r="G27" s="369"/>
      <c r="H27" s="369"/>
      <c r="I27" s="369"/>
      <c r="J27" s="369"/>
      <c r="K27" s="369"/>
      <c r="L27" s="369"/>
      <c r="M27" s="370"/>
      <c r="N27" s="372"/>
    </row>
    <row r="28" spans="1:17">
      <c r="A28" s="215" t="s">
        <v>42</v>
      </c>
      <c r="B28" s="216"/>
      <c r="C28" s="373" t="s">
        <v>96</v>
      </c>
      <c r="D28" s="373"/>
      <c r="E28" s="373" t="s">
        <v>117</v>
      </c>
      <c r="F28" s="373"/>
      <c r="G28" s="373" t="s">
        <v>118</v>
      </c>
      <c r="H28" s="373"/>
      <c r="I28" s="373" t="s">
        <v>60</v>
      </c>
      <c r="J28" s="373"/>
      <c r="K28" s="373" t="s">
        <v>119</v>
      </c>
      <c r="L28" s="373"/>
      <c r="M28" s="27"/>
      <c r="N28" s="27"/>
    </row>
    <row r="29" spans="1:17">
      <c r="A29" s="215"/>
      <c r="B29" s="216"/>
      <c r="C29" s="119">
        <v>2.5</v>
      </c>
      <c r="D29" s="29" t="s">
        <v>9</v>
      </c>
      <c r="E29" s="119">
        <v>2</v>
      </c>
      <c r="F29" s="29" t="s">
        <v>9</v>
      </c>
      <c r="G29" s="119">
        <v>2.75</v>
      </c>
      <c r="H29" s="29" t="s">
        <v>9</v>
      </c>
      <c r="I29" s="119">
        <v>2</v>
      </c>
      <c r="J29" s="29" t="s">
        <v>9</v>
      </c>
      <c r="K29" s="119">
        <v>1.5</v>
      </c>
      <c r="L29" s="29" t="s">
        <v>9</v>
      </c>
      <c r="M29" s="27">
        <f>C29+E29+G29+I29+K29</f>
        <v>10.75</v>
      </c>
      <c r="N29" s="30" t="str">
        <f>IF(AND(M29&gt;=10,M29&lt;=12),"Yes","No")</f>
        <v>Yes</v>
      </c>
    </row>
    <row r="30" spans="1:17" ht="30" customHeight="1">
      <c r="A30" s="270" t="s">
        <v>15</v>
      </c>
      <c r="B30" s="271"/>
      <c r="C30" s="201" t="s">
        <v>120</v>
      </c>
      <c r="D30" s="201"/>
      <c r="E30" s="202" t="s">
        <v>121</v>
      </c>
      <c r="F30" s="203"/>
      <c r="G30" s="203" t="s">
        <v>131</v>
      </c>
      <c r="H30" s="203"/>
      <c r="I30" s="203" t="s">
        <v>137</v>
      </c>
      <c r="J30" s="203"/>
      <c r="K30" s="203" t="s">
        <v>122</v>
      </c>
      <c r="L30" s="203"/>
      <c r="M30" s="54"/>
      <c r="N30" s="54"/>
    </row>
    <row r="31" spans="1:17">
      <c r="A31" s="272"/>
      <c r="B31" s="273"/>
      <c r="C31" s="127">
        <v>1</v>
      </c>
      <c r="D31" s="56" t="s">
        <v>8</v>
      </c>
      <c r="E31" s="57">
        <v>1</v>
      </c>
      <c r="F31" s="56" t="s">
        <v>8</v>
      </c>
      <c r="G31" s="127">
        <v>1.5</v>
      </c>
      <c r="H31" s="56" t="s">
        <v>8</v>
      </c>
      <c r="I31" s="127">
        <v>1</v>
      </c>
      <c r="J31" s="56" t="s">
        <v>8</v>
      </c>
      <c r="K31" s="127">
        <v>1</v>
      </c>
      <c r="L31" s="56" t="s">
        <v>8</v>
      </c>
      <c r="M31" s="54">
        <f>C31+E31+G31+I31+K31</f>
        <v>5.5</v>
      </c>
      <c r="N31" s="58" t="str">
        <f>IF(M31 &gt;= 5,"Yes","No")</f>
        <v>Yes</v>
      </c>
    </row>
    <row r="32" spans="1:17">
      <c r="A32" s="197" t="s">
        <v>36</v>
      </c>
      <c r="B32" s="198"/>
      <c r="C32" s="277" t="s">
        <v>11</v>
      </c>
      <c r="D32" s="277"/>
      <c r="E32" s="277" t="s">
        <v>11</v>
      </c>
      <c r="F32" s="277"/>
      <c r="G32" s="277" t="s">
        <v>11</v>
      </c>
      <c r="H32" s="277"/>
      <c r="I32" s="277" t="s">
        <v>11</v>
      </c>
      <c r="J32" s="277"/>
      <c r="K32" s="277" t="s">
        <v>11</v>
      </c>
      <c r="L32" s="277"/>
      <c r="M32" s="4"/>
      <c r="N32" s="4"/>
    </row>
    <row r="33" spans="1:14">
      <c r="A33" s="199"/>
      <c r="B33" s="200"/>
      <c r="C33" s="133">
        <v>1</v>
      </c>
      <c r="D33" s="5" t="s">
        <v>8</v>
      </c>
      <c r="E33" s="133">
        <v>1</v>
      </c>
      <c r="F33" s="5" t="s">
        <v>8</v>
      </c>
      <c r="G33" s="133">
        <v>1</v>
      </c>
      <c r="H33" s="5" t="s">
        <v>10</v>
      </c>
      <c r="I33" s="133">
        <v>1</v>
      </c>
      <c r="J33" s="5" t="s">
        <v>8</v>
      </c>
      <c r="K33" s="133">
        <v>1</v>
      </c>
      <c r="L33" s="5" t="s">
        <v>8</v>
      </c>
      <c r="M33" s="4">
        <f>C33+E33+G33+I33+K33</f>
        <v>5</v>
      </c>
      <c r="N33" s="6" t="str">
        <f>IF(M33 &gt;= 5,"Yes","No")</f>
        <v>Yes</v>
      </c>
    </row>
  </sheetData>
  <sheetProtection password="CA07" sheet="1" objects="1" scenarios="1" insertRows="0"/>
  <mergeCells count="106">
    <mergeCell ref="A1:N1"/>
    <mergeCell ref="A2:B10"/>
    <mergeCell ref="C2:D2"/>
    <mergeCell ref="E2:F2"/>
    <mergeCell ref="G2:H2"/>
    <mergeCell ref="I2:J2"/>
    <mergeCell ref="K2:L2"/>
    <mergeCell ref="M2:N10"/>
    <mergeCell ref="C4:D4"/>
    <mergeCell ref="E4:F4"/>
    <mergeCell ref="G4:H4"/>
    <mergeCell ref="I4:J4"/>
    <mergeCell ref="K4:L4"/>
    <mergeCell ref="C5:D5"/>
    <mergeCell ref="E5:F5"/>
    <mergeCell ref="G5:H5"/>
    <mergeCell ref="I5:J5"/>
    <mergeCell ref="K5:L5"/>
    <mergeCell ref="C7:D7"/>
    <mergeCell ref="E7:F7"/>
    <mergeCell ref="G7:H7"/>
    <mergeCell ref="I7:J7"/>
    <mergeCell ref="K7:L7"/>
    <mergeCell ref="C10:L10"/>
    <mergeCell ref="P2:Q2"/>
    <mergeCell ref="C3:D3"/>
    <mergeCell ref="E3:F3"/>
    <mergeCell ref="G3:H3"/>
    <mergeCell ref="I3:J3"/>
    <mergeCell ref="K3:L3"/>
    <mergeCell ref="C6:D6"/>
    <mergeCell ref="E6:F6"/>
    <mergeCell ref="G6:H6"/>
    <mergeCell ref="I6:J6"/>
    <mergeCell ref="K6:L6"/>
    <mergeCell ref="A11:B12"/>
    <mergeCell ref="C11:D11"/>
    <mergeCell ref="E11:F11"/>
    <mergeCell ref="G11:H11"/>
    <mergeCell ref="I11:J11"/>
    <mergeCell ref="K11:L11"/>
    <mergeCell ref="C8:D8"/>
    <mergeCell ref="E8:F8"/>
    <mergeCell ref="G8:H8"/>
    <mergeCell ref="I8:J8"/>
    <mergeCell ref="K8:L8"/>
    <mergeCell ref="C9:D9"/>
    <mergeCell ref="E9:F9"/>
    <mergeCell ref="G9:H9"/>
    <mergeCell ref="I9:J9"/>
    <mergeCell ref="K9:L9"/>
    <mergeCell ref="P18:Q19"/>
    <mergeCell ref="A13:N14"/>
    <mergeCell ref="P13:Q15"/>
    <mergeCell ref="A15:B16"/>
    <mergeCell ref="C15:D15"/>
    <mergeCell ref="E15:F15"/>
    <mergeCell ref="G15:H15"/>
    <mergeCell ref="I15:J15"/>
    <mergeCell ref="K15:L15"/>
    <mergeCell ref="P16:Q17"/>
    <mergeCell ref="A17:B18"/>
    <mergeCell ref="A19:B20"/>
    <mergeCell ref="C19:D19"/>
    <mergeCell ref="E19:F19"/>
    <mergeCell ref="G19:H19"/>
    <mergeCell ref="I19:J19"/>
    <mergeCell ref="K19:L19"/>
    <mergeCell ref="C17:D17"/>
    <mergeCell ref="E17:F17"/>
    <mergeCell ref="G17:H17"/>
    <mergeCell ref="I17:J17"/>
    <mergeCell ref="K17:L17"/>
    <mergeCell ref="A23:B24"/>
    <mergeCell ref="C23:D23"/>
    <mergeCell ref="E23:F23"/>
    <mergeCell ref="G23:H23"/>
    <mergeCell ref="I23:J23"/>
    <mergeCell ref="K23:L23"/>
    <mergeCell ref="A21:B22"/>
    <mergeCell ref="C21:D21"/>
    <mergeCell ref="E21:F21"/>
    <mergeCell ref="G21:H21"/>
    <mergeCell ref="I21:J21"/>
    <mergeCell ref="K21:L21"/>
    <mergeCell ref="A25:B25"/>
    <mergeCell ref="A26:M27"/>
    <mergeCell ref="N26:N27"/>
    <mergeCell ref="A28:B29"/>
    <mergeCell ref="C28:D28"/>
    <mergeCell ref="E28:F28"/>
    <mergeCell ref="G28:H28"/>
    <mergeCell ref="I28:J28"/>
    <mergeCell ref="K28:L28"/>
    <mergeCell ref="A32:B33"/>
    <mergeCell ref="C32:D32"/>
    <mergeCell ref="E32:F32"/>
    <mergeCell ref="G32:H32"/>
    <mergeCell ref="I32:J32"/>
    <mergeCell ref="K32:L32"/>
    <mergeCell ref="A30:B31"/>
    <mergeCell ref="C30:D30"/>
    <mergeCell ref="E30:F30"/>
    <mergeCell ref="G30:H30"/>
    <mergeCell ref="I30:J30"/>
    <mergeCell ref="K30:L30"/>
  </mergeCells>
  <conditionalFormatting sqref="N12 N16 N18 N20 N22 N24 N26:N27 N29 N31 N33">
    <cfRule type="cellIs" dxfId="1" priority="2" operator="equal">
      <formula>"No"</formula>
    </cfRule>
  </conditionalFormatting>
  <conditionalFormatting sqref="D25 F25 H25 J25 L25">
    <cfRule type="containsText" dxfId="0" priority="1" operator="containsText" text="No">
      <formula>NOT(ISERROR(SEARCH("No",D25)))</formula>
    </cfRule>
  </conditionalFormatting>
  <pageMargins left="0.2" right="0.2" top="0.32" bottom="0.75" header="0.3" footer="0.3"/>
  <pageSetup orientation="landscape" r:id="rId1"/>
</worksheet>
</file>

<file path=xl/worksheets/sheet1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Instructions</vt:lpstr>
      <vt:lpstr>K-5</vt:lpstr>
      <vt:lpstr>K-5 multiple </vt:lpstr>
      <vt:lpstr>6-8</vt:lpstr>
      <vt:lpstr>6-8 multiple </vt:lpstr>
      <vt:lpstr>9-12 </vt:lpstr>
      <vt:lpstr>9-12 multiple</vt:lpstr>
      <vt:lpstr>9-12 multiple sample</vt:lpstr>
      <vt:lpstr>K-5 sample</vt:lpstr>
      <vt:lpstr>6-8 Sample</vt:lpstr>
      <vt:lpstr>9-12 Sample</vt:lpstr>
      <vt:lpstr>Sheet2</vt:lpstr>
    </vt:vector>
  </TitlesOfParts>
  <Company>Utah State Office of Education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Adams, Dana</dc:creator>
  <cp:lastModifiedBy>Ellen Miller</cp:lastModifiedBy>
  <cp:lastPrinted>2012-06-01T04:23:27Z</cp:lastPrinted>
  <dcterms:created xsi:type="dcterms:W3CDTF">2012-02-14T16:28:49Z</dcterms:created>
  <dcterms:modified xsi:type="dcterms:W3CDTF">2012-06-25T19:13:52Z</dcterms:modified>
</cp:coreProperties>
</file>