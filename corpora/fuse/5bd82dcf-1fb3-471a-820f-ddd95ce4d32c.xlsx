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autoCompressPictures="0" defaultThemeVersion="124226"/>
  <bookViews>
    <workbookView xWindow="2220" yWindow="1320" windowWidth="3600" windowHeight="5610" tabRatio="873"/>
  </bookViews>
  <sheets>
    <sheet name="Metadata_CH_SoilData" sheetId="54" r:id="rId1"/>
    <sheet name="CH_SoilData" sheetId="34" r:id="rId2"/>
    <sheet name="Sites(Do NOT Edit)" sheetId="55" r:id="rId3"/>
  </sheets>
  <definedNames>
    <definedName name="_xlnm._FilterDatabase" localSheetId="2" hidden="1">'Sites(Do NOT Edit)'!$A$2:$N$638</definedName>
    <definedName name="ABSTRACT" localSheetId="0">Metadata_CH_SoilData!$A$6</definedName>
    <definedName name="ABSTRACT" localSheetId="2">Metadata_CH_SoilData!$A$6</definedName>
    <definedName name="Address_line_2" localSheetId="0">Metadata_CH_SoilData!$A$22</definedName>
    <definedName name="Address_line_2" localSheetId="2">Metadata_CH_SoilData!$A$22</definedName>
    <definedName name="Address_line_3" localSheetId="0">Metadata_CH_SoilData!$A$23</definedName>
    <definedName name="Address_line_3" localSheetId="2">Metadata_CH_SoilData!$A$23</definedName>
    <definedName name="Availability_Status" localSheetId="0">Metadata_CH_SoilData!$A$37</definedName>
    <definedName name="Availability_Status" localSheetId="2">Metadata_CH_SoilData!$A$37</definedName>
    <definedName name="Beginning_Date" localSheetId="0">Metadata_CH_SoilData!$A$33</definedName>
    <definedName name="Beginning_Date" localSheetId="2">Metadata_CH_SoilData!$A$33</definedName>
    <definedName name="City" localSheetId="0">Metadata_CH_SoilData!$A$24</definedName>
    <definedName name="City" localSheetId="2">Metadata_CH_SoilData!$A$24</definedName>
    <definedName name="Code_Information" localSheetId="0">Metadata_CH_SoilData!$F$145</definedName>
    <definedName name="Code_Information" localSheetId="2">Metadata_CH_SoilData!$F$145</definedName>
    <definedName name="Country" localSheetId="0">Metadata_CH_SoilData!$A$27</definedName>
    <definedName name="Country" localSheetId="2">Metadata_CH_SoilData!$A$27</definedName>
    <definedName name="DATA_FILE_INFORMATION" localSheetId="0">Metadata_CH_SoilData!$A$30</definedName>
    <definedName name="DATA_FILE_INFORMATION" localSheetId="2">Metadata_CH_SoilData!$A$30</definedName>
    <definedName name="Data_File_Name" localSheetId="0">Metadata_CH_SoilData!$A$32</definedName>
    <definedName name="Data_File_Name" localSheetId="2">Metadata_CH_SoilData!$A$32</definedName>
    <definedName name="Data_File_URL" localSheetId="0">Metadata_CH_SoilData!$A$31</definedName>
    <definedName name="Data_File_URL" localSheetId="2">Metadata_CH_SoilData!$A$31</definedName>
    <definedName name="Data_Type" localSheetId="0">Metadata_CH_SoilData!$C$145</definedName>
    <definedName name="Data_Type" localSheetId="2">Metadata_CH_SoilData!$C$145</definedName>
    <definedName name="DATASET_ID" localSheetId="0">Metadata_CH_SoilData!$A$14</definedName>
    <definedName name="DATASET_ID" localSheetId="2">Metadata_CH_SoilData!$A$14</definedName>
    <definedName name="DATASET_TITLE" localSheetId="0">Metadata_CH_SoilData!$A$5</definedName>
    <definedName name="DATASET_TITLE" localSheetId="2">Metadata_CH_SoilData!$A$5</definedName>
    <definedName name="DateTime_Format" localSheetId="0">Metadata_CH_SoilData!$E$145</definedName>
    <definedName name="DateTime_Format" localSheetId="2">Metadata_CH_SoilData!$E$145</definedName>
    <definedName name="Distribution_URL_for_file" localSheetId="0">Metadata_CH_SoilData!$A$4</definedName>
    <definedName name="Distribution_URL_for_file" localSheetId="2">Metadata_CH_SoilData!$A$4</definedName>
    <definedName name="East_Bounding_Coordinate" localSheetId="0">Metadata_CH_SoilData!$A$50</definedName>
    <definedName name="East_Bounding_Coordinate" localSheetId="2">Metadata_CH_SoilData!$A$50</definedName>
    <definedName name="Elevation" localSheetId="0">Metadata_CH_SoilData!$A$56</definedName>
    <definedName name="Elevation" localSheetId="2">Metadata_CH_SoilData!$A$56</definedName>
    <definedName name="Email" localSheetId="0">Metadata_CH_SoilData!$A$18</definedName>
    <definedName name="Email" localSheetId="2">Metadata_CH_SoilData!$A$18</definedName>
    <definedName name="End_Date" localSheetId="0">Metadata_CH_SoilData!$A$34</definedName>
    <definedName name="End_Date" localSheetId="2">Metadata_CH_SoilData!$A$34</definedName>
    <definedName name="First_Name" localSheetId="0">Metadata_CH_SoilData!$A$19</definedName>
    <definedName name="First_Name" localSheetId="2">Metadata_CH_SoilData!$A$19</definedName>
    <definedName name="Geographic_Description" localSheetId="0">Metadata_CH_SoilData!$A$47</definedName>
    <definedName name="Geographic_Description" localSheetId="2">Metadata_CH_SoilData!$A$47</definedName>
    <definedName name="INVESTIGATOR_INFORMATION" localSheetId="0">Metadata_CH_SoilData!$A$16</definedName>
    <definedName name="INVESTIGATOR_INFORMATION" localSheetId="2">Metadata_CH_SoilData!$A$16</definedName>
    <definedName name="KEYWORD_INFORMATION" localSheetId="0">Metadata_CH_SoilData!$A$62</definedName>
    <definedName name="KEYWORD_INFORMATION" localSheetId="2">Metadata_CH_SoilData!$A$62</definedName>
    <definedName name="KEYWORDS" localSheetId="0">Metadata_CH_SoilData!$A$63</definedName>
    <definedName name="KEYWORDS" localSheetId="2">Metadata_CH_SoilData!$A$63</definedName>
    <definedName name="Last_Name" localSheetId="0">Metadata_CH_SoilData!$A$20</definedName>
    <definedName name="Last_Name" localSheetId="2">Metadata_CH_SoilData!$A$20</definedName>
    <definedName name="Latitude" localSheetId="0">Metadata_CH_SoilData!$A$54</definedName>
    <definedName name="Latitude" localSheetId="2">Metadata_CH_SoilData!$A$54</definedName>
    <definedName name="Link_to_Google_Map">Metadata_CH_SoilData!$A$57</definedName>
    <definedName name="Location_Bounding_Box" localSheetId="0">Metadata_CH_SoilData!$A$48</definedName>
    <definedName name="Location_Bounding_Box" localSheetId="2">Metadata_CH_SoilData!$A$48</definedName>
    <definedName name="Location_Name" localSheetId="0">Metadata_CH_SoilData!$A$46</definedName>
    <definedName name="Location_Name" localSheetId="2">Metadata_CH_SoilData!$A$46</definedName>
    <definedName name="Log_of_Changes" localSheetId="0">Metadata_CH_SoilData!$A$40</definedName>
    <definedName name="Log_of_Changes" localSheetId="2">Metadata_CH_SoilData!$A$40</definedName>
    <definedName name="Longitude" localSheetId="0">Metadata_CH_SoilData!$A$55</definedName>
    <definedName name="Longitude" localSheetId="2">Metadata_CH_SoilData!$A$55</definedName>
    <definedName name="LTER_Sites_number">'Sites(Do NOT Edit)'!$A$2:$A$638</definedName>
    <definedName name="Maintenance_Description" localSheetId="0">Metadata_CH_SoilData!$A$39</definedName>
    <definedName name="Maintenance_Description" localSheetId="2">Metadata_CH_SoilData!$A$39</definedName>
    <definedName name="Metacat_Package_ID" localSheetId="0">Metadata_CH_SoilData!$A$2</definedName>
    <definedName name="Metacat_Package_ID" localSheetId="2">Metadata_CH_SoilData!$A$2</definedName>
    <definedName name="METHODS" localSheetId="0">Metadata_CH_SoilData!$A$66</definedName>
    <definedName name="METHODS" localSheetId="2">Metadata_CH_SoilData!$A$66</definedName>
    <definedName name="Missing_Value_Code" localSheetId="0">Metadata_CH_SoilData!$G$145</definedName>
    <definedName name="Missing_Value_Code" localSheetId="2">Metadata_CH_SoilData!$G$145</definedName>
    <definedName name="North_Bounding_Coordinate" localSheetId="0">Metadata_CH_SoilData!$A$51</definedName>
    <definedName name="North_Bounding_Coordinate" localSheetId="2">Metadata_CH_SoilData!$A$51</definedName>
    <definedName name="Number_of_Data_Records" localSheetId="0">Metadata_CH_SoilData!$A$35</definedName>
    <definedName name="Number_of_Data_Records" localSheetId="2">Metadata_CH_SoilData!$A$35</definedName>
    <definedName name="OR" localSheetId="0">Metadata_CH_SoilData!$A$136</definedName>
    <definedName name="OR" localSheetId="2">Metadata_CH_SoilData!$A$136</definedName>
    <definedName name="OR_if_single_point_location" localSheetId="0">Metadata_CH_SoilData!$A$53</definedName>
    <definedName name="OR_if_single_point_location" localSheetId="2">Metadata_CH_SoilData!$A$53</definedName>
    <definedName name="Organisms_studied" localSheetId="0">Metadata_CH_SoilData!$A$60</definedName>
    <definedName name="Organisms_studied" localSheetId="2">Metadata_CH_SoilData!$A$60</definedName>
    <definedName name="Organization" localSheetId="0">Metadata_CH_SoilData!$A$21</definedName>
    <definedName name="Organization" localSheetId="2">Metadata_CH_SoilData!$A$21</definedName>
    <definedName name="Other_Files_to_Reference" localSheetId="0">Metadata_CH_SoilData!$A$36</definedName>
    <definedName name="Other_Files_to_Reference" localSheetId="2">Metadata_CH_SoilData!$A$36</definedName>
    <definedName name="Protocol_Document" localSheetId="0">Metadata_CH_SoilData!$A$137</definedName>
    <definedName name="Protocol_Document" localSheetId="2">Metadata_CH_SoilData!$A$137</definedName>
    <definedName name="Protocol_Title" localSheetId="0">Metadata_CH_SoilData!$A$134</definedName>
    <definedName name="Protocol_Title" localSheetId="2">Metadata_CH_SoilData!$A$134</definedName>
    <definedName name="Quality_Control_Information" localSheetId="0">Metadata_CH_SoilData!$A$38</definedName>
    <definedName name="Quality_Control_Information" localSheetId="2">Metadata_CH_SoilData!$A$38</definedName>
    <definedName name="RESEARCH_LOCATION" localSheetId="0">Metadata_CH_SoilData!$A$45</definedName>
    <definedName name="RESEARCH_LOCATION" localSheetId="2">Metadata_CH_SoilData!$A$45</definedName>
    <definedName name="Role" localSheetId="0">Metadata_CH_SoilData!$A$17</definedName>
    <definedName name="Role" localSheetId="2">Metadata_CH_SoilData!$A$17</definedName>
    <definedName name="Sampling_and_or_Lab_Protocols" localSheetId="0">Metadata_CH_SoilData!$A$133</definedName>
    <definedName name="Sampling_and_or_Lab_Protocols" localSheetId="2">Metadata_CH_SoilData!$A$133</definedName>
    <definedName name="Site_name">'Sites(Do NOT Edit)'!$B$3:$B$638</definedName>
    <definedName name="Site_name_list">'Sites(Do NOT Edit)'!$B$2:$B$638</definedName>
    <definedName name="Sites">'Sites(Do NOT Edit)'!$A$3:$M$638</definedName>
    <definedName name="South_Bounding_Coordinate" localSheetId="0">Metadata_CH_SoilData!$A$52</definedName>
    <definedName name="South_Bounding_Coordinate" localSheetId="2">Metadata_CH_SoilData!$A$52</definedName>
    <definedName name="State" localSheetId="0">Metadata_CH_SoilData!$A$25</definedName>
    <definedName name="State" localSheetId="2">Metadata_CH_SoilData!$A$25</definedName>
    <definedName name="TAXONOMIC_COVERAGE" localSheetId="0">Metadata_CH_SoilData!$A$59</definedName>
    <definedName name="TAXONOMIC_COVERAGE" localSheetId="2">Metadata_CH_SoilData!$A$59</definedName>
    <definedName name="Units" localSheetId="0">Metadata_CH_SoilData!$D$145</definedName>
    <definedName name="Units" localSheetId="2">Metadata_CH_SoilData!$D$145</definedName>
    <definedName name="URL_of_online_Protocol" localSheetId="0">Metadata_CH_SoilData!$A$135</definedName>
    <definedName name="URL_of_online_Protocol" localSheetId="2">Metadata_CH_SoilData!$A$135</definedName>
    <definedName name="Variable_Description" localSheetId="0">Metadata_CH_SoilData!$B$145</definedName>
    <definedName name="Variable_Description" localSheetId="2">Metadata_CH_SoilData!$B$145</definedName>
    <definedName name="VARIABLE_DESCRIPTIONS" localSheetId="0">Metadata_CH_SoilData!$A$144</definedName>
    <definedName name="VARIABLE_DESCRIPTIONS" localSheetId="2">Metadata_CH_SoilData!$A$144</definedName>
    <definedName name="Variable_Name" localSheetId="0">Metadata_CH_SoilData!$A$145</definedName>
    <definedName name="Variable_Name" localSheetId="2">Metadata_CH_SoilData!$A$145</definedName>
    <definedName name="West_Bounding_Coordinate" localSheetId="0">Metadata_CH_SoilData!$A$49</definedName>
    <definedName name="West_Bounding_Coordinate" localSheetId="2">Metadata_CH_SoilData!$A$49</definedName>
    <definedName name="Year_Released_to_Public" localSheetId="0">Metadata_CH_SoilData!$A$3</definedName>
    <definedName name="Year_Released_to_Public" localSheetId="2">Metadata_CH_SoilData!$A$3</definedName>
    <definedName name="Zip_Code" localSheetId="0">Metadata_CH_SoilData!$A$26</definedName>
    <definedName name="Zip_Code" localSheetId="2">Metadata_CH_SoilData!$A$26</definedName>
  </definedName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M638" i="55" l="1"/>
  <c r="M637" i="55"/>
  <c r="M636" i="55"/>
  <c r="M635" i="55"/>
  <c r="M634" i="55"/>
  <c r="M633" i="55"/>
  <c r="M632" i="55"/>
  <c r="M631" i="55"/>
  <c r="M630" i="55"/>
  <c r="M629" i="55"/>
  <c r="M628" i="55"/>
  <c r="M627" i="55"/>
  <c r="M626" i="55"/>
  <c r="M625" i="55"/>
  <c r="M624" i="55"/>
  <c r="M623" i="55"/>
  <c r="M622" i="55"/>
  <c r="M621" i="55"/>
  <c r="M620" i="55"/>
  <c r="M619" i="55"/>
  <c r="M618" i="55"/>
  <c r="M617" i="55"/>
  <c r="M616" i="55"/>
  <c r="M615" i="55"/>
  <c r="M614" i="55"/>
  <c r="M613" i="55"/>
  <c r="M612" i="55"/>
  <c r="M611" i="55"/>
  <c r="M610" i="55"/>
  <c r="M609" i="55"/>
  <c r="M608" i="55"/>
  <c r="M607" i="55"/>
  <c r="M606" i="55"/>
  <c r="M605" i="55"/>
  <c r="M604" i="55"/>
  <c r="M603" i="55"/>
  <c r="M602" i="55"/>
  <c r="M601" i="55"/>
  <c r="M600" i="55"/>
  <c r="M599" i="55"/>
  <c r="M598" i="55"/>
  <c r="M597" i="55"/>
  <c r="M596" i="55"/>
  <c r="M595" i="55"/>
  <c r="M594" i="55"/>
  <c r="M593" i="55"/>
  <c r="M592" i="55"/>
  <c r="M591" i="55"/>
  <c r="M590" i="55"/>
  <c r="M589" i="55"/>
  <c r="M588" i="55"/>
  <c r="M587" i="55"/>
  <c r="M586" i="55"/>
  <c r="M585" i="55"/>
  <c r="M584" i="55"/>
  <c r="M583" i="55"/>
  <c r="M582" i="55"/>
  <c r="M581" i="55"/>
  <c r="M580" i="55"/>
  <c r="M579" i="55"/>
  <c r="M578" i="55"/>
  <c r="M577" i="55"/>
  <c r="M576" i="55"/>
  <c r="M575" i="55"/>
  <c r="M574" i="55"/>
  <c r="M573" i="55"/>
  <c r="M572" i="55"/>
  <c r="M571" i="55"/>
  <c r="M570" i="55"/>
  <c r="M569" i="55"/>
  <c r="M568" i="55"/>
  <c r="M567" i="55"/>
  <c r="M566" i="55"/>
  <c r="M565" i="55"/>
  <c r="M564" i="55"/>
  <c r="M563" i="55"/>
  <c r="M562" i="55"/>
  <c r="M561" i="55"/>
  <c r="M560" i="55"/>
  <c r="M559" i="55"/>
  <c r="M558" i="55"/>
  <c r="M557" i="55"/>
  <c r="M556" i="55"/>
  <c r="M555" i="55"/>
  <c r="M554" i="55"/>
  <c r="M553" i="55"/>
  <c r="M552" i="55"/>
  <c r="M551" i="55"/>
  <c r="M550" i="55"/>
  <c r="M549" i="55"/>
  <c r="M548" i="55"/>
  <c r="M547" i="55"/>
  <c r="M546" i="55"/>
  <c r="M545" i="55"/>
  <c r="M544" i="55"/>
  <c r="M543" i="55"/>
  <c r="M542" i="55"/>
  <c r="M541" i="55"/>
  <c r="M540" i="55"/>
  <c r="M539" i="55"/>
  <c r="M538" i="55"/>
  <c r="M537" i="55"/>
  <c r="M536" i="55"/>
  <c r="M535" i="55"/>
  <c r="M534" i="55"/>
  <c r="M533" i="55"/>
  <c r="M532" i="55"/>
  <c r="M531" i="55"/>
  <c r="M530" i="55"/>
  <c r="M529" i="55"/>
  <c r="M528" i="55"/>
  <c r="M527" i="55"/>
  <c r="M526" i="55"/>
  <c r="M525" i="55"/>
  <c r="M524" i="55"/>
  <c r="M523" i="55"/>
  <c r="M522" i="55"/>
  <c r="M521" i="55"/>
  <c r="M520" i="55"/>
  <c r="M519" i="55"/>
  <c r="M518" i="55"/>
  <c r="M517" i="55"/>
  <c r="M516" i="55"/>
  <c r="M515" i="55"/>
  <c r="M514" i="55"/>
  <c r="M513" i="55"/>
  <c r="M512" i="55"/>
  <c r="M511" i="55"/>
  <c r="M510" i="55"/>
  <c r="M509" i="55"/>
  <c r="M508" i="55"/>
  <c r="M507" i="55"/>
  <c r="M506" i="55"/>
  <c r="M505" i="55"/>
  <c r="M504" i="55"/>
  <c r="M503" i="55"/>
  <c r="M502" i="55"/>
  <c r="M501" i="55"/>
  <c r="M500" i="55"/>
  <c r="M499" i="55"/>
  <c r="M498" i="55"/>
  <c r="M497" i="55"/>
  <c r="M496" i="55"/>
  <c r="M495" i="55"/>
  <c r="M494" i="55"/>
  <c r="M493" i="55"/>
  <c r="M492" i="55"/>
  <c r="M491" i="55"/>
  <c r="M490" i="55"/>
  <c r="M489" i="55"/>
  <c r="M488" i="55"/>
  <c r="M487" i="55"/>
  <c r="M486" i="55"/>
  <c r="M485" i="55"/>
  <c r="M484" i="55"/>
  <c r="M483" i="55"/>
  <c r="M482" i="55"/>
  <c r="M481" i="55"/>
  <c r="M480" i="55"/>
  <c r="M479" i="55"/>
  <c r="M478" i="55"/>
  <c r="M477" i="55"/>
  <c r="M476" i="55"/>
  <c r="M475" i="55"/>
  <c r="M474" i="55"/>
  <c r="M473" i="55"/>
  <c r="M472" i="55"/>
  <c r="M471" i="55"/>
  <c r="M470" i="55"/>
  <c r="M469" i="55"/>
  <c r="M468" i="55"/>
  <c r="M467" i="55"/>
  <c r="M466" i="55"/>
  <c r="M465" i="55"/>
  <c r="M464" i="55"/>
  <c r="M463" i="55"/>
  <c r="M462" i="55"/>
  <c r="M461" i="55"/>
  <c r="M460" i="55"/>
  <c r="M459" i="55"/>
  <c r="M458" i="55"/>
  <c r="M457" i="55"/>
  <c r="M456" i="55"/>
  <c r="M455" i="55"/>
  <c r="M454" i="55"/>
  <c r="M453" i="55"/>
  <c r="M452" i="55"/>
  <c r="M451" i="55"/>
  <c r="M450" i="55"/>
  <c r="M449" i="55"/>
  <c r="M448" i="55"/>
  <c r="M447" i="55"/>
  <c r="M446" i="55"/>
  <c r="M445" i="55"/>
  <c r="M444" i="55"/>
  <c r="M443" i="55"/>
  <c r="M442" i="55"/>
  <c r="M441" i="55"/>
  <c r="M440" i="55"/>
  <c r="M439" i="55"/>
  <c r="M438" i="55"/>
  <c r="M437" i="55"/>
  <c r="M436" i="55"/>
  <c r="M435" i="55"/>
  <c r="N434" i="55"/>
  <c r="M434" i="55"/>
  <c r="N433" i="55"/>
  <c r="M433" i="55"/>
  <c r="N432" i="55"/>
  <c r="M432" i="55"/>
  <c r="N431" i="55"/>
  <c r="M431" i="55"/>
  <c r="N430" i="55"/>
  <c r="M430" i="55"/>
  <c r="N429" i="55"/>
  <c r="M429" i="55"/>
  <c r="N428" i="55"/>
  <c r="M428" i="55"/>
  <c r="N427" i="55"/>
  <c r="M427" i="55"/>
  <c r="N426" i="55"/>
  <c r="M426" i="55"/>
  <c r="N425" i="55"/>
  <c r="M425" i="55"/>
  <c r="N424" i="55"/>
  <c r="M424" i="55"/>
  <c r="N423" i="55"/>
  <c r="M423" i="55"/>
  <c r="N422" i="55"/>
  <c r="M422" i="55"/>
  <c r="N421" i="55"/>
  <c r="M421" i="55"/>
  <c r="N420" i="55"/>
  <c r="M420" i="55"/>
  <c r="N419" i="55"/>
  <c r="M419" i="55"/>
  <c r="N418" i="55"/>
  <c r="M418" i="55"/>
  <c r="N417" i="55"/>
  <c r="M417" i="55"/>
  <c r="N416" i="55"/>
  <c r="M416" i="55"/>
  <c r="N415" i="55"/>
  <c r="M415" i="55"/>
  <c r="N414" i="55"/>
  <c r="M414" i="55"/>
  <c r="N413" i="55"/>
  <c r="M413" i="55"/>
  <c r="N412" i="55"/>
  <c r="M412" i="55"/>
  <c r="N411" i="55"/>
  <c r="M411" i="55"/>
  <c r="N410" i="55"/>
  <c r="M410" i="55"/>
  <c r="N409" i="55"/>
  <c r="M409" i="55"/>
  <c r="N408" i="55"/>
  <c r="M408" i="55"/>
  <c r="N407" i="55"/>
  <c r="M407" i="55"/>
  <c r="N406" i="55"/>
  <c r="M406" i="55"/>
  <c r="N405" i="55"/>
  <c r="M405" i="55"/>
  <c r="N404" i="55"/>
  <c r="M404" i="55"/>
  <c r="N403" i="55"/>
  <c r="M403" i="55"/>
  <c r="N402" i="55"/>
  <c r="M402" i="55"/>
  <c r="N401" i="55"/>
  <c r="M401" i="55"/>
  <c r="N400" i="55"/>
  <c r="M400" i="55"/>
  <c r="N399" i="55"/>
  <c r="M399" i="55"/>
  <c r="N398" i="55"/>
  <c r="M398" i="55"/>
  <c r="N397" i="55"/>
  <c r="M397" i="55"/>
  <c r="N396" i="55"/>
  <c r="M396" i="55"/>
  <c r="N395" i="55"/>
  <c r="M395" i="55"/>
  <c r="N394" i="55"/>
  <c r="M394" i="55"/>
  <c r="N393" i="55"/>
  <c r="M393" i="55"/>
  <c r="N392" i="55"/>
  <c r="M392" i="55"/>
  <c r="N391" i="55"/>
  <c r="M391" i="55"/>
  <c r="N390" i="55"/>
  <c r="M390" i="55"/>
  <c r="N389" i="55"/>
  <c r="M389" i="55"/>
  <c r="N388" i="55"/>
  <c r="M388" i="55"/>
  <c r="N387" i="55"/>
  <c r="M387" i="55"/>
  <c r="N386" i="55"/>
  <c r="M386" i="55"/>
  <c r="N385" i="55"/>
  <c r="M385" i="55"/>
  <c r="N384" i="55"/>
  <c r="M384" i="55"/>
  <c r="N383" i="55"/>
  <c r="M383" i="55"/>
  <c r="N382" i="55"/>
  <c r="M382" i="55"/>
  <c r="N381" i="55"/>
  <c r="M381" i="55"/>
  <c r="N380" i="55"/>
  <c r="M380" i="55"/>
  <c r="N379" i="55"/>
  <c r="M379" i="55"/>
  <c r="N378" i="55"/>
  <c r="M378" i="55"/>
  <c r="N377" i="55"/>
  <c r="M377" i="55"/>
  <c r="N376" i="55"/>
  <c r="M376" i="55"/>
  <c r="N375" i="55"/>
  <c r="M375" i="55"/>
  <c r="N374" i="55"/>
  <c r="M374" i="55"/>
  <c r="N373" i="55"/>
  <c r="M373" i="55"/>
  <c r="N372" i="55"/>
  <c r="M372" i="55"/>
  <c r="N371" i="55"/>
  <c r="M371" i="55"/>
  <c r="N370" i="55"/>
  <c r="M370" i="55"/>
  <c r="N369" i="55"/>
  <c r="M369" i="55"/>
  <c r="N368" i="55"/>
  <c r="M368" i="55"/>
  <c r="N367" i="55"/>
  <c r="M367" i="55"/>
  <c r="N366" i="55"/>
  <c r="M366" i="55"/>
  <c r="N365" i="55"/>
  <c r="M365" i="55"/>
  <c r="N364" i="55"/>
  <c r="M364" i="55"/>
  <c r="N363" i="55"/>
  <c r="M363" i="55"/>
  <c r="N362" i="55"/>
  <c r="M362" i="55"/>
  <c r="N361" i="55"/>
  <c r="M361" i="55"/>
  <c r="N360" i="55"/>
  <c r="M360" i="55"/>
  <c r="N359" i="55"/>
  <c r="M359" i="55"/>
  <c r="N358" i="55"/>
  <c r="M358" i="55"/>
  <c r="N357" i="55"/>
  <c r="M357" i="55"/>
  <c r="N356" i="55"/>
  <c r="M356" i="55"/>
  <c r="M355" i="55"/>
  <c r="M354" i="55"/>
  <c r="M353" i="55"/>
  <c r="M352" i="55"/>
  <c r="M351" i="55"/>
  <c r="M350" i="55"/>
  <c r="M349" i="55"/>
  <c r="M348" i="55"/>
  <c r="M347" i="55"/>
  <c r="M346" i="55"/>
  <c r="M345" i="55"/>
  <c r="M344" i="55"/>
  <c r="M343" i="55"/>
  <c r="M342" i="55"/>
  <c r="M341" i="55"/>
  <c r="M340" i="55"/>
  <c r="M339" i="55"/>
  <c r="M338" i="55"/>
  <c r="M337" i="55"/>
  <c r="M336" i="55"/>
  <c r="M335" i="55"/>
  <c r="M334" i="55"/>
  <c r="M333" i="55"/>
  <c r="M332" i="55"/>
  <c r="M331" i="55"/>
  <c r="M330" i="55"/>
  <c r="M329" i="55"/>
  <c r="M328" i="55"/>
  <c r="M327" i="55"/>
  <c r="M326" i="55"/>
  <c r="M325" i="55"/>
  <c r="M324" i="55"/>
  <c r="M323" i="55"/>
  <c r="M322" i="55"/>
  <c r="M321" i="55"/>
  <c r="M320" i="55"/>
  <c r="M319" i="55"/>
  <c r="M318" i="55"/>
  <c r="M317" i="55"/>
  <c r="M316" i="55"/>
  <c r="M315" i="55"/>
  <c r="M314" i="55"/>
  <c r="M313" i="55"/>
  <c r="M312" i="55"/>
  <c r="M311" i="55"/>
  <c r="M310" i="55"/>
  <c r="M309" i="55"/>
  <c r="M308" i="55"/>
  <c r="M307" i="55"/>
  <c r="M306" i="55"/>
  <c r="M305" i="55"/>
  <c r="M304" i="55"/>
  <c r="M303" i="55"/>
  <c r="M302" i="55"/>
  <c r="M301" i="55"/>
  <c r="M300" i="55"/>
  <c r="M299" i="55"/>
  <c r="M298" i="55"/>
  <c r="M297" i="55"/>
  <c r="M296" i="55"/>
  <c r="M295" i="55"/>
  <c r="M294" i="55"/>
  <c r="M293" i="55"/>
  <c r="M292" i="55"/>
  <c r="M291" i="55"/>
  <c r="M290" i="55"/>
  <c r="M289" i="55"/>
  <c r="M288" i="55"/>
  <c r="M287" i="55"/>
  <c r="M286" i="55"/>
  <c r="M285" i="55"/>
  <c r="M284" i="55"/>
  <c r="M283" i="55"/>
  <c r="M282" i="55"/>
  <c r="M281" i="55"/>
  <c r="M280" i="55"/>
  <c r="M279" i="55"/>
  <c r="M278" i="55"/>
  <c r="M277" i="55"/>
  <c r="M276" i="55"/>
  <c r="M275" i="55"/>
  <c r="M274" i="55"/>
  <c r="M273" i="55"/>
  <c r="M272" i="55"/>
  <c r="M271" i="55"/>
  <c r="M270" i="55"/>
  <c r="M269" i="55"/>
  <c r="M268" i="55"/>
  <c r="M267" i="55"/>
  <c r="M266" i="55"/>
  <c r="M265" i="55"/>
  <c r="M264" i="55"/>
  <c r="M263" i="55"/>
  <c r="M262" i="55"/>
  <c r="M261" i="55"/>
  <c r="M260" i="55"/>
  <c r="M259" i="55"/>
  <c r="M258" i="55"/>
  <c r="M257" i="55"/>
  <c r="M256" i="55"/>
  <c r="M255" i="55"/>
  <c r="M254" i="55"/>
  <c r="M253" i="55"/>
  <c r="M252" i="55"/>
  <c r="M251" i="55"/>
  <c r="M250" i="55"/>
  <c r="M249" i="55"/>
  <c r="M248" i="55"/>
  <c r="M247" i="55"/>
  <c r="M246" i="55"/>
  <c r="M245" i="55"/>
  <c r="M244" i="55"/>
  <c r="M243" i="55"/>
  <c r="M242" i="55"/>
  <c r="M241" i="55"/>
  <c r="M240" i="55"/>
  <c r="M239" i="55"/>
  <c r="M238" i="55"/>
  <c r="M237" i="55"/>
  <c r="M236" i="55"/>
  <c r="M235" i="55"/>
  <c r="M234" i="55"/>
  <c r="M233" i="55"/>
  <c r="M232" i="55"/>
  <c r="M231" i="55"/>
  <c r="M230" i="55"/>
  <c r="M229" i="55"/>
  <c r="M228" i="55"/>
  <c r="M227" i="55"/>
  <c r="M226" i="55"/>
  <c r="M225" i="55"/>
  <c r="M224" i="55"/>
  <c r="M223" i="55"/>
  <c r="M222" i="55"/>
  <c r="M221" i="55"/>
  <c r="M220" i="55"/>
  <c r="M219" i="55"/>
  <c r="M218" i="55"/>
  <c r="M217" i="55"/>
  <c r="M216" i="55"/>
  <c r="M215" i="55"/>
  <c r="M214" i="55"/>
  <c r="M213" i="55"/>
  <c r="M212" i="55"/>
  <c r="M211" i="55"/>
  <c r="M210" i="55"/>
  <c r="M209" i="55"/>
  <c r="M208" i="55"/>
  <c r="M207" i="55"/>
  <c r="M206" i="55"/>
  <c r="M205" i="55"/>
  <c r="M204" i="55"/>
  <c r="M203" i="55"/>
  <c r="M202" i="55"/>
  <c r="M201" i="55"/>
  <c r="M200" i="55"/>
  <c r="N199" i="55"/>
  <c r="M199" i="55"/>
  <c r="N198" i="55"/>
  <c r="M198" i="55"/>
  <c r="N197" i="55"/>
  <c r="M197" i="55"/>
  <c r="N196" i="55"/>
  <c r="M196" i="55"/>
  <c r="N195" i="55"/>
  <c r="M195" i="55"/>
  <c r="N194" i="55"/>
  <c r="M194" i="55"/>
  <c r="N193" i="55"/>
  <c r="M193" i="55"/>
  <c r="N192" i="55"/>
  <c r="M192" i="55"/>
  <c r="N191" i="55"/>
  <c r="M191" i="55"/>
  <c r="N190" i="55"/>
  <c r="M190" i="55"/>
  <c r="N189" i="55"/>
  <c r="M189" i="55"/>
  <c r="N188" i="55"/>
  <c r="M188" i="55"/>
  <c r="N187" i="55"/>
  <c r="M187" i="55"/>
  <c r="N186" i="55"/>
  <c r="M186" i="55"/>
  <c r="N185" i="55"/>
  <c r="M185" i="55"/>
  <c r="N184" i="55"/>
  <c r="M184" i="55"/>
  <c r="N183" i="55"/>
  <c r="M183" i="55"/>
  <c r="N182" i="55"/>
  <c r="M182" i="55"/>
  <c r="N181" i="55"/>
  <c r="M181" i="55"/>
  <c r="N180" i="55"/>
  <c r="M180" i="55"/>
  <c r="N179" i="55"/>
  <c r="M179" i="55"/>
  <c r="N178" i="55"/>
  <c r="M178" i="55"/>
  <c r="N177" i="55"/>
  <c r="M177" i="55"/>
  <c r="N176" i="55"/>
  <c r="M176" i="55"/>
  <c r="N175" i="55"/>
  <c r="M175" i="55"/>
  <c r="N174" i="55"/>
  <c r="M174" i="55"/>
  <c r="N173" i="55"/>
  <c r="M173" i="55"/>
  <c r="N172" i="55"/>
  <c r="M172" i="55"/>
  <c r="N171" i="55"/>
  <c r="M171" i="55"/>
  <c r="N170" i="55"/>
  <c r="M170" i="55"/>
  <c r="N169" i="55"/>
  <c r="M169" i="55"/>
  <c r="N168" i="55"/>
  <c r="M168" i="55"/>
  <c r="N167" i="55"/>
  <c r="M167" i="55"/>
  <c r="M166" i="55"/>
  <c r="M165" i="55"/>
  <c r="M164" i="55"/>
  <c r="M163" i="55"/>
  <c r="M162" i="55"/>
  <c r="M161" i="55"/>
  <c r="M160" i="55"/>
  <c r="M159" i="55"/>
  <c r="M158" i="55"/>
  <c r="M157" i="55"/>
  <c r="M156" i="55"/>
  <c r="M155" i="55"/>
  <c r="M154" i="55"/>
  <c r="M153" i="55"/>
  <c r="M152" i="55"/>
  <c r="M151" i="55"/>
  <c r="M150" i="55"/>
  <c r="M149" i="55"/>
  <c r="M148" i="55"/>
  <c r="M147" i="55"/>
  <c r="M146" i="55"/>
  <c r="M145" i="55"/>
  <c r="M144" i="55"/>
  <c r="M143" i="55"/>
  <c r="M142" i="55"/>
  <c r="M141" i="55"/>
  <c r="M140" i="55"/>
  <c r="M139" i="55"/>
  <c r="M138" i="55"/>
  <c r="M137" i="55"/>
  <c r="M136" i="55"/>
  <c r="M135" i="55"/>
  <c r="M134" i="55"/>
  <c r="M133" i="55"/>
  <c r="M132" i="55"/>
  <c r="M131" i="55"/>
  <c r="M130" i="55"/>
  <c r="M129" i="55"/>
  <c r="M128" i="55"/>
  <c r="M127" i="55"/>
  <c r="M126" i="55"/>
  <c r="M125" i="55"/>
  <c r="M124" i="55"/>
  <c r="M123" i="55"/>
  <c r="M122" i="55"/>
  <c r="M121" i="55"/>
  <c r="M120" i="55"/>
  <c r="M119" i="55"/>
  <c r="M118" i="55"/>
  <c r="M117" i="55"/>
  <c r="M116" i="55"/>
  <c r="M115" i="55"/>
  <c r="M114" i="55"/>
  <c r="M113" i="55"/>
  <c r="M112" i="55"/>
  <c r="M111" i="55"/>
  <c r="M110" i="55"/>
  <c r="M109" i="55"/>
  <c r="M108" i="55"/>
  <c r="M107" i="55"/>
  <c r="M106" i="55"/>
  <c r="M105" i="55"/>
  <c r="M104" i="55"/>
  <c r="M103" i="55"/>
  <c r="M102" i="55"/>
  <c r="M101" i="55"/>
  <c r="M100" i="55"/>
  <c r="M99" i="55"/>
  <c r="M98" i="55"/>
  <c r="M97" i="55"/>
  <c r="M96" i="55"/>
  <c r="M95" i="55"/>
  <c r="M94" i="55"/>
  <c r="M93" i="55"/>
  <c r="M92" i="55"/>
  <c r="M91" i="55"/>
  <c r="M90" i="55"/>
  <c r="M89" i="55"/>
  <c r="M88" i="55"/>
  <c r="M87" i="55"/>
  <c r="M86" i="55"/>
  <c r="M85" i="55"/>
  <c r="M84" i="55"/>
  <c r="M83" i="55"/>
  <c r="M82" i="55"/>
  <c r="M81" i="55"/>
  <c r="M80" i="55"/>
  <c r="M79" i="55"/>
  <c r="M78" i="55"/>
  <c r="M77" i="55"/>
  <c r="M76" i="55"/>
  <c r="M75" i="55"/>
  <c r="M74" i="55"/>
  <c r="M73" i="55"/>
  <c r="M72" i="55"/>
  <c r="M71" i="55"/>
  <c r="M70" i="55"/>
  <c r="M69" i="55"/>
  <c r="M68" i="55"/>
  <c r="M67" i="55"/>
  <c r="M66" i="55"/>
  <c r="M65" i="55"/>
  <c r="M64" i="55"/>
  <c r="M63" i="55"/>
  <c r="M62" i="55"/>
  <c r="M61" i="55"/>
  <c r="M60" i="55"/>
  <c r="M59" i="55"/>
  <c r="M58" i="55"/>
  <c r="M57" i="55"/>
  <c r="M56" i="55"/>
  <c r="M55" i="55"/>
  <c r="M54" i="55"/>
  <c r="M53" i="55"/>
  <c r="M52" i="55"/>
  <c r="M51" i="55"/>
  <c r="M50" i="55"/>
  <c r="M49" i="55"/>
  <c r="M48" i="55"/>
  <c r="M47" i="55"/>
  <c r="M46" i="55"/>
  <c r="M45" i="55"/>
  <c r="M44" i="55"/>
  <c r="M43" i="55"/>
  <c r="M42" i="55"/>
  <c r="M41" i="55"/>
  <c r="M40" i="55"/>
  <c r="M39" i="55"/>
  <c r="M38" i="55"/>
  <c r="M37" i="55"/>
  <c r="M36" i="55"/>
  <c r="M35" i="55"/>
  <c r="M34" i="55"/>
  <c r="M33" i="55"/>
  <c r="M32" i="55"/>
  <c r="M31" i="55"/>
  <c r="M30" i="55"/>
  <c r="M29" i="55"/>
  <c r="M28" i="55"/>
  <c r="M27" i="55"/>
  <c r="M26" i="55"/>
  <c r="M25" i="55"/>
  <c r="M24" i="55"/>
  <c r="M23" i="55"/>
  <c r="M22" i="55"/>
  <c r="M21" i="55"/>
  <c r="M20" i="55"/>
  <c r="M19" i="55"/>
  <c r="M18" i="55"/>
  <c r="M17" i="55"/>
  <c r="M16" i="55"/>
  <c r="M15" i="55"/>
  <c r="M14" i="55"/>
  <c r="M13" i="55"/>
  <c r="M12" i="55"/>
  <c r="M11" i="55"/>
  <c r="M10" i="55"/>
  <c r="M9" i="55"/>
  <c r="M8" i="55"/>
  <c r="M7" i="55"/>
  <c r="M6" i="55"/>
  <c r="M5" i="55"/>
  <c r="M4" i="55"/>
  <c r="M3" i="55"/>
  <c r="D47" i="54"/>
  <c r="E47" i="54"/>
  <c r="F47" i="54"/>
  <c r="G47" i="54"/>
  <c r="H47" i="54"/>
  <c r="I47" i="54"/>
  <c r="D54" i="54"/>
  <c r="E54" i="54"/>
  <c r="F54" i="54"/>
  <c r="F57" i="54" s="1"/>
  <c r="G54" i="54"/>
  <c r="G57" i="54" s="1"/>
  <c r="H54" i="54"/>
  <c r="H57" i="54" s="1"/>
  <c r="I54" i="54"/>
  <c r="I57" i="54" s="1"/>
  <c r="D55" i="54"/>
  <c r="E55" i="54"/>
  <c r="F55" i="54"/>
  <c r="G55" i="54"/>
  <c r="H55" i="54"/>
  <c r="I55" i="54"/>
  <c r="D56" i="54"/>
  <c r="E56" i="54"/>
  <c r="F56" i="54"/>
  <c r="G56" i="54"/>
  <c r="H56" i="54"/>
  <c r="I56" i="54"/>
  <c r="B57" i="54"/>
  <c r="C57" i="54"/>
  <c r="D57" i="54"/>
  <c r="E57" i="54"/>
  <c r="AQ2" i="34"/>
  <c r="AM2" i="34"/>
  <c r="AN2" i="34"/>
  <c r="AO2" i="34"/>
  <c r="AP2" i="34"/>
  <c r="AL2" i="34"/>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34"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35" authorId="0">
      <text>
        <r>
          <rPr>
            <b/>
            <sz val="8"/>
            <color indexed="81"/>
            <rFont val="Tahoma"/>
            <family val="2"/>
          </rPr>
          <t>List the URL to an online protocol document.</t>
        </r>
      </text>
    </comment>
    <comment ref="A137" authorId="0">
      <text>
        <r>
          <rPr>
            <b/>
            <sz val="8"/>
            <color indexed="81"/>
            <rFont val="Tahoma"/>
            <family val="2"/>
          </rPr>
          <t>Describe the protocol used. Be as complete as possible.  Include any references and deviations used from references.</t>
        </r>
      </text>
    </comment>
    <comment ref="A144" authorId="3">
      <text>
        <r>
          <rPr>
            <b/>
            <sz val="8"/>
            <color indexed="81"/>
            <rFont val="Tahoma"/>
            <family val="2"/>
          </rPr>
          <t>This section describes the variables in the data set. Please be as complete as necessary.</t>
        </r>
      </text>
    </comment>
    <comment ref="A145"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45" authorId="3">
      <text>
        <r>
          <rPr>
            <b/>
            <sz val="8"/>
            <color indexed="81"/>
            <rFont val="Tahoma"/>
            <family val="2"/>
          </rPr>
          <t>Variable Description is an explanation of what the Variable represents. 
Include details about the units, e.g. microgram of NH4-N per gram of oven dried soil.</t>
        </r>
      </text>
    </comment>
    <comment ref="C145"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45"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45"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45"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45"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146"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46" authorId="3">
      <text>
        <r>
          <rPr>
            <b/>
            <sz val="8"/>
            <color indexed="81"/>
            <rFont val="Tahoma"/>
            <family val="2"/>
          </rPr>
          <t>Variable Description is an explanation of what the Variable represents. 
Include details about the units, e.g. microgram of NH4-N per gram of oven dried soil.</t>
        </r>
      </text>
    </comment>
    <comment ref="C146"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46"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46"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46"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46"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Laura</author>
  </authors>
  <commentList>
    <comment ref="J16" authorId="0">
      <text>
        <r>
          <rPr>
            <b/>
            <sz val="9"/>
            <color indexed="81"/>
            <rFont val="Tahoma"/>
            <family val="2"/>
          </rPr>
          <t>Laura:</t>
        </r>
        <r>
          <rPr>
            <sz val="9"/>
            <color indexed="81"/>
            <rFont val="Tahoma"/>
            <family val="2"/>
          </rPr>
          <t xml:space="preserve">
probably hit rock not ice</t>
        </r>
      </text>
    </comment>
    <comment ref="K16" authorId="0">
      <text>
        <r>
          <rPr>
            <b/>
            <sz val="9"/>
            <color indexed="81"/>
            <rFont val="Tahoma"/>
            <family val="2"/>
          </rPr>
          <t>Laura:</t>
        </r>
        <r>
          <rPr>
            <sz val="9"/>
            <color indexed="81"/>
            <rFont val="Tahoma"/>
            <family val="2"/>
          </rPr>
          <t xml:space="preserve">
probably hit rock not ice</t>
        </r>
      </text>
    </comment>
    <comment ref="N16" authorId="0">
      <text>
        <r>
          <rPr>
            <b/>
            <sz val="9"/>
            <color indexed="81"/>
            <rFont val="Tahoma"/>
            <family val="2"/>
          </rPr>
          <t>Laura:</t>
        </r>
        <r>
          <rPr>
            <sz val="9"/>
            <color indexed="81"/>
            <rFont val="Tahoma"/>
            <family val="2"/>
          </rPr>
          <t xml:space="preserve">
probably hit rock not ice</t>
        </r>
      </text>
    </comment>
    <comment ref="O16" authorId="0">
      <text>
        <r>
          <rPr>
            <b/>
            <sz val="9"/>
            <color indexed="81"/>
            <rFont val="Tahoma"/>
            <family val="2"/>
          </rPr>
          <t>Laura:</t>
        </r>
        <r>
          <rPr>
            <sz val="9"/>
            <color indexed="81"/>
            <rFont val="Tahoma"/>
            <family val="2"/>
          </rPr>
          <t xml:space="preserve">
probably hit rock not ice</t>
        </r>
      </text>
    </comment>
    <comment ref="J17" authorId="0">
      <text>
        <r>
          <rPr>
            <b/>
            <sz val="9"/>
            <color indexed="81"/>
            <rFont val="Tahoma"/>
            <family val="2"/>
          </rPr>
          <t>Laura:</t>
        </r>
        <r>
          <rPr>
            <sz val="9"/>
            <color indexed="81"/>
            <rFont val="Tahoma"/>
            <family val="2"/>
          </rPr>
          <t xml:space="preserve">
probably hit rock not ice</t>
        </r>
      </text>
    </comment>
    <comment ref="K17" authorId="0">
      <text>
        <r>
          <rPr>
            <b/>
            <sz val="9"/>
            <color indexed="81"/>
            <rFont val="Tahoma"/>
            <family val="2"/>
          </rPr>
          <t>Laura:</t>
        </r>
        <r>
          <rPr>
            <sz val="9"/>
            <color indexed="81"/>
            <rFont val="Tahoma"/>
            <family val="2"/>
          </rPr>
          <t xml:space="preserve">
probably hit rock not ice</t>
        </r>
      </text>
    </comment>
    <comment ref="N17" authorId="0">
      <text>
        <r>
          <rPr>
            <b/>
            <sz val="9"/>
            <color indexed="81"/>
            <rFont val="Tahoma"/>
            <family val="2"/>
          </rPr>
          <t>Laura:</t>
        </r>
        <r>
          <rPr>
            <sz val="9"/>
            <color indexed="81"/>
            <rFont val="Tahoma"/>
            <family val="2"/>
          </rPr>
          <t xml:space="preserve">
probably hit rock not ice</t>
        </r>
      </text>
    </comment>
    <comment ref="O17" authorId="0">
      <text>
        <r>
          <rPr>
            <b/>
            <sz val="9"/>
            <color indexed="81"/>
            <rFont val="Tahoma"/>
            <family val="2"/>
          </rPr>
          <t>Laura:</t>
        </r>
        <r>
          <rPr>
            <sz val="9"/>
            <color indexed="81"/>
            <rFont val="Tahoma"/>
            <family val="2"/>
          </rPr>
          <t xml:space="preserve">
probably hit rock not ice</t>
        </r>
      </text>
    </comment>
  </commentList>
</comments>
</file>

<file path=xl/comments3.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<sst xmlns="http://schemas.openxmlformats.org/spreadsheetml/2006/main" count="6135" uniqueCount="1769">
  <si>
    <t>Upland</t>
  </si>
  <si>
    <t>Fert</t>
  </si>
  <si>
    <t>SAL-P</t>
  </si>
  <si>
    <t>CH003</t>
  </si>
  <si>
    <t>CH004</t>
  </si>
  <si>
    <t>CH005</t>
  </si>
  <si>
    <t>CH006</t>
  </si>
  <si>
    <t>CH007</t>
  </si>
  <si>
    <t>CH008</t>
  </si>
  <si>
    <t>CH009</t>
  </si>
  <si>
    <t>CH010</t>
  </si>
  <si>
    <t>CH011</t>
  </si>
  <si>
    <t>CH012</t>
  </si>
  <si>
    <t>CH013</t>
  </si>
  <si>
    <t>CH014</t>
  </si>
  <si>
    <t>CH015</t>
  </si>
  <si>
    <t>Toolik</t>
  </si>
  <si>
    <t>Outlet</t>
  </si>
  <si>
    <t>None</t>
  </si>
  <si>
    <t>DD-MMM-YY</t>
  </si>
  <si>
    <t>BET</t>
  </si>
  <si>
    <t>SAL.P</t>
  </si>
  <si>
    <t>outlet</t>
  </si>
  <si>
    <t>TIME</t>
  </si>
  <si>
    <t>1m x 1m</t>
  </si>
  <si>
    <t>td_2</t>
  </si>
  <si>
    <t>td_4</t>
  </si>
  <si>
    <t>td_6</t>
  </si>
  <si>
    <t>td_mean</t>
  </si>
  <si>
    <t>Surface temp_mean</t>
  </si>
  <si>
    <t>COMMENTS</t>
  </si>
  <si>
    <t>TD: Hit rock at every thaw depth.  Probably hitting mineral soils.</t>
  </si>
  <si>
    <t>TD: rocky</t>
  </si>
  <si>
    <t xml:space="preserve">TD: thick moss layer, not much soil </t>
  </si>
  <si>
    <t>TD: Hit rock at depths 2 and 6</t>
  </si>
  <si>
    <t>TD: very rocky soil- depths 1, 2, 4 and 5 all hit rock before permafrost</t>
  </si>
  <si>
    <t>TD: not collected; ST: these measurements were taken just outside the chamber so that they wouldn’t disturb or change the chamber</t>
  </si>
  <si>
    <t>TD: probably hit rock not ice; ST: Taken outside of chamber perimeter</t>
  </si>
  <si>
    <t>TD: probably hit rock not ice; ST: Inside Chamber</t>
  </si>
  <si>
    <t>ST: Taken outside of chamber perimeter</t>
  </si>
  <si>
    <t>ST: Taken inside of chamber</t>
  </si>
  <si>
    <t>DOM VEG</t>
  </si>
  <si>
    <t xml:space="preserve"> </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</si>
  <si>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</si>
  <si>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</si>
  <si>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</si>
  <si>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</si>
  <si>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</si>
  <si>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</si>
  <si>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</si>
  <si>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</si>
  <si>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</si>
  <si>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</si>
  <si>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</si>
  <si>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</si>
  <si>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</si>
  <si>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</si>
  <si>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</si>
  <si>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</si>
  <si>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</si>
  <si>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Email</t>
  </si>
  <si>
    <t xml:space="preserve">First Name  </t>
  </si>
  <si>
    <t xml:space="preserve">Last Name  </t>
  </si>
  <si>
    <t>Organization</t>
  </si>
  <si>
    <t>Address line 2</t>
  </si>
  <si>
    <t>Address line 3</t>
  </si>
  <si>
    <t xml:space="preserve"> City  </t>
  </si>
  <si>
    <t xml:space="preserve">State  </t>
  </si>
  <si>
    <t xml:space="preserve">Zip Code  </t>
  </si>
  <si>
    <t>Country</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</si>
  <si>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</si>
  <si>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</si>
  <si>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</si>
  <si>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</si>
  <si>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</si>
  <si>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</si>
  <si>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</si>
  <si>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</si>
  <si>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</si>
  <si>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</si>
  <si>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</si>
  <si>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</si>
  <si>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</si>
  <si>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</si>
  <si>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</si>
  <si>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</si>
  <si>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</si>
  <si>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</si>
  <si>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</si>
  <si>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</si>
  <si>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</si>
  <si>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</si>
  <si>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</si>
  <si>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</si>
  <si>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</si>
  <si>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</si>
  <si>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</si>
  <si>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</si>
  <si>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</si>
  <si>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</si>
  <si>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</si>
  <si>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</si>
  <si>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</si>
  <si>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</si>
  <si>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</si>
  <si>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</si>
  <si>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</si>
  <si>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</si>
  <si>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</si>
  <si>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</si>
  <si>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</si>
  <si>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</si>
  <si>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</si>
  <si>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</si>
  <si>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</si>
  <si>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</si>
  <si>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Owner </t>
  </si>
  <si>
    <t>datetime</t>
  </si>
  <si>
    <t>text</t>
  </si>
  <si>
    <t>ampere</t>
  </si>
  <si>
    <t xml:space="preserve">Associated Researcher </t>
  </si>
  <si>
    <t>interval</t>
  </si>
  <si>
    <t>number</t>
  </si>
  <si>
    <t>amperePerMeter</t>
  </si>
  <si>
    <t xml:space="preserve">Data Manager </t>
  </si>
  <si>
    <t>nominal</t>
  </si>
  <si>
    <t>amperePerMeterSquared</t>
  </si>
  <si>
    <t xml:space="preserve">Field Crew </t>
  </si>
  <si>
    <t>ordinal</t>
  </si>
  <si>
    <t>angstrom</t>
  </si>
  <si>
    <t xml:space="preserve">Lab Crew </t>
  </si>
  <si>
    <t>ratio</t>
  </si>
  <si>
    <t>atmosphere</t>
  </si>
  <si>
    <t>bar</t>
  </si>
  <si>
    <t>becquerel</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</si>
  <si>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</si>
  <si>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</si>
  <si>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</si>
  <si>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</si>
  <si>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</si>
  <si>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</si>
  <si>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</si>
  <si>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</si>
  <si>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</si>
  <si>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</si>
  <si>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</si>
  <si>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</si>
  <si>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centimeterSquaredPerFourHundredthMeterSquared</t>
  </si>
  <si>
    <t>centimeterSquaredPerGram</t>
  </si>
  <si>
    <t>centimolePerKilogram</t>
  </si>
  <si>
    <t>centisecond</t>
  </si>
  <si>
    <t>decibar</t>
  </si>
  <si>
    <t>decigram</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</si>
  <si>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</si>
  <si>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</si>
  <si>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</si>
  <si>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</si>
  <si>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</si>
  <si>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</si>
  <si>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</si>
  <si>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</si>
  <si>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</si>
  <si>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</si>
  <si>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</si>
  <si>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</si>
  <si>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</si>
  <si>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</si>
  <si>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</si>
  <si>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</si>
  <si>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</si>
  <si>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</si>
  <si>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</si>
  <si>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</si>
  <si>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</si>
  <si>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</si>
  <si>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</si>
  <si>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</si>
  <si>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</si>
  <si>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</si>
  <si>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</si>
  <si>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</si>
  <si>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</si>
  <si>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</si>
  <si>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</si>
  <si>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</si>
  <si>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</si>
  <si>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</si>
  <si>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</si>
  <si>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</si>
  <si>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</si>
  <si>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</si>
  <si>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</si>
  <si>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</si>
  <si>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</si>
  <si>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</si>
  <si>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</si>
  <si>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</si>
  <si>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</si>
  <si>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</si>
  <si>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</si>
  <si>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</si>
  <si>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</si>
  <si>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kilowattPerMeterSquared</t>
  </si>
  <si>
    <t>liter</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</si>
  <si>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</si>
  <si>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</si>
  <si>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</si>
  <si>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</si>
  <si>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</si>
  <si>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</si>
  <si>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</si>
  <si>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</si>
  <si>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</si>
  <si>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</si>
  <si>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</si>
  <si>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</si>
  <si>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</si>
  <si>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</si>
  <si>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</si>
  <si>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</si>
  <si>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</si>
  <si>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</si>
  <si>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</si>
  <si>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</si>
  <si>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</si>
  <si>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</si>
  <si>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</si>
  <si>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</si>
  <si>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</si>
  <si>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</si>
  <si>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</si>
  <si>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</si>
  <si>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</si>
  <si>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</si>
  <si>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</si>
  <si>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</si>
  <si>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</si>
  <si>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</si>
  <si>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</si>
  <si>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</si>
  <si>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</si>
  <si>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</si>
  <si>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</si>
  <si>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</si>
  <si>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</si>
  <si>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</si>
  <si>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</si>
  <si>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</si>
  <si>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</si>
  <si>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</si>
  <si>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</si>
  <si>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</si>
  <si>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</si>
  <si>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</si>
  <si>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</si>
  <si>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</si>
  <si>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</si>
  <si>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</si>
  <si>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</si>
  <si>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</si>
  <si>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</si>
  <si>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</si>
  <si>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</si>
  <si>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</si>
  <si>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</si>
  <si>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</si>
  <si>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</si>
  <si>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</si>
  <si>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</si>
  <si>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</si>
  <si>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</si>
  <si>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</si>
  <si>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</si>
  <si>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</si>
  <si>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</si>
  <si>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</si>
  <si>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</si>
  <si>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</si>
  <si>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</si>
  <si>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</si>
  <si>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</si>
  <si>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</si>
  <si>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</si>
  <si>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</si>
  <si>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</si>
  <si>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</si>
  <si>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</si>
  <si>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</si>
  <si>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</si>
  <si>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</si>
  <si>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</si>
  <si>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</si>
  <si>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</si>
  <si>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</si>
  <si>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</si>
  <si>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</si>
  <si>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</si>
  <si>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</si>
  <si>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</si>
  <si>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</si>
  <si>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</si>
  <si>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</si>
  <si>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</si>
  <si>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</si>
  <si>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</si>
  <si>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</si>
  <si>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</si>
  <si>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</si>
  <si>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</si>
  <si>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</si>
  <si>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</si>
  <si>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</si>
  <si>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</si>
  <si>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</si>
  <si>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</si>
  <si>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</si>
  <si>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</si>
  <si>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</si>
  <si>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</si>
  <si>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</si>
  <si>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</si>
  <si>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</si>
  <si>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</si>
  <si>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</si>
  <si>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</si>
  <si>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</si>
  <si>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</si>
  <si>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gshaver@mbl.edu</t>
  </si>
  <si>
    <t>Gaius</t>
  </si>
  <si>
    <t>Shaver</t>
  </si>
  <si>
    <t>Ecosystems Center at the Marine Biological Laboratory</t>
  </si>
  <si>
    <t>7 MBL Street</t>
  </si>
  <si>
    <t>Woods Hole</t>
  </si>
  <si>
    <t>MA</t>
  </si>
  <si>
    <t>02543</t>
  </si>
  <si>
    <t>United States</t>
  </si>
  <si>
    <t>erastetter@mbl.edu</t>
  </si>
  <si>
    <t>Edward</t>
  </si>
  <si>
    <t>Rastetter</t>
  </si>
  <si>
    <t>mat.williams@ed.ac.uk</t>
  </si>
  <si>
    <t>Mathew</t>
  </si>
  <si>
    <t>Williams</t>
  </si>
  <si>
    <t>University of Edinburgh</t>
  </si>
  <si>
    <t>School of Geosciences</t>
  </si>
  <si>
    <t>Darwin Building</t>
  </si>
  <si>
    <t>Edinburgh</t>
  </si>
  <si>
    <t>EH9 EJU</t>
  </si>
  <si>
    <t>United Kingdom</t>
  </si>
  <si>
    <t>jlaundre@mbl.edu</t>
  </si>
  <si>
    <t>James</t>
  </si>
  <si>
    <t>Laundre</t>
  </si>
  <si>
    <t>lvanderpol@mbl.edu</t>
  </si>
  <si>
    <t>Laura</t>
  </si>
  <si>
    <t>van der Pol</t>
  </si>
  <si>
    <t>Betula nana; Salix pulchra; Salix glauca</t>
  </si>
  <si>
    <t xml:space="preserve">YEAR </t>
  </si>
  <si>
    <t xml:space="preserve"> year of measurement </t>
  </si>
  <si>
    <t xml:space="preserve">DATE </t>
  </si>
  <si>
    <t xml:space="preserve"> date of measurement </t>
  </si>
  <si>
    <t xml:space="preserve">  </t>
  </si>
  <si>
    <t xml:space="preserve">SITE </t>
  </si>
  <si>
    <t xml:space="preserve">GROUP  </t>
  </si>
  <si>
    <t xml:space="preserve">PLOT </t>
  </si>
  <si>
    <t xml:space="preserve"> Individual plot identifier </t>
  </si>
  <si>
    <t xml:space="preserve">TREAT </t>
  </si>
  <si>
    <t xml:space="preserve">PHASE </t>
  </si>
  <si>
    <t xml:space="preserve">PLOT SIZE </t>
  </si>
  <si>
    <t xml:space="preserve"> Dominant canopy vegetation</t>
  </si>
  <si>
    <t>YYYY</t>
  </si>
  <si>
    <t>Measurement location in relation to Toolik Lake LTER Shrub plots; In vicinity of Block1 =Upland, IVO Block 2 =Outlet</t>
  </si>
  <si>
    <t xml:space="preserve"> none or fertilised annually  (FERT) (with N and P) </t>
  </si>
  <si>
    <t xml:space="preserve"> additional notes </t>
  </si>
  <si>
    <t xml:space="preserve"> 1m x 1m chamber size </t>
  </si>
  <si>
    <t>Upland site; co-located in Block 1 of the Shrub LTER sites; IVO 68° 38'18.8" N |  149° 34' 07.2" W +/- 50m. Except for plots marked "FERT" |  plots are outside of the designated LTER treatments |  though are exposed to the same environmental conditions. All plots were chosen by the dominant shrub canopy (either Salix pulchraor Betula nana) and preferentially selected to be 90cm+ in height.</t>
  </si>
  <si>
    <t>Outlet site; co-located in Block 2 of the Shrub LTER sites; IVO 68° 38'008.1" N |  149° 35' 017.1" W +/- 50m. Except for plots marked "FERT" |  plots are outside of the designated LTER treatments |  though are exposed to the same environmental conditions. All plots were chosen by the dominant shrub canopy (either Salix pulchraor Betula nana) and preferentially selected to be 90cm+ in height.</t>
  </si>
  <si>
    <t>photosynthesis; shrub canopy, chamber flux measurement; soil temperature, soil moisture, volumetric water content</t>
  </si>
  <si>
    <t xml:space="preserve">td_1 </t>
  </si>
  <si>
    <t xml:space="preserve"> replicate 1 of thaw depth </t>
  </si>
  <si>
    <t xml:space="preserve"> replicate 2 of thaw depth </t>
  </si>
  <si>
    <t xml:space="preserve">td_3 </t>
  </si>
  <si>
    <t xml:space="preserve"> replicate 3 of thaw depth </t>
  </si>
  <si>
    <t xml:space="preserve"> replicate 4 of thaw depth </t>
  </si>
  <si>
    <t xml:space="preserve">td_5 </t>
  </si>
  <si>
    <t xml:space="preserve"> replicate 5 of thaw depth</t>
  </si>
  <si>
    <t xml:space="preserve"> replicate 6 of thaw depth </t>
  </si>
  <si>
    <t xml:space="preserve"> mean of thaw depth </t>
  </si>
  <si>
    <t xml:space="preserve">temp5_1 </t>
  </si>
  <si>
    <t xml:space="preserve"> replicate 1 of soil temperature at 5 cm </t>
  </si>
  <si>
    <t xml:space="preserve">temp5_2 </t>
  </si>
  <si>
    <t xml:space="preserve"> replicate 2 of soil temperature at 5 cm </t>
  </si>
  <si>
    <t xml:space="preserve">temp5_3 </t>
  </si>
  <si>
    <t xml:space="preserve"> replicate 3 of soil temperature at 5 cm </t>
  </si>
  <si>
    <t xml:space="preserve">temp5_4 </t>
  </si>
  <si>
    <t xml:space="preserve"> replicate 4of soil temperature at 5 cm</t>
  </si>
  <si>
    <t xml:space="preserve">temp5_5 </t>
  </si>
  <si>
    <t xml:space="preserve"> replicate 5 of soil temperature at 5 cm</t>
  </si>
  <si>
    <t xml:space="preserve">temp5_6 </t>
  </si>
  <si>
    <t xml:space="preserve"> replicate 6 of soil temperature at 5 cm</t>
  </si>
  <si>
    <t xml:space="preserve">temp5_mean </t>
  </si>
  <si>
    <t xml:space="preserve"> mean of soil temperature at 5 cm </t>
  </si>
  <si>
    <t xml:space="preserve">temp10_1 </t>
  </si>
  <si>
    <t xml:space="preserve"> replicate 1 of soil temperature at 10 cm </t>
  </si>
  <si>
    <t xml:space="preserve">temp10_2 </t>
  </si>
  <si>
    <t xml:space="preserve"> replicate 2 of soil temperature at 10 cm </t>
  </si>
  <si>
    <t xml:space="preserve">temp10_3 </t>
  </si>
  <si>
    <t xml:space="preserve"> replicate 3 of soil temperature at 10 cm </t>
  </si>
  <si>
    <t xml:space="preserve">temp10_4 </t>
  </si>
  <si>
    <t xml:space="preserve"> replicate 4of soil temperature at 10 cm</t>
  </si>
  <si>
    <t xml:space="preserve">temp10_5 </t>
  </si>
  <si>
    <t xml:space="preserve"> replicate 5 of soil temperature at 10 cm</t>
  </si>
  <si>
    <t xml:space="preserve">temp10_6 </t>
  </si>
  <si>
    <t xml:space="preserve"> replicate 6 of soil temperature at 10 cm</t>
  </si>
  <si>
    <t xml:space="preserve">temp10_mean </t>
  </si>
  <si>
    <t xml:space="preserve"> mean of soil temperature at 10 cm </t>
  </si>
  <si>
    <t xml:space="preserve">VWC reading _1 </t>
  </si>
  <si>
    <t xml:space="preserve"> replicate 1 of VWC </t>
  </si>
  <si>
    <t xml:space="preserve">VWC reading_2 </t>
  </si>
  <si>
    <t xml:space="preserve"> replicate 2 of VWC </t>
  </si>
  <si>
    <t xml:space="preserve">VWC reading_3 </t>
  </si>
  <si>
    <t xml:space="preserve"> replicate 3 of VWC </t>
  </si>
  <si>
    <t xml:space="preserve">VWC reading_4 </t>
  </si>
  <si>
    <t xml:space="preserve"> replicate 4  of VWC </t>
  </si>
  <si>
    <t xml:space="preserve">VWC reading_5 </t>
  </si>
  <si>
    <t xml:space="preserve"> replicate 5 of VWC </t>
  </si>
  <si>
    <t xml:space="preserve">VWC reading _6 </t>
  </si>
  <si>
    <t xml:space="preserve"> replicate 6 of VWC </t>
  </si>
  <si>
    <t xml:space="preserve">VWCreading _mean </t>
  </si>
  <si>
    <t xml:space="preserve"> mean of VWC </t>
  </si>
  <si>
    <t xml:space="preserve">VWC corrected _1 </t>
  </si>
  <si>
    <t xml:space="preserve"> replicate 1 of corrected (see calculations below) VWC </t>
  </si>
  <si>
    <t xml:space="preserve">VWC corrected_2 </t>
  </si>
  <si>
    <t xml:space="preserve"> replicate 2 of corrected (see calculations below) VWC </t>
  </si>
  <si>
    <t xml:space="preserve">VWC corrected_3 </t>
  </si>
  <si>
    <t xml:space="preserve"> replicate 3 of corrected (see calculations below) VWC </t>
  </si>
  <si>
    <t xml:space="preserve">VWC corrected_4 </t>
  </si>
  <si>
    <t xml:space="preserve"> replicate 4  of corrected (see calculations below) VWC </t>
  </si>
  <si>
    <t xml:space="preserve">VWC corrected_5 </t>
  </si>
  <si>
    <t xml:space="preserve"> replicate 5 of corrected (see calculations below) VWC </t>
  </si>
  <si>
    <t xml:space="preserve">VWC corrected _6 </t>
  </si>
  <si>
    <t xml:space="preserve"> replicate 6 of corrected (see calculations below) VWC </t>
  </si>
  <si>
    <t xml:space="preserve">VWC corrected _mean </t>
  </si>
  <si>
    <t xml:space="preserve"> mean of corrected (see calculations below) VWC </t>
  </si>
  <si>
    <t xml:space="preserve">Surface temp_1 </t>
  </si>
  <si>
    <t xml:space="preserve">Surface temp_2 </t>
  </si>
  <si>
    <t xml:space="preserve">Surface temp_3 </t>
  </si>
  <si>
    <t xml:space="preserve">Surface temp_4 </t>
  </si>
  <si>
    <t xml:space="preserve">Surface temp_5 </t>
  </si>
  <si>
    <t xml:space="preserve">Surface temp_6 </t>
  </si>
  <si>
    <t xml:space="preserve"> replicate 6 of surface temperature </t>
  </si>
  <si>
    <t>2012_GS_ITEX_CH_SoilData</t>
  </si>
  <si>
    <t>Soil temperature probe calibration was checked at the start of the field season by placing probes into a ice water bath to ensure they read 0-deg Celsius.  Soil moisture (VWC) was corrected for arctic tundra soil using a calibration developed by J. Powers in 2003.</t>
  </si>
  <si>
    <t xml:space="preserve"> time of measurement; not used in this dataset</t>
  </si>
  <si>
    <t xml:space="preserve"> Measurement series (round of measurements within each year) ; Not used in this dataset</t>
  </si>
  <si>
    <t xml:space="preserve"> replicate 1 of surface temperature; Not used in this dataset</t>
  </si>
  <si>
    <t xml:space="preserve"> replicate 2 of surface temperature; Not used in this dataset</t>
  </si>
  <si>
    <t xml:space="preserve"> replicate 3 of surface temperature; Not used in this dataset</t>
  </si>
  <si>
    <t xml:space="preserve"> replicate 4 of surface temperature; Not used in this dataset</t>
  </si>
  <si>
    <t xml:space="preserve"> replicate 5 of surface temperature; Not used in this dataset</t>
  </si>
  <si>
    <t xml:space="preserve"> mean of surface temperature; Not used in this dataset</t>
  </si>
  <si>
    <t>This was a season-long project |  though it followed similar methods to ITEX projects performed starting in 2003 that are likely to be replicated in the future for reasearch at the Toolik Field Station |  AK.</t>
  </si>
  <si>
    <t>747 m</t>
  </si>
  <si>
    <t>730 m</t>
  </si>
  <si>
    <t>CH002</t>
  </si>
  <si>
    <t>Location Name</t>
  </si>
  <si>
    <t>LTER Shrub Block 1</t>
  </si>
  <si>
    <t>LTER Shrub Block 2</t>
  </si>
  <si>
    <t>Summary of soil temperature, moisture, and thaw depth for 14 chamber flux measurements sampled near LTER shrub sites at Toolik Field Station,  Alaska,  summer 2012.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</si>
  <si>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</si>
  <si>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http://ecosystems.mbl.edu/ARC/meta_template.php?FileName=./terrest/tracegas/xlsfiles/2012_GS_ITEX_CH_SoilData.html</t>
  </si>
  <si>
    <t>http://metacat.lternet.edu/das/dataAccessServlet?docid=knb-lter-arc.10152&amp;amp;urlTail=terrest/tracegas/data/2012_GS_ITEX_CH_SoilData.csv</t>
  </si>
  <si>
    <t>Version 2: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</si>
  <si>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</si>
  <si>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</si>
  <si>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</si>
  <si>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</si>
  <si>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</si>
  <si>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</si>
  <si>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</si>
  <si>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</si>
  <si>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</si>
  <si>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</si>
  <si>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</si>
  <si>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</si>
  <si>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</si>
  <si>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</si>
  <si>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</si>
  <si>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literPerHectare</t>
  </si>
  <si>
    <t>kilowatt</t>
  </si>
  <si>
    <t>kilogramPerYear</t>
  </si>
  <si>
    <t>gramPerCentimeter</t>
  </si>
  <si>
    <t>decimeter</t>
  </si>
  <si>
    <t>coulomb</t>
  </si>
  <si>
    <t>centimeterSquared</t>
  </si>
  <si>
    <t>Link to Google Map</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</si>
  <si>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</si>
  <si>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</si>
  <si>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</si>
  <si>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</si>
  <si>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</si>
  <si>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</si>
  <si>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</si>
  <si>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</si>
  <si>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</si>
  <si>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</si>
  <si>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</si>
  <si>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</si>
  <si>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</si>
  <si>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</si>
  <si>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</si>
  <si>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</si>
  <si>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</si>
  <si>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</si>
  <si>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</si>
  <si>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</si>
  <si>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</si>
  <si>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</si>
  <si>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</si>
  <si>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</si>
  <si>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</si>
  <si>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</si>
  <si>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</si>
  <si>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</si>
  <si>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</si>
  <si>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</si>
  <si>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</si>
  <si>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</si>
  <si>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</si>
  <si>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</si>
  <si>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</si>
  <si>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</si>
  <si>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</si>
  <si>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</si>
  <si>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</si>
  <si>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</si>
  <si>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</si>
  <si>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</si>
  <si>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</si>
  <si>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</si>
  <si>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</si>
  <si>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</si>
  <si>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</si>
  <si>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</si>
  <si>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</si>
  <si>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</si>
  <si>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</si>
  <si>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</si>
  <si>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</si>
  <si>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</si>
  <si>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</si>
  <si>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</si>
  <si>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</si>
  <si>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</si>
  <si>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</si>
  <si>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</si>
  <si>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</si>
  <si>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</si>
  <si>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</si>
  <si>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</si>
  <si>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</si>
  <si>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</si>
  <si>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</si>
  <si>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</si>
  <si>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</si>
  <si>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</si>
  <si>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</si>
  <si>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</si>
  <si>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</si>
  <si>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</si>
  <si>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</si>
  <si>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</si>
  <si>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</si>
  <si>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</si>
  <si>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</si>
  <si>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</si>
  <si>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</si>
  <si>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</si>
  <si>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</si>
  <si>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</si>
  <si>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</si>
  <si>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</si>
  <si>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</si>
  <si>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</si>
  <si>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</si>
  <si>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</si>
  <si>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</si>
  <si>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</si>
  <si>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</si>
  <si>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</si>
  <si>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</si>
  <si>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</si>
  <si>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</si>
  <si>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</si>
  <si>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</si>
  <si>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</si>
  <si>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</si>
  <si>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</si>
  <si>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</si>
  <si>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</si>
  <si>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</si>
  <si>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</si>
  <si>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</si>
  <si>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</si>
  <si>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</si>
  <si>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</si>
  <si>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</si>
  <si>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</si>
  <si>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</si>
  <si>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</si>
  <si>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</si>
  <si>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</si>
  <si>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</si>
  <si>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</si>
  <si>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</si>
  <si>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</si>
  <si>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</si>
  <si>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</si>
  <si>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</si>
  <si>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</si>
  <si>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</si>
  <si>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</si>
  <si>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</si>
  <si>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</si>
  <si>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</si>
  <si>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</si>
  <si>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</si>
  <si>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</si>
  <si>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</si>
  <si>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</si>
  <si>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</si>
  <si>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</si>
  <si>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</si>
  <si>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</si>
  <si>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</si>
  <si>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</si>
  <si>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</si>
  <si>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</si>
  <si>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</si>
  <si>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</si>
  <si>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</si>
  <si>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</si>
  <si>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</si>
  <si>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</si>
  <si>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</si>
  <si>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</si>
  <si>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</si>
  <si>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</si>
  <si>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</si>
  <si>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</si>
  <si>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</si>
  <si>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</si>
  <si>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</si>
  <si>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</si>
  <si>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</si>
  <si>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</si>
  <si>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</si>
  <si>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</si>
  <si>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</si>
  <si>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</si>
  <si>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</si>
  <si>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</si>
  <si>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</si>
  <si>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</si>
  <si>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</si>
  <si>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</si>
  <si>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</si>
  <si>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</si>
  <si>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</si>
  <si>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</si>
  <si>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</si>
  <si>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</si>
  <si>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</si>
  <si>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</si>
  <si>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</si>
  <si>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</si>
  <si>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</si>
  <si>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</si>
  <si>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</si>
  <si>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</si>
  <si>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</si>
  <si>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</si>
  <si>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</si>
  <si>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</si>
  <si>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</si>
  <si>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</si>
  <si>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</si>
  <si>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</si>
  <si>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</si>
  <si>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</si>
  <si>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</si>
  <si>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</si>
  <si>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</si>
  <si>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</si>
  <si>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</si>
  <si>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</si>
  <si>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</si>
  <si>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</si>
  <si>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</si>
  <si>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</si>
  <si>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</si>
  <si>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</si>
  <si>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</si>
  <si>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</si>
  <si>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</si>
  <si>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</si>
  <si>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</si>
  <si>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</si>
  <si>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</si>
  <si>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</si>
  <si>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</si>
  <si>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</si>
  <si>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</si>
  <si>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</si>
  <si>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</si>
  <si>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</si>
  <si>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</si>
  <si>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</si>
  <si>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</si>
  <si>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</si>
  <si>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</si>
  <si>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</si>
  <si>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</si>
  <si>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</si>
  <si>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</si>
  <si>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</si>
  <si>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</si>
  <si>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</si>
  <si>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</si>
  <si>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</si>
  <si>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</si>
  <si>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</si>
  <si>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</si>
  <si>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</si>
  <si>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</si>
  <si>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</si>
  <si>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</si>
  <si>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</si>
  <si>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</si>
  <si>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</si>
  <si>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</si>
  <si>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</si>
  <si>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</si>
  <si>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</si>
  <si>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</si>
  <si>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</si>
  <si>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</si>
  <si>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</si>
  <si>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</si>
  <si>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</si>
  <si>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</si>
  <si>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</si>
  <si>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</si>
  <si>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</si>
  <si>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</si>
  <si>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</si>
  <si>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</si>
  <si>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</si>
  <si>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</si>
  <si>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</si>
  <si>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</si>
  <si>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</si>
  <si>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</si>
  <si>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</si>
  <si>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</si>
  <si>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</si>
  <si>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</si>
  <si>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</si>
  <si>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</si>
  <si>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</si>
  <si>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</si>
  <si>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</si>
  <si>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</si>
  <si>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</si>
  <si>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</si>
  <si>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</si>
  <si>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</si>
  <si>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</si>
  <si>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</si>
  <si>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</si>
  <si>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</si>
  <si>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</si>
  <si>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</si>
  <si>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</si>
  <si>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</si>
  <si>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</si>
  <si>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</si>
  <si>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</si>
  <si>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</si>
  <si>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</si>
  <si>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</si>
  <si>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</si>
  <si>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</si>
  <si>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</si>
  <si>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</si>
  <si>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</si>
  <si>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</si>
  <si>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</si>
  <si>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</si>
  <si>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</si>
  <si>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</si>
  <si>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</si>
  <si>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</si>
  <si>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</si>
  <si>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</si>
  <si>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</si>
  <si>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</si>
  <si>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</si>
  <si>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</si>
  <si>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</si>
  <si>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</si>
  <si>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</si>
  <si>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</si>
  <si>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</si>
  <si>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</si>
  <si>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</si>
  <si>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</si>
  <si>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</si>
  <si>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</si>
  <si>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</si>
  <si>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</si>
  <si>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</si>
  <si>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</si>
  <si>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</si>
  <si>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</si>
  <si>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</si>
  <si>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</si>
  <si>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</si>
  <si>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</si>
  <si>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</si>
  <si>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</si>
  <si>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</si>
  <si>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</si>
  <si>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</si>
  <si>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</si>
  <si>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</si>
  <si>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</si>
  <si>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</si>
  <si>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</si>
  <si>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</si>
  <si>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</si>
  <si>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</si>
  <si>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</si>
  <si>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</si>
  <si>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</si>
  <si>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</si>
  <si>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</si>
  <si>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</si>
  <si>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</si>
  <si>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</si>
  <si>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</si>
  <si>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</si>
  <si>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</si>
  <si>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</si>
  <si>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</si>
  <si>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</si>
  <si>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</si>
  <si>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</si>
  <si>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</si>
  <si>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</si>
  <si>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</si>
  <si>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</si>
  <si>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</si>
  <si>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</si>
  <si>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</si>
  <si>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</si>
  <si>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</si>
  <si>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</si>
  <si>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</si>
  <si>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</si>
  <si>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</si>
  <si>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</si>
  <si>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</si>
  <si>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</si>
  <si>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</si>
  <si>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</si>
  <si>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</si>
  <si>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</si>
  <si>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</si>
  <si>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</si>
  <si>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</si>
  <si>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</si>
  <si>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</si>
  <si>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</si>
  <si>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</si>
  <si>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</si>
  <si>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</si>
  <si>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</si>
  <si>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</si>
  <si>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</si>
  <si>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</si>
  <si>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</si>
  <si>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</si>
  <si>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</si>
  <si>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</si>
  <si>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</si>
  <si>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</si>
  <si>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</si>
  <si>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</si>
  <si>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</si>
  <si>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</si>
  <si>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</si>
  <si>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</si>
  <si>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</si>
  <si>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</si>
  <si>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</si>
  <si>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</si>
  <si>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</si>
  <si>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</si>
  <si>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</si>
  <si>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</si>
  <si>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</si>
  <si>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</si>
  <si>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</si>
  <si>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</si>
  <si>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</si>
  <si>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</si>
  <si>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</si>
  <si>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</si>
  <si>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</si>
  <si>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</si>
  <si>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</si>
  <si>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</si>
  <si>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</si>
  <si>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</si>
  <si>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</si>
  <si>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</si>
  <si>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</si>
  <si>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</si>
  <si>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</si>
  <si>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</si>
  <si>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</si>
  <si>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</si>
  <si>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</si>
  <si>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</si>
  <si>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</si>
  <si>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</si>
  <si>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</si>
  <si>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</si>
  <si>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</si>
  <si>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</si>
  <si>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</si>
  <si>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</si>
  <si>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</si>
  <si>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</si>
  <si>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</si>
  <si>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</si>
  <si>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</si>
  <si>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</si>
  <si>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</si>
  <si>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</si>
  <si>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</si>
  <si>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</si>
  <si>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</si>
  <si>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</si>
  <si>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</si>
  <si>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</si>
  <si>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</si>
  <si>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</si>
  <si>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</si>
  <si>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</si>
  <si>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</si>
  <si>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</si>
  <si>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</si>
  <si>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</si>
  <si>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</si>
  <si>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</si>
  <si>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</si>
  <si>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</si>
  <si>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</si>
  <si>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</si>
  <si>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</si>
  <si>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</si>
  <si>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</si>
  <si>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</si>
  <si>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</si>
  <si>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</si>
  <si>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</si>
  <si>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</si>
  <si>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</si>
  <si>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</si>
  <si>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</si>
  <si>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</si>
  <si>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</si>
  <si>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</si>
  <si>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</si>
  <si>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</si>
  <si>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</si>
  <si>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</si>
  <si>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</si>
  <si>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</si>
  <si>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</si>
  <si>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</si>
  <si>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</si>
  <si>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</si>
  <si>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</si>
  <si>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</si>
  <si>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</si>
  <si>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</si>
  <si>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</si>
  <si>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</si>
  <si>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</si>
  <si>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</si>
  <si>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</si>
  <si>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</si>
  <si>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</si>
  <si>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</si>
  <si>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</si>
  <si>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</si>
  <si>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</si>
  <si>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</si>
  <si>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</si>
  <si>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</si>
  <si>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</si>
  <si>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</si>
  <si>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</si>
  <si>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</si>
  <si>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</si>
  <si>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</si>
  <si>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</si>
  <si>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</si>
  <si>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</si>
  <si>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</si>
  <si>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</si>
  <si>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</si>
  <si>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</si>
  <si>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</si>
  <si>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</si>
  <si>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</si>
  <si>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</si>
  <si>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</si>
  <si>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</si>
  <si>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</si>
  <si>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</si>
  <si>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</si>
  <si>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</si>
  <si>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</si>
  <si>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</si>
  <si>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</si>
  <si>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</si>
  <si>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</si>
  <si>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</si>
  <si>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</si>
  <si>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</si>
  <si>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</si>
  <si>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</si>
  <si>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</si>
  <si>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</si>
  <si>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</si>
  <si>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</si>
  <si>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</si>
  <si>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</si>
  <si>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</si>
  <si>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</si>
  <si>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</si>
  <si>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</si>
  <si>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</si>
  <si>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</si>
  <si>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</si>
  <si>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</si>
  <si>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</si>
  <si>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</si>
  <si>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</si>
  <si>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</si>
  <si>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</si>
  <si>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</si>
  <si>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</si>
  <si>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</si>
  <si>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</si>
  <si>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</si>
  <si>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</si>
  <si>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</si>
  <si>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</si>
  <si>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</si>
  <si>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</si>
  <si>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</si>
  <si>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</si>
  <si>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</si>
  <si>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</si>
  <si>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</si>
  <si>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</si>
  <si>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</si>
  <si>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</si>
  <si>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</si>
  <si>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</si>
  <si>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</si>
  <si>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</si>
  <si>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</si>
  <si>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</si>
  <si>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</si>
  <si>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</si>
  <si>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</si>
  <si>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</si>
  <si>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</si>
  <si>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</si>
  <si>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</si>
  <si>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</si>
  <si>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</si>
  <si>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</si>
  <si>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</si>
  <si>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</si>
  <si>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</si>
  <si>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</si>
  <si>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</si>
  <si>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</si>
  <si>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</si>
  <si>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</si>
  <si>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</si>
  <si>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</si>
  <si>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</si>
  <si>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</si>
  <si>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</si>
  <si>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</si>
  <si>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</si>
  <si>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</si>
  <si>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</si>
  <si>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</si>
  <si>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</si>
  <si>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</si>
  <si>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</si>
  <si>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</si>
  <si>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</si>
  <si>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</si>
  <si>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</si>
  <si>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</si>
  <si>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</si>
  <si>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</si>
  <si>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</si>
  <si>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</si>
  <si>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</si>
  <si>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</si>
  <si>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</si>
  <si>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</si>
  <si>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</si>
  <si>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</si>
  <si>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</si>
  <si>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</si>
  <si>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</si>
  <si>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</si>
  <si>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</si>
  <si>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</si>
  <si>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</si>
  <si>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</si>
  <si>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</si>
  <si>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</si>
  <si>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</si>
  <si>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</si>
  <si>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</si>
  <si>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</si>
  <si>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</si>
  <si>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</si>
  <si>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</si>
  <si>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</si>
  <si>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</si>
  <si>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</si>
  <si>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</si>
  <si>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</si>
  <si>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</si>
  <si>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</si>
  <si>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</si>
  <si>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</si>
  <si>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</si>
  <si>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</si>
  <si>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</si>
  <si>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</si>
  <si>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</si>
  <si>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</si>
  <si>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</si>
  <si>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</si>
  <si>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</si>
  <si>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</si>
  <si>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</si>
  <si>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</si>
  <si>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</si>
  <si>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</si>
  <si>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</si>
  <si>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</si>
  <si>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</si>
  <si>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</si>
  <si>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</si>
  <si>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</si>
  <si>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</si>
  <si>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</si>
  <si>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</si>
  <si>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</si>
  <si>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</si>
  <si>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</si>
  <si>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</si>
  <si>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</si>
  <si>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</si>
  <si>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</si>
  <si>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</si>
  <si>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</si>
  <si>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</si>
  <si>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</si>
  <si>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</si>
  <si>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</si>
  <si>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</si>
  <si>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</si>
  <si>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</si>
  <si>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</si>
  <si>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</si>
  <si>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</si>
  <si>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</si>
  <si>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</si>
  <si>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</si>
  <si>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</si>
  <si>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</si>
  <si>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</si>
  <si>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</si>
  <si>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</si>
  <si>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</si>
  <si>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</si>
  <si>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</si>
  <si>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</si>
  <si>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</si>
  <si>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</si>
  <si>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</si>
  <si>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</si>
  <si>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</si>
  <si>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</si>
  <si>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</si>
  <si>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</si>
  <si>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</si>
  <si>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</si>
  <si>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</si>
  <si>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</si>
  <si>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</si>
  <si>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</si>
  <si>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</si>
  <si>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</si>
  <si>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</si>
  <si>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</si>
  <si>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</si>
  <si>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</si>
  <si>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</si>
  <si>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</si>
  <si>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</si>
  <si>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</si>
  <si>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</si>
  <si>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</si>
  <si>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</si>
  <si>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</si>
  <si>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</si>
  <si>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</si>
  <si>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</si>
  <si>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</si>
  <si>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</si>
  <si>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</si>
  <si>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</si>
  <si>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</si>
  <si>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</si>
  <si>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</si>
  <si>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</si>
  <si>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</si>
  <si>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</si>
  <si>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</si>
  <si>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</si>
  <si>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</si>
  <si>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</si>
  <si>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</si>
  <si>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</si>
  <si>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</si>
  <si>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</si>
  <si>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</si>
  <si>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</si>
  <si>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</si>
  <si>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</si>
  <si>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</si>
  <si>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</si>
  <si>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</si>
  <si>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</si>
  <si>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</si>
  <si>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</si>
  <si>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</si>
  <si>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</si>
  <si>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</si>
  <si>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</si>
  <si>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</si>
  <si>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</si>
  <si>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</si>
  <si>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</si>
  <si>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</si>
  <si>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</si>
  <si>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</si>
  <si>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</si>
  <si>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</si>
  <si>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</si>
  <si>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</si>
  <si>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</si>
  <si>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</si>
  <si>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</si>
  <si>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</si>
  <si>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</si>
  <si>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</si>
  <si>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</si>
  <si>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</si>
  <si>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</si>
  <si>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</si>
  <si>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</si>
  <si>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</si>
  <si>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</si>
  <si>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</si>
  <si>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</si>
  <si>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</si>
  <si>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</si>
  <si>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</si>
  <si>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</si>
  <si>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</si>
  <si>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</si>
  <si>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</si>
  <si>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</si>
  <si>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</si>
  <si>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</si>
  <si>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</si>
  <si>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</si>
  <si>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</si>
  <si>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</si>
  <si>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</si>
  <si>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</si>
  <si>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</si>
  <si>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</si>
  <si>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</si>
  <si>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</si>
  <si>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</si>
  <si>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</si>
  <si>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</si>
  <si>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</si>
  <si>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</si>
  <si>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</si>
  <si>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</si>
  <si>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</si>
  <si>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</si>
  <si>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</si>
  <si>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</si>
  <si>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</si>
  <si>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</si>
  <si>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</si>
  <si>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</si>
  <si>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</si>
  <si>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</si>
  <si>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</si>
  <si>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</si>
  <si>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</si>
  <si>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</si>
  <si>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</si>
  <si>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</si>
  <si>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</si>
  <si>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</si>
  <si>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</si>
  <si>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</si>
  <si>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</si>
  <si>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</si>
  <si>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</si>
  <si>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</si>
  <si>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</si>
  <si>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</si>
  <si>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</si>
  <si>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</si>
  <si>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</si>
  <si>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</si>
  <si>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</si>
  <si>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</si>
  <si>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</si>
  <si>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</si>
  <si>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</si>
  <si>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</si>
  <si>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</si>
  <si>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</si>
  <si>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</si>
  <si>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</si>
  <si>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</si>
  <si>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</si>
  <si>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</si>
  <si>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</si>
  <si>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</si>
  <si>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</si>
  <si>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</si>
  <si>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</si>
  <si>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</si>
  <si>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</si>
  <si>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</si>
  <si>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</si>
  <si>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</si>
  <si>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</si>
  <si>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</si>
  <si>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</si>
  <si>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</si>
  <si>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</si>
  <si>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</si>
  <si>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</si>
  <si>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</si>
  <si>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</si>
  <si>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</si>
  <si>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</si>
  <si>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</si>
  <si>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</si>
  <si>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</si>
  <si>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</si>
  <si>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</si>
  <si>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</si>
  <si>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</si>
  <si>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</si>
  <si>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</si>
  <si>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</si>
  <si>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</si>
  <si>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</si>
  <si>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</si>
  <si>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</si>
  <si>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</si>
  <si>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</si>
  <si>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</si>
  <si>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</si>
  <si>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</si>
  <si>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</si>
  <si>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</si>
  <si>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</si>
  <si>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</si>
  <si>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</si>
  <si>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</si>
  <si>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</si>
  <si>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</si>
  <si>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</si>
  <si>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</si>
  <si>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</si>
  <si>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</si>
  <si>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</si>
  <si>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</si>
  <si>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</si>
  <si>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</si>
  <si>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</si>
  <si>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</si>
  <si>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</si>
  <si>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</si>
  <si>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</si>
  <si>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</si>
  <si>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</si>
  <si>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</si>
  <si>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</si>
  <si>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</si>
  <si>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</si>
  <si>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</si>
  <si>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</si>
  <si>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</si>
  <si>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</si>
  <si>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</si>
  <si>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</si>
  <si>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</si>
  <si>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</si>
  <si>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</si>
  <si>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</si>
  <si>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</si>
  <si>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</si>
  <si>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</si>
  <si>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</si>
  <si>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</si>
  <si>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</si>
  <si>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</si>
  <si>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</si>
  <si>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</si>
  <si>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</si>
  <si>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</si>
  <si>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</si>
  <si>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</si>
  <si>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</si>
  <si>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</si>
  <si>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</si>
  <si>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</si>
  <si>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</si>
  <si>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</si>
  <si>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</si>
  <si>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</si>
  <si>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</si>
  <si>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</si>
  <si>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</si>
  <si>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</si>
  <si>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</si>
  <si>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</si>
  <si>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</si>
  <si>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</si>
  <si>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</si>
  <si>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</si>
  <si>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</si>
  <si>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</si>
  <si>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</si>
  <si>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</si>
  <si>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</si>
  <si>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</si>
  <si>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</si>
  <si>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</si>
  <si>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</si>
  <si>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</si>
  <si>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</si>
  <si>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</si>
  <si>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</si>
  <si>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</si>
  <si>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</si>
  <si>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</si>
  <si>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</si>
  <si>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</si>
  <si>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</si>
  <si>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</si>
  <si>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</si>
  <si>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</si>
  <si>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</si>
  <si>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</si>
  <si>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</si>
  <si>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</si>
  <si>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</si>
  <si>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</si>
  <si>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</si>
  <si>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</si>
  <si>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</si>
  <si>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</si>
  <si>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</si>
  <si>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</si>
  <si>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</si>
  <si>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</si>
  <si>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</si>
  <si>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</si>
  <si>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</si>
  <si>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</si>
  <si>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</si>
  <si>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</si>
  <si>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</si>
  <si>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</si>
  <si>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</si>
  <si>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</si>
  <si>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</si>
  <si>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</si>
  <si>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</si>
  <si>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</si>
  <si>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</si>
  <si>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</si>
  <si>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</si>
  <si>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</si>
  <si>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</si>
  <si>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</si>
  <si>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</si>
  <si>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</si>
  <si>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</si>
  <si>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</si>
  <si>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</si>
  <si>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</si>
  <si>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</si>
  <si>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</si>
  <si>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</si>
  <si>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</si>
  <si>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</si>
  <si>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</si>
  <si>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</si>
  <si>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</si>
  <si>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</si>
  <si>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</si>
  <si>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</si>
  <si>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</si>
  <si>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</si>
  <si>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</si>
  <si>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</si>
  <si>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</si>
  <si>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</si>
  <si>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</si>
  <si>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</si>
  <si>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</si>
  <si>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</si>
  <si>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</si>
  <si>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</si>
  <si>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</si>
  <si>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</si>
  <si>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</si>
  <si>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</si>
  <si>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</si>
  <si>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</si>
  <si>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</si>
  <si>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</si>
  <si>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</si>
  <si>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</si>
  <si>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</si>
  <si>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</si>
  <si>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</si>
  <si>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</si>
  <si>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</si>
  <si>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</si>
  <si>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</si>
  <si>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</si>
  <si>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</si>
  <si>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</si>
  <si>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</si>
  <si>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</si>
  <si>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</si>
  <si>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</si>
  <si>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</si>
  <si>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</si>
  <si>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</si>
  <si>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</si>
  <si>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</si>
  <si>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</si>
  <si>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</si>
  <si>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</si>
  <si>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</si>
  <si>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</si>
  <si>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</si>
  <si>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</si>
  <si>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</si>
  <si>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</si>
  <si>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</si>
  <si>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</si>
  <si>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</si>
  <si>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</si>
  <si>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</si>
  <si>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</si>
  <si>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</si>
  <si>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</si>
  <si>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</si>
  <si>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</si>
  <si>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</si>
  <si>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</si>
  <si>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</si>
  <si>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</si>
  <si>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</si>
  <si>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</si>
  <si>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</si>
  <si>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</si>
  <si>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</si>
  <si>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</si>
  <si>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</si>
  <si>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</si>
  <si>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</si>
  <si>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</si>
  <si>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</si>
  <si>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</si>
  <si>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</si>
  <si>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</si>
  <si>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</si>
  <si>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</si>
  <si>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</si>
  <si>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</si>
  <si>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</si>
  <si>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</si>
  <si>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</si>
  <si>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</si>
  <si>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</si>
  <si>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</si>
  <si>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</si>
  <si>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</si>
  <si>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</si>
  <si>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</si>
  <si>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</si>
  <si>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</si>
  <si>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</si>
  <si>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</si>
  <si>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</si>
  <si>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</si>
  <si>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</si>
  <si>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</si>
  <si>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</si>
  <si>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</si>
  <si>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</si>
  <si>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</si>
  <si>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</si>
  <si>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</si>
  <si>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</si>
  <si>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</si>
  <si>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</si>
  <si>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</si>
  <si>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</si>
  <si>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</si>
  <si>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</si>
  <si>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</si>
  <si>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</si>
  <si>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</si>
  <si>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</si>
  <si>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</si>
  <si>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</si>
  <si>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</si>
  <si>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</si>
  <si>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</si>
  <si>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</si>
  <si>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</si>
  <si>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</si>
  <si>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</si>
  <si>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</si>
  <si>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</si>
  <si>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</si>
  <si>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</si>
  <si>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</si>
  <si>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</si>
  <si>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</si>
  <si>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</si>
  <si>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</si>
  <si>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</si>
  <si>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</si>
  <si>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</si>
  <si>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</si>
  <si>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</si>
  <si>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</si>
  <si>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</si>
  <si>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</si>
  <si>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</si>
  <si>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</si>
  <si>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</si>
  <si>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</si>
  <si>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</si>
  <si>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</si>
  <si>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</si>
  <si>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</si>
  <si>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</si>
  <si>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</si>
  <si>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</si>
  <si>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</si>
  <si>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</si>
  <si>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</si>
  <si>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</si>
  <si>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</si>
  <si>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</si>
  <si>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</si>
  <si>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</si>
  <si>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</si>
  <si>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</si>
  <si>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</si>
  <si>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</si>
  <si>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</si>
  <si>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</si>
  <si>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</si>
  <si>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</si>
  <si>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</si>
  <si>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</si>
  <si>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</si>
  <si>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</si>
  <si>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</si>
  <si>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</si>
  <si>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</si>
  <si>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</si>
  <si>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</si>
  <si>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</si>
  <si>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</si>
  <si>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</si>
  <si>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</si>
  <si>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</si>
  <si>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</si>
  <si>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</si>
  <si>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</si>
  <si>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</si>
  <si>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</si>
  <si>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</si>
  <si>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</si>
  <si>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</si>
  <si>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</si>
  <si>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</si>
  <si>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</si>
  <si>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</si>
  <si>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</si>
  <si>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</si>
  <si>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</si>
  <si>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</si>
  <si>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</si>
  <si>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</si>
  <si>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</si>
  <si>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</si>
  <si>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</si>
  <si>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</si>
  <si>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</si>
  <si>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</si>
  <si>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</si>
  <si>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</si>
  <si>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</si>
  <si>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Updated metadata to new form (with sites sheet). CH April 2013. </t>
  </si>
  <si>
    <t>HH24:Mi:SS</t>
  </si>
  <si>
    <t>knb-lter-arc.10152.4</t>
  </si>
  <si>
    <t>Version 4:  Corrected the extension of the eml Excel file - it was saved as .xls instead of .xlsx JimL 17May13</t>
  </si>
  <si>
    <t>2012_GS_ITEX_CH_SoilData.04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</si>
</sst>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d/mmm/yy;@"/>
    <numFmt numFmtId="165" formatCode="[$-409]d\-mmm\-yy;@"/>
    <numFmt numFmtId="166" formatCode="0.0"/>
    <numFmt numFmtId="167" formatCode="h:mm:ss;@"/>
    <numFmt numFmtId="168" formatCode="dd\-mmm\-yyyy"/>
    <numFmt numFmtId="169" formatCode="0.00000"/>
  </numFmts>
  <fonts count="51"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b/>
      <sz val="9"/>
      <color indexed="81"/>
      <name val="Tahoma"/>
      <family val="2"/>
    </font>
    <font>
      <sz val="9"/>
      <color indexed="81"/>
      <name val="Tahom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0"/>
      <name val="Calibri"/>
      <family val="2"/>
    </font>
    <font>
      <sz val="10"/>
      <name val="Calibri"/>
      <family val="2"/>
    </font>
    <font>
      <sz val="11"/>
      <color indexed="8"/>
      <name val="Calibri"/>
      <family val="2"/>
    </font>
    <font>
      <sz val="11"/>
      <color theme="1"/>
      <name val="Calibri"/>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0"/>
      <color indexed="10"/>
      <name val="Arial"/>
      <family val="2"/>
    </font>
    <font>
      <b/>
      <sz val="8"/>
      <color indexed="39"/>
      <name val="Tahoma"/>
      <family val="2"/>
    </font>
    <font>
      <b/>
      <sz val="8"/>
      <color indexed="12"/>
      <name val="Arial"/>
      <family val="2"/>
    </font>
    <font>
      <b/>
      <sz val="8"/>
      <color indexed="1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41"/>
        <bgColor indexed="64"/>
      </patternFill>
    </fill>
    <fill>
      <patternFill patternType="solid">
        <fgColor indexed="22"/>
        <bgColor indexed="64"/>
      </patternFill>
    </fill>
    <fill>
      <patternFill patternType="solid">
        <fgColor rgb="FFCCFFFF"/>
        <bgColor indexed="64"/>
      </patternFill>
    </fill>
    <fill>
      <patternFill patternType="solid">
        <fgColor rgb="FF00FFFF"/>
        <bgColor indexed="64"/>
      </patternFill>
    </fill>
  </fills>
  <borders count="20">
    <border>
      <left/>
      <right/>
      <top/>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5" applyNumberFormat="0" applyAlignment="0" applyProtection="0"/>
    <xf numFmtId="0" fontId="17" fillId="6" borderId="6" applyNumberFormat="0" applyAlignment="0" applyProtection="0"/>
    <xf numFmtId="0" fontId="18" fillId="6" borderId="5" applyNumberFormat="0" applyAlignment="0" applyProtection="0"/>
    <xf numFmtId="0" fontId="19" fillId="0" borderId="7" applyNumberFormat="0" applyFill="0" applyAlignment="0" applyProtection="0"/>
    <xf numFmtId="0" fontId="20" fillId="7" borderId="8"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4" fillId="32" borderId="0" applyNumberFormat="0" applyBorder="0" applyAlignment="0" applyProtection="0"/>
    <xf numFmtId="0" fontId="5" fillId="0" borderId="0"/>
    <xf numFmtId="0" fontId="5" fillId="8" borderId="9" applyNumberFormat="0" applyFont="0" applyAlignment="0" applyProtection="0"/>
    <xf numFmtId="0" fontId="25" fillId="0" borderId="0"/>
    <xf numFmtId="0" fontId="25" fillId="0" borderId="0"/>
    <xf numFmtId="0" fontId="28" fillId="0" borderId="0"/>
    <xf numFmtId="0" fontId="4" fillId="0" borderId="0"/>
    <xf numFmtId="0" fontId="3" fillId="0" borderId="0"/>
    <xf numFmtId="0" fontId="2" fillId="0" borderId="0"/>
    <xf numFmtId="0" fontId="27" fillId="0" borderId="0"/>
    <xf numFmtId="0" fontId="1" fillId="0" borderId="0"/>
    <xf numFmtId="0" fontId="34" fillId="0" borderId="0" applyNumberFormat="0" applyFill="0" applyBorder="0" applyAlignment="0" applyProtection="0">
      <alignment vertical="top"/>
      <protection locked="0"/>
    </xf>
  </cellStyleXfs>
  <cellXfs count="113">
    <xf numFmtId="0" fontId="0" fillId="0" borderId="0" xfId="0"/>
    <xf numFmtId="0" fontId="0" fillId="0" borderId="0" xfId="0" applyFill="1" applyBorder="1"/>
    <xf numFmtId="2" fontId="0" fillId="0" borderId="0" xfId="0" applyNumberFormat="1" applyFill="1" applyBorder="1"/>
    <xf numFmtId="165" fontId="0" fillId="0" borderId="0" xfId="0" applyNumberFormat="1" applyFill="1" applyBorder="1"/>
    <xf numFmtId="166" fontId="0" fillId="0" borderId="0" xfId="0" applyNumberFormat="1" applyFill="1" applyBorder="1"/>
    <xf numFmtId="164" fontId="0" fillId="0" borderId="0" xfId="0" applyNumberFormat="1" applyFill="1" applyBorder="1"/>
    <xf numFmtId="2" fontId="28" fillId="0" borderId="0" xfId="45" applyNumberFormat="1" applyFill="1" applyBorder="1"/>
    <xf numFmtId="165" fontId="0" fillId="0" borderId="0" xfId="0" applyNumberFormat="1" applyFont="1" applyFill="1" applyBorder="1"/>
    <xf numFmtId="0" fontId="6" fillId="0" borderId="0" xfId="45" applyFont="1" applyFill="1" applyBorder="1" applyAlignment="1">
      <alignment horizontal="center" wrapText="1"/>
    </xf>
    <xf numFmtId="2" fontId="0" fillId="0" borderId="0" xfId="0" applyNumberFormat="1" applyFill="1" applyBorder="1" applyAlignment="1">
      <alignment horizontal="center"/>
    </xf>
    <xf numFmtId="166" fontId="28" fillId="0" borderId="0" xfId="45" applyNumberFormat="1" applyFill="1" applyBorder="1"/>
    <xf numFmtId="165" fontId="6" fillId="0" borderId="0" xfId="45" applyNumberFormat="1" applyFont="1" applyFill="1" applyBorder="1" applyAlignment="1">
      <alignment horizontal="center" wrapText="1"/>
    </xf>
    <xf numFmtId="0" fontId="30" fillId="0" borderId="0" xfId="43" applyFont="1" applyAlignment="1" applyProtection="1">
      <alignment vertical="top"/>
    </xf>
    <xf numFmtId="0" fontId="25" fillId="0" borderId="0" xfId="43" applyFont="1" applyAlignment="1" applyProtection="1">
      <alignment horizontal="left" wrapText="1"/>
      <protection locked="0"/>
    </xf>
    <xf numFmtId="0" fontId="31" fillId="0" borderId="0" xfId="43" applyFont="1" applyProtection="1">
      <protection locked="0"/>
    </xf>
    <xf numFmtId="0" fontId="32" fillId="0" borderId="0" xfId="43" applyFont="1" applyProtection="1">
      <protection locked="0"/>
    </xf>
    <xf numFmtId="0" fontId="25" fillId="0" borderId="0" xfId="43" applyFont="1"/>
    <xf numFmtId="0" fontId="33" fillId="0" borderId="12" xfId="43" applyFont="1" applyFill="1" applyBorder="1" applyAlignment="1" applyProtection="1"/>
    <xf numFmtId="0" fontId="33" fillId="0" borderId="12" xfId="43" applyFont="1" applyFill="1" applyBorder="1" applyAlignment="1" applyProtection="1">
      <alignment horizontal="left"/>
    </xf>
    <xf numFmtId="0" fontId="25" fillId="0" borderId="0" xfId="43" applyFont="1" applyProtection="1">
      <protection locked="0"/>
    </xf>
    <xf numFmtId="0" fontId="33" fillId="0" borderId="13" xfId="43" applyFont="1" applyBorder="1" applyAlignment="1" applyProtection="1"/>
    <xf numFmtId="0" fontId="32" fillId="34" borderId="12" xfId="43" applyFont="1" applyFill="1" applyBorder="1" applyAlignment="1" applyProtection="1">
      <alignment vertical="top"/>
    </xf>
    <xf numFmtId="0" fontId="25" fillId="0" borderId="0" xfId="43" applyFont="1" applyFill="1" applyBorder="1"/>
    <xf numFmtId="0" fontId="25" fillId="0" borderId="0" xfId="43" applyFont="1" applyAlignment="1" applyProtection="1">
      <alignment vertical="top"/>
    </xf>
    <xf numFmtId="0" fontId="25" fillId="0" borderId="0" xfId="43" applyFont="1" applyAlignment="1" applyProtection="1">
      <protection locked="0"/>
    </xf>
    <xf numFmtId="0" fontId="25" fillId="0" borderId="0" xfId="43" applyNumberFormat="1" applyFont="1" applyAlignment="1" applyProtection="1">
      <alignment horizontal="left"/>
      <protection locked="0"/>
    </xf>
    <xf numFmtId="0" fontId="35" fillId="0" borderId="0" xfId="43" applyFont="1" applyAlignment="1" applyProtection="1">
      <protection locked="0"/>
    </xf>
    <xf numFmtId="0" fontId="25" fillId="36" borderId="12" xfId="43" applyFont="1" applyFill="1" applyBorder="1" applyAlignment="1" applyProtection="1">
      <alignment horizontal="left" wrapText="1"/>
      <protection locked="0"/>
    </xf>
    <xf numFmtId="0" fontId="25" fillId="0" borderId="0" xfId="43" applyFont="1" applyAlignment="1" applyProtection="1">
      <alignment vertical="top" wrapText="1"/>
    </xf>
    <xf numFmtId="0" fontId="36" fillId="34" borderId="12" xfId="43" applyFont="1" applyFill="1" applyBorder="1" applyAlignment="1" applyProtection="1">
      <alignment vertical="top" wrapText="1"/>
    </xf>
    <xf numFmtId="0" fontId="32" fillId="34" borderId="12" xfId="43" applyFont="1" applyFill="1" applyBorder="1" applyAlignment="1" applyProtection="1">
      <alignment horizontal="left" wrapText="1"/>
    </xf>
    <xf numFmtId="49" fontId="32" fillId="33" borderId="0" xfId="43" applyNumberFormat="1" applyFont="1" applyFill="1" applyBorder="1" applyAlignment="1" applyProtection="1">
      <alignment horizontal="right" vertical="top"/>
    </xf>
    <xf numFmtId="49" fontId="25" fillId="37" borderId="12" xfId="43" applyNumberFormat="1" applyFont="1" applyFill="1" applyBorder="1" applyAlignment="1" applyProtection="1">
      <alignment horizontal="left" wrapText="1"/>
      <protection locked="0"/>
    </xf>
    <xf numFmtId="49" fontId="25" fillId="0" borderId="0" xfId="43" applyNumberFormat="1" applyFont="1"/>
    <xf numFmtId="0" fontId="25" fillId="0" borderId="0" xfId="43" applyFont="1" applyFill="1" applyBorder="1" applyAlignment="1" applyProtection="1">
      <alignment horizontal="right" vertical="top"/>
    </xf>
    <xf numFmtId="0" fontId="25" fillId="0" borderId="0" xfId="43" applyFont="1" applyFill="1" applyAlignment="1" applyProtection="1">
      <alignment horizontal="left" wrapText="1"/>
      <protection locked="0"/>
    </xf>
    <xf numFmtId="0" fontId="25" fillId="0" borderId="0" xfId="43" applyFont="1" applyFill="1" applyProtection="1">
      <protection locked="0"/>
    </xf>
    <xf numFmtId="0" fontId="25" fillId="0" borderId="0" xfId="43" applyFont="1" applyFill="1" applyAlignment="1" applyProtection="1">
      <alignment horizontal="right" vertical="top" wrapText="1"/>
    </xf>
    <xf numFmtId="0" fontId="32" fillId="34" borderId="12" xfId="43" applyNumberFormat="1" applyFont="1" applyFill="1" applyBorder="1" applyAlignment="1" applyProtection="1">
      <alignment vertical="top" wrapText="1"/>
    </xf>
    <xf numFmtId="0" fontId="25" fillId="0" borderId="0" xfId="43" applyFont="1" applyBorder="1" applyAlignment="1" applyProtection="1">
      <alignment horizontal="left" wrapText="1"/>
      <protection locked="0"/>
    </xf>
    <xf numFmtId="0" fontId="33" fillId="0" borderId="12" xfId="43" applyFont="1" applyFill="1" applyBorder="1" applyAlignment="1" applyProtection="1">
      <alignment horizontal="right"/>
    </xf>
    <xf numFmtId="0" fontId="33" fillId="0" borderId="13" xfId="43" applyFont="1" applyBorder="1" applyAlignment="1"/>
    <xf numFmtId="0" fontId="32" fillId="38" borderId="0" xfId="43" applyNumberFormat="1" applyFont="1" applyFill="1" applyAlignment="1" applyProtection="1">
      <alignment horizontal="right" vertical="top" wrapText="1"/>
    </xf>
    <xf numFmtId="0" fontId="32" fillId="38" borderId="0" xfId="43" applyFont="1" applyFill="1" applyAlignment="1" applyProtection="1">
      <alignment horizontal="right" vertical="top" wrapText="1"/>
    </xf>
    <xf numFmtId="0" fontId="32" fillId="38" borderId="0" xfId="43" applyFont="1" applyFill="1" applyAlignment="1" applyProtection="1">
      <alignment horizontal="right" vertical="top"/>
    </xf>
    <xf numFmtId="0" fontId="32" fillId="38" borderId="0" xfId="43" applyFont="1" applyFill="1" applyBorder="1" applyAlignment="1" applyProtection="1">
      <alignment horizontal="right" vertical="top"/>
    </xf>
    <xf numFmtId="0" fontId="32" fillId="34" borderId="14" xfId="43" applyFont="1" applyFill="1" applyBorder="1" applyAlignment="1" applyProtection="1">
      <alignment horizontal="left" vertical="top"/>
    </xf>
    <xf numFmtId="0" fontId="32" fillId="38" borderId="0" xfId="43" applyFont="1" applyFill="1" applyBorder="1" applyAlignment="1" applyProtection="1">
      <alignment horizontal="left" vertical="top"/>
    </xf>
    <xf numFmtId="0" fontId="32" fillId="34" borderId="12" xfId="43" applyFont="1" applyFill="1" applyBorder="1" applyAlignment="1" applyProtection="1">
      <alignment horizontal="left" vertical="top"/>
    </xf>
    <xf numFmtId="0" fontId="25" fillId="0" borderId="12" xfId="43" applyFont="1" applyBorder="1" applyAlignment="1" applyProtection="1">
      <alignment horizontal="left" wrapText="1"/>
      <protection locked="0"/>
    </xf>
    <xf numFmtId="0" fontId="32" fillId="0" borderId="0" xfId="43" applyFont="1" applyFill="1" applyBorder="1" applyAlignment="1" applyProtection="1">
      <alignment horizontal="right" vertical="top"/>
    </xf>
    <xf numFmtId="0" fontId="25" fillId="0" borderId="0" xfId="43" applyFont="1" applyFill="1" applyBorder="1" applyAlignment="1" applyProtection="1">
      <alignment horizontal="left" wrapText="1"/>
      <protection locked="0"/>
    </xf>
    <xf numFmtId="0" fontId="32" fillId="34" borderId="12" xfId="43" applyFont="1" applyFill="1" applyBorder="1" applyAlignment="1" applyProtection="1">
      <alignment wrapText="1"/>
    </xf>
    <xf numFmtId="0" fontId="32" fillId="38" borderId="0" xfId="43" applyFont="1" applyFill="1" applyBorder="1" applyAlignment="1" applyProtection="1">
      <alignment horizontal="right" wrapText="1"/>
    </xf>
    <xf numFmtId="0" fontId="32" fillId="38" borderId="1" xfId="43" applyFont="1" applyFill="1" applyBorder="1" applyAlignment="1" applyProtection="1">
      <alignment horizontal="right" wrapText="1"/>
    </xf>
    <xf numFmtId="0" fontId="32" fillId="34" borderId="12" xfId="43" applyFont="1" applyFill="1" applyBorder="1" applyAlignment="1" applyProtection="1">
      <alignment vertical="top" wrapText="1"/>
    </xf>
    <xf numFmtId="0" fontId="35" fillId="0" borderId="0" xfId="43" applyFont="1"/>
    <xf numFmtId="0" fontId="25" fillId="0" borderId="0" xfId="43" applyFont="1" applyAlignment="1" applyProtection="1"/>
    <xf numFmtId="0" fontId="25" fillId="0" borderId="0" xfId="43" applyNumberFormat="1" applyFont="1" applyAlignment="1" applyProtection="1">
      <protection locked="0"/>
    </xf>
    <xf numFmtId="0" fontId="25" fillId="0" borderId="0" xfId="43" applyFont="1" applyFill="1" applyAlignment="1" applyProtection="1">
      <alignment vertical="center"/>
      <protection locked="0"/>
    </xf>
    <xf numFmtId="0" fontId="25" fillId="0" borderId="0" xfId="43" applyFont="1" applyAlignment="1" applyProtection="1">
      <alignment vertical="center"/>
      <protection locked="0"/>
    </xf>
    <xf numFmtId="0" fontId="32" fillId="34" borderId="16" xfId="43" applyFont="1" applyFill="1" applyBorder="1" applyAlignment="1" applyProtection="1">
      <alignment horizontal="left"/>
    </xf>
    <xf numFmtId="0" fontId="25" fillId="34" borderId="17" xfId="43" applyNumberFormat="1" applyFont="1" applyFill="1" applyBorder="1" applyAlignment="1" applyProtection="1">
      <alignment horizontal="left"/>
    </xf>
    <xf numFmtId="0" fontId="32" fillId="34" borderId="18" xfId="43" applyFont="1" applyFill="1" applyBorder="1" applyAlignment="1" applyProtection="1">
      <alignment horizontal="right" wrapText="1"/>
    </xf>
    <xf numFmtId="0" fontId="25" fillId="35" borderId="1" xfId="43" applyFont="1" applyFill="1" applyBorder="1" applyAlignment="1" applyProtection="1">
      <alignment horizontal="left"/>
      <protection locked="0"/>
    </xf>
    <xf numFmtId="0" fontId="25" fillId="37" borderId="13" xfId="43" applyFont="1" applyFill="1" applyBorder="1" applyAlignment="1" applyProtection="1">
      <protection locked="0"/>
    </xf>
    <xf numFmtId="0" fontId="32" fillId="34" borderId="1" xfId="43" applyFont="1" applyFill="1" applyBorder="1" applyAlignment="1" applyProtection="1">
      <alignment horizontal="right"/>
    </xf>
    <xf numFmtId="0" fontId="25" fillId="35" borderId="18" xfId="43" applyFont="1" applyFill="1" applyBorder="1" applyAlignment="1" applyProtection="1">
      <alignment horizontal="left"/>
      <protection locked="0"/>
    </xf>
    <xf numFmtId="0" fontId="25" fillId="37" borderId="19" xfId="43" applyFont="1" applyFill="1" applyBorder="1" applyAlignment="1" applyProtection="1">
      <protection locked="0"/>
    </xf>
    <xf numFmtId="0" fontId="32" fillId="0" borderId="0" xfId="43" applyFont="1" applyAlignment="1" applyProtection="1">
      <alignment horizontal="center" vertical="top"/>
    </xf>
    <xf numFmtId="0" fontId="32" fillId="34" borderId="12" xfId="43" applyFont="1" applyFill="1" applyBorder="1" applyAlignment="1" applyProtection="1">
      <alignment horizontal="right" vertical="top"/>
    </xf>
    <xf numFmtId="0" fontId="38" fillId="0" borderId="0" xfId="43" applyFont="1"/>
    <xf numFmtId="0" fontId="32" fillId="38" borderId="12" xfId="43" applyFont="1" applyFill="1" applyBorder="1" applyAlignment="1" applyProtection="1">
      <alignment vertical="center" wrapText="1"/>
    </xf>
    <xf numFmtId="0" fontId="32" fillId="38" borderId="12" xfId="43" applyFont="1" applyFill="1" applyBorder="1" applyAlignment="1" applyProtection="1">
      <alignment horizontal="left" vertical="center" wrapText="1"/>
    </xf>
    <xf numFmtId="0" fontId="32" fillId="0" borderId="0" xfId="43" applyFont="1" applyFill="1" applyBorder="1" applyAlignment="1" applyProtection="1">
      <alignment vertical="center" wrapText="1"/>
    </xf>
    <xf numFmtId="0" fontId="39" fillId="0" borderId="0" xfId="43" applyFont="1"/>
    <xf numFmtId="0" fontId="25" fillId="0" borderId="0" xfId="43" applyFont="1" applyAlignment="1" applyProtection="1">
      <alignment vertical="top" wrapText="1"/>
      <protection locked="0"/>
    </xf>
    <xf numFmtId="0" fontId="25" fillId="0" borderId="0" xfId="43" applyFont="1" applyAlignment="1" applyProtection="1">
      <alignment wrapText="1"/>
      <protection locked="0"/>
    </xf>
    <xf numFmtId="0" fontId="25" fillId="0" borderId="0" xfId="43" applyFont="1" applyAlignment="1">
      <alignment vertical="center" wrapText="1"/>
    </xf>
    <xf numFmtId="0" fontId="25" fillId="0" borderId="0" xfId="43" applyFont="1" applyAlignment="1">
      <alignment vertical="top"/>
    </xf>
    <xf numFmtId="0" fontId="26" fillId="0" borderId="0" xfId="49" applyFont="1" applyFill="1" applyBorder="1" applyAlignment="1">
      <alignment wrapText="1"/>
    </xf>
    <xf numFmtId="0" fontId="26" fillId="0" borderId="0" xfId="49" applyFont="1" applyFill="1" applyBorder="1" applyAlignment="1">
      <alignment horizontal="left" wrapText="1"/>
    </xf>
    <xf numFmtId="0" fontId="26" fillId="0" borderId="0" xfId="49" applyFont="1" applyFill="1" applyBorder="1" applyAlignment="1">
      <alignment horizontal="center" vertical="center" wrapText="1"/>
    </xf>
    <xf numFmtId="167" fontId="26" fillId="0" borderId="0" xfId="49" applyNumberFormat="1" applyFont="1" applyFill="1" applyBorder="1" applyAlignment="1">
      <alignment horizontal="center" vertical="center" wrapText="1"/>
    </xf>
    <xf numFmtId="0" fontId="26" fillId="0" borderId="0" xfId="49" applyNumberFormat="1" applyFont="1" applyFill="1" applyBorder="1" applyAlignment="1">
      <alignment wrapText="1"/>
    </xf>
    <xf numFmtId="0" fontId="26" fillId="0" borderId="0" xfId="49" applyFont="1" applyFill="1" applyBorder="1" applyAlignment="1">
      <alignment horizontal="left" vertical="center" wrapText="1"/>
    </xf>
    <xf numFmtId="0" fontId="29" fillId="0" borderId="0" xfId="0" applyFont="1" applyFill="1" applyBorder="1"/>
    <xf numFmtId="0" fontId="34" fillId="0" borderId="1" xfId="51" applyFill="1" applyBorder="1" applyAlignment="1" applyProtection="1">
      <alignment horizontal="left"/>
    </xf>
    <xf numFmtId="0" fontId="32" fillId="0" borderId="0" xfId="43" applyFont="1" applyFill="1" applyBorder="1" applyAlignment="1" applyProtection="1">
      <alignment horizontal="left" wrapText="1"/>
      <protection locked="0"/>
    </xf>
    <xf numFmtId="0" fontId="25" fillId="0" borderId="0" xfId="43" applyFont="1" applyFill="1" applyBorder="1" applyAlignment="1"/>
    <xf numFmtId="0" fontId="47" fillId="0" borderId="0" xfId="43" applyFont="1"/>
    <xf numFmtId="0" fontId="25" fillId="0" borderId="0" xfId="43" applyFont="1" applyAlignment="1" applyProtection="1">
      <alignment horizontal="left"/>
      <protection locked="0"/>
    </xf>
    <xf numFmtId="0" fontId="32" fillId="38" borderId="0" xfId="43" applyFont="1" applyFill="1" applyBorder="1" applyAlignment="1" applyProtection="1">
      <alignment horizontal="right" vertical="top" wrapText="1"/>
    </xf>
    <xf numFmtId="0" fontId="25" fillId="40" borderId="12" xfId="43" applyFont="1" applyFill="1" applyBorder="1" applyAlignment="1" applyProtection="1">
      <alignment horizontal="center" wrapText="1"/>
      <protection locked="0"/>
    </xf>
    <xf numFmtId="0" fontId="25" fillId="0" borderId="0" xfId="43" applyFont="1" applyAlignment="1" applyProtection="1">
      <alignment horizontal="right" vertical="top"/>
    </xf>
    <xf numFmtId="0" fontId="25" fillId="0" borderId="0" xfId="43"/>
    <xf numFmtId="0" fontId="49" fillId="0" borderId="0" xfId="43" applyFont="1" applyAlignment="1">
      <alignment horizontal="center" wrapText="1"/>
    </xf>
    <xf numFmtId="0" fontId="49" fillId="0" borderId="0" xfId="43" applyFont="1" applyAlignment="1">
      <alignment wrapText="1"/>
    </xf>
    <xf numFmtId="169" fontId="49" fillId="0" borderId="0" xfId="43" applyNumberFormat="1" applyFont="1" applyAlignment="1">
      <alignment wrapText="1"/>
    </xf>
    <xf numFmtId="1" fontId="49" fillId="0" borderId="0" xfId="43" applyNumberFormat="1" applyFont="1" applyAlignment="1">
      <alignment wrapText="1"/>
    </xf>
    <xf numFmtId="0" fontId="50" fillId="0" borderId="0" xfId="43" applyFont="1" applyAlignment="1">
      <alignment horizontal="center" wrapText="1"/>
    </xf>
    <xf numFmtId="0" fontId="34" fillId="0" borderId="0" xfId="51" applyAlignment="1" applyProtection="1"/>
    <xf numFmtId="0" fontId="25" fillId="0" borderId="0" xfId="43" applyAlignment="1"/>
    <xf numFmtId="1" fontId="25" fillId="0" borderId="0" xfId="43" applyNumberFormat="1"/>
    <xf numFmtId="0" fontId="25" fillId="36" borderId="12" xfId="43" applyFont="1" applyFill="1" applyBorder="1" applyAlignment="1" applyProtection="1">
      <alignment horizontal="left" vertical="top" wrapText="1"/>
      <protection locked="0"/>
    </xf>
    <xf numFmtId="0" fontId="25" fillId="36" borderId="11" xfId="43" applyFont="1" applyFill="1" applyBorder="1" applyAlignment="1" applyProtection="1">
      <alignment horizontal="left" wrapText="1"/>
      <protection locked="0"/>
    </xf>
    <xf numFmtId="0" fontId="25" fillId="36" borderId="15" xfId="43" applyFont="1" applyFill="1" applyBorder="1" applyAlignment="1" applyProtection="1">
      <alignment horizontal="left" wrapText="1"/>
      <protection locked="0"/>
    </xf>
    <xf numFmtId="0" fontId="34" fillId="36" borderId="12" xfId="51" applyFill="1" applyBorder="1" applyAlignment="1" applyProtection="1">
      <alignment horizontal="left" vertical="top" wrapText="1"/>
    </xf>
    <xf numFmtId="168" fontId="25" fillId="36" borderId="12" xfId="43" applyNumberFormat="1" applyFont="1" applyFill="1" applyBorder="1" applyAlignment="1" applyProtection="1">
      <alignment horizontal="left" wrapText="1"/>
      <protection locked="0"/>
    </xf>
    <xf numFmtId="0" fontId="25" fillId="36" borderId="1" xfId="43" applyFont="1" applyFill="1" applyBorder="1" applyAlignment="1" applyProtection="1">
      <alignment horizontal="left" wrapText="1"/>
      <protection locked="0"/>
    </xf>
    <xf numFmtId="0" fontId="25" fillId="39" borderId="13" xfId="43" applyFont="1" applyFill="1" applyBorder="1" applyAlignment="1"/>
    <xf numFmtId="0" fontId="32" fillId="0" borderId="0" xfId="43" applyFont="1" applyFill="1" applyBorder="1" applyAlignment="1" applyProtection="1">
      <alignment horizontal="left" wrapText="1"/>
      <protection locked="0"/>
    </xf>
    <xf numFmtId="0" fontId="25" fillId="0" borderId="0" xfId="43" applyFont="1" applyFill="1" applyBorder="1" applyAlignment="1"/>
  </cellXfs>
  <cellStyles count="52">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1" builtinId="8"/>
    <cellStyle name="Input" xfId="9" builtinId="20" customBuiltin="1"/>
    <cellStyle name="Linked Cell" xfId="12" builtinId="24" customBuiltin="1"/>
    <cellStyle name="Neutral" xfId="8" builtinId="28" customBuiltin="1"/>
    <cellStyle name="Normal" xfId="0" builtinId="0"/>
    <cellStyle name="Normal 2" xfId="43"/>
    <cellStyle name="Normal 2 2" xfId="44"/>
    <cellStyle name="Normal 3" xfId="41"/>
    <cellStyle name="Normal 4" xfId="45"/>
    <cellStyle name="Normal 5" xfId="46"/>
    <cellStyle name="Normal 5 2" xfId="50"/>
    <cellStyle name="Normal 6" xfId="47"/>
    <cellStyle name="Normal 7" xfId="48"/>
    <cellStyle name="Normal_soil temp, VWC, thaw depth formatted for webfile" xfId="49"/>
    <cellStyle name="Note 2" xfId="42"/>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FF"/>
      <color rgb="FF0066FF"/>
      <color rgb="FFFF2D2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Soil temperature at 5cm and 10cm depth [°C], volumetric water content (VWC) [%] and depth of thaw [cm] for 14 shrub canopy flux plots measured  in vicinity of the Toolik Field Station, AK in 2012. </a:t>
          </a:r>
        </a:p>
      </xdr:txBody>
    </xdr:sp>
    <xdr:clientData fLocksWithSheet="0"/>
  </xdr:twoCellAnchor>
  <xdr:twoCellAnchor>
    <xdr:from>
      <xdr:col>1</xdr:col>
      <xdr:colOff>30480</xdr:colOff>
      <xdr:row>65</xdr:row>
      <xdr:rowOff>17145</xdr:rowOff>
    </xdr:from>
    <xdr:to>
      <xdr:col>6</xdr:col>
      <xdr:colOff>817247</xdr:colOff>
      <xdr:row>130</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CHAMBER FLUX MEASUREMENTS
CO2 and H2O fluxes were measured using a Licor 6400 photosynthesis system (Li-Cor Inc., Lincoln, Nebraska, USA) connected to a 1m x 1m plexiglass chamber in canopies dominated either by Salix pulchra or Betula nana shrub species.  The height of the chamber varied depending on the height of the canopy being measured; chamber bases were constructed of PVC pipe to accomodate canopies with heights up to 125 cm.  In addition to the plexiglass chamber, we also constructed a plexiglass "sleeve" that could extend the height of the rigid portion of the chamber by 0.25m.
To set up each chamber, a location was chosen where the base would be level enough to ensure a complete seal with the plexiglass chamber and shrub branches could be moved either in or out of the chamber without creating large gaps in the canopy inside the chamber. Branches were included within the chamber if they were rooted within the chamber and excluded otherwise.  Once the base was in place, we drove hollow PVC pipe legs into the permafrost and inserted an aluminum frame with foam campermount tape along the top edge for the plexiglass chamber and/or sleeve to rest upon, creating an airtight seal.  The aluminum frame had taped to it semi-transparent, plastic skirt  which extended to the ground (+30cm).  We sealed the skirt to the tundra by weighting the skirt with heavy chains, pushing them firmly into the moss layer where possible and adding additional plastic materials as needed to ensure a good seal. We screwed the LiCor custom chamber head attachment over the holes drilled into the plexiglass chamber, again sealing with a rubber gasket. The air in the chamber was mixed using 4-8 small fans (depending on chamber height) powered by a 12v battery.
At each plot we took measurements to create two light curves: one under direct light and one under diffuse light conditions. In order to determine the fraction of diffuse light, we used a DeltaT Beam Fraction Sensor (BF3, Delta-T Devices Ltd, Burwell Cambridge, UK) which quantifies the total irradianc and total diffuse light from which the diffuse light fraction (diffuse light/total light) can be calculated. For each day of flux measurements, the BF3 logged an instantaneous reading every 30-60 seconds set up on a leveled tripod at approximately 2 m above the ground. For the purpose of correlating the diffuse light fraction with each flux measurement, the LiCor 6400 and BF3 sensor were synchronized to read the same time (+/- 1 sec) at the start of each day.
Different light levels for both diffuse and direct light curves were achieved by taking measurements under a variety of conditions: ambient light (no manipulation), successive shading levels (covering the chamber with 1-5 fine mesh net cloths), and intercepting direct light with photographic diffuser panels, as well as reflecting light into the chamber to increase the amount of diffuse light with white photographic panels. When the diffuser panels were used, they were carefully positioned to intercept all direct light that would otherwise enter the chamber. Whenwhite reflector panels were used, they were positioned on the side of the chamber opposite the sun and angled towards the chamber so as to increase the amount of diffuse light entering the chamber (these were used in conjuction with the diffuser panels). For these 'artificial' diffuse light measurements, we did not diffuse the BF3 sensor, thus the diffuse fraction calculations during these flux measurements do not represent the light conditions in the chamber. After field tests of using the diffuser and reflector panels, we determined that the panels effectively block all direct light, and thus we assume the diffuse light fraction is greater than 0.7 for these measurements.  At each light level a flux measurement lasted 45 - 60 secs in total, with CO2 and H2O concentrations in the chamber recorded by the LiCor 6400 every 2  secs.  After each measurement we lifted the chamber until CO2 and H2O concentrations had stabilized at ambient levels. We made an effort to obtain a wide range of flux measurements for light levels between 0-1600, and used whatever chamber light treatments were needed to achieve that based on the ambient light conditions. 
In addition to light measurements, we made at least three measurements in the dark for each day we took flux measurements.  These were achieved by covering the chamber in an opaque tarpaulin cloth. These measurements represent the ecosystem respiration. 
After each light curve we determined chamber volume by taking depth measurements from the top of the chamber base to the ground.  We measured the chamber base depth with 36 measurements made at regular 20cm intervals determined by placing  a 1m x1m plastic frame with a 20cm x 20cm string grid on top of the base.  The volume determined by these depth measurements (chamber surface area*average depth) was added to the volume of the plexiglass chamber (and sleeve, as needed) .  The surface area of the inside of the 1 m x 1 m plexiglass chamber  was 0.8836m2.
SOIL DATA MEASUREMENTS
After taking the volume measurements of the chamber base, we characterized the soil conditions within the chamber by measuring the soil temperature, soil moisture, and thaw depth at six different locations central to the 1m x 1m chamber flux plot.
The soil temperature was measured at 5cm and 10cm below the soil surface at using traceable soil temperature probes (Fischer Scientific).  Temperatures were recorded once the thermometer reading was stable for at least 30 seconds.  On occasions when flux measurements spanned multiple days, soil temperature measurements  were taken on each day, though measurements were made on the perimeter of the flux chamber base so to minimize the disturbance to the soil and vegetation until all flux measurements were complete.  
Volumetric water content (VWC) was measured to estimate percent soil moisture using a Hydrosense Water Content Sensor (TDR probe) with 12cm tines (Campbell Scientific). The tines were inserted into the soil at a 45-degree angle for instantaneous readings. If the soil was too rocky to penetrate to the desired depth for any measurement this is indicated in the notes column.  The VWC values were corrected for arctic tundra soils using a calculation developed by J. Powers in 2003 [see below].  Both original and corrected values are listed in the data sheet.
Thaw depth measurements were made using a 110 cm thaw depth probe marked every 0.5 cm.  The probe was inserted into the ground as far as possible, and the depth from the tip of the probe to the soil's surface, considered to be the depth where no green moss or vegetation was visible.
CALCULATIONS:
The TDR probe is calibrated at manufacture for use in agricultural soils; for tundra soils meter readings are corrected using the equation: 
actual VWC (%) = 0.5952(meter reading) + 7.684
R2 = 0.8649
(J Powers 2003)
 </a:t>
          </a:r>
        </a:p>
      </xdr:txBody>
    </xdr:sp>
    <xdr:clientData fLocksWithSheet="0"/>
  </xdr:twoCellAnchor>
  <xdr:twoCellAnchor>
    <xdr:from>
      <xdr:col>1</xdr:col>
      <xdr:colOff>19050</xdr:colOff>
      <xdr:row>135</xdr:row>
      <xdr:rowOff>152400</xdr:rowOff>
    </xdr:from>
    <xdr:to>
      <xdr:col>3</xdr:col>
      <xdr:colOff>2076450</xdr:colOff>
      <xdr:row>142</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52&amp;amp;urlTail=terrest/tracegas/data/2012_GS_ITEX_CH_SoilData.csv" TargetMode="External"/><Relationship Id="rId1" Type="http://schemas.openxmlformats.org/officeDocument/2006/relationships/hyperlink" Target="http://ecosystems.mbl.edu/ARC/meta_template.php?FileName=./terrest/tracegas/xlsfiles/2012_GS_ITEX_CH_SoilDat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369"/>
  <sheetViews>
    <sheetView tabSelected="1" zoomScale="96" zoomScaleNormal="96" workbookViewId="0">
      <selection activeCell="B4" sqref="B4"/>
    </sheetView>
  </sheetViews>
  <sheetFormatPr defaultColWidth="8.85546875" defaultRowHeight="12.75" x14ac:dyDescent="0.2"/>
  <cols>
    <col min="1" max="1" width="26.140625" style="79" customWidth="1"/>
    <col min="2" max="2" width="46" style="13" bestFit="1" customWidth="1"/>
    <col min="3" max="4" width="30.7109375" style="19" customWidth="1"/>
    <col min="5" max="9" width="30.7109375" style="16" customWidth="1"/>
    <col min="10" max="16384" width="8.85546875" style="16"/>
  </cols>
  <sheetData>
    <row r="1" spans="1:9" ht="18" x14ac:dyDescent="0.25">
      <c r="A1" s="12" t="s">
        <v>43</v>
      </c>
      <c r="C1" s="14"/>
      <c r="D1" s="15"/>
    </row>
    <row r="2" spans="1:9" x14ac:dyDescent="0.2">
      <c r="A2" s="17" t="s">
        <v>44</v>
      </c>
      <c r="B2" s="18" t="s">
        <v>1766</v>
      </c>
    </row>
    <row r="3" spans="1:9" x14ac:dyDescent="0.2">
      <c r="A3" s="17" t="s">
        <v>45</v>
      </c>
      <c r="B3" s="18">
        <v>2013</v>
      </c>
    </row>
    <row r="4" spans="1:9" x14ac:dyDescent="0.2">
      <c r="A4" s="17" t="s">
        <v>46</v>
      </c>
      <c r="B4" s="87" t="s">
        <v>468</v>
      </c>
      <c r="C4" s="20"/>
    </row>
    <row r="5" spans="1:9" ht="37.5" customHeight="1" x14ac:dyDescent="0.2">
      <c r="A5" s="21" t="s">
        <v>47</v>
      </c>
      <c r="B5" s="109" t="s">
        <v>466</v>
      </c>
      <c r="C5" s="110"/>
      <c r="D5" s="16"/>
    </row>
    <row r="6" spans="1:9" ht="12.75" customHeight="1" x14ac:dyDescent="0.2">
      <c r="A6" s="21" t="s">
        <v>48</v>
      </c>
      <c r="B6" s="16"/>
      <c r="C6" s="16"/>
      <c r="D6" s="16"/>
      <c r="E6" s="22"/>
      <c r="F6" s="22"/>
    </row>
    <row r="7" spans="1:9" s="24" customFormat="1" x14ac:dyDescent="0.2">
      <c r="A7" s="23"/>
      <c r="B7" s="111"/>
      <c r="C7" s="112"/>
      <c r="D7" s="112"/>
    </row>
    <row r="8" spans="1:9" s="24" customFormat="1" x14ac:dyDescent="0.2">
      <c r="A8" s="23"/>
      <c r="B8" s="88"/>
      <c r="C8" s="89"/>
      <c r="D8" s="89"/>
    </row>
    <row r="9" spans="1:9" s="24" customFormat="1" x14ac:dyDescent="0.2">
      <c r="A9" s="23"/>
      <c r="B9" s="25"/>
    </row>
    <row r="10" spans="1:9" s="24" customFormat="1" x14ac:dyDescent="0.2">
      <c r="A10" s="23"/>
      <c r="B10" s="25"/>
    </row>
    <row r="11" spans="1:9" s="24" customFormat="1" x14ac:dyDescent="0.2">
      <c r="A11" s="23"/>
      <c r="B11" s="25"/>
    </row>
    <row r="12" spans="1:9" s="24" customFormat="1" ht="15" x14ac:dyDescent="0.2">
      <c r="A12" s="23"/>
      <c r="B12" s="26"/>
    </row>
    <row r="13" spans="1:9" s="24" customFormat="1" ht="15" x14ac:dyDescent="0.2">
      <c r="A13" s="23"/>
      <c r="B13" s="26"/>
    </row>
    <row r="14" spans="1:9" x14ac:dyDescent="0.2">
      <c r="A14" s="21" t="s">
        <v>49</v>
      </c>
      <c r="B14" s="27" t="s">
        <v>1768</v>
      </c>
    </row>
    <row r="15" spans="1:9" x14ac:dyDescent="0.2">
      <c r="A15" s="28"/>
    </row>
    <row r="16" spans="1:9" x14ac:dyDescent="0.2">
      <c r="A16" s="29" t="s">
        <v>50</v>
      </c>
      <c r="B16" s="30" t="s">
        <v>51</v>
      </c>
      <c r="C16" s="30" t="s">
        <v>52</v>
      </c>
      <c r="D16" s="30" t="s">
        <v>53</v>
      </c>
      <c r="E16" s="30" t="s">
        <v>54</v>
      </c>
      <c r="F16" s="30" t="s">
        <v>55</v>
      </c>
      <c r="G16" s="30" t="s">
        <v>56</v>
      </c>
      <c r="H16" s="30" t="s">
        <v>57</v>
      </c>
      <c r="I16" s="30" t="s">
        <v>58</v>
      </c>
    </row>
    <row r="17" spans="1:9" x14ac:dyDescent="0.2">
      <c r="A17" s="31" t="s">
        <v>59</v>
      </c>
      <c r="B17" s="32" t="s">
        <v>116</v>
      </c>
      <c r="C17" s="32" t="s">
        <v>120</v>
      </c>
      <c r="D17" s="32" t="s">
        <v>120</v>
      </c>
      <c r="E17" s="32" t="s">
        <v>124</v>
      </c>
      <c r="F17" s="32" t="s">
        <v>127</v>
      </c>
      <c r="G17" s="32"/>
      <c r="H17" s="32"/>
      <c r="I17" s="32"/>
    </row>
    <row r="18" spans="1:9" s="33" customFormat="1" x14ac:dyDescent="0.2">
      <c r="A18" s="31" t="s">
        <v>60</v>
      </c>
      <c r="B18" s="32" t="s">
        <v>327</v>
      </c>
      <c r="C18" s="32" t="s">
        <v>336</v>
      </c>
      <c r="D18" s="32" t="s">
        <v>339</v>
      </c>
      <c r="E18" s="32" t="s">
        <v>348</v>
      </c>
      <c r="F18" s="32" t="s">
        <v>351</v>
      </c>
      <c r="G18" s="32"/>
      <c r="H18" s="32"/>
      <c r="I18" s="32"/>
    </row>
    <row r="19" spans="1:9" s="33" customFormat="1" x14ac:dyDescent="0.2">
      <c r="A19" s="31" t="s">
        <v>61</v>
      </c>
      <c r="B19" s="32" t="s">
        <v>328</v>
      </c>
      <c r="C19" s="32" t="s">
        <v>337</v>
      </c>
      <c r="D19" s="32" t="s">
        <v>340</v>
      </c>
      <c r="E19" s="32" t="s">
        <v>349</v>
      </c>
      <c r="F19" s="32" t="s">
        <v>352</v>
      </c>
      <c r="G19" s="32"/>
      <c r="H19" s="32"/>
      <c r="I19" s="32"/>
    </row>
    <row r="20" spans="1:9" s="33" customFormat="1" x14ac:dyDescent="0.2">
      <c r="A20" s="31" t="s">
        <v>62</v>
      </c>
      <c r="B20" s="32" t="s">
        <v>329</v>
      </c>
      <c r="C20" s="32" t="s">
        <v>338</v>
      </c>
      <c r="D20" s="32" t="s">
        <v>341</v>
      </c>
      <c r="E20" s="32" t="s">
        <v>350</v>
      </c>
      <c r="F20" s="32" t="s">
        <v>353</v>
      </c>
      <c r="G20" s="32"/>
      <c r="H20" s="32"/>
      <c r="I20" s="32"/>
    </row>
    <row r="21" spans="1:9" s="33" customFormat="1" ht="25.5" x14ac:dyDescent="0.2">
      <c r="A21" s="31" t="s">
        <v>63</v>
      </c>
      <c r="B21" s="32" t="s">
        <v>330</v>
      </c>
      <c r="C21" s="32" t="s">
        <v>330</v>
      </c>
      <c r="D21" s="32" t="s">
        <v>342</v>
      </c>
      <c r="E21" s="32" t="s">
        <v>330</v>
      </c>
      <c r="F21" s="32" t="s">
        <v>330</v>
      </c>
      <c r="G21" s="32"/>
      <c r="H21" s="32"/>
      <c r="I21" s="32"/>
    </row>
    <row r="22" spans="1:9" s="33" customFormat="1" x14ac:dyDescent="0.2">
      <c r="A22" s="31" t="s">
        <v>64</v>
      </c>
      <c r="B22" s="32" t="s">
        <v>331</v>
      </c>
      <c r="C22" s="32" t="s">
        <v>331</v>
      </c>
      <c r="D22" s="32" t="s">
        <v>343</v>
      </c>
      <c r="E22" s="32" t="s">
        <v>331</v>
      </c>
      <c r="F22" s="32" t="s">
        <v>331</v>
      </c>
      <c r="G22" s="32"/>
      <c r="H22" s="32"/>
      <c r="I22" s="32"/>
    </row>
    <row r="23" spans="1:9" s="33" customFormat="1" x14ac:dyDescent="0.2">
      <c r="A23" s="31" t="s">
        <v>65</v>
      </c>
      <c r="B23" s="32"/>
      <c r="C23" s="32"/>
      <c r="D23" s="32" t="s">
        <v>344</v>
      </c>
      <c r="E23" s="32"/>
      <c r="F23" s="32"/>
      <c r="G23" s="32"/>
      <c r="H23" s="32"/>
      <c r="I23" s="32"/>
    </row>
    <row r="24" spans="1:9" s="33" customFormat="1" x14ac:dyDescent="0.2">
      <c r="A24" s="31" t="s">
        <v>66</v>
      </c>
      <c r="B24" s="32" t="s">
        <v>332</v>
      </c>
      <c r="C24" s="32" t="s">
        <v>332</v>
      </c>
      <c r="D24" s="32" t="s">
        <v>345</v>
      </c>
      <c r="E24" s="32" t="s">
        <v>332</v>
      </c>
      <c r="F24" s="32" t="s">
        <v>332</v>
      </c>
      <c r="G24" s="32"/>
      <c r="H24" s="32"/>
      <c r="I24" s="32"/>
    </row>
    <row r="25" spans="1:9" s="33" customFormat="1" x14ac:dyDescent="0.2">
      <c r="A25" s="31" t="s">
        <v>67</v>
      </c>
      <c r="B25" s="32" t="s">
        <v>333</v>
      </c>
      <c r="C25" s="32" t="s">
        <v>333</v>
      </c>
      <c r="D25" s="32"/>
      <c r="E25" s="32" t="s">
        <v>333</v>
      </c>
      <c r="F25" s="32" t="s">
        <v>333</v>
      </c>
      <c r="G25" s="32"/>
      <c r="H25" s="32"/>
      <c r="I25" s="32"/>
    </row>
    <row r="26" spans="1:9" s="33" customFormat="1" x14ac:dyDescent="0.2">
      <c r="A26" s="31" t="s">
        <v>68</v>
      </c>
      <c r="B26" s="32" t="s">
        <v>334</v>
      </c>
      <c r="C26" s="32" t="s">
        <v>334</v>
      </c>
      <c r="D26" s="32" t="s">
        <v>346</v>
      </c>
      <c r="E26" s="32" t="s">
        <v>334</v>
      </c>
      <c r="F26" s="32" t="s">
        <v>334</v>
      </c>
      <c r="G26" s="32"/>
      <c r="H26" s="32"/>
      <c r="I26" s="32"/>
    </row>
    <row r="27" spans="1:9" s="33" customFormat="1" x14ac:dyDescent="0.2">
      <c r="A27" s="31" t="s">
        <v>69</v>
      </c>
      <c r="B27" s="32" t="s">
        <v>335</v>
      </c>
      <c r="C27" s="32" t="s">
        <v>335</v>
      </c>
      <c r="D27" s="32" t="s">
        <v>347</v>
      </c>
      <c r="E27" s="32" t="s">
        <v>335</v>
      </c>
      <c r="F27" s="32" t="s">
        <v>335</v>
      </c>
      <c r="G27" s="32"/>
      <c r="H27" s="32"/>
      <c r="I27" s="32"/>
    </row>
    <row r="28" spans="1:9" x14ac:dyDescent="0.2">
      <c r="A28" s="34"/>
      <c r="B28" s="35"/>
      <c r="C28" s="36"/>
    </row>
    <row r="29" spans="1:9" x14ac:dyDescent="0.2">
      <c r="A29" s="37"/>
    </row>
    <row r="30" spans="1:9" x14ac:dyDescent="0.2">
      <c r="A30" s="38" t="s">
        <v>70</v>
      </c>
      <c r="B30" s="39"/>
    </row>
    <row r="31" spans="1:9" hidden="1" x14ac:dyDescent="0.2">
      <c r="A31" s="40" t="s">
        <v>71</v>
      </c>
      <c r="B31" s="87" t="s">
        <v>469</v>
      </c>
      <c r="C31" s="41"/>
    </row>
    <row r="32" spans="1:9" x14ac:dyDescent="0.2">
      <c r="A32" s="42" t="s">
        <v>72</v>
      </c>
      <c r="B32" s="27" t="s">
        <v>449</v>
      </c>
    </row>
    <row r="33" spans="1:17" x14ac:dyDescent="0.2">
      <c r="A33" s="43" t="s">
        <v>73</v>
      </c>
      <c r="B33" s="108">
        <v>41083</v>
      </c>
    </row>
    <row r="34" spans="1:17" x14ac:dyDescent="0.2">
      <c r="A34" s="43" t="s">
        <v>74</v>
      </c>
      <c r="B34" s="108">
        <v>41128</v>
      </c>
    </row>
    <row r="35" spans="1:17" x14ac:dyDescent="0.2">
      <c r="A35" s="44" t="s">
        <v>75</v>
      </c>
      <c r="B35" s="27">
        <v>18</v>
      </c>
    </row>
    <row r="36" spans="1:17" ht="267.75" x14ac:dyDescent="0.2">
      <c r="A36" s="44" t="s">
        <v>76</v>
      </c>
      <c r="B36" s="27" t="s">
        <v>467</v>
      </c>
    </row>
    <row r="37" spans="1:17" x14ac:dyDescent="0.2">
      <c r="A37" s="44" t="s">
        <v>77</v>
      </c>
      <c r="B37" s="27">
        <v>1</v>
      </c>
    </row>
    <row r="38" spans="1:17" ht="76.5" x14ac:dyDescent="0.2">
      <c r="A38" s="45" t="s">
        <v>78</v>
      </c>
      <c r="B38" s="27" t="s">
        <v>450</v>
      </c>
    </row>
    <row r="39" spans="1:17" ht="51" x14ac:dyDescent="0.2">
      <c r="A39" s="45" t="s">
        <v>79</v>
      </c>
      <c r="B39" s="27" t="s">
        <v>459</v>
      </c>
    </row>
    <row r="40" spans="1:17" ht="25.5" x14ac:dyDescent="0.2">
      <c r="A40" s="44" t="s">
        <v>80</v>
      </c>
      <c r="B40" s="27" t="s">
        <v>470</v>
      </c>
    </row>
    <row r="41" spans="1:17" ht="25.5" x14ac:dyDescent="0.2">
      <c r="A41" s="44"/>
      <c r="B41" s="27" t="s">
        <v>1764</v>
      </c>
    </row>
    <row r="42" spans="1:17" ht="38.25" x14ac:dyDescent="0.2">
      <c r="A42" s="44"/>
      <c r="B42" s="27" t="s">
        <v>1767</v>
      </c>
    </row>
    <row r="43" spans="1:17" x14ac:dyDescent="0.2">
      <c r="A43" s="44"/>
      <c r="B43" s="27"/>
    </row>
    <row r="44" spans="1:17" x14ac:dyDescent="0.2">
      <c r="A44" s="94"/>
      <c r="I44" s="16" t="s">
        <v>81</v>
      </c>
    </row>
    <row r="45" spans="1:17" x14ac:dyDescent="0.2">
      <c r="A45" s="38" t="s">
        <v>82</v>
      </c>
    </row>
    <row r="46" spans="1:17" x14ac:dyDescent="0.2">
      <c r="A46" s="45" t="s">
        <v>463</v>
      </c>
      <c r="B46" s="93" t="s">
        <v>464</v>
      </c>
      <c r="C46" s="93" t="s">
        <v>465</v>
      </c>
      <c r="D46" s="93" t="s">
        <v>494</v>
      </c>
      <c r="E46" s="93" t="s">
        <v>494</v>
      </c>
      <c r="F46" s="93" t="s">
        <v>494</v>
      </c>
      <c r="G46" s="93" t="s">
        <v>494</v>
      </c>
      <c r="H46" s="93" t="s">
        <v>494</v>
      </c>
      <c r="I46" s="93" t="s">
        <v>494</v>
      </c>
      <c r="J46" s="19"/>
      <c r="K46" s="19"/>
      <c r="L46" s="19"/>
      <c r="M46" s="19"/>
      <c r="N46" s="19"/>
      <c r="O46" s="19"/>
      <c r="P46" s="19"/>
      <c r="Q46" s="19"/>
    </row>
    <row r="47" spans="1:17" ht="165.75" x14ac:dyDescent="0.2">
      <c r="A47" s="92" t="s">
        <v>83</v>
      </c>
      <c r="B47" s="104" t="s">
        <v>373</v>
      </c>
      <c r="C47" s="104" t="s">
        <v>374</v>
      </c>
      <c r="D47" s="104" t="str">
        <f t="shared" ref="D47:I47" si="0">IF(ISNA(INDEX(Sites,MATCH(D46,Site_name,0),3)),"Enter Description", INDEX(Sites,MATCH(D46,Site_name,0),3))</f>
        <v>Enter Description</v>
      </c>
      <c r="E47" s="104" t="str">
        <f t="shared" si="0"/>
        <v>Enter Description</v>
      </c>
      <c r="F47" s="104" t="str">
        <f t="shared" si="0"/>
        <v>Enter Description</v>
      </c>
      <c r="G47" s="104" t="str">
        <f t="shared" si="0"/>
        <v>Enter Description</v>
      </c>
      <c r="H47" s="104" t="str">
        <f t="shared" si="0"/>
        <v>Enter Description</v>
      </c>
      <c r="I47" s="104" t="str">
        <f t="shared" si="0"/>
        <v>Enter Description</v>
      </c>
      <c r="J47" s="19"/>
      <c r="K47" s="19"/>
      <c r="L47" s="19"/>
      <c r="M47" s="19"/>
      <c r="N47" s="19"/>
      <c r="O47" s="19"/>
    </row>
    <row r="48" spans="1:17" x14ac:dyDescent="0.2">
      <c r="A48" s="46" t="s">
        <v>84</v>
      </c>
      <c r="C48" s="13"/>
      <c r="D48" s="13"/>
      <c r="E48" s="13"/>
      <c r="F48" s="13"/>
      <c r="G48" s="13"/>
      <c r="H48" s="13"/>
      <c r="I48" s="13"/>
    </row>
    <row r="49" spans="1:19" x14ac:dyDescent="0.2">
      <c r="A49" s="47" t="s">
        <v>85</v>
      </c>
      <c r="B49" s="27"/>
      <c r="C49" s="27"/>
      <c r="D49" s="27"/>
      <c r="E49" s="27"/>
      <c r="F49" s="27"/>
      <c r="G49" s="27"/>
      <c r="H49" s="27"/>
      <c r="I49" s="27"/>
      <c r="J49" s="19"/>
      <c r="K49" s="19"/>
      <c r="L49" s="19"/>
      <c r="M49" s="19"/>
      <c r="N49" s="19"/>
      <c r="O49" s="19"/>
      <c r="P49" s="19"/>
      <c r="Q49" s="19"/>
      <c r="R49" s="19"/>
      <c r="S49" s="19"/>
    </row>
    <row r="50" spans="1:19" x14ac:dyDescent="0.2">
      <c r="A50" s="47" t="s">
        <v>86</v>
      </c>
      <c r="B50" s="105"/>
      <c r="C50" s="105"/>
      <c r="D50" s="105"/>
      <c r="E50" s="105"/>
      <c r="F50" s="105"/>
      <c r="G50" s="105"/>
      <c r="H50" s="105"/>
      <c r="I50" s="105"/>
      <c r="J50" s="19"/>
      <c r="K50" s="19"/>
      <c r="L50" s="19"/>
      <c r="M50" s="19"/>
      <c r="N50" s="19"/>
      <c r="O50" s="19"/>
      <c r="P50" s="19"/>
      <c r="Q50" s="19"/>
      <c r="R50" s="19"/>
      <c r="S50" s="19"/>
    </row>
    <row r="51" spans="1:19" x14ac:dyDescent="0.2">
      <c r="A51" s="47" t="s">
        <v>87</v>
      </c>
      <c r="B51" s="27"/>
      <c r="C51" s="27"/>
      <c r="D51" s="27"/>
      <c r="E51" s="27"/>
      <c r="F51" s="27"/>
      <c r="G51" s="27"/>
      <c r="H51" s="27"/>
      <c r="I51" s="27"/>
      <c r="J51" s="19"/>
      <c r="K51" s="19"/>
      <c r="L51" s="19"/>
      <c r="M51" s="19"/>
      <c r="N51" s="19"/>
      <c r="O51" s="19"/>
      <c r="P51" s="19"/>
      <c r="Q51" s="19"/>
      <c r="R51" s="19"/>
      <c r="S51" s="19"/>
    </row>
    <row r="52" spans="1:19" x14ac:dyDescent="0.2">
      <c r="A52" s="47" t="s">
        <v>88</v>
      </c>
      <c r="B52" s="106"/>
      <c r="C52" s="106"/>
      <c r="D52" s="106"/>
      <c r="E52" s="106"/>
      <c r="F52" s="106"/>
      <c r="G52" s="106"/>
      <c r="H52" s="106"/>
      <c r="I52" s="106"/>
      <c r="J52" s="19"/>
      <c r="K52" s="19"/>
      <c r="L52" s="19"/>
      <c r="M52" s="19"/>
      <c r="N52" s="19"/>
      <c r="O52" s="19"/>
      <c r="P52" s="19"/>
      <c r="Q52" s="19"/>
      <c r="R52" s="19"/>
      <c r="S52" s="19"/>
    </row>
    <row r="53" spans="1:19" x14ac:dyDescent="0.2">
      <c r="A53" s="48" t="s">
        <v>89</v>
      </c>
      <c r="B53" s="49"/>
      <c r="C53" s="49"/>
      <c r="D53" s="49"/>
      <c r="E53" s="49"/>
      <c r="F53" s="49"/>
      <c r="G53" s="49"/>
      <c r="H53" s="49"/>
      <c r="I53" s="49"/>
    </row>
    <row r="54" spans="1:19" x14ac:dyDescent="0.2">
      <c r="A54" s="45" t="s">
        <v>90</v>
      </c>
      <c r="B54" s="104">
        <v>68.638555555555499</v>
      </c>
      <c r="C54" s="104">
        <v>68.635583333333301</v>
      </c>
      <c r="D54" s="104" t="str">
        <f t="shared" ref="D54:I54" si="1">IF(ISNA(INDEX(Sites,MATCH(D46,Site_name,0),4)),"In Decimal Degrees", INDEX(Sites,MATCH(D46,Site_name,0),4))</f>
        <v>In Decimal Degrees</v>
      </c>
      <c r="E54" s="104" t="str">
        <f t="shared" si="1"/>
        <v>In Decimal Degrees</v>
      </c>
      <c r="F54" s="104" t="str">
        <f t="shared" si="1"/>
        <v>In Decimal Degrees</v>
      </c>
      <c r="G54" s="104" t="str">
        <f t="shared" si="1"/>
        <v>In Decimal Degrees</v>
      </c>
      <c r="H54" s="104" t="str">
        <f t="shared" si="1"/>
        <v>In Decimal Degrees</v>
      </c>
      <c r="I54" s="104" t="str">
        <f t="shared" si="1"/>
        <v>In Decimal Degrees</v>
      </c>
      <c r="J54" s="19"/>
      <c r="K54" s="19"/>
      <c r="L54" s="19"/>
      <c r="M54" s="19"/>
      <c r="N54" s="19"/>
      <c r="O54" s="19"/>
      <c r="P54" s="19"/>
      <c r="Q54" s="19"/>
    </row>
    <row r="55" spans="1:19" x14ac:dyDescent="0.2">
      <c r="A55" s="45" t="s">
        <v>91</v>
      </c>
      <c r="B55" s="104">
        <v>-149.56866666666599</v>
      </c>
      <c r="C55" s="104">
        <v>-149.588083333333</v>
      </c>
      <c r="D55" s="104" t="str">
        <f t="shared" ref="D55:I55" si="2">IF(ISNA(INDEX(Sites,MATCH(D46,Site_name,0),5)),"In Decimal Degrees", INDEX(Sites,MATCH(D46,Site_name,0),5))</f>
        <v>In Decimal Degrees</v>
      </c>
      <c r="E55" s="104" t="str">
        <f t="shared" si="2"/>
        <v>In Decimal Degrees</v>
      </c>
      <c r="F55" s="104" t="str">
        <f t="shared" si="2"/>
        <v>In Decimal Degrees</v>
      </c>
      <c r="G55" s="104" t="str">
        <f t="shared" si="2"/>
        <v>In Decimal Degrees</v>
      </c>
      <c r="H55" s="104" t="str">
        <f t="shared" si="2"/>
        <v>In Decimal Degrees</v>
      </c>
      <c r="I55" s="104" t="str">
        <f t="shared" si="2"/>
        <v>In Decimal Degrees</v>
      </c>
      <c r="J55" s="19"/>
      <c r="K55" s="19"/>
      <c r="L55" s="19"/>
      <c r="M55" s="19"/>
      <c r="N55" s="19"/>
      <c r="O55" s="19"/>
      <c r="P55" s="19"/>
      <c r="Q55" s="19"/>
    </row>
    <row r="56" spans="1:19" x14ac:dyDescent="0.2">
      <c r="A56" s="45" t="s">
        <v>92</v>
      </c>
      <c r="B56" s="104" t="s">
        <v>460</v>
      </c>
      <c r="C56" s="104" t="s">
        <v>461</v>
      </c>
      <c r="D56" s="104" t="str">
        <f t="shared" ref="D56:I56" si="3">IF(ISNA(INDEX(Sites,MATCH(D46,Site_name,0),6)),"In Meters", INDEX(Sites,MATCH(D46,Site_name,0),6))</f>
        <v>In Meters</v>
      </c>
      <c r="E56" s="104" t="str">
        <f t="shared" si="3"/>
        <v>In Meters</v>
      </c>
      <c r="F56" s="104" t="str">
        <f t="shared" si="3"/>
        <v>In Meters</v>
      </c>
      <c r="G56" s="104" t="str">
        <f t="shared" si="3"/>
        <v>In Meters</v>
      </c>
      <c r="H56" s="104" t="str">
        <f t="shared" si="3"/>
        <v>In Meters</v>
      </c>
      <c r="I56" s="104" t="str">
        <f t="shared" si="3"/>
        <v>In Meters</v>
      </c>
      <c r="J56" s="19"/>
      <c r="K56" s="19"/>
      <c r="L56" s="19"/>
      <c r="M56" s="19"/>
      <c r="N56" s="19"/>
      <c r="O56" s="19"/>
      <c r="P56" s="19"/>
      <c r="Q56" s="19"/>
    </row>
    <row r="57" spans="1:19" x14ac:dyDescent="0.2">
      <c r="A57" s="45" t="s">
        <v>493</v>
      </c>
      <c r="B57" s="107" t="str">
        <f t="shared" ref="B57:I57" si="4">IF(ISNUMBER(B$54),HYPERLINK("http://maps.google.com/maps?q="&amp;B54&amp;","&amp;B55,"View on Google Map"),"")</f>
        <v>View on Google Map</v>
      </c>
      <c r="C57" s="107" t="str">
        <f t="shared" si="4"/>
        <v>View on Google Map</v>
      </c>
      <c r="D57" s="107" t="str">
        <f t="shared" si="4"/>
        <v/>
      </c>
      <c r="E57" s="107" t="str">
        <f t="shared" si="4"/>
        <v/>
      </c>
      <c r="F57" s="107" t="str">
        <f t="shared" si="4"/>
        <v/>
      </c>
      <c r="G57" s="107" t="str">
        <f t="shared" si="4"/>
        <v/>
      </c>
      <c r="H57" s="107" t="str">
        <f t="shared" si="4"/>
        <v/>
      </c>
      <c r="I57" s="107" t="str">
        <f t="shared" si="4"/>
        <v/>
      </c>
    </row>
    <row r="58" spans="1:19" x14ac:dyDescent="0.2">
      <c r="A58" s="50"/>
      <c r="B58" s="51"/>
      <c r="C58" s="51"/>
      <c r="D58" s="51"/>
    </row>
    <row r="59" spans="1:19" x14ac:dyDescent="0.2">
      <c r="A59" s="52" t="s">
        <v>93</v>
      </c>
      <c r="B59" s="51"/>
      <c r="C59" s="36"/>
    </row>
    <row r="60" spans="1:19" x14ac:dyDescent="0.2">
      <c r="A60" s="53" t="s">
        <v>94</v>
      </c>
      <c r="B60" s="27" t="s">
        <v>354</v>
      </c>
      <c r="C60" s="19" t="s">
        <v>95</v>
      </c>
    </row>
    <row r="61" spans="1:19" x14ac:dyDescent="0.2">
      <c r="A61" s="34"/>
    </row>
    <row r="62" spans="1:19" x14ac:dyDescent="0.2">
      <c r="A62" s="52" t="s">
        <v>96</v>
      </c>
    </row>
    <row r="63" spans="1:19" ht="38.25" x14ac:dyDescent="0.2">
      <c r="A63" s="54" t="s">
        <v>97</v>
      </c>
      <c r="B63" s="27" t="s">
        <v>375</v>
      </c>
    </row>
    <row r="64" spans="1:19" x14ac:dyDescent="0.2">
      <c r="A64" s="50"/>
      <c r="B64" s="51"/>
    </row>
    <row r="65" spans="1:2" s="24" customFormat="1" ht="15" x14ac:dyDescent="0.2">
      <c r="A65" s="23"/>
      <c r="B65" s="26"/>
    </row>
    <row r="66" spans="1:2" ht="15" x14ac:dyDescent="0.2">
      <c r="A66" s="55" t="s">
        <v>98</v>
      </c>
      <c r="B66" s="56"/>
    </row>
    <row r="67" spans="1:2" s="24" customFormat="1" x14ac:dyDescent="0.2">
      <c r="A67" s="57"/>
    </row>
    <row r="68" spans="1:2" s="24" customFormat="1" x14ac:dyDescent="0.2">
      <c r="A68" s="23"/>
      <c r="B68" s="58"/>
    </row>
    <row r="69" spans="1:2" s="24" customFormat="1" x14ac:dyDescent="0.2">
      <c r="A69" s="23"/>
    </row>
    <row r="70" spans="1:2" s="24" customFormat="1" x14ac:dyDescent="0.2">
      <c r="A70" s="23"/>
    </row>
    <row r="71" spans="1:2" s="24" customFormat="1" x14ac:dyDescent="0.2">
      <c r="A71" s="23"/>
    </row>
    <row r="72" spans="1:2" s="24" customFormat="1" x14ac:dyDescent="0.2">
      <c r="A72" s="23"/>
    </row>
    <row r="73" spans="1:2" s="24" customFormat="1" x14ac:dyDescent="0.2">
      <c r="A73" s="23"/>
    </row>
    <row r="74" spans="1:2" s="24" customFormat="1" x14ac:dyDescent="0.2">
      <c r="A74" s="23"/>
    </row>
    <row r="75" spans="1:2" s="24" customFormat="1" x14ac:dyDescent="0.2">
      <c r="A75" s="23"/>
    </row>
    <row r="76" spans="1:2" s="24" customFormat="1" x14ac:dyDescent="0.2">
      <c r="A76" s="23"/>
    </row>
    <row r="77" spans="1:2" s="24" customFormat="1" x14ac:dyDescent="0.2">
      <c r="A77" s="23"/>
    </row>
    <row r="78" spans="1:2" s="24" customFormat="1" x14ac:dyDescent="0.2">
      <c r="A78" s="23"/>
    </row>
    <row r="79" spans="1:2" s="24" customFormat="1" x14ac:dyDescent="0.2">
      <c r="A79" s="23"/>
    </row>
    <row r="80" spans="1:2" s="24" customFormat="1" x14ac:dyDescent="0.2">
      <c r="A80" s="23"/>
    </row>
    <row r="81" spans="1:10" s="24" customFormat="1" x14ac:dyDescent="0.2">
      <c r="A81" s="23"/>
    </row>
    <row r="82" spans="1:10" s="24" customFormat="1" x14ac:dyDescent="0.2">
      <c r="A82" s="23"/>
    </row>
    <row r="83" spans="1:10" s="24" customFormat="1" x14ac:dyDescent="0.2">
      <c r="A83" s="23"/>
    </row>
    <row r="84" spans="1:10" s="24" customFormat="1" x14ac:dyDescent="0.2">
      <c r="A84" s="23"/>
    </row>
    <row r="85" spans="1:10" s="24" customFormat="1" x14ac:dyDescent="0.2">
      <c r="A85" s="23"/>
    </row>
    <row r="86" spans="1:10" s="24" customFormat="1" x14ac:dyDescent="0.2">
      <c r="A86" s="23"/>
    </row>
    <row r="87" spans="1:10" s="24" customFormat="1" x14ac:dyDescent="0.2">
      <c r="A87" s="23"/>
    </row>
    <row r="88" spans="1:10" s="24" customFormat="1" x14ac:dyDescent="0.2">
      <c r="A88" s="23"/>
    </row>
    <row r="89" spans="1:10" s="24" customFormat="1" x14ac:dyDescent="0.2">
      <c r="A89" s="23"/>
    </row>
    <row r="90" spans="1:10" s="24" customFormat="1" x14ac:dyDescent="0.2">
      <c r="A90" s="23"/>
    </row>
    <row r="91" spans="1:10" s="24" customFormat="1" x14ac:dyDescent="0.2">
      <c r="A91" s="23"/>
      <c r="B91" s="25"/>
    </row>
    <row r="92" spans="1:10" s="24" customFormat="1" x14ac:dyDescent="0.2">
      <c r="A92" s="23"/>
      <c r="B92" s="25"/>
    </row>
    <row r="93" spans="1:10" s="24" customFormat="1" x14ac:dyDescent="0.2">
      <c r="A93" s="23"/>
      <c r="B93" s="25"/>
    </row>
    <row r="94" spans="1:10" s="60" customFormat="1" x14ac:dyDescent="0.2">
      <c r="A94" s="23"/>
      <c r="B94" s="25"/>
      <c r="C94" s="24"/>
      <c r="D94" s="24"/>
      <c r="E94" s="24"/>
      <c r="F94" s="24"/>
      <c r="G94" s="24"/>
      <c r="H94" s="24"/>
      <c r="I94" s="24"/>
      <c r="J94" s="59"/>
    </row>
    <row r="95" spans="1:10" s="24" customFormat="1" x14ac:dyDescent="0.2">
      <c r="A95" s="23"/>
      <c r="B95" s="25"/>
    </row>
    <row r="96" spans="1:10" s="24" customFormat="1" x14ac:dyDescent="0.2">
      <c r="A96" s="23"/>
      <c r="B96" s="25"/>
    </row>
    <row r="97" spans="1:2" s="24" customFormat="1" x14ac:dyDescent="0.2">
      <c r="A97" s="23"/>
      <c r="B97" s="25"/>
    </row>
    <row r="98" spans="1:2" s="24" customFormat="1" x14ac:dyDescent="0.2">
      <c r="A98" s="23"/>
      <c r="B98" s="25"/>
    </row>
    <row r="99" spans="1:2" s="24" customFormat="1" x14ac:dyDescent="0.2">
      <c r="A99" s="23"/>
      <c r="B99" s="25"/>
    </row>
    <row r="100" spans="1:2" s="24" customFormat="1" x14ac:dyDescent="0.2">
      <c r="A100" s="23"/>
      <c r="B100" s="25"/>
    </row>
    <row r="101" spans="1:2" s="24" customFormat="1" x14ac:dyDescent="0.2">
      <c r="A101" s="23"/>
      <c r="B101" s="25"/>
    </row>
    <row r="102" spans="1:2" s="24" customFormat="1" x14ac:dyDescent="0.2">
      <c r="A102" s="23"/>
      <c r="B102" s="25"/>
    </row>
    <row r="103" spans="1:2" s="24" customFormat="1" x14ac:dyDescent="0.2">
      <c r="A103" s="23"/>
      <c r="B103" s="25"/>
    </row>
    <row r="104" spans="1:2" s="24" customFormat="1" x14ac:dyDescent="0.2">
      <c r="A104" s="23"/>
      <c r="B104" s="25"/>
    </row>
    <row r="105" spans="1:2" s="24" customFormat="1" x14ac:dyDescent="0.2">
      <c r="A105" s="23"/>
      <c r="B105" s="25"/>
    </row>
    <row r="106" spans="1:2" s="24" customFormat="1" x14ac:dyDescent="0.2">
      <c r="A106" s="23"/>
      <c r="B106" s="25"/>
    </row>
    <row r="107" spans="1:2" s="24" customFormat="1" x14ac:dyDescent="0.2">
      <c r="A107" s="23"/>
      <c r="B107" s="25"/>
    </row>
    <row r="108" spans="1:2" s="24" customFormat="1" x14ac:dyDescent="0.2">
      <c r="A108" s="23"/>
      <c r="B108" s="25"/>
    </row>
    <row r="109" spans="1:2" s="24" customFormat="1" x14ac:dyDescent="0.2">
      <c r="A109" s="23"/>
      <c r="B109" s="25"/>
    </row>
    <row r="110" spans="1:2" s="24" customFormat="1" x14ac:dyDescent="0.2">
      <c r="A110" s="23"/>
      <c r="B110" s="25"/>
    </row>
    <row r="111" spans="1:2" s="24" customFormat="1" x14ac:dyDescent="0.2">
      <c r="A111" s="23"/>
      <c r="B111" s="25"/>
    </row>
    <row r="112" spans="1:2" s="24" customFormat="1" x14ac:dyDescent="0.2">
      <c r="A112" s="23"/>
      <c r="B112" s="25"/>
    </row>
    <row r="113" spans="1:2" s="24" customFormat="1" x14ac:dyDescent="0.2">
      <c r="A113" s="23"/>
      <c r="B113" s="25"/>
    </row>
    <row r="114" spans="1:2" s="24" customFormat="1" x14ac:dyDescent="0.2">
      <c r="A114" s="23"/>
      <c r="B114" s="25"/>
    </row>
    <row r="115" spans="1:2" s="24" customFormat="1" x14ac:dyDescent="0.2">
      <c r="A115" s="23"/>
      <c r="B115" s="25"/>
    </row>
    <row r="116" spans="1:2" s="24" customFormat="1" x14ac:dyDescent="0.2">
      <c r="A116" s="23"/>
      <c r="B116" s="25"/>
    </row>
    <row r="117" spans="1:2" s="24" customFormat="1" x14ac:dyDescent="0.2">
      <c r="A117" s="23"/>
      <c r="B117" s="25"/>
    </row>
    <row r="118" spans="1:2" s="24" customFormat="1" x14ac:dyDescent="0.2">
      <c r="A118" s="23"/>
      <c r="B118" s="25"/>
    </row>
    <row r="119" spans="1:2" s="24" customFormat="1" x14ac:dyDescent="0.2">
      <c r="A119" s="23"/>
      <c r="B119" s="25"/>
    </row>
    <row r="120" spans="1:2" s="24" customFormat="1" x14ac:dyDescent="0.2">
      <c r="A120" s="23"/>
      <c r="B120" s="25"/>
    </row>
    <row r="121" spans="1:2" s="24" customFormat="1" x14ac:dyDescent="0.2">
      <c r="A121" s="23"/>
      <c r="B121" s="25"/>
    </row>
    <row r="122" spans="1:2" s="24" customFormat="1" x14ac:dyDescent="0.2">
      <c r="A122" s="23"/>
      <c r="B122" s="25"/>
    </row>
    <row r="123" spans="1:2" s="24" customFormat="1" x14ac:dyDescent="0.2">
      <c r="A123" s="23"/>
      <c r="B123" s="25"/>
    </row>
    <row r="124" spans="1:2" s="24" customFormat="1" x14ac:dyDescent="0.2">
      <c r="A124" s="23"/>
      <c r="B124" s="25"/>
    </row>
    <row r="125" spans="1:2" s="24" customFormat="1" x14ac:dyDescent="0.2">
      <c r="A125" s="23"/>
      <c r="B125" s="25"/>
    </row>
    <row r="126" spans="1:2" s="24" customFormat="1" x14ac:dyDescent="0.2">
      <c r="A126" s="23"/>
      <c r="B126" s="25"/>
    </row>
    <row r="127" spans="1:2" s="24" customFormat="1" x14ac:dyDescent="0.2">
      <c r="A127" s="23"/>
      <c r="B127" s="25"/>
    </row>
    <row r="128" spans="1:2" s="24" customFormat="1" x14ac:dyDescent="0.2">
      <c r="A128" s="23"/>
      <c r="B128" s="25"/>
    </row>
    <row r="129" spans="1:11" s="24" customFormat="1" x14ac:dyDescent="0.2">
      <c r="A129" s="23"/>
      <c r="B129" s="25"/>
    </row>
    <row r="130" spans="1:11" s="24" customFormat="1" x14ac:dyDescent="0.2">
      <c r="A130" s="23"/>
      <c r="B130" s="25"/>
    </row>
    <row r="131" spans="1:11" s="24" customFormat="1" x14ac:dyDescent="0.2">
      <c r="A131" s="23"/>
      <c r="B131" s="91"/>
    </row>
    <row r="132" spans="1:11" s="24" customFormat="1" ht="13.5" thickBot="1" x14ac:dyDescent="0.25">
      <c r="A132" s="23"/>
      <c r="B132" s="25"/>
    </row>
    <row r="133" spans="1:11" s="24" customFormat="1" ht="13.5" thickBot="1" x14ac:dyDescent="0.25">
      <c r="A133" s="61" t="s">
        <v>99</v>
      </c>
      <c r="B133" s="62"/>
    </row>
    <row r="134" spans="1:11" s="24" customFormat="1" x14ac:dyDescent="0.2">
      <c r="A134" s="63" t="s">
        <v>100</v>
      </c>
      <c r="B134" s="64"/>
      <c r="C134" s="65"/>
    </row>
    <row r="135" spans="1:11" s="24" customFormat="1" x14ac:dyDescent="0.2">
      <c r="A135" s="66" t="s">
        <v>101</v>
      </c>
      <c r="B135" s="67"/>
      <c r="C135" s="68"/>
    </row>
    <row r="136" spans="1:11" s="24" customFormat="1" x14ac:dyDescent="0.2">
      <c r="A136" s="69" t="s">
        <v>102</v>
      </c>
      <c r="B136" s="13"/>
    </row>
    <row r="137" spans="1:11" s="24" customFormat="1" x14ac:dyDescent="0.2">
      <c r="A137" s="70" t="s">
        <v>103</v>
      </c>
      <c r="B137" s="13"/>
    </row>
    <row r="138" spans="1:11" s="24" customFormat="1" x14ac:dyDescent="0.2">
      <c r="A138" s="69"/>
      <c r="B138" s="13"/>
    </row>
    <row r="139" spans="1:11" s="24" customFormat="1" x14ac:dyDescent="0.2">
      <c r="A139" s="69"/>
      <c r="B139" s="13"/>
    </row>
    <row r="140" spans="1:11" s="24" customFormat="1" x14ac:dyDescent="0.2">
      <c r="A140" s="69"/>
      <c r="B140" s="13"/>
    </row>
    <row r="141" spans="1:11" x14ac:dyDescent="0.2">
      <c r="A141" s="23"/>
      <c r="C141" s="50"/>
      <c r="D141" s="51"/>
    </row>
    <row r="142" spans="1:11" x14ac:dyDescent="0.2">
      <c r="A142" s="23"/>
      <c r="C142" s="50"/>
      <c r="D142" s="51"/>
    </row>
    <row r="143" spans="1:11" x14ac:dyDescent="0.2">
      <c r="A143" s="23"/>
      <c r="C143" s="50"/>
      <c r="D143" s="51"/>
    </row>
    <row r="144" spans="1:11" x14ac:dyDescent="0.2">
      <c r="A144" s="55" t="s">
        <v>104</v>
      </c>
      <c r="K144" s="71" t="s">
        <v>105</v>
      </c>
    </row>
    <row r="145" spans="1:14" ht="28.15" customHeight="1" x14ac:dyDescent="0.2">
      <c r="A145" s="72" t="s">
        <v>106</v>
      </c>
      <c r="B145" s="72" t="s">
        <v>107</v>
      </c>
      <c r="C145" s="72" t="s">
        <v>108</v>
      </c>
      <c r="D145" s="73" t="s">
        <v>109</v>
      </c>
      <c r="E145" s="72" t="s">
        <v>110</v>
      </c>
      <c r="F145" s="72" t="s">
        <v>111</v>
      </c>
      <c r="G145" s="72" t="s">
        <v>112</v>
      </c>
      <c r="H145" s="74"/>
      <c r="I145" s="74"/>
      <c r="K145" s="75" t="s">
        <v>59</v>
      </c>
      <c r="L145" s="75" t="s">
        <v>113</v>
      </c>
      <c r="M145" s="75" t="s">
        <v>114</v>
      </c>
      <c r="N145" s="75" t="s">
        <v>115</v>
      </c>
    </row>
    <row r="146" spans="1:14" x14ac:dyDescent="0.2">
      <c r="A146" s="76" t="s">
        <v>355</v>
      </c>
      <c r="B146" s="77" t="s">
        <v>356</v>
      </c>
      <c r="C146" s="77" t="s">
        <v>117</v>
      </c>
      <c r="D146" s="77"/>
      <c r="E146" s="77" t="s">
        <v>368</v>
      </c>
      <c r="F146" s="77"/>
      <c r="G146" s="77" t="s">
        <v>1763</v>
      </c>
      <c r="H146" s="77"/>
      <c r="I146" s="77"/>
      <c r="L146" s="16" t="s">
        <v>42</v>
      </c>
      <c r="M146" s="90"/>
    </row>
    <row r="147" spans="1:14" x14ac:dyDescent="0.2">
      <c r="A147" s="76" t="s">
        <v>357</v>
      </c>
      <c r="B147" s="77" t="s">
        <v>358</v>
      </c>
      <c r="C147" s="77" t="s">
        <v>117</v>
      </c>
      <c r="D147" s="77"/>
      <c r="E147" s="77" t="s">
        <v>19</v>
      </c>
      <c r="F147" s="77"/>
      <c r="G147" s="77" t="s">
        <v>1763</v>
      </c>
      <c r="H147" s="77"/>
      <c r="I147" s="77"/>
      <c r="K147" s="16" t="s">
        <v>116</v>
      </c>
      <c r="L147" s="16" t="s">
        <v>117</v>
      </c>
      <c r="M147" s="16" t="s">
        <v>118</v>
      </c>
      <c r="N147" s="16" t="s">
        <v>119</v>
      </c>
    </row>
    <row r="148" spans="1:14" x14ac:dyDescent="0.2">
      <c r="A148" s="76" t="s">
        <v>360</v>
      </c>
      <c r="B148" s="77" t="s">
        <v>16</v>
      </c>
      <c r="C148" s="77" t="s">
        <v>118</v>
      </c>
      <c r="D148" s="77" t="s">
        <v>359</v>
      </c>
      <c r="E148" s="77"/>
      <c r="F148" s="77"/>
      <c r="G148" s="77" t="s">
        <v>1763</v>
      </c>
      <c r="H148" s="77"/>
      <c r="I148" s="77"/>
      <c r="K148" s="16" t="s">
        <v>120</v>
      </c>
      <c r="L148" s="16" t="s">
        <v>121</v>
      </c>
      <c r="M148" s="16" t="s">
        <v>122</v>
      </c>
      <c r="N148" s="16" t="s">
        <v>123</v>
      </c>
    </row>
    <row r="149" spans="1:14" ht="38.25" x14ac:dyDescent="0.2">
      <c r="A149" s="76" t="s">
        <v>361</v>
      </c>
      <c r="B149" s="77" t="s">
        <v>369</v>
      </c>
      <c r="C149" s="77" t="s">
        <v>118</v>
      </c>
      <c r="D149" s="77" t="s">
        <v>42</v>
      </c>
      <c r="E149" s="77"/>
      <c r="F149" s="77"/>
      <c r="G149" s="77" t="s">
        <v>1763</v>
      </c>
      <c r="H149" s="77"/>
      <c r="I149" s="77"/>
      <c r="K149" s="16" t="s">
        <v>124</v>
      </c>
      <c r="L149" s="16" t="s">
        <v>125</v>
      </c>
      <c r="M149" s="16" t="s">
        <v>117</v>
      </c>
      <c r="N149" s="16" t="s">
        <v>126</v>
      </c>
    </row>
    <row r="150" spans="1:14" x14ac:dyDescent="0.2">
      <c r="A150" s="76" t="s">
        <v>362</v>
      </c>
      <c r="B150" s="77" t="s">
        <v>363</v>
      </c>
      <c r="C150" s="77" t="s">
        <v>118</v>
      </c>
      <c r="D150" s="77"/>
      <c r="E150" s="77"/>
      <c r="F150" s="77"/>
      <c r="G150" s="77" t="s">
        <v>1763</v>
      </c>
      <c r="H150" s="77"/>
      <c r="I150" s="77"/>
      <c r="K150" s="16" t="s">
        <v>127</v>
      </c>
      <c r="L150" s="16" t="s">
        <v>128</v>
      </c>
      <c r="N150" s="16" t="s">
        <v>129</v>
      </c>
    </row>
    <row r="151" spans="1:14" x14ac:dyDescent="0.2">
      <c r="A151" s="76" t="s">
        <v>364</v>
      </c>
      <c r="B151" s="77" t="s">
        <v>370</v>
      </c>
      <c r="C151" s="77" t="s">
        <v>118</v>
      </c>
      <c r="D151" s="77" t="s">
        <v>359</v>
      </c>
      <c r="E151" s="77"/>
      <c r="F151" s="77"/>
      <c r="G151" s="77" t="s">
        <v>1763</v>
      </c>
      <c r="H151" s="77"/>
      <c r="I151" s="77"/>
      <c r="K151" s="16" t="s">
        <v>130</v>
      </c>
      <c r="L151" s="16" t="s">
        <v>131</v>
      </c>
      <c r="N151" s="16" t="s">
        <v>132</v>
      </c>
    </row>
    <row r="152" spans="1:14" ht="25.5" x14ac:dyDescent="0.2">
      <c r="A152" s="76" t="s">
        <v>365</v>
      </c>
      <c r="B152" s="77" t="s">
        <v>452</v>
      </c>
      <c r="C152" s="77" t="s">
        <v>122</v>
      </c>
      <c r="D152" s="77" t="s">
        <v>122</v>
      </c>
      <c r="E152" s="77"/>
      <c r="F152" s="77"/>
      <c r="G152" s="77" t="s">
        <v>1763</v>
      </c>
      <c r="H152" s="77"/>
      <c r="I152" s="77"/>
      <c r="N152" s="16" t="s">
        <v>133</v>
      </c>
    </row>
    <row r="153" spans="1:14" x14ac:dyDescent="0.2">
      <c r="A153" s="76" t="s">
        <v>366</v>
      </c>
      <c r="B153" s="77" t="s">
        <v>372</v>
      </c>
      <c r="C153" s="77" t="s">
        <v>118</v>
      </c>
      <c r="D153" s="77"/>
      <c r="E153" s="77"/>
      <c r="F153" s="77"/>
      <c r="G153" s="77" t="s">
        <v>1763</v>
      </c>
      <c r="H153" s="77"/>
      <c r="I153" s="77"/>
      <c r="N153" s="16" t="s">
        <v>134</v>
      </c>
    </row>
    <row r="154" spans="1:14" x14ac:dyDescent="0.2">
      <c r="A154" s="76" t="s">
        <v>23</v>
      </c>
      <c r="B154" s="77" t="s">
        <v>451</v>
      </c>
      <c r="C154" s="77" t="s">
        <v>117</v>
      </c>
      <c r="D154" s="77"/>
      <c r="E154" s="77" t="s">
        <v>1765</v>
      </c>
      <c r="F154" s="77"/>
      <c r="G154" s="77" t="s">
        <v>1763</v>
      </c>
      <c r="H154" s="77"/>
      <c r="I154" s="77"/>
      <c r="N154" s="16" t="s">
        <v>135</v>
      </c>
    </row>
    <row r="155" spans="1:14" x14ac:dyDescent="0.2">
      <c r="A155" s="76" t="s">
        <v>376</v>
      </c>
      <c r="B155" s="77" t="s">
        <v>377</v>
      </c>
      <c r="C155" s="77" t="s">
        <v>122</v>
      </c>
      <c r="D155" s="77" t="s">
        <v>143</v>
      </c>
      <c r="E155" s="77"/>
      <c r="F155" s="77"/>
      <c r="G155" s="77" t="s">
        <v>1763</v>
      </c>
      <c r="H155" s="77"/>
      <c r="I155" s="77"/>
      <c r="N155" s="16" t="s">
        <v>136</v>
      </c>
    </row>
    <row r="156" spans="1:14" x14ac:dyDescent="0.2">
      <c r="A156" s="76" t="s">
        <v>25</v>
      </c>
      <c r="B156" s="77" t="s">
        <v>378</v>
      </c>
      <c r="C156" s="77" t="s">
        <v>122</v>
      </c>
      <c r="D156" s="77" t="s">
        <v>143</v>
      </c>
      <c r="E156" s="77"/>
      <c r="F156" s="77"/>
      <c r="G156" s="77" t="s">
        <v>1763</v>
      </c>
      <c r="H156" s="77"/>
      <c r="I156" s="77"/>
      <c r="N156" s="16" t="s">
        <v>137</v>
      </c>
    </row>
    <row r="157" spans="1:14" x14ac:dyDescent="0.2">
      <c r="A157" s="76" t="s">
        <v>379</v>
      </c>
      <c r="B157" s="77" t="s">
        <v>380</v>
      </c>
      <c r="C157" s="77" t="s">
        <v>122</v>
      </c>
      <c r="D157" s="77" t="s">
        <v>143</v>
      </c>
      <c r="E157" s="77"/>
      <c r="F157" s="77"/>
      <c r="G157" s="77" t="s">
        <v>1763</v>
      </c>
      <c r="H157" s="77"/>
      <c r="I157" s="77"/>
      <c r="N157" s="16" t="s">
        <v>138</v>
      </c>
    </row>
    <row r="158" spans="1:14" x14ac:dyDescent="0.2">
      <c r="A158" s="76" t="s">
        <v>26</v>
      </c>
      <c r="B158" s="77" t="s">
        <v>381</v>
      </c>
      <c r="C158" s="77" t="s">
        <v>122</v>
      </c>
      <c r="D158" s="77" t="s">
        <v>143</v>
      </c>
      <c r="E158" s="77"/>
      <c r="F158" s="77"/>
      <c r="G158" s="77" t="s">
        <v>1763</v>
      </c>
      <c r="H158" s="77"/>
      <c r="I158" s="77"/>
      <c r="N158" s="16" t="s">
        <v>139</v>
      </c>
    </row>
    <row r="159" spans="1:14" x14ac:dyDescent="0.2">
      <c r="A159" s="76" t="s">
        <v>382</v>
      </c>
      <c r="B159" s="77" t="s">
        <v>383</v>
      </c>
      <c r="C159" s="77" t="s">
        <v>122</v>
      </c>
      <c r="D159" s="77" t="s">
        <v>143</v>
      </c>
      <c r="E159" s="77"/>
      <c r="F159" s="77"/>
      <c r="G159" s="77" t="s">
        <v>1763</v>
      </c>
      <c r="H159" s="77"/>
      <c r="I159" s="77"/>
      <c r="N159" s="16" t="s">
        <v>140</v>
      </c>
    </row>
    <row r="160" spans="1:14" x14ac:dyDescent="0.2">
      <c r="A160" s="76" t="s">
        <v>27</v>
      </c>
      <c r="B160" s="77" t="s">
        <v>384</v>
      </c>
      <c r="C160" s="77" t="s">
        <v>122</v>
      </c>
      <c r="D160" s="77" t="s">
        <v>143</v>
      </c>
      <c r="E160" s="77"/>
      <c r="F160" s="77"/>
      <c r="G160" s="77" t="s">
        <v>1763</v>
      </c>
      <c r="H160" s="77"/>
      <c r="I160" s="77"/>
      <c r="N160" s="16" t="s">
        <v>141</v>
      </c>
    </row>
    <row r="161" spans="1:14" x14ac:dyDescent="0.2">
      <c r="A161" s="76" t="s">
        <v>28</v>
      </c>
      <c r="B161" s="77" t="s">
        <v>385</v>
      </c>
      <c r="C161" s="77" t="s">
        <v>122</v>
      </c>
      <c r="D161" s="77" t="s">
        <v>143</v>
      </c>
      <c r="E161" s="77"/>
      <c r="F161" s="77"/>
      <c r="G161" s="77" t="s">
        <v>1763</v>
      </c>
      <c r="H161" s="77"/>
      <c r="I161" s="77"/>
      <c r="N161" s="16" t="s">
        <v>142</v>
      </c>
    </row>
    <row r="162" spans="1:14" x14ac:dyDescent="0.2">
      <c r="A162" s="76" t="s">
        <v>386</v>
      </c>
      <c r="B162" s="77" t="s">
        <v>387</v>
      </c>
      <c r="C162" s="77" t="s">
        <v>122</v>
      </c>
      <c r="D162" s="77" t="s">
        <v>141</v>
      </c>
      <c r="E162" s="77"/>
      <c r="F162" s="77"/>
      <c r="G162" s="77" t="s">
        <v>1763</v>
      </c>
      <c r="H162" s="77"/>
      <c r="I162" s="77"/>
      <c r="N162" s="16" t="s">
        <v>143</v>
      </c>
    </row>
    <row r="163" spans="1:14" x14ac:dyDescent="0.2">
      <c r="A163" s="76" t="s">
        <v>388</v>
      </c>
      <c r="B163" s="77" t="s">
        <v>389</v>
      </c>
      <c r="C163" s="77" t="s">
        <v>122</v>
      </c>
      <c r="D163" s="77" t="s">
        <v>141</v>
      </c>
      <c r="E163" s="77"/>
      <c r="F163" s="77"/>
      <c r="G163" s="77" t="s">
        <v>1763</v>
      </c>
      <c r="H163" s="77"/>
      <c r="I163" s="77"/>
      <c r="N163" s="16" t="s">
        <v>144</v>
      </c>
    </row>
    <row r="164" spans="1:14" x14ac:dyDescent="0.2">
      <c r="A164" s="76" t="s">
        <v>390</v>
      </c>
      <c r="B164" s="77" t="s">
        <v>391</v>
      </c>
      <c r="C164" s="77" t="s">
        <v>122</v>
      </c>
      <c r="D164" s="77" t="s">
        <v>141</v>
      </c>
      <c r="E164" s="77"/>
      <c r="F164" s="77"/>
      <c r="G164" s="77" t="s">
        <v>1763</v>
      </c>
      <c r="H164" s="77"/>
      <c r="I164" s="77"/>
      <c r="N164" s="16" t="s">
        <v>145</v>
      </c>
    </row>
    <row r="165" spans="1:14" x14ac:dyDescent="0.2">
      <c r="A165" s="76" t="s">
        <v>392</v>
      </c>
      <c r="B165" s="77" t="s">
        <v>393</v>
      </c>
      <c r="C165" s="77" t="s">
        <v>122</v>
      </c>
      <c r="D165" s="77" t="s">
        <v>141</v>
      </c>
      <c r="E165" s="77"/>
      <c r="F165" s="77"/>
      <c r="G165" s="77" t="s">
        <v>1763</v>
      </c>
      <c r="H165" s="77"/>
      <c r="I165" s="77"/>
      <c r="N165" s="16" t="s">
        <v>146</v>
      </c>
    </row>
    <row r="166" spans="1:14" x14ac:dyDescent="0.2">
      <c r="A166" s="76" t="s">
        <v>394</v>
      </c>
      <c r="B166" s="77" t="s">
        <v>395</v>
      </c>
      <c r="C166" s="77" t="s">
        <v>122</v>
      </c>
      <c r="D166" s="77" t="s">
        <v>141</v>
      </c>
      <c r="E166" s="77"/>
      <c r="F166" s="77"/>
      <c r="G166" s="77" t="s">
        <v>1763</v>
      </c>
      <c r="H166" s="77"/>
      <c r="I166" s="77"/>
      <c r="N166" s="16" t="s">
        <v>492</v>
      </c>
    </row>
    <row r="167" spans="1:14" x14ac:dyDescent="0.2">
      <c r="A167" s="76" t="s">
        <v>396</v>
      </c>
      <c r="B167" s="77" t="s">
        <v>397</v>
      </c>
      <c r="C167" s="77" t="s">
        <v>122</v>
      </c>
      <c r="D167" s="77" t="s">
        <v>141</v>
      </c>
      <c r="E167" s="77"/>
      <c r="F167" s="77"/>
      <c r="G167" s="77" t="s">
        <v>1763</v>
      </c>
      <c r="H167" s="77"/>
      <c r="I167" s="77"/>
      <c r="N167" s="16" t="s">
        <v>147</v>
      </c>
    </row>
    <row r="168" spans="1:14" x14ac:dyDescent="0.2">
      <c r="A168" s="76" t="s">
        <v>398</v>
      </c>
      <c r="B168" s="77" t="s">
        <v>399</v>
      </c>
      <c r="C168" s="77" t="s">
        <v>122</v>
      </c>
      <c r="D168" s="77" t="s">
        <v>141</v>
      </c>
      <c r="E168" s="77"/>
      <c r="F168" s="77"/>
      <c r="G168" s="77" t="s">
        <v>1763</v>
      </c>
      <c r="H168" s="77"/>
      <c r="I168" s="77"/>
      <c r="N168" s="16" t="s">
        <v>148</v>
      </c>
    </row>
    <row r="169" spans="1:14" x14ac:dyDescent="0.2">
      <c r="A169" s="76" t="s">
        <v>400</v>
      </c>
      <c r="B169" s="77" t="s">
        <v>401</v>
      </c>
      <c r="C169" s="77" t="s">
        <v>122</v>
      </c>
      <c r="D169" s="77" t="s">
        <v>141</v>
      </c>
      <c r="E169" s="77"/>
      <c r="F169" s="77"/>
      <c r="G169" s="77" t="s">
        <v>1763</v>
      </c>
      <c r="H169" s="77"/>
      <c r="I169" s="77"/>
      <c r="N169" s="16" t="s">
        <v>149</v>
      </c>
    </row>
    <row r="170" spans="1:14" x14ac:dyDescent="0.2">
      <c r="A170" s="76" t="s">
        <v>402</v>
      </c>
      <c r="B170" s="77" t="s">
        <v>403</v>
      </c>
      <c r="C170" s="77" t="s">
        <v>122</v>
      </c>
      <c r="D170" s="77" t="s">
        <v>141</v>
      </c>
      <c r="E170" s="77"/>
      <c r="F170" s="77"/>
      <c r="G170" s="77" t="s">
        <v>1763</v>
      </c>
      <c r="H170" s="77"/>
      <c r="I170" s="77"/>
      <c r="N170" s="16" t="s">
        <v>150</v>
      </c>
    </row>
    <row r="171" spans="1:14" x14ac:dyDescent="0.2">
      <c r="A171" s="76" t="s">
        <v>404</v>
      </c>
      <c r="B171" s="77" t="s">
        <v>405</v>
      </c>
      <c r="C171" s="77" t="s">
        <v>122</v>
      </c>
      <c r="D171" s="77" t="s">
        <v>141</v>
      </c>
      <c r="E171" s="77"/>
      <c r="F171" s="77"/>
      <c r="G171" s="77" t="s">
        <v>1763</v>
      </c>
      <c r="H171" s="77"/>
      <c r="I171" s="77"/>
      <c r="N171" s="16" t="s">
        <v>491</v>
      </c>
    </row>
    <row r="172" spans="1:14" x14ac:dyDescent="0.2">
      <c r="A172" s="76" t="s">
        <v>406</v>
      </c>
      <c r="B172" s="77" t="s">
        <v>407</v>
      </c>
      <c r="C172" s="77" t="s">
        <v>122</v>
      </c>
      <c r="D172" s="77" t="s">
        <v>141</v>
      </c>
      <c r="E172" s="77"/>
      <c r="F172" s="77"/>
      <c r="G172" s="77" t="s">
        <v>1763</v>
      </c>
      <c r="H172" s="77"/>
      <c r="I172" s="77"/>
      <c r="N172" s="16" t="s">
        <v>151</v>
      </c>
    </row>
    <row r="173" spans="1:14" x14ac:dyDescent="0.2">
      <c r="A173" s="76" t="s">
        <v>408</v>
      </c>
      <c r="B173" s="77" t="s">
        <v>409</v>
      </c>
      <c r="C173" s="77" t="s">
        <v>122</v>
      </c>
      <c r="D173" s="77" t="s">
        <v>141</v>
      </c>
      <c r="E173" s="77"/>
      <c r="F173" s="77"/>
      <c r="G173" s="77" t="s">
        <v>1763</v>
      </c>
      <c r="H173" s="77"/>
      <c r="I173" s="77"/>
      <c r="N173" s="16" t="s">
        <v>152</v>
      </c>
    </row>
    <row r="174" spans="1:14" x14ac:dyDescent="0.2">
      <c r="A174" s="76" t="s">
        <v>410</v>
      </c>
      <c r="B174" s="77" t="s">
        <v>411</v>
      </c>
      <c r="C174" s="77" t="s">
        <v>122</v>
      </c>
      <c r="D174" s="77" t="s">
        <v>141</v>
      </c>
      <c r="E174" s="77"/>
      <c r="F174" s="77"/>
      <c r="G174" s="77" t="s">
        <v>1763</v>
      </c>
      <c r="H174" s="77"/>
      <c r="I174" s="77"/>
      <c r="N174" s="16" t="s">
        <v>490</v>
      </c>
    </row>
    <row r="175" spans="1:14" x14ac:dyDescent="0.2">
      <c r="A175" s="76" t="s">
        <v>412</v>
      </c>
      <c r="B175" s="77" t="s">
        <v>413</v>
      </c>
      <c r="C175" s="77" t="s">
        <v>122</v>
      </c>
      <c r="D175" s="77" t="s">
        <v>141</v>
      </c>
      <c r="E175" s="77"/>
      <c r="F175" s="77"/>
      <c r="G175" s="77" t="s">
        <v>1763</v>
      </c>
      <c r="H175" s="77"/>
      <c r="I175" s="77"/>
      <c r="N175" s="16" t="s">
        <v>153</v>
      </c>
    </row>
    <row r="176" spans="1:14" x14ac:dyDescent="0.2">
      <c r="A176" s="76" t="s">
        <v>414</v>
      </c>
      <c r="B176" s="77" t="s">
        <v>415</v>
      </c>
      <c r="C176" s="77" t="s">
        <v>122</v>
      </c>
      <c r="D176" s="77" t="s">
        <v>311</v>
      </c>
      <c r="E176" s="77"/>
      <c r="F176" s="77"/>
      <c r="G176" s="77" t="s">
        <v>1763</v>
      </c>
      <c r="H176" s="77"/>
      <c r="I176" s="77"/>
      <c r="N176" s="16" t="s">
        <v>154</v>
      </c>
    </row>
    <row r="177" spans="1:14" x14ac:dyDescent="0.2">
      <c r="A177" s="76" t="s">
        <v>416</v>
      </c>
      <c r="B177" s="77" t="s">
        <v>417</v>
      </c>
      <c r="C177" s="77" t="s">
        <v>122</v>
      </c>
      <c r="D177" s="77" t="s">
        <v>311</v>
      </c>
      <c r="E177" s="77"/>
      <c r="F177" s="77"/>
      <c r="G177" s="77" t="s">
        <v>1763</v>
      </c>
      <c r="H177" s="77"/>
      <c r="I177" s="77"/>
      <c r="N177" s="16" t="s">
        <v>155</v>
      </c>
    </row>
    <row r="178" spans="1:14" x14ac:dyDescent="0.2">
      <c r="A178" s="76" t="s">
        <v>418</v>
      </c>
      <c r="B178" s="77" t="s">
        <v>419</v>
      </c>
      <c r="C178" s="77" t="s">
        <v>122</v>
      </c>
      <c r="D178" s="77" t="s">
        <v>311</v>
      </c>
      <c r="E178" s="77"/>
      <c r="F178" s="77"/>
      <c r="G178" s="77" t="s">
        <v>1763</v>
      </c>
      <c r="H178" s="77"/>
      <c r="I178" s="77"/>
      <c r="N178" s="16" t="s">
        <v>156</v>
      </c>
    </row>
    <row r="179" spans="1:14" x14ac:dyDescent="0.2">
      <c r="A179" s="76" t="s">
        <v>420</v>
      </c>
      <c r="B179" s="77" t="s">
        <v>421</v>
      </c>
      <c r="C179" s="77" t="s">
        <v>122</v>
      </c>
      <c r="D179" s="77" t="s">
        <v>311</v>
      </c>
      <c r="E179" s="77"/>
      <c r="F179" s="77"/>
      <c r="G179" s="77" t="s">
        <v>1763</v>
      </c>
      <c r="H179" s="77"/>
      <c r="I179" s="77"/>
      <c r="N179" s="16" t="s">
        <v>157</v>
      </c>
    </row>
    <row r="180" spans="1:14" x14ac:dyDescent="0.2">
      <c r="A180" s="76" t="s">
        <v>422</v>
      </c>
      <c r="B180" s="77" t="s">
        <v>423</v>
      </c>
      <c r="C180" s="77" t="s">
        <v>122</v>
      </c>
      <c r="D180" s="77" t="s">
        <v>311</v>
      </c>
      <c r="E180" s="77"/>
      <c r="F180" s="77"/>
      <c r="G180" s="77" t="s">
        <v>1763</v>
      </c>
      <c r="H180" s="77"/>
      <c r="I180" s="77"/>
      <c r="N180" s="16" t="s">
        <v>489</v>
      </c>
    </row>
    <row r="181" spans="1:14" x14ac:dyDescent="0.2">
      <c r="A181" s="76" t="s">
        <v>424</v>
      </c>
      <c r="B181" s="77" t="s">
        <v>425</v>
      </c>
      <c r="C181" s="77" t="s">
        <v>122</v>
      </c>
      <c r="D181" s="77" t="s">
        <v>311</v>
      </c>
      <c r="E181" s="77"/>
      <c r="F181" s="77"/>
      <c r="G181" s="77" t="s">
        <v>1763</v>
      </c>
      <c r="H181" s="77"/>
      <c r="I181" s="77"/>
      <c r="N181" s="16" t="s">
        <v>158</v>
      </c>
    </row>
    <row r="182" spans="1:14" x14ac:dyDescent="0.2">
      <c r="A182" s="76" t="s">
        <v>426</v>
      </c>
      <c r="B182" s="77" t="s">
        <v>427</v>
      </c>
      <c r="C182" s="77" t="s">
        <v>122</v>
      </c>
      <c r="D182" s="77" t="s">
        <v>311</v>
      </c>
      <c r="E182" s="77"/>
      <c r="F182" s="77"/>
      <c r="G182" s="77" t="s">
        <v>1763</v>
      </c>
      <c r="H182" s="77"/>
      <c r="I182" s="77"/>
      <c r="N182" s="16" t="s">
        <v>159</v>
      </c>
    </row>
    <row r="183" spans="1:14" ht="25.5" x14ac:dyDescent="0.2">
      <c r="A183" s="76" t="s">
        <v>428</v>
      </c>
      <c r="B183" s="77" t="s">
        <v>429</v>
      </c>
      <c r="C183" s="77" t="s">
        <v>122</v>
      </c>
      <c r="D183" s="77" t="s">
        <v>311</v>
      </c>
      <c r="E183" s="77"/>
      <c r="F183" s="77"/>
      <c r="G183" s="77" t="s">
        <v>1763</v>
      </c>
      <c r="H183" s="77"/>
      <c r="I183" s="77"/>
      <c r="N183" s="16" t="s">
        <v>160</v>
      </c>
    </row>
    <row r="184" spans="1:14" ht="25.5" x14ac:dyDescent="0.2">
      <c r="A184" s="76" t="s">
        <v>430</v>
      </c>
      <c r="B184" s="77" t="s">
        <v>431</v>
      </c>
      <c r="C184" s="77" t="s">
        <v>122</v>
      </c>
      <c r="D184" s="77" t="s">
        <v>311</v>
      </c>
      <c r="E184" s="77"/>
      <c r="F184" s="77"/>
      <c r="G184" s="77" t="s">
        <v>1763</v>
      </c>
      <c r="H184" s="77"/>
      <c r="I184" s="77"/>
      <c r="N184" s="16" t="s">
        <v>161</v>
      </c>
    </row>
    <row r="185" spans="1:14" ht="25.5" x14ac:dyDescent="0.2">
      <c r="A185" s="76" t="s">
        <v>432</v>
      </c>
      <c r="B185" s="77" t="s">
        <v>433</v>
      </c>
      <c r="C185" s="77" t="s">
        <v>122</v>
      </c>
      <c r="D185" s="77" t="s">
        <v>311</v>
      </c>
      <c r="E185" s="77"/>
      <c r="F185" s="77"/>
      <c r="G185" s="77" t="s">
        <v>1763</v>
      </c>
      <c r="H185" s="77"/>
      <c r="I185" s="77"/>
      <c r="N185" s="16" t="s">
        <v>162</v>
      </c>
    </row>
    <row r="186" spans="1:14" ht="25.5" x14ac:dyDescent="0.2">
      <c r="A186" s="76" t="s">
        <v>434</v>
      </c>
      <c r="B186" s="77" t="s">
        <v>435</v>
      </c>
      <c r="C186" s="77" t="s">
        <v>122</v>
      </c>
      <c r="D186" s="77" t="s">
        <v>311</v>
      </c>
      <c r="E186" s="77"/>
      <c r="F186" s="77"/>
      <c r="G186" s="77" t="s">
        <v>1763</v>
      </c>
      <c r="H186" s="77"/>
      <c r="I186" s="77"/>
      <c r="N186" s="16" t="s">
        <v>163</v>
      </c>
    </row>
    <row r="187" spans="1:14" ht="25.5" x14ac:dyDescent="0.2">
      <c r="A187" s="76" t="s">
        <v>436</v>
      </c>
      <c r="B187" s="77" t="s">
        <v>437</v>
      </c>
      <c r="C187" s="77" t="s">
        <v>122</v>
      </c>
      <c r="D187" s="77" t="s">
        <v>311</v>
      </c>
      <c r="E187" s="77"/>
      <c r="F187" s="77"/>
      <c r="G187" s="77" t="s">
        <v>1763</v>
      </c>
      <c r="H187" s="77"/>
      <c r="I187" s="77"/>
      <c r="N187" s="16" t="s">
        <v>164</v>
      </c>
    </row>
    <row r="188" spans="1:14" ht="25.5" x14ac:dyDescent="0.2">
      <c r="A188" s="76" t="s">
        <v>438</v>
      </c>
      <c r="B188" s="77" t="s">
        <v>439</v>
      </c>
      <c r="C188" s="77" t="s">
        <v>122</v>
      </c>
      <c r="D188" s="77" t="s">
        <v>311</v>
      </c>
      <c r="E188" s="77"/>
      <c r="F188" s="77"/>
      <c r="G188" s="77" t="s">
        <v>1763</v>
      </c>
      <c r="H188" s="77"/>
      <c r="I188" s="77"/>
      <c r="N188" s="16" t="s">
        <v>165</v>
      </c>
    </row>
    <row r="189" spans="1:14" x14ac:dyDescent="0.2">
      <c r="A189" s="76" t="s">
        <v>440</v>
      </c>
      <c r="B189" s="77" t="s">
        <v>441</v>
      </c>
      <c r="C189" s="77" t="s">
        <v>122</v>
      </c>
      <c r="D189" s="77" t="s">
        <v>311</v>
      </c>
      <c r="E189" s="77"/>
      <c r="F189" s="77"/>
      <c r="G189" s="77" t="s">
        <v>1763</v>
      </c>
      <c r="H189" s="77"/>
      <c r="I189" s="77"/>
      <c r="N189" s="16" t="s">
        <v>166</v>
      </c>
    </row>
    <row r="190" spans="1:14" ht="25.5" x14ac:dyDescent="0.2">
      <c r="A190" s="76" t="s">
        <v>442</v>
      </c>
      <c r="B190" s="77" t="s">
        <v>453</v>
      </c>
      <c r="C190" s="77" t="s">
        <v>122</v>
      </c>
      <c r="D190" s="77" t="s">
        <v>141</v>
      </c>
      <c r="E190" s="77"/>
      <c r="F190" s="77"/>
      <c r="G190" s="77" t="s">
        <v>1763</v>
      </c>
      <c r="H190" s="77"/>
      <c r="I190" s="77"/>
      <c r="N190" s="16" t="s">
        <v>167</v>
      </c>
    </row>
    <row r="191" spans="1:14" ht="25.5" x14ac:dyDescent="0.2">
      <c r="A191" s="76" t="s">
        <v>443</v>
      </c>
      <c r="B191" s="77" t="s">
        <v>454</v>
      </c>
      <c r="C191" s="77" t="s">
        <v>122</v>
      </c>
      <c r="D191" s="77" t="s">
        <v>141</v>
      </c>
      <c r="E191" s="77"/>
      <c r="F191" s="77"/>
      <c r="G191" s="77" t="s">
        <v>1763</v>
      </c>
      <c r="H191" s="77"/>
      <c r="I191" s="77"/>
      <c r="N191" s="16" t="s">
        <v>168</v>
      </c>
    </row>
    <row r="192" spans="1:14" ht="25.5" x14ac:dyDescent="0.2">
      <c r="A192" s="76" t="s">
        <v>444</v>
      </c>
      <c r="B192" s="77" t="s">
        <v>455</v>
      </c>
      <c r="C192" s="77" t="s">
        <v>122</v>
      </c>
      <c r="D192" s="77" t="s">
        <v>141</v>
      </c>
      <c r="E192" s="77"/>
      <c r="F192" s="77"/>
      <c r="G192" s="77" t="s">
        <v>1763</v>
      </c>
      <c r="H192" s="77"/>
      <c r="I192" s="77"/>
      <c r="N192" s="16" t="s">
        <v>169</v>
      </c>
    </row>
    <row r="193" spans="1:14" ht="25.5" x14ac:dyDescent="0.2">
      <c r="A193" s="76" t="s">
        <v>445</v>
      </c>
      <c r="B193" s="77" t="s">
        <v>456</v>
      </c>
      <c r="C193" s="77" t="s">
        <v>122</v>
      </c>
      <c r="D193" s="77" t="s">
        <v>141</v>
      </c>
      <c r="E193" s="77"/>
      <c r="F193" s="77"/>
      <c r="G193" s="77" t="s">
        <v>1763</v>
      </c>
      <c r="H193" s="77"/>
      <c r="I193" s="77"/>
      <c r="N193" s="16" t="s">
        <v>170</v>
      </c>
    </row>
    <row r="194" spans="1:14" ht="25.5" x14ac:dyDescent="0.2">
      <c r="A194" s="76" t="s">
        <v>446</v>
      </c>
      <c r="B194" s="77" t="s">
        <v>457</v>
      </c>
      <c r="C194" s="77" t="s">
        <v>122</v>
      </c>
      <c r="D194" s="77" t="s">
        <v>141</v>
      </c>
      <c r="E194" s="77"/>
      <c r="F194" s="77"/>
      <c r="G194" s="77" t="s">
        <v>1763</v>
      </c>
      <c r="H194" s="77"/>
      <c r="I194" s="77"/>
      <c r="N194" s="16" t="s">
        <v>171</v>
      </c>
    </row>
    <row r="195" spans="1:14" x14ac:dyDescent="0.2">
      <c r="A195" s="76" t="s">
        <v>447</v>
      </c>
      <c r="B195" s="77" t="s">
        <v>448</v>
      </c>
      <c r="C195" s="77" t="s">
        <v>122</v>
      </c>
      <c r="D195" s="77" t="s">
        <v>141</v>
      </c>
      <c r="E195" s="77"/>
      <c r="F195" s="77"/>
      <c r="G195" s="77" t="s">
        <v>1763</v>
      </c>
      <c r="H195" s="77"/>
      <c r="I195" s="77"/>
      <c r="N195" s="16" t="s">
        <v>172</v>
      </c>
    </row>
    <row r="196" spans="1:14" ht="25.5" x14ac:dyDescent="0.2">
      <c r="A196" s="76" t="s">
        <v>29</v>
      </c>
      <c r="B196" s="77" t="s">
        <v>458</v>
      </c>
      <c r="C196" s="77" t="s">
        <v>122</v>
      </c>
      <c r="D196" s="77" t="s">
        <v>141</v>
      </c>
      <c r="E196" s="77"/>
      <c r="F196" s="77"/>
      <c r="G196" s="77" t="s">
        <v>1763</v>
      </c>
      <c r="H196" s="77"/>
      <c r="I196" s="77"/>
      <c r="N196" s="16" t="s">
        <v>173</v>
      </c>
    </row>
    <row r="197" spans="1:14" x14ac:dyDescent="0.2">
      <c r="A197" s="76" t="s">
        <v>41</v>
      </c>
      <c r="B197" s="77" t="s">
        <v>367</v>
      </c>
      <c r="C197" s="77" t="s">
        <v>118</v>
      </c>
      <c r="D197" s="77"/>
      <c r="E197" s="77"/>
      <c r="F197" s="77"/>
      <c r="G197" s="77" t="s">
        <v>1763</v>
      </c>
      <c r="H197" s="77"/>
      <c r="I197" s="77"/>
      <c r="N197" s="16" t="s">
        <v>174</v>
      </c>
    </row>
    <row r="198" spans="1:14" x14ac:dyDescent="0.2">
      <c r="A198" s="76" t="s">
        <v>30</v>
      </c>
      <c r="B198" s="77" t="s">
        <v>371</v>
      </c>
      <c r="C198" s="77" t="s">
        <v>118</v>
      </c>
      <c r="D198" s="77"/>
      <c r="E198" s="77"/>
      <c r="F198" s="77"/>
      <c r="G198" s="77"/>
      <c r="H198" s="77"/>
      <c r="I198" s="77"/>
      <c r="N198" s="16" t="s">
        <v>175</v>
      </c>
    </row>
    <row r="199" spans="1:14" x14ac:dyDescent="0.2">
      <c r="A199" s="76"/>
      <c r="B199" s="77"/>
      <c r="C199" s="77"/>
      <c r="D199" s="77"/>
      <c r="E199" s="77"/>
      <c r="F199" s="77"/>
      <c r="G199" s="77"/>
      <c r="H199" s="77"/>
      <c r="I199" s="77"/>
      <c r="N199" s="16" t="s">
        <v>176</v>
      </c>
    </row>
    <row r="200" spans="1:14" x14ac:dyDescent="0.2">
      <c r="A200" s="76"/>
      <c r="B200" s="77"/>
      <c r="C200" s="77"/>
      <c r="D200" s="77"/>
      <c r="E200" s="77"/>
      <c r="F200" s="77"/>
      <c r="G200" s="77"/>
      <c r="H200" s="77"/>
      <c r="I200" s="77"/>
      <c r="N200" s="16" t="s">
        <v>177</v>
      </c>
    </row>
    <row r="201" spans="1:14" x14ac:dyDescent="0.2">
      <c r="A201" s="76"/>
      <c r="B201" s="77"/>
      <c r="C201" s="77"/>
      <c r="D201" s="77"/>
      <c r="E201" s="77"/>
      <c r="F201" s="77"/>
      <c r="G201" s="77"/>
      <c r="H201" s="77"/>
      <c r="I201" s="77"/>
      <c r="N201" s="16" t="s">
        <v>178</v>
      </c>
    </row>
    <row r="202" spans="1:14" x14ac:dyDescent="0.2">
      <c r="A202" s="76"/>
      <c r="B202" s="77"/>
      <c r="C202" s="77"/>
      <c r="D202" s="77"/>
      <c r="E202" s="77"/>
      <c r="F202" s="77"/>
      <c r="G202" s="77"/>
      <c r="H202" s="77"/>
      <c r="I202" s="77"/>
      <c r="N202" s="16" t="s">
        <v>179</v>
      </c>
    </row>
    <row r="203" spans="1:14" x14ac:dyDescent="0.2">
      <c r="A203" s="76"/>
      <c r="B203" s="77"/>
      <c r="C203" s="77"/>
      <c r="D203" s="77"/>
      <c r="E203" s="77"/>
      <c r="F203" s="77"/>
      <c r="G203" s="77"/>
      <c r="H203" s="77"/>
      <c r="I203" s="77"/>
      <c r="N203" s="16" t="s">
        <v>180</v>
      </c>
    </row>
    <row r="204" spans="1:14" x14ac:dyDescent="0.2">
      <c r="A204" s="76"/>
      <c r="B204" s="77"/>
      <c r="C204" s="77"/>
      <c r="D204" s="77"/>
      <c r="E204" s="77"/>
      <c r="F204" s="77"/>
      <c r="G204" s="77"/>
      <c r="H204" s="77"/>
      <c r="I204" s="77"/>
      <c r="N204" s="16" t="s">
        <v>181</v>
      </c>
    </row>
    <row r="205" spans="1:14" x14ac:dyDescent="0.2">
      <c r="A205" s="76"/>
      <c r="B205" s="77"/>
      <c r="C205" s="77"/>
      <c r="D205" s="77"/>
      <c r="E205" s="77"/>
      <c r="F205" s="77"/>
      <c r="G205" s="77"/>
      <c r="H205" s="77"/>
      <c r="I205" s="77"/>
      <c r="N205" s="16" t="s">
        <v>182</v>
      </c>
    </row>
    <row r="206" spans="1:14" x14ac:dyDescent="0.2">
      <c r="A206" s="76"/>
      <c r="B206" s="77"/>
      <c r="C206" s="77"/>
      <c r="D206" s="77"/>
      <c r="E206" s="77"/>
      <c r="F206" s="77"/>
      <c r="G206" s="77"/>
      <c r="H206" s="77"/>
      <c r="I206" s="77"/>
      <c r="N206" s="16" t="s">
        <v>183</v>
      </c>
    </row>
    <row r="207" spans="1:14" x14ac:dyDescent="0.2">
      <c r="A207" s="76"/>
      <c r="B207" s="77"/>
      <c r="C207" s="77"/>
      <c r="D207" s="77"/>
      <c r="E207" s="77"/>
      <c r="F207" s="77"/>
      <c r="G207" s="77"/>
      <c r="H207" s="77"/>
      <c r="I207" s="77"/>
      <c r="N207" s="16" t="s">
        <v>184</v>
      </c>
    </row>
    <row r="208" spans="1:14" x14ac:dyDescent="0.2">
      <c r="A208" s="76"/>
      <c r="B208" s="77"/>
      <c r="C208" s="77"/>
      <c r="D208" s="77"/>
      <c r="E208" s="77"/>
      <c r="F208" s="77"/>
      <c r="G208" s="77"/>
      <c r="H208" s="77"/>
      <c r="I208" s="77"/>
      <c r="N208" s="16" t="s">
        <v>185</v>
      </c>
    </row>
    <row r="209" spans="1:14" x14ac:dyDescent="0.2">
      <c r="A209" s="76"/>
      <c r="B209" s="77"/>
      <c r="C209" s="77"/>
      <c r="D209" s="77"/>
      <c r="E209" s="77"/>
      <c r="F209" s="77"/>
      <c r="G209" s="77"/>
      <c r="H209" s="77"/>
      <c r="I209" s="77"/>
      <c r="N209" s="16" t="s">
        <v>186</v>
      </c>
    </row>
    <row r="210" spans="1:14" x14ac:dyDescent="0.2">
      <c r="A210" s="76"/>
      <c r="B210" s="77"/>
      <c r="C210" s="77"/>
      <c r="D210" s="77"/>
      <c r="E210" s="77"/>
      <c r="F210" s="77"/>
      <c r="G210" s="77"/>
      <c r="H210" s="77"/>
      <c r="I210" s="77"/>
      <c r="N210" s="16" t="s">
        <v>187</v>
      </c>
    </row>
    <row r="211" spans="1:14" x14ac:dyDescent="0.2">
      <c r="A211" s="76"/>
      <c r="B211" s="77"/>
      <c r="C211" s="77"/>
      <c r="D211" s="77"/>
      <c r="E211" s="77"/>
      <c r="F211" s="77"/>
      <c r="G211" s="77"/>
      <c r="H211" s="77"/>
      <c r="I211" s="77"/>
      <c r="N211" s="16" t="s">
        <v>188</v>
      </c>
    </row>
    <row r="212" spans="1:14" x14ac:dyDescent="0.2">
      <c r="A212" s="76"/>
      <c r="B212" s="77"/>
      <c r="C212" s="77"/>
      <c r="D212" s="77"/>
      <c r="E212" s="77"/>
      <c r="F212" s="77"/>
      <c r="G212" s="77"/>
      <c r="H212" s="77"/>
      <c r="I212" s="77"/>
      <c r="N212" s="16" t="s">
        <v>189</v>
      </c>
    </row>
    <row r="213" spans="1:14" x14ac:dyDescent="0.2">
      <c r="A213" s="76"/>
      <c r="B213" s="77"/>
      <c r="C213" s="77"/>
      <c r="D213" s="77"/>
      <c r="E213" s="77"/>
      <c r="F213" s="77"/>
      <c r="G213" s="77"/>
      <c r="H213" s="77"/>
      <c r="I213" s="77"/>
      <c r="N213" s="16" t="s">
        <v>190</v>
      </c>
    </row>
    <row r="214" spans="1:14" x14ac:dyDescent="0.2">
      <c r="A214" s="76"/>
      <c r="B214" s="77"/>
      <c r="C214" s="77"/>
      <c r="D214" s="77"/>
      <c r="E214" s="77"/>
      <c r="F214" s="77"/>
      <c r="G214" s="77"/>
      <c r="H214" s="77"/>
      <c r="I214" s="77"/>
      <c r="N214" s="16" t="s">
        <v>191</v>
      </c>
    </row>
    <row r="215" spans="1:14" x14ac:dyDescent="0.2">
      <c r="A215" s="76"/>
      <c r="B215" s="77"/>
      <c r="C215" s="77"/>
      <c r="D215" s="77"/>
      <c r="E215" s="77"/>
      <c r="F215" s="77"/>
      <c r="G215" s="77"/>
      <c r="H215" s="77"/>
      <c r="I215" s="77"/>
      <c r="N215" s="16" t="s">
        <v>192</v>
      </c>
    </row>
    <row r="216" spans="1:14" x14ac:dyDescent="0.2">
      <c r="A216" s="76"/>
      <c r="B216" s="77"/>
      <c r="C216" s="77"/>
      <c r="D216" s="77"/>
      <c r="E216" s="77"/>
      <c r="F216" s="77"/>
      <c r="G216" s="77"/>
      <c r="H216" s="77"/>
      <c r="I216" s="77"/>
      <c r="N216" s="16" t="s">
        <v>193</v>
      </c>
    </row>
    <row r="217" spans="1:14" x14ac:dyDescent="0.2">
      <c r="A217" s="76"/>
      <c r="B217" s="77"/>
      <c r="C217" s="77"/>
      <c r="D217" s="77"/>
      <c r="E217" s="77"/>
      <c r="F217" s="77"/>
      <c r="G217" s="77"/>
      <c r="H217" s="77"/>
      <c r="I217" s="77"/>
      <c r="N217" s="16" t="s">
        <v>488</v>
      </c>
    </row>
    <row r="218" spans="1:14" x14ac:dyDescent="0.2">
      <c r="A218" s="76"/>
      <c r="B218" s="77"/>
      <c r="C218" s="77"/>
      <c r="D218" s="77"/>
      <c r="E218" s="77"/>
      <c r="F218" s="77"/>
      <c r="G218" s="77"/>
      <c r="H218" s="77"/>
      <c r="I218" s="77"/>
      <c r="N218" s="16" t="s">
        <v>194</v>
      </c>
    </row>
    <row r="219" spans="1:14" x14ac:dyDescent="0.2">
      <c r="A219" s="76"/>
      <c r="B219" s="77"/>
      <c r="C219" s="77"/>
      <c r="D219" s="77"/>
      <c r="E219" s="77"/>
      <c r="F219" s="77"/>
      <c r="G219" s="77"/>
      <c r="H219" s="77"/>
      <c r="I219" s="77"/>
      <c r="N219" s="16" t="s">
        <v>195</v>
      </c>
    </row>
    <row r="220" spans="1:14" x14ac:dyDescent="0.2">
      <c r="A220" s="76"/>
      <c r="B220" s="77"/>
      <c r="C220" s="77"/>
      <c r="D220" s="77"/>
      <c r="E220" s="77"/>
      <c r="F220" s="77"/>
      <c r="G220" s="77"/>
      <c r="H220" s="77"/>
      <c r="I220" s="77"/>
      <c r="N220" s="16" t="s">
        <v>196</v>
      </c>
    </row>
    <row r="221" spans="1:14" x14ac:dyDescent="0.2">
      <c r="A221" s="76"/>
      <c r="B221" s="77"/>
      <c r="C221" s="77"/>
      <c r="D221" s="77"/>
      <c r="E221" s="77"/>
      <c r="F221" s="77"/>
      <c r="G221" s="77"/>
      <c r="H221" s="77"/>
      <c r="I221" s="77"/>
      <c r="N221" s="16" t="s">
        <v>197</v>
      </c>
    </row>
    <row r="222" spans="1:14" x14ac:dyDescent="0.2">
      <c r="A222" s="76"/>
      <c r="B222" s="77"/>
      <c r="C222" s="77"/>
      <c r="D222" s="77"/>
      <c r="E222" s="77"/>
      <c r="F222" s="77"/>
      <c r="G222" s="77"/>
      <c r="H222" s="77"/>
      <c r="I222" s="77"/>
      <c r="N222" s="16" t="s">
        <v>198</v>
      </c>
    </row>
    <row r="223" spans="1:14" x14ac:dyDescent="0.2">
      <c r="A223" s="76"/>
      <c r="B223" s="77"/>
      <c r="C223" s="77"/>
      <c r="D223" s="77"/>
      <c r="E223" s="77"/>
      <c r="F223" s="77"/>
      <c r="G223" s="77"/>
      <c r="H223" s="77"/>
      <c r="I223" s="77"/>
      <c r="N223" s="16" t="s">
        <v>199</v>
      </c>
    </row>
    <row r="224" spans="1:14" x14ac:dyDescent="0.2">
      <c r="A224" s="76"/>
      <c r="B224" s="77"/>
      <c r="C224" s="77"/>
      <c r="D224" s="77"/>
      <c r="E224" s="77"/>
      <c r="F224" s="77"/>
      <c r="G224" s="77"/>
      <c r="H224" s="77"/>
      <c r="I224" s="77"/>
      <c r="N224" s="16" t="s">
        <v>200</v>
      </c>
    </row>
    <row r="225" spans="1:14" x14ac:dyDescent="0.2">
      <c r="A225" s="76"/>
      <c r="B225" s="77"/>
      <c r="C225" s="77"/>
      <c r="D225" s="77"/>
      <c r="E225" s="77"/>
      <c r="F225" s="77"/>
      <c r="G225" s="77"/>
      <c r="H225" s="77"/>
      <c r="I225" s="77"/>
      <c r="N225" s="16" t="s">
        <v>201</v>
      </c>
    </row>
    <row r="226" spans="1:14" x14ac:dyDescent="0.2">
      <c r="A226" s="76"/>
      <c r="B226" s="77"/>
      <c r="C226" s="77"/>
      <c r="D226" s="77"/>
      <c r="E226" s="77"/>
      <c r="F226" s="77"/>
      <c r="G226" s="77"/>
      <c r="H226" s="77"/>
      <c r="I226" s="77"/>
      <c r="N226" s="16" t="s">
        <v>487</v>
      </c>
    </row>
    <row r="227" spans="1:14" x14ac:dyDescent="0.2">
      <c r="A227" s="76"/>
      <c r="B227" s="77"/>
      <c r="C227" s="77"/>
      <c r="D227" s="77"/>
      <c r="E227" s="77"/>
      <c r="F227" s="77"/>
      <c r="G227" s="77"/>
      <c r="H227" s="77"/>
      <c r="I227" s="77"/>
      <c r="L227" s="78"/>
      <c r="M227" s="78"/>
      <c r="N227" s="16" t="s">
        <v>202</v>
      </c>
    </row>
    <row r="228" spans="1:14" x14ac:dyDescent="0.2">
      <c r="A228" s="76"/>
      <c r="B228" s="77"/>
      <c r="C228" s="77"/>
      <c r="D228" s="77"/>
      <c r="E228" s="77"/>
      <c r="F228" s="77"/>
      <c r="G228" s="77"/>
      <c r="H228" s="77"/>
      <c r="I228" s="77"/>
      <c r="N228" s="16" t="s">
        <v>203</v>
      </c>
    </row>
    <row r="229" spans="1:14" x14ac:dyDescent="0.2">
      <c r="A229" s="76"/>
      <c r="B229" s="77"/>
      <c r="C229" s="77"/>
      <c r="D229" s="77"/>
      <c r="E229" s="77"/>
      <c r="F229" s="77"/>
      <c r="G229" s="77"/>
      <c r="H229" s="77"/>
      <c r="I229" s="77"/>
      <c r="N229" s="16" t="s">
        <v>486</v>
      </c>
    </row>
    <row r="230" spans="1:14" x14ac:dyDescent="0.2">
      <c r="A230" s="76"/>
      <c r="B230" s="77"/>
      <c r="C230" s="77"/>
      <c r="D230" s="77"/>
      <c r="E230" s="77"/>
      <c r="F230" s="77"/>
      <c r="G230" s="77"/>
      <c r="H230" s="77"/>
      <c r="I230" s="77"/>
      <c r="N230" s="16" t="s">
        <v>204</v>
      </c>
    </row>
    <row r="231" spans="1:14" x14ac:dyDescent="0.2">
      <c r="A231" s="76"/>
      <c r="B231" s="77"/>
      <c r="C231" s="77"/>
      <c r="D231" s="77"/>
      <c r="E231" s="77"/>
      <c r="F231" s="77"/>
      <c r="G231" s="77"/>
      <c r="H231" s="77"/>
      <c r="I231" s="77"/>
      <c r="N231" s="16" t="s">
        <v>205</v>
      </c>
    </row>
    <row r="232" spans="1:14" x14ac:dyDescent="0.2">
      <c r="A232" s="76"/>
      <c r="B232" s="77"/>
      <c r="C232" s="77"/>
      <c r="D232" s="77"/>
      <c r="E232" s="77"/>
      <c r="F232" s="77"/>
      <c r="G232" s="77"/>
      <c r="H232" s="77"/>
      <c r="I232" s="77"/>
      <c r="N232" s="16" t="s">
        <v>206</v>
      </c>
    </row>
    <row r="233" spans="1:14" x14ac:dyDescent="0.2">
      <c r="A233" s="76"/>
      <c r="B233" s="77"/>
      <c r="C233" s="77"/>
      <c r="D233" s="77"/>
      <c r="E233" s="77"/>
      <c r="F233" s="77"/>
      <c r="G233" s="77"/>
      <c r="H233" s="77"/>
      <c r="I233" s="77"/>
      <c r="N233" s="16" t="s">
        <v>207</v>
      </c>
    </row>
    <row r="234" spans="1:14" x14ac:dyDescent="0.2">
      <c r="A234" s="76"/>
      <c r="B234" s="77"/>
      <c r="C234" s="77"/>
      <c r="D234" s="77"/>
      <c r="E234" s="77"/>
      <c r="F234" s="77"/>
      <c r="G234" s="77"/>
      <c r="H234" s="77"/>
      <c r="I234" s="77"/>
      <c r="N234" s="16" t="s">
        <v>208</v>
      </c>
    </row>
    <row r="235" spans="1:14" x14ac:dyDescent="0.2">
      <c r="A235" s="76"/>
      <c r="B235" s="77"/>
      <c r="C235" s="77"/>
      <c r="D235" s="77"/>
      <c r="E235" s="77"/>
      <c r="F235" s="77"/>
      <c r="G235" s="77"/>
      <c r="H235" s="77"/>
      <c r="I235" s="77"/>
      <c r="N235" s="16" t="s">
        <v>209</v>
      </c>
    </row>
    <row r="236" spans="1:14" x14ac:dyDescent="0.2">
      <c r="A236" s="76"/>
      <c r="B236" s="77"/>
      <c r="C236" s="77"/>
      <c r="D236" s="77"/>
      <c r="E236" s="77"/>
      <c r="F236" s="77"/>
      <c r="G236" s="77"/>
      <c r="H236" s="77"/>
      <c r="I236" s="77"/>
      <c r="N236" s="16" t="s">
        <v>485</v>
      </c>
    </row>
    <row r="237" spans="1:14" x14ac:dyDescent="0.2">
      <c r="A237" s="76"/>
      <c r="B237" s="77"/>
      <c r="C237" s="77"/>
      <c r="D237" s="77"/>
      <c r="E237" s="77"/>
      <c r="F237" s="77"/>
      <c r="G237" s="77"/>
      <c r="H237" s="77"/>
      <c r="I237" s="77"/>
      <c r="N237" s="16" t="s">
        <v>210</v>
      </c>
    </row>
    <row r="238" spans="1:14" x14ac:dyDescent="0.2">
      <c r="A238" s="76"/>
      <c r="B238" s="77"/>
      <c r="C238" s="77"/>
      <c r="D238" s="77"/>
      <c r="E238" s="77"/>
      <c r="F238" s="77"/>
      <c r="G238" s="77"/>
      <c r="H238" s="77"/>
      <c r="I238" s="77"/>
      <c r="N238" s="16" t="s">
        <v>211</v>
      </c>
    </row>
    <row r="239" spans="1:14" x14ac:dyDescent="0.2">
      <c r="A239" s="76"/>
      <c r="B239" s="77"/>
      <c r="C239" s="77"/>
      <c r="D239" s="77"/>
      <c r="E239" s="77"/>
      <c r="F239" s="77"/>
      <c r="G239" s="77"/>
      <c r="H239" s="77"/>
      <c r="I239" s="77"/>
      <c r="N239" s="16" t="s">
        <v>212</v>
      </c>
    </row>
    <row r="240" spans="1:14" x14ac:dyDescent="0.2">
      <c r="A240" s="76"/>
      <c r="B240" s="77"/>
      <c r="C240" s="77"/>
      <c r="D240" s="77"/>
      <c r="E240" s="77"/>
      <c r="F240" s="77"/>
      <c r="G240" s="77"/>
      <c r="H240" s="77"/>
      <c r="I240" s="77"/>
      <c r="N240" s="16" t="s">
        <v>213</v>
      </c>
    </row>
    <row r="241" spans="1:14" x14ac:dyDescent="0.2">
      <c r="A241" s="76"/>
      <c r="B241" s="77"/>
      <c r="C241" s="77"/>
      <c r="D241" s="77"/>
      <c r="E241" s="77"/>
      <c r="F241" s="77"/>
      <c r="G241" s="77"/>
      <c r="H241" s="77"/>
      <c r="I241" s="77"/>
      <c r="N241" s="16" t="s">
        <v>214</v>
      </c>
    </row>
    <row r="242" spans="1:14" x14ac:dyDescent="0.2">
      <c r="A242" s="76"/>
      <c r="B242" s="77"/>
      <c r="C242" s="77"/>
      <c r="D242" s="77"/>
      <c r="E242" s="77"/>
      <c r="F242" s="77"/>
      <c r="G242" s="77"/>
      <c r="H242" s="77"/>
      <c r="I242" s="77"/>
      <c r="N242" s="16" t="s">
        <v>215</v>
      </c>
    </row>
    <row r="243" spans="1:14" x14ac:dyDescent="0.2">
      <c r="A243" s="76"/>
      <c r="B243" s="77"/>
      <c r="C243" s="77"/>
      <c r="D243" s="77"/>
      <c r="E243" s="77"/>
      <c r="F243" s="77"/>
      <c r="G243" s="77"/>
      <c r="H243" s="77"/>
      <c r="I243" s="77"/>
      <c r="N243" s="16" t="s">
        <v>216</v>
      </c>
    </row>
    <row r="244" spans="1:14" x14ac:dyDescent="0.2">
      <c r="A244" s="76"/>
      <c r="B244" s="77"/>
      <c r="C244" s="77"/>
      <c r="D244" s="77"/>
      <c r="E244" s="77"/>
      <c r="F244" s="77"/>
      <c r="G244" s="77"/>
      <c r="H244" s="77"/>
      <c r="I244" s="77"/>
      <c r="N244" s="16" t="s">
        <v>484</v>
      </c>
    </row>
    <row r="245" spans="1:14" x14ac:dyDescent="0.2">
      <c r="A245" s="76"/>
      <c r="B245" s="77"/>
      <c r="C245" s="77"/>
      <c r="D245" s="77"/>
      <c r="E245" s="77"/>
      <c r="F245" s="77"/>
      <c r="G245" s="77"/>
      <c r="H245" s="77"/>
      <c r="I245" s="77"/>
      <c r="N245" s="16" t="s">
        <v>217</v>
      </c>
    </row>
    <row r="246" spans="1:14" x14ac:dyDescent="0.2">
      <c r="A246" s="76"/>
      <c r="B246" s="77"/>
      <c r="C246" s="77"/>
      <c r="D246" s="77"/>
      <c r="E246" s="77"/>
      <c r="F246" s="77"/>
      <c r="G246" s="77"/>
      <c r="H246" s="77"/>
      <c r="I246" s="77"/>
      <c r="N246" s="16" t="s">
        <v>218</v>
      </c>
    </row>
    <row r="247" spans="1:14" x14ac:dyDescent="0.2">
      <c r="A247" s="76"/>
      <c r="B247" s="77"/>
      <c r="C247" s="77"/>
      <c r="D247" s="77"/>
      <c r="E247" s="77"/>
      <c r="F247" s="77"/>
      <c r="G247" s="77"/>
      <c r="H247" s="77"/>
      <c r="I247" s="77"/>
      <c r="N247" s="16" t="s">
        <v>219</v>
      </c>
    </row>
    <row r="248" spans="1:14" x14ac:dyDescent="0.2">
      <c r="A248" s="76"/>
      <c r="B248" s="77"/>
      <c r="C248" s="77"/>
      <c r="D248" s="77"/>
      <c r="E248" s="77"/>
      <c r="F248" s="77"/>
      <c r="G248" s="77"/>
      <c r="H248" s="77"/>
      <c r="I248" s="77"/>
      <c r="N248" s="16" t="s">
        <v>483</v>
      </c>
    </row>
    <row r="249" spans="1:14" x14ac:dyDescent="0.2">
      <c r="A249" s="76"/>
      <c r="B249" s="77"/>
      <c r="C249" s="77"/>
      <c r="D249" s="77"/>
      <c r="E249" s="77"/>
      <c r="F249" s="77"/>
      <c r="G249" s="77"/>
      <c r="H249" s="77"/>
      <c r="I249" s="77"/>
      <c r="N249" s="16" t="s">
        <v>220</v>
      </c>
    </row>
    <row r="250" spans="1:14" x14ac:dyDescent="0.2">
      <c r="A250" s="76"/>
      <c r="B250" s="77"/>
      <c r="C250" s="77"/>
      <c r="D250" s="77"/>
      <c r="E250" s="77"/>
      <c r="F250" s="77"/>
      <c r="G250" s="77"/>
      <c r="H250" s="77"/>
      <c r="I250" s="77"/>
      <c r="N250" s="16" t="s">
        <v>221</v>
      </c>
    </row>
    <row r="251" spans="1:14" x14ac:dyDescent="0.2">
      <c r="A251" s="76"/>
      <c r="B251" s="77"/>
      <c r="C251" s="77"/>
      <c r="D251" s="77"/>
      <c r="E251" s="77"/>
      <c r="F251" s="77"/>
      <c r="G251" s="77"/>
      <c r="H251" s="77"/>
      <c r="I251" s="77"/>
      <c r="N251" s="16" t="s">
        <v>222</v>
      </c>
    </row>
    <row r="252" spans="1:14" x14ac:dyDescent="0.2">
      <c r="A252" s="76"/>
      <c r="B252" s="77"/>
      <c r="C252" s="77"/>
      <c r="D252" s="77"/>
      <c r="E252" s="77"/>
      <c r="F252" s="77"/>
      <c r="G252" s="77"/>
      <c r="H252" s="77"/>
      <c r="I252" s="77"/>
      <c r="N252" s="16" t="s">
        <v>223</v>
      </c>
    </row>
    <row r="253" spans="1:14" x14ac:dyDescent="0.2">
      <c r="A253" s="76"/>
      <c r="B253" s="77"/>
      <c r="C253" s="77"/>
      <c r="D253" s="77"/>
      <c r="E253" s="77"/>
      <c r="F253" s="77"/>
      <c r="G253" s="77"/>
      <c r="H253" s="77"/>
      <c r="I253" s="77"/>
      <c r="N253" s="16" t="s">
        <v>224</v>
      </c>
    </row>
    <row r="254" spans="1:14" x14ac:dyDescent="0.2">
      <c r="A254" s="76"/>
      <c r="B254" s="77"/>
      <c r="C254" s="77"/>
      <c r="D254" s="77"/>
      <c r="E254" s="77"/>
      <c r="F254" s="77"/>
      <c r="G254" s="77"/>
      <c r="H254" s="77"/>
      <c r="I254" s="77"/>
      <c r="N254" s="16" t="s">
        <v>225</v>
      </c>
    </row>
    <row r="255" spans="1:14" x14ac:dyDescent="0.2">
      <c r="A255" s="76"/>
      <c r="B255" s="77"/>
      <c r="C255" s="77"/>
      <c r="D255" s="77"/>
      <c r="E255" s="77"/>
      <c r="F255" s="77"/>
      <c r="G255" s="77"/>
      <c r="H255" s="77"/>
      <c r="I255" s="77"/>
      <c r="N255" s="16" t="s">
        <v>226</v>
      </c>
    </row>
    <row r="256" spans="1:14" x14ac:dyDescent="0.2">
      <c r="A256" s="76"/>
      <c r="B256" s="77"/>
      <c r="C256" s="77"/>
      <c r="D256" s="77"/>
      <c r="E256" s="77"/>
      <c r="F256" s="77"/>
      <c r="G256" s="77"/>
      <c r="H256" s="77"/>
      <c r="I256" s="77"/>
      <c r="N256" s="16" t="s">
        <v>227</v>
      </c>
    </row>
    <row r="257" spans="1:14" x14ac:dyDescent="0.2">
      <c r="A257" s="76"/>
      <c r="B257" s="77"/>
      <c r="C257" s="77"/>
      <c r="D257" s="77"/>
      <c r="E257" s="77"/>
      <c r="F257" s="77"/>
      <c r="G257" s="77"/>
      <c r="H257" s="77"/>
      <c r="I257" s="77"/>
      <c r="N257" s="16" t="s">
        <v>228</v>
      </c>
    </row>
    <row r="258" spans="1:14" x14ac:dyDescent="0.2">
      <c r="A258" s="76"/>
      <c r="B258" s="77"/>
      <c r="C258" s="77"/>
      <c r="D258" s="77"/>
      <c r="E258" s="77"/>
      <c r="F258" s="77"/>
      <c r="G258" s="77"/>
      <c r="H258" s="77"/>
      <c r="I258" s="77"/>
      <c r="N258" s="16" t="s">
        <v>229</v>
      </c>
    </row>
    <row r="259" spans="1:14" x14ac:dyDescent="0.2">
      <c r="A259" s="76"/>
      <c r="B259" s="77"/>
      <c r="C259" s="77"/>
      <c r="D259" s="77"/>
      <c r="E259" s="77"/>
      <c r="F259" s="77"/>
      <c r="G259" s="77"/>
      <c r="H259" s="77"/>
      <c r="I259" s="77"/>
      <c r="N259" s="16" t="s">
        <v>230</v>
      </c>
    </row>
    <row r="260" spans="1:14" x14ac:dyDescent="0.2">
      <c r="A260" s="76"/>
      <c r="B260" s="77"/>
      <c r="C260" s="77"/>
      <c r="D260" s="77"/>
      <c r="E260" s="77"/>
      <c r="F260" s="77"/>
      <c r="G260" s="77"/>
      <c r="H260" s="77"/>
      <c r="I260" s="77"/>
      <c r="N260" s="16" t="s">
        <v>231</v>
      </c>
    </row>
    <row r="261" spans="1:14" x14ac:dyDescent="0.2">
      <c r="A261" s="76"/>
      <c r="B261" s="77"/>
      <c r="C261" s="77"/>
      <c r="D261" s="77"/>
      <c r="E261" s="77"/>
      <c r="F261" s="77"/>
      <c r="G261" s="77"/>
      <c r="H261" s="77"/>
      <c r="I261" s="77"/>
      <c r="N261" s="16" t="s">
        <v>232</v>
      </c>
    </row>
    <row r="262" spans="1:14" x14ac:dyDescent="0.2">
      <c r="A262" s="76"/>
      <c r="B262" s="77"/>
      <c r="C262" s="77"/>
      <c r="D262" s="77"/>
      <c r="E262" s="77"/>
      <c r="F262" s="77"/>
      <c r="G262" s="77"/>
      <c r="H262" s="77"/>
      <c r="I262" s="77"/>
      <c r="N262" s="16" t="s">
        <v>233</v>
      </c>
    </row>
    <row r="263" spans="1:14" x14ac:dyDescent="0.2">
      <c r="A263" s="76"/>
      <c r="B263" s="77"/>
      <c r="C263" s="77"/>
      <c r="D263" s="77"/>
      <c r="E263" s="77"/>
      <c r="F263" s="77"/>
      <c r="G263" s="77"/>
      <c r="H263" s="77"/>
      <c r="I263" s="77"/>
      <c r="N263" s="16" t="s">
        <v>234</v>
      </c>
    </row>
    <row r="264" spans="1:14" x14ac:dyDescent="0.2">
      <c r="A264" s="76"/>
      <c r="B264" s="77"/>
      <c r="C264" s="77"/>
      <c r="D264" s="77"/>
      <c r="E264" s="77"/>
      <c r="F264" s="77"/>
      <c r="G264" s="77"/>
      <c r="H264" s="77"/>
      <c r="I264" s="77"/>
      <c r="N264" s="16" t="s">
        <v>235</v>
      </c>
    </row>
    <row r="265" spans="1:14" x14ac:dyDescent="0.2">
      <c r="A265" s="76"/>
      <c r="B265" s="77"/>
      <c r="C265" s="77"/>
      <c r="D265" s="77"/>
      <c r="E265" s="77"/>
      <c r="F265" s="77"/>
      <c r="G265" s="77"/>
      <c r="H265" s="77"/>
      <c r="I265" s="77"/>
      <c r="N265" s="16" t="s">
        <v>236</v>
      </c>
    </row>
    <row r="266" spans="1:14" x14ac:dyDescent="0.2">
      <c r="A266" s="76"/>
      <c r="B266" s="77"/>
      <c r="C266" s="77"/>
      <c r="D266" s="77"/>
      <c r="E266" s="77"/>
      <c r="F266" s="77"/>
      <c r="G266" s="77"/>
      <c r="H266" s="77"/>
      <c r="I266" s="77"/>
      <c r="N266" s="16" t="s">
        <v>237</v>
      </c>
    </row>
    <row r="267" spans="1:14" x14ac:dyDescent="0.2">
      <c r="A267" s="76"/>
      <c r="B267" s="77"/>
      <c r="C267" s="77"/>
      <c r="D267" s="77"/>
      <c r="E267" s="77"/>
      <c r="F267" s="77"/>
      <c r="G267" s="77"/>
      <c r="H267" s="77"/>
      <c r="I267" s="77"/>
      <c r="N267" s="16" t="s">
        <v>238</v>
      </c>
    </row>
    <row r="268" spans="1:14" x14ac:dyDescent="0.2">
      <c r="A268" s="76"/>
      <c r="B268" s="77"/>
      <c r="C268" s="77"/>
      <c r="D268" s="77"/>
      <c r="E268" s="77"/>
      <c r="F268" s="77"/>
      <c r="G268" s="77"/>
      <c r="H268" s="77"/>
      <c r="I268" s="77"/>
      <c r="N268" s="16" t="s">
        <v>239</v>
      </c>
    </row>
    <row r="269" spans="1:14" x14ac:dyDescent="0.2">
      <c r="A269" s="76"/>
      <c r="B269" s="77"/>
      <c r="C269" s="77"/>
      <c r="D269" s="77"/>
      <c r="E269" s="77"/>
      <c r="F269" s="77"/>
      <c r="G269" s="77"/>
      <c r="H269" s="77"/>
      <c r="I269" s="77"/>
      <c r="N269" s="16" t="s">
        <v>239</v>
      </c>
    </row>
    <row r="270" spans="1:14" x14ac:dyDescent="0.2">
      <c r="A270" s="76"/>
      <c r="B270" s="77"/>
      <c r="C270" s="77"/>
      <c r="D270" s="77"/>
      <c r="E270" s="77"/>
      <c r="F270" s="77"/>
      <c r="G270" s="77"/>
      <c r="H270" s="77"/>
      <c r="I270" s="77"/>
      <c r="N270" s="16" t="s">
        <v>240</v>
      </c>
    </row>
    <row r="271" spans="1:14" x14ac:dyDescent="0.2">
      <c r="A271" s="76"/>
      <c r="B271" s="77"/>
      <c r="C271" s="77"/>
      <c r="D271" s="77"/>
      <c r="E271" s="77"/>
      <c r="F271" s="77"/>
      <c r="G271" s="77"/>
      <c r="H271" s="77"/>
      <c r="I271" s="77"/>
      <c r="N271" s="16" t="s">
        <v>241</v>
      </c>
    </row>
    <row r="272" spans="1:14" x14ac:dyDescent="0.2">
      <c r="A272" s="76"/>
      <c r="B272" s="77"/>
      <c r="C272" s="77"/>
      <c r="D272" s="77"/>
      <c r="E272" s="77"/>
      <c r="F272" s="77"/>
      <c r="G272" s="77"/>
      <c r="H272" s="77"/>
      <c r="I272" s="77"/>
      <c r="N272" s="16" t="s">
        <v>242</v>
      </c>
    </row>
    <row r="273" spans="1:14" x14ac:dyDescent="0.2">
      <c r="A273" s="76"/>
      <c r="B273" s="77"/>
      <c r="C273" s="77"/>
      <c r="D273" s="77"/>
      <c r="E273" s="77"/>
      <c r="F273" s="77"/>
      <c r="G273" s="77"/>
      <c r="H273" s="77"/>
      <c r="I273" s="77"/>
      <c r="N273" s="16" t="s">
        <v>243</v>
      </c>
    </row>
    <row r="274" spans="1:14" x14ac:dyDescent="0.2">
      <c r="A274" s="76"/>
      <c r="B274" s="77"/>
      <c r="C274" s="77"/>
      <c r="D274" s="77"/>
      <c r="E274" s="77"/>
      <c r="F274" s="77"/>
      <c r="G274" s="77"/>
      <c r="H274" s="77"/>
      <c r="I274" s="77"/>
      <c r="N274" s="16" t="s">
        <v>244</v>
      </c>
    </row>
    <row r="275" spans="1:14" x14ac:dyDescent="0.2">
      <c r="A275" s="76"/>
      <c r="B275" s="77"/>
      <c r="C275" s="77"/>
      <c r="D275" s="77"/>
      <c r="E275" s="77"/>
      <c r="F275" s="77"/>
      <c r="G275" s="77"/>
      <c r="H275" s="77"/>
      <c r="I275" s="77"/>
      <c r="N275" s="16" t="s">
        <v>245</v>
      </c>
    </row>
    <row r="276" spans="1:14" x14ac:dyDescent="0.2">
      <c r="A276" s="76"/>
      <c r="B276" s="77"/>
      <c r="C276" s="77"/>
      <c r="D276" s="77"/>
      <c r="E276" s="77"/>
      <c r="F276" s="77"/>
      <c r="G276" s="77"/>
      <c r="H276" s="77"/>
      <c r="I276" s="77"/>
      <c r="N276" s="16" t="s">
        <v>246</v>
      </c>
    </row>
    <row r="277" spans="1:14" x14ac:dyDescent="0.2">
      <c r="A277" s="76"/>
      <c r="B277" s="77"/>
      <c r="C277" s="77"/>
      <c r="D277" s="77"/>
      <c r="E277" s="77"/>
      <c r="F277" s="77"/>
      <c r="G277" s="77"/>
      <c r="H277" s="77"/>
      <c r="I277" s="77"/>
      <c r="N277" s="16" t="s">
        <v>482</v>
      </c>
    </row>
    <row r="278" spans="1:14" x14ac:dyDescent="0.2">
      <c r="A278" s="76"/>
      <c r="B278" s="77"/>
      <c r="C278" s="77"/>
      <c r="D278" s="77"/>
      <c r="E278" s="77"/>
      <c r="F278" s="77"/>
      <c r="G278" s="77"/>
      <c r="H278" s="77"/>
      <c r="I278" s="77"/>
      <c r="N278" s="16" t="s">
        <v>247</v>
      </c>
    </row>
    <row r="279" spans="1:14" x14ac:dyDescent="0.2">
      <c r="A279" s="76"/>
      <c r="B279" s="77"/>
      <c r="C279" s="77"/>
      <c r="D279" s="77"/>
      <c r="E279" s="77"/>
      <c r="F279" s="77"/>
      <c r="G279" s="77"/>
      <c r="H279" s="77"/>
      <c r="I279" s="77"/>
      <c r="N279" s="16" t="s">
        <v>248</v>
      </c>
    </row>
    <row r="280" spans="1:14" x14ac:dyDescent="0.2">
      <c r="A280" s="76"/>
      <c r="B280" s="77"/>
      <c r="C280" s="77"/>
      <c r="D280" s="77"/>
      <c r="E280" s="77"/>
      <c r="F280" s="77"/>
      <c r="G280" s="77"/>
      <c r="H280" s="77"/>
      <c r="I280" s="77"/>
      <c r="N280" s="16" t="s">
        <v>249</v>
      </c>
    </row>
    <row r="281" spans="1:14" x14ac:dyDescent="0.2">
      <c r="A281" s="76"/>
      <c r="B281" s="77"/>
      <c r="C281" s="77"/>
      <c r="D281" s="77"/>
      <c r="E281" s="77"/>
      <c r="F281" s="77"/>
      <c r="G281" s="77"/>
      <c r="H281" s="77"/>
      <c r="I281" s="77"/>
      <c r="N281" s="16" t="s">
        <v>251</v>
      </c>
    </row>
    <row r="282" spans="1:14" x14ac:dyDescent="0.2">
      <c r="A282" s="76"/>
      <c r="B282" s="77"/>
      <c r="C282" s="77"/>
      <c r="D282" s="77"/>
      <c r="E282" s="77"/>
      <c r="F282" s="77"/>
      <c r="G282" s="77"/>
      <c r="H282" s="77"/>
      <c r="I282" s="77"/>
      <c r="N282" s="16" t="s">
        <v>250</v>
      </c>
    </row>
    <row r="283" spans="1:14" x14ac:dyDescent="0.2">
      <c r="A283" s="76"/>
      <c r="B283" s="77"/>
      <c r="C283" s="77"/>
      <c r="D283" s="77"/>
      <c r="E283" s="77"/>
      <c r="F283" s="77"/>
      <c r="G283" s="77"/>
      <c r="H283" s="77"/>
      <c r="I283" s="77"/>
      <c r="N283" s="16" t="s">
        <v>252</v>
      </c>
    </row>
    <row r="284" spans="1:14" x14ac:dyDescent="0.2">
      <c r="A284" s="76"/>
      <c r="B284" s="77"/>
      <c r="C284" s="77"/>
      <c r="D284" s="77"/>
      <c r="E284" s="77"/>
      <c r="F284" s="77"/>
      <c r="G284" s="77"/>
      <c r="H284" s="77"/>
      <c r="I284" s="77"/>
      <c r="N284" s="16" t="s">
        <v>253</v>
      </c>
    </row>
    <row r="285" spans="1:14" x14ac:dyDescent="0.2">
      <c r="A285" s="76"/>
      <c r="B285" s="77"/>
      <c r="C285" s="77"/>
      <c r="D285" s="77"/>
      <c r="E285" s="77"/>
      <c r="F285" s="77"/>
      <c r="G285" s="77"/>
      <c r="H285" s="77"/>
      <c r="I285" s="77"/>
      <c r="N285" s="16" t="s">
        <v>254</v>
      </c>
    </row>
    <row r="286" spans="1:14" x14ac:dyDescent="0.2">
      <c r="A286" s="76"/>
      <c r="B286" s="77"/>
      <c r="C286" s="77"/>
      <c r="D286" s="77"/>
      <c r="E286" s="77"/>
      <c r="F286" s="77"/>
      <c r="G286" s="77"/>
      <c r="H286" s="77"/>
      <c r="I286" s="77"/>
      <c r="N286" s="16" t="s">
        <v>255</v>
      </c>
    </row>
    <row r="287" spans="1:14" x14ac:dyDescent="0.2">
      <c r="A287" s="76"/>
      <c r="B287" s="77"/>
      <c r="C287" s="77"/>
      <c r="D287" s="77"/>
      <c r="E287" s="77"/>
      <c r="F287" s="77"/>
      <c r="G287" s="77"/>
      <c r="H287" s="77"/>
      <c r="I287" s="77"/>
      <c r="N287" s="16" t="s">
        <v>256</v>
      </c>
    </row>
    <row r="288" spans="1:14" x14ac:dyDescent="0.2">
      <c r="A288" s="76"/>
      <c r="B288" s="77"/>
      <c r="C288" s="77"/>
      <c r="D288" s="77"/>
      <c r="E288" s="77"/>
      <c r="F288" s="77"/>
      <c r="G288" s="77"/>
      <c r="H288" s="77"/>
      <c r="I288" s="77"/>
      <c r="N288" s="16" t="s">
        <v>257</v>
      </c>
    </row>
    <row r="289" spans="1:14" x14ac:dyDescent="0.2">
      <c r="A289" s="76"/>
      <c r="B289" s="77"/>
      <c r="C289" s="77"/>
      <c r="D289" s="77"/>
      <c r="E289" s="77"/>
      <c r="F289" s="77"/>
      <c r="G289" s="77"/>
      <c r="H289" s="77"/>
      <c r="I289" s="77"/>
      <c r="N289" s="16" t="s">
        <v>258</v>
      </c>
    </row>
    <row r="290" spans="1:14" x14ac:dyDescent="0.2">
      <c r="A290" s="76"/>
      <c r="B290" s="77"/>
      <c r="C290" s="77"/>
      <c r="D290" s="77"/>
      <c r="E290" s="77"/>
      <c r="F290" s="77"/>
      <c r="G290" s="77"/>
      <c r="H290" s="77"/>
      <c r="I290" s="77"/>
      <c r="N290" s="16" t="s">
        <v>259</v>
      </c>
    </row>
    <row r="291" spans="1:14" x14ac:dyDescent="0.2">
      <c r="A291" s="76"/>
      <c r="B291" s="77"/>
      <c r="C291" s="77"/>
      <c r="D291" s="77"/>
      <c r="E291" s="77"/>
      <c r="F291" s="77"/>
      <c r="G291" s="77"/>
      <c r="H291" s="77"/>
      <c r="I291" s="77"/>
      <c r="N291" s="16" t="s">
        <v>260</v>
      </c>
    </row>
    <row r="292" spans="1:14" x14ac:dyDescent="0.2">
      <c r="A292" s="76"/>
      <c r="B292" s="77"/>
      <c r="C292" s="77"/>
      <c r="D292" s="77"/>
      <c r="E292" s="77"/>
      <c r="F292" s="77"/>
      <c r="G292" s="77"/>
      <c r="H292" s="77"/>
      <c r="I292" s="77"/>
      <c r="N292" s="16" t="s">
        <v>261</v>
      </c>
    </row>
    <row r="293" spans="1:14" x14ac:dyDescent="0.2">
      <c r="A293" s="76"/>
      <c r="B293" s="77"/>
      <c r="C293" s="77"/>
      <c r="D293" s="77"/>
      <c r="E293" s="77"/>
      <c r="F293" s="77"/>
      <c r="G293" s="77"/>
      <c r="H293" s="77"/>
      <c r="I293" s="77"/>
      <c r="N293" s="16" t="s">
        <v>262</v>
      </c>
    </row>
    <row r="294" spans="1:14" x14ac:dyDescent="0.2">
      <c r="A294" s="76"/>
      <c r="B294" s="77"/>
      <c r="C294" s="77"/>
      <c r="D294" s="77"/>
      <c r="E294" s="77"/>
      <c r="F294" s="77"/>
      <c r="G294" s="77"/>
      <c r="H294" s="77"/>
      <c r="I294" s="77"/>
      <c r="N294" s="16" t="s">
        <v>263</v>
      </c>
    </row>
    <row r="295" spans="1:14" x14ac:dyDescent="0.2">
      <c r="A295" s="76"/>
      <c r="B295" s="77"/>
      <c r="C295" s="77"/>
      <c r="D295" s="77"/>
      <c r="E295" s="77"/>
      <c r="F295" s="77"/>
      <c r="G295" s="77"/>
      <c r="H295" s="77"/>
      <c r="I295" s="77"/>
      <c r="N295" s="16" t="s">
        <v>264</v>
      </c>
    </row>
    <row r="296" spans="1:14" x14ac:dyDescent="0.2">
      <c r="A296" s="76"/>
      <c r="B296" s="77"/>
      <c r="C296" s="77"/>
      <c r="D296" s="77"/>
      <c r="E296" s="77"/>
      <c r="F296" s="77"/>
      <c r="G296" s="77"/>
      <c r="H296" s="77"/>
      <c r="I296" s="77"/>
      <c r="N296" s="16" t="s">
        <v>265</v>
      </c>
    </row>
    <row r="297" spans="1:14" x14ac:dyDescent="0.2">
      <c r="A297" s="76"/>
      <c r="B297" s="77"/>
      <c r="C297" s="77"/>
      <c r="D297" s="77"/>
      <c r="E297" s="77"/>
      <c r="F297" s="77"/>
      <c r="G297" s="77"/>
      <c r="H297" s="77"/>
      <c r="I297" s="77"/>
      <c r="N297" s="16" t="s">
        <v>266</v>
      </c>
    </row>
    <row r="298" spans="1:14" x14ac:dyDescent="0.2">
      <c r="A298" s="76"/>
      <c r="B298" s="77"/>
      <c r="C298" s="77"/>
      <c r="D298" s="77"/>
      <c r="E298" s="77"/>
      <c r="F298" s="77"/>
      <c r="G298" s="77"/>
      <c r="H298" s="77"/>
      <c r="I298" s="77"/>
      <c r="N298" s="16" t="s">
        <v>267</v>
      </c>
    </row>
    <row r="299" spans="1:14" x14ac:dyDescent="0.2">
      <c r="A299" s="76"/>
      <c r="B299" s="77"/>
      <c r="C299" s="77"/>
      <c r="D299" s="77"/>
      <c r="E299" s="77"/>
      <c r="F299" s="77"/>
      <c r="G299" s="77"/>
      <c r="H299" s="77"/>
      <c r="I299" s="77"/>
      <c r="N299" s="16" t="s">
        <v>268</v>
      </c>
    </row>
    <row r="300" spans="1:14" x14ac:dyDescent="0.2">
      <c r="A300" s="76"/>
      <c r="B300" s="77"/>
      <c r="C300" s="77"/>
      <c r="D300" s="77"/>
      <c r="E300" s="77"/>
      <c r="F300" s="77"/>
      <c r="G300" s="77"/>
      <c r="H300" s="77"/>
      <c r="I300" s="77"/>
      <c r="N300" s="16" t="s">
        <v>269</v>
      </c>
    </row>
    <row r="301" spans="1:14" x14ac:dyDescent="0.2">
      <c r="A301" s="76"/>
      <c r="B301" s="77"/>
      <c r="C301" s="77"/>
      <c r="D301" s="77"/>
      <c r="E301" s="77"/>
      <c r="F301" s="77"/>
      <c r="G301" s="77"/>
      <c r="H301" s="77"/>
      <c r="I301" s="77"/>
      <c r="N301" s="16" t="s">
        <v>270</v>
      </c>
    </row>
    <row r="302" spans="1:14" x14ac:dyDescent="0.2">
      <c r="A302" s="76"/>
      <c r="B302" s="77"/>
      <c r="C302" s="77"/>
      <c r="D302" s="77"/>
      <c r="E302" s="77"/>
      <c r="F302" s="77"/>
      <c r="G302" s="77"/>
      <c r="H302" s="77"/>
      <c r="I302" s="77"/>
      <c r="N302" s="16" t="s">
        <v>271</v>
      </c>
    </row>
    <row r="303" spans="1:14" x14ac:dyDescent="0.2">
      <c r="A303" s="76"/>
      <c r="B303" s="77"/>
      <c r="C303" s="77"/>
      <c r="D303" s="77"/>
      <c r="E303" s="77"/>
      <c r="F303" s="77"/>
      <c r="G303" s="77"/>
      <c r="H303" s="77"/>
      <c r="I303" s="77"/>
      <c r="N303" s="16" t="s">
        <v>272</v>
      </c>
    </row>
    <row r="304" spans="1:14" x14ac:dyDescent="0.2">
      <c r="A304" s="76"/>
      <c r="B304" s="77"/>
      <c r="C304" s="77"/>
      <c r="D304" s="77"/>
      <c r="E304" s="77"/>
      <c r="F304" s="77"/>
      <c r="G304" s="77"/>
      <c r="H304" s="77"/>
      <c r="I304" s="77"/>
      <c r="N304" s="16" t="s">
        <v>273</v>
      </c>
    </row>
    <row r="305" spans="1:14" x14ac:dyDescent="0.2">
      <c r="A305" s="76"/>
      <c r="B305" s="77"/>
      <c r="C305" s="77"/>
      <c r="D305" s="77"/>
      <c r="E305" s="77"/>
      <c r="F305" s="77"/>
      <c r="G305" s="77"/>
      <c r="H305" s="77"/>
      <c r="I305" s="77"/>
      <c r="N305" s="16" t="s">
        <v>274</v>
      </c>
    </row>
    <row r="306" spans="1:14" x14ac:dyDescent="0.2">
      <c r="A306" s="76"/>
      <c r="B306" s="77"/>
      <c r="C306" s="77"/>
      <c r="D306" s="77"/>
      <c r="E306" s="77"/>
      <c r="F306" s="77"/>
      <c r="G306" s="77"/>
      <c r="H306" s="77"/>
      <c r="I306" s="77"/>
      <c r="N306" s="16" t="s">
        <v>275</v>
      </c>
    </row>
    <row r="307" spans="1:14" x14ac:dyDescent="0.2">
      <c r="A307" s="76"/>
      <c r="B307" s="77"/>
      <c r="C307" s="77"/>
      <c r="D307" s="77"/>
      <c r="E307" s="77"/>
      <c r="F307" s="77"/>
      <c r="G307" s="77"/>
      <c r="H307" s="77"/>
      <c r="I307" s="77"/>
      <c r="N307" s="16" t="s">
        <v>276</v>
      </c>
    </row>
    <row r="308" spans="1:14" x14ac:dyDescent="0.2">
      <c r="A308" s="76"/>
      <c r="B308" s="77"/>
      <c r="C308" s="77"/>
      <c r="D308" s="77"/>
      <c r="E308" s="77"/>
      <c r="F308" s="77"/>
      <c r="G308" s="77"/>
      <c r="H308" s="77"/>
      <c r="I308" s="77"/>
      <c r="N308" s="16" t="s">
        <v>481</v>
      </c>
    </row>
    <row r="309" spans="1:14" x14ac:dyDescent="0.2">
      <c r="A309" s="76"/>
      <c r="B309" s="77"/>
      <c r="C309" s="77"/>
      <c r="D309" s="77"/>
      <c r="E309" s="77"/>
      <c r="F309" s="77"/>
      <c r="G309" s="77"/>
      <c r="H309" s="77"/>
      <c r="I309" s="77"/>
      <c r="N309" s="16" t="s">
        <v>277</v>
      </c>
    </row>
    <row r="310" spans="1:14" x14ac:dyDescent="0.2">
      <c r="A310" s="76"/>
      <c r="B310" s="77"/>
      <c r="C310" s="77"/>
      <c r="D310" s="77"/>
      <c r="E310" s="77"/>
      <c r="F310" s="77"/>
      <c r="G310" s="77"/>
      <c r="H310" s="77"/>
      <c r="I310" s="77"/>
      <c r="N310" s="16" t="s">
        <v>480</v>
      </c>
    </row>
    <row r="311" spans="1:14" x14ac:dyDescent="0.2">
      <c r="A311" s="76"/>
      <c r="B311" s="77"/>
      <c r="C311" s="77"/>
      <c r="D311" s="77"/>
      <c r="E311" s="77"/>
      <c r="F311" s="77"/>
      <c r="G311" s="77"/>
      <c r="H311" s="77"/>
      <c r="I311" s="77"/>
      <c r="N311" s="16" t="s">
        <v>278</v>
      </c>
    </row>
    <row r="312" spans="1:14" x14ac:dyDescent="0.2">
      <c r="A312" s="76"/>
      <c r="B312" s="77"/>
      <c r="C312" s="77"/>
      <c r="D312" s="77"/>
      <c r="E312" s="77"/>
      <c r="F312" s="77"/>
      <c r="G312" s="77"/>
      <c r="H312" s="77"/>
      <c r="I312" s="77"/>
      <c r="N312" s="16" t="s">
        <v>279</v>
      </c>
    </row>
    <row r="313" spans="1:14" x14ac:dyDescent="0.2">
      <c r="A313" s="76"/>
      <c r="B313" s="77"/>
      <c r="C313" s="77"/>
      <c r="D313" s="77"/>
      <c r="E313" s="77"/>
      <c r="F313" s="77"/>
      <c r="G313" s="77"/>
      <c r="H313" s="77"/>
      <c r="I313" s="77"/>
      <c r="N313" s="16" t="s">
        <v>280</v>
      </c>
    </row>
    <row r="314" spans="1:14" x14ac:dyDescent="0.2">
      <c r="A314" s="76"/>
      <c r="B314" s="77"/>
      <c r="C314" s="77"/>
      <c r="D314" s="77"/>
      <c r="E314" s="77"/>
      <c r="F314" s="77"/>
      <c r="G314" s="77"/>
      <c r="H314" s="77"/>
      <c r="I314" s="77"/>
      <c r="N314" s="16" t="s">
        <v>281</v>
      </c>
    </row>
    <row r="315" spans="1:14" x14ac:dyDescent="0.2">
      <c r="A315" s="76"/>
      <c r="B315" s="77"/>
      <c r="C315" s="77"/>
      <c r="D315" s="77"/>
      <c r="E315" s="77"/>
      <c r="F315" s="77"/>
      <c r="G315" s="77"/>
      <c r="H315" s="77"/>
      <c r="I315" s="77"/>
      <c r="N315" s="16" t="s">
        <v>282</v>
      </c>
    </row>
    <row r="316" spans="1:14" x14ac:dyDescent="0.2">
      <c r="A316" s="76"/>
      <c r="B316" s="77"/>
      <c r="C316" s="77"/>
      <c r="D316" s="77"/>
      <c r="E316" s="77"/>
      <c r="F316" s="77"/>
      <c r="G316" s="77"/>
      <c r="H316" s="77"/>
      <c r="I316" s="77"/>
      <c r="N316" s="16" t="s">
        <v>283</v>
      </c>
    </row>
    <row r="317" spans="1:14" x14ac:dyDescent="0.2">
      <c r="A317" s="76"/>
      <c r="B317" s="77"/>
      <c r="C317" s="77"/>
      <c r="D317" s="77"/>
      <c r="E317" s="77"/>
      <c r="F317" s="77"/>
      <c r="G317" s="77"/>
      <c r="H317" s="77"/>
      <c r="I317" s="77"/>
      <c r="N317" s="16" t="s">
        <v>284</v>
      </c>
    </row>
    <row r="318" spans="1:14" x14ac:dyDescent="0.2">
      <c r="A318" s="76"/>
      <c r="B318" s="77"/>
      <c r="C318" s="77"/>
      <c r="D318" s="77"/>
      <c r="E318" s="77"/>
      <c r="F318" s="77"/>
      <c r="G318" s="77"/>
      <c r="H318" s="77"/>
      <c r="I318" s="77"/>
      <c r="N318" s="16" t="s">
        <v>285</v>
      </c>
    </row>
    <row r="319" spans="1:14" x14ac:dyDescent="0.2">
      <c r="A319" s="76"/>
      <c r="B319" s="77"/>
      <c r="C319" s="77"/>
      <c r="D319" s="77"/>
      <c r="E319" s="77"/>
      <c r="F319" s="77"/>
      <c r="G319" s="77"/>
      <c r="H319" s="77"/>
      <c r="I319" s="77"/>
      <c r="N319" s="16" t="s">
        <v>286</v>
      </c>
    </row>
    <row r="320" spans="1:14" x14ac:dyDescent="0.2">
      <c r="A320" s="76"/>
      <c r="B320" s="77"/>
      <c r="C320" s="77"/>
      <c r="D320" s="77"/>
      <c r="E320" s="77"/>
      <c r="F320" s="77"/>
      <c r="G320" s="77"/>
      <c r="H320" s="77"/>
      <c r="I320" s="77"/>
      <c r="N320" s="16" t="s">
        <v>287</v>
      </c>
    </row>
    <row r="321" spans="1:14" x14ac:dyDescent="0.2">
      <c r="A321" s="76"/>
      <c r="B321" s="77"/>
      <c r="C321" s="77"/>
      <c r="D321" s="77"/>
      <c r="E321" s="77"/>
      <c r="F321" s="77"/>
      <c r="G321" s="77"/>
      <c r="H321" s="77"/>
      <c r="I321" s="77"/>
      <c r="N321" s="16" t="s">
        <v>288</v>
      </c>
    </row>
    <row r="322" spans="1:14" x14ac:dyDescent="0.2">
      <c r="A322" s="76"/>
      <c r="B322" s="77"/>
      <c r="C322" s="77"/>
      <c r="D322" s="77"/>
      <c r="E322" s="77"/>
      <c r="F322" s="77"/>
      <c r="G322" s="77"/>
      <c r="H322" s="77"/>
      <c r="I322" s="77"/>
      <c r="N322" s="16" t="s">
        <v>289</v>
      </c>
    </row>
    <row r="323" spans="1:14" x14ac:dyDescent="0.2">
      <c r="A323" s="76"/>
      <c r="B323" s="77"/>
      <c r="C323" s="77"/>
      <c r="D323" s="77"/>
      <c r="E323" s="77"/>
      <c r="F323" s="77"/>
      <c r="G323" s="77"/>
      <c r="H323" s="77"/>
      <c r="I323" s="77"/>
      <c r="N323" s="16" t="s">
        <v>290</v>
      </c>
    </row>
    <row r="324" spans="1:14" x14ac:dyDescent="0.2">
      <c r="A324" s="76"/>
      <c r="B324" s="77"/>
      <c r="C324" s="77"/>
      <c r="D324" s="77"/>
      <c r="E324" s="77"/>
      <c r="F324" s="77"/>
      <c r="G324" s="77"/>
      <c r="H324" s="77"/>
      <c r="I324" s="77"/>
      <c r="N324" s="16" t="s">
        <v>291</v>
      </c>
    </row>
    <row r="325" spans="1:14" x14ac:dyDescent="0.2">
      <c r="A325" s="76"/>
      <c r="B325" s="77"/>
      <c r="C325" s="77"/>
      <c r="D325" s="77"/>
      <c r="E325" s="77"/>
      <c r="F325" s="77"/>
      <c r="G325" s="77"/>
      <c r="H325" s="77"/>
      <c r="I325" s="77"/>
      <c r="N325" s="16" t="s">
        <v>292</v>
      </c>
    </row>
    <row r="326" spans="1:14" x14ac:dyDescent="0.2">
      <c r="A326" s="76"/>
      <c r="B326" s="77"/>
      <c r="C326" s="77"/>
      <c r="D326" s="77"/>
      <c r="E326" s="77"/>
      <c r="F326" s="77"/>
      <c r="G326" s="77"/>
      <c r="H326" s="77"/>
      <c r="I326" s="77"/>
      <c r="N326" s="16" t="s">
        <v>293</v>
      </c>
    </row>
    <row r="327" spans="1:14" x14ac:dyDescent="0.2">
      <c r="A327" s="76"/>
      <c r="B327" s="77"/>
      <c r="C327" s="77"/>
      <c r="D327" s="77"/>
      <c r="E327" s="77"/>
      <c r="F327" s="77"/>
      <c r="G327" s="77"/>
      <c r="H327" s="77"/>
      <c r="I327" s="77"/>
      <c r="N327" s="16" t="s">
        <v>294</v>
      </c>
    </row>
    <row r="328" spans="1:14" x14ac:dyDescent="0.2">
      <c r="A328" s="76"/>
      <c r="B328" s="77"/>
      <c r="C328" s="77"/>
      <c r="D328" s="77"/>
      <c r="E328" s="77"/>
      <c r="F328" s="77"/>
      <c r="G328" s="77"/>
      <c r="H328" s="77"/>
      <c r="I328" s="77"/>
      <c r="N328" s="16" t="s">
        <v>295</v>
      </c>
    </row>
    <row r="329" spans="1:14" x14ac:dyDescent="0.2">
      <c r="A329" s="76"/>
      <c r="B329" s="77"/>
      <c r="C329" s="77"/>
      <c r="D329" s="77"/>
      <c r="E329" s="77"/>
      <c r="F329" s="77"/>
      <c r="G329" s="77"/>
      <c r="N329" s="16" t="s">
        <v>296</v>
      </c>
    </row>
    <row r="330" spans="1:14" x14ac:dyDescent="0.2">
      <c r="A330" s="76"/>
      <c r="B330" s="77"/>
      <c r="C330" s="77"/>
      <c r="D330" s="77"/>
      <c r="E330" s="77"/>
      <c r="F330" s="77"/>
      <c r="G330" s="77"/>
      <c r="N330" s="16" t="s">
        <v>297</v>
      </c>
    </row>
    <row r="331" spans="1:14" x14ac:dyDescent="0.2">
      <c r="A331" s="76"/>
      <c r="B331" s="77"/>
      <c r="C331" s="77"/>
      <c r="D331" s="77"/>
      <c r="E331" s="77"/>
      <c r="F331" s="77"/>
      <c r="G331" s="77"/>
      <c r="N331" s="16" t="s">
        <v>298</v>
      </c>
    </row>
    <row r="332" spans="1:14" x14ac:dyDescent="0.2">
      <c r="A332" s="76"/>
      <c r="B332" s="77"/>
      <c r="C332" s="77"/>
      <c r="D332" s="77"/>
      <c r="E332" s="77"/>
      <c r="F332" s="77"/>
      <c r="G332" s="77"/>
      <c r="N332" s="16" t="s">
        <v>479</v>
      </c>
    </row>
    <row r="333" spans="1:14" x14ac:dyDescent="0.2">
      <c r="A333" s="76"/>
      <c r="B333" s="77"/>
      <c r="C333" s="77"/>
      <c r="D333" s="77"/>
      <c r="E333" s="77"/>
      <c r="F333" s="77"/>
      <c r="G333" s="77"/>
      <c r="N333" s="16" t="s">
        <v>478</v>
      </c>
    </row>
    <row r="334" spans="1:14" x14ac:dyDescent="0.2">
      <c r="A334" s="76"/>
      <c r="B334" s="77"/>
      <c r="C334" s="77"/>
      <c r="D334" s="77"/>
      <c r="E334" s="77"/>
      <c r="F334" s="77"/>
      <c r="G334" s="77"/>
      <c r="N334" s="16" t="s">
        <v>477</v>
      </c>
    </row>
    <row r="335" spans="1:14" x14ac:dyDescent="0.2">
      <c r="A335" s="76"/>
      <c r="B335" s="77"/>
      <c r="C335" s="77"/>
      <c r="D335" s="77"/>
      <c r="E335" s="77"/>
      <c r="F335" s="77"/>
      <c r="G335" s="77"/>
      <c r="N335" s="16" t="s">
        <v>476</v>
      </c>
    </row>
    <row r="336" spans="1:14" x14ac:dyDescent="0.2">
      <c r="A336" s="76"/>
      <c r="B336" s="77"/>
      <c r="C336" s="77"/>
      <c r="D336" s="77"/>
      <c r="E336" s="77"/>
      <c r="F336" s="77"/>
      <c r="G336" s="77"/>
      <c r="N336" s="16" t="s">
        <v>475</v>
      </c>
    </row>
    <row r="337" spans="1:14" x14ac:dyDescent="0.2">
      <c r="A337" s="76"/>
      <c r="B337" s="77"/>
      <c r="C337" s="77"/>
      <c r="D337" s="77"/>
      <c r="E337" s="77"/>
      <c r="F337" s="77"/>
      <c r="G337" s="77"/>
      <c r="N337" s="16" t="s">
        <v>474</v>
      </c>
    </row>
    <row r="338" spans="1:14" x14ac:dyDescent="0.2">
      <c r="A338" s="76"/>
      <c r="B338" s="77"/>
      <c r="C338" s="77"/>
      <c r="D338" s="77"/>
      <c r="E338" s="77"/>
      <c r="F338" s="77"/>
      <c r="G338" s="77"/>
      <c r="N338" s="16" t="s">
        <v>122</v>
      </c>
    </row>
    <row r="339" spans="1:14" x14ac:dyDescent="0.2">
      <c r="A339" s="76"/>
      <c r="B339" s="77"/>
      <c r="C339" s="77"/>
      <c r="D339" s="77"/>
      <c r="E339" s="77"/>
      <c r="F339" s="77"/>
      <c r="G339" s="77"/>
      <c r="N339" s="16" t="s">
        <v>299</v>
      </c>
    </row>
    <row r="340" spans="1:14" x14ac:dyDescent="0.2">
      <c r="A340" s="76"/>
      <c r="B340" s="77"/>
      <c r="C340" s="77"/>
      <c r="D340" s="77"/>
      <c r="E340" s="77"/>
      <c r="F340" s="77"/>
      <c r="G340" s="77"/>
      <c r="N340" s="16" t="s">
        <v>300</v>
      </c>
    </row>
    <row r="341" spans="1:14" x14ac:dyDescent="0.2">
      <c r="A341" s="76"/>
      <c r="B341" s="77"/>
      <c r="C341" s="77"/>
      <c r="D341" s="77"/>
      <c r="E341" s="77"/>
      <c r="F341" s="77"/>
      <c r="G341" s="77"/>
      <c r="N341" s="16" t="s">
        <v>301</v>
      </c>
    </row>
    <row r="342" spans="1:14" x14ac:dyDescent="0.2">
      <c r="A342" s="76"/>
      <c r="B342" s="77"/>
      <c r="C342" s="77"/>
      <c r="D342" s="77"/>
      <c r="E342" s="77"/>
      <c r="F342" s="77"/>
      <c r="G342" s="77"/>
      <c r="N342" s="16" t="s">
        <v>302</v>
      </c>
    </row>
    <row r="343" spans="1:14" x14ac:dyDescent="0.2">
      <c r="A343" s="76"/>
      <c r="B343" s="77"/>
      <c r="C343" s="77"/>
      <c r="D343" s="77"/>
      <c r="E343" s="77"/>
      <c r="F343" s="77"/>
      <c r="G343" s="77"/>
      <c r="N343" s="16" t="s">
        <v>303</v>
      </c>
    </row>
    <row r="344" spans="1:14" x14ac:dyDescent="0.2">
      <c r="A344" s="76"/>
      <c r="B344" s="77"/>
      <c r="C344" s="77"/>
      <c r="D344" s="77"/>
      <c r="E344" s="77"/>
      <c r="F344" s="77"/>
      <c r="G344" s="77"/>
      <c r="N344" s="16" t="s">
        <v>304</v>
      </c>
    </row>
    <row r="345" spans="1:14" x14ac:dyDescent="0.2">
      <c r="A345" s="76"/>
      <c r="B345" s="77"/>
      <c r="C345" s="77"/>
      <c r="D345" s="77"/>
      <c r="E345" s="77"/>
      <c r="F345" s="77"/>
      <c r="G345" s="77"/>
      <c r="N345" s="16" t="s">
        <v>305</v>
      </c>
    </row>
    <row r="346" spans="1:14" x14ac:dyDescent="0.2">
      <c r="A346" s="76"/>
      <c r="B346" s="77"/>
      <c r="C346" s="77"/>
      <c r="D346" s="77"/>
      <c r="E346" s="77"/>
      <c r="F346" s="77"/>
      <c r="G346" s="77"/>
      <c r="N346" s="16" t="s">
        <v>306</v>
      </c>
    </row>
    <row r="347" spans="1:14" x14ac:dyDescent="0.2">
      <c r="A347" s="76"/>
      <c r="B347" s="77"/>
      <c r="C347" s="77"/>
      <c r="D347" s="77"/>
      <c r="E347" s="77"/>
      <c r="F347" s="77"/>
      <c r="G347" s="77"/>
      <c r="N347" s="16" t="s">
        <v>307</v>
      </c>
    </row>
    <row r="348" spans="1:14" x14ac:dyDescent="0.2">
      <c r="A348" s="76"/>
      <c r="B348" s="77"/>
      <c r="C348" s="77"/>
      <c r="D348" s="77"/>
      <c r="E348" s="77"/>
      <c r="F348" s="77"/>
      <c r="G348" s="77"/>
      <c r="N348" s="16" t="s">
        <v>308</v>
      </c>
    </row>
    <row r="349" spans="1:14" x14ac:dyDescent="0.2">
      <c r="A349" s="76"/>
      <c r="B349" s="77"/>
      <c r="C349" s="77"/>
      <c r="D349" s="77"/>
      <c r="E349" s="77"/>
      <c r="F349" s="77"/>
      <c r="G349" s="77"/>
      <c r="N349" s="16" t="s">
        <v>309</v>
      </c>
    </row>
    <row r="350" spans="1:14" x14ac:dyDescent="0.2">
      <c r="A350" s="76"/>
      <c r="B350" s="77"/>
      <c r="C350" s="77"/>
      <c r="D350" s="77"/>
      <c r="E350" s="77"/>
      <c r="F350" s="77"/>
      <c r="G350" s="77"/>
      <c r="N350" s="16" t="s">
        <v>310</v>
      </c>
    </row>
    <row r="351" spans="1:14" x14ac:dyDescent="0.2">
      <c r="A351" s="76"/>
      <c r="B351" s="77"/>
      <c r="C351" s="77"/>
      <c r="D351" s="77"/>
      <c r="E351" s="77"/>
      <c r="F351" s="77"/>
      <c r="G351" s="77"/>
      <c r="N351" s="16" t="s">
        <v>311</v>
      </c>
    </row>
    <row r="352" spans="1:14" x14ac:dyDescent="0.2">
      <c r="A352" s="76"/>
      <c r="B352" s="77"/>
      <c r="C352" s="77"/>
      <c r="D352" s="77"/>
      <c r="E352" s="77"/>
      <c r="F352" s="77"/>
      <c r="G352" s="77"/>
      <c r="N352" s="16" t="s">
        <v>312</v>
      </c>
    </row>
    <row r="353" spans="1:14" x14ac:dyDescent="0.2">
      <c r="A353" s="76"/>
      <c r="B353" s="77"/>
      <c r="C353" s="77"/>
      <c r="D353" s="77"/>
      <c r="E353" s="77"/>
      <c r="F353" s="77"/>
      <c r="G353" s="77"/>
      <c r="N353" s="16" t="s">
        <v>313</v>
      </c>
    </row>
    <row r="354" spans="1:14" x14ac:dyDescent="0.2">
      <c r="A354" s="76"/>
      <c r="B354" s="77"/>
      <c r="C354" s="77"/>
      <c r="D354" s="77"/>
      <c r="E354" s="77"/>
      <c r="F354" s="77"/>
      <c r="G354" s="77"/>
      <c r="N354" s="16" t="s">
        <v>473</v>
      </c>
    </row>
    <row r="355" spans="1:14" x14ac:dyDescent="0.2">
      <c r="A355" s="76"/>
      <c r="B355" s="77"/>
      <c r="C355" s="77"/>
      <c r="D355" s="77"/>
      <c r="E355" s="77"/>
      <c r="F355" s="77"/>
      <c r="G355" s="77"/>
      <c r="N355" s="16" t="s">
        <v>314</v>
      </c>
    </row>
    <row r="356" spans="1:14" x14ac:dyDescent="0.2">
      <c r="A356" s="76"/>
      <c r="B356" s="77"/>
      <c r="C356" s="77"/>
      <c r="D356" s="77"/>
      <c r="E356" s="77"/>
      <c r="F356" s="77"/>
      <c r="G356" s="77"/>
      <c r="N356" s="16" t="s">
        <v>315</v>
      </c>
    </row>
    <row r="357" spans="1:14" x14ac:dyDescent="0.2">
      <c r="A357" s="76"/>
      <c r="B357" s="77"/>
      <c r="C357" s="77"/>
      <c r="D357" s="77"/>
      <c r="E357" s="77"/>
      <c r="F357" s="77"/>
      <c r="G357" s="77"/>
      <c r="N357" s="16" t="s">
        <v>472</v>
      </c>
    </row>
    <row r="358" spans="1:14" x14ac:dyDescent="0.2">
      <c r="C358" s="77"/>
      <c r="N358" s="16" t="s">
        <v>316</v>
      </c>
    </row>
    <row r="359" spans="1:14" x14ac:dyDescent="0.2">
      <c r="N359" s="16" t="s">
        <v>317</v>
      </c>
    </row>
    <row r="360" spans="1:14" x14ac:dyDescent="0.2">
      <c r="N360" s="16" t="s">
        <v>471</v>
      </c>
    </row>
    <row r="361" spans="1:14" x14ac:dyDescent="0.2">
      <c r="N361" s="16" t="s">
        <v>318</v>
      </c>
    </row>
    <row r="362" spans="1:14" x14ac:dyDescent="0.2">
      <c r="N362" s="16" t="s">
        <v>319</v>
      </c>
    </row>
    <row r="363" spans="1:14" x14ac:dyDescent="0.2">
      <c r="N363" s="16" t="s">
        <v>320</v>
      </c>
    </row>
    <row r="364" spans="1:14" x14ac:dyDescent="0.2">
      <c r="N364" s="16" t="s">
        <v>321</v>
      </c>
    </row>
    <row r="365" spans="1:14" x14ac:dyDescent="0.2">
      <c r="N365" s="16" t="s">
        <v>322</v>
      </c>
    </row>
    <row r="366" spans="1:14" x14ac:dyDescent="0.2">
      <c r="N366" s="16" t="s">
        <v>323</v>
      </c>
    </row>
    <row r="367" spans="1:14" x14ac:dyDescent="0.2">
      <c r="N367" s="16" t="s">
        <v>324</v>
      </c>
    </row>
    <row r="368" spans="1:14" x14ac:dyDescent="0.2">
      <c r="N368" s="16" t="s">
        <v>325</v>
      </c>
    </row>
    <row r="369" spans="14:14" x14ac:dyDescent="0.2">
      <c r="N369" s="16" t="s">
        <v>326</v>
      </c>
    </row>
  </sheetData>
  <sheetProtection sheet="1" objects="1" scenarios="1"/>
  <mergeCells count="2">
    <mergeCell ref="B5:C5"/>
    <mergeCell ref="B7:D7"/>
  </mergeCells>
  <conditionalFormatting sqref="B146:B357">
    <cfRule type="expression" dxfId="10" priority="10" stopIfTrue="1">
      <formula>A146&lt;&gt;""</formula>
    </cfRule>
  </conditionalFormatting>
  <conditionalFormatting sqref="C146:C358">
    <cfRule type="expression" dxfId="9" priority="9" stopIfTrue="1">
      <formula>A146&lt;&gt;""</formula>
    </cfRule>
  </conditionalFormatting>
  <conditionalFormatting sqref="D146:D357">
    <cfRule type="expression" dxfId="8" priority="7" stopIfTrue="1">
      <formula>OR(C146="date",C146="text")</formula>
    </cfRule>
    <cfRule type="expression" dxfId="7" priority="8" stopIfTrue="1">
      <formula>OR(C146="number")</formula>
    </cfRule>
  </conditionalFormatting>
  <conditionalFormatting sqref="E146:E357">
    <cfRule type="expression" dxfId="6" priority="5" stopIfTrue="1">
      <formula>OR(C146="number",C146="text")</formula>
    </cfRule>
    <cfRule type="expression" dxfId="5" priority="6" stopIfTrue="1">
      <formula>OR(C146="datetime")</formula>
    </cfRule>
  </conditionalFormatting>
  <conditionalFormatting sqref="F146:G357">
    <cfRule type="expression" dxfId="4" priority="3" stopIfTrue="1">
      <formula>OR($C146="number", $C146="text")</formula>
    </cfRule>
    <cfRule type="expression" dxfId="3" priority="4" stopIfTrue="1">
      <formula>OR($C146="date")</formula>
    </cfRule>
  </conditionalFormatting>
  <conditionalFormatting sqref="B47:I47">
    <cfRule type="expression" dxfId="2" priority="2" stopIfTrue="1">
      <formula>NOT(ISBLANK($B$49:$B$56))</formula>
    </cfRule>
  </conditionalFormatting>
  <conditionalFormatting sqref="B54:AO57">
    <cfRule type="expression" dxfId="1" priority="1"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46:D357 WVL983186:WVL983397 WLP983186:WLP983397 WBT983186:WBT983397 VRX983186:VRX983397 VIB983186:VIB983397 UYF983186:UYF983397 UOJ983186:UOJ983397 UEN983186:UEN983397 TUR983186:TUR983397 TKV983186:TKV983397 TAZ983186:TAZ983397 SRD983186:SRD983397 SHH983186:SHH983397 RXL983186:RXL983397 RNP983186:RNP983397 RDT983186:RDT983397 QTX983186:QTX983397 QKB983186:QKB983397 QAF983186:QAF983397 PQJ983186:PQJ983397 PGN983186:PGN983397 OWR983186:OWR983397 OMV983186:OMV983397 OCZ983186:OCZ983397 NTD983186:NTD983397 NJH983186:NJH983397 MZL983186:MZL983397 MPP983186:MPP983397 MFT983186:MFT983397 LVX983186:LVX983397 LMB983186:LMB983397 LCF983186:LCF983397 KSJ983186:KSJ983397 KIN983186:KIN983397 JYR983186:JYR983397 JOV983186:JOV983397 JEZ983186:JEZ983397 IVD983186:IVD983397 ILH983186:ILH983397 IBL983186:IBL983397 HRP983186:HRP983397 HHT983186:HHT983397 GXX983186:GXX983397 GOB983186:GOB983397 GEF983186:GEF983397 FUJ983186:FUJ983397 FKN983186:FKN983397 FAR983186:FAR983397 EQV983186:EQV983397 EGZ983186:EGZ983397 DXD983186:DXD983397 DNH983186:DNH983397 DDL983186:DDL983397 CTP983186:CTP983397 CJT983186:CJT983397 BZX983186:BZX983397 BQB983186:BQB983397 BGF983186:BGF983397 AWJ983186:AWJ983397 AMN983186:AMN983397 ACR983186:ACR983397 SV983186:SV983397 IZ983186:IZ983397 D983186:D983397 WVL917650:WVL917861 WLP917650:WLP917861 WBT917650:WBT917861 VRX917650:VRX917861 VIB917650:VIB917861 UYF917650:UYF917861 UOJ917650:UOJ917861 UEN917650:UEN917861 TUR917650:TUR917861 TKV917650:TKV917861 TAZ917650:TAZ917861 SRD917650:SRD917861 SHH917650:SHH917861 RXL917650:RXL917861 RNP917650:RNP917861 RDT917650:RDT917861 QTX917650:QTX917861 QKB917650:QKB917861 QAF917650:QAF917861 PQJ917650:PQJ917861 PGN917650:PGN917861 OWR917650:OWR917861 OMV917650:OMV917861 OCZ917650:OCZ917861 NTD917650:NTD917861 NJH917650:NJH917861 MZL917650:MZL917861 MPP917650:MPP917861 MFT917650:MFT917861 LVX917650:LVX917861 LMB917650:LMB917861 LCF917650:LCF917861 KSJ917650:KSJ917861 KIN917650:KIN917861 JYR917650:JYR917861 JOV917650:JOV917861 JEZ917650:JEZ917861 IVD917650:IVD917861 ILH917650:ILH917861 IBL917650:IBL917861 HRP917650:HRP917861 HHT917650:HHT917861 GXX917650:GXX917861 GOB917650:GOB917861 GEF917650:GEF917861 FUJ917650:FUJ917861 FKN917650:FKN917861 FAR917650:FAR917861 EQV917650:EQV917861 EGZ917650:EGZ917861 DXD917650:DXD917861 DNH917650:DNH917861 DDL917650:DDL917861 CTP917650:CTP917861 CJT917650:CJT917861 BZX917650:BZX917861 BQB917650:BQB917861 BGF917650:BGF917861 AWJ917650:AWJ917861 AMN917650:AMN917861 ACR917650:ACR917861 SV917650:SV917861 IZ917650:IZ917861 D917650:D917861 WVL852114:WVL852325 WLP852114:WLP852325 WBT852114:WBT852325 VRX852114:VRX852325 VIB852114:VIB852325 UYF852114:UYF852325 UOJ852114:UOJ852325 UEN852114:UEN852325 TUR852114:TUR852325 TKV852114:TKV852325 TAZ852114:TAZ852325 SRD852114:SRD852325 SHH852114:SHH852325 RXL852114:RXL852325 RNP852114:RNP852325 RDT852114:RDT852325 QTX852114:QTX852325 QKB852114:QKB852325 QAF852114:QAF852325 PQJ852114:PQJ852325 PGN852114:PGN852325 OWR852114:OWR852325 OMV852114:OMV852325 OCZ852114:OCZ852325 NTD852114:NTD852325 NJH852114:NJH852325 MZL852114:MZL852325 MPP852114:MPP852325 MFT852114:MFT852325 LVX852114:LVX852325 LMB852114:LMB852325 LCF852114:LCF852325 KSJ852114:KSJ852325 KIN852114:KIN852325 JYR852114:JYR852325 JOV852114:JOV852325 JEZ852114:JEZ852325 IVD852114:IVD852325 ILH852114:ILH852325 IBL852114:IBL852325 HRP852114:HRP852325 HHT852114:HHT852325 GXX852114:GXX852325 GOB852114:GOB852325 GEF852114:GEF852325 FUJ852114:FUJ852325 FKN852114:FKN852325 FAR852114:FAR852325 EQV852114:EQV852325 EGZ852114:EGZ852325 DXD852114:DXD852325 DNH852114:DNH852325 DDL852114:DDL852325 CTP852114:CTP852325 CJT852114:CJT852325 BZX852114:BZX852325 BQB852114:BQB852325 BGF852114:BGF852325 AWJ852114:AWJ852325 AMN852114:AMN852325 ACR852114:ACR852325 SV852114:SV852325 IZ852114:IZ852325 D852114:D852325 WVL786578:WVL786789 WLP786578:WLP786789 WBT786578:WBT786789 VRX786578:VRX786789 VIB786578:VIB786789 UYF786578:UYF786789 UOJ786578:UOJ786789 UEN786578:UEN786789 TUR786578:TUR786789 TKV786578:TKV786789 TAZ786578:TAZ786789 SRD786578:SRD786789 SHH786578:SHH786789 RXL786578:RXL786789 RNP786578:RNP786789 RDT786578:RDT786789 QTX786578:QTX786789 QKB786578:QKB786789 QAF786578:QAF786789 PQJ786578:PQJ786789 PGN786578:PGN786789 OWR786578:OWR786789 OMV786578:OMV786789 OCZ786578:OCZ786789 NTD786578:NTD786789 NJH786578:NJH786789 MZL786578:MZL786789 MPP786578:MPP786789 MFT786578:MFT786789 LVX786578:LVX786789 LMB786578:LMB786789 LCF786578:LCF786789 KSJ786578:KSJ786789 KIN786578:KIN786789 JYR786578:JYR786789 JOV786578:JOV786789 JEZ786578:JEZ786789 IVD786578:IVD786789 ILH786578:ILH786789 IBL786578:IBL786789 HRP786578:HRP786789 HHT786578:HHT786789 GXX786578:GXX786789 GOB786578:GOB786789 GEF786578:GEF786789 FUJ786578:FUJ786789 FKN786578:FKN786789 FAR786578:FAR786789 EQV786578:EQV786789 EGZ786578:EGZ786789 DXD786578:DXD786789 DNH786578:DNH786789 DDL786578:DDL786789 CTP786578:CTP786789 CJT786578:CJT786789 BZX786578:BZX786789 BQB786578:BQB786789 BGF786578:BGF786789 AWJ786578:AWJ786789 AMN786578:AMN786789 ACR786578:ACR786789 SV786578:SV786789 IZ786578:IZ786789 D786578:D786789 WVL721042:WVL721253 WLP721042:WLP721253 WBT721042:WBT721253 VRX721042:VRX721253 VIB721042:VIB721253 UYF721042:UYF721253 UOJ721042:UOJ721253 UEN721042:UEN721253 TUR721042:TUR721253 TKV721042:TKV721253 TAZ721042:TAZ721253 SRD721042:SRD721253 SHH721042:SHH721253 RXL721042:RXL721253 RNP721042:RNP721253 RDT721042:RDT721253 QTX721042:QTX721253 QKB721042:QKB721253 QAF721042:QAF721253 PQJ721042:PQJ721253 PGN721042:PGN721253 OWR721042:OWR721253 OMV721042:OMV721253 OCZ721042:OCZ721253 NTD721042:NTD721253 NJH721042:NJH721253 MZL721042:MZL721253 MPP721042:MPP721253 MFT721042:MFT721253 LVX721042:LVX721253 LMB721042:LMB721253 LCF721042:LCF721253 KSJ721042:KSJ721253 KIN721042:KIN721253 JYR721042:JYR721253 JOV721042:JOV721253 JEZ721042:JEZ721253 IVD721042:IVD721253 ILH721042:ILH721253 IBL721042:IBL721253 HRP721042:HRP721253 HHT721042:HHT721253 GXX721042:GXX721253 GOB721042:GOB721253 GEF721042:GEF721253 FUJ721042:FUJ721253 FKN721042:FKN721253 FAR721042:FAR721253 EQV721042:EQV721253 EGZ721042:EGZ721253 DXD721042:DXD721253 DNH721042:DNH721253 DDL721042:DDL721253 CTP721042:CTP721253 CJT721042:CJT721253 BZX721042:BZX721253 BQB721042:BQB721253 BGF721042:BGF721253 AWJ721042:AWJ721253 AMN721042:AMN721253 ACR721042:ACR721253 SV721042:SV721253 IZ721042:IZ721253 D721042:D721253 WVL655506:WVL655717 WLP655506:WLP655717 WBT655506:WBT655717 VRX655506:VRX655717 VIB655506:VIB655717 UYF655506:UYF655717 UOJ655506:UOJ655717 UEN655506:UEN655717 TUR655506:TUR655717 TKV655506:TKV655717 TAZ655506:TAZ655717 SRD655506:SRD655717 SHH655506:SHH655717 RXL655506:RXL655717 RNP655506:RNP655717 RDT655506:RDT655717 QTX655506:QTX655717 QKB655506:QKB655717 QAF655506:QAF655717 PQJ655506:PQJ655717 PGN655506:PGN655717 OWR655506:OWR655717 OMV655506:OMV655717 OCZ655506:OCZ655717 NTD655506:NTD655717 NJH655506:NJH655717 MZL655506:MZL655717 MPP655506:MPP655717 MFT655506:MFT655717 LVX655506:LVX655717 LMB655506:LMB655717 LCF655506:LCF655717 KSJ655506:KSJ655717 KIN655506:KIN655717 JYR655506:JYR655717 JOV655506:JOV655717 JEZ655506:JEZ655717 IVD655506:IVD655717 ILH655506:ILH655717 IBL655506:IBL655717 HRP655506:HRP655717 HHT655506:HHT655717 GXX655506:GXX655717 GOB655506:GOB655717 GEF655506:GEF655717 FUJ655506:FUJ655717 FKN655506:FKN655717 FAR655506:FAR655717 EQV655506:EQV655717 EGZ655506:EGZ655717 DXD655506:DXD655717 DNH655506:DNH655717 DDL655506:DDL655717 CTP655506:CTP655717 CJT655506:CJT655717 BZX655506:BZX655717 BQB655506:BQB655717 BGF655506:BGF655717 AWJ655506:AWJ655717 AMN655506:AMN655717 ACR655506:ACR655717 SV655506:SV655717 IZ655506:IZ655717 D655506:D655717 WVL589970:WVL590181 WLP589970:WLP590181 WBT589970:WBT590181 VRX589970:VRX590181 VIB589970:VIB590181 UYF589970:UYF590181 UOJ589970:UOJ590181 UEN589970:UEN590181 TUR589970:TUR590181 TKV589970:TKV590181 TAZ589970:TAZ590181 SRD589970:SRD590181 SHH589970:SHH590181 RXL589970:RXL590181 RNP589970:RNP590181 RDT589970:RDT590181 QTX589970:QTX590181 QKB589970:QKB590181 QAF589970:QAF590181 PQJ589970:PQJ590181 PGN589970:PGN590181 OWR589970:OWR590181 OMV589970:OMV590181 OCZ589970:OCZ590181 NTD589970:NTD590181 NJH589970:NJH590181 MZL589970:MZL590181 MPP589970:MPP590181 MFT589970:MFT590181 LVX589970:LVX590181 LMB589970:LMB590181 LCF589970:LCF590181 KSJ589970:KSJ590181 KIN589970:KIN590181 JYR589970:JYR590181 JOV589970:JOV590181 JEZ589970:JEZ590181 IVD589970:IVD590181 ILH589970:ILH590181 IBL589970:IBL590181 HRP589970:HRP590181 HHT589970:HHT590181 GXX589970:GXX590181 GOB589970:GOB590181 GEF589970:GEF590181 FUJ589970:FUJ590181 FKN589970:FKN590181 FAR589970:FAR590181 EQV589970:EQV590181 EGZ589970:EGZ590181 DXD589970:DXD590181 DNH589970:DNH590181 DDL589970:DDL590181 CTP589970:CTP590181 CJT589970:CJT590181 BZX589970:BZX590181 BQB589970:BQB590181 BGF589970:BGF590181 AWJ589970:AWJ590181 AMN589970:AMN590181 ACR589970:ACR590181 SV589970:SV590181 IZ589970:IZ590181 D589970:D590181 WVL524434:WVL524645 WLP524434:WLP524645 WBT524434:WBT524645 VRX524434:VRX524645 VIB524434:VIB524645 UYF524434:UYF524645 UOJ524434:UOJ524645 UEN524434:UEN524645 TUR524434:TUR524645 TKV524434:TKV524645 TAZ524434:TAZ524645 SRD524434:SRD524645 SHH524434:SHH524645 RXL524434:RXL524645 RNP524434:RNP524645 RDT524434:RDT524645 QTX524434:QTX524645 QKB524434:QKB524645 QAF524434:QAF524645 PQJ524434:PQJ524645 PGN524434:PGN524645 OWR524434:OWR524645 OMV524434:OMV524645 OCZ524434:OCZ524645 NTD524434:NTD524645 NJH524434:NJH524645 MZL524434:MZL524645 MPP524434:MPP524645 MFT524434:MFT524645 LVX524434:LVX524645 LMB524434:LMB524645 LCF524434:LCF524645 KSJ524434:KSJ524645 KIN524434:KIN524645 JYR524434:JYR524645 JOV524434:JOV524645 JEZ524434:JEZ524645 IVD524434:IVD524645 ILH524434:ILH524645 IBL524434:IBL524645 HRP524434:HRP524645 HHT524434:HHT524645 GXX524434:GXX524645 GOB524434:GOB524645 GEF524434:GEF524645 FUJ524434:FUJ524645 FKN524434:FKN524645 FAR524434:FAR524645 EQV524434:EQV524645 EGZ524434:EGZ524645 DXD524434:DXD524645 DNH524434:DNH524645 DDL524434:DDL524645 CTP524434:CTP524645 CJT524434:CJT524645 BZX524434:BZX524645 BQB524434:BQB524645 BGF524434:BGF524645 AWJ524434:AWJ524645 AMN524434:AMN524645 ACR524434:ACR524645 SV524434:SV524645 IZ524434:IZ524645 D524434:D524645 WVL458898:WVL459109 WLP458898:WLP459109 WBT458898:WBT459109 VRX458898:VRX459109 VIB458898:VIB459109 UYF458898:UYF459109 UOJ458898:UOJ459109 UEN458898:UEN459109 TUR458898:TUR459109 TKV458898:TKV459109 TAZ458898:TAZ459109 SRD458898:SRD459109 SHH458898:SHH459109 RXL458898:RXL459109 RNP458898:RNP459109 RDT458898:RDT459109 QTX458898:QTX459109 QKB458898:QKB459109 QAF458898:QAF459109 PQJ458898:PQJ459109 PGN458898:PGN459109 OWR458898:OWR459109 OMV458898:OMV459109 OCZ458898:OCZ459109 NTD458898:NTD459109 NJH458898:NJH459109 MZL458898:MZL459109 MPP458898:MPP459109 MFT458898:MFT459109 LVX458898:LVX459109 LMB458898:LMB459109 LCF458898:LCF459109 KSJ458898:KSJ459109 KIN458898:KIN459109 JYR458898:JYR459109 JOV458898:JOV459109 JEZ458898:JEZ459109 IVD458898:IVD459109 ILH458898:ILH459109 IBL458898:IBL459109 HRP458898:HRP459109 HHT458898:HHT459109 GXX458898:GXX459109 GOB458898:GOB459109 GEF458898:GEF459109 FUJ458898:FUJ459109 FKN458898:FKN459109 FAR458898:FAR459109 EQV458898:EQV459109 EGZ458898:EGZ459109 DXD458898:DXD459109 DNH458898:DNH459109 DDL458898:DDL459109 CTP458898:CTP459109 CJT458898:CJT459109 BZX458898:BZX459109 BQB458898:BQB459109 BGF458898:BGF459109 AWJ458898:AWJ459109 AMN458898:AMN459109 ACR458898:ACR459109 SV458898:SV459109 IZ458898:IZ459109 D458898:D459109 WVL393362:WVL393573 WLP393362:WLP393573 WBT393362:WBT393573 VRX393362:VRX393573 VIB393362:VIB393573 UYF393362:UYF393573 UOJ393362:UOJ393573 UEN393362:UEN393573 TUR393362:TUR393573 TKV393362:TKV393573 TAZ393362:TAZ393573 SRD393362:SRD393573 SHH393362:SHH393573 RXL393362:RXL393573 RNP393362:RNP393573 RDT393362:RDT393573 QTX393362:QTX393573 QKB393362:QKB393573 QAF393362:QAF393573 PQJ393362:PQJ393573 PGN393362:PGN393573 OWR393362:OWR393573 OMV393362:OMV393573 OCZ393362:OCZ393573 NTD393362:NTD393573 NJH393362:NJH393573 MZL393362:MZL393573 MPP393362:MPP393573 MFT393362:MFT393573 LVX393362:LVX393573 LMB393362:LMB393573 LCF393362:LCF393573 KSJ393362:KSJ393573 KIN393362:KIN393573 JYR393362:JYR393573 JOV393362:JOV393573 JEZ393362:JEZ393573 IVD393362:IVD393573 ILH393362:ILH393573 IBL393362:IBL393573 HRP393362:HRP393573 HHT393362:HHT393573 GXX393362:GXX393573 GOB393362:GOB393573 GEF393362:GEF393573 FUJ393362:FUJ393573 FKN393362:FKN393573 FAR393362:FAR393573 EQV393362:EQV393573 EGZ393362:EGZ393573 DXD393362:DXD393573 DNH393362:DNH393573 DDL393362:DDL393573 CTP393362:CTP393573 CJT393362:CJT393573 BZX393362:BZX393573 BQB393362:BQB393573 BGF393362:BGF393573 AWJ393362:AWJ393573 AMN393362:AMN393573 ACR393362:ACR393573 SV393362:SV393573 IZ393362:IZ393573 D393362:D393573 WVL327826:WVL328037 WLP327826:WLP328037 WBT327826:WBT328037 VRX327826:VRX328037 VIB327826:VIB328037 UYF327826:UYF328037 UOJ327826:UOJ328037 UEN327826:UEN328037 TUR327826:TUR328037 TKV327826:TKV328037 TAZ327826:TAZ328037 SRD327826:SRD328037 SHH327826:SHH328037 RXL327826:RXL328037 RNP327826:RNP328037 RDT327826:RDT328037 QTX327826:QTX328037 QKB327826:QKB328037 QAF327826:QAF328037 PQJ327826:PQJ328037 PGN327826:PGN328037 OWR327826:OWR328037 OMV327826:OMV328037 OCZ327826:OCZ328037 NTD327826:NTD328037 NJH327826:NJH328037 MZL327826:MZL328037 MPP327826:MPP328037 MFT327826:MFT328037 LVX327826:LVX328037 LMB327826:LMB328037 LCF327826:LCF328037 KSJ327826:KSJ328037 KIN327826:KIN328037 JYR327826:JYR328037 JOV327826:JOV328037 JEZ327826:JEZ328037 IVD327826:IVD328037 ILH327826:ILH328037 IBL327826:IBL328037 HRP327826:HRP328037 HHT327826:HHT328037 GXX327826:GXX328037 GOB327826:GOB328037 GEF327826:GEF328037 FUJ327826:FUJ328037 FKN327826:FKN328037 FAR327826:FAR328037 EQV327826:EQV328037 EGZ327826:EGZ328037 DXD327826:DXD328037 DNH327826:DNH328037 DDL327826:DDL328037 CTP327826:CTP328037 CJT327826:CJT328037 BZX327826:BZX328037 BQB327826:BQB328037 BGF327826:BGF328037 AWJ327826:AWJ328037 AMN327826:AMN328037 ACR327826:ACR328037 SV327826:SV328037 IZ327826:IZ328037 D327826:D328037 WVL262290:WVL262501 WLP262290:WLP262501 WBT262290:WBT262501 VRX262290:VRX262501 VIB262290:VIB262501 UYF262290:UYF262501 UOJ262290:UOJ262501 UEN262290:UEN262501 TUR262290:TUR262501 TKV262290:TKV262501 TAZ262290:TAZ262501 SRD262290:SRD262501 SHH262290:SHH262501 RXL262290:RXL262501 RNP262290:RNP262501 RDT262290:RDT262501 QTX262290:QTX262501 QKB262290:QKB262501 QAF262290:QAF262501 PQJ262290:PQJ262501 PGN262290:PGN262501 OWR262290:OWR262501 OMV262290:OMV262501 OCZ262290:OCZ262501 NTD262290:NTD262501 NJH262290:NJH262501 MZL262290:MZL262501 MPP262290:MPP262501 MFT262290:MFT262501 LVX262290:LVX262501 LMB262290:LMB262501 LCF262290:LCF262501 KSJ262290:KSJ262501 KIN262290:KIN262501 JYR262290:JYR262501 JOV262290:JOV262501 JEZ262290:JEZ262501 IVD262290:IVD262501 ILH262290:ILH262501 IBL262290:IBL262501 HRP262290:HRP262501 HHT262290:HHT262501 GXX262290:GXX262501 GOB262290:GOB262501 GEF262290:GEF262501 FUJ262290:FUJ262501 FKN262290:FKN262501 FAR262290:FAR262501 EQV262290:EQV262501 EGZ262290:EGZ262501 DXD262290:DXD262501 DNH262290:DNH262501 DDL262290:DDL262501 CTP262290:CTP262501 CJT262290:CJT262501 BZX262290:BZX262501 BQB262290:BQB262501 BGF262290:BGF262501 AWJ262290:AWJ262501 AMN262290:AMN262501 ACR262290:ACR262501 SV262290:SV262501 IZ262290:IZ262501 D262290:D262501 WVL196754:WVL196965 WLP196754:WLP196965 WBT196754:WBT196965 VRX196754:VRX196965 VIB196754:VIB196965 UYF196754:UYF196965 UOJ196754:UOJ196965 UEN196754:UEN196965 TUR196754:TUR196965 TKV196754:TKV196965 TAZ196754:TAZ196965 SRD196754:SRD196965 SHH196754:SHH196965 RXL196754:RXL196965 RNP196754:RNP196965 RDT196754:RDT196965 QTX196754:QTX196965 QKB196754:QKB196965 QAF196754:QAF196965 PQJ196754:PQJ196965 PGN196754:PGN196965 OWR196754:OWR196965 OMV196754:OMV196965 OCZ196754:OCZ196965 NTD196754:NTD196965 NJH196754:NJH196965 MZL196754:MZL196965 MPP196754:MPP196965 MFT196754:MFT196965 LVX196754:LVX196965 LMB196754:LMB196965 LCF196754:LCF196965 KSJ196754:KSJ196965 KIN196754:KIN196965 JYR196754:JYR196965 JOV196754:JOV196965 JEZ196754:JEZ196965 IVD196754:IVD196965 ILH196754:ILH196965 IBL196754:IBL196965 HRP196754:HRP196965 HHT196754:HHT196965 GXX196754:GXX196965 GOB196754:GOB196965 GEF196754:GEF196965 FUJ196754:FUJ196965 FKN196754:FKN196965 FAR196754:FAR196965 EQV196754:EQV196965 EGZ196754:EGZ196965 DXD196754:DXD196965 DNH196754:DNH196965 DDL196754:DDL196965 CTP196754:CTP196965 CJT196754:CJT196965 BZX196754:BZX196965 BQB196754:BQB196965 BGF196754:BGF196965 AWJ196754:AWJ196965 AMN196754:AMN196965 ACR196754:ACR196965 SV196754:SV196965 IZ196754:IZ196965 D196754:D196965 WVL131218:WVL131429 WLP131218:WLP131429 WBT131218:WBT131429 VRX131218:VRX131429 VIB131218:VIB131429 UYF131218:UYF131429 UOJ131218:UOJ131429 UEN131218:UEN131429 TUR131218:TUR131429 TKV131218:TKV131429 TAZ131218:TAZ131429 SRD131218:SRD131429 SHH131218:SHH131429 RXL131218:RXL131429 RNP131218:RNP131429 RDT131218:RDT131429 QTX131218:QTX131429 QKB131218:QKB131429 QAF131218:QAF131429 PQJ131218:PQJ131429 PGN131218:PGN131429 OWR131218:OWR131429 OMV131218:OMV131429 OCZ131218:OCZ131429 NTD131218:NTD131429 NJH131218:NJH131429 MZL131218:MZL131429 MPP131218:MPP131429 MFT131218:MFT131429 LVX131218:LVX131429 LMB131218:LMB131429 LCF131218:LCF131429 KSJ131218:KSJ131429 KIN131218:KIN131429 JYR131218:JYR131429 JOV131218:JOV131429 JEZ131218:JEZ131429 IVD131218:IVD131429 ILH131218:ILH131429 IBL131218:IBL131429 HRP131218:HRP131429 HHT131218:HHT131429 GXX131218:GXX131429 GOB131218:GOB131429 GEF131218:GEF131429 FUJ131218:FUJ131429 FKN131218:FKN131429 FAR131218:FAR131429 EQV131218:EQV131429 EGZ131218:EGZ131429 DXD131218:DXD131429 DNH131218:DNH131429 DDL131218:DDL131429 CTP131218:CTP131429 CJT131218:CJT131429 BZX131218:BZX131429 BQB131218:BQB131429 BGF131218:BGF131429 AWJ131218:AWJ131429 AMN131218:AMN131429 ACR131218:ACR131429 SV131218:SV131429 IZ131218:IZ131429 D131218:D131429 WVL65682:WVL65893 WLP65682:WLP65893 WBT65682:WBT65893 VRX65682:VRX65893 VIB65682:VIB65893 UYF65682:UYF65893 UOJ65682:UOJ65893 UEN65682:UEN65893 TUR65682:TUR65893 TKV65682:TKV65893 TAZ65682:TAZ65893 SRD65682:SRD65893 SHH65682:SHH65893 RXL65682:RXL65893 RNP65682:RNP65893 RDT65682:RDT65893 QTX65682:QTX65893 QKB65682:QKB65893 QAF65682:QAF65893 PQJ65682:PQJ65893 PGN65682:PGN65893 OWR65682:OWR65893 OMV65682:OMV65893 OCZ65682:OCZ65893 NTD65682:NTD65893 NJH65682:NJH65893 MZL65682:MZL65893 MPP65682:MPP65893 MFT65682:MFT65893 LVX65682:LVX65893 LMB65682:LMB65893 LCF65682:LCF65893 KSJ65682:KSJ65893 KIN65682:KIN65893 JYR65682:JYR65893 JOV65682:JOV65893 JEZ65682:JEZ65893 IVD65682:IVD65893 ILH65682:ILH65893 IBL65682:IBL65893 HRP65682:HRP65893 HHT65682:HHT65893 GXX65682:GXX65893 GOB65682:GOB65893 GEF65682:GEF65893 FUJ65682:FUJ65893 FKN65682:FKN65893 FAR65682:FAR65893 EQV65682:EQV65893 EGZ65682:EGZ65893 DXD65682:DXD65893 DNH65682:DNH65893 DDL65682:DDL65893 CTP65682:CTP65893 CJT65682:CJT65893 BZX65682:BZX65893 BQB65682:BQB65893 BGF65682:BGF65893 AWJ65682:AWJ65893 AMN65682:AMN65893 ACR65682:ACR65893 SV65682:SV65893 IZ65682:IZ65893 D65682:D65893 WVL146:WVL357 WLP146:WLP357 WBT146:WBT357 VRX146:VRX357 VIB146:VIB357 UYF146:UYF357 UOJ146:UOJ357 UEN146:UEN357 TUR146:TUR357 TKV146:TKV357 TAZ146:TAZ357 SRD146:SRD357 SHH146:SHH357 RXL146:RXL357 RNP146:RNP357 RDT146:RDT357 QTX146:QTX357 QKB146:QKB357 QAF146:QAF357 PQJ146:PQJ357 PGN146:PGN357 OWR146:OWR357 OMV146:OMV357 OCZ146:OCZ357 NTD146:NTD357 NJH146:NJH357 MZL146:MZL357 MPP146:MPP357 MFT146:MFT357 LVX146:LVX357 LMB146:LMB357 LCF146:LCF357 KSJ146:KSJ357 KIN146:KIN357 JYR146:JYR357 JOV146:JOV357 JEZ146:JEZ357 IVD146:IVD357 ILH146:ILH357 IBL146:IBL357 HRP146:HRP357 HHT146:HHT357 GXX146:GXX357 GOB146:GOB357 GEF146:GEF357 FUJ146:FUJ357 FKN146:FKN357 FAR146:FAR357 EQV146:EQV357 EGZ146:EGZ357 DXD146:DXD357 DNH146:DNH357 DDL146:DDL357 CTP146:CTP357 CJT146:CJT357 BZX146:BZX357 BQB146:BQB357 BGF146:BGF357 AWJ146:AWJ357 AMN146:AMN357 ACR146:ACR357 SV146:SV357 IZ146:IZ357">
      <formula1>$N$146:$N$369</formula1>
    </dataValidation>
    <dataValidation type="list" errorStyle="information" allowBlank="1" showInputMessage="1" showErrorMessage="1" errorTitle="New Site" error="If a site is not in the list enter a new Name" prompt="Select a site name or enter a new one" sqref="WVJ983110:WVQ983110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606:I65606 IX65606:JE65606 ST65606:TA65606 ACP65606:ACW65606 AML65606:AMS65606 AWH65606:AWO65606 BGD65606:BGK65606 BPZ65606:BQG65606 BZV65606:CAC65606 CJR65606:CJY65606 CTN65606:CTU65606 DDJ65606:DDQ65606 DNF65606:DNM65606 DXB65606:DXI65606 EGX65606:EHE65606 EQT65606:ERA65606 FAP65606:FAW65606 FKL65606:FKS65606 FUH65606:FUO65606 GED65606:GEK65606 GNZ65606:GOG65606 GXV65606:GYC65606 HHR65606:HHY65606 HRN65606:HRU65606 IBJ65606:IBQ65606 ILF65606:ILM65606 IVB65606:IVI65606 JEX65606:JFE65606 JOT65606:JPA65606 JYP65606:JYW65606 KIL65606:KIS65606 KSH65606:KSO65606 LCD65606:LCK65606 LLZ65606:LMG65606 LVV65606:LWC65606 MFR65606:MFY65606 MPN65606:MPU65606 MZJ65606:MZQ65606 NJF65606:NJM65606 NTB65606:NTI65606 OCX65606:ODE65606 OMT65606:ONA65606 OWP65606:OWW65606 PGL65606:PGS65606 PQH65606:PQO65606 QAD65606:QAK65606 QJZ65606:QKG65606 QTV65606:QUC65606 RDR65606:RDY65606 RNN65606:RNU65606 RXJ65606:RXQ65606 SHF65606:SHM65606 SRB65606:SRI65606 TAX65606:TBE65606 TKT65606:TLA65606 TUP65606:TUW65606 UEL65606:UES65606 UOH65606:UOO65606 UYD65606:UYK65606 VHZ65606:VIG65606 VRV65606:VSC65606 WBR65606:WBY65606 WLN65606:WLU65606 WVJ65606:WVQ65606 B131142:I131142 IX131142:JE131142 ST131142:TA131142 ACP131142:ACW131142 AML131142:AMS131142 AWH131142:AWO131142 BGD131142:BGK131142 BPZ131142:BQG131142 BZV131142:CAC131142 CJR131142:CJY131142 CTN131142:CTU131142 DDJ131142:DDQ131142 DNF131142:DNM131142 DXB131142:DXI131142 EGX131142:EHE131142 EQT131142:ERA131142 FAP131142:FAW131142 FKL131142:FKS131142 FUH131142:FUO131142 GED131142:GEK131142 GNZ131142:GOG131142 GXV131142:GYC131142 HHR131142:HHY131142 HRN131142:HRU131142 IBJ131142:IBQ131142 ILF131142:ILM131142 IVB131142:IVI131142 JEX131142:JFE131142 JOT131142:JPA131142 JYP131142:JYW131142 KIL131142:KIS131142 KSH131142:KSO131142 LCD131142:LCK131142 LLZ131142:LMG131142 LVV131142:LWC131142 MFR131142:MFY131142 MPN131142:MPU131142 MZJ131142:MZQ131142 NJF131142:NJM131142 NTB131142:NTI131142 OCX131142:ODE131142 OMT131142:ONA131142 OWP131142:OWW131142 PGL131142:PGS131142 PQH131142:PQO131142 QAD131142:QAK131142 QJZ131142:QKG131142 QTV131142:QUC131142 RDR131142:RDY131142 RNN131142:RNU131142 RXJ131142:RXQ131142 SHF131142:SHM131142 SRB131142:SRI131142 TAX131142:TBE131142 TKT131142:TLA131142 TUP131142:TUW131142 UEL131142:UES131142 UOH131142:UOO131142 UYD131142:UYK131142 VHZ131142:VIG131142 VRV131142:VSC131142 WBR131142:WBY131142 WLN131142:WLU131142 WVJ131142:WVQ131142 B196678:I196678 IX196678:JE196678 ST196678:TA196678 ACP196678:ACW196678 AML196678:AMS196678 AWH196678:AWO196678 BGD196678:BGK196678 BPZ196678:BQG196678 BZV196678:CAC196678 CJR196678:CJY196678 CTN196678:CTU196678 DDJ196678:DDQ196678 DNF196678:DNM196678 DXB196678:DXI196678 EGX196678:EHE196678 EQT196678:ERA196678 FAP196678:FAW196678 FKL196678:FKS196678 FUH196678:FUO196678 GED196678:GEK196678 GNZ196678:GOG196678 GXV196678:GYC196678 HHR196678:HHY196678 HRN196678:HRU196678 IBJ196678:IBQ196678 ILF196678:ILM196678 IVB196678:IVI196678 JEX196678:JFE196678 JOT196678:JPA196678 JYP196678:JYW196678 KIL196678:KIS196678 KSH196678:KSO196678 LCD196678:LCK196678 LLZ196678:LMG196678 LVV196678:LWC196678 MFR196678:MFY196678 MPN196678:MPU196678 MZJ196678:MZQ196678 NJF196678:NJM196678 NTB196678:NTI196678 OCX196678:ODE196678 OMT196678:ONA196678 OWP196678:OWW196678 PGL196678:PGS196678 PQH196678:PQO196678 QAD196678:QAK196678 QJZ196678:QKG196678 QTV196678:QUC196678 RDR196678:RDY196678 RNN196678:RNU196678 RXJ196678:RXQ196678 SHF196678:SHM196678 SRB196678:SRI196678 TAX196678:TBE196678 TKT196678:TLA196678 TUP196678:TUW196678 UEL196678:UES196678 UOH196678:UOO196678 UYD196678:UYK196678 VHZ196678:VIG196678 VRV196678:VSC196678 WBR196678:WBY196678 WLN196678:WLU196678 WVJ196678:WVQ196678 B262214:I262214 IX262214:JE262214 ST262214:TA262214 ACP262214:ACW262214 AML262214:AMS262214 AWH262214:AWO262214 BGD262214:BGK262214 BPZ262214:BQG262214 BZV262214:CAC262214 CJR262214:CJY262214 CTN262214:CTU262214 DDJ262214:DDQ262214 DNF262214:DNM262214 DXB262214:DXI262214 EGX262214:EHE262214 EQT262214:ERA262214 FAP262214:FAW262214 FKL262214:FKS262214 FUH262214:FUO262214 GED262214:GEK262214 GNZ262214:GOG262214 GXV262214:GYC262214 HHR262214:HHY262214 HRN262214:HRU262214 IBJ262214:IBQ262214 ILF262214:ILM262214 IVB262214:IVI262214 JEX262214:JFE262214 JOT262214:JPA262214 JYP262214:JYW262214 KIL262214:KIS262214 KSH262214:KSO262214 LCD262214:LCK262214 LLZ262214:LMG262214 LVV262214:LWC262214 MFR262214:MFY262214 MPN262214:MPU262214 MZJ262214:MZQ262214 NJF262214:NJM262214 NTB262214:NTI262214 OCX262214:ODE262214 OMT262214:ONA262214 OWP262214:OWW262214 PGL262214:PGS262214 PQH262214:PQO262214 QAD262214:QAK262214 QJZ262214:QKG262214 QTV262214:QUC262214 RDR262214:RDY262214 RNN262214:RNU262214 RXJ262214:RXQ262214 SHF262214:SHM262214 SRB262214:SRI262214 TAX262214:TBE262214 TKT262214:TLA262214 TUP262214:TUW262214 UEL262214:UES262214 UOH262214:UOO262214 UYD262214:UYK262214 VHZ262214:VIG262214 VRV262214:VSC262214 WBR262214:WBY262214 WLN262214:WLU262214 WVJ262214:WVQ262214 B327750:I327750 IX327750:JE327750 ST327750:TA327750 ACP327750:ACW327750 AML327750:AMS327750 AWH327750:AWO327750 BGD327750:BGK327750 BPZ327750:BQG327750 BZV327750:CAC327750 CJR327750:CJY327750 CTN327750:CTU327750 DDJ327750:DDQ327750 DNF327750:DNM327750 DXB327750:DXI327750 EGX327750:EHE327750 EQT327750:ERA327750 FAP327750:FAW327750 FKL327750:FKS327750 FUH327750:FUO327750 GED327750:GEK327750 GNZ327750:GOG327750 GXV327750:GYC327750 HHR327750:HHY327750 HRN327750:HRU327750 IBJ327750:IBQ327750 ILF327750:ILM327750 IVB327750:IVI327750 JEX327750:JFE327750 JOT327750:JPA327750 JYP327750:JYW327750 KIL327750:KIS327750 KSH327750:KSO327750 LCD327750:LCK327750 LLZ327750:LMG327750 LVV327750:LWC327750 MFR327750:MFY327750 MPN327750:MPU327750 MZJ327750:MZQ327750 NJF327750:NJM327750 NTB327750:NTI327750 OCX327750:ODE327750 OMT327750:ONA327750 OWP327750:OWW327750 PGL327750:PGS327750 PQH327750:PQO327750 QAD327750:QAK327750 QJZ327750:QKG327750 QTV327750:QUC327750 RDR327750:RDY327750 RNN327750:RNU327750 RXJ327750:RXQ327750 SHF327750:SHM327750 SRB327750:SRI327750 TAX327750:TBE327750 TKT327750:TLA327750 TUP327750:TUW327750 UEL327750:UES327750 UOH327750:UOO327750 UYD327750:UYK327750 VHZ327750:VIG327750 VRV327750:VSC327750 WBR327750:WBY327750 WLN327750:WLU327750 WVJ327750:WVQ327750 B393286:I393286 IX393286:JE393286 ST393286:TA393286 ACP393286:ACW393286 AML393286:AMS393286 AWH393286:AWO393286 BGD393286:BGK393286 BPZ393286:BQG393286 BZV393286:CAC393286 CJR393286:CJY393286 CTN393286:CTU393286 DDJ393286:DDQ393286 DNF393286:DNM393286 DXB393286:DXI393286 EGX393286:EHE393286 EQT393286:ERA393286 FAP393286:FAW393286 FKL393286:FKS393286 FUH393286:FUO393286 GED393286:GEK393286 GNZ393286:GOG393286 GXV393286:GYC393286 HHR393286:HHY393286 HRN393286:HRU393286 IBJ393286:IBQ393286 ILF393286:ILM393286 IVB393286:IVI393286 JEX393286:JFE393286 JOT393286:JPA393286 JYP393286:JYW393286 KIL393286:KIS393286 KSH393286:KSO393286 LCD393286:LCK393286 LLZ393286:LMG393286 LVV393286:LWC393286 MFR393286:MFY393286 MPN393286:MPU393286 MZJ393286:MZQ393286 NJF393286:NJM393286 NTB393286:NTI393286 OCX393286:ODE393286 OMT393286:ONA393286 OWP393286:OWW393286 PGL393286:PGS393286 PQH393286:PQO393286 QAD393286:QAK393286 QJZ393286:QKG393286 QTV393286:QUC393286 RDR393286:RDY393286 RNN393286:RNU393286 RXJ393286:RXQ393286 SHF393286:SHM393286 SRB393286:SRI393286 TAX393286:TBE393286 TKT393286:TLA393286 TUP393286:TUW393286 UEL393286:UES393286 UOH393286:UOO393286 UYD393286:UYK393286 VHZ393286:VIG393286 VRV393286:VSC393286 WBR393286:WBY393286 WLN393286:WLU393286 WVJ393286:WVQ393286 B458822:I458822 IX458822:JE458822 ST458822:TA458822 ACP458822:ACW458822 AML458822:AMS458822 AWH458822:AWO458822 BGD458822:BGK458822 BPZ458822:BQG458822 BZV458822:CAC458822 CJR458822:CJY458822 CTN458822:CTU458822 DDJ458822:DDQ458822 DNF458822:DNM458822 DXB458822:DXI458822 EGX458822:EHE458822 EQT458822:ERA458822 FAP458822:FAW458822 FKL458822:FKS458822 FUH458822:FUO458822 GED458822:GEK458822 GNZ458822:GOG458822 GXV458822:GYC458822 HHR458822:HHY458822 HRN458822:HRU458822 IBJ458822:IBQ458822 ILF458822:ILM458822 IVB458822:IVI458822 JEX458822:JFE458822 JOT458822:JPA458822 JYP458822:JYW458822 KIL458822:KIS458822 KSH458822:KSO458822 LCD458822:LCK458822 LLZ458822:LMG458822 LVV458822:LWC458822 MFR458822:MFY458822 MPN458822:MPU458822 MZJ458822:MZQ458822 NJF458822:NJM458822 NTB458822:NTI458822 OCX458822:ODE458822 OMT458822:ONA458822 OWP458822:OWW458822 PGL458822:PGS458822 PQH458822:PQO458822 QAD458822:QAK458822 QJZ458822:QKG458822 QTV458822:QUC458822 RDR458822:RDY458822 RNN458822:RNU458822 RXJ458822:RXQ458822 SHF458822:SHM458822 SRB458822:SRI458822 TAX458822:TBE458822 TKT458822:TLA458822 TUP458822:TUW458822 UEL458822:UES458822 UOH458822:UOO458822 UYD458822:UYK458822 VHZ458822:VIG458822 VRV458822:VSC458822 WBR458822:WBY458822 WLN458822:WLU458822 WVJ458822:WVQ458822 B524358:I524358 IX524358:JE524358 ST524358:TA524358 ACP524358:ACW524358 AML524358:AMS524358 AWH524358:AWO524358 BGD524358:BGK524358 BPZ524358:BQG524358 BZV524358:CAC524358 CJR524358:CJY524358 CTN524358:CTU524358 DDJ524358:DDQ524358 DNF524358:DNM524358 DXB524358:DXI524358 EGX524358:EHE524358 EQT524358:ERA524358 FAP524358:FAW524358 FKL524358:FKS524358 FUH524358:FUO524358 GED524358:GEK524358 GNZ524358:GOG524358 GXV524358:GYC524358 HHR524358:HHY524358 HRN524358:HRU524358 IBJ524358:IBQ524358 ILF524358:ILM524358 IVB524358:IVI524358 JEX524358:JFE524358 JOT524358:JPA524358 JYP524358:JYW524358 KIL524358:KIS524358 KSH524358:KSO524358 LCD524358:LCK524358 LLZ524358:LMG524358 LVV524358:LWC524358 MFR524358:MFY524358 MPN524358:MPU524358 MZJ524358:MZQ524358 NJF524358:NJM524358 NTB524358:NTI524358 OCX524358:ODE524358 OMT524358:ONA524358 OWP524358:OWW524358 PGL524358:PGS524358 PQH524358:PQO524358 QAD524358:QAK524358 QJZ524358:QKG524358 QTV524358:QUC524358 RDR524358:RDY524358 RNN524358:RNU524358 RXJ524358:RXQ524358 SHF524358:SHM524358 SRB524358:SRI524358 TAX524358:TBE524358 TKT524358:TLA524358 TUP524358:TUW524358 UEL524358:UES524358 UOH524358:UOO524358 UYD524358:UYK524358 VHZ524358:VIG524358 VRV524358:VSC524358 WBR524358:WBY524358 WLN524358:WLU524358 WVJ524358:WVQ524358 B589894:I589894 IX589894:JE589894 ST589894:TA589894 ACP589894:ACW589894 AML589894:AMS589894 AWH589894:AWO589894 BGD589894:BGK589894 BPZ589894:BQG589894 BZV589894:CAC589894 CJR589894:CJY589894 CTN589894:CTU589894 DDJ589894:DDQ589894 DNF589894:DNM589894 DXB589894:DXI589894 EGX589894:EHE589894 EQT589894:ERA589894 FAP589894:FAW589894 FKL589894:FKS589894 FUH589894:FUO589894 GED589894:GEK589894 GNZ589894:GOG589894 GXV589894:GYC589894 HHR589894:HHY589894 HRN589894:HRU589894 IBJ589894:IBQ589894 ILF589894:ILM589894 IVB589894:IVI589894 JEX589894:JFE589894 JOT589894:JPA589894 JYP589894:JYW589894 KIL589894:KIS589894 KSH589894:KSO589894 LCD589894:LCK589894 LLZ589894:LMG589894 LVV589894:LWC589894 MFR589894:MFY589894 MPN589894:MPU589894 MZJ589894:MZQ589894 NJF589894:NJM589894 NTB589894:NTI589894 OCX589894:ODE589894 OMT589894:ONA589894 OWP589894:OWW589894 PGL589894:PGS589894 PQH589894:PQO589894 QAD589894:QAK589894 QJZ589894:QKG589894 QTV589894:QUC589894 RDR589894:RDY589894 RNN589894:RNU589894 RXJ589894:RXQ589894 SHF589894:SHM589894 SRB589894:SRI589894 TAX589894:TBE589894 TKT589894:TLA589894 TUP589894:TUW589894 UEL589894:UES589894 UOH589894:UOO589894 UYD589894:UYK589894 VHZ589894:VIG589894 VRV589894:VSC589894 WBR589894:WBY589894 WLN589894:WLU589894 WVJ589894:WVQ589894 B655430:I655430 IX655430:JE655430 ST655430:TA655430 ACP655430:ACW655430 AML655430:AMS655430 AWH655430:AWO655430 BGD655430:BGK655430 BPZ655430:BQG655430 BZV655430:CAC655430 CJR655430:CJY655430 CTN655430:CTU655430 DDJ655430:DDQ655430 DNF655430:DNM655430 DXB655430:DXI655430 EGX655430:EHE655430 EQT655430:ERA655430 FAP655430:FAW655430 FKL655430:FKS655430 FUH655430:FUO655430 GED655430:GEK655430 GNZ655430:GOG655430 GXV655430:GYC655430 HHR655430:HHY655430 HRN655430:HRU655430 IBJ655430:IBQ655430 ILF655430:ILM655430 IVB655430:IVI655430 JEX655430:JFE655430 JOT655430:JPA655430 JYP655430:JYW655430 KIL655430:KIS655430 KSH655430:KSO655430 LCD655430:LCK655430 LLZ655430:LMG655430 LVV655430:LWC655430 MFR655430:MFY655430 MPN655430:MPU655430 MZJ655430:MZQ655430 NJF655430:NJM655430 NTB655430:NTI655430 OCX655430:ODE655430 OMT655430:ONA655430 OWP655430:OWW655430 PGL655430:PGS655430 PQH655430:PQO655430 QAD655430:QAK655430 QJZ655430:QKG655430 QTV655430:QUC655430 RDR655430:RDY655430 RNN655430:RNU655430 RXJ655430:RXQ655430 SHF655430:SHM655430 SRB655430:SRI655430 TAX655430:TBE655430 TKT655430:TLA655430 TUP655430:TUW655430 UEL655430:UES655430 UOH655430:UOO655430 UYD655430:UYK655430 VHZ655430:VIG655430 VRV655430:VSC655430 WBR655430:WBY655430 WLN655430:WLU655430 WVJ655430:WVQ655430 B720966:I720966 IX720966:JE720966 ST720966:TA720966 ACP720966:ACW720966 AML720966:AMS720966 AWH720966:AWO720966 BGD720966:BGK720966 BPZ720966:BQG720966 BZV720966:CAC720966 CJR720966:CJY720966 CTN720966:CTU720966 DDJ720966:DDQ720966 DNF720966:DNM720966 DXB720966:DXI720966 EGX720966:EHE720966 EQT720966:ERA720966 FAP720966:FAW720966 FKL720966:FKS720966 FUH720966:FUO720966 GED720966:GEK720966 GNZ720966:GOG720966 GXV720966:GYC720966 HHR720966:HHY720966 HRN720966:HRU720966 IBJ720966:IBQ720966 ILF720966:ILM720966 IVB720966:IVI720966 JEX720966:JFE720966 JOT720966:JPA720966 JYP720966:JYW720966 KIL720966:KIS720966 KSH720966:KSO720966 LCD720966:LCK720966 LLZ720966:LMG720966 LVV720966:LWC720966 MFR720966:MFY720966 MPN720966:MPU720966 MZJ720966:MZQ720966 NJF720966:NJM720966 NTB720966:NTI720966 OCX720966:ODE720966 OMT720966:ONA720966 OWP720966:OWW720966 PGL720966:PGS720966 PQH720966:PQO720966 QAD720966:QAK720966 QJZ720966:QKG720966 QTV720966:QUC720966 RDR720966:RDY720966 RNN720966:RNU720966 RXJ720966:RXQ720966 SHF720966:SHM720966 SRB720966:SRI720966 TAX720966:TBE720966 TKT720966:TLA720966 TUP720966:TUW720966 UEL720966:UES720966 UOH720966:UOO720966 UYD720966:UYK720966 VHZ720966:VIG720966 VRV720966:VSC720966 WBR720966:WBY720966 WLN720966:WLU720966 WVJ720966:WVQ720966 B786502:I786502 IX786502:JE786502 ST786502:TA786502 ACP786502:ACW786502 AML786502:AMS786502 AWH786502:AWO786502 BGD786502:BGK786502 BPZ786502:BQG786502 BZV786502:CAC786502 CJR786502:CJY786502 CTN786502:CTU786502 DDJ786502:DDQ786502 DNF786502:DNM786502 DXB786502:DXI786502 EGX786502:EHE786502 EQT786502:ERA786502 FAP786502:FAW786502 FKL786502:FKS786502 FUH786502:FUO786502 GED786502:GEK786502 GNZ786502:GOG786502 GXV786502:GYC786502 HHR786502:HHY786502 HRN786502:HRU786502 IBJ786502:IBQ786502 ILF786502:ILM786502 IVB786502:IVI786502 JEX786502:JFE786502 JOT786502:JPA786502 JYP786502:JYW786502 KIL786502:KIS786502 KSH786502:KSO786502 LCD786502:LCK786502 LLZ786502:LMG786502 LVV786502:LWC786502 MFR786502:MFY786502 MPN786502:MPU786502 MZJ786502:MZQ786502 NJF786502:NJM786502 NTB786502:NTI786502 OCX786502:ODE786502 OMT786502:ONA786502 OWP786502:OWW786502 PGL786502:PGS786502 PQH786502:PQO786502 QAD786502:QAK786502 QJZ786502:QKG786502 QTV786502:QUC786502 RDR786502:RDY786502 RNN786502:RNU786502 RXJ786502:RXQ786502 SHF786502:SHM786502 SRB786502:SRI786502 TAX786502:TBE786502 TKT786502:TLA786502 TUP786502:TUW786502 UEL786502:UES786502 UOH786502:UOO786502 UYD786502:UYK786502 VHZ786502:VIG786502 VRV786502:VSC786502 WBR786502:WBY786502 WLN786502:WLU786502 WVJ786502:WVQ786502 B852038:I852038 IX852038:JE852038 ST852038:TA852038 ACP852038:ACW852038 AML852038:AMS852038 AWH852038:AWO852038 BGD852038:BGK852038 BPZ852038:BQG852038 BZV852038:CAC852038 CJR852038:CJY852038 CTN852038:CTU852038 DDJ852038:DDQ852038 DNF852038:DNM852038 DXB852038:DXI852038 EGX852038:EHE852038 EQT852038:ERA852038 FAP852038:FAW852038 FKL852038:FKS852038 FUH852038:FUO852038 GED852038:GEK852038 GNZ852038:GOG852038 GXV852038:GYC852038 HHR852038:HHY852038 HRN852038:HRU852038 IBJ852038:IBQ852038 ILF852038:ILM852038 IVB852038:IVI852038 JEX852038:JFE852038 JOT852038:JPA852038 JYP852038:JYW852038 KIL852038:KIS852038 KSH852038:KSO852038 LCD852038:LCK852038 LLZ852038:LMG852038 LVV852038:LWC852038 MFR852038:MFY852038 MPN852038:MPU852038 MZJ852038:MZQ852038 NJF852038:NJM852038 NTB852038:NTI852038 OCX852038:ODE852038 OMT852038:ONA852038 OWP852038:OWW852038 PGL852038:PGS852038 PQH852038:PQO852038 QAD852038:QAK852038 QJZ852038:QKG852038 QTV852038:QUC852038 RDR852038:RDY852038 RNN852038:RNU852038 RXJ852038:RXQ852038 SHF852038:SHM852038 SRB852038:SRI852038 TAX852038:TBE852038 TKT852038:TLA852038 TUP852038:TUW852038 UEL852038:UES852038 UOH852038:UOO852038 UYD852038:UYK852038 VHZ852038:VIG852038 VRV852038:VSC852038 WBR852038:WBY852038 WLN852038:WLU852038 WVJ852038:WVQ852038 B917574:I917574 IX917574:JE917574 ST917574:TA917574 ACP917574:ACW917574 AML917574:AMS917574 AWH917574:AWO917574 BGD917574:BGK917574 BPZ917574:BQG917574 BZV917574:CAC917574 CJR917574:CJY917574 CTN917574:CTU917574 DDJ917574:DDQ917574 DNF917574:DNM917574 DXB917574:DXI917574 EGX917574:EHE917574 EQT917574:ERA917574 FAP917574:FAW917574 FKL917574:FKS917574 FUH917574:FUO917574 GED917574:GEK917574 GNZ917574:GOG917574 GXV917574:GYC917574 HHR917574:HHY917574 HRN917574:HRU917574 IBJ917574:IBQ917574 ILF917574:ILM917574 IVB917574:IVI917574 JEX917574:JFE917574 JOT917574:JPA917574 JYP917574:JYW917574 KIL917574:KIS917574 KSH917574:KSO917574 LCD917574:LCK917574 LLZ917574:LMG917574 LVV917574:LWC917574 MFR917574:MFY917574 MPN917574:MPU917574 MZJ917574:MZQ917574 NJF917574:NJM917574 NTB917574:NTI917574 OCX917574:ODE917574 OMT917574:ONA917574 OWP917574:OWW917574 PGL917574:PGS917574 PQH917574:PQO917574 QAD917574:QAK917574 QJZ917574:QKG917574 QTV917574:QUC917574 RDR917574:RDY917574 RNN917574:RNU917574 RXJ917574:RXQ917574 SHF917574:SHM917574 SRB917574:SRI917574 TAX917574:TBE917574 TKT917574:TLA917574 TUP917574:TUW917574 UEL917574:UES917574 UOH917574:UOO917574 UYD917574:UYK917574 VHZ917574:VIG917574 VRV917574:VSC917574 WBR917574:WBY917574 WLN917574:WLU917574 WVJ917574:WVQ917574 B983110:I983110 IX983110:JE983110 ST983110:TA983110 ACP983110:ACW983110 AML983110:AMS983110 AWH983110:AWO983110 BGD983110:BGK983110 BPZ983110:BQG983110 BZV983110:CAC983110 CJR983110:CJY983110 CTN983110:CTU983110 DDJ983110:DDQ983110 DNF983110:DNM983110 DXB983110:DXI983110 EGX983110:EHE983110 EQT983110:ERA983110 FAP983110:FAW983110 FKL983110:FKS983110 FUH983110:FUO983110 GED983110:GEK983110 GNZ983110:GOG983110 GXV983110:GYC983110 HHR983110:HHY983110 HRN983110:HRU983110 IBJ983110:IBQ983110 ILF983110:ILM983110 IVB983110:IVI983110 JEX983110:JFE983110 JOT983110:JPA983110 JYP983110:JYW983110 KIL983110:KIS983110 KSH983110:KSO983110 LCD983110:LCK983110 LLZ983110:LMG983110 LVV983110:LWC983110 MFR983110:MFY983110 MPN983110:MPU983110 MZJ983110:MZQ983110 NJF983110:NJM983110 NTB983110:NTI983110 OCX983110:ODE983110 OMT983110:ONA983110 OWP983110:OWW983110 PGL983110:PGS983110 PQH983110:PQO983110 QAD983110:QAK983110 QJZ983110:QKG983110 QTV983110:QUC983110 RDR983110:RDY983110 RNN983110:RNU983110 RXJ983110:RXQ983110 SHF983110:SHM983110 SRB983110:SRI983110 TAX983110:TBE983110 TKT983110:TLA983110 TUP983110:TUW983110 UEL983110:UES983110 UOH983110:UOO983110 UYD983110:UYK983110 VHZ983110:VIG983110 VRV983110:VSC983110 WBR983110:WBY983110 WLN983110:WLU983110 B46:I46">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78:I65578 IX65578:JE65578 ST65578:TA65578 ACP65578:ACW65578 AML65578:AMS65578 AWH65578:AWO65578 BGD65578:BGK65578 BPZ65578:BQG65578 BZV65578:CAC65578 CJR65578:CJY65578 CTN65578:CTU65578 DDJ65578:DDQ65578 DNF65578:DNM65578 DXB65578:DXI65578 EGX65578:EHE65578 EQT65578:ERA65578 FAP65578:FAW65578 FKL65578:FKS65578 FUH65578:FUO65578 GED65578:GEK65578 GNZ65578:GOG65578 GXV65578:GYC65578 HHR65578:HHY65578 HRN65578:HRU65578 IBJ65578:IBQ65578 ILF65578:ILM65578 IVB65578:IVI65578 JEX65578:JFE65578 JOT65578:JPA65578 JYP65578:JYW65578 KIL65578:KIS65578 KSH65578:KSO65578 LCD65578:LCK65578 LLZ65578:LMG65578 LVV65578:LWC65578 MFR65578:MFY65578 MPN65578:MPU65578 MZJ65578:MZQ65578 NJF65578:NJM65578 NTB65578:NTI65578 OCX65578:ODE65578 OMT65578:ONA65578 OWP65578:OWW65578 PGL65578:PGS65578 PQH65578:PQO65578 QAD65578:QAK65578 QJZ65578:QKG65578 QTV65578:QUC65578 RDR65578:RDY65578 RNN65578:RNU65578 RXJ65578:RXQ65578 SHF65578:SHM65578 SRB65578:SRI65578 TAX65578:TBE65578 TKT65578:TLA65578 TUP65578:TUW65578 UEL65578:UES65578 UOH65578:UOO65578 UYD65578:UYK65578 VHZ65578:VIG65578 VRV65578:VSC65578 WBR65578:WBY65578 WLN65578:WLU65578 WVJ65578:WVQ65578 B131114:I131114 IX131114:JE131114 ST131114:TA131114 ACP131114:ACW131114 AML131114:AMS131114 AWH131114:AWO131114 BGD131114:BGK131114 BPZ131114:BQG131114 BZV131114:CAC131114 CJR131114:CJY131114 CTN131114:CTU131114 DDJ131114:DDQ131114 DNF131114:DNM131114 DXB131114:DXI131114 EGX131114:EHE131114 EQT131114:ERA131114 FAP131114:FAW131114 FKL131114:FKS131114 FUH131114:FUO131114 GED131114:GEK131114 GNZ131114:GOG131114 GXV131114:GYC131114 HHR131114:HHY131114 HRN131114:HRU131114 IBJ131114:IBQ131114 ILF131114:ILM131114 IVB131114:IVI131114 JEX131114:JFE131114 JOT131114:JPA131114 JYP131114:JYW131114 KIL131114:KIS131114 KSH131114:KSO131114 LCD131114:LCK131114 LLZ131114:LMG131114 LVV131114:LWC131114 MFR131114:MFY131114 MPN131114:MPU131114 MZJ131114:MZQ131114 NJF131114:NJM131114 NTB131114:NTI131114 OCX131114:ODE131114 OMT131114:ONA131114 OWP131114:OWW131114 PGL131114:PGS131114 PQH131114:PQO131114 QAD131114:QAK131114 QJZ131114:QKG131114 QTV131114:QUC131114 RDR131114:RDY131114 RNN131114:RNU131114 RXJ131114:RXQ131114 SHF131114:SHM131114 SRB131114:SRI131114 TAX131114:TBE131114 TKT131114:TLA131114 TUP131114:TUW131114 UEL131114:UES131114 UOH131114:UOO131114 UYD131114:UYK131114 VHZ131114:VIG131114 VRV131114:VSC131114 WBR131114:WBY131114 WLN131114:WLU131114 WVJ131114:WVQ131114 B196650:I196650 IX196650:JE196650 ST196650:TA196650 ACP196650:ACW196650 AML196650:AMS196650 AWH196650:AWO196650 BGD196650:BGK196650 BPZ196650:BQG196650 BZV196650:CAC196650 CJR196650:CJY196650 CTN196650:CTU196650 DDJ196650:DDQ196650 DNF196650:DNM196650 DXB196650:DXI196650 EGX196650:EHE196650 EQT196650:ERA196650 FAP196650:FAW196650 FKL196650:FKS196650 FUH196650:FUO196650 GED196650:GEK196650 GNZ196650:GOG196650 GXV196650:GYC196650 HHR196650:HHY196650 HRN196650:HRU196650 IBJ196650:IBQ196650 ILF196650:ILM196650 IVB196650:IVI196650 JEX196650:JFE196650 JOT196650:JPA196650 JYP196650:JYW196650 KIL196650:KIS196650 KSH196650:KSO196650 LCD196650:LCK196650 LLZ196650:LMG196650 LVV196650:LWC196650 MFR196650:MFY196650 MPN196650:MPU196650 MZJ196650:MZQ196650 NJF196650:NJM196650 NTB196650:NTI196650 OCX196650:ODE196650 OMT196650:ONA196650 OWP196650:OWW196650 PGL196650:PGS196650 PQH196650:PQO196650 QAD196650:QAK196650 QJZ196650:QKG196650 QTV196650:QUC196650 RDR196650:RDY196650 RNN196650:RNU196650 RXJ196650:RXQ196650 SHF196650:SHM196650 SRB196650:SRI196650 TAX196650:TBE196650 TKT196650:TLA196650 TUP196650:TUW196650 UEL196650:UES196650 UOH196650:UOO196650 UYD196650:UYK196650 VHZ196650:VIG196650 VRV196650:VSC196650 WBR196650:WBY196650 WLN196650:WLU196650 WVJ196650:WVQ196650 B262186:I262186 IX262186:JE262186 ST262186:TA262186 ACP262186:ACW262186 AML262186:AMS262186 AWH262186:AWO262186 BGD262186:BGK262186 BPZ262186:BQG262186 BZV262186:CAC262186 CJR262186:CJY262186 CTN262186:CTU262186 DDJ262186:DDQ262186 DNF262186:DNM262186 DXB262186:DXI262186 EGX262186:EHE262186 EQT262186:ERA262186 FAP262186:FAW262186 FKL262186:FKS262186 FUH262186:FUO262186 GED262186:GEK262186 GNZ262186:GOG262186 GXV262186:GYC262186 HHR262186:HHY262186 HRN262186:HRU262186 IBJ262186:IBQ262186 ILF262186:ILM262186 IVB262186:IVI262186 JEX262186:JFE262186 JOT262186:JPA262186 JYP262186:JYW262186 KIL262186:KIS262186 KSH262186:KSO262186 LCD262186:LCK262186 LLZ262186:LMG262186 LVV262186:LWC262186 MFR262186:MFY262186 MPN262186:MPU262186 MZJ262186:MZQ262186 NJF262186:NJM262186 NTB262186:NTI262186 OCX262186:ODE262186 OMT262186:ONA262186 OWP262186:OWW262186 PGL262186:PGS262186 PQH262186:PQO262186 QAD262186:QAK262186 QJZ262186:QKG262186 QTV262186:QUC262186 RDR262186:RDY262186 RNN262186:RNU262186 RXJ262186:RXQ262186 SHF262186:SHM262186 SRB262186:SRI262186 TAX262186:TBE262186 TKT262186:TLA262186 TUP262186:TUW262186 UEL262186:UES262186 UOH262186:UOO262186 UYD262186:UYK262186 VHZ262186:VIG262186 VRV262186:VSC262186 WBR262186:WBY262186 WLN262186:WLU262186 WVJ262186:WVQ262186 B327722:I327722 IX327722:JE327722 ST327722:TA327722 ACP327722:ACW327722 AML327722:AMS327722 AWH327722:AWO327722 BGD327722:BGK327722 BPZ327722:BQG327722 BZV327722:CAC327722 CJR327722:CJY327722 CTN327722:CTU327722 DDJ327722:DDQ327722 DNF327722:DNM327722 DXB327722:DXI327722 EGX327722:EHE327722 EQT327722:ERA327722 FAP327722:FAW327722 FKL327722:FKS327722 FUH327722:FUO327722 GED327722:GEK327722 GNZ327722:GOG327722 GXV327722:GYC327722 HHR327722:HHY327722 HRN327722:HRU327722 IBJ327722:IBQ327722 ILF327722:ILM327722 IVB327722:IVI327722 JEX327722:JFE327722 JOT327722:JPA327722 JYP327722:JYW327722 KIL327722:KIS327722 KSH327722:KSO327722 LCD327722:LCK327722 LLZ327722:LMG327722 LVV327722:LWC327722 MFR327722:MFY327722 MPN327722:MPU327722 MZJ327722:MZQ327722 NJF327722:NJM327722 NTB327722:NTI327722 OCX327722:ODE327722 OMT327722:ONA327722 OWP327722:OWW327722 PGL327722:PGS327722 PQH327722:PQO327722 QAD327722:QAK327722 QJZ327722:QKG327722 QTV327722:QUC327722 RDR327722:RDY327722 RNN327722:RNU327722 RXJ327722:RXQ327722 SHF327722:SHM327722 SRB327722:SRI327722 TAX327722:TBE327722 TKT327722:TLA327722 TUP327722:TUW327722 UEL327722:UES327722 UOH327722:UOO327722 UYD327722:UYK327722 VHZ327722:VIG327722 VRV327722:VSC327722 WBR327722:WBY327722 WLN327722:WLU327722 WVJ327722:WVQ327722 B393258:I393258 IX393258:JE393258 ST393258:TA393258 ACP393258:ACW393258 AML393258:AMS393258 AWH393258:AWO393258 BGD393258:BGK393258 BPZ393258:BQG393258 BZV393258:CAC393258 CJR393258:CJY393258 CTN393258:CTU393258 DDJ393258:DDQ393258 DNF393258:DNM393258 DXB393258:DXI393258 EGX393258:EHE393258 EQT393258:ERA393258 FAP393258:FAW393258 FKL393258:FKS393258 FUH393258:FUO393258 GED393258:GEK393258 GNZ393258:GOG393258 GXV393258:GYC393258 HHR393258:HHY393258 HRN393258:HRU393258 IBJ393258:IBQ393258 ILF393258:ILM393258 IVB393258:IVI393258 JEX393258:JFE393258 JOT393258:JPA393258 JYP393258:JYW393258 KIL393258:KIS393258 KSH393258:KSO393258 LCD393258:LCK393258 LLZ393258:LMG393258 LVV393258:LWC393258 MFR393258:MFY393258 MPN393258:MPU393258 MZJ393258:MZQ393258 NJF393258:NJM393258 NTB393258:NTI393258 OCX393258:ODE393258 OMT393258:ONA393258 OWP393258:OWW393258 PGL393258:PGS393258 PQH393258:PQO393258 QAD393258:QAK393258 QJZ393258:QKG393258 QTV393258:QUC393258 RDR393258:RDY393258 RNN393258:RNU393258 RXJ393258:RXQ393258 SHF393258:SHM393258 SRB393258:SRI393258 TAX393258:TBE393258 TKT393258:TLA393258 TUP393258:TUW393258 UEL393258:UES393258 UOH393258:UOO393258 UYD393258:UYK393258 VHZ393258:VIG393258 VRV393258:VSC393258 WBR393258:WBY393258 WLN393258:WLU393258 WVJ393258:WVQ393258 B458794:I458794 IX458794:JE458794 ST458794:TA458794 ACP458794:ACW458794 AML458794:AMS458794 AWH458794:AWO458794 BGD458794:BGK458794 BPZ458794:BQG458794 BZV458794:CAC458794 CJR458794:CJY458794 CTN458794:CTU458794 DDJ458794:DDQ458794 DNF458794:DNM458794 DXB458794:DXI458794 EGX458794:EHE458794 EQT458794:ERA458794 FAP458794:FAW458794 FKL458794:FKS458794 FUH458794:FUO458794 GED458794:GEK458794 GNZ458794:GOG458794 GXV458794:GYC458794 HHR458794:HHY458794 HRN458794:HRU458794 IBJ458794:IBQ458794 ILF458794:ILM458794 IVB458794:IVI458794 JEX458794:JFE458794 JOT458794:JPA458794 JYP458794:JYW458794 KIL458794:KIS458794 KSH458794:KSO458794 LCD458794:LCK458794 LLZ458794:LMG458794 LVV458794:LWC458794 MFR458794:MFY458794 MPN458794:MPU458794 MZJ458794:MZQ458794 NJF458794:NJM458794 NTB458794:NTI458794 OCX458794:ODE458794 OMT458794:ONA458794 OWP458794:OWW458794 PGL458794:PGS458794 PQH458794:PQO458794 QAD458794:QAK458794 QJZ458794:QKG458794 QTV458794:QUC458794 RDR458794:RDY458794 RNN458794:RNU458794 RXJ458794:RXQ458794 SHF458794:SHM458794 SRB458794:SRI458794 TAX458794:TBE458794 TKT458794:TLA458794 TUP458794:TUW458794 UEL458794:UES458794 UOH458794:UOO458794 UYD458794:UYK458794 VHZ458794:VIG458794 VRV458794:VSC458794 WBR458794:WBY458794 WLN458794:WLU458794 WVJ458794:WVQ458794 B524330:I524330 IX524330:JE524330 ST524330:TA524330 ACP524330:ACW524330 AML524330:AMS524330 AWH524330:AWO524330 BGD524330:BGK524330 BPZ524330:BQG524330 BZV524330:CAC524330 CJR524330:CJY524330 CTN524330:CTU524330 DDJ524330:DDQ524330 DNF524330:DNM524330 DXB524330:DXI524330 EGX524330:EHE524330 EQT524330:ERA524330 FAP524330:FAW524330 FKL524330:FKS524330 FUH524330:FUO524330 GED524330:GEK524330 GNZ524330:GOG524330 GXV524330:GYC524330 HHR524330:HHY524330 HRN524330:HRU524330 IBJ524330:IBQ524330 ILF524330:ILM524330 IVB524330:IVI524330 JEX524330:JFE524330 JOT524330:JPA524330 JYP524330:JYW524330 KIL524330:KIS524330 KSH524330:KSO524330 LCD524330:LCK524330 LLZ524330:LMG524330 LVV524330:LWC524330 MFR524330:MFY524330 MPN524330:MPU524330 MZJ524330:MZQ524330 NJF524330:NJM524330 NTB524330:NTI524330 OCX524330:ODE524330 OMT524330:ONA524330 OWP524330:OWW524330 PGL524330:PGS524330 PQH524330:PQO524330 QAD524330:QAK524330 QJZ524330:QKG524330 QTV524330:QUC524330 RDR524330:RDY524330 RNN524330:RNU524330 RXJ524330:RXQ524330 SHF524330:SHM524330 SRB524330:SRI524330 TAX524330:TBE524330 TKT524330:TLA524330 TUP524330:TUW524330 UEL524330:UES524330 UOH524330:UOO524330 UYD524330:UYK524330 VHZ524330:VIG524330 VRV524330:VSC524330 WBR524330:WBY524330 WLN524330:WLU524330 WVJ524330:WVQ524330 B589866:I589866 IX589866:JE589866 ST589866:TA589866 ACP589866:ACW589866 AML589866:AMS589866 AWH589866:AWO589866 BGD589866:BGK589866 BPZ589866:BQG589866 BZV589866:CAC589866 CJR589866:CJY589866 CTN589866:CTU589866 DDJ589866:DDQ589866 DNF589866:DNM589866 DXB589866:DXI589866 EGX589866:EHE589866 EQT589866:ERA589866 FAP589866:FAW589866 FKL589866:FKS589866 FUH589866:FUO589866 GED589866:GEK589866 GNZ589866:GOG589866 GXV589866:GYC589866 HHR589866:HHY589866 HRN589866:HRU589866 IBJ589866:IBQ589866 ILF589866:ILM589866 IVB589866:IVI589866 JEX589866:JFE589866 JOT589866:JPA589866 JYP589866:JYW589866 KIL589866:KIS589866 KSH589866:KSO589866 LCD589866:LCK589866 LLZ589866:LMG589866 LVV589866:LWC589866 MFR589866:MFY589866 MPN589866:MPU589866 MZJ589866:MZQ589866 NJF589866:NJM589866 NTB589866:NTI589866 OCX589866:ODE589866 OMT589866:ONA589866 OWP589866:OWW589866 PGL589866:PGS589866 PQH589866:PQO589866 QAD589866:QAK589866 QJZ589866:QKG589866 QTV589866:QUC589866 RDR589866:RDY589866 RNN589866:RNU589866 RXJ589866:RXQ589866 SHF589866:SHM589866 SRB589866:SRI589866 TAX589866:TBE589866 TKT589866:TLA589866 TUP589866:TUW589866 UEL589866:UES589866 UOH589866:UOO589866 UYD589866:UYK589866 VHZ589866:VIG589866 VRV589866:VSC589866 WBR589866:WBY589866 WLN589866:WLU589866 WVJ589866:WVQ589866 B655402:I655402 IX655402:JE655402 ST655402:TA655402 ACP655402:ACW655402 AML655402:AMS655402 AWH655402:AWO655402 BGD655402:BGK655402 BPZ655402:BQG655402 BZV655402:CAC655402 CJR655402:CJY655402 CTN655402:CTU655402 DDJ655402:DDQ655402 DNF655402:DNM655402 DXB655402:DXI655402 EGX655402:EHE655402 EQT655402:ERA655402 FAP655402:FAW655402 FKL655402:FKS655402 FUH655402:FUO655402 GED655402:GEK655402 GNZ655402:GOG655402 GXV655402:GYC655402 HHR655402:HHY655402 HRN655402:HRU655402 IBJ655402:IBQ655402 ILF655402:ILM655402 IVB655402:IVI655402 JEX655402:JFE655402 JOT655402:JPA655402 JYP655402:JYW655402 KIL655402:KIS655402 KSH655402:KSO655402 LCD655402:LCK655402 LLZ655402:LMG655402 LVV655402:LWC655402 MFR655402:MFY655402 MPN655402:MPU655402 MZJ655402:MZQ655402 NJF655402:NJM655402 NTB655402:NTI655402 OCX655402:ODE655402 OMT655402:ONA655402 OWP655402:OWW655402 PGL655402:PGS655402 PQH655402:PQO655402 QAD655402:QAK655402 QJZ655402:QKG655402 QTV655402:QUC655402 RDR655402:RDY655402 RNN655402:RNU655402 RXJ655402:RXQ655402 SHF655402:SHM655402 SRB655402:SRI655402 TAX655402:TBE655402 TKT655402:TLA655402 TUP655402:TUW655402 UEL655402:UES655402 UOH655402:UOO655402 UYD655402:UYK655402 VHZ655402:VIG655402 VRV655402:VSC655402 WBR655402:WBY655402 WLN655402:WLU655402 WVJ655402:WVQ655402 B720938:I720938 IX720938:JE720938 ST720938:TA720938 ACP720938:ACW720938 AML720938:AMS720938 AWH720938:AWO720938 BGD720938:BGK720938 BPZ720938:BQG720938 BZV720938:CAC720938 CJR720938:CJY720938 CTN720938:CTU720938 DDJ720938:DDQ720938 DNF720938:DNM720938 DXB720938:DXI720938 EGX720938:EHE720938 EQT720938:ERA720938 FAP720938:FAW720938 FKL720938:FKS720938 FUH720938:FUO720938 GED720938:GEK720938 GNZ720938:GOG720938 GXV720938:GYC720938 HHR720938:HHY720938 HRN720938:HRU720938 IBJ720938:IBQ720938 ILF720938:ILM720938 IVB720938:IVI720938 JEX720938:JFE720938 JOT720938:JPA720938 JYP720938:JYW720938 KIL720938:KIS720938 KSH720938:KSO720938 LCD720938:LCK720938 LLZ720938:LMG720938 LVV720938:LWC720938 MFR720938:MFY720938 MPN720938:MPU720938 MZJ720938:MZQ720938 NJF720938:NJM720938 NTB720938:NTI720938 OCX720938:ODE720938 OMT720938:ONA720938 OWP720938:OWW720938 PGL720938:PGS720938 PQH720938:PQO720938 QAD720938:QAK720938 QJZ720938:QKG720938 QTV720938:QUC720938 RDR720938:RDY720938 RNN720938:RNU720938 RXJ720938:RXQ720938 SHF720938:SHM720938 SRB720938:SRI720938 TAX720938:TBE720938 TKT720938:TLA720938 TUP720938:TUW720938 UEL720938:UES720938 UOH720938:UOO720938 UYD720938:UYK720938 VHZ720938:VIG720938 VRV720938:VSC720938 WBR720938:WBY720938 WLN720938:WLU720938 WVJ720938:WVQ720938 B786474:I786474 IX786474:JE786474 ST786474:TA786474 ACP786474:ACW786474 AML786474:AMS786474 AWH786474:AWO786474 BGD786474:BGK786474 BPZ786474:BQG786474 BZV786474:CAC786474 CJR786474:CJY786474 CTN786474:CTU786474 DDJ786474:DDQ786474 DNF786474:DNM786474 DXB786474:DXI786474 EGX786474:EHE786474 EQT786474:ERA786474 FAP786474:FAW786474 FKL786474:FKS786474 FUH786474:FUO786474 GED786474:GEK786474 GNZ786474:GOG786474 GXV786474:GYC786474 HHR786474:HHY786474 HRN786474:HRU786474 IBJ786474:IBQ786474 ILF786474:ILM786474 IVB786474:IVI786474 JEX786474:JFE786474 JOT786474:JPA786474 JYP786474:JYW786474 KIL786474:KIS786474 KSH786474:KSO786474 LCD786474:LCK786474 LLZ786474:LMG786474 LVV786474:LWC786474 MFR786474:MFY786474 MPN786474:MPU786474 MZJ786474:MZQ786474 NJF786474:NJM786474 NTB786474:NTI786474 OCX786474:ODE786474 OMT786474:ONA786474 OWP786474:OWW786474 PGL786474:PGS786474 PQH786474:PQO786474 QAD786474:QAK786474 QJZ786474:QKG786474 QTV786474:QUC786474 RDR786474:RDY786474 RNN786474:RNU786474 RXJ786474:RXQ786474 SHF786474:SHM786474 SRB786474:SRI786474 TAX786474:TBE786474 TKT786474:TLA786474 TUP786474:TUW786474 UEL786474:UES786474 UOH786474:UOO786474 UYD786474:UYK786474 VHZ786474:VIG786474 VRV786474:VSC786474 WBR786474:WBY786474 WLN786474:WLU786474 WVJ786474:WVQ786474 B852010:I852010 IX852010:JE852010 ST852010:TA852010 ACP852010:ACW852010 AML852010:AMS852010 AWH852010:AWO852010 BGD852010:BGK852010 BPZ852010:BQG852010 BZV852010:CAC852010 CJR852010:CJY852010 CTN852010:CTU852010 DDJ852010:DDQ852010 DNF852010:DNM852010 DXB852010:DXI852010 EGX852010:EHE852010 EQT852010:ERA852010 FAP852010:FAW852010 FKL852010:FKS852010 FUH852010:FUO852010 GED852010:GEK852010 GNZ852010:GOG852010 GXV852010:GYC852010 HHR852010:HHY852010 HRN852010:HRU852010 IBJ852010:IBQ852010 ILF852010:ILM852010 IVB852010:IVI852010 JEX852010:JFE852010 JOT852010:JPA852010 JYP852010:JYW852010 KIL852010:KIS852010 KSH852010:KSO852010 LCD852010:LCK852010 LLZ852010:LMG852010 LVV852010:LWC852010 MFR852010:MFY852010 MPN852010:MPU852010 MZJ852010:MZQ852010 NJF852010:NJM852010 NTB852010:NTI852010 OCX852010:ODE852010 OMT852010:ONA852010 OWP852010:OWW852010 PGL852010:PGS852010 PQH852010:PQO852010 QAD852010:QAK852010 QJZ852010:QKG852010 QTV852010:QUC852010 RDR852010:RDY852010 RNN852010:RNU852010 RXJ852010:RXQ852010 SHF852010:SHM852010 SRB852010:SRI852010 TAX852010:TBE852010 TKT852010:TLA852010 TUP852010:TUW852010 UEL852010:UES852010 UOH852010:UOO852010 UYD852010:UYK852010 VHZ852010:VIG852010 VRV852010:VSC852010 WBR852010:WBY852010 WLN852010:WLU852010 WVJ852010:WVQ852010 B917546:I917546 IX917546:JE917546 ST917546:TA917546 ACP917546:ACW917546 AML917546:AMS917546 AWH917546:AWO917546 BGD917546:BGK917546 BPZ917546:BQG917546 BZV917546:CAC917546 CJR917546:CJY917546 CTN917546:CTU917546 DDJ917546:DDQ917546 DNF917546:DNM917546 DXB917546:DXI917546 EGX917546:EHE917546 EQT917546:ERA917546 FAP917546:FAW917546 FKL917546:FKS917546 FUH917546:FUO917546 GED917546:GEK917546 GNZ917546:GOG917546 GXV917546:GYC917546 HHR917546:HHY917546 HRN917546:HRU917546 IBJ917546:IBQ917546 ILF917546:ILM917546 IVB917546:IVI917546 JEX917546:JFE917546 JOT917546:JPA917546 JYP917546:JYW917546 KIL917546:KIS917546 KSH917546:KSO917546 LCD917546:LCK917546 LLZ917546:LMG917546 LVV917546:LWC917546 MFR917546:MFY917546 MPN917546:MPU917546 MZJ917546:MZQ917546 NJF917546:NJM917546 NTB917546:NTI917546 OCX917546:ODE917546 OMT917546:ONA917546 OWP917546:OWW917546 PGL917546:PGS917546 PQH917546:PQO917546 QAD917546:QAK917546 QJZ917546:QKG917546 QTV917546:QUC917546 RDR917546:RDY917546 RNN917546:RNU917546 RXJ917546:RXQ917546 SHF917546:SHM917546 SRB917546:SRI917546 TAX917546:TBE917546 TKT917546:TLA917546 TUP917546:TUW917546 UEL917546:UES917546 UOH917546:UOO917546 UYD917546:UYK917546 VHZ917546:VIG917546 VRV917546:VSC917546 WBR917546:WBY917546 WLN917546:WLU917546 WVJ917546:WVQ917546 B983082:I983082 IX983082:JE983082 ST983082:TA983082 ACP983082:ACW983082 AML983082:AMS983082 AWH983082:AWO983082 BGD983082:BGK983082 BPZ983082:BQG983082 BZV983082:CAC983082 CJR983082:CJY983082 CTN983082:CTU983082 DDJ983082:DDQ983082 DNF983082:DNM983082 DXB983082:DXI983082 EGX983082:EHE983082 EQT983082:ERA983082 FAP983082:FAW983082 FKL983082:FKS983082 FUH983082:FUO983082 GED983082:GEK983082 GNZ983082:GOG983082 GXV983082:GYC983082 HHR983082:HHY983082 HRN983082:HRU983082 IBJ983082:IBQ983082 ILF983082:ILM983082 IVB983082:IVI983082 JEX983082:JFE983082 JOT983082:JPA983082 JYP983082:JYW983082 KIL983082:KIS983082 KSH983082:KSO983082 LCD983082:LCK983082 LLZ983082:LMG983082 LVV983082:LWC983082 MFR983082:MFY983082 MPN983082:MPU983082 MZJ983082:MZQ983082 NJF983082:NJM983082 NTB983082:NTI983082 OCX983082:ODE983082 OMT983082:ONA983082 OWP983082:OWW983082 PGL983082:PGS983082 PQH983082:PQO983082 QAD983082:QAK983082 QJZ983082:QKG983082 QTV983082:QUC983082 RDR983082:RDY983082 RNN983082:RNU983082 RXJ983082:RXQ983082 SHF983082:SHM983082 SRB983082:SRI983082 TAX983082:TBE983082 TKT983082:TLA983082 TUP983082:TUW983082 UEL983082:UES983082 UOH983082:UOO983082 UYD983082:UYK983082 VHZ983082:VIG983082 VRV983082:VSC983082 WBR983082:WBY983082 WLN983082:WLU983082 WVJ983082:WVQ983082">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WVJ983081:WVQ983081 WLN983081:WLU983081 WBR983081:WBY983081 VRV983081:VSC983081 VHZ983081:VIG983081 UYD983081:UYK983081 UOH983081:UOO983081 UEL983081:UES983081 TUP983081:TUW983081 TKT983081:TLA983081 TAX983081:TBE983081 SRB983081:SRI983081 SHF983081:SHM983081 RXJ983081:RXQ983081 RNN983081:RNU983081 RDR983081:RDY983081 QTV983081:QUC983081 QJZ983081:QKG983081 QAD983081:QAK983081 PQH983081:PQO983081 PGL983081:PGS983081 OWP983081:OWW983081 OMT983081:ONA983081 OCX983081:ODE983081 NTB983081:NTI983081 NJF983081:NJM983081 MZJ983081:MZQ983081 MPN983081:MPU983081 MFR983081:MFY983081 LVV983081:LWC983081 LLZ983081:LMG983081 LCD983081:LCK983081 KSH983081:KSO983081 KIL983081:KIS983081 JYP983081:JYW983081 JOT983081:JPA983081 JEX983081:JFE983081 IVB983081:IVI983081 ILF983081:ILM983081 IBJ983081:IBQ983081 HRN983081:HRU983081 HHR983081:HHY983081 GXV983081:GYC983081 GNZ983081:GOG983081 GED983081:GEK983081 FUH983081:FUO983081 FKL983081:FKS983081 FAP983081:FAW983081 EQT983081:ERA983081 EGX983081:EHE983081 DXB983081:DXI983081 DNF983081:DNM983081 DDJ983081:DDQ983081 CTN983081:CTU983081 CJR983081:CJY983081 BZV983081:CAC983081 BPZ983081:BQG983081 BGD983081:BGK983081 AWH983081:AWO983081 AML983081:AMS983081 ACP983081:ACW983081 ST983081:TA983081 IX983081:JE983081 B983081:I983081 WVJ917545:WVQ917545 WLN917545:WLU917545 WBR917545:WBY917545 VRV917545:VSC917545 VHZ917545:VIG917545 UYD917545:UYK917545 UOH917545:UOO917545 UEL917545:UES917545 TUP917545:TUW917545 TKT917545:TLA917545 TAX917545:TBE917545 SRB917545:SRI917545 SHF917545:SHM917545 RXJ917545:RXQ917545 RNN917545:RNU917545 RDR917545:RDY917545 QTV917545:QUC917545 QJZ917545:QKG917545 QAD917545:QAK917545 PQH917545:PQO917545 PGL917545:PGS917545 OWP917545:OWW917545 OMT917545:ONA917545 OCX917545:ODE917545 NTB917545:NTI917545 NJF917545:NJM917545 MZJ917545:MZQ917545 MPN917545:MPU917545 MFR917545:MFY917545 LVV917545:LWC917545 LLZ917545:LMG917545 LCD917545:LCK917545 KSH917545:KSO917545 KIL917545:KIS917545 JYP917545:JYW917545 JOT917545:JPA917545 JEX917545:JFE917545 IVB917545:IVI917545 ILF917545:ILM917545 IBJ917545:IBQ917545 HRN917545:HRU917545 HHR917545:HHY917545 GXV917545:GYC917545 GNZ917545:GOG917545 GED917545:GEK917545 FUH917545:FUO917545 FKL917545:FKS917545 FAP917545:FAW917545 EQT917545:ERA917545 EGX917545:EHE917545 DXB917545:DXI917545 DNF917545:DNM917545 DDJ917545:DDQ917545 CTN917545:CTU917545 CJR917545:CJY917545 BZV917545:CAC917545 BPZ917545:BQG917545 BGD917545:BGK917545 AWH917545:AWO917545 AML917545:AMS917545 ACP917545:ACW917545 ST917545:TA917545 IX917545:JE917545 B917545:I917545 WVJ852009:WVQ852009 WLN852009:WLU852009 WBR852009:WBY852009 VRV852009:VSC852009 VHZ852009:VIG852009 UYD852009:UYK852009 UOH852009:UOO852009 UEL852009:UES852009 TUP852009:TUW852009 TKT852009:TLA852009 TAX852009:TBE852009 SRB852009:SRI852009 SHF852009:SHM852009 RXJ852009:RXQ852009 RNN852009:RNU852009 RDR852009:RDY852009 QTV852009:QUC852009 QJZ852009:QKG852009 QAD852009:QAK852009 PQH852009:PQO852009 PGL852009:PGS852009 OWP852009:OWW852009 OMT852009:ONA852009 OCX852009:ODE852009 NTB852009:NTI852009 NJF852009:NJM852009 MZJ852009:MZQ852009 MPN852009:MPU852009 MFR852009:MFY852009 LVV852009:LWC852009 LLZ852009:LMG852009 LCD852009:LCK852009 KSH852009:KSO852009 KIL852009:KIS852009 JYP852009:JYW852009 JOT852009:JPA852009 JEX852009:JFE852009 IVB852009:IVI852009 ILF852009:ILM852009 IBJ852009:IBQ852009 HRN852009:HRU852009 HHR852009:HHY852009 GXV852009:GYC852009 GNZ852009:GOG852009 GED852009:GEK852009 FUH852009:FUO852009 FKL852009:FKS852009 FAP852009:FAW852009 EQT852009:ERA852009 EGX852009:EHE852009 DXB852009:DXI852009 DNF852009:DNM852009 DDJ852009:DDQ852009 CTN852009:CTU852009 CJR852009:CJY852009 BZV852009:CAC852009 BPZ852009:BQG852009 BGD852009:BGK852009 AWH852009:AWO852009 AML852009:AMS852009 ACP852009:ACW852009 ST852009:TA852009 IX852009:JE852009 B852009:I852009 WVJ786473:WVQ786473 WLN786473:WLU786473 WBR786473:WBY786473 VRV786473:VSC786473 VHZ786473:VIG786473 UYD786473:UYK786473 UOH786473:UOO786473 UEL786473:UES786473 TUP786473:TUW786473 TKT786473:TLA786473 TAX786473:TBE786473 SRB786473:SRI786473 SHF786473:SHM786473 RXJ786473:RXQ786473 RNN786473:RNU786473 RDR786473:RDY786473 QTV786473:QUC786473 QJZ786473:QKG786473 QAD786473:QAK786473 PQH786473:PQO786473 PGL786473:PGS786473 OWP786473:OWW786473 OMT786473:ONA786473 OCX786473:ODE786473 NTB786473:NTI786473 NJF786473:NJM786473 MZJ786473:MZQ786473 MPN786473:MPU786473 MFR786473:MFY786473 LVV786473:LWC786473 LLZ786473:LMG786473 LCD786473:LCK786473 KSH786473:KSO786473 KIL786473:KIS786473 JYP786473:JYW786473 JOT786473:JPA786473 JEX786473:JFE786473 IVB786473:IVI786473 ILF786473:ILM786473 IBJ786473:IBQ786473 HRN786473:HRU786473 HHR786473:HHY786473 GXV786473:GYC786473 GNZ786473:GOG786473 GED786473:GEK786473 FUH786473:FUO786473 FKL786473:FKS786473 FAP786473:FAW786473 EQT786473:ERA786473 EGX786473:EHE786473 DXB786473:DXI786473 DNF786473:DNM786473 DDJ786473:DDQ786473 CTN786473:CTU786473 CJR786473:CJY786473 BZV786473:CAC786473 BPZ786473:BQG786473 BGD786473:BGK786473 AWH786473:AWO786473 AML786473:AMS786473 ACP786473:ACW786473 ST786473:TA786473 IX786473:JE786473 B786473:I786473 WVJ720937:WVQ720937 WLN720937:WLU720937 WBR720937:WBY720937 VRV720937:VSC720937 VHZ720937:VIG720937 UYD720937:UYK720937 UOH720937:UOO720937 UEL720937:UES720937 TUP720937:TUW720937 TKT720937:TLA720937 TAX720937:TBE720937 SRB720937:SRI720937 SHF720937:SHM720937 RXJ720937:RXQ720937 RNN720937:RNU720937 RDR720937:RDY720937 QTV720937:QUC720937 QJZ720937:QKG720937 QAD720937:QAK720937 PQH720937:PQO720937 PGL720937:PGS720937 OWP720937:OWW720937 OMT720937:ONA720937 OCX720937:ODE720937 NTB720937:NTI720937 NJF720937:NJM720937 MZJ720937:MZQ720937 MPN720937:MPU720937 MFR720937:MFY720937 LVV720937:LWC720937 LLZ720937:LMG720937 LCD720937:LCK720937 KSH720937:KSO720937 KIL720937:KIS720937 JYP720937:JYW720937 JOT720937:JPA720937 JEX720937:JFE720937 IVB720937:IVI720937 ILF720937:ILM720937 IBJ720937:IBQ720937 HRN720937:HRU720937 HHR720937:HHY720937 GXV720937:GYC720937 GNZ720937:GOG720937 GED720937:GEK720937 FUH720937:FUO720937 FKL720937:FKS720937 FAP720937:FAW720937 EQT720937:ERA720937 EGX720937:EHE720937 DXB720937:DXI720937 DNF720937:DNM720937 DDJ720937:DDQ720937 CTN720937:CTU720937 CJR720937:CJY720937 BZV720937:CAC720937 BPZ720937:BQG720937 BGD720937:BGK720937 AWH720937:AWO720937 AML720937:AMS720937 ACP720937:ACW720937 ST720937:TA720937 IX720937:JE720937 B720937:I720937 WVJ655401:WVQ655401 WLN655401:WLU655401 WBR655401:WBY655401 VRV655401:VSC655401 VHZ655401:VIG655401 UYD655401:UYK655401 UOH655401:UOO655401 UEL655401:UES655401 TUP655401:TUW655401 TKT655401:TLA655401 TAX655401:TBE655401 SRB655401:SRI655401 SHF655401:SHM655401 RXJ655401:RXQ655401 RNN655401:RNU655401 RDR655401:RDY655401 QTV655401:QUC655401 QJZ655401:QKG655401 QAD655401:QAK655401 PQH655401:PQO655401 PGL655401:PGS655401 OWP655401:OWW655401 OMT655401:ONA655401 OCX655401:ODE655401 NTB655401:NTI655401 NJF655401:NJM655401 MZJ655401:MZQ655401 MPN655401:MPU655401 MFR655401:MFY655401 LVV655401:LWC655401 LLZ655401:LMG655401 LCD655401:LCK655401 KSH655401:KSO655401 KIL655401:KIS655401 JYP655401:JYW655401 JOT655401:JPA655401 JEX655401:JFE655401 IVB655401:IVI655401 ILF655401:ILM655401 IBJ655401:IBQ655401 HRN655401:HRU655401 HHR655401:HHY655401 GXV655401:GYC655401 GNZ655401:GOG655401 GED655401:GEK655401 FUH655401:FUO655401 FKL655401:FKS655401 FAP655401:FAW655401 EQT655401:ERA655401 EGX655401:EHE655401 DXB655401:DXI655401 DNF655401:DNM655401 DDJ655401:DDQ655401 CTN655401:CTU655401 CJR655401:CJY655401 BZV655401:CAC655401 BPZ655401:BQG655401 BGD655401:BGK655401 AWH655401:AWO655401 AML655401:AMS655401 ACP655401:ACW655401 ST655401:TA655401 IX655401:JE655401 B655401:I655401 WVJ589865:WVQ589865 WLN589865:WLU589865 WBR589865:WBY589865 VRV589865:VSC589865 VHZ589865:VIG589865 UYD589865:UYK589865 UOH589865:UOO589865 UEL589865:UES589865 TUP589865:TUW589865 TKT589865:TLA589865 TAX589865:TBE589865 SRB589865:SRI589865 SHF589865:SHM589865 RXJ589865:RXQ589865 RNN589865:RNU589865 RDR589865:RDY589865 QTV589865:QUC589865 QJZ589865:QKG589865 QAD589865:QAK589865 PQH589865:PQO589865 PGL589865:PGS589865 OWP589865:OWW589865 OMT589865:ONA589865 OCX589865:ODE589865 NTB589865:NTI589865 NJF589865:NJM589865 MZJ589865:MZQ589865 MPN589865:MPU589865 MFR589865:MFY589865 LVV589865:LWC589865 LLZ589865:LMG589865 LCD589865:LCK589865 KSH589865:KSO589865 KIL589865:KIS589865 JYP589865:JYW589865 JOT589865:JPA589865 JEX589865:JFE589865 IVB589865:IVI589865 ILF589865:ILM589865 IBJ589865:IBQ589865 HRN589865:HRU589865 HHR589865:HHY589865 GXV589865:GYC589865 GNZ589865:GOG589865 GED589865:GEK589865 FUH589865:FUO589865 FKL589865:FKS589865 FAP589865:FAW589865 EQT589865:ERA589865 EGX589865:EHE589865 DXB589865:DXI589865 DNF589865:DNM589865 DDJ589865:DDQ589865 CTN589865:CTU589865 CJR589865:CJY589865 BZV589865:CAC589865 BPZ589865:BQG589865 BGD589865:BGK589865 AWH589865:AWO589865 AML589865:AMS589865 ACP589865:ACW589865 ST589865:TA589865 IX589865:JE589865 B589865:I589865 WVJ524329:WVQ524329 WLN524329:WLU524329 WBR524329:WBY524329 VRV524329:VSC524329 VHZ524329:VIG524329 UYD524329:UYK524329 UOH524329:UOO524329 UEL524329:UES524329 TUP524329:TUW524329 TKT524329:TLA524329 TAX524329:TBE524329 SRB524329:SRI524329 SHF524329:SHM524329 RXJ524329:RXQ524329 RNN524329:RNU524329 RDR524329:RDY524329 QTV524329:QUC524329 QJZ524329:QKG524329 QAD524329:QAK524329 PQH524329:PQO524329 PGL524329:PGS524329 OWP524329:OWW524329 OMT524329:ONA524329 OCX524329:ODE524329 NTB524329:NTI524329 NJF524329:NJM524329 MZJ524329:MZQ524329 MPN524329:MPU524329 MFR524329:MFY524329 LVV524329:LWC524329 LLZ524329:LMG524329 LCD524329:LCK524329 KSH524329:KSO524329 KIL524329:KIS524329 JYP524329:JYW524329 JOT524329:JPA524329 JEX524329:JFE524329 IVB524329:IVI524329 ILF524329:ILM524329 IBJ524329:IBQ524329 HRN524329:HRU524329 HHR524329:HHY524329 GXV524329:GYC524329 GNZ524329:GOG524329 GED524329:GEK524329 FUH524329:FUO524329 FKL524329:FKS524329 FAP524329:FAW524329 EQT524329:ERA524329 EGX524329:EHE524329 DXB524329:DXI524329 DNF524329:DNM524329 DDJ524329:DDQ524329 CTN524329:CTU524329 CJR524329:CJY524329 BZV524329:CAC524329 BPZ524329:BQG524329 BGD524329:BGK524329 AWH524329:AWO524329 AML524329:AMS524329 ACP524329:ACW524329 ST524329:TA524329 IX524329:JE524329 B524329:I524329 WVJ458793:WVQ458793 WLN458793:WLU458793 WBR458793:WBY458793 VRV458793:VSC458793 VHZ458793:VIG458793 UYD458793:UYK458793 UOH458793:UOO458793 UEL458793:UES458793 TUP458793:TUW458793 TKT458793:TLA458793 TAX458793:TBE458793 SRB458793:SRI458793 SHF458793:SHM458793 RXJ458793:RXQ458793 RNN458793:RNU458793 RDR458793:RDY458793 QTV458793:QUC458793 QJZ458793:QKG458793 QAD458793:QAK458793 PQH458793:PQO458793 PGL458793:PGS458793 OWP458793:OWW458793 OMT458793:ONA458793 OCX458793:ODE458793 NTB458793:NTI458793 NJF458793:NJM458793 MZJ458793:MZQ458793 MPN458793:MPU458793 MFR458793:MFY458793 LVV458793:LWC458793 LLZ458793:LMG458793 LCD458793:LCK458793 KSH458793:KSO458793 KIL458793:KIS458793 JYP458793:JYW458793 JOT458793:JPA458793 JEX458793:JFE458793 IVB458793:IVI458793 ILF458793:ILM458793 IBJ458793:IBQ458793 HRN458793:HRU458793 HHR458793:HHY458793 GXV458793:GYC458793 GNZ458793:GOG458793 GED458793:GEK458793 FUH458793:FUO458793 FKL458793:FKS458793 FAP458793:FAW458793 EQT458793:ERA458793 EGX458793:EHE458793 DXB458793:DXI458793 DNF458793:DNM458793 DDJ458793:DDQ458793 CTN458793:CTU458793 CJR458793:CJY458793 BZV458793:CAC458793 BPZ458793:BQG458793 BGD458793:BGK458793 AWH458793:AWO458793 AML458793:AMS458793 ACP458793:ACW458793 ST458793:TA458793 IX458793:JE458793 B458793:I458793 WVJ393257:WVQ393257 WLN393257:WLU393257 WBR393257:WBY393257 VRV393257:VSC393257 VHZ393257:VIG393257 UYD393257:UYK393257 UOH393257:UOO393257 UEL393257:UES393257 TUP393257:TUW393257 TKT393257:TLA393257 TAX393257:TBE393257 SRB393257:SRI393257 SHF393257:SHM393257 RXJ393257:RXQ393257 RNN393257:RNU393257 RDR393257:RDY393257 QTV393257:QUC393257 QJZ393257:QKG393257 QAD393257:QAK393257 PQH393257:PQO393257 PGL393257:PGS393257 OWP393257:OWW393257 OMT393257:ONA393257 OCX393257:ODE393257 NTB393257:NTI393257 NJF393257:NJM393257 MZJ393257:MZQ393257 MPN393257:MPU393257 MFR393257:MFY393257 LVV393257:LWC393257 LLZ393257:LMG393257 LCD393257:LCK393257 KSH393257:KSO393257 KIL393257:KIS393257 JYP393257:JYW393257 JOT393257:JPA393257 JEX393257:JFE393257 IVB393257:IVI393257 ILF393257:ILM393257 IBJ393257:IBQ393257 HRN393257:HRU393257 HHR393257:HHY393257 GXV393257:GYC393257 GNZ393257:GOG393257 GED393257:GEK393257 FUH393257:FUO393257 FKL393257:FKS393257 FAP393257:FAW393257 EQT393257:ERA393257 EGX393257:EHE393257 DXB393257:DXI393257 DNF393257:DNM393257 DDJ393257:DDQ393257 CTN393257:CTU393257 CJR393257:CJY393257 BZV393257:CAC393257 BPZ393257:BQG393257 BGD393257:BGK393257 AWH393257:AWO393257 AML393257:AMS393257 ACP393257:ACW393257 ST393257:TA393257 IX393257:JE393257 B393257:I393257 WVJ327721:WVQ327721 WLN327721:WLU327721 WBR327721:WBY327721 VRV327721:VSC327721 VHZ327721:VIG327721 UYD327721:UYK327721 UOH327721:UOO327721 UEL327721:UES327721 TUP327721:TUW327721 TKT327721:TLA327721 TAX327721:TBE327721 SRB327721:SRI327721 SHF327721:SHM327721 RXJ327721:RXQ327721 RNN327721:RNU327721 RDR327721:RDY327721 QTV327721:QUC327721 QJZ327721:QKG327721 QAD327721:QAK327721 PQH327721:PQO327721 PGL327721:PGS327721 OWP327721:OWW327721 OMT327721:ONA327721 OCX327721:ODE327721 NTB327721:NTI327721 NJF327721:NJM327721 MZJ327721:MZQ327721 MPN327721:MPU327721 MFR327721:MFY327721 LVV327721:LWC327721 LLZ327721:LMG327721 LCD327721:LCK327721 KSH327721:KSO327721 KIL327721:KIS327721 JYP327721:JYW327721 JOT327721:JPA327721 JEX327721:JFE327721 IVB327721:IVI327721 ILF327721:ILM327721 IBJ327721:IBQ327721 HRN327721:HRU327721 HHR327721:HHY327721 GXV327721:GYC327721 GNZ327721:GOG327721 GED327721:GEK327721 FUH327721:FUO327721 FKL327721:FKS327721 FAP327721:FAW327721 EQT327721:ERA327721 EGX327721:EHE327721 DXB327721:DXI327721 DNF327721:DNM327721 DDJ327721:DDQ327721 CTN327721:CTU327721 CJR327721:CJY327721 BZV327721:CAC327721 BPZ327721:BQG327721 BGD327721:BGK327721 AWH327721:AWO327721 AML327721:AMS327721 ACP327721:ACW327721 ST327721:TA327721 IX327721:JE327721 B327721:I327721 WVJ262185:WVQ262185 WLN262185:WLU262185 WBR262185:WBY262185 VRV262185:VSC262185 VHZ262185:VIG262185 UYD262185:UYK262185 UOH262185:UOO262185 UEL262185:UES262185 TUP262185:TUW262185 TKT262185:TLA262185 TAX262185:TBE262185 SRB262185:SRI262185 SHF262185:SHM262185 RXJ262185:RXQ262185 RNN262185:RNU262185 RDR262185:RDY262185 QTV262185:QUC262185 QJZ262185:QKG262185 QAD262185:QAK262185 PQH262185:PQO262185 PGL262185:PGS262185 OWP262185:OWW262185 OMT262185:ONA262185 OCX262185:ODE262185 NTB262185:NTI262185 NJF262185:NJM262185 MZJ262185:MZQ262185 MPN262185:MPU262185 MFR262185:MFY262185 LVV262185:LWC262185 LLZ262185:LMG262185 LCD262185:LCK262185 KSH262185:KSO262185 KIL262185:KIS262185 JYP262185:JYW262185 JOT262185:JPA262185 JEX262185:JFE262185 IVB262185:IVI262185 ILF262185:ILM262185 IBJ262185:IBQ262185 HRN262185:HRU262185 HHR262185:HHY262185 GXV262185:GYC262185 GNZ262185:GOG262185 GED262185:GEK262185 FUH262185:FUO262185 FKL262185:FKS262185 FAP262185:FAW262185 EQT262185:ERA262185 EGX262185:EHE262185 DXB262185:DXI262185 DNF262185:DNM262185 DDJ262185:DDQ262185 CTN262185:CTU262185 CJR262185:CJY262185 BZV262185:CAC262185 BPZ262185:BQG262185 BGD262185:BGK262185 AWH262185:AWO262185 AML262185:AMS262185 ACP262185:ACW262185 ST262185:TA262185 IX262185:JE262185 B262185:I262185 WVJ196649:WVQ196649 WLN196649:WLU196649 WBR196649:WBY196649 VRV196649:VSC196649 VHZ196649:VIG196649 UYD196649:UYK196649 UOH196649:UOO196649 UEL196649:UES196649 TUP196649:TUW196649 TKT196649:TLA196649 TAX196649:TBE196649 SRB196649:SRI196649 SHF196649:SHM196649 RXJ196649:RXQ196649 RNN196649:RNU196649 RDR196649:RDY196649 QTV196649:QUC196649 QJZ196649:QKG196649 QAD196649:QAK196649 PQH196649:PQO196649 PGL196649:PGS196649 OWP196649:OWW196649 OMT196649:ONA196649 OCX196649:ODE196649 NTB196649:NTI196649 NJF196649:NJM196649 MZJ196649:MZQ196649 MPN196649:MPU196649 MFR196649:MFY196649 LVV196649:LWC196649 LLZ196649:LMG196649 LCD196649:LCK196649 KSH196649:KSO196649 KIL196649:KIS196649 JYP196649:JYW196649 JOT196649:JPA196649 JEX196649:JFE196649 IVB196649:IVI196649 ILF196649:ILM196649 IBJ196649:IBQ196649 HRN196649:HRU196649 HHR196649:HHY196649 GXV196649:GYC196649 GNZ196649:GOG196649 GED196649:GEK196649 FUH196649:FUO196649 FKL196649:FKS196649 FAP196649:FAW196649 EQT196649:ERA196649 EGX196649:EHE196649 DXB196649:DXI196649 DNF196649:DNM196649 DDJ196649:DDQ196649 CTN196649:CTU196649 CJR196649:CJY196649 BZV196649:CAC196649 BPZ196649:BQG196649 BGD196649:BGK196649 AWH196649:AWO196649 AML196649:AMS196649 ACP196649:ACW196649 ST196649:TA196649 IX196649:JE196649 B196649:I196649 WVJ131113:WVQ131113 WLN131113:WLU131113 WBR131113:WBY131113 VRV131113:VSC131113 VHZ131113:VIG131113 UYD131113:UYK131113 UOH131113:UOO131113 UEL131113:UES131113 TUP131113:TUW131113 TKT131113:TLA131113 TAX131113:TBE131113 SRB131113:SRI131113 SHF131113:SHM131113 RXJ131113:RXQ131113 RNN131113:RNU131113 RDR131113:RDY131113 QTV131113:QUC131113 QJZ131113:QKG131113 QAD131113:QAK131113 PQH131113:PQO131113 PGL131113:PGS131113 OWP131113:OWW131113 OMT131113:ONA131113 OCX131113:ODE131113 NTB131113:NTI131113 NJF131113:NJM131113 MZJ131113:MZQ131113 MPN131113:MPU131113 MFR131113:MFY131113 LVV131113:LWC131113 LLZ131113:LMG131113 LCD131113:LCK131113 KSH131113:KSO131113 KIL131113:KIS131113 JYP131113:JYW131113 JOT131113:JPA131113 JEX131113:JFE131113 IVB131113:IVI131113 ILF131113:ILM131113 IBJ131113:IBQ131113 HRN131113:HRU131113 HHR131113:HHY131113 GXV131113:GYC131113 GNZ131113:GOG131113 GED131113:GEK131113 FUH131113:FUO131113 FKL131113:FKS131113 FAP131113:FAW131113 EQT131113:ERA131113 EGX131113:EHE131113 DXB131113:DXI131113 DNF131113:DNM131113 DDJ131113:DDQ131113 CTN131113:CTU131113 CJR131113:CJY131113 BZV131113:CAC131113 BPZ131113:BQG131113 BGD131113:BGK131113 AWH131113:AWO131113 AML131113:AMS131113 ACP131113:ACW131113 ST131113:TA131113 IX131113:JE131113 B131113:I131113 WVJ65577:WVQ65577 WLN65577:WLU65577 WBR65577:WBY65577 VRV65577:VSC65577 VHZ65577:VIG65577 UYD65577:UYK65577 UOH65577:UOO65577 UEL65577:UES65577 TUP65577:TUW65577 TKT65577:TLA65577 TAX65577:TBE65577 SRB65577:SRI65577 SHF65577:SHM65577 RXJ65577:RXQ65577 RNN65577:RNU65577 RDR65577:RDY65577 QTV65577:QUC65577 QJZ65577:QKG65577 QAD65577:QAK65577 PQH65577:PQO65577 PGL65577:PGS65577 OWP65577:OWW65577 OMT65577:ONA65577 OCX65577:ODE65577 NTB65577:NTI65577 NJF65577:NJM65577 MZJ65577:MZQ65577 MPN65577:MPU65577 MFR65577:MFY65577 LVV65577:LWC65577 LLZ65577:LMG65577 LCD65577:LCK65577 KSH65577:KSO65577 KIL65577:KIS65577 JYP65577:JYW65577 JOT65577:JPA65577 JEX65577:JFE65577 IVB65577:IVI65577 ILF65577:ILM65577 IBJ65577:IBQ65577 HRN65577:HRU65577 HHR65577:HHY65577 GXV65577:GYC65577 GNZ65577:GOG65577 GED65577:GEK65577 FUH65577:FUO65577 FKL65577:FKS65577 FAP65577:FAW65577 EQT65577:ERA65577 EGX65577:EHE65577 DXB65577:DXI65577 DNF65577:DNM65577 DDJ65577:DDQ65577 CTN65577:CTU65577 CJR65577:CJY65577 BZV65577:CAC65577 BPZ65577:BQG65577 BGD65577:BGK65577 AWH65577:AWO65577 AML65577:AMS65577 ACP65577:ACW65577 ST65577:TA65577 IX65577:JE65577 B65577:I65577 WVJ17:WVQ17 WLN17:WLU17 WBR17:WBY17 VRV17:VSC17 VHZ17:VIG17 UYD17:UYK17 UOH17:UOO17 UEL17:UES17 TUP17:TUW17 TKT17:TLA17 TAX17:TBE17 SRB17:SRI17 SHF17:SHM17 RXJ17:RXQ17 RNN17:RNU17 RDR17:RDY17 QTV17:QUC17 QJZ17:QKG17 QAD17:QAK17 PQH17:PQO17 PGL17:PGS17 OWP17:OWW17 OMT17:ONA17 OCX17:ODE17 NTB17:NTI17 NJF17:NJM17 MZJ17:MZQ17 MPN17:MPU17 MFR17:MFY17 LVV17:LWC17 LLZ17:LMG17 LCD17:LCK17 KSH17:KSO17 KIL17:KIS17 JYP17:JYW17 JOT17:JPA17 JEX17:JFE17 IVB17:IVI17 ILF17:ILM17 IBJ17:IBQ17 HRN17:HRU17 HHR17:HHY17 GXV17:GYC17 GNZ17:GOG17 GED17:GEK17 FUH17:FUO17 FKL17:FKS17 FAP17:FAW17 EQT17:ERA17 EGX17:EHE17 DXB17:DXI17 DNF17:DNM17 DDJ17:DDQ17 CTN17:CTU17 CJR17:CJY17 BZV17:CAC17 BPZ17:BQG17 BGD17:BGK17 AWH17:AWO17 AML17:AMS17 ACP17:ACW17 ST17:TA17 IX17:JE17">
      <formula1>$K$146:$K$151</formula1>
    </dataValidation>
    <dataValidation type="list" allowBlank="1" showInputMessage="1" showErrorMessage="1" error="Please Select fromt he drop-down list." promptTitle="Data Type" prompt="Please select DateTime, Number or Text from the drop-down list." sqref="C146:C358 WVK983186:WVK983398 WLO983186:WLO983398 WBS983186:WBS983398 VRW983186:VRW983398 VIA983186:VIA983398 UYE983186:UYE983398 UOI983186:UOI983398 UEM983186:UEM983398 TUQ983186:TUQ983398 TKU983186:TKU983398 TAY983186:TAY983398 SRC983186:SRC983398 SHG983186:SHG983398 RXK983186:RXK983398 RNO983186:RNO983398 RDS983186:RDS983398 QTW983186:QTW983398 QKA983186:QKA983398 QAE983186:QAE983398 PQI983186:PQI983398 PGM983186:PGM983398 OWQ983186:OWQ983398 OMU983186:OMU983398 OCY983186:OCY983398 NTC983186:NTC983398 NJG983186:NJG983398 MZK983186:MZK983398 MPO983186:MPO983398 MFS983186:MFS983398 LVW983186:LVW983398 LMA983186:LMA983398 LCE983186:LCE983398 KSI983186:KSI983398 KIM983186:KIM983398 JYQ983186:JYQ983398 JOU983186:JOU983398 JEY983186:JEY983398 IVC983186:IVC983398 ILG983186:ILG983398 IBK983186:IBK983398 HRO983186:HRO983398 HHS983186:HHS983398 GXW983186:GXW983398 GOA983186:GOA983398 GEE983186:GEE983398 FUI983186:FUI983398 FKM983186:FKM983398 FAQ983186:FAQ983398 EQU983186:EQU983398 EGY983186:EGY983398 DXC983186:DXC983398 DNG983186:DNG983398 DDK983186:DDK983398 CTO983186:CTO983398 CJS983186:CJS983398 BZW983186:BZW983398 BQA983186:BQA983398 BGE983186:BGE983398 AWI983186:AWI983398 AMM983186:AMM983398 ACQ983186:ACQ983398 SU983186:SU983398 IY983186:IY983398 C983186:C983398 WVK917650:WVK917862 WLO917650:WLO917862 WBS917650:WBS917862 VRW917650:VRW917862 VIA917650:VIA917862 UYE917650:UYE917862 UOI917650:UOI917862 UEM917650:UEM917862 TUQ917650:TUQ917862 TKU917650:TKU917862 TAY917650:TAY917862 SRC917650:SRC917862 SHG917650:SHG917862 RXK917650:RXK917862 RNO917650:RNO917862 RDS917650:RDS917862 QTW917650:QTW917862 QKA917650:QKA917862 QAE917650:QAE917862 PQI917650:PQI917862 PGM917650:PGM917862 OWQ917650:OWQ917862 OMU917650:OMU917862 OCY917650:OCY917862 NTC917650:NTC917862 NJG917650:NJG917862 MZK917650:MZK917862 MPO917650:MPO917862 MFS917650:MFS917862 LVW917650:LVW917862 LMA917650:LMA917862 LCE917650:LCE917862 KSI917650:KSI917862 KIM917650:KIM917862 JYQ917650:JYQ917862 JOU917650:JOU917862 JEY917650:JEY917862 IVC917650:IVC917862 ILG917650:ILG917862 IBK917650:IBK917862 HRO917650:HRO917862 HHS917650:HHS917862 GXW917650:GXW917862 GOA917650:GOA917862 GEE917650:GEE917862 FUI917650:FUI917862 FKM917650:FKM917862 FAQ917650:FAQ917862 EQU917650:EQU917862 EGY917650:EGY917862 DXC917650:DXC917862 DNG917650:DNG917862 DDK917650:DDK917862 CTO917650:CTO917862 CJS917650:CJS917862 BZW917650:BZW917862 BQA917650:BQA917862 BGE917650:BGE917862 AWI917650:AWI917862 AMM917650:AMM917862 ACQ917650:ACQ917862 SU917650:SU917862 IY917650:IY917862 C917650:C917862 WVK852114:WVK852326 WLO852114:WLO852326 WBS852114:WBS852326 VRW852114:VRW852326 VIA852114:VIA852326 UYE852114:UYE852326 UOI852114:UOI852326 UEM852114:UEM852326 TUQ852114:TUQ852326 TKU852114:TKU852326 TAY852114:TAY852326 SRC852114:SRC852326 SHG852114:SHG852326 RXK852114:RXK852326 RNO852114:RNO852326 RDS852114:RDS852326 QTW852114:QTW852326 QKA852114:QKA852326 QAE852114:QAE852326 PQI852114:PQI852326 PGM852114:PGM852326 OWQ852114:OWQ852326 OMU852114:OMU852326 OCY852114:OCY852326 NTC852114:NTC852326 NJG852114:NJG852326 MZK852114:MZK852326 MPO852114:MPO852326 MFS852114:MFS852326 LVW852114:LVW852326 LMA852114:LMA852326 LCE852114:LCE852326 KSI852114:KSI852326 KIM852114:KIM852326 JYQ852114:JYQ852326 JOU852114:JOU852326 JEY852114:JEY852326 IVC852114:IVC852326 ILG852114:ILG852326 IBK852114:IBK852326 HRO852114:HRO852326 HHS852114:HHS852326 GXW852114:GXW852326 GOA852114:GOA852326 GEE852114:GEE852326 FUI852114:FUI852326 FKM852114:FKM852326 FAQ852114:FAQ852326 EQU852114:EQU852326 EGY852114:EGY852326 DXC852114:DXC852326 DNG852114:DNG852326 DDK852114:DDK852326 CTO852114:CTO852326 CJS852114:CJS852326 BZW852114:BZW852326 BQA852114:BQA852326 BGE852114:BGE852326 AWI852114:AWI852326 AMM852114:AMM852326 ACQ852114:ACQ852326 SU852114:SU852326 IY852114:IY852326 C852114:C852326 WVK786578:WVK786790 WLO786578:WLO786790 WBS786578:WBS786790 VRW786578:VRW786790 VIA786578:VIA786790 UYE786578:UYE786790 UOI786578:UOI786790 UEM786578:UEM786790 TUQ786578:TUQ786790 TKU786578:TKU786790 TAY786578:TAY786790 SRC786578:SRC786790 SHG786578:SHG786790 RXK786578:RXK786790 RNO786578:RNO786790 RDS786578:RDS786790 QTW786578:QTW786790 QKA786578:QKA786790 QAE786578:QAE786790 PQI786578:PQI786790 PGM786578:PGM786790 OWQ786578:OWQ786790 OMU786578:OMU786790 OCY786578:OCY786790 NTC786578:NTC786790 NJG786578:NJG786790 MZK786578:MZK786790 MPO786578:MPO786790 MFS786578:MFS786790 LVW786578:LVW786790 LMA786578:LMA786790 LCE786578:LCE786790 KSI786578:KSI786790 KIM786578:KIM786790 JYQ786578:JYQ786790 JOU786578:JOU786790 JEY786578:JEY786790 IVC786578:IVC786790 ILG786578:ILG786790 IBK786578:IBK786790 HRO786578:HRO786790 HHS786578:HHS786790 GXW786578:GXW786790 GOA786578:GOA786790 GEE786578:GEE786790 FUI786578:FUI786790 FKM786578:FKM786790 FAQ786578:FAQ786790 EQU786578:EQU786790 EGY786578:EGY786790 DXC786578:DXC786790 DNG786578:DNG786790 DDK786578:DDK786790 CTO786578:CTO786790 CJS786578:CJS786790 BZW786578:BZW786790 BQA786578:BQA786790 BGE786578:BGE786790 AWI786578:AWI786790 AMM786578:AMM786790 ACQ786578:ACQ786790 SU786578:SU786790 IY786578:IY786790 C786578:C786790 WVK721042:WVK721254 WLO721042:WLO721254 WBS721042:WBS721254 VRW721042:VRW721254 VIA721042:VIA721254 UYE721042:UYE721254 UOI721042:UOI721254 UEM721042:UEM721254 TUQ721042:TUQ721254 TKU721042:TKU721254 TAY721042:TAY721254 SRC721042:SRC721254 SHG721042:SHG721254 RXK721042:RXK721254 RNO721042:RNO721254 RDS721042:RDS721254 QTW721042:QTW721254 QKA721042:QKA721254 QAE721042:QAE721254 PQI721042:PQI721254 PGM721042:PGM721254 OWQ721042:OWQ721254 OMU721042:OMU721254 OCY721042:OCY721254 NTC721042:NTC721254 NJG721042:NJG721254 MZK721042:MZK721254 MPO721042:MPO721254 MFS721042:MFS721254 LVW721042:LVW721254 LMA721042:LMA721254 LCE721042:LCE721254 KSI721042:KSI721254 KIM721042:KIM721254 JYQ721042:JYQ721254 JOU721042:JOU721254 JEY721042:JEY721254 IVC721042:IVC721254 ILG721042:ILG721254 IBK721042:IBK721254 HRO721042:HRO721254 HHS721042:HHS721254 GXW721042:GXW721254 GOA721042:GOA721254 GEE721042:GEE721254 FUI721042:FUI721254 FKM721042:FKM721254 FAQ721042:FAQ721254 EQU721042:EQU721254 EGY721042:EGY721254 DXC721042:DXC721254 DNG721042:DNG721254 DDK721042:DDK721254 CTO721042:CTO721254 CJS721042:CJS721254 BZW721042:BZW721254 BQA721042:BQA721254 BGE721042:BGE721254 AWI721042:AWI721254 AMM721042:AMM721254 ACQ721042:ACQ721254 SU721042:SU721254 IY721042:IY721254 C721042:C721254 WVK655506:WVK655718 WLO655506:WLO655718 WBS655506:WBS655718 VRW655506:VRW655718 VIA655506:VIA655718 UYE655506:UYE655718 UOI655506:UOI655718 UEM655506:UEM655718 TUQ655506:TUQ655718 TKU655506:TKU655718 TAY655506:TAY655718 SRC655506:SRC655718 SHG655506:SHG655718 RXK655506:RXK655718 RNO655506:RNO655718 RDS655506:RDS655718 QTW655506:QTW655718 QKA655506:QKA655718 QAE655506:QAE655718 PQI655506:PQI655718 PGM655506:PGM655718 OWQ655506:OWQ655718 OMU655506:OMU655718 OCY655506:OCY655718 NTC655506:NTC655718 NJG655506:NJG655718 MZK655506:MZK655718 MPO655506:MPO655718 MFS655506:MFS655718 LVW655506:LVW655718 LMA655506:LMA655718 LCE655506:LCE655718 KSI655506:KSI655718 KIM655506:KIM655718 JYQ655506:JYQ655718 JOU655506:JOU655718 JEY655506:JEY655718 IVC655506:IVC655718 ILG655506:ILG655718 IBK655506:IBK655718 HRO655506:HRO655718 HHS655506:HHS655718 GXW655506:GXW655718 GOA655506:GOA655718 GEE655506:GEE655718 FUI655506:FUI655718 FKM655506:FKM655718 FAQ655506:FAQ655718 EQU655506:EQU655718 EGY655506:EGY655718 DXC655506:DXC655718 DNG655506:DNG655718 DDK655506:DDK655718 CTO655506:CTO655718 CJS655506:CJS655718 BZW655506:BZW655718 BQA655506:BQA655718 BGE655506:BGE655718 AWI655506:AWI655718 AMM655506:AMM655718 ACQ655506:ACQ655718 SU655506:SU655718 IY655506:IY655718 C655506:C655718 WVK589970:WVK590182 WLO589970:WLO590182 WBS589970:WBS590182 VRW589970:VRW590182 VIA589970:VIA590182 UYE589970:UYE590182 UOI589970:UOI590182 UEM589970:UEM590182 TUQ589970:TUQ590182 TKU589970:TKU590182 TAY589970:TAY590182 SRC589970:SRC590182 SHG589970:SHG590182 RXK589970:RXK590182 RNO589970:RNO590182 RDS589970:RDS590182 QTW589970:QTW590182 QKA589970:QKA590182 QAE589970:QAE590182 PQI589970:PQI590182 PGM589970:PGM590182 OWQ589970:OWQ590182 OMU589970:OMU590182 OCY589970:OCY590182 NTC589970:NTC590182 NJG589970:NJG590182 MZK589970:MZK590182 MPO589970:MPO590182 MFS589970:MFS590182 LVW589970:LVW590182 LMA589970:LMA590182 LCE589970:LCE590182 KSI589970:KSI590182 KIM589970:KIM590182 JYQ589970:JYQ590182 JOU589970:JOU590182 JEY589970:JEY590182 IVC589970:IVC590182 ILG589970:ILG590182 IBK589970:IBK590182 HRO589970:HRO590182 HHS589970:HHS590182 GXW589970:GXW590182 GOA589970:GOA590182 GEE589970:GEE590182 FUI589970:FUI590182 FKM589970:FKM590182 FAQ589970:FAQ590182 EQU589970:EQU590182 EGY589970:EGY590182 DXC589970:DXC590182 DNG589970:DNG590182 DDK589970:DDK590182 CTO589970:CTO590182 CJS589970:CJS590182 BZW589970:BZW590182 BQA589970:BQA590182 BGE589970:BGE590182 AWI589970:AWI590182 AMM589970:AMM590182 ACQ589970:ACQ590182 SU589970:SU590182 IY589970:IY590182 C589970:C590182 WVK524434:WVK524646 WLO524434:WLO524646 WBS524434:WBS524646 VRW524434:VRW524646 VIA524434:VIA524646 UYE524434:UYE524646 UOI524434:UOI524646 UEM524434:UEM524646 TUQ524434:TUQ524646 TKU524434:TKU524646 TAY524434:TAY524646 SRC524434:SRC524646 SHG524434:SHG524646 RXK524434:RXK524646 RNO524434:RNO524646 RDS524434:RDS524646 QTW524434:QTW524646 QKA524434:QKA524646 QAE524434:QAE524646 PQI524434:PQI524646 PGM524434:PGM524646 OWQ524434:OWQ524646 OMU524434:OMU524646 OCY524434:OCY524646 NTC524434:NTC524646 NJG524434:NJG524646 MZK524434:MZK524646 MPO524434:MPO524646 MFS524434:MFS524646 LVW524434:LVW524646 LMA524434:LMA524646 LCE524434:LCE524646 KSI524434:KSI524646 KIM524434:KIM524646 JYQ524434:JYQ524646 JOU524434:JOU524646 JEY524434:JEY524646 IVC524434:IVC524646 ILG524434:ILG524646 IBK524434:IBK524646 HRO524434:HRO524646 HHS524434:HHS524646 GXW524434:GXW524646 GOA524434:GOA524646 GEE524434:GEE524646 FUI524434:FUI524646 FKM524434:FKM524646 FAQ524434:FAQ524646 EQU524434:EQU524646 EGY524434:EGY524646 DXC524434:DXC524646 DNG524434:DNG524646 DDK524434:DDK524646 CTO524434:CTO524646 CJS524434:CJS524646 BZW524434:BZW524646 BQA524434:BQA524646 BGE524434:BGE524646 AWI524434:AWI524646 AMM524434:AMM524646 ACQ524434:ACQ524646 SU524434:SU524646 IY524434:IY524646 C524434:C524646 WVK458898:WVK459110 WLO458898:WLO459110 WBS458898:WBS459110 VRW458898:VRW459110 VIA458898:VIA459110 UYE458898:UYE459110 UOI458898:UOI459110 UEM458898:UEM459110 TUQ458898:TUQ459110 TKU458898:TKU459110 TAY458898:TAY459110 SRC458898:SRC459110 SHG458898:SHG459110 RXK458898:RXK459110 RNO458898:RNO459110 RDS458898:RDS459110 QTW458898:QTW459110 QKA458898:QKA459110 QAE458898:QAE459110 PQI458898:PQI459110 PGM458898:PGM459110 OWQ458898:OWQ459110 OMU458898:OMU459110 OCY458898:OCY459110 NTC458898:NTC459110 NJG458898:NJG459110 MZK458898:MZK459110 MPO458898:MPO459110 MFS458898:MFS459110 LVW458898:LVW459110 LMA458898:LMA459110 LCE458898:LCE459110 KSI458898:KSI459110 KIM458898:KIM459110 JYQ458898:JYQ459110 JOU458898:JOU459110 JEY458898:JEY459110 IVC458898:IVC459110 ILG458898:ILG459110 IBK458898:IBK459110 HRO458898:HRO459110 HHS458898:HHS459110 GXW458898:GXW459110 GOA458898:GOA459110 GEE458898:GEE459110 FUI458898:FUI459110 FKM458898:FKM459110 FAQ458898:FAQ459110 EQU458898:EQU459110 EGY458898:EGY459110 DXC458898:DXC459110 DNG458898:DNG459110 DDK458898:DDK459110 CTO458898:CTO459110 CJS458898:CJS459110 BZW458898:BZW459110 BQA458898:BQA459110 BGE458898:BGE459110 AWI458898:AWI459110 AMM458898:AMM459110 ACQ458898:ACQ459110 SU458898:SU459110 IY458898:IY459110 C458898:C459110 WVK393362:WVK393574 WLO393362:WLO393574 WBS393362:WBS393574 VRW393362:VRW393574 VIA393362:VIA393574 UYE393362:UYE393574 UOI393362:UOI393574 UEM393362:UEM393574 TUQ393362:TUQ393574 TKU393362:TKU393574 TAY393362:TAY393574 SRC393362:SRC393574 SHG393362:SHG393574 RXK393362:RXK393574 RNO393362:RNO393574 RDS393362:RDS393574 QTW393362:QTW393574 QKA393362:QKA393574 QAE393362:QAE393574 PQI393362:PQI393574 PGM393362:PGM393574 OWQ393362:OWQ393574 OMU393362:OMU393574 OCY393362:OCY393574 NTC393362:NTC393574 NJG393362:NJG393574 MZK393362:MZK393574 MPO393362:MPO393574 MFS393362:MFS393574 LVW393362:LVW393574 LMA393362:LMA393574 LCE393362:LCE393574 KSI393362:KSI393574 KIM393362:KIM393574 JYQ393362:JYQ393574 JOU393362:JOU393574 JEY393362:JEY393574 IVC393362:IVC393574 ILG393362:ILG393574 IBK393362:IBK393574 HRO393362:HRO393574 HHS393362:HHS393574 GXW393362:GXW393574 GOA393362:GOA393574 GEE393362:GEE393574 FUI393362:FUI393574 FKM393362:FKM393574 FAQ393362:FAQ393574 EQU393362:EQU393574 EGY393362:EGY393574 DXC393362:DXC393574 DNG393362:DNG393574 DDK393362:DDK393574 CTO393362:CTO393574 CJS393362:CJS393574 BZW393362:BZW393574 BQA393362:BQA393574 BGE393362:BGE393574 AWI393362:AWI393574 AMM393362:AMM393574 ACQ393362:ACQ393574 SU393362:SU393574 IY393362:IY393574 C393362:C393574 WVK327826:WVK328038 WLO327826:WLO328038 WBS327826:WBS328038 VRW327826:VRW328038 VIA327826:VIA328038 UYE327826:UYE328038 UOI327826:UOI328038 UEM327826:UEM328038 TUQ327826:TUQ328038 TKU327826:TKU328038 TAY327826:TAY328038 SRC327826:SRC328038 SHG327826:SHG328038 RXK327826:RXK328038 RNO327826:RNO328038 RDS327826:RDS328038 QTW327826:QTW328038 QKA327826:QKA328038 QAE327826:QAE328038 PQI327826:PQI328038 PGM327826:PGM328038 OWQ327826:OWQ328038 OMU327826:OMU328038 OCY327826:OCY328038 NTC327826:NTC328038 NJG327826:NJG328038 MZK327826:MZK328038 MPO327826:MPO328038 MFS327826:MFS328038 LVW327826:LVW328038 LMA327826:LMA328038 LCE327826:LCE328038 KSI327826:KSI328038 KIM327826:KIM328038 JYQ327826:JYQ328038 JOU327826:JOU328038 JEY327826:JEY328038 IVC327826:IVC328038 ILG327826:ILG328038 IBK327826:IBK328038 HRO327826:HRO328038 HHS327826:HHS328038 GXW327826:GXW328038 GOA327826:GOA328038 GEE327826:GEE328038 FUI327826:FUI328038 FKM327826:FKM328038 FAQ327826:FAQ328038 EQU327826:EQU328038 EGY327826:EGY328038 DXC327826:DXC328038 DNG327826:DNG328038 DDK327826:DDK328038 CTO327826:CTO328038 CJS327826:CJS328038 BZW327826:BZW328038 BQA327826:BQA328038 BGE327826:BGE328038 AWI327826:AWI328038 AMM327826:AMM328038 ACQ327826:ACQ328038 SU327826:SU328038 IY327826:IY328038 C327826:C328038 WVK262290:WVK262502 WLO262290:WLO262502 WBS262290:WBS262502 VRW262290:VRW262502 VIA262290:VIA262502 UYE262290:UYE262502 UOI262290:UOI262502 UEM262290:UEM262502 TUQ262290:TUQ262502 TKU262290:TKU262502 TAY262290:TAY262502 SRC262290:SRC262502 SHG262290:SHG262502 RXK262290:RXK262502 RNO262290:RNO262502 RDS262290:RDS262502 QTW262290:QTW262502 QKA262290:QKA262502 QAE262290:QAE262502 PQI262290:PQI262502 PGM262290:PGM262502 OWQ262290:OWQ262502 OMU262290:OMU262502 OCY262290:OCY262502 NTC262290:NTC262502 NJG262290:NJG262502 MZK262290:MZK262502 MPO262290:MPO262502 MFS262290:MFS262502 LVW262290:LVW262502 LMA262290:LMA262502 LCE262290:LCE262502 KSI262290:KSI262502 KIM262290:KIM262502 JYQ262290:JYQ262502 JOU262290:JOU262502 JEY262290:JEY262502 IVC262290:IVC262502 ILG262290:ILG262502 IBK262290:IBK262502 HRO262290:HRO262502 HHS262290:HHS262502 GXW262290:GXW262502 GOA262290:GOA262502 GEE262290:GEE262502 FUI262290:FUI262502 FKM262290:FKM262502 FAQ262290:FAQ262502 EQU262290:EQU262502 EGY262290:EGY262502 DXC262290:DXC262502 DNG262290:DNG262502 DDK262290:DDK262502 CTO262290:CTO262502 CJS262290:CJS262502 BZW262290:BZW262502 BQA262290:BQA262502 BGE262290:BGE262502 AWI262290:AWI262502 AMM262290:AMM262502 ACQ262290:ACQ262502 SU262290:SU262502 IY262290:IY262502 C262290:C262502 WVK196754:WVK196966 WLO196754:WLO196966 WBS196754:WBS196966 VRW196754:VRW196966 VIA196754:VIA196966 UYE196754:UYE196966 UOI196754:UOI196966 UEM196754:UEM196966 TUQ196754:TUQ196966 TKU196754:TKU196966 TAY196754:TAY196966 SRC196754:SRC196966 SHG196754:SHG196966 RXK196754:RXK196966 RNO196754:RNO196966 RDS196754:RDS196966 QTW196754:QTW196966 QKA196754:QKA196966 QAE196754:QAE196966 PQI196754:PQI196966 PGM196754:PGM196966 OWQ196754:OWQ196966 OMU196754:OMU196966 OCY196754:OCY196966 NTC196754:NTC196966 NJG196754:NJG196966 MZK196754:MZK196966 MPO196754:MPO196966 MFS196754:MFS196966 LVW196754:LVW196966 LMA196754:LMA196966 LCE196754:LCE196966 KSI196754:KSI196966 KIM196754:KIM196966 JYQ196754:JYQ196966 JOU196754:JOU196966 JEY196754:JEY196966 IVC196754:IVC196966 ILG196754:ILG196966 IBK196754:IBK196966 HRO196754:HRO196966 HHS196754:HHS196966 GXW196754:GXW196966 GOA196754:GOA196966 GEE196754:GEE196966 FUI196754:FUI196966 FKM196754:FKM196966 FAQ196754:FAQ196966 EQU196754:EQU196966 EGY196754:EGY196966 DXC196754:DXC196966 DNG196754:DNG196966 DDK196754:DDK196966 CTO196754:CTO196966 CJS196754:CJS196966 BZW196754:BZW196966 BQA196754:BQA196966 BGE196754:BGE196966 AWI196754:AWI196966 AMM196754:AMM196966 ACQ196754:ACQ196966 SU196754:SU196966 IY196754:IY196966 C196754:C196966 WVK131218:WVK131430 WLO131218:WLO131430 WBS131218:WBS131430 VRW131218:VRW131430 VIA131218:VIA131430 UYE131218:UYE131430 UOI131218:UOI131430 UEM131218:UEM131430 TUQ131218:TUQ131430 TKU131218:TKU131430 TAY131218:TAY131430 SRC131218:SRC131430 SHG131218:SHG131430 RXK131218:RXK131430 RNO131218:RNO131430 RDS131218:RDS131430 QTW131218:QTW131430 QKA131218:QKA131430 QAE131218:QAE131430 PQI131218:PQI131430 PGM131218:PGM131430 OWQ131218:OWQ131430 OMU131218:OMU131430 OCY131218:OCY131430 NTC131218:NTC131430 NJG131218:NJG131430 MZK131218:MZK131430 MPO131218:MPO131430 MFS131218:MFS131430 LVW131218:LVW131430 LMA131218:LMA131430 LCE131218:LCE131430 KSI131218:KSI131430 KIM131218:KIM131430 JYQ131218:JYQ131430 JOU131218:JOU131430 JEY131218:JEY131430 IVC131218:IVC131430 ILG131218:ILG131430 IBK131218:IBK131430 HRO131218:HRO131430 HHS131218:HHS131430 GXW131218:GXW131430 GOA131218:GOA131430 GEE131218:GEE131430 FUI131218:FUI131430 FKM131218:FKM131430 FAQ131218:FAQ131430 EQU131218:EQU131430 EGY131218:EGY131430 DXC131218:DXC131430 DNG131218:DNG131430 DDK131218:DDK131430 CTO131218:CTO131430 CJS131218:CJS131430 BZW131218:BZW131430 BQA131218:BQA131430 BGE131218:BGE131430 AWI131218:AWI131430 AMM131218:AMM131430 ACQ131218:ACQ131430 SU131218:SU131430 IY131218:IY131430 C131218:C131430 WVK65682:WVK65894 WLO65682:WLO65894 WBS65682:WBS65894 VRW65682:VRW65894 VIA65682:VIA65894 UYE65682:UYE65894 UOI65682:UOI65894 UEM65682:UEM65894 TUQ65682:TUQ65894 TKU65682:TKU65894 TAY65682:TAY65894 SRC65682:SRC65894 SHG65682:SHG65894 RXK65682:RXK65894 RNO65682:RNO65894 RDS65682:RDS65894 QTW65682:QTW65894 QKA65682:QKA65894 QAE65682:QAE65894 PQI65682:PQI65894 PGM65682:PGM65894 OWQ65682:OWQ65894 OMU65682:OMU65894 OCY65682:OCY65894 NTC65682:NTC65894 NJG65682:NJG65894 MZK65682:MZK65894 MPO65682:MPO65894 MFS65682:MFS65894 LVW65682:LVW65894 LMA65682:LMA65894 LCE65682:LCE65894 KSI65682:KSI65894 KIM65682:KIM65894 JYQ65682:JYQ65894 JOU65682:JOU65894 JEY65682:JEY65894 IVC65682:IVC65894 ILG65682:ILG65894 IBK65682:IBK65894 HRO65682:HRO65894 HHS65682:HHS65894 GXW65682:GXW65894 GOA65682:GOA65894 GEE65682:GEE65894 FUI65682:FUI65894 FKM65682:FKM65894 FAQ65682:FAQ65894 EQU65682:EQU65894 EGY65682:EGY65894 DXC65682:DXC65894 DNG65682:DNG65894 DDK65682:DDK65894 CTO65682:CTO65894 CJS65682:CJS65894 BZW65682:BZW65894 BQA65682:BQA65894 BGE65682:BGE65894 AWI65682:AWI65894 AMM65682:AMM65894 ACQ65682:ACQ65894 SU65682:SU65894 IY65682:IY65894 C65682:C65894 WVK146:WVK358 WLO146:WLO358 WBS146:WBS358 VRW146:VRW358 VIA146:VIA358 UYE146:UYE358 UOI146:UOI358 UEM146:UEM358 TUQ146:TUQ358 TKU146:TKU358 TAY146:TAY358 SRC146:SRC358 SHG146:SHG358 RXK146:RXK358 RNO146:RNO358 RDS146:RDS358 QTW146:QTW358 QKA146:QKA358 QAE146:QAE358 PQI146:PQI358 PGM146:PGM358 OWQ146:OWQ358 OMU146:OMU358 OCY146:OCY358 NTC146:NTC358 NJG146:NJG358 MZK146:MZK358 MPO146:MPO358 MFS146:MFS358 LVW146:LVW358 LMA146:LMA358 LCE146:LCE358 KSI146:KSI358 KIM146:KIM358 JYQ146:JYQ358 JOU146:JOU358 JEY146:JEY358 IVC146:IVC358 ILG146:ILG358 IBK146:IBK358 HRO146:HRO358 HHS146:HHS358 GXW146:GXW358 GOA146:GOA358 GEE146:GEE358 FUI146:FUI358 FKM146:FKM358 FAQ146:FAQ358 EQU146:EQU358 EGY146:EGY358 DXC146:DXC358 DNG146:DNG358 DDK146:DDK358 CTO146:CTO358 CJS146:CJS358 BZW146:BZW358 BQA146:BQA358 BGE146:BGE358 AWI146:AWI358 AMM146:AMM358 ACQ146:ACQ358 SU146:SU358 IY146:IY358">
      <formula1>$M$147:$M$149</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BA19"/>
  <sheetViews>
    <sheetView zoomScale="80" zoomScaleNormal="80" zoomScalePageLayoutView="90" workbookViewId="0"/>
  </sheetViews>
  <sheetFormatPr defaultColWidth="8.85546875" defaultRowHeight="15" x14ac:dyDescent="0.25"/>
  <cols>
    <col min="1" max="1" width="8.85546875" style="1"/>
    <col min="2" max="2" width="12.140625" style="3" bestFit="1" customWidth="1"/>
    <col min="3" max="3" width="6.42578125" style="1" bestFit="1" customWidth="1"/>
    <col min="4" max="4" width="12.42578125" style="1" bestFit="1" customWidth="1"/>
    <col min="5" max="5" width="10.7109375" style="1" customWidth="1"/>
    <col min="6" max="6" width="9.42578125" style="1" bestFit="1" customWidth="1"/>
    <col min="7" max="7" width="9.42578125" style="1" customWidth="1"/>
    <col min="8" max="8" width="11.85546875" style="1" customWidth="1"/>
    <col min="9" max="9" width="9.85546875" style="1" customWidth="1"/>
    <col min="10" max="10" width="9.5703125" style="1" customWidth="1"/>
    <col min="11" max="11" width="9.85546875" style="1" customWidth="1"/>
    <col min="12" max="16384" width="8.85546875" style="1"/>
  </cols>
  <sheetData>
    <row r="1" spans="1:53" ht="14.25" customHeight="1" x14ac:dyDescent="0.25">
      <c r="A1" s="80" t="s">
        <v>355</v>
      </c>
      <c r="B1" s="11" t="s">
        <v>357</v>
      </c>
      <c r="C1" s="8" t="s">
        <v>360</v>
      </c>
      <c r="D1" s="8" t="s">
        <v>361</v>
      </c>
      <c r="E1" s="81" t="s">
        <v>362</v>
      </c>
      <c r="F1" s="8" t="s">
        <v>364</v>
      </c>
      <c r="G1" s="82" t="s">
        <v>365</v>
      </c>
      <c r="H1" s="82" t="s">
        <v>366</v>
      </c>
      <c r="I1" s="83" t="s">
        <v>23</v>
      </c>
      <c r="J1" s="84" t="s">
        <v>376</v>
      </c>
      <c r="K1" s="84" t="s">
        <v>25</v>
      </c>
      <c r="L1" s="84" t="s">
        <v>379</v>
      </c>
      <c r="M1" s="84" t="s">
        <v>26</v>
      </c>
      <c r="N1" s="84" t="s">
        <v>382</v>
      </c>
      <c r="O1" s="84" t="s">
        <v>27</v>
      </c>
      <c r="P1" s="84" t="s">
        <v>28</v>
      </c>
      <c r="Q1" s="80" t="s">
        <v>386</v>
      </c>
      <c r="R1" s="80" t="s">
        <v>388</v>
      </c>
      <c r="S1" s="80" t="s">
        <v>390</v>
      </c>
      <c r="T1" s="80" t="s">
        <v>392</v>
      </c>
      <c r="U1" s="80" t="s">
        <v>394</v>
      </c>
      <c r="V1" s="80" t="s">
        <v>396</v>
      </c>
      <c r="W1" s="80" t="s">
        <v>398</v>
      </c>
      <c r="X1" s="80" t="s">
        <v>400</v>
      </c>
      <c r="Y1" s="80" t="s">
        <v>402</v>
      </c>
      <c r="Z1" s="80" t="s">
        <v>404</v>
      </c>
      <c r="AA1" s="80" t="s">
        <v>406</v>
      </c>
      <c r="AB1" s="80" t="s">
        <v>408</v>
      </c>
      <c r="AC1" s="80" t="s">
        <v>410</v>
      </c>
      <c r="AD1" s="80" t="s">
        <v>412</v>
      </c>
      <c r="AE1" s="80" t="s">
        <v>414</v>
      </c>
      <c r="AF1" s="80" t="s">
        <v>416</v>
      </c>
      <c r="AG1" s="80" t="s">
        <v>418</v>
      </c>
      <c r="AH1" s="80" t="s">
        <v>420</v>
      </c>
      <c r="AI1" s="80" t="s">
        <v>422</v>
      </c>
      <c r="AJ1" s="80" t="s">
        <v>424</v>
      </c>
      <c r="AK1" s="80" t="s">
        <v>426</v>
      </c>
      <c r="AL1" s="80" t="s">
        <v>428</v>
      </c>
      <c r="AM1" s="80" t="s">
        <v>430</v>
      </c>
      <c r="AN1" s="80" t="s">
        <v>432</v>
      </c>
      <c r="AO1" s="80" t="s">
        <v>434</v>
      </c>
      <c r="AP1" s="80" t="s">
        <v>436</v>
      </c>
      <c r="AQ1" s="80" t="s">
        <v>438</v>
      </c>
      <c r="AR1" s="80" t="s">
        <v>440</v>
      </c>
      <c r="AS1" s="80" t="s">
        <v>442</v>
      </c>
      <c r="AT1" s="80" t="s">
        <v>443</v>
      </c>
      <c r="AU1" s="80" t="s">
        <v>444</v>
      </c>
      <c r="AV1" s="80" t="s">
        <v>445</v>
      </c>
      <c r="AW1" s="80" t="s">
        <v>446</v>
      </c>
      <c r="AX1" s="80" t="s">
        <v>447</v>
      </c>
      <c r="AY1" s="80" t="s">
        <v>29</v>
      </c>
      <c r="AZ1" s="8" t="s">
        <v>41</v>
      </c>
      <c r="BA1" s="85" t="s">
        <v>30</v>
      </c>
    </row>
    <row r="2" spans="1:53" ht="14.25" customHeight="1" x14ac:dyDescent="0.25">
      <c r="A2" s="1">
        <v>2012</v>
      </c>
      <c r="B2" s="3">
        <v>41083</v>
      </c>
      <c r="C2" s="5" t="s">
        <v>16</v>
      </c>
      <c r="D2" s="5" t="s">
        <v>17</v>
      </c>
      <c r="E2" s="5" t="s">
        <v>462</v>
      </c>
      <c r="F2" s="5" t="s">
        <v>18</v>
      </c>
      <c r="G2" s="5"/>
      <c r="H2" s="5" t="s">
        <v>24</v>
      </c>
      <c r="I2" s="5"/>
      <c r="J2" s="1">
        <v>22</v>
      </c>
      <c r="K2" s="1">
        <v>19</v>
      </c>
      <c r="L2" s="1">
        <v>18</v>
      </c>
      <c r="M2" s="1">
        <v>20</v>
      </c>
      <c r="N2" s="1">
        <v>26</v>
      </c>
      <c r="O2" s="1">
        <v>24</v>
      </c>
      <c r="P2" s="2">
        <v>21.5</v>
      </c>
      <c r="Q2" s="4">
        <v>5</v>
      </c>
      <c r="R2" s="4">
        <v>6.3</v>
      </c>
      <c r="S2" s="4">
        <v>3.1</v>
      </c>
      <c r="T2" s="4">
        <v>4.3</v>
      </c>
      <c r="U2" s="4">
        <v>3.3</v>
      </c>
      <c r="V2" s="4">
        <v>4.3</v>
      </c>
      <c r="W2" s="2">
        <v>4.3833333333333337</v>
      </c>
      <c r="X2" s="4">
        <v>1.6</v>
      </c>
      <c r="Y2" s="4">
        <v>1</v>
      </c>
      <c r="Z2" s="4">
        <v>1</v>
      </c>
      <c r="AA2" s="4">
        <v>1.2</v>
      </c>
      <c r="AB2" s="4">
        <v>1.9</v>
      </c>
      <c r="AC2" s="4">
        <v>1.2</v>
      </c>
      <c r="AD2" s="2">
        <v>1.3166666666666667</v>
      </c>
      <c r="AE2" s="1">
        <v>31</v>
      </c>
      <c r="AF2" s="1">
        <v>19</v>
      </c>
      <c r="AG2" s="1">
        <v>19</v>
      </c>
      <c r="AH2" s="1">
        <v>38</v>
      </c>
      <c r="AI2" s="1">
        <v>38</v>
      </c>
      <c r="AJ2" s="1">
        <v>14</v>
      </c>
      <c r="AK2" s="9">
        <v>26.5</v>
      </c>
      <c r="AL2" s="4">
        <f>0.5952*AE2+7.684</f>
        <v>26.135200000000001</v>
      </c>
      <c r="AM2" s="4">
        <f t="shared" ref="AM2:AP2" si="0">0.5952*AF2+7.684</f>
        <v>18.992799999999999</v>
      </c>
      <c r="AN2" s="4">
        <f t="shared" si="0"/>
        <v>18.992799999999999</v>
      </c>
      <c r="AO2" s="4">
        <f t="shared" si="0"/>
        <v>30.301600000000001</v>
      </c>
      <c r="AP2" s="4">
        <f t="shared" si="0"/>
        <v>30.301600000000001</v>
      </c>
      <c r="AQ2" s="4">
        <f>0.5952*AJ2+7.684</f>
        <v>16.0168</v>
      </c>
      <c r="AR2" s="9">
        <v>23.456799999999998</v>
      </c>
      <c r="AS2" s="4" t="e">
        <v>#N/A</v>
      </c>
      <c r="AT2" s="1" t="e">
        <v>#N/A</v>
      </c>
      <c r="AU2" s="1" t="e">
        <v>#N/A</v>
      </c>
      <c r="AV2" s="1" t="e">
        <v>#N/A</v>
      </c>
      <c r="AW2" s="1" t="e">
        <v>#N/A</v>
      </c>
      <c r="AX2" s="1" t="e">
        <v>#N/A</v>
      </c>
      <c r="AY2" s="1" t="e">
        <v>#N/A</v>
      </c>
      <c r="AZ2" s="5" t="s">
        <v>20</v>
      </c>
    </row>
    <row r="3" spans="1:53" ht="14.25" customHeight="1" x14ac:dyDescent="0.25">
      <c r="A3" s="1">
        <v>2012</v>
      </c>
      <c r="B3" s="3">
        <v>41093</v>
      </c>
      <c r="C3" s="1" t="s">
        <v>16</v>
      </c>
      <c r="D3" s="1" t="s">
        <v>0</v>
      </c>
      <c r="E3" s="1" t="s">
        <v>3</v>
      </c>
      <c r="F3" s="1" t="s">
        <v>18</v>
      </c>
      <c r="H3" s="1" t="s">
        <v>24</v>
      </c>
      <c r="J3" s="1">
        <v>5</v>
      </c>
      <c r="K3" s="1">
        <v>14</v>
      </c>
      <c r="L3" s="1">
        <v>15</v>
      </c>
      <c r="M3" s="1">
        <v>13</v>
      </c>
      <c r="N3" s="1">
        <v>12</v>
      </c>
      <c r="O3" s="1">
        <v>8</v>
      </c>
      <c r="P3" s="2">
        <v>11.166666666666666</v>
      </c>
      <c r="Q3" s="4">
        <v>3.8</v>
      </c>
      <c r="R3" s="4">
        <v>4.2</v>
      </c>
      <c r="S3" s="4">
        <v>4</v>
      </c>
      <c r="T3" s="4">
        <v>5</v>
      </c>
      <c r="U3" s="4">
        <v>4.5999999999999996</v>
      </c>
      <c r="V3" s="4">
        <v>3</v>
      </c>
      <c r="W3" s="2">
        <v>4.1000000000000005</v>
      </c>
      <c r="X3" s="4">
        <v>2.7</v>
      </c>
      <c r="Y3" s="4">
        <v>2.6</v>
      </c>
      <c r="Z3" s="4">
        <v>2.4</v>
      </c>
      <c r="AA3" s="4">
        <v>2.8</v>
      </c>
      <c r="AB3" s="4">
        <v>2.5</v>
      </c>
      <c r="AC3" s="4">
        <v>2.7</v>
      </c>
      <c r="AD3" s="2">
        <v>2.6166666666666667</v>
      </c>
      <c r="AE3" s="1">
        <v>11</v>
      </c>
      <c r="AF3" s="1">
        <v>11</v>
      </c>
      <c r="AG3" s="1">
        <v>7</v>
      </c>
      <c r="AH3" s="1">
        <v>8</v>
      </c>
      <c r="AI3" s="1">
        <v>11</v>
      </c>
      <c r="AJ3" s="1">
        <v>23</v>
      </c>
      <c r="AK3" s="9">
        <v>11.833333333333334</v>
      </c>
      <c r="AL3" s="4">
        <v>14.231199999999999</v>
      </c>
      <c r="AM3" s="4">
        <v>14.231199999999999</v>
      </c>
      <c r="AN3" s="4">
        <v>11.8504</v>
      </c>
      <c r="AO3" s="4">
        <v>12.445599999999999</v>
      </c>
      <c r="AP3" s="4">
        <v>14.231199999999999</v>
      </c>
      <c r="AQ3" s="4">
        <v>21.3736</v>
      </c>
      <c r="AR3" s="9">
        <v>14.7272</v>
      </c>
      <c r="AS3" s="4" t="e">
        <v>#N/A</v>
      </c>
      <c r="AT3" s="1" t="e">
        <v>#N/A</v>
      </c>
      <c r="AU3" s="1" t="e">
        <v>#N/A</v>
      </c>
      <c r="AV3" s="1" t="e">
        <v>#N/A</v>
      </c>
      <c r="AW3" s="1" t="e">
        <v>#N/A</v>
      </c>
      <c r="AX3" s="1" t="e">
        <v>#N/A</v>
      </c>
      <c r="AY3" s="1" t="e">
        <v>#N/A</v>
      </c>
      <c r="AZ3" s="1" t="s">
        <v>2</v>
      </c>
      <c r="BA3" s="1" t="s">
        <v>31</v>
      </c>
    </row>
    <row r="4" spans="1:53" ht="14.25" customHeight="1" x14ac:dyDescent="0.25">
      <c r="A4" s="1">
        <v>2012</v>
      </c>
      <c r="B4" s="3">
        <v>41093</v>
      </c>
      <c r="C4" s="1" t="s">
        <v>16</v>
      </c>
      <c r="D4" s="1" t="s">
        <v>0</v>
      </c>
      <c r="E4" s="1" t="s">
        <v>4</v>
      </c>
      <c r="F4" s="1" t="s">
        <v>18</v>
      </c>
      <c r="H4" s="1" t="s">
        <v>24</v>
      </c>
      <c r="J4" s="1">
        <v>20</v>
      </c>
      <c r="K4" s="1">
        <v>20</v>
      </c>
      <c r="L4" s="1">
        <v>18</v>
      </c>
      <c r="M4" s="1">
        <v>19</v>
      </c>
      <c r="N4" s="1">
        <v>22</v>
      </c>
      <c r="O4" s="1">
        <v>17</v>
      </c>
      <c r="P4" s="2">
        <v>19.333333333333332</v>
      </c>
      <c r="Q4" s="10">
        <v>3.6</v>
      </c>
      <c r="R4" s="10">
        <v>7.3</v>
      </c>
      <c r="S4" s="10">
        <v>4.2</v>
      </c>
      <c r="T4" s="10">
        <v>4.8</v>
      </c>
      <c r="U4" s="4">
        <v>5.4</v>
      </c>
      <c r="V4" s="4">
        <v>7.8</v>
      </c>
      <c r="W4" s="6">
        <v>5.5166666666666666</v>
      </c>
      <c r="X4" s="4">
        <v>2.9</v>
      </c>
      <c r="Y4" s="4">
        <v>3.3</v>
      </c>
      <c r="Z4" s="4">
        <v>3</v>
      </c>
      <c r="AA4" s="4">
        <v>3</v>
      </c>
      <c r="AB4" s="4">
        <v>3</v>
      </c>
      <c r="AC4" s="4">
        <v>3.4</v>
      </c>
      <c r="AD4" s="6">
        <v>3.0999999999999996</v>
      </c>
      <c r="AE4" s="1">
        <v>5</v>
      </c>
      <c r="AF4" s="1">
        <v>6</v>
      </c>
      <c r="AG4" s="1">
        <v>7</v>
      </c>
      <c r="AH4" s="1">
        <v>12</v>
      </c>
      <c r="AI4" s="1">
        <v>4</v>
      </c>
      <c r="AJ4" s="1">
        <v>8</v>
      </c>
      <c r="AK4" s="9">
        <v>7</v>
      </c>
      <c r="AL4" s="4">
        <v>10.66</v>
      </c>
      <c r="AM4" s="4">
        <v>11.2552</v>
      </c>
      <c r="AN4" s="4">
        <v>11.8504</v>
      </c>
      <c r="AO4" s="4">
        <v>14.8264</v>
      </c>
      <c r="AP4" s="4">
        <v>10.0648</v>
      </c>
      <c r="AQ4" s="4">
        <v>12.445599999999999</v>
      </c>
      <c r="AR4" s="9">
        <v>11.8504</v>
      </c>
      <c r="AS4" s="4" t="e">
        <v>#N/A</v>
      </c>
      <c r="AT4" s="1" t="e">
        <v>#N/A</v>
      </c>
      <c r="AU4" s="1" t="e">
        <v>#N/A</v>
      </c>
      <c r="AV4" s="1" t="e">
        <v>#N/A</v>
      </c>
      <c r="AW4" s="1" t="e">
        <v>#N/A</v>
      </c>
      <c r="AX4" s="1" t="e">
        <v>#N/A</v>
      </c>
      <c r="AY4" s="1" t="e">
        <v>#N/A</v>
      </c>
      <c r="AZ4" s="1" t="s">
        <v>20</v>
      </c>
      <c r="BA4" s="1" t="s">
        <v>31</v>
      </c>
    </row>
    <row r="5" spans="1:53" ht="14.25" customHeight="1" x14ac:dyDescent="0.25">
      <c r="A5" s="1">
        <v>2012</v>
      </c>
      <c r="B5" s="3">
        <v>41095</v>
      </c>
      <c r="C5" s="1" t="s">
        <v>16</v>
      </c>
      <c r="D5" s="1" t="s">
        <v>0</v>
      </c>
      <c r="E5" s="1" t="s">
        <v>5</v>
      </c>
      <c r="F5" s="1" t="s">
        <v>18</v>
      </c>
      <c r="H5" s="1" t="s">
        <v>24</v>
      </c>
      <c r="J5" s="1">
        <v>19</v>
      </c>
      <c r="K5" s="1">
        <v>15</v>
      </c>
      <c r="L5" s="1">
        <v>20</v>
      </c>
      <c r="M5" s="1">
        <v>19</v>
      </c>
      <c r="N5" s="1">
        <v>18</v>
      </c>
      <c r="O5" s="1">
        <v>20</v>
      </c>
      <c r="P5" s="2">
        <v>18.5</v>
      </c>
      <c r="Q5" s="4">
        <v>4.5999999999999996</v>
      </c>
      <c r="R5" s="4">
        <v>5.4</v>
      </c>
      <c r="S5" s="4">
        <v>4.0999999999999996</v>
      </c>
      <c r="T5" s="4">
        <v>5.3</v>
      </c>
      <c r="U5" s="4">
        <v>4.4000000000000004</v>
      </c>
      <c r="V5" s="4">
        <v>4.0999999999999996</v>
      </c>
      <c r="W5" s="2">
        <v>4.6499999999999995</v>
      </c>
      <c r="X5" s="4">
        <v>3.7</v>
      </c>
      <c r="Y5" s="4">
        <v>3.9</v>
      </c>
      <c r="Z5" s="4">
        <v>3.8</v>
      </c>
      <c r="AA5" s="4">
        <v>3.9</v>
      </c>
      <c r="AB5" s="4">
        <v>3.8</v>
      </c>
      <c r="AC5" s="4">
        <v>3.8</v>
      </c>
      <c r="AD5" s="2">
        <v>3.8166666666666664</v>
      </c>
      <c r="AE5" s="1">
        <v>14</v>
      </c>
      <c r="AF5" s="1">
        <v>16</v>
      </c>
      <c r="AG5" s="1">
        <v>14</v>
      </c>
      <c r="AH5" s="1">
        <v>12</v>
      </c>
      <c r="AI5" s="1">
        <v>13</v>
      </c>
      <c r="AJ5" s="1">
        <v>13</v>
      </c>
      <c r="AK5" s="9">
        <v>13.666666666666666</v>
      </c>
      <c r="AL5" s="4">
        <v>16.0168</v>
      </c>
      <c r="AM5" s="4">
        <v>17.2072</v>
      </c>
      <c r="AN5" s="4">
        <v>16.0168</v>
      </c>
      <c r="AO5" s="4">
        <v>14.8264</v>
      </c>
      <c r="AP5" s="4">
        <v>15.4216</v>
      </c>
      <c r="AQ5" s="4">
        <v>15.4216</v>
      </c>
      <c r="AR5" s="9">
        <v>15.8184</v>
      </c>
      <c r="AS5" s="4" t="e">
        <v>#N/A</v>
      </c>
      <c r="AT5" s="1" t="e">
        <v>#N/A</v>
      </c>
      <c r="AU5" s="1" t="e">
        <v>#N/A</v>
      </c>
      <c r="AV5" s="1" t="e">
        <v>#N/A</v>
      </c>
      <c r="AW5" s="1" t="e">
        <v>#N/A</v>
      </c>
      <c r="AX5" s="1" t="e">
        <v>#N/A</v>
      </c>
      <c r="AY5" s="1" t="e">
        <v>#N/A</v>
      </c>
      <c r="AZ5" s="1" t="s">
        <v>2</v>
      </c>
      <c r="BA5" s="1" t="s">
        <v>32</v>
      </c>
    </row>
    <row r="6" spans="1:53" ht="14.25" customHeight="1" x14ac:dyDescent="0.25">
      <c r="A6" s="1">
        <v>2012</v>
      </c>
      <c r="B6" s="3">
        <v>41095</v>
      </c>
      <c r="C6" s="1" t="s">
        <v>16</v>
      </c>
      <c r="D6" s="1" t="s">
        <v>17</v>
      </c>
      <c r="E6" s="1" t="s">
        <v>6</v>
      </c>
      <c r="F6" s="1" t="s">
        <v>18</v>
      </c>
      <c r="H6" s="1" t="s">
        <v>24</v>
      </c>
      <c r="J6" s="1">
        <v>14</v>
      </c>
      <c r="K6" s="1">
        <v>13</v>
      </c>
      <c r="L6" s="1">
        <v>15</v>
      </c>
      <c r="M6" s="1">
        <v>19</v>
      </c>
      <c r="N6" s="1">
        <v>11</v>
      </c>
      <c r="O6" s="1">
        <v>17</v>
      </c>
      <c r="P6" s="2">
        <v>14.833333333333334</v>
      </c>
      <c r="Q6" s="4">
        <v>3.3</v>
      </c>
      <c r="R6" s="4">
        <v>4.2</v>
      </c>
      <c r="S6" s="4">
        <v>3.2</v>
      </c>
      <c r="T6" s="4">
        <v>4.2</v>
      </c>
      <c r="U6" s="4">
        <v>2.9</v>
      </c>
      <c r="V6" s="4">
        <v>3</v>
      </c>
      <c r="W6" s="2">
        <v>3.4666666666666663</v>
      </c>
      <c r="X6" s="4">
        <v>3.1</v>
      </c>
      <c r="Y6" s="4">
        <v>2.8</v>
      </c>
      <c r="Z6" s="4">
        <v>3</v>
      </c>
      <c r="AA6" s="4">
        <v>3.2</v>
      </c>
      <c r="AB6" s="4">
        <v>2.7</v>
      </c>
      <c r="AC6" s="4">
        <v>2.7</v>
      </c>
      <c r="AD6" s="2">
        <v>2.9166666666666665</v>
      </c>
      <c r="AE6" s="1">
        <v>10</v>
      </c>
      <c r="AF6" s="1">
        <v>8</v>
      </c>
      <c r="AG6" s="1">
        <v>13</v>
      </c>
      <c r="AH6" s="1">
        <v>15</v>
      </c>
      <c r="AI6" s="1">
        <v>10</v>
      </c>
      <c r="AJ6" s="1">
        <v>7</v>
      </c>
      <c r="AK6" s="9">
        <v>10.5</v>
      </c>
      <c r="AL6" s="4">
        <v>13.635999999999999</v>
      </c>
      <c r="AM6" s="4">
        <v>12.445599999999999</v>
      </c>
      <c r="AN6" s="4">
        <v>15.4216</v>
      </c>
      <c r="AO6" s="4">
        <v>16.611999999999998</v>
      </c>
      <c r="AP6" s="4">
        <v>13.635999999999999</v>
      </c>
      <c r="AQ6" s="4">
        <v>11.8504</v>
      </c>
      <c r="AR6" s="9">
        <v>13.933599999999998</v>
      </c>
      <c r="AS6" s="4" t="e">
        <v>#N/A</v>
      </c>
      <c r="AT6" s="1" t="e">
        <v>#N/A</v>
      </c>
      <c r="AU6" s="1" t="e">
        <v>#N/A</v>
      </c>
      <c r="AV6" s="1" t="e">
        <v>#N/A</v>
      </c>
      <c r="AW6" s="1" t="e">
        <v>#N/A</v>
      </c>
      <c r="AX6" s="1" t="e">
        <v>#N/A</v>
      </c>
      <c r="AY6" s="1" t="e">
        <v>#N/A</v>
      </c>
      <c r="AZ6" s="1" t="s">
        <v>20</v>
      </c>
    </row>
    <row r="7" spans="1:53" ht="14.25" customHeight="1" x14ac:dyDescent="0.25">
      <c r="A7" s="1">
        <v>2012</v>
      </c>
      <c r="B7" s="7">
        <v>41101</v>
      </c>
      <c r="C7" s="5" t="s">
        <v>16</v>
      </c>
      <c r="D7" s="5" t="s">
        <v>0</v>
      </c>
      <c r="E7" s="5" t="s">
        <v>7</v>
      </c>
      <c r="F7" s="5" t="s">
        <v>18</v>
      </c>
      <c r="G7" s="5"/>
      <c r="H7" s="5" t="s">
        <v>24</v>
      </c>
      <c r="I7" s="5"/>
      <c r="J7" s="1">
        <v>19</v>
      </c>
      <c r="K7" s="1">
        <v>24</v>
      </c>
      <c r="L7" s="1">
        <v>23</v>
      </c>
      <c r="M7" s="1">
        <v>23</v>
      </c>
      <c r="N7" s="1">
        <v>22</v>
      </c>
      <c r="O7" s="1">
        <v>21</v>
      </c>
      <c r="P7" s="2">
        <v>22</v>
      </c>
      <c r="Q7" s="4">
        <v>5.9</v>
      </c>
      <c r="R7" s="4">
        <v>7.6</v>
      </c>
      <c r="S7" s="4">
        <v>7.8</v>
      </c>
      <c r="T7" s="4">
        <v>4.7</v>
      </c>
      <c r="U7" s="4">
        <v>8.6999999999999993</v>
      </c>
      <c r="V7" s="4">
        <v>6.2</v>
      </c>
      <c r="W7" s="2">
        <v>6.8166666666666673</v>
      </c>
      <c r="X7" s="4">
        <v>4.2</v>
      </c>
      <c r="Y7" s="4">
        <v>3.9</v>
      </c>
      <c r="Z7" s="4">
        <v>4.2</v>
      </c>
      <c r="AA7" s="4">
        <v>4</v>
      </c>
      <c r="AB7" s="4">
        <v>5.5</v>
      </c>
      <c r="AC7" s="4">
        <v>4</v>
      </c>
      <c r="AD7" s="2">
        <v>4.3</v>
      </c>
      <c r="AE7" s="1">
        <v>11</v>
      </c>
      <c r="AF7" s="1">
        <v>10</v>
      </c>
      <c r="AG7" s="1">
        <v>14</v>
      </c>
      <c r="AH7" s="1">
        <v>11</v>
      </c>
      <c r="AI7" s="1">
        <v>13</v>
      </c>
      <c r="AJ7" s="1">
        <v>14</v>
      </c>
      <c r="AK7" s="9">
        <v>12.166666666666666</v>
      </c>
      <c r="AL7" s="4">
        <v>14.231199999999999</v>
      </c>
      <c r="AM7" s="4">
        <v>13.635999999999999</v>
      </c>
      <c r="AN7" s="4">
        <v>16.0168</v>
      </c>
      <c r="AO7" s="4">
        <v>14.231199999999999</v>
      </c>
      <c r="AP7" s="4">
        <v>15.4216</v>
      </c>
      <c r="AQ7" s="4">
        <v>16.0168</v>
      </c>
      <c r="AR7" s="9">
        <v>14.925599999999999</v>
      </c>
      <c r="AS7" s="4" t="e">
        <v>#N/A</v>
      </c>
      <c r="AT7" s="1" t="e">
        <v>#N/A</v>
      </c>
      <c r="AU7" s="1" t="e">
        <v>#N/A</v>
      </c>
      <c r="AV7" s="1" t="e">
        <v>#N/A</v>
      </c>
      <c r="AW7" s="1" t="e">
        <v>#N/A</v>
      </c>
      <c r="AX7" s="1" t="e">
        <v>#N/A</v>
      </c>
      <c r="AY7" s="1" t="e">
        <v>#N/A</v>
      </c>
      <c r="AZ7" s="5" t="s">
        <v>20</v>
      </c>
    </row>
    <row r="8" spans="1:53" ht="14.25" customHeight="1" x14ac:dyDescent="0.25">
      <c r="A8" s="1">
        <v>2012</v>
      </c>
      <c r="B8" s="3">
        <v>41099</v>
      </c>
      <c r="C8" s="1" t="s">
        <v>16</v>
      </c>
      <c r="D8" s="1" t="s">
        <v>0</v>
      </c>
      <c r="E8" s="1" t="s">
        <v>8</v>
      </c>
      <c r="F8" s="1" t="s">
        <v>18</v>
      </c>
      <c r="H8" s="1" t="s">
        <v>24</v>
      </c>
      <c r="J8" s="1">
        <v>15</v>
      </c>
      <c r="K8" s="1">
        <v>20</v>
      </c>
      <c r="L8" s="1">
        <v>18</v>
      </c>
      <c r="M8" s="1">
        <v>16.5</v>
      </c>
      <c r="N8" s="1">
        <v>37</v>
      </c>
      <c r="O8" s="1">
        <v>34</v>
      </c>
      <c r="P8" s="2">
        <v>23.416666666666668</v>
      </c>
      <c r="Q8" s="4">
        <v>5.4</v>
      </c>
      <c r="R8" s="4">
        <v>7.9</v>
      </c>
      <c r="S8" s="4">
        <v>5.3</v>
      </c>
      <c r="T8" s="4">
        <v>4</v>
      </c>
      <c r="U8" s="4">
        <v>6.1</v>
      </c>
      <c r="V8" s="4">
        <v>6.2</v>
      </c>
      <c r="W8" s="2">
        <v>5.8166666666666673</v>
      </c>
      <c r="X8" s="4">
        <v>3.1</v>
      </c>
      <c r="Y8" s="4">
        <v>3.9</v>
      </c>
      <c r="Z8" s="4">
        <v>3.4</v>
      </c>
      <c r="AA8" s="4">
        <v>2.9</v>
      </c>
      <c r="AB8" s="4">
        <v>4</v>
      </c>
      <c r="AC8" s="4">
        <v>3.3</v>
      </c>
      <c r="AD8" s="2">
        <v>3.4333333333333336</v>
      </c>
      <c r="AE8" s="1">
        <v>10</v>
      </c>
      <c r="AF8" s="1">
        <v>9</v>
      </c>
      <c r="AG8" s="1">
        <v>8</v>
      </c>
      <c r="AH8" s="1">
        <v>18</v>
      </c>
      <c r="AI8" s="1">
        <v>9</v>
      </c>
      <c r="AJ8" s="1">
        <v>23</v>
      </c>
      <c r="AK8" s="9">
        <v>12.833333333333334</v>
      </c>
      <c r="AL8" s="4">
        <v>13.635999999999999</v>
      </c>
      <c r="AM8" s="4">
        <v>13.040800000000001</v>
      </c>
      <c r="AN8" s="4">
        <v>12.445599999999999</v>
      </c>
      <c r="AO8" s="4">
        <v>18.397600000000001</v>
      </c>
      <c r="AP8" s="4">
        <v>13.040800000000001</v>
      </c>
      <c r="AQ8" s="4">
        <v>21.3736</v>
      </c>
      <c r="AR8" s="9">
        <v>15.3224</v>
      </c>
      <c r="AS8" s="4" t="e">
        <v>#N/A</v>
      </c>
      <c r="AT8" s="1" t="e">
        <v>#N/A</v>
      </c>
      <c r="AU8" s="1" t="e">
        <v>#N/A</v>
      </c>
      <c r="AV8" s="1" t="e">
        <v>#N/A</v>
      </c>
      <c r="AW8" s="1" t="e">
        <v>#N/A</v>
      </c>
      <c r="AX8" s="1" t="e">
        <v>#N/A</v>
      </c>
      <c r="AY8" s="1" t="e">
        <v>#N/A</v>
      </c>
      <c r="AZ8" s="1" t="s">
        <v>21</v>
      </c>
    </row>
    <row r="9" spans="1:53" ht="14.25" customHeight="1" x14ac:dyDescent="0.25">
      <c r="A9" s="1">
        <v>2012</v>
      </c>
      <c r="B9" s="3">
        <v>41101</v>
      </c>
      <c r="C9" s="1" t="s">
        <v>16</v>
      </c>
      <c r="D9" s="1" t="s">
        <v>0</v>
      </c>
      <c r="E9" s="1" t="s">
        <v>9</v>
      </c>
      <c r="F9" s="1" t="s">
        <v>18</v>
      </c>
      <c r="H9" s="1" t="s">
        <v>24</v>
      </c>
      <c r="J9" s="1">
        <v>6</v>
      </c>
      <c r="K9" s="1">
        <v>15</v>
      </c>
      <c r="L9" s="1">
        <v>25</v>
      </c>
      <c r="M9" s="1">
        <v>9</v>
      </c>
      <c r="N9" s="1">
        <v>13</v>
      </c>
      <c r="O9" s="1">
        <v>18</v>
      </c>
      <c r="P9" s="2">
        <v>14.333333333333334</v>
      </c>
      <c r="Q9" s="4">
        <v>5.5</v>
      </c>
      <c r="R9" s="4">
        <v>6.9</v>
      </c>
      <c r="S9" s="4">
        <v>4.4000000000000004</v>
      </c>
      <c r="T9" s="4">
        <v>4.5</v>
      </c>
      <c r="U9" s="4">
        <v>5.5</v>
      </c>
      <c r="V9" s="4">
        <v>5</v>
      </c>
      <c r="W9" s="2">
        <v>5.3</v>
      </c>
      <c r="X9" s="4">
        <v>3</v>
      </c>
      <c r="Y9" s="4">
        <v>3.2</v>
      </c>
      <c r="Z9" s="4">
        <v>3</v>
      </c>
      <c r="AA9" s="4">
        <v>3.3</v>
      </c>
      <c r="AB9" s="4">
        <v>3.3</v>
      </c>
      <c r="AC9" s="4">
        <v>3.4</v>
      </c>
      <c r="AD9" s="2">
        <v>3.1999999999999997</v>
      </c>
      <c r="AE9" s="1">
        <v>10</v>
      </c>
      <c r="AF9" s="1">
        <v>7</v>
      </c>
      <c r="AG9" s="1">
        <v>3</v>
      </c>
      <c r="AH9" s="1">
        <v>6</v>
      </c>
      <c r="AI9" s="1">
        <v>6</v>
      </c>
      <c r="AJ9" s="1">
        <v>9</v>
      </c>
      <c r="AK9" s="9">
        <v>6.833333333333333</v>
      </c>
      <c r="AL9" s="4">
        <v>13.635999999999999</v>
      </c>
      <c r="AM9" s="4">
        <v>11.8504</v>
      </c>
      <c r="AN9" s="4">
        <v>9.4695999999999998</v>
      </c>
      <c r="AO9" s="4">
        <v>11.2552</v>
      </c>
      <c r="AP9" s="4">
        <v>11.2552</v>
      </c>
      <c r="AQ9" s="4">
        <v>13.040800000000001</v>
      </c>
      <c r="AR9" s="9">
        <v>11.751200000000001</v>
      </c>
      <c r="AS9" s="4" t="e">
        <v>#N/A</v>
      </c>
      <c r="AT9" s="1" t="e">
        <v>#N/A</v>
      </c>
      <c r="AU9" s="1" t="e">
        <v>#N/A</v>
      </c>
      <c r="AV9" s="1" t="e">
        <v>#N/A</v>
      </c>
      <c r="AW9" s="1" t="e">
        <v>#N/A</v>
      </c>
      <c r="AX9" s="1" t="e">
        <v>#N/A</v>
      </c>
      <c r="AY9" s="1" t="e">
        <v>#N/A</v>
      </c>
      <c r="AZ9" s="1" t="s">
        <v>20</v>
      </c>
      <c r="BA9" s="1" t="s">
        <v>33</v>
      </c>
    </row>
    <row r="10" spans="1:53" ht="14.25" customHeight="1" x14ac:dyDescent="0.25">
      <c r="A10" s="1">
        <v>2012</v>
      </c>
      <c r="B10" s="3">
        <v>41102</v>
      </c>
      <c r="C10" s="1" t="s">
        <v>16</v>
      </c>
      <c r="D10" s="1" t="s">
        <v>17</v>
      </c>
      <c r="E10" s="1" t="s">
        <v>10</v>
      </c>
      <c r="F10" s="1" t="s">
        <v>18</v>
      </c>
      <c r="H10" s="1" t="s">
        <v>24</v>
      </c>
      <c r="J10" s="1">
        <v>30</v>
      </c>
      <c r="K10" s="1">
        <v>19.5</v>
      </c>
      <c r="L10" s="1">
        <v>22</v>
      </c>
      <c r="M10" s="1">
        <v>21</v>
      </c>
      <c r="N10" s="1">
        <v>30</v>
      </c>
      <c r="O10" s="1">
        <v>12.5</v>
      </c>
      <c r="P10" s="2">
        <v>22.5</v>
      </c>
      <c r="Q10" s="4">
        <v>5.0999999999999996</v>
      </c>
      <c r="R10" s="4">
        <v>5.9</v>
      </c>
      <c r="S10" s="4">
        <v>5</v>
      </c>
      <c r="T10" s="4">
        <v>7.4</v>
      </c>
      <c r="U10" s="4">
        <v>4.3</v>
      </c>
      <c r="V10" s="4">
        <v>4.7</v>
      </c>
      <c r="W10" s="2">
        <v>5.3999999999999995</v>
      </c>
      <c r="X10" s="4">
        <v>4</v>
      </c>
      <c r="Y10" s="4">
        <v>4.3</v>
      </c>
      <c r="Z10" s="4">
        <v>4.7</v>
      </c>
      <c r="AA10" s="4">
        <v>4.7</v>
      </c>
      <c r="AB10" s="4">
        <v>4.0999999999999996</v>
      </c>
      <c r="AC10" s="4">
        <v>4.2</v>
      </c>
      <c r="AD10" s="2">
        <v>4.333333333333333</v>
      </c>
      <c r="AE10" s="1">
        <v>9</v>
      </c>
      <c r="AF10" s="1">
        <v>11</v>
      </c>
      <c r="AG10" s="1">
        <v>7</v>
      </c>
      <c r="AH10" s="1">
        <v>11</v>
      </c>
      <c r="AI10" s="1">
        <v>10</v>
      </c>
      <c r="AJ10" s="1">
        <v>9</v>
      </c>
      <c r="AK10" s="9">
        <v>9.5</v>
      </c>
      <c r="AL10" s="4">
        <v>13.040800000000001</v>
      </c>
      <c r="AM10" s="4">
        <v>14.231199999999999</v>
      </c>
      <c r="AN10" s="4">
        <v>11.8504</v>
      </c>
      <c r="AO10" s="4">
        <v>14.231199999999999</v>
      </c>
      <c r="AP10" s="4">
        <v>13.635999999999999</v>
      </c>
      <c r="AQ10" s="4">
        <v>13.040800000000001</v>
      </c>
      <c r="AR10" s="9">
        <v>13.3384</v>
      </c>
      <c r="AS10" s="4" t="e">
        <v>#N/A</v>
      </c>
      <c r="AT10" s="1" t="e">
        <v>#N/A</v>
      </c>
      <c r="AU10" s="1" t="e">
        <v>#N/A</v>
      </c>
      <c r="AV10" s="1" t="e">
        <v>#N/A</v>
      </c>
      <c r="AW10" s="1" t="e">
        <v>#N/A</v>
      </c>
      <c r="AX10" s="1" t="e">
        <v>#N/A</v>
      </c>
      <c r="AY10" s="1" t="e">
        <v>#N/A</v>
      </c>
      <c r="AZ10" s="1" t="s">
        <v>20</v>
      </c>
      <c r="BA10" s="1" t="s">
        <v>34</v>
      </c>
    </row>
    <row r="11" spans="1:53" ht="14.25" customHeight="1" x14ac:dyDescent="0.25">
      <c r="A11" s="1">
        <v>2012</v>
      </c>
      <c r="B11" s="3">
        <v>41102</v>
      </c>
      <c r="C11" s="1" t="s">
        <v>16</v>
      </c>
      <c r="D11" s="1" t="s">
        <v>22</v>
      </c>
      <c r="E11" s="1" t="s">
        <v>11</v>
      </c>
      <c r="F11" s="1" t="s">
        <v>18</v>
      </c>
      <c r="H11" s="1" t="s">
        <v>24</v>
      </c>
      <c r="J11" s="1">
        <v>14</v>
      </c>
      <c r="K11" s="1">
        <v>13</v>
      </c>
      <c r="L11" s="1">
        <v>21.5</v>
      </c>
      <c r="M11" s="1">
        <v>22</v>
      </c>
      <c r="N11" s="1">
        <v>20.5</v>
      </c>
      <c r="O11" s="1">
        <v>15.5</v>
      </c>
      <c r="P11" s="2">
        <v>17.75</v>
      </c>
      <c r="Q11" s="4">
        <v>5.0999999999999996</v>
      </c>
      <c r="R11" s="4">
        <v>6.2</v>
      </c>
      <c r="S11" s="4">
        <v>6.6</v>
      </c>
      <c r="T11" s="4">
        <v>4.2</v>
      </c>
      <c r="U11" s="4">
        <v>5.4</v>
      </c>
      <c r="V11" s="4">
        <v>4.5999999999999996</v>
      </c>
      <c r="W11" s="2">
        <v>5.3500000000000005</v>
      </c>
      <c r="X11" s="4">
        <v>3.2</v>
      </c>
      <c r="Y11" s="4">
        <v>4.4000000000000004</v>
      </c>
      <c r="Z11" s="4">
        <v>3.5</v>
      </c>
      <c r="AA11" s="4">
        <v>3.3</v>
      </c>
      <c r="AB11" s="4">
        <v>3.7</v>
      </c>
      <c r="AC11" s="4">
        <v>2.9</v>
      </c>
      <c r="AD11" s="2">
        <v>3.5</v>
      </c>
      <c r="AE11" s="1">
        <v>10</v>
      </c>
      <c r="AF11" s="1">
        <v>13</v>
      </c>
      <c r="AG11" s="1">
        <v>17</v>
      </c>
      <c r="AH11" s="1">
        <v>14</v>
      </c>
      <c r="AI11" s="1">
        <v>9</v>
      </c>
      <c r="AJ11" s="1">
        <v>14</v>
      </c>
      <c r="AK11" s="9">
        <v>12.833333333333334</v>
      </c>
      <c r="AL11" s="4">
        <v>13.635999999999999</v>
      </c>
      <c r="AM11" s="4">
        <v>15.4216</v>
      </c>
      <c r="AN11" s="4">
        <v>17.802399999999999</v>
      </c>
      <c r="AO11" s="4">
        <v>16.0168</v>
      </c>
      <c r="AP11" s="4">
        <v>13.040800000000001</v>
      </c>
      <c r="AQ11" s="4">
        <v>16.0168</v>
      </c>
      <c r="AR11" s="9">
        <v>15.3224</v>
      </c>
      <c r="AS11" s="4" t="e">
        <v>#N/A</v>
      </c>
      <c r="AT11" s="1" t="e">
        <v>#N/A</v>
      </c>
      <c r="AU11" s="1" t="e">
        <v>#N/A</v>
      </c>
      <c r="AV11" s="1" t="e">
        <v>#N/A</v>
      </c>
      <c r="AW11" s="1" t="e">
        <v>#N/A</v>
      </c>
      <c r="AX11" s="1" t="e">
        <v>#N/A</v>
      </c>
      <c r="AY11" s="1" t="e">
        <v>#N/A</v>
      </c>
      <c r="AZ11" s="1" t="s">
        <v>2</v>
      </c>
      <c r="BA11" s="1" t="s">
        <v>35</v>
      </c>
    </row>
    <row r="12" spans="1:53" ht="14.25" customHeight="1" x14ac:dyDescent="0.25">
      <c r="A12" s="1">
        <v>2012</v>
      </c>
      <c r="B12" s="3">
        <v>41115</v>
      </c>
      <c r="C12" s="1" t="s">
        <v>16</v>
      </c>
      <c r="D12" s="1" t="s">
        <v>17</v>
      </c>
      <c r="E12" s="1" t="s">
        <v>12</v>
      </c>
      <c r="F12" s="1" t="s">
        <v>18</v>
      </c>
      <c r="H12" s="1" t="s">
        <v>24</v>
      </c>
      <c r="J12" s="9" t="e">
        <v>#N/A</v>
      </c>
      <c r="K12" s="9" t="e">
        <v>#N/A</v>
      </c>
      <c r="L12" s="9" t="e">
        <v>#N/A</v>
      </c>
      <c r="M12" s="9" t="e">
        <v>#N/A</v>
      </c>
      <c r="N12" s="9" t="e">
        <v>#N/A</v>
      </c>
      <c r="O12" s="9" t="e">
        <v>#N/A</v>
      </c>
      <c r="P12" s="9" t="e">
        <v>#N/A</v>
      </c>
      <c r="Q12" s="4">
        <v>7.2</v>
      </c>
      <c r="R12" s="4">
        <v>8.1</v>
      </c>
      <c r="S12" s="4">
        <v>7.8</v>
      </c>
      <c r="T12" s="4">
        <v>8</v>
      </c>
      <c r="U12" s="4">
        <v>8.6</v>
      </c>
      <c r="V12" s="4">
        <v>8.6999999999999993</v>
      </c>
      <c r="W12" s="2">
        <v>8.0666666666666682</v>
      </c>
      <c r="X12" s="4">
        <v>6.3</v>
      </c>
      <c r="Y12" s="4">
        <v>6.4</v>
      </c>
      <c r="Z12" s="4">
        <v>6.4</v>
      </c>
      <c r="AA12" s="4">
        <v>6.4</v>
      </c>
      <c r="AB12" s="4">
        <v>6.4</v>
      </c>
      <c r="AC12" s="4">
        <v>6.6</v>
      </c>
      <c r="AD12" s="2">
        <v>6.416666666666667</v>
      </c>
      <c r="AE12" s="9" t="e">
        <v>#N/A</v>
      </c>
      <c r="AF12" s="9" t="e">
        <v>#N/A</v>
      </c>
      <c r="AG12" s="9" t="e">
        <v>#N/A</v>
      </c>
      <c r="AH12" s="9" t="e">
        <v>#N/A</v>
      </c>
      <c r="AI12" s="9" t="e">
        <v>#N/A</v>
      </c>
      <c r="AJ12" s="9" t="e">
        <v>#N/A</v>
      </c>
      <c r="AK12" s="9" t="e">
        <v>#N/A</v>
      </c>
      <c r="AL12" s="9" t="e">
        <v>#N/A</v>
      </c>
      <c r="AM12" s="9" t="e">
        <v>#N/A</v>
      </c>
      <c r="AN12" s="9" t="e">
        <v>#N/A</v>
      </c>
      <c r="AO12" s="9" t="e">
        <v>#N/A</v>
      </c>
      <c r="AP12" s="9" t="e">
        <v>#N/A</v>
      </c>
      <c r="AQ12" s="9" t="e">
        <v>#N/A</v>
      </c>
      <c r="AR12" s="9" t="e">
        <v>#N/A</v>
      </c>
      <c r="AS12" s="4" t="e">
        <v>#N/A</v>
      </c>
      <c r="AT12" s="1" t="e">
        <v>#N/A</v>
      </c>
      <c r="AU12" s="1" t="e">
        <v>#N/A</v>
      </c>
      <c r="AV12" s="1" t="e">
        <v>#N/A</v>
      </c>
      <c r="AW12" s="1" t="e">
        <v>#N/A</v>
      </c>
      <c r="AX12" s="1" t="e">
        <v>#N/A</v>
      </c>
      <c r="AY12" s="1" t="e">
        <v>#N/A</v>
      </c>
      <c r="AZ12" s="1" t="s">
        <v>20</v>
      </c>
      <c r="BA12" s="86" t="s">
        <v>36</v>
      </c>
    </row>
    <row r="13" spans="1:53" ht="14.25" customHeight="1" x14ac:dyDescent="0.25">
      <c r="A13" s="1">
        <v>2012</v>
      </c>
      <c r="B13" s="3">
        <v>41116</v>
      </c>
      <c r="C13" s="1" t="s">
        <v>16</v>
      </c>
      <c r="D13" s="1" t="s">
        <v>17</v>
      </c>
      <c r="E13" s="1" t="s">
        <v>12</v>
      </c>
      <c r="F13" s="1" t="s">
        <v>18</v>
      </c>
      <c r="H13" s="1" t="s">
        <v>24</v>
      </c>
      <c r="J13" s="9" t="e">
        <v>#N/A</v>
      </c>
      <c r="K13" s="9" t="e">
        <v>#N/A</v>
      </c>
      <c r="L13" s="9" t="e">
        <v>#N/A</v>
      </c>
      <c r="M13" s="9" t="e">
        <v>#N/A</v>
      </c>
      <c r="N13" s="9" t="e">
        <v>#N/A</v>
      </c>
      <c r="O13" s="9" t="e">
        <v>#N/A</v>
      </c>
      <c r="P13" s="9" t="e">
        <v>#N/A</v>
      </c>
      <c r="Q13" s="4">
        <v>11.9</v>
      </c>
      <c r="R13" s="4">
        <v>10</v>
      </c>
      <c r="S13" s="4">
        <v>10.7</v>
      </c>
      <c r="T13" s="4">
        <v>9.8000000000000007</v>
      </c>
      <c r="U13" s="4">
        <v>11.1</v>
      </c>
      <c r="V13" s="4">
        <v>9.9333333333333336</v>
      </c>
      <c r="W13" s="2">
        <v>10.572222222222221</v>
      </c>
      <c r="X13" s="4">
        <v>9.9</v>
      </c>
      <c r="Y13" s="4">
        <v>7.6</v>
      </c>
      <c r="Z13" s="4">
        <v>7.4</v>
      </c>
      <c r="AA13" s="4">
        <v>7.7</v>
      </c>
      <c r="AB13" s="4">
        <v>7.6</v>
      </c>
      <c r="AC13" s="4">
        <v>7.333333333333333</v>
      </c>
      <c r="AD13" s="2">
        <v>7.9222222222222234</v>
      </c>
      <c r="AE13" s="9" t="e">
        <v>#N/A</v>
      </c>
      <c r="AF13" s="9" t="e">
        <v>#N/A</v>
      </c>
      <c r="AG13" s="9" t="e">
        <v>#N/A</v>
      </c>
      <c r="AH13" s="9" t="e">
        <v>#N/A</v>
      </c>
      <c r="AI13" s="9" t="e">
        <v>#N/A</v>
      </c>
      <c r="AJ13" s="9" t="e">
        <v>#N/A</v>
      </c>
      <c r="AK13" s="9" t="e">
        <v>#N/A</v>
      </c>
      <c r="AL13" s="9" t="e">
        <v>#N/A</v>
      </c>
      <c r="AM13" s="9" t="e">
        <v>#N/A</v>
      </c>
      <c r="AN13" s="9" t="e">
        <v>#N/A</v>
      </c>
      <c r="AO13" s="9" t="e">
        <v>#N/A</v>
      </c>
      <c r="AP13" s="9" t="e">
        <v>#N/A</v>
      </c>
      <c r="AQ13" s="9" t="e">
        <v>#N/A</v>
      </c>
      <c r="AR13" s="9" t="e">
        <v>#N/A</v>
      </c>
      <c r="AS13" s="4" t="e">
        <v>#N/A</v>
      </c>
      <c r="AT13" s="1" t="e">
        <v>#N/A</v>
      </c>
      <c r="AU13" s="1" t="e">
        <v>#N/A</v>
      </c>
      <c r="AV13" s="1" t="e">
        <v>#N/A</v>
      </c>
      <c r="AW13" s="1" t="e">
        <v>#N/A</v>
      </c>
      <c r="AX13" s="1" t="e">
        <v>#N/A</v>
      </c>
      <c r="AY13" s="1" t="e">
        <v>#N/A</v>
      </c>
      <c r="AZ13" s="1" t="s">
        <v>20</v>
      </c>
      <c r="BA13" s="86" t="s">
        <v>36</v>
      </c>
    </row>
    <row r="14" spans="1:53" ht="14.25" customHeight="1" x14ac:dyDescent="0.25">
      <c r="A14" s="1">
        <v>2012</v>
      </c>
      <c r="B14" s="3">
        <v>41116</v>
      </c>
      <c r="C14" s="1" t="s">
        <v>16</v>
      </c>
      <c r="D14" s="1" t="s">
        <v>17</v>
      </c>
      <c r="E14" s="1" t="s">
        <v>13</v>
      </c>
      <c r="F14" s="1" t="s">
        <v>18</v>
      </c>
      <c r="H14" s="1" t="s">
        <v>24</v>
      </c>
      <c r="J14" s="1">
        <v>31.5</v>
      </c>
      <c r="K14" s="1">
        <v>16</v>
      </c>
      <c r="L14" s="1">
        <v>19</v>
      </c>
      <c r="M14" s="1">
        <v>18.5</v>
      </c>
      <c r="N14" s="1">
        <v>10</v>
      </c>
      <c r="O14" s="1">
        <v>11</v>
      </c>
      <c r="P14" s="2">
        <v>17.666666666666668</v>
      </c>
      <c r="Q14" s="4">
        <v>5.0999999999999996</v>
      </c>
      <c r="R14" s="4">
        <v>5.0999999999999996</v>
      </c>
      <c r="S14" s="4">
        <v>4.9000000000000004</v>
      </c>
      <c r="T14" s="4">
        <v>5.4</v>
      </c>
      <c r="U14" s="4">
        <v>5.2</v>
      </c>
      <c r="V14" s="4">
        <v>4.9000000000000004</v>
      </c>
      <c r="W14" s="2">
        <v>5.1000000000000005</v>
      </c>
      <c r="X14" s="4">
        <v>4</v>
      </c>
      <c r="Y14" s="4">
        <v>3.9</v>
      </c>
      <c r="Z14" s="4">
        <v>4.0999999999999996</v>
      </c>
      <c r="AA14" s="4">
        <v>4.2</v>
      </c>
      <c r="AB14" s="4">
        <v>4</v>
      </c>
      <c r="AC14" s="4">
        <v>4.3</v>
      </c>
      <c r="AD14" s="2">
        <v>4.083333333333333</v>
      </c>
      <c r="AE14" s="1">
        <v>14</v>
      </c>
      <c r="AF14" s="1">
        <v>18</v>
      </c>
      <c r="AG14" s="1">
        <v>33</v>
      </c>
      <c r="AH14" s="1">
        <v>36</v>
      </c>
      <c r="AI14" s="1">
        <v>37</v>
      </c>
      <c r="AJ14" s="1">
        <v>27</v>
      </c>
      <c r="AK14" s="9">
        <v>27.5</v>
      </c>
      <c r="AL14" s="4">
        <v>16.0168</v>
      </c>
      <c r="AM14" s="4">
        <v>18.397600000000001</v>
      </c>
      <c r="AN14" s="4">
        <v>27.325599999999998</v>
      </c>
      <c r="AO14" s="4">
        <v>29.1112</v>
      </c>
      <c r="AP14" s="4">
        <v>29.706399999999999</v>
      </c>
      <c r="AQ14" s="4">
        <v>23.7544</v>
      </c>
      <c r="AR14" s="9">
        <v>24.052</v>
      </c>
      <c r="AS14" s="4" t="e">
        <v>#N/A</v>
      </c>
      <c r="AT14" s="1" t="e">
        <v>#N/A</v>
      </c>
      <c r="AU14" s="1" t="e">
        <v>#N/A</v>
      </c>
      <c r="AV14" s="1" t="e">
        <v>#N/A</v>
      </c>
      <c r="AW14" s="1" t="e">
        <v>#N/A</v>
      </c>
      <c r="AX14" s="1" t="e">
        <v>#N/A</v>
      </c>
      <c r="AY14" s="1" t="e">
        <v>#N/A</v>
      </c>
      <c r="AZ14" s="1" t="s">
        <v>2</v>
      </c>
    </row>
    <row r="15" spans="1:53" ht="14.25" customHeight="1" x14ac:dyDescent="0.25">
      <c r="A15" s="1">
        <v>2012</v>
      </c>
      <c r="B15" s="3">
        <v>41126</v>
      </c>
      <c r="C15" s="1" t="s">
        <v>16</v>
      </c>
      <c r="D15" s="1" t="s">
        <v>17</v>
      </c>
      <c r="E15" s="1" t="s">
        <v>13</v>
      </c>
      <c r="F15" s="1" t="s">
        <v>18</v>
      </c>
      <c r="H15" s="1" t="s">
        <v>24</v>
      </c>
      <c r="J15" s="1">
        <v>31.5</v>
      </c>
      <c r="K15" s="1">
        <v>16</v>
      </c>
      <c r="L15" s="1">
        <v>19</v>
      </c>
      <c r="M15" s="1">
        <v>18.5</v>
      </c>
      <c r="N15" s="1">
        <v>10</v>
      </c>
      <c r="O15" s="1">
        <v>11</v>
      </c>
      <c r="P15" s="2">
        <v>17.666666666666668</v>
      </c>
      <c r="Q15" s="4">
        <v>6.7</v>
      </c>
      <c r="R15" s="4">
        <v>6.5</v>
      </c>
      <c r="S15" s="4">
        <v>6.2</v>
      </c>
      <c r="T15" s="4">
        <v>6.3</v>
      </c>
      <c r="U15" s="4">
        <v>6</v>
      </c>
      <c r="V15" s="4">
        <v>6.2</v>
      </c>
      <c r="W15" s="2">
        <v>6.3166666666666664</v>
      </c>
      <c r="X15" s="4">
        <v>5.6</v>
      </c>
      <c r="Y15" s="4">
        <v>5.8</v>
      </c>
      <c r="Z15" s="4">
        <v>5.7</v>
      </c>
      <c r="AA15" s="4">
        <v>5.5</v>
      </c>
      <c r="AB15" s="4">
        <v>5.4</v>
      </c>
      <c r="AC15" s="4">
        <v>5.5</v>
      </c>
      <c r="AD15" s="2">
        <v>5.583333333333333</v>
      </c>
      <c r="AE15" s="1">
        <v>14</v>
      </c>
      <c r="AF15" s="1">
        <v>18</v>
      </c>
      <c r="AG15" s="1">
        <v>33</v>
      </c>
      <c r="AH15" s="1">
        <v>36</v>
      </c>
      <c r="AI15" s="1">
        <v>37</v>
      </c>
      <c r="AJ15" s="1">
        <v>27</v>
      </c>
      <c r="AK15" s="9">
        <v>27.5</v>
      </c>
      <c r="AL15" s="4">
        <v>16.0168</v>
      </c>
      <c r="AM15" s="4">
        <v>18.397600000000001</v>
      </c>
      <c r="AN15" s="4">
        <v>27.325599999999998</v>
      </c>
      <c r="AO15" s="4">
        <v>29.1112</v>
      </c>
      <c r="AP15" s="4">
        <v>29.706399999999999</v>
      </c>
      <c r="AQ15" s="4">
        <v>23.7544</v>
      </c>
      <c r="AR15" s="9">
        <v>24.052</v>
      </c>
      <c r="AS15" s="4" t="e">
        <v>#N/A</v>
      </c>
      <c r="AT15" s="1" t="e">
        <v>#N/A</v>
      </c>
      <c r="AU15" s="1" t="e">
        <v>#N/A</v>
      </c>
      <c r="AV15" s="1" t="e">
        <v>#N/A</v>
      </c>
      <c r="AW15" s="1" t="e">
        <v>#N/A</v>
      </c>
      <c r="AX15" s="1" t="e">
        <v>#N/A</v>
      </c>
      <c r="AY15" s="1" t="e">
        <v>#N/A</v>
      </c>
      <c r="AZ15" s="1" t="s">
        <v>2</v>
      </c>
    </row>
    <row r="16" spans="1:53" ht="14.25" customHeight="1" x14ac:dyDescent="0.25">
      <c r="A16" s="1">
        <v>2012</v>
      </c>
      <c r="B16" s="3">
        <v>41126</v>
      </c>
      <c r="C16" s="5" t="s">
        <v>16</v>
      </c>
      <c r="D16" s="5" t="s">
        <v>17</v>
      </c>
      <c r="E16" s="5" t="s">
        <v>14</v>
      </c>
      <c r="F16" s="5" t="s">
        <v>18</v>
      </c>
      <c r="G16" s="5"/>
      <c r="H16" s="1" t="s">
        <v>24</v>
      </c>
      <c r="J16" s="1">
        <v>14</v>
      </c>
      <c r="K16" s="1">
        <v>14</v>
      </c>
      <c r="L16" s="1">
        <v>24</v>
      </c>
      <c r="M16" s="1">
        <v>30</v>
      </c>
      <c r="N16" s="1">
        <v>17</v>
      </c>
      <c r="O16" s="1">
        <v>23</v>
      </c>
      <c r="P16" s="2">
        <v>27</v>
      </c>
      <c r="Q16" s="4">
        <v>6.5</v>
      </c>
      <c r="R16" s="4">
        <v>6.9</v>
      </c>
      <c r="S16" s="4">
        <v>7.2</v>
      </c>
      <c r="T16" s="4">
        <v>6.4</v>
      </c>
      <c r="U16" s="4">
        <v>6.6</v>
      </c>
      <c r="V16" s="4">
        <v>6.2</v>
      </c>
      <c r="W16" s="2">
        <v>6.6333333333333337</v>
      </c>
      <c r="X16" s="4">
        <v>5.8</v>
      </c>
      <c r="Y16" s="4">
        <v>5.9</v>
      </c>
      <c r="Z16" s="4">
        <v>5.8</v>
      </c>
      <c r="AA16" s="4">
        <v>5.9</v>
      </c>
      <c r="AB16" s="4">
        <v>5.7</v>
      </c>
      <c r="AC16" s="4">
        <v>5.9</v>
      </c>
      <c r="AD16" s="2">
        <v>5.833333333333333</v>
      </c>
      <c r="AE16" s="1">
        <v>14</v>
      </c>
      <c r="AF16" s="1">
        <v>8</v>
      </c>
      <c r="AG16" s="1">
        <v>11</v>
      </c>
      <c r="AH16" s="1">
        <v>22</v>
      </c>
      <c r="AI16" s="1">
        <v>18</v>
      </c>
      <c r="AJ16" s="1">
        <v>16</v>
      </c>
      <c r="AK16" s="9">
        <v>14.833333333333334</v>
      </c>
      <c r="AL16" s="4">
        <v>16.0168</v>
      </c>
      <c r="AM16" s="4">
        <v>12.445599999999999</v>
      </c>
      <c r="AN16" s="4">
        <v>14.231199999999999</v>
      </c>
      <c r="AO16" s="4">
        <v>20.778399999999998</v>
      </c>
      <c r="AP16" s="4">
        <v>18.397600000000001</v>
      </c>
      <c r="AQ16" s="4">
        <v>17.2072</v>
      </c>
      <c r="AR16" s="9">
        <v>16.512799999999999</v>
      </c>
      <c r="AS16" s="4" t="e">
        <v>#N/A</v>
      </c>
      <c r="AT16" s="1" t="e">
        <v>#N/A</v>
      </c>
      <c r="AU16" s="1" t="e">
        <v>#N/A</v>
      </c>
      <c r="AV16" s="1" t="e">
        <v>#N/A</v>
      </c>
      <c r="AW16" s="1" t="e">
        <v>#N/A</v>
      </c>
      <c r="AX16" s="1" t="e">
        <v>#N/A</v>
      </c>
      <c r="AY16" s="1" t="e">
        <v>#N/A</v>
      </c>
      <c r="AZ16" s="1" t="s">
        <v>20</v>
      </c>
      <c r="BA16" s="1" t="s">
        <v>37</v>
      </c>
    </row>
    <row r="17" spans="1:53" ht="14.25" customHeight="1" x14ac:dyDescent="0.25">
      <c r="A17" s="1">
        <v>2012</v>
      </c>
      <c r="B17" s="3">
        <v>41129</v>
      </c>
      <c r="C17" s="1" t="s">
        <v>16</v>
      </c>
      <c r="D17" s="1" t="s">
        <v>17</v>
      </c>
      <c r="E17" s="5" t="s">
        <v>14</v>
      </c>
      <c r="F17" s="1" t="s">
        <v>18</v>
      </c>
      <c r="H17" s="1" t="s">
        <v>24</v>
      </c>
      <c r="J17" s="1">
        <v>14</v>
      </c>
      <c r="K17" s="1">
        <v>14</v>
      </c>
      <c r="L17" s="1">
        <v>24</v>
      </c>
      <c r="M17" s="1">
        <v>30</v>
      </c>
      <c r="N17" s="1">
        <v>17</v>
      </c>
      <c r="O17" s="1">
        <v>23</v>
      </c>
      <c r="P17" s="2">
        <v>27</v>
      </c>
      <c r="Q17" s="4">
        <v>6.9</v>
      </c>
      <c r="R17" s="4">
        <v>7.4</v>
      </c>
      <c r="S17" s="4">
        <v>6.6</v>
      </c>
      <c r="T17" s="4">
        <v>7.5</v>
      </c>
      <c r="U17" s="4">
        <v>6.2</v>
      </c>
      <c r="V17" s="4">
        <v>6.9</v>
      </c>
      <c r="W17" s="2">
        <v>6.916666666666667</v>
      </c>
      <c r="X17" s="4">
        <v>5.9</v>
      </c>
      <c r="Y17" s="4">
        <v>6.3</v>
      </c>
      <c r="Z17" s="4">
        <v>5.7</v>
      </c>
      <c r="AA17" s="4">
        <v>6.2</v>
      </c>
      <c r="AB17" s="4">
        <v>5.7</v>
      </c>
      <c r="AC17" s="4">
        <v>6.3</v>
      </c>
      <c r="AD17" s="2">
        <v>6.0166666666666657</v>
      </c>
      <c r="AE17" s="1">
        <v>14</v>
      </c>
      <c r="AF17" s="1">
        <v>8</v>
      </c>
      <c r="AG17" s="1">
        <v>11</v>
      </c>
      <c r="AH17" s="1">
        <v>22</v>
      </c>
      <c r="AI17" s="1">
        <v>18</v>
      </c>
      <c r="AJ17" s="1">
        <v>16</v>
      </c>
      <c r="AK17" s="9">
        <v>14.833333333333334</v>
      </c>
      <c r="AL17" s="4">
        <v>16.0168</v>
      </c>
      <c r="AM17" s="4">
        <v>12.445599999999999</v>
      </c>
      <c r="AN17" s="4">
        <v>14.231199999999999</v>
      </c>
      <c r="AO17" s="4">
        <v>20.778399999999998</v>
      </c>
      <c r="AP17" s="4">
        <v>18.397600000000001</v>
      </c>
      <c r="AQ17" s="4">
        <v>17.2072</v>
      </c>
      <c r="AR17" s="9">
        <v>16.512799999999999</v>
      </c>
      <c r="AS17" s="4" t="e">
        <v>#N/A</v>
      </c>
      <c r="AT17" s="1" t="e">
        <v>#N/A</v>
      </c>
      <c r="AU17" s="1" t="e">
        <v>#N/A</v>
      </c>
      <c r="AV17" s="1" t="e">
        <v>#N/A</v>
      </c>
      <c r="AW17" s="1" t="e">
        <v>#N/A</v>
      </c>
      <c r="AX17" s="1" t="e">
        <v>#N/A</v>
      </c>
      <c r="AY17" s="1" t="e">
        <v>#N/A</v>
      </c>
      <c r="AZ17" s="1" t="s">
        <v>20</v>
      </c>
      <c r="BA17" s="1" t="s">
        <v>38</v>
      </c>
    </row>
    <row r="18" spans="1:53" ht="14.25" customHeight="1" x14ac:dyDescent="0.25">
      <c r="A18" s="1">
        <v>2012</v>
      </c>
      <c r="B18" s="3">
        <v>41126</v>
      </c>
      <c r="C18" s="1" t="s">
        <v>16</v>
      </c>
      <c r="D18" s="1" t="s">
        <v>17</v>
      </c>
      <c r="E18" s="1" t="s">
        <v>15</v>
      </c>
      <c r="F18" s="1" t="s">
        <v>1</v>
      </c>
      <c r="H18" s="1" t="s">
        <v>24</v>
      </c>
      <c r="J18" s="1">
        <v>20</v>
      </c>
      <c r="K18" s="1">
        <v>18</v>
      </c>
      <c r="L18" s="1">
        <v>22</v>
      </c>
      <c r="M18" s="1">
        <v>19</v>
      </c>
      <c r="N18" s="1">
        <v>18</v>
      </c>
      <c r="O18" s="1">
        <v>33</v>
      </c>
      <c r="P18" s="2">
        <v>21.666666666666668</v>
      </c>
      <c r="Q18" s="4">
        <v>6.6</v>
      </c>
      <c r="R18" s="4">
        <v>6.1</v>
      </c>
      <c r="S18" s="4">
        <v>7.5</v>
      </c>
      <c r="T18" s="4">
        <v>8.4</v>
      </c>
      <c r="U18" s="4">
        <v>6.1</v>
      </c>
      <c r="V18" s="4">
        <v>6.7</v>
      </c>
      <c r="W18" s="2">
        <v>6.9000000000000012</v>
      </c>
      <c r="X18" s="4">
        <v>5.0999999999999996</v>
      </c>
      <c r="Y18" s="4">
        <v>5.0999999999999996</v>
      </c>
      <c r="Z18" s="4">
        <v>5.6</v>
      </c>
      <c r="AA18" s="4">
        <v>5.7</v>
      </c>
      <c r="AB18" s="4">
        <v>5.4</v>
      </c>
      <c r="AC18" s="4">
        <v>5.7</v>
      </c>
      <c r="AD18" s="2">
        <v>5.4333333333333336</v>
      </c>
      <c r="AE18" s="1">
        <v>19</v>
      </c>
      <c r="AF18" s="1">
        <v>23</v>
      </c>
      <c r="AG18" s="1">
        <v>21</v>
      </c>
      <c r="AH18" s="1">
        <v>24</v>
      </c>
      <c r="AI18" s="1">
        <v>31</v>
      </c>
      <c r="AJ18" s="1">
        <v>30</v>
      </c>
      <c r="AK18" s="9">
        <v>24.666666666666668</v>
      </c>
      <c r="AL18" s="4">
        <v>18.992799999999999</v>
      </c>
      <c r="AM18" s="4">
        <v>21.3736</v>
      </c>
      <c r="AN18" s="4">
        <v>20.183199999999999</v>
      </c>
      <c r="AO18" s="4">
        <v>21.968799999999998</v>
      </c>
      <c r="AP18" s="4">
        <v>26.135200000000001</v>
      </c>
      <c r="AQ18" s="4">
        <v>25.54</v>
      </c>
      <c r="AR18" s="9">
        <v>22.365600000000001</v>
      </c>
      <c r="AS18" s="4" t="e">
        <v>#N/A</v>
      </c>
      <c r="AT18" s="1" t="e">
        <v>#N/A</v>
      </c>
      <c r="AU18" s="1" t="e">
        <v>#N/A</v>
      </c>
      <c r="AV18" s="1" t="e">
        <v>#N/A</v>
      </c>
      <c r="AW18" s="1" t="e">
        <v>#N/A</v>
      </c>
      <c r="AX18" s="1" t="e">
        <v>#N/A</v>
      </c>
      <c r="AY18" s="1" t="e">
        <v>#N/A</v>
      </c>
      <c r="AZ18" s="1" t="s">
        <v>20</v>
      </c>
      <c r="BA18" s="1" t="s">
        <v>39</v>
      </c>
    </row>
    <row r="19" spans="1:53" x14ac:dyDescent="0.25">
      <c r="A19" s="1">
        <v>2012</v>
      </c>
      <c r="B19" s="3">
        <v>41129</v>
      </c>
      <c r="C19" s="1" t="s">
        <v>16</v>
      </c>
      <c r="D19" s="1" t="s">
        <v>17</v>
      </c>
      <c r="E19" s="1" t="s">
        <v>15</v>
      </c>
      <c r="F19" s="1" t="s">
        <v>1</v>
      </c>
      <c r="H19" s="1" t="s">
        <v>24</v>
      </c>
      <c r="J19" s="1">
        <v>20</v>
      </c>
      <c r="K19" s="1">
        <v>18</v>
      </c>
      <c r="L19" s="1">
        <v>22</v>
      </c>
      <c r="M19" s="1">
        <v>19</v>
      </c>
      <c r="N19" s="1">
        <v>18</v>
      </c>
      <c r="O19" s="1">
        <v>33</v>
      </c>
      <c r="P19" s="2">
        <v>21.666666666666668</v>
      </c>
      <c r="Q19" s="4">
        <v>6.2</v>
      </c>
      <c r="R19" s="4">
        <v>6.5</v>
      </c>
      <c r="S19" s="4">
        <v>6.2</v>
      </c>
      <c r="T19" s="4">
        <v>5.6</v>
      </c>
      <c r="U19" s="4">
        <v>5.3</v>
      </c>
      <c r="V19" s="4">
        <v>6.3</v>
      </c>
      <c r="W19" s="2">
        <v>6.0166666666666666</v>
      </c>
      <c r="X19" s="4">
        <v>4.3</v>
      </c>
      <c r="Y19" s="4">
        <v>4.8</v>
      </c>
      <c r="Z19" s="4">
        <v>4.3</v>
      </c>
      <c r="AA19" s="4">
        <v>5</v>
      </c>
      <c r="AB19" s="4">
        <v>5</v>
      </c>
      <c r="AC19" s="4">
        <v>4.0999999999999996</v>
      </c>
      <c r="AD19" s="2">
        <v>4.583333333333333</v>
      </c>
      <c r="AE19" s="1">
        <v>19</v>
      </c>
      <c r="AF19" s="1">
        <v>23</v>
      </c>
      <c r="AG19" s="1">
        <v>21</v>
      </c>
      <c r="AH19" s="1">
        <v>24</v>
      </c>
      <c r="AI19" s="1">
        <v>31</v>
      </c>
      <c r="AJ19" s="1">
        <v>30</v>
      </c>
      <c r="AK19" s="9">
        <v>24.666666666666668</v>
      </c>
      <c r="AL19" s="4">
        <v>18.992799999999999</v>
      </c>
      <c r="AM19" s="4">
        <v>21.3736</v>
      </c>
      <c r="AN19" s="4">
        <v>20.183199999999999</v>
      </c>
      <c r="AO19" s="4">
        <v>21.968799999999998</v>
      </c>
      <c r="AP19" s="4">
        <v>26.135200000000001</v>
      </c>
      <c r="AQ19" s="4">
        <v>25.54</v>
      </c>
      <c r="AR19" s="9">
        <v>22.365600000000001</v>
      </c>
      <c r="AS19" s="4" t="e">
        <v>#N/A</v>
      </c>
      <c r="AT19" s="1" t="e">
        <v>#N/A</v>
      </c>
      <c r="AU19" s="1" t="e">
        <v>#N/A</v>
      </c>
      <c r="AV19" s="1" t="e">
        <v>#N/A</v>
      </c>
      <c r="AW19" s="1" t="e">
        <v>#N/A</v>
      </c>
      <c r="AX19" s="1" t="e">
        <v>#N/A</v>
      </c>
      <c r="AY19" s="1" t="e">
        <v>#N/A</v>
      </c>
      <c r="AZ19" s="1" t="s">
        <v>20</v>
      </c>
      <c r="BA19" s="1" t="s">
        <v>40</v>
      </c>
    </row>
  </sheetData>
  <dataValidations count="6">
    <dataValidation type="list" allowBlank="1" showInputMessage="1" showErrorMessage="1" sqref="AZ3:AZ16 AZ18 E20:E49 I18 I3:I16">
      <formula1>DomVeg</formula1>
    </dataValidation>
    <dataValidation type="list" allowBlank="1" showInputMessage="1" showErrorMessage="1" sqref="AD4 C20:C49 C16:C18 C3:C14 W4 Q4:T4">
      <formula1>Site</formula1>
    </dataValidation>
    <dataValidation type="list" allowBlank="1" showInputMessage="1" showErrorMessage="1" sqref="E3:E14 I20:K49 E16:E18">
      <formula1>SampleID</formula1>
    </dataValidation>
    <dataValidation type="list" allowBlank="1" showInputMessage="1" showErrorMessage="1" sqref="H3:H18 H20:H49">
      <formula1>Measurement</formula1>
    </dataValidation>
    <dataValidation type="list" allowBlank="1" showInputMessage="1" showErrorMessage="1" sqref="F3:G14 F20:G49 F16:G18">
      <formula1>Treatment</formula1>
    </dataValidation>
    <dataValidation type="list" allowBlank="1" showInputMessage="1" showErrorMessage="1" sqref="D3:D14 D20:D49 D16:D18">
      <formula1>Group</formula1>
    </dataValidation>
  </dataValidations>
  <pageMargins left="0.7" right="0.7" top="0.75" bottom="0.75" header="0.3" footer="0.3"/>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638"/>
  <sheetViews>
    <sheetView topLeftCell="A539" zoomScale="96" zoomScaleNormal="96" workbookViewId="0">
      <selection activeCell="B587" sqref="B587"/>
    </sheetView>
  </sheetViews>
  <sheetFormatPr defaultRowHeight="12.75" x14ac:dyDescent="0.2"/>
  <cols>
    <col min="1" max="1" width="9.140625" style="95"/>
    <col min="2" max="2" width="26.5703125" style="95" customWidth="1"/>
    <col min="3" max="3" width="51.85546875" style="95" customWidth="1"/>
    <col min="4" max="4" width="11.7109375" style="95" customWidth="1"/>
    <col min="5" max="5" width="13.85546875" style="95" customWidth="1"/>
    <col min="6" max="257" width="9.140625" style="95"/>
    <col min="258" max="258" width="26.5703125" style="95" customWidth="1"/>
    <col min="259" max="259" width="51.85546875" style="95" customWidth="1"/>
    <col min="260" max="260" width="11.7109375" style="95" customWidth="1"/>
    <col min="261" max="261" width="13.85546875" style="95" customWidth="1"/>
    <col min="262" max="513" width="9.140625" style="95"/>
    <col min="514" max="514" width="26.5703125" style="95" customWidth="1"/>
    <col min="515" max="515" width="51.85546875" style="95" customWidth="1"/>
    <col min="516" max="516" width="11.7109375" style="95" customWidth="1"/>
    <col min="517" max="517" width="13.85546875" style="95" customWidth="1"/>
    <col min="518" max="769" width="9.140625" style="95"/>
    <col min="770" max="770" width="26.5703125" style="95" customWidth="1"/>
    <col min="771" max="771" width="51.85546875" style="95" customWidth="1"/>
    <col min="772" max="772" width="11.7109375" style="95" customWidth="1"/>
    <col min="773" max="773" width="13.85546875" style="95" customWidth="1"/>
    <col min="774" max="1025" width="9.140625" style="95"/>
    <col min="1026" max="1026" width="26.5703125" style="95" customWidth="1"/>
    <col min="1027" max="1027" width="51.85546875" style="95" customWidth="1"/>
    <col min="1028" max="1028" width="11.7109375" style="95" customWidth="1"/>
    <col min="1029" max="1029" width="13.85546875" style="95" customWidth="1"/>
    <col min="1030" max="1281" width="9.140625" style="95"/>
    <col min="1282" max="1282" width="26.5703125" style="95" customWidth="1"/>
    <col min="1283" max="1283" width="51.85546875" style="95" customWidth="1"/>
    <col min="1284" max="1284" width="11.7109375" style="95" customWidth="1"/>
    <col min="1285" max="1285" width="13.85546875" style="95" customWidth="1"/>
    <col min="1286" max="1537" width="9.140625" style="95"/>
    <col min="1538" max="1538" width="26.5703125" style="95" customWidth="1"/>
    <col min="1539" max="1539" width="51.85546875" style="95" customWidth="1"/>
    <col min="1540" max="1540" width="11.7109375" style="95" customWidth="1"/>
    <col min="1541" max="1541" width="13.85546875" style="95" customWidth="1"/>
    <col min="1542" max="1793" width="9.140625" style="95"/>
    <col min="1794" max="1794" width="26.5703125" style="95" customWidth="1"/>
    <col min="1795" max="1795" width="51.85546875" style="95" customWidth="1"/>
    <col min="1796" max="1796" width="11.7109375" style="95" customWidth="1"/>
    <col min="1797" max="1797" width="13.85546875" style="95" customWidth="1"/>
    <col min="1798" max="2049" width="9.140625" style="95"/>
    <col min="2050" max="2050" width="26.5703125" style="95" customWidth="1"/>
    <col min="2051" max="2051" width="51.85546875" style="95" customWidth="1"/>
    <col min="2052" max="2052" width="11.7109375" style="95" customWidth="1"/>
    <col min="2053" max="2053" width="13.85546875" style="95" customWidth="1"/>
    <col min="2054" max="2305" width="9.140625" style="95"/>
    <col min="2306" max="2306" width="26.5703125" style="95" customWidth="1"/>
    <col min="2307" max="2307" width="51.85546875" style="95" customWidth="1"/>
    <col min="2308" max="2308" width="11.7109375" style="95" customWidth="1"/>
    <col min="2309" max="2309" width="13.85546875" style="95" customWidth="1"/>
    <col min="2310" max="2561" width="9.140625" style="95"/>
    <col min="2562" max="2562" width="26.5703125" style="95" customWidth="1"/>
    <col min="2563" max="2563" width="51.85546875" style="95" customWidth="1"/>
    <col min="2564" max="2564" width="11.7109375" style="95" customWidth="1"/>
    <col min="2565" max="2565" width="13.85546875" style="95" customWidth="1"/>
    <col min="2566" max="2817" width="9.140625" style="95"/>
    <col min="2818" max="2818" width="26.5703125" style="95" customWidth="1"/>
    <col min="2819" max="2819" width="51.85546875" style="95" customWidth="1"/>
    <col min="2820" max="2820" width="11.7109375" style="95" customWidth="1"/>
    <col min="2821" max="2821" width="13.85546875" style="95" customWidth="1"/>
    <col min="2822" max="3073" width="9.140625" style="95"/>
    <col min="3074" max="3074" width="26.5703125" style="95" customWidth="1"/>
    <col min="3075" max="3075" width="51.85546875" style="95" customWidth="1"/>
    <col min="3076" max="3076" width="11.7109375" style="95" customWidth="1"/>
    <col min="3077" max="3077" width="13.85546875" style="95" customWidth="1"/>
    <col min="3078" max="3329" width="9.140625" style="95"/>
    <col min="3330" max="3330" width="26.5703125" style="95" customWidth="1"/>
    <col min="3331" max="3331" width="51.85546875" style="95" customWidth="1"/>
    <col min="3332" max="3332" width="11.7109375" style="95" customWidth="1"/>
    <col min="3333" max="3333" width="13.85546875" style="95" customWidth="1"/>
    <col min="3334" max="3585" width="9.140625" style="95"/>
    <col min="3586" max="3586" width="26.5703125" style="95" customWidth="1"/>
    <col min="3587" max="3587" width="51.85546875" style="95" customWidth="1"/>
    <col min="3588" max="3588" width="11.7109375" style="95" customWidth="1"/>
    <col min="3589" max="3589" width="13.85546875" style="95" customWidth="1"/>
    <col min="3590" max="3841" width="9.140625" style="95"/>
    <col min="3842" max="3842" width="26.5703125" style="95" customWidth="1"/>
    <col min="3843" max="3843" width="51.85546875" style="95" customWidth="1"/>
    <col min="3844" max="3844" width="11.7109375" style="95" customWidth="1"/>
    <col min="3845" max="3845" width="13.85546875" style="95" customWidth="1"/>
    <col min="3846" max="4097" width="9.140625" style="95"/>
    <col min="4098" max="4098" width="26.5703125" style="95" customWidth="1"/>
    <col min="4099" max="4099" width="51.85546875" style="95" customWidth="1"/>
    <col min="4100" max="4100" width="11.7109375" style="95" customWidth="1"/>
    <col min="4101" max="4101" width="13.85546875" style="95" customWidth="1"/>
    <col min="4102" max="4353" width="9.140625" style="95"/>
    <col min="4354" max="4354" width="26.5703125" style="95" customWidth="1"/>
    <col min="4355" max="4355" width="51.85546875" style="95" customWidth="1"/>
    <col min="4356" max="4356" width="11.7109375" style="95" customWidth="1"/>
    <col min="4357" max="4357" width="13.85546875" style="95" customWidth="1"/>
    <col min="4358" max="4609" width="9.140625" style="95"/>
    <col min="4610" max="4610" width="26.5703125" style="95" customWidth="1"/>
    <col min="4611" max="4611" width="51.85546875" style="95" customWidth="1"/>
    <col min="4612" max="4612" width="11.7109375" style="95" customWidth="1"/>
    <col min="4613" max="4613" width="13.85546875" style="95" customWidth="1"/>
    <col min="4614" max="4865" width="9.140625" style="95"/>
    <col min="4866" max="4866" width="26.5703125" style="95" customWidth="1"/>
    <col min="4867" max="4867" width="51.85546875" style="95" customWidth="1"/>
    <col min="4868" max="4868" width="11.7109375" style="95" customWidth="1"/>
    <col min="4869" max="4869" width="13.85546875" style="95" customWidth="1"/>
    <col min="4870" max="5121" width="9.140625" style="95"/>
    <col min="5122" max="5122" width="26.5703125" style="95" customWidth="1"/>
    <col min="5123" max="5123" width="51.85546875" style="95" customWidth="1"/>
    <col min="5124" max="5124" width="11.7109375" style="95" customWidth="1"/>
    <col min="5125" max="5125" width="13.85546875" style="95" customWidth="1"/>
    <col min="5126" max="5377" width="9.140625" style="95"/>
    <col min="5378" max="5378" width="26.5703125" style="95" customWidth="1"/>
    <col min="5379" max="5379" width="51.85546875" style="95" customWidth="1"/>
    <col min="5380" max="5380" width="11.7109375" style="95" customWidth="1"/>
    <col min="5381" max="5381" width="13.85546875" style="95" customWidth="1"/>
    <col min="5382" max="5633" width="9.140625" style="95"/>
    <col min="5634" max="5634" width="26.5703125" style="95" customWidth="1"/>
    <col min="5635" max="5635" width="51.85546875" style="95" customWidth="1"/>
    <col min="5636" max="5636" width="11.7109375" style="95" customWidth="1"/>
    <col min="5637" max="5637" width="13.85546875" style="95" customWidth="1"/>
    <col min="5638" max="5889" width="9.140625" style="95"/>
    <col min="5890" max="5890" width="26.5703125" style="95" customWidth="1"/>
    <col min="5891" max="5891" width="51.85546875" style="95" customWidth="1"/>
    <col min="5892" max="5892" width="11.7109375" style="95" customWidth="1"/>
    <col min="5893" max="5893" width="13.85546875" style="95" customWidth="1"/>
    <col min="5894" max="6145" width="9.140625" style="95"/>
    <col min="6146" max="6146" width="26.5703125" style="95" customWidth="1"/>
    <col min="6147" max="6147" width="51.85546875" style="95" customWidth="1"/>
    <col min="6148" max="6148" width="11.7109375" style="95" customWidth="1"/>
    <col min="6149" max="6149" width="13.85546875" style="95" customWidth="1"/>
    <col min="6150" max="6401" width="9.140625" style="95"/>
    <col min="6402" max="6402" width="26.5703125" style="95" customWidth="1"/>
    <col min="6403" max="6403" width="51.85546875" style="95" customWidth="1"/>
    <col min="6404" max="6404" width="11.7109375" style="95" customWidth="1"/>
    <col min="6405" max="6405" width="13.85546875" style="95" customWidth="1"/>
    <col min="6406" max="6657" width="9.140625" style="95"/>
    <col min="6658" max="6658" width="26.5703125" style="95" customWidth="1"/>
    <col min="6659" max="6659" width="51.85546875" style="95" customWidth="1"/>
    <col min="6660" max="6660" width="11.7109375" style="95" customWidth="1"/>
    <col min="6661" max="6661" width="13.85546875" style="95" customWidth="1"/>
    <col min="6662" max="6913" width="9.140625" style="95"/>
    <col min="6914" max="6914" width="26.5703125" style="95" customWidth="1"/>
    <col min="6915" max="6915" width="51.85546875" style="95" customWidth="1"/>
    <col min="6916" max="6916" width="11.7109375" style="95" customWidth="1"/>
    <col min="6917" max="6917" width="13.85546875" style="95" customWidth="1"/>
    <col min="6918" max="7169" width="9.140625" style="95"/>
    <col min="7170" max="7170" width="26.5703125" style="95" customWidth="1"/>
    <col min="7171" max="7171" width="51.85546875" style="95" customWidth="1"/>
    <col min="7172" max="7172" width="11.7109375" style="95" customWidth="1"/>
    <col min="7173" max="7173" width="13.85546875" style="95" customWidth="1"/>
    <col min="7174" max="7425" width="9.140625" style="95"/>
    <col min="7426" max="7426" width="26.5703125" style="95" customWidth="1"/>
    <col min="7427" max="7427" width="51.85546875" style="95" customWidth="1"/>
    <col min="7428" max="7428" width="11.7109375" style="95" customWidth="1"/>
    <col min="7429" max="7429" width="13.85546875" style="95" customWidth="1"/>
    <col min="7430" max="7681" width="9.140625" style="95"/>
    <col min="7682" max="7682" width="26.5703125" style="95" customWidth="1"/>
    <col min="7683" max="7683" width="51.85546875" style="95" customWidth="1"/>
    <col min="7684" max="7684" width="11.7109375" style="95" customWidth="1"/>
    <col min="7685" max="7685" width="13.85546875" style="95" customWidth="1"/>
    <col min="7686" max="7937" width="9.140625" style="95"/>
    <col min="7938" max="7938" width="26.5703125" style="95" customWidth="1"/>
    <col min="7939" max="7939" width="51.85546875" style="95" customWidth="1"/>
    <col min="7940" max="7940" width="11.7109375" style="95" customWidth="1"/>
    <col min="7941" max="7941" width="13.85546875" style="95" customWidth="1"/>
    <col min="7942" max="8193" width="9.140625" style="95"/>
    <col min="8194" max="8194" width="26.5703125" style="95" customWidth="1"/>
    <col min="8195" max="8195" width="51.85546875" style="95" customWidth="1"/>
    <col min="8196" max="8196" width="11.7109375" style="95" customWidth="1"/>
    <col min="8197" max="8197" width="13.85546875" style="95" customWidth="1"/>
    <col min="8198" max="8449" width="9.140625" style="95"/>
    <col min="8450" max="8450" width="26.5703125" style="95" customWidth="1"/>
    <col min="8451" max="8451" width="51.85546875" style="95" customWidth="1"/>
    <col min="8452" max="8452" width="11.7109375" style="95" customWidth="1"/>
    <col min="8453" max="8453" width="13.85546875" style="95" customWidth="1"/>
    <col min="8454" max="8705" width="9.140625" style="95"/>
    <col min="8706" max="8706" width="26.5703125" style="95" customWidth="1"/>
    <col min="8707" max="8707" width="51.85546875" style="95" customWidth="1"/>
    <col min="8708" max="8708" width="11.7109375" style="95" customWidth="1"/>
    <col min="8709" max="8709" width="13.85546875" style="95" customWidth="1"/>
    <col min="8710" max="8961" width="9.140625" style="95"/>
    <col min="8962" max="8962" width="26.5703125" style="95" customWidth="1"/>
    <col min="8963" max="8963" width="51.85546875" style="95" customWidth="1"/>
    <col min="8964" max="8964" width="11.7109375" style="95" customWidth="1"/>
    <col min="8965" max="8965" width="13.85546875" style="95" customWidth="1"/>
    <col min="8966" max="9217" width="9.140625" style="95"/>
    <col min="9218" max="9218" width="26.5703125" style="95" customWidth="1"/>
    <col min="9219" max="9219" width="51.85546875" style="95" customWidth="1"/>
    <col min="9220" max="9220" width="11.7109375" style="95" customWidth="1"/>
    <col min="9221" max="9221" width="13.85546875" style="95" customWidth="1"/>
    <col min="9222" max="9473" width="9.140625" style="95"/>
    <col min="9474" max="9474" width="26.5703125" style="95" customWidth="1"/>
    <col min="9475" max="9475" width="51.85546875" style="95" customWidth="1"/>
    <col min="9476" max="9476" width="11.7109375" style="95" customWidth="1"/>
    <col min="9477" max="9477" width="13.85546875" style="95" customWidth="1"/>
    <col min="9478" max="9729" width="9.140625" style="95"/>
    <col min="9730" max="9730" width="26.5703125" style="95" customWidth="1"/>
    <col min="9731" max="9731" width="51.85546875" style="95" customWidth="1"/>
    <col min="9732" max="9732" width="11.7109375" style="95" customWidth="1"/>
    <col min="9733" max="9733" width="13.85546875" style="95" customWidth="1"/>
    <col min="9734" max="9985" width="9.140625" style="95"/>
    <col min="9986" max="9986" width="26.5703125" style="95" customWidth="1"/>
    <col min="9987" max="9987" width="51.85546875" style="95" customWidth="1"/>
    <col min="9988" max="9988" width="11.7109375" style="95" customWidth="1"/>
    <col min="9989" max="9989" width="13.85546875" style="95" customWidth="1"/>
    <col min="9990" max="10241" width="9.140625" style="95"/>
    <col min="10242" max="10242" width="26.5703125" style="95" customWidth="1"/>
    <col min="10243" max="10243" width="51.85546875" style="95" customWidth="1"/>
    <col min="10244" max="10244" width="11.7109375" style="95" customWidth="1"/>
    <col min="10245" max="10245" width="13.85546875" style="95" customWidth="1"/>
    <col min="10246" max="10497" width="9.140625" style="95"/>
    <col min="10498" max="10498" width="26.5703125" style="95" customWidth="1"/>
    <col min="10499" max="10499" width="51.85546875" style="95" customWidth="1"/>
    <col min="10500" max="10500" width="11.7109375" style="95" customWidth="1"/>
    <col min="10501" max="10501" width="13.85546875" style="95" customWidth="1"/>
    <col min="10502" max="10753" width="9.140625" style="95"/>
    <col min="10754" max="10754" width="26.5703125" style="95" customWidth="1"/>
    <col min="10755" max="10755" width="51.85546875" style="95" customWidth="1"/>
    <col min="10756" max="10756" width="11.7109375" style="95" customWidth="1"/>
    <col min="10757" max="10757" width="13.85546875" style="95" customWidth="1"/>
    <col min="10758" max="11009" width="9.140625" style="95"/>
    <col min="11010" max="11010" width="26.5703125" style="95" customWidth="1"/>
    <col min="11011" max="11011" width="51.85546875" style="95" customWidth="1"/>
    <col min="11012" max="11012" width="11.7109375" style="95" customWidth="1"/>
    <col min="11013" max="11013" width="13.85546875" style="95" customWidth="1"/>
    <col min="11014" max="11265" width="9.140625" style="95"/>
    <col min="11266" max="11266" width="26.5703125" style="95" customWidth="1"/>
    <col min="11267" max="11267" width="51.85546875" style="95" customWidth="1"/>
    <col min="11268" max="11268" width="11.7109375" style="95" customWidth="1"/>
    <col min="11269" max="11269" width="13.85546875" style="95" customWidth="1"/>
    <col min="11270" max="11521" width="9.140625" style="95"/>
    <col min="11522" max="11522" width="26.5703125" style="95" customWidth="1"/>
    <col min="11523" max="11523" width="51.85546875" style="95" customWidth="1"/>
    <col min="11524" max="11524" width="11.7109375" style="95" customWidth="1"/>
    <col min="11525" max="11525" width="13.85546875" style="95" customWidth="1"/>
    <col min="11526" max="11777" width="9.140625" style="95"/>
    <col min="11778" max="11778" width="26.5703125" style="95" customWidth="1"/>
    <col min="11779" max="11779" width="51.85546875" style="95" customWidth="1"/>
    <col min="11780" max="11780" width="11.7109375" style="95" customWidth="1"/>
    <col min="11781" max="11781" width="13.85546875" style="95" customWidth="1"/>
    <col min="11782" max="12033" width="9.140625" style="95"/>
    <col min="12034" max="12034" width="26.5703125" style="95" customWidth="1"/>
    <col min="12035" max="12035" width="51.85546875" style="95" customWidth="1"/>
    <col min="12036" max="12036" width="11.7109375" style="95" customWidth="1"/>
    <col min="12037" max="12037" width="13.85546875" style="95" customWidth="1"/>
    <col min="12038" max="12289" width="9.140625" style="95"/>
    <col min="12290" max="12290" width="26.5703125" style="95" customWidth="1"/>
    <col min="12291" max="12291" width="51.85546875" style="95" customWidth="1"/>
    <col min="12292" max="12292" width="11.7109375" style="95" customWidth="1"/>
    <col min="12293" max="12293" width="13.85546875" style="95" customWidth="1"/>
    <col min="12294" max="12545" width="9.140625" style="95"/>
    <col min="12546" max="12546" width="26.5703125" style="95" customWidth="1"/>
    <col min="12547" max="12547" width="51.85546875" style="95" customWidth="1"/>
    <col min="12548" max="12548" width="11.7109375" style="95" customWidth="1"/>
    <col min="12549" max="12549" width="13.85546875" style="95" customWidth="1"/>
    <col min="12550" max="12801" width="9.140625" style="95"/>
    <col min="12802" max="12802" width="26.5703125" style="95" customWidth="1"/>
    <col min="12803" max="12803" width="51.85546875" style="95" customWidth="1"/>
    <col min="12804" max="12804" width="11.7109375" style="95" customWidth="1"/>
    <col min="12805" max="12805" width="13.85546875" style="95" customWidth="1"/>
    <col min="12806" max="13057" width="9.140625" style="95"/>
    <col min="13058" max="13058" width="26.5703125" style="95" customWidth="1"/>
    <col min="13059" max="13059" width="51.85546875" style="95" customWidth="1"/>
    <col min="13060" max="13060" width="11.7109375" style="95" customWidth="1"/>
    <col min="13061" max="13061" width="13.85546875" style="95" customWidth="1"/>
    <col min="13062" max="13313" width="9.140625" style="95"/>
    <col min="13314" max="13314" width="26.5703125" style="95" customWidth="1"/>
    <col min="13315" max="13315" width="51.85546875" style="95" customWidth="1"/>
    <col min="13316" max="13316" width="11.7109375" style="95" customWidth="1"/>
    <col min="13317" max="13317" width="13.85546875" style="95" customWidth="1"/>
    <col min="13318" max="13569" width="9.140625" style="95"/>
    <col min="13570" max="13570" width="26.5703125" style="95" customWidth="1"/>
    <col min="13571" max="13571" width="51.85546875" style="95" customWidth="1"/>
    <col min="13572" max="13572" width="11.7109375" style="95" customWidth="1"/>
    <col min="13573" max="13573" width="13.85546875" style="95" customWidth="1"/>
    <col min="13574" max="13825" width="9.140625" style="95"/>
    <col min="13826" max="13826" width="26.5703125" style="95" customWidth="1"/>
    <col min="13827" max="13827" width="51.85546875" style="95" customWidth="1"/>
    <col min="13828" max="13828" width="11.7109375" style="95" customWidth="1"/>
    <col min="13829" max="13829" width="13.85546875" style="95" customWidth="1"/>
    <col min="13830" max="14081" width="9.140625" style="95"/>
    <col min="14082" max="14082" width="26.5703125" style="95" customWidth="1"/>
    <col min="14083" max="14083" width="51.85546875" style="95" customWidth="1"/>
    <col min="14084" max="14084" width="11.7109375" style="95" customWidth="1"/>
    <col min="14085" max="14085" width="13.85546875" style="95" customWidth="1"/>
    <col min="14086" max="14337" width="9.140625" style="95"/>
    <col min="14338" max="14338" width="26.5703125" style="95" customWidth="1"/>
    <col min="14339" max="14339" width="51.85546875" style="95" customWidth="1"/>
    <col min="14340" max="14340" width="11.7109375" style="95" customWidth="1"/>
    <col min="14341" max="14341" width="13.85546875" style="95" customWidth="1"/>
    <col min="14342" max="14593" width="9.140625" style="95"/>
    <col min="14594" max="14594" width="26.5703125" style="95" customWidth="1"/>
    <col min="14595" max="14595" width="51.85546875" style="95" customWidth="1"/>
    <col min="14596" max="14596" width="11.7109375" style="95" customWidth="1"/>
    <col min="14597" max="14597" width="13.85546875" style="95" customWidth="1"/>
    <col min="14598" max="14849" width="9.140625" style="95"/>
    <col min="14850" max="14850" width="26.5703125" style="95" customWidth="1"/>
    <col min="14851" max="14851" width="51.85546875" style="95" customWidth="1"/>
    <col min="14852" max="14852" width="11.7109375" style="95" customWidth="1"/>
    <col min="14853" max="14853" width="13.85546875" style="95" customWidth="1"/>
    <col min="14854" max="15105" width="9.140625" style="95"/>
    <col min="15106" max="15106" width="26.5703125" style="95" customWidth="1"/>
    <col min="15107" max="15107" width="51.85546875" style="95" customWidth="1"/>
    <col min="15108" max="15108" width="11.7109375" style="95" customWidth="1"/>
    <col min="15109" max="15109" width="13.85546875" style="95" customWidth="1"/>
    <col min="15110" max="15361" width="9.140625" style="95"/>
    <col min="15362" max="15362" width="26.5703125" style="95" customWidth="1"/>
    <col min="15363" max="15363" width="51.85546875" style="95" customWidth="1"/>
    <col min="15364" max="15364" width="11.7109375" style="95" customWidth="1"/>
    <col min="15365" max="15365" width="13.85546875" style="95" customWidth="1"/>
    <col min="15366" max="15617" width="9.140625" style="95"/>
    <col min="15618" max="15618" width="26.5703125" style="95" customWidth="1"/>
    <col min="15619" max="15619" width="51.85546875" style="95" customWidth="1"/>
    <col min="15620" max="15620" width="11.7109375" style="95" customWidth="1"/>
    <col min="15621" max="15621" width="13.85546875" style="95" customWidth="1"/>
    <col min="15622" max="15873" width="9.140625" style="95"/>
    <col min="15874" max="15874" width="26.5703125" style="95" customWidth="1"/>
    <col min="15875" max="15875" width="51.85546875" style="95" customWidth="1"/>
    <col min="15876" max="15876" width="11.7109375" style="95" customWidth="1"/>
    <col min="15877" max="15877" width="13.85546875" style="95" customWidth="1"/>
    <col min="15878" max="16129" width="9.140625" style="95"/>
    <col min="16130" max="16130" width="26.5703125" style="95" customWidth="1"/>
    <col min="16131" max="16131" width="51.85546875" style="95" customWidth="1"/>
    <col min="16132" max="16132" width="11.7109375" style="95" customWidth="1"/>
    <col min="16133" max="16133" width="13.85546875" style="95" customWidth="1"/>
    <col min="16134" max="16384" width="9.140625" style="95"/>
  </cols>
  <sheetData>
    <row r="1" spans="1:14" x14ac:dyDescent="0.2">
      <c r="B1" s="16"/>
    </row>
    <row r="2" spans="1:14" ht="45" x14ac:dyDescent="0.2">
      <c r="A2" s="96" t="s">
        <v>495</v>
      </c>
      <c r="B2" s="97" t="s">
        <v>494</v>
      </c>
      <c r="C2" s="97" t="s">
        <v>496</v>
      </c>
      <c r="D2" s="98" t="s">
        <v>497</v>
      </c>
      <c r="E2" s="98" t="s">
        <v>498</v>
      </c>
      <c r="F2" s="99" t="s">
        <v>499</v>
      </c>
      <c r="G2" s="97" t="s">
        <v>500</v>
      </c>
      <c r="H2" s="97" t="s">
        <v>501</v>
      </c>
      <c r="I2" s="97" t="s">
        <v>502</v>
      </c>
      <c r="J2" s="97" t="s">
        <v>503</v>
      </c>
      <c r="K2" s="100" t="s">
        <v>504</v>
      </c>
      <c r="L2" s="97" t="s">
        <v>505</v>
      </c>
      <c r="M2" s="97" t="s">
        <v>506</v>
      </c>
      <c r="N2" s="97" t="s">
        <v>507</v>
      </c>
    </row>
    <row r="3" spans="1:14" x14ac:dyDescent="0.2">
      <c r="A3" s="95">
        <v>1169</v>
      </c>
      <c r="B3" s="16" t="s">
        <v>508</v>
      </c>
      <c r="C3" s="16" t="s">
        <v>509</v>
      </c>
      <c r="D3" s="95">
        <v>68.99666666666667</v>
      </c>
      <c r="E3" s="95">
        <v>-150.28100000000001</v>
      </c>
      <c r="F3" s="95" t="s">
        <v>510</v>
      </c>
      <c r="G3" s="95" t="s">
        <v>511</v>
      </c>
      <c r="H3" s="95" t="s">
        <v>510</v>
      </c>
      <c r="I3" s="95" t="s">
        <v>510</v>
      </c>
      <c r="J3" s="95" t="s">
        <v>512</v>
      </c>
      <c r="K3" s="95" t="s">
        <v>510</v>
      </c>
      <c r="L3" s="95" t="s">
        <v>510</v>
      </c>
      <c r="M3" s="101" t="str">
        <f t="shared" ref="M3:M66" si="0">HYPERLINK("http://maps.google.com/maps?q="&amp;D3&amp;","&amp;E3,"View on Google Map")</f>
        <v>View on Google Map</v>
      </c>
    </row>
    <row r="4" spans="1:14" x14ac:dyDescent="0.2">
      <c r="A4" s="95">
        <v>1170</v>
      </c>
      <c r="B4" s="16" t="s">
        <v>513</v>
      </c>
      <c r="C4" s="16" t="s">
        <v>514</v>
      </c>
      <c r="D4" s="95">
        <v>68.952222222222218</v>
      </c>
      <c r="E4" s="95">
        <v>-150.21249999999998</v>
      </c>
      <c r="F4" s="95" t="s">
        <v>510</v>
      </c>
      <c r="G4" s="95" t="s">
        <v>511</v>
      </c>
      <c r="H4" s="95" t="s">
        <v>510</v>
      </c>
      <c r="I4" s="95" t="s">
        <v>510</v>
      </c>
      <c r="J4" s="95" t="s">
        <v>512</v>
      </c>
      <c r="K4" s="95" t="s">
        <v>510</v>
      </c>
      <c r="L4" s="95" t="s">
        <v>510</v>
      </c>
      <c r="M4" s="101" t="str">
        <f t="shared" si="0"/>
        <v>View on Google Map</v>
      </c>
    </row>
    <row r="5" spans="1:14" x14ac:dyDescent="0.2">
      <c r="A5" s="95">
        <v>1171</v>
      </c>
      <c r="B5" s="16" t="s">
        <v>515</v>
      </c>
      <c r="C5" s="16" t="s">
        <v>516</v>
      </c>
      <c r="D5" s="95">
        <v>68.934444444444452</v>
      </c>
      <c r="E5" s="95">
        <v>-150.2727777777778</v>
      </c>
      <c r="F5" s="95" t="s">
        <v>510</v>
      </c>
      <c r="G5" s="95" t="s">
        <v>511</v>
      </c>
      <c r="H5" s="95" t="s">
        <v>510</v>
      </c>
      <c r="I5" s="95" t="s">
        <v>510</v>
      </c>
      <c r="J5" s="95" t="s">
        <v>517</v>
      </c>
      <c r="K5" s="95" t="s">
        <v>510</v>
      </c>
      <c r="L5" s="95" t="s">
        <v>518</v>
      </c>
      <c r="M5" s="101" t="str">
        <f t="shared" si="0"/>
        <v>View on Google Map</v>
      </c>
    </row>
    <row r="6" spans="1:14" x14ac:dyDescent="0.2">
      <c r="A6" s="95">
        <v>518</v>
      </c>
      <c r="B6" s="95" t="s">
        <v>519</v>
      </c>
      <c r="C6" s="95" t="s">
        <v>520</v>
      </c>
      <c r="D6" s="95">
        <v>68.900986000000003</v>
      </c>
      <c r="E6" s="95">
        <v>-151.308469</v>
      </c>
      <c r="F6" s="95">
        <v>350</v>
      </c>
      <c r="G6" s="95" t="s">
        <v>521</v>
      </c>
      <c r="H6" s="95" t="s">
        <v>510</v>
      </c>
      <c r="I6" s="95" t="s">
        <v>510</v>
      </c>
      <c r="J6" s="95" t="s">
        <v>522</v>
      </c>
      <c r="K6" s="95" t="s">
        <v>510</v>
      </c>
      <c r="L6" s="95" t="s">
        <v>523</v>
      </c>
      <c r="M6" s="101" t="str">
        <f t="shared" si="0"/>
        <v>View on Google Map</v>
      </c>
    </row>
    <row r="7" spans="1:14" x14ac:dyDescent="0.2">
      <c r="A7" s="95">
        <v>478</v>
      </c>
      <c r="B7" s="95" t="s">
        <v>524</v>
      </c>
      <c r="C7" s="95" t="s">
        <v>510</v>
      </c>
      <c r="D7" s="95">
        <v>68.510069999999999</v>
      </c>
      <c r="E7" s="95">
        <v>-149.62691000000001</v>
      </c>
      <c r="F7" s="95">
        <v>996</v>
      </c>
      <c r="G7" s="95" t="s">
        <v>521</v>
      </c>
      <c r="H7" s="95" t="s">
        <v>510</v>
      </c>
      <c r="I7" s="95" t="s">
        <v>510</v>
      </c>
      <c r="J7" s="95" t="s">
        <v>522</v>
      </c>
      <c r="K7" s="95" t="s">
        <v>510</v>
      </c>
      <c r="L7" s="95" t="s">
        <v>510</v>
      </c>
      <c r="M7" s="101" t="str">
        <f t="shared" si="0"/>
        <v>View on Google Map</v>
      </c>
    </row>
    <row r="8" spans="1:14" x14ac:dyDescent="0.2">
      <c r="A8" s="95">
        <v>479</v>
      </c>
      <c r="B8" s="95" t="s">
        <v>525</v>
      </c>
      <c r="C8" s="95" t="s">
        <v>510</v>
      </c>
      <c r="D8" s="95">
        <v>68.505080000000007</v>
      </c>
      <c r="E8" s="95">
        <v>-149.62766999999999</v>
      </c>
      <c r="F8" s="95">
        <v>986</v>
      </c>
      <c r="G8" s="95" t="s">
        <v>521</v>
      </c>
      <c r="H8" s="95" t="s">
        <v>510</v>
      </c>
      <c r="I8" s="95" t="s">
        <v>510</v>
      </c>
      <c r="J8" s="95" t="s">
        <v>522</v>
      </c>
      <c r="K8" s="95" t="s">
        <v>510</v>
      </c>
      <c r="L8" s="95" t="s">
        <v>510</v>
      </c>
      <c r="M8" s="101" t="str">
        <f t="shared" si="0"/>
        <v>View on Google Map</v>
      </c>
    </row>
    <row r="9" spans="1:14" x14ac:dyDescent="0.2">
      <c r="A9" s="95">
        <v>480</v>
      </c>
      <c r="B9" s="95" t="s">
        <v>526</v>
      </c>
      <c r="C9" s="95" t="s">
        <v>510</v>
      </c>
      <c r="D9" s="95">
        <v>68.502449999999996</v>
      </c>
      <c r="E9" s="95">
        <v>-149.63137</v>
      </c>
      <c r="F9" s="95">
        <v>982</v>
      </c>
      <c r="G9" s="95" t="s">
        <v>521</v>
      </c>
      <c r="H9" s="95" t="s">
        <v>510</v>
      </c>
      <c r="I9" s="95" t="s">
        <v>510</v>
      </c>
      <c r="J9" s="95" t="s">
        <v>522</v>
      </c>
      <c r="K9" s="95" t="s">
        <v>510</v>
      </c>
      <c r="L9" s="95" t="s">
        <v>510</v>
      </c>
      <c r="M9" s="101" t="str">
        <f t="shared" si="0"/>
        <v>View on Google Map</v>
      </c>
    </row>
    <row r="10" spans="1:14" x14ac:dyDescent="0.2">
      <c r="B10" s="95" t="s">
        <v>527</v>
      </c>
      <c r="C10" s="95" t="s">
        <v>528</v>
      </c>
      <c r="D10" s="95">
        <v>69.375833333333333</v>
      </c>
      <c r="E10" s="95">
        <v>-150.68138888888899</v>
      </c>
      <c r="G10" s="95" t="s">
        <v>529</v>
      </c>
      <c r="J10" s="95" t="s">
        <v>517</v>
      </c>
      <c r="L10" s="95" t="s">
        <v>518</v>
      </c>
      <c r="M10" s="101" t="str">
        <f t="shared" si="0"/>
        <v>View on Google Map</v>
      </c>
    </row>
    <row r="11" spans="1:14" x14ac:dyDescent="0.2">
      <c r="B11" s="95" t="s">
        <v>530</v>
      </c>
      <c r="C11" s="95" t="s">
        <v>528</v>
      </c>
      <c r="D11" s="95">
        <v>69.322777777777773</v>
      </c>
      <c r="E11" s="95">
        <v>-150.95055555555601</v>
      </c>
      <c r="G11" s="95" t="s">
        <v>529</v>
      </c>
      <c r="J11" s="95" t="s">
        <v>517</v>
      </c>
      <c r="L11" s="95" t="s">
        <v>518</v>
      </c>
      <c r="M11" s="101" t="str">
        <f t="shared" si="0"/>
        <v>View on Google Map</v>
      </c>
    </row>
    <row r="12" spans="1:14" x14ac:dyDescent="0.2">
      <c r="B12" s="95" t="s">
        <v>531</v>
      </c>
      <c r="C12" s="95" t="s">
        <v>528</v>
      </c>
      <c r="D12" s="95">
        <v>69.328055555555565</v>
      </c>
      <c r="E12" s="95">
        <v>-150.238055555556</v>
      </c>
      <c r="G12" s="95" t="s">
        <v>529</v>
      </c>
      <c r="J12" s="95" t="s">
        <v>517</v>
      </c>
      <c r="L12" s="95" t="s">
        <v>518</v>
      </c>
      <c r="M12" s="101" t="str">
        <f t="shared" si="0"/>
        <v>View on Google Map</v>
      </c>
    </row>
    <row r="13" spans="1:14" x14ac:dyDescent="0.2">
      <c r="B13" s="95" t="s">
        <v>532</v>
      </c>
      <c r="C13" s="95" t="s">
        <v>528</v>
      </c>
      <c r="D13" s="95">
        <v>69.30361111111111</v>
      </c>
      <c r="E13" s="95">
        <v>-149.56083333333299</v>
      </c>
      <c r="G13" s="95" t="s">
        <v>529</v>
      </c>
      <c r="J13" s="95" t="s">
        <v>517</v>
      </c>
      <c r="L13" s="95" t="s">
        <v>518</v>
      </c>
      <c r="M13" s="101" t="str">
        <f t="shared" si="0"/>
        <v>View on Google Map</v>
      </c>
    </row>
    <row r="14" spans="1:14" x14ac:dyDescent="0.2">
      <c r="A14" s="95">
        <v>7</v>
      </c>
      <c r="B14" s="95" t="s">
        <v>533</v>
      </c>
      <c r="C14" s="95" t="s">
        <v>534</v>
      </c>
      <c r="D14" s="95">
        <v>68.95</v>
      </c>
      <c r="E14" s="95">
        <v>-148.86666666666667</v>
      </c>
      <c r="F14" s="95">
        <v>360</v>
      </c>
      <c r="G14" s="95" t="s">
        <v>535</v>
      </c>
      <c r="H14" s="95" t="s">
        <v>510</v>
      </c>
      <c r="I14" s="95" t="s">
        <v>510</v>
      </c>
      <c r="J14" s="95" t="s">
        <v>536</v>
      </c>
      <c r="K14" s="95" t="s">
        <v>510</v>
      </c>
      <c r="L14" s="95" t="s">
        <v>537</v>
      </c>
      <c r="M14" s="101" t="str">
        <f t="shared" si="0"/>
        <v>View on Google Map</v>
      </c>
    </row>
    <row r="15" spans="1:14" x14ac:dyDescent="0.2">
      <c r="A15" s="95">
        <v>517</v>
      </c>
      <c r="B15" s="95" t="s">
        <v>538</v>
      </c>
      <c r="C15" s="95" t="s">
        <v>520</v>
      </c>
      <c r="D15" s="95">
        <v>68.467832999999999</v>
      </c>
      <c r="E15" s="95">
        <v>-151.47916699999999</v>
      </c>
      <c r="F15" s="95">
        <v>732</v>
      </c>
      <c r="G15" s="95" t="s">
        <v>521</v>
      </c>
      <c r="H15" s="95" t="s">
        <v>510</v>
      </c>
      <c r="I15" s="95" t="s">
        <v>510</v>
      </c>
      <c r="J15" s="95" t="s">
        <v>522</v>
      </c>
      <c r="K15" s="95" t="s">
        <v>510</v>
      </c>
      <c r="L15" s="95" t="s">
        <v>523</v>
      </c>
      <c r="M15" s="101" t="str">
        <f t="shared" si="0"/>
        <v>View on Google Map</v>
      </c>
    </row>
    <row r="16" spans="1:14" x14ac:dyDescent="0.2">
      <c r="A16" s="95">
        <v>516</v>
      </c>
      <c r="B16" s="95" t="s">
        <v>539</v>
      </c>
      <c r="C16" s="95" t="s">
        <v>520</v>
      </c>
      <c r="D16" s="95">
        <v>68.467500000000001</v>
      </c>
      <c r="E16" s="95">
        <v>-151.49433300000001</v>
      </c>
      <c r="F16" s="95">
        <v>769</v>
      </c>
      <c r="G16" s="95" t="s">
        <v>521</v>
      </c>
      <c r="H16" s="95" t="s">
        <v>510</v>
      </c>
      <c r="I16" s="95" t="s">
        <v>510</v>
      </c>
      <c r="J16" s="95" t="s">
        <v>522</v>
      </c>
      <c r="K16" s="95" t="s">
        <v>510</v>
      </c>
      <c r="L16" s="95" t="s">
        <v>523</v>
      </c>
      <c r="M16" s="101" t="str">
        <f t="shared" si="0"/>
        <v>View on Google Map</v>
      </c>
    </row>
    <row r="17" spans="1:13" x14ac:dyDescent="0.2">
      <c r="A17" s="95">
        <v>515</v>
      </c>
      <c r="B17" s="95" t="s">
        <v>540</v>
      </c>
      <c r="C17" s="95" t="s">
        <v>520</v>
      </c>
      <c r="D17" s="95">
        <v>68.463999999999999</v>
      </c>
      <c r="E17" s="95">
        <v>-151.51516699999999</v>
      </c>
      <c r="F17" s="95">
        <v>809</v>
      </c>
      <c r="G17" s="95" t="s">
        <v>521</v>
      </c>
      <c r="H17" s="95" t="s">
        <v>510</v>
      </c>
      <c r="I17" s="95" t="s">
        <v>510</v>
      </c>
      <c r="J17" s="95" t="s">
        <v>522</v>
      </c>
      <c r="K17" s="95" t="s">
        <v>510</v>
      </c>
      <c r="L17" s="95" t="s">
        <v>523</v>
      </c>
      <c r="M17" s="101" t="str">
        <f t="shared" si="0"/>
        <v>View on Google Map</v>
      </c>
    </row>
    <row r="18" spans="1:13" x14ac:dyDescent="0.2">
      <c r="A18" s="95">
        <v>1177</v>
      </c>
      <c r="B18" s="95" t="s">
        <v>541</v>
      </c>
      <c r="C18" s="95" t="s">
        <v>542</v>
      </c>
      <c r="D18" s="95">
        <v>68.99539</v>
      </c>
      <c r="E18" s="95">
        <v>-150.28278</v>
      </c>
      <c r="F18" s="95" t="s">
        <v>510</v>
      </c>
      <c r="G18" s="95" t="s">
        <v>511</v>
      </c>
      <c r="H18" s="95" t="s">
        <v>510</v>
      </c>
      <c r="I18" s="95" t="s">
        <v>510</v>
      </c>
      <c r="J18" s="95" t="s">
        <v>517</v>
      </c>
      <c r="K18" s="95" t="s">
        <v>510</v>
      </c>
      <c r="L18" s="95" t="s">
        <v>518</v>
      </c>
      <c r="M18" s="101" t="str">
        <f t="shared" si="0"/>
        <v>View on Google Map</v>
      </c>
    </row>
    <row r="19" spans="1:13" x14ac:dyDescent="0.2">
      <c r="A19" s="95">
        <v>1178</v>
      </c>
      <c r="B19" s="95" t="s">
        <v>543</v>
      </c>
      <c r="C19" s="95" t="s">
        <v>542</v>
      </c>
      <c r="D19" s="95">
        <v>68.996089999999995</v>
      </c>
      <c r="E19" s="95">
        <v>-150.29223999999999</v>
      </c>
      <c r="F19" s="95" t="s">
        <v>510</v>
      </c>
      <c r="G19" s="95" t="s">
        <v>511</v>
      </c>
      <c r="H19" s="95" t="s">
        <v>510</v>
      </c>
      <c r="I19" s="95" t="s">
        <v>510</v>
      </c>
      <c r="J19" s="95" t="s">
        <v>517</v>
      </c>
      <c r="K19" s="95" t="s">
        <v>510</v>
      </c>
      <c r="L19" s="95" t="s">
        <v>518</v>
      </c>
      <c r="M19" s="101" t="str">
        <f t="shared" si="0"/>
        <v>View on Google Map</v>
      </c>
    </row>
    <row r="20" spans="1:13" x14ac:dyDescent="0.2">
      <c r="A20" s="95">
        <v>1179</v>
      </c>
      <c r="B20" s="95" t="s">
        <v>544</v>
      </c>
      <c r="C20" s="95" t="s">
        <v>545</v>
      </c>
      <c r="D20" s="95">
        <v>68.953829999999996</v>
      </c>
      <c r="E20" s="95">
        <v>-150.20697000000001</v>
      </c>
      <c r="F20" s="95" t="s">
        <v>510</v>
      </c>
      <c r="G20" s="95" t="s">
        <v>511</v>
      </c>
      <c r="H20" s="95" t="s">
        <v>510</v>
      </c>
      <c r="I20" s="95" t="s">
        <v>510</v>
      </c>
      <c r="J20" s="95" t="s">
        <v>517</v>
      </c>
      <c r="K20" s="95" t="s">
        <v>510</v>
      </c>
      <c r="L20" s="95" t="s">
        <v>518</v>
      </c>
      <c r="M20" s="101" t="str">
        <f t="shared" si="0"/>
        <v>View on Google Map</v>
      </c>
    </row>
    <row r="21" spans="1:13" x14ac:dyDescent="0.2">
      <c r="A21" s="95">
        <v>1180</v>
      </c>
      <c r="B21" s="16" t="s">
        <v>546</v>
      </c>
      <c r="C21" s="95" t="s">
        <v>545</v>
      </c>
      <c r="D21" s="95">
        <v>68.951099999999997</v>
      </c>
      <c r="E21" s="95">
        <v>-150.20966000000001</v>
      </c>
      <c r="F21" s="95" t="s">
        <v>510</v>
      </c>
      <c r="G21" s="95" t="s">
        <v>511</v>
      </c>
      <c r="H21" s="95" t="s">
        <v>510</v>
      </c>
      <c r="I21" s="95" t="s">
        <v>510</v>
      </c>
      <c r="J21" s="95" t="s">
        <v>517</v>
      </c>
      <c r="K21" s="95" t="s">
        <v>510</v>
      </c>
      <c r="L21" s="95" t="s">
        <v>518</v>
      </c>
      <c r="M21" s="101" t="str">
        <f t="shared" si="0"/>
        <v>View on Google Map</v>
      </c>
    </row>
    <row r="22" spans="1:13" x14ac:dyDescent="0.2">
      <c r="A22" s="95">
        <v>1181</v>
      </c>
      <c r="B22" s="16" t="s">
        <v>547</v>
      </c>
      <c r="C22" s="95" t="s">
        <v>545</v>
      </c>
      <c r="D22" s="95">
        <v>68.950720000000004</v>
      </c>
      <c r="E22" s="95">
        <v>-150.19745</v>
      </c>
      <c r="F22" s="95" t="s">
        <v>510</v>
      </c>
      <c r="G22" s="95" t="s">
        <v>511</v>
      </c>
      <c r="H22" s="95" t="s">
        <v>510</v>
      </c>
      <c r="I22" s="95" t="s">
        <v>510</v>
      </c>
      <c r="J22" s="95" t="s">
        <v>517</v>
      </c>
      <c r="K22" s="95" t="s">
        <v>510</v>
      </c>
      <c r="L22" s="95" t="s">
        <v>518</v>
      </c>
      <c r="M22" s="101" t="str">
        <f t="shared" si="0"/>
        <v>View on Google Map</v>
      </c>
    </row>
    <row r="23" spans="1:13" x14ac:dyDescent="0.2">
      <c r="A23" s="95">
        <v>1182</v>
      </c>
      <c r="B23" s="16" t="s">
        <v>548</v>
      </c>
      <c r="C23" s="95" t="s">
        <v>545</v>
      </c>
      <c r="D23" s="95">
        <v>68.950149999999994</v>
      </c>
      <c r="E23" s="95">
        <v>-150.19701000000001</v>
      </c>
      <c r="F23" s="95" t="s">
        <v>510</v>
      </c>
      <c r="G23" s="95" t="s">
        <v>511</v>
      </c>
      <c r="H23" s="95" t="s">
        <v>510</v>
      </c>
      <c r="I23" s="95" t="s">
        <v>510</v>
      </c>
      <c r="J23" s="95" t="s">
        <v>517</v>
      </c>
      <c r="K23" s="95" t="s">
        <v>510</v>
      </c>
      <c r="L23" s="95" t="s">
        <v>518</v>
      </c>
      <c r="M23" s="101" t="str">
        <f t="shared" si="0"/>
        <v>View on Google Map</v>
      </c>
    </row>
    <row r="24" spans="1:13" x14ac:dyDescent="0.2">
      <c r="A24" s="95">
        <v>1183</v>
      </c>
      <c r="B24" s="16" t="s">
        <v>549</v>
      </c>
      <c r="C24" s="95" t="s">
        <v>545</v>
      </c>
      <c r="D24" s="95">
        <v>68.949629999999999</v>
      </c>
      <c r="E24" s="95">
        <v>-150.19672</v>
      </c>
      <c r="F24" s="95" t="s">
        <v>510</v>
      </c>
      <c r="G24" s="95" t="s">
        <v>511</v>
      </c>
      <c r="H24" s="95" t="s">
        <v>510</v>
      </c>
      <c r="I24" s="95" t="s">
        <v>510</v>
      </c>
      <c r="J24" s="95" t="s">
        <v>517</v>
      </c>
      <c r="K24" s="95" t="s">
        <v>510</v>
      </c>
      <c r="L24" s="95" t="s">
        <v>518</v>
      </c>
      <c r="M24" s="101" t="str">
        <f t="shared" si="0"/>
        <v>View on Google Map</v>
      </c>
    </row>
    <row r="25" spans="1:13" x14ac:dyDescent="0.2">
      <c r="A25" s="95">
        <v>1184</v>
      </c>
      <c r="B25" s="16" t="s">
        <v>550</v>
      </c>
      <c r="C25" s="95" t="s">
        <v>545</v>
      </c>
      <c r="D25" s="95">
        <v>68.952349999999996</v>
      </c>
      <c r="E25" s="95">
        <v>-150.20769999999999</v>
      </c>
      <c r="F25" s="95" t="s">
        <v>510</v>
      </c>
      <c r="G25" s="95" t="s">
        <v>511</v>
      </c>
      <c r="H25" s="95" t="s">
        <v>510</v>
      </c>
      <c r="I25" s="95" t="s">
        <v>510</v>
      </c>
      <c r="J25" s="95" t="s">
        <v>517</v>
      </c>
      <c r="K25" s="95" t="s">
        <v>510</v>
      </c>
      <c r="L25" s="95" t="s">
        <v>518</v>
      </c>
      <c r="M25" s="101" t="str">
        <f t="shared" si="0"/>
        <v>View on Google Map</v>
      </c>
    </row>
    <row r="26" spans="1:13" x14ac:dyDescent="0.2">
      <c r="A26" s="95">
        <v>1185</v>
      </c>
      <c r="B26" s="16" t="s">
        <v>551</v>
      </c>
      <c r="C26" s="95" t="s">
        <v>545</v>
      </c>
      <c r="D26" s="95">
        <v>68.933340000000001</v>
      </c>
      <c r="E26" s="95">
        <v>-150.27288999999999</v>
      </c>
      <c r="F26" s="95" t="s">
        <v>510</v>
      </c>
      <c r="G26" s="95" t="s">
        <v>511</v>
      </c>
      <c r="H26" s="95" t="s">
        <v>510</v>
      </c>
      <c r="I26" s="95" t="s">
        <v>510</v>
      </c>
      <c r="J26" s="95" t="s">
        <v>517</v>
      </c>
      <c r="K26" s="95" t="s">
        <v>510</v>
      </c>
      <c r="L26" s="95" t="s">
        <v>518</v>
      </c>
      <c r="M26" s="101" t="str">
        <f t="shared" si="0"/>
        <v>View on Google Map</v>
      </c>
    </row>
    <row r="27" spans="1:13" x14ac:dyDescent="0.2">
      <c r="A27" s="95">
        <v>1186</v>
      </c>
      <c r="B27" s="95" t="s">
        <v>552</v>
      </c>
      <c r="C27" s="95" t="s">
        <v>545</v>
      </c>
      <c r="D27" s="95">
        <v>68.935190000000006</v>
      </c>
      <c r="E27" s="95">
        <v>-150.26884000000001</v>
      </c>
      <c r="F27" s="95" t="s">
        <v>510</v>
      </c>
      <c r="G27" s="95" t="s">
        <v>511</v>
      </c>
      <c r="H27" s="95" t="s">
        <v>510</v>
      </c>
      <c r="I27" s="95" t="s">
        <v>510</v>
      </c>
      <c r="J27" s="95" t="s">
        <v>517</v>
      </c>
      <c r="K27" s="95" t="s">
        <v>510</v>
      </c>
      <c r="L27" s="95" t="s">
        <v>518</v>
      </c>
      <c r="M27" s="101" t="str">
        <f t="shared" si="0"/>
        <v>View on Google Map</v>
      </c>
    </row>
    <row r="28" spans="1:13" x14ac:dyDescent="0.2">
      <c r="A28" s="95">
        <v>1187</v>
      </c>
      <c r="B28" s="16" t="s">
        <v>553</v>
      </c>
      <c r="C28" s="95" t="s">
        <v>545</v>
      </c>
      <c r="D28" s="95">
        <v>68.997339999999994</v>
      </c>
      <c r="E28" s="95">
        <v>-150.30745999999999</v>
      </c>
      <c r="F28" s="95" t="s">
        <v>510</v>
      </c>
      <c r="G28" s="95" t="s">
        <v>511</v>
      </c>
      <c r="H28" s="95" t="s">
        <v>510</v>
      </c>
      <c r="I28" s="95" t="s">
        <v>510</v>
      </c>
      <c r="J28" s="95" t="s">
        <v>517</v>
      </c>
      <c r="K28" s="95" t="s">
        <v>510</v>
      </c>
      <c r="L28" s="95" t="s">
        <v>518</v>
      </c>
      <c r="M28" s="101" t="str">
        <f t="shared" si="0"/>
        <v>View on Google Map</v>
      </c>
    </row>
    <row r="29" spans="1:13" x14ac:dyDescent="0.2">
      <c r="A29" s="95">
        <v>1188</v>
      </c>
      <c r="B29" s="16" t="s">
        <v>554</v>
      </c>
      <c r="C29" s="95" t="s">
        <v>545</v>
      </c>
      <c r="D29" s="95">
        <v>68.950779999999995</v>
      </c>
      <c r="E29" s="95">
        <v>-150.19788</v>
      </c>
      <c r="F29" s="95" t="s">
        <v>510</v>
      </c>
      <c r="G29" s="95" t="s">
        <v>511</v>
      </c>
      <c r="H29" s="95" t="s">
        <v>510</v>
      </c>
      <c r="I29" s="95" t="s">
        <v>510</v>
      </c>
      <c r="J29" s="95" t="s">
        <v>517</v>
      </c>
      <c r="K29" s="95" t="s">
        <v>510</v>
      </c>
      <c r="L29" s="95" t="s">
        <v>518</v>
      </c>
      <c r="M29" s="101" t="str">
        <f t="shared" si="0"/>
        <v>View on Google Map</v>
      </c>
    </row>
    <row r="30" spans="1:13" x14ac:dyDescent="0.2">
      <c r="A30" s="95">
        <v>1189</v>
      </c>
      <c r="B30" s="16" t="s">
        <v>555</v>
      </c>
      <c r="C30" s="95" t="s">
        <v>545</v>
      </c>
      <c r="D30" s="95">
        <v>68.954440000000005</v>
      </c>
      <c r="E30" s="95">
        <v>-150.20644999999999</v>
      </c>
      <c r="F30" s="95" t="s">
        <v>510</v>
      </c>
      <c r="G30" s="95" t="s">
        <v>511</v>
      </c>
      <c r="H30" s="95" t="s">
        <v>510</v>
      </c>
      <c r="I30" s="95" t="s">
        <v>510</v>
      </c>
      <c r="J30" s="95" t="s">
        <v>517</v>
      </c>
      <c r="K30" s="95" t="s">
        <v>510</v>
      </c>
      <c r="L30" s="95" t="s">
        <v>518</v>
      </c>
      <c r="M30" s="101" t="str">
        <f t="shared" si="0"/>
        <v>View on Google Map</v>
      </c>
    </row>
    <row r="31" spans="1:13" x14ac:dyDescent="0.2">
      <c r="A31" s="95">
        <v>1190</v>
      </c>
      <c r="B31" s="16" t="s">
        <v>556</v>
      </c>
      <c r="C31" s="95" t="s">
        <v>545</v>
      </c>
      <c r="D31" s="95">
        <v>69.116330000000005</v>
      </c>
      <c r="E31" s="95">
        <v>-150.79077000000001</v>
      </c>
      <c r="F31" s="95" t="s">
        <v>510</v>
      </c>
      <c r="G31" s="95" t="s">
        <v>511</v>
      </c>
      <c r="H31" s="95" t="s">
        <v>510</v>
      </c>
      <c r="I31" s="95" t="s">
        <v>510</v>
      </c>
      <c r="J31" s="95" t="s">
        <v>517</v>
      </c>
      <c r="K31" s="95" t="s">
        <v>510</v>
      </c>
      <c r="L31" s="95" t="s">
        <v>518</v>
      </c>
      <c r="M31" s="101" t="str">
        <f t="shared" si="0"/>
        <v>View on Google Map</v>
      </c>
    </row>
    <row r="32" spans="1:13" x14ac:dyDescent="0.2">
      <c r="A32" s="95">
        <v>1191</v>
      </c>
      <c r="B32" s="16" t="s">
        <v>557</v>
      </c>
      <c r="C32" s="95" t="s">
        <v>545</v>
      </c>
      <c r="D32" s="95">
        <v>69.116150000000005</v>
      </c>
      <c r="E32" s="95">
        <v>-150.79553999999999</v>
      </c>
      <c r="F32" s="95" t="s">
        <v>510</v>
      </c>
      <c r="G32" s="95" t="s">
        <v>511</v>
      </c>
      <c r="H32" s="95" t="s">
        <v>510</v>
      </c>
      <c r="I32" s="95" t="s">
        <v>510</v>
      </c>
      <c r="J32" s="95" t="s">
        <v>517</v>
      </c>
      <c r="K32" s="95" t="s">
        <v>510</v>
      </c>
      <c r="L32" s="95" t="s">
        <v>518</v>
      </c>
      <c r="M32" s="101" t="str">
        <f t="shared" si="0"/>
        <v>View on Google Map</v>
      </c>
    </row>
    <row r="33" spans="1:14" x14ac:dyDescent="0.2">
      <c r="A33" s="95">
        <v>3</v>
      </c>
      <c r="B33" s="95" t="s">
        <v>558</v>
      </c>
      <c r="C33" s="95" t="s">
        <v>559</v>
      </c>
      <c r="D33" s="95">
        <v>68.266666666666666</v>
      </c>
      <c r="E33" s="95">
        <v>-149.44999999999999</v>
      </c>
      <c r="F33" s="95">
        <v>914</v>
      </c>
      <c r="G33" s="95" t="s">
        <v>535</v>
      </c>
      <c r="H33" s="95" t="s">
        <v>510</v>
      </c>
      <c r="I33" s="95" t="s">
        <v>510</v>
      </c>
      <c r="J33" s="95" t="s">
        <v>536</v>
      </c>
      <c r="K33" s="95" t="s">
        <v>510</v>
      </c>
      <c r="L33" s="95" t="s">
        <v>537</v>
      </c>
      <c r="M33" s="101" t="str">
        <f t="shared" si="0"/>
        <v>View on Google Map</v>
      </c>
    </row>
    <row r="34" spans="1:14" x14ac:dyDescent="0.2">
      <c r="A34" s="95">
        <v>2</v>
      </c>
      <c r="B34" s="95" t="s">
        <v>560</v>
      </c>
      <c r="C34" s="95" t="s">
        <v>561</v>
      </c>
      <c r="D34" s="95">
        <v>68.266666666666666</v>
      </c>
      <c r="E34" s="95">
        <v>-149.46666666666667</v>
      </c>
      <c r="F34" s="95">
        <v>914</v>
      </c>
      <c r="G34" s="95" t="s">
        <v>535</v>
      </c>
      <c r="H34" s="95" t="s">
        <v>510</v>
      </c>
      <c r="I34" s="95" t="s">
        <v>510</v>
      </c>
      <c r="J34" s="95" t="s">
        <v>536</v>
      </c>
      <c r="K34" s="95" t="s">
        <v>510</v>
      </c>
      <c r="L34" s="95" t="s">
        <v>537</v>
      </c>
      <c r="M34" s="101" t="str">
        <f t="shared" si="0"/>
        <v>View on Google Map</v>
      </c>
    </row>
    <row r="35" spans="1:14" x14ac:dyDescent="0.2">
      <c r="A35" s="95">
        <v>25</v>
      </c>
      <c r="B35" s="95" t="s">
        <v>562</v>
      </c>
      <c r="C35" s="95" t="s">
        <v>510</v>
      </c>
      <c r="D35" s="95" t="s">
        <v>510</v>
      </c>
      <c r="E35" s="95" t="s">
        <v>510</v>
      </c>
      <c r="F35" s="95">
        <v>1097</v>
      </c>
      <c r="G35" s="95" t="s">
        <v>535</v>
      </c>
      <c r="H35" s="95" t="s">
        <v>563</v>
      </c>
      <c r="I35" s="95" t="s">
        <v>510</v>
      </c>
      <c r="J35" s="95" t="s">
        <v>536</v>
      </c>
      <c r="K35" s="95" t="s">
        <v>510</v>
      </c>
      <c r="L35" s="95" t="s">
        <v>510</v>
      </c>
      <c r="M35" s="101" t="str">
        <f t="shared" si="0"/>
        <v>View on Google Map</v>
      </c>
    </row>
    <row r="36" spans="1:14" x14ac:dyDescent="0.2">
      <c r="A36" s="95">
        <v>26</v>
      </c>
      <c r="B36" s="95" t="s">
        <v>564</v>
      </c>
      <c r="C36" s="95" t="s">
        <v>510</v>
      </c>
      <c r="D36" s="95" t="s">
        <v>510</v>
      </c>
      <c r="E36" s="95" t="s">
        <v>510</v>
      </c>
      <c r="F36" s="95">
        <v>1280</v>
      </c>
      <c r="G36" s="95" t="s">
        <v>535</v>
      </c>
      <c r="H36" s="95" t="s">
        <v>565</v>
      </c>
      <c r="I36" s="95" t="s">
        <v>510</v>
      </c>
      <c r="J36" s="95" t="s">
        <v>536</v>
      </c>
      <c r="K36" s="95" t="s">
        <v>510</v>
      </c>
      <c r="L36" s="95" t="s">
        <v>510</v>
      </c>
      <c r="M36" s="101" t="str">
        <f t="shared" si="0"/>
        <v>View on Google Map</v>
      </c>
    </row>
    <row r="37" spans="1:14" x14ac:dyDescent="0.2">
      <c r="A37" s="95">
        <v>27</v>
      </c>
      <c r="B37" s="95" t="s">
        <v>566</v>
      </c>
      <c r="C37" s="95" t="s">
        <v>510</v>
      </c>
      <c r="D37" s="95" t="s">
        <v>510</v>
      </c>
      <c r="E37" s="95" t="s">
        <v>510</v>
      </c>
      <c r="F37" s="95">
        <v>1555</v>
      </c>
      <c r="G37" s="95" t="s">
        <v>535</v>
      </c>
      <c r="H37" s="95" t="s">
        <v>567</v>
      </c>
      <c r="I37" s="95" t="s">
        <v>510</v>
      </c>
      <c r="J37" s="95" t="s">
        <v>536</v>
      </c>
      <c r="K37" s="95" t="s">
        <v>510</v>
      </c>
      <c r="L37" s="95" t="s">
        <v>510</v>
      </c>
      <c r="M37" s="101" t="str">
        <f t="shared" si="0"/>
        <v>View on Google Map</v>
      </c>
    </row>
    <row r="38" spans="1:14" ht="12.75" customHeight="1" x14ac:dyDescent="0.2">
      <c r="A38" s="95">
        <v>138</v>
      </c>
      <c r="B38" s="95" t="s">
        <v>568</v>
      </c>
      <c r="C38" s="95" t="s">
        <v>510</v>
      </c>
      <c r="D38" s="95">
        <v>70.283333333333331</v>
      </c>
      <c r="E38" s="95">
        <v>-148.30000000000001</v>
      </c>
      <c r="F38" s="95">
        <v>6</v>
      </c>
      <c r="G38" s="95" t="s">
        <v>521</v>
      </c>
      <c r="H38" s="95" t="s">
        <v>569</v>
      </c>
      <c r="I38" s="95" t="s">
        <v>510</v>
      </c>
      <c r="J38" s="95" t="s">
        <v>536</v>
      </c>
      <c r="K38" s="95" t="s">
        <v>510</v>
      </c>
      <c r="L38" s="95" t="s">
        <v>537</v>
      </c>
      <c r="M38" s="101" t="str">
        <f t="shared" si="0"/>
        <v>View on Google Map</v>
      </c>
    </row>
    <row r="39" spans="1:14" ht="12.75" customHeight="1" x14ac:dyDescent="0.2">
      <c r="A39" s="95">
        <v>31</v>
      </c>
      <c r="B39" s="95" t="s">
        <v>570</v>
      </c>
      <c r="C39" s="95" t="s">
        <v>510</v>
      </c>
      <c r="D39" s="95">
        <v>68.957566666999995</v>
      </c>
      <c r="E39" s="95">
        <v>-150.236266667</v>
      </c>
      <c r="F39" s="95">
        <v>386.18</v>
      </c>
      <c r="G39" s="95" t="s">
        <v>535</v>
      </c>
      <c r="H39" s="95" t="s">
        <v>510</v>
      </c>
      <c r="I39" s="95" t="s">
        <v>510</v>
      </c>
      <c r="J39" s="95" t="s">
        <v>571</v>
      </c>
      <c r="K39" s="95" t="s">
        <v>510</v>
      </c>
      <c r="L39" s="95" t="s">
        <v>518</v>
      </c>
      <c r="M39" s="101" t="str">
        <f t="shared" si="0"/>
        <v>View on Google Map</v>
      </c>
    </row>
    <row r="40" spans="1:14" ht="12.75" customHeight="1" x14ac:dyDescent="0.2">
      <c r="A40" s="95">
        <v>131</v>
      </c>
      <c r="B40" s="95" t="s">
        <v>572</v>
      </c>
      <c r="C40" s="95" t="s">
        <v>510</v>
      </c>
      <c r="D40" s="95">
        <v>70.333333333333329</v>
      </c>
      <c r="E40" s="95">
        <v>-148.93333333333334</v>
      </c>
      <c r="F40" s="95">
        <v>3</v>
      </c>
      <c r="G40" s="95" t="s">
        <v>521</v>
      </c>
      <c r="H40" s="95" t="s">
        <v>573</v>
      </c>
      <c r="I40" s="95" t="s">
        <v>510</v>
      </c>
      <c r="J40" s="95" t="s">
        <v>536</v>
      </c>
      <c r="K40" s="95" t="s">
        <v>510</v>
      </c>
      <c r="L40" s="95" t="s">
        <v>537</v>
      </c>
      <c r="M40" s="101" t="str">
        <f t="shared" si="0"/>
        <v>View on Google Map</v>
      </c>
    </row>
    <row r="41" spans="1:14" s="102" customFormat="1" ht="12.75" customHeight="1" x14ac:dyDescent="0.2">
      <c r="A41" s="95">
        <v>132</v>
      </c>
      <c r="B41" s="95" t="s">
        <v>574</v>
      </c>
      <c r="C41" s="95" t="s">
        <v>510</v>
      </c>
      <c r="D41" s="95">
        <v>70.333333333333329</v>
      </c>
      <c r="E41" s="95">
        <v>-148.93333333333334</v>
      </c>
      <c r="F41" s="95">
        <v>3</v>
      </c>
      <c r="G41" s="95" t="s">
        <v>521</v>
      </c>
      <c r="H41" s="95" t="s">
        <v>575</v>
      </c>
      <c r="I41" s="95" t="s">
        <v>510</v>
      </c>
      <c r="J41" s="95" t="s">
        <v>536</v>
      </c>
      <c r="K41" s="95" t="s">
        <v>510</v>
      </c>
      <c r="L41" s="95" t="s">
        <v>537</v>
      </c>
      <c r="M41" s="101" t="str">
        <f t="shared" si="0"/>
        <v>View on Google Map</v>
      </c>
      <c r="N41" s="95"/>
    </row>
    <row r="42" spans="1:14" ht="12.75" customHeight="1" x14ac:dyDescent="0.2">
      <c r="A42" s="95">
        <v>141</v>
      </c>
      <c r="B42" s="95" t="s">
        <v>576</v>
      </c>
      <c r="C42" s="95" t="s">
        <v>577</v>
      </c>
      <c r="D42" s="95">
        <v>68.63333333333334</v>
      </c>
      <c r="E42" s="95">
        <v>-149.6</v>
      </c>
      <c r="F42" s="95">
        <v>720</v>
      </c>
      <c r="G42" s="95" t="s">
        <v>521</v>
      </c>
      <c r="H42" s="95" t="s">
        <v>578</v>
      </c>
      <c r="I42" s="95" t="s">
        <v>579</v>
      </c>
      <c r="J42" s="95" t="s">
        <v>536</v>
      </c>
      <c r="K42" s="95" t="s">
        <v>510</v>
      </c>
      <c r="L42" s="95" t="s">
        <v>537</v>
      </c>
      <c r="M42" s="101" t="str">
        <f t="shared" si="0"/>
        <v>View on Google Map</v>
      </c>
    </row>
    <row r="43" spans="1:14" ht="12.75" customHeight="1" x14ac:dyDescent="0.2">
      <c r="A43" s="95">
        <v>160</v>
      </c>
      <c r="B43" s="95" t="s">
        <v>580</v>
      </c>
      <c r="C43" s="95" t="s">
        <v>510</v>
      </c>
      <c r="D43" s="95">
        <v>68.599999999999994</v>
      </c>
      <c r="E43" s="95">
        <v>-149.18333333333334</v>
      </c>
      <c r="F43" s="95">
        <v>864</v>
      </c>
      <c r="G43" s="95" t="s">
        <v>521</v>
      </c>
      <c r="H43" s="95" t="s">
        <v>581</v>
      </c>
      <c r="I43" s="95" t="s">
        <v>582</v>
      </c>
      <c r="J43" s="95" t="s">
        <v>536</v>
      </c>
      <c r="K43" s="95">
        <v>246</v>
      </c>
      <c r="L43" s="95" t="s">
        <v>537</v>
      </c>
      <c r="M43" s="101" t="str">
        <f t="shared" si="0"/>
        <v>View on Google Map</v>
      </c>
    </row>
    <row r="44" spans="1:14" ht="12.75" customHeight="1" x14ac:dyDescent="0.2">
      <c r="A44" s="95">
        <v>481</v>
      </c>
      <c r="B44" s="95" t="s">
        <v>583</v>
      </c>
      <c r="C44" s="95" t="s">
        <v>510</v>
      </c>
      <c r="D44" s="95">
        <v>68.976716667000005</v>
      </c>
      <c r="E44" s="95">
        <v>-150.20383333300001</v>
      </c>
      <c r="F44" s="95">
        <v>362</v>
      </c>
      <c r="G44" s="95" t="s">
        <v>521</v>
      </c>
      <c r="H44" s="95" t="s">
        <v>510</v>
      </c>
      <c r="I44" s="95" t="s">
        <v>510</v>
      </c>
      <c r="J44" s="95" t="s">
        <v>571</v>
      </c>
      <c r="K44" s="95" t="s">
        <v>510</v>
      </c>
      <c r="L44" s="95" t="s">
        <v>518</v>
      </c>
      <c r="M44" s="101" t="str">
        <f t="shared" si="0"/>
        <v>View on Google Map</v>
      </c>
    </row>
    <row r="45" spans="1:14" x14ac:dyDescent="0.2">
      <c r="A45" s="95">
        <v>21</v>
      </c>
      <c r="B45" s="95" t="s">
        <v>584</v>
      </c>
      <c r="C45" s="95" t="s">
        <v>510</v>
      </c>
      <c r="D45" s="95" t="s">
        <v>510</v>
      </c>
      <c r="E45" s="95" t="s">
        <v>510</v>
      </c>
      <c r="F45" s="95" t="s">
        <v>510</v>
      </c>
      <c r="G45" s="95" t="s">
        <v>535</v>
      </c>
      <c r="H45" s="95" t="s">
        <v>510</v>
      </c>
      <c r="I45" s="95" t="s">
        <v>510</v>
      </c>
      <c r="J45" s="95" t="s">
        <v>536</v>
      </c>
      <c r="K45" s="95" t="s">
        <v>510</v>
      </c>
      <c r="L45" s="95" t="s">
        <v>510</v>
      </c>
      <c r="M45" s="101" t="str">
        <f t="shared" si="0"/>
        <v>View on Google Map</v>
      </c>
      <c r="N45" s="102"/>
    </row>
    <row r="46" spans="1:14" x14ac:dyDescent="0.2">
      <c r="A46" s="95">
        <v>470</v>
      </c>
      <c r="B46" s="95" t="s">
        <v>585</v>
      </c>
      <c r="C46" s="95" t="s">
        <v>510</v>
      </c>
      <c r="D46" s="95">
        <v>68.829459999999997</v>
      </c>
      <c r="E46" s="95">
        <v>-149.77891</v>
      </c>
      <c r="F46" s="95">
        <v>634</v>
      </c>
      <c r="G46" s="95" t="s">
        <v>521</v>
      </c>
      <c r="H46" s="95" t="s">
        <v>510</v>
      </c>
      <c r="I46" s="95" t="s">
        <v>510</v>
      </c>
      <c r="J46" s="95" t="s">
        <v>522</v>
      </c>
      <c r="K46" s="95" t="s">
        <v>510</v>
      </c>
      <c r="L46" s="95" t="s">
        <v>510</v>
      </c>
      <c r="M46" s="101" t="str">
        <f t="shared" si="0"/>
        <v>View on Google Map</v>
      </c>
    </row>
    <row r="47" spans="1:14" x14ac:dyDescent="0.2">
      <c r="A47" s="95">
        <v>471</v>
      </c>
      <c r="B47" s="95" t="s">
        <v>586</v>
      </c>
      <c r="C47" s="95" t="s">
        <v>510</v>
      </c>
      <c r="D47" s="95">
        <v>68.832939999999994</v>
      </c>
      <c r="E47" s="95">
        <v>-149.76775000000001</v>
      </c>
      <c r="F47" s="95">
        <v>624</v>
      </c>
      <c r="G47" s="95" t="s">
        <v>521</v>
      </c>
      <c r="H47" s="95" t="s">
        <v>510</v>
      </c>
      <c r="I47" s="95" t="s">
        <v>510</v>
      </c>
      <c r="J47" s="95" t="s">
        <v>522</v>
      </c>
      <c r="K47" s="95" t="s">
        <v>510</v>
      </c>
      <c r="L47" s="95" t="s">
        <v>510</v>
      </c>
      <c r="M47" s="101" t="str">
        <f t="shared" si="0"/>
        <v>View on Google Map</v>
      </c>
    </row>
    <row r="48" spans="1:14" x14ac:dyDescent="0.2">
      <c r="A48" s="95">
        <v>472</v>
      </c>
      <c r="B48" s="95" t="s">
        <v>587</v>
      </c>
      <c r="C48" s="95" t="s">
        <v>510</v>
      </c>
      <c r="D48" s="95">
        <v>68.828059999999994</v>
      </c>
      <c r="E48" s="95">
        <v>-149.76449</v>
      </c>
      <c r="F48" s="95">
        <v>624</v>
      </c>
      <c r="G48" s="95" t="s">
        <v>521</v>
      </c>
      <c r="H48" s="95" t="s">
        <v>510</v>
      </c>
      <c r="I48" s="95" t="s">
        <v>510</v>
      </c>
      <c r="J48" s="95" t="s">
        <v>522</v>
      </c>
      <c r="K48" s="95" t="s">
        <v>510</v>
      </c>
      <c r="L48" s="95" t="s">
        <v>510</v>
      </c>
      <c r="M48" s="101" t="str">
        <f t="shared" si="0"/>
        <v>View on Google Map</v>
      </c>
    </row>
    <row r="49" spans="1:13" x14ac:dyDescent="0.2">
      <c r="A49" s="95">
        <v>473</v>
      </c>
      <c r="B49" s="95" t="s">
        <v>588</v>
      </c>
      <c r="C49" s="95" t="s">
        <v>510</v>
      </c>
      <c r="D49" s="95">
        <v>68.826400000000007</v>
      </c>
      <c r="E49" s="95">
        <v>-149.7585</v>
      </c>
      <c r="F49" s="95">
        <v>592</v>
      </c>
      <c r="G49" s="95" t="s">
        <v>521</v>
      </c>
      <c r="H49" s="95" t="s">
        <v>510</v>
      </c>
      <c r="I49" s="95" t="s">
        <v>510</v>
      </c>
      <c r="J49" s="95" t="s">
        <v>522</v>
      </c>
      <c r="K49" s="95" t="s">
        <v>510</v>
      </c>
      <c r="L49" s="95" t="s">
        <v>510</v>
      </c>
      <c r="M49" s="101" t="str">
        <f t="shared" si="0"/>
        <v>View on Google Map</v>
      </c>
    </row>
    <row r="50" spans="1:13" x14ac:dyDescent="0.2">
      <c r="A50" s="95">
        <v>474</v>
      </c>
      <c r="B50" s="95" t="s">
        <v>589</v>
      </c>
      <c r="C50" s="95" t="s">
        <v>510</v>
      </c>
      <c r="D50" s="95">
        <v>68.827349999999996</v>
      </c>
      <c r="E50" s="95">
        <v>-149.74993000000001</v>
      </c>
      <c r="F50" s="95">
        <v>592</v>
      </c>
      <c r="G50" s="95" t="s">
        <v>521</v>
      </c>
      <c r="H50" s="95" t="s">
        <v>510</v>
      </c>
      <c r="I50" s="95" t="s">
        <v>510</v>
      </c>
      <c r="J50" s="95" t="s">
        <v>522</v>
      </c>
      <c r="K50" s="95" t="s">
        <v>510</v>
      </c>
      <c r="L50" s="95" t="s">
        <v>510</v>
      </c>
      <c r="M50" s="101" t="str">
        <f t="shared" si="0"/>
        <v>View on Google Map</v>
      </c>
    </row>
    <row r="51" spans="1:13" x14ac:dyDescent="0.2">
      <c r="A51" s="95">
        <v>475</v>
      </c>
      <c r="B51" s="95" t="s">
        <v>590</v>
      </c>
      <c r="C51" s="95" t="s">
        <v>510</v>
      </c>
      <c r="D51" s="95">
        <v>68.831180000000003</v>
      </c>
      <c r="E51" s="95">
        <v>-149.74606</v>
      </c>
      <c r="F51" s="95">
        <v>593</v>
      </c>
      <c r="G51" s="95" t="s">
        <v>521</v>
      </c>
      <c r="H51" s="95" t="s">
        <v>591</v>
      </c>
      <c r="I51" s="95" t="s">
        <v>510</v>
      </c>
      <c r="J51" s="95" t="s">
        <v>522</v>
      </c>
      <c r="K51" s="95" t="s">
        <v>510</v>
      </c>
      <c r="L51" s="95" t="s">
        <v>510</v>
      </c>
      <c r="M51" s="101" t="str">
        <f t="shared" si="0"/>
        <v>View on Google Map</v>
      </c>
    </row>
    <row r="52" spans="1:13" x14ac:dyDescent="0.2">
      <c r="A52" s="95">
        <v>476</v>
      </c>
      <c r="B52" s="95" t="s">
        <v>592</v>
      </c>
      <c r="C52" s="95" t="s">
        <v>510</v>
      </c>
      <c r="D52" s="95">
        <v>68.825339999999997</v>
      </c>
      <c r="E52" s="95">
        <v>-149.76837</v>
      </c>
      <c r="F52" s="95">
        <v>621</v>
      </c>
      <c r="G52" s="95" t="s">
        <v>521</v>
      </c>
      <c r="H52" s="95" t="s">
        <v>510</v>
      </c>
      <c r="I52" s="95" t="s">
        <v>510</v>
      </c>
      <c r="J52" s="95" t="s">
        <v>522</v>
      </c>
      <c r="K52" s="95" t="s">
        <v>510</v>
      </c>
      <c r="L52" s="95" t="s">
        <v>510</v>
      </c>
      <c r="M52" s="101" t="str">
        <f t="shared" si="0"/>
        <v>View on Google Map</v>
      </c>
    </row>
    <row r="53" spans="1:13" x14ac:dyDescent="0.2">
      <c r="A53" s="95">
        <v>477</v>
      </c>
      <c r="B53" s="95" t="s">
        <v>593</v>
      </c>
      <c r="C53" s="95" t="s">
        <v>510</v>
      </c>
      <c r="D53" s="95">
        <v>68.821740000000005</v>
      </c>
      <c r="E53" s="95">
        <v>-149.76378</v>
      </c>
      <c r="F53" s="95">
        <v>605</v>
      </c>
      <c r="G53" s="95" t="s">
        <v>521</v>
      </c>
      <c r="H53" s="95" t="s">
        <v>510</v>
      </c>
      <c r="I53" s="95" t="s">
        <v>510</v>
      </c>
      <c r="J53" s="95" t="s">
        <v>522</v>
      </c>
      <c r="K53" s="95" t="s">
        <v>510</v>
      </c>
      <c r="L53" s="95" t="s">
        <v>510</v>
      </c>
      <c r="M53" s="101" t="str">
        <f t="shared" si="0"/>
        <v>View on Google Map</v>
      </c>
    </row>
    <row r="54" spans="1:13" x14ac:dyDescent="0.2">
      <c r="A54" s="95">
        <v>1174</v>
      </c>
      <c r="B54" s="95" t="s">
        <v>594</v>
      </c>
      <c r="C54" s="95" t="s">
        <v>510</v>
      </c>
      <c r="D54" s="95">
        <v>68.933938330000004</v>
      </c>
      <c r="E54" s="95">
        <v>-150.27111830000001</v>
      </c>
      <c r="F54" s="95" t="s">
        <v>510</v>
      </c>
      <c r="G54" s="95" t="s">
        <v>511</v>
      </c>
      <c r="H54" s="95" t="s">
        <v>510</v>
      </c>
      <c r="I54" s="95" t="s">
        <v>510</v>
      </c>
      <c r="J54" s="95" t="s">
        <v>517</v>
      </c>
      <c r="K54" s="95" t="s">
        <v>510</v>
      </c>
      <c r="L54" s="95" t="s">
        <v>518</v>
      </c>
      <c r="M54" s="101" t="str">
        <f t="shared" si="0"/>
        <v>View on Google Map</v>
      </c>
    </row>
    <row r="55" spans="1:13" x14ac:dyDescent="0.2">
      <c r="A55" s="95">
        <v>242</v>
      </c>
      <c r="B55" s="95" t="s">
        <v>595</v>
      </c>
      <c r="C55" s="95" t="s">
        <v>510</v>
      </c>
      <c r="D55" s="95" t="s">
        <v>510</v>
      </c>
      <c r="E55" s="95" t="s">
        <v>510</v>
      </c>
      <c r="F55" s="95">
        <v>390.2439024390244</v>
      </c>
      <c r="G55" s="95" t="s">
        <v>521</v>
      </c>
      <c r="H55" s="95" t="s">
        <v>510</v>
      </c>
      <c r="I55" s="95" t="s">
        <v>510</v>
      </c>
      <c r="J55" s="95" t="s">
        <v>536</v>
      </c>
      <c r="K55" s="95" t="s">
        <v>510</v>
      </c>
      <c r="L55" s="95" t="s">
        <v>596</v>
      </c>
      <c r="M55" s="101" t="str">
        <f t="shared" si="0"/>
        <v>View on Google Map</v>
      </c>
    </row>
    <row r="56" spans="1:13" x14ac:dyDescent="0.2">
      <c r="A56" s="95">
        <v>192</v>
      </c>
      <c r="B56" s="95" t="s">
        <v>597</v>
      </c>
      <c r="C56" s="95" t="s">
        <v>510</v>
      </c>
      <c r="D56" s="95">
        <v>69.233333333333334</v>
      </c>
      <c r="E56" s="95">
        <v>-148.94999999999999</v>
      </c>
      <c r="F56" s="95">
        <v>325</v>
      </c>
      <c r="G56" s="95" t="s">
        <v>521</v>
      </c>
      <c r="H56" s="95" t="s">
        <v>598</v>
      </c>
      <c r="I56" s="95" t="s">
        <v>510</v>
      </c>
      <c r="J56" s="95" t="s">
        <v>536</v>
      </c>
      <c r="K56" s="95" t="s">
        <v>510</v>
      </c>
      <c r="L56" s="95" t="s">
        <v>599</v>
      </c>
      <c r="M56" s="101" t="str">
        <f t="shared" si="0"/>
        <v>View on Google Map</v>
      </c>
    </row>
    <row r="57" spans="1:13" x14ac:dyDescent="0.2">
      <c r="A57" s="95">
        <v>277</v>
      </c>
      <c r="B57" s="95" t="s">
        <v>597</v>
      </c>
      <c r="C57" s="95" t="s">
        <v>510</v>
      </c>
      <c r="D57" s="95">
        <v>70.374600000000001</v>
      </c>
      <c r="E57" s="95">
        <v>-149.06383333333332</v>
      </c>
      <c r="F57" s="95">
        <v>6</v>
      </c>
      <c r="G57" s="95" t="s">
        <v>521</v>
      </c>
      <c r="H57" s="95" t="s">
        <v>600</v>
      </c>
      <c r="I57" s="95" t="s">
        <v>510</v>
      </c>
      <c r="J57" s="95" t="s">
        <v>536</v>
      </c>
      <c r="K57" s="95" t="s">
        <v>510</v>
      </c>
      <c r="L57" s="95" t="s">
        <v>601</v>
      </c>
      <c r="M57" s="101" t="str">
        <f t="shared" si="0"/>
        <v>View on Google Map</v>
      </c>
    </row>
    <row r="58" spans="1:13" x14ac:dyDescent="0.2">
      <c r="A58" s="95">
        <v>193</v>
      </c>
      <c r="B58" s="95" t="s">
        <v>602</v>
      </c>
      <c r="C58" s="95" t="s">
        <v>510</v>
      </c>
      <c r="D58" s="95">
        <v>69.283333333333331</v>
      </c>
      <c r="E58" s="95">
        <v>-148.9</v>
      </c>
      <c r="F58" s="95">
        <v>346</v>
      </c>
      <c r="G58" s="95" t="s">
        <v>521</v>
      </c>
      <c r="H58" s="95" t="s">
        <v>603</v>
      </c>
      <c r="I58" s="95" t="s">
        <v>510</v>
      </c>
      <c r="J58" s="95" t="s">
        <v>536</v>
      </c>
      <c r="K58" s="95" t="s">
        <v>510</v>
      </c>
      <c r="L58" s="95" t="s">
        <v>599</v>
      </c>
      <c r="M58" s="101" t="str">
        <f t="shared" si="0"/>
        <v>View on Google Map</v>
      </c>
    </row>
    <row r="59" spans="1:13" x14ac:dyDescent="0.2">
      <c r="A59" s="95">
        <v>278</v>
      </c>
      <c r="B59" s="95" t="s">
        <v>602</v>
      </c>
      <c r="C59" s="95" t="s">
        <v>510</v>
      </c>
      <c r="D59" s="95">
        <v>70.374600000000001</v>
      </c>
      <c r="E59" s="95">
        <v>-149.06383333333332</v>
      </c>
      <c r="F59" s="95">
        <v>6</v>
      </c>
      <c r="G59" s="95" t="s">
        <v>521</v>
      </c>
      <c r="H59" s="95" t="s">
        <v>604</v>
      </c>
      <c r="I59" s="95" t="s">
        <v>510</v>
      </c>
      <c r="J59" s="95" t="s">
        <v>536</v>
      </c>
      <c r="K59" s="95" t="s">
        <v>510</v>
      </c>
      <c r="L59" s="95" t="s">
        <v>601</v>
      </c>
      <c r="M59" s="101" t="str">
        <f t="shared" si="0"/>
        <v>View on Google Map</v>
      </c>
    </row>
    <row r="60" spans="1:13" x14ac:dyDescent="0.2">
      <c r="A60" s="95">
        <v>194</v>
      </c>
      <c r="B60" s="95" t="s">
        <v>605</v>
      </c>
      <c r="C60" s="95" t="s">
        <v>510</v>
      </c>
      <c r="D60" s="95">
        <v>69.716666666666669</v>
      </c>
      <c r="E60" s="95">
        <v>-149.44999999999999</v>
      </c>
      <c r="F60" s="95">
        <v>91</v>
      </c>
      <c r="G60" s="95" t="s">
        <v>521</v>
      </c>
      <c r="H60" s="95" t="s">
        <v>606</v>
      </c>
      <c r="I60" s="95" t="s">
        <v>510</v>
      </c>
      <c r="J60" s="95" t="s">
        <v>536</v>
      </c>
      <c r="K60" s="95" t="s">
        <v>510</v>
      </c>
      <c r="L60" s="95" t="s">
        <v>599</v>
      </c>
      <c r="M60" s="101" t="str">
        <f t="shared" si="0"/>
        <v>View on Google Map</v>
      </c>
    </row>
    <row r="61" spans="1:13" x14ac:dyDescent="0.2">
      <c r="A61" s="95">
        <v>279</v>
      </c>
      <c r="B61" s="95" t="s">
        <v>605</v>
      </c>
      <c r="C61" s="95" t="s">
        <v>510</v>
      </c>
      <c r="D61" s="95">
        <v>70.367750000000001</v>
      </c>
      <c r="E61" s="95">
        <v>-148.8357</v>
      </c>
      <c r="F61" s="95">
        <v>6</v>
      </c>
      <c r="G61" s="95" t="s">
        <v>521</v>
      </c>
      <c r="H61" s="95" t="s">
        <v>607</v>
      </c>
      <c r="I61" s="95" t="s">
        <v>510</v>
      </c>
      <c r="J61" s="95" t="s">
        <v>536</v>
      </c>
      <c r="K61" s="95" t="s">
        <v>510</v>
      </c>
      <c r="L61" s="95" t="s">
        <v>601</v>
      </c>
      <c r="M61" s="101" t="str">
        <f t="shared" si="0"/>
        <v>View on Google Map</v>
      </c>
    </row>
    <row r="62" spans="1:13" x14ac:dyDescent="0.2">
      <c r="A62" s="95">
        <v>195</v>
      </c>
      <c r="B62" s="95" t="s">
        <v>608</v>
      </c>
      <c r="C62" s="95" t="s">
        <v>510</v>
      </c>
      <c r="D62" s="95">
        <v>69.716666666666669</v>
      </c>
      <c r="E62" s="95">
        <v>-149.44999999999999</v>
      </c>
      <c r="F62" s="95">
        <v>91</v>
      </c>
      <c r="G62" s="95" t="s">
        <v>521</v>
      </c>
      <c r="H62" s="95" t="s">
        <v>609</v>
      </c>
      <c r="I62" s="95" t="s">
        <v>510</v>
      </c>
      <c r="J62" s="95" t="s">
        <v>536</v>
      </c>
      <c r="K62" s="95" t="s">
        <v>510</v>
      </c>
      <c r="L62" s="95" t="s">
        <v>599</v>
      </c>
      <c r="M62" s="101" t="str">
        <f t="shared" si="0"/>
        <v>View on Google Map</v>
      </c>
    </row>
    <row r="63" spans="1:13" x14ac:dyDescent="0.2">
      <c r="A63" s="95">
        <v>280</v>
      </c>
      <c r="B63" s="95" t="s">
        <v>608</v>
      </c>
      <c r="C63" s="95" t="s">
        <v>510</v>
      </c>
      <c r="D63" s="95">
        <v>70.367750000000001</v>
      </c>
      <c r="E63" s="95">
        <v>-148.8357</v>
      </c>
      <c r="F63" s="95">
        <v>6</v>
      </c>
      <c r="G63" s="95" t="s">
        <v>521</v>
      </c>
      <c r="H63" s="95" t="s">
        <v>610</v>
      </c>
      <c r="I63" s="95" t="s">
        <v>510</v>
      </c>
      <c r="J63" s="95" t="s">
        <v>536</v>
      </c>
      <c r="K63" s="95" t="s">
        <v>510</v>
      </c>
      <c r="L63" s="95" t="s">
        <v>601</v>
      </c>
      <c r="M63" s="101" t="str">
        <f t="shared" si="0"/>
        <v>View on Google Map</v>
      </c>
    </row>
    <row r="64" spans="1:13" x14ac:dyDescent="0.2">
      <c r="A64" s="95">
        <v>196</v>
      </c>
      <c r="B64" s="95" t="s">
        <v>611</v>
      </c>
      <c r="C64" s="95" t="s">
        <v>510</v>
      </c>
      <c r="D64" s="95">
        <v>69.833333333333329</v>
      </c>
      <c r="E64" s="95">
        <v>-149.75</v>
      </c>
      <c r="F64" s="95">
        <v>80</v>
      </c>
      <c r="G64" s="95" t="s">
        <v>521</v>
      </c>
      <c r="H64" s="95" t="s">
        <v>612</v>
      </c>
      <c r="I64" s="95" t="s">
        <v>510</v>
      </c>
      <c r="J64" s="95" t="s">
        <v>536</v>
      </c>
      <c r="K64" s="95" t="s">
        <v>510</v>
      </c>
      <c r="L64" s="95" t="s">
        <v>599</v>
      </c>
      <c r="M64" s="101" t="str">
        <f t="shared" si="0"/>
        <v>View on Google Map</v>
      </c>
    </row>
    <row r="65" spans="1:13" x14ac:dyDescent="0.2">
      <c r="A65" s="95">
        <v>281</v>
      </c>
      <c r="B65" s="95" t="s">
        <v>611</v>
      </c>
      <c r="C65" s="95" t="s">
        <v>510</v>
      </c>
      <c r="D65" s="95">
        <v>70.26821666666666</v>
      </c>
      <c r="E65" s="95">
        <v>-149.20859999999999</v>
      </c>
      <c r="F65" s="95">
        <v>15</v>
      </c>
      <c r="G65" s="95" t="s">
        <v>521</v>
      </c>
      <c r="H65" s="95" t="s">
        <v>613</v>
      </c>
      <c r="I65" s="95" t="s">
        <v>510</v>
      </c>
      <c r="J65" s="95" t="s">
        <v>536</v>
      </c>
      <c r="K65" s="95" t="s">
        <v>510</v>
      </c>
      <c r="L65" s="95" t="s">
        <v>601</v>
      </c>
      <c r="M65" s="101" t="str">
        <f t="shared" si="0"/>
        <v>View on Google Map</v>
      </c>
    </row>
    <row r="66" spans="1:13" x14ac:dyDescent="0.2">
      <c r="A66" s="95">
        <v>197</v>
      </c>
      <c r="B66" s="95" t="s">
        <v>614</v>
      </c>
      <c r="C66" s="95" t="s">
        <v>510</v>
      </c>
      <c r="D66" s="95">
        <v>70.283333333333331</v>
      </c>
      <c r="E66" s="95">
        <v>-150.19999999999999</v>
      </c>
      <c r="F66" s="95">
        <v>12</v>
      </c>
      <c r="G66" s="95" t="s">
        <v>521</v>
      </c>
      <c r="H66" s="95" t="s">
        <v>615</v>
      </c>
      <c r="I66" s="95" t="s">
        <v>510</v>
      </c>
      <c r="J66" s="95" t="s">
        <v>536</v>
      </c>
      <c r="K66" s="95" t="s">
        <v>510</v>
      </c>
      <c r="L66" s="95" t="s">
        <v>599</v>
      </c>
      <c r="M66" s="101" t="str">
        <f t="shared" si="0"/>
        <v>View on Google Map</v>
      </c>
    </row>
    <row r="67" spans="1:13" x14ac:dyDescent="0.2">
      <c r="A67" s="95">
        <v>282</v>
      </c>
      <c r="B67" s="95" t="s">
        <v>614</v>
      </c>
      <c r="C67" s="95" t="s">
        <v>510</v>
      </c>
      <c r="D67" s="95">
        <v>70.26821666666666</v>
      </c>
      <c r="E67" s="95">
        <v>-149.20859999999999</v>
      </c>
      <c r="F67" s="95">
        <v>15</v>
      </c>
      <c r="G67" s="95" t="s">
        <v>521</v>
      </c>
      <c r="H67" s="95" t="s">
        <v>616</v>
      </c>
      <c r="I67" s="95" t="s">
        <v>510</v>
      </c>
      <c r="J67" s="95" t="s">
        <v>536</v>
      </c>
      <c r="K67" s="95" t="s">
        <v>510</v>
      </c>
      <c r="L67" s="95" t="s">
        <v>601</v>
      </c>
      <c r="M67" s="101" t="str">
        <f t="shared" ref="M67:M130" si="1">HYPERLINK("http://maps.google.com/maps?q="&amp;D67&amp;","&amp;E67,"View on Google Map")</f>
        <v>View on Google Map</v>
      </c>
    </row>
    <row r="68" spans="1:13" x14ac:dyDescent="0.2">
      <c r="A68" s="95">
        <v>198</v>
      </c>
      <c r="B68" s="95" t="s">
        <v>617</v>
      </c>
      <c r="C68" s="95" t="s">
        <v>510</v>
      </c>
      <c r="D68" s="95">
        <v>70.283333333333331</v>
      </c>
      <c r="E68" s="95">
        <v>-150.19999999999999</v>
      </c>
      <c r="F68" s="95">
        <v>12</v>
      </c>
      <c r="G68" s="95" t="s">
        <v>521</v>
      </c>
      <c r="H68" s="95" t="s">
        <v>618</v>
      </c>
      <c r="I68" s="95" t="s">
        <v>510</v>
      </c>
      <c r="J68" s="95" t="s">
        <v>536</v>
      </c>
      <c r="K68" s="95" t="s">
        <v>510</v>
      </c>
      <c r="L68" s="95" t="s">
        <v>599</v>
      </c>
      <c r="M68" s="101" t="str">
        <f t="shared" si="1"/>
        <v>View on Google Map</v>
      </c>
    </row>
    <row r="69" spans="1:13" x14ac:dyDescent="0.2">
      <c r="A69" s="95">
        <v>283</v>
      </c>
      <c r="B69" s="95" t="s">
        <v>617</v>
      </c>
      <c r="C69" s="95" t="s">
        <v>510</v>
      </c>
      <c r="D69" s="95">
        <v>70.184266666666673</v>
      </c>
      <c r="E69" s="95">
        <v>-149.15443333333334</v>
      </c>
      <c r="F69" s="95">
        <v>15</v>
      </c>
      <c r="G69" s="95" t="s">
        <v>521</v>
      </c>
      <c r="H69" s="95" t="s">
        <v>619</v>
      </c>
      <c r="I69" s="95" t="s">
        <v>510</v>
      </c>
      <c r="J69" s="95" t="s">
        <v>536</v>
      </c>
      <c r="K69" s="95" t="s">
        <v>510</v>
      </c>
      <c r="L69" s="95" t="s">
        <v>601</v>
      </c>
      <c r="M69" s="101" t="str">
        <f t="shared" si="1"/>
        <v>View on Google Map</v>
      </c>
    </row>
    <row r="70" spans="1:13" x14ac:dyDescent="0.2">
      <c r="A70" s="95">
        <v>199</v>
      </c>
      <c r="B70" s="95" t="s">
        <v>620</v>
      </c>
      <c r="C70" s="95" t="s">
        <v>510</v>
      </c>
      <c r="D70" s="95">
        <v>70.416666666666671</v>
      </c>
      <c r="E70" s="95">
        <v>-150.19999999999999</v>
      </c>
      <c r="F70" s="95">
        <v>4</v>
      </c>
      <c r="G70" s="95" t="s">
        <v>521</v>
      </c>
      <c r="H70" s="95" t="s">
        <v>621</v>
      </c>
      <c r="I70" s="95" t="s">
        <v>510</v>
      </c>
      <c r="J70" s="95" t="s">
        <v>536</v>
      </c>
      <c r="K70" s="95" t="s">
        <v>510</v>
      </c>
      <c r="L70" s="95" t="s">
        <v>599</v>
      </c>
      <c r="M70" s="101" t="str">
        <f t="shared" si="1"/>
        <v>View on Google Map</v>
      </c>
    </row>
    <row r="71" spans="1:13" x14ac:dyDescent="0.2">
      <c r="A71" s="95">
        <v>284</v>
      </c>
      <c r="B71" s="95" t="s">
        <v>620</v>
      </c>
      <c r="C71" s="95" t="s">
        <v>510</v>
      </c>
      <c r="D71" s="95">
        <v>70.184266666666673</v>
      </c>
      <c r="E71" s="95">
        <v>-149.15443333333334</v>
      </c>
      <c r="F71" s="95">
        <v>15</v>
      </c>
      <c r="G71" s="95" t="s">
        <v>521</v>
      </c>
      <c r="H71" s="95" t="s">
        <v>622</v>
      </c>
      <c r="I71" s="95" t="s">
        <v>510</v>
      </c>
      <c r="J71" s="95" t="s">
        <v>536</v>
      </c>
      <c r="K71" s="95" t="s">
        <v>510</v>
      </c>
      <c r="L71" s="95" t="s">
        <v>601</v>
      </c>
      <c r="M71" s="101" t="str">
        <f t="shared" si="1"/>
        <v>View on Google Map</v>
      </c>
    </row>
    <row r="72" spans="1:13" x14ac:dyDescent="0.2">
      <c r="A72" s="95">
        <v>200</v>
      </c>
      <c r="B72" s="95" t="s">
        <v>623</v>
      </c>
      <c r="C72" s="95" t="s">
        <v>510</v>
      </c>
      <c r="D72" s="95">
        <v>70.283333333333331</v>
      </c>
      <c r="E72" s="95">
        <v>-149.81666666666666</v>
      </c>
      <c r="F72" s="95">
        <v>28.963414634146343</v>
      </c>
      <c r="G72" s="95" t="s">
        <v>521</v>
      </c>
      <c r="H72" s="95" t="s">
        <v>624</v>
      </c>
      <c r="I72" s="95" t="s">
        <v>510</v>
      </c>
      <c r="J72" s="95" t="s">
        <v>536</v>
      </c>
      <c r="K72" s="95" t="s">
        <v>510</v>
      </c>
      <c r="L72" s="95" t="s">
        <v>599</v>
      </c>
      <c r="M72" s="101" t="str">
        <f t="shared" si="1"/>
        <v>View on Google Map</v>
      </c>
    </row>
    <row r="73" spans="1:13" x14ac:dyDescent="0.2">
      <c r="A73" s="95">
        <v>285</v>
      </c>
      <c r="B73" s="95" t="s">
        <v>623</v>
      </c>
      <c r="C73" s="95" t="s">
        <v>510</v>
      </c>
      <c r="D73" s="95">
        <v>70.126099999999994</v>
      </c>
      <c r="E73" s="95">
        <v>-149.33773333333335</v>
      </c>
      <c r="F73" s="95">
        <v>30</v>
      </c>
      <c r="G73" s="95" t="s">
        <v>521</v>
      </c>
      <c r="H73" s="95" t="s">
        <v>625</v>
      </c>
      <c r="I73" s="95" t="s">
        <v>510</v>
      </c>
      <c r="J73" s="95" t="s">
        <v>536</v>
      </c>
      <c r="K73" s="95" t="s">
        <v>510</v>
      </c>
      <c r="L73" s="95" t="s">
        <v>601</v>
      </c>
      <c r="M73" s="101" t="str">
        <f t="shared" si="1"/>
        <v>View on Google Map</v>
      </c>
    </row>
    <row r="74" spans="1:13" x14ac:dyDescent="0.2">
      <c r="A74" s="95">
        <v>201</v>
      </c>
      <c r="B74" s="95" t="s">
        <v>626</v>
      </c>
      <c r="C74" s="95" t="s">
        <v>510</v>
      </c>
      <c r="D74" s="95">
        <v>70.283333333333331</v>
      </c>
      <c r="E74" s="95">
        <v>-149.81666666666666</v>
      </c>
      <c r="F74" s="95">
        <v>28.963414634146343</v>
      </c>
      <c r="G74" s="95" t="s">
        <v>521</v>
      </c>
      <c r="H74" s="95" t="s">
        <v>627</v>
      </c>
      <c r="I74" s="95" t="s">
        <v>510</v>
      </c>
      <c r="J74" s="95" t="s">
        <v>536</v>
      </c>
      <c r="K74" s="95" t="s">
        <v>510</v>
      </c>
      <c r="L74" s="95" t="s">
        <v>599</v>
      </c>
      <c r="M74" s="101" t="str">
        <f t="shared" si="1"/>
        <v>View on Google Map</v>
      </c>
    </row>
    <row r="75" spans="1:13" x14ac:dyDescent="0.2">
      <c r="A75" s="95">
        <v>286</v>
      </c>
      <c r="B75" s="95" t="s">
        <v>626</v>
      </c>
      <c r="C75" s="95" t="s">
        <v>510</v>
      </c>
      <c r="D75" s="95">
        <v>70.126099999999994</v>
      </c>
      <c r="E75" s="95">
        <v>-149.33773333333335</v>
      </c>
      <c r="F75" s="95">
        <v>30</v>
      </c>
      <c r="G75" s="95" t="s">
        <v>521</v>
      </c>
      <c r="H75" s="95" t="s">
        <v>628</v>
      </c>
      <c r="I75" s="95" t="s">
        <v>510</v>
      </c>
      <c r="J75" s="95" t="s">
        <v>536</v>
      </c>
      <c r="K75" s="95" t="s">
        <v>510</v>
      </c>
      <c r="L75" s="95" t="s">
        <v>601</v>
      </c>
      <c r="M75" s="101" t="str">
        <f t="shared" si="1"/>
        <v>View on Google Map</v>
      </c>
    </row>
    <row r="76" spans="1:13" x14ac:dyDescent="0.2">
      <c r="A76" s="95">
        <v>202</v>
      </c>
      <c r="B76" s="95" t="s">
        <v>629</v>
      </c>
      <c r="C76" s="95" t="s">
        <v>510</v>
      </c>
      <c r="D76" s="95">
        <v>70.45</v>
      </c>
      <c r="E76" s="95">
        <v>-149.16666666666666</v>
      </c>
      <c r="F76" s="95">
        <v>4.8780487804878048</v>
      </c>
      <c r="G76" s="95" t="s">
        <v>521</v>
      </c>
      <c r="H76" s="95" t="s">
        <v>630</v>
      </c>
      <c r="I76" s="95" t="s">
        <v>510</v>
      </c>
      <c r="J76" s="95" t="s">
        <v>536</v>
      </c>
      <c r="K76" s="95" t="s">
        <v>510</v>
      </c>
      <c r="L76" s="95" t="s">
        <v>599</v>
      </c>
      <c r="M76" s="101" t="str">
        <f t="shared" si="1"/>
        <v>View on Google Map</v>
      </c>
    </row>
    <row r="77" spans="1:13" x14ac:dyDescent="0.2">
      <c r="A77" s="95">
        <v>287</v>
      </c>
      <c r="B77" s="95" t="s">
        <v>629</v>
      </c>
      <c r="C77" s="95" t="s">
        <v>510</v>
      </c>
      <c r="D77" s="95">
        <v>69.9221</v>
      </c>
      <c r="E77" s="95">
        <v>-149.34523333333334</v>
      </c>
      <c r="F77" s="95">
        <v>61</v>
      </c>
      <c r="G77" s="95" t="s">
        <v>521</v>
      </c>
      <c r="H77" s="95" t="s">
        <v>631</v>
      </c>
      <c r="I77" s="95" t="s">
        <v>510</v>
      </c>
      <c r="J77" s="95" t="s">
        <v>536</v>
      </c>
      <c r="K77" s="95" t="s">
        <v>510</v>
      </c>
      <c r="L77" s="95" t="s">
        <v>601</v>
      </c>
      <c r="M77" s="101" t="str">
        <f t="shared" si="1"/>
        <v>View on Google Map</v>
      </c>
    </row>
    <row r="78" spans="1:13" x14ac:dyDescent="0.2">
      <c r="A78" s="95">
        <v>203</v>
      </c>
      <c r="B78" s="95" t="s">
        <v>632</v>
      </c>
      <c r="C78" s="95" t="s">
        <v>510</v>
      </c>
      <c r="D78" s="95">
        <v>70.233333333333334</v>
      </c>
      <c r="E78" s="95">
        <v>-148.88333333333333</v>
      </c>
      <c r="F78" s="95">
        <v>17.682926829268293</v>
      </c>
      <c r="G78" s="95" t="s">
        <v>521</v>
      </c>
      <c r="H78" s="95" t="s">
        <v>633</v>
      </c>
      <c r="I78" s="95" t="s">
        <v>510</v>
      </c>
      <c r="J78" s="95" t="s">
        <v>536</v>
      </c>
      <c r="K78" s="95" t="s">
        <v>510</v>
      </c>
      <c r="L78" s="95" t="s">
        <v>599</v>
      </c>
      <c r="M78" s="101" t="str">
        <f t="shared" si="1"/>
        <v>View on Google Map</v>
      </c>
    </row>
    <row r="79" spans="1:13" x14ac:dyDescent="0.2">
      <c r="A79" s="95">
        <v>288</v>
      </c>
      <c r="B79" s="95" t="s">
        <v>632</v>
      </c>
      <c r="C79" s="95" t="s">
        <v>510</v>
      </c>
      <c r="D79" s="95">
        <v>69.9221</v>
      </c>
      <c r="E79" s="95">
        <v>-149.34523333333334</v>
      </c>
      <c r="F79" s="95">
        <v>61</v>
      </c>
      <c r="G79" s="95" t="s">
        <v>521</v>
      </c>
      <c r="H79" s="95" t="s">
        <v>634</v>
      </c>
      <c r="I79" s="95" t="s">
        <v>510</v>
      </c>
      <c r="J79" s="95" t="s">
        <v>536</v>
      </c>
      <c r="K79" s="95" t="s">
        <v>510</v>
      </c>
      <c r="L79" s="95" t="s">
        <v>601</v>
      </c>
      <c r="M79" s="101" t="str">
        <f t="shared" si="1"/>
        <v>View on Google Map</v>
      </c>
    </row>
    <row r="80" spans="1:13" x14ac:dyDescent="0.2">
      <c r="A80" s="95">
        <v>204</v>
      </c>
      <c r="B80" s="95" t="s">
        <v>635</v>
      </c>
      <c r="C80" s="95" t="s">
        <v>510</v>
      </c>
      <c r="D80" s="95">
        <v>70.233333333333334</v>
      </c>
      <c r="E80" s="95">
        <v>-148.88333333333333</v>
      </c>
      <c r="F80" s="95">
        <v>17.682926829268293</v>
      </c>
      <c r="G80" s="95" t="s">
        <v>521</v>
      </c>
      <c r="H80" s="95" t="s">
        <v>636</v>
      </c>
      <c r="I80" s="95" t="s">
        <v>510</v>
      </c>
      <c r="J80" s="95" t="s">
        <v>536</v>
      </c>
      <c r="K80" s="95" t="s">
        <v>510</v>
      </c>
      <c r="L80" s="95" t="s">
        <v>599</v>
      </c>
      <c r="M80" s="101" t="str">
        <f t="shared" si="1"/>
        <v>View on Google Map</v>
      </c>
    </row>
    <row r="81" spans="1:13" x14ac:dyDescent="0.2">
      <c r="A81" s="95">
        <v>289</v>
      </c>
      <c r="B81" s="95" t="s">
        <v>635</v>
      </c>
      <c r="C81" s="95" t="s">
        <v>510</v>
      </c>
      <c r="D81" s="95">
        <v>69.986533333333327</v>
      </c>
      <c r="E81" s="95">
        <v>-150.08543333333333</v>
      </c>
      <c r="F81" s="95">
        <v>125</v>
      </c>
      <c r="G81" s="95" t="s">
        <v>521</v>
      </c>
      <c r="H81" s="95" t="s">
        <v>637</v>
      </c>
      <c r="I81" s="95" t="s">
        <v>510</v>
      </c>
      <c r="J81" s="95" t="s">
        <v>536</v>
      </c>
      <c r="K81" s="95" t="s">
        <v>510</v>
      </c>
      <c r="L81" s="95" t="s">
        <v>601</v>
      </c>
      <c r="M81" s="101" t="str">
        <f t="shared" si="1"/>
        <v>View on Google Map</v>
      </c>
    </row>
    <row r="82" spans="1:13" x14ac:dyDescent="0.2">
      <c r="A82" s="95">
        <v>205</v>
      </c>
      <c r="B82" s="95" t="s">
        <v>638</v>
      </c>
      <c r="C82" s="95" t="s">
        <v>510</v>
      </c>
      <c r="D82" s="95">
        <v>70.13333333333334</v>
      </c>
      <c r="E82" s="95">
        <v>-148.6</v>
      </c>
      <c r="F82" s="95">
        <v>24.390243902439025</v>
      </c>
      <c r="G82" s="95" t="s">
        <v>521</v>
      </c>
      <c r="H82" s="95" t="s">
        <v>639</v>
      </c>
      <c r="I82" s="95" t="s">
        <v>510</v>
      </c>
      <c r="J82" s="95" t="s">
        <v>536</v>
      </c>
      <c r="K82" s="95" t="s">
        <v>510</v>
      </c>
      <c r="L82" s="95" t="s">
        <v>599</v>
      </c>
      <c r="M82" s="101" t="str">
        <f t="shared" si="1"/>
        <v>View on Google Map</v>
      </c>
    </row>
    <row r="83" spans="1:13" x14ac:dyDescent="0.2">
      <c r="A83" s="95">
        <v>290</v>
      </c>
      <c r="B83" s="95" t="s">
        <v>638</v>
      </c>
      <c r="C83" s="95" t="s">
        <v>510</v>
      </c>
      <c r="D83" s="95">
        <v>69.986533333333327</v>
      </c>
      <c r="E83" s="95">
        <v>-150.08543333333333</v>
      </c>
      <c r="F83" s="95">
        <v>125</v>
      </c>
      <c r="G83" s="95" t="s">
        <v>521</v>
      </c>
      <c r="H83" s="95" t="s">
        <v>640</v>
      </c>
      <c r="I83" s="95" t="s">
        <v>510</v>
      </c>
      <c r="J83" s="95" t="s">
        <v>536</v>
      </c>
      <c r="K83" s="95" t="s">
        <v>510</v>
      </c>
      <c r="L83" s="95" t="s">
        <v>601</v>
      </c>
      <c r="M83" s="101" t="str">
        <f t="shared" si="1"/>
        <v>View on Google Map</v>
      </c>
    </row>
    <row r="84" spans="1:13" x14ac:dyDescent="0.2">
      <c r="A84" s="95">
        <v>291</v>
      </c>
      <c r="B84" s="95" t="s">
        <v>641</v>
      </c>
      <c r="C84" s="95" t="s">
        <v>510</v>
      </c>
      <c r="D84" s="95">
        <v>69.639166666666668</v>
      </c>
      <c r="E84" s="95">
        <v>-149.73946666666666</v>
      </c>
      <c r="F84" s="95">
        <v>91</v>
      </c>
      <c r="G84" s="95" t="s">
        <v>521</v>
      </c>
      <c r="H84" s="95" t="s">
        <v>642</v>
      </c>
      <c r="I84" s="95" t="s">
        <v>510</v>
      </c>
      <c r="J84" s="95" t="s">
        <v>536</v>
      </c>
      <c r="K84" s="95" t="s">
        <v>510</v>
      </c>
      <c r="L84" s="95" t="s">
        <v>601</v>
      </c>
      <c r="M84" s="101" t="str">
        <f t="shared" si="1"/>
        <v>View on Google Map</v>
      </c>
    </row>
    <row r="85" spans="1:13" x14ac:dyDescent="0.2">
      <c r="A85" s="95">
        <v>206</v>
      </c>
      <c r="B85" s="95" t="s">
        <v>643</v>
      </c>
      <c r="C85" s="95" t="s">
        <v>510</v>
      </c>
      <c r="D85" s="95">
        <v>70.11666666666666</v>
      </c>
      <c r="E85" s="95">
        <v>-146.16666666666666</v>
      </c>
      <c r="F85" s="95">
        <v>3.0487804878048781</v>
      </c>
      <c r="G85" s="95" t="s">
        <v>521</v>
      </c>
      <c r="H85" s="95" t="s">
        <v>644</v>
      </c>
      <c r="I85" s="95" t="s">
        <v>510</v>
      </c>
      <c r="J85" s="95" t="s">
        <v>536</v>
      </c>
      <c r="K85" s="95" t="s">
        <v>510</v>
      </c>
      <c r="L85" s="95" t="s">
        <v>599</v>
      </c>
      <c r="M85" s="101" t="str">
        <f t="shared" si="1"/>
        <v>View on Google Map</v>
      </c>
    </row>
    <row r="86" spans="1:13" x14ac:dyDescent="0.2">
      <c r="A86" s="95">
        <v>292</v>
      </c>
      <c r="B86" s="95" t="s">
        <v>643</v>
      </c>
      <c r="C86" s="95" t="s">
        <v>510</v>
      </c>
      <c r="D86" s="95">
        <v>69.639166666666668</v>
      </c>
      <c r="E86" s="95">
        <v>-149.73946666666666</v>
      </c>
      <c r="F86" s="95">
        <v>91</v>
      </c>
      <c r="G86" s="95" t="s">
        <v>521</v>
      </c>
      <c r="H86" s="95" t="s">
        <v>645</v>
      </c>
      <c r="I86" s="95" t="s">
        <v>510</v>
      </c>
      <c r="J86" s="95" t="s">
        <v>536</v>
      </c>
      <c r="K86" s="95" t="s">
        <v>510</v>
      </c>
      <c r="L86" s="95" t="s">
        <v>601</v>
      </c>
      <c r="M86" s="101" t="str">
        <f t="shared" si="1"/>
        <v>View on Google Map</v>
      </c>
    </row>
    <row r="87" spans="1:13" x14ac:dyDescent="0.2">
      <c r="A87" s="95">
        <v>207</v>
      </c>
      <c r="B87" s="95" t="s">
        <v>646</v>
      </c>
      <c r="C87" s="95" t="s">
        <v>510</v>
      </c>
      <c r="D87" s="95">
        <v>70.099999999999994</v>
      </c>
      <c r="E87" s="95">
        <v>-146.26666666666668</v>
      </c>
      <c r="F87" s="95">
        <v>9.1463414634146343</v>
      </c>
      <c r="G87" s="95" t="s">
        <v>521</v>
      </c>
      <c r="H87" s="95" t="s">
        <v>647</v>
      </c>
      <c r="I87" s="95" t="s">
        <v>510</v>
      </c>
      <c r="J87" s="95" t="s">
        <v>536</v>
      </c>
      <c r="K87" s="95" t="s">
        <v>510</v>
      </c>
      <c r="L87" s="95" t="s">
        <v>599</v>
      </c>
      <c r="M87" s="101" t="str">
        <f t="shared" si="1"/>
        <v>View on Google Map</v>
      </c>
    </row>
    <row r="88" spans="1:13" x14ac:dyDescent="0.2">
      <c r="A88" s="95">
        <v>293</v>
      </c>
      <c r="B88" s="95" t="s">
        <v>646</v>
      </c>
      <c r="C88" s="95" t="s">
        <v>510</v>
      </c>
      <c r="D88" s="95">
        <v>68.820783333333338</v>
      </c>
      <c r="E88" s="95">
        <v>-149.7646</v>
      </c>
      <c r="F88" s="95">
        <v>579</v>
      </c>
      <c r="G88" s="95" t="s">
        <v>521</v>
      </c>
      <c r="H88" s="95" t="s">
        <v>648</v>
      </c>
      <c r="I88" s="95" t="s">
        <v>510</v>
      </c>
      <c r="J88" s="95" t="s">
        <v>536</v>
      </c>
      <c r="K88" s="95" t="s">
        <v>510</v>
      </c>
      <c r="L88" s="95" t="s">
        <v>601</v>
      </c>
      <c r="M88" s="101" t="str">
        <f t="shared" si="1"/>
        <v>View on Google Map</v>
      </c>
    </row>
    <row r="89" spans="1:13" x14ac:dyDescent="0.2">
      <c r="A89" s="95">
        <v>208</v>
      </c>
      <c r="B89" s="95" t="s">
        <v>649</v>
      </c>
      <c r="C89" s="95" t="s">
        <v>510</v>
      </c>
      <c r="D89" s="95">
        <v>70.05</v>
      </c>
      <c r="E89" s="95">
        <v>-146.98333333333332</v>
      </c>
      <c r="F89" s="95">
        <v>24.390243902439025</v>
      </c>
      <c r="G89" s="95" t="s">
        <v>521</v>
      </c>
      <c r="H89" s="95" t="s">
        <v>650</v>
      </c>
      <c r="I89" s="95" t="s">
        <v>510</v>
      </c>
      <c r="J89" s="95" t="s">
        <v>536</v>
      </c>
      <c r="K89" s="95" t="s">
        <v>510</v>
      </c>
      <c r="L89" s="95" t="s">
        <v>599</v>
      </c>
      <c r="M89" s="101" t="str">
        <f t="shared" si="1"/>
        <v>View on Google Map</v>
      </c>
    </row>
    <row r="90" spans="1:13" x14ac:dyDescent="0.2">
      <c r="A90" s="95">
        <v>294</v>
      </c>
      <c r="B90" s="95" t="s">
        <v>649</v>
      </c>
      <c r="C90" s="95" t="s">
        <v>510</v>
      </c>
      <c r="D90" s="95">
        <v>68.820616666666666</v>
      </c>
      <c r="E90" s="95">
        <v>-149.74383333333333</v>
      </c>
      <c r="F90" s="95">
        <v>579</v>
      </c>
      <c r="G90" s="95" t="s">
        <v>521</v>
      </c>
      <c r="H90" s="95" t="s">
        <v>651</v>
      </c>
      <c r="I90" s="95" t="s">
        <v>510</v>
      </c>
      <c r="J90" s="95" t="s">
        <v>536</v>
      </c>
      <c r="K90" s="95" t="s">
        <v>510</v>
      </c>
      <c r="L90" s="95" t="s">
        <v>601</v>
      </c>
      <c r="M90" s="101" t="str">
        <f t="shared" si="1"/>
        <v>View on Google Map</v>
      </c>
    </row>
    <row r="91" spans="1:13" x14ac:dyDescent="0.2">
      <c r="A91" s="95">
        <v>209</v>
      </c>
      <c r="B91" s="95" t="s">
        <v>652</v>
      </c>
      <c r="C91" s="95" t="s">
        <v>510</v>
      </c>
      <c r="D91" s="95">
        <v>70.05</v>
      </c>
      <c r="E91" s="95">
        <v>-146.98333333333332</v>
      </c>
      <c r="F91" s="95">
        <v>24.390243902439025</v>
      </c>
      <c r="G91" s="95" t="s">
        <v>521</v>
      </c>
      <c r="H91" s="95" t="s">
        <v>653</v>
      </c>
      <c r="I91" s="95" t="s">
        <v>510</v>
      </c>
      <c r="J91" s="95" t="s">
        <v>536</v>
      </c>
      <c r="K91" s="95" t="s">
        <v>510</v>
      </c>
      <c r="L91" s="95" t="s">
        <v>599</v>
      </c>
      <c r="M91" s="101" t="str">
        <f t="shared" si="1"/>
        <v>View on Google Map</v>
      </c>
    </row>
    <row r="92" spans="1:13" x14ac:dyDescent="0.2">
      <c r="A92" s="95">
        <v>295</v>
      </c>
      <c r="B92" s="95" t="s">
        <v>652</v>
      </c>
      <c r="C92" s="95" t="s">
        <v>510</v>
      </c>
      <c r="D92" s="95">
        <v>68.821529999999996</v>
      </c>
      <c r="E92" s="95">
        <v>-149.05867000000001</v>
      </c>
      <c r="F92" s="95">
        <v>518</v>
      </c>
      <c r="G92" s="95" t="s">
        <v>521</v>
      </c>
      <c r="H92" s="95" t="s">
        <v>654</v>
      </c>
      <c r="I92" s="95" t="s">
        <v>510</v>
      </c>
      <c r="J92" s="95" t="s">
        <v>536</v>
      </c>
      <c r="K92" s="95" t="s">
        <v>510</v>
      </c>
      <c r="L92" s="95" t="s">
        <v>601</v>
      </c>
      <c r="M92" s="101" t="str">
        <f t="shared" si="1"/>
        <v>View on Google Map</v>
      </c>
    </row>
    <row r="93" spans="1:13" x14ac:dyDescent="0.2">
      <c r="A93" s="95">
        <v>210</v>
      </c>
      <c r="B93" s="95" t="s">
        <v>655</v>
      </c>
      <c r="C93" s="95" t="s">
        <v>510</v>
      </c>
      <c r="D93" s="95">
        <v>70.150000000000006</v>
      </c>
      <c r="E93" s="95">
        <v>-147.36666666666667</v>
      </c>
      <c r="F93" s="95">
        <v>6.7073170731707323</v>
      </c>
      <c r="G93" s="95" t="s">
        <v>521</v>
      </c>
      <c r="H93" s="95" t="s">
        <v>656</v>
      </c>
      <c r="I93" s="95" t="s">
        <v>510</v>
      </c>
      <c r="J93" s="95" t="s">
        <v>536</v>
      </c>
      <c r="K93" s="95" t="s">
        <v>510</v>
      </c>
      <c r="L93" s="95" t="s">
        <v>599</v>
      </c>
      <c r="M93" s="101" t="str">
        <f t="shared" si="1"/>
        <v>View on Google Map</v>
      </c>
    </row>
    <row r="94" spans="1:13" x14ac:dyDescent="0.2">
      <c r="A94" s="95">
        <v>296</v>
      </c>
      <c r="B94" s="95" t="s">
        <v>655</v>
      </c>
      <c r="C94" s="95" t="s">
        <v>510</v>
      </c>
      <c r="D94" s="95">
        <v>68.817116666666664</v>
      </c>
      <c r="E94" s="95">
        <v>-149.05956666666665</v>
      </c>
      <c r="F94" s="95">
        <v>518</v>
      </c>
      <c r="G94" s="95" t="s">
        <v>521</v>
      </c>
      <c r="H94" s="95" t="s">
        <v>657</v>
      </c>
      <c r="I94" s="95" t="s">
        <v>510</v>
      </c>
      <c r="J94" s="95" t="s">
        <v>536</v>
      </c>
      <c r="K94" s="95" t="s">
        <v>510</v>
      </c>
      <c r="L94" s="95" t="s">
        <v>601</v>
      </c>
      <c r="M94" s="101" t="str">
        <f t="shared" si="1"/>
        <v>View on Google Map</v>
      </c>
    </row>
    <row r="95" spans="1:13" x14ac:dyDescent="0.2">
      <c r="A95" s="95">
        <v>211</v>
      </c>
      <c r="B95" s="95" t="s">
        <v>658</v>
      </c>
      <c r="C95" s="95" t="s">
        <v>510</v>
      </c>
      <c r="D95" s="95">
        <v>70.150000000000006</v>
      </c>
      <c r="E95" s="95">
        <v>-147.36666666666667</v>
      </c>
      <c r="F95" s="95">
        <v>6.7073170731707323</v>
      </c>
      <c r="G95" s="95" t="s">
        <v>521</v>
      </c>
      <c r="H95" s="95" t="s">
        <v>659</v>
      </c>
      <c r="I95" s="95" t="s">
        <v>510</v>
      </c>
      <c r="J95" s="95" t="s">
        <v>536</v>
      </c>
      <c r="K95" s="95" t="s">
        <v>510</v>
      </c>
      <c r="L95" s="95" t="s">
        <v>599</v>
      </c>
      <c r="M95" s="101" t="str">
        <f t="shared" si="1"/>
        <v>View on Google Map</v>
      </c>
    </row>
    <row r="96" spans="1:13" x14ac:dyDescent="0.2">
      <c r="A96" s="95">
        <v>297</v>
      </c>
      <c r="B96" s="95" t="s">
        <v>658</v>
      </c>
      <c r="C96" s="95" t="s">
        <v>510</v>
      </c>
      <c r="D96" s="95">
        <v>69.356183333333334</v>
      </c>
      <c r="E96" s="95">
        <v>-150.21899999999999</v>
      </c>
      <c r="F96" s="95">
        <v>168</v>
      </c>
      <c r="G96" s="95" t="s">
        <v>521</v>
      </c>
      <c r="H96" s="95" t="s">
        <v>660</v>
      </c>
      <c r="I96" s="95" t="s">
        <v>510</v>
      </c>
      <c r="J96" s="95" t="s">
        <v>536</v>
      </c>
      <c r="K96" s="95" t="s">
        <v>510</v>
      </c>
      <c r="L96" s="95" t="s">
        <v>601</v>
      </c>
      <c r="M96" s="101" t="str">
        <f t="shared" si="1"/>
        <v>View on Google Map</v>
      </c>
    </row>
    <row r="97" spans="1:13" x14ac:dyDescent="0.2">
      <c r="A97" s="95">
        <v>212</v>
      </c>
      <c r="B97" s="95" t="s">
        <v>661</v>
      </c>
      <c r="C97" s="95" t="s">
        <v>510</v>
      </c>
      <c r="D97" s="95">
        <v>70.033333333333331</v>
      </c>
      <c r="E97" s="95">
        <v>-147.65</v>
      </c>
      <c r="F97" s="95">
        <v>28.04878048780488</v>
      </c>
      <c r="G97" s="95" t="s">
        <v>521</v>
      </c>
      <c r="H97" s="95" t="s">
        <v>662</v>
      </c>
      <c r="I97" s="95" t="s">
        <v>510</v>
      </c>
      <c r="J97" s="95" t="s">
        <v>536</v>
      </c>
      <c r="K97" s="95" t="s">
        <v>510</v>
      </c>
      <c r="L97" s="95" t="s">
        <v>599</v>
      </c>
      <c r="M97" s="101" t="str">
        <f t="shared" si="1"/>
        <v>View on Google Map</v>
      </c>
    </row>
    <row r="98" spans="1:13" x14ac:dyDescent="0.2">
      <c r="A98" s="95">
        <v>298</v>
      </c>
      <c r="B98" s="95" t="s">
        <v>661</v>
      </c>
      <c r="C98" s="95" t="s">
        <v>510</v>
      </c>
      <c r="D98" s="95">
        <v>69.356183333333334</v>
      </c>
      <c r="E98" s="95">
        <v>-150.21899999999999</v>
      </c>
      <c r="F98" s="95">
        <v>168</v>
      </c>
      <c r="G98" s="95" t="s">
        <v>521</v>
      </c>
      <c r="H98" s="95" t="s">
        <v>663</v>
      </c>
      <c r="I98" s="95" t="s">
        <v>510</v>
      </c>
      <c r="J98" s="95" t="s">
        <v>536</v>
      </c>
      <c r="K98" s="95" t="s">
        <v>510</v>
      </c>
      <c r="L98" s="95" t="s">
        <v>601</v>
      </c>
      <c r="M98" s="101" t="str">
        <f t="shared" si="1"/>
        <v>View on Google Map</v>
      </c>
    </row>
    <row r="99" spans="1:13" x14ac:dyDescent="0.2">
      <c r="A99" s="95">
        <v>213</v>
      </c>
      <c r="B99" s="95" t="s">
        <v>664</v>
      </c>
      <c r="C99" s="95" t="s">
        <v>510</v>
      </c>
      <c r="D99" s="95">
        <v>70.033333333333331</v>
      </c>
      <c r="E99" s="95">
        <v>-147.65</v>
      </c>
      <c r="F99" s="95">
        <v>28.04878048780488</v>
      </c>
      <c r="G99" s="95" t="s">
        <v>521</v>
      </c>
      <c r="H99" s="95" t="s">
        <v>665</v>
      </c>
      <c r="I99" s="95" t="s">
        <v>510</v>
      </c>
      <c r="J99" s="95" t="s">
        <v>536</v>
      </c>
      <c r="K99" s="95" t="s">
        <v>510</v>
      </c>
      <c r="L99" s="95" t="s">
        <v>599</v>
      </c>
      <c r="M99" s="101" t="str">
        <f t="shared" si="1"/>
        <v>View on Google Map</v>
      </c>
    </row>
    <row r="100" spans="1:13" x14ac:dyDescent="0.2">
      <c r="A100" s="95">
        <v>299</v>
      </c>
      <c r="B100" s="95" t="s">
        <v>664</v>
      </c>
      <c r="C100" s="95" t="s">
        <v>510</v>
      </c>
      <c r="D100" s="95">
        <v>69.5458</v>
      </c>
      <c r="E100" s="95">
        <v>-150.37883333333335</v>
      </c>
      <c r="F100" s="95">
        <v>107</v>
      </c>
      <c r="G100" s="95" t="s">
        <v>521</v>
      </c>
      <c r="H100" s="95" t="s">
        <v>666</v>
      </c>
      <c r="I100" s="95" t="s">
        <v>510</v>
      </c>
      <c r="J100" s="95" t="s">
        <v>536</v>
      </c>
      <c r="K100" s="95" t="s">
        <v>510</v>
      </c>
      <c r="L100" s="95" t="s">
        <v>601</v>
      </c>
      <c r="M100" s="101" t="str">
        <f t="shared" si="1"/>
        <v>View on Google Map</v>
      </c>
    </row>
    <row r="101" spans="1:13" x14ac:dyDescent="0.2">
      <c r="A101" s="95">
        <v>214</v>
      </c>
      <c r="B101" s="95" t="s">
        <v>667</v>
      </c>
      <c r="C101" s="95" t="s">
        <v>510</v>
      </c>
      <c r="D101" s="95">
        <v>69.833333333333329</v>
      </c>
      <c r="E101" s="95">
        <v>-147.93333333333334</v>
      </c>
      <c r="F101" s="95">
        <v>92.987804878048792</v>
      </c>
      <c r="G101" s="95" t="s">
        <v>521</v>
      </c>
      <c r="H101" s="95" t="s">
        <v>668</v>
      </c>
      <c r="I101" s="95" t="s">
        <v>510</v>
      </c>
      <c r="J101" s="95" t="s">
        <v>536</v>
      </c>
      <c r="K101" s="95" t="s">
        <v>510</v>
      </c>
      <c r="L101" s="95" t="s">
        <v>599</v>
      </c>
      <c r="M101" s="101" t="str">
        <f t="shared" si="1"/>
        <v>View on Google Map</v>
      </c>
    </row>
    <row r="102" spans="1:13" x14ac:dyDescent="0.2">
      <c r="A102" s="95">
        <v>300</v>
      </c>
      <c r="B102" s="95" t="s">
        <v>667</v>
      </c>
      <c r="C102" s="95" t="s">
        <v>510</v>
      </c>
      <c r="D102" s="95">
        <v>69.5458</v>
      </c>
      <c r="E102" s="95">
        <v>-150.37883333333335</v>
      </c>
      <c r="F102" s="95">
        <v>107</v>
      </c>
      <c r="G102" s="95" t="s">
        <v>521</v>
      </c>
      <c r="H102" s="95" t="s">
        <v>669</v>
      </c>
      <c r="I102" s="95" t="s">
        <v>510</v>
      </c>
      <c r="J102" s="95" t="s">
        <v>536</v>
      </c>
      <c r="K102" s="95" t="s">
        <v>510</v>
      </c>
      <c r="L102" s="95" t="s">
        <v>601</v>
      </c>
      <c r="M102" s="101" t="str">
        <f t="shared" si="1"/>
        <v>View on Google Map</v>
      </c>
    </row>
    <row r="103" spans="1:13" x14ac:dyDescent="0.2">
      <c r="A103" s="95">
        <v>215</v>
      </c>
      <c r="B103" s="95" t="s">
        <v>670</v>
      </c>
      <c r="C103" s="95" t="s">
        <v>510</v>
      </c>
      <c r="D103" s="95">
        <v>69.833333333333329</v>
      </c>
      <c r="E103" s="95">
        <v>-147.93333333333334</v>
      </c>
      <c r="F103" s="95">
        <v>92.987804878048792</v>
      </c>
      <c r="G103" s="95" t="s">
        <v>521</v>
      </c>
      <c r="H103" s="95" t="s">
        <v>671</v>
      </c>
      <c r="I103" s="95" t="s">
        <v>510</v>
      </c>
      <c r="J103" s="95" t="s">
        <v>536</v>
      </c>
      <c r="K103" s="95" t="s">
        <v>510</v>
      </c>
      <c r="L103" s="95" t="s">
        <v>599</v>
      </c>
      <c r="M103" s="101" t="str">
        <f t="shared" si="1"/>
        <v>View on Google Map</v>
      </c>
    </row>
    <row r="104" spans="1:13" x14ac:dyDescent="0.2">
      <c r="A104" s="95">
        <v>301</v>
      </c>
      <c r="B104" s="95" t="s">
        <v>670</v>
      </c>
      <c r="C104" s="95" t="s">
        <v>510</v>
      </c>
      <c r="D104" s="95">
        <v>69.523700000000005</v>
      </c>
      <c r="E104" s="95">
        <v>-150.55269999999999</v>
      </c>
      <c r="F104" s="95">
        <v>107</v>
      </c>
      <c r="G104" s="95" t="s">
        <v>521</v>
      </c>
      <c r="H104" s="95" t="s">
        <v>672</v>
      </c>
      <c r="I104" s="95" t="s">
        <v>510</v>
      </c>
      <c r="J104" s="95" t="s">
        <v>536</v>
      </c>
      <c r="K104" s="95" t="s">
        <v>510</v>
      </c>
      <c r="L104" s="95" t="s">
        <v>601</v>
      </c>
      <c r="M104" s="101" t="str">
        <f t="shared" si="1"/>
        <v>View on Google Map</v>
      </c>
    </row>
    <row r="105" spans="1:13" x14ac:dyDescent="0.2">
      <c r="A105" s="95">
        <v>216</v>
      </c>
      <c r="B105" s="95" t="s">
        <v>673</v>
      </c>
      <c r="C105" s="95" t="s">
        <v>510</v>
      </c>
      <c r="D105" s="95">
        <v>69.88333333333334</v>
      </c>
      <c r="E105" s="95">
        <v>-148.63333333333333</v>
      </c>
      <c r="F105" s="95">
        <v>118.90243902439025</v>
      </c>
      <c r="G105" s="95" t="s">
        <v>521</v>
      </c>
      <c r="H105" s="95" t="s">
        <v>674</v>
      </c>
      <c r="I105" s="95" t="s">
        <v>510</v>
      </c>
      <c r="J105" s="95" t="s">
        <v>536</v>
      </c>
      <c r="K105" s="95" t="s">
        <v>510</v>
      </c>
      <c r="L105" s="95" t="s">
        <v>599</v>
      </c>
      <c r="M105" s="101" t="str">
        <f t="shared" si="1"/>
        <v>View on Google Map</v>
      </c>
    </row>
    <row r="106" spans="1:13" x14ac:dyDescent="0.2">
      <c r="A106" s="95">
        <v>302</v>
      </c>
      <c r="B106" s="95" t="s">
        <v>673</v>
      </c>
      <c r="C106" s="95" t="s">
        <v>510</v>
      </c>
      <c r="D106" s="95">
        <v>69.523700000000005</v>
      </c>
      <c r="E106" s="95">
        <v>-150.55269999999999</v>
      </c>
      <c r="F106" s="95">
        <v>107</v>
      </c>
      <c r="G106" s="95" t="s">
        <v>521</v>
      </c>
      <c r="H106" s="95" t="s">
        <v>675</v>
      </c>
      <c r="I106" s="95" t="s">
        <v>510</v>
      </c>
      <c r="J106" s="95" t="s">
        <v>536</v>
      </c>
      <c r="K106" s="95" t="s">
        <v>510</v>
      </c>
      <c r="L106" s="95" t="s">
        <v>601</v>
      </c>
      <c r="M106" s="101" t="str">
        <f t="shared" si="1"/>
        <v>View on Google Map</v>
      </c>
    </row>
    <row r="107" spans="1:13" x14ac:dyDescent="0.2">
      <c r="A107" s="95">
        <v>217</v>
      </c>
      <c r="B107" s="95" t="s">
        <v>676</v>
      </c>
      <c r="C107" s="95" t="s">
        <v>510</v>
      </c>
      <c r="D107" s="95">
        <v>69.7</v>
      </c>
      <c r="E107" s="95">
        <v>-148.48333333333332</v>
      </c>
      <c r="F107" s="95">
        <v>125</v>
      </c>
      <c r="G107" s="95" t="s">
        <v>521</v>
      </c>
      <c r="H107" s="95" t="s">
        <v>677</v>
      </c>
      <c r="I107" s="95" t="s">
        <v>510</v>
      </c>
      <c r="J107" s="95" t="s">
        <v>536</v>
      </c>
      <c r="K107" s="95" t="s">
        <v>510</v>
      </c>
      <c r="L107" s="95" t="s">
        <v>599</v>
      </c>
      <c r="M107" s="101" t="str">
        <f t="shared" si="1"/>
        <v>View on Google Map</v>
      </c>
    </row>
    <row r="108" spans="1:13" x14ac:dyDescent="0.2">
      <c r="A108" s="95">
        <v>303</v>
      </c>
      <c r="B108" s="95" t="s">
        <v>676</v>
      </c>
      <c r="C108" s="95" t="s">
        <v>510</v>
      </c>
      <c r="D108" s="95">
        <v>69.610399999999998</v>
      </c>
      <c r="E108" s="95">
        <v>-148.82113333333334</v>
      </c>
      <c r="F108" s="95">
        <v>107</v>
      </c>
      <c r="G108" s="95" t="s">
        <v>521</v>
      </c>
      <c r="H108" s="95" t="s">
        <v>678</v>
      </c>
      <c r="I108" s="95" t="s">
        <v>510</v>
      </c>
      <c r="J108" s="95" t="s">
        <v>536</v>
      </c>
      <c r="K108" s="95" t="s">
        <v>510</v>
      </c>
      <c r="L108" s="95" t="s">
        <v>601</v>
      </c>
      <c r="M108" s="101" t="str">
        <f t="shared" si="1"/>
        <v>View on Google Map</v>
      </c>
    </row>
    <row r="109" spans="1:13" x14ac:dyDescent="0.2">
      <c r="A109" s="95">
        <v>218</v>
      </c>
      <c r="B109" s="95" t="s">
        <v>679</v>
      </c>
      <c r="C109" s="95" t="s">
        <v>510</v>
      </c>
      <c r="D109" s="95">
        <v>69.7</v>
      </c>
      <c r="E109" s="95">
        <v>-148.48333333333332</v>
      </c>
      <c r="F109" s="95">
        <v>125</v>
      </c>
      <c r="G109" s="95" t="s">
        <v>521</v>
      </c>
      <c r="H109" s="95" t="s">
        <v>680</v>
      </c>
      <c r="I109" s="95" t="s">
        <v>510</v>
      </c>
      <c r="J109" s="95" t="s">
        <v>536</v>
      </c>
      <c r="K109" s="95" t="s">
        <v>510</v>
      </c>
      <c r="L109" s="95" t="s">
        <v>599</v>
      </c>
      <c r="M109" s="101" t="str">
        <f t="shared" si="1"/>
        <v>View on Google Map</v>
      </c>
    </row>
    <row r="110" spans="1:13" x14ac:dyDescent="0.2">
      <c r="A110" s="95">
        <v>304</v>
      </c>
      <c r="B110" s="95" t="s">
        <v>679</v>
      </c>
      <c r="C110" s="95" t="s">
        <v>510</v>
      </c>
      <c r="D110" s="95">
        <v>69.610399999999998</v>
      </c>
      <c r="E110" s="95">
        <v>-148.82113333333334</v>
      </c>
      <c r="F110" s="95">
        <v>107</v>
      </c>
      <c r="G110" s="95" t="s">
        <v>521</v>
      </c>
      <c r="H110" s="95" t="s">
        <v>681</v>
      </c>
      <c r="I110" s="95" t="s">
        <v>510</v>
      </c>
      <c r="J110" s="95" t="s">
        <v>536</v>
      </c>
      <c r="K110" s="95" t="s">
        <v>510</v>
      </c>
      <c r="L110" s="95" t="s">
        <v>601</v>
      </c>
      <c r="M110" s="101" t="str">
        <f t="shared" si="1"/>
        <v>View on Google Map</v>
      </c>
    </row>
    <row r="111" spans="1:13" x14ac:dyDescent="0.2">
      <c r="A111" s="95">
        <v>232</v>
      </c>
      <c r="B111" s="95" t="s">
        <v>682</v>
      </c>
      <c r="C111" s="95" t="s">
        <v>510</v>
      </c>
      <c r="D111" s="95">
        <v>69.266666666666666</v>
      </c>
      <c r="E111" s="95">
        <v>-148.46666666666667</v>
      </c>
      <c r="F111" s="95">
        <v>338.71951219512198</v>
      </c>
      <c r="G111" s="95" t="s">
        <v>521</v>
      </c>
      <c r="H111" s="95" t="s">
        <v>683</v>
      </c>
      <c r="I111" s="95" t="s">
        <v>510</v>
      </c>
      <c r="J111" s="95" t="s">
        <v>536</v>
      </c>
      <c r="K111" s="95" t="s">
        <v>510</v>
      </c>
      <c r="L111" s="95" t="s">
        <v>599</v>
      </c>
      <c r="M111" s="101" t="str">
        <f t="shared" si="1"/>
        <v>View on Google Map</v>
      </c>
    </row>
    <row r="112" spans="1:13" x14ac:dyDescent="0.2">
      <c r="A112" s="95">
        <v>239</v>
      </c>
      <c r="B112" s="95" t="s">
        <v>684</v>
      </c>
      <c r="C112" s="95" t="s">
        <v>685</v>
      </c>
      <c r="D112" s="95" t="s">
        <v>510</v>
      </c>
      <c r="E112" s="95" t="s">
        <v>510</v>
      </c>
      <c r="F112" s="95" t="s">
        <v>510</v>
      </c>
      <c r="G112" s="95" t="s">
        <v>521</v>
      </c>
      <c r="H112" s="95" t="s">
        <v>510</v>
      </c>
      <c r="I112" s="95" t="s">
        <v>510</v>
      </c>
      <c r="J112" s="95" t="s">
        <v>536</v>
      </c>
      <c r="K112" s="95" t="s">
        <v>510</v>
      </c>
      <c r="L112" s="95" t="s">
        <v>686</v>
      </c>
      <c r="M112" s="101" t="str">
        <f t="shared" si="1"/>
        <v>View on Google Map</v>
      </c>
    </row>
    <row r="113" spans="1:13" x14ac:dyDescent="0.2">
      <c r="A113" s="95">
        <v>144</v>
      </c>
      <c r="B113" s="95" t="s">
        <v>687</v>
      </c>
      <c r="C113" s="95" t="s">
        <v>688</v>
      </c>
      <c r="D113" s="95">
        <v>68.63333333333334</v>
      </c>
      <c r="E113" s="95">
        <v>-149.6</v>
      </c>
      <c r="F113" s="95">
        <v>719</v>
      </c>
      <c r="G113" s="95" t="s">
        <v>521</v>
      </c>
      <c r="H113" s="95" t="s">
        <v>510</v>
      </c>
      <c r="I113" s="95" t="s">
        <v>510</v>
      </c>
      <c r="J113" s="95" t="s">
        <v>536</v>
      </c>
      <c r="K113" s="95" t="s">
        <v>510</v>
      </c>
      <c r="L113" s="95" t="s">
        <v>537</v>
      </c>
      <c r="M113" s="101" t="str">
        <f t="shared" si="1"/>
        <v>View on Google Map</v>
      </c>
    </row>
    <row r="114" spans="1:13" x14ac:dyDescent="0.2">
      <c r="A114" s="95">
        <v>401</v>
      </c>
      <c r="B114" s="95" t="s">
        <v>689</v>
      </c>
      <c r="C114" s="95" t="s">
        <v>510</v>
      </c>
      <c r="D114" s="95" t="s">
        <v>510</v>
      </c>
      <c r="E114" s="95" t="s">
        <v>510</v>
      </c>
      <c r="F114" s="95" t="s">
        <v>510</v>
      </c>
      <c r="G114" s="95" t="s">
        <v>521</v>
      </c>
      <c r="H114" s="95" t="s">
        <v>510</v>
      </c>
      <c r="I114" s="95" t="s">
        <v>510</v>
      </c>
      <c r="J114" s="95" t="s">
        <v>536</v>
      </c>
      <c r="K114" s="95" t="s">
        <v>510</v>
      </c>
      <c r="L114" s="95" t="s">
        <v>690</v>
      </c>
      <c r="M114" s="101" t="str">
        <f t="shared" si="1"/>
        <v>View on Google Map</v>
      </c>
    </row>
    <row r="115" spans="1:13" x14ac:dyDescent="0.2">
      <c r="A115" s="95">
        <v>403</v>
      </c>
      <c r="B115" s="95" t="s">
        <v>691</v>
      </c>
      <c r="C115" s="95" t="s">
        <v>510</v>
      </c>
      <c r="D115" s="95" t="s">
        <v>510</v>
      </c>
      <c r="E115" s="95" t="s">
        <v>510</v>
      </c>
      <c r="F115" s="95" t="s">
        <v>510</v>
      </c>
      <c r="G115" s="95" t="s">
        <v>521</v>
      </c>
      <c r="H115" s="95" t="s">
        <v>510</v>
      </c>
      <c r="I115" s="95" t="s">
        <v>510</v>
      </c>
      <c r="J115" s="95" t="s">
        <v>536</v>
      </c>
      <c r="K115" s="95" t="s">
        <v>510</v>
      </c>
      <c r="L115" s="95" t="s">
        <v>692</v>
      </c>
      <c r="M115" s="101" t="str">
        <f t="shared" si="1"/>
        <v>View on Google Map</v>
      </c>
    </row>
    <row r="116" spans="1:13" x14ac:dyDescent="0.2">
      <c r="A116" s="95">
        <v>403</v>
      </c>
      <c r="B116" s="95" t="s">
        <v>691</v>
      </c>
      <c r="C116" s="95" t="s">
        <v>510</v>
      </c>
      <c r="D116" s="95" t="s">
        <v>510</v>
      </c>
      <c r="E116" s="95" t="s">
        <v>510</v>
      </c>
      <c r="F116" s="95" t="s">
        <v>510</v>
      </c>
      <c r="G116" s="95" t="s">
        <v>521</v>
      </c>
      <c r="H116" s="95" t="s">
        <v>510</v>
      </c>
      <c r="I116" s="95" t="s">
        <v>510</v>
      </c>
      <c r="J116" s="95" t="s">
        <v>536</v>
      </c>
      <c r="K116" s="95" t="s">
        <v>510</v>
      </c>
      <c r="L116" s="95" t="s">
        <v>692</v>
      </c>
      <c r="M116" s="101" t="str">
        <f t="shared" si="1"/>
        <v>View on Google Map</v>
      </c>
    </row>
    <row r="117" spans="1:13" x14ac:dyDescent="0.2">
      <c r="A117" s="95">
        <v>1209</v>
      </c>
      <c r="B117" s="95" t="s">
        <v>693</v>
      </c>
      <c r="C117" s="95" t="s">
        <v>694</v>
      </c>
      <c r="D117" s="95">
        <v>68.934420000000003</v>
      </c>
      <c r="E117" s="95">
        <v>-150.21242000000001</v>
      </c>
      <c r="F117" s="95" t="s">
        <v>510</v>
      </c>
      <c r="G117" s="95" t="s">
        <v>511</v>
      </c>
      <c r="H117" s="95" t="s">
        <v>510</v>
      </c>
      <c r="I117" s="95" t="s">
        <v>510</v>
      </c>
      <c r="J117" s="95" t="s">
        <v>517</v>
      </c>
      <c r="K117" s="95" t="s">
        <v>510</v>
      </c>
      <c r="L117" s="95" t="s">
        <v>518</v>
      </c>
      <c r="M117" s="101" t="str">
        <f t="shared" si="1"/>
        <v>View on Google Map</v>
      </c>
    </row>
    <row r="118" spans="1:13" x14ac:dyDescent="0.2">
      <c r="A118" s="95">
        <v>482</v>
      </c>
      <c r="B118" s="95" t="s">
        <v>695</v>
      </c>
      <c r="C118" s="95" t="s">
        <v>510</v>
      </c>
      <c r="D118" s="95">
        <v>68.951483332999999</v>
      </c>
      <c r="E118" s="95">
        <v>-150.194333333</v>
      </c>
      <c r="F118" s="95">
        <v>399</v>
      </c>
      <c r="G118" s="95" t="s">
        <v>521</v>
      </c>
      <c r="H118" s="95" t="s">
        <v>510</v>
      </c>
      <c r="I118" s="95" t="s">
        <v>510</v>
      </c>
      <c r="J118" s="95" t="s">
        <v>571</v>
      </c>
      <c r="K118" s="95" t="s">
        <v>510</v>
      </c>
      <c r="L118" s="95" t="s">
        <v>518</v>
      </c>
      <c r="M118" s="101" t="str">
        <f t="shared" si="1"/>
        <v>View on Google Map</v>
      </c>
    </row>
    <row r="119" spans="1:13" x14ac:dyDescent="0.2">
      <c r="A119" s="95">
        <v>483</v>
      </c>
      <c r="B119" s="95" t="s">
        <v>696</v>
      </c>
      <c r="C119" s="95" t="s">
        <v>510</v>
      </c>
      <c r="D119" s="95">
        <v>68.950783333000004</v>
      </c>
      <c r="E119" s="95">
        <v>-150.19835</v>
      </c>
      <c r="F119" s="95">
        <v>399</v>
      </c>
      <c r="G119" s="95" t="s">
        <v>535</v>
      </c>
      <c r="H119" s="95" t="s">
        <v>697</v>
      </c>
      <c r="I119" s="95" t="s">
        <v>510</v>
      </c>
      <c r="J119" s="95" t="s">
        <v>571</v>
      </c>
      <c r="K119" s="95" t="s">
        <v>510</v>
      </c>
      <c r="L119" s="95" t="s">
        <v>518</v>
      </c>
      <c r="M119" s="101" t="str">
        <f t="shared" si="1"/>
        <v>View on Google Map</v>
      </c>
    </row>
    <row r="120" spans="1:13" x14ac:dyDescent="0.2">
      <c r="A120" s="95">
        <v>484</v>
      </c>
      <c r="B120" s="95" t="s">
        <v>698</v>
      </c>
      <c r="C120" s="95" t="s">
        <v>510</v>
      </c>
      <c r="D120" s="95">
        <v>68.957549999999998</v>
      </c>
      <c r="E120" s="95">
        <v>-150.200916667</v>
      </c>
      <c r="F120" s="95">
        <v>399</v>
      </c>
      <c r="G120" s="95" t="s">
        <v>521</v>
      </c>
      <c r="H120" s="95" t="s">
        <v>699</v>
      </c>
      <c r="I120" s="95" t="s">
        <v>700</v>
      </c>
      <c r="J120" s="95" t="s">
        <v>571</v>
      </c>
      <c r="K120" s="95" t="s">
        <v>510</v>
      </c>
      <c r="L120" s="95" t="s">
        <v>518</v>
      </c>
      <c r="M120" s="101" t="str">
        <f t="shared" si="1"/>
        <v>View on Google Map</v>
      </c>
    </row>
    <row r="121" spans="1:13" x14ac:dyDescent="0.2">
      <c r="A121" s="95">
        <v>485</v>
      </c>
      <c r="B121" s="95" t="s">
        <v>701</v>
      </c>
      <c r="C121" s="95" t="s">
        <v>510</v>
      </c>
      <c r="D121" s="95">
        <v>68.95675</v>
      </c>
      <c r="E121" s="95">
        <v>-150.19700833300001</v>
      </c>
      <c r="F121" s="95">
        <v>399</v>
      </c>
      <c r="G121" s="95" t="s">
        <v>521</v>
      </c>
      <c r="H121" s="95" t="s">
        <v>702</v>
      </c>
      <c r="I121" s="95" t="s">
        <v>510</v>
      </c>
      <c r="J121" s="95" t="s">
        <v>571</v>
      </c>
      <c r="K121" s="95" t="s">
        <v>510</v>
      </c>
      <c r="L121" s="95" t="s">
        <v>518</v>
      </c>
      <c r="M121" s="101" t="str">
        <f t="shared" si="1"/>
        <v>View on Google Map</v>
      </c>
    </row>
    <row r="122" spans="1:13" x14ac:dyDescent="0.2">
      <c r="A122" s="95">
        <v>514</v>
      </c>
      <c r="B122" s="95" t="s">
        <v>703</v>
      </c>
      <c r="C122" s="95" t="s">
        <v>520</v>
      </c>
      <c r="D122" s="95">
        <v>68.418130000000005</v>
      </c>
      <c r="E122" s="95">
        <v>-151.58454</v>
      </c>
      <c r="F122" s="95">
        <v>876</v>
      </c>
      <c r="G122" s="95" t="s">
        <v>521</v>
      </c>
      <c r="H122" s="95" t="s">
        <v>510</v>
      </c>
      <c r="I122" s="95" t="s">
        <v>510</v>
      </c>
      <c r="J122" s="95" t="s">
        <v>522</v>
      </c>
      <c r="K122" s="95" t="s">
        <v>510</v>
      </c>
      <c r="L122" s="95" t="s">
        <v>523</v>
      </c>
      <c r="M122" s="101" t="str">
        <f t="shared" si="1"/>
        <v>View on Google Map</v>
      </c>
    </row>
    <row r="123" spans="1:13" x14ac:dyDescent="0.2">
      <c r="A123" s="95">
        <v>400</v>
      </c>
      <c r="B123" s="95" t="s">
        <v>704</v>
      </c>
      <c r="C123" s="95" t="s">
        <v>510</v>
      </c>
      <c r="D123" s="95" t="s">
        <v>510</v>
      </c>
      <c r="E123" s="95" t="s">
        <v>510</v>
      </c>
      <c r="F123" s="95" t="s">
        <v>510</v>
      </c>
      <c r="G123" s="95" t="s">
        <v>521</v>
      </c>
      <c r="H123" s="95" t="s">
        <v>510</v>
      </c>
      <c r="I123" s="95" t="s">
        <v>510</v>
      </c>
      <c r="J123" s="95" t="s">
        <v>536</v>
      </c>
      <c r="K123" s="95" t="s">
        <v>510</v>
      </c>
      <c r="L123" s="95" t="s">
        <v>690</v>
      </c>
      <c r="M123" s="101" t="str">
        <f t="shared" si="1"/>
        <v>View on Google Map</v>
      </c>
    </row>
    <row r="124" spans="1:13" x14ac:dyDescent="0.2">
      <c r="A124" s="95">
        <v>137</v>
      </c>
      <c r="B124" s="95" t="s">
        <v>705</v>
      </c>
      <c r="C124" s="95" t="s">
        <v>510</v>
      </c>
      <c r="D124" s="95">
        <v>70.3</v>
      </c>
      <c r="E124" s="95">
        <v>-148.28333333333333</v>
      </c>
      <c r="F124" s="95">
        <v>6</v>
      </c>
      <c r="G124" s="95" t="s">
        <v>521</v>
      </c>
      <c r="H124" s="95" t="s">
        <v>706</v>
      </c>
      <c r="I124" s="95" t="s">
        <v>510</v>
      </c>
      <c r="J124" s="95" t="s">
        <v>536</v>
      </c>
      <c r="K124" s="95" t="s">
        <v>510</v>
      </c>
      <c r="L124" s="95" t="s">
        <v>537</v>
      </c>
      <c r="M124" s="101" t="str">
        <f t="shared" si="1"/>
        <v>View on Google Map</v>
      </c>
    </row>
    <row r="125" spans="1:13" x14ac:dyDescent="0.2">
      <c r="A125" s="95">
        <v>146</v>
      </c>
      <c r="B125" s="95" t="s">
        <v>707</v>
      </c>
      <c r="C125" s="95" t="s">
        <v>510</v>
      </c>
      <c r="D125" s="95">
        <v>68.626195602799996</v>
      </c>
      <c r="E125" s="95">
        <v>-149.55534770599999</v>
      </c>
      <c r="F125" s="95">
        <v>762</v>
      </c>
      <c r="G125" s="95" t="s">
        <v>521</v>
      </c>
      <c r="H125" s="95" t="s">
        <v>708</v>
      </c>
      <c r="I125" s="95" t="s">
        <v>709</v>
      </c>
      <c r="J125" s="95" t="s">
        <v>536</v>
      </c>
      <c r="K125" s="95" t="s">
        <v>510</v>
      </c>
      <c r="L125" s="95" t="s">
        <v>510</v>
      </c>
      <c r="M125" s="101" t="str">
        <f t="shared" si="1"/>
        <v>View on Google Map</v>
      </c>
    </row>
    <row r="126" spans="1:13" x14ac:dyDescent="0.2">
      <c r="A126" s="95">
        <v>18</v>
      </c>
      <c r="B126" s="95" t="s">
        <v>710</v>
      </c>
      <c r="C126" s="95" t="s">
        <v>510</v>
      </c>
      <c r="D126" s="95" t="s">
        <v>510</v>
      </c>
      <c r="E126" s="95" t="s">
        <v>510</v>
      </c>
      <c r="F126" s="95">
        <v>762</v>
      </c>
      <c r="G126" s="95" t="s">
        <v>535</v>
      </c>
      <c r="H126" s="95" t="s">
        <v>711</v>
      </c>
      <c r="I126" s="95" t="s">
        <v>712</v>
      </c>
      <c r="J126" s="95" t="s">
        <v>536</v>
      </c>
      <c r="K126" s="95" t="s">
        <v>510</v>
      </c>
      <c r="L126" s="95" t="s">
        <v>510</v>
      </c>
      <c r="M126" s="101" t="str">
        <f t="shared" si="1"/>
        <v>View on Google Map</v>
      </c>
    </row>
    <row r="127" spans="1:13" x14ac:dyDescent="0.2">
      <c r="A127" s="95">
        <v>310</v>
      </c>
      <c r="B127" s="95" t="s">
        <v>713</v>
      </c>
      <c r="C127" s="95" t="s">
        <v>510</v>
      </c>
      <c r="D127" s="95">
        <v>68.622894947099994</v>
      </c>
      <c r="E127" s="95">
        <v>-149.54328383999999</v>
      </c>
      <c r="F127" s="95" t="s">
        <v>510</v>
      </c>
      <c r="G127" s="95" t="s">
        <v>521</v>
      </c>
      <c r="H127" s="95" t="s">
        <v>714</v>
      </c>
      <c r="I127" s="95" t="s">
        <v>715</v>
      </c>
      <c r="J127" s="95" t="s">
        <v>536</v>
      </c>
      <c r="K127" s="95" t="s">
        <v>510</v>
      </c>
      <c r="L127" s="95" t="s">
        <v>510</v>
      </c>
      <c r="M127" s="101" t="str">
        <f t="shared" si="1"/>
        <v>View on Google Map</v>
      </c>
    </row>
    <row r="128" spans="1:13" x14ac:dyDescent="0.2">
      <c r="A128" s="95">
        <v>311</v>
      </c>
      <c r="B128" s="95" t="s">
        <v>716</v>
      </c>
      <c r="C128" s="95" t="s">
        <v>510</v>
      </c>
      <c r="D128" s="95">
        <v>68.623910828999996</v>
      </c>
      <c r="E128" s="95">
        <v>-149.53118563999999</v>
      </c>
      <c r="F128" s="95" t="s">
        <v>510</v>
      </c>
      <c r="G128" s="95" t="s">
        <v>521</v>
      </c>
      <c r="H128" s="95" t="s">
        <v>717</v>
      </c>
      <c r="I128" s="95" t="s">
        <v>718</v>
      </c>
      <c r="J128" s="95" t="s">
        <v>536</v>
      </c>
      <c r="K128" s="95" t="s">
        <v>510</v>
      </c>
      <c r="L128" s="95" t="s">
        <v>510</v>
      </c>
      <c r="M128" s="101" t="str">
        <f t="shared" si="1"/>
        <v>View on Google Map</v>
      </c>
    </row>
    <row r="129" spans="1:13" x14ac:dyDescent="0.2">
      <c r="A129" s="95">
        <v>312</v>
      </c>
      <c r="B129" s="95" t="s">
        <v>719</v>
      </c>
      <c r="C129" s="95" t="s">
        <v>510</v>
      </c>
      <c r="D129" s="95">
        <v>68.6277698106</v>
      </c>
      <c r="E129" s="95">
        <v>-149.497737003</v>
      </c>
      <c r="F129" s="95" t="s">
        <v>510</v>
      </c>
      <c r="G129" s="95" t="s">
        <v>521</v>
      </c>
      <c r="H129" s="95" t="s">
        <v>720</v>
      </c>
      <c r="I129" s="95" t="s">
        <v>721</v>
      </c>
      <c r="J129" s="95" t="s">
        <v>536</v>
      </c>
      <c r="K129" s="95" t="s">
        <v>510</v>
      </c>
      <c r="L129" s="95" t="s">
        <v>510</v>
      </c>
      <c r="M129" s="101" t="str">
        <f t="shared" si="1"/>
        <v>View on Google Map</v>
      </c>
    </row>
    <row r="130" spans="1:13" x14ac:dyDescent="0.2">
      <c r="A130" s="95">
        <v>145</v>
      </c>
      <c r="B130" s="95" t="s">
        <v>722</v>
      </c>
      <c r="C130" s="95" t="s">
        <v>510</v>
      </c>
      <c r="D130" s="95">
        <v>68.642611000000002</v>
      </c>
      <c r="E130" s="95">
        <v>-149.458079</v>
      </c>
      <c r="F130" s="95">
        <v>800</v>
      </c>
      <c r="G130" s="95" t="s">
        <v>521</v>
      </c>
      <c r="H130" s="95" t="s">
        <v>723</v>
      </c>
      <c r="I130" s="95" t="s">
        <v>724</v>
      </c>
      <c r="J130" s="95" t="s">
        <v>536</v>
      </c>
      <c r="K130" s="95" t="s">
        <v>510</v>
      </c>
      <c r="L130" s="95" t="s">
        <v>510</v>
      </c>
      <c r="M130" s="101" t="str">
        <f t="shared" si="1"/>
        <v>View on Google Map</v>
      </c>
    </row>
    <row r="131" spans="1:13" x14ac:dyDescent="0.2">
      <c r="A131" s="95">
        <v>399</v>
      </c>
      <c r="B131" s="95" t="s">
        <v>725</v>
      </c>
      <c r="C131" s="95" t="s">
        <v>510</v>
      </c>
      <c r="D131" s="95">
        <v>68.643427058300006</v>
      </c>
      <c r="E131" s="95">
        <v>-149.44056459199999</v>
      </c>
      <c r="F131" s="95">
        <v>792</v>
      </c>
      <c r="G131" s="95" t="s">
        <v>521</v>
      </c>
      <c r="H131" s="95" t="s">
        <v>726</v>
      </c>
      <c r="I131" s="95" t="s">
        <v>727</v>
      </c>
      <c r="J131" s="95" t="s">
        <v>536</v>
      </c>
      <c r="K131" s="95" t="s">
        <v>510</v>
      </c>
      <c r="L131" s="95" t="s">
        <v>510</v>
      </c>
      <c r="M131" s="101" t="str">
        <f t="shared" ref="M131:M194" si="2">HYPERLINK("http://maps.google.com/maps?q="&amp;D131&amp;","&amp;E131,"View on Google Map")</f>
        <v>View on Google Map</v>
      </c>
    </row>
    <row r="132" spans="1:13" x14ac:dyDescent="0.2">
      <c r="A132" s="95">
        <v>1605</v>
      </c>
      <c r="B132" s="95" t="s">
        <v>728</v>
      </c>
      <c r="C132" s="95" t="s">
        <v>510</v>
      </c>
      <c r="D132" s="95" t="s">
        <v>510</v>
      </c>
      <c r="E132" s="95" t="s">
        <v>510</v>
      </c>
      <c r="F132" s="95" t="s">
        <v>510</v>
      </c>
      <c r="G132" s="95" t="s">
        <v>535</v>
      </c>
      <c r="H132" s="95" t="s">
        <v>729</v>
      </c>
      <c r="I132" s="95" t="s">
        <v>730</v>
      </c>
      <c r="J132" s="95" t="s">
        <v>536</v>
      </c>
      <c r="K132" s="95" t="s">
        <v>510</v>
      </c>
      <c r="L132" s="95" t="s">
        <v>510</v>
      </c>
      <c r="M132" s="101" t="str">
        <f t="shared" si="2"/>
        <v>View on Google Map</v>
      </c>
    </row>
    <row r="133" spans="1:13" x14ac:dyDescent="0.2">
      <c r="A133" s="95">
        <v>1606</v>
      </c>
      <c r="B133" s="95" t="s">
        <v>731</v>
      </c>
      <c r="C133" s="95" t="s">
        <v>510</v>
      </c>
      <c r="D133" s="95" t="s">
        <v>510</v>
      </c>
      <c r="E133" s="95" t="s">
        <v>510</v>
      </c>
      <c r="F133" s="95" t="s">
        <v>510</v>
      </c>
      <c r="G133" s="95" t="s">
        <v>535</v>
      </c>
      <c r="H133" s="95" t="s">
        <v>732</v>
      </c>
      <c r="I133" s="95" t="s">
        <v>733</v>
      </c>
      <c r="J133" s="95" t="s">
        <v>536</v>
      </c>
      <c r="K133" s="95" t="s">
        <v>510</v>
      </c>
      <c r="L133" s="95" t="s">
        <v>510</v>
      </c>
      <c r="M133" s="101" t="str">
        <f t="shared" si="2"/>
        <v>View on Google Map</v>
      </c>
    </row>
    <row r="134" spans="1:13" x14ac:dyDescent="0.2">
      <c r="A134" s="95">
        <v>1604</v>
      </c>
      <c r="B134" s="95" t="s">
        <v>734</v>
      </c>
      <c r="C134" s="95" t="s">
        <v>510</v>
      </c>
      <c r="D134" s="95" t="s">
        <v>510</v>
      </c>
      <c r="E134" s="95" t="s">
        <v>510</v>
      </c>
      <c r="F134" s="95" t="s">
        <v>510</v>
      </c>
      <c r="G134" s="95" t="s">
        <v>535</v>
      </c>
      <c r="H134" s="95" t="s">
        <v>735</v>
      </c>
      <c r="I134" s="95" t="s">
        <v>736</v>
      </c>
      <c r="J134" s="95" t="s">
        <v>536</v>
      </c>
      <c r="K134" s="95" t="s">
        <v>510</v>
      </c>
      <c r="L134" s="95" t="s">
        <v>510</v>
      </c>
      <c r="M134" s="101" t="str">
        <f t="shared" si="2"/>
        <v>View on Google Map</v>
      </c>
    </row>
    <row r="135" spans="1:13" x14ac:dyDescent="0.2">
      <c r="A135" s="95">
        <v>24</v>
      </c>
      <c r="B135" s="95" t="s">
        <v>737</v>
      </c>
      <c r="C135" s="95" t="s">
        <v>510</v>
      </c>
      <c r="D135" s="95" t="s">
        <v>510</v>
      </c>
      <c r="E135" s="95" t="s">
        <v>510</v>
      </c>
      <c r="F135" s="95" t="s">
        <v>510</v>
      </c>
      <c r="G135" s="95" t="s">
        <v>535</v>
      </c>
      <c r="H135" s="95" t="s">
        <v>510</v>
      </c>
      <c r="I135" s="95" t="s">
        <v>510</v>
      </c>
      <c r="J135" s="95" t="s">
        <v>536</v>
      </c>
      <c r="K135" s="95" t="s">
        <v>510</v>
      </c>
      <c r="L135" s="95" t="s">
        <v>510</v>
      </c>
      <c r="M135" s="101" t="str">
        <f t="shared" si="2"/>
        <v>View on Google Map</v>
      </c>
    </row>
    <row r="136" spans="1:13" x14ac:dyDescent="0.2">
      <c r="A136" s="95">
        <v>143</v>
      </c>
      <c r="B136" s="95" t="s">
        <v>738</v>
      </c>
      <c r="C136" s="95" t="s">
        <v>739</v>
      </c>
      <c r="D136" s="95">
        <v>68.650000000000006</v>
      </c>
      <c r="E136" s="95">
        <v>-148.5</v>
      </c>
      <c r="F136" s="95">
        <v>525</v>
      </c>
      <c r="G136" s="95" t="s">
        <v>521</v>
      </c>
      <c r="H136" s="95" t="s">
        <v>510</v>
      </c>
      <c r="I136" s="95" t="s">
        <v>510</v>
      </c>
      <c r="J136" s="95" t="s">
        <v>536</v>
      </c>
      <c r="K136" s="95" t="s">
        <v>510</v>
      </c>
      <c r="L136" s="95" t="s">
        <v>537</v>
      </c>
      <c r="M136" s="101" t="str">
        <f t="shared" si="2"/>
        <v>View on Google Map</v>
      </c>
    </row>
    <row r="137" spans="1:13" x14ac:dyDescent="0.2">
      <c r="A137" s="95">
        <v>464</v>
      </c>
      <c r="B137" s="95" t="s">
        <v>740</v>
      </c>
      <c r="C137" s="95" t="s">
        <v>510</v>
      </c>
      <c r="D137" s="95">
        <v>68.793719999999993</v>
      </c>
      <c r="E137" s="95">
        <v>-149.47560999999999</v>
      </c>
      <c r="F137" s="95">
        <v>702</v>
      </c>
      <c r="G137" s="95" t="s">
        <v>521</v>
      </c>
      <c r="H137" s="95" t="s">
        <v>510</v>
      </c>
      <c r="I137" s="95" t="s">
        <v>510</v>
      </c>
      <c r="J137" s="95" t="s">
        <v>522</v>
      </c>
      <c r="K137" s="95" t="s">
        <v>510</v>
      </c>
      <c r="L137" s="95" t="s">
        <v>510</v>
      </c>
      <c r="M137" s="101" t="str">
        <f t="shared" si="2"/>
        <v>View on Google Map</v>
      </c>
    </row>
    <row r="138" spans="1:13" x14ac:dyDescent="0.2">
      <c r="A138" s="95">
        <v>465</v>
      </c>
      <c r="B138" s="95" t="s">
        <v>741</v>
      </c>
      <c r="C138" s="95" t="s">
        <v>510</v>
      </c>
      <c r="D138" s="95">
        <v>68.796220000000005</v>
      </c>
      <c r="E138" s="95">
        <v>-149.48222000000001</v>
      </c>
      <c r="F138" s="95">
        <v>698</v>
      </c>
      <c r="G138" s="95" t="s">
        <v>521</v>
      </c>
      <c r="H138" s="95" t="s">
        <v>510</v>
      </c>
      <c r="I138" s="95" t="s">
        <v>510</v>
      </c>
      <c r="J138" s="95" t="s">
        <v>522</v>
      </c>
      <c r="K138" s="95" t="s">
        <v>510</v>
      </c>
      <c r="L138" s="95" t="s">
        <v>510</v>
      </c>
      <c r="M138" s="101" t="str">
        <f t="shared" si="2"/>
        <v>View on Google Map</v>
      </c>
    </row>
    <row r="139" spans="1:13" x14ac:dyDescent="0.2">
      <c r="A139" s="95">
        <v>466</v>
      </c>
      <c r="B139" s="95" t="s">
        <v>742</v>
      </c>
      <c r="C139" s="95" t="s">
        <v>510</v>
      </c>
      <c r="D139" s="95">
        <v>68.798249999999996</v>
      </c>
      <c r="E139" s="95">
        <v>-149.47832</v>
      </c>
      <c r="F139" s="95">
        <v>697</v>
      </c>
      <c r="G139" s="95" t="s">
        <v>521</v>
      </c>
      <c r="H139" s="95" t="s">
        <v>510</v>
      </c>
      <c r="I139" s="95" t="s">
        <v>510</v>
      </c>
      <c r="J139" s="95" t="s">
        <v>522</v>
      </c>
      <c r="K139" s="95" t="s">
        <v>510</v>
      </c>
      <c r="L139" s="95" t="s">
        <v>510</v>
      </c>
      <c r="M139" s="101" t="str">
        <f t="shared" si="2"/>
        <v>View on Google Map</v>
      </c>
    </row>
    <row r="140" spans="1:13" x14ac:dyDescent="0.2">
      <c r="A140" s="95">
        <v>467</v>
      </c>
      <c r="B140" s="95" t="s">
        <v>743</v>
      </c>
      <c r="C140" s="95" t="s">
        <v>510</v>
      </c>
      <c r="D140" s="95">
        <v>68.794659999999993</v>
      </c>
      <c r="E140" s="95">
        <v>-149.46985000000001</v>
      </c>
      <c r="F140" s="95">
        <v>702</v>
      </c>
      <c r="G140" s="95" t="s">
        <v>521</v>
      </c>
      <c r="H140" s="95" t="s">
        <v>510</v>
      </c>
      <c r="I140" s="95" t="s">
        <v>510</v>
      </c>
      <c r="J140" s="95" t="s">
        <v>522</v>
      </c>
      <c r="K140" s="95" t="s">
        <v>510</v>
      </c>
      <c r="L140" s="95" t="s">
        <v>510</v>
      </c>
      <c r="M140" s="101" t="str">
        <f t="shared" si="2"/>
        <v>View on Google Map</v>
      </c>
    </row>
    <row r="141" spans="1:13" x14ac:dyDescent="0.2">
      <c r="A141" s="95">
        <v>468</v>
      </c>
      <c r="B141" s="95" t="s">
        <v>744</v>
      </c>
      <c r="C141" s="95" t="s">
        <v>510</v>
      </c>
      <c r="D141" s="95">
        <v>68.797669999999997</v>
      </c>
      <c r="E141" s="95">
        <v>-149.46574000000001</v>
      </c>
      <c r="F141" s="95">
        <v>692</v>
      </c>
      <c r="G141" s="95" t="s">
        <v>521</v>
      </c>
      <c r="H141" s="95" t="s">
        <v>510</v>
      </c>
      <c r="I141" s="95" t="s">
        <v>510</v>
      </c>
      <c r="J141" s="95" t="s">
        <v>522</v>
      </c>
      <c r="K141" s="95" t="s">
        <v>510</v>
      </c>
      <c r="L141" s="95" t="s">
        <v>510</v>
      </c>
      <c r="M141" s="101" t="str">
        <f t="shared" si="2"/>
        <v>View on Google Map</v>
      </c>
    </row>
    <row r="142" spans="1:13" x14ac:dyDescent="0.2">
      <c r="A142" s="95">
        <v>469</v>
      </c>
      <c r="B142" s="95" t="s">
        <v>745</v>
      </c>
      <c r="C142" s="95" t="s">
        <v>510</v>
      </c>
      <c r="D142" s="95">
        <v>68.802390000000003</v>
      </c>
      <c r="E142" s="95">
        <v>-149.46473</v>
      </c>
      <c r="F142" s="95">
        <v>683</v>
      </c>
      <c r="G142" s="95" t="s">
        <v>521</v>
      </c>
      <c r="H142" s="95" t="s">
        <v>510</v>
      </c>
      <c r="I142" s="95" t="s">
        <v>510</v>
      </c>
      <c r="J142" s="95" t="s">
        <v>522</v>
      </c>
      <c r="K142" s="95" t="s">
        <v>510</v>
      </c>
      <c r="L142" s="95" t="s">
        <v>510</v>
      </c>
      <c r="M142" s="101" t="str">
        <f t="shared" si="2"/>
        <v>View on Google Map</v>
      </c>
    </row>
    <row r="143" spans="1:13" x14ac:dyDescent="0.2">
      <c r="A143" s="95">
        <v>406</v>
      </c>
      <c r="B143" s="95" t="s">
        <v>746</v>
      </c>
      <c r="C143" s="95" t="s">
        <v>510</v>
      </c>
      <c r="D143" s="95" t="s">
        <v>510</v>
      </c>
      <c r="E143" s="95" t="s">
        <v>510</v>
      </c>
      <c r="F143" s="95" t="s">
        <v>510</v>
      </c>
      <c r="G143" s="95" t="s">
        <v>521</v>
      </c>
      <c r="H143" s="95" t="s">
        <v>510</v>
      </c>
      <c r="I143" s="95" t="s">
        <v>510</v>
      </c>
      <c r="J143" s="95" t="s">
        <v>536</v>
      </c>
      <c r="K143" s="95" t="s">
        <v>510</v>
      </c>
      <c r="L143" s="95" t="s">
        <v>692</v>
      </c>
      <c r="M143" s="101" t="str">
        <f t="shared" si="2"/>
        <v>View on Google Map</v>
      </c>
    </row>
    <row r="144" spans="1:13" x14ac:dyDescent="0.2">
      <c r="A144" s="95">
        <v>407</v>
      </c>
      <c r="B144" s="95" t="s">
        <v>747</v>
      </c>
      <c r="C144" s="95" t="s">
        <v>510</v>
      </c>
      <c r="D144" s="95" t="s">
        <v>510</v>
      </c>
      <c r="E144" s="95" t="s">
        <v>510</v>
      </c>
      <c r="F144" s="95" t="s">
        <v>510</v>
      </c>
      <c r="G144" s="95" t="s">
        <v>521</v>
      </c>
      <c r="H144" s="95" t="s">
        <v>510</v>
      </c>
      <c r="I144" s="95" t="s">
        <v>510</v>
      </c>
      <c r="J144" s="95" t="s">
        <v>536</v>
      </c>
      <c r="K144" s="95" t="s">
        <v>510</v>
      </c>
      <c r="L144" s="95" t="s">
        <v>692</v>
      </c>
      <c r="M144" s="101" t="str">
        <f t="shared" si="2"/>
        <v>View on Google Map</v>
      </c>
    </row>
    <row r="145" spans="1:13" x14ac:dyDescent="0.2">
      <c r="A145" s="95">
        <v>164</v>
      </c>
      <c r="B145" s="95" t="s">
        <v>748</v>
      </c>
      <c r="C145" s="95" t="s">
        <v>510</v>
      </c>
      <c r="D145" s="95">
        <v>68.683333333333337</v>
      </c>
      <c r="E145" s="95">
        <v>-149.07666666666699</v>
      </c>
      <c r="F145" s="95">
        <v>770</v>
      </c>
      <c r="G145" s="95" t="s">
        <v>521</v>
      </c>
      <c r="H145" s="95" t="s">
        <v>749</v>
      </c>
      <c r="I145" s="95" t="s">
        <v>750</v>
      </c>
      <c r="J145" s="95" t="s">
        <v>536</v>
      </c>
      <c r="K145" s="95">
        <v>274</v>
      </c>
      <c r="L145" s="95" t="s">
        <v>510</v>
      </c>
      <c r="M145" s="101" t="str">
        <f t="shared" si="2"/>
        <v>View on Google Map</v>
      </c>
    </row>
    <row r="146" spans="1:13" x14ac:dyDescent="0.2">
      <c r="A146" s="95">
        <v>165</v>
      </c>
      <c r="B146" s="95" t="s">
        <v>751</v>
      </c>
      <c r="C146" s="95" t="s">
        <v>510</v>
      </c>
      <c r="D146" s="95">
        <v>68.683333333333337</v>
      </c>
      <c r="E146" s="95">
        <v>-149.1</v>
      </c>
      <c r="F146" s="95">
        <v>785</v>
      </c>
      <c r="G146" s="95" t="s">
        <v>521</v>
      </c>
      <c r="H146" s="95" t="s">
        <v>752</v>
      </c>
      <c r="I146" s="95" t="s">
        <v>753</v>
      </c>
      <c r="J146" s="95" t="s">
        <v>536</v>
      </c>
      <c r="K146" s="95">
        <v>275</v>
      </c>
      <c r="L146" s="95" t="s">
        <v>510</v>
      </c>
      <c r="M146" s="101" t="str">
        <f t="shared" si="2"/>
        <v>View on Google Map</v>
      </c>
    </row>
    <row r="147" spans="1:13" x14ac:dyDescent="0.2">
      <c r="A147" s="95">
        <v>166</v>
      </c>
      <c r="B147" s="95" t="s">
        <v>754</v>
      </c>
      <c r="C147" s="95" t="s">
        <v>510</v>
      </c>
      <c r="D147" s="95">
        <v>68.666666666666671</v>
      </c>
      <c r="E147" s="95">
        <v>-149.1</v>
      </c>
      <c r="F147" s="95">
        <v>792</v>
      </c>
      <c r="G147" s="95" t="s">
        <v>521</v>
      </c>
      <c r="H147" s="95" t="s">
        <v>755</v>
      </c>
      <c r="I147" s="95" t="s">
        <v>756</v>
      </c>
      <c r="J147" s="95" t="s">
        <v>536</v>
      </c>
      <c r="K147" s="95">
        <v>276</v>
      </c>
      <c r="L147" s="95" t="s">
        <v>510</v>
      </c>
      <c r="M147" s="101" t="str">
        <f t="shared" si="2"/>
        <v>View on Google Map</v>
      </c>
    </row>
    <row r="148" spans="1:13" x14ac:dyDescent="0.2">
      <c r="A148" s="95">
        <v>167</v>
      </c>
      <c r="B148" s="95" t="s">
        <v>757</v>
      </c>
      <c r="C148" s="95" t="s">
        <v>510</v>
      </c>
      <c r="D148" s="95">
        <v>68.680000000000007</v>
      </c>
      <c r="E148" s="95">
        <v>-149.071666666667</v>
      </c>
      <c r="F148" s="95">
        <v>754</v>
      </c>
      <c r="G148" s="95" t="s">
        <v>521</v>
      </c>
      <c r="H148" s="95" t="s">
        <v>758</v>
      </c>
      <c r="I148" s="95" t="s">
        <v>759</v>
      </c>
      <c r="J148" s="95" t="s">
        <v>536</v>
      </c>
      <c r="K148" s="95" t="s">
        <v>510</v>
      </c>
      <c r="L148" s="95" t="s">
        <v>510</v>
      </c>
      <c r="M148" s="101" t="str">
        <f t="shared" si="2"/>
        <v>View on Google Map</v>
      </c>
    </row>
    <row r="149" spans="1:13" x14ac:dyDescent="0.2">
      <c r="A149" s="95">
        <v>168</v>
      </c>
      <c r="B149" s="95" t="s">
        <v>760</v>
      </c>
      <c r="C149" s="95" t="s">
        <v>510</v>
      </c>
      <c r="D149" s="95">
        <v>68.674999999999997</v>
      </c>
      <c r="E149" s="95">
        <v>-149.06</v>
      </c>
      <c r="F149" s="95" t="s">
        <v>510</v>
      </c>
      <c r="G149" s="95" t="s">
        <v>521</v>
      </c>
      <c r="H149" s="95" t="s">
        <v>761</v>
      </c>
      <c r="I149" s="95" t="s">
        <v>762</v>
      </c>
      <c r="J149" s="95" t="s">
        <v>536</v>
      </c>
      <c r="K149" s="95" t="s">
        <v>510</v>
      </c>
      <c r="L149" s="95" t="s">
        <v>510</v>
      </c>
      <c r="M149" s="101" t="str">
        <f t="shared" si="2"/>
        <v>View on Google Map</v>
      </c>
    </row>
    <row r="150" spans="1:13" x14ac:dyDescent="0.2">
      <c r="A150" s="95">
        <v>124</v>
      </c>
      <c r="B150" s="95" t="s">
        <v>763</v>
      </c>
      <c r="C150" s="95" t="s">
        <v>510</v>
      </c>
      <c r="D150" s="95">
        <v>68.466666666666669</v>
      </c>
      <c r="E150" s="95">
        <v>-149.5</v>
      </c>
      <c r="F150" s="95">
        <v>802</v>
      </c>
      <c r="G150" s="95" t="s">
        <v>521</v>
      </c>
      <c r="H150" s="95" t="s">
        <v>764</v>
      </c>
      <c r="I150" s="95" t="s">
        <v>510</v>
      </c>
      <c r="J150" s="95" t="s">
        <v>536</v>
      </c>
      <c r="K150" s="95" t="s">
        <v>510</v>
      </c>
      <c r="L150" s="95" t="s">
        <v>537</v>
      </c>
      <c r="M150" s="101" t="str">
        <f t="shared" si="2"/>
        <v>View on Google Map</v>
      </c>
    </row>
    <row r="151" spans="1:13" x14ac:dyDescent="0.2">
      <c r="A151" s="95">
        <v>432</v>
      </c>
      <c r="B151" s="95" t="s">
        <v>765</v>
      </c>
      <c r="C151" s="95" t="s">
        <v>510</v>
      </c>
      <c r="D151" s="95" t="s">
        <v>510</v>
      </c>
      <c r="E151" s="95" t="s">
        <v>510</v>
      </c>
      <c r="F151" s="95">
        <v>800</v>
      </c>
      <c r="G151" s="95" t="s">
        <v>521</v>
      </c>
      <c r="H151" s="95" t="s">
        <v>766</v>
      </c>
      <c r="I151" s="95" t="s">
        <v>510</v>
      </c>
      <c r="J151" s="95" t="s">
        <v>536</v>
      </c>
      <c r="K151" s="95" t="s">
        <v>510</v>
      </c>
      <c r="L151" s="95" t="s">
        <v>767</v>
      </c>
      <c r="M151" s="101" t="str">
        <f t="shared" si="2"/>
        <v>View on Google Map</v>
      </c>
    </row>
    <row r="152" spans="1:13" x14ac:dyDescent="0.2">
      <c r="A152" s="95">
        <v>433</v>
      </c>
      <c r="B152" s="95" t="s">
        <v>768</v>
      </c>
      <c r="C152" s="95" t="s">
        <v>510</v>
      </c>
      <c r="D152" s="95" t="s">
        <v>510</v>
      </c>
      <c r="E152" s="95" t="s">
        <v>510</v>
      </c>
      <c r="F152" s="95">
        <v>800</v>
      </c>
      <c r="G152" s="95" t="s">
        <v>521</v>
      </c>
      <c r="H152" s="95" t="s">
        <v>769</v>
      </c>
      <c r="I152" s="95" t="s">
        <v>510</v>
      </c>
      <c r="J152" s="95" t="s">
        <v>536</v>
      </c>
      <c r="K152" s="95" t="s">
        <v>510</v>
      </c>
      <c r="L152" s="95" t="s">
        <v>767</v>
      </c>
      <c r="M152" s="101" t="str">
        <f t="shared" si="2"/>
        <v>View on Google Map</v>
      </c>
    </row>
    <row r="153" spans="1:13" x14ac:dyDescent="0.2">
      <c r="A153" s="95">
        <v>434</v>
      </c>
      <c r="B153" s="95" t="s">
        <v>770</v>
      </c>
      <c r="C153" s="95" t="s">
        <v>510</v>
      </c>
      <c r="D153" s="95" t="s">
        <v>510</v>
      </c>
      <c r="E153" s="95" t="s">
        <v>510</v>
      </c>
      <c r="F153" s="95">
        <v>801</v>
      </c>
      <c r="G153" s="95" t="s">
        <v>521</v>
      </c>
      <c r="H153" s="95" t="s">
        <v>771</v>
      </c>
      <c r="I153" s="95" t="s">
        <v>510</v>
      </c>
      <c r="J153" s="95" t="s">
        <v>536</v>
      </c>
      <c r="K153" s="95" t="s">
        <v>510</v>
      </c>
      <c r="L153" s="95" t="s">
        <v>767</v>
      </c>
      <c r="M153" s="101" t="str">
        <f t="shared" si="2"/>
        <v>View on Google Map</v>
      </c>
    </row>
    <row r="154" spans="1:13" x14ac:dyDescent="0.2">
      <c r="A154" s="95">
        <v>435</v>
      </c>
      <c r="B154" s="95" t="s">
        <v>772</v>
      </c>
      <c r="C154" s="95" t="s">
        <v>510</v>
      </c>
      <c r="D154" s="95" t="s">
        <v>510</v>
      </c>
      <c r="E154" s="95" t="s">
        <v>510</v>
      </c>
      <c r="F154" s="95">
        <v>802</v>
      </c>
      <c r="G154" s="95" t="s">
        <v>521</v>
      </c>
      <c r="H154" s="95" t="s">
        <v>773</v>
      </c>
      <c r="I154" s="95" t="s">
        <v>510</v>
      </c>
      <c r="J154" s="95" t="s">
        <v>536</v>
      </c>
      <c r="K154" s="95" t="s">
        <v>510</v>
      </c>
      <c r="L154" s="95" t="s">
        <v>767</v>
      </c>
      <c r="M154" s="101" t="str">
        <f t="shared" si="2"/>
        <v>View on Google Map</v>
      </c>
    </row>
    <row r="155" spans="1:13" x14ac:dyDescent="0.2">
      <c r="A155" s="95">
        <v>436</v>
      </c>
      <c r="B155" s="95" t="s">
        <v>774</v>
      </c>
      <c r="C155" s="95" t="s">
        <v>510</v>
      </c>
      <c r="D155" s="95" t="s">
        <v>510</v>
      </c>
      <c r="E155" s="95" t="s">
        <v>510</v>
      </c>
      <c r="F155" s="95">
        <v>803</v>
      </c>
      <c r="G155" s="95" t="s">
        <v>521</v>
      </c>
      <c r="H155" s="95" t="s">
        <v>775</v>
      </c>
      <c r="I155" s="95" t="s">
        <v>510</v>
      </c>
      <c r="J155" s="95" t="s">
        <v>536</v>
      </c>
      <c r="K155" s="95" t="s">
        <v>510</v>
      </c>
      <c r="L155" s="95" t="s">
        <v>767</v>
      </c>
      <c r="M155" s="101" t="str">
        <f t="shared" si="2"/>
        <v>View on Google Map</v>
      </c>
    </row>
    <row r="156" spans="1:13" x14ac:dyDescent="0.2">
      <c r="A156" s="95">
        <v>437</v>
      </c>
      <c r="B156" s="95" t="s">
        <v>776</v>
      </c>
      <c r="C156" s="95" t="s">
        <v>510</v>
      </c>
      <c r="D156" s="95" t="s">
        <v>510</v>
      </c>
      <c r="E156" s="95" t="s">
        <v>510</v>
      </c>
      <c r="F156" s="95">
        <v>804</v>
      </c>
      <c r="G156" s="95" t="s">
        <v>521</v>
      </c>
      <c r="H156" s="95" t="s">
        <v>777</v>
      </c>
      <c r="I156" s="95" t="s">
        <v>510</v>
      </c>
      <c r="J156" s="95" t="s">
        <v>536</v>
      </c>
      <c r="K156" s="95" t="s">
        <v>510</v>
      </c>
      <c r="L156" s="95" t="s">
        <v>767</v>
      </c>
      <c r="M156" s="101" t="str">
        <f t="shared" si="2"/>
        <v>View on Google Map</v>
      </c>
    </row>
    <row r="157" spans="1:13" x14ac:dyDescent="0.2">
      <c r="A157" s="95">
        <v>438</v>
      </c>
      <c r="B157" s="95" t="s">
        <v>778</v>
      </c>
      <c r="C157" s="95" t="s">
        <v>510</v>
      </c>
      <c r="D157" s="95" t="s">
        <v>510</v>
      </c>
      <c r="E157" s="95" t="s">
        <v>510</v>
      </c>
      <c r="F157" s="95">
        <v>805</v>
      </c>
      <c r="G157" s="95" t="s">
        <v>521</v>
      </c>
      <c r="H157" s="95" t="s">
        <v>779</v>
      </c>
      <c r="I157" s="95" t="s">
        <v>510</v>
      </c>
      <c r="J157" s="95" t="s">
        <v>536</v>
      </c>
      <c r="K157" s="95" t="s">
        <v>510</v>
      </c>
      <c r="L157" s="95" t="s">
        <v>767</v>
      </c>
      <c r="M157" s="101" t="str">
        <f t="shared" si="2"/>
        <v>View on Google Map</v>
      </c>
    </row>
    <row r="158" spans="1:13" x14ac:dyDescent="0.2">
      <c r="A158" s="95">
        <v>439</v>
      </c>
      <c r="B158" s="95" t="s">
        <v>780</v>
      </c>
      <c r="C158" s="95" t="s">
        <v>510</v>
      </c>
      <c r="D158" s="95" t="s">
        <v>510</v>
      </c>
      <c r="E158" s="95" t="s">
        <v>510</v>
      </c>
      <c r="F158" s="95">
        <v>807</v>
      </c>
      <c r="G158" s="95" t="s">
        <v>521</v>
      </c>
      <c r="H158" s="95" t="s">
        <v>781</v>
      </c>
      <c r="I158" s="95" t="s">
        <v>510</v>
      </c>
      <c r="J158" s="95" t="s">
        <v>536</v>
      </c>
      <c r="K158" s="95" t="s">
        <v>510</v>
      </c>
      <c r="L158" s="95" t="s">
        <v>767</v>
      </c>
      <c r="M158" s="101" t="str">
        <f t="shared" si="2"/>
        <v>View on Google Map</v>
      </c>
    </row>
    <row r="159" spans="1:13" x14ac:dyDescent="0.2">
      <c r="A159" s="95">
        <v>440</v>
      </c>
      <c r="B159" s="95" t="s">
        <v>782</v>
      </c>
      <c r="C159" s="95" t="s">
        <v>510</v>
      </c>
      <c r="D159" s="95" t="s">
        <v>510</v>
      </c>
      <c r="E159" s="95" t="s">
        <v>510</v>
      </c>
      <c r="F159" s="95">
        <v>805</v>
      </c>
      <c r="G159" s="95" t="s">
        <v>521</v>
      </c>
      <c r="H159" s="95" t="s">
        <v>783</v>
      </c>
      <c r="I159" s="95" t="s">
        <v>510</v>
      </c>
      <c r="J159" s="95" t="s">
        <v>536</v>
      </c>
      <c r="K159" s="95" t="s">
        <v>510</v>
      </c>
      <c r="L159" s="95" t="s">
        <v>767</v>
      </c>
      <c r="M159" s="101" t="str">
        <f t="shared" si="2"/>
        <v>View on Google Map</v>
      </c>
    </row>
    <row r="160" spans="1:13" x14ac:dyDescent="0.2">
      <c r="A160" s="95">
        <v>441</v>
      </c>
      <c r="B160" s="95" t="s">
        <v>784</v>
      </c>
      <c r="C160" s="95" t="s">
        <v>510</v>
      </c>
      <c r="D160" s="95" t="s">
        <v>510</v>
      </c>
      <c r="E160" s="95" t="s">
        <v>510</v>
      </c>
      <c r="F160" s="95">
        <v>805</v>
      </c>
      <c r="G160" s="95" t="s">
        <v>521</v>
      </c>
      <c r="H160" s="95" t="s">
        <v>785</v>
      </c>
      <c r="I160" s="95" t="s">
        <v>510</v>
      </c>
      <c r="J160" s="95" t="s">
        <v>536</v>
      </c>
      <c r="K160" s="95" t="s">
        <v>510</v>
      </c>
      <c r="L160" s="95" t="s">
        <v>767</v>
      </c>
      <c r="M160" s="101" t="str">
        <f t="shared" si="2"/>
        <v>View on Google Map</v>
      </c>
    </row>
    <row r="161" spans="1:14" x14ac:dyDescent="0.2">
      <c r="A161" s="95">
        <v>442</v>
      </c>
      <c r="B161" s="95" t="s">
        <v>786</v>
      </c>
      <c r="C161" s="95" t="s">
        <v>510</v>
      </c>
      <c r="D161" s="95" t="s">
        <v>510</v>
      </c>
      <c r="E161" s="95" t="s">
        <v>510</v>
      </c>
      <c r="F161" s="95">
        <v>805</v>
      </c>
      <c r="G161" s="95" t="s">
        <v>521</v>
      </c>
      <c r="H161" s="95" t="s">
        <v>787</v>
      </c>
      <c r="I161" s="95" t="s">
        <v>510</v>
      </c>
      <c r="J161" s="95" t="s">
        <v>536</v>
      </c>
      <c r="K161" s="95" t="s">
        <v>510</v>
      </c>
      <c r="L161" s="95" t="s">
        <v>767</v>
      </c>
      <c r="M161" s="101" t="str">
        <f t="shared" si="2"/>
        <v>View on Google Map</v>
      </c>
    </row>
    <row r="162" spans="1:14" x14ac:dyDescent="0.2">
      <c r="A162" s="95">
        <v>443</v>
      </c>
      <c r="B162" s="95" t="s">
        <v>788</v>
      </c>
      <c r="C162" s="95" t="s">
        <v>510</v>
      </c>
      <c r="D162" s="95" t="s">
        <v>510</v>
      </c>
      <c r="E162" s="95" t="s">
        <v>510</v>
      </c>
      <c r="F162" s="95">
        <v>812</v>
      </c>
      <c r="G162" s="95" t="s">
        <v>521</v>
      </c>
      <c r="H162" s="95" t="s">
        <v>789</v>
      </c>
      <c r="I162" s="95" t="s">
        <v>510</v>
      </c>
      <c r="J162" s="95" t="s">
        <v>536</v>
      </c>
      <c r="K162" s="95" t="s">
        <v>510</v>
      </c>
      <c r="L162" s="95" t="s">
        <v>767</v>
      </c>
      <c r="M162" s="101" t="str">
        <f t="shared" si="2"/>
        <v>View on Google Map</v>
      </c>
    </row>
    <row r="163" spans="1:14" x14ac:dyDescent="0.2">
      <c r="A163" s="95">
        <v>28</v>
      </c>
      <c r="B163" s="95" t="s">
        <v>790</v>
      </c>
      <c r="C163" s="95" t="s">
        <v>510</v>
      </c>
      <c r="D163" s="95" t="s">
        <v>510</v>
      </c>
      <c r="E163" s="95" t="s">
        <v>510</v>
      </c>
      <c r="F163" s="95">
        <v>1189</v>
      </c>
      <c r="G163" s="95" t="s">
        <v>535</v>
      </c>
      <c r="H163" s="95" t="s">
        <v>791</v>
      </c>
      <c r="I163" s="95" t="s">
        <v>510</v>
      </c>
      <c r="J163" s="95" t="s">
        <v>536</v>
      </c>
      <c r="K163" s="95" t="s">
        <v>510</v>
      </c>
      <c r="L163" s="95" t="s">
        <v>510</v>
      </c>
      <c r="M163" s="101" t="str">
        <f t="shared" si="2"/>
        <v>View on Google Map</v>
      </c>
    </row>
    <row r="164" spans="1:14" x14ac:dyDescent="0.2">
      <c r="A164" s="95">
        <v>29</v>
      </c>
      <c r="B164" s="95" t="s">
        <v>792</v>
      </c>
      <c r="C164" s="95" t="s">
        <v>510</v>
      </c>
      <c r="D164" s="95" t="s">
        <v>510</v>
      </c>
      <c r="E164" s="95" t="s">
        <v>510</v>
      </c>
      <c r="F164" s="95">
        <v>1372</v>
      </c>
      <c r="G164" s="95" t="s">
        <v>535</v>
      </c>
      <c r="H164" s="95" t="s">
        <v>793</v>
      </c>
      <c r="I164" s="95" t="s">
        <v>510</v>
      </c>
      <c r="J164" s="95" t="s">
        <v>536</v>
      </c>
      <c r="K164" s="95" t="s">
        <v>510</v>
      </c>
      <c r="L164" s="95" t="s">
        <v>510</v>
      </c>
      <c r="M164" s="101" t="str">
        <f t="shared" si="2"/>
        <v>View on Google Map</v>
      </c>
    </row>
    <row r="165" spans="1:14" x14ac:dyDescent="0.2">
      <c r="A165" s="95">
        <v>30</v>
      </c>
      <c r="B165" s="95" t="s">
        <v>794</v>
      </c>
      <c r="C165" s="95" t="s">
        <v>510</v>
      </c>
      <c r="D165" s="95" t="s">
        <v>510</v>
      </c>
      <c r="E165" s="95" t="s">
        <v>510</v>
      </c>
      <c r="F165" s="95">
        <v>1463</v>
      </c>
      <c r="G165" s="95" t="s">
        <v>535</v>
      </c>
      <c r="H165" s="95" t="s">
        <v>795</v>
      </c>
      <c r="I165" s="95" t="s">
        <v>510</v>
      </c>
      <c r="J165" s="95" t="s">
        <v>536</v>
      </c>
      <c r="K165" s="95" t="s">
        <v>510</v>
      </c>
      <c r="L165" s="95" t="s">
        <v>510</v>
      </c>
      <c r="M165" s="101" t="str">
        <f t="shared" si="2"/>
        <v>View on Google Map</v>
      </c>
    </row>
    <row r="166" spans="1:14" x14ac:dyDescent="0.2">
      <c r="A166" s="95">
        <v>142</v>
      </c>
      <c r="B166" s="95" t="s">
        <v>796</v>
      </c>
      <c r="C166" s="95" t="s">
        <v>797</v>
      </c>
      <c r="D166" s="95">
        <v>68.53698</v>
      </c>
      <c r="E166" s="95">
        <v>-149.23740000000001</v>
      </c>
      <c r="F166" s="95">
        <v>883</v>
      </c>
      <c r="G166" s="95" t="s">
        <v>521</v>
      </c>
      <c r="H166" s="95" t="s">
        <v>798</v>
      </c>
      <c r="I166" s="95" t="s">
        <v>799</v>
      </c>
      <c r="J166" s="95" t="s">
        <v>536</v>
      </c>
      <c r="K166" s="95" t="s">
        <v>510</v>
      </c>
      <c r="L166" s="95" t="s">
        <v>537</v>
      </c>
      <c r="M166" s="101" t="str">
        <f t="shared" si="2"/>
        <v>View on Google Map</v>
      </c>
    </row>
    <row r="167" spans="1:14" x14ac:dyDescent="0.2">
      <c r="A167" s="95">
        <v>416</v>
      </c>
      <c r="B167" s="95" t="s">
        <v>800</v>
      </c>
      <c r="C167" s="95" t="s">
        <v>801</v>
      </c>
      <c r="D167" s="95">
        <v>68.496079978500006</v>
      </c>
      <c r="E167" s="95">
        <v>-149.60215567200001</v>
      </c>
      <c r="F167" s="95">
        <v>938</v>
      </c>
      <c r="G167" s="95" t="s">
        <v>521</v>
      </c>
      <c r="H167" s="95" t="s">
        <v>802</v>
      </c>
      <c r="I167" s="95" t="s">
        <v>510</v>
      </c>
      <c r="J167" s="95" t="s">
        <v>803</v>
      </c>
      <c r="K167" s="95" t="s">
        <v>510</v>
      </c>
      <c r="L167" s="95" t="s">
        <v>804</v>
      </c>
      <c r="M167" s="101" t="str">
        <f t="shared" si="2"/>
        <v>View on Google Map</v>
      </c>
      <c r="N167" s="95">
        <f>VALUE(MID(B167,5,3))</f>
        <v>100</v>
      </c>
    </row>
    <row r="168" spans="1:14" x14ac:dyDescent="0.2">
      <c r="A168" s="95">
        <v>417</v>
      </c>
      <c r="B168" s="95" t="s">
        <v>805</v>
      </c>
      <c r="C168" s="95" t="s">
        <v>806</v>
      </c>
      <c r="D168" s="95">
        <v>68.491641939700003</v>
      </c>
      <c r="E168" s="95">
        <v>-149.60743984699999</v>
      </c>
      <c r="F168" s="95">
        <v>937</v>
      </c>
      <c r="G168" s="95" t="s">
        <v>521</v>
      </c>
      <c r="H168" s="95" t="s">
        <v>807</v>
      </c>
      <c r="I168" s="95" t="s">
        <v>510</v>
      </c>
      <c r="J168" s="95" t="s">
        <v>803</v>
      </c>
      <c r="K168" s="95" t="s">
        <v>510</v>
      </c>
      <c r="L168" s="95" t="s">
        <v>804</v>
      </c>
      <c r="M168" s="101" t="str">
        <f t="shared" si="2"/>
        <v>View on Google Map</v>
      </c>
      <c r="N168" s="95">
        <f>VALUE(MID(B168,5,3))</f>
        <v>101</v>
      </c>
    </row>
    <row r="169" spans="1:14" x14ac:dyDescent="0.2">
      <c r="A169" s="95">
        <v>418</v>
      </c>
      <c r="B169" s="95" t="s">
        <v>808</v>
      </c>
      <c r="C169" s="95" t="s">
        <v>809</v>
      </c>
      <c r="D169" s="95">
        <v>68.485971524799993</v>
      </c>
      <c r="E169" s="95">
        <v>-149.611957343</v>
      </c>
      <c r="F169" s="95">
        <v>936</v>
      </c>
      <c r="G169" s="95" t="s">
        <v>521</v>
      </c>
      <c r="H169" s="95" t="s">
        <v>510</v>
      </c>
      <c r="I169" s="95" t="s">
        <v>510</v>
      </c>
      <c r="J169" s="95" t="s">
        <v>803</v>
      </c>
      <c r="K169" s="95" t="s">
        <v>510</v>
      </c>
      <c r="L169" s="95" t="s">
        <v>804</v>
      </c>
      <c r="M169" s="101" t="str">
        <f t="shared" si="2"/>
        <v>View on Google Map</v>
      </c>
      <c r="N169" s="95">
        <f>VALUE(MID(B169,5,3))</f>
        <v>102</v>
      </c>
    </row>
    <row r="170" spans="1:14" x14ac:dyDescent="0.2">
      <c r="A170" s="95">
        <v>419</v>
      </c>
      <c r="B170" s="95" t="s">
        <v>810</v>
      </c>
      <c r="C170" s="95" t="s">
        <v>811</v>
      </c>
      <c r="D170" s="95">
        <v>68.486418246300005</v>
      </c>
      <c r="E170" s="95">
        <v>-149.623539768</v>
      </c>
      <c r="F170" s="95">
        <v>934</v>
      </c>
      <c r="G170" s="95" t="s">
        <v>521</v>
      </c>
      <c r="H170" s="95" t="s">
        <v>812</v>
      </c>
      <c r="I170" s="95" t="s">
        <v>510</v>
      </c>
      <c r="J170" s="95" t="s">
        <v>803</v>
      </c>
      <c r="K170" s="95" t="s">
        <v>510</v>
      </c>
      <c r="L170" s="95" t="s">
        <v>804</v>
      </c>
      <c r="M170" s="101" t="str">
        <f t="shared" si="2"/>
        <v>View on Google Map</v>
      </c>
      <c r="N170" s="95">
        <f>VALUE(MID(B170,5,3))</f>
        <v>103</v>
      </c>
    </row>
    <row r="171" spans="1:14" x14ac:dyDescent="0.2">
      <c r="A171" s="95">
        <v>420</v>
      </c>
      <c r="B171" s="95" t="s">
        <v>813</v>
      </c>
      <c r="C171" s="95" t="s">
        <v>814</v>
      </c>
      <c r="D171" s="95">
        <v>68.480358182399996</v>
      </c>
      <c r="E171" s="95">
        <v>-149.621808276</v>
      </c>
      <c r="F171" s="95" t="s">
        <v>510</v>
      </c>
      <c r="G171" s="95" t="s">
        <v>521</v>
      </c>
      <c r="H171" s="95" t="s">
        <v>813</v>
      </c>
      <c r="I171" s="95" t="s">
        <v>510</v>
      </c>
      <c r="J171" s="95" t="s">
        <v>803</v>
      </c>
      <c r="K171" s="95" t="s">
        <v>510</v>
      </c>
      <c r="L171" s="95" t="s">
        <v>804</v>
      </c>
      <c r="M171" s="101" t="str">
        <f t="shared" si="2"/>
        <v>View on Google Map</v>
      </c>
      <c r="N171" s="95">
        <f t="shared" ref="N171:N198" si="3">VALUE(MID(H171,5,3))</f>
        <v>104</v>
      </c>
    </row>
    <row r="172" spans="1:14" x14ac:dyDescent="0.2">
      <c r="A172" s="95">
        <v>421</v>
      </c>
      <c r="B172" s="95" t="s">
        <v>815</v>
      </c>
      <c r="C172" s="95" t="s">
        <v>816</v>
      </c>
      <c r="D172" s="95">
        <v>68.487163894299997</v>
      </c>
      <c r="E172" s="95">
        <v>-149.57470926400001</v>
      </c>
      <c r="F172" s="95" t="s">
        <v>510</v>
      </c>
      <c r="G172" s="95" t="s">
        <v>521</v>
      </c>
      <c r="H172" s="95" t="s">
        <v>815</v>
      </c>
      <c r="I172" s="95" t="s">
        <v>510</v>
      </c>
      <c r="J172" s="95" t="s">
        <v>803</v>
      </c>
      <c r="K172" s="95" t="s">
        <v>510</v>
      </c>
      <c r="L172" s="95" t="s">
        <v>804</v>
      </c>
      <c r="M172" s="101" t="str">
        <f t="shared" si="2"/>
        <v>View on Google Map</v>
      </c>
      <c r="N172" s="95">
        <f t="shared" si="3"/>
        <v>105</v>
      </c>
    </row>
    <row r="173" spans="1:14" x14ac:dyDescent="0.2">
      <c r="A173" s="95">
        <v>422</v>
      </c>
      <c r="B173" s="95" t="s">
        <v>817</v>
      </c>
      <c r="C173" s="95" t="s">
        <v>818</v>
      </c>
      <c r="D173" s="95">
        <v>68.482007853900001</v>
      </c>
      <c r="E173" s="95">
        <v>-149.57357543099999</v>
      </c>
      <c r="F173" s="95" t="s">
        <v>510</v>
      </c>
      <c r="G173" s="95" t="s">
        <v>521</v>
      </c>
      <c r="H173" s="95" t="s">
        <v>817</v>
      </c>
      <c r="I173" s="95" t="s">
        <v>510</v>
      </c>
      <c r="J173" s="95" t="s">
        <v>803</v>
      </c>
      <c r="K173" s="95" t="s">
        <v>510</v>
      </c>
      <c r="L173" s="95" t="s">
        <v>804</v>
      </c>
      <c r="M173" s="101" t="str">
        <f t="shared" si="2"/>
        <v>View on Google Map</v>
      </c>
      <c r="N173" s="95">
        <f t="shared" si="3"/>
        <v>106</v>
      </c>
    </row>
    <row r="174" spans="1:14" x14ac:dyDescent="0.2">
      <c r="A174" s="95">
        <v>423</v>
      </c>
      <c r="B174" s="95" t="s">
        <v>819</v>
      </c>
      <c r="C174" s="95" t="s">
        <v>820</v>
      </c>
      <c r="D174" s="95">
        <v>68.480117783099999</v>
      </c>
      <c r="E174" s="95">
        <v>-149.553733964</v>
      </c>
      <c r="F174" s="95" t="s">
        <v>510</v>
      </c>
      <c r="G174" s="95" t="s">
        <v>521</v>
      </c>
      <c r="H174" s="95" t="s">
        <v>819</v>
      </c>
      <c r="I174" s="95" t="s">
        <v>510</v>
      </c>
      <c r="J174" s="95" t="s">
        <v>803</v>
      </c>
      <c r="K174" s="95" t="s">
        <v>510</v>
      </c>
      <c r="L174" s="95" t="s">
        <v>804</v>
      </c>
      <c r="M174" s="101" t="str">
        <f t="shared" si="2"/>
        <v>View on Google Map</v>
      </c>
      <c r="N174" s="95">
        <f t="shared" si="3"/>
        <v>107</v>
      </c>
    </row>
    <row r="175" spans="1:14" x14ac:dyDescent="0.2">
      <c r="A175" s="95">
        <v>424</v>
      </c>
      <c r="B175" s="95" t="s">
        <v>821</v>
      </c>
      <c r="C175" s="95" t="s">
        <v>822</v>
      </c>
      <c r="D175" s="95">
        <v>68.553470657600002</v>
      </c>
      <c r="E175" s="95">
        <v>-149.16702515599999</v>
      </c>
      <c r="F175" s="95" t="s">
        <v>510</v>
      </c>
      <c r="G175" s="95" t="s">
        <v>521</v>
      </c>
      <c r="H175" s="95" t="s">
        <v>821</v>
      </c>
      <c r="I175" s="95" t="s">
        <v>510</v>
      </c>
      <c r="J175" s="95" t="s">
        <v>803</v>
      </c>
      <c r="K175" s="95" t="s">
        <v>510</v>
      </c>
      <c r="L175" s="95" t="s">
        <v>804</v>
      </c>
      <c r="M175" s="101" t="str">
        <f t="shared" si="2"/>
        <v>View on Google Map</v>
      </c>
      <c r="N175" s="95">
        <f t="shared" si="3"/>
        <v>108</v>
      </c>
    </row>
    <row r="176" spans="1:14" x14ac:dyDescent="0.2">
      <c r="A176" s="95">
        <v>425</v>
      </c>
      <c r="B176" s="95" t="s">
        <v>823</v>
      </c>
      <c r="C176" s="95" t="s">
        <v>824</v>
      </c>
      <c r="D176" s="95">
        <v>68.557082457700005</v>
      </c>
      <c r="E176" s="95">
        <v>-149.154445686</v>
      </c>
      <c r="F176" s="95" t="s">
        <v>510</v>
      </c>
      <c r="G176" s="95" t="s">
        <v>521</v>
      </c>
      <c r="H176" s="95" t="s">
        <v>823</v>
      </c>
      <c r="I176" s="95" t="s">
        <v>510</v>
      </c>
      <c r="J176" s="95" t="s">
        <v>803</v>
      </c>
      <c r="K176" s="95" t="s">
        <v>510</v>
      </c>
      <c r="L176" s="95" t="s">
        <v>804</v>
      </c>
      <c r="M176" s="101" t="str">
        <f t="shared" si="2"/>
        <v>View on Google Map</v>
      </c>
      <c r="N176" s="95">
        <f t="shared" si="3"/>
        <v>109</v>
      </c>
    </row>
    <row r="177" spans="1:14" x14ac:dyDescent="0.2">
      <c r="A177" s="95">
        <v>426</v>
      </c>
      <c r="B177" s="95" t="s">
        <v>825</v>
      </c>
      <c r="C177" s="95" t="s">
        <v>826</v>
      </c>
      <c r="D177" s="95">
        <v>68.732874005799999</v>
      </c>
      <c r="E177" s="95">
        <v>-149.401461627</v>
      </c>
      <c r="F177" s="95" t="s">
        <v>510</v>
      </c>
      <c r="G177" s="95" t="s">
        <v>521</v>
      </c>
      <c r="H177" s="95" t="s">
        <v>825</v>
      </c>
      <c r="I177" s="95" t="s">
        <v>510</v>
      </c>
      <c r="J177" s="95" t="s">
        <v>803</v>
      </c>
      <c r="K177" s="95" t="s">
        <v>510</v>
      </c>
      <c r="L177" s="95" t="s">
        <v>804</v>
      </c>
      <c r="M177" s="101" t="str">
        <f t="shared" si="2"/>
        <v>View on Google Map</v>
      </c>
      <c r="N177" s="95">
        <f t="shared" si="3"/>
        <v>110</v>
      </c>
    </row>
    <row r="178" spans="1:14" x14ac:dyDescent="0.2">
      <c r="A178" s="95">
        <v>427</v>
      </c>
      <c r="B178" s="95" t="s">
        <v>827</v>
      </c>
      <c r="C178" s="95" t="s">
        <v>828</v>
      </c>
      <c r="D178" s="95">
        <v>68.728437910899999</v>
      </c>
      <c r="E178" s="95">
        <v>-149.39298449200001</v>
      </c>
      <c r="F178" s="95" t="s">
        <v>510</v>
      </c>
      <c r="G178" s="95" t="s">
        <v>521</v>
      </c>
      <c r="H178" s="95" t="s">
        <v>827</v>
      </c>
      <c r="I178" s="95" t="s">
        <v>510</v>
      </c>
      <c r="J178" s="95" t="s">
        <v>803</v>
      </c>
      <c r="K178" s="95" t="s">
        <v>510</v>
      </c>
      <c r="L178" s="95" t="s">
        <v>804</v>
      </c>
      <c r="M178" s="101" t="str">
        <f t="shared" si="2"/>
        <v>View on Google Map</v>
      </c>
      <c r="N178" s="95">
        <f t="shared" si="3"/>
        <v>111</v>
      </c>
    </row>
    <row r="179" spans="1:14" x14ac:dyDescent="0.2">
      <c r="A179" s="95">
        <v>428</v>
      </c>
      <c r="B179" s="95" t="s">
        <v>829</v>
      </c>
      <c r="C179" s="95" t="s">
        <v>830</v>
      </c>
      <c r="D179" s="95">
        <v>68.671908805499996</v>
      </c>
      <c r="E179" s="95">
        <v>-149.24817348299999</v>
      </c>
      <c r="F179" s="95" t="s">
        <v>510</v>
      </c>
      <c r="G179" s="95" t="s">
        <v>521</v>
      </c>
      <c r="H179" s="95" t="s">
        <v>829</v>
      </c>
      <c r="I179" s="95" t="s">
        <v>510</v>
      </c>
      <c r="J179" s="95" t="s">
        <v>803</v>
      </c>
      <c r="K179" s="95" t="s">
        <v>510</v>
      </c>
      <c r="L179" s="95" t="s">
        <v>804</v>
      </c>
      <c r="M179" s="101" t="str">
        <f t="shared" si="2"/>
        <v>View on Google Map</v>
      </c>
      <c r="N179" s="95">
        <f t="shared" si="3"/>
        <v>112</v>
      </c>
    </row>
    <row r="180" spans="1:14" x14ac:dyDescent="0.2">
      <c r="A180" s="95">
        <v>429</v>
      </c>
      <c r="B180" s="95" t="s">
        <v>831</v>
      </c>
      <c r="C180" s="95" t="s">
        <v>832</v>
      </c>
      <c r="D180" s="95">
        <v>68.679427639400004</v>
      </c>
      <c r="E180" s="95">
        <v>-149.23947084900001</v>
      </c>
      <c r="F180" s="95" t="s">
        <v>510</v>
      </c>
      <c r="G180" s="95" t="s">
        <v>521</v>
      </c>
      <c r="H180" s="95" t="s">
        <v>831</v>
      </c>
      <c r="I180" s="95" t="s">
        <v>510</v>
      </c>
      <c r="J180" s="95" t="s">
        <v>803</v>
      </c>
      <c r="K180" s="95" t="s">
        <v>510</v>
      </c>
      <c r="L180" s="95" t="s">
        <v>804</v>
      </c>
      <c r="M180" s="101" t="str">
        <f t="shared" si="2"/>
        <v>View on Google Map</v>
      </c>
      <c r="N180" s="95">
        <f t="shared" si="3"/>
        <v>113</v>
      </c>
    </row>
    <row r="181" spans="1:14" x14ac:dyDescent="0.2">
      <c r="A181" s="95">
        <v>430</v>
      </c>
      <c r="B181" s="95" t="s">
        <v>833</v>
      </c>
      <c r="C181" s="95" t="s">
        <v>834</v>
      </c>
      <c r="D181" s="95">
        <v>68.679424428600001</v>
      </c>
      <c r="E181" s="95">
        <v>-149.22969695099999</v>
      </c>
      <c r="F181" s="95" t="s">
        <v>510</v>
      </c>
      <c r="G181" s="95" t="s">
        <v>521</v>
      </c>
      <c r="H181" s="95" t="s">
        <v>833</v>
      </c>
      <c r="I181" s="95" t="s">
        <v>510</v>
      </c>
      <c r="J181" s="95" t="s">
        <v>803</v>
      </c>
      <c r="K181" s="95" t="s">
        <v>510</v>
      </c>
      <c r="L181" s="95" t="s">
        <v>804</v>
      </c>
      <c r="M181" s="101" t="str">
        <f t="shared" si="2"/>
        <v>View on Google Map</v>
      </c>
      <c r="N181" s="95">
        <f t="shared" si="3"/>
        <v>114</v>
      </c>
    </row>
    <row r="182" spans="1:14" x14ac:dyDescent="0.2">
      <c r="A182" s="95">
        <v>398</v>
      </c>
      <c r="B182" s="95" t="s">
        <v>835</v>
      </c>
      <c r="C182" s="95" t="s">
        <v>836</v>
      </c>
      <c r="D182" s="95">
        <v>68.569791782099998</v>
      </c>
      <c r="E182" s="95">
        <v>-149.43938491</v>
      </c>
      <c r="F182" s="95" t="s">
        <v>510</v>
      </c>
      <c r="G182" s="95" t="s">
        <v>521</v>
      </c>
      <c r="H182" s="95" t="s">
        <v>835</v>
      </c>
      <c r="I182" s="95" t="s">
        <v>510</v>
      </c>
      <c r="J182" s="95" t="s">
        <v>803</v>
      </c>
      <c r="K182" s="95" t="s">
        <v>510</v>
      </c>
      <c r="L182" s="95" t="s">
        <v>804</v>
      </c>
      <c r="M182" s="101" t="str">
        <f t="shared" si="2"/>
        <v>View on Google Map</v>
      </c>
      <c r="N182" s="95">
        <f t="shared" si="3"/>
        <v>82</v>
      </c>
    </row>
    <row r="183" spans="1:14" x14ac:dyDescent="0.2">
      <c r="A183" s="95">
        <v>389</v>
      </c>
      <c r="B183" s="95" t="s">
        <v>837</v>
      </c>
      <c r="C183" s="95" t="s">
        <v>838</v>
      </c>
      <c r="D183" s="95">
        <v>68.568883214500005</v>
      </c>
      <c r="E183" s="95">
        <v>-149.432996798</v>
      </c>
      <c r="F183" s="95" t="s">
        <v>510</v>
      </c>
      <c r="G183" s="95" t="s">
        <v>521</v>
      </c>
      <c r="H183" s="95" t="s">
        <v>837</v>
      </c>
      <c r="I183" s="95" t="s">
        <v>510</v>
      </c>
      <c r="J183" s="95" t="s">
        <v>803</v>
      </c>
      <c r="K183" s="95" t="s">
        <v>510</v>
      </c>
      <c r="L183" s="95" t="s">
        <v>804</v>
      </c>
      <c r="M183" s="101" t="str">
        <f t="shared" si="2"/>
        <v>View on Google Map</v>
      </c>
      <c r="N183" s="95">
        <f t="shared" si="3"/>
        <v>83</v>
      </c>
    </row>
    <row r="184" spans="1:14" x14ac:dyDescent="0.2">
      <c r="A184" s="95">
        <v>390</v>
      </c>
      <c r="B184" s="95" t="s">
        <v>839</v>
      </c>
      <c r="C184" s="95" t="s">
        <v>840</v>
      </c>
      <c r="D184" s="95">
        <v>68.571446755099998</v>
      </c>
      <c r="E184" s="95">
        <v>-149.43614776499999</v>
      </c>
      <c r="F184" s="95" t="s">
        <v>510</v>
      </c>
      <c r="G184" s="95" t="s">
        <v>521</v>
      </c>
      <c r="H184" s="95" t="s">
        <v>839</v>
      </c>
      <c r="I184" s="95" t="s">
        <v>510</v>
      </c>
      <c r="J184" s="95" t="s">
        <v>803</v>
      </c>
      <c r="K184" s="95" t="s">
        <v>510</v>
      </c>
      <c r="L184" s="95" t="s">
        <v>804</v>
      </c>
      <c r="M184" s="101" t="str">
        <f t="shared" si="2"/>
        <v>View on Google Map</v>
      </c>
      <c r="N184" s="95">
        <f t="shared" si="3"/>
        <v>84</v>
      </c>
    </row>
    <row r="185" spans="1:14" x14ac:dyDescent="0.2">
      <c r="A185" s="95">
        <v>391</v>
      </c>
      <c r="B185" s="95" t="s">
        <v>841</v>
      </c>
      <c r="C185" s="95" t="s">
        <v>842</v>
      </c>
      <c r="D185" s="95">
        <v>68.600419015400007</v>
      </c>
      <c r="E185" s="95">
        <v>-149.438677388</v>
      </c>
      <c r="F185" s="95" t="s">
        <v>510</v>
      </c>
      <c r="G185" s="95" t="s">
        <v>521</v>
      </c>
      <c r="H185" s="95" t="s">
        <v>841</v>
      </c>
      <c r="I185" s="95" t="s">
        <v>510</v>
      </c>
      <c r="J185" s="95" t="s">
        <v>803</v>
      </c>
      <c r="K185" s="95" t="s">
        <v>510</v>
      </c>
      <c r="L185" s="95" t="s">
        <v>804</v>
      </c>
      <c r="M185" s="101" t="str">
        <f t="shared" si="2"/>
        <v>View on Google Map</v>
      </c>
      <c r="N185" s="95">
        <f t="shared" si="3"/>
        <v>85</v>
      </c>
    </row>
    <row r="186" spans="1:14" x14ac:dyDescent="0.2">
      <c r="A186" s="95">
        <v>392</v>
      </c>
      <c r="B186" s="95" t="s">
        <v>843</v>
      </c>
      <c r="C186" s="95" t="s">
        <v>844</v>
      </c>
      <c r="D186" s="95">
        <v>68.632424610200005</v>
      </c>
      <c r="E186" s="95">
        <v>-149.41874062799999</v>
      </c>
      <c r="F186" s="95" t="s">
        <v>510</v>
      </c>
      <c r="G186" s="95" t="s">
        <v>521</v>
      </c>
      <c r="H186" s="95" t="s">
        <v>843</v>
      </c>
      <c r="I186" s="95" t="s">
        <v>510</v>
      </c>
      <c r="J186" s="95" t="s">
        <v>803</v>
      </c>
      <c r="K186" s="95" t="s">
        <v>510</v>
      </c>
      <c r="L186" s="95" t="s">
        <v>804</v>
      </c>
      <c r="M186" s="101" t="str">
        <f t="shared" si="2"/>
        <v>View on Google Map</v>
      </c>
      <c r="N186" s="95">
        <f t="shared" si="3"/>
        <v>86</v>
      </c>
    </row>
    <row r="187" spans="1:14" x14ac:dyDescent="0.2">
      <c r="A187" s="95">
        <v>393</v>
      </c>
      <c r="B187" s="95" t="s">
        <v>845</v>
      </c>
      <c r="C187" s="95" t="s">
        <v>846</v>
      </c>
      <c r="D187" s="95">
        <v>68.505704965899994</v>
      </c>
      <c r="E187" s="95">
        <v>-149.516276081</v>
      </c>
      <c r="F187" s="95" t="s">
        <v>510</v>
      </c>
      <c r="G187" s="95" t="s">
        <v>521</v>
      </c>
      <c r="H187" s="95" t="s">
        <v>845</v>
      </c>
      <c r="I187" s="95" t="s">
        <v>510</v>
      </c>
      <c r="J187" s="95" t="s">
        <v>803</v>
      </c>
      <c r="K187" s="95" t="s">
        <v>510</v>
      </c>
      <c r="L187" s="95" t="s">
        <v>804</v>
      </c>
      <c r="M187" s="101" t="str">
        <f t="shared" si="2"/>
        <v>View on Google Map</v>
      </c>
      <c r="N187" s="95">
        <f t="shared" si="3"/>
        <v>87</v>
      </c>
    </row>
    <row r="188" spans="1:14" x14ac:dyDescent="0.2">
      <c r="A188" s="95">
        <v>394</v>
      </c>
      <c r="B188" s="95" t="s">
        <v>847</v>
      </c>
      <c r="C188" s="95" t="s">
        <v>848</v>
      </c>
      <c r="D188" s="95">
        <v>68.509234808599999</v>
      </c>
      <c r="E188" s="95">
        <v>-149.58917678500001</v>
      </c>
      <c r="F188" s="95" t="s">
        <v>510</v>
      </c>
      <c r="G188" s="95" t="s">
        <v>521</v>
      </c>
      <c r="H188" s="95" t="s">
        <v>847</v>
      </c>
      <c r="I188" s="95" t="s">
        <v>510</v>
      </c>
      <c r="J188" s="95" t="s">
        <v>803</v>
      </c>
      <c r="K188" s="95" t="s">
        <v>510</v>
      </c>
      <c r="L188" s="95" t="s">
        <v>804</v>
      </c>
      <c r="M188" s="101" t="str">
        <f t="shared" si="2"/>
        <v>View on Google Map</v>
      </c>
      <c r="N188" s="95">
        <f t="shared" si="3"/>
        <v>88</v>
      </c>
    </row>
    <row r="189" spans="1:14" x14ac:dyDescent="0.2">
      <c r="A189" s="95">
        <v>395</v>
      </c>
      <c r="B189" s="95" t="s">
        <v>849</v>
      </c>
      <c r="C189" s="95" t="s">
        <v>850</v>
      </c>
      <c r="D189" s="95">
        <v>68.525650531300002</v>
      </c>
      <c r="E189" s="95">
        <v>-149.54161982299999</v>
      </c>
      <c r="F189" s="95" t="s">
        <v>510</v>
      </c>
      <c r="G189" s="95" t="s">
        <v>521</v>
      </c>
      <c r="H189" s="95" t="s">
        <v>849</v>
      </c>
      <c r="I189" s="95" t="s">
        <v>510</v>
      </c>
      <c r="J189" s="95" t="s">
        <v>803</v>
      </c>
      <c r="K189" s="95" t="s">
        <v>510</v>
      </c>
      <c r="L189" s="95" t="s">
        <v>804</v>
      </c>
      <c r="M189" s="101" t="str">
        <f t="shared" si="2"/>
        <v>View on Google Map</v>
      </c>
      <c r="N189" s="95">
        <f t="shared" si="3"/>
        <v>89</v>
      </c>
    </row>
    <row r="190" spans="1:14" x14ac:dyDescent="0.2">
      <c r="A190" s="95">
        <v>396</v>
      </c>
      <c r="B190" s="95" t="s">
        <v>851</v>
      </c>
      <c r="C190" s="95" t="s">
        <v>852</v>
      </c>
      <c r="D190" s="95">
        <v>68.531020060399996</v>
      </c>
      <c r="E190" s="95">
        <v>-149.54062336999999</v>
      </c>
      <c r="F190" s="95" t="s">
        <v>510</v>
      </c>
      <c r="G190" s="95" t="s">
        <v>521</v>
      </c>
      <c r="H190" s="95" t="s">
        <v>851</v>
      </c>
      <c r="I190" s="95" t="s">
        <v>510</v>
      </c>
      <c r="J190" s="95" t="s">
        <v>803</v>
      </c>
      <c r="K190" s="95" t="s">
        <v>510</v>
      </c>
      <c r="L190" s="95" t="s">
        <v>804</v>
      </c>
      <c r="M190" s="101" t="str">
        <f t="shared" si="2"/>
        <v>View on Google Map</v>
      </c>
      <c r="N190" s="95">
        <f t="shared" si="3"/>
        <v>90</v>
      </c>
    </row>
    <row r="191" spans="1:14" x14ac:dyDescent="0.2">
      <c r="A191" s="95">
        <v>397</v>
      </c>
      <c r="B191" s="95" t="s">
        <v>853</v>
      </c>
      <c r="C191" s="95" t="s">
        <v>854</v>
      </c>
      <c r="D191" s="95">
        <v>68.623892844400004</v>
      </c>
      <c r="E191" s="95">
        <v>-149.46955988600001</v>
      </c>
      <c r="F191" s="95" t="s">
        <v>510</v>
      </c>
      <c r="G191" s="95" t="s">
        <v>521</v>
      </c>
      <c r="H191" s="95" t="s">
        <v>853</v>
      </c>
      <c r="I191" s="95" t="s">
        <v>510</v>
      </c>
      <c r="J191" s="95" t="s">
        <v>803</v>
      </c>
      <c r="K191" s="95" t="s">
        <v>510</v>
      </c>
      <c r="L191" s="95" t="s">
        <v>804</v>
      </c>
      <c r="M191" s="101" t="str">
        <f t="shared" si="2"/>
        <v>View on Google Map</v>
      </c>
      <c r="N191" s="95">
        <f t="shared" si="3"/>
        <v>91</v>
      </c>
    </row>
    <row r="192" spans="1:14" x14ac:dyDescent="0.2">
      <c r="A192" s="95">
        <v>408</v>
      </c>
      <c r="B192" s="95" t="s">
        <v>855</v>
      </c>
      <c r="C192" s="95" t="s">
        <v>856</v>
      </c>
      <c r="D192" s="95">
        <v>68.606945965400001</v>
      </c>
      <c r="E192" s="95">
        <v>-149.195806014</v>
      </c>
      <c r="F192" s="95" t="s">
        <v>510</v>
      </c>
      <c r="G192" s="95" t="s">
        <v>521</v>
      </c>
      <c r="H192" s="95" t="s">
        <v>855</v>
      </c>
      <c r="I192" s="95" t="s">
        <v>510</v>
      </c>
      <c r="J192" s="95" t="s">
        <v>803</v>
      </c>
      <c r="K192" s="95" t="s">
        <v>510</v>
      </c>
      <c r="L192" s="95" t="s">
        <v>804</v>
      </c>
      <c r="M192" s="101" t="str">
        <f t="shared" si="2"/>
        <v>View on Google Map</v>
      </c>
      <c r="N192" s="95">
        <f t="shared" si="3"/>
        <v>92</v>
      </c>
    </row>
    <row r="193" spans="1:14" x14ac:dyDescent="0.2">
      <c r="A193" s="95">
        <v>409</v>
      </c>
      <c r="B193" s="95" t="s">
        <v>857</v>
      </c>
      <c r="C193" s="95" t="s">
        <v>858</v>
      </c>
      <c r="D193" s="95">
        <v>68.613688053999994</v>
      </c>
      <c r="E193" s="95">
        <v>-149.20287565500001</v>
      </c>
      <c r="F193" s="95" t="s">
        <v>510</v>
      </c>
      <c r="G193" s="95" t="s">
        <v>521</v>
      </c>
      <c r="H193" s="95" t="s">
        <v>857</v>
      </c>
      <c r="I193" s="95" t="s">
        <v>510</v>
      </c>
      <c r="J193" s="95" t="s">
        <v>803</v>
      </c>
      <c r="K193" s="95" t="s">
        <v>510</v>
      </c>
      <c r="L193" s="95" t="s">
        <v>804</v>
      </c>
      <c r="M193" s="101" t="str">
        <f t="shared" si="2"/>
        <v>View on Google Map</v>
      </c>
      <c r="N193" s="95">
        <f t="shared" si="3"/>
        <v>93</v>
      </c>
    </row>
    <row r="194" spans="1:14" x14ac:dyDescent="0.2">
      <c r="A194" s="95">
        <v>410</v>
      </c>
      <c r="B194" s="95" t="s">
        <v>859</v>
      </c>
      <c r="C194" s="95" t="s">
        <v>860</v>
      </c>
      <c r="D194" s="95">
        <v>68.617322837200007</v>
      </c>
      <c r="E194" s="95">
        <v>-149.21640989900001</v>
      </c>
      <c r="F194" s="95" t="s">
        <v>510</v>
      </c>
      <c r="G194" s="95" t="s">
        <v>521</v>
      </c>
      <c r="H194" s="95" t="s">
        <v>859</v>
      </c>
      <c r="I194" s="95" t="s">
        <v>510</v>
      </c>
      <c r="J194" s="95" t="s">
        <v>803</v>
      </c>
      <c r="K194" s="95" t="s">
        <v>510</v>
      </c>
      <c r="L194" s="95" t="s">
        <v>804</v>
      </c>
      <c r="M194" s="101" t="str">
        <f t="shared" si="2"/>
        <v>View on Google Map</v>
      </c>
      <c r="N194" s="95">
        <f t="shared" si="3"/>
        <v>94</v>
      </c>
    </row>
    <row r="195" spans="1:14" x14ac:dyDescent="0.2">
      <c r="A195" s="95">
        <v>411</v>
      </c>
      <c r="B195" s="95" t="s">
        <v>861</v>
      </c>
      <c r="C195" s="95" t="s">
        <v>862</v>
      </c>
      <c r="D195" s="95">
        <v>68.613551663999999</v>
      </c>
      <c r="E195" s="95">
        <v>-149.21844056</v>
      </c>
      <c r="F195" s="95" t="s">
        <v>510</v>
      </c>
      <c r="G195" s="95" t="s">
        <v>521</v>
      </c>
      <c r="H195" s="95" t="s">
        <v>861</v>
      </c>
      <c r="I195" s="95" t="s">
        <v>510</v>
      </c>
      <c r="J195" s="95" t="s">
        <v>803</v>
      </c>
      <c r="K195" s="95" t="s">
        <v>510</v>
      </c>
      <c r="L195" s="95" t="s">
        <v>804</v>
      </c>
      <c r="M195" s="101" t="str">
        <f t="shared" ref="M195:M258" si="4">HYPERLINK("http://maps.google.com/maps?q="&amp;D195&amp;","&amp;E195,"View on Google Map")</f>
        <v>View on Google Map</v>
      </c>
      <c r="N195" s="95">
        <f t="shared" si="3"/>
        <v>95</v>
      </c>
    </row>
    <row r="196" spans="1:14" x14ac:dyDescent="0.2">
      <c r="A196" s="95">
        <v>412</v>
      </c>
      <c r="B196" s="95" t="s">
        <v>863</v>
      </c>
      <c r="C196" s="95" t="s">
        <v>864</v>
      </c>
      <c r="D196" s="95">
        <v>68.609572079800003</v>
      </c>
      <c r="E196" s="95">
        <v>-149.20865205600001</v>
      </c>
      <c r="F196" s="95" t="s">
        <v>510</v>
      </c>
      <c r="G196" s="95" t="s">
        <v>521</v>
      </c>
      <c r="H196" s="95" t="s">
        <v>863</v>
      </c>
      <c r="I196" s="95" t="s">
        <v>510</v>
      </c>
      <c r="J196" s="95" t="s">
        <v>803</v>
      </c>
      <c r="K196" s="95" t="s">
        <v>510</v>
      </c>
      <c r="L196" s="95" t="s">
        <v>804</v>
      </c>
      <c r="M196" s="101" t="str">
        <f t="shared" si="4"/>
        <v>View on Google Map</v>
      </c>
      <c r="N196" s="95">
        <f t="shared" si="3"/>
        <v>96</v>
      </c>
    </row>
    <row r="197" spans="1:14" x14ac:dyDescent="0.2">
      <c r="A197" s="95">
        <v>413</v>
      </c>
      <c r="B197" s="95" t="s">
        <v>865</v>
      </c>
      <c r="C197" s="95" t="s">
        <v>866</v>
      </c>
      <c r="D197" s="95">
        <v>68.607097540200002</v>
      </c>
      <c r="E197" s="95">
        <v>-149.21482030499999</v>
      </c>
      <c r="F197" s="95" t="s">
        <v>510</v>
      </c>
      <c r="G197" s="95" t="s">
        <v>521</v>
      </c>
      <c r="H197" s="95" t="s">
        <v>865</v>
      </c>
      <c r="I197" s="95" t="s">
        <v>510</v>
      </c>
      <c r="J197" s="95" t="s">
        <v>803</v>
      </c>
      <c r="K197" s="95" t="s">
        <v>510</v>
      </c>
      <c r="L197" s="95" t="s">
        <v>804</v>
      </c>
      <c r="M197" s="101" t="str">
        <f t="shared" si="4"/>
        <v>View on Google Map</v>
      </c>
      <c r="N197" s="95">
        <f t="shared" si="3"/>
        <v>97</v>
      </c>
    </row>
    <row r="198" spans="1:14" x14ac:dyDescent="0.2">
      <c r="A198" s="95">
        <v>414</v>
      </c>
      <c r="B198" s="95" t="s">
        <v>867</v>
      </c>
      <c r="C198" s="95" t="s">
        <v>868</v>
      </c>
      <c r="D198" s="95">
        <v>68.605198711400007</v>
      </c>
      <c r="E198" s="95">
        <v>-149.27215046800001</v>
      </c>
      <c r="F198" s="95" t="s">
        <v>510</v>
      </c>
      <c r="G198" s="95" t="s">
        <v>521</v>
      </c>
      <c r="H198" s="95" t="s">
        <v>867</v>
      </c>
      <c r="I198" s="95" t="s">
        <v>510</v>
      </c>
      <c r="J198" s="95" t="s">
        <v>803</v>
      </c>
      <c r="K198" s="95" t="s">
        <v>510</v>
      </c>
      <c r="L198" s="95" t="s">
        <v>804</v>
      </c>
      <c r="M198" s="101" t="str">
        <f t="shared" si="4"/>
        <v>View on Google Map</v>
      </c>
      <c r="N198" s="95">
        <f t="shared" si="3"/>
        <v>98</v>
      </c>
    </row>
    <row r="199" spans="1:14" x14ac:dyDescent="0.2">
      <c r="A199" s="95">
        <v>415</v>
      </c>
      <c r="B199" s="95" t="s">
        <v>869</v>
      </c>
      <c r="C199" s="95" t="s">
        <v>870</v>
      </c>
      <c r="D199" s="95">
        <v>68.498375922400001</v>
      </c>
      <c r="E199" s="95">
        <v>-149.59842284699999</v>
      </c>
      <c r="F199" s="95">
        <v>947</v>
      </c>
      <c r="G199" s="95" t="s">
        <v>521</v>
      </c>
      <c r="H199" s="95" t="s">
        <v>871</v>
      </c>
      <c r="I199" s="95" t="s">
        <v>510</v>
      </c>
      <c r="J199" s="95" t="s">
        <v>803</v>
      </c>
      <c r="K199" s="95" t="s">
        <v>510</v>
      </c>
      <c r="L199" s="95" t="s">
        <v>804</v>
      </c>
      <c r="M199" s="101" t="str">
        <f t="shared" si="4"/>
        <v>View on Google Map</v>
      </c>
      <c r="N199" s="95">
        <f>VALUE(MID(B199,5,3))</f>
        <v>99</v>
      </c>
    </row>
    <row r="200" spans="1:14" x14ac:dyDescent="0.2">
      <c r="A200" s="95">
        <v>402</v>
      </c>
      <c r="B200" s="95" t="s">
        <v>872</v>
      </c>
      <c r="C200" s="95" t="s">
        <v>510</v>
      </c>
      <c r="D200" s="95" t="s">
        <v>510</v>
      </c>
      <c r="E200" s="95" t="s">
        <v>510</v>
      </c>
      <c r="F200" s="95" t="s">
        <v>510</v>
      </c>
      <c r="G200" s="95" t="s">
        <v>521</v>
      </c>
      <c r="H200" s="95" t="s">
        <v>510</v>
      </c>
      <c r="I200" s="95" t="s">
        <v>510</v>
      </c>
      <c r="J200" s="95" t="s">
        <v>536</v>
      </c>
      <c r="K200" s="95" t="s">
        <v>510</v>
      </c>
      <c r="L200" s="95" t="s">
        <v>690</v>
      </c>
      <c r="M200" s="101" t="str">
        <f t="shared" si="4"/>
        <v>View on Google Map</v>
      </c>
    </row>
    <row r="201" spans="1:14" x14ac:dyDescent="0.2">
      <c r="A201" s="95">
        <v>8</v>
      </c>
      <c r="B201" s="95" t="s">
        <v>873</v>
      </c>
      <c r="C201" s="95" t="s">
        <v>534</v>
      </c>
      <c r="D201" s="95">
        <v>69.150000000000006</v>
      </c>
      <c r="E201" s="95">
        <v>-148.83333333333334</v>
      </c>
      <c r="F201" s="95">
        <v>290</v>
      </c>
      <c r="G201" s="95" t="s">
        <v>535</v>
      </c>
      <c r="H201" s="95" t="s">
        <v>510</v>
      </c>
      <c r="I201" s="95" t="s">
        <v>510</v>
      </c>
      <c r="J201" s="95" t="s">
        <v>536</v>
      </c>
      <c r="K201" s="95" t="s">
        <v>510</v>
      </c>
      <c r="L201" s="95" t="s">
        <v>537</v>
      </c>
      <c r="M201" s="101" t="str">
        <f t="shared" si="4"/>
        <v>View on Google Map</v>
      </c>
    </row>
    <row r="202" spans="1:14" x14ac:dyDescent="0.2">
      <c r="A202" s="95">
        <v>219</v>
      </c>
      <c r="B202" s="95" t="s">
        <v>874</v>
      </c>
      <c r="C202" s="95" t="s">
        <v>510</v>
      </c>
      <c r="D202" s="95">
        <v>69.8</v>
      </c>
      <c r="E202" s="95">
        <v>-151.83333333333334</v>
      </c>
      <c r="F202" s="95">
        <v>60.365853658536601</v>
      </c>
      <c r="G202" s="95" t="s">
        <v>521</v>
      </c>
      <c r="H202" s="95" t="s">
        <v>875</v>
      </c>
      <c r="I202" s="95" t="s">
        <v>510</v>
      </c>
      <c r="J202" s="95" t="s">
        <v>536</v>
      </c>
      <c r="K202" s="95" t="s">
        <v>510</v>
      </c>
      <c r="L202" s="95" t="s">
        <v>876</v>
      </c>
      <c r="M202" s="101" t="str">
        <f t="shared" si="4"/>
        <v>View on Google Map</v>
      </c>
    </row>
    <row r="203" spans="1:14" x14ac:dyDescent="0.2">
      <c r="A203" s="95">
        <v>220</v>
      </c>
      <c r="B203" s="95" t="s">
        <v>877</v>
      </c>
      <c r="C203" s="95" t="s">
        <v>510</v>
      </c>
      <c r="D203" s="95">
        <v>69.75</v>
      </c>
      <c r="E203" s="95">
        <v>-151.5</v>
      </c>
      <c r="F203" s="95">
        <v>60.365853658536587</v>
      </c>
      <c r="G203" s="95" t="s">
        <v>521</v>
      </c>
      <c r="H203" s="95" t="s">
        <v>878</v>
      </c>
      <c r="I203" s="95" t="s">
        <v>510</v>
      </c>
      <c r="J203" s="95" t="s">
        <v>536</v>
      </c>
      <c r="K203" s="95" t="s">
        <v>510</v>
      </c>
      <c r="L203" s="95" t="s">
        <v>876</v>
      </c>
      <c r="M203" s="101" t="str">
        <f t="shared" si="4"/>
        <v>View on Google Map</v>
      </c>
    </row>
    <row r="204" spans="1:14" x14ac:dyDescent="0.2">
      <c r="A204" s="95">
        <v>221</v>
      </c>
      <c r="B204" s="95" t="s">
        <v>879</v>
      </c>
      <c r="C204" s="95" t="s">
        <v>510</v>
      </c>
      <c r="D204" s="95">
        <v>69.75</v>
      </c>
      <c r="E204" s="95">
        <v>-151.5</v>
      </c>
      <c r="F204" s="95">
        <v>30.487804878048781</v>
      </c>
      <c r="G204" s="95" t="s">
        <v>521</v>
      </c>
      <c r="H204" s="95" t="s">
        <v>880</v>
      </c>
      <c r="I204" s="95" t="s">
        <v>510</v>
      </c>
      <c r="J204" s="95" t="s">
        <v>536</v>
      </c>
      <c r="K204" s="95" t="s">
        <v>510</v>
      </c>
      <c r="L204" s="95" t="s">
        <v>876</v>
      </c>
      <c r="M204" s="101" t="str">
        <f t="shared" si="4"/>
        <v>View on Google Map</v>
      </c>
    </row>
    <row r="205" spans="1:14" x14ac:dyDescent="0.2">
      <c r="A205" s="95">
        <v>222</v>
      </c>
      <c r="B205" s="95" t="s">
        <v>881</v>
      </c>
      <c r="C205" s="95" t="s">
        <v>510</v>
      </c>
      <c r="D205" s="95">
        <v>69.7</v>
      </c>
      <c r="E205" s="95">
        <v>-151.16666666666666</v>
      </c>
      <c r="F205" s="95">
        <v>42.682926829268297</v>
      </c>
      <c r="G205" s="95" t="s">
        <v>521</v>
      </c>
      <c r="H205" s="95" t="s">
        <v>882</v>
      </c>
      <c r="I205" s="95" t="s">
        <v>510</v>
      </c>
      <c r="J205" s="95" t="s">
        <v>536</v>
      </c>
      <c r="K205" s="95" t="s">
        <v>510</v>
      </c>
      <c r="L205" s="95" t="s">
        <v>876</v>
      </c>
      <c r="M205" s="101" t="str">
        <f t="shared" si="4"/>
        <v>View on Google Map</v>
      </c>
    </row>
    <row r="206" spans="1:14" x14ac:dyDescent="0.2">
      <c r="A206" s="95">
        <v>223</v>
      </c>
      <c r="B206" s="95" t="s">
        <v>883</v>
      </c>
      <c r="C206" s="95" t="s">
        <v>510</v>
      </c>
      <c r="D206" s="95">
        <v>69.7</v>
      </c>
      <c r="E206" s="95">
        <v>-151.16666666666666</v>
      </c>
      <c r="F206" s="95">
        <v>42.682926829268297</v>
      </c>
      <c r="G206" s="95" t="s">
        <v>521</v>
      </c>
      <c r="H206" s="95" t="s">
        <v>884</v>
      </c>
      <c r="I206" s="95" t="s">
        <v>510</v>
      </c>
      <c r="J206" s="95" t="s">
        <v>536</v>
      </c>
      <c r="K206" s="95" t="s">
        <v>510</v>
      </c>
      <c r="L206" s="95" t="s">
        <v>876</v>
      </c>
      <c r="M206" s="101" t="str">
        <f t="shared" si="4"/>
        <v>View on Google Map</v>
      </c>
    </row>
    <row r="207" spans="1:14" x14ac:dyDescent="0.2">
      <c r="A207" s="95">
        <v>224</v>
      </c>
      <c r="B207" s="95" t="s">
        <v>885</v>
      </c>
      <c r="C207" s="95" t="s">
        <v>510</v>
      </c>
      <c r="D207" s="95">
        <v>69.516666666666666</v>
      </c>
      <c r="E207" s="95">
        <v>-150.86666666666667</v>
      </c>
      <c r="F207" s="95">
        <v>60.975609756097562</v>
      </c>
      <c r="G207" s="95" t="s">
        <v>521</v>
      </c>
      <c r="H207" s="95" t="s">
        <v>886</v>
      </c>
      <c r="I207" s="95" t="s">
        <v>510</v>
      </c>
      <c r="J207" s="95" t="s">
        <v>536</v>
      </c>
      <c r="K207" s="95" t="s">
        <v>510</v>
      </c>
      <c r="L207" s="95" t="s">
        <v>876</v>
      </c>
      <c r="M207" s="101" t="str">
        <f t="shared" si="4"/>
        <v>View on Google Map</v>
      </c>
    </row>
    <row r="208" spans="1:14" x14ac:dyDescent="0.2">
      <c r="A208" s="95">
        <v>225</v>
      </c>
      <c r="B208" s="95" t="s">
        <v>887</v>
      </c>
      <c r="C208" s="95" t="s">
        <v>510</v>
      </c>
      <c r="D208" s="95">
        <v>69.516666666666666</v>
      </c>
      <c r="E208" s="95">
        <v>-150.86666666666667</v>
      </c>
      <c r="F208" s="95">
        <v>60.975609756097562</v>
      </c>
      <c r="G208" s="95" t="s">
        <v>521</v>
      </c>
      <c r="H208" s="95" t="s">
        <v>888</v>
      </c>
      <c r="I208" s="95" t="s">
        <v>510</v>
      </c>
      <c r="J208" s="95" t="s">
        <v>536</v>
      </c>
      <c r="K208" s="95" t="s">
        <v>510</v>
      </c>
      <c r="L208" s="95" t="s">
        <v>876</v>
      </c>
      <c r="M208" s="101" t="str">
        <f t="shared" si="4"/>
        <v>View on Google Map</v>
      </c>
    </row>
    <row r="209" spans="1:13" x14ac:dyDescent="0.2">
      <c r="A209" s="95">
        <v>226</v>
      </c>
      <c r="B209" s="95" t="s">
        <v>889</v>
      </c>
      <c r="C209" s="95" t="s">
        <v>510</v>
      </c>
      <c r="D209" s="95">
        <v>69.25</v>
      </c>
      <c r="E209" s="95">
        <v>-150.43333333333334</v>
      </c>
      <c r="F209" s="95">
        <v>182.92682926829269</v>
      </c>
      <c r="G209" s="95" t="s">
        <v>521</v>
      </c>
      <c r="H209" s="95" t="s">
        <v>890</v>
      </c>
      <c r="I209" s="95" t="s">
        <v>510</v>
      </c>
      <c r="J209" s="95" t="s">
        <v>536</v>
      </c>
      <c r="K209" s="95" t="s">
        <v>510</v>
      </c>
      <c r="L209" s="95" t="s">
        <v>876</v>
      </c>
      <c r="M209" s="101" t="str">
        <f t="shared" si="4"/>
        <v>View on Google Map</v>
      </c>
    </row>
    <row r="210" spans="1:13" x14ac:dyDescent="0.2">
      <c r="A210" s="95">
        <v>227</v>
      </c>
      <c r="B210" s="95" t="s">
        <v>891</v>
      </c>
      <c r="C210" s="95" t="s">
        <v>510</v>
      </c>
      <c r="D210" s="95">
        <v>69.25</v>
      </c>
      <c r="E210" s="95">
        <v>-150.43333333333334</v>
      </c>
      <c r="F210" s="95">
        <v>182.92682926829269</v>
      </c>
      <c r="G210" s="95" t="s">
        <v>521</v>
      </c>
      <c r="H210" s="95" t="s">
        <v>892</v>
      </c>
      <c r="I210" s="95" t="s">
        <v>510</v>
      </c>
      <c r="J210" s="95" t="s">
        <v>536</v>
      </c>
      <c r="K210" s="95" t="s">
        <v>510</v>
      </c>
      <c r="L210" s="95" t="s">
        <v>876</v>
      </c>
      <c r="M210" s="101" t="str">
        <f t="shared" si="4"/>
        <v>View on Google Map</v>
      </c>
    </row>
    <row r="211" spans="1:13" x14ac:dyDescent="0.2">
      <c r="A211" s="95">
        <v>228</v>
      </c>
      <c r="B211" s="95" t="s">
        <v>893</v>
      </c>
      <c r="C211" s="95" t="s">
        <v>510</v>
      </c>
      <c r="D211" s="95">
        <v>69.25</v>
      </c>
      <c r="E211" s="95">
        <v>-151.16666666666666</v>
      </c>
      <c r="F211" s="95">
        <v>182.92682926829269</v>
      </c>
      <c r="G211" s="95" t="s">
        <v>521</v>
      </c>
      <c r="H211" s="95" t="s">
        <v>894</v>
      </c>
      <c r="I211" s="95" t="s">
        <v>510</v>
      </c>
      <c r="J211" s="95" t="s">
        <v>536</v>
      </c>
      <c r="K211" s="95" t="s">
        <v>510</v>
      </c>
      <c r="L211" s="95" t="s">
        <v>876</v>
      </c>
      <c r="M211" s="101" t="str">
        <f t="shared" si="4"/>
        <v>View on Google Map</v>
      </c>
    </row>
    <row r="212" spans="1:13" x14ac:dyDescent="0.2">
      <c r="A212" s="95">
        <v>229</v>
      </c>
      <c r="B212" s="95" t="s">
        <v>895</v>
      </c>
      <c r="C212" s="95" t="s">
        <v>510</v>
      </c>
      <c r="D212" s="95">
        <v>69.233333333333334</v>
      </c>
      <c r="E212" s="95">
        <v>-151.63333333333333</v>
      </c>
      <c r="F212" s="95">
        <v>178.35365853658539</v>
      </c>
      <c r="G212" s="95" t="s">
        <v>521</v>
      </c>
      <c r="H212" s="95" t="s">
        <v>896</v>
      </c>
      <c r="I212" s="95" t="s">
        <v>510</v>
      </c>
      <c r="J212" s="95" t="s">
        <v>536</v>
      </c>
      <c r="K212" s="95" t="s">
        <v>510</v>
      </c>
      <c r="L212" s="95" t="s">
        <v>876</v>
      </c>
      <c r="M212" s="101" t="str">
        <f t="shared" si="4"/>
        <v>View on Google Map</v>
      </c>
    </row>
    <row r="213" spans="1:13" x14ac:dyDescent="0.2">
      <c r="A213" s="95">
        <v>230</v>
      </c>
      <c r="B213" s="95" t="s">
        <v>897</v>
      </c>
      <c r="C213" s="95" t="s">
        <v>510</v>
      </c>
      <c r="D213" s="95">
        <v>68.900000000000006</v>
      </c>
      <c r="E213" s="95">
        <v>-151.28333333333333</v>
      </c>
      <c r="F213" s="95">
        <v>335.36585365853659</v>
      </c>
      <c r="G213" s="95" t="s">
        <v>521</v>
      </c>
      <c r="H213" s="95" t="s">
        <v>898</v>
      </c>
      <c r="I213" s="95" t="s">
        <v>510</v>
      </c>
      <c r="J213" s="95" t="s">
        <v>536</v>
      </c>
      <c r="K213" s="95" t="s">
        <v>510</v>
      </c>
      <c r="L213" s="95" t="s">
        <v>876</v>
      </c>
      <c r="M213" s="101" t="str">
        <f t="shared" si="4"/>
        <v>View on Google Map</v>
      </c>
    </row>
    <row r="214" spans="1:13" x14ac:dyDescent="0.2">
      <c r="A214" s="95">
        <v>231</v>
      </c>
      <c r="B214" s="95" t="s">
        <v>899</v>
      </c>
      <c r="C214" s="95" t="s">
        <v>510</v>
      </c>
      <c r="D214" s="95">
        <v>68.8</v>
      </c>
      <c r="E214" s="95">
        <v>-150.80000000000001</v>
      </c>
      <c r="F214" s="95">
        <v>411.58536585365857</v>
      </c>
      <c r="G214" s="95" t="s">
        <v>521</v>
      </c>
      <c r="H214" s="95" t="s">
        <v>900</v>
      </c>
      <c r="I214" s="95" t="s">
        <v>510</v>
      </c>
      <c r="J214" s="95" t="s">
        <v>536</v>
      </c>
      <c r="K214" s="95" t="s">
        <v>510</v>
      </c>
      <c r="L214" s="95" t="s">
        <v>876</v>
      </c>
      <c r="M214" s="101" t="str">
        <f t="shared" si="4"/>
        <v>View on Google Map</v>
      </c>
    </row>
    <row r="215" spans="1:13" x14ac:dyDescent="0.2">
      <c r="A215" s="95">
        <v>237</v>
      </c>
      <c r="B215" s="95" t="s">
        <v>901</v>
      </c>
      <c r="C215" s="95" t="s">
        <v>510</v>
      </c>
      <c r="D215" s="95">
        <v>68.783333333333331</v>
      </c>
      <c r="E215" s="95" t="s">
        <v>510</v>
      </c>
      <c r="F215" s="95">
        <v>681.40243902439033</v>
      </c>
      <c r="G215" s="95" t="s">
        <v>521</v>
      </c>
      <c r="H215" s="95" t="s">
        <v>902</v>
      </c>
      <c r="I215" s="95" t="s">
        <v>903</v>
      </c>
      <c r="J215" s="95" t="s">
        <v>536</v>
      </c>
      <c r="K215" s="95" t="s">
        <v>510</v>
      </c>
      <c r="L215" s="95" t="s">
        <v>876</v>
      </c>
      <c r="M215" s="101" t="str">
        <f t="shared" si="4"/>
        <v>View on Google Map</v>
      </c>
    </row>
    <row r="216" spans="1:13" x14ac:dyDescent="0.2">
      <c r="A216" s="95">
        <v>238</v>
      </c>
      <c r="B216" s="95" t="s">
        <v>904</v>
      </c>
      <c r="C216" s="95" t="s">
        <v>510</v>
      </c>
      <c r="D216" s="95">
        <v>68.783333333333331</v>
      </c>
      <c r="E216" s="95" t="s">
        <v>510</v>
      </c>
      <c r="F216" s="95">
        <v>681.40243902439033</v>
      </c>
      <c r="G216" s="95" t="s">
        <v>521</v>
      </c>
      <c r="H216" s="95" t="s">
        <v>905</v>
      </c>
      <c r="I216" s="95" t="s">
        <v>903</v>
      </c>
      <c r="J216" s="95" t="s">
        <v>536</v>
      </c>
      <c r="K216" s="95" t="s">
        <v>510</v>
      </c>
      <c r="L216" s="95" t="s">
        <v>876</v>
      </c>
      <c r="M216" s="101" t="str">
        <f t="shared" si="4"/>
        <v>View on Google Map</v>
      </c>
    </row>
    <row r="217" spans="1:13" x14ac:dyDescent="0.2">
      <c r="A217" s="95">
        <v>10</v>
      </c>
      <c r="B217" s="95" t="s">
        <v>906</v>
      </c>
      <c r="C217" s="95" t="s">
        <v>907</v>
      </c>
      <c r="D217" s="95">
        <v>68.644702925000004</v>
      </c>
      <c r="E217" s="95">
        <v>-149.41200613611099</v>
      </c>
      <c r="F217" s="95">
        <v>751.33799999999997</v>
      </c>
      <c r="G217" s="95" t="s">
        <v>535</v>
      </c>
      <c r="H217" s="95" t="s">
        <v>510</v>
      </c>
      <c r="I217" s="95" t="s">
        <v>510</v>
      </c>
      <c r="J217" s="95" t="s">
        <v>536</v>
      </c>
      <c r="K217" s="95" t="s">
        <v>510</v>
      </c>
      <c r="L217" s="95" t="s">
        <v>510</v>
      </c>
      <c r="M217" s="101" t="str">
        <f t="shared" si="4"/>
        <v>View on Google Map</v>
      </c>
    </row>
    <row r="218" spans="1:13" x14ac:dyDescent="0.2">
      <c r="A218" s="95">
        <v>486</v>
      </c>
      <c r="B218" s="95" t="s">
        <v>908</v>
      </c>
      <c r="C218" s="95" t="s">
        <v>510</v>
      </c>
      <c r="D218" s="95">
        <v>68.958333332999999</v>
      </c>
      <c r="E218" s="95">
        <v>-150.302016667</v>
      </c>
      <c r="F218" s="95">
        <v>382</v>
      </c>
      <c r="G218" s="95" t="s">
        <v>521</v>
      </c>
      <c r="H218" s="95" t="s">
        <v>510</v>
      </c>
      <c r="I218" s="95" t="s">
        <v>510</v>
      </c>
      <c r="J218" s="95" t="s">
        <v>571</v>
      </c>
      <c r="K218" s="95" t="s">
        <v>510</v>
      </c>
      <c r="L218" s="95" t="s">
        <v>518</v>
      </c>
      <c r="M218" s="101" t="str">
        <f t="shared" si="4"/>
        <v>View on Google Map</v>
      </c>
    </row>
    <row r="219" spans="1:13" x14ac:dyDescent="0.2">
      <c r="A219" s="95">
        <v>388</v>
      </c>
      <c r="B219" s="95" t="s">
        <v>909</v>
      </c>
      <c r="C219" s="95" t="s">
        <v>510</v>
      </c>
      <c r="D219" s="95">
        <v>68.556340000000006</v>
      </c>
      <c r="E219" s="95">
        <v>-149.56628000000001</v>
      </c>
      <c r="F219" s="95">
        <v>801</v>
      </c>
      <c r="G219" s="95" t="s">
        <v>521</v>
      </c>
      <c r="H219" s="95" t="s">
        <v>510</v>
      </c>
      <c r="I219" s="95" t="s">
        <v>510</v>
      </c>
      <c r="J219" s="95" t="s">
        <v>536</v>
      </c>
      <c r="K219" s="95" t="s">
        <v>510</v>
      </c>
      <c r="L219" s="95" t="s">
        <v>910</v>
      </c>
      <c r="M219" s="101" t="str">
        <f t="shared" si="4"/>
        <v>View on Google Map</v>
      </c>
    </row>
    <row r="220" spans="1:13" x14ac:dyDescent="0.2">
      <c r="A220" s="95">
        <v>450</v>
      </c>
      <c r="B220" s="95" t="s">
        <v>911</v>
      </c>
      <c r="C220" s="95" t="s">
        <v>510</v>
      </c>
      <c r="D220" s="95">
        <v>68.553610000000006</v>
      </c>
      <c r="E220" s="95">
        <v>-149.53397000000001</v>
      </c>
      <c r="F220" s="95">
        <v>820</v>
      </c>
      <c r="G220" s="95" t="s">
        <v>521</v>
      </c>
      <c r="H220" s="95" t="s">
        <v>912</v>
      </c>
      <c r="I220" s="95" t="s">
        <v>510</v>
      </c>
      <c r="J220" s="95" t="s">
        <v>522</v>
      </c>
      <c r="K220" s="95" t="s">
        <v>510</v>
      </c>
      <c r="L220" s="95" t="s">
        <v>510</v>
      </c>
      <c r="M220" s="101" t="str">
        <f t="shared" si="4"/>
        <v>View on Google Map</v>
      </c>
    </row>
    <row r="221" spans="1:13" x14ac:dyDescent="0.2">
      <c r="A221" s="95">
        <v>451</v>
      </c>
      <c r="B221" s="95" t="s">
        <v>913</v>
      </c>
      <c r="C221" s="95" t="s">
        <v>510</v>
      </c>
      <c r="D221" s="95">
        <v>68.545929999999998</v>
      </c>
      <c r="E221" s="95">
        <v>-149.54213999999999</v>
      </c>
      <c r="F221" s="95">
        <v>852</v>
      </c>
      <c r="G221" s="95" t="s">
        <v>521</v>
      </c>
      <c r="H221" s="95" t="s">
        <v>914</v>
      </c>
      <c r="I221" s="95" t="s">
        <v>510</v>
      </c>
      <c r="J221" s="95" t="s">
        <v>522</v>
      </c>
      <c r="K221" s="95" t="s">
        <v>510</v>
      </c>
      <c r="L221" s="95" t="s">
        <v>510</v>
      </c>
      <c r="M221" s="101" t="str">
        <f t="shared" si="4"/>
        <v>View on Google Map</v>
      </c>
    </row>
    <row r="222" spans="1:13" x14ac:dyDescent="0.2">
      <c r="A222" s="95">
        <v>531</v>
      </c>
      <c r="B222" s="95" t="s">
        <v>915</v>
      </c>
      <c r="C222" s="95" t="s">
        <v>916</v>
      </c>
      <c r="D222" s="95">
        <v>68.556769000000003</v>
      </c>
      <c r="E222" s="95">
        <v>-149.555385</v>
      </c>
      <c r="F222" s="95">
        <v>805</v>
      </c>
      <c r="G222" s="95" t="s">
        <v>535</v>
      </c>
      <c r="H222" s="95" t="s">
        <v>510</v>
      </c>
      <c r="I222" s="95" t="s">
        <v>510</v>
      </c>
      <c r="J222" s="95" t="s">
        <v>522</v>
      </c>
      <c r="K222" s="95" t="s">
        <v>510</v>
      </c>
      <c r="L222" s="95" t="s">
        <v>917</v>
      </c>
      <c r="M222" s="101" t="str">
        <f t="shared" si="4"/>
        <v>View on Google Map</v>
      </c>
    </row>
    <row r="223" spans="1:13" x14ac:dyDescent="0.2">
      <c r="A223" s="95">
        <v>532</v>
      </c>
      <c r="B223" s="95" t="s">
        <v>918</v>
      </c>
      <c r="C223" s="95" t="s">
        <v>916</v>
      </c>
      <c r="D223" s="95">
        <v>68.556635999999997</v>
      </c>
      <c r="E223" s="95">
        <v>-149.574457</v>
      </c>
      <c r="F223" s="95">
        <v>803</v>
      </c>
      <c r="G223" s="95" t="s">
        <v>535</v>
      </c>
      <c r="H223" s="95" t="s">
        <v>510</v>
      </c>
      <c r="I223" s="95" t="s">
        <v>510</v>
      </c>
      <c r="J223" s="95" t="s">
        <v>522</v>
      </c>
      <c r="K223" s="95" t="s">
        <v>510</v>
      </c>
      <c r="L223" s="95" t="s">
        <v>917</v>
      </c>
      <c r="M223" s="101" t="str">
        <f t="shared" si="4"/>
        <v>View on Google Map</v>
      </c>
    </row>
    <row r="224" spans="1:13" x14ac:dyDescent="0.2">
      <c r="A224" s="95">
        <v>120</v>
      </c>
      <c r="B224" s="95" t="s">
        <v>919</v>
      </c>
      <c r="C224" s="95" t="s">
        <v>510</v>
      </c>
      <c r="D224" s="95">
        <v>68.610781000000003</v>
      </c>
      <c r="E224" s="95">
        <v>-149.600742</v>
      </c>
      <c r="F224" s="95">
        <v>736</v>
      </c>
      <c r="G224" s="95" t="s">
        <v>521</v>
      </c>
      <c r="H224" s="95" t="s">
        <v>920</v>
      </c>
      <c r="I224" s="95" t="s">
        <v>510</v>
      </c>
      <c r="J224" s="95" t="s">
        <v>536</v>
      </c>
      <c r="K224" s="95">
        <v>313</v>
      </c>
      <c r="L224" s="95" t="s">
        <v>910</v>
      </c>
      <c r="M224" s="101" t="str">
        <f t="shared" si="4"/>
        <v>View on Google Map</v>
      </c>
    </row>
    <row r="225" spans="1:13" x14ac:dyDescent="0.2">
      <c r="A225" s="95">
        <v>191</v>
      </c>
      <c r="B225" s="95" t="s">
        <v>921</v>
      </c>
      <c r="C225" s="95" t="s">
        <v>922</v>
      </c>
      <c r="D225" s="95">
        <v>68.610349999999997</v>
      </c>
      <c r="E225" s="95">
        <v>-149.59976599999999</v>
      </c>
      <c r="F225" s="95">
        <v>736</v>
      </c>
      <c r="G225" s="95" t="s">
        <v>535</v>
      </c>
      <c r="H225" s="95" t="s">
        <v>923</v>
      </c>
      <c r="I225" s="95" t="s">
        <v>924</v>
      </c>
      <c r="J225" s="95" t="s">
        <v>536</v>
      </c>
      <c r="K225" s="95" t="s">
        <v>510</v>
      </c>
      <c r="L225" s="95" t="s">
        <v>925</v>
      </c>
      <c r="M225" s="101" t="str">
        <f t="shared" si="4"/>
        <v>View on Google Map</v>
      </c>
    </row>
    <row r="226" spans="1:13" x14ac:dyDescent="0.2">
      <c r="A226" s="95">
        <v>243</v>
      </c>
      <c r="B226" s="95" t="s">
        <v>926</v>
      </c>
      <c r="C226" s="95" t="s">
        <v>510</v>
      </c>
      <c r="D226" s="95">
        <v>68.611682999999999</v>
      </c>
      <c r="E226" s="95">
        <v>-149.599254</v>
      </c>
      <c r="F226" s="95">
        <v>736</v>
      </c>
      <c r="G226" s="95" t="s">
        <v>535</v>
      </c>
      <c r="H226" s="95" t="s">
        <v>927</v>
      </c>
      <c r="I226" s="95" t="s">
        <v>928</v>
      </c>
      <c r="J226" s="95" t="s">
        <v>536</v>
      </c>
      <c r="K226" s="95" t="s">
        <v>510</v>
      </c>
      <c r="L226" s="95" t="s">
        <v>925</v>
      </c>
      <c r="M226" s="101" t="str">
        <f t="shared" si="4"/>
        <v>View on Google Map</v>
      </c>
    </row>
    <row r="227" spans="1:13" x14ac:dyDescent="0.2">
      <c r="A227" s="95">
        <v>111</v>
      </c>
      <c r="B227" s="95" t="s">
        <v>929</v>
      </c>
      <c r="C227" s="95" t="s">
        <v>510</v>
      </c>
      <c r="D227" s="95">
        <v>68.568713078900004</v>
      </c>
      <c r="E227" s="95">
        <v>-149.58807625</v>
      </c>
      <c r="F227" s="95">
        <v>785</v>
      </c>
      <c r="G227" s="95" t="s">
        <v>521</v>
      </c>
      <c r="H227" s="95" t="s">
        <v>930</v>
      </c>
      <c r="I227" s="95" t="s">
        <v>931</v>
      </c>
      <c r="J227" s="95" t="s">
        <v>536</v>
      </c>
      <c r="K227" s="95" t="s">
        <v>510</v>
      </c>
      <c r="L227" s="95" t="s">
        <v>910</v>
      </c>
      <c r="M227" s="101" t="str">
        <f t="shared" si="4"/>
        <v>View on Google Map</v>
      </c>
    </row>
    <row r="228" spans="1:13" x14ac:dyDescent="0.2">
      <c r="A228" s="95">
        <v>175</v>
      </c>
      <c r="B228" s="95" t="s">
        <v>932</v>
      </c>
      <c r="C228" s="95" t="s">
        <v>510</v>
      </c>
      <c r="D228" s="95">
        <v>68.573999999999998</v>
      </c>
      <c r="E228" s="95">
        <v>-149.58356599999999</v>
      </c>
      <c r="F228" s="95">
        <v>774</v>
      </c>
      <c r="G228" s="95" t="s">
        <v>535</v>
      </c>
      <c r="H228" s="95" t="s">
        <v>933</v>
      </c>
      <c r="I228" s="95" t="s">
        <v>934</v>
      </c>
      <c r="J228" s="95" t="s">
        <v>536</v>
      </c>
      <c r="K228" s="95" t="s">
        <v>510</v>
      </c>
      <c r="L228" s="95" t="s">
        <v>925</v>
      </c>
      <c r="M228" s="101" t="str">
        <f t="shared" si="4"/>
        <v>View on Google Map</v>
      </c>
    </row>
    <row r="229" spans="1:13" x14ac:dyDescent="0.2">
      <c r="A229" s="95">
        <v>174</v>
      </c>
      <c r="B229" s="95" t="s">
        <v>935</v>
      </c>
      <c r="C229" s="95" t="s">
        <v>510</v>
      </c>
      <c r="D229" s="95">
        <v>68.572295999999994</v>
      </c>
      <c r="E229" s="95">
        <v>-149.58101400000001</v>
      </c>
      <c r="F229" s="95">
        <v>785</v>
      </c>
      <c r="G229" s="95" t="s">
        <v>535</v>
      </c>
      <c r="H229" s="95" t="s">
        <v>936</v>
      </c>
      <c r="I229" s="95" t="s">
        <v>937</v>
      </c>
      <c r="J229" s="95" t="s">
        <v>536</v>
      </c>
      <c r="K229" s="95" t="s">
        <v>510</v>
      </c>
      <c r="L229" s="95" t="s">
        <v>925</v>
      </c>
      <c r="M229" s="101" t="str">
        <f t="shared" si="4"/>
        <v>View on Google Map</v>
      </c>
    </row>
    <row r="230" spans="1:13" x14ac:dyDescent="0.2">
      <c r="A230" s="95">
        <v>112</v>
      </c>
      <c r="B230" s="95" t="s">
        <v>938</v>
      </c>
      <c r="C230" s="95" t="s">
        <v>510</v>
      </c>
      <c r="D230" s="95">
        <v>68.571319563299994</v>
      </c>
      <c r="E230" s="95">
        <v>-149.56588161799999</v>
      </c>
      <c r="F230" s="95">
        <v>785</v>
      </c>
      <c r="G230" s="95" t="s">
        <v>521</v>
      </c>
      <c r="H230" s="95" t="s">
        <v>939</v>
      </c>
      <c r="I230" s="95" t="s">
        <v>940</v>
      </c>
      <c r="J230" s="95" t="s">
        <v>536</v>
      </c>
      <c r="K230" s="95" t="s">
        <v>510</v>
      </c>
      <c r="L230" s="95" t="s">
        <v>910</v>
      </c>
      <c r="M230" s="101" t="str">
        <f t="shared" si="4"/>
        <v>View on Google Map</v>
      </c>
    </row>
    <row r="231" spans="1:13" x14ac:dyDescent="0.2">
      <c r="A231" s="95">
        <v>176</v>
      </c>
      <c r="B231" s="95" t="s">
        <v>941</v>
      </c>
      <c r="C231" s="95" t="s">
        <v>510</v>
      </c>
      <c r="D231" s="95">
        <v>68.574783330000002</v>
      </c>
      <c r="E231" s="95">
        <v>-149.58205000000001</v>
      </c>
      <c r="F231" s="95">
        <v>774</v>
      </c>
      <c r="G231" s="95" t="s">
        <v>535</v>
      </c>
      <c r="H231" s="95" t="s">
        <v>942</v>
      </c>
      <c r="I231" s="95" t="s">
        <v>943</v>
      </c>
      <c r="J231" s="95" t="s">
        <v>536</v>
      </c>
      <c r="K231" s="95" t="s">
        <v>510</v>
      </c>
      <c r="L231" s="95" t="s">
        <v>925</v>
      </c>
      <c r="M231" s="101" t="str">
        <f t="shared" si="4"/>
        <v>View on Google Map</v>
      </c>
    </row>
    <row r="232" spans="1:13" x14ac:dyDescent="0.2">
      <c r="A232" s="95">
        <v>173</v>
      </c>
      <c r="B232" s="95" t="s">
        <v>944</v>
      </c>
      <c r="C232" s="95" t="s">
        <v>510</v>
      </c>
      <c r="D232" s="95">
        <v>68.572546000000003</v>
      </c>
      <c r="E232" s="95">
        <v>-149.570268</v>
      </c>
      <c r="F232" s="95">
        <v>785</v>
      </c>
      <c r="G232" s="95" t="s">
        <v>535</v>
      </c>
      <c r="H232" s="95" t="s">
        <v>945</v>
      </c>
      <c r="I232" s="95" t="s">
        <v>946</v>
      </c>
      <c r="J232" s="95" t="s">
        <v>536</v>
      </c>
      <c r="K232" s="95" t="s">
        <v>510</v>
      </c>
      <c r="L232" s="95" t="s">
        <v>925</v>
      </c>
      <c r="M232" s="101" t="str">
        <f t="shared" si="4"/>
        <v>View on Google Map</v>
      </c>
    </row>
    <row r="233" spans="1:13" x14ac:dyDescent="0.2">
      <c r="A233" s="95">
        <v>113</v>
      </c>
      <c r="B233" s="95" t="s">
        <v>947</v>
      </c>
      <c r="C233" s="95" t="s">
        <v>510</v>
      </c>
      <c r="D233" s="95">
        <v>68.575536630100004</v>
      </c>
      <c r="E233" s="95">
        <v>-149.583644456</v>
      </c>
      <c r="F233" s="95">
        <v>774</v>
      </c>
      <c r="G233" s="95" t="s">
        <v>521</v>
      </c>
      <c r="H233" s="95" t="s">
        <v>948</v>
      </c>
      <c r="I233" s="95" t="s">
        <v>949</v>
      </c>
      <c r="J233" s="95" t="s">
        <v>536</v>
      </c>
      <c r="K233" s="95" t="s">
        <v>510</v>
      </c>
      <c r="L233" s="95" t="s">
        <v>910</v>
      </c>
      <c r="M233" s="101" t="str">
        <f t="shared" si="4"/>
        <v>View on Google Map</v>
      </c>
    </row>
    <row r="234" spans="1:13" x14ac:dyDescent="0.2">
      <c r="A234" s="95">
        <v>177</v>
      </c>
      <c r="B234" s="95" t="s">
        <v>950</v>
      </c>
      <c r="C234" s="95" t="s">
        <v>510</v>
      </c>
      <c r="D234" s="95">
        <v>68.577539999999999</v>
      </c>
      <c r="E234" s="95">
        <v>-149.58200299999999</v>
      </c>
      <c r="F234" s="95">
        <v>774</v>
      </c>
      <c r="G234" s="95" t="s">
        <v>535</v>
      </c>
      <c r="H234" s="95" t="s">
        <v>951</v>
      </c>
      <c r="I234" s="95" t="s">
        <v>952</v>
      </c>
      <c r="J234" s="95" t="s">
        <v>536</v>
      </c>
      <c r="K234" s="95" t="s">
        <v>510</v>
      </c>
      <c r="L234" s="95" t="s">
        <v>925</v>
      </c>
      <c r="M234" s="101" t="str">
        <f t="shared" si="4"/>
        <v>View on Google Map</v>
      </c>
    </row>
    <row r="235" spans="1:13" x14ac:dyDescent="0.2">
      <c r="A235" s="95">
        <v>114</v>
      </c>
      <c r="B235" s="95" t="s">
        <v>953</v>
      </c>
      <c r="C235" s="95" t="s">
        <v>510</v>
      </c>
      <c r="D235" s="95">
        <v>68.579567150000003</v>
      </c>
      <c r="E235" s="95">
        <v>-149.58405938000001</v>
      </c>
      <c r="F235" s="95">
        <v>770</v>
      </c>
      <c r="G235" s="95" t="s">
        <v>521</v>
      </c>
      <c r="H235" s="95" t="s">
        <v>954</v>
      </c>
      <c r="I235" s="95" t="s">
        <v>955</v>
      </c>
      <c r="J235" s="95" t="s">
        <v>536</v>
      </c>
      <c r="K235" s="95" t="s">
        <v>510</v>
      </c>
      <c r="L235" s="95" t="s">
        <v>910</v>
      </c>
      <c r="M235" s="101" t="str">
        <f t="shared" si="4"/>
        <v>View on Google Map</v>
      </c>
    </row>
    <row r="236" spans="1:13" x14ac:dyDescent="0.2">
      <c r="A236" s="95">
        <v>179</v>
      </c>
      <c r="B236" s="95" t="s">
        <v>956</v>
      </c>
      <c r="C236" s="95" t="s">
        <v>510</v>
      </c>
      <c r="D236" s="95">
        <v>68.584233330000004</v>
      </c>
      <c r="E236" s="95">
        <v>-149.58359999999999</v>
      </c>
      <c r="F236" s="95">
        <v>770</v>
      </c>
      <c r="G236" s="95" t="s">
        <v>535</v>
      </c>
      <c r="H236" s="95" t="s">
        <v>957</v>
      </c>
      <c r="I236" s="95" t="s">
        <v>958</v>
      </c>
      <c r="J236" s="95" t="s">
        <v>536</v>
      </c>
      <c r="K236" s="95" t="s">
        <v>510</v>
      </c>
      <c r="L236" s="95" t="s">
        <v>925</v>
      </c>
      <c r="M236" s="101" t="str">
        <f t="shared" si="4"/>
        <v>View on Google Map</v>
      </c>
    </row>
    <row r="237" spans="1:13" x14ac:dyDescent="0.2">
      <c r="A237" s="95">
        <v>178</v>
      </c>
      <c r="B237" s="95" t="s">
        <v>959</v>
      </c>
      <c r="C237" s="95" t="s">
        <v>510</v>
      </c>
      <c r="D237" s="95">
        <v>68.581429999999997</v>
      </c>
      <c r="E237" s="95">
        <v>-149.58609999999999</v>
      </c>
      <c r="F237" s="95">
        <v>770</v>
      </c>
      <c r="G237" s="95" t="s">
        <v>535</v>
      </c>
      <c r="H237" s="95" t="s">
        <v>960</v>
      </c>
      <c r="I237" s="95" t="s">
        <v>961</v>
      </c>
      <c r="J237" s="95" t="s">
        <v>536</v>
      </c>
      <c r="K237" s="95" t="s">
        <v>510</v>
      </c>
      <c r="L237" s="95" t="s">
        <v>925</v>
      </c>
      <c r="M237" s="101" t="str">
        <f t="shared" si="4"/>
        <v>View on Google Map</v>
      </c>
    </row>
    <row r="238" spans="1:13" x14ac:dyDescent="0.2">
      <c r="A238" s="95">
        <v>115</v>
      </c>
      <c r="B238" s="95" t="s">
        <v>962</v>
      </c>
      <c r="C238" s="95" t="s">
        <v>510</v>
      </c>
      <c r="D238" s="95">
        <v>68.587387439099999</v>
      </c>
      <c r="E238" s="95">
        <v>-149.589625877</v>
      </c>
      <c r="F238" s="95">
        <v>767</v>
      </c>
      <c r="G238" s="95" t="s">
        <v>521</v>
      </c>
      <c r="H238" s="95" t="s">
        <v>963</v>
      </c>
      <c r="I238" s="95" t="s">
        <v>964</v>
      </c>
      <c r="J238" s="95" t="s">
        <v>536</v>
      </c>
      <c r="K238" s="95" t="s">
        <v>510</v>
      </c>
      <c r="L238" s="95" t="s">
        <v>910</v>
      </c>
      <c r="M238" s="101" t="str">
        <f t="shared" si="4"/>
        <v>View on Google Map</v>
      </c>
    </row>
    <row r="239" spans="1:13" x14ac:dyDescent="0.2">
      <c r="A239" s="95">
        <v>181</v>
      </c>
      <c r="B239" s="95" t="s">
        <v>965</v>
      </c>
      <c r="C239" s="95" t="s">
        <v>510</v>
      </c>
      <c r="D239" s="95">
        <v>68.594916670000003</v>
      </c>
      <c r="E239" s="95">
        <v>-149.58631600000001</v>
      </c>
      <c r="F239" s="95">
        <v>754</v>
      </c>
      <c r="G239" s="95" t="s">
        <v>535</v>
      </c>
      <c r="H239" s="95" t="s">
        <v>966</v>
      </c>
      <c r="I239" s="95" t="s">
        <v>967</v>
      </c>
      <c r="J239" s="95" t="s">
        <v>536</v>
      </c>
      <c r="K239" s="95" t="s">
        <v>510</v>
      </c>
      <c r="L239" s="95" t="s">
        <v>925</v>
      </c>
      <c r="M239" s="101" t="str">
        <f t="shared" si="4"/>
        <v>View on Google Map</v>
      </c>
    </row>
    <row r="240" spans="1:13" x14ac:dyDescent="0.2">
      <c r="A240" s="95">
        <v>180</v>
      </c>
      <c r="B240" s="95" t="s">
        <v>968</v>
      </c>
      <c r="C240" s="95" t="s">
        <v>510</v>
      </c>
      <c r="D240" s="95">
        <v>68.589087000000006</v>
      </c>
      <c r="E240" s="95">
        <v>-149.58921900000001</v>
      </c>
      <c r="F240" s="95">
        <v>767</v>
      </c>
      <c r="G240" s="95" t="s">
        <v>535</v>
      </c>
      <c r="H240" s="95" t="s">
        <v>969</v>
      </c>
      <c r="I240" s="95" t="s">
        <v>970</v>
      </c>
      <c r="J240" s="95" t="s">
        <v>536</v>
      </c>
      <c r="K240" s="95" t="s">
        <v>510</v>
      </c>
      <c r="L240" s="95" t="s">
        <v>925</v>
      </c>
      <c r="M240" s="101" t="str">
        <f t="shared" si="4"/>
        <v>View on Google Map</v>
      </c>
    </row>
    <row r="241" spans="1:13" x14ac:dyDescent="0.2">
      <c r="A241" s="95">
        <v>116</v>
      </c>
      <c r="B241" s="95" t="s">
        <v>971</v>
      </c>
      <c r="C241" s="95" t="s">
        <v>510</v>
      </c>
      <c r="D241" s="95">
        <v>68.596592403900004</v>
      </c>
      <c r="E241" s="95">
        <v>-149.59264335</v>
      </c>
      <c r="F241" s="95">
        <v>754</v>
      </c>
      <c r="G241" s="95" t="s">
        <v>521</v>
      </c>
      <c r="H241" s="95" t="s">
        <v>972</v>
      </c>
      <c r="I241" s="95" t="s">
        <v>973</v>
      </c>
      <c r="J241" s="95" t="s">
        <v>536</v>
      </c>
      <c r="K241" s="95" t="s">
        <v>510</v>
      </c>
      <c r="L241" s="95" t="s">
        <v>910</v>
      </c>
      <c r="M241" s="101" t="str">
        <f t="shared" si="4"/>
        <v>View on Google Map</v>
      </c>
    </row>
    <row r="242" spans="1:13" x14ac:dyDescent="0.2">
      <c r="A242" s="95">
        <v>431</v>
      </c>
      <c r="B242" s="95" t="s">
        <v>974</v>
      </c>
      <c r="C242" s="95" t="s">
        <v>510</v>
      </c>
      <c r="D242" s="95">
        <v>68.582061999999993</v>
      </c>
      <c r="E242" s="95">
        <v>-149.62293199999999</v>
      </c>
      <c r="F242" s="95">
        <v>806</v>
      </c>
      <c r="G242" s="95" t="s">
        <v>521</v>
      </c>
      <c r="H242" s="95" t="s">
        <v>975</v>
      </c>
      <c r="I242" s="95" t="s">
        <v>976</v>
      </c>
      <c r="J242" s="95" t="s">
        <v>536</v>
      </c>
      <c r="K242" s="95" t="s">
        <v>510</v>
      </c>
      <c r="L242" s="95" t="s">
        <v>910</v>
      </c>
      <c r="M242" s="101" t="str">
        <f t="shared" si="4"/>
        <v>View on Google Map</v>
      </c>
    </row>
    <row r="243" spans="1:13" x14ac:dyDescent="0.2">
      <c r="A243" s="95">
        <v>444</v>
      </c>
      <c r="B243" s="95" t="s">
        <v>977</v>
      </c>
      <c r="C243" s="95" t="s">
        <v>510</v>
      </c>
      <c r="D243" s="95">
        <v>68.578643</v>
      </c>
      <c r="E243" s="95">
        <v>-149.62110200000001</v>
      </c>
      <c r="F243" s="95">
        <v>808</v>
      </c>
      <c r="G243" s="95" t="s">
        <v>535</v>
      </c>
      <c r="H243" s="95" t="s">
        <v>978</v>
      </c>
      <c r="I243" s="95" t="s">
        <v>979</v>
      </c>
      <c r="J243" s="95" t="s">
        <v>536</v>
      </c>
      <c r="K243" s="95" t="s">
        <v>510</v>
      </c>
      <c r="L243" s="95" t="s">
        <v>925</v>
      </c>
      <c r="M243" s="101" t="str">
        <f t="shared" si="4"/>
        <v>View on Google Map</v>
      </c>
    </row>
    <row r="244" spans="1:13" x14ac:dyDescent="0.2">
      <c r="A244" s="95">
        <v>535</v>
      </c>
      <c r="B244" s="95" t="s">
        <v>980</v>
      </c>
      <c r="C244" s="95" t="s">
        <v>981</v>
      </c>
      <c r="D244" s="95">
        <v>68.585839000000007</v>
      </c>
      <c r="E244" s="95">
        <v>-149.62222299999999</v>
      </c>
      <c r="F244" s="95">
        <v>805</v>
      </c>
      <c r="G244" s="95" t="s">
        <v>535</v>
      </c>
      <c r="H244" s="95" t="s">
        <v>510</v>
      </c>
      <c r="I244" s="95" t="s">
        <v>510</v>
      </c>
      <c r="J244" s="95" t="s">
        <v>522</v>
      </c>
      <c r="K244" s="95" t="s">
        <v>510</v>
      </c>
      <c r="L244" s="95" t="s">
        <v>982</v>
      </c>
      <c r="M244" s="101" t="str">
        <f t="shared" si="4"/>
        <v>View on Google Map</v>
      </c>
    </row>
    <row r="245" spans="1:13" x14ac:dyDescent="0.2">
      <c r="A245" s="95">
        <v>536</v>
      </c>
      <c r="B245" s="95" t="s">
        <v>983</v>
      </c>
      <c r="C245" s="95" t="s">
        <v>981</v>
      </c>
      <c r="D245" s="95">
        <v>68.591329999999999</v>
      </c>
      <c r="E245" s="95">
        <v>-149.61154199999999</v>
      </c>
      <c r="F245" s="95">
        <v>775</v>
      </c>
      <c r="G245" s="95" t="s">
        <v>535</v>
      </c>
      <c r="H245" s="95" t="s">
        <v>510</v>
      </c>
      <c r="I245" s="95" t="s">
        <v>510</v>
      </c>
      <c r="J245" s="95" t="s">
        <v>522</v>
      </c>
      <c r="K245" s="95" t="s">
        <v>510</v>
      </c>
      <c r="L245" s="95" t="s">
        <v>982</v>
      </c>
      <c r="M245" s="101" t="str">
        <f t="shared" si="4"/>
        <v>View on Google Map</v>
      </c>
    </row>
    <row r="246" spans="1:13" x14ac:dyDescent="0.2">
      <c r="A246" s="95">
        <v>445</v>
      </c>
      <c r="B246" s="95" t="s">
        <v>984</v>
      </c>
      <c r="C246" s="95" t="s">
        <v>510</v>
      </c>
      <c r="D246" s="95">
        <v>68.583569999999995</v>
      </c>
      <c r="E246" s="95">
        <v>-149.62384</v>
      </c>
      <c r="F246" s="95">
        <v>808</v>
      </c>
      <c r="G246" s="95" t="s">
        <v>535</v>
      </c>
      <c r="H246" s="95" t="s">
        <v>985</v>
      </c>
      <c r="I246" s="95" t="s">
        <v>986</v>
      </c>
      <c r="J246" s="95" t="s">
        <v>536</v>
      </c>
      <c r="K246" s="95" t="s">
        <v>510</v>
      </c>
      <c r="L246" s="95" t="s">
        <v>925</v>
      </c>
      <c r="M246" s="101" t="str">
        <f t="shared" si="4"/>
        <v>View on Google Map</v>
      </c>
    </row>
    <row r="247" spans="1:13" x14ac:dyDescent="0.2">
      <c r="A247" s="95">
        <v>182</v>
      </c>
      <c r="B247" s="95" t="s">
        <v>987</v>
      </c>
      <c r="C247" s="95" t="s">
        <v>510</v>
      </c>
      <c r="D247" s="95">
        <v>68.596883329999997</v>
      </c>
      <c r="E247" s="95">
        <v>-149.60124999999999</v>
      </c>
      <c r="F247" s="95">
        <v>754</v>
      </c>
      <c r="G247" s="95" t="s">
        <v>535</v>
      </c>
      <c r="H247" s="95" t="s">
        <v>988</v>
      </c>
      <c r="I247" s="95" t="s">
        <v>989</v>
      </c>
      <c r="J247" s="95" t="s">
        <v>536</v>
      </c>
      <c r="K247" s="95" t="s">
        <v>510</v>
      </c>
      <c r="L247" s="95" t="s">
        <v>925</v>
      </c>
      <c r="M247" s="101" t="str">
        <f t="shared" si="4"/>
        <v>View on Google Map</v>
      </c>
    </row>
    <row r="248" spans="1:13" x14ac:dyDescent="0.2">
      <c r="A248" s="95">
        <v>183</v>
      </c>
      <c r="B248" s="95" t="s">
        <v>990</v>
      </c>
      <c r="C248" s="95" t="s">
        <v>510</v>
      </c>
      <c r="D248" s="95">
        <v>68.598684000000006</v>
      </c>
      <c r="E248" s="95">
        <v>-149.599853</v>
      </c>
      <c r="F248" s="95">
        <v>754</v>
      </c>
      <c r="G248" s="95" t="s">
        <v>535</v>
      </c>
      <c r="H248" s="95" t="s">
        <v>991</v>
      </c>
      <c r="I248" s="95" t="s">
        <v>992</v>
      </c>
      <c r="J248" s="95" t="s">
        <v>536</v>
      </c>
      <c r="K248" s="95" t="s">
        <v>510</v>
      </c>
      <c r="L248" s="95" t="s">
        <v>925</v>
      </c>
      <c r="M248" s="101" t="str">
        <f t="shared" si="4"/>
        <v>View on Google Map</v>
      </c>
    </row>
    <row r="249" spans="1:13" x14ac:dyDescent="0.2">
      <c r="A249" s="95">
        <v>117</v>
      </c>
      <c r="B249" s="95" t="s">
        <v>993</v>
      </c>
      <c r="C249" s="95" t="s">
        <v>510</v>
      </c>
      <c r="D249" s="95">
        <v>68.600874798199996</v>
      </c>
      <c r="E249" s="95">
        <v>-149.596582063</v>
      </c>
      <c r="F249" s="95">
        <v>742</v>
      </c>
      <c r="G249" s="95" t="s">
        <v>521</v>
      </c>
      <c r="H249" s="95" t="s">
        <v>994</v>
      </c>
      <c r="I249" s="95" t="s">
        <v>995</v>
      </c>
      <c r="J249" s="95" t="s">
        <v>536</v>
      </c>
      <c r="K249" s="95" t="s">
        <v>510</v>
      </c>
      <c r="L249" s="95" t="s">
        <v>910</v>
      </c>
      <c r="M249" s="101" t="str">
        <f t="shared" si="4"/>
        <v>View on Google Map</v>
      </c>
    </row>
    <row r="250" spans="1:13" x14ac:dyDescent="0.2">
      <c r="A250" s="95">
        <v>187</v>
      </c>
      <c r="B250" s="95" t="s">
        <v>996</v>
      </c>
      <c r="C250" s="95" t="s">
        <v>510</v>
      </c>
      <c r="D250" s="95">
        <v>68.618183329999994</v>
      </c>
      <c r="E250" s="95">
        <v>-149.596766</v>
      </c>
      <c r="F250" s="95">
        <v>728</v>
      </c>
      <c r="G250" s="95" t="s">
        <v>535</v>
      </c>
      <c r="H250" s="95" t="s">
        <v>997</v>
      </c>
      <c r="I250" s="95" t="s">
        <v>998</v>
      </c>
      <c r="J250" s="95" t="s">
        <v>536</v>
      </c>
      <c r="K250" s="95" t="s">
        <v>510</v>
      </c>
      <c r="L250" s="95" t="s">
        <v>925</v>
      </c>
      <c r="M250" s="101" t="str">
        <f t="shared" si="4"/>
        <v>View on Google Map</v>
      </c>
    </row>
    <row r="251" spans="1:13" x14ac:dyDescent="0.2">
      <c r="A251" s="95">
        <v>184</v>
      </c>
      <c r="B251" s="95" t="s">
        <v>999</v>
      </c>
      <c r="C251" s="95" t="s">
        <v>510</v>
      </c>
      <c r="D251" s="95">
        <v>68.601830000000007</v>
      </c>
      <c r="E251" s="95">
        <v>-149.59671299999999</v>
      </c>
      <c r="F251" s="95">
        <v>742</v>
      </c>
      <c r="G251" s="95" t="s">
        <v>535</v>
      </c>
      <c r="H251" s="95" t="s">
        <v>1000</v>
      </c>
      <c r="I251" s="95" t="s">
        <v>1001</v>
      </c>
      <c r="J251" s="95" t="s">
        <v>536</v>
      </c>
      <c r="K251" s="95" t="s">
        <v>510</v>
      </c>
      <c r="L251" s="95" t="s">
        <v>925</v>
      </c>
      <c r="M251" s="101" t="str">
        <f t="shared" si="4"/>
        <v>View on Google Map</v>
      </c>
    </row>
    <row r="252" spans="1:13" x14ac:dyDescent="0.2">
      <c r="A252" s="95">
        <v>118</v>
      </c>
      <c r="B252" s="95" t="s">
        <v>1002</v>
      </c>
      <c r="C252" s="95" t="s">
        <v>510</v>
      </c>
      <c r="D252" s="95">
        <v>68.6101575207</v>
      </c>
      <c r="E252" s="95">
        <v>-149.582211513</v>
      </c>
      <c r="F252" s="95">
        <v>744</v>
      </c>
      <c r="G252" s="95" t="s">
        <v>521</v>
      </c>
      <c r="H252" s="95" t="s">
        <v>1003</v>
      </c>
      <c r="I252" s="95" t="s">
        <v>1004</v>
      </c>
      <c r="J252" s="95" t="s">
        <v>536</v>
      </c>
      <c r="K252" s="95" t="s">
        <v>510</v>
      </c>
      <c r="L252" s="95" t="s">
        <v>910</v>
      </c>
      <c r="M252" s="101" t="str">
        <f t="shared" si="4"/>
        <v>View on Google Map</v>
      </c>
    </row>
    <row r="253" spans="1:13" x14ac:dyDescent="0.2">
      <c r="A253" s="95">
        <v>172</v>
      </c>
      <c r="B253" s="95" t="s">
        <v>1005</v>
      </c>
      <c r="C253" s="95" t="s">
        <v>510</v>
      </c>
      <c r="D253" s="95">
        <v>68.573666666666668</v>
      </c>
      <c r="E253" s="95">
        <v>-149.53716666666699</v>
      </c>
      <c r="F253" s="95">
        <v>808</v>
      </c>
      <c r="G253" s="95" t="s">
        <v>535</v>
      </c>
      <c r="H253" s="95" t="s">
        <v>1006</v>
      </c>
      <c r="I253" s="95" t="s">
        <v>1007</v>
      </c>
      <c r="J253" s="95" t="s">
        <v>536</v>
      </c>
      <c r="K253" s="95" t="s">
        <v>510</v>
      </c>
      <c r="L253" s="95" t="s">
        <v>925</v>
      </c>
      <c r="M253" s="101" t="str">
        <f t="shared" si="4"/>
        <v>View on Google Map</v>
      </c>
    </row>
    <row r="254" spans="1:13" x14ac:dyDescent="0.2">
      <c r="A254" s="95">
        <v>533</v>
      </c>
      <c r="B254" s="95" t="s">
        <v>1008</v>
      </c>
      <c r="C254" s="95" t="s">
        <v>981</v>
      </c>
      <c r="D254" s="95">
        <v>68.599999999999994</v>
      </c>
      <c r="E254" s="95">
        <v>-149.57599999999999</v>
      </c>
      <c r="F254" s="95">
        <v>762</v>
      </c>
      <c r="G254" s="95" t="s">
        <v>535</v>
      </c>
      <c r="H254" s="95" t="s">
        <v>510</v>
      </c>
      <c r="I254" s="95" t="s">
        <v>510</v>
      </c>
      <c r="J254" s="95" t="s">
        <v>522</v>
      </c>
      <c r="K254" s="95" t="s">
        <v>510</v>
      </c>
      <c r="L254" s="95" t="s">
        <v>982</v>
      </c>
      <c r="M254" s="101" t="str">
        <f t="shared" si="4"/>
        <v>View on Google Map</v>
      </c>
    </row>
    <row r="255" spans="1:13" x14ac:dyDescent="0.2">
      <c r="A255" s="95">
        <v>534</v>
      </c>
      <c r="B255" s="95" t="s">
        <v>1009</v>
      </c>
      <c r="C255" s="95" t="s">
        <v>981</v>
      </c>
      <c r="D255" s="95">
        <v>68.601493000000005</v>
      </c>
      <c r="E255" s="95">
        <v>-149.579071</v>
      </c>
      <c r="F255" s="95">
        <v>760</v>
      </c>
      <c r="G255" s="95" t="s">
        <v>535</v>
      </c>
      <c r="H255" s="95" t="s">
        <v>510</v>
      </c>
      <c r="I255" s="95" t="s">
        <v>510</v>
      </c>
      <c r="J255" s="95" t="s">
        <v>522</v>
      </c>
      <c r="K255" s="95" t="s">
        <v>510</v>
      </c>
      <c r="L255" s="95" t="s">
        <v>982</v>
      </c>
      <c r="M255" s="101" t="str">
        <f t="shared" si="4"/>
        <v>View on Google Map</v>
      </c>
    </row>
    <row r="256" spans="1:13" x14ac:dyDescent="0.2">
      <c r="A256" s="95">
        <v>185</v>
      </c>
      <c r="B256" s="95" t="s">
        <v>1010</v>
      </c>
      <c r="C256" s="95" t="s">
        <v>510</v>
      </c>
      <c r="D256" s="95">
        <v>68.60853333</v>
      </c>
      <c r="E256" s="95">
        <v>-149.58763300000001</v>
      </c>
      <c r="F256" s="95">
        <v>744</v>
      </c>
      <c r="G256" s="95" t="s">
        <v>535</v>
      </c>
      <c r="H256" s="95" t="s">
        <v>1011</v>
      </c>
      <c r="I256" s="95" t="s">
        <v>1012</v>
      </c>
      <c r="J256" s="95" t="s">
        <v>536</v>
      </c>
      <c r="K256" s="95" t="s">
        <v>510</v>
      </c>
      <c r="L256" s="95" t="s">
        <v>925</v>
      </c>
      <c r="M256" s="101" t="str">
        <f t="shared" si="4"/>
        <v>View on Google Map</v>
      </c>
    </row>
    <row r="257" spans="1:13" x14ac:dyDescent="0.2">
      <c r="A257" s="95">
        <v>547</v>
      </c>
      <c r="B257" s="95" t="s">
        <v>1013</v>
      </c>
      <c r="C257" s="95" t="s">
        <v>1014</v>
      </c>
      <c r="D257" s="95">
        <v>68.611012000000002</v>
      </c>
      <c r="E257" s="95">
        <v>-149.57365200000001</v>
      </c>
      <c r="F257" s="95">
        <v>744</v>
      </c>
      <c r="G257" s="95" t="s">
        <v>535</v>
      </c>
      <c r="H257" s="95" t="s">
        <v>510</v>
      </c>
      <c r="I257" s="95" t="s">
        <v>510</v>
      </c>
      <c r="J257" s="95" t="s">
        <v>1015</v>
      </c>
      <c r="K257" s="95" t="s">
        <v>510</v>
      </c>
      <c r="L257" s="95" t="s">
        <v>1016</v>
      </c>
      <c r="M257" s="101" t="str">
        <f t="shared" si="4"/>
        <v>View on Google Map</v>
      </c>
    </row>
    <row r="258" spans="1:13" x14ac:dyDescent="0.2">
      <c r="A258" s="95">
        <v>548</v>
      </c>
      <c r="B258" s="95" t="s">
        <v>1017</v>
      </c>
      <c r="C258" s="95" t="s">
        <v>1014</v>
      </c>
      <c r="D258" s="95">
        <v>68.612117999999995</v>
      </c>
      <c r="E258" s="95">
        <v>-149.576359</v>
      </c>
      <c r="F258" s="95">
        <v>744</v>
      </c>
      <c r="G258" s="95" t="s">
        <v>535</v>
      </c>
      <c r="H258" s="95" t="s">
        <v>510</v>
      </c>
      <c r="I258" s="95" t="s">
        <v>510</v>
      </c>
      <c r="J258" s="95" t="s">
        <v>1015</v>
      </c>
      <c r="K258" s="95" t="s">
        <v>510</v>
      </c>
      <c r="L258" s="95" t="s">
        <v>1016</v>
      </c>
      <c r="M258" s="101" t="str">
        <f t="shared" si="4"/>
        <v>View on Google Map</v>
      </c>
    </row>
    <row r="259" spans="1:13" x14ac:dyDescent="0.2">
      <c r="A259" s="95">
        <v>546</v>
      </c>
      <c r="B259" s="95" t="s">
        <v>1018</v>
      </c>
      <c r="C259" s="95" t="s">
        <v>1014</v>
      </c>
      <c r="D259" s="95">
        <v>68.608949999999993</v>
      </c>
      <c r="E259" s="95">
        <v>-149.57907399999999</v>
      </c>
      <c r="F259" s="95">
        <v>744</v>
      </c>
      <c r="G259" s="95" t="s">
        <v>535</v>
      </c>
      <c r="H259" s="95" t="s">
        <v>510</v>
      </c>
      <c r="I259" s="95" t="s">
        <v>510</v>
      </c>
      <c r="J259" s="95" t="s">
        <v>1015</v>
      </c>
      <c r="K259" s="95" t="s">
        <v>510</v>
      </c>
      <c r="L259" s="95" t="s">
        <v>1016</v>
      </c>
      <c r="M259" s="101" t="str">
        <f t="shared" ref="M259:M322" si="5">HYPERLINK("http://maps.google.com/maps?q="&amp;D259&amp;","&amp;E259,"View on Google Map")</f>
        <v>View on Google Map</v>
      </c>
    </row>
    <row r="260" spans="1:13" x14ac:dyDescent="0.2">
      <c r="A260" s="95">
        <v>545</v>
      </c>
      <c r="B260" s="95" t="s">
        <v>1019</v>
      </c>
      <c r="C260" s="95" t="s">
        <v>1014</v>
      </c>
      <c r="D260" s="95">
        <v>68.609307999999999</v>
      </c>
      <c r="E260" s="95">
        <v>-149.57375200000001</v>
      </c>
      <c r="F260" s="95">
        <v>744</v>
      </c>
      <c r="G260" s="95" t="s">
        <v>535</v>
      </c>
      <c r="H260" s="95" t="s">
        <v>510</v>
      </c>
      <c r="I260" s="95" t="s">
        <v>510</v>
      </c>
      <c r="J260" s="95" t="s">
        <v>1015</v>
      </c>
      <c r="K260" s="95" t="s">
        <v>510</v>
      </c>
      <c r="L260" s="95" t="s">
        <v>1016</v>
      </c>
      <c r="M260" s="101" t="str">
        <f t="shared" si="5"/>
        <v>View on Google Map</v>
      </c>
    </row>
    <row r="261" spans="1:13" x14ac:dyDescent="0.2">
      <c r="A261" s="95">
        <v>549</v>
      </c>
      <c r="B261" s="95" t="s">
        <v>1020</v>
      </c>
      <c r="C261" s="95" t="s">
        <v>510</v>
      </c>
      <c r="D261" s="95" t="s">
        <v>510</v>
      </c>
      <c r="E261" s="95" t="s">
        <v>510</v>
      </c>
      <c r="F261" s="95" t="s">
        <v>510</v>
      </c>
      <c r="G261" s="95" t="s">
        <v>535</v>
      </c>
      <c r="H261" s="95" t="s">
        <v>510</v>
      </c>
      <c r="I261" s="95" t="s">
        <v>510</v>
      </c>
      <c r="J261" s="95" t="s">
        <v>522</v>
      </c>
      <c r="K261" s="95" t="s">
        <v>510</v>
      </c>
      <c r="L261" s="95" t="s">
        <v>1021</v>
      </c>
      <c r="M261" s="101" t="str">
        <f t="shared" si="5"/>
        <v>View on Google Map</v>
      </c>
    </row>
    <row r="262" spans="1:13" x14ac:dyDescent="0.2">
      <c r="A262" s="95">
        <v>188</v>
      </c>
      <c r="B262" s="95" t="s">
        <v>1022</v>
      </c>
      <c r="C262" s="95" t="s">
        <v>510</v>
      </c>
      <c r="D262" s="95">
        <v>68.61838333</v>
      </c>
      <c r="E262" s="95">
        <v>-149.59649999999999</v>
      </c>
      <c r="F262" s="95">
        <v>728</v>
      </c>
      <c r="G262" s="95" t="s">
        <v>535</v>
      </c>
      <c r="H262" s="95" t="s">
        <v>1023</v>
      </c>
      <c r="I262" s="95" t="s">
        <v>1024</v>
      </c>
      <c r="J262" s="95" t="s">
        <v>536</v>
      </c>
      <c r="K262" s="95" t="s">
        <v>510</v>
      </c>
      <c r="L262" s="95" t="s">
        <v>925</v>
      </c>
      <c r="M262" s="101" t="str">
        <f t="shared" si="5"/>
        <v>View on Google Map</v>
      </c>
    </row>
    <row r="263" spans="1:13" x14ac:dyDescent="0.2">
      <c r="A263" s="95">
        <v>541</v>
      </c>
      <c r="B263" s="95" t="s">
        <v>1025</v>
      </c>
      <c r="C263" s="95" t="s">
        <v>1014</v>
      </c>
      <c r="D263" s="95">
        <v>68.609846000000005</v>
      </c>
      <c r="E263" s="95">
        <v>-149.58295100000001</v>
      </c>
      <c r="F263" s="95">
        <v>744</v>
      </c>
      <c r="G263" s="95" t="s">
        <v>521</v>
      </c>
      <c r="H263" s="95" t="s">
        <v>510</v>
      </c>
      <c r="I263" s="95" t="s">
        <v>510</v>
      </c>
      <c r="J263" s="95" t="s">
        <v>1015</v>
      </c>
      <c r="K263" s="95" t="s">
        <v>510</v>
      </c>
      <c r="L263" s="95" t="s">
        <v>1016</v>
      </c>
      <c r="M263" s="101" t="str">
        <f t="shared" si="5"/>
        <v>View on Google Map</v>
      </c>
    </row>
    <row r="264" spans="1:13" x14ac:dyDescent="0.2">
      <c r="A264" s="95">
        <v>539</v>
      </c>
      <c r="B264" s="95" t="s">
        <v>1026</v>
      </c>
      <c r="C264" s="95" t="s">
        <v>1014</v>
      </c>
      <c r="D264" s="95">
        <v>68.610575999999995</v>
      </c>
      <c r="E264" s="95">
        <v>-149.576018</v>
      </c>
      <c r="F264" s="95">
        <v>744</v>
      </c>
      <c r="G264" s="95" t="s">
        <v>521</v>
      </c>
      <c r="H264" s="95" t="s">
        <v>510</v>
      </c>
      <c r="I264" s="95" t="s">
        <v>510</v>
      </c>
      <c r="J264" s="95" t="s">
        <v>1015</v>
      </c>
      <c r="K264" s="95" t="s">
        <v>510</v>
      </c>
      <c r="L264" s="95" t="s">
        <v>1016</v>
      </c>
      <c r="M264" s="101" t="str">
        <f t="shared" si="5"/>
        <v>View on Google Map</v>
      </c>
    </row>
    <row r="265" spans="1:13" x14ac:dyDescent="0.2">
      <c r="A265" s="95">
        <v>538</v>
      </c>
      <c r="B265" s="95" t="s">
        <v>1027</v>
      </c>
      <c r="C265" s="95" t="s">
        <v>1014</v>
      </c>
      <c r="D265" s="95">
        <v>68.610889</v>
      </c>
      <c r="E265" s="95">
        <v>-149.576108</v>
      </c>
      <c r="F265" s="95">
        <v>744</v>
      </c>
      <c r="G265" s="95" t="s">
        <v>535</v>
      </c>
      <c r="H265" s="95" t="s">
        <v>510</v>
      </c>
      <c r="I265" s="95" t="s">
        <v>510</v>
      </c>
      <c r="J265" s="95" t="s">
        <v>1015</v>
      </c>
      <c r="K265" s="95" t="s">
        <v>510</v>
      </c>
      <c r="L265" s="95" t="s">
        <v>1016</v>
      </c>
      <c r="M265" s="101" t="str">
        <f t="shared" si="5"/>
        <v>View on Google Map</v>
      </c>
    </row>
    <row r="266" spans="1:13" x14ac:dyDescent="0.2">
      <c r="A266" s="95">
        <v>544</v>
      </c>
      <c r="B266" s="95" t="s">
        <v>1028</v>
      </c>
      <c r="C266" s="95" t="s">
        <v>1014</v>
      </c>
      <c r="D266" s="95">
        <v>68.610529</v>
      </c>
      <c r="E266" s="95">
        <v>-149.58864199999999</v>
      </c>
      <c r="F266" s="95">
        <v>744</v>
      </c>
      <c r="G266" s="95" t="s">
        <v>521</v>
      </c>
      <c r="H266" s="95" t="s">
        <v>510</v>
      </c>
      <c r="I266" s="95" t="s">
        <v>510</v>
      </c>
      <c r="J266" s="95" t="s">
        <v>1015</v>
      </c>
      <c r="K266" s="95" t="s">
        <v>510</v>
      </c>
      <c r="L266" s="95" t="s">
        <v>1016</v>
      </c>
      <c r="M266" s="101" t="str">
        <f t="shared" si="5"/>
        <v>View on Google Map</v>
      </c>
    </row>
    <row r="267" spans="1:13" x14ac:dyDescent="0.2">
      <c r="A267" s="95">
        <v>540</v>
      </c>
      <c r="B267" s="95" t="s">
        <v>1029</v>
      </c>
      <c r="C267" s="95" t="s">
        <v>1014</v>
      </c>
      <c r="D267" s="95">
        <v>68.609842</v>
      </c>
      <c r="E267" s="95">
        <v>-149.575346</v>
      </c>
      <c r="F267" s="95">
        <v>744</v>
      </c>
      <c r="G267" s="95" t="s">
        <v>521</v>
      </c>
      <c r="H267" s="95" t="s">
        <v>510</v>
      </c>
      <c r="I267" s="95" t="s">
        <v>510</v>
      </c>
      <c r="J267" s="95" t="s">
        <v>1015</v>
      </c>
      <c r="K267" s="95" t="s">
        <v>510</v>
      </c>
      <c r="L267" s="95" t="s">
        <v>1016</v>
      </c>
      <c r="M267" s="101" t="str">
        <f t="shared" si="5"/>
        <v>View on Google Map</v>
      </c>
    </row>
    <row r="268" spans="1:13" x14ac:dyDescent="0.2">
      <c r="A268" s="95">
        <v>542</v>
      </c>
      <c r="B268" s="95" t="s">
        <v>1030</v>
      </c>
      <c r="C268" s="95" t="s">
        <v>1014</v>
      </c>
      <c r="D268" s="95">
        <v>68.609202999999994</v>
      </c>
      <c r="E268" s="95">
        <v>-149.588257</v>
      </c>
      <c r="F268" s="95">
        <v>744</v>
      </c>
      <c r="G268" s="95" t="s">
        <v>521</v>
      </c>
      <c r="H268" s="95" t="s">
        <v>510</v>
      </c>
      <c r="I268" s="95" t="s">
        <v>510</v>
      </c>
      <c r="J268" s="95" t="s">
        <v>1015</v>
      </c>
      <c r="K268" s="95" t="s">
        <v>510</v>
      </c>
      <c r="L268" s="95" t="s">
        <v>1016</v>
      </c>
      <c r="M268" s="101" t="str">
        <f t="shared" si="5"/>
        <v>View on Google Map</v>
      </c>
    </row>
    <row r="269" spans="1:13" x14ac:dyDescent="0.2">
      <c r="A269" s="95">
        <v>543</v>
      </c>
      <c r="B269" s="95" t="s">
        <v>1031</v>
      </c>
      <c r="C269" s="95" t="s">
        <v>1014</v>
      </c>
      <c r="D269" s="95">
        <v>68.610028</v>
      </c>
      <c r="E269" s="95">
        <v>-149.588391</v>
      </c>
      <c r="F269" s="95">
        <v>744</v>
      </c>
      <c r="G269" s="95" t="s">
        <v>521</v>
      </c>
      <c r="H269" s="95" t="s">
        <v>510</v>
      </c>
      <c r="I269" s="95" t="s">
        <v>510</v>
      </c>
      <c r="J269" s="95" t="s">
        <v>1015</v>
      </c>
      <c r="K269" s="95" t="s">
        <v>510</v>
      </c>
      <c r="L269" s="95" t="s">
        <v>1016</v>
      </c>
      <c r="M269" s="101" t="str">
        <f t="shared" si="5"/>
        <v>View on Google Map</v>
      </c>
    </row>
    <row r="270" spans="1:13" x14ac:dyDescent="0.2">
      <c r="A270" s="95">
        <v>537</v>
      </c>
      <c r="B270" s="95" t="s">
        <v>1032</v>
      </c>
      <c r="C270" s="95" t="s">
        <v>1014</v>
      </c>
      <c r="D270" s="95">
        <v>68.611514</v>
      </c>
      <c r="E270" s="95">
        <v>-149.577617</v>
      </c>
      <c r="F270" s="95">
        <v>744</v>
      </c>
      <c r="G270" s="95" t="s">
        <v>535</v>
      </c>
      <c r="H270" s="95" t="s">
        <v>510</v>
      </c>
      <c r="I270" s="95" t="s">
        <v>510</v>
      </c>
      <c r="J270" s="95" t="s">
        <v>1015</v>
      </c>
      <c r="K270" s="95" t="s">
        <v>510</v>
      </c>
      <c r="L270" s="95" t="s">
        <v>1016</v>
      </c>
      <c r="M270" s="101" t="str">
        <f t="shared" si="5"/>
        <v>View on Google Map</v>
      </c>
    </row>
    <row r="271" spans="1:13" x14ac:dyDescent="0.2">
      <c r="A271" s="95">
        <v>15</v>
      </c>
      <c r="B271" s="95" t="s">
        <v>1033</v>
      </c>
      <c r="C271" s="95" t="s">
        <v>510</v>
      </c>
      <c r="D271" s="95" t="s">
        <v>510</v>
      </c>
      <c r="E271" s="95" t="s">
        <v>510</v>
      </c>
      <c r="F271" s="95">
        <v>744</v>
      </c>
      <c r="G271" s="95" t="s">
        <v>535</v>
      </c>
      <c r="H271" s="95" t="s">
        <v>1034</v>
      </c>
      <c r="I271" s="95" t="s">
        <v>1035</v>
      </c>
      <c r="J271" s="95" t="s">
        <v>536</v>
      </c>
      <c r="K271" s="95">
        <v>186</v>
      </c>
      <c r="L271" s="95" t="s">
        <v>510</v>
      </c>
      <c r="M271" s="101" t="str">
        <f t="shared" si="5"/>
        <v>View on Google Map</v>
      </c>
    </row>
    <row r="272" spans="1:13" x14ac:dyDescent="0.2">
      <c r="A272" s="95">
        <v>305</v>
      </c>
      <c r="B272" s="95" t="s">
        <v>1036</v>
      </c>
      <c r="C272" s="95" t="s">
        <v>1037</v>
      </c>
      <c r="D272" s="95" t="s">
        <v>510</v>
      </c>
      <c r="E272" s="95" t="s">
        <v>510</v>
      </c>
      <c r="F272" s="95" t="s">
        <v>510</v>
      </c>
      <c r="G272" s="95" t="s">
        <v>535</v>
      </c>
      <c r="H272" s="95" t="s">
        <v>1038</v>
      </c>
      <c r="I272" s="95" t="s">
        <v>1039</v>
      </c>
      <c r="J272" s="95" t="s">
        <v>536</v>
      </c>
      <c r="K272" s="95" t="s">
        <v>510</v>
      </c>
      <c r="L272" s="95" t="s">
        <v>925</v>
      </c>
      <c r="M272" s="101" t="str">
        <f t="shared" si="5"/>
        <v>View on Google Map</v>
      </c>
    </row>
    <row r="273" spans="1:13" x14ac:dyDescent="0.2">
      <c r="A273" s="95">
        <v>119</v>
      </c>
      <c r="B273" s="95" t="s">
        <v>1040</v>
      </c>
      <c r="C273" s="95" t="s">
        <v>510</v>
      </c>
      <c r="D273" s="95">
        <v>68.618964513199998</v>
      </c>
      <c r="E273" s="95">
        <v>-149.59549733099999</v>
      </c>
      <c r="F273" s="95">
        <v>728</v>
      </c>
      <c r="G273" s="95" t="s">
        <v>521</v>
      </c>
      <c r="H273" s="95" t="s">
        <v>1041</v>
      </c>
      <c r="I273" s="95" t="s">
        <v>1042</v>
      </c>
      <c r="J273" s="95" t="s">
        <v>536</v>
      </c>
      <c r="K273" s="95" t="s">
        <v>510</v>
      </c>
      <c r="L273" s="95" t="s">
        <v>910</v>
      </c>
      <c r="M273" s="101" t="str">
        <f t="shared" si="5"/>
        <v>View on Google Map</v>
      </c>
    </row>
    <row r="274" spans="1:13" x14ac:dyDescent="0.2">
      <c r="A274" s="95">
        <v>244</v>
      </c>
      <c r="B274" s="95" t="s">
        <v>1043</v>
      </c>
      <c r="C274" s="95" t="s">
        <v>510</v>
      </c>
      <c r="D274" s="95">
        <v>68.619383330000005</v>
      </c>
      <c r="E274" s="95">
        <v>-149.59528299999999</v>
      </c>
      <c r="F274" s="95">
        <v>728</v>
      </c>
      <c r="G274" s="95" t="s">
        <v>535</v>
      </c>
      <c r="H274" s="95" t="s">
        <v>1044</v>
      </c>
      <c r="I274" s="95" t="s">
        <v>1045</v>
      </c>
      <c r="J274" s="95" t="s">
        <v>536</v>
      </c>
      <c r="K274" s="95" t="s">
        <v>510</v>
      </c>
      <c r="L274" s="95" t="s">
        <v>925</v>
      </c>
      <c r="M274" s="101" t="str">
        <f t="shared" si="5"/>
        <v>View on Google Map</v>
      </c>
    </row>
    <row r="275" spans="1:13" x14ac:dyDescent="0.2">
      <c r="B275" s="95" t="s">
        <v>1046</v>
      </c>
      <c r="C275" s="95" t="s">
        <v>907</v>
      </c>
      <c r="D275" s="95">
        <v>68.544377999999995</v>
      </c>
      <c r="E275" s="95">
        <v>-149.521467</v>
      </c>
      <c r="G275" s="95" t="s">
        <v>1047</v>
      </c>
      <c r="J275" s="16" t="s">
        <v>536</v>
      </c>
      <c r="M275" s="101" t="str">
        <f t="shared" si="5"/>
        <v>View on Google Map</v>
      </c>
    </row>
    <row r="276" spans="1:13" x14ac:dyDescent="0.2">
      <c r="B276" s="95" t="s">
        <v>1048</v>
      </c>
      <c r="C276" s="95" t="s">
        <v>907</v>
      </c>
      <c r="D276" s="95">
        <v>68.548204999999996</v>
      </c>
      <c r="E276" s="95">
        <v>-149.52195</v>
      </c>
      <c r="G276" s="95" t="s">
        <v>1047</v>
      </c>
      <c r="J276" s="16" t="s">
        <v>536</v>
      </c>
      <c r="M276" s="101" t="str">
        <f t="shared" si="5"/>
        <v>View on Google Map</v>
      </c>
    </row>
    <row r="277" spans="1:13" x14ac:dyDescent="0.2">
      <c r="B277" s="95" t="s">
        <v>1049</v>
      </c>
      <c r="C277" s="95" t="s">
        <v>907</v>
      </c>
      <c r="D277" s="95">
        <v>68.548062999999999</v>
      </c>
      <c r="E277" s="95">
        <v>-149.521309</v>
      </c>
      <c r="G277" s="95" t="s">
        <v>1047</v>
      </c>
      <c r="J277" s="16" t="s">
        <v>536</v>
      </c>
      <c r="M277" s="101" t="str">
        <f t="shared" si="5"/>
        <v>View on Google Map</v>
      </c>
    </row>
    <row r="278" spans="1:13" x14ac:dyDescent="0.2">
      <c r="B278" s="95" t="s">
        <v>1050</v>
      </c>
      <c r="C278" s="95" t="s">
        <v>907</v>
      </c>
      <c r="D278" s="95">
        <v>68.544113999999993</v>
      </c>
      <c r="E278" s="95">
        <v>-149.52220800000001</v>
      </c>
      <c r="G278" s="95" t="s">
        <v>1047</v>
      </c>
      <c r="J278" s="16" t="s">
        <v>536</v>
      </c>
      <c r="M278" s="101" t="str">
        <f t="shared" si="5"/>
        <v>View on Google Map</v>
      </c>
    </row>
    <row r="279" spans="1:13" x14ac:dyDescent="0.2">
      <c r="B279" s="95" t="s">
        <v>1051</v>
      </c>
      <c r="C279" s="95" t="s">
        <v>907</v>
      </c>
      <c r="D279" s="95">
        <v>68.547873999999993</v>
      </c>
      <c r="E279" s="95">
        <v>-149.52158900000001</v>
      </c>
      <c r="G279" s="95" t="s">
        <v>1047</v>
      </c>
      <c r="J279" s="16" t="s">
        <v>536</v>
      </c>
      <c r="M279" s="101" t="str">
        <f t="shared" si="5"/>
        <v>View on Google Map</v>
      </c>
    </row>
    <row r="280" spans="1:13" x14ac:dyDescent="0.2">
      <c r="B280" s="95" t="s">
        <v>1052</v>
      </c>
      <c r="C280" s="95" t="s">
        <v>907</v>
      </c>
      <c r="D280" s="95">
        <v>68.616620304999998</v>
      </c>
      <c r="E280" s="95">
        <v>-149.31797396100001</v>
      </c>
      <c r="F280" s="95">
        <v>880.55700000000002</v>
      </c>
      <c r="G280" s="95" t="s">
        <v>1047</v>
      </c>
      <c r="J280" s="16" t="s">
        <v>536</v>
      </c>
      <c r="M280" s="101" t="str">
        <f t="shared" si="5"/>
        <v>View on Google Map</v>
      </c>
    </row>
    <row r="281" spans="1:13" x14ac:dyDescent="0.2">
      <c r="B281" s="95" t="s">
        <v>1053</v>
      </c>
      <c r="C281" s="95" t="s">
        <v>907</v>
      </c>
      <c r="D281" s="95">
        <v>68.618287679000005</v>
      </c>
      <c r="E281" s="95">
        <v>-149.318578011</v>
      </c>
      <c r="F281" s="95">
        <v>877.59500000000003</v>
      </c>
      <c r="G281" s="95" t="s">
        <v>1047</v>
      </c>
      <c r="J281" s="16" t="s">
        <v>536</v>
      </c>
      <c r="M281" s="101" t="str">
        <f t="shared" si="5"/>
        <v>View on Google Map</v>
      </c>
    </row>
    <row r="282" spans="1:13" x14ac:dyDescent="0.2">
      <c r="B282" s="95" t="s">
        <v>1054</v>
      </c>
      <c r="C282" s="95" t="s">
        <v>907</v>
      </c>
      <c r="D282" s="95">
        <v>68.619548409999993</v>
      </c>
      <c r="E282" s="95">
        <v>-149.31832187699999</v>
      </c>
      <c r="F282" s="95">
        <v>875.59299999999996</v>
      </c>
      <c r="G282" s="95" t="s">
        <v>1047</v>
      </c>
      <c r="J282" s="16" t="s">
        <v>536</v>
      </c>
      <c r="M282" s="101" t="str">
        <f t="shared" si="5"/>
        <v>View on Google Map</v>
      </c>
    </row>
    <row r="283" spans="1:13" x14ac:dyDescent="0.2">
      <c r="B283" s="95" t="s">
        <v>1055</v>
      </c>
      <c r="C283" s="95" t="s">
        <v>907</v>
      </c>
      <c r="D283" s="95">
        <v>68.621317497999996</v>
      </c>
      <c r="E283" s="95">
        <v>-149.31921364300001</v>
      </c>
      <c r="F283" s="95">
        <v>874.15200000000004</v>
      </c>
      <c r="G283" s="95" t="s">
        <v>1047</v>
      </c>
      <c r="J283" s="16" t="s">
        <v>536</v>
      </c>
      <c r="M283" s="101" t="str">
        <f t="shared" si="5"/>
        <v>View on Google Map</v>
      </c>
    </row>
    <row r="284" spans="1:13" x14ac:dyDescent="0.2">
      <c r="A284" s="95">
        <v>11</v>
      </c>
      <c r="B284" s="95" t="s">
        <v>1056</v>
      </c>
      <c r="C284" s="95" t="s">
        <v>510</v>
      </c>
      <c r="D284" s="95" t="s">
        <v>510</v>
      </c>
      <c r="E284" s="95" t="s">
        <v>510</v>
      </c>
      <c r="F284" s="95">
        <v>884</v>
      </c>
      <c r="G284" s="95" t="s">
        <v>535</v>
      </c>
      <c r="H284" s="95" t="s">
        <v>1057</v>
      </c>
      <c r="I284" s="95" t="s">
        <v>1058</v>
      </c>
      <c r="J284" s="95" t="s">
        <v>536</v>
      </c>
      <c r="K284" s="95" t="s">
        <v>510</v>
      </c>
      <c r="L284" s="95" t="s">
        <v>510</v>
      </c>
      <c r="M284" s="101" t="str">
        <f t="shared" si="5"/>
        <v>View on Google Map</v>
      </c>
    </row>
    <row r="285" spans="1:13" x14ac:dyDescent="0.2">
      <c r="B285" s="95" t="s">
        <v>1059</v>
      </c>
      <c r="C285" s="95" t="s">
        <v>907</v>
      </c>
      <c r="D285" s="95">
        <v>68.625256622999999</v>
      </c>
      <c r="E285" s="95">
        <v>-149.32463380199999</v>
      </c>
      <c r="F285" s="95">
        <v>862.80799999999999</v>
      </c>
      <c r="G285" s="95" t="s">
        <v>1047</v>
      </c>
      <c r="J285" s="16" t="s">
        <v>536</v>
      </c>
      <c r="M285" s="101" t="str">
        <f t="shared" si="5"/>
        <v>View on Google Map</v>
      </c>
    </row>
    <row r="286" spans="1:13" x14ac:dyDescent="0.2">
      <c r="B286" s="95" t="s">
        <v>1060</v>
      </c>
      <c r="C286" s="95" t="s">
        <v>907</v>
      </c>
      <c r="D286" s="95">
        <v>68.641922837999999</v>
      </c>
      <c r="E286" s="95">
        <v>-149.342972559</v>
      </c>
      <c r="F286" s="95">
        <v>834.62599999999998</v>
      </c>
      <c r="G286" s="95" t="s">
        <v>1047</v>
      </c>
      <c r="J286" s="16" t="s">
        <v>536</v>
      </c>
      <c r="M286" s="101" t="str">
        <f t="shared" si="5"/>
        <v>View on Google Map</v>
      </c>
    </row>
    <row r="287" spans="1:13" x14ac:dyDescent="0.2">
      <c r="A287" s="95">
        <v>1141</v>
      </c>
      <c r="B287" s="95" t="s">
        <v>1061</v>
      </c>
      <c r="C287" s="95" t="s">
        <v>510</v>
      </c>
      <c r="D287" s="95" t="s">
        <v>510</v>
      </c>
      <c r="E287" s="95" t="s">
        <v>510</v>
      </c>
      <c r="F287" s="95" t="s">
        <v>510</v>
      </c>
      <c r="G287" s="95" t="s">
        <v>511</v>
      </c>
      <c r="H287" s="95" t="s">
        <v>1062</v>
      </c>
      <c r="I287" s="95" t="s">
        <v>510</v>
      </c>
      <c r="J287" s="95" t="s">
        <v>536</v>
      </c>
      <c r="K287" s="95" t="s">
        <v>510</v>
      </c>
      <c r="L287" s="95" t="s">
        <v>510</v>
      </c>
      <c r="M287" s="101" t="str">
        <f t="shared" si="5"/>
        <v>View on Google Map</v>
      </c>
    </row>
    <row r="288" spans="1:13" x14ac:dyDescent="0.2">
      <c r="A288" s="95">
        <v>1142</v>
      </c>
      <c r="B288" s="95" t="s">
        <v>1063</v>
      </c>
      <c r="C288" s="95" t="s">
        <v>510</v>
      </c>
      <c r="D288" s="95" t="s">
        <v>510</v>
      </c>
      <c r="E288" s="95" t="s">
        <v>510</v>
      </c>
      <c r="F288" s="95" t="s">
        <v>510</v>
      </c>
      <c r="G288" s="95" t="s">
        <v>535</v>
      </c>
      <c r="H288" s="95" t="s">
        <v>1064</v>
      </c>
      <c r="I288" s="95" t="s">
        <v>510</v>
      </c>
      <c r="J288" s="95" t="s">
        <v>1065</v>
      </c>
      <c r="K288" s="95" t="s">
        <v>510</v>
      </c>
      <c r="L288" s="95" t="s">
        <v>510</v>
      </c>
      <c r="M288" s="101" t="str">
        <f t="shared" si="5"/>
        <v>View on Google Map</v>
      </c>
    </row>
    <row r="289" spans="1:13" x14ac:dyDescent="0.2">
      <c r="A289" s="95">
        <v>1143</v>
      </c>
      <c r="B289" s="95" t="s">
        <v>1066</v>
      </c>
      <c r="C289" s="95" t="s">
        <v>510</v>
      </c>
      <c r="D289" s="95" t="s">
        <v>510</v>
      </c>
      <c r="E289" s="95" t="s">
        <v>510</v>
      </c>
      <c r="F289" s="95" t="s">
        <v>510</v>
      </c>
      <c r="G289" s="95" t="s">
        <v>535</v>
      </c>
      <c r="H289" s="95" t="s">
        <v>510</v>
      </c>
      <c r="I289" s="95" t="s">
        <v>510</v>
      </c>
      <c r="J289" s="95" t="s">
        <v>1065</v>
      </c>
      <c r="K289" s="95" t="s">
        <v>510</v>
      </c>
      <c r="L289" s="95" t="s">
        <v>510</v>
      </c>
      <c r="M289" s="101" t="str">
        <f t="shared" si="5"/>
        <v>View on Google Map</v>
      </c>
    </row>
    <row r="290" spans="1:13" x14ac:dyDescent="0.2">
      <c r="A290" s="95">
        <v>1140</v>
      </c>
      <c r="B290" s="95" t="s">
        <v>1067</v>
      </c>
      <c r="C290" s="95" t="s">
        <v>510</v>
      </c>
      <c r="D290" s="95" t="s">
        <v>510</v>
      </c>
      <c r="E290" s="95" t="s">
        <v>510</v>
      </c>
      <c r="F290" s="95" t="s">
        <v>510</v>
      </c>
      <c r="G290" s="95" t="s">
        <v>511</v>
      </c>
      <c r="H290" s="95" t="s">
        <v>1068</v>
      </c>
      <c r="I290" s="95" t="s">
        <v>1069</v>
      </c>
      <c r="J290" s="95" t="s">
        <v>536</v>
      </c>
      <c r="K290" s="95" t="s">
        <v>510</v>
      </c>
      <c r="L290" s="95" t="s">
        <v>510</v>
      </c>
      <c r="M290" s="101" t="str">
        <f t="shared" si="5"/>
        <v>View on Google Map</v>
      </c>
    </row>
    <row r="291" spans="1:13" x14ac:dyDescent="0.2">
      <c r="A291" s="95">
        <v>1173</v>
      </c>
      <c r="B291" s="95" t="s">
        <v>1070</v>
      </c>
      <c r="C291" s="95" t="s">
        <v>510</v>
      </c>
      <c r="D291" s="95" t="s">
        <v>510</v>
      </c>
      <c r="E291" s="95" t="s">
        <v>510</v>
      </c>
      <c r="F291" s="95" t="s">
        <v>510</v>
      </c>
      <c r="G291" s="95" t="s">
        <v>511</v>
      </c>
      <c r="H291" s="95" t="s">
        <v>1071</v>
      </c>
      <c r="I291" s="95" t="s">
        <v>510</v>
      </c>
      <c r="J291" s="95" t="s">
        <v>517</v>
      </c>
      <c r="K291" s="95" t="s">
        <v>510</v>
      </c>
      <c r="L291" s="95" t="s">
        <v>518</v>
      </c>
      <c r="M291" s="101" t="str">
        <f t="shared" si="5"/>
        <v>View on Google Map</v>
      </c>
    </row>
    <row r="292" spans="1:13" x14ac:dyDescent="0.2">
      <c r="A292" s="95">
        <v>1144</v>
      </c>
      <c r="B292" s="95" t="s">
        <v>1072</v>
      </c>
      <c r="C292" s="95" t="s">
        <v>510</v>
      </c>
      <c r="D292" s="95" t="s">
        <v>510</v>
      </c>
      <c r="E292" s="95" t="s">
        <v>510</v>
      </c>
      <c r="F292" s="95" t="s">
        <v>510</v>
      </c>
      <c r="G292" s="95" t="s">
        <v>535</v>
      </c>
      <c r="H292" s="95" t="s">
        <v>1072</v>
      </c>
      <c r="I292" s="95" t="s">
        <v>510</v>
      </c>
      <c r="J292" s="95" t="s">
        <v>1065</v>
      </c>
      <c r="K292" s="95" t="s">
        <v>510</v>
      </c>
      <c r="L292" s="95" t="s">
        <v>510</v>
      </c>
      <c r="M292" s="101" t="str">
        <f t="shared" si="5"/>
        <v>View on Google Map</v>
      </c>
    </row>
    <row r="293" spans="1:13" x14ac:dyDescent="0.2">
      <c r="A293" s="95">
        <v>1145</v>
      </c>
      <c r="B293" s="95" t="s">
        <v>1073</v>
      </c>
      <c r="C293" s="95" t="s">
        <v>510</v>
      </c>
      <c r="D293" s="95" t="s">
        <v>510</v>
      </c>
      <c r="E293" s="95" t="s">
        <v>510</v>
      </c>
      <c r="F293" s="95" t="s">
        <v>510</v>
      </c>
      <c r="G293" s="95" t="s">
        <v>535</v>
      </c>
      <c r="H293" s="95" t="s">
        <v>1073</v>
      </c>
      <c r="I293" s="95" t="s">
        <v>510</v>
      </c>
      <c r="J293" s="95" t="s">
        <v>1065</v>
      </c>
      <c r="K293" s="95" t="s">
        <v>510</v>
      </c>
      <c r="L293" s="95" t="s">
        <v>510</v>
      </c>
      <c r="M293" s="101" t="str">
        <f t="shared" si="5"/>
        <v>View on Google Map</v>
      </c>
    </row>
    <row r="294" spans="1:13" x14ac:dyDescent="0.2">
      <c r="A294" s="95">
        <v>1146</v>
      </c>
      <c r="B294" s="95" t="s">
        <v>1074</v>
      </c>
      <c r="C294" s="95" t="s">
        <v>510</v>
      </c>
      <c r="D294" s="95" t="s">
        <v>510</v>
      </c>
      <c r="E294" s="95" t="s">
        <v>510</v>
      </c>
      <c r="F294" s="95" t="s">
        <v>510</v>
      </c>
      <c r="G294" s="95" t="s">
        <v>511</v>
      </c>
      <c r="H294" s="95" t="s">
        <v>1074</v>
      </c>
      <c r="I294" s="95" t="s">
        <v>510</v>
      </c>
      <c r="J294" s="95" t="s">
        <v>1065</v>
      </c>
      <c r="K294" s="95" t="s">
        <v>510</v>
      </c>
      <c r="L294" s="95" t="s">
        <v>510</v>
      </c>
      <c r="M294" s="101" t="str">
        <f t="shared" si="5"/>
        <v>View on Google Map</v>
      </c>
    </row>
    <row r="295" spans="1:13" x14ac:dyDescent="0.2">
      <c r="A295" s="95">
        <v>1147</v>
      </c>
      <c r="B295" s="95" t="s">
        <v>1075</v>
      </c>
      <c r="C295" s="95" t="s">
        <v>510</v>
      </c>
      <c r="D295" s="95" t="s">
        <v>510</v>
      </c>
      <c r="E295" s="95" t="s">
        <v>510</v>
      </c>
      <c r="F295" s="95" t="s">
        <v>510</v>
      </c>
      <c r="G295" s="95" t="s">
        <v>511</v>
      </c>
      <c r="H295" s="95" t="s">
        <v>1075</v>
      </c>
      <c r="I295" s="95" t="s">
        <v>510</v>
      </c>
      <c r="J295" s="95" t="s">
        <v>1065</v>
      </c>
      <c r="K295" s="95" t="s">
        <v>510</v>
      </c>
      <c r="L295" s="95" t="s">
        <v>510</v>
      </c>
      <c r="M295" s="101" t="str">
        <f t="shared" si="5"/>
        <v>View on Google Map</v>
      </c>
    </row>
    <row r="296" spans="1:13" x14ac:dyDescent="0.2">
      <c r="A296" s="95">
        <v>1148</v>
      </c>
      <c r="B296" s="95" t="s">
        <v>1076</v>
      </c>
      <c r="C296" s="95" t="s">
        <v>510</v>
      </c>
      <c r="D296" s="95" t="s">
        <v>510</v>
      </c>
      <c r="E296" s="95" t="s">
        <v>510</v>
      </c>
      <c r="F296" s="95" t="s">
        <v>510</v>
      </c>
      <c r="G296" s="95" t="s">
        <v>511</v>
      </c>
      <c r="H296" s="95" t="s">
        <v>1076</v>
      </c>
      <c r="I296" s="95" t="s">
        <v>1077</v>
      </c>
      <c r="J296" s="95" t="s">
        <v>1065</v>
      </c>
      <c r="K296" s="95" t="s">
        <v>510</v>
      </c>
      <c r="L296" s="95" t="s">
        <v>510</v>
      </c>
      <c r="M296" s="101" t="str">
        <f t="shared" si="5"/>
        <v>View on Google Map</v>
      </c>
    </row>
    <row r="297" spans="1:13" x14ac:dyDescent="0.2">
      <c r="A297" s="95">
        <v>1149</v>
      </c>
      <c r="B297" s="95" t="s">
        <v>1078</v>
      </c>
      <c r="C297" s="95" t="s">
        <v>510</v>
      </c>
      <c r="D297" s="95" t="s">
        <v>510</v>
      </c>
      <c r="E297" s="95" t="s">
        <v>510</v>
      </c>
      <c r="F297" s="95" t="s">
        <v>510</v>
      </c>
      <c r="G297" s="95" t="s">
        <v>511</v>
      </c>
      <c r="H297" s="95" t="s">
        <v>1078</v>
      </c>
      <c r="I297" s="95" t="s">
        <v>1079</v>
      </c>
      <c r="J297" s="95" t="s">
        <v>1065</v>
      </c>
      <c r="K297" s="95" t="s">
        <v>510</v>
      </c>
      <c r="L297" s="95" t="s">
        <v>510</v>
      </c>
      <c r="M297" s="101" t="str">
        <f t="shared" si="5"/>
        <v>View on Google Map</v>
      </c>
    </row>
    <row r="298" spans="1:13" x14ac:dyDescent="0.2">
      <c r="A298" s="95">
        <v>1150</v>
      </c>
      <c r="B298" s="95" t="s">
        <v>1080</v>
      </c>
      <c r="C298" s="95" t="s">
        <v>510</v>
      </c>
      <c r="D298" s="95" t="s">
        <v>510</v>
      </c>
      <c r="E298" s="95" t="s">
        <v>510</v>
      </c>
      <c r="F298" s="95" t="s">
        <v>510</v>
      </c>
      <c r="G298" s="95" t="s">
        <v>511</v>
      </c>
      <c r="H298" s="95" t="s">
        <v>1080</v>
      </c>
      <c r="I298" s="95" t="s">
        <v>1081</v>
      </c>
      <c r="J298" s="95" t="s">
        <v>1065</v>
      </c>
      <c r="K298" s="95" t="s">
        <v>510</v>
      </c>
      <c r="L298" s="95" t="s">
        <v>510</v>
      </c>
      <c r="M298" s="101" t="str">
        <f t="shared" si="5"/>
        <v>View on Google Map</v>
      </c>
    </row>
    <row r="299" spans="1:13" x14ac:dyDescent="0.2">
      <c r="A299" s="95">
        <v>1151</v>
      </c>
      <c r="B299" s="95" t="s">
        <v>1082</v>
      </c>
      <c r="C299" s="95" t="s">
        <v>510</v>
      </c>
      <c r="D299" s="95" t="s">
        <v>510</v>
      </c>
      <c r="E299" s="95" t="s">
        <v>510</v>
      </c>
      <c r="F299" s="95" t="s">
        <v>510</v>
      </c>
      <c r="G299" s="95" t="s">
        <v>511</v>
      </c>
      <c r="H299" s="95" t="s">
        <v>1082</v>
      </c>
      <c r="I299" s="95" t="s">
        <v>1083</v>
      </c>
      <c r="J299" s="95" t="s">
        <v>1065</v>
      </c>
      <c r="K299" s="95" t="s">
        <v>510</v>
      </c>
      <c r="L299" s="95" t="s">
        <v>510</v>
      </c>
      <c r="M299" s="101" t="str">
        <f t="shared" si="5"/>
        <v>View on Google Map</v>
      </c>
    </row>
    <row r="300" spans="1:13" x14ac:dyDescent="0.2">
      <c r="A300" s="95">
        <v>1152</v>
      </c>
      <c r="B300" s="95" t="s">
        <v>1084</v>
      </c>
      <c r="C300" s="95" t="s">
        <v>510</v>
      </c>
      <c r="D300" s="95" t="s">
        <v>510</v>
      </c>
      <c r="E300" s="95" t="s">
        <v>510</v>
      </c>
      <c r="F300" s="95" t="s">
        <v>510</v>
      </c>
      <c r="G300" s="95" t="s">
        <v>511</v>
      </c>
      <c r="H300" s="95" t="s">
        <v>1084</v>
      </c>
      <c r="I300" s="95" t="s">
        <v>1085</v>
      </c>
      <c r="J300" s="95" t="s">
        <v>1065</v>
      </c>
      <c r="K300" s="95" t="s">
        <v>510</v>
      </c>
      <c r="L300" s="95" t="s">
        <v>510</v>
      </c>
      <c r="M300" s="101" t="str">
        <f t="shared" si="5"/>
        <v>View on Google Map</v>
      </c>
    </row>
    <row r="301" spans="1:13" x14ac:dyDescent="0.2">
      <c r="A301" s="95">
        <v>1153</v>
      </c>
      <c r="B301" s="95" t="s">
        <v>1086</v>
      </c>
      <c r="C301" s="95" t="s">
        <v>510</v>
      </c>
      <c r="D301" s="95" t="s">
        <v>510</v>
      </c>
      <c r="E301" s="95" t="s">
        <v>510</v>
      </c>
      <c r="F301" s="95" t="s">
        <v>510</v>
      </c>
      <c r="G301" s="95" t="s">
        <v>511</v>
      </c>
      <c r="H301" s="95" t="s">
        <v>1086</v>
      </c>
      <c r="I301" s="95" t="s">
        <v>1087</v>
      </c>
      <c r="J301" s="95" t="s">
        <v>1065</v>
      </c>
      <c r="K301" s="95" t="s">
        <v>510</v>
      </c>
      <c r="L301" s="95" t="s">
        <v>510</v>
      </c>
      <c r="M301" s="101" t="str">
        <f t="shared" si="5"/>
        <v>View on Google Map</v>
      </c>
    </row>
    <row r="302" spans="1:13" x14ac:dyDescent="0.2">
      <c r="A302" s="95">
        <v>1154</v>
      </c>
      <c r="B302" s="95" t="s">
        <v>1088</v>
      </c>
      <c r="C302" s="95" t="s">
        <v>510</v>
      </c>
      <c r="D302" s="95" t="s">
        <v>510</v>
      </c>
      <c r="E302" s="95" t="s">
        <v>510</v>
      </c>
      <c r="F302" s="95" t="s">
        <v>510</v>
      </c>
      <c r="G302" s="95" t="s">
        <v>511</v>
      </c>
      <c r="H302" s="95" t="s">
        <v>1088</v>
      </c>
      <c r="I302" s="95" t="s">
        <v>1089</v>
      </c>
      <c r="J302" s="95" t="s">
        <v>1065</v>
      </c>
      <c r="K302" s="95" t="s">
        <v>510</v>
      </c>
      <c r="L302" s="95" t="s">
        <v>510</v>
      </c>
      <c r="M302" s="101" t="str">
        <f t="shared" si="5"/>
        <v>View on Google Map</v>
      </c>
    </row>
    <row r="303" spans="1:13" x14ac:dyDescent="0.2">
      <c r="A303" s="95">
        <v>1155</v>
      </c>
      <c r="B303" s="95" t="s">
        <v>1090</v>
      </c>
      <c r="C303" s="95" t="s">
        <v>510</v>
      </c>
      <c r="D303" s="95" t="s">
        <v>510</v>
      </c>
      <c r="E303" s="95" t="s">
        <v>510</v>
      </c>
      <c r="F303" s="95" t="s">
        <v>510</v>
      </c>
      <c r="G303" s="95" t="s">
        <v>511</v>
      </c>
      <c r="H303" s="95" t="s">
        <v>1090</v>
      </c>
      <c r="I303" s="95" t="s">
        <v>1091</v>
      </c>
      <c r="J303" s="95" t="s">
        <v>1065</v>
      </c>
      <c r="K303" s="95" t="s">
        <v>510</v>
      </c>
      <c r="L303" s="95" t="s">
        <v>510</v>
      </c>
      <c r="M303" s="101" t="str">
        <f t="shared" si="5"/>
        <v>View on Google Map</v>
      </c>
    </row>
    <row r="304" spans="1:13" x14ac:dyDescent="0.2">
      <c r="A304" s="95">
        <v>1156</v>
      </c>
      <c r="B304" s="95" t="s">
        <v>1092</v>
      </c>
      <c r="C304" s="95" t="s">
        <v>510</v>
      </c>
      <c r="D304" s="95" t="s">
        <v>510</v>
      </c>
      <c r="E304" s="95" t="s">
        <v>510</v>
      </c>
      <c r="F304" s="95" t="s">
        <v>510</v>
      </c>
      <c r="G304" s="95" t="s">
        <v>511</v>
      </c>
      <c r="H304" s="95" t="s">
        <v>1092</v>
      </c>
      <c r="I304" s="95" t="s">
        <v>1093</v>
      </c>
      <c r="J304" s="95" t="s">
        <v>1065</v>
      </c>
      <c r="K304" s="95" t="s">
        <v>510</v>
      </c>
      <c r="L304" s="95" t="s">
        <v>510</v>
      </c>
      <c r="M304" s="101" t="str">
        <f t="shared" si="5"/>
        <v>View on Google Map</v>
      </c>
    </row>
    <row r="305" spans="1:13" x14ac:dyDescent="0.2">
      <c r="A305" s="95">
        <v>1157</v>
      </c>
      <c r="B305" s="95" t="s">
        <v>1094</v>
      </c>
      <c r="C305" s="95" t="s">
        <v>510</v>
      </c>
      <c r="D305" s="95" t="s">
        <v>510</v>
      </c>
      <c r="E305" s="95" t="s">
        <v>510</v>
      </c>
      <c r="F305" s="95" t="s">
        <v>510</v>
      </c>
      <c r="G305" s="95" t="s">
        <v>511</v>
      </c>
      <c r="H305" s="95" t="s">
        <v>1094</v>
      </c>
      <c r="I305" s="95" t="s">
        <v>1095</v>
      </c>
      <c r="J305" s="95" t="s">
        <v>1065</v>
      </c>
      <c r="K305" s="95" t="s">
        <v>510</v>
      </c>
      <c r="L305" s="95" t="s">
        <v>510</v>
      </c>
      <c r="M305" s="101" t="str">
        <f t="shared" si="5"/>
        <v>View on Google Map</v>
      </c>
    </row>
    <row r="306" spans="1:13" x14ac:dyDescent="0.2">
      <c r="A306" s="95">
        <v>1158</v>
      </c>
      <c r="B306" s="95" t="s">
        <v>1096</v>
      </c>
      <c r="C306" s="95" t="s">
        <v>510</v>
      </c>
      <c r="D306" s="95" t="s">
        <v>510</v>
      </c>
      <c r="E306" s="95" t="s">
        <v>510</v>
      </c>
      <c r="F306" s="95" t="s">
        <v>510</v>
      </c>
      <c r="G306" s="95" t="s">
        <v>511</v>
      </c>
      <c r="H306" s="95" t="s">
        <v>1096</v>
      </c>
      <c r="I306" s="95" t="s">
        <v>1097</v>
      </c>
      <c r="J306" s="95" t="s">
        <v>1065</v>
      </c>
      <c r="K306" s="95" t="s">
        <v>510</v>
      </c>
      <c r="L306" s="95" t="s">
        <v>510</v>
      </c>
      <c r="M306" s="101" t="str">
        <f t="shared" si="5"/>
        <v>View on Google Map</v>
      </c>
    </row>
    <row r="307" spans="1:13" x14ac:dyDescent="0.2">
      <c r="A307" s="95">
        <v>1159</v>
      </c>
      <c r="B307" s="95" t="s">
        <v>1098</v>
      </c>
      <c r="C307" s="95" t="s">
        <v>510</v>
      </c>
      <c r="D307" s="95" t="s">
        <v>510</v>
      </c>
      <c r="E307" s="95" t="s">
        <v>510</v>
      </c>
      <c r="F307" s="95" t="s">
        <v>510</v>
      </c>
      <c r="G307" s="95" t="s">
        <v>511</v>
      </c>
      <c r="H307" s="95" t="s">
        <v>1098</v>
      </c>
      <c r="I307" s="95" t="s">
        <v>1099</v>
      </c>
      <c r="J307" s="95" t="s">
        <v>1065</v>
      </c>
      <c r="K307" s="95" t="s">
        <v>510</v>
      </c>
      <c r="L307" s="95" t="s">
        <v>510</v>
      </c>
      <c r="M307" s="101" t="str">
        <f t="shared" si="5"/>
        <v>View on Google Map</v>
      </c>
    </row>
    <row r="308" spans="1:13" x14ac:dyDescent="0.2">
      <c r="A308" s="95">
        <v>1160</v>
      </c>
      <c r="B308" s="95" t="s">
        <v>1100</v>
      </c>
      <c r="C308" s="95" t="s">
        <v>510</v>
      </c>
      <c r="D308" s="95" t="s">
        <v>510</v>
      </c>
      <c r="E308" s="95" t="s">
        <v>510</v>
      </c>
      <c r="F308" s="95" t="s">
        <v>510</v>
      </c>
      <c r="G308" s="95" t="s">
        <v>511</v>
      </c>
      <c r="H308" s="95" t="s">
        <v>1100</v>
      </c>
      <c r="I308" s="95" t="s">
        <v>1101</v>
      </c>
      <c r="J308" s="95" t="s">
        <v>1065</v>
      </c>
      <c r="K308" s="95" t="s">
        <v>510</v>
      </c>
      <c r="L308" s="95" t="s">
        <v>510</v>
      </c>
      <c r="M308" s="101" t="str">
        <f t="shared" si="5"/>
        <v>View on Google Map</v>
      </c>
    </row>
    <row r="309" spans="1:13" x14ac:dyDescent="0.2">
      <c r="A309" s="95">
        <v>1161</v>
      </c>
      <c r="B309" s="95" t="s">
        <v>1102</v>
      </c>
      <c r="C309" s="95" t="s">
        <v>510</v>
      </c>
      <c r="D309" s="95" t="s">
        <v>510</v>
      </c>
      <c r="E309" s="95" t="s">
        <v>510</v>
      </c>
      <c r="F309" s="95" t="s">
        <v>510</v>
      </c>
      <c r="G309" s="95" t="s">
        <v>511</v>
      </c>
      <c r="H309" s="95" t="s">
        <v>1102</v>
      </c>
      <c r="I309" s="95" t="s">
        <v>1103</v>
      </c>
      <c r="J309" s="95" t="s">
        <v>1065</v>
      </c>
      <c r="K309" s="95" t="s">
        <v>510</v>
      </c>
      <c r="L309" s="95" t="s">
        <v>510</v>
      </c>
      <c r="M309" s="101" t="str">
        <f t="shared" si="5"/>
        <v>View on Google Map</v>
      </c>
    </row>
    <row r="310" spans="1:13" x14ac:dyDescent="0.2">
      <c r="A310" s="95">
        <v>1162</v>
      </c>
      <c r="B310" s="95" t="s">
        <v>1104</v>
      </c>
      <c r="C310" s="95" t="s">
        <v>510</v>
      </c>
      <c r="D310" s="95" t="s">
        <v>510</v>
      </c>
      <c r="E310" s="95" t="s">
        <v>510</v>
      </c>
      <c r="F310" s="95" t="s">
        <v>510</v>
      </c>
      <c r="G310" s="95" t="s">
        <v>511</v>
      </c>
      <c r="H310" s="95" t="s">
        <v>1104</v>
      </c>
      <c r="I310" s="95" t="s">
        <v>1105</v>
      </c>
      <c r="J310" s="95" t="s">
        <v>1065</v>
      </c>
      <c r="K310" s="95" t="s">
        <v>510</v>
      </c>
      <c r="L310" s="95" t="s">
        <v>510</v>
      </c>
      <c r="M310" s="101" t="str">
        <f t="shared" si="5"/>
        <v>View on Google Map</v>
      </c>
    </row>
    <row r="311" spans="1:13" x14ac:dyDescent="0.2">
      <c r="A311" s="95">
        <v>1163</v>
      </c>
      <c r="B311" s="95" t="s">
        <v>1106</v>
      </c>
      <c r="C311" s="95" t="s">
        <v>510</v>
      </c>
      <c r="D311" s="95" t="s">
        <v>510</v>
      </c>
      <c r="E311" s="95" t="s">
        <v>510</v>
      </c>
      <c r="F311" s="95" t="s">
        <v>510</v>
      </c>
      <c r="G311" s="95" t="s">
        <v>511</v>
      </c>
      <c r="H311" s="95" t="s">
        <v>1106</v>
      </c>
      <c r="I311" s="95" t="s">
        <v>1107</v>
      </c>
      <c r="J311" s="95" t="s">
        <v>1065</v>
      </c>
      <c r="K311" s="95" t="s">
        <v>510</v>
      </c>
      <c r="L311" s="95" t="s">
        <v>510</v>
      </c>
      <c r="M311" s="101" t="str">
        <f t="shared" si="5"/>
        <v>View on Google Map</v>
      </c>
    </row>
    <row r="312" spans="1:13" x14ac:dyDescent="0.2">
      <c r="A312" s="95">
        <v>1164</v>
      </c>
      <c r="B312" s="95" t="s">
        <v>1108</v>
      </c>
      <c r="C312" s="95" t="s">
        <v>510</v>
      </c>
      <c r="D312" s="95" t="s">
        <v>510</v>
      </c>
      <c r="E312" s="95" t="s">
        <v>510</v>
      </c>
      <c r="F312" s="95" t="s">
        <v>510</v>
      </c>
      <c r="G312" s="95" t="s">
        <v>511</v>
      </c>
      <c r="H312" s="95" t="s">
        <v>1108</v>
      </c>
      <c r="I312" s="95" t="s">
        <v>1109</v>
      </c>
      <c r="J312" s="95" t="s">
        <v>1065</v>
      </c>
      <c r="K312" s="95" t="s">
        <v>510</v>
      </c>
      <c r="L312" s="95" t="s">
        <v>510</v>
      </c>
      <c r="M312" s="101" t="str">
        <f t="shared" si="5"/>
        <v>View on Google Map</v>
      </c>
    </row>
    <row r="313" spans="1:13" x14ac:dyDescent="0.2">
      <c r="A313" s="95">
        <v>1165</v>
      </c>
      <c r="B313" s="95" t="s">
        <v>1110</v>
      </c>
      <c r="C313" s="95" t="s">
        <v>510</v>
      </c>
      <c r="D313" s="95" t="s">
        <v>510</v>
      </c>
      <c r="E313" s="95" t="s">
        <v>510</v>
      </c>
      <c r="F313" s="95" t="s">
        <v>510</v>
      </c>
      <c r="G313" s="95" t="s">
        <v>511</v>
      </c>
      <c r="H313" s="95" t="s">
        <v>1110</v>
      </c>
      <c r="I313" s="95" t="s">
        <v>510</v>
      </c>
      <c r="J313" s="95" t="s">
        <v>1065</v>
      </c>
      <c r="K313" s="95" t="s">
        <v>510</v>
      </c>
      <c r="L313" s="95" t="s">
        <v>510</v>
      </c>
      <c r="M313" s="101" t="str">
        <f t="shared" si="5"/>
        <v>View on Google Map</v>
      </c>
    </row>
    <row r="314" spans="1:13" x14ac:dyDescent="0.2">
      <c r="A314" s="95">
        <v>1166</v>
      </c>
      <c r="B314" s="95" t="s">
        <v>1111</v>
      </c>
      <c r="C314" s="95" t="s">
        <v>510</v>
      </c>
      <c r="D314" s="95" t="s">
        <v>510</v>
      </c>
      <c r="E314" s="95" t="s">
        <v>510</v>
      </c>
      <c r="F314" s="95" t="s">
        <v>510</v>
      </c>
      <c r="G314" s="95" t="s">
        <v>511</v>
      </c>
      <c r="H314" s="95" t="s">
        <v>1111</v>
      </c>
      <c r="I314" s="95" t="s">
        <v>510</v>
      </c>
      <c r="J314" s="95" t="s">
        <v>1065</v>
      </c>
      <c r="K314" s="95" t="s">
        <v>510</v>
      </c>
      <c r="L314" s="95" t="s">
        <v>510</v>
      </c>
      <c r="M314" s="101" t="str">
        <f t="shared" si="5"/>
        <v>View on Google Map</v>
      </c>
    </row>
    <row r="315" spans="1:13" x14ac:dyDescent="0.2">
      <c r="A315" s="95">
        <v>1167</v>
      </c>
      <c r="B315" s="95" t="s">
        <v>1112</v>
      </c>
      <c r="C315" s="95" t="s">
        <v>1113</v>
      </c>
      <c r="D315" s="95" t="s">
        <v>510</v>
      </c>
      <c r="E315" s="95" t="s">
        <v>510</v>
      </c>
      <c r="F315" s="95" t="s">
        <v>510</v>
      </c>
      <c r="G315" s="95" t="s">
        <v>511</v>
      </c>
      <c r="H315" s="95" t="s">
        <v>1112</v>
      </c>
      <c r="I315" s="95" t="s">
        <v>510</v>
      </c>
      <c r="J315" s="95" t="s">
        <v>512</v>
      </c>
      <c r="K315" s="95" t="s">
        <v>510</v>
      </c>
      <c r="L315" s="95" t="s">
        <v>510</v>
      </c>
      <c r="M315" s="101" t="str">
        <f t="shared" si="5"/>
        <v>View on Google Map</v>
      </c>
    </row>
    <row r="316" spans="1:13" x14ac:dyDescent="0.2">
      <c r="A316" s="95">
        <v>1168</v>
      </c>
      <c r="B316" s="95" t="s">
        <v>1114</v>
      </c>
      <c r="C316" s="95" t="s">
        <v>1113</v>
      </c>
      <c r="D316" s="95" t="s">
        <v>510</v>
      </c>
      <c r="E316" s="95" t="s">
        <v>510</v>
      </c>
      <c r="F316" s="95" t="s">
        <v>510</v>
      </c>
      <c r="G316" s="95" t="s">
        <v>511</v>
      </c>
      <c r="H316" s="95" t="s">
        <v>1114</v>
      </c>
      <c r="I316" s="95" t="s">
        <v>510</v>
      </c>
      <c r="J316" s="95" t="s">
        <v>512</v>
      </c>
      <c r="K316" s="95" t="s">
        <v>510</v>
      </c>
      <c r="L316" s="95" t="s">
        <v>510</v>
      </c>
      <c r="M316" s="101" t="str">
        <f t="shared" si="5"/>
        <v>View on Google Map</v>
      </c>
    </row>
    <row r="317" spans="1:13" x14ac:dyDescent="0.2">
      <c r="A317" s="95">
        <v>125</v>
      </c>
      <c r="B317" s="95" t="s">
        <v>1115</v>
      </c>
      <c r="C317" s="95" t="s">
        <v>510</v>
      </c>
      <c r="D317" s="95">
        <v>68.52364</v>
      </c>
      <c r="E317" s="95">
        <v>-149.48141000000001</v>
      </c>
      <c r="F317" s="95">
        <v>881</v>
      </c>
      <c r="G317" s="95" t="s">
        <v>521</v>
      </c>
      <c r="H317" s="95" t="s">
        <v>1116</v>
      </c>
      <c r="I317" s="95" t="s">
        <v>510</v>
      </c>
      <c r="J317" s="95" t="s">
        <v>536</v>
      </c>
      <c r="K317" s="95" t="s">
        <v>510</v>
      </c>
      <c r="L317" s="95" t="s">
        <v>537</v>
      </c>
      <c r="M317" s="101" t="str">
        <f t="shared" si="5"/>
        <v>View on Google Map</v>
      </c>
    </row>
    <row r="318" spans="1:13" x14ac:dyDescent="0.2">
      <c r="A318" s="95">
        <v>110</v>
      </c>
      <c r="B318" s="95" t="s">
        <v>1117</v>
      </c>
      <c r="C318" s="95" t="s">
        <v>510</v>
      </c>
      <c r="D318" s="95">
        <v>68.687380000000005</v>
      </c>
      <c r="E318" s="95">
        <v>-149.67458999999999</v>
      </c>
      <c r="F318" s="95">
        <v>747</v>
      </c>
      <c r="G318" s="95" t="s">
        <v>521</v>
      </c>
      <c r="H318" s="95" t="s">
        <v>1118</v>
      </c>
      <c r="I318" s="95" t="s">
        <v>510</v>
      </c>
      <c r="J318" s="95" t="s">
        <v>536</v>
      </c>
      <c r="K318" s="95" t="s">
        <v>510</v>
      </c>
      <c r="L318" s="95" t="s">
        <v>510</v>
      </c>
      <c r="M318" s="101" t="str">
        <f t="shared" si="5"/>
        <v>View on Google Map</v>
      </c>
    </row>
    <row r="319" spans="1:13" x14ac:dyDescent="0.2">
      <c r="A319" s="95">
        <v>159</v>
      </c>
      <c r="B319" s="95" t="s">
        <v>1119</v>
      </c>
      <c r="C319" s="95" t="s">
        <v>510</v>
      </c>
      <c r="D319" s="95">
        <v>68.38333333333334</v>
      </c>
      <c r="E319" s="95">
        <v>-149.91666666666666</v>
      </c>
      <c r="F319" s="95">
        <v>681</v>
      </c>
      <c r="G319" s="95" t="s">
        <v>521</v>
      </c>
      <c r="H319" s="95" t="s">
        <v>1120</v>
      </c>
      <c r="I319" s="95" t="s">
        <v>510</v>
      </c>
      <c r="J319" s="95" t="s">
        <v>536</v>
      </c>
      <c r="K319" s="95" t="s">
        <v>510</v>
      </c>
      <c r="L319" s="95" t="s">
        <v>537</v>
      </c>
      <c r="M319" s="101" t="str">
        <f t="shared" si="5"/>
        <v>View on Google Map</v>
      </c>
    </row>
    <row r="320" spans="1:13" x14ac:dyDescent="0.2">
      <c r="B320" s="95" t="s">
        <v>1121</v>
      </c>
      <c r="C320" s="95" t="s">
        <v>1122</v>
      </c>
      <c r="D320" s="95">
        <v>68.590049999999991</v>
      </c>
      <c r="E320" s="95">
        <v>-149.72444166666699</v>
      </c>
      <c r="G320" s="95" t="s">
        <v>1047</v>
      </c>
      <c r="J320" s="16" t="s">
        <v>536</v>
      </c>
      <c r="M320" s="101" t="str">
        <f t="shared" si="5"/>
        <v>View on Google Map</v>
      </c>
    </row>
    <row r="321" spans="1:13" x14ac:dyDescent="0.2">
      <c r="B321" s="95" t="s">
        <v>1123</v>
      </c>
      <c r="C321" s="95" t="s">
        <v>1122</v>
      </c>
      <c r="D321" s="95">
        <v>68.590219444444443</v>
      </c>
      <c r="E321" s="95">
        <v>-149.725272222222</v>
      </c>
      <c r="G321" s="95" t="s">
        <v>1047</v>
      </c>
      <c r="J321" s="16" t="s">
        <v>536</v>
      </c>
      <c r="M321" s="101" t="str">
        <f t="shared" si="5"/>
        <v>View on Google Map</v>
      </c>
    </row>
    <row r="322" spans="1:13" x14ac:dyDescent="0.2">
      <c r="A322" s="95">
        <v>32</v>
      </c>
      <c r="B322" s="95" t="s">
        <v>1124</v>
      </c>
      <c r="C322" s="95" t="s">
        <v>510</v>
      </c>
      <c r="D322" s="95">
        <v>68.933499999999995</v>
      </c>
      <c r="E322" s="95">
        <v>-150.30600000000001</v>
      </c>
      <c r="F322" s="95" t="s">
        <v>510</v>
      </c>
      <c r="G322" s="95" t="s">
        <v>535</v>
      </c>
      <c r="H322" s="95" t="s">
        <v>1125</v>
      </c>
      <c r="I322" s="95" t="s">
        <v>510</v>
      </c>
      <c r="J322" s="95" t="s">
        <v>571</v>
      </c>
      <c r="K322" s="95" t="s">
        <v>510</v>
      </c>
      <c r="L322" s="95" t="s">
        <v>518</v>
      </c>
      <c r="M322" s="101" t="str">
        <f t="shared" si="5"/>
        <v>View on Google Map</v>
      </c>
    </row>
    <row r="323" spans="1:13" x14ac:dyDescent="0.2">
      <c r="A323" s="95">
        <v>33</v>
      </c>
      <c r="B323" s="95" t="s">
        <v>1126</v>
      </c>
      <c r="C323" s="95" t="s">
        <v>510</v>
      </c>
      <c r="D323" s="95">
        <v>68.908000000000001</v>
      </c>
      <c r="E323" s="95">
        <v>-150.114</v>
      </c>
      <c r="F323" s="95" t="s">
        <v>510</v>
      </c>
      <c r="G323" s="95" t="s">
        <v>535</v>
      </c>
      <c r="H323" s="95" t="s">
        <v>1127</v>
      </c>
      <c r="I323" s="95" t="s">
        <v>510</v>
      </c>
      <c r="J323" s="95" t="s">
        <v>571</v>
      </c>
      <c r="K323" s="95" t="s">
        <v>510</v>
      </c>
      <c r="L323" s="95" t="s">
        <v>518</v>
      </c>
      <c r="M323" s="101" t="str">
        <f t="shared" ref="M323:M386" si="6">HYPERLINK("http://maps.google.com/maps?q="&amp;D323&amp;","&amp;E323,"View on Google Map")</f>
        <v>View on Google Map</v>
      </c>
    </row>
    <row r="324" spans="1:13" x14ac:dyDescent="0.2">
      <c r="A324" s="95">
        <v>1</v>
      </c>
      <c r="B324" s="95" t="s">
        <v>1128</v>
      </c>
      <c r="C324" s="95" t="s">
        <v>1129</v>
      </c>
      <c r="D324" s="95">
        <v>68.639103747222222</v>
      </c>
      <c r="E324" s="95">
        <v>-149.39432556944399</v>
      </c>
      <c r="F324" s="95">
        <v>750.56600000000003</v>
      </c>
      <c r="G324" s="95" t="s">
        <v>1047</v>
      </c>
      <c r="J324" s="16" t="s">
        <v>536</v>
      </c>
      <c r="M324" s="101" t="str">
        <f t="shared" si="6"/>
        <v>View on Google Map</v>
      </c>
    </row>
    <row r="325" spans="1:13" x14ac:dyDescent="0.2">
      <c r="A325" s="95">
        <v>1</v>
      </c>
      <c r="B325" s="95" t="s">
        <v>1130</v>
      </c>
      <c r="C325" s="95" t="s">
        <v>1122</v>
      </c>
      <c r="D325" s="95">
        <v>68.638060455555561</v>
      </c>
      <c r="E325" s="95">
        <v>-149.391843363889</v>
      </c>
      <c r="F325" s="95">
        <v>750.601</v>
      </c>
      <c r="G325" s="95" t="s">
        <v>1047</v>
      </c>
      <c r="J325" s="16" t="s">
        <v>536</v>
      </c>
      <c r="M325" s="101" t="str">
        <f t="shared" si="6"/>
        <v>View on Google Map</v>
      </c>
    </row>
    <row r="326" spans="1:13" x14ac:dyDescent="0.2">
      <c r="A326" s="95">
        <v>1</v>
      </c>
      <c r="B326" s="95" t="s">
        <v>1131</v>
      </c>
      <c r="C326" s="95" t="s">
        <v>1132</v>
      </c>
      <c r="D326" s="95">
        <v>68.640747866666672</v>
      </c>
      <c r="E326" s="95">
        <v>-149.40056111111099</v>
      </c>
      <c r="F326" s="95">
        <v>747.74400000000003</v>
      </c>
      <c r="G326" s="95" t="s">
        <v>1047</v>
      </c>
      <c r="J326" s="16" t="s">
        <v>536</v>
      </c>
      <c r="M326" s="101" t="str">
        <f t="shared" si="6"/>
        <v>View on Google Map</v>
      </c>
    </row>
    <row r="327" spans="1:13" x14ac:dyDescent="0.2">
      <c r="A327" s="95">
        <v>1</v>
      </c>
      <c r="B327" s="95" t="s">
        <v>1133</v>
      </c>
      <c r="C327" s="95" t="s">
        <v>1122</v>
      </c>
      <c r="D327" s="95">
        <v>68.638399647222229</v>
      </c>
      <c r="E327" s="95">
        <v>-149.38922950555599</v>
      </c>
      <c r="F327" s="95">
        <v>752.79899999999998</v>
      </c>
      <c r="G327" s="95" t="s">
        <v>1047</v>
      </c>
      <c r="J327" s="16" t="s">
        <v>536</v>
      </c>
      <c r="M327" s="101" t="str">
        <f t="shared" si="6"/>
        <v>View on Google Map</v>
      </c>
    </row>
    <row r="328" spans="1:13" x14ac:dyDescent="0.2">
      <c r="A328" s="95">
        <v>1</v>
      </c>
      <c r="B328" s="95" t="s">
        <v>1134</v>
      </c>
      <c r="C328" s="95" t="s">
        <v>1122</v>
      </c>
      <c r="D328" s="95">
        <v>68.637445127777781</v>
      </c>
      <c r="E328" s="95">
        <v>-149.386685694444</v>
      </c>
      <c r="F328" s="95">
        <v>753.32</v>
      </c>
      <c r="G328" s="95" t="s">
        <v>1047</v>
      </c>
      <c r="J328" s="16" t="s">
        <v>536</v>
      </c>
      <c r="M328" s="101" t="str">
        <f t="shared" si="6"/>
        <v>View on Google Map</v>
      </c>
    </row>
    <row r="329" spans="1:13" x14ac:dyDescent="0.2">
      <c r="A329" s="95">
        <v>1</v>
      </c>
      <c r="B329" s="95" t="s">
        <v>1135</v>
      </c>
      <c r="C329" s="95" t="s">
        <v>907</v>
      </c>
      <c r="D329" s="95">
        <v>68.642054250000001</v>
      </c>
      <c r="E329" s="95">
        <v>-149.40350056666699</v>
      </c>
      <c r="F329" s="95">
        <v>746.26800000000003</v>
      </c>
      <c r="G329" s="95" t="s">
        <v>1047</v>
      </c>
      <c r="J329" s="16" t="s">
        <v>536</v>
      </c>
      <c r="M329" s="101" t="str">
        <f t="shared" si="6"/>
        <v>View on Google Map</v>
      </c>
    </row>
    <row r="330" spans="1:13" x14ac:dyDescent="0.2">
      <c r="A330" s="95">
        <v>1</v>
      </c>
      <c r="B330" s="95" t="s">
        <v>1136</v>
      </c>
      <c r="C330" s="95" t="s">
        <v>1137</v>
      </c>
      <c r="D330" s="95">
        <v>68.641460652777781</v>
      </c>
      <c r="E330" s="95">
        <v>-149.40187098888899</v>
      </c>
      <c r="F330" s="95">
        <v>747.17499999999995</v>
      </c>
      <c r="G330" s="95" t="s">
        <v>1047</v>
      </c>
      <c r="J330" s="16" t="s">
        <v>536</v>
      </c>
      <c r="M330" s="101" t="str">
        <f t="shared" si="6"/>
        <v>View on Google Map</v>
      </c>
    </row>
    <row r="331" spans="1:13" x14ac:dyDescent="0.2">
      <c r="A331" s="95">
        <v>1</v>
      </c>
      <c r="B331" s="95" t="s">
        <v>1138</v>
      </c>
      <c r="C331" s="95" t="s">
        <v>907</v>
      </c>
      <c r="D331" s="95">
        <v>68.643159841666673</v>
      </c>
      <c r="E331" s="95">
        <v>-149.40326701388901</v>
      </c>
      <c r="F331" s="95">
        <v>746.55200000000002</v>
      </c>
      <c r="G331" s="95" t="s">
        <v>1047</v>
      </c>
      <c r="J331" s="16" t="s">
        <v>536</v>
      </c>
      <c r="M331" s="101" t="str">
        <f t="shared" si="6"/>
        <v>View on Google Map</v>
      </c>
    </row>
    <row r="332" spans="1:13" x14ac:dyDescent="0.2">
      <c r="A332" s="95">
        <v>1</v>
      </c>
      <c r="B332" s="95" t="s">
        <v>1139</v>
      </c>
      <c r="C332" s="95" t="s">
        <v>1132</v>
      </c>
      <c r="D332" s="95">
        <v>68.636731430555557</v>
      </c>
      <c r="E332" s="95">
        <v>-149.38318683611101</v>
      </c>
      <c r="F332" s="95">
        <v>755.19299999999998</v>
      </c>
      <c r="G332" s="95" t="s">
        <v>1047</v>
      </c>
      <c r="J332" s="16" t="s">
        <v>536</v>
      </c>
      <c r="M332" s="101" t="str">
        <f t="shared" si="6"/>
        <v>View on Google Map</v>
      </c>
    </row>
    <row r="333" spans="1:13" x14ac:dyDescent="0.2">
      <c r="A333" s="95">
        <v>1</v>
      </c>
      <c r="B333" s="95" t="s">
        <v>1140</v>
      </c>
      <c r="C333" s="95" t="s">
        <v>1132</v>
      </c>
      <c r="D333" s="95">
        <v>68.643629936111111</v>
      </c>
      <c r="E333" s="95">
        <v>-149.40249773333301</v>
      </c>
      <c r="F333" s="95">
        <v>745.85199999999998</v>
      </c>
      <c r="G333" s="95" t="s">
        <v>1047</v>
      </c>
      <c r="J333" s="16" t="s">
        <v>536</v>
      </c>
      <c r="M333" s="101" t="str">
        <f t="shared" si="6"/>
        <v>View on Google Map</v>
      </c>
    </row>
    <row r="334" spans="1:13" x14ac:dyDescent="0.2">
      <c r="A334" s="95">
        <v>1</v>
      </c>
      <c r="B334" s="95" t="s">
        <v>1141</v>
      </c>
      <c r="C334" s="95" t="s">
        <v>1122</v>
      </c>
      <c r="D334" s="95">
        <v>68.644659113888892</v>
      </c>
      <c r="E334" s="95">
        <v>-149.405160461111</v>
      </c>
      <c r="F334" s="95">
        <v>744.06100000000004</v>
      </c>
      <c r="G334" s="95" t="s">
        <v>1047</v>
      </c>
      <c r="J334" s="16" t="s">
        <v>536</v>
      </c>
      <c r="M334" s="101" t="str">
        <f t="shared" si="6"/>
        <v>View on Google Map</v>
      </c>
    </row>
    <row r="335" spans="1:13" x14ac:dyDescent="0.2">
      <c r="A335" s="95">
        <v>1</v>
      </c>
      <c r="B335" s="95" t="s">
        <v>1142</v>
      </c>
      <c r="C335" s="95" t="s">
        <v>907</v>
      </c>
      <c r="D335" s="95">
        <v>68.646338200000002</v>
      </c>
      <c r="E335" s="95">
        <v>-149.41002641666699</v>
      </c>
      <c r="F335" s="95">
        <v>741.68899999999996</v>
      </c>
      <c r="G335" s="95" t="s">
        <v>1047</v>
      </c>
      <c r="J335" s="16" t="s">
        <v>536</v>
      </c>
      <c r="M335" s="101" t="str">
        <f t="shared" si="6"/>
        <v>View on Google Map</v>
      </c>
    </row>
    <row r="336" spans="1:13" x14ac:dyDescent="0.2">
      <c r="A336" s="95">
        <v>1</v>
      </c>
      <c r="B336" s="95" t="s">
        <v>1143</v>
      </c>
      <c r="C336" s="95" t="s">
        <v>1144</v>
      </c>
      <c r="D336" s="95">
        <v>68.646228841666669</v>
      </c>
      <c r="E336" s="95">
        <v>-149.40909021388899</v>
      </c>
      <c r="F336" s="95">
        <v>742.04</v>
      </c>
      <c r="G336" s="95" t="s">
        <v>1047</v>
      </c>
      <c r="J336" s="16" t="s">
        <v>536</v>
      </c>
      <c r="M336" s="101" t="str">
        <f t="shared" si="6"/>
        <v>View on Google Map</v>
      </c>
    </row>
    <row r="337" spans="1:13" x14ac:dyDescent="0.2">
      <c r="A337" s="95">
        <v>1</v>
      </c>
      <c r="B337" s="95" t="s">
        <v>1145</v>
      </c>
      <c r="C337" s="95" t="s">
        <v>1122</v>
      </c>
      <c r="D337" s="95">
        <v>68.647812641666675</v>
      </c>
      <c r="E337" s="95">
        <v>-149.41565431111101</v>
      </c>
      <c r="F337" s="95">
        <v>738.87300000000005</v>
      </c>
      <c r="G337" s="95" t="s">
        <v>1047</v>
      </c>
      <c r="J337" s="16" t="s">
        <v>536</v>
      </c>
      <c r="M337" s="101" t="str">
        <f t="shared" si="6"/>
        <v>View on Google Map</v>
      </c>
    </row>
    <row r="338" spans="1:13" x14ac:dyDescent="0.2">
      <c r="A338" s="95">
        <v>1</v>
      </c>
      <c r="B338" s="95" t="s">
        <v>1146</v>
      </c>
      <c r="C338" s="95" t="s">
        <v>907</v>
      </c>
      <c r="D338" s="95">
        <v>68.649547222222225</v>
      </c>
      <c r="E338" s="95">
        <v>-149.41615246388901</v>
      </c>
      <c r="F338" s="95">
        <v>737.07399999999996</v>
      </c>
      <c r="G338" s="95" t="s">
        <v>1047</v>
      </c>
      <c r="J338" s="16" t="s">
        <v>536</v>
      </c>
      <c r="M338" s="101" t="str">
        <f t="shared" si="6"/>
        <v>View on Google Map</v>
      </c>
    </row>
    <row r="339" spans="1:13" x14ac:dyDescent="0.2">
      <c r="A339" s="95">
        <v>1</v>
      </c>
      <c r="B339" s="95" t="s">
        <v>1147</v>
      </c>
      <c r="C339" s="95" t="s">
        <v>1132</v>
      </c>
      <c r="D339" s="95">
        <v>68.65164966388889</v>
      </c>
      <c r="E339" s="95">
        <v>-149.41647778611099</v>
      </c>
      <c r="F339" s="95">
        <v>735.41800000000001</v>
      </c>
      <c r="G339" s="95" t="s">
        <v>1047</v>
      </c>
      <c r="J339" s="16" t="s">
        <v>536</v>
      </c>
      <c r="M339" s="101" t="str">
        <f t="shared" si="6"/>
        <v>View on Google Map</v>
      </c>
    </row>
    <row r="340" spans="1:13" x14ac:dyDescent="0.2">
      <c r="A340" s="95">
        <v>1</v>
      </c>
      <c r="B340" s="95" t="s">
        <v>1148</v>
      </c>
      <c r="C340" s="95" t="s">
        <v>907</v>
      </c>
      <c r="D340" s="95">
        <v>68.652284541666674</v>
      </c>
      <c r="E340" s="95">
        <v>-149.41517665000001</v>
      </c>
      <c r="F340" s="95">
        <v>734.78499999999997</v>
      </c>
      <c r="G340" s="95" t="s">
        <v>1047</v>
      </c>
      <c r="J340" s="16" t="s">
        <v>536</v>
      </c>
      <c r="M340" s="101" t="str">
        <f t="shared" si="6"/>
        <v>View on Google Map</v>
      </c>
    </row>
    <row r="341" spans="1:13" x14ac:dyDescent="0.2">
      <c r="A341" s="95">
        <v>1</v>
      </c>
      <c r="B341" s="95" t="s">
        <v>1149</v>
      </c>
      <c r="C341" s="95" t="s">
        <v>1122</v>
      </c>
      <c r="D341" s="95">
        <v>68.653667241666668</v>
      </c>
      <c r="E341" s="95">
        <v>-149.420855111111</v>
      </c>
      <c r="F341" s="95">
        <v>732.173</v>
      </c>
      <c r="G341" s="95" t="s">
        <v>1047</v>
      </c>
      <c r="J341" s="16" t="s">
        <v>536</v>
      </c>
      <c r="M341" s="101" t="str">
        <f t="shared" si="6"/>
        <v>View on Google Map</v>
      </c>
    </row>
    <row r="342" spans="1:13" x14ac:dyDescent="0.2">
      <c r="A342" s="95">
        <v>1</v>
      </c>
      <c r="B342" s="95" t="s">
        <v>1150</v>
      </c>
      <c r="C342" s="95" t="s">
        <v>907</v>
      </c>
      <c r="D342" s="95">
        <v>68.658785577777778</v>
      </c>
      <c r="E342" s="95">
        <v>-149.42446433055599</v>
      </c>
      <c r="F342" s="95">
        <v>726.91899999999998</v>
      </c>
      <c r="G342" s="95" t="s">
        <v>1047</v>
      </c>
      <c r="J342" s="16" t="s">
        <v>536</v>
      </c>
      <c r="M342" s="101" t="str">
        <f t="shared" si="6"/>
        <v>View on Google Map</v>
      </c>
    </row>
    <row r="343" spans="1:13" x14ac:dyDescent="0.2">
      <c r="A343" s="95">
        <v>1</v>
      </c>
      <c r="B343" s="95" t="s">
        <v>1151</v>
      </c>
      <c r="C343" s="95" t="s">
        <v>1152</v>
      </c>
      <c r="D343" s="95">
        <v>68.638340663999998</v>
      </c>
      <c r="E343" s="95">
        <v>-149.39350505600001</v>
      </c>
      <c r="G343" s="95" t="s">
        <v>1047</v>
      </c>
      <c r="J343" s="16" t="s">
        <v>536</v>
      </c>
      <c r="M343" s="101" t="str">
        <f t="shared" si="6"/>
        <v>View on Google Map</v>
      </c>
    </row>
    <row r="344" spans="1:13" x14ac:dyDescent="0.2">
      <c r="A344" s="95">
        <v>1</v>
      </c>
      <c r="B344" s="16" t="s">
        <v>1153</v>
      </c>
      <c r="C344" s="16" t="s">
        <v>1153</v>
      </c>
      <c r="D344" s="95">
        <v>68.647525999999999</v>
      </c>
      <c r="E344" s="95">
        <v>-149.411416</v>
      </c>
      <c r="F344" s="95">
        <v>731</v>
      </c>
      <c r="G344" s="95" t="s">
        <v>535</v>
      </c>
      <c r="H344" s="95" t="s">
        <v>1154</v>
      </c>
      <c r="I344" s="95" t="s">
        <v>510</v>
      </c>
      <c r="J344" s="95" t="s">
        <v>536</v>
      </c>
      <c r="K344" s="95" t="s">
        <v>510</v>
      </c>
      <c r="L344" s="95" t="s">
        <v>510</v>
      </c>
      <c r="M344" s="101" t="str">
        <f t="shared" si="6"/>
        <v>View on Google Map</v>
      </c>
    </row>
    <row r="345" spans="1:13" x14ac:dyDescent="0.2">
      <c r="A345" s="95">
        <v>19</v>
      </c>
      <c r="B345" s="95" t="s">
        <v>1155</v>
      </c>
      <c r="C345" s="95" t="s">
        <v>510</v>
      </c>
      <c r="D345" s="95">
        <v>68.967611000000005</v>
      </c>
      <c r="E345" s="95">
        <v>-149.705342</v>
      </c>
      <c r="F345" s="95">
        <v>411</v>
      </c>
      <c r="G345" s="95" t="s">
        <v>535</v>
      </c>
      <c r="H345" s="95" t="s">
        <v>1156</v>
      </c>
      <c r="I345" s="95" t="s">
        <v>510</v>
      </c>
      <c r="J345" s="95" t="s">
        <v>536</v>
      </c>
      <c r="K345" s="95" t="s">
        <v>510</v>
      </c>
      <c r="L345" s="95" t="s">
        <v>510</v>
      </c>
      <c r="M345" s="101" t="str">
        <f t="shared" si="6"/>
        <v>View on Google Map</v>
      </c>
    </row>
    <row r="346" spans="1:13" x14ac:dyDescent="0.2">
      <c r="A346" s="95">
        <v>16</v>
      </c>
      <c r="B346" s="95" t="s">
        <v>1157</v>
      </c>
      <c r="C346" s="95" t="s">
        <v>510</v>
      </c>
      <c r="D346" s="95" t="s">
        <v>510</v>
      </c>
      <c r="E346" s="95" t="s">
        <v>510</v>
      </c>
      <c r="F346" s="95" t="s">
        <v>510</v>
      </c>
      <c r="G346" s="95" t="s">
        <v>535</v>
      </c>
      <c r="H346" s="95" t="s">
        <v>510</v>
      </c>
      <c r="I346" s="95" t="s">
        <v>510</v>
      </c>
      <c r="J346" s="95" t="s">
        <v>536</v>
      </c>
      <c r="K346" s="95" t="s">
        <v>510</v>
      </c>
      <c r="L346" s="95" t="s">
        <v>510</v>
      </c>
      <c r="M346" s="101" t="str">
        <f t="shared" si="6"/>
        <v>View on Google Map</v>
      </c>
    </row>
    <row r="347" spans="1:13" x14ac:dyDescent="0.2">
      <c r="A347" s="95">
        <v>1198</v>
      </c>
      <c r="B347" s="95" t="s">
        <v>1158</v>
      </c>
      <c r="C347" s="95" t="s">
        <v>694</v>
      </c>
      <c r="D347" s="95">
        <v>69.297460909999998</v>
      </c>
      <c r="E347" s="95">
        <v>-150.32340117999999</v>
      </c>
      <c r="F347" s="95" t="s">
        <v>510</v>
      </c>
      <c r="G347" s="95" t="s">
        <v>511</v>
      </c>
      <c r="H347" s="95" t="s">
        <v>510</v>
      </c>
      <c r="I347" s="95" t="s">
        <v>510</v>
      </c>
      <c r="J347" s="95" t="s">
        <v>517</v>
      </c>
      <c r="K347" s="95" t="s">
        <v>510</v>
      </c>
      <c r="L347" s="95" t="s">
        <v>518</v>
      </c>
      <c r="M347" s="101" t="str">
        <f t="shared" si="6"/>
        <v>View on Google Map</v>
      </c>
    </row>
    <row r="348" spans="1:13" x14ac:dyDescent="0.2">
      <c r="A348" s="95">
        <v>135</v>
      </c>
      <c r="B348" s="95" t="s">
        <v>1159</v>
      </c>
      <c r="C348" s="95" t="s">
        <v>510</v>
      </c>
      <c r="D348" s="95">
        <v>70.333333333333329</v>
      </c>
      <c r="E348" s="95">
        <v>-148.80000000000001</v>
      </c>
      <c r="F348" s="95">
        <v>4</v>
      </c>
      <c r="G348" s="95" t="s">
        <v>521</v>
      </c>
      <c r="H348" s="95" t="s">
        <v>1160</v>
      </c>
      <c r="I348" s="95" t="s">
        <v>510</v>
      </c>
      <c r="J348" s="95" t="s">
        <v>536</v>
      </c>
      <c r="K348" s="95" t="s">
        <v>510</v>
      </c>
      <c r="L348" s="95" t="s">
        <v>537</v>
      </c>
      <c r="M348" s="101" t="str">
        <f t="shared" si="6"/>
        <v>View on Google Map</v>
      </c>
    </row>
    <row r="349" spans="1:13" x14ac:dyDescent="0.2">
      <c r="A349" s="95">
        <v>126</v>
      </c>
      <c r="B349" s="95" t="s">
        <v>1161</v>
      </c>
      <c r="C349" s="95" t="s">
        <v>510</v>
      </c>
      <c r="D349" s="95">
        <v>68.733333333333334</v>
      </c>
      <c r="E349" s="95">
        <v>-148.93333333333334</v>
      </c>
      <c r="F349" s="95">
        <v>556</v>
      </c>
      <c r="G349" s="95" t="s">
        <v>521</v>
      </c>
      <c r="H349" s="95" t="s">
        <v>1162</v>
      </c>
      <c r="I349" s="95" t="s">
        <v>510</v>
      </c>
      <c r="J349" s="95" t="s">
        <v>536</v>
      </c>
      <c r="K349" s="95" t="s">
        <v>510</v>
      </c>
      <c r="L349" s="95" t="s">
        <v>537</v>
      </c>
      <c r="M349" s="101" t="str">
        <f t="shared" si="6"/>
        <v>View on Google Map</v>
      </c>
    </row>
    <row r="350" spans="1:13" x14ac:dyDescent="0.2">
      <c r="A350" s="95">
        <v>134</v>
      </c>
      <c r="B350" s="95" t="s">
        <v>1163</v>
      </c>
      <c r="C350" s="95" t="s">
        <v>510</v>
      </c>
      <c r="D350" s="95">
        <v>70.349999999999994</v>
      </c>
      <c r="E350" s="95">
        <v>-148.58333333333334</v>
      </c>
      <c r="F350" s="95">
        <v>2</v>
      </c>
      <c r="G350" s="95" t="s">
        <v>521</v>
      </c>
      <c r="H350" s="95" t="s">
        <v>1164</v>
      </c>
      <c r="I350" s="95" t="s">
        <v>510</v>
      </c>
      <c r="J350" s="95" t="s">
        <v>536</v>
      </c>
      <c r="K350" s="95" t="s">
        <v>510</v>
      </c>
      <c r="L350" s="95" t="s">
        <v>537</v>
      </c>
      <c r="M350" s="101" t="str">
        <f t="shared" si="6"/>
        <v>View on Google Map</v>
      </c>
    </row>
    <row r="351" spans="1:13" x14ac:dyDescent="0.2">
      <c r="A351" s="95">
        <v>128</v>
      </c>
      <c r="B351" s="95" t="s">
        <v>1165</v>
      </c>
      <c r="C351" s="95" t="s">
        <v>510</v>
      </c>
      <c r="D351" s="95">
        <v>69.033333333333331</v>
      </c>
      <c r="E351" s="95">
        <v>-148.85</v>
      </c>
      <c r="F351" s="95">
        <v>319</v>
      </c>
      <c r="G351" s="95" t="s">
        <v>521</v>
      </c>
      <c r="H351" s="95" t="s">
        <v>1166</v>
      </c>
      <c r="I351" s="95" t="s">
        <v>510</v>
      </c>
      <c r="J351" s="95" t="s">
        <v>536</v>
      </c>
      <c r="K351" s="95" t="s">
        <v>510</v>
      </c>
      <c r="L351" s="95" t="s">
        <v>537</v>
      </c>
      <c r="M351" s="101" t="str">
        <f t="shared" si="6"/>
        <v>View on Google Map</v>
      </c>
    </row>
    <row r="352" spans="1:13" x14ac:dyDescent="0.2">
      <c r="A352" s="95">
        <v>139</v>
      </c>
      <c r="B352" s="95" t="s">
        <v>1167</v>
      </c>
      <c r="C352" s="95" t="s">
        <v>510</v>
      </c>
      <c r="D352" s="95">
        <v>70.216666666666669</v>
      </c>
      <c r="E352" s="95">
        <v>-142.46666666666701</v>
      </c>
      <c r="F352" s="95">
        <v>15</v>
      </c>
      <c r="G352" s="95" t="s">
        <v>521</v>
      </c>
      <c r="H352" s="95" t="s">
        <v>1168</v>
      </c>
      <c r="I352" s="95" t="s">
        <v>1169</v>
      </c>
      <c r="J352" s="95" t="s">
        <v>536</v>
      </c>
      <c r="K352" s="95" t="s">
        <v>510</v>
      </c>
      <c r="L352" s="95" t="s">
        <v>537</v>
      </c>
      <c r="M352" s="101" t="str">
        <f t="shared" si="6"/>
        <v>View on Google Map</v>
      </c>
    </row>
    <row r="353" spans="1:14" x14ac:dyDescent="0.2">
      <c r="A353" s="95">
        <v>127</v>
      </c>
      <c r="B353" s="95" t="s">
        <v>1170</v>
      </c>
      <c r="C353" s="95" t="s">
        <v>510</v>
      </c>
      <c r="D353" s="95">
        <v>68.733333333333334</v>
      </c>
      <c r="E353" s="95">
        <v>-148.96666666666667</v>
      </c>
      <c r="F353" s="95">
        <v>597</v>
      </c>
      <c r="G353" s="95" t="s">
        <v>521</v>
      </c>
      <c r="H353" s="95" t="s">
        <v>1171</v>
      </c>
      <c r="I353" s="95" t="s">
        <v>510</v>
      </c>
      <c r="J353" s="95" t="s">
        <v>536</v>
      </c>
      <c r="K353" s="95" t="s">
        <v>510</v>
      </c>
      <c r="L353" s="95" t="s">
        <v>537</v>
      </c>
      <c r="M353" s="101" t="str">
        <f t="shared" si="6"/>
        <v>View on Google Map</v>
      </c>
    </row>
    <row r="354" spans="1:14" x14ac:dyDescent="0.2">
      <c r="A354" s="95">
        <v>133</v>
      </c>
      <c r="B354" s="95" t="s">
        <v>1172</v>
      </c>
      <c r="C354" s="95" t="s">
        <v>510</v>
      </c>
      <c r="D354" s="95">
        <v>70.36666666666666</v>
      </c>
      <c r="E354" s="95">
        <v>-148.5</v>
      </c>
      <c r="F354" s="95">
        <v>2</v>
      </c>
      <c r="G354" s="95" t="s">
        <v>521</v>
      </c>
      <c r="H354" s="95" t="s">
        <v>1173</v>
      </c>
      <c r="I354" s="95" t="s">
        <v>510</v>
      </c>
      <c r="J354" s="95" t="s">
        <v>536</v>
      </c>
      <c r="K354" s="95" t="s">
        <v>510</v>
      </c>
      <c r="L354" s="95" t="s">
        <v>537</v>
      </c>
      <c r="M354" s="101" t="str">
        <f t="shared" si="6"/>
        <v>View on Google Map</v>
      </c>
    </row>
    <row r="355" spans="1:14" x14ac:dyDescent="0.2">
      <c r="A355" s="95">
        <v>140</v>
      </c>
      <c r="B355" s="95" t="s">
        <v>1174</v>
      </c>
      <c r="C355" s="95" t="s">
        <v>510</v>
      </c>
      <c r="D355" s="95">
        <v>69.583333333333329</v>
      </c>
      <c r="E355" s="95">
        <v>-148.63333333333301</v>
      </c>
      <c r="F355" s="95">
        <v>145</v>
      </c>
      <c r="G355" s="95" t="s">
        <v>521</v>
      </c>
      <c r="H355" s="95" t="s">
        <v>1175</v>
      </c>
      <c r="I355" s="95" t="s">
        <v>1176</v>
      </c>
      <c r="J355" s="95" t="s">
        <v>536</v>
      </c>
      <c r="K355" s="95" t="s">
        <v>510</v>
      </c>
      <c r="L355" s="95" t="s">
        <v>537</v>
      </c>
      <c r="M355" s="101" t="str">
        <f t="shared" si="6"/>
        <v>View on Google Map</v>
      </c>
    </row>
    <row r="356" spans="1:14" x14ac:dyDescent="0.2">
      <c r="A356" s="95">
        <v>247</v>
      </c>
      <c r="B356" s="95" t="s">
        <v>1177</v>
      </c>
      <c r="C356" s="95" t="s">
        <v>1178</v>
      </c>
      <c r="D356" s="95">
        <v>68.687318124800001</v>
      </c>
      <c r="E356" s="95">
        <v>-150.043661294</v>
      </c>
      <c r="F356" s="95">
        <v>670</v>
      </c>
      <c r="G356" s="95" t="s">
        <v>521</v>
      </c>
      <c r="H356" s="95" t="s">
        <v>1179</v>
      </c>
      <c r="I356" s="95" t="s">
        <v>510</v>
      </c>
      <c r="J356" s="95" t="s">
        <v>803</v>
      </c>
      <c r="K356" s="95" t="s">
        <v>510</v>
      </c>
      <c r="L356" s="95" t="s">
        <v>804</v>
      </c>
      <c r="M356" s="101" t="str">
        <f t="shared" si="6"/>
        <v>View on Google Map</v>
      </c>
      <c r="N356" s="95">
        <f t="shared" ref="N356:N419" si="7">VALUE(MID(H356,5,3))</f>
        <v>1</v>
      </c>
    </row>
    <row r="357" spans="1:14" x14ac:dyDescent="0.2">
      <c r="A357" s="95">
        <v>248</v>
      </c>
      <c r="B357" s="95" t="s">
        <v>1180</v>
      </c>
      <c r="C357" s="95" t="s">
        <v>1181</v>
      </c>
      <c r="D357" s="95">
        <v>68.691799913400004</v>
      </c>
      <c r="E357" s="95">
        <v>-150.04995633499999</v>
      </c>
      <c r="F357" s="95">
        <v>670</v>
      </c>
      <c r="G357" s="95" t="s">
        <v>521</v>
      </c>
      <c r="H357" s="95" t="s">
        <v>1182</v>
      </c>
      <c r="I357" s="95" t="s">
        <v>510</v>
      </c>
      <c r="J357" s="95" t="s">
        <v>803</v>
      </c>
      <c r="K357" s="95" t="s">
        <v>510</v>
      </c>
      <c r="L357" s="95" t="s">
        <v>804</v>
      </c>
      <c r="M357" s="101" t="str">
        <f t="shared" si="6"/>
        <v>View on Google Map</v>
      </c>
      <c r="N357" s="95">
        <f t="shared" si="7"/>
        <v>2</v>
      </c>
    </row>
    <row r="358" spans="1:14" x14ac:dyDescent="0.2">
      <c r="A358" s="95">
        <v>249</v>
      </c>
      <c r="B358" s="95" t="s">
        <v>1183</v>
      </c>
      <c r="C358" s="95" t="s">
        <v>1184</v>
      </c>
      <c r="D358" s="95">
        <v>68.692272706200001</v>
      </c>
      <c r="E358" s="95">
        <v>-150.05393183499999</v>
      </c>
      <c r="F358" s="95">
        <v>670</v>
      </c>
      <c r="G358" s="95" t="s">
        <v>521</v>
      </c>
      <c r="H358" s="95" t="s">
        <v>1185</v>
      </c>
      <c r="I358" s="95" t="s">
        <v>510</v>
      </c>
      <c r="J358" s="95" t="s">
        <v>803</v>
      </c>
      <c r="K358" s="95" t="s">
        <v>510</v>
      </c>
      <c r="L358" s="95" t="s">
        <v>804</v>
      </c>
      <c r="M358" s="101" t="str">
        <f t="shared" si="6"/>
        <v>View on Google Map</v>
      </c>
      <c r="N358" s="95">
        <f t="shared" si="7"/>
        <v>3</v>
      </c>
    </row>
    <row r="359" spans="1:14" x14ac:dyDescent="0.2">
      <c r="A359" s="95">
        <v>250</v>
      </c>
      <c r="B359" s="95" t="s">
        <v>1186</v>
      </c>
      <c r="C359" s="95" t="s">
        <v>1187</v>
      </c>
      <c r="D359" s="95">
        <v>68.694180615799993</v>
      </c>
      <c r="E359" s="95">
        <v>-150.05828837300001</v>
      </c>
      <c r="F359" s="95">
        <v>670</v>
      </c>
      <c r="G359" s="95" t="s">
        <v>521</v>
      </c>
      <c r="H359" s="95" t="s">
        <v>1188</v>
      </c>
      <c r="I359" s="95" t="s">
        <v>510</v>
      </c>
      <c r="J359" s="95" t="s">
        <v>803</v>
      </c>
      <c r="K359" s="95" t="s">
        <v>510</v>
      </c>
      <c r="L359" s="95" t="s">
        <v>804</v>
      </c>
      <c r="M359" s="101" t="str">
        <f t="shared" si="6"/>
        <v>View on Google Map</v>
      </c>
      <c r="N359" s="95">
        <f t="shared" si="7"/>
        <v>4</v>
      </c>
    </row>
    <row r="360" spans="1:14" x14ac:dyDescent="0.2">
      <c r="A360" s="95">
        <v>251</v>
      </c>
      <c r="B360" s="95" t="s">
        <v>1189</v>
      </c>
      <c r="C360" s="95" t="s">
        <v>1190</v>
      </c>
      <c r="D360" s="95">
        <v>68.7077131315</v>
      </c>
      <c r="E360" s="95">
        <v>-150.04654580600001</v>
      </c>
      <c r="F360" s="95">
        <v>580</v>
      </c>
      <c r="G360" s="95" t="s">
        <v>521</v>
      </c>
      <c r="H360" s="95" t="s">
        <v>1191</v>
      </c>
      <c r="I360" s="95" t="s">
        <v>510</v>
      </c>
      <c r="J360" s="95" t="s">
        <v>803</v>
      </c>
      <c r="K360" s="95" t="s">
        <v>510</v>
      </c>
      <c r="L360" s="95" t="s">
        <v>804</v>
      </c>
      <c r="M360" s="101" t="str">
        <f t="shared" si="6"/>
        <v>View on Google Map</v>
      </c>
      <c r="N360" s="95">
        <f t="shared" si="7"/>
        <v>5</v>
      </c>
    </row>
    <row r="361" spans="1:14" x14ac:dyDescent="0.2">
      <c r="A361" s="95">
        <v>252</v>
      </c>
      <c r="B361" s="95" t="s">
        <v>1192</v>
      </c>
      <c r="C361" s="95" t="s">
        <v>1193</v>
      </c>
      <c r="D361" s="95">
        <v>68.713583961699996</v>
      </c>
      <c r="E361" s="95">
        <v>-150.03096474</v>
      </c>
      <c r="F361" s="95">
        <v>550</v>
      </c>
      <c r="G361" s="95" t="s">
        <v>521</v>
      </c>
      <c r="H361" s="95" t="s">
        <v>1194</v>
      </c>
      <c r="I361" s="95" t="s">
        <v>510</v>
      </c>
      <c r="J361" s="95" t="s">
        <v>803</v>
      </c>
      <c r="K361" s="95" t="s">
        <v>510</v>
      </c>
      <c r="L361" s="95" t="s">
        <v>804</v>
      </c>
      <c r="M361" s="101" t="str">
        <f t="shared" si="6"/>
        <v>View on Google Map</v>
      </c>
      <c r="N361" s="95">
        <f t="shared" si="7"/>
        <v>6</v>
      </c>
    </row>
    <row r="362" spans="1:14" x14ac:dyDescent="0.2">
      <c r="A362" s="95">
        <v>253</v>
      </c>
      <c r="B362" s="95" t="s">
        <v>1195</v>
      </c>
      <c r="C362" s="95" t="s">
        <v>1196</v>
      </c>
      <c r="D362" s="95">
        <v>68.717696468200003</v>
      </c>
      <c r="E362" s="95">
        <v>-150.03558023400001</v>
      </c>
      <c r="F362" s="95">
        <v>550</v>
      </c>
      <c r="G362" s="95" t="s">
        <v>521</v>
      </c>
      <c r="H362" s="95" t="s">
        <v>1197</v>
      </c>
      <c r="I362" s="95" t="s">
        <v>510</v>
      </c>
      <c r="J362" s="95" t="s">
        <v>803</v>
      </c>
      <c r="K362" s="95" t="s">
        <v>510</v>
      </c>
      <c r="L362" s="95" t="s">
        <v>804</v>
      </c>
      <c r="M362" s="101" t="str">
        <f t="shared" si="6"/>
        <v>View on Google Map</v>
      </c>
      <c r="N362" s="95">
        <f t="shared" si="7"/>
        <v>7</v>
      </c>
    </row>
    <row r="363" spans="1:14" x14ac:dyDescent="0.2">
      <c r="A363" s="95">
        <v>254</v>
      </c>
      <c r="B363" s="95" t="s">
        <v>1198</v>
      </c>
      <c r="C363" s="95" t="s">
        <v>1199</v>
      </c>
      <c r="D363" s="95">
        <v>68.724625849299997</v>
      </c>
      <c r="E363" s="95">
        <v>-150.02664640699999</v>
      </c>
      <c r="F363" s="95">
        <v>520</v>
      </c>
      <c r="G363" s="95" t="s">
        <v>521</v>
      </c>
      <c r="H363" s="95" t="s">
        <v>1200</v>
      </c>
      <c r="I363" s="95" t="s">
        <v>510</v>
      </c>
      <c r="J363" s="95" t="s">
        <v>803</v>
      </c>
      <c r="K363" s="95" t="s">
        <v>510</v>
      </c>
      <c r="L363" s="95" t="s">
        <v>804</v>
      </c>
      <c r="M363" s="101" t="str">
        <f t="shared" si="6"/>
        <v>View on Google Map</v>
      </c>
      <c r="N363" s="95">
        <f t="shared" si="7"/>
        <v>8</v>
      </c>
    </row>
    <row r="364" spans="1:14" x14ac:dyDescent="0.2">
      <c r="A364" s="95">
        <v>255</v>
      </c>
      <c r="B364" s="95" t="s">
        <v>1201</v>
      </c>
      <c r="C364" s="95" t="s">
        <v>1202</v>
      </c>
      <c r="D364" s="95">
        <v>68.728073916699998</v>
      </c>
      <c r="E364" s="95">
        <v>-150.03359923599999</v>
      </c>
      <c r="F364" s="95">
        <v>520</v>
      </c>
      <c r="G364" s="95" t="s">
        <v>521</v>
      </c>
      <c r="H364" s="95" t="s">
        <v>1203</v>
      </c>
      <c r="I364" s="95" t="s">
        <v>510</v>
      </c>
      <c r="J364" s="95" t="s">
        <v>803</v>
      </c>
      <c r="K364" s="95" t="s">
        <v>510</v>
      </c>
      <c r="L364" s="95" t="s">
        <v>804</v>
      </c>
      <c r="M364" s="101" t="str">
        <f t="shared" si="6"/>
        <v>View on Google Map</v>
      </c>
      <c r="N364" s="95">
        <f t="shared" si="7"/>
        <v>9</v>
      </c>
    </row>
    <row r="365" spans="1:14" x14ac:dyDescent="0.2">
      <c r="A365" s="95">
        <v>256</v>
      </c>
      <c r="B365" s="95" t="s">
        <v>1204</v>
      </c>
      <c r="C365" s="95" t="s">
        <v>1205</v>
      </c>
      <c r="D365" s="95">
        <v>68.701700654700005</v>
      </c>
      <c r="E365" s="95">
        <v>-149.74902999599999</v>
      </c>
      <c r="F365" s="95">
        <v>760</v>
      </c>
      <c r="G365" s="95" t="s">
        <v>521</v>
      </c>
      <c r="H365" s="95" t="s">
        <v>1206</v>
      </c>
      <c r="I365" s="95" t="s">
        <v>510</v>
      </c>
      <c r="J365" s="95" t="s">
        <v>803</v>
      </c>
      <c r="K365" s="95" t="s">
        <v>510</v>
      </c>
      <c r="L365" s="95" t="s">
        <v>804</v>
      </c>
      <c r="M365" s="101" t="str">
        <f t="shared" si="6"/>
        <v>View on Google Map</v>
      </c>
      <c r="N365" s="95">
        <f t="shared" si="7"/>
        <v>10</v>
      </c>
    </row>
    <row r="366" spans="1:14" x14ac:dyDescent="0.2">
      <c r="A366" s="95">
        <v>257</v>
      </c>
      <c r="B366" s="95" t="s">
        <v>1207</v>
      </c>
      <c r="C366" s="95" t="s">
        <v>1208</v>
      </c>
      <c r="D366" s="95">
        <v>68.701945515000006</v>
      </c>
      <c r="E366" s="95">
        <v>-149.745520981</v>
      </c>
      <c r="F366" s="95">
        <v>760</v>
      </c>
      <c r="G366" s="95" t="s">
        <v>521</v>
      </c>
      <c r="H366" s="95" t="s">
        <v>1209</v>
      </c>
      <c r="I366" s="95" t="s">
        <v>510</v>
      </c>
      <c r="J366" s="95" t="s">
        <v>803</v>
      </c>
      <c r="K366" s="95" t="s">
        <v>510</v>
      </c>
      <c r="L366" s="95" t="s">
        <v>804</v>
      </c>
      <c r="M366" s="101" t="str">
        <f t="shared" si="6"/>
        <v>View on Google Map</v>
      </c>
      <c r="N366" s="95">
        <f t="shared" si="7"/>
        <v>11</v>
      </c>
    </row>
    <row r="367" spans="1:14" x14ac:dyDescent="0.2">
      <c r="A367" s="95">
        <v>258</v>
      </c>
      <c r="B367" s="95" t="s">
        <v>1210</v>
      </c>
      <c r="C367" s="95" t="s">
        <v>1211</v>
      </c>
      <c r="D367" s="95">
        <v>68.704802601699996</v>
      </c>
      <c r="E367" s="95">
        <v>-149.73409678600001</v>
      </c>
      <c r="F367" s="95">
        <v>730</v>
      </c>
      <c r="G367" s="95" t="s">
        <v>521</v>
      </c>
      <c r="H367" s="95" t="s">
        <v>1212</v>
      </c>
      <c r="I367" s="95" t="s">
        <v>510</v>
      </c>
      <c r="J367" s="95" t="s">
        <v>803</v>
      </c>
      <c r="K367" s="95" t="s">
        <v>510</v>
      </c>
      <c r="L367" s="95" t="s">
        <v>804</v>
      </c>
      <c r="M367" s="101" t="str">
        <f t="shared" si="6"/>
        <v>View on Google Map</v>
      </c>
      <c r="N367" s="95">
        <f t="shared" si="7"/>
        <v>12</v>
      </c>
    </row>
    <row r="368" spans="1:14" x14ac:dyDescent="0.2">
      <c r="A368" s="95">
        <v>259</v>
      </c>
      <c r="B368" s="95" t="s">
        <v>1213</v>
      </c>
      <c r="C368" s="95" t="s">
        <v>1214</v>
      </c>
      <c r="D368" s="95">
        <v>68.703579720799993</v>
      </c>
      <c r="E368" s="95">
        <v>-149.717697128</v>
      </c>
      <c r="F368" s="95">
        <v>690</v>
      </c>
      <c r="G368" s="95" t="s">
        <v>521</v>
      </c>
      <c r="H368" s="95" t="s">
        <v>1215</v>
      </c>
      <c r="I368" s="95" t="s">
        <v>510</v>
      </c>
      <c r="J368" s="95" t="s">
        <v>803</v>
      </c>
      <c r="K368" s="95" t="s">
        <v>510</v>
      </c>
      <c r="L368" s="95" t="s">
        <v>804</v>
      </c>
      <c r="M368" s="101" t="str">
        <f t="shared" si="6"/>
        <v>View on Google Map</v>
      </c>
      <c r="N368" s="95">
        <f t="shared" si="7"/>
        <v>13</v>
      </c>
    </row>
    <row r="369" spans="1:14" x14ac:dyDescent="0.2">
      <c r="A369" s="95">
        <v>260</v>
      </c>
      <c r="B369" s="95" t="s">
        <v>1216</v>
      </c>
      <c r="C369" s="95" t="s">
        <v>1217</v>
      </c>
      <c r="D369" s="95">
        <v>68.702004088500004</v>
      </c>
      <c r="E369" s="95">
        <v>-149.71011160800001</v>
      </c>
      <c r="F369" s="95">
        <v>650</v>
      </c>
      <c r="G369" s="95" t="s">
        <v>521</v>
      </c>
      <c r="H369" s="95" t="s">
        <v>1218</v>
      </c>
      <c r="I369" s="95" t="s">
        <v>510</v>
      </c>
      <c r="J369" s="95" t="s">
        <v>803</v>
      </c>
      <c r="K369" s="95" t="s">
        <v>510</v>
      </c>
      <c r="L369" s="95" t="s">
        <v>804</v>
      </c>
      <c r="M369" s="101" t="str">
        <f t="shared" si="6"/>
        <v>View on Google Map</v>
      </c>
      <c r="N369" s="95">
        <f t="shared" si="7"/>
        <v>14</v>
      </c>
    </row>
    <row r="370" spans="1:14" x14ac:dyDescent="0.2">
      <c r="A370" s="95">
        <v>261</v>
      </c>
      <c r="B370" s="95" t="s">
        <v>1219</v>
      </c>
      <c r="C370" s="95" t="s">
        <v>1220</v>
      </c>
      <c r="D370" s="95">
        <v>68.707978848899998</v>
      </c>
      <c r="E370" s="95">
        <v>-149.715105897</v>
      </c>
      <c r="F370" s="95">
        <v>650</v>
      </c>
      <c r="G370" s="95" t="s">
        <v>521</v>
      </c>
      <c r="H370" s="95" t="s">
        <v>1221</v>
      </c>
      <c r="I370" s="95" t="s">
        <v>510</v>
      </c>
      <c r="J370" s="95" t="s">
        <v>803</v>
      </c>
      <c r="K370" s="95" t="s">
        <v>510</v>
      </c>
      <c r="L370" s="95" t="s">
        <v>804</v>
      </c>
      <c r="M370" s="101" t="str">
        <f t="shared" si="6"/>
        <v>View on Google Map</v>
      </c>
      <c r="N370" s="95">
        <f t="shared" si="7"/>
        <v>15</v>
      </c>
    </row>
    <row r="371" spans="1:14" x14ac:dyDescent="0.2">
      <c r="A371" s="95">
        <v>262</v>
      </c>
      <c r="B371" s="95" t="s">
        <v>1222</v>
      </c>
      <c r="C371" s="95" t="s">
        <v>1223</v>
      </c>
      <c r="D371" s="95">
        <v>68.707847844300005</v>
      </c>
      <c r="E371" s="95">
        <v>-149.69962200099999</v>
      </c>
      <c r="F371" s="95">
        <v>650</v>
      </c>
      <c r="G371" s="95" t="s">
        <v>521</v>
      </c>
      <c r="H371" s="95" t="s">
        <v>1224</v>
      </c>
      <c r="I371" s="95" t="s">
        <v>510</v>
      </c>
      <c r="J371" s="95" t="s">
        <v>803</v>
      </c>
      <c r="K371" s="95" t="s">
        <v>510</v>
      </c>
      <c r="L371" s="95" t="s">
        <v>804</v>
      </c>
      <c r="M371" s="101" t="str">
        <f t="shared" si="6"/>
        <v>View on Google Map</v>
      </c>
      <c r="N371" s="95">
        <f t="shared" si="7"/>
        <v>16</v>
      </c>
    </row>
    <row r="372" spans="1:14" x14ac:dyDescent="0.2">
      <c r="A372" s="95">
        <v>263</v>
      </c>
      <c r="B372" s="95" t="s">
        <v>1225</v>
      </c>
      <c r="C372" s="95" t="s">
        <v>1226</v>
      </c>
      <c r="D372" s="95">
        <v>68.7041606871</v>
      </c>
      <c r="E372" s="95">
        <v>-149.68743035400001</v>
      </c>
      <c r="F372" s="95">
        <v>650</v>
      </c>
      <c r="G372" s="95" t="s">
        <v>521</v>
      </c>
      <c r="H372" s="95" t="s">
        <v>1227</v>
      </c>
      <c r="I372" s="95" t="s">
        <v>510</v>
      </c>
      <c r="J372" s="95" t="s">
        <v>803</v>
      </c>
      <c r="K372" s="95" t="s">
        <v>510</v>
      </c>
      <c r="L372" s="95" t="s">
        <v>804</v>
      </c>
      <c r="M372" s="101" t="str">
        <f t="shared" si="6"/>
        <v>View on Google Map</v>
      </c>
      <c r="N372" s="95">
        <f t="shared" si="7"/>
        <v>17</v>
      </c>
    </row>
    <row r="373" spans="1:14" x14ac:dyDescent="0.2">
      <c r="A373" s="95">
        <v>264</v>
      </c>
      <c r="B373" s="95" t="s">
        <v>1228</v>
      </c>
      <c r="C373" s="95" t="s">
        <v>1229</v>
      </c>
      <c r="D373" s="95">
        <v>68.699385523999993</v>
      </c>
      <c r="E373" s="95">
        <v>-149.69396666399999</v>
      </c>
      <c r="F373" s="95">
        <v>650</v>
      </c>
      <c r="G373" s="95" t="s">
        <v>521</v>
      </c>
      <c r="H373" s="95" t="s">
        <v>1230</v>
      </c>
      <c r="I373" s="95" t="s">
        <v>510</v>
      </c>
      <c r="J373" s="95" t="s">
        <v>803</v>
      </c>
      <c r="K373" s="95" t="s">
        <v>510</v>
      </c>
      <c r="L373" s="95" t="s">
        <v>804</v>
      </c>
      <c r="M373" s="101" t="str">
        <f t="shared" si="6"/>
        <v>View on Google Map</v>
      </c>
      <c r="N373" s="95">
        <f t="shared" si="7"/>
        <v>18</v>
      </c>
    </row>
    <row r="374" spans="1:14" x14ac:dyDescent="0.2">
      <c r="A374" s="95">
        <v>265</v>
      </c>
      <c r="B374" s="95" t="s">
        <v>1231</v>
      </c>
      <c r="C374" s="95" t="s">
        <v>1232</v>
      </c>
      <c r="D374" s="95">
        <v>68.7022801743</v>
      </c>
      <c r="E374" s="95">
        <v>-149.70382138400001</v>
      </c>
      <c r="F374" s="95">
        <v>650</v>
      </c>
      <c r="G374" s="95" t="s">
        <v>521</v>
      </c>
      <c r="H374" s="95" t="s">
        <v>1233</v>
      </c>
      <c r="I374" s="95" t="s">
        <v>510</v>
      </c>
      <c r="J374" s="95" t="s">
        <v>803</v>
      </c>
      <c r="K374" s="95" t="s">
        <v>510</v>
      </c>
      <c r="L374" s="95" t="s">
        <v>804</v>
      </c>
      <c r="M374" s="101" t="str">
        <f t="shared" si="6"/>
        <v>View on Google Map</v>
      </c>
      <c r="N374" s="95">
        <f t="shared" si="7"/>
        <v>19</v>
      </c>
    </row>
    <row r="375" spans="1:14" x14ac:dyDescent="0.2">
      <c r="A375" s="95">
        <v>266</v>
      </c>
      <c r="B375" s="95" t="s">
        <v>1234</v>
      </c>
      <c r="C375" s="95" t="s">
        <v>1235</v>
      </c>
      <c r="D375" s="95">
        <v>68.691324054399999</v>
      </c>
      <c r="E375" s="95">
        <v>-149.78520674699999</v>
      </c>
      <c r="F375" s="95">
        <v>650</v>
      </c>
      <c r="G375" s="95" t="s">
        <v>521</v>
      </c>
      <c r="H375" s="95" t="s">
        <v>1236</v>
      </c>
      <c r="I375" s="95" t="s">
        <v>510</v>
      </c>
      <c r="J375" s="95" t="s">
        <v>803</v>
      </c>
      <c r="K375" s="95" t="s">
        <v>510</v>
      </c>
      <c r="L375" s="95" t="s">
        <v>804</v>
      </c>
      <c r="M375" s="101" t="str">
        <f t="shared" si="6"/>
        <v>View on Google Map</v>
      </c>
      <c r="N375" s="95">
        <f t="shared" si="7"/>
        <v>20</v>
      </c>
    </row>
    <row r="376" spans="1:14" x14ac:dyDescent="0.2">
      <c r="A376" s="95">
        <v>267</v>
      </c>
      <c r="B376" s="95" t="s">
        <v>1237</v>
      </c>
      <c r="C376" s="95" t="s">
        <v>1238</v>
      </c>
      <c r="D376" s="95">
        <v>68.682528721799997</v>
      </c>
      <c r="E376" s="95">
        <v>-149.77156908800001</v>
      </c>
      <c r="F376" s="95">
        <v>630</v>
      </c>
      <c r="G376" s="95" t="s">
        <v>521</v>
      </c>
      <c r="H376" s="95" t="s">
        <v>1239</v>
      </c>
      <c r="I376" s="95" t="s">
        <v>510</v>
      </c>
      <c r="J376" s="95" t="s">
        <v>803</v>
      </c>
      <c r="K376" s="95" t="s">
        <v>510</v>
      </c>
      <c r="L376" s="95" t="s">
        <v>804</v>
      </c>
      <c r="M376" s="101" t="str">
        <f t="shared" si="6"/>
        <v>View on Google Map</v>
      </c>
      <c r="N376" s="95">
        <f t="shared" si="7"/>
        <v>21</v>
      </c>
    </row>
    <row r="377" spans="1:14" x14ac:dyDescent="0.2">
      <c r="A377" s="95">
        <v>268</v>
      </c>
      <c r="B377" s="95" t="s">
        <v>1240</v>
      </c>
      <c r="C377" s="95" t="s">
        <v>1241</v>
      </c>
      <c r="D377" s="95">
        <v>68.6833666064</v>
      </c>
      <c r="E377" s="95">
        <v>-149.78602037900001</v>
      </c>
      <c r="F377" s="95">
        <v>620</v>
      </c>
      <c r="G377" s="95" t="s">
        <v>521</v>
      </c>
      <c r="H377" s="95" t="s">
        <v>1242</v>
      </c>
      <c r="I377" s="95" t="s">
        <v>510</v>
      </c>
      <c r="J377" s="95" t="s">
        <v>803</v>
      </c>
      <c r="K377" s="95" t="s">
        <v>510</v>
      </c>
      <c r="L377" s="95" t="s">
        <v>804</v>
      </c>
      <c r="M377" s="101" t="str">
        <f t="shared" si="6"/>
        <v>View on Google Map</v>
      </c>
      <c r="N377" s="95">
        <f t="shared" si="7"/>
        <v>22</v>
      </c>
    </row>
    <row r="378" spans="1:14" x14ac:dyDescent="0.2">
      <c r="A378" s="95">
        <v>269</v>
      </c>
      <c r="B378" s="95" t="s">
        <v>1243</v>
      </c>
      <c r="C378" s="95" t="s">
        <v>1244</v>
      </c>
      <c r="D378" s="95">
        <v>68.685049484000004</v>
      </c>
      <c r="E378" s="95">
        <v>-149.801322572</v>
      </c>
      <c r="F378" s="95">
        <v>590</v>
      </c>
      <c r="G378" s="95" t="s">
        <v>521</v>
      </c>
      <c r="H378" s="95" t="s">
        <v>1245</v>
      </c>
      <c r="I378" s="95" t="s">
        <v>510</v>
      </c>
      <c r="J378" s="95" t="s">
        <v>803</v>
      </c>
      <c r="K378" s="95" t="s">
        <v>510</v>
      </c>
      <c r="L378" s="95" t="s">
        <v>804</v>
      </c>
      <c r="M378" s="101" t="str">
        <f t="shared" si="6"/>
        <v>View on Google Map</v>
      </c>
      <c r="N378" s="95">
        <f t="shared" si="7"/>
        <v>23</v>
      </c>
    </row>
    <row r="379" spans="1:14" x14ac:dyDescent="0.2">
      <c r="A379" s="95">
        <v>270</v>
      </c>
      <c r="B379" s="95" t="s">
        <v>1246</v>
      </c>
      <c r="C379" s="95" t="s">
        <v>1247</v>
      </c>
      <c r="D379" s="95">
        <v>68.6853960145</v>
      </c>
      <c r="E379" s="95">
        <v>-149.80798693200001</v>
      </c>
      <c r="F379" s="95">
        <v>590</v>
      </c>
      <c r="G379" s="95" t="s">
        <v>521</v>
      </c>
      <c r="H379" s="95" t="s">
        <v>1248</v>
      </c>
      <c r="I379" s="95" t="s">
        <v>510</v>
      </c>
      <c r="J379" s="95" t="s">
        <v>803</v>
      </c>
      <c r="K379" s="95" t="s">
        <v>510</v>
      </c>
      <c r="L379" s="95" t="s">
        <v>804</v>
      </c>
      <c r="M379" s="101" t="str">
        <f t="shared" si="6"/>
        <v>View on Google Map</v>
      </c>
      <c r="N379" s="95">
        <f t="shared" si="7"/>
        <v>24</v>
      </c>
    </row>
    <row r="380" spans="1:14" x14ac:dyDescent="0.2">
      <c r="A380" s="95">
        <v>271</v>
      </c>
      <c r="B380" s="95" t="s">
        <v>1249</v>
      </c>
      <c r="C380" s="95" t="s">
        <v>1250</v>
      </c>
      <c r="D380" s="95">
        <v>68.682885549900007</v>
      </c>
      <c r="E380" s="95">
        <v>-149.809163652</v>
      </c>
      <c r="F380" s="95">
        <v>590</v>
      </c>
      <c r="G380" s="95" t="s">
        <v>521</v>
      </c>
      <c r="H380" s="95" t="s">
        <v>1251</v>
      </c>
      <c r="I380" s="95" t="s">
        <v>510</v>
      </c>
      <c r="J380" s="95" t="s">
        <v>803</v>
      </c>
      <c r="K380" s="95" t="s">
        <v>510</v>
      </c>
      <c r="L380" s="95" t="s">
        <v>804</v>
      </c>
      <c r="M380" s="101" t="str">
        <f t="shared" si="6"/>
        <v>View on Google Map</v>
      </c>
      <c r="N380" s="95">
        <f t="shared" si="7"/>
        <v>25</v>
      </c>
    </row>
    <row r="381" spans="1:14" x14ac:dyDescent="0.2">
      <c r="A381" s="95">
        <v>272</v>
      </c>
      <c r="B381" s="95" t="s">
        <v>1252</v>
      </c>
      <c r="C381" s="95" t="s">
        <v>1253</v>
      </c>
      <c r="D381" s="95">
        <v>68.682270906200003</v>
      </c>
      <c r="E381" s="95">
        <v>-149.81202356599999</v>
      </c>
      <c r="F381" s="95" t="s">
        <v>510</v>
      </c>
      <c r="G381" s="95" t="s">
        <v>521</v>
      </c>
      <c r="H381" s="95" t="s">
        <v>1254</v>
      </c>
      <c r="I381" s="95" t="s">
        <v>510</v>
      </c>
      <c r="J381" s="95" t="s">
        <v>803</v>
      </c>
      <c r="K381" s="95" t="s">
        <v>510</v>
      </c>
      <c r="L381" s="95" t="s">
        <v>804</v>
      </c>
      <c r="M381" s="101" t="str">
        <f t="shared" si="6"/>
        <v>View on Google Map</v>
      </c>
      <c r="N381" s="95">
        <f t="shared" si="7"/>
        <v>26</v>
      </c>
    </row>
    <row r="382" spans="1:14" x14ac:dyDescent="0.2">
      <c r="A382" s="95">
        <v>315</v>
      </c>
      <c r="B382" s="95" t="s">
        <v>1255</v>
      </c>
      <c r="C382" s="95" t="s">
        <v>1256</v>
      </c>
      <c r="D382" s="95">
        <v>68.568206306199997</v>
      </c>
      <c r="E382" s="95">
        <v>-149.167395043</v>
      </c>
      <c r="F382" s="95" t="s">
        <v>510</v>
      </c>
      <c r="G382" s="95" t="s">
        <v>521</v>
      </c>
      <c r="H382" s="95" t="s">
        <v>1257</v>
      </c>
      <c r="I382" s="95" t="s">
        <v>510</v>
      </c>
      <c r="J382" s="95" t="s">
        <v>803</v>
      </c>
      <c r="K382" s="95" t="s">
        <v>510</v>
      </c>
      <c r="L382" s="95" t="s">
        <v>804</v>
      </c>
      <c r="M382" s="101" t="str">
        <f t="shared" si="6"/>
        <v>View on Google Map</v>
      </c>
      <c r="N382" s="95">
        <f t="shared" si="7"/>
        <v>27</v>
      </c>
    </row>
    <row r="383" spans="1:14" x14ac:dyDescent="0.2">
      <c r="A383" s="95">
        <v>316</v>
      </c>
      <c r="B383" s="95" t="s">
        <v>1258</v>
      </c>
      <c r="C383" s="95" t="s">
        <v>1259</v>
      </c>
      <c r="D383" s="95">
        <v>68.563566134699997</v>
      </c>
      <c r="E383" s="95">
        <v>-149.17548626199999</v>
      </c>
      <c r="F383" s="95" t="s">
        <v>510</v>
      </c>
      <c r="G383" s="95" t="s">
        <v>521</v>
      </c>
      <c r="H383" s="95" t="s">
        <v>1260</v>
      </c>
      <c r="I383" s="95" t="s">
        <v>510</v>
      </c>
      <c r="J383" s="95" t="s">
        <v>803</v>
      </c>
      <c r="K383" s="95" t="s">
        <v>510</v>
      </c>
      <c r="L383" s="95" t="s">
        <v>804</v>
      </c>
      <c r="M383" s="101" t="str">
        <f t="shared" si="6"/>
        <v>View on Google Map</v>
      </c>
      <c r="N383" s="95">
        <f t="shared" si="7"/>
        <v>28</v>
      </c>
    </row>
    <row r="384" spans="1:14" x14ac:dyDescent="0.2">
      <c r="A384" s="95">
        <v>317</v>
      </c>
      <c r="B384" s="95" t="s">
        <v>1261</v>
      </c>
      <c r="C384" s="95" t="s">
        <v>1262</v>
      </c>
      <c r="D384" s="95">
        <v>68.567753827800004</v>
      </c>
      <c r="E384" s="95">
        <v>-149.18255546</v>
      </c>
      <c r="F384" s="95" t="s">
        <v>510</v>
      </c>
      <c r="G384" s="95" t="s">
        <v>521</v>
      </c>
      <c r="H384" s="95" t="s">
        <v>1263</v>
      </c>
      <c r="I384" s="95" t="s">
        <v>510</v>
      </c>
      <c r="J384" s="95" t="s">
        <v>803</v>
      </c>
      <c r="K384" s="95" t="s">
        <v>510</v>
      </c>
      <c r="L384" s="95" t="s">
        <v>804</v>
      </c>
      <c r="M384" s="101" t="str">
        <f t="shared" si="6"/>
        <v>View on Google Map</v>
      </c>
      <c r="N384" s="95">
        <f t="shared" si="7"/>
        <v>29</v>
      </c>
    </row>
    <row r="385" spans="1:14" x14ac:dyDescent="0.2">
      <c r="A385" s="95">
        <v>318</v>
      </c>
      <c r="B385" s="95" t="s">
        <v>1264</v>
      </c>
      <c r="C385" s="95" t="s">
        <v>1265</v>
      </c>
      <c r="D385" s="95">
        <v>68.575143231300004</v>
      </c>
      <c r="E385" s="95">
        <v>-149.187493434</v>
      </c>
      <c r="F385" s="95">
        <v>899</v>
      </c>
      <c r="G385" s="95" t="s">
        <v>521</v>
      </c>
      <c r="H385" s="95" t="s">
        <v>1266</v>
      </c>
      <c r="I385" s="95" t="s">
        <v>510</v>
      </c>
      <c r="J385" s="95" t="s">
        <v>803</v>
      </c>
      <c r="K385" s="95" t="s">
        <v>510</v>
      </c>
      <c r="L385" s="95" t="s">
        <v>804</v>
      </c>
      <c r="M385" s="101" t="str">
        <f t="shared" si="6"/>
        <v>View on Google Map</v>
      </c>
      <c r="N385" s="95">
        <f t="shared" si="7"/>
        <v>30</v>
      </c>
    </row>
    <row r="386" spans="1:14" x14ac:dyDescent="0.2">
      <c r="A386" s="95">
        <v>319</v>
      </c>
      <c r="B386" s="95" t="s">
        <v>1267</v>
      </c>
      <c r="C386" s="95" t="s">
        <v>1268</v>
      </c>
      <c r="D386" s="95">
        <v>68.575979722100001</v>
      </c>
      <c r="E386" s="95">
        <v>-149.19939190100001</v>
      </c>
      <c r="F386" s="95" t="s">
        <v>510</v>
      </c>
      <c r="G386" s="95" t="s">
        <v>521</v>
      </c>
      <c r="H386" s="95" t="s">
        <v>1269</v>
      </c>
      <c r="I386" s="95" t="s">
        <v>510</v>
      </c>
      <c r="J386" s="95" t="s">
        <v>803</v>
      </c>
      <c r="K386" s="95" t="s">
        <v>510</v>
      </c>
      <c r="L386" s="95" t="s">
        <v>804</v>
      </c>
      <c r="M386" s="101" t="str">
        <f t="shared" si="6"/>
        <v>View on Google Map</v>
      </c>
      <c r="N386" s="95">
        <f t="shared" si="7"/>
        <v>31</v>
      </c>
    </row>
    <row r="387" spans="1:14" x14ac:dyDescent="0.2">
      <c r="A387" s="95">
        <v>320</v>
      </c>
      <c r="B387" s="95" t="s">
        <v>1270</v>
      </c>
      <c r="C387" s="95" t="s">
        <v>1271</v>
      </c>
      <c r="D387" s="95">
        <v>68.576887217199996</v>
      </c>
      <c r="E387" s="95">
        <v>-149.17782305899999</v>
      </c>
      <c r="F387" s="95">
        <v>891</v>
      </c>
      <c r="G387" s="95" t="s">
        <v>521</v>
      </c>
      <c r="H387" s="95" t="s">
        <v>1272</v>
      </c>
      <c r="I387" s="95" t="s">
        <v>510</v>
      </c>
      <c r="J387" s="95" t="s">
        <v>803</v>
      </c>
      <c r="K387" s="95" t="s">
        <v>510</v>
      </c>
      <c r="L387" s="95" t="s">
        <v>804</v>
      </c>
      <c r="M387" s="101" t="str">
        <f t="shared" ref="M387:M450" si="8">HYPERLINK("http://maps.google.com/maps?q="&amp;D387&amp;","&amp;E387,"View on Google Map")</f>
        <v>View on Google Map</v>
      </c>
      <c r="N387" s="95">
        <f t="shared" si="7"/>
        <v>32</v>
      </c>
    </row>
    <row r="388" spans="1:14" x14ac:dyDescent="0.2">
      <c r="A388" s="95">
        <v>321</v>
      </c>
      <c r="B388" s="95" t="s">
        <v>1273</v>
      </c>
      <c r="C388" s="95" t="s">
        <v>1274</v>
      </c>
      <c r="D388" s="95">
        <v>68.581215404199995</v>
      </c>
      <c r="E388" s="95">
        <v>-149.17874205800001</v>
      </c>
      <c r="F388" s="95">
        <v>891</v>
      </c>
      <c r="G388" s="95" t="s">
        <v>521</v>
      </c>
      <c r="H388" s="95" t="s">
        <v>1275</v>
      </c>
      <c r="I388" s="95" t="s">
        <v>510</v>
      </c>
      <c r="J388" s="95" t="s">
        <v>803</v>
      </c>
      <c r="K388" s="95" t="s">
        <v>510</v>
      </c>
      <c r="L388" s="95" t="s">
        <v>804</v>
      </c>
      <c r="M388" s="101" t="str">
        <f t="shared" si="8"/>
        <v>View on Google Map</v>
      </c>
      <c r="N388" s="95">
        <f t="shared" si="7"/>
        <v>33</v>
      </c>
    </row>
    <row r="389" spans="1:14" x14ac:dyDescent="0.2">
      <c r="A389" s="95">
        <v>322</v>
      </c>
      <c r="B389" s="95" t="s">
        <v>1276</v>
      </c>
      <c r="C389" s="95" t="s">
        <v>1277</v>
      </c>
      <c r="D389" s="95">
        <v>68.587382761699999</v>
      </c>
      <c r="E389" s="95">
        <v>-149.144248847</v>
      </c>
      <c r="F389" s="95" t="s">
        <v>510</v>
      </c>
      <c r="G389" s="95" t="s">
        <v>521</v>
      </c>
      <c r="H389" s="95" t="s">
        <v>1278</v>
      </c>
      <c r="I389" s="95" t="s">
        <v>510</v>
      </c>
      <c r="J389" s="95" t="s">
        <v>803</v>
      </c>
      <c r="K389" s="95" t="s">
        <v>510</v>
      </c>
      <c r="L389" s="95" t="s">
        <v>804</v>
      </c>
      <c r="M389" s="101" t="str">
        <f t="shared" si="8"/>
        <v>View on Google Map</v>
      </c>
      <c r="N389" s="95">
        <f t="shared" si="7"/>
        <v>34</v>
      </c>
    </row>
    <row r="390" spans="1:14" x14ac:dyDescent="0.2">
      <c r="A390" s="95">
        <v>323</v>
      </c>
      <c r="B390" s="95" t="s">
        <v>1279</v>
      </c>
      <c r="C390" s="95" t="s">
        <v>1280</v>
      </c>
      <c r="D390" s="95">
        <v>68.548407480700007</v>
      </c>
      <c r="E390" s="95">
        <v>-150.03700547700001</v>
      </c>
      <c r="F390" s="95" t="s">
        <v>510</v>
      </c>
      <c r="G390" s="95" t="s">
        <v>521</v>
      </c>
      <c r="H390" s="95" t="s">
        <v>1281</v>
      </c>
      <c r="I390" s="95" t="s">
        <v>510</v>
      </c>
      <c r="J390" s="95" t="s">
        <v>803</v>
      </c>
      <c r="K390" s="95" t="s">
        <v>510</v>
      </c>
      <c r="L390" s="95" t="s">
        <v>804</v>
      </c>
      <c r="M390" s="101" t="str">
        <f t="shared" si="8"/>
        <v>View on Google Map</v>
      </c>
      <c r="N390" s="95">
        <f t="shared" si="7"/>
        <v>35</v>
      </c>
    </row>
    <row r="391" spans="1:14" x14ac:dyDescent="0.2">
      <c r="A391" s="95">
        <v>324</v>
      </c>
      <c r="B391" s="95" t="s">
        <v>1282</v>
      </c>
      <c r="C391" s="95" t="s">
        <v>1283</v>
      </c>
      <c r="D391" s="95">
        <v>68.550052273099993</v>
      </c>
      <c r="E391" s="95">
        <v>-150.02948327199999</v>
      </c>
      <c r="F391" s="95" t="s">
        <v>510</v>
      </c>
      <c r="G391" s="95" t="s">
        <v>521</v>
      </c>
      <c r="H391" s="95" t="s">
        <v>1284</v>
      </c>
      <c r="I391" s="95" t="s">
        <v>510</v>
      </c>
      <c r="J391" s="95" t="s">
        <v>803</v>
      </c>
      <c r="K391" s="95" t="s">
        <v>510</v>
      </c>
      <c r="L391" s="95" t="s">
        <v>804</v>
      </c>
      <c r="M391" s="101" t="str">
        <f t="shared" si="8"/>
        <v>View on Google Map</v>
      </c>
      <c r="N391" s="95">
        <f t="shared" si="7"/>
        <v>36</v>
      </c>
    </row>
    <row r="392" spans="1:14" x14ac:dyDescent="0.2">
      <c r="A392" s="95">
        <v>325</v>
      </c>
      <c r="B392" s="95" t="s">
        <v>1285</v>
      </c>
      <c r="C392" s="95" t="s">
        <v>1286</v>
      </c>
      <c r="D392" s="95">
        <v>68.5460242857</v>
      </c>
      <c r="E392" s="95">
        <v>-150.02463014</v>
      </c>
      <c r="F392" s="95" t="s">
        <v>510</v>
      </c>
      <c r="G392" s="95" t="s">
        <v>521</v>
      </c>
      <c r="H392" s="95" t="s">
        <v>1287</v>
      </c>
      <c r="I392" s="95" t="s">
        <v>510</v>
      </c>
      <c r="J392" s="95" t="s">
        <v>803</v>
      </c>
      <c r="K392" s="95" t="s">
        <v>510</v>
      </c>
      <c r="L392" s="95" t="s">
        <v>804</v>
      </c>
      <c r="M392" s="101" t="str">
        <f t="shared" si="8"/>
        <v>View on Google Map</v>
      </c>
      <c r="N392" s="95">
        <f t="shared" si="7"/>
        <v>37</v>
      </c>
    </row>
    <row r="393" spans="1:14" x14ac:dyDescent="0.2">
      <c r="A393" s="95">
        <v>326</v>
      </c>
      <c r="B393" s="95" t="s">
        <v>1288</v>
      </c>
      <c r="C393" s="95" t="s">
        <v>1289</v>
      </c>
      <c r="D393" s="95">
        <v>68.550135830100004</v>
      </c>
      <c r="E393" s="95">
        <v>-150.01499602000001</v>
      </c>
      <c r="F393" s="95" t="s">
        <v>510</v>
      </c>
      <c r="G393" s="95" t="s">
        <v>521</v>
      </c>
      <c r="H393" s="95" t="s">
        <v>1290</v>
      </c>
      <c r="I393" s="95" t="s">
        <v>510</v>
      </c>
      <c r="J393" s="95" t="s">
        <v>803</v>
      </c>
      <c r="K393" s="95" t="s">
        <v>510</v>
      </c>
      <c r="L393" s="95" t="s">
        <v>804</v>
      </c>
      <c r="M393" s="101" t="str">
        <f t="shared" si="8"/>
        <v>View on Google Map</v>
      </c>
      <c r="N393" s="95">
        <f t="shared" si="7"/>
        <v>38</v>
      </c>
    </row>
    <row r="394" spans="1:14" x14ac:dyDescent="0.2">
      <c r="A394" s="95">
        <v>327</v>
      </c>
      <c r="B394" s="95" t="s">
        <v>1291</v>
      </c>
      <c r="C394" s="95" t="s">
        <v>1292</v>
      </c>
      <c r="D394" s="95">
        <v>68.556356553000001</v>
      </c>
      <c r="E394" s="95">
        <v>-150.01283142599999</v>
      </c>
      <c r="F394" s="95" t="s">
        <v>510</v>
      </c>
      <c r="G394" s="95" t="s">
        <v>521</v>
      </c>
      <c r="H394" s="95" t="s">
        <v>1293</v>
      </c>
      <c r="I394" s="95" t="s">
        <v>510</v>
      </c>
      <c r="J394" s="95" t="s">
        <v>803</v>
      </c>
      <c r="K394" s="95" t="s">
        <v>510</v>
      </c>
      <c r="L394" s="95" t="s">
        <v>804</v>
      </c>
      <c r="M394" s="101" t="str">
        <f t="shared" si="8"/>
        <v>View on Google Map</v>
      </c>
      <c r="N394" s="95">
        <f t="shared" si="7"/>
        <v>39</v>
      </c>
    </row>
    <row r="395" spans="1:14" x14ac:dyDescent="0.2">
      <c r="A395" s="95">
        <v>328</v>
      </c>
      <c r="B395" s="95" t="s">
        <v>1294</v>
      </c>
      <c r="C395" s="95" t="s">
        <v>1295</v>
      </c>
      <c r="D395" s="95">
        <v>68.565564884200001</v>
      </c>
      <c r="E395" s="95">
        <v>-150.00164362699999</v>
      </c>
      <c r="F395" s="95" t="s">
        <v>510</v>
      </c>
      <c r="G395" s="95" t="s">
        <v>521</v>
      </c>
      <c r="H395" s="95" t="s">
        <v>1296</v>
      </c>
      <c r="I395" s="95" t="s">
        <v>510</v>
      </c>
      <c r="J395" s="95" t="s">
        <v>803</v>
      </c>
      <c r="K395" s="95" t="s">
        <v>510</v>
      </c>
      <c r="L395" s="95" t="s">
        <v>804</v>
      </c>
      <c r="M395" s="101" t="str">
        <f t="shared" si="8"/>
        <v>View on Google Map</v>
      </c>
      <c r="N395" s="95">
        <f t="shared" si="7"/>
        <v>40</v>
      </c>
    </row>
    <row r="396" spans="1:14" x14ac:dyDescent="0.2">
      <c r="A396" s="95">
        <v>329</v>
      </c>
      <c r="B396" s="95" t="s">
        <v>1297</v>
      </c>
      <c r="C396" s="95" t="s">
        <v>1298</v>
      </c>
      <c r="D396" s="95">
        <v>68.567838099200003</v>
      </c>
      <c r="E396" s="95">
        <v>-149.99849875500001</v>
      </c>
      <c r="F396" s="95" t="s">
        <v>510</v>
      </c>
      <c r="G396" s="95" t="s">
        <v>521</v>
      </c>
      <c r="H396" s="95" t="s">
        <v>1299</v>
      </c>
      <c r="I396" s="95" t="s">
        <v>510</v>
      </c>
      <c r="J396" s="95" t="s">
        <v>803</v>
      </c>
      <c r="K396" s="95" t="s">
        <v>510</v>
      </c>
      <c r="L396" s="95" t="s">
        <v>804</v>
      </c>
      <c r="M396" s="101" t="str">
        <f t="shared" si="8"/>
        <v>View on Google Map</v>
      </c>
      <c r="N396" s="95">
        <f t="shared" si="7"/>
        <v>41</v>
      </c>
    </row>
    <row r="397" spans="1:14" x14ac:dyDescent="0.2">
      <c r="A397" s="95">
        <v>330</v>
      </c>
      <c r="B397" s="95" t="s">
        <v>1300</v>
      </c>
      <c r="C397" s="95" t="s">
        <v>1301</v>
      </c>
      <c r="D397" s="95">
        <v>68.5855663241</v>
      </c>
      <c r="E397" s="95">
        <v>-149.98167511</v>
      </c>
      <c r="F397" s="95" t="s">
        <v>510</v>
      </c>
      <c r="G397" s="95" t="s">
        <v>521</v>
      </c>
      <c r="H397" s="95" t="s">
        <v>1302</v>
      </c>
      <c r="I397" s="95" t="s">
        <v>510</v>
      </c>
      <c r="J397" s="95" t="s">
        <v>803</v>
      </c>
      <c r="K397" s="95" t="s">
        <v>510</v>
      </c>
      <c r="L397" s="95" t="s">
        <v>804</v>
      </c>
      <c r="M397" s="101" t="str">
        <f t="shared" si="8"/>
        <v>View on Google Map</v>
      </c>
      <c r="N397" s="95">
        <f t="shared" si="7"/>
        <v>42</v>
      </c>
    </row>
    <row r="398" spans="1:14" x14ac:dyDescent="0.2">
      <c r="A398" s="95">
        <v>331</v>
      </c>
      <c r="B398" s="95" t="s">
        <v>1303</v>
      </c>
      <c r="C398" s="95" t="s">
        <v>1304</v>
      </c>
      <c r="D398" s="95">
        <v>68.534049837699996</v>
      </c>
      <c r="E398" s="95">
        <v>-149.157309078</v>
      </c>
      <c r="F398" s="95">
        <v>926</v>
      </c>
      <c r="G398" s="95" t="s">
        <v>521</v>
      </c>
      <c r="H398" s="95" t="s">
        <v>1305</v>
      </c>
      <c r="I398" s="95" t="s">
        <v>510</v>
      </c>
      <c r="J398" s="95" t="s">
        <v>803</v>
      </c>
      <c r="K398" s="95" t="s">
        <v>510</v>
      </c>
      <c r="L398" s="95" t="s">
        <v>804</v>
      </c>
      <c r="M398" s="101" t="str">
        <f t="shared" si="8"/>
        <v>View on Google Map</v>
      </c>
      <c r="N398" s="95">
        <f t="shared" si="7"/>
        <v>43</v>
      </c>
    </row>
    <row r="399" spans="1:14" x14ac:dyDescent="0.2">
      <c r="A399" s="95">
        <v>332</v>
      </c>
      <c r="B399" s="95" t="s">
        <v>1306</v>
      </c>
      <c r="C399" s="95" t="s">
        <v>1307</v>
      </c>
      <c r="D399" s="95">
        <v>68.533584622000006</v>
      </c>
      <c r="E399" s="95">
        <v>-149.16705049699999</v>
      </c>
      <c r="F399" s="95" t="s">
        <v>510</v>
      </c>
      <c r="G399" s="95" t="s">
        <v>521</v>
      </c>
      <c r="H399" s="95" t="s">
        <v>1308</v>
      </c>
      <c r="I399" s="95" t="s">
        <v>510</v>
      </c>
      <c r="J399" s="95" t="s">
        <v>803</v>
      </c>
      <c r="K399" s="95" t="s">
        <v>510</v>
      </c>
      <c r="L399" s="95" t="s">
        <v>804</v>
      </c>
      <c r="M399" s="101" t="str">
        <f t="shared" si="8"/>
        <v>View on Google Map</v>
      </c>
      <c r="N399" s="95">
        <f t="shared" si="7"/>
        <v>44</v>
      </c>
    </row>
    <row r="400" spans="1:14" x14ac:dyDescent="0.2">
      <c r="A400" s="95">
        <v>333</v>
      </c>
      <c r="B400" s="95" t="s">
        <v>1309</v>
      </c>
      <c r="C400" s="95" t="s">
        <v>1310</v>
      </c>
      <c r="D400" s="95">
        <v>68.533269411600003</v>
      </c>
      <c r="E400" s="95">
        <v>-149.19565723900001</v>
      </c>
      <c r="F400" s="95">
        <v>899</v>
      </c>
      <c r="G400" s="95" t="s">
        <v>521</v>
      </c>
      <c r="H400" s="95" t="s">
        <v>1311</v>
      </c>
      <c r="I400" s="95" t="s">
        <v>510</v>
      </c>
      <c r="J400" s="95" t="s">
        <v>803</v>
      </c>
      <c r="K400" s="95" t="s">
        <v>510</v>
      </c>
      <c r="L400" s="95" t="s">
        <v>804</v>
      </c>
      <c r="M400" s="101" t="str">
        <f t="shared" si="8"/>
        <v>View on Google Map</v>
      </c>
      <c r="N400" s="95">
        <f t="shared" si="7"/>
        <v>45</v>
      </c>
    </row>
    <row r="401" spans="1:14" x14ac:dyDescent="0.2">
      <c r="A401" s="95">
        <v>335</v>
      </c>
      <c r="B401" s="95" t="s">
        <v>1312</v>
      </c>
      <c r="C401" s="95" t="s">
        <v>1313</v>
      </c>
      <c r="D401" s="95">
        <v>68.516771954500001</v>
      </c>
      <c r="E401" s="95">
        <v>-150.05742084799999</v>
      </c>
      <c r="F401" s="95" t="s">
        <v>510</v>
      </c>
      <c r="G401" s="95" t="s">
        <v>521</v>
      </c>
      <c r="H401" s="95" t="s">
        <v>1314</v>
      </c>
      <c r="I401" s="95" t="s">
        <v>510</v>
      </c>
      <c r="J401" s="95" t="s">
        <v>803</v>
      </c>
      <c r="K401" s="95" t="s">
        <v>510</v>
      </c>
      <c r="L401" s="95" t="s">
        <v>804</v>
      </c>
      <c r="M401" s="101" t="str">
        <f t="shared" si="8"/>
        <v>View on Google Map</v>
      </c>
      <c r="N401" s="95">
        <f t="shared" si="7"/>
        <v>47</v>
      </c>
    </row>
    <row r="402" spans="1:14" x14ac:dyDescent="0.2">
      <c r="A402" s="95">
        <v>336</v>
      </c>
      <c r="B402" s="95" t="s">
        <v>1315</v>
      </c>
      <c r="C402" s="95" t="s">
        <v>1316</v>
      </c>
      <c r="D402" s="95">
        <v>68.531484729400006</v>
      </c>
      <c r="E402" s="95">
        <v>-150.04821666999999</v>
      </c>
      <c r="F402" s="95" t="s">
        <v>510</v>
      </c>
      <c r="G402" s="95" t="s">
        <v>521</v>
      </c>
      <c r="H402" s="95" t="s">
        <v>1317</v>
      </c>
      <c r="I402" s="95" t="s">
        <v>510</v>
      </c>
      <c r="J402" s="95" t="s">
        <v>803</v>
      </c>
      <c r="K402" s="95" t="s">
        <v>510</v>
      </c>
      <c r="L402" s="95" t="s">
        <v>804</v>
      </c>
      <c r="M402" s="101" t="str">
        <f t="shared" si="8"/>
        <v>View on Google Map</v>
      </c>
      <c r="N402" s="95">
        <f t="shared" si="7"/>
        <v>48</v>
      </c>
    </row>
    <row r="403" spans="1:14" x14ac:dyDescent="0.2">
      <c r="A403" s="95">
        <v>337</v>
      </c>
      <c r="B403" s="95" t="s">
        <v>1318</v>
      </c>
      <c r="C403" s="95" t="s">
        <v>1319</v>
      </c>
      <c r="D403" s="95">
        <v>68.525496449800002</v>
      </c>
      <c r="E403" s="95">
        <v>-150.03164010200001</v>
      </c>
      <c r="F403" s="95" t="s">
        <v>510</v>
      </c>
      <c r="G403" s="95" t="s">
        <v>521</v>
      </c>
      <c r="H403" s="95" t="s">
        <v>1320</v>
      </c>
      <c r="I403" s="95" t="s">
        <v>510</v>
      </c>
      <c r="J403" s="95" t="s">
        <v>803</v>
      </c>
      <c r="K403" s="95" t="s">
        <v>510</v>
      </c>
      <c r="L403" s="95" t="s">
        <v>804</v>
      </c>
      <c r="M403" s="101" t="str">
        <f t="shared" si="8"/>
        <v>View on Google Map</v>
      </c>
      <c r="N403" s="95">
        <f t="shared" si="7"/>
        <v>49</v>
      </c>
    </row>
    <row r="404" spans="1:14" x14ac:dyDescent="0.2">
      <c r="A404" s="95">
        <v>338</v>
      </c>
      <c r="B404" s="95" t="s">
        <v>1321</v>
      </c>
      <c r="C404" s="95" t="s">
        <v>1322</v>
      </c>
      <c r="D404" s="95">
        <v>68.522395926599998</v>
      </c>
      <c r="E404" s="95">
        <v>-150.02260567299999</v>
      </c>
      <c r="F404" s="95" t="s">
        <v>510</v>
      </c>
      <c r="G404" s="95" t="s">
        <v>521</v>
      </c>
      <c r="H404" s="95" t="s">
        <v>1323</v>
      </c>
      <c r="I404" s="95" t="s">
        <v>510</v>
      </c>
      <c r="J404" s="95" t="s">
        <v>803</v>
      </c>
      <c r="K404" s="95" t="s">
        <v>510</v>
      </c>
      <c r="L404" s="95" t="s">
        <v>804</v>
      </c>
      <c r="M404" s="101" t="str">
        <f t="shared" si="8"/>
        <v>View on Google Map</v>
      </c>
      <c r="N404" s="95">
        <f t="shared" si="7"/>
        <v>50</v>
      </c>
    </row>
    <row r="405" spans="1:14" x14ac:dyDescent="0.2">
      <c r="A405" s="95">
        <v>339</v>
      </c>
      <c r="B405" s="95" t="s">
        <v>1324</v>
      </c>
      <c r="C405" s="95" t="s">
        <v>1325</v>
      </c>
      <c r="D405" s="95">
        <v>68.574095052399997</v>
      </c>
      <c r="E405" s="95">
        <v>-149.97662969199999</v>
      </c>
      <c r="F405" s="95" t="s">
        <v>510</v>
      </c>
      <c r="G405" s="95" t="s">
        <v>521</v>
      </c>
      <c r="H405" s="95" t="s">
        <v>1326</v>
      </c>
      <c r="I405" s="95" t="s">
        <v>510</v>
      </c>
      <c r="J405" s="95" t="s">
        <v>803</v>
      </c>
      <c r="K405" s="95" t="s">
        <v>510</v>
      </c>
      <c r="L405" s="95" t="s">
        <v>804</v>
      </c>
      <c r="M405" s="101" t="str">
        <f t="shared" si="8"/>
        <v>View on Google Map</v>
      </c>
      <c r="N405" s="95">
        <f t="shared" si="7"/>
        <v>51</v>
      </c>
    </row>
    <row r="406" spans="1:14" x14ac:dyDescent="0.2">
      <c r="A406" s="95">
        <v>340</v>
      </c>
      <c r="B406" s="95" t="s">
        <v>1327</v>
      </c>
      <c r="C406" s="95" t="s">
        <v>1328</v>
      </c>
      <c r="D406" s="95">
        <v>68.571671305899997</v>
      </c>
      <c r="E406" s="95">
        <v>-149.972667672</v>
      </c>
      <c r="F406" s="95" t="s">
        <v>510</v>
      </c>
      <c r="G406" s="95" t="s">
        <v>521</v>
      </c>
      <c r="H406" s="95" t="s">
        <v>1329</v>
      </c>
      <c r="I406" s="95" t="s">
        <v>510</v>
      </c>
      <c r="J406" s="95" t="s">
        <v>803</v>
      </c>
      <c r="K406" s="95" t="s">
        <v>510</v>
      </c>
      <c r="L406" s="95" t="s">
        <v>804</v>
      </c>
      <c r="M406" s="101" t="str">
        <f t="shared" si="8"/>
        <v>View on Google Map</v>
      </c>
      <c r="N406" s="95">
        <f t="shared" si="7"/>
        <v>52</v>
      </c>
    </row>
    <row r="407" spans="1:14" x14ac:dyDescent="0.2">
      <c r="A407" s="95">
        <v>341</v>
      </c>
      <c r="B407" s="95" t="s">
        <v>1330</v>
      </c>
      <c r="C407" s="95" t="s">
        <v>1331</v>
      </c>
      <c r="D407" s="95">
        <v>68.562791718200003</v>
      </c>
      <c r="E407" s="95">
        <v>-149.977791473</v>
      </c>
      <c r="F407" s="95" t="s">
        <v>510</v>
      </c>
      <c r="G407" s="95" t="s">
        <v>521</v>
      </c>
      <c r="H407" s="95" t="s">
        <v>1332</v>
      </c>
      <c r="I407" s="95" t="s">
        <v>510</v>
      </c>
      <c r="J407" s="95" t="s">
        <v>803</v>
      </c>
      <c r="K407" s="95" t="s">
        <v>510</v>
      </c>
      <c r="L407" s="95" t="s">
        <v>804</v>
      </c>
      <c r="M407" s="101" t="str">
        <f t="shared" si="8"/>
        <v>View on Google Map</v>
      </c>
      <c r="N407" s="95">
        <f t="shared" si="7"/>
        <v>53</v>
      </c>
    </row>
    <row r="408" spans="1:14" x14ac:dyDescent="0.2">
      <c r="A408" s="95">
        <v>342</v>
      </c>
      <c r="B408" s="95" t="s">
        <v>1333</v>
      </c>
      <c r="C408" s="95" t="s">
        <v>1334</v>
      </c>
      <c r="D408" s="95">
        <v>68.556077412199997</v>
      </c>
      <c r="E408" s="95">
        <v>-149.93361884199999</v>
      </c>
      <c r="F408" s="95" t="s">
        <v>510</v>
      </c>
      <c r="G408" s="95" t="s">
        <v>521</v>
      </c>
      <c r="H408" s="95" t="s">
        <v>1335</v>
      </c>
      <c r="I408" s="95" t="s">
        <v>510</v>
      </c>
      <c r="J408" s="95" t="s">
        <v>803</v>
      </c>
      <c r="K408" s="95" t="s">
        <v>510</v>
      </c>
      <c r="L408" s="95" t="s">
        <v>804</v>
      </c>
      <c r="M408" s="101" t="str">
        <f t="shared" si="8"/>
        <v>View on Google Map</v>
      </c>
      <c r="N408" s="95">
        <f t="shared" si="7"/>
        <v>54</v>
      </c>
    </row>
    <row r="409" spans="1:14" x14ac:dyDescent="0.2">
      <c r="A409" s="95">
        <v>343</v>
      </c>
      <c r="B409" s="95" t="s">
        <v>1336</v>
      </c>
      <c r="C409" s="95" t="s">
        <v>1337</v>
      </c>
      <c r="D409" s="95">
        <v>68.567959712100006</v>
      </c>
      <c r="E409" s="95">
        <v>-149.89938475599999</v>
      </c>
      <c r="F409" s="95" t="s">
        <v>510</v>
      </c>
      <c r="G409" s="95" t="s">
        <v>521</v>
      </c>
      <c r="H409" s="95" t="s">
        <v>1338</v>
      </c>
      <c r="I409" s="95" t="s">
        <v>510</v>
      </c>
      <c r="J409" s="95" t="s">
        <v>803</v>
      </c>
      <c r="K409" s="95" t="s">
        <v>510</v>
      </c>
      <c r="L409" s="95" t="s">
        <v>804</v>
      </c>
      <c r="M409" s="101" t="str">
        <f t="shared" si="8"/>
        <v>View on Google Map</v>
      </c>
      <c r="N409" s="95">
        <f t="shared" si="7"/>
        <v>55</v>
      </c>
    </row>
    <row r="410" spans="1:14" x14ac:dyDescent="0.2">
      <c r="A410" s="95">
        <v>344</v>
      </c>
      <c r="B410" s="95" t="s">
        <v>1339</v>
      </c>
      <c r="C410" s="95" t="s">
        <v>1340</v>
      </c>
      <c r="D410" s="95">
        <v>68.615854386999999</v>
      </c>
      <c r="E410" s="95">
        <v>-149.123111674</v>
      </c>
      <c r="F410" s="95" t="s">
        <v>510</v>
      </c>
      <c r="G410" s="95" t="s">
        <v>521</v>
      </c>
      <c r="H410" s="95" t="s">
        <v>1341</v>
      </c>
      <c r="I410" s="95" t="s">
        <v>510</v>
      </c>
      <c r="J410" s="95" t="s">
        <v>803</v>
      </c>
      <c r="K410" s="95" t="s">
        <v>510</v>
      </c>
      <c r="L410" s="95" t="s">
        <v>804</v>
      </c>
      <c r="M410" s="101" t="str">
        <f t="shared" si="8"/>
        <v>View on Google Map</v>
      </c>
      <c r="N410" s="95">
        <f t="shared" si="7"/>
        <v>56</v>
      </c>
    </row>
    <row r="411" spans="1:14" x14ac:dyDescent="0.2">
      <c r="A411" s="95">
        <v>345</v>
      </c>
      <c r="B411" s="95" t="s">
        <v>1342</v>
      </c>
      <c r="C411" s="95" t="s">
        <v>1343</v>
      </c>
      <c r="D411" s="95">
        <v>68.622759303600006</v>
      </c>
      <c r="E411" s="95">
        <v>-149.15087640600001</v>
      </c>
      <c r="F411" s="95">
        <v>861</v>
      </c>
      <c r="G411" s="95" t="s">
        <v>521</v>
      </c>
      <c r="H411" s="95" t="s">
        <v>1344</v>
      </c>
      <c r="I411" s="95" t="s">
        <v>510</v>
      </c>
      <c r="J411" s="95" t="s">
        <v>803</v>
      </c>
      <c r="K411" s="95" t="s">
        <v>510</v>
      </c>
      <c r="L411" s="95" t="s">
        <v>804</v>
      </c>
      <c r="M411" s="101" t="str">
        <f t="shared" si="8"/>
        <v>View on Google Map</v>
      </c>
      <c r="N411" s="95">
        <f t="shared" si="7"/>
        <v>57</v>
      </c>
    </row>
    <row r="412" spans="1:14" x14ac:dyDescent="0.2">
      <c r="A412" s="95">
        <v>346</v>
      </c>
      <c r="B412" s="95" t="s">
        <v>1345</v>
      </c>
      <c r="C412" s="95" t="s">
        <v>1346</v>
      </c>
      <c r="D412" s="95">
        <v>68.625381351599998</v>
      </c>
      <c r="E412" s="95">
        <v>-149.13918719200001</v>
      </c>
      <c r="F412" s="95">
        <v>877</v>
      </c>
      <c r="G412" s="95" t="s">
        <v>521</v>
      </c>
      <c r="H412" s="95" t="s">
        <v>1347</v>
      </c>
      <c r="I412" s="95" t="s">
        <v>510</v>
      </c>
      <c r="J412" s="95" t="s">
        <v>803</v>
      </c>
      <c r="K412" s="95" t="s">
        <v>510</v>
      </c>
      <c r="L412" s="95" t="s">
        <v>804</v>
      </c>
      <c r="M412" s="101" t="str">
        <f t="shared" si="8"/>
        <v>View on Google Map</v>
      </c>
      <c r="N412" s="95">
        <f t="shared" si="7"/>
        <v>58</v>
      </c>
    </row>
    <row r="413" spans="1:14" x14ac:dyDescent="0.2">
      <c r="A413" s="95">
        <v>347</v>
      </c>
      <c r="B413" s="95" t="s">
        <v>1348</v>
      </c>
      <c r="C413" s="95" t="s">
        <v>1349</v>
      </c>
      <c r="D413" s="95">
        <v>68.630955107899993</v>
      </c>
      <c r="E413" s="95">
        <v>-149.161535972</v>
      </c>
      <c r="F413" s="95">
        <v>858</v>
      </c>
      <c r="G413" s="95" t="s">
        <v>521</v>
      </c>
      <c r="H413" s="95" t="s">
        <v>1350</v>
      </c>
      <c r="I413" s="95" t="s">
        <v>510</v>
      </c>
      <c r="J413" s="95" t="s">
        <v>803</v>
      </c>
      <c r="K413" s="95" t="s">
        <v>510</v>
      </c>
      <c r="L413" s="95" t="s">
        <v>804</v>
      </c>
      <c r="M413" s="101" t="str">
        <f t="shared" si="8"/>
        <v>View on Google Map</v>
      </c>
      <c r="N413" s="95">
        <f t="shared" si="7"/>
        <v>59</v>
      </c>
    </row>
    <row r="414" spans="1:14" x14ac:dyDescent="0.2">
      <c r="A414" s="95">
        <v>348</v>
      </c>
      <c r="B414" s="95" t="s">
        <v>1351</v>
      </c>
      <c r="C414" s="95" t="s">
        <v>1352</v>
      </c>
      <c r="D414" s="95">
        <v>68.636431312400006</v>
      </c>
      <c r="E414" s="95">
        <v>-149.14390222200001</v>
      </c>
      <c r="F414" s="95" t="s">
        <v>510</v>
      </c>
      <c r="G414" s="95" t="s">
        <v>521</v>
      </c>
      <c r="H414" s="95" t="s">
        <v>1353</v>
      </c>
      <c r="I414" s="95" t="s">
        <v>510</v>
      </c>
      <c r="J414" s="95" t="s">
        <v>803</v>
      </c>
      <c r="K414" s="95" t="s">
        <v>510</v>
      </c>
      <c r="L414" s="95" t="s">
        <v>804</v>
      </c>
      <c r="M414" s="101" t="str">
        <f t="shared" si="8"/>
        <v>View on Google Map</v>
      </c>
      <c r="N414" s="95">
        <f t="shared" si="7"/>
        <v>60</v>
      </c>
    </row>
    <row r="415" spans="1:14" x14ac:dyDescent="0.2">
      <c r="A415" s="95">
        <v>349</v>
      </c>
      <c r="B415" s="95" t="s">
        <v>1354</v>
      </c>
      <c r="C415" s="95" t="s">
        <v>1355</v>
      </c>
      <c r="D415" s="95">
        <v>68.638723598300004</v>
      </c>
      <c r="E415" s="95">
        <v>-149.17862426400001</v>
      </c>
      <c r="F415" s="95" t="s">
        <v>510</v>
      </c>
      <c r="G415" s="95" t="s">
        <v>521</v>
      </c>
      <c r="H415" s="95" t="s">
        <v>1356</v>
      </c>
      <c r="I415" s="95" t="s">
        <v>510</v>
      </c>
      <c r="J415" s="95" t="s">
        <v>803</v>
      </c>
      <c r="K415" s="95" t="s">
        <v>510</v>
      </c>
      <c r="L415" s="95" t="s">
        <v>804</v>
      </c>
      <c r="M415" s="101" t="str">
        <f t="shared" si="8"/>
        <v>View on Google Map</v>
      </c>
      <c r="N415" s="95">
        <f t="shared" si="7"/>
        <v>61</v>
      </c>
    </row>
    <row r="416" spans="1:14" x14ac:dyDescent="0.2">
      <c r="A416" s="95">
        <v>350</v>
      </c>
      <c r="B416" s="95" t="s">
        <v>1357</v>
      </c>
      <c r="C416" s="95" t="s">
        <v>1358</v>
      </c>
      <c r="D416" s="95">
        <v>68.634874735899999</v>
      </c>
      <c r="E416" s="95">
        <v>-149.193728236</v>
      </c>
      <c r="F416" s="95" t="s">
        <v>510</v>
      </c>
      <c r="G416" s="95" t="s">
        <v>521</v>
      </c>
      <c r="H416" s="95" t="s">
        <v>1359</v>
      </c>
      <c r="I416" s="95" t="s">
        <v>510</v>
      </c>
      <c r="J416" s="95" t="s">
        <v>803</v>
      </c>
      <c r="K416" s="95" t="s">
        <v>510</v>
      </c>
      <c r="L416" s="95" t="s">
        <v>804</v>
      </c>
      <c r="M416" s="101" t="str">
        <f t="shared" si="8"/>
        <v>View on Google Map</v>
      </c>
      <c r="N416" s="95">
        <f t="shared" si="7"/>
        <v>62</v>
      </c>
    </row>
    <row r="417" spans="1:14" x14ac:dyDescent="0.2">
      <c r="A417" s="95">
        <v>351</v>
      </c>
      <c r="B417" s="95" t="s">
        <v>1360</v>
      </c>
      <c r="C417" s="95" t="s">
        <v>1361</v>
      </c>
      <c r="D417" s="95">
        <v>68.630921065799996</v>
      </c>
      <c r="E417" s="95">
        <v>-149.19135200100001</v>
      </c>
      <c r="F417" s="95" t="s">
        <v>510</v>
      </c>
      <c r="G417" s="95" t="s">
        <v>521</v>
      </c>
      <c r="H417" s="95" t="s">
        <v>1362</v>
      </c>
      <c r="I417" s="95" t="s">
        <v>510</v>
      </c>
      <c r="J417" s="95" t="s">
        <v>803</v>
      </c>
      <c r="K417" s="95" t="s">
        <v>510</v>
      </c>
      <c r="L417" s="95" t="s">
        <v>804</v>
      </c>
      <c r="M417" s="101" t="str">
        <f t="shared" si="8"/>
        <v>View on Google Map</v>
      </c>
      <c r="N417" s="95">
        <f t="shared" si="7"/>
        <v>63</v>
      </c>
    </row>
    <row r="418" spans="1:14" x14ac:dyDescent="0.2">
      <c r="A418" s="95">
        <v>352</v>
      </c>
      <c r="B418" s="95" t="s">
        <v>1363</v>
      </c>
      <c r="C418" s="95" t="s">
        <v>1364</v>
      </c>
      <c r="D418" s="95">
        <v>68.635774522800006</v>
      </c>
      <c r="E418" s="95">
        <v>-149.20688041899999</v>
      </c>
      <c r="F418" s="95" t="s">
        <v>510</v>
      </c>
      <c r="G418" s="95" t="s">
        <v>521</v>
      </c>
      <c r="H418" s="95" t="s">
        <v>1365</v>
      </c>
      <c r="I418" s="95" t="s">
        <v>510</v>
      </c>
      <c r="J418" s="95" t="s">
        <v>803</v>
      </c>
      <c r="K418" s="95" t="s">
        <v>510</v>
      </c>
      <c r="L418" s="95" t="s">
        <v>804</v>
      </c>
      <c r="M418" s="101" t="str">
        <f t="shared" si="8"/>
        <v>View on Google Map</v>
      </c>
      <c r="N418" s="95">
        <f t="shared" si="7"/>
        <v>64</v>
      </c>
    </row>
    <row r="419" spans="1:14" x14ac:dyDescent="0.2">
      <c r="A419" s="95">
        <v>353</v>
      </c>
      <c r="B419" s="95" t="s">
        <v>1366</v>
      </c>
      <c r="C419" s="95" t="s">
        <v>1367</v>
      </c>
      <c r="D419" s="95">
        <v>68.585080002200002</v>
      </c>
      <c r="E419" s="95">
        <v>-149.208359645</v>
      </c>
      <c r="F419" s="95">
        <v>898</v>
      </c>
      <c r="G419" s="95" t="s">
        <v>521</v>
      </c>
      <c r="H419" s="95" t="s">
        <v>1368</v>
      </c>
      <c r="I419" s="95" t="s">
        <v>510</v>
      </c>
      <c r="J419" s="95" t="s">
        <v>803</v>
      </c>
      <c r="K419" s="95" t="s">
        <v>510</v>
      </c>
      <c r="L419" s="95" t="s">
        <v>804</v>
      </c>
      <c r="M419" s="101" t="str">
        <f t="shared" si="8"/>
        <v>View on Google Map</v>
      </c>
      <c r="N419" s="95">
        <f t="shared" si="7"/>
        <v>65</v>
      </c>
    </row>
    <row r="420" spans="1:14" x14ac:dyDescent="0.2">
      <c r="A420" s="95">
        <v>354</v>
      </c>
      <c r="B420" s="95" t="s">
        <v>1369</v>
      </c>
      <c r="C420" s="95" t="s">
        <v>1370</v>
      </c>
      <c r="D420" s="95">
        <v>68.583148055099997</v>
      </c>
      <c r="E420" s="95">
        <v>-149.19950362399999</v>
      </c>
      <c r="F420" s="95">
        <v>896</v>
      </c>
      <c r="G420" s="95" t="s">
        <v>521</v>
      </c>
      <c r="H420" s="95" t="s">
        <v>1371</v>
      </c>
      <c r="I420" s="95" t="s">
        <v>510</v>
      </c>
      <c r="J420" s="95" t="s">
        <v>803</v>
      </c>
      <c r="K420" s="95" t="s">
        <v>510</v>
      </c>
      <c r="L420" s="95" t="s">
        <v>804</v>
      </c>
      <c r="M420" s="101" t="str">
        <f t="shared" si="8"/>
        <v>View on Google Map</v>
      </c>
      <c r="N420" s="95">
        <f t="shared" ref="N420:N434" si="9">VALUE(MID(H420,5,3))</f>
        <v>66</v>
      </c>
    </row>
    <row r="421" spans="1:14" x14ac:dyDescent="0.2">
      <c r="A421" s="95">
        <v>355</v>
      </c>
      <c r="B421" s="95" t="s">
        <v>1372</v>
      </c>
      <c r="C421" s="95" t="s">
        <v>1373</v>
      </c>
      <c r="D421" s="95">
        <v>68.589302268899999</v>
      </c>
      <c r="E421" s="95">
        <v>-149.18432651699999</v>
      </c>
      <c r="F421" s="95">
        <v>880</v>
      </c>
      <c r="G421" s="95" t="s">
        <v>521</v>
      </c>
      <c r="H421" s="95" t="s">
        <v>1374</v>
      </c>
      <c r="I421" s="95" t="s">
        <v>510</v>
      </c>
      <c r="J421" s="95" t="s">
        <v>803</v>
      </c>
      <c r="K421" s="95" t="s">
        <v>510</v>
      </c>
      <c r="L421" s="95" t="s">
        <v>804</v>
      </c>
      <c r="M421" s="101" t="str">
        <f t="shared" si="8"/>
        <v>View on Google Map</v>
      </c>
      <c r="N421" s="95">
        <f t="shared" si="9"/>
        <v>67</v>
      </c>
    </row>
    <row r="422" spans="1:14" x14ac:dyDescent="0.2">
      <c r="A422" s="95">
        <v>357</v>
      </c>
      <c r="B422" s="95" t="s">
        <v>1375</v>
      </c>
      <c r="C422" s="95" t="s">
        <v>1376</v>
      </c>
      <c r="D422" s="95">
        <v>68.595953562800005</v>
      </c>
      <c r="E422" s="95">
        <v>-149.161045868</v>
      </c>
      <c r="F422" s="95" t="s">
        <v>510</v>
      </c>
      <c r="G422" s="95" t="s">
        <v>521</v>
      </c>
      <c r="H422" s="95" t="s">
        <v>1377</v>
      </c>
      <c r="I422" s="95" t="s">
        <v>510</v>
      </c>
      <c r="J422" s="95" t="s">
        <v>803</v>
      </c>
      <c r="K422" s="95" t="s">
        <v>510</v>
      </c>
      <c r="L422" s="95" t="s">
        <v>804</v>
      </c>
      <c r="M422" s="101" t="str">
        <f t="shared" si="8"/>
        <v>View on Google Map</v>
      </c>
      <c r="N422" s="95">
        <f t="shared" si="9"/>
        <v>69</v>
      </c>
    </row>
    <row r="423" spans="1:14" x14ac:dyDescent="0.2">
      <c r="A423" s="95">
        <v>358</v>
      </c>
      <c r="B423" s="95" t="s">
        <v>1378</v>
      </c>
      <c r="C423" s="95" t="s">
        <v>1379</v>
      </c>
      <c r="D423" s="95">
        <v>68.590721600400002</v>
      </c>
      <c r="E423" s="95">
        <v>-149.17612158099999</v>
      </c>
      <c r="F423" s="95" t="s">
        <v>510</v>
      </c>
      <c r="G423" s="95" t="s">
        <v>521</v>
      </c>
      <c r="H423" s="95" t="s">
        <v>1380</v>
      </c>
      <c r="I423" s="95" t="s">
        <v>510</v>
      </c>
      <c r="J423" s="95" t="s">
        <v>803</v>
      </c>
      <c r="K423" s="95" t="s">
        <v>510</v>
      </c>
      <c r="L423" s="95" t="s">
        <v>804</v>
      </c>
      <c r="M423" s="101" t="str">
        <f t="shared" si="8"/>
        <v>View on Google Map</v>
      </c>
      <c r="N423" s="95">
        <f t="shared" si="9"/>
        <v>70</v>
      </c>
    </row>
    <row r="424" spans="1:14" x14ac:dyDescent="0.2">
      <c r="A424" s="95">
        <v>359</v>
      </c>
      <c r="B424" s="95" t="s">
        <v>1381</v>
      </c>
      <c r="C424" s="95" t="s">
        <v>1382</v>
      </c>
      <c r="D424" s="95">
        <v>68.600362864999994</v>
      </c>
      <c r="E424" s="95">
        <v>-149.14055367099999</v>
      </c>
      <c r="F424" s="95" t="s">
        <v>510</v>
      </c>
      <c r="G424" s="95" t="s">
        <v>521</v>
      </c>
      <c r="H424" s="95" t="s">
        <v>1383</v>
      </c>
      <c r="I424" s="95" t="s">
        <v>510</v>
      </c>
      <c r="J424" s="95" t="s">
        <v>803</v>
      </c>
      <c r="K424" s="95" t="s">
        <v>510</v>
      </c>
      <c r="L424" s="95" t="s">
        <v>804</v>
      </c>
      <c r="M424" s="101" t="str">
        <f t="shared" si="8"/>
        <v>View on Google Map</v>
      </c>
      <c r="N424" s="95">
        <f t="shared" si="9"/>
        <v>71</v>
      </c>
    </row>
    <row r="425" spans="1:14" x14ac:dyDescent="0.2">
      <c r="A425" s="95">
        <v>360</v>
      </c>
      <c r="B425" s="95" t="s">
        <v>1384</v>
      </c>
      <c r="C425" s="95" t="s">
        <v>1385</v>
      </c>
      <c r="D425" s="95">
        <v>68.610380375800005</v>
      </c>
      <c r="E425" s="95">
        <v>-149.15074315300001</v>
      </c>
      <c r="F425" s="95" t="s">
        <v>510</v>
      </c>
      <c r="G425" s="95" t="s">
        <v>521</v>
      </c>
      <c r="H425" s="95" t="s">
        <v>1386</v>
      </c>
      <c r="I425" s="95" t="s">
        <v>510</v>
      </c>
      <c r="J425" s="95" t="s">
        <v>803</v>
      </c>
      <c r="K425" s="95" t="s">
        <v>510</v>
      </c>
      <c r="L425" s="95" t="s">
        <v>804</v>
      </c>
      <c r="M425" s="101" t="str">
        <f t="shared" si="8"/>
        <v>View on Google Map</v>
      </c>
      <c r="N425" s="95">
        <f t="shared" si="9"/>
        <v>72</v>
      </c>
    </row>
    <row r="426" spans="1:14" x14ac:dyDescent="0.2">
      <c r="A426" s="95">
        <v>361</v>
      </c>
      <c r="B426" s="95" t="s">
        <v>1387</v>
      </c>
      <c r="C426" s="95" t="s">
        <v>1388</v>
      </c>
      <c r="D426" s="95">
        <v>68.6163784405</v>
      </c>
      <c r="E426" s="95">
        <v>-149.16060521700001</v>
      </c>
      <c r="F426" s="95" t="s">
        <v>510</v>
      </c>
      <c r="G426" s="95" t="s">
        <v>521</v>
      </c>
      <c r="H426" s="95" t="s">
        <v>1389</v>
      </c>
      <c r="I426" s="95" t="s">
        <v>510</v>
      </c>
      <c r="J426" s="95" t="s">
        <v>803</v>
      </c>
      <c r="K426" s="95" t="s">
        <v>510</v>
      </c>
      <c r="L426" s="95" t="s">
        <v>804</v>
      </c>
      <c r="M426" s="101" t="str">
        <f t="shared" si="8"/>
        <v>View on Google Map</v>
      </c>
      <c r="N426" s="95">
        <f t="shared" si="9"/>
        <v>73</v>
      </c>
    </row>
    <row r="427" spans="1:14" x14ac:dyDescent="0.2">
      <c r="A427" s="95">
        <v>362</v>
      </c>
      <c r="B427" s="95" t="s">
        <v>1390</v>
      </c>
      <c r="C427" s="95" t="s">
        <v>1391</v>
      </c>
      <c r="D427" s="95">
        <v>68.617934232500005</v>
      </c>
      <c r="E427" s="95">
        <v>-149.18594585299999</v>
      </c>
      <c r="F427" s="95" t="s">
        <v>510</v>
      </c>
      <c r="G427" s="95" t="s">
        <v>521</v>
      </c>
      <c r="H427" s="95" t="s">
        <v>1392</v>
      </c>
      <c r="I427" s="95" t="s">
        <v>510</v>
      </c>
      <c r="J427" s="95" t="s">
        <v>803</v>
      </c>
      <c r="K427" s="95" t="s">
        <v>510</v>
      </c>
      <c r="L427" s="95" t="s">
        <v>804</v>
      </c>
      <c r="M427" s="101" t="str">
        <f t="shared" si="8"/>
        <v>View on Google Map</v>
      </c>
      <c r="N427" s="95">
        <f t="shared" si="9"/>
        <v>74</v>
      </c>
    </row>
    <row r="428" spans="1:14" x14ac:dyDescent="0.2">
      <c r="A428" s="95">
        <v>363</v>
      </c>
      <c r="B428" s="95" t="s">
        <v>1393</v>
      </c>
      <c r="C428" s="95" t="s">
        <v>1394</v>
      </c>
      <c r="D428" s="95">
        <v>68.614396448299999</v>
      </c>
      <c r="E428" s="95">
        <v>-149.19403818800001</v>
      </c>
      <c r="F428" s="95" t="s">
        <v>510</v>
      </c>
      <c r="G428" s="95" t="s">
        <v>521</v>
      </c>
      <c r="H428" s="95" t="s">
        <v>1395</v>
      </c>
      <c r="I428" s="95" t="s">
        <v>510</v>
      </c>
      <c r="J428" s="95" t="s">
        <v>803</v>
      </c>
      <c r="K428" s="95" t="s">
        <v>510</v>
      </c>
      <c r="L428" s="95" t="s">
        <v>804</v>
      </c>
      <c r="M428" s="101" t="str">
        <f t="shared" si="8"/>
        <v>View on Google Map</v>
      </c>
      <c r="N428" s="95">
        <f t="shared" si="9"/>
        <v>75</v>
      </c>
    </row>
    <row r="429" spans="1:14" x14ac:dyDescent="0.2">
      <c r="A429" s="95">
        <v>364</v>
      </c>
      <c r="B429" s="95" t="s">
        <v>1396</v>
      </c>
      <c r="C429" s="95" t="s">
        <v>1397</v>
      </c>
      <c r="D429" s="95">
        <v>68.694256581000005</v>
      </c>
      <c r="E429" s="95">
        <v>-149.73679655699999</v>
      </c>
      <c r="F429" s="95" t="s">
        <v>510</v>
      </c>
      <c r="G429" s="95" t="s">
        <v>521</v>
      </c>
      <c r="H429" s="95" t="s">
        <v>1398</v>
      </c>
      <c r="I429" s="95" t="s">
        <v>510</v>
      </c>
      <c r="J429" s="95" t="s">
        <v>803</v>
      </c>
      <c r="K429" s="95" t="s">
        <v>510</v>
      </c>
      <c r="L429" s="95" t="s">
        <v>804</v>
      </c>
      <c r="M429" s="101" t="str">
        <f t="shared" si="8"/>
        <v>View on Google Map</v>
      </c>
      <c r="N429" s="95">
        <f t="shared" si="9"/>
        <v>76</v>
      </c>
    </row>
    <row r="430" spans="1:14" x14ac:dyDescent="0.2">
      <c r="A430" s="95">
        <v>365</v>
      </c>
      <c r="B430" s="95" t="s">
        <v>1399</v>
      </c>
      <c r="C430" s="95" t="s">
        <v>1400</v>
      </c>
      <c r="D430" s="95">
        <v>68.696056827099994</v>
      </c>
      <c r="E430" s="95">
        <v>-149.73131395300001</v>
      </c>
      <c r="F430" s="95" t="s">
        <v>510</v>
      </c>
      <c r="G430" s="95" t="s">
        <v>521</v>
      </c>
      <c r="H430" s="95" t="s">
        <v>1401</v>
      </c>
      <c r="I430" s="95" t="s">
        <v>510</v>
      </c>
      <c r="J430" s="95" t="s">
        <v>803</v>
      </c>
      <c r="K430" s="95" t="s">
        <v>510</v>
      </c>
      <c r="L430" s="95" t="s">
        <v>804</v>
      </c>
      <c r="M430" s="101" t="str">
        <f t="shared" si="8"/>
        <v>View on Google Map</v>
      </c>
      <c r="N430" s="95">
        <f t="shared" si="9"/>
        <v>77</v>
      </c>
    </row>
    <row r="431" spans="1:14" x14ac:dyDescent="0.2">
      <c r="A431" s="95">
        <v>366</v>
      </c>
      <c r="B431" s="95" t="s">
        <v>1402</v>
      </c>
      <c r="C431" s="95" t="s">
        <v>1403</v>
      </c>
      <c r="D431" s="95">
        <v>68.696468206399999</v>
      </c>
      <c r="E431" s="95">
        <v>-149.708828248</v>
      </c>
      <c r="F431" s="95" t="s">
        <v>510</v>
      </c>
      <c r="G431" s="95" t="s">
        <v>521</v>
      </c>
      <c r="H431" s="95" t="s">
        <v>1404</v>
      </c>
      <c r="I431" s="95" t="s">
        <v>510</v>
      </c>
      <c r="J431" s="95" t="s">
        <v>803</v>
      </c>
      <c r="K431" s="95" t="s">
        <v>510</v>
      </c>
      <c r="L431" s="95" t="s">
        <v>804</v>
      </c>
      <c r="M431" s="101" t="str">
        <f t="shared" si="8"/>
        <v>View on Google Map</v>
      </c>
      <c r="N431" s="95">
        <f t="shared" si="9"/>
        <v>78</v>
      </c>
    </row>
    <row r="432" spans="1:14" x14ac:dyDescent="0.2">
      <c r="A432" s="95">
        <v>367</v>
      </c>
      <c r="B432" s="95" t="s">
        <v>1405</v>
      </c>
      <c r="C432" s="95" t="s">
        <v>1406</v>
      </c>
      <c r="D432" s="95">
        <v>68.688141157800004</v>
      </c>
      <c r="E432" s="95">
        <v>-149.73555264800001</v>
      </c>
      <c r="F432" s="95" t="s">
        <v>510</v>
      </c>
      <c r="G432" s="95" t="s">
        <v>521</v>
      </c>
      <c r="H432" s="95" t="s">
        <v>1407</v>
      </c>
      <c r="I432" s="95" t="s">
        <v>510</v>
      </c>
      <c r="J432" s="95" t="s">
        <v>803</v>
      </c>
      <c r="K432" s="95" t="s">
        <v>510</v>
      </c>
      <c r="L432" s="95" t="s">
        <v>804</v>
      </c>
      <c r="M432" s="101" t="str">
        <f t="shared" si="8"/>
        <v>View on Google Map</v>
      </c>
      <c r="N432" s="95">
        <f t="shared" si="9"/>
        <v>79</v>
      </c>
    </row>
    <row r="433" spans="1:14" x14ac:dyDescent="0.2">
      <c r="A433" s="95">
        <v>368</v>
      </c>
      <c r="B433" s="95" t="s">
        <v>1408</v>
      </c>
      <c r="C433" s="95" t="s">
        <v>1409</v>
      </c>
      <c r="D433" s="95">
        <v>68.682810930000002</v>
      </c>
      <c r="E433" s="95">
        <v>-149.73974315500001</v>
      </c>
      <c r="F433" s="95" t="s">
        <v>510</v>
      </c>
      <c r="G433" s="95" t="s">
        <v>521</v>
      </c>
      <c r="H433" s="95" t="s">
        <v>1410</v>
      </c>
      <c r="I433" s="95" t="s">
        <v>510</v>
      </c>
      <c r="J433" s="95" t="s">
        <v>803</v>
      </c>
      <c r="K433" s="95" t="s">
        <v>510</v>
      </c>
      <c r="L433" s="95" t="s">
        <v>804</v>
      </c>
      <c r="M433" s="101" t="str">
        <f t="shared" si="8"/>
        <v>View on Google Map</v>
      </c>
      <c r="N433" s="95">
        <f t="shared" si="9"/>
        <v>80</v>
      </c>
    </row>
    <row r="434" spans="1:14" x14ac:dyDescent="0.2">
      <c r="A434" s="95">
        <v>369</v>
      </c>
      <c r="B434" s="95" t="s">
        <v>1411</v>
      </c>
      <c r="C434" s="95" t="s">
        <v>1412</v>
      </c>
      <c r="D434" s="95">
        <v>68.682815967099998</v>
      </c>
      <c r="E434" s="95">
        <v>-149.759701116</v>
      </c>
      <c r="F434" s="95" t="s">
        <v>510</v>
      </c>
      <c r="G434" s="95" t="s">
        <v>521</v>
      </c>
      <c r="H434" s="95" t="s">
        <v>1413</v>
      </c>
      <c r="I434" s="95" t="s">
        <v>510</v>
      </c>
      <c r="J434" s="95" t="s">
        <v>803</v>
      </c>
      <c r="K434" s="95" t="s">
        <v>510</v>
      </c>
      <c r="L434" s="95" t="s">
        <v>804</v>
      </c>
      <c r="M434" s="101" t="str">
        <f t="shared" si="8"/>
        <v>View on Google Map</v>
      </c>
      <c r="N434" s="95">
        <f t="shared" si="9"/>
        <v>81</v>
      </c>
    </row>
    <row r="435" spans="1:14" x14ac:dyDescent="0.2">
      <c r="A435" s="95">
        <v>1225</v>
      </c>
      <c r="B435" s="95" t="s">
        <v>1414</v>
      </c>
      <c r="C435" s="16" t="s">
        <v>1415</v>
      </c>
      <c r="D435" s="95">
        <v>68.641727000000003</v>
      </c>
      <c r="E435" s="95">
        <v>-149.58665300000001</v>
      </c>
      <c r="F435" s="95">
        <v>724</v>
      </c>
      <c r="G435" s="95" t="s">
        <v>511</v>
      </c>
      <c r="H435" s="95" t="s">
        <v>510</v>
      </c>
      <c r="I435" s="95" t="s">
        <v>510</v>
      </c>
      <c r="J435" s="95" t="s">
        <v>536</v>
      </c>
      <c r="K435" s="95" t="s">
        <v>510</v>
      </c>
      <c r="L435" s="95" t="s">
        <v>510</v>
      </c>
      <c r="M435" s="101" t="str">
        <f t="shared" si="8"/>
        <v>View on Google Map</v>
      </c>
    </row>
    <row r="436" spans="1:14" x14ac:dyDescent="0.2">
      <c r="B436" s="95" t="s">
        <v>1416</v>
      </c>
      <c r="C436" s="103" t="s">
        <v>1417</v>
      </c>
      <c r="D436" s="95">
        <v>68.622865000000004</v>
      </c>
      <c r="E436" s="95">
        <v>-149.60854499999999</v>
      </c>
      <c r="F436" s="95">
        <v>758</v>
      </c>
      <c r="G436" s="95" t="s">
        <v>511</v>
      </c>
      <c r="J436" s="95" t="s">
        <v>536</v>
      </c>
      <c r="M436" s="101" t="str">
        <f t="shared" si="8"/>
        <v>View on Google Map</v>
      </c>
    </row>
    <row r="437" spans="1:14" x14ac:dyDescent="0.2">
      <c r="A437" s="95">
        <v>1220</v>
      </c>
      <c r="B437" s="95" t="s">
        <v>1418</v>
      </c>
      <c r="C437" s="16" t="s">
        <v>1419</v>
      </c>
      <c r="D437" s="95">
        <v>68.624410999999995</v>
      </c>
      <c r="E437" s="95">
        <v>-149.609589</v>
      </c>
      <c r="F437" s="95">
        <v>750</v>
      </c>
      <c r="G437" s="95" t="s">
        <v>511</v>
      </c>
      <c r="H437" s="95" t="s">
        <v>510</v>
      </c>
      <c r="I437" s="95" t="s">
        <v>510</v>
      </c>
      <c r="J437" s="95" t="s">
        <v>536</v>
      </c>
      <c r="K437" s="95" t="s">
        <v>510</v>
      </c>
      <c r="L437" s="95" t="s">
        <v>510</v>
      </c>
      <c r="M437" s="101" t="str">
        <f t="shared" si="8"/>
        <v>View on Google Map</v>
      </c>
    </row>
    <row r="438" spans="1:14" x14ac:dyDescent="0.2">
      <c r="A438" s="95">
        <v>1222</v>
      </c>
      <c r="B438" s="95" t="s">
        <v>1420</v>
      </c>
      <c r="C438" s="16" t="s">
        <v>1421</v>
      </c>
      <c r="D438" s="95">
        <v>68.629636000000005</v>
      </c>
      <c r="E438" s="95">
        <v>-149.57565600000001</v>
      </c>
      <c r="F438" s="95">
        <v>755</v>
      </c>
      <c r="G438" s="95" t="s">
        <v>511</v>
      </c>
      <c r="H438" s="95" t="s">
        <v>510</v>
      </c>
      <c r="I438" s="95" t="s">
        <v>510</v>
      </c>
      <c r="J438" s="95" t="s">
        <v>536</v>
      </c>
      <c r="K438" s="95" t="s">
        <v>510</v>
      </c>
      <c r="L438" s="95" t="s">
        <v>510</v>
      </c>
      <c r="M438" s="101" t="str">
        <f t="shared" si="8"/>
        <v>View on Google Map</v>
      </c>
    </row>
    <row r="439" spans="1:14" x14ac:dyDescent="0.2">
      <c r="A439" s="95">
        <v>1228</v>
      </c>
      <c r="B439" s="95" t="s">
        <v>1422</v>
      </c>
      <c r="C439" s="16" t="s">
        <v>1423</v>
      </c>
      <c r="D439" s="95">
        <v>68.634530999999996</v>
      </c>
      <c r="E439" s="95">
        <v>-149.64205799999999</v>
      </c>
      <c r="F439" s="95">
        <v>748</v>
      </c>
      <c r="G439" s="95" t="s">
        <v>511</v>
      </c>
      <c r="H439" s="95" t="s">
        <v>510</v>
      </c>
      <c r="I439" s="95" t="s">
        <v>510</v>
      </c>
      <c r="J439" s="95" t="s">
        <v>536</v>
      </c>
      <c r="K439" s="95" t="s">
        <v>510</v>
      </c>
      <c r="L439" s="95" t="s">
        <v>510</v>
      </c>
      <c r="M439" s="101" t="str">
        <f t="shared" si="8"/>
        <v>View on Google Map</v>
      </c>
    </row>
    <row r="440" spans="1:14" x14ac:dyDescent="0.2">
      <c r="A440" s="95">
        <v>1227</v>
      </c>
      <c r="B440" s="95" t="s">
        <v>1424</v>
      </c>
      <c r="C440" s="16" t="s">
        <v>1425</v>
      </c>
      <c r="D440" s="95">
        <v>68.634039000000001</v>
      </c>
      <c r="E440" s="95">
        <v>-149.63704899999999</v>
      </c>
      <c r="F440" s="95">
        <v>750</v>
      </c>
      <c r="G440" s="95" t="s">
        <v>511</v>
      </c>
      <c r="H440" s="95" t="s">
        <v>510</v>
      </c>
      <c r="I440" s="95" t="s">
        <v>510</v>
      </c>
      <c r="J440" s="95" t="s">
        <v>536</v>
      </c>
      <c r="K440" s="95" t="s">
        <v>510</v>
      </c>
      <c r="L440" s="95" t="s">
        <v>510</v>
      </c>
      <c r="M440" s="101" t="str">
        <f t="shared" si="8"/>
        <v>View on Google Map</v>
      </c>
    </row>
    <row r="441" spans="1:14" x14ac:dyDescent="0.2">
      <c r="A441" s="95">
        <v>1223</v>
      </c>
      <c r="B441" s="95" t="s">
        <v>1426</v>
      </c>
      <c r="C441" s="16" t="s">
        <v>1427</v>
      </c>
      <c r="D441" s="95">
        <v>68.635624000000007</v>
      </c>
      <c r="E441" s="95">
        <v>-149.587064</v>
      </c>
      <c r="F441" s="95">
        <v>745</v>
      </c>
      <c r="G441" s="95" t="s">
        <v>511</v>
      </c>
      <c r="H441" s="95" t="s">
        <v>510</v>
      </c>
      <c r="I441" s="95" t="s">
        <v>510</v>
      </c>
      <c r="J441" s="95" t="s">
        <v>536</v>
      </c>
      <c r="K441" s="95" t="s">
        <v>510</v>
      </c>
      <c r="L441" s="95" t="s">
        <v>510</v>
      </c>
      <c r="M441" s="101" t="str">
        <f t="shared" si="8"/>
        <v>View on Google Map</v>
      </c>
    </row>
    <row r="442" spans="1:14" x14ac:dyDescent="0.2">
      <c r="A442" s="95">
        <v>1224</v>
      </c>
      <c r="B442" s="95" t="s">
        <v>1428</v>
      </c>
      <c r="C442" s="16" t="s">
        <v>1429</v>
      </c>
      <c r="D442" s="95">
        <v>68.638692000000006</v>
      </c>
      <c r="E442" s="95">
        <v>-149.567789</v>
      </c>
      <c r="F442" s="95">
        <v>731</v>
      </c>
      <c r="G442" s="95" t="s">
        <v>511</v>
      </c>
      <c r="H442" s="95" t="s">
        <v>510</v>
      </c>
      <c r="I442" s="95" t="s">
        <v>510</v>
      </c>
      <c r="J442" s="95" t="s">
        <v>536</v>
      </c>
      <c r="K442" s="95" t="s">
        <v>510</v>
      </c>
      <c r="L442" s="95" t="s">
        <v>510</v>
      </c>
      <c r="M442" s="101" t="str">
        <f t="shared" si="8"/>
        <v>View on Google Map</v>
      </c>
    </row>
    <row r="443" spans="1:14" x14ac:dyDescent="0.2">
      <c r="A443" s="95">
        <v>1221</v>
      </c>
      <c r="B443" s="95" t="s">
        <v>1430</v>
      </c>
      <c r="C443" s="16" t="s">
        <v>1431</v>
      </c>
      <c r="D443" s="95">
        <v>68.625440999999995</v>
      </c>
      <c r="E443" s="95">
        <v>-149.60287299999999</v>
      </c>
      <c r="F443" s="95">
        <v>717</v>
      </c>
      <c r="G443" s="95" t="s">
        <v>511</v>
      </c>
      <c r="H443" s="95" t="s">
        <v>510</v>
      </c>
      <c r="I443" s="95" t="s">
        <v>510</v>
      </c>
      <c r="J443" s="95" t="s">
        <v>536</v>
      </c>
      <c r="K443" s="95" t="s">
        <v>510</v>
      </c>
      <c r="L443" s="95" t="s">
        <v>510</v>
      </c>
      <c r="M443" s="101" t="str">
        <f t="shared" si="8"/>
        <v>View on Google Map</v>
      </c>
    </row>
    <row r="444" spans="1:14" x14ac:dyDescent="0.2">
      <c r="A444" s="95">
        <v>1226</v>
      </c>
      <c r="B444" s="16" t="s">
        <v>1432</v>
      </c>
      <c r="C444" s="16" t="s">
        <v>1433</v>
      </c>
      <c r="D444" s="95">
        <v>68.647621999999998</v>
      </c>
      <c r="E444" s="95">
        <v>-149.57729800000001</v>
      </c>
      <c r="F444" s="95">
        <v>719</v>
      </c>
      <c r="G444" s="95" t="s">
        <v>511</v>
      </c>
      <c r="H444" s="95" t="s">
        <v>510</v>
      </c>
      <c r="I444" s="95" t="s">
        <v>510</v>
      </c>
      <c r="J444" s="95" t="s">
        <v>536</v>
      </c>
      <c r="K444" s="95" t="s">
        <v>510</v>
      </c>
      <c r="L444" s="95" t="s">
        <v>510</v>
      </c>
      <c r="M444" s="101" t="str">
        <f t="shared" si="8"/>
        <v>View on Google Map</v>
      </c>
    </row>
    <row r="445" spans="1:14" x14ac:dyDescent="0.2">
      <c r="A445" s="95">
        <v>487</v>
      </c>
      <c r="B445" s="95" t="s">
        <v>1434</v>
      </c>
      <c r="C445" s="95" t="s">
        <v>510</v>
      </c>
      <c r="D445" s="95">
        <v>68.961583332999993</v>
      </c>
      <c r="E445" s="95">
        <v>-150.20961666700001</v>
      </c>
      <c r="F445" s="95">
        <v>380</v>
      </c>
      <c r="G445" s="95" t="s">
        <v>521</v>
      </c>
      <c r="H445" s="95" t="s">
        <v>510</v>
      </c>
      <c r="I445" s="95" t="s">
        <v>510</v>
      </c>
      <c r="J445" s="95" t="s">
        <v>571</v>
      </c>
      <c r="K445" s="95" t="s">
        <v>510</v>
      </c>
      <c r="L445" s="95" t="s">
        <v>518</v>
      </c>
      <c r="M445" s="101" t="str">
        <f t="shared" si="8"/>
        <v>View on Google Map</v>
      </c>
    </row>
    <row r="446" spans="1:14" x14ac:dyDescent="0.2">
      <c r="A446" s="95">
        <v>23</v>
      </c>
      <c r="B446" s="95" t="s">
        <v>1435</v>
      </c>
      <c r="C446" s="95" t="s">
        <v>510</v>
      </c>
      <c r="D446" s="95" t="s">
        <v>510</v>
      </c>
      <c r="E446" s="95" t="s">
        <v>510</v>
      </c>
      <c r="F446" s="95" t="s">
        <v>510</v>
      </c>
      <c r="G446" s="95" t="s">
        <v>535</v>
      </c>
      <c r="H446" s="95" t="s">
        <v>510</v>
      </c>
      <c r="I446" s="95" t="s">
        <v>510</v>
      </c>
      <c r="J446" s="95" t="s">
        <v>536</v>
      </c>
      <c r="K446" s="95" t="s">
        <v>510</v>
      </c>
      <c r="L446" s="95" t="s">
        <v>510</v>
      </c>
      <c r="M446" s="101" t="str">
        <f t="shared" si="8"/>
        <v>View on Google Map</v>
      </c>
    </row>
    <row r="447" spans="1:14" x14ac:dyDescent="0.2">
      <c r="A447" s="95">
        <v>529</v>
      </c>
      <c r="B447" s="95" t="s">
        <v>1436</v>
      </c>
      <c r="C447" s="95" t="s">
        <v>916</v>
      </c>
      <c r="D447" s="95">
        <v>68.672934999999995</v>
      </c>
      <c r="E447" s="95">
        <v>-149.61752300000001</v>
      </c>
      <c r="F447" s="95">
        <v>708</v>
      </c>
      <c r="G447" s="95" t="s">
        <v>521</v>
      </c>
      <c r="H447" s="95" t="s">
        <v>510</v>
      </c>
      <c r="I447" s="95" t="s">
        <v>510</v>
      </c>
      <c r="J447" s="95" t="s">
        <v>522</v>
      </c>
      <c r="K447" s="95" t="s">
        <v>510</v>
      </c>
      <c r="L447" s="95" t="s">
        <v>917</v>
      </c>
      <c r="M447" s="101" t="str">
        <f t="shared" si="8"/>
        <v>View on Google Map</v>
      </c>
    </row>
    <row r="448" spans="1:14" x14ac:dyDescent="0.2">
      <c r="A448" s="95">
        <v>494</v>
      </c>
      <c r="B448" s="95" t="s">
        <v>1437</v>
      </c>
      <c r="C448" s="95" t="s">
        <v>510</v>
      </c>
      <c r="D448" s="95">
        <v>68.673756999999995</v>
      </c>
      <c r="E448" s="95">
        <v>-149.618268</v>
      </c>
      <c r="F448" s="95">
        <v>701</v>
      </c>
      <c r="G448" s="95" t="s">
        <v>535</v>
      </c>
      <c r="H448" s="95" t="s">
        <v>510</v>
      </c>
      <c r="I448" s="95" t="s">
        <v>510</v>
      </c>
      <c r="J448" s="95" t="s">
        <v>1438</v>
      </c>
      <c r="K448" s="95" t="s">
        <v>510</v>
      </c>
      <c r="L448" s="95" t="s">
        <v>917</v>
      </c>
      <c r="M448" s="101" t="str">
        <f t="shared" si="8"/>
        <v>View on Google Map</v>
      </c>
    </row>
    <row r="449" spans="1:13" x14ac:dyDescent="0.2">
      <c r="A449" s="95">
        <v>189</v>
      </c>
      <c r="B449" s="95" t="s">
        <v>1439</v>
      </c>
      <c r="C449" s="95" t="s">
        <v>510</v>
      </c>
      <c r="D449" s="95">
        <v>68.622</v>
      </c>
      <c r="E449" s="95">
        <v>-149.590666</v>
      </c>
      <c r="F449" s="95">
        <v>725</v>
      </c>
      <c r="G449" s="95" t="s">
        <v>535</v>
      </c>
      <c r="H449" s="95" t="s">
        <v>1440</v>
      </c>
      <c r="I449" s="95" t="s">
        <v>1441</v>
      </c>
      <c r="J449" s="95" t="s">
        <v>536</v>
      </c>
      <c r="K449" s="95" t="s">
        <v>510</v>
      </c>
      <c r="L449" s="95" t="s">
        <v>925</v>
      </c>
      <c r="M449" s="101" t="str">
        <f t="shared" si="8"/>
        <v>View on Google Map</v>
      </c>
    </row>
    <row r="450" spans="1:13" x14ac:dyDescent="0.2">
      <c r="A450" s="95">
        <v>273</v>
      </c>
      <c r="B450" s="95" t="s">
        <v>1442</v>
      </c>
      <c r="C450" s="95" t="s">
        <v>510</v>
      </c>
      <c r="D450" s="95">
        <v>68.620166670000003</v>
      </c>
      <c r="E450" s="95">
        <v>-149.56816599999999</v>
      </c>
      <c r="F450" s="95">
        <v>739</v>
      </c>
      <c r="G450" s="95" t="s">
        <v>535</v>
      </c>
      <c r="H450" s="95" t="s">
        <v>1443</v>
      </c>
      <c r="I450" s="95" t="s">
        <v>1444</v>
      </c>
      <c r="J450" s="95" t="s">
        <v>536</v>
      </c>
      <c r="K450" s="95" t="s">
        <v>510</v>
      </c>
      <c r="L450" s="95" t="s">
        <v>925</v>
      </c>
      <c r="M450" s="101" t="str">
        <f t="shared" si="8"/>
        <v>View on Google Map</v>
      </c>
    </row>
    <row r="451" spans="1:13" x14ac:dyDescent="0.2">
      <c r="A451" s="95">
        <v>1175</v>
      </c>
      <c r="B451" s="95" t="s">
        <v>1445</v>
      </c>
      <c r="C451" s="95" t="s">
        <v>510</v>
      </c>
      <c r="D451" s="95">
        <v>68.951925000000003</v>
      </c>
      <c r="E451" s="95">
        <v>-150.20976669999999</v>
      </c>
      <c r="F451" s="95" t="s">
        <v>510</v>
      </c>
      <c r="G451" s="95" t="s">
        <v>535</v>
      </c>
      <c r="H451" s="95" t="s">
        <v>510</v>
      </c>
      <c r="I451" s="95" t="s">
        <v>510</v>
      </c>
      <c r="J451" s="95" t="s">
        <v>1065</v>
      </c>
      <c r="K451" s="95" t="s">
        <v>510</v>
      </c>
      <c r="L451" s="95" t="s">
        <v>510</v>
      </c>
      <c r="M451" s="101" t="str">
        <f t="shared" ref="M451:M514" si="10">HYPERLINK("http://maps.google.com/maps?q="&amp;D451&amp;","&amp;E451,"View on Google Map")</f>
        <v>View on Google Map</v>
      </c>
    </row>
    <row r="452" spans="1:13" x14ac:dyDescent="0.2">
      <c r="A452" s="95">
        <v>103</v>
      </c>
      <c r="B452" s="95" t="s">
        <v>1446</v>
      </c>
      <c r="C452" s="95" t="s">
        <v>510</v>
      </c>
      <c r="D452" s="95">
        <v>68.639893935800004</v>
      </c>
      <c r="E452" s="95">
        <v>-149.606965643</v>
      </c>
      <c r="F452" s="95">
        <v>731</v>
      </c>
      <c r="G452" s="95" t="s">
        <v>521</v>
      </c>
      <c r="H452" s="95" t="s">
        <v>1447</v>
      </c>
      <c r="I452" s="95" t="s">
        <v>1448</v>
      </c>
      <c r="J452" s="95" t="s">
        <v>536</v>
      </c>
      <c r="K452" s="95" t="s">
        <v>510</v>
      </c>
      <c r="L452" s="95" t="s">
        <v>510</v>
      </c>
      <c r="M452" s="101" t="str">
        <f t="shared" si="10"/>
        <v>View on Google Map</v>
      </c>
    </row>
    <row r="453" spans="1:13" x14ac:dyDescent="0.2">
      <c r="A453" s="95">
        <v>104</v>
      </c>
      <c r="B453" s="95" t="s">
        <v>1449</v>
      </c>
      <c r="C453" s="95" t="s">
        <v>510</v>
      </c>
      <c r="D453" s="95">
        <v>68.640947234500004</v>
      </c>
      <c r="E453" s="95">
        <v>-149.625086307</v>
      </c>
      <c r="F453" s="95">
        <v>724</v>
      </c>
      <c r="G453" s="95" t="s">
        <v>521</v>
      </c>
      <c r="H453" s="95" t="s">
        <v>1450</v>
      </c>
      <c r="I453" s="95" t="s">
        <v>1451</v>
      </c>
      <c r="J453" s="95" t="s">
        <v>536</v>
      </c>
      <c r="K453" s="95" t="s">
        <v>510</v>
      </c>
      <c r="L453" s="95" t="s">
        <v>510</v>
      </c>
      <c r="M453" s="101" t="str">
        <f t="shared" si="10"/>
        <v>View on Google Map</v>
      </c>
    </row>
    <row r="454" spans="1:13" x14ac:dyDescent="0.2">
      <c r="A454" s="95">
        <v>105</v>
      </c>
      <c r="B454" s="95" t="s">
        <v>1452</v>
      </c>
      <c r="C454" s="95" t="s">
        <v>510</v>
      </c>
      <c r="D454" s="95">
        <v>68.642385337299999</v>
      </c>
      <c r="E454" s="95">
        <v>-149.630769851</v>
      </c>
      <c r="F454" s="95" t="s">
        <v>510</v>
      </c>
      <c r="G454" s="95" t="s">
        <v>521</v>
      </c>
      <c r="H454" s="95" t="s">
        <v>1453</v>
      </c>
      <c r="I454" s="95" t="s">
        <v>510</v>
      </c>
      <c r="J454" s="95" t="s">
        <v>536</v>
      </c>
      <c r="K454" s="95" t="s">
        <v>510</v>
      </c>
      <c r="L454" s="95" t="s">
        <v>510</v>
      </c>
      <c r="M454" s="101" t="str">
        <f t="shared" si="10"/>
        <v>View on Google Map</v>
      </c>
    </row>
    <row r="455" spans="1:13" x14ac:dyDescent="0.2">
      <c r="A455" s="95">
        <v>245</v>
      </c>
      <c r="B455" s="95" t="s">
        <v>1454</v>
      </c>
      <c r="C455" s="95" t="s">
        <v>510</v>
      </c>
      <c r="D455" s="95">
        <v>68.645120702900002</v>
      </c>
      <c r="E455" s="95">
        <v>-149.64028014900001</v>
      </c>
      <c r="F455" s="95" t="s">
        <v>510</v>
      </c>
      <c r="G455" s="95" t="s">
        <v>521</v>
      </c>
      <c r="H455" s="95" t="s">
        <v>1455</v>
      </c>
      <c r="I455" s="95" t="s">
        <v>510</v>
      </c>
      <c r="J455" s="95" t="s">
        <v>536</v>
      </c>
      <c r="K455" s="95" t="s">
        <v>510</v>
      </c>
      <c r="L455" s="95" t="s">
        <v>510</v>
      </c>
      <c r="M455" s="101" t="str">
        <f t="shared" si="10"/>
        <v>View on Google Map</v>
      </c>
    </row>
    <row r="456" spans="1:13" x14ac:dyDescent="0.2">
      <c r="A456" s="95">
        <v>240</v>
      </c>
      <c r="B456" s="95" t="s">
        <v>1456</v>
      </c>
      <c r="C456" s="95" t="s">
        <v>510</v>
      </c>
      <c r="D456" s="95">
        <v>68.645428204500007</v>
      </c>
      <c r="E456" s="95">
        <v>-149.62885531000001</v>
      </c>
      <c r="F456" s="95" t="s">
        <v>510</v>
      </c>
      <c r="G456" s="95" t="s">
        <v>521</v>
      </c>
      <c r="H456" s="95" t="s">
        <v>1457</v>
      </c>
      <c r="I456" s="95" t="s">
        <v>510</v>
      </c>
      <c r="J456" s="95" t="s">
        <v>536</v>
      </c>
      <c r="K456" s="95" t="s">
        <v>510</v>
      </c>
      <c r="L456" s="95" t="s">
        <v>510</v>
      </c>
      <c r="M456" s="101" t="str">
        <f t="shared" si="10"/>
        <v>View on Google Map</v>
      </c>
    </row>
    <row r="457" spans="1:13" x14ac:dyDescent="0.2">
      <c r="A457" s="95">
        <v>508</v>
      </c>
      <c r="B457" s="95" t="s">
        <v>1458</v>
      </c>
      <c r="C457" s="95" t="s">
        <v>520</v>
      </c>
      <c r="D457" s="95">
        <v>68.396288999999996</v>
      </c>
      <c r="E457" s="95">
        <v>-150.58781500000001</v>
      </c>
      <c r="F457" s="95">
        <v>841</v>
      </c>
      <c r="G457" s="95" t="s">
        <v>521</v>
      </c>
      <c r="H457" s="95" t="s">
        <v>523</v>
      </c>
      <c r="I457" s="95" t="s">
        <v>510</v>
      </c>
      <c r="J457" s="95" t="s">
        <v>522</v>
      </c>
      <c r="K457" s="95" t="s">
        <v>510</v>
      </c>
      <c r="L457" s="95" t="s">
        <v>523</v>
      </c>
      <c r="M457" s="101" t="str">
        <f t="shared" si="10"/>
        <v>View on Google Map</v>
      </c>
    </row>
    <row r="458" spans="1:13" x14ac:dyDescent="0.2">
      <c r="A458" s="95">
        <v>513</v>
      </c>
      <c r="B458" s="95" t="s">
        <v>1459</v>
      </c>
      <c r="C458" s="95" t="s">
        <v>520</v>
      </c>
      <c r="D458" s="95">
        <v>68.362488999999997</v>
      </c>
      <c r="E458" s="95">
        <v>-151.70717300000001</v>
      </c>
      <c r="F458" s="95">
        <v>792</v>
      </c>
      <c r="G458" s="95" t="s">
        <v>521</v>
      </c>
      <c r="H458" s="95" t="s">
        <v>510</v>
      </c>
      <c r="I458" s="95" t="s">
        <v>510</v>
      </c>
      <c r="J458" s="95" t="s">
        <v>522</v>
      </c>
      <c r="K458" s="95" t="s">
        <v>510</v>
      </c>
      <c r="L458" s="95" t="s">
        <v>523</v>
      </c>
      <c r="M458" s="101" t="str">
        <f t="shared" si="10"/>
        <v>View on Google Map</v>
      </c>
    </row>
    <row r="459" spans="1:13" x14ac:dyDescent="0.2">
      <c r="A459" s="95">
        <v>512</v>
      </c>
      <c r="B459" s="95" t="s">
        <v>1460</v>
      </c>
      <c r="C459" s="95" t="s">
        <v>520</v>
      </c>
      <c r="D459" s="95">
        <v>68.351332999999997</v>
      </c>
      <c r="E459" s="95">
        <v>-151.702167</v>
      </c>
      <c r="F459" s="95">
        <v>789</v>
      </c>
      <c r="G459" s="95" t="s">
        <v>521</v>
      </c>
      <c r="H459" s="95" t="s">
        <v>510</v>
      </c>
      <c r="I459" s="95" t="s">
        <v>510</v>
      </c>
      <c r="J459" s="95" t="s">
        <v>522</v>
      </c>
      <c r="K459" s="95" t="s">
        <v>510</v>
      </c>
      <c r="L459" s="95" t="s">
        <v>523</v>
      </c>
      <c r="M459" s="101" t="str">
        <f t="shared" si="10"/>
        <v>View on Google Map</v>
      </c>
    </row>
    <row r="460" spans="1:13" x14ac:dyDescent="0.2">
      <c r="A460" s="95">
        <v>511</v>
      </c>
      <c r="B460" s="95" t="s">
        <v>1461</v>
      </c>
      <c r="C460" s="95" t="s">
        <v>520</v>
      </c>
      <c r="D460" s="95">
        <v>68.347333000000006</v>
      </c>
      <c r="E460" s="95">
        <v>-151.70316700000001</v>
      </c>
      <c r="F460" s="95">
        <v>798</v>
      </c>
      <c r="G460" s="95" t="s">
        <v>521</v>
      </c>
      <c r="H460" s="95" t="s">
        <v>510</v>
      </c>
      <c r="I460" s="95" t="s">
        <v>510</v>
      </c>
      <c r="J460" s="95" t="s">
        <v>522</v>
      </c>
      <c r="K460" s="95" t="s">
        <v>510</v>
      </c>
      <c r="L460" s="95" t="s">
        <v>523</v>
      </c>
      <c r="M460" s="101" t="str">
        <f t="shared" si="10"/>
        <v>View on Google Map</v>
      </c>
    </row>
    <row r="461" spans="1:13" x14ac:dyDescent="0.2">
      <c r="A461" s="95">
        <v>510</v>
      </c>
      <c r="B461" s="95" t="s">
        <v>1462</v>
      </c>
      <c r="C461" s="95" t="s">
        <v>520</v>
      </c>
      <c r="D461" s="95">
        <v>68.351332999999997</v>
      </c>
      <c r="E461" s="95">
        <v>-151.702167</v>
      </c>
      <c r="F461" s="95">
        <v>810</v>
      </c>
      <c r="G461" s="95" t="s">
        <v>521</v>
      </c>
      <c r="H461" s="95" t="s">
        <v>510</v>
      </c>
      <c r="I461" s="95" t="s">
        <v>510</v>
      </c>
      <c r="J461" s="95" t="s">
        <v>522</v>
      </c>
      <c r="K461" s="95" t="s">
        <v>510</v>
      </c>
      <c r="L461" s="95" t="s">
        <v>523</v>
      </c>
      <c r="M461" s="101" t="str">
        <f t="shared" si="10"/>
        <v>View on Google Map</v>
      </c>
    </row>
    <row r="462" spans="1:13" x14ac:dyDescent="0.2">
      <c r="A462" s="95">
        <v>233</v>
      </c>
      <c r="B462" s="95" t="s">
        <v>1463</v>
      </c>
      <c r="C462" s="95" t="s">
        <v>510</v>
      </c>
      <c r="D462" s="95">
        <v>68.643783170000006</v>
      </c>
      <c r="E462" s="95">
        <v>-149.58949436200001</v>
      </c>
      <c r="F462" s="95">
        <v>716</v>
      </c>
      <c r="G462" s="95" t="s">
        <v>521</v>
      </c>
      <c r="H462" s="95" t="s">
        <v>1464</v>
      </c>
      <c r="I462" s="95" t="s">
        <v>510</v>
      </c>
      <c r="J462" s="95" t="s">
        <v>536</v>
      </c>
      <c r="K462" s="95" t="s">
        <v>510</v>
      </c>
      <c r="L462" s="95" t="s">
        <v>510</v>
      </c>
      <c r="M462" s="101" t="str">
        <f t="shared" si="10"/>
        <v>View on Google Map</v>
      </c>
    </row>
    <row r="463" spans="1:13" x14ac:dyDescent="0.2">
      <c r="A463" s="95">
        <v>147</v>
      </c>
      <c r="B463" s="95" t="s">
        <v>1465</v>
      </c>
      <c r="C463" s="95" t="s">
        <v>510</v>
      </c>
      <c r="D463" s="95">
        <v>68.646325005500003</v>
      </c>
      <c r="E463" s="95">
        <v>-149.58272243900001</v>
      </c>
      <c r="F463" s="95">
        <v>716</v>
      </c>
      <c r="G463" s="95" t="s">
        <v>521</v>
      </c>
      <c r="H463" s="95" t="s">
        <v>1466</v>
      </c>
      <c r="I463" s="95" t="s">
        <v>510</v>
      </c>
      <c r="J463" s="95" t="s">
        <v>536</v>
      </c>
      <c r="K463" s="95" t="s">
        <v>510</v>
      </c>
      <c r="L463" s="95" t="s">
        <v>510</v>
      </c>
      <c r="M463" s="101" t="str">
        <f t="shared" si="10"/>
        <v>View on Google Map</v>
      </c>
    </row>
    <row r="464" spans="1:13" x14ac:dyDescent="0.2">
      <c r="A464" s="95">
        <v>234</v>
      </c>
      <c r="B464" s="95" t="s">
        <v>1467</v>
      </c>
      <c r="C464" s="95" t="s">
        <v>510</v>
      </c>
      <c r="D464" s="95">
        <v>68.650192520999994</v>
      </c>
      <c r="E464" s="95">
        <v>-149.58255972500001</v>
      </c>
      <c r="F464" s="95">
        <v>731</v>
      </c>
      <c r="G464" s="95" t="s">
        <v>521</v>
      </c>
      <c r="H464" s="95" t="s">
        <v>1468</v>
      </c>
      <c r="I464" s="95" t="s">
        <v>510</v>
      </c>
      <c r="J464" s="95" t="s">
        <v>536</v>
      </c>
      <c r="K464" s="95" t="s">
        <v>510</v>
      </c>
      <c r="L464" s="95" t="s">
        <v>510</v>
      </c>
      <c r="M464" s="101" t="str">
        <f t="shared" si="10"/>
        <v>View on Google Map</v>
      </c>
    </row>
    <row r="465" spans="1:13" x14ac:dyDescent="0.2">
      <c r="A465" s="95">
        <v>306</v>
      </c>
      <c r="B465" s="95" t="s">
        <v>1469</v>
      </c>
      <c r="C465" s="95" t="s">
        <v>510</v>
      </c>
      <c r="D465" s="95" t="s">
        <v>510</v>
      </c>
      <c r="E465" s="95" t="s">
        <v>510</v>
      </c>
      <c r="F465" s="95">
        <v>731</v>
      </c>
      <c r="G465" s="95" t="s">
        <v>521</v>
      </c>
      <c r="H465" s="95" t="s">
        <v>1470</v>
      </c>
      <c r="I465" s="95" t="s">
        <v>510</v>
      </c>
      <c r="J465" s="95" t="s">
        <v>536</v>
      </c>
      <c r="K465" s="95" t="s">
        <v>510</v>
      </c>
      <c r="L465" s="95" t="s">
        <v>510</v>
      </c>
      <c r="M465" s="101" t="str">
        <f t="shared" si="10"/>
        <v>View on Google Map</v>
      </c>
    </row>
    <row r="466" spans="1:13" x14ac:dyDescent="0.2">
      <c r="A466" s="95">
        <v>235</v>
      </c>
      <c r="B466" s="95" t="s">
        <v>1471</v>
      </c>
      <c r="C466" s="95" t="s">
        <v>510</v>
      </c>
      <c r="D466" s="95" t="s">
        <v>510</v>
      </c>
      <c r="E466" s="95" t="s">
        <v>510</v>
      </c>
      <c r="F466" s="95">
        <v>716</v>
      </c>
      <c r="G466" s="95" t="s">
        <v>521</v>
      </c>
      <c r="H466" s="95" t="s">
        <v>1472</v>
      </c>
      <c r="I466" s="95" t="s">
        <v>510</v>
      </c>
      <c r="J466" s="95" t="s">
        <v>536</v>
      </c>
      <c r="K466" s="95" t="s">
        <v>510</v>
      </c>
      <c r="L466" s="95" t="s">
        <v>510</v>
      </c>
      <c r="M466" s="101" t="str">
        <f t="shared" si="10"/>
        <v>View on Google Map</v>
      </c>
    </row>
    <row r="467" spans="1:13" x14ac:dyDescent="0.2">
      <c r="A467" s="95">
        <v>307</v>
      </c>
      <c r="B467" s="95" t="s">
        <v>1473</v>
      </c>
      <c r="C467" s="95" t="s">
        <v>510</v>
      </c>
      <c r="D467" s="95" t="s">
        <v>510</v>
      </c>
      <c r="E467" s="95" t="s">
        <v>510</v>
      </c>
      <c r="F467" s="95">
        <v>716</v>
      </c>
      <c r="G467" s="95" t="s">
        <v>521</v>
      </c>
      <c r="H467" s="95" t="s">
        <v>1474</v>
      </c>
      <c r="I467" s="95" t="s">
        <v>510</v>
      </c>
      <c r="J467" s="95" t="s">
        <v>536</v>
      </c>
      <c r="K467" s="95" t="s">
        <v>510</v>
      </c>
      <c r="L467" s="95" t="s">
        <v>510</v>
      </c>
      <c r="M467" s="101" t="str">
        <f t="shared" si="10"/>
        <v>View on Google Map</v>
      </c>
    </row>
    <row r="468" spans="1:13" x14ac:dyDescent="0.2">
      <c r="A468" s="95">
        <v>236</v>
      </c>
      <c r="B468" s="95" t="s">
        <v>1475</v>
      </c>
      <c r="C468" s="95" t="s">
        <v>510</v>
      </c>
      <c r="D468" s="95">
        <v>68.653572283900004</v>
      </c>
      <c r="E468" s="95">
        <v>-149.58091106399999</v>
      </c>
      <c r="F468" s="95">
        <v>731</v>
      </c>
      <c r="G468" s="95" t="s">
        <v>521</v>
      </c>
      <c r="H468" s="95" t="s">
        <v>1476</v>
      </c>
      <c r="I468" s="95" t="s">
        <v>510</v>
      </c>
      <c r="J468" s="95" t="s">
        <v>536</v>
      </c>
      <c r="K468" s="95" t="s">
        <v>510</v>
      </c>
      <c r="L468" s="95" t="s">
        <v>510</v>
      </c>
      <c r="M468" s="101" t="str">
        <f t="shared" si="10"/>
        <v>View on Google Map</v>
      </c>
    </row>
    <row r="469" spans="1:13" x14ac:dyDescent="0.2">
      <c r="A469" s="95">
        <v>308</v>
      </c>
      <c r="B469" s="95" t="s">
        <v>1477</v>
      </c>
      <c r="C469" s="95" t="s">
        <v>510</v>
      </c>
      <c r="D469" s="95">
        <v>68.652551279199997</v>
      </c>
      <c r="E469" s="95">
        <v>-149.58676006799999</v>
      </c>
      <c r="F469" s="95">
        <v>731</v>
      </c>
      <c r="G469" s="95" t="s">
        <v>521</v>
      </c>
      <c r="H469" s="95" t="s">
        <v>1478</v>
      </c>
      <c r="I469" s="95" t="s">
        <v>510</v>
      </c>
      <c r="J469" s="95" t="s">
        <v>536</v>
      </c>
      <c r="K469" s="95" t="s">
        <v>510</v>
      </c>
      <c r="L469" s="95" t="s">
        <v>510</v>
      </c>
      <c r="M469" s="101" t="str">
        <f t="shared" si="10"/>
        <v>View on Google Map</v>
      </c>
    </row>
    <row r="470" spans="1:13" x14ac:dyDescent="0.2">
      <c r="A470" s="95">
        <v>446</v>
      </c>
      <c r="B470" s="95" t="s">
        <v>1479</v>
      </c>
      <c r="C470" s="95" t="s">
        <v>510</v>
      </c>
      <c r="D470" s="95">
        <v>68.653536133599999</v>
      </c>
      <c r="E470" s="95">
        <v>-149.59622183299999</v>
      </c>
      <c r="F470" s="95">
        <v>747</v>
      </c>
      <c r="G470" s="95" t="s">
        <v>521</v>
      </c>
      <c r="H470" s="95" t="s">
        <v>1480</v>
      </c>
      <c r="I470" s="95" t="s">
        <v>510</v>
      </c>
      <c r="J470" s="95" t="s">
        <v>536</v>
      </c>
      <c r="K470" s="95" t="s">
        <v>510</v>
      </c>
      <c r="L470" s="95" t="s">
        <v>510</v>
      </c>
      <c r="M470" s="101" t="str">
        <f t="shared" si="10"/>
        <v>View on Google Map</v>
      </c>
    </row>
    <row r="471" spans="1:13" x14ac:dyDescent="0.2">
      <c r="A471" s="95">
        <v>447</v>
      </c>
      <c r="B471" s="95" t="s">
        <v>1481</v>
      </c>
      <c r="C471" s="95" t="s">
        <v>510</v>
      </c>
      <c r="D471" s="95">
        <v>68.652588284900006</v>
      </c>
      <c r="E471" s="95">
        <v>-149.60764069300001</v>
      </c>
      <c r="F471" s="95" t="s">
        <v>510</v>
      </c>
      <c r="G471" s="95" t="s">
        <v>521</v>
      </c>
      <c r="H471" s="95" t="s">
        <v>1482</v>
      </c>
      <c r="I471" s="95" t="s">
        <v>510</v>
      </c>
      <c r="J471" s="95" t="s">
        <v>536</v>
      </c>
      <c r="K471" s="95" t="s">
        <v>510</v>
      </c>
      <c r="L471" s="95" t="s">
        <v>510</v>
      </c>
      <c r="M471" s="101" t="str">
        <f t="shared" si="10"/>
        <v>View on Google Map</v>
      </c>
    </row>
    <row r="472" spans="1:13" x14ac:dyDescent="0.2">
      <c r="A472" s="95">
        <v>504</v>
      </c>
      <c r="B472" s="95" t="s">
        <v>1483</v>
      </c>
      <c r="C472" s="95" t="s">
        <v>510</v>
      </c>
      <c r="D472" s="95">
        <v>68.647407723699999</v>
      </c>
      <c r="E472" s="95">
        <v>-149.60936597400001</v>
      </c>
      <c r="F472" s="95">
        <v>731</v>
      </c>
      <c r="G472" s="95" t="s">
        <v>521</v>
      </c>
      <c r="H472" s="95" t="s">
        <v>510</v>
      </c>
      <c r="I472" s="95" t="s">
        <v>510</v>
      </c>
      <c r="J472" s="95" t="s">
        <v>536</v>
      </c>
      <c r="K472" s="95" t="s">
        <v>510</v>
      </c>
      <c r="L472" s="95" t="s">
        <v>510</v>
      </c>
      <c r="M472" s="101" t="str">
        <f t="shared" si="10"/>
        <v>View on Google Map</v>
      </c>
    </row>
    <row r="473" spans="1:13" x14ac:dyDescent="0.2">
      <c r="A473" s="95">
        <v>108</v>
      </c>
      <c r="B473" s="95" t="s">
        <v>1484</v>
      </c>
      <c r="C473" s="95" t="s">
        <v>510</v>
      </c>
      <c r="D473" s="95">
        <v>68.650000000000006</v>
      </c>
      <c r="E473" s="95">
        <v>-149.61666666666667</v>
      </c>
      <c r="F473" s="95">
        <v>699</v>
      </c>
      <c r="G473" s="95" t="s">
        <v>521</v>
      </c>
      <c r="H473" s="95" t="s">
        <v>1485</v>
      </c>
      <c r="I473" s="95" t="s">
        <v>510</v>
      </c>
      <c r="J473" s="95" t="s">
        <v>536</v>
      </c>
      <c r="K473" s="95" t="s">
        <v>510</v>
      </c>
      <c r="L473" s="95" t="s">
        <v>510</v>
      </c>
      <c r="M473" s="101" t="str">
        <f t="shared" si="10"/>
        <v>View on Google Map</v>
      </c>
    </row>
    <row r="474" spans="1:13" x14ac:dyDescent="0.2">
      <c r="A474" s="95">
        <v>309</v>
      </c>
      <c r="B474" s="95" t="s">
        <v>1486</v>
      </c>
      <c r="C474" s="95" t="s">
        <v>510</v>
      </c>
      <c r="D474" s="95" t="s">
        <v>510</v>
      </c>
      <c r="E474" s="95" t="s">
        <v>510</v>
      </c>
      <c r="F474" s="95" t="s">
        <v>510</v>
      </c>
      <c r="G474" s="95" t="s">
        <v>521</v>
      </c>
      <c r="H474" s="95" t="s">
        <v>1487</v>
      </c>
      <c r="I474" s="95" t="s">
        <v>510</v>
      </c>
      <c r="J474" s="95" t="s">
        <v>536</v>
      </c>
      <c r="K474" s="95" t="s">
        <v>510</v>
      </c>
      <c r="L474" s="95" t="s">
        <v>510</v>
      </c>
      <c r="M474" s="101" t="str">
        <f t="shared" si="10"/>
        <v>View on Google Map</v>
      </c>
    </row>
    <row r="475" spans="1:13" x14ac:dyDescent="0.2">
      <c r="A475" s="95">
        <v>109</v>
      </c>
      <c r="B475" s="95" t="s">
        <v>1488</v>
      </c>
      <c r="C475" s="95" t="s">
        <v>510</v>
      </c>
      <c r="D475" s="95">
        <v>68.683333333333337</v>
      </c>
      <c r="E475" s="95">
        <v>-149.61666666666667</v>
      </c>
      <c r="F475" s="95">
        <v>701</v>
      </c>
      <c r="G475" s="95" t="s">
        <v>521</v>
      </c>
      <c r="H475" s="95" t="s">
        <v>1489</v>
      </c>
      <c r="I475" s="95" t="s">
        <v>510</v>
      </c>
      <c r="J475" s="95" t="s">
        <v>536</v>
      </c>
      <c r="K475" s="95" t="s">
        <v>510</v>
      </c>
      <c r="L475" s="95" t="s">
        <v>510</v>
      </c>
      <c r="M475" s="101" t="str">
        <f t="shared" si="10"/>
        <v>View on Google Map</v>
      </c>
    </row>
    <row r="476" spans="1:13" x14ac:dyDescent="0.2">
      <c r="A476" s="95">
        <v>497</v>
      </c>
      <c r="B476" s="95" t="s">
        <v>1490</v>
      </c>
      <c r="C476" s="95" t="s">
        <v>1491</v>
      </c>
      <c r="D476" s="95">
        <v>68.674931999999998</v>
      </c>
      <c r="E476" s="95">
        <v>-149.625439</v>
      </c>
      <c r="F476" s="95">
        <v>701</v>
      </c>
      <c r="G476" s="95" t="s">
        <v>521</v>
      </c>
      <c r="H476" s="95" t="s">
        <v>510</v>
      </c>
      <c r="I476" s="95" t="s">
        <v>510</v>
      </c>
      <c r="J476" s="95" t="s">
        <v>1438</v>
      </c>
      <c r="K476" s="95" t="s">
        <v>510</v>
      </c>
      <c r="L476" s="95" t="s">
        <v>917</v>
      </c>
      <c r="M476" s="101" t="str">
        <f t="shared" si="10"/>
        <v>View on Google Map</v>
      </c>
    </row>
    <row r="477" spans="1:13" x14ac:dyDescent="0.2">
      <c r="A477" s="95">
        <v>498</v>
      </c>
      <c r="B477" s="95" t="s">
        <v>1492</v>
      </c>
      <c r="C477" s="95" t="s">
        <v>510</v>
      </c>
      <c r="D477" s="95">
        <v>68.677723</v>
      </c>
      <c r="E477" s="95">
        <v>-149.62402800000001</v>
      </c>
      <c r="F477" s="95">
        <v>701</v>
      </c>
      <c r="G477" s="95" t="s">
        <v>535</v>
      </c>
      <c r="H477" s="95" t="s">
        <v>510</v>
      </c>
      <c r="I477" s="95" t="s">
        <v>510</v>
      </c>
      <c r="J477" s="95" t="s">
        <v>1438</v>
      </c>
      <c r="K477" s="95" t="s">
        <v>510</v>
      </c>
      <c r="L477" s="95" t="s">
        <v>917</v>
      </c>
      <c r="M477" s="101" t="str">
        <f t="shared" si="10"/>
        <v>View on Google Map</v>
      </c>
    </row>
    <row r="478" spans="1:13" x14ac:dyDescent="0.2">
      <c r="A478" s="95">
        <v>495</v>
      </c>
      <c r="B478" s="95" t="s">
        <v>1493</v>
      </c>
      <c r="C478" s="95" t="s">
        <v>510</v>
      </c>
      <c r="D478" s="95">
        <v>68.674121999999997</v>
      </c>
      <c r="E478" s="95">
        <v>-149.62885</v>
      </c>
      <c r="F478" s="95">
        <v>701</v>
      </c>
      <c r="G478" s="95" t="s">
        <v>535</v>
      </c>
      <c r="H478" s="95" t="s">
        <v>510</v>
      </c>
      <c r="I478" s="95" t="s">
        <v>510</v>
      </c>
      <c r="J478" s="95" t="s">
        <v>1438</v>
      </c>
      <c r="K478" s="95" t="s">
        <v>510</v>
      </c>
      <c r="L478" s="95" t="s">
        <v>917</v>
      </c>
      <c r="M478" s="101" t="str">
        <f t="shared" si="10"/>
        <v>View on Google Map</v>
      </c>
    </row>
    <row r="479" spans="1:13" x14ac:dyDescent="0.2">
      <c r="A479" s="95">
        <v>448</v>
      </c>
      <c r="B479" s="95" t="s">
        <v>1494</v>
      </c>
      <c r="C479" s="95" t="s">
        <v>510</v>
      </c>
      <c r="D479" s="95">
        <v>68.655874034999997</v>
      </c>
      <c r="E479" s="95">
        <v>-149.58555905599999</v>
      </c>
      <c r="F479" s="95" t="s">
        <v>510</v>
      </c>
      <c r="G479" s="95" t="s">
        <v>521</v>
      </c>
      <c r="H479" s="95" t="s">
        <v>1495</v>
      </c>
      <c r="I479" s="95" t="s">
        <v>510</v>
      </c>
      <c r="J479" s="95" t="s">
        <v>536</v>
      </c>
      <c r="K479" s="95" t="s">
        <v>510</v>
      </c>
      <c r="L479" s="95" t="s">
        <v>510</v>
      </c>
      <c r="M479" s="101" t="str">
        <f t="shared" si="10"/>
        <v>View on Google Map</v>
      </c>
    </row>
    <row r="480" spans="1:13" x14ac:dyDescent="0.2">
      <c r="A480" s="95">
        <v>449</v>
      </c>
      <c r="B480" s="95" t="s">
        <v>1496</v>
      </c>
      <c r="C480" s="95" t="s">
        <v>510</v>
      </c>
      <c r="D480" s="95">
        <v>68.661045276899998</v>
      </c>
      <c r="E480" s="95">
        <v>-149.586664767</v>
      </c>
      <c r="F480" s="95" t="s">
        <v>510</v>
      </c>
      <c r="G480" s="95" t="s">
        <v>521</v>
      </c>
      <c r="H480" s="95" t="s">
        <v>1497</v>
      </c>
      <c r="I480" s="95" t="s">
        <v>510</v>
      </c>
      <c r="J480" s="95" t="s">
        <v>536</v>
      </c>
      <c r="K480" s="95" t="s">
        <v>510</v>
      </c>
      <c r="L480" s="95" t="s">
        <v>510</v>
      </c>
      <c r="M480" s="101" t="str">
        <f t="shared" si="10"/>
        <v>View on Google Map</v>
      </c>
    </row>
    <row r="481" spans="1:13" x14ac:dyDescent="0.2">
      <c r="A481" s="95">
        <v>171</v>
      </c>
      <c r="B481" s="95" t="s">
        <v>1498</v>
      </c>
      <c r="C481" s="95" t="s">
        <v>510</v>
      </c>
      <c r="D481" s="95">
        <v>68.652645483100002</v>
      </c>
      <c r="E481" s="95">
        <v>-149.59947366200001</v>
      </c>
      <c r="F481" s="95">
        <v>747</v>
      </c>
      <c r="G481" s="95" t="s">
        <v>521</v>
      </c>
      <c r="H481" s="95" t="s">
        <v>1499</v>
      </c>
      <c r="I481" s="95" t="s">
        <v>1500</v>
      </c>
      <c r="J481" s="95" t="s">
        <v>536</v>
      </c>
      <c r="K481" s="95" t="s">
        <v>510</v>
      </c>
      <c r="L481" s="95" t="s">
        <v>510</v>
      </c>
      <c r="M481" s="101" t="str">
        <f t="shared" si="10"/>
        <v>View on Google Map</v>
      </c>
    </row>
    <row r="482" spans="1:13" x14ac:dyDescent="0.2">
      <c r="A482" s="95">
        <v>499</v>
      </c>
      <c r="B482" s="95" t="s">
        <v>1501</v>
      </c>
      <c r="C482" s="95" t="s">
        <v>510</v>
      </c>
      <c r="D482" s="95">
        <v>68.829610000000002</v>
      </c>
      <c r="E482" s="95">
        <v>-149.77901</v>
      </c>
      <c r="F482" s="95">
        <v>633</v>
      </c>
      <c r="G482" s="95" t="s">
        <v>521</v>
      </c>
      <c r="H482" s="95" t="s">
        <v>1502</v>
      </c>
      <c r="I482" s="95" t="s">
        <v>1503</v>
      </c>
      <c r="J482" s="95" t="s">
        <v>522</v>
      </c>
      <c r="K482" s="95" t="s">
        <v>510</v>
      </c>
      <c r="L482" s="95" t="s">
        <v>510</v>
      </c>
      <c r="M482" s="101" t="str">
        <f t="shared" si="10"/>
        <v>View on Google Map</v>
      </c>
    </row>
    <row r="483" spans="1:13" x14ac:dyDescent="0.2">
      <c r="A483" s="95">
        <v>500</v>
      </c>
      <c r="B483" s="95" t="s">
        <v>1504</v>
      </c>
      <c r="C483" s="95" t="s">
        <v>510</v>
      </c>
      <c r="D483" s="95">
        <v>68.832999999999998</v>
      </c>
      <c r="E483" s="95">
        <v>-149.76808</v>
      </c>
      <c r="F483" s="95">
        <v>624</v>
      </c>
      <c r="G483" s="95" t="s">
        <v>521</v>
      </c>
      <c r="H483" s="95" t="s">
        <v>1505</v>
      </c>
      <c r="I483" s="95" t="s">
        <v>1506</v>
      </c>
      <c r="J483" s="95" t="s">
        <v>522</v>
      </c>
      <c r="K483" s="95" t="s">
        <v>510</v>
      </c>
      <c r="L483" s="95" t="s">
        <v>510</v>
      </c>
      <c r="M483" s="101" t="str">
        <f t="shared" si="10"/>
        <v>View on Google Map</v>
      </c>
    </row>
    <row r="484" spans="1:13" x14ac:dyDescent="0.2">
      <c r="A484" s="95">
        <v>501</v>
      </c>
      <c r="B484" s="95" t="s">
        <v>1507</v>
      </c>
      <c r="C484" s="95" t="s">
        <v>510</v>
      </c>
      <c r="D484" s="95">
        <v>68.828299999999999</v>
      </c>
      <c r="E484" s="95">
        <v>-149.76473999999999</v>
      </c>
      <c r="F484" s="95">
        <v>624</v>
      </c>
      <c r="G484" s="95" t="s">
        <v>521</v>
      </c>
      <c r="H484" s="95" t="s">
        <v>1508</v>
      </c>
      <c r="I484" s="95" t="s">
        <v>1509</v>
      </c>
      <c r="J484" s="95" t="s">
        <v>522</v>
      </c>
      <c r="K484" s="95" t="s">
        <v>510</v>
      </c>
      <c r="L484" s="95" t="s">
        <v>510</v>
      </c>
      <c r="M484" s="101" t="str">
        <f t="shared" si="10"/>
        <v>View on Google Map</v>
      </c>
    </row>
    <row r="485" spans="1:13" x14ac:dyDescent="0.2">
      <c r="A485" s="95">
        <v>502</v>
      </c>
      <c r="B485" s="95" t="s">
        <v>1510</v>
      </c>
      <c r="C485" s="95" t="s">
        <v>510</v>
      </c>
      <c r="D485" s="95">
        <v>68.826520000000002</v>
      </c>
      <c r="E485" s="95">
        <v>-149.75897000000001</v>
      </c>
      <c r="F485" s="95">
        <v>592</v>
      </c>
      <c r="G485" s="95" t="s">
        <v>521</v>
      </c>
      <c r="H485" s="95" t="s">
        <v>1511</v>
      </c>
      <c r="I485" s="95" t="s">
        <v>1512</v>
      </c>
      <c r="J485" s="95" t="s">
        <v>522</v>
      </c>
      <c r="K485" s="95" t="s">
        <v>510</v>
      </c>
      <c r="L485" s="95" t="s">
        <v>510</v>
      </c>
      <c r="M485" s="101" t="str">
        <f t="shared" si="10"/>
        <v>View on Google Map</v>
      </c>
    </row>
    <row r="486" spans="1:13" x14ac:dyDescent="0.2">
      <c r="A486" s="95">
        <v>503</v>
      </c>
      <c r="B486" s="95" t="s">
        <v>1513</v>
      </c>
      <c r="C486" s="95" t="s">
        <v>510</v>
      </c>
      <c r="D486" s="95">
        <v>68.827259999999995</v>
      </c>
      <c r="E486" s="95">
        <v>-149.75089</v>
      </c>
      <c r="F486" s="95">
        <v>592</v>
      </c>
      <c r="G486" s="95" t="s">
        <v>521</v>
      </c>
      <c r="H486" s="95" t="s">
        <v>1514</v>
      </c>
      <c r="I486" s="95" t="s">
        <v>1515</v>
      </c>
      <c r="J486" s="95" t="s">
        <v>522</v>
      </c>
      <c r="K486" s="95" t="s">
        <v>510</v>
      </c>
      <c r="L486" s="95" t="s">
        <v>510</v>
      </c>
      <c r="M486" s="101" t="str">
        <f t="shared" si="10"/>
        <v>View on Google Map</v>
      </c>
    </row>
    <row r="487" spans="1:13" x14ac:dyDescent="0.2">
      <c r="A487" s="95">
        <v>488</v>
      </c>
      <c r="B487" s="95" t="s">
        <v>1516</v>
      </c>
      <c r="C487" s="95" t="s">
        <v>510</v>
      </c>
      <c r="D487" s="95">
        <v>69.329949999999997</v>
      </c>
      <c r="E487" s="95">
        <v>-150.95275000000001</v>
      </c>
      <c r="F487" s="95">
        <v>127</v>
      </c>
      <c r="G487" s="95" t="s">
        <v>521</v>
      </c>
      <c r="H487" s="95" t="s">
        <v>510</v>
      </c>
      <c r="I487" s="95" t="s">
        <v>510</v>
      </c>
      <c r="J487" s="95" t="s">
        <v>571</v>
      </c>
      <c r="K487" s="95" t="s">
        <v>510</v>
      </c>
      <c r="L487" s="95" t="s">
        <v>518</v>
      </c>
      <c r="M487" s="101" t="str">
        <f t="shared" si="10"/>
        <v>View on Google Map</v>
      </c>
    </row>
    <row r="488" spans="1:13" x14ac:dyDescent="0.2">
      <c r="A488" s="95">
        <v>489</v>
      </c>
      <c r="B488" s="95" t="s">
        <v>1517</v>
      </c>
      <c r="C488" s="95" t="s">
        <v>510</v>
      </c>
      <c r="D488" s="95" t="s">
        <v>510</v>
      </c>
      <c r="E488" s="95" t="s">
        <v>510</v>
      </c>
      <c r="F488" s="95">
        <v>127</v>
      </c>
      <c r="G488" s="95" t="s">
        <v>535</v>
      </c>
      <c r="H488" s="95" t="s">
        <v>510</v>
      </c>
      <c r="I488" s="95" t="s">
        <v>510</v>
      </c>
      <c r="J488" s="95" t="s">
        <v>571</v>
      </c>
      <c r="K488" s="95" t="s">
        <v>510</v>
      </c>
      <c r="L488" s="95" t="s">
        <v>518</v>
      </c>
      <c r="M488" s="101" t="str">
        <f t="shared" si="10"/>
        <v>View on Google Map</v>
      </c>
    </row>
    <row r="489" spans="1:13" x14ac:dyDescent="0.2">
      <c r="A489" s="95">
        <v>490</v>
      </c>
      <c r="B489" s="95" t="s">
        <v>1518</v>
      </c>
      <c r="C489" s="95" t="s">
        <v>510</v>
      </c>
      <c r="D489" s="95" t="s">
        <v>510</v>
      </c>
      <c r="E489" s="95" t="s">
        <v>510</v>
      </c>
      <c r="F489" s="95">
        <v>127</v>
      </c>
      <c r="G489" s="95" t="s">
        <v>521</v>
      </c>
      <c r="H489" s="95" t="s">
        <v>510</v>
      </c>
      <c r="I489" s="95" t="s">
        <v>510</v>
      </c>
      <c r="J489" s="95" t="s">
        <v>571</v>
      </c>
      <c r="K489" s="95" t="s">
        <v>510</v>
      </c>
      <c r="L489" s="95" t="s">
        <v>518</v>
      </c>
      <c r="M489" s="101" t="str">
        <f t="shared" si="10"/>
        <v>View on Google Map</v>
      </c>
    </row>
    <row r="490" spans="1:13" x14ac:dyDescent="0.2">
      <c r="A490" s="95">
        <v>34</v>
      </c>
      <c r="B490" s="95" t="s">
        <v>1519</v>
      </c>
      <c r="C490" s="95" t="s">
        <v>510</v>
      </c>
      <c r="D490" s="95">
        <v>69.057400000000001</v>
      </c>
      <c r="E490" s="95">
        <v>-150.39599999999999</v>
      </c>
      <c r="F490" s="95">
        <v>274</v>
      </c>
      <c r="G490" s="95" t="s">
        <v>535</v>
      </c>
      <c r="H490" s="95" t="s">
        <v>510</v>
      </c>
      <c r="I490" s="95" t="s">
        <v>510</v>
      </c>
      <c r="J490" s="95" t="s">
        <v>571</v>
      </c>
      <c r="K490" s="95" t="s">
        <v>510</v>
      </c>
      <c r="L490" s="95" t="s">
        <v>518</v>
      </c>
      <c r="M490" s="101" t="str">
        <f t="shared" si="10"/>
        <v>View on Google Map</v>
      </c>
    </row>
    <row r="491" spans="1:13" x14ac:dyDescent="0.2">
      <c r="A491" s="95">
        <v>45</v>
      </c>
      <c r="B491" s="95" t="s">
        <v>1520</v>
      </c>
      <c r="C491" s="95" t="s">
        <v>510</v>
      </c>
      <c r="D491" s="95">
        <v>69.063298000000003</v>
      </c>
      <c r="E491" s="95">
        <v>-150.394711</v>
      </c>
      <c r="F491" s="95" t="s">
        <v>510</v>
      </c>
      <c r="G491" s="95" t="s">
        <v>535</v>
      </c>
      <c r="H491" s="95" t="s">
        <v>510</v>
      </c>
      <c r="I491" s="95" t="s">
        <v>510</v>
      </c>
      <c r="J491" s="95" t="s">
        <v>1521</v>
      </c>
      <c r="K491" s="95" t="s">
        <v>510</v>
      </c>
      <c r="L491" s="95" t="s">
        <v>518</v>
      </c>
      <c r="M491" s="101" t="str">
        <f t="shared" si="10"/>
        <v>View on Google Map</v>
      </c>
    </row>
    <row r="492" spans="1:13" x14ac:dyDescent="0.2">
      <c r="B492" s="95" t="s">
        <v>1522</v>
      </c>
      <c r="C492" s="95" t="s">
        <v>1523</v>
      </c>
      <c r="D492" s="95">
        <v>69.138333333333335</v>
      </c>
      <c r="E492" s="95">
        <v>-150.64916666666701</v>
      </c>
      <c r="G492" s="95" t="s">
        <v>529</v>
      </c>
      <c r="J492" s="95" t="s">
        <v>517</v>
      </c>
      <c r="L492" s="95" t="s">
        <v>518</v>
      </c>
      <c r="M492" s="101" t="str">
        <f t="shared" si="10"/>
        <v>View on Google Map</v>
      </c>
    </row>
    <row r="493" spans="1:13" x14ac:dyDescent="0.2">
      <c r="B493" s="95" t="s">
        <v>1524</v>
      </c>
      <c r="C493" s="95" t="s">
        <v>907</v>
      </c>
      <c r="D493" s="95">
        <v>69.152500000000003</v>
      </c>
      <c r="E493" s="95">
        <v>-150.706111111111</v>
      </c>
      <c r="G493" s="95" t="s">
        <v>529</v>
      </c>
      <c r="J493" s="95" t="s">
        <v>517</v>
      </c>
      <c r="L493" s="95" t="s">
        <v>518</v>
      </c>
      <c r="M493" s="101" t="str">
        <f t="shared" si="10"/>
        <v>View on Google Map</v>
      </c>
    </row>
    <row r="494" spans="1:13" x14ac:dyDescent="0.2">
      <c r="A494" s="95">
        <v>35</v>
      </c>
      <c r="B494" s="95" t="s">
        <v>1525</v>
      </c>
      <c r="C494" s="95" t="s">
        <v>510</v>
      </c>
      <c r="D494" s="95">
        <v>69.063333333333333</v>
      </c>
      <c r="E494" s="95">
        <v>-150.39333333333335</v>
      </c>
      <c r="F494" s="95">
        <v>281</v>
      </c>
      <c r="G494" s="95" t="s">
        <v>535</v>
      </c>
      <c r="H494" s="95" t="s">
        <v>510</v>
      </c>
      <c r="I494" s="95" t="s">
        <v>510</v>
      </c>
      <c r="J494" s="95" t="s">
        <v>571</v>
      </c>
      <c r="K494" s="95" t="s">
        <v>510</v>
      </c>
      <c r="L494" s="95" t="s">
        <v>518</v>
      </c>
      <c r="M494" s="101" t="str">
        <f t="shared" si="10"/>
        <v>View on Google Map</v>
      </c>
    </row>
    <row r="495" spans="1:13" x14ac:dyDescent="0.2">
      <c r="A495" s="95">
        <v>161</v>
      </c>
      <c r="B495" s="95" t="s">
        <v>1526</v>
      </c>
      <c r="C495" s="95" t="s">
        <v>1527</v>
      </c>
      <c r="D495" s="95">
        <v>68.599999999999994</v>
      </c>
      <c r="E495" s="95">
        <v>-149.18333333333334</v>
      </c>
      <c r="F495" s="95">
        <v>876</v>
      </c>
      <c r="G495" s="95" t="s">
        <v>521</v>
      </c>
      <c r="H495" s="95" t="s">
        <v>1528</v>
      </c>
      <c r="I495" s="95" t="s">
        <v>510</v>
      </c>
      <c r="J495" s="95" t="s">
        <v>536</v>
      </c>
      <c r="K495" s="95" t="s">
        <v>510</v>
      </c>
      <c r="L495" s="95" t="s">
        <v>537</v>
      </c>
      <c r="M495" s="101" t="str">
        <f t="shared" si="10"/>
        <v>View on Google Map</v>
      </c>
    </row>
    <row r="496" spans="1:13" x14ac:dyDescent="0.2">
      <c r="A496" s="95">
        <v>162</v>
      </c>
      <c r="B496" s="95" t="s">
        <v>1529</v>
      </c>
      <c r="C496" s="95" t="s">
        <v>1527</v>
      </c>
      <c r="D496" s="95">
        <v>68.583333333333329</v>
      </c>
      <c r="E496" s="95">
        <v>-149.19999999999999</v>
      </c>
      <c r="F496" s="95">
        <v>892</v>
      </c>
      <c r="G496" s="95" t="s">
        <v>521</v>
      </c>
      <c r="H496" s="95" t="s">
        <v>1530</v>
      </c>
      <c r="I496" s="95" t="s">
        <v>510</v>
      </c>
      <c r="J496" s="95" t="s">
        <v>536</v>
      </c>
      <c r="K496" s="95" t="s">
        <v>510</v>
      </c>
      <c r="L496" s="95" t="s">
        <v>537</v>
      </c>
      <c r="M496" s="101" t="str">
        <f t="shared" si="10"/>
        <v>View on Google Map</v>
      </c>
    </row>
    <row r="497" spans="1:13" x14ac:dyDescent="0.2">
      <c r="A497" s="95">
        <v>163</v>
      </c>
      <c r="B497" s="95" t="s">
        <v>1531</v>
      </c>
      <c r="C497" s="95" t="s">
        <v>1527</v>
      </c>
      <c r="D497" s="95">
        <v>68.599999999999994</v>
      </c>
      <c r="E497" s="95">
        <v>-149.16666666666666</v>
      </c>
      <c r="F497" s="95">
        <v>876</v>
      </c>
      <c r="G497" s="95" t="s">
        <v>521</v>
      </c>
      <c r="H497" s="95" t="s">
        <v>1532</v>
      </c>
      <c r="I497" s="95" t="s">
        <v>510</v>
      </c>
      <c r="J497" s="95" t="s">
        <v>536</v>
      </c>
      <c r="K497" s="95" t="s">
        <v>510</v>
      </c>
      <c r="L497" s="95" t="s">
        <v>537</v>
      </c>
      <c r="M497" s="101" t="str">
        <f t="shared" si="10"/>
        <v>View on Google Map</v>
      </c>
    </row>
    <row r="498" spans="1:13" x14ac:dyDescent="0.2">
      <c r="A498" s="95">
        <v>5</v>
      </c>
      <c r="B498" s="95" t="s">
        <v>1533</v>
      </c>
      <c r="C498" s="95" t="s">
        <v>1122</v>
      </c>
      <c r="D498" s="95">
        <v>68.671486221999999</v>
      </c>
      <c r="E498" s="95">
        <v>-149.1281271</v>
      </c>
      <c r="F498" s="95">
        <v>761.75599999999997</v>
      </c>
      <c r="G498" s="95" t="s">
        <v>1047</v>
      </c>
      <c r="J498" s="16" t="s">
        <v>536</v>
      </c>
      <c r="M498" s="101" t="str">
        <f t="shared" si="10"/>
        <v>View on Google Map</v>
      </c>
    </row>
    <row r="499" spans="1:13" x14ac:dyDescent="0.2">
      <c r="A499" s="95">
        <v>5</v>
      </c>
      <c r="B499" s="95" t="s">
        <v>1534</v>
      </c>
      <c r="C499" s="95" t="s">
        <v>1122</v>
      </c>
      <c r="D499" s="95">
        <v>68.671371694000001</v>
      </c>
      <c r="E499" s="95">
        <v>-149.131155484</v>
      </c>
      <c r="F499" s="95">
        <v>763.88099999999997</v>
      </c>
      <c r="G499" s="95" t="s">
        <v>1047</v>
      </c>
      <c r="J499" s="16" t="s">
        <v>536</v>
      </c>
      <c r="M499" s="101" t="str">
        <f t="shared" si="10"/>
        <v>View on Google Map</v>
      </c>
    </row>
    <row r="500" spans="1:13" x14ac:dyDescent="0.2">
      <c r="A500" s="95">
        <v>5</v>
      </c>
      <c r="B500" s="95" t="s">
        <v>1535</v>
      </c>
      <c r="C500" s="95" t="s">
        <v>1122</v>
      </c>
      <c r="D500" s="95">
        <v>68.671018009999997</v>
      </c>
      <c r="E500" s="95">
        <v>-149.13789268599999</v>
      </c>
      <c r="F500" s="95">
        <v>764.53700000000003</v>
      </c>
      <c r="G500" s="95" t="s">
        <v>1047</v>
      </c>
      <c r="J500" s="16" t="s">
        <v>536</v>
      </c>
      <c r="M500" s="101" t="str">
        <f t="shared" si="10"/>
        <v>View on Google Map</v>
      </c>
    </row>
    <row r="501" spans="1:13" x14ac:dyDescent="0.2">
      <c r="A501" s="95">
        <v>5</v>
      </c>
      <c r="B501" s="95" t="s">
        <v>1536</v>
      </c>
      <c r="C501" s="95" t="s">
        <v>1132</v>
      </c>
      <c r="D501" s="95">
        <v>68.677193270000004</v>
      </c>
      <c r="E501" s="95">
        <v>-149.121792258</v>
      </c>
      <c r="F501" s="95">
        <v>763.74300000000005</v>
      </c>
      <c r="G501" s="95" t="s">
        <v>1047</v>
      </c>
      <c r="J501" s="16" t="s">
        <v>536</v>
      </c>
      <c r="M501" s="101" t="str">
        <f t="shared" si="10"/>
        <v>View on Google Map</v>
      </c>
    </row>
    <row r="502" spans="1:13" x14ac:dyDescent="0.2">
      <c r="A502" s="95">
        <v>5</v>
      </c>
      <c r="B502" s="95" t="s">
        <v>1537</v>
      </c>
      <c r="C502" s="95" t="s">
        <v>1132</v>
      </c>
      <c r="D502" s="95">
        <v>68.679780992000005</v>
      </c>
      <c r="E502" s="95">
        <v>-149.114206438</v>
      </c>
      <c r="F502" s="95">
        <v>762.678</v>
      </c>
      <c r="G502" s="95" t="s">
        <v>1047</v>
      </c>
      <c r="J502" s="16" t="s">
        <v>536</v>
      </c>
      <c r="M502" s="101" t="str">
        <f t="shared" si="10"/>
        <v>View on Google Map</v>
      </c>
    </row>
    <row r="503" spans="1:13" x14ac:dyDescent="0.2">
      <c r="A503" s="95">
        <v>5</v>
      </c>
      <c r="B503" s="95" t="s">
        <v>1538</v>
      </c>
      <c r="C503" s="95" t="s">
        <v>534</v>
      </c>
      <c r="D503" s="95">
        <v>68.687399999999997</v>
      </c>
      <c r="E503" s="95">
        <v>-149.095</v>
      </c>
      <c r="F503" s="95">
        <v>754</v>
      </c>
      <c r="G503" s="95" t="s">
        <v>535</v>
      </c>
      <c r="H503" s="95" t="s">
        <v>1539</v>
      </c>
      <c r="I503" s="95" t="s">
        <v>1540</v>
      </c>
      <c r="J503" s="95" t="s">
        <v>536</v>
      </c>
      <c r="K503" s="95" t="s">
        <v>510</v>
      </c>
      <c r="L503" s="95" t="s">
        <v>537</v>
      </c>
      <c r="M503" s="101" t="str">
        <f t="shared" si="10"/>
        <v>View on Google Map</v>
      </c>
    </row>
    <row r="504" spans="1:13" x14ac:dyDescent="0.2">
      <c r="A504" s="95">
        <v>5</v>
      </c>
      <c r="B504" s="95" t="s">
        <v>1541</v>
      </c>
      <c r="C504" s="95" t="s">
        <v>1152</v>
      </c>
      <c r="D504" s="95">
        <v>68.672870447999998</v>
      </c>
      <c r="E504" s="95">
        <v>-149.124843486</v>
      </c>
      <c r="G504" s="95" t="s">
        <v>1047</v>
      </c>
      <c r="J504" s="16" t="s">
        <v>536</v>
      </c>
      <c r="M504" s="101" t="str">
        <f t="shared" si="10"/>
        <v>View on Google Map</v>
      </c>
    </row>
    <row r="505" spans="1:13" x14ac:dyDescent="0.2">
      <c r="A505" s="95">
        <v>5</v>
      </c>
      <c r="B505" s="95" t="s">
        <v>1542</v>
      </c>
      <c r="C505" s="95" t="s">
        <v>1543</v>
      </c>
      <c r="D505" s="95">
        <v>68.686037823000007</v>
      </c>
      <c r="E505" s="95">
        <v>-149.0990032</v>
      </c>
      <c r="G505" s="95" t="s">
        <v>1047</v>
      </c>
      <c r="J505" s="16" t="s">
        <v>536</v>
      </c>
      <c r="M505" s="101" t="str">
        <f t="shared" si="10"/>
        <v>View on Google Map</v>
      </c>
    </row>
    <row r="506" spans="1:13" x14ac:dyDescent="0.2">
      <c r="A506" s="95">
        <v>491</v>
      </c>
      <c r="B506" s="95" t="s">
        <v>1544</v>
      </c>
      <c r="C506" s="95" t="s">
        <v>510</v>
      </c>
      <c r="D506" s="95">
        <v>68.941266666999994</v>
      </c>
      <c r="E506" s="95">
        <v>-150.5068</v>
      </c>
      <c r="F506" s="95">
        <v>408</v>
      </c>
      <c r="G506" s="95" t="s">
        <v>521</v>
      </c>
      <c r="H506" s="95" t="s">
        <v>1545</v>
      </c>
      <c r="I506" s="95" t="s">
        <v>510</v>
      </c>
      <c r="J506" s="95" t="s">
        <v>571</v>
      </c>
      <c r="K506" s="95" t="s">
        <v>510</v>
      </c>
      <c r="L506" s="95" t="s">
        <v>518</v>
      </c>
      <c r="M506" s="101" t="str">
        <f t="shared" si="10"/>
        <v>View on Google Map</v>
      </c>
    </row>
    <row r="507" spans="1:13" x14ac:dyDescent="0.2">
      <c r="A507" s="95">
        <v>492</v>
      </c>
      <c r="B507" s="95" t="s">
        <v>1546</v>
      </c>
      <c r="C507" s="95" t="s">
        <v>510</v>
      </c>
      <c r="D507" s="95" t="s">
        <v>510</v>
      </c>
      <c r="E507" s="95" t="s">
        <v>510</v>
      </c>
      <c r="F507" s="95">
        <v>408</v>
      </c>
      <c r="G507" s="95" t="s">
        <v>521</v>
      </c>
      <c r="H507" s="95" t="s">
        <v>1547</v>
      </c>
      <c r="I507" s="95" t="s">
        <v>510</v>
      </c>
      <c r="J507" s="95" t="s">
        <v>571</v>
      </c>
      <c r="K507" s="95" t="s">
        <v>510</v>
      </c>
      <c r="L507" s="95" t="s">
        <v>518</v>
      </c>
      <c r="M507" s="101" t="str">
        <f t="shared" si="10"/>
        <v>View on Google Map</v>
      </c>
    </row>
    <row r="508" spans="1:13" x14ac:dyDescent="0.2">
      <c r="A508" s="95">
        <v>1172</v>
      </c>
      <c r="B508" s="95" t="s">
        <v>1548</v>
      </c>
      <c r="C508" s="95" t="s">
        <v>510</v>
      </c>
      <c r="D508" s="95">
        <v>68.99666666666667</v>
      </c>
      <c r="E508" s="95">
        <v>-150.21249999999998</v>
      </c>
      <c r="F508" s="95" t="s">
        <v>510</v>
      </c>
      <c r="G508" s="95" t="s">
        <v>511</v>
      </c>
      <c r="H508" s="95" t="s">
        <v>1549</v>
      </c>
      <c r="I508" s="95" t="s">
        <v>510</v>
      </c>
      <c r="J508" s="95" t="s">
        <v>517</v>
      </c>
      <c r="K508" s="95" t="s">
        <v>510</v>
      </c>
      <c r="L508" s="95" t="s">
        <v>518</v>
      </c>
      <c r="M508" s="101" t="str">
        <f t="shared" si="10"/>
        <v>View on Google Map</v>
      </c>
    </row>
    <row r="509" spans="1:13" x14ac:dyDescent="0.2">
      <c r="A509" s="95">
        <v>493</v>
      </c>
      <c r="B509" s="95" t="s">
        <v>1550</v>
      </c>
      <c r="C509" s="95" t="s">
        <v>510</v>
      </c>
      <c r="D509" s="95">
        <v>68.974933332999996</v>
      </c>
      <c r="E509" s="95">
        <v>-150.221066667</v>
      </c>
      <c r="F509" s="95">
        <v>364</v>
      </c>
      <c r="G509" s="95" t="s">
        <v>521</v>
      </c>
      <c r="H509" s="95" t="s">
        <v>510</v>
      </c>
      <c r="I509" s="95" t="s">
        <v>510</v>
      </c>
      <c r="J509" s="95" t="s">
        <v>571</v>
      </c>
      <c r="K509" s="95" t="s">
        <v>510</v>
      </c>
      <c r="L509" s="95" t="s">
        <v>518</v>
      </c>
      <c r="M509" s="101" t="str">
        <f t="shared" si="10"/>
        <v>View on Google Map</v>
      </c>
    </row>
    <row r="510" spans="1:13" x14ac:dyDescent="0.2">
      <c r="A510" s="95">
        <v>405</v>
      </c>
      <c r="B510" s="95" t="s">
        <v>1551</v>
      </c>
      <c r="C510" s="95" t="s">
        <v>510</v>
      </c>
      <c r="D510" s="95" t="s">
        <v>510</v>
      </c>
      <c r="E510" s="95" t="s">
        <v>510</v>
      </c>
      <c r="F510" s="95" t="s">
        <v>510</v>
      </c>
      <c r="G510" s="95" t="s">
        <v>521</v>
      </c>
      <c r="H510" s="95" t="s">
        <v>510</v>
      </c>
      <c r="I510" s="95" t="s">
        <v>510</v>
      </c>
      <c r="J510" s="95" t="s">
        <v>536</v>
      </c>
      <c r="K510" s="95" t="s">
        <v>510</v>
      </c>
      <c r="L510" s="95" t="s">
        <v>692</v>
      </c>
      <c r="M510" s="101" t="str">
        <f t="shared" si="10"/>
        <v>View on Google Map</v>
      </c>
    </row>
    <row r="511" spans="1:13" x14ac:dyDescent="0.2">
      <c r="A511" s="95">
        <v>505</v>
      </c>
      <c r="B511" s="95" t="s">
        <v>1552</v>
      </c>
      <c r="C511" s="95" t="s">
        <v>510</v>
      </c>
      <c r="D511" s="95">
        <v>68.921059</v>
      </c>
      <c r="E511" s="95">
        <v>-150.34784300000001</v>
      </c>
      <c r="F511" s="95" t="s">
        <v>510</v>
      </c>
      <c r="G511" s="95" t="s">
        <v>521</v>
      </c>
      <c r="H511" s="95" t="s">
        <v>510</v>
      </c>
      <c r="I511" s="95" t="s">
        <v>510</v>
      </c>
      <c r="J511" s="95" t="s">
        <v>571</v>
      </c>
      <c r="K511" s="95" t="s">
        <v>510</v>
      </c>
      <c r="L511" s="95" t="s">
        <v>518</v>
      </c>
      <c r="M511" s="101" t="str">
        <f t="shared" si="10"/>
        <v>View on Google Map</v>
      </c>
    </row>
    <row r="512" spans="1:13" x14ac:dyDescent="0.2">
      <c r="A512" s="95">
        <v>506</v>
      </c>
      <c r="B512" s="95" t="s">
        <v>1553</v>
      </c>
      <c r="C512" s="95" t="s">
        <v>510</v>
      </c>
      <c r="D512" s="95">
        <v>68.921186000000006</v>
      </c>
      <c r="E512" s="95">
        <v>-150.37015</v>
      </c>
      <c r="F512" s="95" t="s">
        <v>510</v>
      </c>
      <c r="G512" s="95" t="s">
        <v>521</v>
      </c>
      <c r="H512" s="95" t="s">
        <v>510</v>
      </c>
      <c r="I512" s="95" t="s">
        <v>510</v>
      </c>
      <c r="J512" s="95" t="s">
        <v>571</v>
      </c>
      <c r="K512" s="95" t="s">
        <v>510</v>
      </c>
      <c r="L512" s="95" t="s">
        <v>518</v>
      </c>
      <c r="M512" s="101" t="str">
        <f t="shared" si="10"/>
        <v>View on Google Map</v>
      </c>
    </row>
    <row r="513" spans="1:13" x14ac:dyDescent="0.2">
      <c r="A513" s="95">
        <v>507</v>
      </c>
      <c r="B513" s="95" t="s">
        <v>1554</v>
      </c>
      <c r="C513" s="95" t="s">
        <v>510</v>
      </c>
      <c r="D513" s="95">
        <v>68.936953000000003</v>
      </c>
      <c r="E513" s="95">
        <v>-150.35309699999999</v>
      </c>
      <c r="F513" s="95" t="s">
        <v>510</v>
      </c>
      <c r="G513" s="95" t="s">
        <v>521</v>
      </c>
      <c r="H513" s="95" t="s">
        <v>510</v>
      </c>
      <c r="I513" s="95" t="s">
        <v>510</v>
      </c>
      <c r="J513" s="95" t="s">
        <v>571</v>
      </c>
      <c r="K513" s="95" t="s">
        <v>510</v>
      </c>
      <c r="L513" s="95" t="s">
        <v>518</v>
      </c>
      <c r="M513" s="101" t="str">
        <f t="shared" si="10"/>
        <v>View on Google Map</v>
      </c>
    </row>
    <row r="514" spans="1:13" x14ac:dyDescent="0.2">
      <c r="A514" s="95">
        <v>12</v>
      </c>
      <c r="B514" s="95" t="s">
        <v>1555</v>
      </c>
      <c r="C514" s="95" t="s">
        <v>510</v>
      </c>
      <c r="D514" s="95" t="s">
        <v>510</v>
      </c>
      <c r="E514" s="95" t="s">
        <v>510</v>
      </c>
      <c r="F514" s="95" t="s">
        <v>510</v>
      </c>
      <c r="G514" s="95" t="s">
        <v>535</v>
      </c>
      <c r="H514" s="95" t="s">
        <v>510</v>
      </c>
      <c r="I514" s="95" t="s">
        <v>510</v>
      </c>
      <c r="J514" s="95" t="s">
        <v>536</v>
      </c>
      <c r="K514" s="95" t="s">
        <v>510</v>
      </c>
      <c r="L514" s="95" t="s">
        <v>510</v>
      </c>
      <c r="M514" s="101" t="str">
        <f t="shared" si="10"/>
        <v>View on Google Map</v>
      </c>
    </row>
    <row r="515" spans="1:13" x14ac:dyDescent="0.2">
      <c r="A515" s="95">
        <v>4</v>
      </c>
      <c r="B515" s="95" t="s">
        <v>1556</v>
      </c>
      <c r="C515" s="95" t="s">
        <v>534</v>
      </c>
      <c r="D515" s="95">
        <v>68.38333333333334</v>
      </c>
      <c r="E515" s="95">
        <v>-149.31666666666666</v>
      </c>
      <c r="F515" s="95">
        <v>869</v>
      </c>
      <c r="G515" s="95" t="s">
        <v>535</v>
      </c>
      <c r="H515" s="95" t="s">
        <v>1557</v>
      </c>
      <c r="I515" s="95" t="s">
        <v>1558</v>
      </c>
      <c r="J515" s="95" t="s">
        <v>536</v>
      </c>
      <c r="K515" s="95" t="s">
        <v>510</v>
      </c>
      <c r="L515" s="95" t="s">
        <v>537</v>
      </c>
      <c r="M515" s="101" t="str">
        <f t="shared" ref="M515:M578" si="11">HYPERLINK("http://maps.google.com/maps?q="&amp;D515&amp;","&amp;E515,"View on Google Map")</f>
        <v>View on Google Map</v>
      </c>
    </row>
    <row r="516" spans="1:13" x14ac:dyDescent="0.2">
      <c r="A516" s="95">
        <v>148</v>
      </c>
      <c r="B516" s="95" t="s">
        <v>1559</v>
      </c>
      <c r="C516" s="95" t="s">
        <v>510</v>
      </c>
      <c r="D516" s="95">
        <v>68.624535966600007</v>
      </c>
      <c r="E516" s="95">
        <v>-149.60216609099999</v>
      </c>
      <c r="F516" s="95">
        <v>720</v>
      </c>
      <c r="G516" s="95" t="s">
        <v>521</v>
      </c>
      <c r="H516" s="95" t="s">
        <v>510</v>
      </c>
      <c r="I516" s="95" t="s">
        <v>510</v>
      </c>
      <c r="J516" s="95" t="s">
        <v>536</v>
      </c>
      <c r="K516" s="95" t="s">
        <v>510</v>
      </c>
      <c r="L516" s="95" t="s">
        <v>510</v>
      </c>
      <c r="M516" s="101" t="str">
        <f t="shared" si="11"/>
        <v>View on Google Map</v>
      </c>
    </row>
    <row r="517" spans="1:13" x14ac:dyDescent="0.2">
      <c r="A517" s="95">
        <v>241</v>
      </c>
      <c r="B517" s="95" t="s">
        <v>1559</v>
      </c>
      <c r="C517" s="95" t="s">
        <v>510</v>
      </c>
      <c r="D517" s="95">
        <v>68.624535966600007</v>
      </c>
      <c r="E517" s="95">
        <v>-149.60216609099999</v>
      </c>
      <c r="F517" s="95" t="s">
        <v>510</v>
      </c>
      <c r="G517" s="95" t="s">
        <v>521</v>
      </c>
      <c r="H517" s="95" t="s">
        <v>510</v>
      </c>
      <c r="I517" s="95" t="s">
        <v>510</v>
      </c>
      <c r="J517" s="95" t="s">
        <v>536</v>
      </c>
      <c r="K517" s="95" t="s">
        <v>510</v>
      </c>
      <c r="L517" s="95" t="s">
        <v>510</v>
      </c>
      <c r="M517" s="101" t="str">
        <f t="shared" si="11"/>
        <v>View on Google Map</v>
      </c>
    </row>
    <row r="518" spans="1:13" x14ac:dyDescent="0.2">
      <c r="A518" s="95">
        <v>149</v>
      </c>
      <c r="B518" s="95" t="s">
        <v>1560</v>
      </c>
      <c r="C518" s="95" t="s">
        <v>510</v>
      </c>
      <c r="D518" s="95">
        <v>68.627169078600005</v>
      </c>
      <c r="E518" s="95">
        <v>-149.61135296200001</v>
      </c>
      <c r="F518" s="95">
        <v>720</v>
      </c>
      <c r="G518" s="95" t="s">
        <v>521</v>
      </c>
      <c r="H518" s="95" t="s">
        <v>510</v>
      </c>
      <c r="I518" s="95" t="s">
        <v>510</v>
      </c>
      <c r="J518" s="95" t="s">
        <v>536</v>
      </c>
      <c r="K518" s="95" t="s">
        <v>510</v>
      </c>
      <c r="L518" s="95" t="s">
        <v>510</v>
      </c>
      <c r="M518" s="101" t="str">
        <f t="shared" si="11"/>
        <v>View on Google Map</v>
      </c>
    </row>
    <row r="519" spans="1:13" x14ac:dyDescent="0.2">
      <c r="A519" s="95">
        <v>150</v>
      </c>
      <c r="B519" s="95" t="s">
        <v>1561</v>
      </c>
      <c r="C519" s="95" t="s">
        <v>510</v>
      </c>
      <c r="D519" s="95">
        <v>68.628818623300006</v>
      </c>
      <c r="E519" s="95">
        <v>-149.62482197599999</v>
      </c>
      <c r="F519" s="95">
        <v>720</v>
      </c>
      <c r="G519" s="95" t="s">
        <v>521</v>
      </c>
      <c r="H519" s="95" t="s">
        <v>510</v>
      </c>
      <c r="I519" s="95" t="s">
        <v>510</v>
      </c>
      <c r="J519" s="95" t="s">
        <v>536</v>
      </c>
      <c r="K519" s="95" t="s">
        <v>510</v>
      </c>
      <c r="L519" s="95" t="s">
        <v>510</v>
      </c>
      <c r="M519" s="101" t="str">
        <f t="shared" si="11"/>
        <v>View on Google Map</v>
      </c>
    </row>
    <row r="520" spans="1:13" x14ac:dyDescent="0.2">
      <c r="A520" s="95">
        <v>151</v>
      </c>
      <c r="B520" s="95" t="s">
        <v>1562</v>
      </c>
      <c r="C520" s="95" t="s">
        <v>510</v>
      </c>
      <c r="D520" s="95">
        <v>68.630949932700005</v>
      </c>
      <c r="E520" s="95">
        <v>-149.62993150400001</v>
      </c>
      <c r="F520" s="95" t="s">
        <v>510</v>
      </c>
      <c r="G520" s="95" t="s">
        <v>521</v>
      </c>
      <c r="H520" s="95" t="s">
        <v>510</v>
      </c>
      <c r="I520" s="95" t="s">
        <v>510</v>
      </c>
      <c r="J520" s="95" t="s">
        <v>536</v>
      </c>
      <c r="K520" s="95" t="s">
        <v>510</v>
      </c>
      <c r="L520" s="95" t="s">
        <v>510</v>
      </c>
      <c r="M520" s="101" t="str">
        <f t="shared" si="11"/>
        <v>View on Google Map</v>
      </c>
    </row>
    <row r="521" spans="1:13" x14ac:dyDescent="0.2">
      <c r="A521" s="95">
        <v>106</v>
      </c>
      <c r="B521" s="95" t="s">
        <v>1563</v>
      </c>
      <c r="C521" s="95" t="s">
        <v>510</v>
      </c>
      <c r="D521" s="95">
        <v>68.631431924799998</v>
      </c>
      <c r="E521" s="95">
        <v>-149.63669249099999</v>
      </c>
      <c r="F521" s="95">
        <v>725</v>
      </c>
      <c r="G521" s="95" t="s">
        <v>521</v>
      </c>
      <c r="H521" s="95" t="s">
        <v>1564</v>
      </c>
      <c r="I521" s="95" t="s">
        <v>510</v>
      </c>
      <c r="J521" s="95" t="s">
        <v>536</v>
      </c>
      <c r="K521" s="95" t="s">
        <v>510</v>
      </c>
      <c r="L521" s="95" t="s">
        <v>510</v>
      </c>
      <c r="M521" s="101" t="str">
        <f t="shared" si="11"/>
        <v>View on Google Map</v>
      </c>
    </row>
    <row r="522" spans="1:13" x14ac:dyDescent="0.2">
      <c r="A522" s="95">
        <v>107</v>
      </c>
      <c r="B522" s="95" t="s">
        <v>1565</v>
      </c>
      <c r="C522" s="95" t="s">
        <v>510</v>
      </c>
      <c r="D522" s="95">
        <v>68.629379781599994</v>
      </c>
      <c r="E522" s="95">
        <v>-149.64162329499999</v>
      </c>
      <c r="F522" s="95">
        <v>731</v>
      </c>
      <c r="G522" s="95" t="s">
        <v>521</v>
      </c>
      <c r="H522" s="95" t="s">
        <v>1566</v>
      </c>
      <c r="I522" s="95" t="s">
        <v>510</v>
      </c>
      <c r="J522" s="95" t="s">
        <v>536</v>
      </c>
      <c r="K522" s="95" t="s">
        <v>510</v>
      </c>
      <c r="L522" s="95" t="s">
        <v>510</v>
      </c>
      <c r="M522" s="101" t="str">
        <f t="shared" si="11"/>
        <v>View on Google Map</v>
      </c>
    </row>
    <row r="523" spans="1:13" x14ac:dyDescent="0.2">
      <c r="A523" s="95">
        <v>1603</v>
      </c>
      <c r="B523" s="95" t="s">
        <v>1567</v>
      </c>
      <c r="C523" s="95" t="s">
        <v>510</v>
      </c>
      <c r="D523" s="95" t="s">
        <v>510</v>
      </c>
      <c r="E523" s="95" t="s">
        <v>510</v>
      </c>
      <c r="F523" s="95" t="s">
        <v>510</v>
      </c>
      <c r="G523" s="95" t="s">
        <v>535</v>
      </c>
      <c r="H523" s="95" t="s">
        <v>1568</v>
      </c>
      <c r="I523" s="95" t="s">
        <v>1569</v>
      </c>
      <c r="J523" s="95" t="s">
        <v>536</v>
      </c>
      <c r="K523" s="95" t="s">
        <v>510</v>
      </c>
      <c r="L523" s="95" t="s">
        <v>510</v>
      </c>
      <c r="M523" s="101" t="str">
        <f t="shared" si="11"/>
        <v>View on Google Map</v>
      </c>
    </row>
    <row r="524" spans="1:13" x14ac:dyDescent="0.2">
      <c r="A524" s="95">
        <v>152</v>
      </c>
      <c r="B524" s="95" t="s">
        <v>1570</v>
      </c>
      <c r="C524" s="95" t="s">
        <v>510</v>
      </c>
      <c r="D524" s="95">
        <v>68.630062744699998</v>
      </c>
      <c r="E524" s="95">
        <v>-149.64444178900001</v>
      </c>
      <c r="F524" s="95">
        <v>731</v>
      </c>
      <c r="G524" s="95" t="s">
        <v>521</v>
      </c>
      <c r="H524" s="95" t="s">
        <v>510</v>
      </c>
      <c r="I524" s="95" t="s">
        <v>510</v>
      </c>
      <c r="J524" s="95" t="s">
        <v>536</v>
      </c>
      <c r="K524" s="95" t="s">
        <v>510</v>
      </c>
      <c r="L524" s="95" t="s">
        <v>510</v>
      </c>
      <c r="M524" s="101" t="str">
        <f t="shared" si="11"/>
        <v>View on Google Map</v>
      </c>
    </row>
    <row r="525" spans="1:13" x14ac:dyDescent="0.2">
      <c r="A525" s="95">
        <v>1601</v>
      </c>
      <c r="B525" s="95" t="s">
        <v>1571</v>
      </c>
      <c r="C525" s="95" t="s">
        <v>510</v>
      </c>
      <c r="D525" s="95" t="s">
        <v>510</v>
      </c>
      <c r="E525" s="95" t="s">
        <v>510</v>
      </c>
      <c r="F525" s="95" t="s">
        <v>510</v>
      </c>
      <c r="G525" s="95" t="s">
        <v>510</v>
      </c>
      <c r="H525" s="95" t="s">
        <v>1572</v>
      </c>
      <c r="I525" s="95" t="s">
        <v>1573</v>
      </c>
      <c r="J525" s="16" t="s">
        <v>536</v>
      </c>
      <c r="K525" s="95" t="s">
        <v>510</v>
      </c>
      <c r="L525" s="95" t="s">
        <v>510</v>
      </c>
      <c r="M525" s="101" t="str">
        <f t="shared" si="11"/>
        <v>View on Google Map</v>
      </c>
    </row>
    <row r="526" spans="1:13" x14ac:dyDescent="0.2">
      <c r="A526" s="95">
        <v>1602</v>
      </c>
      <c r="B526" s="95" t="s">
        <v>1574</v>
      </c>
      <c r="C526" s="95" t="s">
        <v>510</v>
      </c>
      <c r="D526" s="95" t="s">
        <v>510</v>
      </c>
      <c r="E526" s="95" t="s">
        <v>510</v>
      </c>
      <c r="F526" s="95" t="s">
        <v>510</v>
      </c>
      <c r="G526" s="95" t="s">
        <v>510</v>
      </c>
      <c r="H526" s="95" t="s">
        <v>1575</v>
      </c>
      <c r="I526" s="95" t="s">
        <v>1576</v>
      </c>
      <c r="J526" s="16" t="s">
        <v>536</v>
      </c>
      <c r="K526" s="95" t="s">
        <v>510</v>
      </c>
      <c r="L526" s="95" t="s">
        <v>510</v>
      </c>
      <c r="M526" s="101" t="str">
        <f t="shared" si="11"/>
        <v>View on Google Map</v>
      </c>
    </row>
    <row r="527" spans="1:13" x14ac:dyDescent="0.2">
      <c r="A527" s="95">
        <v>153</v>
      </c>
      <c r="B527" s="95" t="s">
        <v>1577</v>
      </c>
      <c r="C527" s="95" t="s">
        <v>510</v>
      </c>
      <c r="D527" s="95" t="s">
        <v>510</v>
      </c>
      <c r="E527" s="95" t="s">
        <v>510</v>
      </c>
      <c r="F527" s="95" t="s">
        <v>510</v>
      </c>
      <c r="G527" s="95" t="s">
        <v>521</v>
      </c>
      <c r="H527" s="95" t="s">
        <v>510</v>
      </c>
      <c r="I527" s="95" t="s">
        <v>510</v>
      </c>
      <c r="J527" s="95" t="s">
        <v>536</v>
      </c>
      <c r="K527" s="95" t="s">
        <v>510</v>
      </c>
      <c r="L527" s="95" t="s">
        <v>510</v>
      </c>
      <c r="M527" s="101" t="str">
        <f t="shared" si="11"/>
        <v>View on Google Map</v>
      </c>
    </row>
    <row r="528" spans="1:13" x14ac:dyDescent="0.2">
      <c r="A528" s="95">
        <v>154</v>
      </c>
      <c r="B528" s="95" t="s">
        <v>1578</v>
      </c>
      <c r="C528" s="95" t="s">
        <v>510</v>
      </c>
      <c r="D528" s="95" t="s">
        <v>510</v>
      </c>
      <c r="E528" s="95" t="s">
        <v>510</v>
      </c>
      <c r="F528" s="95" t="s">
        <v>510</v>
      </c>
      <c r="G528" s="95" t="s">
        <v>521</v>
      </c>
      <c r="H528" s="95" t="s">
        <v>510</v>
      </c>
      <c r="I528" s="95" t="s">
        <v>510</v>
      </c>
      <c r="J528" s="95" t="s">
        <v>536</v>
      </c>
      <c r="K528" s="95" t="s">
        <v>510</v>
      </c>
      <c r="L528" s="95" t="s">
        <v>510</v>
      </c>
      <c r="M528" s="101" t="str">
        <f t="shared" si="11"/>
        <v>View on Google Map</v>
      </c>
    </row>
    <row r="529" spans="1:13" x14ac:dyDescent="0.2">
      <c r="A529" s="95">
        <v>155</v>
      </c>
      <c r="B529" s="95" t="s">
        <v>1579</v>
      </c>
      <c r="C529" s="95" t="s">
        <v>510</v>
      </c>
      <c r="D529" s="95" t="s">
        <v>510</v>
      </c>
      <c r="E529" s="95" t="s">
        <v>510</v>
      </c>
      <c r="F529" s="95" t="s">
        <v>510</v>
      </c>
      <c r="G529" s="95" t="s">
        <v>521</v>
      </c>
      <c r="H529" s="95" t="s">
        <v>510</v>
      </c>
      <c r="I529" s="95" t="s">
        <v>510</v>
      </c>
      <c r="J529" s="95" t="s">
        <v>536</v>
      </c>
      <c r="K529" s="95" t="s">
        <v>510</v>
      </c>
      <c r="L529" s="95" t="s">
        <v>510</v>
      </c>
      <c r="M529" s="101" t="str">
        <f t="shared" si="11"/>
        <v>View on Google Map</v>
      </c>
    </row>
    <row r="530" spans="1:13" x14ac:dyDescent="0.2">
      <c r="A530" s="95">
        <v>156</v>
      </c>
      <c r="B530" s="95" t="s">
        <v>1580</v>
      </c>
      <c r="C530" s="95" t="s">
        <v>510</v>
      </c>
      <c r="D530" s="95">
        <v>68.630148048999999</v>
      </c>
      <c r="E530" s="95">
        <v>-149.65057914499999</v>
      </c>
      <c r="F530" s="95">
        <v>750</v>
      </c>
      <c r="G530" s="95" t="s">
        <v>521</v>
      </c>
      <c r="H530" s="95" t="s">
        <v>510</v>
      </c>
      <c r="I530" s="95" t="s">
        <v>510</v>
      </c>
      <c r="J530" s="95" t="s">
        <v>536</v>
      </c>
      <c r="K530" s="95" t="s">
        <v>510</v>
      </c>
      <c r="L530" s="95" t="s">
        <v>510</v>
      </c>
      <c r="M530" s="101" t="str">
        <f t="shared" si="11"/>
        <v>View on Google Map</v>
      </c>
    </row>
    <row r="531" spans="1:13" x14ac:dyDescent="0.2">
      <c r="A531" s="95">
        <v>157</v>
      </c>
      <c r="B531" s="95" t="s">
        <v>1581</v>
      </c>
      <c r="C531" s="95" t="s">
        <v>510</v>
      </c>
      <c r="D531" s="95">
        <v>68.629627802900004</v>
      </c>
      <c r="E531" s="95">
        <v>-149.655880887</v>
      </c>
      <c r="F531" s="95">
        <v>754</v>
      </c>
      <c r="G531" s="95" t="s">
        <v>521</v>
      </c>
      <c r="H531" s="95" t="s">
        <v>510</v>
      </c>
      <c r="I531" s="95" t="s">
        <v>510</v>
      </c>
      <c r="J531" s="95" t="s">
        <v>536</v>
      </c>
      <c r="K531" s="95" t="s">
        <v>510</v>
      </c>
      <c r="L531" s="95" t="s">
        <v>510</v>
      </c>
      <c r="M531" s="101" t="str">
        <f t="shared" si="11"/>
        <v>View on Google Map</v>
      </c>
    </row>
    <row r="532" spans="1:13" x14ac:dyDescent="0.2">
      <c r="A532" s="95">
        <v>158</v>
      </c>
      <c r="B532" s="95" t="s">
        <v>1582</v>
      </c>
      <c r="C532" s="95" t="s">
        <v>510</v>
      </c>
      <c r="D532" s="95">
        <v>68.631486568699998</v>
      </c>
      <c r="E532" s="95">
        <v>-149.65910231699999</v>
      </c>
      <c r="F532" s="95">
        <v>754</v>
      </c>
      <c r="G532" s="95" t="s">
        <v>521</v>
      </c>
      <c r="H532" s="95" t="s">
        <v>510</v>
      </c>
      <c r="I532" s="95" t="s">
        <v>510</v>
      </c>
      <c r="J532" s="95" t="s">
        <v>536</v>
      </c>
      <c r="K532" s="95" t="s">
        <v>510</v>
      </c>
      <c r="L532" s="95" t="s">
        <v>510</v>
      </c>
      <c r="M532" s="101" t="str">
        <f t="shared" si="11"/>
        <v>View on Google Map</v>
      </c>
    </row>
    <row r="533" spans="1:13" x14ac:dyDescent="0.2">
      <c r="A533" s="95">
        <v>169</v>
      </c>
      <c r="B533" s="95" t="s">
        <v>1583</v>
      </c>
      <c r="C533" s="95" t="s">
        <v>510</v>
      </c>
      <c r="D533" s="95" t="s">
        <v>510</v>
      </c>
      <c r="E533" s="95" t="s">
        <v>510</v>
      </c>
      <c r="F533" s="95" t="s">
        <v>510</v>
      </c>
      <c r="G533" s="95" t="s">
        <v>521</v>
      </c>
      <c r="H533" s="95" t="s">
        <v>510</v>
      </c>
      <c r="I533" s="95" t="s">
        <v>510</v>
      </c>
      <c r="J533" s="95" t="s">
        <v>536</v>
      </c>
      <c r="K533" s="95" t="s">
        <v>510</v>
      </c>
      <c r="L533" s="95" t="s">
        <v>510</v>
      </c>
      <c r="M533" s="101" t="str">
        <f t="shared" si="11"/>
        <v>View on Google Map</v>
      </c>
    </row>
    <row r="534" spans="1:13" x14ac:dyDescent="0.2">
      <c r="A534" s="95">
        <v>170</v>
      </c>
      <c r="B534" s="95" t="s">
        <v>1584</v>
      </c>
      <c r="C534" s="95" t="s">
        <v>510</v>
      </c>
      <c r="D534" s="95" t="s">
        <v>510</v>
      </c>
      <c r="E534" s="95" t="s">
        <v>510</v>
      </c>
      <c r="F534" s="95" t="s">
        <v>510</v>
      </c>
      <c r="G534" s="95" t="s">
        <v>521</v>
      </c>
      <c r="H534" s="95" t="s">
        <v>510</v>
      </c>
      <c r="I534" s="95" t="s">
        <v>510</v>
      </c>
      <c r="J534" s="95" t="s">
        <v>536</v>
      </c>
      <c r="K534" s="95" t="s">
        <v>510</v>
      </c>
      <c r="L534" s="95" t="s">
        <v>510</v>
      </c>
      <c r="M534" s="101" t="str">
        <f t="shared" si="11"/>
        <v>View on Google Map</v>
      </c>
    </row>
    <row r="535" spans="1:13" x14ac:dyDescent="0.2">
      <c r="A535" s="95">
        <v>136</v>
      </c>
      <c r="B535" s="95" t="s">
        <v>1585</v>
      </c>
      <c r="C535" s="95" t="s">
        <v>510</v>
      </c>
      <c r="D535" s="95">
        <v>70.233333333333334</v>
      </c>
      <c r="E535" s="95">
        <v>-148.25</v>
      </c>
      <c r="F535" s="95">
        <v>10</v>
      </c>
      <c r="G535" s="95" t="s">
        <v>521</v>
      </c>
      <c r="H535" s="95" t="s">
        <v>1586</v>
      </c>
      <c r="I535" s="95" t="s">
        <v>510</v>
      </c>
      <c r="J535" s="95" t="s">
        <v>536</v>
      </c>
      <c r="K535" s="95" t="s">
        <v>510</v>
      </c>
      <c r="L535" s="95" t="s">
        <v>537</v>
      </c>
      <c r="M535" s="101" t="str">
        <f t="shared" si="11"/>
        <v>View on Google Map</v>
      </c>
    </row>
    <row r="536" spans="1:13" x14ac:dyDescent="0.2">
      <c r="A536" s="95">
        <v>6</v>
      </c>
      <c r="B536" s="95" t="s">
        <v>1587</v>
      </c>
      <c r="C536" s="95" t="s">
        <v>510</v>
      </c>
      <c r="D536" s="95" t="s">
        <v>510</v>
      </c>
      <c r="E536" s="95" t="s">
        <v>510</v>
      </c>
      <c r="F536" s="95">
        <v>457</v>
      </c>
      <c r="G536" s="95" t="s">
        <v>535</v>
      </c>
      <c r="H536" s="95" t="s">
        <v>1588</v>
      </c>
      <c r="I536" s="95" t="s">
        <v>1589</v>
      </c>
      <c r="J536" s="95" t="s">
        <v>536</v>
      </c>
      <c r="K536" s="95" t="s">
        <v>510</v>
      </c>
      <c r="L536" s="95" t="s">
        <v>537</v>
      </c>
      <c r="M536" s="101" t="str">
        <f t="shared" si="11"/>
        <v>View on Google Map</v>
      </c>
    </row>
    <row r="537" spans="1:13" x14ac:dyDescent="0.2">
      <c r="A537" s="95">
        <v>20</v>
      </c>
      <c r="B537" s="95" t="s">
        <v>1590</v>
      </c>
      <c r="C537" s="95" t="s">
        <v>510</v>
      </c>
      <c r="D537" s="95" t="s">
        <v>510</v>
      </c>
      <c r="E537" s="95" t="s">
        <v>510</v>
      </c>
      <c r="F537" s="95" t="s">
        <v>510</v>
      </c>
      <c r="G537" s="95" t="s">
        <v>535</v>
      </c>
      <c r="H537" s="95" t="s">
        <v>510</v>
      </c>
      <c r="I537" s="95" t="s">
        <v>510</v>
      </c>
      <c r="J537" s="95" t="s">
        <v>536</v>
      </c>
      <c r="K537" s="95" t="s">
        <v>510</v>
      </c>
      <c r="L537" s="95" t="s">
        <v>510</v>
      </c>
      <c r="M537" s="101" t="str">
        <f t="shared" si="11"/>
        <v>View on Google Map</v>
      </c>
    </row>
    <row r="538" spans="1:13" x14ac:dyDescent="0.2">
      <c r="A538" s="95">
        <v>1176</v>
      </c>
      <c r="B538" s="95" t="s">
        <v>1591</v>
      </c>
      <c r="C538" s="95" t="s">
        <v>542</v>
      </c>
      <c r="D538" s="95">
        <v>68.996418329999997</v>
      </c>
      <c r="E538" s="95">
        <v>-150.27895670000001</v>
      </c>
      <c r="F538" s="95" t="s">
        <v>510</v>
      </c>
      <c r="G538" s="95" t="s">
        <v>511</v>
      </c>
      <c r="H538" s="95" t="s">
        <v>510</v>
      </c>
      <c r="I538" s="95" t="s">
        <v>510</v>
      </c>
      <c r="J538" s="95" t="s">
        <v>517</v>
      </c>
      <c r="K538" s="95" t="s">
        <v>510</v>
      </c>
      <c r="L538" s="95" t="s">
        <v>518</v>
      </c>
      <c r="M538" s="101" t="str">
        <f t="shared" si="11"/>
        <v>View on Google Map</v>
      </c>
    </row>
    <row r="539" spans="1:13" x14ac:dyDescent="0.2">
      <c r="A539" s="95">
        <v>509</v>
      </c>
      <c r="B539" s="95" t="s">
        <v>1592</v>
      </c>
      <c r="C539" s="95" t="s">
        <v>520</v>
      </c>
      <c r="D539" s="95">
        <v>68.338126000000003</v>
      </c>
      <c r="E539" s="95">
        <v>-151.061735</v>
      </c>
      <c r="F539" s="95">
        <v>840</v>
      </c>
      <c r="G539" s="95" t="s">
        <v>521</v>
      </c>
      <c r="H539" s="95" t="s">
        <v>510</v>
      </c>
      <c r="I539" s="95" t="s">
        <v>510</v>
      </c>
      <c r="J539" s="95" t="s">
        <v>522</v>
      </c>
      <c r="K539" s="95" t="s">
        <v>510</v>
      </c>
      <c r="L539" s="95" t="s">
        <v>523</v>
      </c>
      <c r="M539" s="101" t="str">
        <f t="shared" si="11"/>
        <v>View on Google Map</v>
      </c>
    </row>
    <row r="540" spans="1:13" x14ac:dyDescent="0.2">
      <c r="A540" s="95">
        <v>36</v>
      </c>
      <c r="B540" s="95" t="s">
        <v>1593</v>
      </c>
      <c r="C540" s="95" t="s">
        <v>510</v>
      </c>
      <c r="D540" s="95">
        <v>69.233333333333334</v>
      </c>
      <c r="E540" s="95">
        <v>-150.804383333</v>
      </c>
      <c r="F540" s="95">
        <v>181.97</v>
      </c>
      <c r="G540" s="95" t="s">
        <v>535</v>
      </c>
      <c r="H540" s="95" t="s">
        <v>510</v>
      </c>
      <c r="I540" s="95" t="s">
        <v>510</v>
      </c>
      <c r="J540" s="95" t="s">
        <v>571</v>
      </c>
      <c r="K540" s="95" t="s">
        <v>510</v>
      </c>
      <c r="L540" s="95" t="s">
        <v>518</v>
      </c>
      <c r="M540" s="101" t="str">
        <f t="shared" si="11"/>
        <v>View on Google Map</v>
      </c>
    </row>
    <row r="541" spans="1:13" x14ac:dyDescent="0.2">
      <c r="A541" s="95">
        <v>37</v>
      </c>
      <c r="B541" s="95" t="s">
        <v>1594</v>
      </c>
      <c r="C541" s="95" t="s">
        <v>510</v>
      </c>
      <c r="D541" s="95">
        <v>68.289683333333329</v>
      </c>
      <c r="E541" s="95">
        <v>-150.91499999999999</v>
      </c>
      <c r="F541" s="95">
        <v>392</v>
      </c>
      <c r="G541" s="95" t="s">
        <v>535</v>
      </c>
      <c r="H541" s="95" t="s">
        <v>510</v>
      </c>
      <c r="I541" s="95" t="s">
        <v>510</v>
      </c>
      <c r="J541" s="95" t="s">
        <v>571</v>
      </c>
      <c r="K541" s="95" t="s">
        <v>510</v>
      </c>
      <c r="L541" s="95" t="s">
        <v>518</v>
      </c>
      <c r="M541" s="101" t="str">
        <f t="shared" si="11"/>
        <v>View on Google Map</v>
      </c>
    </row>
    <row r="542" spans="1:13" x14ac:dyDescent="0.2">
      <c r="A542" s="95">
        <v>130</v>
      </c>
      <c r="B542" s="95" t="s">
        <v>1595</v>
      </c>
      <c r="C542" s="95" t="s">
        <v>1596</v>
      </c>
      <c r="D542" s="95">
        <v>70.083333333333329</v>
      </c>
      <c r="E542" s="95">
        <v>-148.53333333333299</v>
      </c>
      <c r="F542" s="95">
        <v>24</v>
      </c>
      <c r="G542" s="95" t="s">
        <v>521</v>
      </c>
      <c r="H542" s="95" t="s">
        <v>1597</v>
      </c>
      <c r="I542" s="95" t="s">
        <v>510</v>
      </c>
      <c r="J542" s="95" t="s">
        <v>536</v>
      </c>
      <c r="K542" s="95" t="s">
        <v>510</v>
      </c>
      <c r="L542" s="95" t="s">
        <v>537</v>
      </c>
      <c r="M542" s="101" t="str">
        <f t="shared" si="11"/>
        <v>View on Google Map</v>
      </c>
    </row>
    <row r="543" spans="1:13" x14ac:dyDescent="0.2">
      <c r="A543" s="95">
        <v>519</v>
      </c>
      <c r="B543" s="95" t="s">
        <v>1598</v>
      </c>
      <c r="C543" s="95" t="s">
        <v>520</v>
      </c>
      <c r="D543" s="95">
        <v>68.802636000000007</v>
      </c>
      <c r="E543" s="95">
        <v>-150.78539699999999</v>
      </c>
      <c r="F543" s="95">
        <v>411</v>
      </c>
      <c r="G543" s="95" t="s">
        <v>521</v>
      </c>
      <c r="H543" s="95" t="s">
        <v>510</v>
      </c>
      <c r="I543" s="95" t="s">
        <v>510</v>
      </c>
      <c r="J543" s="95" t="s">
        <v>522</v>
      </c>
      <c r="K543" s="95" t="s">
        <v>510</v>
      </c>
      <c r="L543" s="95" t="s">
        <v>523</v>
      </c>
      <c r="M543" s="101" t="str">
        <f t="shared" si="11"/>
        <v>View on Google Map</v>
      </c>
    </row>
    <row r="544" spans="1:13" x14ac:dyDescent="0.2">
      <c r="A544" s="95">
        <v>452</v>
      </c>
      <c r="B544" s="95" t="s">
        <v>1599</v>
      </c>
      <c r="C544" s="95" t="s">
        <v>510</v>
      </c>
      <c r="D544" s="95">
        <v>68.794960000000003</v>
      </c>
      <c r="E544" s="95">
        <v>-149.04813999999999</v>
      </c>
      <c r="F544" s="95">
        <v>754</v>
      </c>
      <c r="G544" s="95" t="s">
        <v>521</v>
      </c>
      <c r="H544" s="95" t="s">
        <v>510</v>
      </c>
      <c r="I544" s="95" t="s">
        <v>510</v>
      </c>
      <c r="J544" s="95" t="s">
        <v>522</v>
      </c>
      <c r="K544" s="95" t="s">
        <v>510</v>
      </c>
      <c r="L544" s="95" t="s">
        <v>510</v>
      </c>
      <c r="M544" s="101" t="str">
        <f t="shared" si="11"/>
        <v>View on Google Map</v>
      </c>
    </row>
    <row r="545" spans="1:13" x14ac:dyDescent="0.2">
      <c r="A545" s="95">
        <v>453</v>
      </c>
      <c r="B545" s="95" t="s">
        <v>1600</v>
      </c>
      <c r="C545" s="95" t="s">
        <v>510</v>
      </c>
      <c r="D545" s="95">
        <v>68.810460000000006</v>
      </c>
      <c r="E545" s="95">
        <v>-149.05207999999999</v>
      </c>
      <c r="F545" s="95">
        <v>727</v>
      </c>
      <c r="G545" s="95" t="s">
        <v>521</v>
      </c>
      <c r="H545" s="95" t="s">
        <v>510</v>
      </c>
      <c r="I545" s="95" t="s">
        <v>510</v>
      </c>
      <c r="J545" s="95" t="s">
        <v>522</v>
      </c>
      <c r="K545" s="95" t="s">
        <v>510</v>
      </c>
      <c r="L545" s="95" t="s">
        <v>510</v>
      </c>
      <c r="M545" s="101" t="str">
        <f t="shared" si="11"/>
        <v>View on Google Map</v>
      </c>
    </row>
    <row r="546" spans="1:13" x14ac:dyDescent="0.2">
      <c r="A546" s="95">
        <v>454</v>
      </c>
      <c r="B546" s="95" t="s">
        <v>1601</v>
      </c>
      <c r="C546" s="95" t="s">
        <v>510</v>
      </c>
      <c r="D546" s="95">
        <v>68.815870000000004</v>
      </c>
      <c r="E546" s="95">
        <v>-149.06173999999999</v>
      </c>
      <c r="F546" s="95">
        <v>715</v>
      </c>
      <c r="G546" s="95" t="s">
        <v>521</v>
      </c>
      <c r="H546" s="95" t="s">
        <v>510</v>
      </c>
      <c r="I546" s="95" t="s">
        <v>510</v>
      </c>
      <c r="J546" s="95" t="s">
        <v>522</v>
      </c>
      <c r="K546" s="95" t="s">
        <v>510</v>
      </c>
      <c r="L546" s="95" t="s">
        <v>510</v>
      </c>
      <c r="M546" s="101" t="str">
        <f t="shared" si="11"/>
        <v>View on Google Map</v>
      </c>
    </row>
    <row r="547" spans="1:13" x14ac:dyDescent="0.2">
      <c r="A547" s="95">
        <v>455</v>
      </c>
      <c r="B547" s="95" t="s">
        <v>1602</v>
      </c>
      <c r="C547" s="95" t="s">
        <v>510</v>
      </c>
      <c r="D547" s="95">
        <v>68.810519999999997</v>
      </c>
      <c r="E547" s="95">
        <v>-149.06282999999999</v>
      </c>
      <c r="F547" s="95">
        <v>728</v>
      </c>
      <c r="G547" s="95" t="s">
        <v>521</v>
      </c>
      <c r="H547" s="95" t="s">
        <v>510</v>
      </c>
      <c r="I547" s="95" t="s">
        <v>510</v>
      </c>
      <c r="J547" s="95" t="s">
        <v>522</v>
      </c>
      <c r="K547" s="95" t="s">
        <v>510</v>
      </c>
      <c r="L547" s="95" t="s">
        <v>510</v>
      </c>
      <c r="M547" s="101" t="str">
        <f t="shared" si="11"/>
        <v>View on Google Map</v>
      </c>
    </row>
    <row r="548" spans="1:13" x14ac:dyDescent="0.2">
      <c r="A548" s="95">
        <v>456</v>
      </c>
      <c r="B548" s="95" t="s">
        <v>1603</v>
      </c>
      <c r="C548" s="95" t="s">
        <v>510</v>
      </c>
      <c r="D548" s="95">
        <v>68.812290000000004</v>
      </c>
      <c r="E548" s="95">
        <v>-149.06899000000001</v>
      </c>
      <c r="F548" s="95">
        <v>730</v>
      </c>
      <c r="G548" s="95" t="s">
        <v>521</v>
      </c>
      <c r="H548" s="95" t="s">
        <v>510</v>
      </c>
      <c r="I548" s="95" t="s">
        <v>510</v>
      </c>
      <c r="J548" s="95" t="s">
        <v>522</v>
      </c>
      <c r="K548" s="95" t="s">
        <v>510</v>
      </c>
      <c r="L548" s="95" t="s">
        <v>510</v>
      </c>
      <c r="M548" s="101" t="str">
        <f t="shared" si="11"/>
        <v>View on Google Map</v>
      </c>
    </row>
    <row r="549" spans="1:13" x14ac:dyDescent="0.2">
      <c r="A549" s="95">
        <v>457</v>
      </c>
      <c r="B549" s="95" t="s">
        <v>1604</v>
      </c>
      <c r="C549" s="95" t="s">
        <v>510</v>
      </c>
      <c r="D549" s="95">
        <v>68.814369999999997</v>
      </c>
      <c r="E549" s="95">
        <v>-149.06774999999999</v>
      </c>
      <c r="F549" s="95">
        <v>724</v>
      </c>
      <c r="G549" s="95" t="s">
        <v>521</v>
      </c>
      <c r="H549" s="95" t="s">
        <v>510</v>
      </c>
      <c r="I549" s="95" t="s">
        <v>510</v>
      </c>
      <c r="J549" s="95" t="s">
        <v>522</v>
      </c>
      <c r="K549" s="95" t="s">
        <v>510</v>
      </c>
      <c r="L549" s="95" t="s">
        <v>510</v>
      </c>
      <c r="M549" s="101" t="str">
        <f t="shared" si="11"/>
        <v>View on Google Map</v>
      </c>
    </row>
    <row r="550" spans="1:13" x14ac:dyDescent="0.2">
      <c r="A550" s="95">
        <v>38</v>
      </c>
      <c r="B550" s="95" t="s">
        <v>1605</v>
      </c>
      <c r="C550" s="95" t="s">
        <v>510</v>
      </c>
      <c r="D550" s="95">
        <v>69.011899999999997</v>
      </c>
      <c r="E550" s="95">
        <v>-150.30000000000001</v>
      </c>
      <c r="F550" s="95">
        <v>321</v>
      </c>
      <c r="G550" s="95" t="s">
        <v>535</v>
      </c>
      <c r="H550" s="95" t="s">
        <v>1606</v>
      </c>
      <c r="I550" s="95" t="s">
        <v>1607</v>
      </c>
      <c r="J550" s="95" t="s">
        <v>571</v>
      </c>
      <c r="K550" s="95" t="s">
        <v>510</v>
      </c>
      <c r="L550" s="95" t="s">
        <v>518</v>
      </c>
      <c r="M550" s="101" t="str">
        <f t="shared" si="11"/>
        <v>View on Google Map</v>
      </c>
    </row>
    <row r="551" spans="1:13" x14ac:dyDescent="0.2">
      <c r="A551" s="95">
        <v>1211</v>
      </c>
      <c r="B551" s="95" t="s">
        <v>1608</v>
      </c>
      <c r="C551" s="95" t="s">
        <v>694</v>
      </c>
      <c r="D551" s="95">
        <v>68.996700000000004</v>
      </c>
      <c r="E551" s="95">
        <v>-150.28142</v>
      </c>
      <c r="F551" s="95" t="s">
        <v>510</v>
      </c>
      <c r="G551" s="95" t="s">
        <v>511</v>
      </c>
      <c r="H551" s="95" t="s">
        <v>510</v>
      </c>
      <c r="I551" s="95" t="s">
        <v>510</v>
      </c>
      <c r="J551" s="95" t="s">
        <v>517</v>
      </c>
      <c r="K551" s="95" t="s">
        <v>510</v>
      </c>
      <c r="L551" s="95" t="s">
        <v>518</v>
      </c>
      <c r="M551" s="101" t="str">
        <f t="shared" si="11"/>
        <v>View on Google Map</v>
      </c>
    </row>
    <row r="552" spans="1:13" x14ac:dyDescent="0.2">
      <c r="A552" s="95">
        <v>1210</v>
      </c>
      <c r="B552" s="95" t="s">
        <v>1609</v>
      </c>
      <c r="C552" s="95" t="s">
        <v>694</v>
      </c>
      <c r="D552" s="95">
        <v>68.996700000000004</v>
      </c>
      <c r="E552" s="95">
        <v>-150.28142</v>
      </c>
      <c r="F552" s="95" t="s">
        <v>510</v>
      </c>
      <c r="G552" s="95" t="s">
        <v>511</v>
      </c>
      <c r="H552" s="95" t="s">
        <v>510</v>
      </c>
      <c r="I552" s="95" t="s">
        <v>510</v>
      </c>
      <c r="J552" s="95" t="s">
        <v>517</v>
      </c>
      <c r="K552" s="95" t="s">
        <v>510</v>
      </c>
      <c r="L552" s="95" t="s">
        <v>518</v>
      </c>
      <c r="M552" s="101" t="str">
        <f t="shared" si="11"/>
        <v>View on Google Map</v>
      </c>
    </row>
    <row r="553" spans="1:13" x14ac:dyDescent="0.2">
      <c r="B553" s="95" t="s">
        <v>1610</v>
      </c>
      <c r="C553" s="95" t="s">
        <v>1523</v>
      </c>
      <c r="D553" s="95">
        <v>69.007500000000007</v>
      </c>
      <c r="E553" s="95">
        <v>-150.31388888888901</v>
      </c>
      <c r="G553" s="95" t="s">
        <v>529</v>
      </c>
      <c r="J553" s="95" t="s">
        <v>517</v>
      </c>
      <c r="L553" s="95" t="s">
        <v>518</v>
      </c>
      <c r="M553" s="101" t="str">
        <f t="shared" si="11"/>
        <v>View on Google Map</v>
      </c>
    </row>
    <row r="554" spans="1:13" x14ac:dyDescent="0.2">
      <c r="B554" s="95" t="s">
        <v>1611</v>
      </c>
      <c r="C554" s="95" t="s">
        <v>907</v>
      </c>
      <c r="D554" s="95">
        <v>69.043055555555554</v>
      </c>
      <c r="E554" s="95">
        <v>-150.42916666666699</v>
      </c>
      <c r="G554" s="95" t="s">
        <v>529</v>
      </c>
      <c r="J554" s="95" t="s">
        <v>517</v>
      </c>
      <c r="L554" s="95" t="s">
        <v>518</v>
      </c>
      <c r="M554" s="101" t="str">
        <f t="shared" si="11"/>
        <v>View on Google Map</v>
      </c>
    </row>
    <row r="555" spans="1:13" x14ac:dyDescent="0.2">
      <c r="A555" s="95">
        <v>39</v>
      </c>
      <c r="B555" s="95" t="s">
        <v>1612</v>
      </c>
      <c r="C555" s="95" t="s">
        <v>510</v>
      </c>
      <c r="D555" s="95">
        <v>68.994600000000005</v>
      </c>
      <c r="E555" s="95">
        <v>-150.30699999999999</v>
      </c>
      <c r="F555" s="95">
        <v>307</v>
      </c>
      <c r="G555" s="95" t="s">
        <v>535</v>
      </c>
      <c r="H555" s="95" t="s">
        <v>1613</v>
      </c>
      <c r="I555" s="95" t="s">
        <v>510</v>
      </c>
      <c r="J555" s="95" t="s">
        <v>571</v>
      </c>
      <c r="K555" s="95" t="s">
        <v>510</v>
      </c>
      <c r="L555" s="95" t="s">
        <v>518</v>
      </c>
      <c r="M555" s="101" t="str">
        <f t="shared" si="11"/>
        <v>View on Google Map</v>
      </c>
    </row>
    <row r="556" spans="1:13" x14ac:dyDescent="0.2">
      <c r="B556" s="95" t="s">
        <v>1614</v>
      </c>
      <c r="C556" s="95" t="s">
        <v>528</v>
      </c>
      <c r="D556" s="95">
        <v>69.570555555555558</v>
      </c>
      <c r="E556" s="95">
        <v>-150.893333333333</v>
      </c>
      <c r="G556" s="95" t="s">
        <v>529</v>
      </c>
      <c r="J556" s="95" t="s">
        <v>517</v>
      </c>
      <c r="L556" s="95" t="s">
        <v>518</v>
      </c>
      <c r="M556" s="101" t="str">
        <f t="shared" si="11"/>
        <v>View on Google Map</v>
      </c>
    </row>
    <row r="557" spans="1:13" x14ac:dyDescent="0.2">
      <c r="A557" s="95">
        <v>46</v>
      </c>
      <c r="B557" s="95" t="s">
        <v>1615</v>
      </c>
      <c r="C557" s="95" t="s">
        <v>510</v>
      </c>
      <c r="D557" s="95">
        <v>68.891069000000002</v>
      </c>
      <c r="E557" s="95">
        <v>-150.58501899999999</v>
      </c>
      <c r="F557" s="95" t="s">
        <v>510</v>
      </c>
      <c r="G557" s="95" t="s">
        <v>535</v>
      </c>
      <c r="H557" s="95" t="s">
        <v>510</v>
      </c>
      <c r="I557" s="95" t="s">
        <v>510</v>
      </c>
      <c r="J557" s="95" t="s">
        <v>1521</v>
      </c>
      <c r="K557" s="95" t="s">
        <v>510</v>
      </c>
      <c r="L557" s="95" t="s">
        <v>518</v>
      </c>
      <c r="M557" s="101" t="str">
        <f t="shared" si="11"/>
        <v>View on Google Map</v>
      </c>
    </row>
    <row r="558" spans="1:13" x14ac:dyDescent="0.2">
      <c r="A558" s="95">
        <v>47</v>
      </c>
      <c r="B558" s="95" t="s">
        <v>1616</v>
      </c>
      <c r="C558" s="95" t="s">
        <v>510</v>
      </c>
      <c r="D558" s="95">
        <v>68.966999999999999</v>
      </c>
      <c r="E558" s="95">
        <v>-150.56673000000001</v>
      </c>
      <c r="F558" s="95" t="s">
        <v>510</v>
      </c>
      <c r="G558" s="95" t="s">
        <v>535</v>
      </c>
      <c r="H558" s="95" t="s">
        <v>510</v>
      </c>
      <c r="I558" s="95" t="s">
        <v>510</v>
      </c>
      <c r="J558" s="95" t="s">
        <v>1521</v>
      </c>
      <c r="K558" s="95" t="s">
        <v>510</v>
      </c>
      <c r="L558" s="95" t="s">
        <v>518</v>
      </c>
      <c r="M558" s="101" t="str">
        <f t="shared" si="11"/>
        <v>View on Google Map</v>
      </c>
    </row>
    <row r="559" spans="1:13" x14ac:dyDescent="0.2">
      <c r="A559" s="95">
        <v>100</v>
      </c>
      <c r="B559" s="95" t="s">
        <v>16</v>
      </c>
      <c r="C559" s="95" t="s">
        <v>1617</v>
      </c>
      <c r="D559" s="95">
        <v>68.629960999999994</v>
      </c>
      <c r="E559" s="95">
        <v>-149.61263299999999</v>
      </c>
      <c r="F559" s="95">
        <v>719</v>
      </c>
      <c r="G559" s="95" t="s">
        <v>521</v>
      </c>
      <c r="H559" s="95" t="s">
        <v>1618</v>
      </c>
      <c r="I559" s="95" t="s">
        <v>1619</v>
      </c>
      <c r="J559" s="95" t="s">
        <v>536</v>
      </c>
      <c r="K559" s="95" t="s">
        <v>510</v>
      </c>
      <c r="L559" s="95" t="s">
        <v>510</v>
      </c>
      <c r="M559" s="101" t="str">
        <f t="shared" si="11"/>
        <v>View on Google Map</v>
      </c>
    </row>
    <row r="560" spans="1:13" x14ac:dyDescent="0.2">
      <c r="A560" s="95">
        <v>523</v>
      </c>
      <c r="B560" s="95" t="s">
        <v>1620</v>
      </c>
      <c r="C560" s="95" t="s">
        <v>1621</v>
      </c>
      <c r="D560" s="95">
        <v>68.626671999999999</v>
      </c>
      <c r="E560" s="95">
        <v>-149.59784400000001</v>
      </c>
      <c r="F560" s="95">
        <v>719</v>
      </c>
      <c r="G560" s="95" t="s">
        <v>521</v>
      </c>
      <c r="H560" s="95" t="s">
        <v>510</v>
      </c>
      <c r="I560" s="95" t="s">
        <v>510</v>
      </c>
      <c r="J560" s="95" t="s">
        <v>522</v>
      </c>
      <c r="K560" s="95" t="s">
        <v>510</v>
      </c>
      <c r="L560" s="95" t="s">
        <v>1622</v>
      </c>
      <c r="M560" s="101" t="str">
        <f t="shared" si="11"/>
        <v>View on Google Map</v>
      </c>
    </row>
    <row r="561" spans="1:13" x14ac:dyDescent="0.2">
      <c r="A561" s="95">
        <v>524</v>
      </c>
      <c r="B561" s="95" t="s">
        <v>1623</v>
      </c>
      <c r="C561" s="95" t="s">
        <v>1621</v>
      </c>
      <c r="D561" s="95">
        <v>68.632586000000003</v>
      </c>
      <c r="E561" s="95">
        <v>-149.60089500000001</v>
      </c>
      <c r="F561" s="95">
        <v>719</v>
      </c>
      <c r="G561" s="95" t="s">
        <v>521</v>
      </c>
      <c r="H561" s="95" t="s">
        <v>510</v>
      </c>
      <c r="I561" s="95" t="s">
        <v>510</v>
      </c>
      <c r="J561" s="95" t="s">
        <v>522</v>
      </c>
      <c r="K561" s="95" t="s">
        <v>510</v>
      </c>
      <c r="L561" s="95" t="s">
        <v>1622</v>
      </c>
      <c r="M561" s="101" t="str">
        <f t="shared" si="11"/>
        <v>View on Google Map</v>
      </c>
    </row>
    <row r="562" spans="1:13" x14ac:dyDescent="0.2">
      <c r="A562" s="95">
        <v>525</v>
      </c>
      <c r="B562" s="95" t="s">
        <v>1624</v>
      </c>
      <c r="C562" s="95" t="s">
        <v>1621</v>
      </c>
      <c r="D562" s="95">
        <v>68.636390000000006</v>
      </c>
      <c r="E562" s="95">
        <v>-149.594774</v>
      </c>
      <c r="F562" s="95">
        <v>719</v>
      </c>
      <c r="G562" s="95" t="s">
        <v>521</v>
      </c>
      <c r="H562" s="95" t="s">
        <v>510</v>
      </c>
      <c r="I562" s="95" t="s">
        <v>510</v>
      </c>
      <c r="J562" s="95" t="s">
        <v>522</v>
      </c>
      <c r="K562" s="95" t="s">
        <v>510</v>
      </c>
      <c r="L562" s="95" t="s">
        <v>1622</v>
      </c>
      <c r="M562" s="101" t="str">
        <f t="shared" si="11"/>
        <v>View on Google Map</v>
      </c>
    </row>
    <row r="563" spans="1:13" x14ac:dyDescent="0.2">
      <c r="A563" s="95">
        <v>13</v>
      </c>
      <c r="B563" s="95" t="s">
        <v>1625</v>
      </c>
      <c r="C563" s="95" t="s">
        <v>510</v>
      </c>
      <c r="D563" s="95">
        <v>68.625600000000006</v>
      </c>
      <c r="E563" s="95">
        <v>-149.59604999999999</v>
      </c>
      <c r="F563" s="95">
        <v>719</v>
      </c>
      <c r="G563" s="95" t="s">
        <v>535</v>
      </c>
      <c r="H563" s="95" t="s">
        <v>1626</v>
      </c>
      <c r="I563" s="95" t="s">
        <v>1627</v>
      </c>
      <c r="J563" s="95" t="s">
        <v>536</v>
      </c>
      <c r="K563" s="95">
        <v>190</v>
      </c>
      <c r="L563" s="95" t="s">
        <v>925</v>
      </c>
      <c r="M563" s="101" t="str">
        <f t="shared" si="11"/>
        <v>View on Google Map</v>
      </c>
    </row>
    <row r="564" spans="1:13" x14ac:dyDescent="0.2">
      <c r="A564" s="95">
        <v>522</v>
      </c>
      <c r="B564" s="95" t="s">
        <v>1628</v>
      </c>
      <c r="C564" s="95" t="s">
        <v>1621</v>
      </c>
      <c r="D564" s="95">
        <v>68.625966000000005</v>
      </c>
      <c r="E564" s="95">
        <v>-149.59902199999999</v>
      </c>
      <c r="F564" s="95">
        <v>719</v>
      </c>
      <c r="G564" s="95" t="s">
        <v>521</v>
      </c>
      <c r="H564" s="95" t="s">
        <v>510</v>
      </c>
      <c r="I564" s="95" t="s">
        <v>510</v>
      </c>
      <c r="J564" s="95" t="s">
        <v>522</v>
      </c>
      <c r="K564" s="95" t="s">
        <v>510</v>
      </c>
      <c r="L564" s="95" t="s">
        <v>1622</v>
      </c>
      <c r="M564" s="101" t="str">
        <f t="shared" si="11"/>
        <v>View on Google Map</v>
      </c>
    </row>
    <row r="565" spans="1:13" x14ac:dyDescent="0.2">
      <c r="A565" s="95">
        <v>101</v>
      </c>
      <c r="B565" s="95" t="s">
        <v>1629</v>
      </c>
      <c r="C565" s="95" t="s">
        <v>1630</v>
      </c>
      <c r="D565" s="95" t="s">
        <v>510</v>
      </c>
      <c r="E565" s="95" t="s">
        <v>510</v>
      </c>
      <c r="F565" s="95">
        <v>719</v>
      </c>
      <c r="G565" s="95" t="s">
        <v>521</v>
      </c>
      <c r="H565" s="95" t="s">
        <v>510</v>
      </c>
      <c r="I565" s="95" t="s">
        <v>510</v>
      </c>
      <c r="J565" s="95" t="s">
        <v>536</v>
      </c>
      <c r="K565" s="95" t="s">
        <v>510</v>
      </c>
      <c r="L565" s="95" t="s">
        <v>510</v>
      </c>
      <c r="M565" s="101" t="str">
        <f t="shared" si="11"/>
        <v>View on Google Map</v>
      </c>
    </row>
    <row r="566" spans="1:13" x14ac:dyDescent="0.2">
      <c r="A566" s="95">
        <v>102</v>
      </c>
      <c r="B566" s="95" t="s">
        <v>1631</v>
      </c>
      <c r="C566" s="95" t="s">
        <v>1632</v>
      </c>
      <c r="D566" s="95">
        <v>68.638623999999993</v>
      </c>
      <c r="E566" s="95">
        <v>-149.610737</v>
      </c>
      <c r="F566" s="95">
        <v>719</v>
      </c>
      <c r="G566" s="95" t="s">
        <v>521</v>
      </c>
      <c r="H566" s="95" t="s">
        <v>1633</v>
      </c>
      <c r="I566" s="95" t="s">
        <v>1634</v>
      </c>
      <c r="J566" s="95" t="s">
        <v>536</v>
      </c>
      <c r="K566" s="95" t="s">
        <v>510</v>
      </c>
      <c r="L566" s="95" t="s">
        <v>510</v>
      </c>
      <c r="M566" s="101" t="str">
        <f t="shared" si="11"/>
        <v>View on Google Map</v>
      </c>
    </row>
    <row r="567" spans="1:13" x14ac:dyDescent="0.2">
      <c r="A567" s="95">
        <v>526</v>
      </c>
      <c r="B567" s="95" t="s">
        <v>1635</v>
      </c>
      <c r="C567" s="95" t="s">
        <v>1621</v>
      </c>
      <c r="D567" s="95">
        <v>68.633232000000007</v>
      </c>
      <c r="E567" s="95">
        <v>-149.61149</v>
      </c>
      <c r="F567" s="95">
        <v>719</v>
      </c>
      <c r="G567" s="95" t="s">
        <v>521</v>
      </c>
      <c r="H567" s="95" t="s">
        <v>510</v>
      </c>
      <c r="I567" s="95" t="s">
        <v>510</v>
      </c>
      <c r="J567" s="95" t="s">
        <v>522</v>
      </c>
      <c r="K567" s="95" t="s">
        <v>510</v>
      </c>
      <c r="L567" s="95" t="s">
        <v>1622</v>
      </c>
      <c r="M567" s="101" t="str">
        <f t="shared" si="11"/>
        <v>View on Google Map</v>
      </c>
    </row>
    <row r="568" spans="1:13" x14ac:dyDescent="0.2">
      <c r="A568" s="95">
        <v>14</v>
      </c>
      <c r="B568" s="95" t="s">
        <v>1636</v>
      </c>
      <c r="C568" s="95" t="s">
        <v>510</v>
      </c>
      <c r="D568" s="95" t="s">
        <v>510</v>
      </c>
      <c r="E568" s="95" t="s">
        <v>510</v>
      </c>
      <c r="F568" s="95">
        <v>719</v>
      </c>
      <c r="G568" s="95" t="s">
        <v>535</v>
      </c>
      <c r="H568" s="95" t="s">
        <v>1637</v>
      </c>
      <c r="I568" s="95" t="s">
        <v>510</v>
      </c>
      <c r="J568" s="95" t="s">
        <v>536</v>
      </c>
      <c r="K568" s="95" t="s">
        <v>510</v>
      </c>
      <c r="L568" s="95" t="s">
        <v>510</v>
      </c>
      <c r="M568" s="101" t="str">
        <f t="shared" si="11"/>
        <v>View on Google Map</v>
      </c>
    </row>
    <row r="569" spans="1:13" x14ac:dyDescent="0.2">
      <c r="A569" s="95">
        <v>527</v>
      </c>
      <c r="B569" s="95" t="s">
        <v>1638</v>
      </c>
      <c r="C569" s="95" t="s">
        <v>1621</v>
      </c>
      <c r="D569" s="95">
        <v>68.639894999999996</v>
      </c>
      <c r="E569" s="95">
        <v>-149.59610599999999</v>
      </c>
      <c r="F569" s="95">
        <v>719</v>
      </c>
      <c r="G569" s="95" t="s">
        <v>521</v>
      </c>
      <c r="H569" s="95" t="s">
        <v>510</v>
      </c>
      <c r="I569" s="95" t="s">
        <v>510</v>
      </c>
      <c r="J569" s="95" t="s">
        <v>522</v>
      </c>
      <c r="K569" s="95" t="s">
        <v>510</v>
      </c>
      <c r="L569" s="95" t="s">
        <v>1622</v>
      </c>
      <c r="M569" s="101" t="str">
        <f t="shared" si="11"/>
        <v>View on Google Map</v>
      </c>
    </row>
    <row r="570" spans="1:13" x14ac:dyDescent="0.2">
      <c r="A570" s="95">
        <v>9</v>
      </c>
      <c r="B570" s="95" t="s">
        <v>1639</v>
      </c>
      <c r="C570" s="95" t="s">
        <v>510</v>
      </c>
      <c r="D570" s="95" t="s">
        <v>510</v>
      </c>
      <c r="E570" s="95" t="s">
        <v>510</v>
      </c>
      <c r="F570" s="95">
        <v>823</v>
      </c>
      <c r="G570" s="95" t="s">
        <v>535</v>
      </c>
      <c r="H570" s="95" t="s">
        <v>510</v>
      </c>
      <c r="I570" s="95" t="s">
        <v>510</v>
      </c>
      <c r="J570" s="95" t="s">
        <v>536</v>
      </c>
      <c r="K570" s="95" t="s">
        <v>510</v>
      </c>
      <c r="L570" s="95" t="s">
        <v>510</v>
      </c>
      <c r="M570" s="101" t="str">
        <f t="shared" si="11"/>
        <v>View on Google Map</v>
      </c>
    </row>
    <row r="571" spans="1:13" x14ac:dyDescent="0.2">
      <c r="A571" s="95">
        <v>22</v>
      </c>
      <c r="B571" s="95" t="s">
        <v>1640</v>
      </c>
      <c r="C571" s="95" t="s">
        <v>510</v>
      </c>
      <c r="D571" s="95" t="s">
        <v>510</v>
      </c>
      <c r="E571" s="95" t="s">
        <v>510</v>
      </c>
      <c r="F571" s="95" t="s">
        <v>510</v>
      </c>
      <c r="G571" s="95" t="s">
        <v>535</v>
      </c>
      <c r="H571" s="95" t="s">
        <v>1641</v>
      </c>
      <c r="I571" s="95" t="s">
        <v>510</v>
      </c>
      <c r="J571" s="95" t="s">
        <v>536</v>
      </c>
      <c r="K571" s="95" t="s">
        <v>510</v>
      </c>
      <c r="L571" s="95" t="s">
        <v>510</v>
      </c>
      <c r="M571" s="101" t="str">
        <f t="shared" si="11"/>
        <v>View on Google Map</v>
      </c>
    </row>
    <row r="572" spans="1:13" x14ac:dyDescent="0.2">
      <c r="A572" s="95">
        <v>528</v>
      </c>
      <c r="B572" s="95" t="s">
        <v>1642</v>
      </c>
      <c r="C572" s="95" t="s">
        <v>1621</v>
      </c>
      <c r="D572" s="95">
        <v>68.634241000000003</v>
      </c>
      <c r="E572" s="95">
        <v>-149.60275899999999</v>
      </c>
      <c r="F572" s="95">
        <v>719</v>
      </c>
      <c r="G572" s="95" t="s">
        <v>521</v>
      </c>
      <c r="H572" s="95" t="s">
        <v>510</v>
      </c>
      <c r="I572" s="95" t="s">
        <v>510</v>
      </c>
      <c r="J572" s="95" t="s">
        <v>522</v>
      </c>
      <c r="K572" s="95" t="s">
        <v>510</v>
      </c>
      <c r="L572" s="95" t="s">
        <v>1622</v>
      </c>
      <c r="M572" s="101" t="str">
        <f t="shared" si="11"/>
        <v>View on Google Map</v>
      </c>
    </row>
    <row r="573" spans="1:13" x14ac:dyDescent="0.2">
      <c r="A573" s="95">
        <v>521</v>
      </c>
      <c r="B573" s="95" t="s">
        <v>1643</v>
      </c>
      <c r="C573" s="95" t="s">
        <v>1621</v>
      </c>
      <c r="D573" s="95">
        <v>68.628656000000007</v>
      </c>
      <c r="E573" s="95">
        <v>-149.59960599999999</v>
      </c>
      <c r="F573" s="95">
        <v>719</v>
      </c>
      <c r="G573" s="95" t="s">
        <v>521</v>
      </c>
      <c r="H573" s="95" t="s">
        <v>510</v>
      </c>
      <c r="I573" s="95" t="s">
        <v>510</v>
      </c>
      <c r="J573" s="95" t="s">
        <v>522</v>
      </c>
      <c r="K573" s="95" t="s">
        <v>510</v>
      </c>
      <c r="L573" s="95" t="s">
        <v>1622</v>
      </c>
      <c r="M573" s="101" t="str">
        <f t="shared" si="11"/>
        <v>View on Google Map</v>
      </c>
    </row>
    <row r="574" spans="1:13" x14ac:dyDescent="0.2">
      <c r="A574" s="95">
        <v>520</v>
      </c>
      <c r="B574" s="95" t="s">
        <v>1644</v>
      </c>
      <c r="C574" s="95" t="s">
        <v>1621</v>
      </c>
      <c r="D574" s="95">
        <v>68.633064000000005</v>
      </c>
      <c r="E574" s="95">
        <v>-149.62826999999999</v>
      </c>
      <c r="F574" s="95">
        <v>719</v>
      </c>
      <c r="G574" s="95" t="s">
        <v>521</v>
      </c>
      <c r="H574" s="95" t="s">
        <v>510</v>
      </c>
      <c r="I574" s="95" t="s">
        <v>510</v>
      </c>
      <c r="J574" s="95" t="s">
        <v>522</v>
      </c>
      <c r="K574" s="95" t="s">
        <v>510</v>
      </c>
      <c r="L574" s="95" t="s">
        <v>1622</v>
      </c>
      <c r="M574" s="101" t="str">
        <f t="shared" si="11"/>
        <v>View on Google Map</v>
      </c>
    </row>
    <row r="575" spans="1:13" x14ac:dyDescent="0.2">
      <c r="B575" s="95" t="s">
        <v>1645</v>
      </c>
      <c r="C575" s="95" t="s">
        <v>907</v>
      </c>
      <c r="D575" s="95">
        <v>68.695505999999995</v>
      </c>
      <c r="E575" s="95">
        <v>-149.207807</v>
      </c>
      <c r="G575" s="95" t="s">
        <v>1047</v>
      </c>
      <c r="J575" s="16" t="s">
        <v>536</v>
      </c>
      <c r="M575" s="101" t="str">
        <f t="shared" si="11"/>
        <v>View on Google Map</v>
      </c>
    </row>
    <row r="576" spans="1:13" x14ac:dyDescent="0.2">
      <c r="B576" s="95" t="s">
        <v>1646</v>
      </c>
      <c r="C576" s="95" t="s">
        <v>907</v>
      </c>
      <c r="D576" s="95">
        <v>68.695696999999996</v>
      </c>
      <c r="E576" s="95">
        <v>-149.20482699999999</v>
      </c>
      <c r="G576" s="95" t="s">
        <v>1047</v>
      </c>
      <c r="J576" s="16" t="s">
        <v>536</v>
      </c>
      <c r="M576" s="101" t="str">
        <f t="shared" si="11"/>
        <v>View on Google Map</v>
      </c>
    </row>
    <row r="577" spans="1:13" x14ac:dyDescent="0.2">
      <c r="B577" s="95" t="s">
        <v>1647</v>
      </c>
      <c r="C577" s="95" t="s">
        <v>907</v>
      </c>
      <c r="D577" s="95">
        <v>68.690700000000007</v>
      </c>
      <c r="E577" s="95">
        <v>-149.208371</v>
      </c>
      <c r="G577" s="95" t="s">
        <v>1047</v>
      </c>
      <c r="J577" s="16" t="s">
        <v>536</v>
      </c>
      <c r="M577" s="101" t="str">
        <f t="shared" si="11"/>
        <v>View on Google Map</v>
      </c>
    </row>
    <row r="578" spans="1:13" x14ac:dyDescent="0.2">
      <c r="B578" s="95" t="s">
        <v>1648</v>
      </c>
      <c r="C578" s="95" t="s">
        <v>907</v>
      </c>
      <c r="D578" s="95">
        <v>68.693759</v>
      </c>
      <c r="E578" s="95">
        <v>-149.20405500000001</v>
      </c>
      <c r="G578" s="95" t="s">
        <v>1047</v>
      </c>
      <c r="J578" s="16" t="s">
        <v>536</v>
      </c>
      <c r="M578" s="101" t="str">
        <f t="shared" si="11"/>
        <v>View on Google Map</v>
      </c>
    </row>
    <row r="579" spans="1:13" x14ac:dyDescent="0.2">
      <c r="B579" s="95" t="s">
        <v>1649</v>
      </c>
      <c r="C579" s="95" t="s">
        <v>1650</v>
      </c>
      <c r="D579" s="95">
        <v>68.628228973000006</v>
      </c>
      <c r="E579" s="95">
        <v>-149.596001285</v>
      </c>
      <c r="F579" s="95">
        <v>726.5</v>
      </c>
      <c r="J579" s="95" t="s">
        <v>536</v>
      </c>
      <c r="M579" s="95" t="str">
        <f>HYPERLINK("http://maps.google.com/maps?q="&amp;D579&amp;","&amp;E579,"View on Google Map")</f>
        <v>View on Google Map</v>
      </c>
    </row>
    <row r="580" spans="1:13" x14ac:dyDescent="0.2">
      <c r="A580" s="95">
        <v>901</v>
      </c>
      <c r="B580" s="95" t="s">
        <v>1651</v>
      </c>
      <c r="C580" s="95" t="s">
        <v>1652</v>
      </c>
      <c r="D580" s="95" t="s">
        <v>510</v>
      </c>
      <c r="E580" s="95" t="s">
        <v>510</v>
      </c>
      <c r="F580" s="95" t="s">
        <v>510</v>
      </c>
      <c r="G580" s="95" t="s">
        <v>510</v>
      </c>
      <c r="H580" s="95" t="s">
        <v>1653</v>
      </c>
      <c r="I580" s="95" t="s">
        <v>510</v>
      </c>
      <c r="J580" s="16" t="s">
        <v>536</v>
      </c>
      <c r="K580" s="95" t="s">
        <v>510</v>
      </c>
      <c r="L580" s="95" t="s">
        <v>510</v>
      </c>
      <c r="M580" s="101" t="str">
        <f t="shared" ref="M580:M638" si="12">HYPERLINK("http://maps.google.com/maps?q="&amp;D580&amp;","&amp;E580,"View on Google Map")</f>
        <v>View on Google Map</v>
      </c>
    </row>
    <row r="581" spans="1:13" x14ac:dyDescent="0.2">
      <c r="A581" s="95">
        <v>902</v>
      </c>
      <c r="B581" s="95" t="s">
        <v>1654</v>
      </c>
      <c r="C581" s="95" t="s">
        <v>1652</v>
      </c>
      <c r="D581" s="95" t="s">
        <v>510</v>
      </c>
      <c r="E581" s="95" t="s">
        <v>510</v>
      </c>
      <c r="F581" s="95">
        <v>757</v>
      </c>
      <c r="G581" s="95" t="s">
        <v>511</v>
      </c>
      <c r="H581" s="95" t="s">
        <v>1655</v>
      </c>
      <c r="I581" s="95" t="s">
        <v>510</v>
      </c>
      <c r="J581" s="95" t="s">
        <v>536</v>
      </c>
      <c r="K581" s="95" t="s">
        <v>510</v>
      </c>
      <c r="L581" s="95" t="s">
        <v>510</v>
      </c>
      <c r="M581" s="101" t="str">
        <f t="shared" si="12"/>
        <v>View on Google Map</v>
      </c>
    </row>
    <row r="582" spans="1:13" x14ac:dyDescent="0.2">
      <c r="A582" s="95">
        <v>903</v>
      </c>
      <c r="B582" s="95" t="s">
        <v>1656</v>
      </c>
      <c r="C582" s="95" t="s">
        <v>1652</v>
      </c>
      <c r="D582" s="95" t="s">
        <v>510</v>
      </c>
      <c r="E582" s="95" t="s">
        <v>510</v>
      </c>
      <c r="F582" s="95">
        <v>770</v>
      </c>
      <c r="G582" s="95" t="s">
        <v>511</v>
      </c>
      <c r="H582" s="95" t="s">
        <v>1657</v>
      </c>
      <c r="I582" s="95" t="s">
        <v>510</v>
      </c>
      <c r="J582" s="95" t="s">
        <v>536</v>
      </c>
      <c r="K582" s="95" t="s">
        <v>510</v>
      </c>
      <c r="L582" s="95" t="s">
        <v>510</v>
      </c>
      <c r="M582" s="101" t="str">
        <f t="shared" si="12"/>
        <v>View on Google Map</v>
      </c>
    </row>
    <row r="583" spans="1:13" x14ac:dyDescent="0.2">
      <c r="A583" s="95">
        <v>904</v>
      </c>
      <c r="B583" s="95" t="s">
        <v>1658</v>
      </c>
      <c r="C583" s="95" t="s">
        <v>1652</v>
      </c>
      <c r="D583" s="95" t="s">
        <v>510</v>
      </c>
      <c r="E583" s="95" t="s">
        <v>510</v>
      </c>
      <c r="F583" s="95">
        <v>770</v>
      </c>
      <c r="G583" s="95" t="s">
        <v>511</v>
      </c>
      <c r="H583" s="95" t="s">
        <v>1659</v>
      </c>
      <c r="I583" s="95" t="s">
        <v>510</v>
      </c>
      <c r="J583" s="95" t="s">
        <v>536</v>
      </c>
      <c r="K583" s="95" t="s">
        <v>510</v>
      </c>
      <c r="L583" s="95" t="s">
        <v>510</v>
      </c>
      <c r="M583" s="101" t="str">
        <f t="shared" si="12"/>
        <v>View on Google Map</v>
      </c>
    </row>
    <row r="584" spans="1:13" x14ac:dyDescent="0.2">
      <c r="A584" s="95">
        <v>905</v>
      </c>
      <c r="B584" s="95" t="s">
        <v>1660</v>
      </c>
      <c r="C584" s="95" t="s">
        <v>1652</v>
      </c>
      <c r="D584" s="95" t="s">
        <v>510</v>
      </c>
      <c r="E584" s="95" t="s">
        <v>510</v>
      </c>
      <c r="F584" s="95">
        <v>769</v>
      </c>
      <c r="G584" s="95" t="s">
        <v>511</v>
      </c>
      <c r="H584" s="95" t="s">
        <v>1661</v>
      </c>
      <c r="I584" s="95" t="s">
        <v>510</v>
      </c>
      <c r="J584" s="95" t="s">
        <v>536</v>
      </c>
      <c r="K584" s="95" t="s">
        <v>510</v>
      </c>
      <c r="L584" s="95" t="s">
        <v>510</v>
      </c>
      <c r="M584" s="101" t="str">
        <f t="shared" si="12"/>
        <v>View on Google Map</v>
      </c>
    </row>
    <row r="585" spans="1:13" x14ac:dyDescent="0.2">
      <c r="A585" s="95">
        <v>906</v>
      </c>
      <c r="B585" s="95" t="s">
        <v>1662</v>
      </c>
      <c r="C585" s="95" t="s">
        <v>1652</v>
      </c>
      <c r="D585" s="95" t="s">
        <v>510</v>
      </c>
      <c r="E585" s="95" t="s">
        <v>510</v>
      </c>
      <c r="F585" s="95">
        <v>769</v>
      </c>
      <c r="G585" s="95" t="s">
        <v>511</v>
      </c>
      <c r="H585" s="95" t="s">
        <v>1663</v>
      </c>
      <c r="I585" s="95" t="s">
        <v>510</v>
      </c>
      <c r="J585" s="95" t="s">
        <v>536</v>
      </c>
      <c r="K585" s="95" t="s">
        <v>510</v>
      </c>
      <c r="L585" s="95" t="s">
        <v>510</v>
      </c>
      <c r="M585" s="101" t="str">
        <f t="shared" si="12"/>
        <v>View on Google Map</v>
      </c>
    </row>
    <row r="586" spans="1:13" x14ac:dyDescent="0.2">
      <c r="A586" s="95">
        <v>907</v>
      </c>
      <c r="B586" s="95" t="s">
        <v>1664</v>
      </c>
      <c r="C586" s="95" t="s">
        <v>1652</v>
      </c>
      <c r="D586" s="95" t="s">
        <v>510</v>
      </c>
      <c r="E586" s="95" t="s">
        <v>510</v>
      </c>
      <c r="F586" s="95">
        <v>770</v>
      </c>
      <c r="G586" s="95" t="s">
        <v>511</v>
      </c>
      <c r="H586" s="95" t="s">
        <v>1665</v>
      </c>
      <c r="I586" s="95" t="s">
        <v>510</v>
      </c>
      <c r="J586" s="95" t="s">
        <v>536</v>
      </c>
      <c r="K586" s="95" t="s">
        <v>510</v>
      </c>
      <c r="L586" s="95" t="s">
        <v>510</v>
      </c>
      <c r="M586" s="101" t="str">
        <f t="shared" si="12"/>
        <v>View on Google Map</v>
      </c>
    </row>
    <row r="587" spans="1:13" x14ac:dyDescent="0.2">
      <c r="A587" s="95">
        <v>908</v>
      </c>
      <c r="B587" s="95" t="s">
        <v>1666</v>
      </c>
      <c r="C587" s="95" t="s">
        <v>1652</v>
      </c>
      <c r="D587" s="95" t="s">
        <v>510</v>
      </c>
      <c r="E587" s="95" t="s">
        <v>510</v>
      </c>
      <c r="F587" s="95">
        <v>770</v>
      </c>
      <c r="G587" s="95" t="s">
        <v>511</v>
      </c>
      <c r="H587" s="95" t="s">
        <v>1667</v>
      </c>
      <c r="I587" s="95" t="s">
        <v>510</v>
      </c>
      <c r="J587" s="95" t="s">
        <v>536</v>
      </c>
      <c r="K587" s="95" t="s">
        <v>510</v>
      </c>
      <c r="L587" s="95" t="s">
        <v>510</v>
      </c>
      <c r="M587" s="101" t="str">
        <f t="shared" si="12"/>
        <v>View on Google Map</v>
      </c>
    </row>
    <row r="588" spans="1:13" x14ac:dyDescent="0.2">
      <c r="A588" s="95">
        <v>909</v>
      </c>
      <c r="B588" s="95" t="s">
        <v>1668</v>
      </c>
      <c r="C588" s="95" t="s">
        <v>1652</v>
      </c>
      <c r="D588" s="95" t="s">
        <v>510</v>
      </c>
      <c r="E588" s="95" t="s">
        <v>510</v>
      </c>
      <c r="F588" s="95">
        <v>764</v>
      </c>
      <c r="G588" s="95" t="s">
        <v>511</v>
      </c>
      <c r="H588" s="95" t="s">
        <v>1669</v>
      </c>
      <c r="I588" s="95" t="s">
        <v>510</v>
      </c>
      <c r="J588" s="95" t="s">
        <v>536</v>
      </c>
      <c r="K588" s="95" t="s">
        <v>510</v>
      </c>
      <c r="L588" s="95" t="s">
        <v>510</v>
      </c>
      <c r="M588" s="101" t="str">
        <f t="shared" si="12"/>
        <v>View on Google Map</v>
      </c>
    </row>
    <row r="589" spans="1:13" x14ac:dyDescent="0.2">
      <c r="A589" s="95">
        <v>910</v>
      </c>
      <c r="B589" s="95" t="s">
        <v>1670</v>
      </c>
      <c r="C589" s="95" t="s">
        <v>1652</v>
      </c>
      <c r="D589" s="95" t="s">
        <v>510</v>
      </c>
      <c r="E589" s="95" t="s">
        <v>510</v>
      </c>
      <c r="F589" s="95">
        <v>764</v>
      </c>
      <c r="G589" s="95" t="s">
        <v>511</v>
      </c>
      <c r="H589" s="95" t="s">
        <v>1671</v>
      </c>
      <c r="I589" s="95" t="s">
        <v>510</v>
      </c>
      <c r="J589" s="95" t="s">
        <v>536</v>
      </c>
      <c r="K589" s="95" t="s">
        <v>510</v>
      </c>
      <c r="L589" s="95" t="s">
        <v>510</v>
      </c>
      <c r="M589" s="101" t="str">
        <f t="shared" si="12"/>
        <v>View on Google Map</v>
      </c>
    </row>
    <row r="590" spans="1:13" x14ac:dyDescent="0.2">
      <c r="A590" s="95">
        <v>911</v>
      </c>
      <c r="B590" s="95" t="s">
        <v>1672</v>
      </c>
      <c r="C590" s="95" t="s">
        <v>1652</v>
      </c>
      <c r="D590" s="95" t="s">
        <v>510</v>
      </c>
      <c r="E590" s="95" t="s">
        <v>510</v>
      </c>
      <c r="F590" s="95">
        <v>760</v>
      </c>
      <c r="G590" s="95" t="s">
        <v>511</v>
      </c>
      <c r="H590" s="95" t="s">
        <v>1673</v>
      </c>
      <c r="I590" s="95" t="s">
        <v>510</v>
      </c>
      <c r="J590" s="95" t="s">
        <v>536</v>
      </c>
      <c r="K590" s="95" t="s">
        <v>510</v>
      </c>
      <c r="L590" s="95" t="s">
        <v>510</v>
      </c>
      <c r="M590" s="101" t="str">
        <f t="shared" si="12"/>
        <v>View on Google Map</v>
      </c>
    </row>
    <row r="591" spans="1:13" x14ac:dyDescent="0.2">
      <c r="A591" s="95">
        <v>912</v>
      </c>
      <c r="B591" s="95" t="s">
        <v>1674</v>
      </c>
      <c r="C591" s="95" t="s">
        <v>1652</v>
      </c>
      <c r="D591" s="95" t="s">
        <v>510</v>
      </c>
      <c r="E591" s="95" t="s">
        <v>510</v>
      </c>
      <c r="F591" s="95">
        <v>760</v>
      </c>
      <c r="G591" s="95" t="s">
        <v>511</v>
      </c>
      <c r="H591" s="95" t="s">
        <v>1675</v>
      </c>
      <c r="I591" s="95" t="s">
        <v>510</v>
      </c>
      <c r="J591" s="95" t="s">
        <v>536</v>
      </c>
      <c r="K591" s="95" t="s">
        <v>510</v>
      </c>
      <c r="L591" s="95" t="s">
        <v>510</v>
      </c>
      <c r="M591" s="101" t="str">
        <f t="shared" si="12"/>
        <v>View on Google Map</v>
      </c>
    </row>
    <row r="592" spans="1:13" x14ac:dyDescent="0.2">
      <c r="A592" s="95">
        <v>913</v>
      </c>
      <c r="B592" s="95" t="s">
        <v>1676</v>
      </c>
      <c r="C592" s="95" t="s">
        <v>1652</v>
      </c>
      <c r="D592" s="95" t="s">
        <v>510</v>
      </c>
      <c r="E592" s="95" t="s">
        <v>510</v>
      </c>
      <c r="F592" s="95">
        <v>759</v>
      </c>
      <c r="G592" s="95" t="s">
        <v>511</v>
      </c>
      <c r="H592" s="95" t="s">
        <v>1677</v>
      </c>
      <c r="I592" s="95" t="s">
        <v>510</v>
      </c>
      <c r="J592" s="95" t="s">
        <v>536</v>
      </c>
      <c r="K592" s="95" t="s">
        <v>510</v>
      </c>
      <c r="L592" s="95" t="s">
        <v>510</v>
      </c>
      <c r="M592" s="101" t="str">
        <f t="shared" si="12"/>
        <v>View on Google Map</v>
      </c>
    </row>
    <row r="593" spans="1:13" x14ac:dyDescent="0.2">
      <c r="A593" s="95">
        <v>914</v>
      </c>
      <c r="B593" s="95" t="s">
        <v>1678</v>
      </c>
      <c r="C593" s="95" t="s">
        <v>1652</v>
      </c>
      <c r="D593" s="95" t="s">
        <v>510</v>
      </c>
      <c r="E593" s="95" t="s">
        <v>510</v>
      </c>
      <c r="F593" s="95">
        <v>758</v>
      </c>
      <c r="G593" s="95" t="s">
        <v>511</v>
      </c>
      <c r="H593" s="95" t="s">
        <v>1679</v>
      </c>
      <c r="I593" s="95" t="s">
        <v>510</v>
      </c>
      <c r="J593" s="95" t="s">
        <v>536</v>
      </c>
      <c r="K593" s="95" t="s">
        <v>510</v>
      </c>
      <c r="L593" s="95" t="s">
        <v>510</v>
      </c>
      <c r="M593" s="101" t="str">
        <f t="shared" si="12"/>
        <v>View on Google Map</v>
      </c>
    </row>
    <row r="594" spans="1:13" x14ac:dyDescent="0.2">
      <c r="A594" s="95">
        <v>915</v>
      </c>
      <c r="B594" s="95" t="s">
        <v>1680</v>
      </c>
      <c r="C594" s="95" t="s">
        <v>1681</v>
      </c>
      <c r="D594" s="95">
        <v>68.627900999999994</v>
      </c>
      <c r="E594" s="95">
        <v>-149.61295100000001</v>
      </c>
      <c r="F594" s="95">
        <v>759</v>
      </c>
      <c r="G594" s="95" t="s">
        <v>511</v>
      </c>
      <c r="H594" s="95" t="s">
        <v>1682</v>
      </c>
      <c r="I594" s="95" t="s">
        <v>1683</v>
      </c>
      <c r="J594" s="95" t="s">
        <v>536</v>
      </c>
      <c r="K594" s="95" t="s">
        <v>510</v>
      </c>
      <c r="L594" s="95" t="s">
        <v>510</v>
      </c>
      <c r="M594" s="101" t="str">
        <f t="shared" si="12"/>
        <v>View on Google Map</v>
      </c>
    </row>
    <row r="595" spans="1:13" x14ac:dyDescent="0.2">
      <c r="A595" s="95">
        <v>900</v>
      </c>
      <c r="B595" s="95" t="s">
        <v>1684</v>
      </c>
      <c r="C595" s="95" t="s">
        <v>510</v>
      </c>
      <c r="D595" s="95">
        <v>68.623487999999995</v>
      </c>
      <c r="E595" s="95">
        <v>-149.616559</v>
      </c>
      <c r="F595" s="95">
        <v>761</v>
      </c>
      <c r="G595" s="95" t="s">
        <v>511</v>
      </c>
      <c r="H595" s="95" t="s">
        <v>1685</v>
      </c>
      <c r="I595" s="95" t="s">
        <v>1686</v>
      </c>
      <c r="J595" s="95" t="s">
        <v>536</v>
      </c>
      <c r="K595" s="95" t="s">
        <v>510</v>
      </c>
      <c r="L595" s="95" t="s">
        <v>510</v>
      </c>
      <c r="M595" s="101" t="str">
        <f t="shared" si="12"/>
        <v>View on Google Map</v>
      </c>
    </row>
    <row r="596" spans="1:13" x14ac:dyDescent="0.2">
      <c r="B596" s="95" t="s">
        <v>1687</v>
      </c>
      <c r="C596" s="95" t="s">
        <v>1122</v>
      </c>
      <c r="D596" s="95">
        <v>68.549263888888888</v>
      </c>
      <c r="E596" s="95">
        <v>-149.306022222222</v>
      </c>
      <c r="G596" s="95" t="s">
        <v>1047</v>
      </c>
      <c r="J596" s="16" t="s">
        <v>536</v>
      </c>
      <c r="M596" s="101" t="str">
        <f t="shared" si="12"/>
        <v>View on Google Map</v>
      </c>
    </row>
    <row r="597" spans="1:13" x14ac:dyDescent="0.2">
      <c r="B597" s="95" t="s">
        <v>1688</v>
      </c>
      <c r="C597" s="95" t="s">
        <v>1122</v>
      </c>
      <c r="D597" s="95">
        <v>68.550188888888883</v>
      </c>
      <c r="E597" s="95">
        <v>-149.310305555556</v>
      </c>
      <c r="G597" s="95" t="s">
        <v>1047</v>
      </c>
      <c r="J597" s="16" t="s">
        <v>536</v>
      </c>
      <c r="M597" s="101" t="str">
        <f t="shared" si="12"/>
        <v>View on Google Map</v>
      </c>
    </row>
    <row r="598" spans="1:13" x14ac:dyDescent="0.2">
      <c r="B598" s="95" t="s">
        <v>1689</v>
      </c>
      <c r="C598" s="95" t="s">
        <v>1122</v>
      </c>
      <c r="D598" s="95">
        <v>68.549108333333336</v>
      </c>
      <c r="E598" s="95">
        <v>-149.30837777777799</v>
      </c>
      <c r="G598" s="95" t="s">
        <v>1047</v>
      </c>
      <c r="J598" s="16" t="s">
        <v>536</v>
      </c>
      <c r="M598" s="101" t="str">
        <f t="shared" si="12"/>
        <v>View on Google Map</v>
      </c>
    </row>
    <row r="599" spans="1:13" x14ac:dyDescent="0.2">
      <c r="A599" s="95">
        <v>42</v>
      </c>
      <c r="B599" s="95" t="s">
        <v>1690</v>
      </c>
      <c r="C599" s="95" t="s">
        <v>510</v>
      </c>
      <c r="D599" s="95">
        <v>68.960555999999997</v>
      </c>
      <c r="E599" s="95">
        <v>-150.63055600000001</v>
      </c>
      <c r="F599" s="95" t="s">
        <v>510</v>
      </c>
      <c r="G599" s="95" t="s">
        <v>535</v>
      </c>
      <c r="H599" s="95" t="s">
        <v>1691</v>
      </c>
      <c r="I599" s="95" t="s">
        <v>510</v>
      </c>
      <c r="J599" s="95" t="s">
        <v>1521</v>
      </c>
      <c r="K599" s="95" t="s">
        <v>510</v>
      </c>
      <c r="L599" s="95" t="s">
        <v>518</v>
      </c>
      <c r="M599" s="101" t="str">
        <f t="shared" si="12"/>
        <v>View on Google Map</v>
      </c>
    </row>
    <row r="600" spans="1:13" x14ac:dyDescent="0.2">
      <c r="A600" s="95">
        <v>43</v>
      </c>
      <c r="B600" s="95" t="s">
        <v>1692</v>
      </c>
      <c r="C600" s="95" t="s">
        <v>510</v>
      </c>
      <c r="D600" s="95">
        <v>68.935101000000003</v>
      </c>
      <c r="E600" s="95">
        <v>-150.68391700000001</v>
      </c>
      <c r="F600" s="95" t="s">
        <v>510</v>
      </c>
      <c r="G600" s="95" t="s">
        <v>535</v>
      </c>
      <c r="H600" s="95" t="s">
        <v>1693</v>
      </c>
      <c r="I600" s="95" t="s">
        <v>510</v>
      </c>
      <c r="J600" s="95" t="s">
        <v>1521</v>
      </c>
      <c r="K600" s="95" t="s">
        <v>510</v>
      </c>
      <c r="L600" s="95" t="s">
        <v>518</v>
      </c>
      <c r="M600" s="101" t="str">
        <f t="shared" si="12"/>
        <v>View on Google Map</v>
      </c>
    </row>
    <row r="601" spans="1:13" x14ac:dyDescent="0.2">
      <c r="A601" s="95">
        <v>44</v>
      </c>
      <c r="B601" s="95" t="s">
        <v>1694</v>
      </c>
      <c r="C601" s="95" t="s">
        <v>510</v>
      </c>
      <c r="D601" s="95">
        <v>68.916987000000006</v>
      </c>
      <c r="E601" s="95">
        <v>-150.659291</v>
      </c>
      <c r="F601" s="95" t="s">
        <v>510</v>
      </c>
      <c r="G601" s="95" t="s">
        <v>535</v>
      </c>
      <c r="H601" s="95" t="s">
        <v>1695</v>
      </c>
      <c r="I601" s="95" t="s">
        <v>510</v>
      </c>
      <c r="J601" s="95" t="s">
        <v>1521</v>
      </c>
      <c r="K601" s="95" t="s">
        <v>510</v>
      </c>
      <c r="L601" s="95" t="s">
        <v>518</v>
      </c>
      <c r="M601" s="101" t="str">
        <f t="shared" si="12"/>
        <v>View on Google Map</v>
      </c>
    </row>
    <row r="602" spans="1:13" x14ac:dyDescent="0.2">
      <c r="B602" s="95" t="s">
        <v>1696</v>
      </c>
      <c r="C602" s="95" t="s">
        <v>1523</v>
      </c>
      <c r="D602" s="95">
        <v>69.132777777777775</v>
      </c>
      <c r="E602" s="95">
        <v>-150.710833333333</v>
      </c>
      <c r="G602" s="95" t="s">
        <v>529</v>
      </c>
      <c r="J602" s="95" t="s">
        <v>517</v>
      </c>
      <c r="L602" s="95" t="s">
        <v>518</v>
      </c>
      <c r="M602" s="101" t="str">
        <f t="shared" si="12"/>
        <v>View on Google Map</v>
      </c>
    </row>
    <row r="603" spans="1:13" x14ac:dyDescent="0.2">
      <c r="B603" s="95" t="s">
        <v>1697</v>
      </c>
      <c r="C603" s="95" t="s">
        <v>907</v>
      </c>
      <c r="D603" s="95">
        <v>69.13944444444445</v>
      </c>
      <c r="E603" s="95">
        <v>-150.68388888888899</v>
      </c>
      <c r="G603" s="95" t="s">
        <v>529</v>
      </c>
      <c r="J603" s="95" t="s">
        <v>517</v>
      </c>
      <c r="L603" s="95" t="s">
        <v>518</v>
      </c>
      <c r="M603" s="101" t="str">
        <f t="shared" si="12"/>
        <v>View on Google Map</v>
      </c>
    </row>
    <row r="604" spans="1:13" x14ac:dyDescent="0.2">
      <c r="B604" s="95" t="s">
        <v>1698</v>
      </c>
      <c r="C604" s="95" t="s">
        <v>1523</v>
      </c>
      <c r="D604" s="95">
        <v>68.960833333333341</v>
      </c>
      <c r="E604" s="95">
        <v>-150.719722222222</v>
      </c>
      <c r="G604" s="95" t="s">
        <v>529</v>
      </c>
      <c r="J604" s="95" t="s">
        <v>517</v>
      </c>
      <c r="L604" s="95" t="s">
        <v>518</v>
      </c>
      <c r="M604" s="101" t="str">
        <f t="shared" si="12"/>
        <v>View on Google Map</v>
      </c>
    </row>
    <row r="605" spans="1:13" x14ac:dyDescent="0.2">
      <c r="B605" s="95" t="s">
        <v>1699</v>
      </c>
      <c r="C605" s="95" t="s">
        <v>907</v>
      </c>
      <c r="D605" s="95">
        <v>69.055277777777775</v>
      </c>
      <c r="E605" s="95">
        <v>-150.80972222222201</v>
      </c>
      <c r="G605" s="95" t="s">
        <v>529</v>
      </c>
      <c r="J605" s="95" t="s">
        <v>517</v>
      </c>
      <c r="L605" s="95" t="s">
        <v>518</v>
      </c>
      <c r="M605" s="101" t="str">
        <f t="shared" si="12"/>
        <v>View on Google Map</v>
      </c>
    </row>
    <row r="606" spans="1:13" x14ac:dyDescent="0.2">
      <c r="A606" s="95">
        <v>932</v>
      </c>
      <c r="B606" s="95" t="s">
        <v>1700</v>
      </c>
      <c r="C606" s="95" t="s">
        <v>510</v>
      </c>
      <c r="D606" s="95" t="s">
        <v>510</v>
      </c>
      <c r="E606" s="95" t="s">
        <v>510</v>
      </c>
      <c r="F606" s="95">
        <v>750</v>
      </c>
      <c r="G606" s="95" t="s">
        <v>511</v>
      </c>
      <c r="H606" s="95" t="s">
        <v>1701</v>
      </c>
      <c r="I606" s="95" t="s">
        <v>1702</v>
      </c>
      <c r="J606" s="95" t="s">
        <v>536</v>
      </c>
      <c r="K606" s="95" t="s">
        <v>510</v>
      </c>
      <c r="L606" s="95" t="s">
        <v>510</v>
      </c>
      <c r="M606" s="101" t="str">
        <f t="shared" si="12"/>
        <v>View on Google Map</v>
      </c>
    </row>
    <row r="607" spans="1:13" x14ac:dyDescent="0.2">
      <c r="A607" s="95">
        <v>920</v>
      </c>
      <c r="B607" s="95" t="s">
        <v>1703</v>
      </c>
      <c r="C607" s="95" t="s">
        <v>510</v>
      </c>
      <c r="D607" s="95" t="s">
        <v>510</v>
      </c>
      <c r="E607" s="95" t="s">
        <v>510</v>
      </c>
      <c r="F607" s="95">
        <v>760</v>
      </c>
      <c r="G607" s="95" t="s">
        <v>511</v>
      </c>
      <c r="H607" s="95" t="s">
        <v>1704</v>
      </c>
      <c r="I607" s="95" t="s">
        <v>1705</v>
      </c>
      <c r="J607" s="95" t="s">
        <v>536</v>
      </c>
      <c r="K607" s="95" t="s">
        <v>510</v>
      </c>
      <c r="L607" s="95" t="s">
        <v>510</v>
      </c>
      <c r="M607" s="101" t="str">
        <f t="shared" si="12"/>
        <v>View on Google Map</v>
      </c>
    </row>
    <row r="608" spans="1:13" x14ac:dyDescent="0.2">
      <c r="A608" s="95">
        <v>921</v>
      </c>
      <c r="B608" s="95" t="s">
        <v>1706</v>
      </c>
      <c r="C608" s="95" t="s">
        <v>510</v>
      </c>
      <c r="D608" s="95" t="s">
        <v>510</v>
      </c>
      <c r="E608" s="95" t="s">
        <v>510</v>
      </c>
      <c r="F608" s="95">
        <v>720</v>
      </c>
      <c r="G608" s="95" t="s">
        <v>511</v>
      </c>
      <c r="H608" s="95" t="s">
        <v>1707</v>
      </c>
      <c r="I608" s="95" t="s">
        <v>1708</v>
      </c>
      <c r="J608" s="95" t="s">
        <v>536</v>
      </c>
      <c r="K608" s="95" t="s">
        <v>510</v>
      </c>
      <c r="L608" s="95" t="s">
        <v>510</v>
      </c>
      <c r="M608" s="101" t="str">
        <f t="shared" si="12"/>
        <v>View on Google Map</v>
      </c>
    </row>
    <row r="609" spans="1:13" x14ac:dyDescent="0.2">
      <c r="A609" s="95">
        <v>922</v>
      </c>
      <c r="B609" s="95" t="s">
        <v>1709</v>
      </c>
      <c r="C609" s="95" t="s">
        <v>510</v>
      </c>
      <c r="D609" s="95" t="s">
        <v>510</v>
      </c>
      <c r="E609" s="95" t="s">
        <v>510</v>
      </c>
      <c r="F609" s="95">
        <v>750</v>
      </c>
      <c r="G609" s="95" t="s">
        <v>511</v>
      </c>
      <c r="H609" s="95" t="s">
        <v>1710</v>
      </c>
      <c r="I609" s="95" t="s">
        <v>1711</v>
      </c>
      <c r="J609" s="95" t="s">
        <v>536</v>
      </c>
      <c r="K609" s="95" t="s">
        <v>510</v>
      </c>
      <c r="L609" s="95" t="s">
        <v>510</v>
      </c>
      <c r="M609" s="101" t="str">
        <f t="shared" si="12"/>
        <v>View on Google Map</v>
      </c>
    </row>
    <row r="610" spans="1:13" x14ac:dyDescent="0.2">
      <c r="A610" s="95">
        <v>923</v>
      </c>
      <c r="B610" s="95" t="s">
        <v>1712</v>
      </c>
      <c r="C610" s="95" t="s">
        <v>510</v>
      </c>
      <c r="D610" s="95" t="s">
        <v>510</v>
      </c>
      <c r="E610" s="95" t="s">
        <v>510</v>
      </c>
      <c r="F610" s="95">
        <v>750</v>
      </c>
      <c r="G610" s="95" t="s">
        <v>511</v>
      </c>
      <c r="H610" s="95" t="s">
        <v>1713</v>
      </c>
      <c r="I610" s="95" t="s">
        <v>1714</v>
      </c>
      <c r="J610" s="95" t="s">
        <v>536</v>
      </c>
      <c r="K610" s="95" t="s">
        <v>510</v>
      </c>
      <c r="L610" s="95" t="s">
        <v>510</v>
      </c>
      <c r="M610" s="101" t="str">
        <f t="shared" si="12"/>
        <v>View on Google Map</v>
      </c>
    </row>
    <row r="611" spans="1:13" x14ac:dyDescent="0.2">
      <c r="A611" s="95">
        <v>924</v>
      </c>
      <c r="B611" s="95" t="s">
        <v>1715</v>
      </c>
      <c r="C611" s="95" t="s">
        <v>510</v>
      </c>
      <c r="D611" s="95" t="s">
        <v>510</v>
      </c>
      <c r="E611" s="95" t="s">
        <v>510</v>
      </c>
      <c r="F611" s="95">
        <v>750</v>
      </c>
      <c r="G611" s="95" t="s">
        <v>511</v>
      </c>
      <c r="H611" s="95" t="s">
        <v>1716</v>
      </c>
      <c r="I611" s="95" t="s">
        <v>1717</v>
      </c>
      <c r="J611" s="95" t="s">
        <v>536</v>
      </c>
      <c r="K611" s="95" t="s">
        <v>510</v>
      </c>
      <c r="L611" s="95" t="s">
        <v>510</v>
      </c>
      <c r="M611" s="101" t="str">
        <f t="shared" si="12"/>
        <v>View on Google Map</v>
      </c>
    </row>
    <row r="612" spans="1:13" x14ac:dyDescent="0.2">
      <c r="A612" s="95">
        <v>925</v>
      </c>
      <c r="B612" s="95" t="s">
        <v>1718</v>
      </c>
      <c r="C612" s="95" t="s">
        <v>510</v>
      </c>
      <c r="D612" s="95" t="s">
        <v>510</v>
      </c>
      <c r="E612" s="95" t="s">
        <v>510</v>
      </c>
      <c r="F612" s="95">
        <v>750</v>
      </c>
      <c r="G612" s="95" t="s">
        <v>511</v>
      </c>
      <c r="H612" s="95" t="s">
        <v>1719</v>
      </c>
      <c r="I612" s="95" t="s">
        <v>1720</v>
      </c>
      <c r="J612" s="95" t="s">
        <v>536</v>
      </c>
      <c r="K612" s="95" t="s">
        <v>510</v>
      </c>
      <c r="L612" s="95" t="s">
        <v>510</v>
      </c>
      <c r="M612" s="101" t="str">
        <f t="shared" si="12"/>
        <v>View on Google Map</v>
      </c>
    </row>
    <row r="613" spans="1:13" x14ac:dyDescent="0.2">
      <c r="A613" s="95">
        <v>926</v>
      </c>
      <c r="B613" s="95" t="s">
        <v>1721</v>
      </c>
      <c r="C613" s="95" t="s">
        <v>510</v>
      </c>
      <c r="D613" s="95" t="s">
        <v>510</v>
      </c>
      <c r="E613" s="95" t="s">
        <v>510</v>
      </c>
      <c r="F613" s="95">
        <v>750</v>
      </c>
      <c r="G613" s="95" t="s">
        <v>511</v>
      </c>
      <c r="H613" s="95" t="s">
        <v>1722</v>
      </c>
      <c r="I613" s="95" t="s">
        <v>1723</v>
      </c>
      <c r="J613" s="95" t="s">
        <v>536</v>
      </c>
      <c r="K613" s="95" t="s">
        <v>510</v>
      </c>
      <c r="L613" s="95" t="s">
        <v>510</v>
      </c>
      <c r="M613" s="101" t="str">
        <f t="shared" si="12"/>
        <v>View on Google Map</v>
      </c>
    </row>
    <row r="614" spans="1:13" x14ac:dyDescent="0.2">
      <c r="A614" s="95">
        <v>927</v>
      </c>
      <c r="B614" s="95" t="s">
        <v>1724</v>
      </c>
      <c r="C614" s="95" t="s">
        <v>510</v>
      </c>
      <c r="D614" s="95" t="s">
        <v>510</v>
      </c>
      <c r="E614" s="95" t="s">
        <v>510</v>
      </c>
      <c r="F614" s="95">
        <v>750</v>
      </c>
      <c r="G614" s="95" t="s">
        <v>511</v>
      </c>
      <c r="H614" s="95" t="s">
        <v>1725</v>
      </c>
      <c r="I614" s="95" t="s">
        <v>1726</v>
      </c>
      <c r="J614" s="95" t="s">
        <v>536</v>
      </c>
      <c r="K614" s="95" t="s">
        <v>510</v>
      </c>
      <c r="L614" s="95" t="s">
        <v>510</v>
      </c>
      <c r="M614" s="101" t="str">
        <f t="shared" si="12"/>
        <v>View on Google Map</v>
      </c>
    </row>
    <row r="615" spans="1:13" x14ac:dyDescent="0.2">
      <c r="A615" s="95">
        <v>928</v>
      </c>
      <c r="B615" s="95" t="s">
        <v>1727</v>
      </c>
      <c r="C615" s="95" t="s">
        <v>510</v>
      </c>
      <c r="D615" s="95" t="s">
        <v>510</v>
      </c>
      <c r="E615" s="95" t="s">
        <v>510</v>
      </c>
      <c r="F615" s="95">
        <v>750</v>
      </c>
      <c r="G615" s="95" t="s">
        <v>511</v>
      </c>
      <c r="H615" s="95" t="s">
        <v>1728</v>
      </c>
      <c r="I615" s="95" t="s">
        <v>1729</v>
      </c>
      <c r="J615" s="95" t="s">
        <v>536</v>
      </c>
      <c r="K615" s="95" t="s">
        <v>510</v>
      </c>
      <c r="L615" s="95" t="s">
        <v>510</v>
      </c>
      <c r="M615" s="101" t="str">
        <f t="shared" si="12"/>
        <v>View on Google Map</v>
      </c>
    </row>
    <row r="616" spans="1:13" x14ac:dyDescent="0.2">
      <c r="A616" s="95">
        <v>929</v>
      </c>
      <c r="B616" s="95" t="s">
        <v>1730</v>
      </c>
      <c r="C616" s="95" t="s">
        <v>510</v>
      </c>
      <c r="D616" s="95" t="s">
        <v>510</v>
      </c>
      <c r="E616" s="95" t="s">
        <v>510</v>
      </c>
      <c r="F616" s="95">
        <v>750</v>
      </c>
      <c r="G616" s="95" t="s">
        <v>511</v>
      </c>
      <c r="H616" s="95" t="s">
        <v>1731</v>
      </c>
      <c r="I616" s="95" t="s">
        <v>1732</v>
      </c>
      <c r="J616" s="95" t="s">
        <v>536</v>
      </c>
      <c r="K616" s="95" t="s">
        <v>510</v>
      </c>
      <c r="L616" s="95" t="s">
        <v>510</v>
      </c>
      <c r="M616" s="101" t="str">
        <f t="shared" si="12"/>
        <v>View on Google Map</v>
      </c>
    </row>
    <row r="617" spans="1:13" x14ac:dyDescent="0.2">
      <c r="A617" s="95">
        <v>930</v>
      </c>
      <c r="B617" s="95" t="s">
        <v>1733</v>
      </c>
      <c r="C617" s="95" t="s">
        <v>510</v>
      </c>
      <c r="D617" s="95" t="s">
        <v>510</v>
      </c>
      <c r="E617" s="95" t="s">
        <v>510</v>
      </c>
      <c r="F617" s="95">
        <v>750</v>
      </c>
      <c r="G617" s="95" t="s">
        <v>511</v>
      </c>
      <c r="H617" s="95" t="s">
        <v>1734</v>
      </c>
      <c r="I617" s="95" t="s">
        <v>1735</v>
      </c>
      <c r="J617" s="95" t="s">
        <v>536</v>
      </c>
      <c r="K617" s="95" t="s">
        <v>510</v>
      </c>
      <c r="L617" s="95" t="s">
        <v>510</v>
      </c>
      <c r="M617" s="101" t="str">
        <f t="shared" si="12"/>
        <v>View on Google Map</v>
      </c>
    </row>
    <row r="618" spans="1:13" x14ac:dyDescent="0.2">
      <c r="A618" s="95">
        <v>931</v>
      </c>
      <c r="B618" s="95" t="s">
        <v>1736</v>
      </c>
      <c r="C618" s="95" t="s">
        <v>510</v>
      </c>
      <c r="D618" s="95" t="s">
        <v>510</v>
      </c>
      <c r="E618" s="95" t="s">
        <v>510</v>
      </c>
      <c r="F618" s="95">
        <v>750</v>
      </c>
      <c r="G618" s="95" t="s">
        <v>511</v>
      </c>
      <c r="H618" s="95" t="s">
        <v>1737</v>
      </c>
      <c r="I618" s="95" t="s">
        <v>1738</v>
      </c>
      <c r="J618" s="95" t="s">
        <v>536</v>
      </c>
      <c r="K618" s="95" t="s">
        <v>510</v>
      </c>
      <c r="L618" s="95" t="s">
        <v>510</v>
      </c>
      <c r="M618" s="101" t="str">
        <f t="shared" si="12"/>
        <v>View on Google Map</v>
      </c>
    </row>
    <row r="619" spans="1:13" x14ac:dyDescent="0.2">
      <c r="A619" s="95">
        <v>370</v>
      </c>
      <c r="B619" s="95" t="s">
        <v>1739</v>
      </c>
      <c r="C619" s="95" t="s">
        <v>510</v>
      </c>
      <c r="D619" s="95" t="s">
        <v>510</v>
      </c>
      <c r="E619" s="95" t="s">
        <v>510</v>
      </c>
      <c r="F619" s="95" t="s">
        <v>510</v>
      </c>
      <c r="G619" s="95" t="s">
        <v>521</v>
      </c>
      <c r="H619" s="95" t="s">
        <v>510</v>
      </c>
      <c r="I619" s="95" t="s">
        <v>510</v>
      </c>
      <c r="J619" s="95" t="s">
        <v>536</v>
      </c>
      <c r="K619" s="95" t="s">
        <v>510</v>
      </c>
      <c r="L619" s="95" t="s">
        <v>1740</v>
      </c>
      <c r="M619" s="101" t="str">
        <f t="shared" si="12"/>
        <v>View on Google Map</v>
      </c>
    </row>
    <row r="620" spans="1:13" x14ac:dyDescent="0.2">
      <c r="A620" s="95">
        <v>371</v>
      </c>
      <c r="B620" s="95" t="s">
        <v>1741</v>
      </c>
      <c r="C620" s="95" t="s">
        <v>510</v>
      </c>
      <c r="D620" s="95" t="s">
        <v>510</v>
      </c>
      <c r="E620" s="95" t="s">
        <v>510</v>
      </c>
      <c r="F620" s="95" t="s">
        <v>510</v>
      </c>
      <c r="G620" s="95" t="s">
        <v>521</v>
      </c>
      <c r="H620" s="95" t="s">
        <v>510</v>
      </c>
      <c r="I620" s="95" t="s">
        <v>510</v>
      </c>
      <c r="J620" s="95" t="s">
        <v>536</v>
      </c>
      <c r="K620" s="95" t="s">
        <v>510</v>
      </c>
      <c r="L620" s="95" t="s">
        <v>1740</v>
      </c>
      <c r="M620" s="101" t="str">
        <f t="shared" si="12"/>
        <v>View on Google Map</v>
      </c>
    </row>
    <row r="621" spans="1:13" x14ac:dyDescent="0.2">
      <c r="A621" s="95">
        <v>372</v>
      </c>
      <c r="B621" s="95" t="s">
        <v>1742</v>
      </c>
      <c r="C621" s="95" t="s">
        <v>510</v>
      </c>
      <c r="D621" s="95" t="s">
        <v>510</v>
      </c>
      <c r="E621" s="95" t="s">
        <v>510</v>
      </c>
      <c r="F621" s="95" t="s">
        <v>510</v>
      </c>
      <c r="G621" s="95" t="s">
        <v>521</v>
      </c>
      <c r="H621" s="95" t="s">
        <v>510</v>
      </c>
      <c r="I621" s="95" t="s">
        <v>510</v>
      </c>
      <c r="J621" s="95" t="s">
        <v>536</v>
      </c>
      <c r="K621" s="95" t="s">
        <v>510</v>
      </c>
      <c r="L621" s="95" t="s">
        <v>1740</v>
      </c>
      <c r="M621" s="101" t="str">
        <f t="shared" si="12"/>
        <v>View on Google Map</v>
      </c>
    </row>
    <row r="622" spans="1:13" x14ac:dyDescent="0.2">
      <c r="A622" s="95">
        <v>373</v>
      </c>
      <c r="B622" s="95" t="s">
        <v>1743</v>
      </c>
      <c r="C622" s="95" t="s">
        <v>510</v>
      </c>
      <c r="D622" s="95" t="s">
        <v>510</v>
      </c>
      <c r="E622" s="95" t="s">
        <v>510</v>
      </c>
      <c r="F622" s="95" t="s">
        <v>510</v>
      </c>
      <c r="G622" s="95" t="s">
        <v>521</v>
      </c>
      <c r="H622" s="95" t="s">
        <v>510</v>
      </c>
      <c r="I622" s="95" t="s">
        <v>510</v>
      </c>
      <c r="J622" s="95" t="s">
        <v>536</v>
      </c>
      <c r="K622" s="95" t="s">
        <v>510</v>
      </c>
      <c r="L622" s="95" t="s">
        <v>1740</v>
      </c>
      <c r="M622" s="101" t="str">
        <f t="shared" si="12"/>
        <v>View on Google Map</v>
      </c>
    </row>
    <row r="623" spans="1:13" x14ac:dyDescent="0.2">
      <c r="A623" s="95">
        <v>374</v>
      </c>
      <c r="B623" s="95" t="s">
        <v>1744</v>
      </c>
      <c r="C623" s="95" t="s">
        <v>510</v>
      </c>
      <c r="D623" s="95" t="s">
        <v>510</v>
      </c>
      <c r="E623" s="95" t="s">
        <v>510</v>
      </c>
      <c r="F623" s="95" t="s">
        <v>510</v>
      </c>
      <c r="G623" s="95" t="s">
        <v>521</v>
      </c>
      <c r="H623" s="95" t="s">
        <v>510</v>
      </c>
      <c r="I623" s="95" t="s">
        <v>510</v>
      </c>
      <c r="J623" s="95" t="s">
        <v>536</v>
      </c>
      <c r="K623" s="95" t="s">
        <v>510</v>
      </c>
      <c r="L623" s="95" t="s">
        <v>1740</v>
      </c>
      <c r="M623" s="101" t="str">
        <f t="shared" si="12"/>
        <v>View on Google Map</v>
      </c>
    </row>
    <row r="624" spans="1:13" x14ac:dyDescent="0.2">
      <c r="A624" s="95">
        <v>375</v>
      </c>
      <c r="B624" s="95" t="s">
        <v>1745</v>
      </c>
      <c r="C624" s="95" t="s">
        <v>510</v>
      </c>
      <c r="D624" s="95" t="s">
        <v>510</v>
      </c>
      <c r="E624" s="95" t="s">
        <v>510</v>
      </c>
      <c r="F624" s="95" t="s">
        <v>510</v>
      </c>
      <c r="G624" s="95" t="s">
        <v>521</v>
      </c>
      <c r="H624" s="95" t="s">
        <v>510</v>
      </c>
      <c r="I624" s="95" t="s">
        <v>510</v>
      </c>
      <c r="J624" s="95" t="s">
        <v>536</v>
      </c>
      <c r="K624" s="95" t="s">
        <v>510</v>
      </c>
      <c r="L624" s="95" t="s">
        <v>1740</v>
      </c>
      <c r="M624" s="101" t="str">
        <f t="shared" si="12"/>
        <v>View on Google Map</v>
      </c>
    </row>
    <row r="625" spans="1:13" x14ac:dyDescent="0.2">
      <c r="A625" s="95">
        <v>376</v>
      </c>
      <c r="B625" s="95" t="s">
        <v>1746</v>
      </c>
      <c r="C625" s="95" t="s">
        <v>510</v>
      </c>
      <c r="D625" s="95" t="s">
        <v>510</v>
      </c>
      <c r="E625" s="95" t="s">
        <v>510</v>
      </c>
      <c r="F625" s="95" t="s">
        <v>510</v>
      </c>
      <c r="G625" s="95" t="s">
        <v>521</v>
      </c>
      <c r="H625" s="95" t="s">
        <v>510</v>
      </c>
      <c r="I625" s="95" t="s">
        <v>510</v>
      </c>
      <c r="J625" s="95" t="s">
        <v>536</v>
      </c>
      <c r="K625" s="95" t="s">
        <v>510</v>
      </c>
      <c r="L625" s="95" t="s">
        <v>1740</v>
      </c>
      <c r="M625" s="101" t="str">
        <f t="shared" si="12"/>
        <v>View on Google Map</v>
      </c>
    </row>
    <row r="626" spans="1:13" x14ac:dyDescent="0.2">
      <c r="A626" s="95">
        <v>377</v>
      </c>
      <c r="B626" s="95" t="s">
        <v>1747</v>
      </c>
      <c r="C626" s="95" t="s">
        <v>510</v>
      </c>
      <c r="D626" s="95" t="s">
        <v>510</v>
      </c>
      <c r="E626" s="95" t="s">
        <v>510</v>
      </c>
      <c r="F626" s="95" t="s">
        <v>510</v>
      </c>
      <c r="G626" s="95" t="s">
        <v>521</v>
      </c>
      <c r="H626" s="95" t="s">
        <v>510</v>
      </c>
      <c r="I626" s="95" t="s">
        <v>510</v>
      </c>
      <c r="J626" s="95" t="s">
        <v>536</v>
      </c>
      <c r="K626" s="95" t="s">
        <v>510</v>
      </c>
      <c r="L626" s="95" t="s">
        <v>1740</v>
      </c>
      <c r="M626" s="101" t="str">
        <f t="shared" si="12"/>
        <v>View on Google Map</v>
      </c>
    </row>
    <row r="627" spans="1:13" x14ac:dyDescent="0.2">
      <c r="A627" s="95">
        <v>378</v>
      </c>
      <c r="B627" s="95" t="s">
        <v>1748</v>
      </c>
      <c r="C627" s="95" t="s">
        <v>510</v>
      </c>
      <c r="D627" s="95" t="s">
        <v>510</v>
      </c>
      <c r="E627" s="95" t="s">
        <v>510</v>
      </c>
      <c r="F627" s="95" t="s">
        <v>510</v>
      </c>
      <c r="G627" s="95" t="s">
        <v>521</v>
      </c>
      <c r="H627" s="95" t="s">
        <v>510</v>
      </c>
      <c r="I627" s="95" t="s">
        <v>510</v>
      </c>
      <c r="J627" s="95" t="s">
        <v>536</v>
      </c>
      <c r="K627" s="95" t="s">
        <v>510</v>
      </c>
      <c r="L627" s="95" t="s">
        <v>1740</v>
      </c>
      <c r="M627" s="101" t="str">
        <f t="shared" si="12"/>
        <v>View on Google Map</v>
      </c>
    </row>
    <row r="628" spans="1:13" x14ac:dyDescent="0.2">
      <c r="A628" s="95">
        <v>379</v>
      </c>
      <c r="B628" s="95" t="s">
        <v>1749</v>
      </c>
      <c r="C628" s="95" t="s">
        <v>510</v>
      </c>
      <c r="D628" s="95" t="s">
        <v>510</v>
      </c>
      <c r="E628" s="95" t="s">
        <v>510</v>
      </c>
      <c r="F628" s="95" t="s">
        <v>510</v>
      </c>
      <c r="G628" s="95" t="s">
        <v>521</v>
      </c>
      <c r="H628" s="95" t="s">
        <v>510</v>
      </c>
      <c r="I628" s="95" t="s">
        <v>510</v>
      </c>
      <c r="J628" s="95" t="s">
        <v>536</v>
      </c>
      <c r="K628" s="95" t="s">
        <v>510</v>
      </c>
      <c r="L628" s="95" t="s">
        <v>1740</v>
      </c>
      <c r="M628" s="101" t="str">
        <f t="shared" si="12"/>
        <v>View on Google Map</v>
      </c>
    </row>
    <row r="629" spans="1:13" x14ac:dyDescent="0.2">
      <c r="A629" s="95">
        <v>458</v>
      </c>
      <c r="B629" s="95" t="s">
        <v>1750</v>
      </c>
      <c r="C629" s="95" t="s">
        <v>510</v>
      </c>
      <c r="D629" s="95">
        <v>68.986329999999995</v>
      </c>
      <c r="E629" s="95">
        <v>-149.89803000000001</v>
      </c>
      <c r="F629" s="95">
        <v>419</v>
      </c>
      <c r="G629" s="95" t="s">
        <v>521</v>
      </c>
      <c r="H629" s="95" t="s">
        <v>510</v>
      </c>
      <c r="I629" s="95" t="s">
        <v>510</v>
      </c>
      <c r="J629" s="95" t="s">
        <v>522</v>
      </c>
      <c r="K629" s="95" t="s">
        <v>510</v>
      </c>
      <c r="L629" s="95" t="s">
        <v>510</v>
      </c>
      <c r="M629" s="101" t="str">
        <f t="shared" si="12"/>
        <v>View on Google Map</v>
      </c>
    </row>
    <row r="630" spans="1:13" x14ac:dyDescent="0.2">
      <c r="A630" s="95">
        <v>459</v>
      </c>
      <c r="B630" s="95" t="s">
        <v>1751</v>
      </c>
      <c r="C630" s="95" t="s">
        <v>510</v>
      </c>
      <c r="D630" s="95">
        <v>68.983530000000002</v>
      </c>
      <c r="E630" s="95">
        <v>-149.89436000000001</v>
      </c>
      <c r="F630" s="95">
        <v>408</v>
      </c>
      <c r="G630" s="95" t="s">
        <v>521</v>
      </c>
      <c r="H630" s="95" t="s">
        <v>510</v>
      </c>
      <c r="I630" s="95" t="s">
        <v>510</v>
      </c>
      <c r="J630" s="95" t="s">
        <v>522</v>
      </c>
      <c r="K630" s="95" t="s">
        <v>510</v>
      </c>
      <c r="L630" s="95" t="s">
        <v>510</v>
      </c>
      <c r="M630" s="101" t="str">
        <f t="shared" si="12"/>
        <v>View on Google Map</v>
      </c>
    </row>
    <row r="631" spans="1:13" x14ac:dyDescent="0.2">
      <c r="A631" s="95">
        <v>460</v>
      </c>
      <c r="B631" s="95" t="s">
        <v>1752</v>
      </c>
      <c r="C631" s="95" t="s">
        <v>510</v>
      </c>
      <c r="D631" s="95">
        <v>68.978710000000007</v>
      </c>
      <c r="E631" s="95">
        <v>-149.89182</v>
      </c>
      <c r="F631" s="95">
        <v>394</v>
      </c>
      <c r="G631" s="95" t="s">
        <v>521</v>
      </c>
      <c r="H631" s="95" t="s">
        <v>510</v>
      </c>
      <c r="I631" s="95" t="s">
        <v>510</v>
      </c>
      <c r="J631" s="95" t="s">
        <v>522</v>
      </c>
      <c r="K631" s="95" t="s">
        <v>510</v>
      </c>
      <c r="L631" s="95" t="s">
        <v>510</v>
      </c>
      <c r="M631" s="101" t="str">
        <f t="shared" si="12"/>
        <v>View on Google Map</v>
      </c>
    </row>
    <row r="632" spans="1:13" x14ac:dyDescent="0.2">
      <c r="A632" s="95">
        <v>461</v>
      </c>
      <c r="B632" s="95" t="s">
        <v>1753</v>
      </c>
      <c r="C632" s="95" t="s">
        <v>510</v>
      </c>
      <c r="D632" s="95">
        <v>68.861750000000001</v>
      </c>
      <c r="E632" s="95">
        <v>-149.03908000000001</v>
      </c>
      <c r="F632" s="95">
        <v>651</v>
      </c>
      <c r="G632" s="95" t="s">
        <v>521</v>
      </c>
      <c r="H632" s="95" t="s">
        <v>510</v>
      </c>
      <c r="I632" s="95" t="s">
        <v>510</v>
      </c>
      <c r="J632" s="95" t="s">
        <v>522</v>
      </c>
      <c r="K632" s="95" t="s">
        <v>510</v>
      </c>
      <c r="L632" s="95" t="s">
        <v>510</v>
      </c>
      <c r="M632" s="101" t="str">
        <f t="shared" si="12"/>
        <v>View on Google Map</v>
      </c>
    </row>
    <row r="633" spans="1:13" x14ac:dyDescent="0.2">
      <c r="A633" s="95">
        <v>462</v>
      </c>
      <c r="B633" s="95" t="s">
        <v>1754</v>
      </c>
      <c r="C633" s="95" t="s">
        <v>510</v>
      </c>
      <c r="D633" s="95">
        <v>68.867549999999994</v>
      </c>
      <c r="E633" s="95">
        <v>-149.03557000000001</v>
      </c>
      <c r="F633" s="95">
        <v>638</v>
      </c>
      <c r="G633" s="95" t="s">
        <v>521</v>
      </c>
      <c r="H633" s="95" t="s">
        <v>510</v>
      </c>
      <c r="I633" s="95" t="s">
        <v>510</v>
      </c>
      <c r="J633" s="95" t="s">
        <v>522</v>
      </c>
      <c r="K633" s="95" t="s">
        <v>510</v>
      </c>
      <c r="L633" s="95" t="s">
        <v>510</v>
      </c>
      <c r="M633" s="101" t="str">
        <f t="shared" si="12"/>
        <v>View on Google Map</v>
      </c>
    </row>
    <row r="634" spans="1:13" x14ac:dyDescent="0.2">
      <c r="A634" s="102">
        <v>463</v>
      </c>
      <c r="B634" s="102" t="s">
        <v>1755</v>
      </c>
      <c r="C634" s="102" t="s">
        <v>510</v>
      </c>
      <c r="D634" s="102">
        <v>68.873149999999995</v>
      </c>
      <c r="E634" s="102">
        <v>-149.04128</v>
      </c>
      <c r="F634" s="102">
        <v>637</v>
      </c>
      <c r="G634" s="102" t="s">
        <v>521</v>
      </c>
      <c r="H634" s="102" t="s">
        <v>510</v>
      </c>
      <c r="I634" s="102" t="s">
        <v>510</v>
      </c>
      <c r="J634" s="102" t="s">
        <v>522</v>
      </c>
      <c r="K634" s="102" t="s">
        <v>510</v>
      </c>
      <c r="L634" s="102" t="s">
        <v>510</v>
      </c>
      <c r="M634" s="101" t="str">
        <f t="shared" si="12"/>
        <v>View on Google Map</v>
      </c>
    </row>
    <row r="635" spans="1:13" x14ac:dyDescent="0.2">
      <c r="A635" s="95">
        <v>129</v>
      </c>
      <c r="B635" s="95" t="s">
        <v>1756</v>
      </c>
      <c r="C635" s="95" t="s">
        <v>1596</v>
      </c>
      <c r="D635" s="95">
        <v>69.966666666666669</v>
      </c>
      <c r="E635" s="95">
        <v>-148.73333333333301</v>
      </c>
      <c r="F635" s="95">
        <v>57</v>
      </c>
      <c r="G635" s="95" t="s">
        <v>521</v>
      </c>
      <c r="H635" s="95" t="s">
        <v>1757</v>
      </c>
      <c r="I635" s="95" t="s">
        <v>510</v>
      </c>
      <c r="J635" s="95" t="s">
        <v>536</v>
      </c>
      <c r="K635" s="95" t="s">
        <v>510</v>
      </c>
      <c r="L635" s="95" t="s">
        <v>537</v>
      </c>
      <c r="M635" s="101" t="str">
        <f t="shared" si="12"/>
        <v>View on Google Map</v>
      </c>
    </row>
    <row r="636" spans="1:13" x14ac:dyDescent="0.2">
      <c r="A636" s="95">
        <v>17</v>
      </c>
      <c r="B636" s="95" t="s">
        <v>1758</v>
      </c>
      <c r="C636" s="95" t="s">
        <v>1759</v>
      </c>
      <c r="D636" s="95" t="s">
        <v>510</v>
      </c>
      <c r="E636" s="95" t="s">
        <v>510</v>
      </c>
      <c r="F636" s="95" t="s">
        <v>510</v>
      </c>
      <c r="G636" s="95" t="s">
        <v>535</v>
      </c>
      <c r="H636" s="95" t="s">
        <v>510</v>
      </c>
      <c r="I636" s="95" t="s">
        <v>510</v>
      </c>
      <c r="J636" s="95" t="s">
        <v>536</v>
      </c>
      <c r="K636" s="95" t="s">
        <v>510</v>
      </c>
      <c r="L636" s="95" t="s">
        <v>510</v>
      </c>
      <c r="M636" s="101" t="str">
        <f t="shared" si="12"/>
        <v>View on Google Map</v>
      </c>
    </row>
    <row r="637" spans="1:13" x14ac:dyDescent="0.2">
      <c r="A637" s="95">
        <v>530</v>
      </c>
      <c r="B637" s="95" t="s">
        <v>1760</v>
      </c>
      <c r="C637" s="95" t="s">
        <v>916</v>
      </c>
      <c r="D637" s="95">
        <v>68.674332000000007</v>
      </c>
      <c r="E637" s="95">
        <v>-149.61694399999999</v>
      </c>
      <c r="F637" s="95">
        <v>701</v>
      </c>
      <c r="G637" s="95" t="s">
        <v>521</v>
      </c>
      <c r="H637" s="95" t="s">
        <v>510</v>
      </c>
      <c r="I637" s="95" t="s">
        <v>510</v>
      </c>
      <c r="J637" s="95" t="s">
        <v>522</v>
      </c>
      <c r="K637" s="95" t="s">
        <v>510</v>
      </c>
      <c r="L637" s="95" t="s">
        <v>917</v>
      </c>
      <c r="M637" s="101" t="str">
        <f t="shared" si="12"/>
        <v>View on Google Map</v>
      </c>
    </row>
    <row r="638" spans="1:13" x14ac:dyDescent="0.2">
      <c r="A638" s="95">
        <v>496</v>
      </c>
      <c r="B638" s="95" t="s">
        <v>1761</v>
      </c>
      <c r="C638" s="95" t="s">
        <v>510</v>
      </c>
      <c r="D638" s="95">
        <v>68.674149999999997</v>
      </c>
      <c r="E638" s="95">
        <v>-149.61810299999999</v>
      </c>
      <c r="F638" s="95">
        <v>701</v>
      </c>
      <c r="G638" s="95" t="s">
        <v>535</v>
      </c>
      <c r="H638" s="95" t="s">
        <v>1762</v>
      </c>
      <c r="I638" s="95" t="s">
        <v>510</v>
      </c>
      <c r="J638" s="95" t="s">
        <v>1438</v>
      </c>
      <c r="K638" s="95" t="s">
        <v>510</v>
      </c>
      <c r="L638" s="95" t="s">
        <v>917</v>
      </c>
      <c r="M638" s="101"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Metadata_CH_SoilData</vt:lpstr>
      <vt:lpstr>CH_SoilData</vt:lpstr>
      <vt:lpstr>Sites(Do NOT Edit)</vt:lpstr>
      <vt:lpstr>Metadata_CH_SoilData!ABSTRACT</vt:lpstr>
      <vt:lpstr>'Sites(Do NOT Edit)'!ABSTRACT</vt:lpstr>
      <vt:lpstr>Metadata_CH_SoilData!Address_line_2</vt:lpstr>
      <vt:lpstr>'Sites(Do NOT Edit)'!Address_line_2</vt:lpstr>
      <vt:lpstr>Metadata_CH_SoilData!Address_line_3</vt:lpstr>
      <vt:lpstr>'Sites(Do NOT Edit)'!Address_line_3</vt:lpstr>
      <vt:lpstr>Metadata_CH_SoilData!Availability_Status</vt:lpstr>
      <vt:lpstr>'Sites(Do NOT Edit)'!Availability_Status</vt:lpstr>
      <vt:lpstr>Metadata_CH_SoilData!Beginning_Date</vt:lpstr>
      <vt:lpstr>'Sites(Do NOT Edit)'!Beginning_Date</vt:lpstr>
      <vt:lpstr>Metadata_CH_SoilData!City</vt:lpstr>
      <vt:lpstr>'Sites(Do NOT Edit)'!City</vt:lpstr>
      <vt:lpstr>Metadata_CH_SoilData!Code_Information</vt:lpstr>
      <vt:lpstr>'Sites(Do NOT Edit)'!Code_Information</vt:lpstr>
      <vt:lpstr>Metadata_CH_SoilData!Country</vt:lpstr>
      <vt:lpstr>'Sites(Do NOT Edit)'!Country</vt:lpstr>
      <vt:lpstr>Metadata_CH_SoilData!DATA_FILE_INFORMATION</vt:lpstr>
      <vt:lpstr>'Sites(Do NOT Edit)'!DATA_FILE_INFORMATION</vt:lpstr>
      <vt:lpstr>Metadata_CH_SoilData!Data_File_Name</vt:lpstr>
      <vt:lpstr>'Sites(Do NOT Edit)'!Data_File_Name</vt:lpstr>
      <vt:lpstr>Metadata_CH_SoilData!Data_File_URL</vt:lpstr>
      <vt:lpstr>'Sites(Do NOT Edit)'!Data_File_URL</vt:lpstr>
      <vt:lpstr>Metadata_CH_SoilData!Data_Type</vt:lpstr>
      <vt:lpstr>'Sites(Do NOT Edit)'!Data_Type</vt:lpstr>
      <vt:lpstr>Metadata_CH_SoilData!DATASET_ID</vt:lpstr>
      <vt:lpstr>'Sites(Do NOT Edit)'!DATASET_ID</vt:lpstr>
      <vt:lpstr>Metadata_CH_SoilData!DATASET_TITLE</vt:lpstr>
      <vt:lpstr>'Sites(Do NOT Edit)'!DATASET_TITLE</vt:lpstr>
      <vt:lpstr>Metadata_CH_SoilData!DateTime_Format</vt:lpstr>
      <vt:lpstr>'Sites(Do NOT Edit)'!DateTime_Format</vt:lpstr>
      <vt:lpstr>Metadata_CH_SoilData!Distribution_URL_for_file</vt:lpstr>
      <vt:lpstr>'Sites(Do NOT Edit)'!Distribution_URL_for_file</vt:lpstr>
      <vt:lpstr>Metadata_CH_SoilData!East_Bounding_Coordinate</vt:lpstr>
      <vt:lpstr>'Sites(Do NOT Edit)'!East_Bounding_Coordinate</vt:lpstr>
      <vt:lpstr>Metadata_CH_SoilData!Elevation</vt:lpstr>
      <vt:lpstr>'Sites(Do NOT Edit)'!Elevation</vt:lpstr>
      <vt:lpstr>Metadata_CH_SoilData!Email</vt:lpstr>
      <vt:lpstr>'Sites(Do NOT Edit)'!Email</vt:lpstr>
      <vt:lpstr>Metadata_CH_SoilData!End_Date</vt:lpstr>
      <vt:lpstr>'Sites(Do NOT Edit)'!End_Date</vt:lpstr>
      <vt:lpstr>Metadata_CH_SoilData!First_Name</vt:lpstr>
      <vt:lpstr>'Sites(Do NOT Edit)'!First_Name</vt:lpstr>
      <vt:lpstr>Metadata_CH_SoilData!Geographic_Description</vt:lpstr>
      <vt:lpstr>'Sites(Do NOT Edit)'!Geographic_Description</vt:lpstr>
      <vt:lpstr>Metadata_CH_SoilData!INVESTIGATOR_INFORMATION</vt:lpstr>
      <vt:lpstr>'Sites(Do NOT Edit)'!INVESTIGATOR_INFORMATION</vt:lpstr>
      <vt:lpstr>Metadata_CH_SoilData!KEYWORD_INFORMATION</vt:lpstr>
      <vt:lpstr>'Sites(Do NOT Edit)'!KEYWORD_INFORMATION</vt:lpstr>
      <vt:lpstr>Metadata_CH_SoilData!KEYWORDS</vt:lpstr>
      <vt:lpstr>'Sites(Do NOT Edit)'!KEYWORDS</vt:lpstr>
      <vt:lpstr>Metadata_CH_SoilData!Last_Name</vt:lpstr>
      <vt:lpstr>'Sites(Do NOT Edit)'!Last_Name</vt:lpstr>
      <vt:lpstr>Metadata_CH_SoilData!Latitude</vt:lpstr>
      <vt:lpstr>'Sites(Do NOT Edit)'!Latitude</vt:lpstr>
      <vt:lpstr>Link_to_Google_Map</vt:lpstr>
      <vt:lpstr>Metadata_CH_SoilData!Location_Bounding_Box</vt:lpstr>
      <vt:lpstr>'Sites(Do NOT Edit)'!Location_Bounding_Box</vt:lpstr>
      <vt:lpstr>Metadata_CH_SoilData!Location_Name</vt:lpstr>
      <vt:lpstr>'Sites(Do NOT Edit)'!Location_Name</vt:lpstr>
      <vt:lpstr>Metadata_CH_SoilData!Log_of_Changes</vt:lpstr>
      <vt:lpstr>'Sites(Do NOT Edit)'!Log_of_Changes</vt:lpstr>
      <vt:lpstr>Metadata_CH_SoilData!Longitude</vt:lpstr>
      <vt:lpstr>'Sites(Do NOT Edit)'!Longitude</vt:lpstr>
      <vt:lpstr>LTER_Sites_number</vt:lpstr>
      <vt:lpstr>Metadata_CH_SoilData!Maintenance_Description</vt:lpstr>
      <vt:lpstr>'Sites(Do NOT Edit)'!Maintenance_Description</vt:lpstr>
      <vt:lpstr>Metadata_CH_SoilData!Metacat_Package_ID</vt:lpstr>
      <vt:lpstr>'Sites(Do NOT Edit)'!Metacat_Package_ID</vt:lpstr>
      <vt:lpstr>Metadata_CH_SoilData!METHODS</vt:lpstr>
      <vt:lpstr>'Sites(Do NOT Edit)'!METHODS</vt:lpstr>
      <vt:lpstr>Metadata_CH_SoilData!Missing_Value_Code</vt:lpstr>
      <vt:lpstr>'Sites(Do NOT Edit)'!Missing_Value_Code</vt:lpstr>
      <vt:lpstr>Metadata_CH_SoilData!North_Bounding_Coordinate</vt:lpstr>
      <vt:lpstr>'Sites(Do NOT Edit)'!North_Bounding_Coordinate</vt:lpstr>
      <vt:lpstr>Metadata_CH_SoilData!Number_of_Data_Records</vt:lpstr>
      <vt:lpstr>'Sites(Do NOT Edit)'!Number_of_Data_Records</vt:lpstr>
      <vt:lpstr>Metadata_CH_SoilData!OR</vt:lpstr>
      <vt:lpstr>'Sites(Do NOT Edit)'!OR</vt:lpstr>
      <vt:lpstr>Metadata_CH_SoilData!OR_if_single_point_location</vt:lpstr>
      <vt:lpstr>'Sites(Do NOT Edit)'!OR_if_single_point_location</vt:lpstr>
      <vt:lpstr>Metadata_CH_SoilData!Organisms_studied</vt:lpstr>
      <vt:lpstr>'Sites(Do NOT Edit)'!Organisms_studied</vt:lpstr>
      <vt:lpstr>Metadata_CH_SoilData!Organization</vt:lpstr>
      <vt:lpstr>'Sites(Do NOT Edit)'!Organization</vt:lpstr>
      <vt:lpstr>Metadata_CH_SoilData!Other_Files_to_Reference</vt:lpstr>
      <vt:lpstr>'Sites(Do NOT Edit)'!Other_Files_to_Reference</vt:lpstr>
      <vt:lpstr>Metadata_CH_SoilData!Protocol_Document</vt:lpstr>
      <vt:lpstr>'Sites(Do NOT Edit)'!Protocol_Document</vt:lpstr>
      <vt:lpstr>Metadata_CH_SoilData!Protocol_Title</vt:lpstr>
      <vt:lpstr>'Sites(Do NOT Edit)'!Protocol_Title</vt:lpstr>
      <vt:lpstr>Metadata_CH_SoilData!Quality_Control_Information</vt:lpstr>
      <vt:lpstr>'Sites(Do NOT Edit)'!Quality_Control_Information</vt:lpstr>
      <vt:lpstr>Metadata_CH_SoilData!RESEARCH_LOCATION</vt:lpstr>
      <vt:lpstr>'Sites(Do NOT Edit)'!RESEARCH_LOCATION</vt:lpstr>
      <vt:lpstr>Metadata_CH_SoilData!Role</vt:lpstr>
      <vt:lpstr>'Sites(Do NOT Edit)'!Role</vt:lpstr>
      <vt:lpstr>Metadata_CH_SoilData!Sampling_and_or_Lab_Protocols</vt:lpstr>
      <vt:lpstr>'Sites(Do NOT Edit)'!Sampling_and_or_Lab_Protocols</vt:lpstr>
      <vt:lpstr>Site_name</vt:lpstr>
      <vt:lpstr>Site_name_list</vt:lpstr>
      <vt:lpstr>Sites</vt:lpstr>
      <vt:lpstr>Metadata_CH_SoilData!South_Bounding_Coordinate</vt:lpstr>
      <vt:lpstr>'Sites(Do NOT Edit)'!South_Bounding_Coordinate</vt:lpstr>
      <vt:lpstr>Metadata_CH_SoilData!State</vt:lpstr>
      <vt:lpstr>'Sites(Do NOT Edit)'!State</vt:lpstr>
      <vt:lpstr>Metadata_CH_SoilData!TAXONOMIC_COVERAGE</vt:lpstr>
      <vt:lpstr>'Sites(Do NOT Edit)'!TAXONOMIC_COVERAGE</vt:lpstr>
      <vt:lpstr>Metadata_CH_SoilData!Units</vt:lpstr>
      <vt:lpstr>'Sites(Do NOT Edit)'!Units</vt:lpstr>
      <vt:lpstr>Metadata_CH_SoilData!URL_of_online_Protocol</vt:lpstr>
      <vt:lpstr>'Sites(Do NOT Edit)'!URL_of_online_Protocol</vt:lpstr>
      <vt:lpstr>Metadata_CH_SoilData!Variable_Description</vt:lpstr>
      <vt:lpstr>'Sites(Do NOT Edit)'!Variable_Description</vt:lpstr>
      <vt:lpstr>Metadata_CH_SoilData!VARIABLE_DESCRIPTIONS</vt:lpstr>
      <vt:lpstr>'Sites(Do NOT Edit)'!VARIABLE_DESCRIPTIONS</vt:lpstr>
      <vt:lpstr>Metadata_CH_SoilData!Variable_Name</vt:lpstr>
      <vt:lpstr>'Sites(Do NOT Edit)'!Variable_Name</vt:lpstr>
      <vt:lpstr>Metadata_CH_SoilData!West_Bounding_Coordinate</vt:lpstr>
      <vt:lpstr>'Sites(Do NOT Edit)'!West_Bounding_Coordinate</vt:lpstr>
      <vt:lpstr>Metadata_CH_SoilData!Year_Released_to_Public</vt:lpstr>
      <vt:lpstr>'Sites(Do NOT Edit)'!Year_Released_to_Public</vt:lpstr>
      <vt:lpstr>Metadata_CH_SoilData!Zip_Code</vt:lpstr>
      <vt:lpstr>'Sites(Do NOT Edit)'!Zip_Code</vt:lpstr>
    </vt:vector>
  </TitlesOfParts>
  <Company>SUNY Geneseo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Verity</dc:creator>
  <cp:lastModifiedBy>jiml</cp:lastModifiedBy>
  <dcterms:created xsi:type="dcterms:W3CDTF">2011-07-12T22:09:04Z</dcterms:created>
  <dcterms:modified xsi:type="dcterms:W3CDTF">2013-05-22T22:34:58Z</dcterms:modified>
</cp:coreProperties>
</file>