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17580" windowHeight="9560" tabRatio="500"/>
  </bookViews>
  <sheets>
    <sheet name="Gold Standards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C17" i="1"/>
  <c r="B17"/>
  <c r="D17"/>
  <c r="C8"/>
  <c r="B8"/>
  <c r="D8"/>
  <c r="D7"/>
  <c r="D6"/>
  <c r="D5"/>
</calcChain>
</file>

<file path=xl/sharedStrings.xml><?xml version="1.0" encoding="utf-8"?>
<sst xmlns="http://schemas.openxmlformats.org/spreadsheetml/2006/main" count="30" uniqueCount="27">
  <si>
    <t>a)</t>
    <phoneticPr fontId="3" type="noConversion"/>
  </si>
  <si>
    <t>HuRef as gold standard</t>
    <phoneticPr fontId="3" type="noConversion"/>
  </si>
  <si>
    <t>Mills (2006) in NA12878 and NA12156 as gold standard</t>
    <phoneticPr fontId="3" type="noConversion"/>
  </si>
  <si>
    <t>MEI insertions</t>
    <phoneticPr fontId="3" type="noConversion"/>
  </si>
  <si>
    <t xml:space="preserve">huRef  MEI insertions   </t>
    <phoneticPr fontId="3" type="noConversion"/>
  </si>
  <si>
    <t xml:space="preserve"> matched</t>
    <phoneticPr fontId="3" type="noConversion"/>
  </si>
  <si>
    <t>% matched</t>
    <phoneticPr fontId="3" type="noConversion"/>
  </si>
  <si>
    <t>Alu</t>
  </si>
  <si>
    <t>L1</t>
  </si>
  <si>
    <t>SVA</t>
  </si>
  <si>
    <t>total</t>
    <phoneticPr fontId="3" type="noConversion"/>
  </si>
  <si>
    <t>b)</t>
    <phoneticPr fontId="3" type="noConversion"/>
  </si>
  <si>
    <t>c)</t>
    <phoneticPr fontId="3" type="noConversion"/>
  </si>
  <si>
    <t>MEI deletions</t>
    <phoneticPr fontId="3" type="noConversion"/>
  </si>
  <si>
    <t>MEI deletions</t>
    <phoneticPr fontId="3" type="noConversion"/>
  </si>
  <si>
    <t xml:space="preserve">huRef  MEI deletions   </t>
    <phoneticPr fontId="3" type="noConversion"/>
  </si>
  <si>
    <t xml:space="preserve"> matched</t>
    <phoneticPr fontId="3" type="noConversion"/>
  </si>
  <si>
    <t>% matched</t>
    <phoneticPr fontId="3" type="noConversion"/>
  </si>
  <si>
    <t xml:space="preserve">Mills  MEI deletions   </t>
  </si>
  <si>
    <t>matched</t>
    <phoneticPr fontId="3" type="noConversion"/>
  </si>
  <si>
    <t>% matched</t>
    <phoneticPr fontId="3" type="noConversion"/>
  </si>
  <si>
    <t>NA12878</t>
  </si>
  <si>
    <t>NA12156</t>
  </si>
  <si>
    <t>total</t>
    <phoneticPr fontId="3" type="noConversion"/>
  </si>
  <si>
    <t>Mills et. al. Genome Research 16, 1182 (2006)</t>
  </si>
  <si>
    <t>Xing, J. et al.. Genome Research 19, 1516 (2009)</t>
  </si>
  <si>
    <t>postion matching between our event list and previous studies are done using a window of 200bp for insertions and a 50% reciprocal overlap for MEI deletions</t>
    <phoneticPr fontId="3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</si>
</sst>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>
    <font>
      <sz val="10"/>
      <name val="Verdana"/>
    </font>
    <font>
      <b/>
      <sz val="10"/>
      <name val="Verdana"/>
    </font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Border="1"/>
    <xf numFmtId="0" fontId="0" fillId="0" borderId="3" xfId="0" applyFill="1" applyBorder="1" applyAlignment="1"/>
    <xf numFmtId="0" fontId="1" fillId="0" borderId="3" xfId="0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/>
    <xf numFmtId="9" fontId="0" fillId="0" borderId="0" xfId="0" applyNumberFormat="1" applyFill="1" applyBorder="1" applyAlignment="1"/>
    <xf numFmtId="0" fontId="1" fillId="0" borderId="4" xfId="0" applyFont="1" applyFill="1" applyBorder="1" applyAlignment="1">
      <alignment horizontal="left"/>
    </xf>
    <xf numFmtId="0" fontId="0" fillId="0" borderId="4" xfId="0" applyFill="1" applyBorder="1" applyAlignment="1"/>
    <xf numFmtId="9" fontId="0" fillId="0" borderId="4" xfId="1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Border="1"/>
    <xf numFmtId="0" fontId="0" fillId="0" borderId="2" xfId="0" applyFill="1" applyBorder="1" applyAlignment="1"/>
    <xf numFmtId="9" fontId="0" fillId="0" borderId="2" xfId="0" applyNumberFormat="1" applyFill="1" applyBorder="1" applyAlignment="1"/>
    <xf numFmtId="9" fontId="0" fillId="0" borderId="0" xfId="0" applyNumberFormat="1"/>
    <xf numFmtId="0" fontId="1" fillId="0" borderId="0" xfId="0" applyFont="1" applyAlignment="1"/>
    <xf numFmtId="0" fontId="1" fillId="0" borderId="0" xfId="0" applyFont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34"/>
  <sheetViews>
    <sheetView tabSelected="1" workbookViewId="0">
      <selection activeCell="L39" sqref="L39"/>
    </sheetView>
  </sheetViews>
  <sheetFormatPr baseColWidth="10" defaultRowHeight="13"/>
  <cols>
    <col min="1" max="1" width="4.85546875" customWidth="1"/>
    <col min="2" max="3" width="19.28515625" customWidth="1"/>
    <col min="4" max="4" width="10.42578125" customWidth="1"/>
    <col min="5" max="6" width="3.5703125" customWidth="1"/>
    <col min="7" max="7" width="14.140625" customWidth="1"/>
    <col min="8" max="8" width="14.85546875" customWidth="1"/>
    <col min="10" max="10" width="12.85546875" customWidth="1"/>
  </cols>
  <sheetData>
    <row r="1" spans="1:10">
      <c r="A1" s="1" t="s">
        <v>0</v>
      </c>
      <c r="B1" s="17" t="s">
        <v>1</v>
      </c>
      <c r="C1" s="17"/>
      <c r="D1" s="17"/>
      <c r="F1" s="2"/>
      <c r="G1" s="18" t="s">
        <v>2</v>
      </c>
      <c r="H1" s="17"/>
      <c r="I1" s="17"/>
      <c r="J1" s="17"/>
    </row>
    <row r="2" spans="1:10">
      <c r="A2" s="1" t="s">
        <v>3</v>
      </c>
      <c r="F2" s="2"/>
      <c r="G2" s="3"/>
      <c r="H2" s="3"/>
      <c r="I2" s="3"/>
      <c r="J2" s="3"/>
    </row>
    <row r="3" spans="1:10" ht="14" thickBot="1">
      <c r="F3" s="2"/>
      <c r="G3" s="3"/>
      <c r="H3" s="3"/>
      <c r="I3" s="3"/>
      <c r="J3" s="3"/>
    </row>
    <row r="4" spans="1:10">
      <c r="A4" s="4"/>
      <c r="B4" s="5" t="s">
        <v>4</v>
      </c>
      <c r="C4" s="5" t="s">
        <v>5</v>
      </c>
      <c r="D4" s="5" t="s">
        <v>6</v>
      </c>
      <c r="F4" s="2"/>
      <c r="G4" s="3"/>
      <c r="H4" s="3"/>
      <c r="I4" s="3"/>
      <c r="J4" s="3"/>
    </row>
    <row r="5" spans="1:10">
      <c r="A5" s="6" t="s">
        <v>7</v>
      </c>
      <c r="B5" s="7">
        <v>584</v>
      </c>
      <c r="C5" s="7">
        <v>449</v>
      </c>
      <c r="D5" s="8">
        <f>C5/B5</f>
        <v>0.76883561643835618</v>
      </c>
      <c r="F5" s="2"/>
      <c r="G5" s="3"/>
      <c r="H5" s="3"/>
      <c r="I5" s="3"/>
      <c r="J5" s="3"/>
    </row>
    <row r="6" spans="1:10">
      <c r="A6" s="6" t="s">
        <v>8</v>
      </c>
      <c r="B6" s="7">
        <v>52</v>
      </c>
      <c r="C6" s="7">
        <v>24</v>
      </c>
      <c r="D6" s="8">
        <f>C6/B6</f>
        <v>0.46153846153846156</v>
      </c>
      <c r="F6" s="2"/>
      <c r="G6" s="3"/>
      <c r="H6" s="3"/>
      <c r="I6" s="3"/>
      <c r="J6" s="3"/>
    </row>
    <row r="7" spans="1:10">
      <c r="A7" s="6" t="s">
        <v>9</v>
      </c>
      <c r="B7" s="7">
        <v>14</v>
      </c>
      <c r="C7" s="7">
        <v>9</v>
      </c>
      <c r="D7" s="8">
        <f>C7/B7</f>
        <v>0.6428571428571429</v>
      </c>
      <c r="F7" s="2"/>
      <c r="G7" s="3"/>
      <c r="H7" s="3"/>
      <c r="I7" s="3"/>
      <c r="J7" s="3"/>
    </row>
    <row r="8" spans="1:10" ht="14" thickBot="1">
      <c r="A8" s="9" t="s">
        <v>10</v>
      </c>
      <c r="B8" s="10">
        <f>SUM(B5:B7)</f>
        <v>650</v>
      </c>
      <c r="C8" s="10">
        <f>SUM(C5:C7)</f>
        <v>482</v>
      </c>
      <c r="D8" s="11">
        <f>C8/B8</f>
        <v>0.74153846153846159</v>
      </c>
      <c r="F8" s="2"/>
      <c r="G8" s="3"/>
      <c r="H8" s="3"/>
      <c r="I8" s="3"/>
      <c r="J8" s="3"/>
    </row>
    <row r="9" spans="1:10">
      <c r="A9" s="7"/>
      <c r="B9" s="7"/>
      <c r="C9" s="7"/>
      <c r="D9" s="8"/>
      <c r="F9" s="2"/>
      <c r="G9" s="3"/>
      <c r="H9" s="3"/>
      <c r="I9" s="3"/>
      <c r="J9" s="3"/>
    </row>
    <row r="10" spans="1:10">
      <c r="A10" s="12" t="s">
        <v>11</v>
      </c>
      <c r="F10" s="2"/>
      <c r="G10" s="13" t="s">
        <v>12</v>
      </c>
      <c r="H10" s="3"/>
      <c r="I10" s="3"/>
      <c r="J10" s="3"/>
    </row>
    <row r="11" spans="1:10">
      <c r="A11" s="1" t="s">
        <v>13</v>
      </c>
      <c r="F11" s="2"/>
      <c r="G11" s="13" t="s">
        <v>14</v>
      </c>
      <c r="H11" s="3"/>
      <c r="I11" s="3"/>
      <c r="J11" s="3"/>
    </row>
    <row r="12" spans="1:10" ht="14" thickBot="1">
      <c r="F12" s="2"/>
      <c r="G12" s="3"/>
      <c r="H12" s="3"/>
      <c r="I12" s="3"/>
      <c r="J12" s="3"/>
    </row>
    <row r="13" spans="1:10">
      <c r="A13" s="4"/>
      <c r="B13" s="5" t="s">
        <v>15</v>
      </c>
      <c r="C13" s="5" t="s">
        <v>16</v>
      </c>
      <c r="D13" s="5" t="s">
        <v>17</v>
      </c>
      <c r="F13" s="2"/>
      <c r="G13" s="5"/>
      <c r="H13" s="5" t="s">
        <v>18</v>
      </c>
      <c r="I13" s="5" t="s">
        <v>19</v>
      </c>
      <c r="J13" s="5" t="s">
        <v>20</v>
      </c>
    </row>
    <row r="14" spans="1:10">
      <c r="A14" s="6" t="s">
        <v>7</v>
      </c>
      <c r="B14" s="7">
        <v>701</v>
      </c>
      <c r="C14" s="7">
        <v>654</v>
      </c>
      <c r="D14" s="8">
        <v>0.93</v>
      </c>
      <c r="F14" s="2"/>
      <c r="G14" s="7" t="s">
        <v>21</v>
      </c>
      <c r="H14" s="7">
        <v>18</v>
      </c>
      <c r="I14" s="7">
        <v>17</v>
      </c>
      <c r="J14" s="8">
        <v>0.94</v>
      </c>
    </row>
    <row r="15" spans="1:10" ht="14" thickBot="1">
      <c r="A15" s="6" t="s">
        <v>8</v>
      </c>
      <c r="B15" s="7">
        <v>72</v>
      </c>
      <c r="C15" s="7">
        <v>65</v>
      </c>
      <c r="D15" s="8">
        <v>0.9</v>
      </c>
      <c r="F15" s="2"/>
      <c r="G15" s="14" t="s">
        <v>22</v>
      </c>
      <c r="H15" s="14">
        <v>30</v>
      </c>
      <c r="I15" s="14">
        <v>29</v>
      </c>
      <c r="J15" s="15">
        <v>0.97</v>
      </c>
    </row>
    <row r="16" spans="1:10">
      <c r="A16" s="6" t="s">
        <v>9</v>
      </c>
      <c r="B16" s="7">
        <v>30</v>
      </c>
      <c r="C16" s="7">
        <v>30</v>
      </c>
      <c r="D16" s="8">
        <v>1</v>
      </c>
      <c r="F16" s="2"/>
      <c r="G16" s="3"/>
      <c r="H16" s="3"/>
      <c r="I16" s="3"/>
      <c r="J16" s="3"/>
    </row>
    <row r="17" spans="1:10" ht="14" thickBot="1">
      <c r="A17" s="9" t="s">
        <v>23</v>
      </c>
      <c r="B17" s="10">
        <f>SUM(B14:B16)</f>
        <v>803</v>
      </c>
      <c r="C17" s="10">
        <f>SUM(C14:C16)</f>
        <v>749</v>
      </c>
      <c r="D17" s="11">
        <f>C17/B17</f>
        <v>0.93275217932752175</v>
      </c>
      <c r="F17" s="2"/>
      <c r="G17" s="3"/>
      <c r="H17" s="3" t="s">
        <v>24</v>
      </c>
      <c r="I17" s="3"/>
      <c r="J17" s="3"/>
    </row>
    <row r="18" spans="1:10">
      <c r="F18" s="2"/>
      <c r="G18" s="3"/>
      <c r="H18" s="3"/>
      <c r="I18" s="3"/>
      <c r="J18" s="3"/>
    </row>
    <row r="19" spans="1:10">
      <c r="B19" t="s">
        <v>25</v>
      </c>
    </row>
    <row r="22" spans="1:10">
      <c r="A22" t="s">
        <v>26</v>
      </c>
    </row>
    <row r="32" spans="1:10">
      <c r="D32" s="16"/>
    </row>
    <row r="33" spans="4:4">
      <c r="D33" s="16"/>
    </row>
    <row r="34" spans="4:4">
      <c r="D34" s="16"/>
    </row>
  </sheetData>
  <mergeCells count="2">
    <mergeCell ref="B1:D1"/>
    <mergeCell ref="G1:J1"/>
  </mergeCells>
  <phoneticPr fontId="3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 Standards</vt:lpstr>
    </vt:vector>
  </TitlesOfParts>
  <Company>Boston College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Chip Stewart</dc:creator>
  <cp:lastModifiedBy>Chip Stewart</cp:lastModifiedBy>
  <dcterms:created xsi:type="dcterms:W3CDTF">2011-03-26T18:57:25Z</dcterms:created>
  <dcterms:modified xsi:type="dcterms:W3CDTF">2011-03-26T19:05:01Z</dcterms:modified>
</cp:coreProperties>
</file>