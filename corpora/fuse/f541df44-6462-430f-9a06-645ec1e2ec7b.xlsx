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80" windowWidth="17235" windowHeight="9105"/>
  </bookViews>
  <sheets>
    <sheet name="Summary" sheetId="60" r:id="rId1"/>
    <sheet name="Rate History" sheetId="66" r:id="rId2"/>
    <sheet name="FTSE Summary" sheetId="65" r:id="rId3"/>
    <sheet name="Discipline Summary" sheetId="62" r:id="rId4"/>
    <sheet name="Discipline Analysis" sheetId="63" r:id="rId5"/>
    <sheet name="1" sheetId="57" r:id="rId6"/>
    <sheet name="2" sheetId="56" r:id="rId7"/>
    <sheet name="3" sheetId="55" r:id="rId8"/>
    <sheet name="4" sheetId="54" r:id="rId9"/>
    <sheet name="5" sheetId="53" r:id="rId10"/>
    <sheet name="6" sheetId="52" r:id="rId11"/>
    <sheet name="7" sheetId="51" r:id="rId12"/>
    <sheet name="8" sheetId="50" r:id="rId13"/>
    <sheet name="9" sheetId="49" r:id="rId14"/>
    <sheet name="10" sheetId="48" r:id="rId15"/>
    <sheet name="11" sheetId="47" r:id="rId16"/>
    <sheet name="12" sheetId="46" r:id="rId17"/>
    <sheet name="13" sheetId="45" r:id="rId18"/>
    <sheet name="14" sheetId="44" r:id="rId19"/>
    <sheet name="15" sheetId="43" r:id="rId20"/>
    <sheet name="16" sheetId="42" r:id="rId21"/>
    <sheet name="17" sheetId="41" r:id="rId22"/>
    <sheet name="18" sheetId="40" r:id="rId23"/>
    <sheet name="19" sheetId="39" r:id="rId24"/>
    <sheet name="20" sheetId="38" r:id="rId25"/>
    <sheet name="21" sheetId="37" r:id="rId26"/>
    <sheet name="22" sheetId="36" r:id="rId27"/>
    <sheet name="23" sheetId="35" r:id="rId28"/>
    <sheet name="24" sheetId="34" r:id="rId29"/>
    <sheet name="25" sheetId="33" r:id="rId30"/>
    <sheet name="26" sheetId="32" r:id="rId31"/>
    <sheet name="27" sheetId="31" r:id="rId32"/>
    <sheet name="28" sheetId="30" r:id="rId33"/>
    <sheet name="29" sheetId="29" r:id="rId34"/>
    <sheet name="30" sheetId="28" r:id="rId35"/>
    <sheet name="31" sheetId="27" r:id="rId36"/>
    <sheet name="32" sheetId="26" r:id="rId37"/>
    <sheet name="33" sheetId="25" r:id="rId38"/>
    <sheet name="34" sheetId="24" r:id="rId39"/>
    <sheet name="35" sheetId="23" r:id="rId40"/>
    <sheet name="36" sheetId="22" r:id="rId41"/>
    <sheet name="37" sheetId="21" r:id="rId42"/>
    <sheet name="38" sheetId="20" r:id="rId43"/>
    <sheet name="39" sheetId="19" r:id="rId44"/>
    <sheet name="40" sheetId="18" r:id="rId45"/>
    <sheet name="41" sheetId="17" r:id="rId46"/>
    <sheet name="42" sheetId="16" r:id="rId47"/>
    <sheet name="43" sheetId="15" r:id="rId48"/>
    <sheet name="44" sheetId="14" r:id="rId49"/>
    <sheet name="45" sheetId="13" r:id="rId50"/>
    <sheet name="46" sheetId="12" r:id="rId51"/>
    <sheet name="47" sheetId="11" r:id="rId52"/>
    <sheet name="48" sheetId="10" r:id="rId53"/>
    <sheet name="49" sheetId="9" r:id="rId54"/>
    <sheet name="50" sheetId="8" r:id="rId55"/>
    <sheet name="51" sheetId="7" r:id="rId56"/>
    <sheet name="52" sheetId="6" r:id="rId57"/>
    <sheet name="53" sheetId="5" r:id="rId58"/>
    <sheet name="54" sheetId="4" r:id="rId59"/>
    <sheet name="55" sheetId="3" r:id="rId60"/>
    <sheet name="56" sheetId="59" r:id="rId61"/>
    <sheet name="57" sheetId="1" r:id="rId62"/>
    <sheet name="Data" sheetId="2" r:id="rId63"/>
  </sheets>
  <definedNames>
    <definedName name="Broadway_AP_FRP_RFOE_CCSurvey" localSheetId="62" hidden="1">Data!$A$4:$LB$61</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1">'Rate History'!$B:$B</definedName>
  </definedNames>
  <calcPr calcId="145621"/>
</workbook>
</file>

<file path=xl/calcChain.xml><?xml version="1.0" encoding="utf-8"?>
<calcChain xmlns="http://schemas.openxmlformats.org/spreadsheetml/2006/main">
  <c r="B40" i="65" l="1"/>
  <c r="B30" i="65"/>
  <c r="B26" i="65"/>
  <c r="B8" i="65"/>
  <c r="B60" i="65"/>
  <c r="B59" i="65"/>
  <c r="B58" i="65"/>
  <c r="B57" i="65"/>
  <c r="B55" i="65" l="1"/>
  <c r="B54" i="65"/>
  <c r="B53" i="65"/>
  <c r="B52" i="65"/>
  <c r="B51" i="65"/>
  <c r="B50" i="65"/>
  <c r="B49" i="65"/>
  <c r="B48" i="65"/>
  <c r="B47" i="65"/>
  <c r="B46" i="65"/>
  <c r="B45" i="65"/>
  <c r="B44" i="65"/>
  <c r="B43" i="65"/>
  <c r="B42" i="65"/>
  <c r="B41" i="65"/>
  <c r="B39" i="65"/>
  <c r="B38" i="65"/>
  <c r="B37" i="65"/>
  <c r="B36" i="65"/>
  <c r="B35" i="65"/>
  <c r="B34" i="65"/>
  <c r="B29" i="65"/>
  <c r="B33" i="65"/>
  <c r="B32" i="65"/>
  <c r="B31" i="65"/>
  <c r="B28" i="65"/>
  <c r="B27" i="65"/>
  <c r="B25" i="65"/>
  <c r="B24" i="65"/>
  <c r="B23" i="65"/>
  <c r="B22" i="65"/>
  <c r="B21" i="65"/>
  <c r="B20" i="65"/>
  <c r="B19" i="65"/>
  <c r="B18" i="65"/>
  <c r="B17" i="65"/>
  <c r="B16" i="65"/>
  <c r="B15" i="65"/>
  <c r="B14" i="65"/>
  <c r="B13" i="65"/>
  <c r="B12" i="65"/>
  <c r="B11" i="65"/>
  <c r="B10" i="65"/>
  <c r="B9" i="65"/>
  <c r="B7" i="65"/>
  <c r="B6" i="65"/>
  <c r="B5" i="65"/>
  <c r="B4" i="65"/>
  <c r="C31" i="66"/>
  <c r="C30" i="66"/>
  <c r="C29" i="66"/>
  <c r="C28" i="66"/>
  <c r="C27" i="66"/>
  <c r="C26" i="66"/>
  <c r="C25" i="66"/>
  <c r="C24" i="66"/>
  <c r="C23" i="66"/>
  <c r="C22" i="66"/>
  <c r="C21" i="66"/>
  <c r="C20" i="66"/>
  <c r="C19" i="66"/>
  <c r="C18" i="66"/>
  <c r="C17" i="66"/>
  <c r="C16" i="66"/>
  <c r="C15" i="66"/>
  <c r="C14" i="66"/>
  <c r="C13" i="66"/>
  <c r="C12" i="66"/>
  <c r="C11" i="66"/>
  <c r="C10" i="66"/>
  <c r="C9" i="66"/>
  <c r="C8" i="66"/>
  <c r="C7" i="66"/>
  <c r="C6" i="66"/>
  <c r="C5" i="66"/>
  <c r="C4" i="66"/>
  <c r="A1" i="66"/>
  <c r="C33" i="66"/>
  <c r="C32" i="66" l="1"/>
  <c r="C34" i="66"/>
  <c r="F3" i="1" l="1"/>
  <c r="B2" i="1"/>
  <c r="A1" i="1"/>
  <c r="F3" i="59"/>
  <c r="B2" i="59"/>
  <c r="A1" i="59"/>
  <c r="F3" i="3"/>
  <c r="B2" i="3"/>
  <c r="A1" i="3"/>
  <c r="F3" i="4"/>
  <c r="B2" i="4"/>
  <c r="A1" i="4"/>
  <c r="F3" i="5"/>
  <c r="B2" i="5"/>
  <c r="A1" i="5"/>
  <c r="F3" i="6"/>
  <c r="B2" i="6"/>
  <c r="A1" i="6"/>
  <c r="F3" i="7"/>
  <c r="B2" i="7"/>
  <c r="A1" i="7"/>
  <c r="F3" i="8"/>
  <c r="B2" i="8"/>
  <c r="A1" i="8"/>
  <c r="F3" i="9"/>
  <c r="B2" i="9"/>
  <c r="A1" i="9"/>
  <c r="F3" i="10"/>
  <c r="B2" i="10"/>
  <c r="A1" i="10"/>
  <c r="F3" i="11"/>
  <c r="B2" i="11"/>
  <c r="A1" i="11"/>
  <c r="F3" i="12"/>
  <c r="B2" i="12"/>
  <c r="A1" i="12"/>
  <c r="F3" i="13"/>
  <c r="B2" i="13"/>
  <c r="A1" i="13"/>
  <c r="F3" i="14"/>
  <c r="B2" i="14"/>
  <c r="A1" i="14"/>
  <c r="F3" i="15"/>
  <c r="B2" i="15"/>
  <c r="A1" i="15"/>
  <c r="F3" i="16"/>
  <c r="B2" i="16"/>
  <c r="A1" i="16"/>
  <c r="F3" i="17"/>
  <c r="B2" i="17"/>
  <c r="A1" i="17"/>
  <c r="F3" i="18"/>
  <c r="B2" i="18"/>
  <c r="A1" i="18"/>
  <c r="F3" i="19"/>
  <c r="B2" i="19"/>
  <c r="A1" i="19"/>
  <c r="F3" i="20"/>
  <c r="B2" i="20"/>
  <c r="A1" i="20"/>
  <c r="F3" i="21"/>
  <c r="B2" i="21"/>
  <c r="A1" i="21"/>
  <c r="F3" i="22"/>
  <c r="B2" i="22"/>
  <c r="A1" i="22"/>
  <c r="F3" i="23"/>
  <c r="B2" i="23"/>
  <c r="A1" i="23"/>
  <c r="F3" i="24"/>
  <c r="B2" i="24"/>
  <c r="A1" i="24"/>
  <c r="F3" i="25"/>
  <c r="B2" i="25"/>
  <c r="A1" i="25"/>
  <c r="F3" i="26"/>
  <c r="B2" i="26"/>
  <c r="A1" i="26"/>
  <c r="F3" i="27"/>
  <c r="B2" i="27"/>
  <c r="A1" i="27"/>
  <c r="F3" i="28"/>
  <c r="B2" i="28"/>
  <c r="A1" i="28"/>
  <c r="F3" i="29"/>
  <c r="B2" i="29"/>
  <c r="A1" i="29"/>
  <c r="F3" i="30"/>
  <c r="B2" i="30"/>
  <c r="A1" i="30"/>
  <c r="F3" i="31"/>
  <c r="B2" i="31"/>
  <c r="A1" i="31"/>
  <c r="F3" i="32"/>
  <c r="B2" i="32"/>
  <c r="A1" i="32"/>
  <c r="F3" i="33"/>
  <c r="B2" i="33"/>
  <c r="A1" i="33"/>
  <c r="F3" i="34"/>
  <c r="B2" i="34"/>
  <c r="A1" i="34"/>
  <c r="F3" i="35"/>
  <c r="B2" i="35"/>
  <c r="A1" i="35"/>
  <c r="F3" i="36"/>
  <c r="B2" i="36"/>
  <c r="A1" i="36"/>
  <c r="F3" i="37"/>
  <c r="B2" i="37"/>
  <c r="A1" i="37"/>
  <c r="F3" i="38"/>
  <c r="B2" i="38"/>
  <c r="A1" i="38"/>
  <c r="F3" i="39"/>
  <c r="B2" i="39"/>
  <c r="A1" i="39"/>
  <c r="F3" i="40"/>
  <c r="B2" i="40"/>
  <c r="A1" i="40"/>
  <c r="F3" i="41"/>
  <c r="B2" i="41"/>
  <c r="A1" i="41"/>
  <c r="F3" i="42"/>
  <c r="B2" i="42"/>
  <c r="A1" i="42"/>
  <c r="F3" i="43"/>
  <c r="B2" i="43"/>
  <c r="A1" i="43"/>
  <c r="F3" i="44"/>
  <c r="B2" i="44"/>
  <c r="A1" i="44"/>
  <c r="F3" i="45"/>
  <c r="B2" i="45"/>
  <c r="A1" i="45"/>
  <c r="F3" i="46"/>
  <c r="B2" i="46"/>
  <c r="A1" i="46"/>
  <c r="F3" i="47"/>
  <c r="B2" i="47"/>
  <c r="A1" i="47"/>
  <c r="F3" i="48"/>
  <c r="B2" i="48"/>
  <c r="A1" i="48"/>
  <c r="F3" i="49"/>
  <c r="B2" i="49"/>
  <c r="A1" i="49"/>
  <c r="F3" i="50"/>
  <c r="B2" i="50"/>
  <c r="A1" i="50"/>
  <c r="F3" i="51"/>
  <c r="B2" i="51"/>
  <c r="A1" i="51"/>
  <c r="F3" i="52"/>
  <c r="B2" i="52"/>
  <c r="A1" i="52"/>
  <c r="F3" i="53"/>
  <c r="B2" i="53"/>
  <c r="A1" i="53"/>
  <c r="F3" i="54"/>
  <c r="B2" i="54"/>
  <c r="A1" i="54"/>
  <c r="F3" i="55"/>
  <c r="B2" i="55"/>
  <c r="A1" i="55"/>
  <c r="F3" i="56"/>
  <c r="B2" i="56"/>
  <c r="A1" i="56"/>
  <c r="F3" i="57"/>
  <c r="B2" i="57"/>
  <c r="A1" i="57"/>
  <c r="A1" i="63"/>
  <c r="A1" i="62"/>
  <c r="C60" i="65"/>
  <c r="C59" i="65"/>
  <c r="C58" i="65"/>
  <c r="C57" i="65"/>
  <c r="C56" i="65"/>
  <c r="C55" i="65"/>
  <c r="C54" i="65"/>
  <c r="C53" i="65"/>
  <c r="C52" i="65"/>
  <c r="C51" i="65"/>
  <c r="C50" i="65"/>
  <c r="C49" i="65"/>
  <c r="C48" i="65"/>
  <c r="C47" i="65"/>
  <c r="C46" i="65"/>
  <c r="C45" i="65"/>
  <c r="C44" i="65"/>
  <c r="C43" i="65"/>
  <c r="C42" i="65"/>
  <c r="C41" i="65"/>
  <c r="C40" i="65"/>
  <c r="C39" i="65"/>
  <c r="C38" i="65"/>
  <c r="C37" i="65"/>
  <c r="C36" i="65"/>
  <c r="C35" i="65"/>
  <c r="C34" i="65"/>
  <c r="C33" i="65"/>
  <c r="C32" i="65"/>
  <c r="C31" i="65"/>
  <c r="C30" i="65"/>
  <c r="C29" i="65"/>
  <c r="C28" i="65"/>
  <c r="C27" i="65"/>
  <c r="C26" i="65"/>
  <c r="C25" i="65"/>
  <c r="C24" i="65"/>
  <c r="C23" i="65"/>
  <c r="C22" i="65"/>
  <c r="C21" i="65"/>
  <c r="C20" i="65"/>
  <c r="C19" i="65"/>
  <c r="C18" i="65"/>
  <c r="C17" i="65"/>
  <c r="C16" i="65"/>
  <c r="C15" i="65"/>
  <c r="C14" i="65"/>
  <c r="C13" i="65"/>
  <c r="C12" i="65"/>
  <c r="C11" i="65"/>
  <c r="C10" i="65"/>
  <c r="C9" i="65"/>
  <c r="C8" i="65"/>
  <c r="C7" i="65"/>
  <c r="C6" i="65"/>
  <c r="C5" i="65"/>
  <c r="C4" i="65"/>
  <c r="A1" i="65"/>
  <c r="D120" i="60"/>
  <c r="C120" i="60"/>
  <c r="E117" i="60"/>
  <c r="C117" i="60"/>
  <c r="D116" i="60"/>
  <c r="D114" i="60"/>
  <c r="D113" i="60"/>
  <c r="D112" i="60"/>
  <c r="D111" i="60"/>
  <c r="D110" i="60"/>
  <c r="E62" i="56" l="1"/>
  <c r="E60" i="56"/>
  <c r="E58" i="56"/>
  <c r="E56" i="56"/>
  <c r="E54" i="56"/>
  <c r="E52" i="56"/>
  <c r="E50" i="56"/>
  <c r="E48" i="56"/>
  <c r="E46" i="56"/>
  <c r="E44" i="56"/>
  <c r="E42" i="56"/>
  <c r="E40" i="56"/>
  <c r="E38" i="56"/>
  <c r="E36" i="56"/>
  <c r="E63" i="56"/>
  <c r="E61" i="56"/>
  <c r="E59" i="56"/>
  <c r="E57" i="56"/>
  <c r="E55" i="56"/>
  <c r="E53" i="56"/>
  <c r="E51" i="56"/>
  <c r="E49" i="56"/>
  <c r="E47" i="56"/>
  <c r="E45" i="56"/>
  <c r="E43" i="56"/>
  <c r="E41" i="56"/>
  <c r="E39" i="56"/>
  <c r="E37" i="56"/>
  <c r="E62" i="54"/>
  <c r="E60" i="54"/>
  <c r="E58" i="54"/>
  <c r="E56" i="54"/>
  <c r="E54" i="54"/>
  <c r="E52" i="54"/>
  <c r="E50" i="54"/>
  <c r="E48" i="54"/>
  <c r="E46" i="54"/>
  <c r="E44" i="54"/>
  <c r="E42" i="54"/>
  <c r="E40" i="54"/>
  <c r="E38" i="54"/>
  <c r="E36" i="54"/>
  <c r="E63" i="54"/>
  <c r="E59" i="54"/>
  <c r="E55" i="54"/>
  <c r="E51" i="54"/>
  <c r="E47" i="54"/>
  <c r="E43" i="54"/>
  <c r="E39" i="54"/>
  <c r="E61" i="54"/>
  <c r="E57" i="54"/>
  <c r="E53" i="54"/>
  <c r="E49" i="54"/>
  <c r="E45" i="54"/>
  <c r="E41" i="54"/>
  <c r="E37" i="54"/>
  <c r="E62" i="52"/>
  <c r="E60" i="52"/>
  <c r="E58" i="52"/>
  <c r="E56" i="52"/>
  <c r="E54" i="52"/>
  <c r="E52" i="52"/>
  <c r="E50" i="52"/>
  <c r="E48" i="52"/>
  <c r="E46" i="52"/>
  <c r="E44" i="52"/>
  <c r="E42" i="52"/>
  <c r="E40" i="52"/>
  <c r="E38" i="52"/>
  <c r="E36" i="52"/>
  <c r="E63" i="52"/>
  <c r="E59" i="52"/>
  <c r="E55" i="52"/>
  <c r="E51" i="52"/>
  <c r="E47" i="52"/>
  <c r="E43" i="52"/>
  <c r="E39" i="52"/>
  <c r="E61" i="52"/>
  <c r="E57" i="52"/>
  <c r="E53" i="52"/>
  <c r="E49" i="52"/>
  <c r="E45" i="52"/>
  <c r="E41" i="52"/>
  <c r="E37" i="52"/>
  <c r="E62" i="50"/>
  <c r="E60" i="50"/>
  <c r="E58" i="50"/>
  <c r="E56" i="50"/>
  <c r="E54" i="50"/>
  <c r="E52" i="50"/>
  <c r="E50" i="50"/>
  <c r="E48" i="50"/>
  <c r="E46" i="50"/>
  <c r="E44" i="50"/>
  <c r="E42" i="50"/>
  <c r="E40" i="50"/>
  <c r="E38" i="50"/>
  <c r="E36" i="50"/>
  <c r="E63" i="50"/>
  <c r="E59" i="50"/>
  <c r="E55" i="50"/>
  <c r="E51" i="50"/>
  <c r="E47" i="50"/>
  <c r="E43" i="50"/>
  <c r="E39" i="50"/>
  <c r="E61" i="50"/>
  <c r="E57" i="50"/>
  <c r="E53" i="50"/>
  <c r="E49" i="50"/>
  <c r="E45" i="50"/>
  <c r="E41" i="50"/>
  <c r="E37" i="50"/>
  <c r="E62" i="48"/>
  <c r="E60" i="48"/>
  <c r="E58" i="48"/>
  <c r="E56" i="48"/>
  <c r="E54" i="48"/>
  <c r="E52" i="48"/>
  <c r="E50" i="48"/>
  <c r="E48" i="48"/>
  <c r="E46" i="48"/>
  <c r="E44" i="48"/>
  <c r="E42" i="48"/>
  <c r="E40" i="48"/>
  <c r="E38" i="48"/>
  <c r="E36" i="48"/>
  <c r="E63" i="48"/>
  <c r="E61" i="48"/>
  <c r="E59" i="48"/>
  <c r="E57" i="48"/>
  <c r="E55" i="48"/>
  <c r="E53" i="48"/>
  <c r="E51" i="48"/>
  <c r="E49" i="48"/>
  <c r="E47" i="48"/>
  <c r="E45" i="48"/>
  <c r="E43" i="48"/>
  <c r="E41" i="48"/>
  <c r="E39" i="48"/>
  <c r="E37" i="48"/>
  <c r="E62" i="46"/>
  <c r="E63" i="46"/>
  <c r="E61" i="46"/>
  <c r="E59" i="46"/>
  <c r="E57" i="46"/>
  <c r="E55" i="46"/>
  <c r="E53" i="46"/>
  <c r="E51" i="46"/>
  <c r="E49" i="46"/>
  <c r="E47" i="46"/>
  <c r="E45" i="46"/>
  <c r="E43" i="46"/>
  <c r="E41" i="46"/>
  <c r="E39" i="46"/>
  <c r="E37" i="46"/>
  <c r="E60" i="46"/>
  <c r="E56" i="46"/>
  <c r="E52" i="46"/>
  <c r="E48" i="46"/>
  <c r="E44" i="46"/>
  <c r="E40" i="46"/>
  <c r="E36" i="46"/>
  <c r="E58" i="46"/>
  <c r="E54" i="46"/>
  <c r="E50" i="46"/>
  <c r="E46" i="46"/>
  <c r="E42" i="46"/>
  <c r="E38" i="46"/>
  <c r="E63" i="44"/>
  <c r="E61" i="44"/>
  <c r="E59" i="44"/>
  <c r="E57" i="44"/>
  <c r="E60" i="44"/>
  <c r="E56" i="44"/>
  <c r="E54" i="44"/>
  <c r="E52" i="44"/>
  <c r="E50" i="44"/>
  <c r="E48" i="44"/>
  <c r="E46" i="44"/>
  <c r="E44" i="44"/>
  <c r="E42" i="44"/>
  <c r="E40" i="44"/>
  <c r="E38" i="44"/>
  <c r="E36" i="44"/>
  <c r="E62" i="44"/>
  <c r="E58" i="44"/>
  <c r="E55" i="44"/>
  <c r="E53" i="44"/>
  <c r="E51" i="44"/>
  <c r="E49" i="44"/>
  <c r="E47" i="44"/>
  <c r="E45" i="44"/>
  <c r="E43" i="44"/>
  <c r="E41" i="44"/>
  <c r="E39" i="44"/>
  <c r="E37" i="44"/>
  <c r="E62" i="42"/>
  <c r="E60" i="42"/>
  <c r="E58" i="42"/>
  <c r="E56" i="42"/>
  <c r="E54" i="42"/>
  <c r="E52" i="42"/>
  <c r="E50" i="42"/>
  <c r="E48" i="42"/>
  <c r="E46" i="42"/>
  <c r="E44" i="42"/>
  <c r="E42" i="42"/>
  <c r="E40" i="42"/>
  <c r="E38" i="42"/>
  <c r="E36" i="42"/>
  <c r="E63" i="42"/>
  <c r="E61" i="42"/>
  <c r="E59" i="42"/>
  <c r="E57" i="42"/>
  <c r="E55" i="42"/>
  <c r="E53" i="42"/>
  <c r="E51" i="42"/>
  <c r="E49" i="42"/>
  <c r="E47" i="42"/>
  <c r="E45" i="42"/>
  <c r="E43" i="42"/>
  <c r="E41" i="42"/>
  <c r="E39" i="42"/>
  <c r="E37" i="42"/>
  <c r="E62" i="40"/>
  <c r="E60" i="40"/>
  <c r="E58" i="40"/>
  <c r="E56" i="40"/>
  <c r="E54" i="40"/>
  <c r="E52" i="40"/>
  <c r="E50" i="40"/>
  <c r="E48" i="40"/>
  <c r="E46" i="40"/>
  <c r="E44" i="40"/>
  <c r="E42" i="40"/>
  <c r="E40" i="40"/>
  <c r="E38" i="40"/>
  <c r="E36" i="40"/>
  <c r="E63" i="40"/>
  <c r="E61" i="40"/>
  <c r="E59" i="40"/>
  <c r="E57" i="40"/>
  <c r="E55" i="40"/>
  <c r="E53" i="40"/>
  <c r="E51" i="40"/>
  <c r="E49" i="40"/>
  <c r="E47" i="40"/>
  <c r="E45" i="40"/>
  <c r="E43" i="40"/>
  <c r="E41" i="40"/>
  <c r="E39" i="40"/>
  <c r="E37" i="40"/>
  <c r="E62" i="38"/>
  <c r="E60" i="38"/>
  <c r="E58" i="38"/>
  <c r="E56" i="38"/>
  <c r="E54" i="38"/>
  <c r="E52" i="38"/>
  <c r="E50" i="38"/>
  <c r="E48" i="38"/>
  <c r="E46" i="38"/>
  <c r="E44" i="38"/>
  <c r="E42" i="38"/>
  <c r="E40" i="38"/>
  <c r="E38" i="38"/>
  <c r="E36" i="38"/>
  <c r="E63" i="38"/>
  <c r="E61" i="38"/>
  <c r="E59" i="38"/>
  <c r="E57" i="38"/>
  <c r="E55" i="38"/>
  <c r="E53" i="38"/>
  <c r="E51" i="38"/>
  <c r="E49" i="38"/>
  <c r="E47" i="38"/>
  <c r="E45" i="38"/>
  <c r="E43" i="38"/>
  <c r="E39" i="38"/>
  <c r="E41" i="38"/>
  <c r="E37" i="38"/>
  <c r="E62" i="36"/>
  <c r="E60" i="36"/>
  <c r="E58" i="36"/>
  <c r="E56" i="36"/>
  <c r="E54" i="36"/>
  <c r="E52" i="36"/>
  <c r="E50" i="36"/>
  <c r="E48" i="36"/>
  <c r="E46" i="36"/>
  <c r="E44" i="36"/>
  <c r="E42" i="36"/>
  <c r="E40" i="36"/>
  <c r="E38" i="36"/>
  <c r="E36" i="36"/>
  <c r="E63" i="36"/>
  <c r="E59" i="36"/>
  <c r="E55" i="36"/>
  <c r="E51" i="36"/>
  <c r="E47" i="36"/>
  <c r="E43" i="36"/>
  <c r="E39" i="36"/>
  <c r="E61" i="36"/>
  <c r="E57" i="36"/>
  <c r="E53" i="36"/>
  <c r="E49" i="36"/>
  <c r="E45" i="36"/>
  <c r="E41" i="36"/>
  <c r="E37" i="36"/>
  <c r="E62" i="34"/>
  <c r="E60" i="34"/>
  <c r="E58" i="34"/>
  <c r="E56" i="34"/>
  <c r="E54" i="34"/>
  <c r="E52" i="34"/>
  <c r="E50" i="34"/>
  <c r="E48" i="34"/>
  <c r="E46" i="34"/>
  <c r="E44" i="34"/>
  <c r="E42" i="34"/>
  <c r="E40" i="34"/>
  <c r="E38" i="34"/>
  <c r="E36" i="34"/>
  <c r="E63" i="34"/>
  <c r="E59" i="34"/>
  <c r="E55" i="34"/>
  <c r="E51" i="34"/>
  <c r="E47" i="34"/>
  <c r="E43" i="34"/>
  <c r="E39" i="34"/>
  <c r="E61" i="34"/>
  <c r="E57" i="34"/>
  <c r="E53" i="34"/>
  <c r="E49" i="34"/>
  <c r="E45" i="34"/>
  <c r="E41" i="34"/>
  <c r="E37" i="34"/>
  <c r="E63" i="32"/>
  <c r="E61" i="32"/>
  <c r="E59" i="32"/>
  <c r="E57" i="32"/>
  <c r="E55" i="32"/>
  <c r="E53" i="32"/>
  <c r="E51" i="32"/>
  <c r="E49" i="32"/>
  <c r="E47" i="32"/>
  <c r="E45" i="32"/>
  <c r="E43" i="32"/>
  <c r="E41" i="32"/>
  <c r="E39" i="32"/>
  <c r="E37" i="32"/>
  <c r="E62" i="32"/>
  <c r="E60" i="32"/>
  <c r="E58" i="32"/>
  <c r="E56" i="32"/>
  <c r="E54" i="32"/>
  <c r="E52" i="32"/>
  <c r="E50" i="32"/>
  <c r="E48" i="32"/>
  <c r="E46" i="32"/>
  <c r="E44" i="32"/>
  <c r="E42" i="32"/>
  <c r="E40" i="32"/>
  <c r="E38" i="32"/>
  <c r="E36" i="32"/>
  <c r="E63" i="30"/>
  <c r="E61" i="30"/>
  <c r="E59" i="30"/>
  <c r="E57" i="30"/>
  <c r="E55" i="30"/>
  <c r="E53" i="30"/>
  <c r="E51" i="30"/>
  <c r="E49" i="30"/>
  <c r="E47" i="30"/>
  <c r="E45" i="30"/>
  <c r="E43" i="30"/>
  <c r="E41" i="30"/>
  <c r="E39" i="30"/>
  <c r="E37" i="30"/>
  <c r="E62" i="30"/>
  <c r="E60" i="30"/>
  <c r="E58" i="30"/>
  <c r="E56" i="30"/>
  <c r="E54" i="30"/>
  <c r="E52" i="30"/>
  <c r="E50" i="30"/>
  <c r="E48" i="30"/>
  <c r="E46" i="30"/>
  <c r="E44" i="30"/>
  <c r="E42" i="30"/>
  <c r="E40" i="30"/>
  <c r="E38" i="30"/>
  <c r="E36" i="30"/>
  <c r="E63" i="28"/>
  <c r="E61" i="28"/>
  <c r="E59" i="28"/>
  <c r="E57" i="28"/>
  <c r="E55" i="28"/>
  <c r="E53" i="28"/>
  <c r="E51" i="28"/>
  <c r="E49" i="28"/>
  <c r="E47" i="28"/>
  <c r="E45" i="28"/>
  <c r="E43" i="28"/>
  <c r="E41" i="28"/>
  <c r="E39" i="28"/>
  <c r="E37" i="28"/>
  <c r="E62" i="28"/>
  <c r="E60" i="28"/>
  <c r="E58" i="28"/>
  <c r="E56" i="28"/>
  <c r="E54" i="28"/>
  <c r="E52" i="28"/>
  <c r="E50" i="28"/>
  <c r="E48" i="28"/>
  <c r="E46" i="28"/>
  <c r="E44" i="28"/>
  <c r="E42" i="28"/>
  <c r="E40" i="28"/>
  <c r="E38" i="28"/>
  <c r="E36" i="28"/>
  <c r="E63" i="26"/>
  <c r="E61" i="26"/>
  <c r="E59" i="26"/>
  <c r="E57" i="26"/>
  <c r="E55" i="26"/>
  <c r="E53" i="26"/>
  <c r="E51" i="26"/>
  <c r="E49" i="26"/>
  <c r="E47" i="26"/>
  <c r="E45" i="26"/>
  <c r="E43" i="26"/>
  <c r="E41" i="26"/>
  <c r="E39" i="26"/>
  <c r="E37" i="26"/>
  <c r="E62" i="26"/>
  <c r="E60" i="26"/>
  <c r="E58" i="26"/>
  <c r="E56" i="26"/>
  <c r="E54" i="26"/>
  <c r="E52" i="26"/>
  <c r="E50" i="26"/>
  <c r="E48" i="26"/>
  <c r="E46" i="26"/>
  <c r="E44" i="26"/>
  <c r="E42" i="26"/>
  <c r="E40" i="26"/>
  <c r="E38" i="26"/>
  <c r="E36" i="26"/>
  <c r="E63" i="24"/>
  <c r="E61" i="24"/>
  <c r="E59" i="24"/>
  <c r="E57" i="24"/>
  <c r="E55" i="24"/>
  <c r="E53" i="24"/>
  <c r="E51" i="24"/>
  <c r="E49" i="24"/>
  <c r="E47" i="24"/>
  <c r="E45" i="24"/>
  <c r="E43" i="24"/>
  <c r="E41" i="24"/>
  <c r="E39" i="24"/>
  <c r="E37" i="24"/>
  <c r="E62" i="24"/>
  <c r="E60" i="24"/>
  <c r="E58" i="24"/>
  <c r="E56" i="24"/>
  <c r="E54" i="24"/>
  <c r="E52" i="24"/>
  <c r="E50" i="24"/>
  <c r="E48" i="24"/>
  <c r="E46" i="24"/>
  <c r="E44" i="24"/>
  <c r="E42" i="24"/>
  <c r="E40" i="24"/>
  <c r="E38" i="24"/>
  <c r="E36" i="24"/>
  <c r="E62" i="22"/>
  <c r="E60" i="22"/>
  <c r="E58" i="22"/>
  <c r="E56" i="22"/>
  <c r="E54" i="22"/>
  <c r="E52" i="22"/>
  <c r="E50" i="22"/>
  <c r="E48" i="22"/>
  <c r="E46" i="22"/>
  <c r="E44" i="22"/>
  <c r="E42" i="22"/>
  <c r="E40" i="22"/>
  <c r="E38" i="22"/>
  <c r="E36" i="22"/>
  <c r="E63" i="22"/>
  <c r="E61" i="22"/>
  <c r="E59" i="22"/>
  <c r="E57" i="22"/>
  <c r="E55" i="22"/>
  <c r="E53" i="22"/>
  <c r="E51" i="22"/>
  <c r="E49" i="22"/>
  <c r="E47" i="22"/>
  <c r="E45" i="22"/>
  <c r="E43" i="22"/>
  <c r="E41" i="22"/>
  <c r="E39" i="22"/>
  <c r="E37" i="22"/>
  <c r="E62" i="20"/>
  <c r="E60" i="20"/>
  <c r="E58" i="20"/>
  <c r="E56" i="20"/>
  <c r="E54" i="20"/>
  <c r="E52" i="20"/>
  <c r="E50" i="20"/>
  <c r="E48" i="20"/>
  <c r="E46" i="20"/>
  <c r="E44" i="20"/>
  <c r="E42" i="20"/>
  <c r="E40" i="20"/>
  <c r="E38" i="20"/>
  <c r="E36" i="20"/>
  <c r="E63" i="20"/>
  <c r="E61" i="20"/>
  <c r="E59" i="20"/>
  <c r="E57" i="20"/>
  <c r="E55" i="20"/>
  <c r="E53" i="20"/>
  <c r="E51" i="20"/>
  <c r="E49" i="20"/>
  <c r="E47" i="20"/>
  <c r="E45" i="20"/>
  <c r="E43" i="20"/>
  <c r="E41" i="20"/>
  <c r="E39" i="20"/>
  <c r="E37" i="20"/>
  <c r="E62" i="18"/>
  <c r="E60" i="18"/>
  <c r="E58" i="18"/>
  <c r="E56" i="18"/>
  <c r="E54" i="18"/>
  <c r="E52" i="18"/>
  <c r="E50" i="18"/>
  <c r="E48" i="18"/>
  <c r="E46" i="18"/>
  <c r="E44" i="18"/>
  <c r="E42" i="18"/>
  <c r="E40" i="18"/>
  <c r="E38" i="18"/>
  <c r="E36" i="18"/>
  <c r="E63" i="18"/>
  <c r="E61" i="18"/>
  <c r="E59" i="18"/>
  <c r="E57" i="18"/>
  <c r="E55" i="18"/>
  <c r="E53" i="18"/>
  <c r="E51" i="18"/>
  <c r="E49" i="18"/>
  <c r="E47" i="18"/>
  <c r="E45" i="18"/>
  <c r="E43" i="18"/>
  <c r="E41" i="18"/>
  <c r="E39" i="18"/>
  <c r="E37" i="18"/>
  <c r="E62" i="16"/>
  <c r="E60" i="16"/>
  <c r="E58" i="16"/>
  <c r="E56" i="16"/>
  <c r="E54" i="16"/>
  <c r="E52" i="16"/>
  <c r="E50" i="16"/>
  <c r="E48" i="16"/>
  <c r="E46" i="16"/>
  <c r="E44" i="16"/>
  <c r="E42" i="16"/>
  <c r="E40" i="16"/>
  <c r="E38" i="16"/>
  <c r="E36" i="16"/>
  <c r="E63" i="16"/>
  <c r="E61" i="16"/>
  <c r="E59" i="16"/>
  <c r="E57" i="16"/>
  <c r="E55" i="16"/>
  <c r="E53" i="16"/>
  <c r="E51" i="16"/>
  <c r="E49" i="16"/>
  <c r="E47" i="16"/>
  <c r="E45" i="16"/>
  <c r="E43" i="16"/>
  <c r="E41" i="16"/>
  <c r="E39" i="16"/>
  <c r="E37" i="16"/>
  <c r="E62" i="14"/>
  <c r="E60" i="14"/>
  <c r="E58" i="14"/>
  <c r="E56" i="14"/>
  <c r="E54" i="14"/>
  <c r="E52" i="14"/>
  <c r="E50" i="14"/>
  <c r="E48" i="14"/>
  <c r="E46" i="14"/>
  <c r="E44" i="14"/>
  <c r="E42" i="14"/>
  <c r="E40" i="14"/>
  <c r="E38" i="14"/>
  <c r="E36" i="14"/>
  <c r="E63" i="14"/>
  <c r="E61" i="14"/>
  <c r="E59" i="14"/>
  <c r="E57" i="14"/>
  <c r="E55" i="14"/>
  <c r="E53" i="14"/>
  <c r="E51" i="14"/>
  <c r="E49" i="14"/>
  <c r="E47" i="14"/>
  <c r="E45" i="14"/>
  <c r="E43" i="14"/>
  <c r="E41" i="14"/>
  <c r="E39" i="14"/>
  <c r="E37" i="14"/>
  <c r="E62" i="12"/>
  <c r="E60" i="12"/>
  <c r="E58" i="12"/>
  <c r="E56" i="12"/>
  <c r="E54" i="12"/>
  <c r="E52" i="12"/>
  <c r="E50" i="12"/>
  <c r="E48" i="12"/>
  <c r="F48" i="12" s="1"/>
  <c r="E46" i="12"/>
  <c r="E44" i="12"/>
  <c r="E42" i="12"/>
  <c r="E40" i="12"/>
  <c r="E38" i="12"/>
  <c r="E36" i="12"/>
  <c r="E63" i="12"/>
  <c r="E61" i="12"/>
  <c r="E59" i="12"/>
  <c r="E57" i="12"/>
  <c r="E55" i="12"/>
  <c r="E53" i="12"/>
  <c r="E51" i="12"/>
  <c r="E49" i="12"/>
  <c r="E47" i="12"/>
  <c r="E45" i="12"/>
  <c r="E43" i="12"/>
  <c r="E41" i="12"/>
  <c r="E39" i="12"/>
  <c r="E37" i="12"/>
  <c r="E62" i="10"/>
  <c r="E60" i="10"/>
  <c r="E58" i="10"/>
  <c r="E56" i="10"/>
  <c r="E54" i="10"/>
  <c r="E52" i="10"/>
  <c r="E50" i="10"/>
  <c r="E48" i="10"/>
  <c r="E46" i="10"/>
  <c r="E44" i="10"/>
  <c r="E42" i="10"/>
  <c r="E40" i="10"/>
  <c r="E38" i="10"/>
  <c r="E36" i="10"/>
  <c r="E63" i="10"/>
  <c r="E61" i="10"/>
  <c r="E59" i="10"/>
  <c r="E57" i="10"/>
  <c r="E55" i="10"/>
  <c r="E53" i="10"/>
  <c r="E51" i="10"/>
  <c r="E49" i="10"/>
  <c r="E47" i="10"/>
  <c r="E45" i="10"/>
  <c r="E43" i="10"/>
  <c r="E41" i="10"/>
  <c r="E39" i="10"/>
  <c r="E37" i="10"/>
  <c r="E62" i="8"/>
  <c r="E60" i="8"/>
  <c r="E58" i="8"/>
  <c r="E56" i="8"/>
  <c r="E54" i="8"/>
  <c r="E52" i="8"/>
  <c r="E50" i="8"/>
  <c r="E48" i="8"/>
  <c r="E46" i="8"/>
  <c r="E44" i="8"/>
  <c r="E42" i="8"/>
  <c r="E40" i="8"/>
  <c r="E38" i="8"/>
  <c r="E36" i="8"/>
  <c r="E63" i="8"/>
  <c r="E61" i="8"/>
  <c r="E59" i="8"/>
  <c r="E57" i="8"/>
  <c r="E55" i="8"/>
  <c r="E53" i="8"/>
  <c r="E51" i="8"/>
  <c r="E49" i="8"/>
  <c r="E47" i="8"/>
  <c r="E45" i="8"/>
  <c r="E43" i="8"/>
  <c r="E41" i="8"/>
  <c r="E39" i="8"/>
  <c r="E37" i="8"/>
  <c r="E62" i="6"/>
  <c r="E60" i="6"/>
  <c r="E58" i="6"/>
  <c r="E56" i="6"/>
  <c r="E54" i="6"/>
  <c r="E52" i="6"/>
  <c r="E50" i="6"/>
  <c r="E48" i="6"/>
  <c r="E46" i="6"/>
  <c r="E44" i="6"/>
  <c r="E42" i="6"/>
  <c r="E40" i="6"/>
  <c r="E38" i="6"/>
  <c r="E36" i="6"/>
  <c r="E63" i="6"/>
  <c r="E61" i="6"/>
  <c r="E59" i="6"/>
  <c r="E57" i="6"/>
  <c r="E55" i="6"/>
  <c r="E53" i="6"/>
  <c r="E51" i="6"/>
  <c r="E49" i="6"/>
  <c r="E47" i="6"/>
  <c r="E45" i="6"/>
  <c r="E43" i="6"/>
  <c r="E41" i="6"/>
  <c r="E39" i="6"/>
  <c r="E37" i="6"/>
  <c r="E62" i="4"/>
  <c r="E60" i="4"/>
  <c r="E58" i="4"/>
  <c r="E56" i="4"/>
  <c r="E54" i="4"/>
  <c r="E52" i="4"/>
  <c r="E50" i="4"/>
  <c r="E48" i="4"/>
  <c r="F48" i="4" s="1"/>
  <c r="E46" i="4"/>
  <c r="E44" i="4"/>
  <c r="E42" i="4"/>
  <c r="E40" i="4"/>
  <c r="E38" i="4"/>
  <c r="E36" i="4"/>
  <c r="E63" i="4"/>
  <c r="E61" i="4"/>
  <c r="E59" i="4"/>
  <c r="E57" i="4"/>
  <c r="E55" i="4"/>
  <c r="E53" i="4"/>
  <c r="E51" i="4"/>
  <c r="E49" i="4"/>
  <c r="E47" i="4"/>
  <c r="E45" i="4"/>
  <c r="E43" i="4"/>
  <c r="E41" i="4"/>
  <c r="E39" i="4"/>
  <c r="E37" i="4"/>
  <c r="E62" i="59"/>
  <c r="E60" i="59"/>
  <c r="E58" i="59"/>
  <c r="E56" i="59"/>
  <c r="E54" i="59"/>
  <c r="E52" i="59"/>
  <c r="E50" i="59"/>
  <c r="E48" i="59"/>
  <c r="E46" i="59"/>
  <c r="E44" i="59"/>
  <c r="E42" i="59"/>
  <c r="E40" i="59"/>
  <c r="E38" i="59"/>
  <c r="E36" i="59"/>
  <c r="E63" i="59"/>
  <c r="E61" i="59"/>
  <c r="E59" i="59"/>
  <c r="E57" i="59"/>
  <c r="E55" i="59"/>
  <c r="E53" i="59"/>
  <c r="E51" i="59"/>
  <c r="E49" i="59"/>
  <c r="E47" i="59"/>
  <c r="E45" i="59"/>
  <c r="E43" i="59"/>
  <c r="E41" i="59"/>
  <c r="E39" i="59"/>
  <c r="E37" i="59"/>
  <c r="E62" i="57"/>
  <c r="E60" i="57"/>
  <c r="E58" i="57"/>
  <c r="E56" i="57"/>
  <c r="E54" i="57"/>
  <c r="E52" i="57"/>
  <c r="E50" i="57"/>
  <c r="E63" i="57"/>
  <c r="E61" i="57"/>
  <c r="E59" i="57"/>
  <c r="E57" i="57"/>
  <c r="E55" i="57"/>
  <c r="E53" i="57"/>
  <c r="E51" i="57"/>
  <c r="E49" i="57"/>
  <c r="E47" i="57"/>
  <c r="E45" i="57"/>
  <c r="E43" i="57"/>
  <c r="E41" i="57"/>
  <c r="E39" i="57"/>
  <c r="E37" i="57"/>
  <c r="E48" i="57"/>
  <c r="E46" i="57"/>
  <c r="E44" i="57"/>
  <c r="E42" i="57"/>
  <c r="E40" i="57"/>
  <c r="E38" i="57"/>
  <c r="E36" i="57"/>
  <c r="E62" i="55"/>
  <c r="E60" i="55"/>
  <c r="E58" i="55"/>
  <c r="E56" i="55"/>
  <c r="E54" i="55"/>
  <c r="E52" i="55"/>
  <c r="E50" i="55"/>
  <c r="E48" i="55"/>
  <c r="F48" i="55" s="1"/>
  <c r="E46" i="55"/>
  <c r="E44" i="55"/>
  <c r="E42" i="55"/>
  <c r="E40" i="55"/>
  <c r="E38" i="55"/>
  <c r="E36" i="55"/>
  <c r="E63" i="55"/>
  <c r="E59" i="55"/>
  <c r="E55" i="55"/>
  <c r="E51" i="55"/>
  <c r="E47" i="55"/>
  <c r="E43" i="55"/>
  <c r="E39" i="55"/>
  <c r="E61" i="55"/>
  <c r="E57" i="55"/>
  <c r="E53" i="55"/>
  <c r="E49" i="55"/>
  <c r="E45" i="55"/>
  <c r="E41" i="55"/>
  <c r="E37" i="55"/>
  <c r="E62" i="53"/>
  <c r="E60" i="53"/>
  <c r="E58" i="53"/>
  <c r="E56" i="53"/>
  <c r="E54" i="53"/>
  <c r="E52" i="53"/>
  <c r="E50" i="53"/>
  <c r="E48" i="53"/>
  <c r="E46" i="53"/>
  <c r="E44" i="53"/>
  <c r="E42" i="53"/>
  <c r="E40" i="53"/>
  <c r="E38" i="53"/>
  <c r="E36" i="53"/>
  <c r="E63" i="53"/>
  <c r="E59" i="53"/>
  <c r="E55" i="53"/>
  <c r="E51" i="53"/>
  <c r="E47" i="53"/>
  <c r="E43" i="53"/>
  <c r="E39" i="53"/>
  <c r="E61" i="53"/>
  <c r="E57" i="53"/>
  <c r="E53" i="53"/>
  <c r="E49" i="53"/>
  <c r="E45" i="53"/>
  <c r="E41" i="53"/>
  <c r="E37" i="53"/>
  <c r="E62" i="51"/>
  <c r="E60" i="51"/>
  <c r="E58" i="51"/>
  <c r="E56" i="51"/>
  <c r="E54" i="51"/>
  <c r="E52" i="51"/>
  <c r="E50" i="51"/>
  <c r="E48" i="51"/>
  <c r="F48" i="51" s="1"/>
  <c r="E46" i="51"/>
  <c r="E44" i="51"/>
  <c r="E42" i="51"/>
  <c r="E40" i="51"/>
  <c r="E38" i="51"/>
  <c r="E36" i="51"/>
  <c r="E63" i="51"/>
  <c r="E59" i="51"/>
  <c r="E55" i="51"/>
  <c r="E51" i="51"/>
  <c r="E47" i="51"/>
  <c r="E43" i="51"/>
  <c r="E39" i="51"/>
  <c r="E61" i="51"/>
  <c r="E57" i="51"/>
  <c r="E53" i="51"/>
  <c r="E49" i="51"/>
  <c r="E45" i="51"/>
  <c r="E41" i="51"/>
  <c r="E37" i="51"/>
  <c r="E62" i="49"/>
  <c r="E63" i="49"/>
  <c r="E60" i="49"/>
  <c r="E58" i="49"/>
  <c r="E56" i="49"/>
  <c r="E54" i="49"/>
  <c r="E52" i="49"/>
  <c r="E50" i="49"/>
  <c r="E48" i="49"/>
  <c r="E46" i="49"/>
  <c r="E44" i="49"/>
  <c r="E42" i="49"/>
  <c r="E40" i="49"/>
  <c r="E38" i="49"/>
  <c r="E36" i="49"/>
  <c r="E61" i="49"/>
  <c r="E59" i="49"/>
  <c r="E57" i="49"/>
  <c r="E55" i="49"/>
  <c r="E53" i="49"/>
  <c r="E51" i="49"/>
  <c r="E49" i="49"/>
  <c r="E47" i="49"/>
  <c r="E45" i="49"/>
  <c r="E43" i="49"/>
  <c r="E41" i="49"/>
  <c r="E39" i="49"/>
  <c r="E37" i="49"/>
  <c r="E62" i="47"/>
  <c r="E60" i="47"/>
  <c r="E58" i="47"/>
  <c r="E56" i="47"/>
  <c r="E54" i="47"/>
  <c r="E52" i="47"/>
  <c r="E50" i="47"/>
  <c r="E48" i="47"/>
  <c r="F48" i="47" s="1"/>
  <c r="E46" i="47"/>
  <c r="E44" i="47"/>
  <c r="E42" i="47"/>
  <c r="E40" i="47"/>
  <c r="E38" i="47"/>
  <c r="E36" i="47"/>
  <c r="E63" i="47"/>
  <c r="E61" i="47"/>
  <c r="E59" i="47"/>
  <c r="E57" i="47"/>
  <c r="E55" i="47"/>
  <c r="E53" i="47"/>
  <c r="E51" i="47"/>
  <c r="E49" i="47"/>
  <c r="E47" i="47"/>
  <c r="E45" i="47"/>
  <c r="E43" i="47"/>
  <c r="E41" i="47"/>
  <c r="E39" i="47"/>
  <c r="E37" i="47"/>
  <c r="E63" i="45"/>
  <c r="E61" i="45"/>
  <c r="E59" i="45"/>
  <c r="E57" i="45"/>
  <c r="E55" i="45"/>
  <c r="E53" i="45"/>
  <c r="E51" i="45"/>
  <c r="E49" i="45"/>
  <c r="E47" i="45"/>
  <c r="E45" i="45"/>
  <c r="E43" i="45"/>
  <c r="E41" i="45"/>
  <c r="E39" i="45"/>
  <c r="E37" i="45"/>
  <c r="E60" i="45"/>
  <c r="E56" i="45"/>
  <c r="E52" i="45"/>
  <c r="E48" i="45"/>
  <c r="E64" i="45" s="1"/>
  <c r="E44" i="45"/>
  <c r="E40" i="45"/>
  <c r="E36" i="45"/>
  <c r="E62" i="45"/>
  <c r="E58" i="45"/>
  <c r="E54" i="45"/>
  <c r="E50" i="45"/>
  <c r="E46" i="45"/>
  <c r="E42" i="45"/>
  <c r="E38" i="45"/>
  <c r="E62" i="43"/>
  <c r="E60" i="43"/>
  <c r="E58" i="43"/>
  <c r="E56" i="43"/>
  <c r="E54" i="43"/>
  <c r="E52" i="43"/>
  <c r="E50" i="43"/>
  <c r="E48" i="43"/>
  <c r="E46" i="43"/>
  <c r="E44" i="43"/>
  <c r="E42" i="43"/>
  <c r="E40" i="43"/>
  <c r="E38" i="43"/>
  <c r="E36" i="43"/>
  <c r="E63" i="43"/>
  <c r="E61" i="43"/>
  <c r="E59" i="43"/>
  <c r="E57" i="43"/>
  <c r="E55" i="43"/>
  <c r="E53" i="43"/>
  <c r="E51" i="43"/>
  <c r="E49" i="43"/>
  <c r="E47" i="43"/>
  <c r="E45" i="43"/>
  <c r="E43" i="43"/>
  <c r="E41" i="43"/>
  <c r="E39" i="43"/>
  <c r="E37" i="43"/>
  <c r="E62" i="41"/>
  <c r="E60" i="41"/>
  <c r="E58" i="41"/>
  <c r="E56" i="41"/>
  <c r="E54" i="41"/>
  <c r="E52" i="41"/>
  <c r="E50" i="41"/>
  <c r="E48" i="41"/>
  <c r="E46" i="41"/>
  <c r="E44" i="41"/>
  <c r="E42" i="41"/>
  <c r="E40" i="41"/>
  <c r="E38" i="41"/>
  <c r="E36" i="41"/>
  <c r="E63" i="41"/>
  <c r="E61" i="41"/>
  <c r="E59" i="41"/>
  <c r="E57" i="41"/>
  <c r="E55" i="41"/>
  <c r="E53" i="41"/>
  <c r="E51" i="41"/>
  <c r="E49" i="41"/>
  <c r="E47" i="41"/>
  <c r="E45" i="41"/>
  <c r="E43" i="41"/>
  <c r="E41" i="41"/>
  <c r="E39" i="41"/>
  <c r="E37" i="41"/>
  <c r="E62" i="39"/>
  <c r="E60" i="39"/>
  <c r="E58" i="39"/>
  <c r="E56" i="39"/>
  <c r="E54" i="39"/>
  <c r="E52" i="39"/>
  <c r="E50" i="39"/>
  <c r="E48" i="39"/>
  <c r="E46" i="39"/>
  <c r="E44" i="39"/>
  <c r="E42" i="39"/>
  <c r="E40" i="39"/>
  <c r="E38" i="39"/>
  <c r="E36" i="39"/>
  <c r="E63" i="39"/>
  <c r="E61" i="39"/>
  <c r="E59" i="39"/>
  <c r="E57" i="39"/>
  <c r="E55" i="39"/>
  <c r="E53" i="39"/>
  <c r="E51" i="39"/>
  <c r="E49" i="39"/>
  <c r="E47" i="39"/>
  <c r="E45" i="39"/>
  <c r="E43" i="39"/>
  <c r="E41" i="39"/>
  <c r="E39" i="39"/>
  <c r="E37" i="39"/>
  <c r="E62" i="37"/>
  <c r="E60" i="37"/>
  <c r="E58" i="37"/>
  <c r="E56" i="37"/>
  <c r="E54" i="37"/>
  <c r="E52" i="37"/>
  <c r="E50" i="37"/>
  <c r="E48" i="37"/>
  <c r="E46" i="37"/>
  <c r="E44" i="37"/>
  <c r="E42" i="37"/>
  <c r="E40" i="37"/>
  <c r="E38" i="37"/>
  <c r="E36" i="37"/>
  <c r="E63" i="37"/>
  <c r="E59" i="37"/>
  <c r="E55" i="37"/>
  <c r="E51" i="37"/>
  <c r="E47" i="37"/>
  <c r="E43" i="37"/>
  <c r="E39" i="37"/>
  <c r="E61" i="37"/>
  <c r="E57" i="37"/>
  <c r="E53" i="37"/>
  <c r="E49" i="37"/>
  <c r="E45" i="37"/>
  <c r="E41" i="37"/>
  <c r="E37" i="37"/>
  <c r="E62" i="35"/>
  <c r="E60" i="35"/>
  <c r="E58" i="35"/>
  <c r="E56" i="35"/>
  <c r="E54" i="35"/>
  <c r="E52" i="35"/>
  <c r="E50" i="35"/>
  <c r="E48" i="35"/>
  <c r="E46" i="35"/>
  <c r="E44" i="35"/>
  <c r="E42" i="35"/>
  <c r="E40" i="35"/>
  <c r="E38" i="35"/>
  <c r="E36" i="35"/>
  <c r="E63" i="35"/>
  <c r="E59" i="35"/>
  <c r="E55" i="35"/>
  <c r="E51" i="35"/>
  <c r="E47" i="35"/>
  <c r="E43" i="35"/>
  <c r="E39" i="35"/>
  <c r="E61" i="35"/>
  <c r="E57" i="35"/>
  <c r="E53" i="35"/>
  <c r="E49" i="35"/>
  <c r="E45" i="35"/>
  <c r="E41" i="35"/>
  <c r="E37" i="35"/>
  <c r="E62" i="33"/>
  <c r="E60" i="33"/>
  <c r="E58" i="33"/>
  <c r="E56" i="33"/>
  <c r="E63" i="33"/>
  <c r="E59" i="33"/>
  <c r="E55" i="33"/>
  <c r="E53" i="33"/>
  <c r="E51" i="33"/>
  <c r="E49" i="33"/>
  <c r="E47" i="33"/>
  <c r="E45" i="33"/>
  <c r="E43" i="33"/>
  <c r="E41" i="33"/>
  <c r="E39" i="33"/>
  <c r="E37" i="33"/>
  <c r="E61" i="33"/>
  <c r="E57" i="33"/>
  <c r="E54" i="33"/>
  <c r="E52" i="33"/>
  <c r="E50" i="33"/>
  <c r="E48" i="33"/>
  <c r="F48" i="33" s="1"/>
  <c r="E46" i="33"/>
  <c r="E44" i="33"/>
  <c r="E42" i="33"/>
  <c r="E40" i="33"/>
  <c r="E38" i="33"/>
  <c r="E36" i="33"/>
  <c r="E63" i="31"/>
  <c r="E61" i="31"/>
  <c r="E59" i="31"/>
  <c r="E57" i="31"/>
  <c r="E55" i="31"/>
  <c r="E53" i="31"/>
  <c r="E51" i="31"/>
  <c r="E49" i="31"/>
  <c r="E47" i="31"/>
  <c r="E45" i="31"/>
  <c r="E43" i="31"/>
  <c r="E41" i="31"/>
  <c r="E39" i="31"/>
  <c r="E37" i="31"/>
  <c r="E62" i="31"/>
  <c r="E60" i="31"/>
  <c r="E58" i="31"/>
  <c r="E56" i="31"/>
  <c r="E54" i="31"/>
  <c r="E52" i="31"/>
  <c r="E50" i="31"/>
  <c r="E48" i="31"/>
  <c r="E46" i="31"/>
  <c r="E44" i="31"/>
  <c r="E42" i="31"/>
  <c r="E40" i="31"/>
  <c r="E38" i="31"/>
  <c r="E36" i="31"/>
  <c r="E63" i="29"/>
  <c r="E61" i="29"/>
  <c r="E59" i="29"/>
  <c r="E57" i="29"/>
  <c r="E55" i="29"/>
  <c r="E53" i="29"/>
  <c r="E51" i="29"/>
  <c r="E49" i="29"/>
  <c r="E47" i="29"/>
  <c r="E45" i="29"/>
  <c r="E43" i="29"/>
  <c r="E41" i="29"/>
  <c r="E39" i="29"/>
  <c r="E37" i="29"/>
  <c r="E62" i="29"/>
  <c r="E60" i="29"/>
  <c r="E58" i="29"/>
  <c r="E56" i="29"/>
  <c r="E54" i="29"/>
  <c r="E52" i="29"/>
  <c r="E50" i="29"/>
  <c r="E48" i="29"/>
  <c r="E46" i="29"/>
  <c r="E44" i="29"/>
  <c r="E42" i="29"/>
  <c r="E40" i="29"/>
  <c r="E38" i="29"/>
  <c r="E36" i="29"/>
  <c r="E63" i="27"/>
  <c r="E61" i="27"/>
  <c r="E59" i="27"/>
  <c r="E57" i="27"/>
  <c r="E55" i="27"/>
  <c r="E53" i="27"/>
  <c r="E51" i="27"/>
  <c r="E49" i="27"/>
  <c r="E47" i="27"/>
  <c r="E45" i="27"/>
  <c r="E43" i="27"/>
  <c r="E41" i="27"/>
  <c r="E39" i="27"/>
  <c r="E37" i="27"/>
  <c r="E62" i="27"/>
  <c r="E60" i="27"/>
  <c r="E58" i="27"/>
  <c r="E56" i="27"/>
  <c r="E54" i="27"/>
  <c r="E52" i="27"/>
  <c r="E50" i="27"/>
  <c r="E48" i="27"/>
  <c r="E46" i="27"/>
  <c r="E44" i="27"/>
  <c r="E42" i="27"/>
  <c r="E40" i="27"/>
  <c r="E38" i="27"/>
  <c r="E36" i="27"/>
  <c r="E63" i="25"/>
  <c r="E61" i="25"/>
  <c r="E59" i="25"/>
  <c r="E57" i="25"/>
  <c r="E55" i="25"/>
  <c r="E53" i="25"/>
  <c r="E51" i="25"/>
  <c r="E49" i="25"/>
  <c r="E47" i="25"/>
  <c r="E45" i="25"/>
  <c r="E43" i="25"/>
  <c r="E41" i="25"/>
  <c r="E39" i="25"/>
  <c r="E37" i="25"/>
  <c r="E62" i="25"/>
  <c r="E60" i="25"/>
  <c r="E58" i="25"/>
  <c r="E56" i="25"/>
  <c r="E54" i="25"/>
  <c r="E52" i="25"/>
  <c r="E50" i="25"/>
  <c r="E48" i="25"/>
  <c r="E46" i="25"/>
  <c r="E44" i="25"/>
  <c r="E42" i="25"/>
  <c r="E40" i="25"/>
  <c r="E38" i="25"/>
  <c r="E36" i="25"/>
  <c r="E63" i="23"/>
  <c r="E61" i="23"/>
  <c r="E59" i="23"/>
  <c r="E62" i="23"/>
  <c r="E60" i="23"/>
  <c r="E58" i="23"/>
  <c r="E56" i="23"/>
  <c r="E54" i="23"/>
  <c r="E52" i="23"/>
  <c r="E50" i="23"/>
  <c r="E48" i="23"/>
  <c r="E46" i="23"/>
  <c r="E44" i="23"/>
  <c r="E42" i="23"/>
  <c r="E40" i="23"/>
  <c r="E38" i="23"/>
  <c r="E36" i="23"/>
  <c r="E57" i="23"/>
  <c r="E55" i="23"/>
  <c r="E53" i="23"/>
  <c r="E51" i="23"/>
  <c r="E49" i="23"/>
  <c r="E47" i="23"/>
  <c r="E45" i="23"/>
  <c r="E43" i="23"/>
  <c r="E41" i="23"/>
  <c r="E39" i="23"/>
  <c r="E37" i="23"/>
  <c r="E62" i="21"/>
  <c r="E60" i="21"/>
  <c r="E58" i="21"/>
  <c r="E56" i="21"/>
  <c r="E54" i="21"/>
  <c r="E52" i="21"/>
  <c r="E50" i="21"/>
  <c r="E48" i="21"/>
  <c r="E46" i="21"/>
  <c r="E44" i="21"/>
  <c r="E42" i="21"/>
  <c r="E40" i="21"/>
  <c r="E38" i="21"/>
  <c r="E36" i="21"/>
  <c r="E63" i="21"/>
  <c r="E61" i="21"/>
  <c r="E59" i="21"/>
  <c r="E57" i="21"/>
  <c r="E55" i="21"/>
  <c r="E53" i="21"/>
  <c r="E51" i="21"/>
  <c r="E49" i="21"/>
  <c r="E47" i="21"/>
  <c r="E45" i="21"/>
  <c r="E43" i="21"/>
  <c r="E41" i="21"/>
  <c r="E39" i="21"/>
  <c r="E37" i="21"/>
  <c r="E62" i="19"/>
  <c r="E60" i="19"/>
  <c r="E58" i="19"/>
  <c r="E56" i="19"/>
  <c r="E54" i="19"/>
  <c r="E52" i="19"/>
  <c r="E50" i="19"/>
  <c r="E48" i="19"/>
  <c r="F48" i="19" s="1"/>
  <c r="E46" i="19"/>
  <c r="E44" i="19"/>
  <c r="E42" i="19"/>
  <c r="E40" i="19"/>
  <c r="E38" i="19"/>
  <c r="E36" i="19"/>
  <c r="E63" i="19"/>
  <c r="E61" i="19"/>
  <c r="E59" i="19"/>
  <c r="E57" i="19"/>
  <c r="E55" i="19"/>
  <c r="E53" i="19"/>
  <c r="E51" i="19"/>
  <c r="E49" i="19"/>
  <c r="E47" i="19"/>
  <c r="E45" i="19"/>
  <c r="E43" i="19"/>
  <c r="E41" i="19"/>
  <c r="E39" i="19"/>
  <c r="E37" i="19"/>
  <c r="E62" i="17"/>
  <c r="E60" i="17"/>
  <c r="E58" i="17"/>
  <c r="E56" i="17"/>
  <c r="E54" i="17"/>
  <c r="E52" i="17"/>
  <c r="E50" i="17"/>
  <c r="E48" i="17"/>
  <c r="E46" i="17"/>
  <c r="E44" i="17"/>
  <c r="E42" i="17"/>
  <c r="E40" i="17"/>
  <c r="E38" i="17"/>
  <c r="E36" i="17"/>
  <c r="E63" i="17"/>
  <c r="E61" i="17"/>
  <c r="E59" i="17"/>
  <c r="E57" i="17"/>
  <c r="E55" i="17"/>
  <c r="E53" i="17"/>
  <c r="E51" i="17"/>
  <c r="E49" i="17"/>
  <c r="E47" i="17"/>
  <c r="E45" i="17"/>
  <c r="E43" i="17"/>
  <c r="E41" i="17"/>
  <c r="E39" i="17"/>
  <c r="E37" i="17"/>
  <c r="E62" i="15"/>
  <c r="E60" i="15"/>
  <c r="E58" i="15"/>
  <c r="E56" i="15"/>
  <c r="E54" i="15"/>
  <c r="E52" i="15"/>
  <c r="E50" i="15"/>
  <c r="E48" i="15"/>
  <c r="E46" i="15"/>
  <c r="E44" i="15"/>
  <c r="E42" i="15"/>
  <c r="E40" i="15"/>
  <c r="E38" i="15"/>
  <c r="E36" i="15"/>
  <c r="E63" i="15"/>
  <c r="E61" i="15"/>
  <c r="E59" i="15"/>
  <c r="E57" i="15"/>
  <c r="E55" i="15"/>
  <c r="E53" i="15"/>
  <c r="E51" i="15"/>
  <c r="E49" i="15"/>
  <c r="E47" i="15"/>
  <c r="E45" i="15"/>
  <c r="E43" i="15"/>
  <c r="E41" i="15"/>
  <c r="E39" i="15"/>
  <c r="E37" i="15"/>
  <c r="E62" i="13"/>
  <c r="E60" i="13"/>
  <c r="E58" i="13"/>
  <c r="E56" i="13"/>
  <c r="E54" i="13"/>
  <c r="E52" i="13"/>
  <c r="E50" i="13"/>
  <c r="E48" i="13"/>
  <c r="E46" i="13"/>
  <c r="E44" i="13"/>
  <c r="E42" i="13"/>
  <c r="E40" i="13"/>
  <c r="E38" i="13"/>
  <c r="E36" i="13"/>
  <c r="E63" i="13"/>
  <c r="E61" i="13"/>
  <c r="E59" i="13"/>
  <c r="E57" i="13"/>
  <c r="E55" i="13"/>
  <c r="E53" i="13"/>
  <c r="E51" i="13"/>
  <c r="E49" i="13"/>
  <c r="E47" i="13"/>
  <c r="E45" i="13"/>
  <c r="E43" i="13"/>
  <c r="E41" i="13"/>
  <c r="E39" i="13"/>
  <c r="E37" i="13"/>
  <c r="E62" i="11"/>
  <c r="E60" i="11"/>
  <c r="E58" i="11"/>
  <c r="E56" i="11"/>
  <c r="E54" i="11"/>
  <c r="E52" i="11"/>
  <c r="E50" i="11"/>
  <c r="E48" i="11"/>
  <c r="E46" i="11"/>
  <c r="E44" i="11"/>
  <c r="E42" i="11"/>
  <c r="E40" i="11"/>
  <c r="E38" i="11"/>
  <c r="E36" i="11"/>
  <c r="E63" i="11"/>
  <c r="E61" i="11"/>
  <c r="E59" i="11"/>
  <c r="E57" i="11"/>
  <c r="E55" i="11"/>
  <c r="E53" i="11"/>
  <c r="E51" i="11"/>
  <c r="E49" i="11"/>
  <c r="E47" i="11"/>
  <c r="E45" i="11"/>
  <c r="E43" i="11"/>
  <c r="E41" i="11"/>
  <c r="E39" i="11"/>
  <c r="E37" i="11"/>
  <c r="E62" i="9"/>
  <c r="E60" i="9"/>
  <c r="E58" i="9"/>
  <c r="E56" i="9"/>
  <c r="E54" i="9"/>
  <c r="E52" i="9"/>
  <c r="E50" i="9"/>
  <c r="E48" i="9"/>
  <c r="E46" i="9"/>
  <c r="E44" i="9"/>
  <c r="E42" i="9"/>
  <c r="E40" i="9"/>
  <c r="E38" i="9"/>
  <c r="E36" i="9"/>
  <c r="E63" i="9"/>
  <c r="E61" i="9"/>
  <c r="E59" i="9"/>
  <c r="E57" i="9"/>
  <c r="E55" i="9"/>
  <c r="E53" i="9"/>
  <c r="E51" i="9"/>
  <c r="E49" i="9"/>
  <c r="E47" i="9"/>
  <c r="E45" i="9"/>
  <c r="E43" i="9"/>
  <c r="E41" i="9"/>
  <c r="E39" i="9"/>
  <c r="E37" i="9"/>
  <c r="E62" i="7"/>
  <c r="E60" i="7"/>
  <c r="E58" i="7"/>
  <c r="E56" i="7"/>
  <c r="E54" i="7"/>
  <c r="E52" i="7"/>
  <c r="E50" i="7"/>
  <c r="E48" i="7"/>
  <c r="E46" i="7"/>
  <c r="E44" i="7"/>
  <c r="E42" i="7"/>
  <c r="E40" i="7"/>
  <c r="E38" i="7"/>
  <c r="E36" i="7"/>
  <c r="E63" i="7"/>
  <c r="E61" i="7"/>
  <c r="E59" i="7"/>
  <c r="E57" i="7"/>
  <c r="E55" i="7"/>
  <c r="E53" i="7"/>
  <c r="E51" i="7"/>
  <c r="E49" i="7"/>
  <c r="E47" i="7"/>
  <c r="E45" i="7"/>
  <c r="E43" i="7"/>
  <c r="E41" i="7"/>
  <c r="E39" i="7"/>
  <c r="E37" i="7"/>
  <c r="E62" i="5"/>
  <c r="E60" i="5"/>
  <c r="E58" i="5"/>
  <c r="E56" i="5"/>
  <c r="E54" i="5"/>
  <c r="E52" i="5"/>
  <c r="E50" i="5"/>
  <c r="E48" i="5"/>
  <c r="E46" i="5"/>
  <c r="E44" i="5"/>
  <c r="E42" i="5"/>
  <c r="E40" i="5"/>
  <c r="E38" i="5"/>
  <c r="E36" i="5"/>
  <c r="E63" i="5"/>
  <c r="E61" i="5"/>
  <c r="E59" i="5"/>
  <c r="E57" i="5"/>
  <c r="E55" i="5"/>
  <c r="E53" i="5"/>
  <c r="E51" i="5"/>
  <c r="E49" i="5"/>
  <c r="E47" i="5"/>
  <c r="E45" i="5"/>
  <c r="E43" i="5"/>
  <c r="E41" i="5"/>
  <c r="E39" i="5"/>
  <c r="E37" i="5"/>
  <c r="E62" i="3"/>
  <c r="E60" i="3"/>
  <c r="E58" i="3"/>
  <c r="E56" i="3"/>
  <c r="E54" i="3"/>
  <c r="E52" i="3"/>
  <c r="E50" i="3"/>
  <c r="E48" i="3"/>
  <c r="E46" i="3"/>
  <c r="E44" i="3"/>
  <c r="E42" i="3"/>
  <c r="E40" i="3"/>
  <c r="E38" i="3"/>
  <c r="E36" i="3"/>
  <c r="E63" i="3"/>
  <c r="E61" i="3"/>
  <c r="E59" i="3"/>
  <c r="E57" i="3"/>
  <c r="E55" i="3"/>
  <c r="E53" i="3"/>
  <c r="E51" i="3"/>
  <c r="E49" i="3"/>
  <c r="E47" i="3"/>
  <c r="E45" i="3"/>
  <c r="E43" i="3"/>
  <c r="E41" i="3"/>
  <c r="E39" i="3"/>
  <c r="E37" i="3"/>
  <c r="E62" i="1"/>
  <c r="E60" i="1"/>
  <c r="E58" i="1"/>
  <c r="E56" i="1"/>
  <c r="E54" i="1"/>
  <c r="E52" i="1"/>
  <c r="E50" i="1"/>
  <c r="E48" i="1"/>
  <c r="E46" i="1"/>
  <c r="E44" i="1"/>
  <c r="E42" i="1"/>
  <c r="E40" i="1"/>
  <c r="E38" i="1"/>
  <c r="E36" i="1"/>
  <c r="E63" i="1"/>
  <c r="E61" i="1"/>
  <c r="E59" i="1"/>
  <c r="E57" i="1"/>
  <c r="E55" i="1"/>
  <c r="E53" i="1"/>
  <c r="E51" i="1"/>
  <c r="E49" i="1"/>
  <c r="E47" i="1"/>
  <c r="E45" i="1"/>
  <c r="E43" i="1"/>
  <c r="E43" i="60" s="1"/>
  <c r="E41" i="1"/>
  <c r="E39" i="1"/>
  <c r="E39" i="60" s="1"/>
  <c r="E37" i="1"/>
  <c r="E104" i="55"/>
  <c r="C114" i="53"/>
  <c r="E103" i="51"/>
  <c r="C113" i="49"/>
  <c r="E113" i="45"/>
  <c r="E113" i="43"/>
  <c r="D115" i="41"/>
  <c r="C110" i="39"/>
  <c r="E114" i="35"/>
  <c r="D115" i="33"/>
  <c r="E98" i="31"/>
  <c r="C115" i="23"/>
  <c r="E115" i="21"/>
  <c r="E120" i="11"/>
  <c r="F120" i="11" s="1"/>
  <c r="C116" i="7"/>
  <c r="C116" i="5"/>
  <c r="E120" i="3"/>
  <c r="F120" i="3" s="1"/>
  <c r="C116" i="1"/>
  <c r="C116" i="56"/>
  <c r="D115" i="54"/>
  <c r="C116" i="52"/>
  <c r="D117" i="50"/>
  <c r="F117" i="50" s="1"/>
  <c r="C116" i="48"/>
  <c r="D117" i="46"/>
  <c r="F117" i="46" s="1"/>
  <c r="E120" i="44"/>
  <c r="F120" i="44" s="1"/>
  <c r="C114" i="42"/>
  <c r="D115" i="40"/>
  <c r="E111" i="38"/>
  <c r="C113" i="36"/>
  <c r="E84" i="32"/>
  <c r="C114" i="30"/>
  <c r="C116" i="22"/>
  <c r="E120" i="20"/>
  <c r="E120" i="18"/>
  <c r="F120" i="18" s="1"/>
  <c r="C116" i="14"/>
  <c r="E120" i="12"/>
  <c r="F120" i="12" s="1"/>
  <c r="C116" i="10"/>
  <c r="E120" i="8"/>
  <c r="F120" i="8" s="1"/>
  <c r="D117" i="6"/>
  <c r="F117" i="6" s="1"/>
  <c r="E120" i="4"/>
  <c r="F120" i="4" s="1"/>
  <c r="C113" i="59"/>
  <c r="E120" i="57"/>
  <c r="F120" i="57" s="1"/>
  <c r="E77" i="55"/>
  <c r="D50" i="49"/>
  <c r="D81" i="49" s="1"/>
  <c r="E77" i="42"/>
  <c r="E77" i="22"/>
  <c r="C112" i="55"/>
  <c r="E77" i="50"/>
  <c r="E111" i="42"/>
  <c r="C113" i="22"/>
  <c r="C112" i="50"/>
  <c r="E81" i="31"/>
  <c r="D42" i="51"/>
  <c r="D73" i="51" s="1"/>
  <c r="D50" i="51"/>
  <c r="D81" i="51" s="1"/>
  <c r="D58" i="51"/>
  <c r="D89" i="51" s="1"/>
  <c r="E84" i="51"/>
  <c r="E115" i="51"/>
  <c r="E67" i="48"/>
  <c r="E83" i="48"/>
  <c r="E102" i="48"/>
  <c r="D115" i="48"/>
  <c r="E70" i="40"/>
  <c r="D41" i="33"/>
  <c r="D72" i="33" s="1"/>
  <c r="D49" i="33"/>
  <c r="D80" i="33" s="1"/>
  <c r="D57" i="33"/>
  <c r="D88" i="33" s="1"/>
  <c r="E70" i="33"/>
  <c r="E86" i="33"/>
  <c r="E104" i="33"/>
  <c r="D117" i="32"/>
  <c r="F117" i="32" s="1"/>
  <c r="E93" i="30"/>
  <c r="E91" i="44"/>
  <c r="E93" i="55"/>
  <c r="D38" i="51"/>
  <c r="D46" i="51"/>
  <c r="D77" i="51" s="1"/>
  <c r="D54" i="51"/>
  <c r="D85" i="51" s="1"/>
  <c r="E68" i="51"/>
  <c r="E93" i="50"/>
  <c r="E75" i="48"/>
  <c r="E91" i="48"/>
  <c r="E111" i="48"/>
  <c r="E75" i="44"/>
  <c r="C112" i="44"/>
  <c r="E93" i="42"/>
  <c r="D48" i="40"/>
  <c r="D79" i="40" s="1"/>
  <c r="E104" i="40"/>
  <c r="D37" i="33"/>
  <c r="D68" i="33" s="1"/>
  <c r="D45" i="33"/>
  <c r="D76" i="33" s="1"/>
  <c r="D53" i="33"/>
  <c r="D84" i="33" s="1"/>
  <c r="D61" i="33"/>
  <c r="D92" i="33" s="1"/>
  <c r="E78" i="33"/>
  <c r="E94" i="33"/>
  <c r="C112" i="33"/>
  <c r="E113" i="31"/>
  <c r="E77" i="30"/>
  <c r="E111" i="30"/>
  <c r="E93" i="22"/>
  <c r="E115" i="47"/>
  <c r="E110" i="47"/>
  <c r="E86" i="47"/>
  <c r="E70" i="47"/>
  <c r="D56" i="47"/>
  <c r="D48" i="47"/>
  <c r="D79" i="47" s="1"/>
  <c r="D40" i="47"/>
  <c r="D44" i="47"/>
  <c r="D60" i="47"/>
  <c r="E94" i="47"/>
  <c r="E100" i="53"/>
  <c r="E69" i="55"/>
  <c r="E85" i="55"/>
  <c r="E81" i="53"/>
  <c r="E120" i="51"/>
  <c r="F120" i="51" s="1"/>
  <c r="E114" i="51"/>
  <c r="E110" i="51"/>
  <c r="E99" i="51"/>
  <c r="E88" i="51"/>
  <c r="E80" i="51"/>
  <c r="E72" i="51"/>
  <c r="D62" i="51"/>
  <c r="D93" i="51" s="1"/>
  <c r="D36" i="51"/>
  <c r="D67" i="51" s="1"/>
  <c r="D40" i="51"/>
  <c r="D71" i="51" s="1"/>
  <c r="D44" i="51"/>
  <c r="D48" i="51"/>
  <c r="D52" i="51"/>
  <c r="D56" i="51"/>
  <c r="D87" i="51" s="1"/>
  <c r="D60" i="51"/>
  <c r="E76" i="51"/>
  <c r="E92" i="51"/>
  <c r="E112" i="51"/>
  <c r="E90" i="49"/>
  <c r="D58" i="49"/>
  <c r="D89" i="49" s="1"/>
  <c r="D42" i="49"/>
  <c r="D73" i="49" s="1"/>
  <c r="E74" i="49"/>
  <c r="D36" i="47"/>
  <c r="D52" i="47"/>
  <c r="E78" i="47"/>
  <c r="E114" i="47"/>
  <c r="E69" i="50"/>
  <c r="E85" i="50"/>
  <c r="E104" i="50"/>
  <c r="E71" i="48"/>
  <c r="E79" i="48"/>
  <c r="E87" i="48"/>
  <c r="E98" i="48"/>
  <c r="D109" i="48"/>
  <c r="E113" i="48"/>
  <c r="E120" i="48"/>
  <c r="F120" i="48" s="1"/>
  <c r="E67" i="44"/>
  <c r="E83" i="44"/>
  <c r="E102" i="44"/>
  <c r="D117" i="44"/>
  <c r="F117" i="44" s="1"/>
  <c r="E69" i="42"/>
  <c r="E85" i="42"/>
  <c r="E104" i="42"/>
  <c r="D115" i="42"/>
  <c r="D40" i="40"/>
  <c r="D71" i="40" s="1"/>
  <c r="D56" i="40"/>
  <c r="E86" i="40"/>
  <c r="D36" i="35"/>
  <c r="D40" i="35"/>
  <c r="D9" i="35" s="1"/>
  <c r="D46" i="35"/>
  <c r="D54" i="35"/>
  <c r="D62" i="35"/>
  <c r="E80" i="35"/>
  <c r="E99" i="35"/>
  <c r="E120" i="32"/>
  <c r="F120" i="32" s="1"/>
  <c r="C112" i="32"/>
  <c r="E92" i="32"/>
  <c r="E76" i="32"/>
  <c r="E68" i="32"/>
  <c r="E102" i="32"/>
  <c r="D41" i="23"/>
  <c r="D57" i="23"/>
  <c r="E84" i="23"/>
  <c r="D40" i="21"/>
  <c r="D48" i="21"/>
  <c r="D56" i="21"/>
  <c r="E68" i="21"/>
  <c r="E84" i="21"/>
  <c r="E103" i="21"/>
  <c r="C114" i="17"/>
  <c r="E111" i="17"/>
  <c r="E93" i="17"/>
  <c r="E77" i="17"/>
  <c r="E69" i="17"/>
  <c r="E104" i="17"/>
  <c r="E120" i="35"/>
  <c r="F120" i="35" s="1"/>
  <c r="E115" i="35"/>
  <c r="E112" i="35"/>
  <c r="E103" i="35"/>
  <c r="E92" i="35"/>
  <c r="E84" i="35"/>
  <c r="E76" i="35"/>
  <c r="E68" i="35"/>
  <c r="D60" i="35"/>
  <c r="D29" i="35" s="1"/>
  <c r="D56" i="35"/>
  <c r="D25" i="35" s="1"/>
  <c r="D52" i="35"/>
  <c r="D48" i="35"/>
  <c r="D17" i="35" s="1"/>
  <c r="D44" i="35"/>
  <c r="D38" i="35"/>
  <c r="D42" i="35"/>
  <c r="D50" i="35"/>
  <c r="D58" i="35"/>
  <c r="E72" i="35"/>
  <c r="E88" i="35"/>
  <c r="E110" i="35"/>
  <c r="C116" i="23"/>
  <c r="C111" i="23"/>
  <c r="E92" i="23"/>
  <c r="E76" i="23"/>
  <c r="D61" i="23"/>
  <c r="D53" i="23"/>
  <c r="D45" i="23"/>
  <c r="D37" i="23"/>
  <c r="D49" i="23"/>
  <c r="E68" i="23"/>
  <c r="E103" i="23"/>
  <c r="E120" i="21"/>
  <c r="F120" i="21" s="1"/>
  <c r="E114" i="21"/>
  <c r="E110" i="21"/>
  <c r="E99" i="21"/>
  <c r="E88" i="21"/>
  <c r="E80" i="21"/>
  <c r="E72" i="21"/>
  <c r="D62" i="21"/>
  <c r="D58" i="21"/>
  <c r="D54" i="21"/>
  <c r="D50" i="21"/>
  <c r="D46" i="21"/>
  <c r="D42" i="21"/>
  <c r="D38" i="21"/>
  <c r="D36" i="21"/>
  <c r="D44" i="21"/>
  <c r="D52" i="21"/>
  <c r="D60" i="21"/>
  <c r="E76" i="21"/>
  <c r="E92" i="21"/>
  <c r="E112" i="21"/>
  <c r="E85" i="17"/>
  <c r="D115" i="17"/>
  <c r="D39" i="33"/>
  <c r="D70" i="33" s="1"/>
  <c r="F70" i="33" s="1"/>
  <c r="D43" i="33"/>
  <c r="D74" i="33" s="1"/>
  <c r="D47" i="33"/>
  <c r="D78" i="33" s="1"/>
  <c r="F78" i="33" s="1"/>
  <c r="D51" i="33"/>
  <c r="D82" i="33" s="1"/>
  <c r="D55" i="33"/>
  <c r="D86" i="33" s="1"/>
  <c r="D59" i="33"/>
  <c r="D90" i="33" s="1"/>
  <c r="D63" i="33"/>
  <c r="D94" i="33" s="1"/>
  <c r="E74" i="33"/>
  <c r="E82" i="33"/>
  <c r="E90" i="33"/>
  <c r="E101" i="33"/>
  <c r="C110" i="33"/>
  <c r="E69" i="30"/>
  <c r="E85" i="30"/>
  <c r="E104" i="30"/>
  <c r="D115" i="30"/>
  <c r="E69" i="22"/>
  <c r="E85" i="22"/>
  <c r="E109" i="22"/>
  <c r="D37" i="57"/>
  <c r="D39" i="57"/>
  <c r="D41" i="57"/>
  <c r="D43" i="57"/>
  <c r="D45" i="57"/>
  <c r="D47" i="57"/>
  <c r="D49" i="57"/>
  <c r="D51" i="57"/>
  <c r="D53" i="57"/>
  <c r="D55" i="57"/>
  <c r="D57" i="57"/>
  <c r="D59" i="57"/>
  <c r="D61" i="57"/>
  <c r="D63" i="57"/>
  <c r="E70" i="57"/>
  <c r="E78" i="57"/>
  <c r="E83" i="57"/>
  <c r="E90" i="57"/>
  <c r="D109" i="57"/>
  <c r="E113" i="57"/>
  <c r="C116" i="55"/>
  <c r="D117" i="55"/>
  <c r="F117" i="55" s="1"/>
  <c r="D115" i="55"/>
  <c r="E113" i="55"/>
  <c r="E111" i="55"/>
  <c r="D109" i="55"/>
  <c r="E102" i="55"/>
  <c r="E98" i="55"/>
  <c r="E91" i="55"/>
  <c r="E87" i="55"/>
  <c r="E83" i="55"/>
  <c r="E79" i="55"/>
  <c r="E75" i="55"/>
  <c r="E71" i="55"/>
  <c r="E67" i="55"/>
  <c r="E73" i="55"/>
  <c r="E81" i="55"/>
  <c r="E89" i="55"/>
  <c r="E100" i="55"/>
  <c r="C110" i="55"/>
  <c r="C114" i="55"/>
  <c r="E120" i="55"/>
  <c r="F120" i="55" s="1"/>
  <c r="D115" i="53"/>
  <c r="E111" i="53"/>
  <c r="E104" i="53"/>
  <c r="E93" i="53"/>
  <c r="E85" i="53"/>
  <c r="E77" i="53"/>
  <c r="E69" i="53"/>
  <c r="E73" i="53"/>
  <c r="E89" i="53"/>
  <c r="C110" i="53"/>
  <c r="D9" i="51"/>
  <c r="D25" i="51"/>
  <c r="C116" i="50"/>
  <c r="E120" i="50"/>
  <c r="F120" i="50" s="1"/>
  <c r="D115" i="50"/>
  <c r="E113" i="50"/>
  <c r="E111" i="50"/>
  <c r="D109" i="50"/>
  <c r="E102" i="50"/>
  <c r="E98" i="50"/>
  <c r="E91" i="50"/>
  <c r="E87" i="50"/>
  <c r="E83" i="50"/>
  <c r="E79" i="50"/>
  <c r="E75" i="50"/>
  <c r="E71" i="50"/>
  <c r="E67" i="50"/>
  <c r="E73" i="50"/>
  <c r="E81" i="50"/>
  <c r="E89" i="50"/>
  <c r="E100" i="50"/>
  <c r="C110" i="50"/>
  <c r="C114" i="50"/>
  <c r="E114" i="49"/>
  <c r="E110" i="49"/>
  <c r="E94" i="49"/>
  <c r="E86" i="49"/>
  <c r="E78" i="49"/>
  <c r="E70" i="49"/>
  <c r="D60" i="49"/>
  <c r="D56" i="49"/>
  <c r="D52" i="49"/>
  <c r="D48" i="49"/>
  <c r="D44" i="49"/>
  <c r="D40" i="49"/>
  <c r="D36" i="49"/>
  <c r="D38" i="49"/>
  <c r="D46" i="49"/>
  <c r="D77" i="49" s="1"/>
  <c r="D54" i="49"/>
  <c r="D85" i="49" s="1"/>
  <c r="D62" i="49"/>
  <c r="D93" i="49" s="1"/>
  <c r="E82" i="49"/>
  <c r="E101" i="49"/>
  <c r="E115" i="49"/>
  <c r="D17" i="47"/>
  <c r="D75" i="47"/>
  <c r="D13" i="47"/>
  <c r="D83" i="47"/>
  <c r="D21" i="47"/>
  <c r="D91" i="47"/>
  <c r="D29" i="47"/>
  <c r="E69" i="46"/>
  <c r="E77" i="46"/>
  <c r="E85" i="46"/>
  <c r="E93" i="46"/>
  <c r="E104" i="46"/>
  <c r="C112" i="46"/>
  <c r="E79" i="45"/>
  <c r="E98" i="45"/>
  <c r="D39" i="43"/>
  <c r="D70" i="43" s="1"/>
  <c r="D47" i="43"/>
  <c r="D55" i="43"/>
  <c r="D63" i="43"/>
  <c r="E80" i="43"/>
  <c r="E99" i="43"/>
  <c r="C114" i="40"/>
  <c r="C110" i="40"/>
  <c r="E101" i="40"/>
  <c r="E90" i="40"/>
  <c r="E82" i="40"/>
  <c r="E74" i="40"/>
  <c r="D62" i="40"/>
  <c r="D93" i="40" s="1"/>
  <c r="D58" i="40"/>
  <c r="D89" i="40" s="1"/>
  <c r="D54" i="40"/>
  <c r="D85" i="40" s="1"/>
  <c r="D50" i="40"/>
  <c r="D81" i="40" s="1"/>
  <c r="D46" i="40"/>
  <c r="D77" i="40" s="1"/>
  <c r="D42" i="40"/>
  <c r="D73" i="40" s="1"/>
  <c r="D38" i="40"/>
  <c r="D69" i="40" s="1"/>
  <c r="D36" i="40"/>
  <c r="D67" i="40" s="1"/>
  <c r="D44" i="40"/>
  <c r="D75" i="40" s="1"/>
  <c r="D52" i="40"/>
  <c r="D60" i="40"/>
  <c r="E78" i="40"/>
  <c r="E94" i="40"/>
  <c r="E111" i="40"/>
  <c r="E79" i="36"/>
  <c r="E98" i="36"/>
  <c r="C116" i="57"/>
  <c r="D117" i="57"/>
  <c r="F117" i="57" s="1"/>
  <c r="C114" i="57"/>
  <c r="C112" i="57"/>
  <c r="C110" i="57"/>
  <c r="E102" i="57"/>
  <c r="E91" i="57"/>
  <c r="E86" i="57"/>
  <c r="E82" i="57"/>
  <c r="E79" i="57"/>
  <c r="E75" i="57"/>
  <c r="D36" i="57"/>
  <c r="D5" i="57" s="1"/>
  <c r="D38" i="57"/>
  <c r="D40" i="57"/>
  <c r="D9" i="57" s="1"/>
  <c r="D42" i="57"/>
  <c r="D73" i="57" s="1"/>
  <c r="D44" i="57"/>
  <c r="D13" i="57" s="1"/>
  <c r="D46" i="57"/>
  <c r="D48" i="57"/>
  <c r="D17" i="57" s="1"/>
  <c r="D50" i="57"/>
  <c r="D81" i="57" s="1"/>
  <c r="D52" i="57"/>
  <c r="D21" i="57" s="1"/>
  <c r="D54" i="57"/>
  <c r="D56" i="57"/>
  <c r="D25" i="57" s="1"/>
  <c r="D58" i="57"/>
  <c r="D89" i="57" s="1"/>
  <c r="D60" i="57"/>
  <c r="D29" i="57" s="1"/>
  <c r="D62" i="57"/>
  <c r="E67" i="57"/>
  <c r="E71" i="57"/>
  <c r="E74" i="57"/>
  <c r="E87" i="57"/>
  <c r="E94" i="57"/>
  <c r="E111" i="57"/>
  <c r="D115" i="57"/>
  <c r="D75" i="51"/>
  <c r="D13" i="51"/>
  <c r="D83" i="51"/>
  <c r="D21" i="51"/>
  <c r="D91" i="51"/>
  <c r="D29" i="51"/>
  <c r="C116" i="46"/>
  <c r="E120" i="46"/>
  <c r="F120" i="46" s="1"/>
  <c r="D115" i="46"/>
  <c r="E113" i="46"/>
  <c r="E111" i="46"/>
  <c r="D109" i="46"/>
  <c r="E102" i="46"/>
  <c r="E98" i="46"/>
  <c r="E91" i="46"/>
  <c r="E87" i="46"/>
  <c r="E83" i="46"/>
  <c r="E79" i="46"/>
  <c r="E75" i="46"/>
  <c r="E71" i="46"/>
  <c r="E67" i="46"/>
  <c r="E73" i="46"/>
  <c r="E81" i="46"/>
  <c r="E89" i="46"/>
  <c r="E100" i="46"/>
  <c r="C110" i="46"/>
  <c r="C114" i="46"/>
  <c r="D117" i="45"/>
  <c r="F117" i="45" s="1"/>
  <c r="C112" i="45"/>
  <c r="E102" i="45"/>
  <c r="E91" i="45"/>
  <c r="E83" i="45"/>
  <c r="E75" i="45"/>
  <c r="E67" i="45"/>
  <c r="E71" i="45"/>
  <c r="E87" i="45"/>
  <c r="D109" i="45"/>
  <c r="E120" i="45"/>
  <c r="F120" i="45" s="1"/>
  <c r="D117" i="43"/>
  <c r="F117" i="43" s="1"/>
  <c r="C112" i="43"/>
  <c r="E103" i="43"/>
  <c r="E92" i="43"/>
  <c r="E84" i="43"/>
  <c r="E76" i="43"/>
  <c r="E68" i="43"/>
  <c r="D61" i="43"/>
  <c r="D57" i="43"/>
  <c r="D53" i="43"/>
  <c r="D49" i="43"/>
  <c r="D45" i="43"/>
  <c r="D76" i="43" s="1"/>
  <c r="F76" i="43" s="1"/>
  <c r="D41" i="43"/>
  <c r="D72" i="43" s="1"/>
  <c r="D37" i="43"/>
  <c r="D68" i="43" s="1"/>
  <c r="D43" i="43"/>
  <c r="D74" i="43" s="1"/>
  <c r="D51" i="43"/>
  <c r="D59" i="43"/>
  <c r="E72" i="43"/>
  <c r="E88" i="43"/>
  <c r="D109" i="43"/>
  <c r="E120" i="43"/>
  <c r="F120" i="43" s="1"/>
  <c r="E114" i="36"/>
  <c r="E110" i="36"/>
  <c r="E100" i="36"/>
  <c r="E92" i="36"/>
  <c r="E84" i="36"/>
  <c r="E76" i="36"/>
  <c r="E68" i="36"/>
  <c r="E71" i="36"/>
  <c r="E87" i="36"/>
  <c r="E103" i="36"/>
  <c r="E115" i="36"/>
  <c r="E120" i="34"/>
  <c r="F120" i="34" s="1"/>
  <c r="E115" i="34"/>
  <c r="E114" i="34"/>
  <c r="E112" i="34"/>
  <c r="E110" i="34"/>
  <c r="E103" i="34"/>
  <c r="E99" i="34"/>
  <c r="E92" i="34"/>
  <c r="E88" i="34"/>
  <c r="E84" i="34"/>
  <c r="E80" i="34"/>
  <c r="E76" i="34"/>
  <c r="E72" i="34"/>
  <c r="E68" i="34"/>
  <c r="D62" i="34"/>
  <c r="D60" i="34"/>
  <c r="D58" i="34"/>
  <c r="D89" i="34" s="1"/>
  <c r="D56" i="34"/>
  <c r="D87" i="34" s="1"/>
  <c r="D54" i="34"/>
  <c r="D85" i="34" s="1"/>
  <c r="D52" i="34"/>
  <c r="D83" i="34" s="1"/>
  <c r="D50" i="34"/>
  <c r="D81" i="34" s="1"/>
  <c r="D48" i="34"/>
  <c r="D79" i="34" s="1"/>
  <c r="D46" i="34"/>
  <c r="D77" i="34" s="1"/>
  <c r="D44" i="34"/>
  <c r="D75" i="34" s="1"/>
  <c r="D42" i="34"/>
  <c r="D73" i="34" s="1"/>
  <c r="D40" i="34"/>
  <c r="D71" i="34" s="1"/>
  <c r="D38" i="34"/>
  <c r="D69" i="34" s="1"/>
  <c r="D36" i="34"/>
  <c r="D67" i="34" s="1"/>
  <c r="D39" i="34"/>
  <c r="D43" i="34"/>
  <c r="D47" i="34"/>
  <c r="D51" i="34"/>
  <c r="D55" i="34"/>
  <c r="D59" i="34"/>
  <c r="D63" i="34"/>
  <c r="E74" i="34"/>
  <c r="E82" i="34"/>
  <c r="E90" i="34"/>
  <c r="E101" i="34"/>
  <c r="C111" i="34"/>
  <c r="C115" i="34"/>
  <c r="D117" i="24"/>
  <c r="F117" i="24" s="1"/>
  <c r="C112" i="24"/>
  <c r="E102" i="24"/>
  <c r="E91" i="24"/>
  <c r="E83" i="24"/>
  <c r="E75" i="24"/>
  <c r="E67" i="24"/>
  <c r="E120" i="24"/>
  <c r="F120" i="24" s="1"/>
  <c r="D109" i="24"/>
  <c r="E87" i="24"/>
  <c r="E71" i="24"/>
  <c r="E98" i="24"/>
  <c r="D37" i="51"/>
  <c r="D39" i="51"/>
  <c r="D41" i="51"/>
  <c r="D43" i="51"/>
  <c r="D45" i="51"/>
  <c r="D47" i="51"/>
  <c r="D49" i="51"/>
  <c r="D51" i="51"/>
  <c r="D53" i="51"/>
  <c r="D55" i="51"/>
  <c r="D57" i="51"/>
  <c r="D59" i="51"/>
  <c r="D61" i="51"/>
  <c r="D63" i="51"/>
  <c r="E70" i="51"/>
  <c r="E74" i="51"/>
  <c r="E78" i="51"/>
  <c r="E82" i="51"/>
  <c r="E86" i="51"/>
  <c r="E90" i="51"/>
  <c r="E94" i="51"/>
  <c r="E101" i="51"/>
  <c r="E109" i="51"/>
  <c r="C111" i="51"/>
  <c r="C113" i="51"/>
  <c r="C115" i="51"/>
  <c r="C116" i="51"/>
  <c r="E69" i="48"/>
  <c r="E73" i="48"/>
  <c r="E77" i="48"/>
  <c r="E81" i="48"/>
  <c r="E85" i="48"/>
  <c r="E89" i="48"/>
  <c r="E93" i="48"/>
  <c r="E100" i="48"/>
  <c r="E104" i="48"/>
  <c r="C110" i="48"/>
  <c r="C112" i="48"/>
  <c r="C114" i="48"/>
  <c r="D117" i="48"/>
  <c r="F117" i="48" s="1"/>
  <c r="D38" i="47"/>
  <c r="D42" i="47"/>
  <c r="D73" i="47" s="1"/>
  <c r="D46" i="47"/>
  <c r="D77" i="47" s="1"/>
  <c r="D50" i="47"/>
  <c r="D81" i="47" s="1"/>
  <c r="D54" i="47"/>
  <c r="D85" i="47" s="1"/>
  <c r="D58" i="47"/>
  <c r="D89" i="47" s="1"/>
  <c r="D62" i="47"/>
  <c r="D93" i="47" s="1"/>
  <c r="E74" i="47"/>
  <c r="E82" i="47"/>
  <c r="E90" i="47"/>
  <c r="E101" i="47"/>
  <c r="C113" i="47"/>
  <c r="E71" i="44"/>
  <c r="E79" i="44"/>
  <c r="E87" i="44"/>
  <c r="E98" i="44"/>
  <c r="D109" i="44"/>
  <c r="E113" i="44"/>
  <c r="E73" i="42"/>
  <c r="E81" i="42"/>
  <c r="E89" i="42"/>
  <c r="E100" i="42"/>
  <c r="C110" i="42"/>
  <c r="D37" i="35"/>
  <c r="D68" i="35" s="1"/>
  <c r="F68" i="35" s="1"/>
  <c r="D39" i="35"/>
  <c r="D70" i="35" s="1"/>
  <c r="D41" i="35"/>
  <c r="D72" i="35" s="1"/>
  <c r="F72" i="35" s="1"/>
  <c r="D43" i="35"/>
  <c r="D74" i="35" s="1"/>
  <c r="D45" i="35"/>
  <c r="D76" i="35" s="1"/>
  <c r="F76" i="35" s="1"/>
  <c r="D47" i="35"/>
  <c r="D78" i="35" s="1"/>
  <c r="D49" i="35"/>
  <c r="D80" i="35" s="1"/>
  <c r="F80" i="35" s="1"/>
  <c r="D51" i="35"/>
  <c r="D82" i="35" s="1"/>
  <c r="D53" i="35"/>
  <c r="D84" i="35" s="1"/>
  <c r="F84" i="35" s="1"/>
  <c r="D55" i="35"/>
  <c r="D86" i="35" s="1"/>
  <c r="D57" i="35"/>
  <c r="D59" i="35"/>
  <c r="D61" i="35"/>
  <c r="D63" i="35"/>
  <c r="E70" i="35"/>
  <c r="E74" i="35"/>
  <c r="E78" i="35"/>
  <c r="E82" i="35"/>
  <c r="E86" i="35"/>
  <c r="E90" i="35"/>
  <c r="E94" i="35"/>
  <c r="E101" i="35"/>
  <c r="E109" i="35"/>
  <c r="C111" i="35"/>
  <c r="C113" i="35"/>
  <c r="C115" i="35"/>
  <c r="C116" i="35"/>
  <c r="D37" i="34"/>
  <c r="D41" i="34"/>
  <c r="D10" i="34" s="1"/>
  <c r="D45" i="34"/>
  <c r="D49" i="34"/>
  <c r="D18" i="34" s="1"/>
  <c r="D53" i="34"/>
  <c r="D57" i="34"/>
  <c r="D26" i="34" s="1"/>
  <c r="D61" i="34"/>
  <c r="E70" i="34"/>
  <c r="E78" i="34"/>
  <c r="E86" i="34"/>
  <c r="E94" i="34"/>
  <c r="E109" i="34"/>
  <c r="C113" i="34"/>
  <c r="C116" i="34"/>
  <c r="E79" i="24"/>
  <c r="E113" i="24"/>
  <c r="C116" i="33"/>
  <c r="D117" i="33"/>
  <c r="F117" i="33" s="1"/>
  <c r="C114" i="33"/>
  <c r="D36" i="33"/>
  <c r="D5" i="33" s="1"/>
  <c r="D38" i="33"/>
  <c r="D40" i="33"/>
  <c r="D9" i="33" s="1"/>
  <c r="D42" i="33"/>
  <c r="D44" i="33"/>
  <c r="D13" i="33" s="1"/>
  <c r="D46" i="33"/>
  <c r="D48" i="33"/>
  <c r="D17" i="33" s="1"/>
  <c r="D50" i="33"/>
  <c r="D52" i="33"/>
  <c r="D21" i="33" s="1"/>
  <c r="D54" i="33"/>
  <c r="D56" i="33"/>
  <c r="D25" i="33" s="1"/>
  <c r="D58" i="33"/>
  <c r="D60" i="33"/>
  <c r="D29" i="33" s="1"/>
  <c r="D62" i="33"/>
  <c r="E68" i="33"/>
  <c r="F68" i="33" s="1"/>
  <c r="E72" i="33"/>
  <c r="F72" i="33" s="1"/>
  <c r="E76" i="33"/>
  <c r="F76" i="33" s="1"/>
  <c r="E80" i="33"/>
  <c r="F80" i="33" s="1"/>
  <c r="E84" i="33"/>
  <c r="F84" i="33" s="1"/>
  <c r="E88" i="33"/>
  <c r="F88" i="33" s="1"/>
  <c r="E92" i="33"/>
  <c r="F92" i="33" s="1"/>
  <c r="E99" i="33"/>
  <c r="E103" i="33"/>
  <c r="D109" i="33"/>
  <c r="D118" i="33" s="1"/>
  <c r="E111" i="33"/>
  <c r="E113" i="33"/>
  <c r="E120" i="33"/>
  <c r="F120" i="33" s="1"/>
  <c r="D117" i="31"/>
  <c r="F117" i="31" s="1"/>
  <c r="C112" i="31"/>
  <c r="E102" i="31"/>
  <c r="E92" i="31"/>
  <c r="E84" i="31"/>
  <c r="E76" i="31"/>
  <c r="E68" i="31"/>
  <c r="E73" i="31"/>
  <c r="E89" i="31"/>
  <c r="D109" i="31"/>
  <c r="E120" i="31"/>
  <c r="F120" i="31" s="1"/>
  <c r="E120" i="22"/>
  <c r="F120" i="22" s="1"/>
  <c r="E115" i="22"/>
  <c r="E114" i="22"/>
  <c r="E112" i="22"/>
  <c r="E110" i="22"/>
  <c r="E102" i="22"/>
  <c r="E98" i="22"/>
  <c r="E91" i="22"/>
  <c r="E87" i="22"/>
  <c r="E83" i="22"/>
  <c r="E79" i="22"/>
  <c r="E75" i="22"/>
  <c r="E71" i="22"/>
  <c r="E67" i="22"/>
  <c r="E73" i="22"/>
  <c r="E81" i="22"/>
  <c r="E89" i="22"/>
  <c r="E100" i="22"/>
  <c r="C111" i="22"/>
  <c r="C115" i="22"/>
  <c r="D69" i="21"/>
  <c r="D7" i="21"/>
  <c r="D73" i="21"/>
  <c r="D11" i="21"/>
  <c r="D77" i="21"/>
  <c r="D15" i="21"/>
  <c r="D81" i="21"/>
  <c r="D19" i="21"/>
  <c r="D85" i="21"/>
  <c r="D23" i="21"/>
  <c r="D89" i="21"/>
  <c r="D27" i="21"/>
  <c r="D93" i="21"/>
  <c r="D31" i="21"/>
  <c r="E120" i="15"/>
  <c r="F120" i="15" s="1"/>
  <c r="E115" i="15"/>
  <c r="E114" i="15"/>
  <c r="E112" i="15"/>
  <c r="E110" i="15"/>
  <c r="E103" i="15"/>
  <c r="E99" i="15"/>
  <c r="E92" i="15"/>
  <c r="E88" i="15"/>
  <c r="E84" i="15"/>
  <c r="E80" i="15"/>
  <c r="E76" i="15"/>
  <c r="E72" i="15"/>
  <c r="E68" i="15"/>
  <c r="D62" i="15"/>
  <c r="D60" i="15"/>
  <c r="D58" i="15"/>
  <c r="D56" i="15"/>
  <c r="D54" i="15"/>
  <c r="D52" i="15"/>
  <c r="D36" i="15"/>
  <c r="D38" i="15"/>
  <c r="D40" i="15"/>
  <c r="D42" i="15"/>
  <c r="D44" i="15"/>
  <c r="D46" i="15"/>
  <c r="D48" i="15"/>
  <c r="D50" i="15"/>
  <c r="D53" i="15"/>
  <c r="D57" i="15"/>
  <c r="D61" i="15"/>
  <c r="E70" i="15"/>
  <c r="E78" i="15"/>
  <c r="E86" i="15"/>
  <c r="E94" i="15"/>
  <c r="E109" i="15"/>
  <c r="C113" i="15"/>
  <c r="C116" i="15"/>
  <c r="E71" i="32"/>
  <c r="E79" i="32"/>
  <c r="E87" i="32"/>
  <c r="E98" i="32"/>
  <c r="D109" i="32"/>
  <c r="E113" i="32"/>
  <c r="E72" i="30"/>
  <c r="E80" i="30"/>
  <c r="E88" i="30"/>
  <c r="E100" i="30"/>
  <c r="C110" i="30"/>
  <c r="D39" i="23"/>
  <c r="D43" i="23"/>
  <c r="D47" i="23"/>
  <c r="D51" i="23"/>
  <c r="D55" i="23"/>
  <c r="D59" i="23"/>
  <c r="D63" i="23"/>
  <c r="E72" i="23"/>
  <c r="E80" i="23"/>
  <c r="E88" i="23"/>
  <c r="E99" i="23"/>
  <c r="E109" i="23"/>
  <c r="E112" i="23"/>
  <c r="D37" i="21"/>
  <c r="D39" i="21"/>
  <c r="D41" i="21"/>
  <c r="D43" i="21"/>
  <c r="D45" i="21"/>
  <c r="D47" i="21"/>
  <c r="D49" i="21"/>
  <c r="D51" i="21"/>
  <c r="D53" i="21"/>
  <c r="D55" i="21"/>
  <c r="D57" i="21"/>
  <c r="D59" i="21"/>
  <c r="D61" i="21"/>
  <c r="D63" i="21"/>
  <c r="E70" i="21"/>
  <c r="E74" i="21"/>
  <c r="E78" i="21"/>
  <c r="E82" i="21"/>
  <c r="E86" i="21"/>
  <c r="E90" i="21"/>
  <c r="E94" i="21"/>
  <c r="E101" i="21"/>
  <c r="E109" i="21"/>
  <c r="C111" i="21"/>
  <c r="C113" i="21"/>
  <c r="C115" i="21"/>
  <c r="C116" i="21"/>
  <c r="E73" i="17"/>
  <c r="E81" i="17"/>
  <c r="E89" i="17"/>
  <c r="E100" i="17"/>
  <c r="C110" i="17"/>
  <c r="D37" i="15"/>
  <c r="D39" i="15"/>
  <c r="D41" i="15"/>
  <c r="D43" i="15"/>
  <c r="D45" i="15"/>
  <c r="D47" i="15"/>
  <c r="D49" i="15"/>
  <c r="D51" i="15"/>
  <c r="D55" i="15"/>
  <c r="D59" i="15"/>
  <c r="D63" i="15"/>
  <c r="E74" i="15"/>
  <c r="E82" i="15"/>
  <c r="E90" i="15"/>
  <c r="E101" i="15"/>
  <c r="C111" i="15"/>
  <c r="C115" i="15"/>
  <c r="E69" i="6"/>
  <c r="E73" i="6"/>
  <c r="E79" i="6"/>
  <c r="E87" i="6"/>
  <c r="E98" i="6"/>
  <c r="D109" i="6"/>
  <c r="E113" i="6"/>
  <c r="E120" i="6"/>
  <c r="F120" i="6" s="1"/>
  <c r="D37" i="4"/>
  <c r="D39" i="4"/>
  <c r="D41" i="4"/>
  <c r="D43" i="4"/>
  <c r="D45" i="4"/>
  <c r="D47" i="4"/>
  <c r="D49" i="4"/>
  <c r="D51" i="4"/>
  <c r="D53" i="4"/>
  <c r="D55" i="4"/>
  <c r="D57" i="4"/>
  <c r="D59" i="4"/>
  <c r="D61" i="4"/>
  <c r="D63" i="4"/>
  <c r="E70" i="4"/>
  <c r="E74" i="4"/>
  <c r="E78" i="4"/>
  <c r="E82" i="4"/>
  <c r="E86" i="4"/>
  <c r="E90" i="4"/>
  <c r="E94" i="4"/>
  <c r="E101" i="4"/>
  <c r="E109" i="4"/>
  <c r="C111" i="4"/>
  <c r="C113" i="4"/>
  <c r="C115" i="4"/>
  <c r="C116" i="4"/>
  <c r="E67" i="6"/>
  <c r="E71" i="6"/>
  <c r="E75" i="6"/>
  <c r="E83" i="6"/>
  <c r="E91" i="6"/>
  <c r="E102" i="6"/>
  <c r="C112" i="6"/>
  <c r="D36" i="4"/>
  <c r="D5" i="4" s="1"/>
  <c r="D38" i="4"/>
  <c r="D7" i="4" s="1"/>
  <c r="D40" i="4"/>
  <c r="D9" i="4" s="1"/>
  <c r="D42" i="4"/>
  <c r="D11" i="4" s="1"/>
  <c r="D44" i="4"/>
  <c r="D13" i="4" s="1"/>
  <c r="D46" i="4"/>
  <c r="D15" i="4" s="1"/>
  <c r="D48" i="4"/>
  <c r="D17" i="4" s="1"/>
  <c r="D50" i="4"/>
  <c r="D19" i="4" s="1"/>
  <c r="D52" i="4"/>
  <c r="D21" i="4" s="1"/>
  <c r="D54" i="4"/>
  <c r="D23" i="4" s="1"/>
  <c r="D56" i="4"/>
  <c r="D25" i="4" s="1"/>
  <c r="D58" i="4"/>
  <c r="D27" i="4" s="1"/>
  <c r="D60" i="4"/>
  <c r="D29" i="4" s="1"/>
  <c r="D62" i="4"/>
  <c r="D31" i="4" s="1"/>
  <c r="E68" i="4"/>
  <c r="E72" i="4"/>
  <c r="E76" i="4"/>
  <c r="E80" i="4"/>
  <c r="E84" i="4"/>
  <c r="E88" i="4"/>
  <c r="E92" i="4"/>
  <c r="E99" i="4"/>
  <c r="E103" i="4"/>
  <c r="E110" i="4"/>
  <c r="E112" i="4"/>
  <c r="E114" i="4"/>
  <c r="E115" i="4"/>
  <c r="D38" i="56"/>
  <c r="D42" i="56"/>
  <c r="D44" i="56"/>
  <c r="D48" i="56"/>
  <c r="D52" i="56"/>
  <c r="D54" i="56"/>
  <c r="D58" i="56"/>
  <c r="D62" i="56"/>
  <c r="E70" i="56"/>
  <c r="E86" i="56"/>
  <c r="E67" i="52"/>
  <c r="E71" i="52"/>
  <c r="E83" i="52"/>
  <c r="E87" i="52"/>
  <c r="C113" i="52"/>
  <c r="E115" i="52"/>
  <c r="D69" i="51"/>
  <c r="D7" i="51"/>
  <c r="D67" i="49"/>
  <c r="D5" i="49"/>
  <c r="D71" i="49"/>
  <c r="D9" i="49"/>
  <c r="E64" i="46"/>
  <c r="M18" i="63" s="1"/>
  <c r="D64" i="57"/>
  <c r="D67" i="57"/>
  <c r="D7" i="57"/>
  <c r="D71" i="57"/>
  <c r="F71" i="57" s="1"/>
  <c r="D11" i="57"/>
  <c r="D75" i="57"/>
  <c r="F75" i="57" s="1"/>
  <c r="D15" i="57"/>
  <c r="D79" i="57"/>
  <c r="F79" i="57" s="1"/>
  <c r="D19" i="57"/>
  <c r="D83" i="57"/>
  <c r="F83" i="57" s="1"/>
  <c r="D23" i="57"/>
  <c r="D87" i="57"/>
  <c r="F87" i="57" s="1"/>
  <c r="D27" i="57"/>
  <c r="D91" i="57"/>
  <c r="F91" i="57" s="1"/>
  <c r="D31" i="57"/>
  <c r="D69" i="57"/>
  <c r="D77" i="57"/>
  <c r="D85" i="57"/>
  <c r="D93" i="57"/>
  <c r="D37" i="56"/>
  <c r="D39" i="56"/>
  <c r="D41" i="56"/>
  <c r="D43" i="56"/>
  <c r="D45" i="56"/>
  <c r="D47" i="56"/>
  <c r="D49" i="56"/>
  <c r="D51" i="56"/>
  <c r="D53" i="56"/>
  <c r="D55" i="56"/>
  <c r="D57" i="56"/>
  <c r="D59" i="56"/>
  <c r="D61" i="56"/>
  <c r="D63" i="56"/>
  <c r="E68" i="56"/>
  <c r="E72" i="56"/>
  <c r="E76" i="56"/>
  <c r="E80" i="56"/>
  <c r="E84" i="56"/>
  <c r="E88" i="56"/>
  <c r="E92" i="56"/>
  <c r="E99" i="56"/>
  <c r="E103" i="56"/>
  <c r="E109" i="56"/>
  <c r="C111" i="56"/>
  <c r="E112" i="56"/>
  <c r="C115" i="56"/>
  <c r="E69" i="54"/>
  <c r="E73" i="54"/>
  <c r="E77" i="54"/>
  <c r="E81" i="54"/>
  <c r="E85" i="54"/>
  <c r="E89" i="54"/>
  <c r="E93" i="54"/>
  <c r="E100" i="54"/>
  <c r="E104" i="54"/>
  <c r="C110" i="54"/>
  <c r="E111" i="54"/>
  <c r="C114" i="54"/>
  <c r="C116" i="53"/>
  <c r="E115" i="53"/>
  <c r="C115" i="53"/>
  <c r="E114" i="53"/>
  <c r="F114" i="53" s="1"/>
  <c r="C113" i="53"/>
  <c r="E112" i="53"/>
  <c r="C111" i="53"/>
  <c r="F111" i="53" s="1"/>
  <c r="E110" i="53"/>
  <c r="F110" i="53" s="1"/>
  <c r="E109" i="53"/>
  <c r="E103" i="53"/>
  <c r="E101" i="53"/>
  <c r="E99" i="53"/>
  <c r="E94" i="53"/>
  <c r="E92" i="53"/>
  <c r="E90" i="53"/>
  <c r="E88" i="53"/>
  <c r="E86" i="53"/>
  <c r="E84" i="53"/>
  <c r="E82" i="53"/>
  <c r="E80" i="53"/>
  <c r="E78" i="53"/>
  <c r="E76" i="53"/>
  <c r="E74" i="53"/>
  <c r="E72" i="53"/>
  <c r="E70" i="53"/>
  <c r="E68" i="53"/>
  <c r="D63" i="53"/>
  <c r="D62" i="53"/>
  <c r="D61" i="53"/>
  <c r="D60" i="53"/>
  <c r="D59" i="53"/>
  <c r="D58" i="53"/>
  <c r="D57" i="53"/>
  <c r="D56" i="53"/>
  <c r="D55" i="53"/>
  <c r="D54" i="53"/>
  <c r="D53" i="53"/>
  <c r="D52" i="53"/>
  <c r="D51" i="53"/>
  <c r="D50" i="53"/>
  <c r="D49" i="53"/>
  <c r="D48" i="53"/>
  <c r="D47" i="53"/>
  <c r="D46" i="53"/>
  <c r="D45" i="53"/>
  <c r="D44" i="53"/>
  <c r="D43" i="53"/>
  <c r="D42" i="53"/>
  <c r="D41" i="53"/>
  <c r="D40" i="53"/>
  <c r="D39" i="53"/>
  <c r="F39" i="53" s="1"/>
  <c r="D38" i="53"/>
  <c r="D37" i="53"/>
  <c r="F37" i="53" s="1"/>
  <c r="D36" i="53"/>
  <c r="E67" i="53"/>
  <c r="E71" i="53"/>
  <c r="E75" i="53"/>
  <c r="E79" i="53"/>
  <c r="E83" i="53"/>
  <c r="E87" i="53"/>
  <c r="E91" i="53"/>
  <c r="E98" i="53"/>
  <c r="E102" i="53"/>
  <c r="D109" i="53"/>
  <c r="D118" i="53" s="1"/>
  <c r="C112" i="53"/>
  <c r="F112" i="53" s="1"/>
  <c r="E113" i="53"/>
  <c r="D117" i="53"/>
  <c r="F117" i="53" s="1"/>
  <c r="E120" i="53"/>
  <c r="F120" i="53" s="1"/>
  <c r="E69" i="52"/>
  <c r="E73" i="52"/>
  <c r="E77" i="52"/>
  <c r="E81" i="52"/>
  <c r="E85" i="52"/>
  <c r="E89" i="52"/>
  <c r="E93" i="52"/>
  <c r="E100" i="52"/>
  <c r="E109" i="52"/>
  <c r="C111" i="52"/>
  <c r="E112" i="52"/>
  <c r="C115" i="52"/>
  <c r="D5" i="51"/>
  <c r="D11" i="51"/>
  <c r="D15" i="51"/>
  <c r="D19" i="51"/>
  <c r="D23" i="51"/>
  <c r="D27" i="51"/>
  <c r="D31" i="51"/>
  <c r="D10" i="51"/>
  <c r="D12" i="51"/>
  <c r="D14" i="51"/>
  <c r="D16" i="51"/>
  <c r="D18" i="51"/>
  <c r="D20" i="51"/>
  <c r="D22" i="51"/>
  <c r="D24" i="51"/>
  <c r="D26" i="51"/>
  <c r="D28" i="51"/>
  <c r="D30" i="51"/>
  <c r="D32" i="51"/>
  <c r="E120" i="49"/>
  <c r="F120" i="49" s="1"/>
  <c r="D117" i="49"/>
  <c r="F117" i="49" s="1"/>
  <c r="D115" i="49"/>
  <c r="C114" i="49"/>
  <c r="F114" i="49" s="1"/>
  <c r="E113" i="49"/>
  <c r="F113" i="49" s="1"/>
  <c r="C112" i="49"/>
  <c r="E111" i="49"/>
  <c r="C110" i="49"/>
  <c r="F110" i="49" s="1"/>
  <c r="D109" i="49"/>
  <c r="D118" i="49" s="1"/>
  <c r="E104" i="49"/>
  <c r="E102" i="49"/>
  <c r="E100" i="49"/>
  <c r="E98" i="49"/>
  <c r="E93" i="49"/>
  <c r="E91" i="49"/>
  <c r="E89" i="49"/>
  <c r="E87" i="49"/>
  <c r="E85" i="49"/>
  <c r="E83" i="49"/>
  <c r="E81" i="49"/>
  <c r="E79" i="49"/>
  <c r="E77" i="49"/>
  <c r="E75" i="49"/>
  <c r="E73" i="49"/>
  <c r="E71" i="49"/>
  <c r="E69" i="49"/>
  <c r="E67" i="49"/>
  <c r="D11" i="49"/>
  <c r="D15" i="49"/>
  <c r="D19" i="49"/>
  <c r="D23" i="49"/>
  <c r="D27" i="49"/>
  <c r="D31" i="49"/>
  <c r="D37" i="49"/>
  <c r="F37" i="49" s="1"/>
  <c r="D39" i="49"/>
  <c r="D41" i="49"/>
  <c r="F41" i="49" s="1"/>
  <c r="D43" i="49"/>
  <c r="D45" i="49"/>
  <c r="D47" i="49"/>
  <c r="D49" i="49"/>
  <c r="D51" i="49"/>
  <c r="D53" i="49"/>
  <c r="D55" i="49"/>
  <c r="D57" i="49"/>
  <c r="D59" i="49"/>
  <c r="D61" i="49"/>
  <c r="D63" i="49"/>
  <c r="E68" i="49"/>
  <c r="E72" i="49"/>
  <c r="E76" i="49"/>
  <c r="E80" i="49"/>
  <c r="E84" i="49"/>
  <c r="E88" i="49"/>
  <c r="E92" i="49"/>
  <c r="E99" i="49"/>
  <c r="E103" i="49"/>
  <c r="E109" i="49"/>
  <c r="C111" i="49"/>
  <c r="E112" i="49"/>
  <c r="C115" i="49"/>
  <c r="F115" i="49" s="1"/>
  <c r="C116" i="49"/>
  <c r="E120" i="47"/>
  <c r="F120" i="47" s="1"/>
  <c r="D117" i="47"/>
  <c r="F117" i="47" s="1"/>
  <c r="D115" i="47"/>
  <c r="C114" i="47"/>
  <c r="F114" i="47" s="1"/>
  <c r="E113" i="47"/>
  <c r="F113" i="47" s="1"/>
  <c r="C112" i="47"/>
  <c r="E111" i="47"/>
  <c r="C110" i="47"/>
  <c r="F110" i="47" s="1"/>
  <c r="D109" i="47"/>
  <c r="D118" i="47" s="1"/>
  <c r="E104" i="47"/>
  <c r="E102" i="47"/>
  <c r="E100" i="47"/>
  <c r="E98" i="47"/>
  <c r="E93" i="47"/>
  <c r="F93" i="47" s="1"/>
  <c r="E91" i="47"/>
  <c r="E89" i="47"/>
  <c r="F89" i="47" s="1"/>
  <c r="E87" i="47"/>
  <c r="E85" i="47"/>
  <c r="F85" i="47" s="1"/>
  <c r="E83" i="47"/>
  <c r="E81" i="47"/>
  <c r="F81" i="47" s="1"/>
  <c r="E79" i="47"/>
  <c r="E77" i="47"/>
  <c r="F77" i="47" s="1"/>
  <c r="E75" i="47"/>
  <c r="E73" i="47"/>
  <c r="F73" i="47" s="1"/>
  <c r="E71" i="47"/>
  <c r="E69" i="47"/>
  <c r="E67" i="47"/>
  <c r="D11" i="47"/>
  <c r="D15" i="47"/>
  <c r="D19" i="47"/>
  <c r="D23" i="47"/>
  <c r="D27" i="47"/>
  <c r="D31" i="47"/>
  <c r="D37" i="47"/>
  <c r="F37" i="47" s="1"/>
  <c r="D39" i="47"/>
  <c r="D41" i="47"/>
  <c r="F41" i="47" s="1"/>
  <c r="D43" i="47"/>
  <c r="D45" i="47"/>
  <c r="D47" i="47"/>
  <c r="D49" i="47"/>
  <c r="D51" i="47"/>
  <c r="D53" i="47"/>
  <c r="D55" i="47"/>
  <c r="D57" i="47"/>
  <c r="D59" i="47"/>
  <c r="D61" i="47"/>
  <c r="D63" i="47"/>
  <c r="E68" i="47"/>
  <c r="E72" i="47"/>
  <c r="E76" i="47"/>
  <c r="E80" i="47"/>
  <c r="E84" i="47"/>
  <c r="E88" i="47"/>
  <c r="E92" i="47"/>
  <c r="E99" i="47"/>
  <c r="E103" i="47"/>
  <c r="E109" i="47"/>
  <c r="C111" i="47"/>
  <c r="E112" i="47"/>
  <c r="C115" i="47"/>
  <c r="C116" i="47"/>
  <c r="C116" i="45"/>
  <c r="E115" i="45"/>
  <c r="C115" i="45"/>
  <c r="E114" i="45"/>
  <c r="C113" i="45"/>
  <c r="F113" i="45" s="1"/>
  <c r="E112" i="45"/>
  <c r="F112" i="45" s="1"/>
  <c r="C111" i="45"/>
  <c r="E110" i="45"/>
  <c r="E109" i="45"/>
  <c r="E103" i="45"/>
  <c r="E101" i="45"/>
  <c r="E99" i="45"/>
  <c r="E94" i="45"/>
  <c r="E92" i="45"/>
  <c r="E90" i="45"/>
  <c r="E88" i="45"/>
  <c r="E86" i="45"/>
  <c r="E84" i="45"/>
  <c r="E82" i="45"/>
  <c r="E80" i="45"/>
  <c r="E78" i="45"/>
  <c r="E76" i="45"/>
  <c r="E74" i="45"/>
  <c r="E72" i="45"/>
  <c r="E70" i="45"/>
  <c r="E68" i="45"/>
  <c r="D63" i="45"/>
  <c r="D62" i="45"/>
  <c r="D61" i="45"/>
  <c r="D60" i="45"/>
  <c r="D59" i="45"/>
  <c r="D58" i="45"/>
  <c r="D57" i="45"/>
  <c r="D56" i="45"/>
  <c r="D55" i="45"/>
  <c r="D54" i="45"/>
  <c r="D53" i="45"/>
  <c r="D52" i="45"/>
  <c r="D51" i="45"/>
  <c r="D50" i="45"/>
  <c r="D49" i="45"/>
  <c r="D48" i="45"/>
  <c r="D47" i="45"/>
  <c r="D46" i="45"/>
  <c r="D45" i="45"/>
  <c r="D44" i="45"/>
  <c r="D43" i="45"/>
  <c r="D42" i="45"/>
  <c r="D41" i="45"/>
  <c r="D40" i="45"/>
  <c r="D39" i="45"/>
  <c r="D38" i="45"/>
  <c r="D37" i="45"/>
  <c r="D36" i="45"/>
  <c r="E69" i="45"/>
  <c r="E73" i="45"/>
  <c r="E77" i="45"/>
  <c r="E81" i="45"/>
  <c r="E85" i="45"/>
  <c r="E89" i="45"/>
  <c r="E93" i="45"/>
  <c r="E100" i="45"/>
  <c r="E104" i="45"/>
  <c r="C110" i="45"/>
  <c r="F110" i="45" s="1"/>
  <c r="E111" i="45"/>
  <c r="C114" i="45"/>
  <c r="F114" i="45" s="1"/>
  <c r="D115" i="45"/>
  <c r="D118" i="45" s="1"/>
  <c r="C116" i="44"/>
  <c r="E115" i="44"/>
  <c r="C115" i="44"/>
  <c r="E114" i="44"/>
  <c r="C113" i="44"/>
  <c r="F113" i="44" s="1"/>
  <c r="E112" i="44"/>
  <c r="F112" i="44" s="1"/>
  <c r="C111" i="44"/>
  <c r="E110" i="44"/>
  <c r="E109" i="44"/>
  <c r="E103" i="44"/>
  <c r="E101" i="44"/>
  <c r="E99" i="44"/>
  <c r="E94" i="44"/>
  <c r="E92" i="44"/>
  <c r="E90" i="44"/>
  <c r="E88" i="44"/>
  <c r="E86" i="44"/>
  <c r="E84" i="44"/>
  <c r="E82" i="44"/>
  <c r="E80" i="44"/>
  <c r="E78" i="44"/>
  <c r="E76" i="44"/>
  <c r="E74" i="44"/>
  <c r="E72" i="44"/>
  <c r="E70" i="44"/>
  <c r="E68" i="44"/>
  <c r="D63" i="44"/>
  <c r="D62" i="44"/>
  <c r="D61" i="44"/>
  <c r="D60" i="44"/>
  <c r="D59" i="44"/>
  <c r="D58" i="44"/>
  <c r="D57" i="44"/>
  <c r="D56" i="44"/>
  <c r="D55" i="44"/>
  <c r="D54" i="44"/>
  <c r="D53" i="44"/>
  <c r="D52" i="44"/>
  <c r="D51" i="44"/>
  <c r="D50" i="44"/>
  <c r="D49" i="44"/>
  <c r="D48" i="44"/>
  <c r="D47" i="44"/>
  <c r="D46" i="44"/>
  <c r="D45" i="44"/>
  <c r="D44" i="44"/>
  <c r="D43" i="44"/>
  <c r="D42" i="44"/>
  <c r="F42" i="44" s="1"/>
  <c r="D41" i="44"/>
  <c r="D40" i="44"/>
  <c r="F40" i="44" s="1"/>
  <c r="D39" i="44"/>
  <c r="D38" i="44"/>
  <c r="F38" i="44" s="1"/>
  <c r="D37" i="44"/>
  <c r="D36" i="44"/>
  <c r="E69" i="44"/>
  <c r="E73" i="44"/>
  <c r="E77" i="44"/>
  <c r="E81" i="44"/>
  <c r="E85" i="44"/>
  <c r="E89" i="44"/>
  <c r="E93" i="44"/>
  <c r="E100" i="44"/>
  <c r="E104" i="44"/>
  <c r="C110" i="44"/>
  <c r="F110" i="44" s="1"/>
  <c r="E111" i="44"/>
  <c r="C114" i="44"/>
  <c r="F114" i="44" s="1"/>
  <c r="D115" i="44"/>
  <c r="D118" i="44" s="1"/>
  <c r="C116" i="43"/>
  <c r="E115" i="43"/>
  <c r="C115" i="43"/>
  <c r="E114" i="43"/>
  <c r="C113" i="43"/>
  <c r="F113" i="43" s="1"/>
  <c r="E112" i="43"/>
  <c r="F112" i="43" s="1"/>
  <c r="C111" i="43"/>
  <c r="E110" i="43"/>
  <c r="E109" i="43"/>
  <c r="E102" i="43"/>
  <c r="E100" i="43"/>
  <c r="E98" i="43"/>
  <c r="E93" i="43"/>
  <c r="E91" i="43"/>
  <c r="E89" i="43"/>
  <c r="E87" i="43"/>
  <c r="E85" i="43"/>
  <c r="E83" i="43"/>
  <c r="E81" i="43"/>
  <c r="E79" i="43"/>
  <c r="E77" i="43"/>
  <c r="E75" i="43"/>
  <c r="E73" i="43"/>
  <c r="E71" i="43"/>
  <c r="E69" i="43"/>
  <c r="E67" i="43"/>
  <c r="D36" i="43"/>
  <c r="D38" i="43"/>
  <c r="D40" i="43"/>
  <c r="D42" i="43"/>
  <c r="D44" i="43"/>
  <c r="D46" i="43"/>
  <c r="D48" i="43"/>
  <c r="D50" i="43"/>
  <c r="D52" i="43"/>
  <c r="D54" i="43"/>
  <c r="D56" i="43"/>
  <c r="D58" i="43"/>
  <c r="D60" i="43"/>
  <c r="D62" i="43"/>
  <c r="E70" i="43"/>
  <c r="E74" i="43"/>
  <c r="E78" i="43"/>
  <c r="E82" i="43"/>
  <c r="E86" i="43"/>
  <c r="E90" i="43"/>
  <c r="E94" i="43"/>
  <c r="E101" i="43"/>
  <c r="E104" i="43"/>
  <c r="C110" i="43"/>
  <c r="F110" i="43" s="1"/>
  <c r="E111" i="43"/>
  <c r="C114" i="43"/>
  <c r="F114" i="43" s="1"/>
  <c r="D115" i="43"/>
  <c r="D118" i="43" s="1"/>
  <c r="C116" i="42"/>
  <c r="E115" i="42"/>
  <c r="C115" i="42"/>
  <c r="E114" i="42"/>
  <c r="F114" i="42" s="1"/>
  <c r="C113" i="42"/>
  <c r="E112" i="42"/>
  <c r="C111" i="42"/>
  <c r="F111" i="42" s="1"/>
  <c r="E110" i="42"/>
  <c r="F110" i="42" s="1"/>
  <c r="E109" i="42"/>
  <c r="E103" i="42"/>
  <c r="E101" i="42"/>
  <c r="E99" i="42"/>
  <c r="E94" i="42"/>
  <c r="E92" i="42"/>
  <c r="E90" i="42"/>
  <c r="E88" i="42"/>
  <c r="E86" i="42"/>
  <c r="E84" i="42"/>
  <c r="E82" i="42"/>
  <c r="E80" i="42"/>
  <c r="E78" i="42"/>
  <c r="E76" i="42"/>
  <c r="E74" i="42"/>
  <c r="E72" i="42"/>
  <c r="E70" i="42"/>
  <c r="E68" i="42"/>
  <c r="D63" i="42"/>
  <c r="D62" i="42"/>
  <c r="D61" i="42"/>
  <c r="D60" i="42"/>
  <c r="D59" i="42"/>
  <c r="D58" i="42"/>
  <c r="D57" i="42"/>
  <c r="D56" i="42"/>
  <c r="D55" i="42"/>
  <c r="D54" i="42"/>
  <c r="D53" i="42"/>
  <c r="D52" i="42"/>
  <c r="D51" i="42"/>
  <c r="D50" i="42"/>
  <c r="D49" i="42"/>
  <c r="D48" i="42"/>
  <c r="D47" i="42"/>
  <c r="D46" i="42"/>
  <c r="D77" i="42" s="1"/>
  <c r="F77" i="42" s="1"/>
  <c r="D45" i="42"/>
  <c r="D44" i="42"/>
  <c r="D75" i="42" s="1"/>
  <c r="D43" i="42"/>
  <c r="D42" i="42"/>
  <c r="D73" i="42" s="1"/>
  <c r="F73" i="42" s="1"/>
  <c r="D41" i="42"/>
  <c r="D40" i="42"/>
  <c r="D71" i="42" s="1"/>
  <c r="D39" i="42"/>
  <c r="D38" i="42"/>
  <c r="D69" i="42" s="1"/>
  <c r="F69" i="42" s="1"/>
  <c r="D37" i="42"/>
  <c r="D36" i="42"/>
  <c r="D67" i="42" s="1"/>
  <c r="E67" i="42"/>
  <c r="E71" i="42"/>
  <c r="E75" i="42"/>
  <c r="E79" i="42"/>
  <c r="E83" i="42"/>
  <c r="E87" i="42"/>
  <c r="E91" i="42"/>
  <c r="E98" i="42"/>
  <c r="E102" i="42"/>
  <c r="D109" i="42"/>
  <c r="D118" i="42" s="1"/>
  <c r="C112" i="42"/>
  <c r="F112" i="42" s="1"/>
  <c r="E113" i="42"/>
  <c r="D117" i="42"/>
  <c r="F117" i="42" s="1"/>
  <c r="E120" i="42"/>
  <c r="F120" i="42" s="1"/>
  <c r="E69" i="41"/>
  <c r="E73" i="41"/>
  <c r="E77" i="41"/>
  <c r="E81" i="41"/>
  <c r="E85" i="41"/>
  <c r="E89" i="41"/>
  <c r="E93" i="41"/>
  <c r="E100" i="41"/>
  <c r="E104" i="41"/>
  <c r="C110" i="41"/>
  <c r="E111" i="41"/>
  <c r="C114" i="41"/>
  <c r="C116" i="40"/>
  <c r="E115" i="40"/>
  <c r="C115" i="40"/>
  <c r="E114" i="40"/>
  <c r="F114" i="40" s="1"/>
  <c r="C113" i="40"/>
  <c r="E112" i="40"/>
  <c r="C111" i="40"/>
  <c r="F111" i="40" s="1"/>
  <c r="E110" i="40"/>
  <c r="F110" i="40" s="1"/>
  <c r="E109" i="40"/>
  <c r="E102" i="40"/>
  <c r="E100" i="40"/>
  <c r="E98" i="40"/>
  <c r="E93" i="40"/>
  <c r="E91" i="40"/>
  <c r="E89" i="40"/>
  <c r="E87" i="40"/>
  <c r="E85" i="40"/>
  <c r="E83" i="40"/>
  <c r="E81" i="40"/>
  <c r="E79" i="40"/>
  <c r="E77" i="40"/>
  <c r="E75" i="40"/>
  <c r="E73" i="40"/>
  <c r="E71" i="40"/>
  <c r="E69" i="40"/>
  <c r="E67" i="40"/>
  <c r="D19" i="40"/>
  <c r="D23" i="40"/>
  <c r="D27" i="40"/>
  <c r="D31" i="40"/>
  <c r="D37" i="40"/>
  <c r="D39" i="40"/>
  <c r="D41" i="40"/>
  <c r="D43" i="40"/>
  <c r="D45" i="40"/>
  <c r="D47" i="40"/>
  <c r="D49" i="40"/>
  <c r="D51" i="40"/>
  <c r="D53" i="40"/>
  <c r="D55" i="40"/>
  <c r="D57" i="40"/>
  <c r="D59" i="40"/>
  <c r="D61" i="40"/>
  <c r="D63" i="40"/>
  <c r="E68" i="40"/>
  <c r="E72" i="40"/>
  <c r="E76" i="40"/>
  <c r="E80" i="40"/>
  <c r="E84" i="40"/>
  <c r="E88" i="40"/>
  <c r="E92" i="40"/>
  <c r="E99" i="40"/>
  <c r="E103" i="40"/>
  <c r="D109" i="40"/>
  <c r="D118" i="40" s="1"/>
  <c r="C112" i="40"/>
  <c r="E113" i="40"/>
  <c r="D117" i="40"/>
  <c r="F117" i="40" s="1"/>
  <c r="E120" i="40"/>
  <c r="F120" i="40" s="1"/>
  <c r="E73" i="39"/>
  <c r="E81" i="39"/>
  <c r="E89" i="39"/>
  <c r="E100" i="39"/>
  <c r="E120" i="56"/>
  <c r="F120" i="56" s="1"/>
  <c r="D117" i="56"/>
  <c r="F117" i="56" s="1"/>
  <c r="D115" i="56"/>
  <c r="C114" i="56"/>
  <c r="E113" i="56"/>
  <c r="C112" i="56"/>
  <c r="F112" i="56" s="1"/>
  <c r="E111" i="56"/>
  <c r="C110" i="56"/>
  <c r="D109" i="56"/>
  <c r="D118" i="56" s="1"/>
  <c r="E104" i="56"/>
  <c r="E102" i="56"/>
  <c r="E100" i="56"/>
  <c r="E98" i="56"/>
  <c r="E93" i="56"/>
  <c r="E91" i="56"/>
  <c r="E89" i="56"/>
  <c r="E87" i="56"/>
  <c r="E85" i="56"/>
  <c r="E83" i="56"/>
  <c r="E81" i="56"/>
  <c r="E79" i="56"/>
  <c r="E77" i="56"/>
  <c r="E75" i="56"/>
  <c r="E73" i="56"/>
  <c r="E71" i="56"/>
  <c r="E69" i="56"/>
  <c r="E67" i="56"/>
  <c r="D36" i="56"/>
  <c r="D40" i="56"/>
  <c r="D46" i="56"/>
  <c r="D50" i="56"/>
  <c r="D56" i="56"/>
  <c r="D60" i="56"/>
  <c r="E74" i="56"/>
  <c r="E78" i="56"/>
  <c r="E82" i="56"/>
  <c r="E90" i="56"/>
  <c r="E94" i="56"/>
  <c r="E101" i="56"/>
  <c r="E110" i="56"/>
  <c r="C113" i="56"/>
  <c r="F113" i="56" s="1"/>
  <c r="E114" i="56"/>
  <c r="E115" i="56"/>
  <c r="C116" i="54"/>
  <c r="E115" i="54"/>
  <c r="C115" i="54"/>
  <c r="E114" i="54"/>
  <c r="C113" i="54"/>
  <c r="E112" i="54"/>
  <c r="C111" i="54"/>
  <c r="F111" i="54" s="1"/>
  <c r="E110" i="54"/>
  <c r="E109" i="54"/>
  <c r="E103" i="54"/>
  <c r="E101" i="54"/>
  <c r="E99" i="54"/>
  <c r="E94" i="54"/>
  <c r="E92" i="54"/>
  <c r="E90" i="54"/>
  <c r="E88" i="54"/>
  <c r="E86" i="54"/>
  <c r="E84" i="54"/>
  <c r="E82" i="54"/>
  <c r="E80" i="54"/>
  <c r="E78" i="54"/>
  <c r="E76" i="54"/>
  <c r="E74" i="54"/>
  <c r="E72" i="54"/>
  <c r="E70" i="54"/>
  <c r="E68" i="54"/>
  <c r="D63" i="54"/>
  <c r="D62" i="54"/>
  <c r="D61" i="54"/>
  <c r="D60" i="54"/>
  <c r="D59" i="54"/>
  <c r="D58" i="54"/>
  <c r="D57" i="54"/>
  <c r="D56" i="54"/>
  <c r="D55" i="54"/>
  <c r="D54" i="54"/>
  <c r="D53" i="54"/>
  <c r="D52" i="54"/>
  <c r="D51" i="54"/>
  <c r="D50" i="54"/>
  <c r="D49" i="54"/>
  <c r="D48" i="54"/>
  <c r="D47" i="54"/>
  <c r="D46" i="54"/>
  <c r="D45" i="54"/>
  <c r="D44" i="54"/>
  <c r="D43" i="54"/>
  <c r="D42" i="54"/>
  <c r="D41" i="54"/>
  <c r="D40" i="54"/>
  <c r="D39" i="54"/>
  <c r="D38" i="54"/>
  <c r="D37" i="54"/>
  <c r="D36" i="54"/>
  <c r="E67" i="54"/>
  <c r="E71" i="54"/>
  <c r="E75" i="54"/>
  <c r="E79" i="54"/>
  <c r="E83" i="54"/>
  <c r="E87" i="54"/>
  <c r="E91" i="54"/>
  <c r="E98" i="54"/>
  <c r="E102" i="54"/>
  <c r="D109" i="54"/>
  <c r="D118" i="54" s="1"/>
  <c r="C112" i="54"/>
  <c r="E113" i="54"/>
  <c r="D117" i="54"/>
  <c r="F117" i="54" s="1"/>
  <c r="E120" i="54"/>
  <c r="F120" i="54" s="1"/>
  <c r="E120" i="52"/>
  <c r="F120" i="52" s="1"/>
  <c r="D117" i="52"/>
  <c r="F117" i="52" s="1"/>
  <c r="D115" i="52"/>
  <c r="C114" i="52"/>
  <c r="E113" i="52"/>
  <c r="C112" i="52"/>
  <c r="F112" i="52" s="1"/>
  <c r="E111" i="52"/>
  <c r="C110" i="52"/>
  <c r="D109" i="52"/>
  <c r="D118" i="52" s="1"/>
  <c r="E104" i="52"/>
  <c r="E103" i="52"/>
  <c r="E101" i="52"/>
  <c r="E99" i="52"/>
  <c r="E94" i="52"/>
  <c r="E92" i="52"/>
  <c r="E90" i="52"/>
  <c r="E88" i="52"/>
  <c r="E86" i="52"/>
  <c r="E84" i="52"/>
  <c r="E82" i="52"/>
  <c r="E80" i="52"/>
  <c r="E78" i="52"/>
  <c r="E76" i="52"/>
  <c r="E74" i="52"/>
  <c r="E72" i="52"/>
  <c r="E70" i="52"/>
  <c r="E68" i="52"/>
  <c r="D63" i="52"/>
  <c r="D62" i="52"/>
  <c r="D61" i="52"/>
  <c r="D60" i="52"/>
  <c r="D59" i="52"/>
  <c r="D58" i="52"/>
  <c r="D57" i="52"/>
  <c r="D56" i="52"/>
  <c r="D55" i="52"/>
  <c r="D54" i="52"/>
  <c r="D53" i="52"/>
  <c r="D52" i="52"/>
  <c r="D51" i="52"/>
  <c r="D50" i="52"/>
  <c r="D49" i="52"/>
  <c r="D48" i="52"/>
  <c r="D47" i="52"/>
  <c r="D46" i="52"/>
  <c r="D45" i="52"/>
  <c r="D44" i="52"/>
  <c r="D43" i="52"/>
  <c r="D42" i="52"/>
  <c r="D41" i="52"/>
  <c r="D40" i="52"/>
  <c r="D39" i="52"/>
  <c r="D38" i="52"/>
  <c r="F38" i="52" s="1"/>
  <c r="D37" i="52"/>
  <c r="D36" i="52"/>
  <c r="E75" i="52"/>
  <c r="E79" i="52"/>
  <c r="E91" i="52"/>
  <c r="E98" i="52"/>
  <c r="E102" i="52"/>
  <c r="E110" i="52"/>
  <c r="E114" i="52"/>
  <c r="F73" i="49"/>
  <c r="F77" i="49"/>
  <c r="F81" i="49"/>
  <c r="F85" i="49"/>
  <c r="F89" i="49"/>
  <c r="F93" i="49"/>
  <c r="D67" i="47"/>
  <c r="D5" i="47"/>
  <c r="D71" i="47"/>
  <c r="F71" i="47" s="1"/>
  <c r="D9" i="47"/>
  <c r="F75" i="47"/>
  <c r="F79" i="47"/>
  <c r="F83" i="47"/>
  <c r="F91" i="47"/>
  <c r="E95" i="45"/>
  <c r="C109" i="45" s="1"/>
  <c r="E64" i="44"/>
  <c r="F70" i="43"/>
  <c r="D78" i="43"/>
  <c r="F78" i="43" s="1"/>
  <c r="D16" i="43"/>
  <c r="D80" i="43"/>
  <c r="F80" i="43" s="1"/>
  <c r="D18" i="43"/>
  <c r="D82" i="43"/>
  <c r="F82" i="43" s="1"/>
  <c r="D20" i="43"/>
  <c r="D84" i="43"/>
  <c r="F84" i="43" s="1"/>
  <c r="D22" i="43"/>
  <c r="D86" i="43"/>
  <c r="F86" i="43" s="1"/>
  <c r="D24" i="43"/>
  <c r="D88" i="43"/>
  <c r="F88" i="43" s="1"/>
  <c r="D26" i="43"/>
  <c r="D90" i="43"/>
  <c r="F90" i="43" s="1"/>
  <c r="D28" i="43"/>
  <c r="D92" i="43"/>
  <c r="F92" i="43" s="1"/>
  <c r="D30" i="43"/>
  <c r="D94" i="43"/>
  <c r="F94" i="43" s="1"/>
  <c r="D32" i="43"/>
  <c r="C116" i="41"/>
  <c r="E115" i="41"/>
  <c r="C115" i="41"/>
  <c r="E114" i="41"/>
  <c r="C113" i="41"/>
  <c r="E112" i="41"/>
  <c r="C111" i="41"/>
  <c r="F111" i="41" s="1"/>
  <c r="E110" i="41"/>
  <c r="E109" i="41"/>
  <c r="E103" i="41"/>
  <c r="F103" i="41" s="1"/>
  <c r="E101" i="41"/>
  <c r="E99" i="41"/>
  <c r="E94" i="41"/>
  <c r="E92" i="41"/>
  <c r="E90" i="41"/>
  <c r="E88" i="41"/>
  <c r="E86" i="41"/>
  <c r="E84" i="41"/>
  <c r="E82" i="41"/>
  <c r="E80" i="41"/>
  <c r="E78" i="41"/>
  <c r="E76" i="41"/>
  <c r="E74" i="41"/>
  <c r="E72" i="41"/>
  <c r="E70" i="41"/>
  <c r="E68" i="41"/>
  <c r="D63" i="41"/>
  <c r="D62" i="41"/>
  <c r="D61" i="41"/>
  <c r="D60" i="41"/>
  <c r="D59" i="41"/>
  <c r="D58" i="41"/>
  <c r="D57" i="41"/>
  <c r="D56" i="41"/>
  <c r="D55" i="41"/>
  <c r="D54" i="41"/>
  <c r="D53" i="41"/>
  <c r="D52" i="41"/>
  <c r="D51" i="41"/>
  <c r="D50" i="41"/>
  <c r="D49" i="41"/>
  <c r="D48" i="41"/>
  <c r="D47" i="41"/>
  <c r="D78" i="41" s="1"/>
  <c r="F78" i="41" s="1"/>
  <c r="D46" i="41"/>
  <c r="D45" i="41"/>
  <c r="D76" i="41" s="1"/>
  <c r="D44" i="41"/>
  <c r="D43" i="41"/>
  <c r="D74" i="41" s="1"/>
  <c r="F74" i="41" s="1"/>
  <c r="D42" i="41"/>
  <c r="D41" i="41"/>
  <c r="D72" i="41" s="1"/>
  <c r="D40" i="41"/>
  <c r="D39" i="41"/>
  <c r="D70" i="41" s="1"/>
  <c r="F70" i="41" s="1"/>
  <c r="D38" i="41"/>
  <c r="D37" i="41"/>
  <c r="D68" i="41" s="1"/>
  <c r="D36" i="41"/>
  <c r="E67" i="41"/>
  <c r="E71" i="41"/>
  <c r="E75" i="41"/>
  <c r="E79" i="41"/>
  <c r="E83" i="41"/>
  <c r="E87" i="41"/>
  <c r="E91" i="41"/>
  <c r="E98" i="41"/>
  <c r="E102" i="41"/>
  <c r="D109" i="41"/>
  <c r="D118" i="41" s="1"/>
  <c r="C112" i="41"/>
  <c r="E113" i="41"/>
  <c r="D117" i="41"/>
  <c r="F117" i="41" s="1"/>
  <c r="E120" i="41"/>
  <c r="F120" i="41" s="1"/>
  <c r="F69" i="40"/>
  <c r="F71" i="40"/>
  <c r="F73" i="40"/>
  <c r="F75" i="40"/>
  <c r="F77" i="40"/>
  <c r="F79" i="40"/>
  <c r="F81" i="40"/>
  <c r="F85" i="40"/>
  <c r="F89" i="40"/>
  <c r="F93" i="40"/>
  <c r="C116" i="39"/>
  <c r="E115" i="39"/>
  <c r="C115" i="39"/>
  <c r="E114" i="39"/>
  <c r="C113" i="39"/>
  <c r="E112" i="39"/>
  <c r="C111" i="39"/>
  <c r="E110" i="39"/>
  <c r="F110" i="39" s="1"/>
  <c r="E109" i="39"/>
  <c r="E103" i="39"/>
  <c r="E101" i="39"/>
  <c r="E99" i="39"/>
  <c r="E94" i="39"/>
  <c r="E92" i="39"/>
  <c r="E90" i="39"/>
  <c r="E88" i="39"/>
  <c r="E86" i="39"/>
  <c r="E84" i="39"/>
  <c r="E82" i="39"/>
  <c r="E80" i="39"/>
  <c r="E78" i="39"/>
  <c r="E76" i="39"/>
  <c r="E74" i="39"/>
  <c r="E72" i="39"/>
  <c r="E70" i="39"/>
  <c r="E68" i="39"/>
  <c r="D63" i="39"/>
  <c r="D62" i="39"/>
  <c r="D61" i="39"/>
  <c r="D60" i="39"/>
  <c r="D59" i="39"/>
  <c r="D58" i="39"/>
  <c r="D57" i="39"/>
  <c r="D56" i="39"/>
  <c r="D55" i="39"/>
  <c r="D54" i="39"/>
  <c r="D53" i="39"/>
  <c r="D52" i="39"/>
  <c r="D51" i="39"/>
  <c r="D82" i="39" s="1"/>
  <c r="F82" i="39" s="1"/>
  <c r="D50" i="39"/>
  <c r="D49" i="39"/>
  <c r="D80" i="39" s="1"/>
  <c r="D48" i="39"/>
  <c r="D47" i="39"/>
  <c r="D78" i="39" s="1"/>
  <c r="F78" i="39" s="1"/>
  <c r="D46" i="39"/>
  <c r="D45" i="39"/>
  <c r="D76" i="39" s="1"/>
  <c r="D44" i="39"/>
  <c r="D43" i="39"/>
  <c r="D74" i="39" s="1"/>
  <c r="F74" i="39" s="1"/>
  <c r="D42" i="39"/>
  <c r="D41" i="39"/>
  <c r="D72" i="39" s="1"/>
  <c r="D40" i="39"/>
  <c r="D39" i="39"/>
  <c r="D70" i="39" s="1"/>
  <c r="F70" i="39" s="1"/>
  <c r="D38" i="39"/>
  <c r="D37" i="39"/>
  <c r="D68" i="39" s="1"/>
  <c r="D36" i="39"/>
  <c r="E120" i="39"/>
  <c r="F120" i="39" s="1"/>
  <c r="D117" i="39"/>
  <c r="F117" i="39" s="1"/>
  <c r="E113" i="39"/>
  <c r="C112" i="39"/>
  <c r="F112" i="39" s="1"/>
  <c r="D109" i="39"/>
  <c r="E102" i="39"/>
  <c r="E98" i="39"/>
  <c r="E91" i="39"/>
  <c r="E87" i="39"/>
  <c r="E83" i="39"/>
  <c r="E79" i="39"/>
  <c r="E75" i="39"/>
  <c r="E71" i="39"/>
  <c r="E67" i="39"/>
  <c r="D115" i="39"/>
  <c r="C114" i="39"/>
  <c r="F114" i="39" s="1"/>
  <c r="E111" i="39"/>
  <c r="E69" i="39"/>
  <c r="E77" i="39"/>
  <c r="E85" i="39"/>
  <c r="E93" i="39"/>
  <c r="E104" i="39"/>
  <c r="E73" i="38"/>
  <c r="E77" i="38"/>
  <c r="E85" i="38"/>
  <c r="E100" i="38"/>
  <c r="C116" i="37"/>
  <c r="E115" i="37"/>
  <c r="C115" i="37"/>
  <c r="E114" i="37"/>
  <c r="C113" i="37"/>
  <c r="E112" i="37"/>
  <c r="C111" i="37"/>
  <c r="E110" i="37"/>
  <c r="E109" i="37"/>
  <c r="E103" i="37"/>
  <c r="E101" i="37"/>
  <c r="E99" i="37"/>
  <c r="E94" i="37"/>
  <c r="E92" i="37"/>
  <c r="E90" i="37"/>
  <c r="E88" i="37"/>
  <c r="E86" i="37"/>
  <c r="E84" i="37"/>
  <c r="E82" i="37"/>
  <c r="E80" i="37"/>
  <c r="E78" i="37"/>
  <c r="E76" i="37"/>
  <c r="E74" i="37"/>
  <c r="E72" i="37"/>
  <c r="E70" i="37"/>
  <c r="E68" i="37"/>
  <c r="D63" i="37"/>
  <c r="D62" i="37"/>
  <c r="D61" i="37"/>
  <c r="D60" i="37"/>
  <c r="D59" i="37"/>
  <c r="D58" i="37"/>
  <c r="D57" i="37"/>
  <c r="D56" i="37"/>
  <c r="D55" i="37"/>
  <c r="D86" i="37" s="1"/>
  <c r="F86" i="37" s="1"/>
  <c r="D54" i="37"/>
  <c r="D53" i="37"/>
  <c r="D84" i="37" s="1"/>
  <c r="D52" i="37"/>
  <c r="D51" i="37"/>
  <c r="D82" i="37" s="1"/>
  <c r="F82" i="37" s="1"/>
  <c r="D50" i="37"/>
  <c r="D49" i="37"/>
  <c r="D80" i="37" s="1"/>
  <c r="D48" i="37"/>
  <c r="D47" i="37"/>
  <c r="D78" i="37" s="1"/>
  <c r="F78" i="37" s="1"/>
  <c r="D46" i="37"/>
  <c r="D45" i="37"/>
  <c r="D76" i="37" s="1"/>
  <c r="D44" i="37"/>
  <c r="D43" i="37"/>
  <c r="D74" i="37" s="1"/>
  <c r="F74" i="37" s="1"/>
  <c r="D42" i="37"/>
  <c r="D41" i="37"/>
  <c r="D72" i="37" s="1"/>
  <c r="D40" i="37"/>
  <c r="D39" i="37"/>
  <c r="D70" i="37" s="1"/>
  <c r="F70" i="37" s="1"/>
  <c r="D38" i="37"/>
  <c r="D37" i="37"/>
  <c r="D68" i="37" s="1"/>
  <c r="D36" i="37"/>
  <c r="E67" i="37"/>
  <c r="E71" i="37"/>
  <c r="E75" i="37"/>
  <c r="E79" i="37"/>
  <c r="E83" i="37"/>
  <c r="E87" i="37"/>
  <c r="E91" i="37"/>
  <c r="E98" i="37"/>
  <c r="E102" i="37"/>
  <c r="D109" i="37"/>
  <c r="C112" i="37"/>
  <c r="E113" i="37"/>
  <c r="D117" i="37"/>
  <c r="F117" i="37" s="1"/>
  <c r="E120" i="37"/>
  <c r="F120" i="37" s="1"/>
  <c r="D8" i="34"/>
  <c r="D12" i="34"/>
  <c r="D16" i="34"/>
  <c r="D20" i="34"/>
  <c r="D24" i="34"/>
  <c r="D28" i="34"/>
  <c r="D32" i="34"/>
  <c r="C116" i="29"/>
  <c r="E115" i="29"/>
  <c r="C115" i="29"/>
  <c r="E114" i="29"/>
  <c r="C113" i="29"/>
  <c r="E112" i="29"/>
  <c r="C111" i="29"/>
  <c r="E110" i="29"/>
  <c r="E109" i="29"/>
  <c r="E103" i="29"/>
  <c r="E101" i="29"/>
  <c r="E99" i="29"/>
  <c r="E94" i="29"/>
  <c r="E93" i="29"/>
  <c r="E90" i="29"/>
  <c r="E89" i="29"/>
  <c r="E86" i="29"/>
  <c r="E85" i="29"/>
  <c r="E82" i="29"/>
  <c r="E81" i="29"/>
  <c r="E78" i="29"/>
  <c r="E77" i="29"/>
  <c r="E74" i="29"/>
  <c r="E73" i="29"/>
  <c r="E70" i="29"/>
  <c r="E69"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E67" i="29"/>
  <c r="E72" i="29"/>
  <c r="E75" i="29"/>
  <c r="E80" i="29"/>
  <c r="E83" i="29"/>
  <c r="E88" i="29"/>
  <c r="E91" i="29"/>
  <c r="E100" i="29"/>
  <c r="E104" i="29"/>
  <c r="C110" i="29"/>
  <c r="F110" i="29" s="1"/>
  <c r="E111" i="29"/>
  <c r="C114" i="29"/>
  <c r="F114" i="29" s="1"/>
  <c r="D115" i="29"/>
  <c r="C116" i="28"/>
  <c r="E115" i="28"/>
  <c r="C115" i="28"/>
  <c r="E114" i="28"/>
  <c r="C113" i="28"/>
  <c r="E112" i="28"/>
  <c r="C111" i="28"/>
  <c r="E110" i="28"/>
  <c r="E109" i="28"/>
  <c r="E103" i="28"/>
  <c r="E101" i="28"/>
  <c r="E99" i="28"/>
  <c r="E94" i="28"/>
  <c r="E91" i="28"/>
  <c r="E90" i="28"/>
  <c r="E87" i="28"/>
  <c r="E86" i="28"/>
  <c r="E83" i="28"/>
  <c r="E82" i="28"/>
  <c r="E79" i="28"/>
  <c r="E78" i="28"/>
  <c r="E75" i="28"/>
  <c r="E74" i="28"/>
  <c r="E71" i="28"/>
  <c r="E70" i="28"/>
  <c r="E67"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E69" i="28"/>
  <c r="E72" i="28"/>
  <c r="E77" i="28"/>
  <c r="E80" i="28"/>
  <c r="E85" i="28"/>
  <c r="E88" i="28"/>
  <c r="E93" i="28"/>
  <c r="E100" i="28"/>
  <c r="E104" i="28"/>
  <c r="C110" i="28"/>
  <c r="F110" i="28" s="1"/>
  <c r="E111" i="28"/>
  <c r="C114" i="28"/>
  <c r="F114" i="28" s="1"/>
  <c r="D115" i="28"/>
  <c r="C116" i="27"/>
  <c r="E115" i="27"/>
  <c r="C115" i="27"/>
  <c r="E114" i="27"/>
  <c r="C113" i="27"/>
  <c r="E112" i="27"/>
  <c r="C111" i="27"/>
  <c r="E110" i="27"/>
  <c r="E109" i="27"/>
  <c r="E103" i="27"/>
  <c r="E101" i="27"/>
  <c r="E99" i="27"/>
  <c r="E94" i="27"/>
  <c r="E92" i="27"/>
  <c r="E90" i="27"/>
  <c r="E88" i="27"/>
  <c r="E86" i="27"/>
  <c r="E84" i="27"/>
  <c r="E82" i="27"/>
  <c r="E80" i="27"/>
  <c r="E78" i="27"/>
  <c r="E76" i="27"/>
  <c r="E74" i="27"/>
  <c r="E72" i="27"/>
  <c r="E70" i="27"/>
  <c r="E68"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E69" i="27"/>
  <c r="E73" i="27"/>
  <c r="E77" i="27"/>
  <c r="E81" i="27"/>
  <c r="E85" i="27"/>
  <c r="E89" i="27"/>
  <c r="E93" i="27"/>
  <c r="E100" i="27"/>
  <c r="E104" i="27"/>
  <c r="C110" i="27"/>
  <c r="F110" i="27" s="1"/>
  <c r="E111" i="27"/>
  <c r="C114" i="27"/>
  <c r="F114" i="27" s="1"/>
  <c r="D115" i="27"/>
  <c r="C116" i="26"/>
  <c r="E115" i="26"/>
  <c r="C115" i="26"/>
  <c r="E114" i="26"/>
  <c r="C113" i="26"/>
  <c r="E112" i="26"/>
  <c r="C111" i="26"/>
  <c r="E110" i="26"/>
  <c r="E109" i="26"/>
  <c r="E103" i="26"/>
  <c r="E101" i="26"/>
  <c r="E99" i="26"/>
  <c r="E94" i="26"/>
  <c r="E92" i="26"/>
  <c r="E90" i="26"/>
  <c r="E88" i="26"/>
  <c r="E86" i="26"/>
  <c r="E84" i="26"/>
  <c r="E82" i="26"/>
  <c r="E80" i="26"/>
  <c r="E78" i="26"/>
  <c r="E76" i="26"/>
  <c r="E74" i="26"/>
  <c r="E72" i="26"/>
  <c r="E70" i="26"/>
  <c r="E68"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E69" i="26"/>
  <c r="E73" i="26"/>
  <c r="E77" i="26"/>
  <c r="E81" i="26"/>
  <c r="E85" i="26"/>
  <c r="E89" i="26"/>
  <c r="E93" i="26"/>
  <c r="E100" i="26"/>
  <c r="E104" i="26"/>
  <c r="C110" i="26"/>
  <c r="F110" i="26" s="1"/>
  <c r="E111" i="26"/>
  <c r="C114" i="26"/>
  <c r="F114" i="26" s="1"/>
  <c r="D115" i="26"/>
  <c r="E120" i="25"/>
  <c r="F120" i="25" s="1"/>
  <c r="D117" i="25"/>
  <c r="F117" i="25" s="1"/>
  <c r="D115" i="25"/>
  <c r="C114" i="25"/>
  <c r="E113" i="25"/>
  <c r="C112" i="25"/>
  <c r="E111" i="25"/>
  <c r="C110" i="25"/>
  <c r="D109" i="25"/>
  <c r="D118" i="25" s="1"/>
  <c r="E102" i="25"/>
  <c r="E94" i="25"/>
  <c r="E93" i="25"/>
  <c r="E90" i="25"/>
  <c r="E89" i="25"/>
  <c r="E86" i="25"/>
  <c r="E85" i="25"/>
  <c r="E82" i="25"/>
  <c r="E81" i="25"/>
  <c r="E78" i="25"/>
  <c r="E77" i="25"/>
  <c r="E74" i="25"/>
  <c r="E73" i="25"/>
  <c r="E70" i="25"/>
  <c r="E69"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E67" i="25"/>
  <c r="E72" i="25"/>
  <c r="E75" i="25"/>
  <c r="E80" i="25"/>
  <c r="E83" i="25"/>
  <c r="E88" i="25"/>
  <c r="E91" i="25"/>
  <c r="E99" i="25"/>
  <c r="E101" i="25"/>
  <c r="E104" i="25"/>
  <c r="E109" i="25"/>
  <c r="C111" i="25"/>
  <c r="E112" i="25"/>
  <c r="C115" i="25"/>
  <c r="C116" i="25"/>
  <c r="D70" i="23"/>
  <c r="D8" i="23"/>
  <c r="D74" i="23"/>
  <c r="D12" i="23"/>
  <c r="D78" i="23"/>
  <c r="D16" i="23"/>
  <c r="D82" i="23"/>
  <c r="D20" i="23"/>
  <c r="D86" i="23"/>
  <c r="D24" i="23"/>
  <c r="D90" i="23"/>
  <c r="D28" i="23"/>
  <c r="D94" i="23"/>
  <c r="D32" i="23"/>
  <c r="C116" i="38"/>
  <c r="E115" i="38"/>
  <c r="C115" i="38"/>
  <c r="E114" i="38"/>
  <c r="C113" i="38"/>
  <c r="E112" i="38"/>
  <c r="C111" i="38"/>
  <c r="F111" i="38" s="1"/>
  <c r="E110" i="38"/>
  <c r="E109" i="38"/>
  <c r="E103" i="38"/>
  <c r="E101" i="38"/>
  <c r="E99" i="38"/>
  <c r="E94" i="38"/>
  <c r="E92" i="38"/>
  <c r="E90" i="38"/>
  <c r="E88" i="38"/>
  <c r="E86" i="38"/>
  <c r="E84" i="38"/>
  <c r="E82" i="38"/>
  <c r="E80" i="38"/>
  <c r="E78" i="38"/>
  <c r="E76" i="38"/>
  <c r="E74" i="38"/>
  <c r="E72" i="38"/>
  <c r="E70" i="38"/>
  <c r="E68" i="38"/>
  <c r="D63" i="38"/>
  <c r="D62" i="38"/>
  <c r="D61" i="38"/>
  <c r="D60" i="38"/>
  <c r="D59" i="38"/>
  <c r="D58" i="38"/>
  <c r="D57" i="38"/>
  <c r="D56" i="38"/>
  <c r="D55" i="38"/>
  <c r="D54" i="38"/>
  <c r="D53" i="38"/>
  <c r="D52" i="38"/>
  <c r="D51" i="38"/>
  <c r="D50" i="38"/>
  <c r="D81" i="38" s="1"/>
  <c r="D49" i="38"/>
  <c r="D48" i="38"/>
  <c r="D79" i="38" s="1"/>
  <c r="D47" i="38"/>
  <c r="D46" i="38"/>
  <c r="D77" i="38" s="1"/>
  <c r="F77" i="38" s="1"/>
  <c r="D45" i="38"/>
  <c r="D44" i="38"/>
  <c r="D75" i="38" s="1"/>
  <c r="D43" i="38"/>
  <c r="D42" i="38"/>
  <c r="D73" i="38" s="1"/>
  <c r="F73" i="38" s="1"/>
  <c r="D41" i="38"/>
  <c r="D40" i="38"/>
  <c r="D71" i="38" s="1"/>
  <c r="D39" i="38"/>
  <c r="D38" i="38"/>
  <c r="D69" i="38" s="1"/>
  <c r="D37" i="38"/>
  <c r="D36" i="38"/>
  <c r="D67" i="38" s="1"/>
  <c r="E69" i="38"/>
  <c r="E81" i="38"/>
  <c r="E89" i="38"/>
  <c r="E93" i="38"/>
  <c r="E104" i="38"/>
  <c r="C110" i="38"/>
  <c r="F110" i="38" s="1"/>
  <c r="C114" i="38"/>
  <c r="D115" i="38"/>
  <c r="D7" i="35"/>
  <c r="D11" i="35"/>
  <c r="D15" i="35"/>
  <c r="D19" i="35"/>
  <c r="D23" i="35"/>
  <c r="D30" i="34"/>
  <c r="F37" i="57"/>
  <c r="F39" i="57"/>
  <c r="F40" i="57"/>
  <c r="F41" i="57"/>
  <c r="F43" i="57"/>
  <c r="F44" i="57"/>
  <c r="F45" i="57"/>
  <c r="F46" i="57"/>
  <c r="F47" i="57"/>
  <c r="F49" i="57"/>
  <c r="F51" i="57"/>
  <c r="F52" i="57"/>
  <c r="F53" i="57"/>
  <c r="F55" i="57"/>
  <c r="F56" i="57"/>
  <c r="F57" i="57"/>
  <c r="F58" i="57"/>
  <c r="F59" i="57"/>
  <c r="F60" i="57"/>
  <c r="F61" i="57"/>
  <c r="F62" i="57"/>
  <c r="F63" i="57"/>
  <c r="E68" i="57"/>
  <c r="E69" i="57"/>
  <c r="E72" i="57"/>
  <c r="E73" i="57"/>
  <c r="F73" i="57" s="1"/>
  <c r="E76" i="57"/>
  <c r="E77" i="57"/>
  <c r="E80" i="57"/>
  <c r="E81" i="57"/>
  <c r="F81" i="57" s="1"/>
  <c r="E84" i="57"/>
  <c r="E85" i="57"/>
  <c r="E88" i="57"/>
  <c r="E89" i="57"/>
  <c r="F89" i="57" s="1"/>
  <c r="E92" i="57"/>
  <c r="E93" i="57"/>
  <c r="E98" i="57"/>
  <c r="E99" i="57"/>
  <c r="E100" i="57"/>
  <c r="E101" i="57"/>
  <c r="E103" i="57"/>
  <c r="E104" i="57"/>
  <c r="E109" i="57"/>
  <c r="E110" i="57"/>
  <c r="F110" i="57" s="1"/>
  <c r="C111" i="57"/>
  <c r="F111" i="57" s="1"/>
  <c r="E112" i="57"/>
  <c r="F112" i="57" s="1"/>
  <c r="C113" i="57"/>
  <c r="F113" i="57" s="1"/>
  <c r="E114" i="57"/>
  <c r="F114" i="57" s="1"/>
  <c r="C115" i="57"/>
  <c r="E115" i="57"/>
  <c r="D36" i="55"/>
  <c r="D37" i="55"/>
  <c r="F37" i="55" s="1"/>
  <c r="D38" i="55"/>
  <c r="D39" i="55"/>
  <c r="D40" i="55"/>
  <c r="D41" i="55"/>
  <c r="D42" i="55"/>
  <c r="D43" i="55"/>
  <c r="D44" i="55"/>
  <c r="D45" i="55"/>
  <c r="D46" i="55"/>
  <c r="D47" i="55"/>
  <c r="D48" i="55"/>
  <c r="D49" i="55"/>
  <c r="D50" i="55"/>
  <c r="D51" i="55"/>
  <c r="D52" i="55"/>
  <c r="D53" i="55"/>
  <c r="D54" i="55"/>
  <c r="D55" i="55"/>
  <c r="D56" i="55"/>
  <c r="D57" i="55"/>
  <c r="D58" i="55"/>
  <c r="D59" i="55"/>
  <c r="D60" i="55"/>
  <c r="D61" i="55"/>
  <c r="D62" i="55"/>
  <c r="D63" i="55"/>
  <c r="E68" i="55"/>
  <c r="E70" i="55"/>
  <c r="E72" i="55"/>
  <c r="E74" i="55"/>
  <c r="E76" i="55"/>
  <c r="E78" i="55"/>
  <c r="E80" i="55"/>
  <c r="E82" i="55"/>
  <c r="E84" i="55"/>
  <c r="E86" i="55"/>
  <c r="E88" i="55"/>
  <c r="E90" i="55"/>
  <c r="E92" i="55"/>
  <c r="E94" i="55"/>
  <c r="E99" i="55"/>
  <c r="E101" i="55"/>
  <c r="E103" i="55"/>
  <c r="E109" i="55"/>
  <c r="E110" i="55"/>
  <c r="F110" i="55" s="1"/>
  <c r="C111" i="55"/>
  <c r="F111" i="55" s="1"/>
  <c r="E112" i="55"/>
  <c r="F112" i="55" s="1"/>
  <c r="C113" i="55"/>
  <c r="F113" i="55" s="1"/>
  <c r="E114" i="55"/>
  <c r="F114" i="55" s="1"/>
  <c r="C115" i="55"/>
  <c r="E115" i="55"/>
  <c r="F37" i="51"/>
  <c r="F39" i="51"/>
  <c r="F41" i="51"/>
  <c r="F43" i="51"/>
  <c r="F45" i="51"/>
  <c r="F47" i="51"/>
  <c r="F49" i="51"/>
  <c r="F51" i="51"/>
  <c r="F53" i="51"/>
  <c r="F57" i="51"/>
  <c r="F59" i="51"/>
  <c r="F61" i="51"/>
  <c r="F63" i="51"/>
  <c r="E67" i="51"/>
  <c r="E69" i="51"/>
  <c r="E71" i="51"/>
  <c r="F71" i="51" s="1"/>
  <c r="E73" i="51"/>
  <c r="F73" i="51" s="1"/>
  <c r="E75" i="51"/>
  <c r="F75" i="51" s="1"/>
  <c r="E77" i="51"/>
  <c r="F77" i="51" s="1"/>
  <c r="E79" i="51"/>
  <c r="E81" i="51"/>
  <c r="F81" i="51" s="1"/>
  <c r="E83" i="51"/>
  <c r="F83" i="51" s="1"/>
  <c r="E85" i="51"/>
  <c r="F85" i="51" s="1"/>
  <c r="E87" i="51"/>
  <c r="E89" i="51"/>
  <c r="F89" i="51" s="1"/>
  <c r="E91" i="51"/>
  <c r="F91" i="51" s="1"/>
  <c r="E93" i="51"/>
  <c r="F93" i="51" s="1"/>
  <c r="E98" i="51"/>
  <c r="E100" i="51"/>
  <c r="E102" i="51"/>
  <c r="E104" i="51"/>
  <c r="D109" i="51"/>
  <c r="C110" i="51"/>
  <c r="F110" i="51" s="1"/>
  <c r="E111" i="51"/>
  <c r="F111" i="51" s="1"/>
  <c r="C112" i="51"/>
  <c r="F112" i="51" s="1"/>
  <c r="E113" i="51"/>
  <c r="F113" i="51" s="1"/>
  <c r="C114" i="51"/>
  <c r="F114" i="51" s="1"/>
  <c r="D115" i="51"/>
  <c r="F115" i="51" s="1"/>
  <c r="D117" i="51"/>
  <c r="F117" i="51" s="1"/>
  <c r="D36" i="50"/>
  <c r="D37" i="50"/>
  <c r="D38" i="50"/>
  <c r="F38" i="50" s="1"/>
  <c r="D39" i="50"/>
  <c r="D40" i="50"/>
  <c r="F40" i="50" s="1"/>
  <c r="D41" i="50"/>
  <c r="D42" i="50"/>
  <c r="D43" i="50"/>
  <c r="D44" i="50"/>
  <c r="D45" i="50"/>
  <c r="D46" i="50"/>
  <c r="D47" i="50"/>
  <c r="D48" i="50"/>
  <c r="D49" i="50"/>
  <c r="D50" i="50"/>
  <c r="D51" i="50"/>
  <c r="D52" i="50"/>
  <c r="D53" i="50"/>
  <c r="D54" i="50"/>
  <c r="D55" i="50"/>
  <c r="D56" i="50"/>
  <c r="D57" i="50"/>
  <c r="D58" i="50"/>
  <c r="D59" i="50"/>
  <c r="D60" i="50"/>
  <c r="D61" i="50"/>
  <c r="D62" i="50"/>
  <c r="D63" i="50"/>
  <c r="E68" i="50"/>
  <c r="E70" i="50"/>
  <c r="E72" i="50"/>
  <c r="E74" i="50"/>
  <c r="E76" i="50"/>
  <c r="E78" i="50"/>
  <c r="E80" i="50"/>
  <c r="E82" i="50"/>
  <c r="E84" i="50"/>
  <c r="E86" i="50"/>
  <c r="E88" i="50"/>
  <c r="E90" i="50"/>
  <c r="E92" i="50"/>
  <c r="E94" i="50"/>
  <c r="E99" i="50"/>
  <c r="E101" i="50"/>
  <c r="E103" i="50"/>
  <c r="E109" i="50"/>
  <c r="E110" i="50"/>
  <c r="F110" i="50" s="1"/>
  <c r="C111" i="50"/>
  <c r="F111" i="50" s="1"/>
  <c r="E112" i="50"/>
  <c r="F112" i="50" s="1"/>
  <c r="C113" i="50"/>
  <c r="F113" i="50" s="1"/>
  <c r="E114" i="50"/>
  <c r="F114" i="50" s="1"/>
  <c r="C115" i="50"/>
  <c r="E115" i="50"/>
  <c r="D36" i="48"/>
  <c r="D37" i="48"/>
  <c r="D38" i="48"/>
  <c r="F38" i="48" s="1"/>
  <c r="D39" i="48"/>
  <c r="D40" i="48"/>
  <c r="F40" i="48" s="1"/>
  <c r="D41" i="48"/>
  <c r="D42" i="48"/>
  <c r="D43" i="48"/>
  <c r="D44" i="48"/>
  <c r="D45" i="48"/>
  <c r="D46" i="48"/>
  <c r="D47" i="48"/>
  <c r="D48" i="48"/>
  <c r="D49" i="48"/>
  <c r="D50" i="48"/>
  <c r="D51" i="48"/>
  <c r="D52" i="48"/>
  <c r="D53" i="48"/>
  <c r="D54" i="48"/>
  <c r="D55" i="48"/>
  <c r="D56" i="48"/>
  <c r="D57" i="48"/>
  <c r="D58" i="48"/>
  <c r="D59" i="48"/>
  <c r="D60" i="48"/>
  <c r="D61" i="48"/>
  <c r="D62" i="48"/>
  <c r="D63" i="48"/>
  <c r="E68" i="48"/>
  <c r="E70" i="48"/>
  <c r="E72" i="48"/>
  <c r="E74" i="48"/>
  <c r="E76" i="48"/>
  <c r="E78" i="48"/>
  <c r="E80" i="48"/>
  <c r="E82" i="48"/>
  <c r="E84" i="48"/>
  <c r="E86" i="48"/>
  <c r="E88" i="48"/>
  <c r="E90" i="48"/>
  <c r="E92" i="48"/>
  <c r="E94" i="48"/>
  <c r="E99" i="48"/>
  <c r="E101" i="48"/>
  <c r="E103" i="48"/>
  <c r="E109" i="48"/>
  <c r="E110" i="48"/>
  <c r="F110" i="48" s="1"/>
  <c r="C111" i="48"/>
  <c r="F111" i="48" s="1"/>
  <c r="E112" i="48"/>
  <c r="F112" i="48" s="1"/>
  <c r="C113" i="48"/>
  <c r="F113" i="48" s="1"/>
  <c r="E114" i="48"/>
  <c r="F114" i="48" s="1"/>
  <c r="C115" i="48"/>
  <c r="E115" i="48"/>
  <c r="D36" i="46"/>
  <c r="D37" i="46"/>
  <c r="D38" i="46"/>
  <c r="F38" i="46" s="1"/>
  <c r="D39" i="46"/>
  <c r="D40" i="46"/>
  <c r="F40" i="46" s="1"/>
  <c r="D41" i="46"/>
  <c r="D42" i="46"/>
  <c r="D43" i="46"/>
  <c r="D44" i="46"/>
  <c r="D45" i="46"/>
  <c r="D46" i="46"/>
  <c r="D47" i="46"/>
  <c r="D48" i="46"/>
  <c r="D49" i="46"/>
  <c r="D50" i="46"/>
  <c r="D51" i="46"/>
  <c r="D52" i="46"/>
  <c r="D53" i="46"/>
  <c r="D54" i="46"/>
  <c r="D55" i="46"/>
  <c r="D56" i="46"/>
  <c r="D57" i="46"/>
  <c r="D58" i="46"/>
  <c r="D59" i="46"/>
  <c r="D60" i="46"/>
  <c r="D61" i="46"/>
  <c r="D62" i="46"/>
  <c r="D63" i="46"/>
  <c r="E68" i="46"/>
  <c r="E70" i="46"/>
  <c r="E72" i="46"/>
  <c r="E74" i="46"/>
  <c r="E76" i="46"/>
  <c r="E78" i="46"/>
  <c r="E80" i="46"/>
  <c r="E82" i="46"/>
  <c r="E84" i="46"/>
  <c r="E86" i="46"/>
  <c r="E88" i="46"/>
  <c r="E90" i="46"/>
  <c r="E92" i="46"/>
  <c r="E94" i="46"/>
  <c r="E99" i="46"/>
  <c r="E101" i="46"/>
  <c r="E103" i="46"/>
  <c r="E109" i="46"/>
  <c r="E110" i="46"/>
  <c r="F110" i="46" s="1"/>
  <c r="C111" i="46"/>
  <c r="F111" i="46" s="1"/>
  <c r="E112" i="46"/>
  <c r="F112" i="46" s="1"/>
  <c r="C113" i="46"/>
  <c r="F113" i="46" s="1"/>
  <c r="E114" i="46"/>
  <c r="F114" i="46" s="1"/>
  <c r="C115" i="46"/>
  <c r="E115" i="46"/>
  <c r="E67" i="38"/>
  <c r="E71" i="38"/>
  <c r="E75" i="38"/>
  <c r="E79" i="38"/>
  <c r="E83" i="38"/>
  <c r="E87" i="38"/>
  <c r="E91" i="38"/>
  <c r="E98" i="38"/>
  <c r="E102" i="38"/>
  <c r="D109" i="38"/>
  <c r="D118" i="38" s="1"/>
  <c r="C112" i="38"/>
  <c r="F112" i="38" s="1"/>
  <c r="E113" i="38"/>
  <c r="D117" i="38"/>
  <c r="F117" i="38" s="1"/>
  <c r="E120" i="38"/>
  <c r="F120" i="38" s="1"/>
  <c r="E69" i="37"/>
  <c r="E73" i="37"/>
  <c r="E77" i="37"/>
  <c r="E81" i="37"/>
  <c r="E85" i="37"/>
  <c r="E89" i="37"/>
  <c r="E93" i="37"/>
  <c r="E100" i="37"/>
  <c r="E104" i="37"/>
  <c r="C110" i="37"/>
  <c r="F110" i="37" s="1"/>
  <c r="E111" i="37"/>
  <c r="C114" i="37"/>
  <c r="F114" i="37" s="1"/>
  <c r="D115" i="37"/>
  <c r="E120" i="36"/>
  <c r="F120" i="36" s="1"/>
  <c r="D117" i="36"/>
  <c r="F117" i="36" s="1"/>
  <c r="D115" i="36"/>
  <c r="C114" i="36"/>
  <c r="F114" i="36" s="1"/>
  <c r="E113" i="36"/>
  <c r="F113" i="36" s="1"/>
  <c r="C112" i="36"/>
  <c r="E111" i="36"/>
  <c r="C110" i="36"/>
  <c r="F110" i="36" s="1"/>
  <c r="D109" i="36"/>
  <c r="D118" i="36" s="1"/>
  <c r="E102" i="36"/>
  <c r="E94" i="36"/>
  <c r="E93" i="36"/>
  <c r="E90" i="36"/>
  <c r="E89" i="36"/>
  <c r="E86" i="36"/>
  <c r="E85" i="36"/>
  <c r="E82" i="36"/>
  <c r="E81" i="36"/>
  <c r="E78" i="36"/>
  <c r="E77" i="36"/>
  <c r="E74" i="36"/>
  <c r="E73" i="36"/>
  <c r="E70" i="36"/>
  <c r="E69" i="36"/>
  <c r="D63" i="36"/>
  <c r="D62" i="36"/>
  <c r="D93" i="36" s="1"/>
  <c r="F93" i="36" s="1"/>
  <c r="D61" i="36"/>
  <c r="D60" i="36"/>
  <c r="D91" i="36" s="1"/>
  <c r="D59" i="36"/>
  <c r="D58" i="36"/>
  <c r="D89" i="36" s="1"/>
  <c r="F89" i="36" s="1"/>
  <c r="D57" i="36"/>
  <c r="D56" i="36"/>
  <c r="D87" i="36" s="1"/>
  <c r="F87" i="36" s="1"/>
  <c r="D55" i="36"/>
  <c r="D54" i="36"/>
  <c r="D85" i="36" s="1"/>
  <c r="F85" i="36" s="1"/>
  <c r="D53" i="36"/>
  <c r="D52" i="36"/>
  <c r="D83" i="36" s="1"/>
  <c r="D51" i="36"/>
  <c r="D50" i="36"/>
  <c r="D81" i="36" s="1"/>
  <c r="F81" i="36" s="1"/>
  <c r="D49" i="36"/>
  <c r="D48" i="36"/>
  <c r="D79" i="36" s="1"/>
  <c r="F79" i="36" s="1"/>
  <c r="D47" i="36"/>
  <c r="D46" i="36"/>
  <c r="D77" i="36" s="1"/>
  <c r="F77" i="36" s="1"/>
  <c r="D45" i="36"/>
  <c r="D44" i="36"/>
  <c r="D75" i="36" s="1"/>
  <c r="D43" i="36"/>
  <c r="D42" i="36"/>
  <c r="D73" i="36" s="1"/>
  <c r="F73" i="36" s="1"/>
  <c r="D41" i="36"/>
  <c r="D40" i="36"/>
  <c r="D71" i="36" s="1"/>
  <c r="F71" i="36" s="1"/>
  <c r="D39" i="36"/>
  <c r="D38" i="36"/>
  <c r="D69" i="36" s="1"/>
  <c r="F69" i="36" s="1"/>
  <c r="D37" i="36"/>
  <c r="D36" i="36"/>
  <c r="D67" i="36" s="1"/>
  <c r="E67" i="36"/>
  <c r="E72" i="36"/>
  <c r="E75" i="36"/>
  <c r="E80" i="36"/>
  <c r="E83" i="36"/>
  <c r="E88" i="36"/>
  <c r="E91" i="36"/>
  <c r="E99" i="36"/>
  <c r="E101" i="36"/>
  <c r="E104" i="36"/>
  <c r="E109" i="36"/>
  <c r="C111" i="36"/>
  <c r="E112" i="36"/>
  <c r="C115" i="36"/>
  <c r="C116" i="36"/>
  <c r="D5" i="35"/>
  <c r="D13" i="35"/>
  <c r="D21" i="35"/>
  <c r="D27" i="35"/>
  <c r="D31" i="35"/>
  <c r="F70" i="35"/>
  <c r="F78" i="35"/>
  <c r="F82" i="35"/>
  <c r="F86" i="35"/>
  <c r="D88" i="35"/>
  <c r="F88" i="35" s="1"/>
  <c r="D26" i="35"/>
  <c r="D90" i="35"/>
  <c r="F90" i="35" s="1"/>
  <c r="D28" i="35"/>
  <c r="D92" i="35"/>
  <c r="F92" i="35" s="1"/>
  <c r="D30" i="35"/>
  <c r="D94" i="35"/>
  <c r="F94" i="35" s="1"/>
  <c r="D32" i="35"/>
  <c r="D6" i="34"/>
  <c r="D14" i="34"/>
  <c r="D22" i="34"/>
  <c r="D64" i="33"/>
  <c r="D7" i="33"/>
  <c r="D11" i="33"/>
  <c r="D15" i="33"/>
  <c r="D19" i="33"/>
  <c r="D23" i="33"/>
  <c r="D27" i="33"/>
  <c r="D31" i="33"/>
  <c r="C116" i="32"/>
  <c r="E115" i="32"/>
  <c r="C115" i="32"/>
  <c r="E114" i="32"/>
  <c r="C113" i="32"/>
  <c r="F113" i="32" s="1"/>
  <c r="E112" i="32"/>
  <c r="F112" i="32" s="1"/>
  <c r="C111" i="32"/>
  <c r="E110" i="32"/>
  <c r="E109" i="32"/>
  <c r="E103" i="32"/>
  <c r="E101" i="32"/>
  <c r="E99" i="32"/>
  <c r="E94" i="32"/>
  <c r="E93" i="32"/>
  <c r="E90" i="32"/>
  <c r="E89" i="32"/>
  <c r="E86" i="32"/>
  <c r="E85" i="32"/>
  <c r="E82" i="32"/>
  <c r="E81" i="32"/>
  <c r="E78" i="32"/>
  <c r="E77" i="32"/>
  <c r="E74" i="32"/>
  <c r="E73" i="32"/>
  <c r="E70" i="32"/>
  <c r="E69" i="32"/>
  <c r="D63" i="32"/>
  <c r="D62" i="32"/>
  <c r="D93" i="32" s="1"/>
  <c r="F93" i="32" s="1"/>
  <c r="D61" i="32"/>
  <c r="D60" i="32"/>
  <c r="D91" i="32" s="1"/>
  <c r="D59" i="32"/>
  <c r="D58" i="32"/>
  <c r="D89" i="32" s="1"/>
  <c r="F89" i="32" s="1"/>
  <c r="D57" i="32"/>
  <c r="D56" i="32"/>
  <c r="D87" i="32" s="1"/>
  <c r="F87" i="32" s="1"/>
  <c r="D55" i="32"/>
  <c r="D54" i="32"/>
  <c r="D85" i="32" s="1"/>
  <c r="F85" i="32" s="1"/>
  <c r="D53" i="32"/>
  <c r="D52" i="32"/>
  <c r="D83" i="32" s="1"/>
  <c r="D51" i="32"/>
  <c r="D50" i="32"/>
  <c r="D81" i="32" s="1"/>
  <c r="F81" i="32" s="1"/>
  <c r="D49" i="32"/>
  <c r="D48" i="32"/>
  <c r="D79" i="32" s="1"/>
  <c r="F79" i="32" s="1"/>
  <c r="D47" i="32"/>
  <c r="D46" i="32"/>
  <c r="D77" i="32" s="1"/>
  <c r="F77" i="32" s="1"/>
  <c r="D45" i="32"/>
  <c r="D44" i="32"/>
  <c r="D75" i="32" s="1"/>
  <c r="D43" i="32"/>
  <c r="D42" i="32"/>
  <c r="D73" i="32" s="1"/>
  <c r="F73" i="32" s="1"/>
  <c r="D41" i="32"/>
  <c r="D40" i="32"/>
  <c r="D71" i="32" s="1"/>
  <c r="F71" i="32" s="1"/>
  <c r="D39" i="32"/>
  <c r="D38" i="32"/>
  <c r="D69" i="32" s="1"/>
  <c r="F69" i="32" s="1"/>
  <c r="D37" i="32"/>
  <c r="D36" i="32"/>
  <c r="D67" i="32" s="1"/>
  <c r="E67" i="32"/>
  <c r="E72" i="32"/>
  <c r="E75" i="32"/>
  <c r="E80" i="32"/>
  <c r="E83" i="32"/>
  <c r="E88" i="32"/>
  <c r="E91" i="32"/>
  <c r="E100" i="32"/>
  <c r="E104" i="32"/>
  <c r="C110" i="32"/>
  <c r="F110" i="32" s="1"/>
  <c r="E111" i="32"/>
  <c r="C114" i="32"/>
  <c r="F114" i="32" s="1"/>
  <c r="D115" i="32"/>
  <c r="D118" i="32" s="1"/>
  <c r="C116" i="31"/>
  <c r="E115" i="31"/>
  <c r="C115" i="31"/>
  <c r="E114" i="31"/>
  <c r="C113" i="31"/>
  <c r="F113" i="31" s="1"/>
  <c r="E112" i="31"/>
  <c r="F112" i="31" s="1"/>
  <c r="C111" i="31"/>
  <c r="E110" i="31"/>
  <c r="E109" i="31"/>
  <c r="E103" i="31"/>
  <c r="E101" i="31"/>
  <c r="E99" i="31"/>
  <c r="E94" i="31"/>
  <c r="E91" i="31"/>
  <c r="E90" i="31"/>
  <c r="E87" i="31"/>
  <c r="E86" i="31"/>
  <c r="E83" i="31"/>
  <c r="E82" i="31"/>
  <c r="E79" i="31"/>
  <c r="E78" i="31"/>
  <c r="E75" i="31"/>
  <c r="E74" i="31"/>
  <c r="E71" i="31"/>
  <c r="E70" i="31"/>
  <c r="E67" i="31"/>
  <c r="D63" i="31"/>
  <c r="D94" i="31" s="1"/>
  <c r="F94" i="31" s="1"/>
  <c r="D62" i="31"/>
  <c r="D61" i="31"/>
  <c r="D92" i="31" s="1"/>
  <c r="F92" i="31" s="1"/>
  <c r="D60" i="31"/>
  <c r="D59" i="31"/>
  <c r="D90" i="31" s="1"/>
  <c r="F90" i="31" s="1"/>
  <c r="D58" i="31"/>
  <c r="D57" i="31"/>
  <c r="D88" i="31" s="1"/>
  <c r="D56" i="31"/>
  <c r="D55" i="31"/>
  <c r="D86" i="31" s="1"/>
  <c r="F86" i="31" s="1"/>
  <c r="D54" i="31"/>
  <c r="D53" i="31"/>
  <c r="D84" i="31" s="1"/>
  <c r="F84" i="31" s="1"/>
  <c r="D52" i="31"/>
  <c r="D51" i="31"/>
  <c r="D82" i="31" s="1"/>
  <c r="F82" i="31" s="1"/>
  <c r="D50" i="31"/>
  <c r="D49" i="31"/>
  <c r="D80" i="31" s="1"/>
  <c r="D48" i="31"/>
  <c r="D47" i="31"/>
  <c r="D78" i="31" s="1"/>
  <c r="F78" i="31" s="1"/>
  <c r="D46" i="31"/>
  <c r="D45" i="31"/>
  <c r="D76" i="31" s="1"/>
  <c r="F76" i="31" s="1"/>
  <c r="D44" i="31"/>
  <c r="D43" i="31"/>
  <c r="D74" i="31" s="1"/>
  <c r="F74" i="31" s="1"/>
  <c r="D42" i="31"/>
  <c r="D41" i="31"/>
  <c r="D72" i="31" s="1"/>
  <c r="D40" i="31"/>
  <c r="D39" i="31"/>
  <c r="D70" i="31" s="1"/>
  <c r="F70" i="31" s="1"/>
  <c r="D38" i="31"/>
  <c r="D37" i="31"/>
  <c r="D68" i="31" s="1"/>
  <c r="F68" i="31" s="1"/>
  <c r="D36" i="31"/>
  <c r="E69" i="31"/>
  <c r="E72" i="31"/>
  <c r="E77" i="31"/>
  <c r="E80" i="31"/>
  <c r="E85" i="31"/>
  <c r="E88" i="31"/>
  <c r="E93" i="31"/>
  <c r="E100" i="31"/>
  <c r="E104" i="31"/>
  <c r="C110" i="31"/>
  <c r="F110" i="31" s="1"/>
  <c r="E111" i="31"/>
  <c r="C114" i="31"/>
  <c r="F114" i="31" s="1"/>
  <c r="D115" i="31"/>
  <c r="D118" i="31" s="1"/>
  <c r="C116" i="30"/>
  <c r="E115" i="30"/>
  <c r="C115" i="30"/>
  <c r="E114" i="30"/>
  <c r="F114" i="30" s="1"/>
  <c r="C113" i="30"/>
  <c r="E112" i="30"/>
  <c r="C111" i="30"/>
  <c r="F111" i="30" s="1"/>
  <c r="E110" i="30"/>
  <c r="F110" i="30" s="1"/>
  <c r="E109" i="30"/>
  <c r="E103" i="30"/>
  <c r="E101" i="30"/>
  <c r="E99" i="30"/>
  <c r="E94" i="30"/>
  <c r="E91" i="30"/>
  <c r="E90" i="30"/>
  <c r="E87" i="30"/>
  <c r="E86" i="30"/>
  <c r="E83" i="30"/>
  <c r="E82" i="30"/>
  <c r="E79" i="30"/>
  <c r="E78" i="30"/>
  <c r="E75" i="30"/>
  <c r="E74" i="30"/>
  <c r="E71" i="30"/>
  <c r="E70" i="30"/>
  <c r="E68"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69" i="30" s="1"/>
  <c r="F69" i="30" s="1"/>
  <c r="D37" i="30"/>
  <c r="D36" i="30"/>
  <c r="E67" i="30"/>
  <c r="E73" i="30"/>
  <c r="E76" i="30"/>
  <c r="E81" i="30"/>
  <c r="E84" i="30"/>
  <c r="E89" i="30"/>
  <c r="E92" i="30"/>
  <c r="E98" i="30"/>
  <c r="E102" i="30"/>
  <c r="D109" i="30"/>
  <c r="D118" i="30" s="1"/>
  <c r="C112" i="30"/>
  <c r="E113" i="30"/>
  <c r="D117" i="30"/>
  <c r="F117" i="30" s="1"/>
  <c r="E120" i="30"/>
  <c r="F120" i="30" s="1"/>
  <c r="E68" i="29"/>
  <c r="E71" i="29"/>
  <c r="E76" i="29"/>
  <c r="E79" i="29"/>
  <c r="E84" i="29"/>
  <c r="E87" i="29"/>
  <c r="E92" i="29"/>
  <c r="E98" i="29"/>
  <c r="E102" i="29"/>
  <c r="D109" i="29"/>
  <c r="D118" i="29" s="1"/>
  <c r="C112" i="29"/>
  <c r="F112" i="29" s="1"/>
  <c r="E113" i="29"/>
  <c r="D117" i="29"/>
  <c r="F117" i="29" s="1"/>
  <c r="E120" i="29"/>
  <c r="F120" i="29" s="1"/>
  <c r="E68" i="28"/>
  <c r="E73" i="28"/>
  <c r="E76" i="28"/>
  <c r="E81" i="28"/>
  <c r="E84" i="28"/>
  <c r="E89" i="28"/>
  <c r="E92" i="28"/>
  <c r="E98" i="28"/>
  <c r="E102" i="28"/>
  <c r="D109" i="28"/>
  <c r="D118" i="28" s="1"/>
  <c r="C112" i="28"/>
  <c r="F112" i="28" s="1"/>
  <c r="E113" i="28"/>
  <c r="D117" i="28"/>
  <c r="F117" i="28" s="1"/>
  <c r="E120" i="28"/>
  <c r="F120" i="28" s="1"/>
  <c r="E67" i="27"/>
  <c r="E71" i="27"/>
  <c r="E75" i="27"/>
  <c r="E79" i="27"/>
  <c r="E83" i="27"/>
  <c r="E87" i="27"/>
  <c r="E91" i="27"/>
  <c r="E98" i="27"/>
  <c r="E102" i="27"/>
  <c r="D109" i="27"/>
  <c r="D118" i="27" s="1"/>
  <c r="C112" i="27"/>
  <c r="F112" i="27" s="1"/>
  <c r="E113" i="27"/>
  <c r="D117" i="27"/>
  <c r="F117" i="27" s="1"/>
  <c r="E120" i="27"/>
  <c r="F120" i="27" s="1"/>
  <c r="E67" i="26"/>
  <c r="E71" i="26"/>
  <c r="E75" i="26"/>
  <c r="E79" i="26"/>
  <c r="E83" i="26"/>
  <c r="E87" i="26"/>
  <c r="E91" i="26"/>
  <c r="E98" i="26"/>
  <c r="E102" i="26"/>
  <c r="D109" i="26"/>
  <c r="D118" i="26" s="1"/>
  <c r="C112" i="26"/>
  <c r="F112" i="26" s="1"/>
  <c r="E113" i="26"/>
  <c r="D117" i="26"/>
  <c r="F117" i="26" s="1"/>
  <c r="E120" i="26"/>
  <c r="F120" i="26" s="1"/>
  <c r="E68" i="25"/>
  <c r="E71" i="25"/>
  <c r="E76" i="25"/>
  <c r="E79" i="25"/>
  <c r="E84" i="25"/>
  <c r="E87" i="25"/>
  <c r="E92" i="25"/>
  <c r="E98" i="25"/>
  <c r="E100" i="25"/>
  <c r="E103" i="25"/>
  <c r="E110" i="25"/>
  <c r="C113" i="25"/>
  <c r="F113" i="25" s="1"/>
  <c r="E114" i="25"/>
  <c r="E115" i="25"/>
  <c r="D68" i="23"/>
  <c r="F68" i="23" s="1"/>
  <c r="D6" i="23"/>
  <c r="D72" i="23"/>
  <c r="F72" i="23" s="1"/>
  <c r="D10" i="23"/>
  <c r="D76" i="23"/>
  <c r="F76" i="23" s="1"/>
  <c r="D14" i="23"/>
  <c r="D80" i="23"/>
  <c r="F80" i="23" s="1"/>
  <c r="D18" i="23"/>
  <c r="D84" i="23"/>
  <c r="F84" i="23" s="1"/>
  <c r="D22" i="23"/>
  <c r="D88" i="23"/>
  <c r="F88" i="23" s="1"/>
  <c r="D26" i="23"/>
  <c r="D92" i="23"/>
  <c r="F92" i="23" s="1"/>
  <c r="D30" i="23"/>
  <c r="D6" i="21"/>
  <c r="D8" i="21"/>
  <c r="D10" i="21"/>
  <c r="D12" i="21"/>
  <c r="D14" i="21"/>
  <c r="D16" i="21"/>
  <c r="D18" i="21"/>
  <c r="D20" i="21"/>
  <c r="D22" i="21"/>
  <c r="D24" i="21"/>
  <c r="D26" i="21"/>
  <c r="D28" i="21"/>
  <c r="D30" i="21"/>
  <c r="D32" i="21"/>
  <c r="E120" i="19"/>
  <c r="F120" i="19" s="1"/>
  <c r="D117" i="19"/>
  <c r="F117" i="19" s="1"/>
  <c r="D115" i="19"/>
  <c r="C114" i="19"/>
  <c r="E113" i="19"/>
  <c r="C112" i="19"/>
  <c r="E111" i="19"/>
  <c r="C110" i="19"/>
  <c r="D109" i="19"/>
  <c r="D118" i="19" s="1"/>
  <c r="E104" i="19"/>
  <c r="E103" i="19"/>
  <c r="E101" i="19"/>
  <c r="E99" i="19"/>
  <c r="E94" i="19"/>
  <c r="E92" i="19"/>
  <c r="E90" i="19"/>
  <c r="E88" i="19"/>
  <c r="E86" i="19"/>
  <c r="E84" i="19"/>
  <c r="E82" i="19"/>
  <c r="E80" i="19"/>
  <c r="E78" i="19"/>
  <c r="E76" i="19"/>
  <c r="E74" i="19"/>
  <c r="E72" i="19"/>
  <c r="E70" i="19"/>
  <c r="E68"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E67" i="19"/>
  <c r="E71" i="19"/>
  <c r="E75" i="19"/>
  <c r="E79" i="19"/>
  <c r="E83" i="19"/>
  <c r="E87" i="19"/>
  <c r="E91" i="19"/>
  <c r="E98" i="19"/>
  <c r="E102" i="19"/>
  <c r="E110" i="19"/>
  <c r="C113" i="19"/>
  <c r="E114" i="19"/>
  <c r="E115" i="19"/>
  <c r="E120" i="16"/>
  <c r="F120" i="16" s="1"/>
  <c r="D117" i="16"/>
  <c r="F117" i="16" s="1"/>
  <c r="D115" i="16"/>
  <c r="C114" i="16"/>
  <c r="E113" i="16"/>
  <c r="C112" i="16"/>
  <c r="E111" i="16"/>
  <c r="C110" i="16"/>
  <c r="D109" i="16"/>
  <c r="D118" i="16" s="1"/>
  <c r="E102" i="16"/>
  <c r="E94" i="16"/>
  <c r="E93" i="16"/>
  <c r="E90" i="16"/>
  <c r="E89" i="16"/>
  <c r="E86" i="16"/>
  <c r="E85" i="16"/>
  <c r="E82" i="16"/>
  <c r="E81" i="16"/>
  <c r="E78" i="16"/>
  <c r="E77" i="16"/>
  <c r="E74" i="16"/>
  <c r="E73" i="16"/>
  <c r="E70" i="16"/>
  <c r="E69"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E67" i="16"/>
  <c r="E72" i="16"/>
  <c r="E75" i="16"/>
  <c r="E80" i="16"/>
  <c r="E83" i="16"/>
  <c r="E88" i="16"/>
  <c r="E91" i="16"/>
  <c r="E99" i="16"/>
  <c r="E101" i="16"/>
  <c r="E104" i="16"/>
  <c r="E109" i="16"/>
  <c r="C111" i="16"/>
  <c r="E112" i="16"/>
  <c r="C115" i="16"/>
  <c r="C116" i="16"/>
  <c r="D10" i="15"/>
  <c r="D12" i="15"/>
  <c r="D14" i="15"/>
  <c r="D16" i="15"/>
  <c r="D18" i="15"/>
  <c r="D20" i="15"/>
  <c r="D22" i="15"/>
  <c r="D24" i="15"/>
  <c r="D26" i="15"/>
  <c r="D28" i="15"/>
  <c r="D30" i="15"/>
  <c r="D32" i="15"/>
  <c r="F38" i="35"/>
  <c r="F40" i="35"/>
  <c r="F42" i="35"/>
  <c r="F44" i="35"/>
  <c r="F46" i="35"/>
  <c r="F48" i="35"/>
  <c r="F52" i="35"/>
  <c r="F54" i="35"/>
  <c r="F56" i="35"/>
  <c r="F58" i="35"/>
  <c r="F60" i="35"/>
  <c r="F62" i="35"/>
  <c r="E67" i="35"/>
  <c r="E69" i="35"/>
  <c r="E71" i="35"/>
  <c r="E73" i="35"/>
  <c r="E75" i="35"/>
  <c r="E77" i="35"/>
  <c r="E79" i="35"/>
  <c r="E81" i="35"/>
  <c r="E83" i="35"/>
  <c r="E85" i="35"/>
  <c r="E87" i="35"/>
  <c r="E89" i="35"/>
  <c r="E91" i="35"/>
  <c r="E93" i="35"/>
  <c r="E98" i="35"/>
  <c r="E100" i="35"/>
  <c r="E102" i="35"/>
  <c r="E104" i="35"/>
  <c r="D109" i="35"/>
  <c r="C110" i="35"/>
  <c r="F110" i="35" s="1"/>
  <c r="E111" i="35"/>
  <c r="F111" i="35" s="1"/>
  <c r="C112" i="35"/>
  <c r="F112" i="35" s="1"/>
  <c r="E113" i="35"/>
  <c r="F113" i="35" s="1"/>
  <c r="C114" i="35"/>
  <c r="F114" i="35" s="1"/>
  <c r="D115" i="35"/>
  <c r="F115" i="35" s="1"/>
  <c r="D117" i="35"/>
  <c r="F117" i="35" s="1"/>
  <c r="F37" i="34"/>
  <c r="F39" i="34"/>
  <c r="F41" i="34"/>
  <c r="F43" i="34"/>
  <c r="F45" i="34"/>
  <c r="F47" i="34"/>
  <c r="F49" i="34"/>
  <c r="F51" i="34"/>
  <c r="F53" i="34"/>
  <c r="F57" i="34"/>
  <c r="F59" i="34"/>
  <c r="F61" i="34"/>
  <c r="F63" i="34"/>
  <c r="E67" i="34"/>
  <c r="E69" i="34"/>
  <c r="F69" i="34" s="1"/>
  <c r="E71" i="34"/>
  <c r="F71" i="34" s="1"/>
  <c r="E73" i="34"/>
  <c r="F73" i="34" s="1"/>
  <c r="E75" i="34"/>
  <c r="F75" i="34" s="1"/>
  <c r="E77" i="34"/>
  <c r="F77" i="34" s="1"/>
  <c r="E79" i="34"/>
  <c r="F79" i="34" s="1"/>
  <c r="E81" i="34"/>
  <c r="F81" i="34" s="1"/>
  <c r="E83" i="34"/>
  <c r="F83" i="34" s="1"/>
  <c r="E85" i="34"/>
  <c r="F85" i="34" s="1"/>
  <c r="E87" i="34"/>
  <c r="E89" i="34"/>
  <c r="F89" i="34" s="1"/>
  <c r="E91" i="34"/>
  <c r="E93" i="34"/>
  <c r="E98" i="34"/>
  <c r="E100" i="34"/>
  <c r="E102" i="34"/>
  <c r="E104" i="34"/>
  <c r="D109" i="34"/>
  <c r="C110" i="34"/>
  <c r="F110" i="34" s="1"/>
  <c r="E111" i="34"/>
  <c r="F111" i="34" s="1"/>
  <c r="C112" i="34"/>
  <c r="F112" i="34" s="1"/>
  <c r="E113" i="34"/>
  <c r="F113" i="34" s="1"/>
  <c r="C114" i="34"/>
  <c r="F114" i="34" s="1"/>
  <c r="D115" i="34"/>
  <c r="F115" i="34" s="1"/>
  <c r="D117" i="34"/>
  <c r="F117" i="34" s="1"/>
  <c r="F38" i="33"/>
  <c r="F40" i="33"/>
  <c r="F42" i="33"/>
  <c r="F44" i="33"/>
  <c r="F46" i="33"/>
  <c r="F50" i="33"/>
  <c r="F52" i="33"/>
  <c r="F54" i="33"/>
  <c r="F56" i="33"/>
  <c r="F58" i="33"/>
  <c r="F60" i="33"/>
  <c r="F62" i="33"/>
  <c r="E67" i="33"/>
  <c r="E69" i="33"/>
  <c r="E71" i="33"/>
  <c r="E73" i="33"/>
  <c r="E75" i="33"/>
  <c r="E77" i="33"/>
  <c r="E79" i="33"/>
  <c r="E81" i="33"/>
  <c r="E83" i="33"/>
  <c r="E85" i="33"/>
  <c r="E87" i="33"/>
  <c r="E89" i="33"/>
  <c r="E91" i="33"/>
  <c r="E93" i="33"/>
  <c r="E98" i="33"/>
  <c r="E100" i="33"/>
  <c r="E102" i="33"/>
  <c r="E109" i="33"/>
  <c r="E110" i="33"/>
  <c r="F110" i="33" s="1"/>
  <c r="C111" i="33"/>
  <c r="F111" i="33" s="1"/>
  <c r="E112" i="33"/>
  <c r="F112" i="33" s="1"/>
  <c r="C113" i="33"/>
  <c r="F113" i="33" s="1"/>
  <c r="E114" i="33"/>
  <c r="F114" i="33" s="1"/>
  <c r="C115" i="33"/>
  <c r="E115" i="33"/>
  <c r="C116" i="24"/>
  <c r="E115" i="24"/>
  <c r="C115" i="24"/>
  <c r="E114" i="24"/>
  <c r="C113" i="24"/>
  <c r="F113" i="24" s="1"/>
  <c r="E112" i="24"/>
  <c r="F112" i="24" s="1"/>
  <c r="C111" i="24"/>
  <c r="E110" i="24"/>
  <c r="E109" i="24"/>
  <c r="E103" i="24"/>
  <c r="E101" i="24"/>
  <c r="E99" i="24"/>
  <c r="E94" i="24"/>
  <c r="E92" i="24"/>
  <c r="E90" i="24"/>
  <c r="E88" i="24"/>
  <c r="E86" i="24"/>
  <c r="E84" i="24"/>
  <c r="E82" i="24"/>
  <c r="E80" i="24"/>
  <c r="E78" i="24"/>
  <c r="E76" i="24"/>
  <c r="E74" i="24"/>
  <c r="E72" i="24"/>
  <c r="E70" i="24"/>
  <c r="E68" i="24"/>
  <c r="D63" i="24"/>
  <c r="D62" i="24"/>
  <c r="D61" i="24"/>
  <c r="D60" i="24"/>
  <c r="D59" i="24"/>
  <c r="D58" i="24"/>
  <c r="D57" i="24"/>
  <c r="D56" i="24"/>
  <c r="D55" i="24"/>
  <c r="D54" i="24"/>
  <c r="D53" i="24"/>
  <c r="D52" i="24"/>
  <c r="D51" i="24"/>
  <c r="D50" i="24"/>
  <c r="D49" i="24"/>
  <c r="D48" i="24"/>
  <c r="D47" i="24"/>
  <c r="D46" i="24"/>
  <c r="D45" i="24"/>
  <c r="D44" i="24"/>
  <c r="D43" i="24"/>
  <c r="D42" i="24"/>
  <c r="D41" i="24"/>
  <c r="D36" i="24"/>
  <c r="D37" i="24"/>
  <c r="F37" i="24" s="1"/>
  <c r="D38" i="24"/>
  <c r="D39" i="24"/>
  <c r="D40" i="24"/>
  <c r="E69" i="24"/>
  <c r="E73" i="24"/>
  <c r="E77" i="24"/>
  <c r="E81" i="24"/>
  <c r="E85" i="24"/>
  <c r="E89" i="24"/>
  <c r="E93" i="24"/>
  <c r="E100" i="24"/>
  <c r="E104" i="24"/>
  <c r="C110" i="24"/>
  <c r="F110" i="24" s="1"/>
  <c r="E111" i="24"/>
  <c r="C114" i="24"/>
  <c r="F114" i="24" s="1"/>
  <c r="D115" i="24"/>
  <c r="D118" i="24" s="1"/>
  <c r="E120" i="23"/>
  <c r="F120" i="23" s="1"/>
  <c r="D117" i="23"/>
  <c r="F117" i="23" s="1"/>
  <c r="D115" i="23"/>
  <c r="C114" i="23"/>
  <c r="E113" i="23"/>
  <c r="C112" i="23"/>
  <c r="F112" i="23" s="1"/>
  <c r="E111" i="23"/>
  <c r="F111" i="23" s="1"/>
  <c r="C110" i="23"/>
  <c r="D109" i="23"/>
  <c r="D118" i="23" s="1"/>
  <c r="E104" i="23"/>
  <c r="E102" i="23"/>
  <c r="E100" i="23"/>
  <c r="E98" i="23"/>
  <c r="E93" i="23"/>
  <c r="E91" i="23"/>
  <c r="E89" i="23"/>
  <c r="E87" i="23"/>
  <c r="E85" i="23"/>
  <c r="E83" i="23"/>
  <c r="E81" i="23"/>
  <c r="E79" i="23"/>
  <c r="E77" i="23"/>
  <c r="E75" i="23"/>
  <c r="E73" i="23"/>
  <c r="E71" i="23"/>
  <c r="E69" i="23"/>
  <c r="E67" i="23"/>
  <c r="D36" i="23"/>
  <c r="D38" i="23"/>
  <c r="D40" i="23"/>
  <c r="D42" i="23"/>
  <c r="D44" i="23"/>
  <c r="D46" i="23"/>
  <c r="D48" i="23"/>
  <c r="D50" i="23"/>
  <c r="D52" i="23"/>
  <c r="D54" i="23"/>
  <c r="D56" i="23"/>
  <c r="D58" i="23"/>
  <c r="D60" i="23"/>
  <c r="D62" i="23"/>
  <c r="E70" i="23"/>
  <c r="E74" i="23"/>
  <c r="E78" i="23"/>
  <c r="E82" i="23"/>
  <c r="E86" i="23"/>
  <c r="E90" i="23"/>
  <c r="E94" i="23"/>
  <c r="E101" i="23"/>
  <c r="E110" i="23"/>
  <c r="C113" i="23"/>
  <c r="F113" i="23" s="1"/>
  <c r="E114" i="23"/>
  <c r="E115" i="23"/>
  <c r="E69" i="19"/>
  <c r="E73" i="19"/>
  <c r="E77" i="19"/>
  <c r="E81" i="19"/>
  <c r="E85" i="19"/>
  <c r="E89" i="19"/>
  <c r="E93" i="19"/>
  <c r="E100" i="19"/>
  <c r="E109" i="19"/>
  <c r="C111" i="19"/>
  <c r="F111" i="19" s="1"/>
  <c r="E112" i="19"/>
  <c r="C115" i="19"/>
  <c r="F115" i="19" s="1"/>
  <c r="C116" i="19"/>
  <c r="C116" i="17"/>
  <c r="E115" i="17"/>
  <c r="C115" i="17"/>
  <c r="E114" i="17"/>
  <c r="F114" i="17" s="1"/>
  <c r="C113" i="17"/>
  <c r="E112" i="17"/>
  <c r="C111" i="17"/>
  <c r="F111" i="17" s="1"/>
  <c r="E110" i="17"/>
  <c r="F110" i="17" s="1"/>
  <c r="E109" i="17"/>
  <c r="E103" i="17"/>
  <c r="E101" i="17"/>
  <c r="E99" i="17"/>
  <c r="E94" i="17"/>
  <c r="E92" i="17"/>
  <c r="E90" i="17"/>
  <c r="E88" i="17"/>
  <c r="E86" i="17"/>
  <c r="E84" i="17"/>
  <c r="E82" i="17"/>
  <c r="E80" i="17"/>
  <c r="E78" i="17"/>
  <c r="E76" i="17"/>
  <c r="E74" i="17"/>
  <c r="E72" i="17"/>
  <c r="E70" i="17"/>
  <c r="E68"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F39" i="17" s="1"/>
  <c r="D38" i="17"/>
  <c r="D37" i="17"/>
  <c r="F37" i="17" s="1"/>
  <c r="D36" i="17"/>
  <c r="E67" i="17"/>
  <c r="E71" i="17"/>
  <c r="E75" i="17"/>
  <c r="E79" i="17"/>
  <c r="E83" i="17"/>
  <c r="E87" i="17"/>
  <c r="E91" i="17"/>
  <c r="E98" i="17"/>
  <c r="E102" i="17"/>
  <c r="D109" i="17"/>
  <c r="D118" i="17" s="1"/>
  <c r="C112" i="17"/>
  <c r="E113" i="17"/>
  <c r="D117" i="17"/>
  <c r="F117" i="17" s="1"/>
  <c r="E120" i="17"/>
  <c r="F120" i="17" s="1"/>
  <c r="E68" i="16"/>
  <c r="E71" i="16"/>
  <c r="E76" i="16"/>
  <c r="E79" i="16"/>
  <c r="E84" i="16"/>
  <c r="E87" i="16"/>
  <c r="E92" i="16"/>
  <c r="E98" i="16"/>
  <c r="E100" i="16"/>
  <c r="E103" i="16"/>
  <c r="F103" i="16" s="1"/>
  <c r="E110" i="16"/>
  <c r="C113" i="16"/>
  <c r="F113" i="16" s="1"/>
  <c r="E114" i="16"/>
  <c r="E115" i="16"/>
  <c r="D69" i="15"/>
  <c r="D7" i="15"/>
  <c r="E67" i="14"/>
  <c r="E69" i="14"/>
  <c r="E71" i="14"/>
  <c r="E73" i="14"/>
  <c r="E75" i="14"/>
  <c r="E77" i="14"/>
  <c r="E79" i="14"/>
  <c r="E81" i="14"/>
  <c r="E83" i="14"/>
  <c r="E85" i="14"/>
  <c r="E87" i="14"/>
  <c r="E89" i="14"/>
  <c r="E91" i="14"/>
  <c r="E93" i="14"/>
  <c r="E98" i="14"/>
  <c r="E100" i="14"/>
  <c r="E102" i="14"/>
  <c r="E104" i="14"/>
  <c r="D109" i="14"/>
  <c r="C110" i="14"/>
  <c r="E111" i="14"/>
  <c r="C112" i="14"/>
  <c r="E113" i="14"/>
  <c r="C114" i="14"/>
  <c r="D115" i="14"/>
  <c r="D117" i="14"/>
  <c r="F117" i="14" s="1"/>
  <c r="E120" i="14"/>
  <c r="F120" i="14" s="1"/>
  <c r="E120" i="13"/>
  <c r="F120" i="13" s="1"/>
  <c r="D117" i="13"/>
  <c r="F117" i="13" s="1"/>
  <c r="D115" i="13"/>
  <c r="C114" i="13"/>
  <c r="E113" i="13"/>
  <c r="C112" i="13"/>
  <c r="E111" i="13"/>
  <c r="C110" i="13"/>
  <c r="D109" i="13"/>
  <c r="D118" i="13" s="1"/>
  <c r="E104" i="13"/>
  <c r="E102" i="13"/>
  <c r="E100" i="13"/>
  <c r="E98" i="13"/>
  <c r="E93" i="13"/>
  <c r="E91" i="13"/>
  <c r="E89" i="13"/>
  <c r="E87" i="13"/>
  <c r="E85" i="13"/>
  <c r="E83" i="13"/>
  <c r="E81" i="13"/>
  <c r="E79" i="13"/>
  <c r="E77" i="13"/>
  <c r="E75" i="13"/>
  <c r="E73" i="13"/>
  <c r="E71" i="13"/>
  <c r="E69" i="13"/>
  <c r="E67" i="13"/>
  <c r="C116" i="13"/>
  <c r="E115" i="13"/>
  <c r="C115" i="13"/>
  <c r="E114" i="13"/>
  <c r="C113" i="13"/>
  <c r="E112" i="13"/>
  <c r="C111" i="13"/>
  <c r="E110" i="13"/>
  <c r="E109" i="13"/>
  <c r="E103" i="13"/>
  <c r="E101" i="13"/>
  <c r="E99" i="13"/>
  <c r="E94" i="13"/>
  <c r="E92" i="13"/>
  <c r="E90" i="13"/>
  <c r="E88" i="13"/>
  <c r="E86" i="13"/>
  <c r="E84" i="13"/>
  <c r="E82" i="13"/>
  <c r="E80" i="13"/>
  <c r="E78" i="13"/>
  <c r="E76" i="13"/>
  <c r="E74" i="13"/>
  <c r="E72" i="13"/>
  <c r="E70" i="13"/>
  <c r="E68" i="13"/>
  <c r="D63" i="13"/>
  <c r="D62" i="13"/>
  <c r="D61" i="13"/>
  <c r="D60" i="13"/>
  <c r="D59" i="13"/>
  <c r="D58" i="13"/>
  <c r="D57" i="13"/>
  <c r="D56" i="13"/>
  <c r="D55" i="13"/>
  <c r="D54" i="13"/>
  <c r="D53" i="13"/>
  <c r="D52" i="13"/>
  <c r="D51" i="13"/>
  <c r="D50" i="13"/>
  <c r="D49" i="13"/>
  <c r="D48" i="13"/>
  <c r="D47" i="13"/>
  <c r="D46" i="13"/>
  <c r="D45" i="13"/>
  <c r="D36" i="22"/>
  <c r="D37" i="22"/>
  <c r="F37" i="22" s="1"/>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E68" i="22"/>
  <c r="E70" i="22"/>
  <c r="E72" i="22"/>
  <c r="E74" i="22"/>
  <c r="E76" i="22"/>
  <c r="E78" i="22"/>
  <c r="E80" i="22"/>
  <c r="E82" i="22"/>
  <c r="E84" i="22"/>
  <c r="E86" i="22"/>
  <c r="E88" i="22"/>
  <c r="E90" i="22"/>
  <c r="E92" i="22"/>
  <c r="E94" i="22"/>
  <c r="E99" i="22"/>
  <c r="E101" i="22"/>
  <c r="E103" i="22"/>
  <c r="E104" i="22"/>
  <c r="D109" i="22"/>
  <c r="C110" i="22"/>
  <c r="F110" i="22" s="1"/>
  <c r="E111" i="22"/>
  <c r="F111" i="22" s="1"/>
  <c r="C112" i="22"/>
  <c r="F112" i="22" s="1"/>
  <c r="E113" i="22"/>
  <c r="F113" i="22" s="1"/>
  <c r="C114" i="22"/>
  <c r="F114" i="22" s="1"/>
  <c r="D115" i="22"/>
  <c r="F115" i="22" s="1"/>
  <c r="D117" i="22"/>
  <c r="F117" i="22" s="1"/>
  <c r="F37" i="21"/>
  <c r="F39" i="21"/>
  <c r="F41" i="21"/>
  <c r="F45" i="21"/>
  <c r="F47" i="21"/>
  <c r="F49" i="21"/>
  <c r="F51" i="21"/>
  <c r="F53" i="21"/>
  <c r="F55" i="21"/>
  <c r="F57" i="21"/>
  <c r="F59" i="21"/>
  <c r="F61" i="21"/>
  <c r="F63" i="21"/>
  <c r="E67" i="21"/>
  <c r="E69" i="21"/>
  <c r="F69" i="21" s="1"/>
  <c r="E71" i="21"/>
  <c r="E73" i="21"/>
  <c r="F73" i="21" s="1"/>
  <c r="E75" i="21"/>
  <c r="E77" i="21"/>
  <c r="F77" i="21" s="1"/>
  <c r="E79" i="21"/>
  <c r="E81" i="21"/>
  <c r="F81" i="21" s="1"/>
  <c r="E83" i="21"/>
  <c r="E85" i="21"/>
  <c r="F85" i="21" s="1"/>
  <c r="E87" i="21"/>
  <c r="E89" i="21"/>
  <c r="F89" i="21" s="1"/>
  <c r="E91" i="21"/>
  <c r="E93" i="21"/>
  <c r="F93" i="21" s="1"/>
  <c r="E98" i="21"/>
  <c r="E100" i="21"/>
  <c r="E102" i="21"/>
  <c r="E104" i="21"/>
  <c r="D109" i="21"/>
  <c r="C110" i="21"/>
  <c r="F110" i="21" s="1"/>
  <c r="E111" i="21"/>
  <c r="F111" i="21" s="1"/>
  <c r="C112" i="21"/>
  <c r="F112" i="21" s="1"/>
  <c r="E113" i="21"/>
  <c r="F113" i="21" s="1"/>
  <c r="C114" i="21"/>
  <c r="F114" i="21" s="1"/>
  <c r="D115" i="21"/>
  <c r="F115" i="21" s="1"/>
  <c r="D117" i="21"/>
  <c r="F117" i="21" s="1"/>
  <c r="F37" i="15"/>
  <c r="F39" i="15"/>
  <c r="F41" i="15"/>
  <c r="F45" i="15"/>
  <c r="F47" i="15"/>
  <c r="F49" i="15"/>
  <c r="F53" i="15"/>
  <c r="F57" i="15"/>
  <c r="F59" i="15"/>
  <c r="F61" i="15"/>
  <c r="F63" i="15"/>
  <c r="E67" i="15"/>
  <c r="E69" i="15"/>
  <c r="E71" i="15"/>
  <c r="E73" i="15"/>
  <c r="E75" i="15"/>
  <c r="E77" i="15"/>
  <c r="E79" i="15"/>
  <c r="E81" i="15"/>
  <c r="E83" i="15"/>
  <c r="E85" i="15"/>
  <c r="E87" i="15"/>
  <c r="E89" i="15"/>
  <c r="E91" i="15"/>
  <c r="E93" i="15"/>
  <c r="E98" i="15"/>
  <c r="E100" i="15"/>
  <c r="E102" i="15"/>
  <c r="E104" i="15"/>
  <c r="D109" i="15"/>
  <c r="C110" i="15"/>
  <c r="F110" i="15" s="1"/>
  <c r="E111" i="15"/>
  <c r="C112" i="15"/>
  <c r="F112" i="15" s="1"/>
  <c r="E113" i="15"/>
  <c r="F113" i="15" s="1"/>
  <c r="C114" i="15"/>
  <c r="F114" i="15" s="1"/>
  <c r="D115" i="15"/>
  <c r="F115" i="15" s="1"/>
  <c r="D117" i="15"/>
  <c r="F117" i="15" s="1"/>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31" i="14" s="1"/>
  <c r="D63" i="14"/>
  <c r="E68" i="14"/>
  <c r="E70" i="14"/>
  <c r="E72" i="14"/>
  <c r="E74" i="14"/>
  <c r="E76" i="14"/>
  <c r="E78" i="14"/>
  <c r="E80" i="14"/>
  <c r="E82" i="14"/>
  <c r="E84" i="14"/>
  <c r="E86" i="14"/>
  <c r="E88" i="14"/>
  <c r="E90" i="14"/>
  <c r="E92" i="14"/>
  <c r="E94" i="14"/>
  <c r="E99" i="14"/>
  <c r="E101" i="14"/>
  <c r="E103" i="14"/>
  <c r="E109" i="14"/>
  <c r="E110" i="14"/>
  <c r="C111" i="14"/>
  <c r="F111" i="14" s="1"/>
  <c r="E112" i="14"/>
  <c r="C113" i="14"/>
  <c r="F113" i="14" s="1"/>
  <c r="E114" i="14"/>
  <c r="C115" i="14"/>
  <c r="E115" i="14"/>
  <c r="D36" i="13"/>
  <c r="D37" i="13"/>
  <c r="D38" i="13"/>
  <c r="D39" i="13"/>
  <c r="D40" i="13"/>
  <c r="D41" i="13"/>
  <c r="D42" i="13"/>
  <c r="D43" i="13"/>
  <c r="D44" i="13"/>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E68" i="12"/>
  <c r="E70" i="12"/>
  <c r="E72" i="12"/>
  <c r="E74" i="12"/>
  <c r="E76" i="12"/>
  <c r="E78" i="12"/>
  <c r="E80" i="12"/>
  <c r="E82" i="12"/>
  <c r="E84" i="12"/>
  <c r="E86" i="12"/>
  <c r="E88" i="12"/>
  <c r="E90" i="12"/>
  <c r="E92" i="12"/>
  <c r="E94" i="12"/>
  <c r="E99" i="12"/>
  <c r="E101" i="12"/>
  <c r="E103" i="12"/>
  <c r="E109" i="12"/>
  <c r="E110" i="12"/>
  <c r="C111" i="12"/>
  <c r="E112" i="12"/>
  <c r="C113" i="12"/>
  <c r="E114" i="12"/>
  <c r="C115" i="12"/>
  <c r="E115" i="12"/>
  <c r="C116" i="12"/>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E68" i="11"/>
  <c r="E70" i="11"/>
  <c r="E72" i="11"/>
  <c r="E74" i="11"/>
  <c r="E76" i="11"/>
  <c r="E78" i="11"/>
  <c r="E80" i="11"/>
  <c r="E82" i="11"/>
  <c r="E84" i="11"/>
  <c r="E86" i="11"/>
  <c r="E88" i="11"/>
  <c r="E90" i="11"/>
  <c r="E92" i="11"/>
  <c r="E94" i="11"/>
  <c r="E99" i="11"/>
  <c r="E101" i="11"/>
  <c r="E103" i="11"/>
  <c r="E109" i="11"/>
  <c r="E110" i="11"/>
  <c r="C111" i="11"/>
  <c r="E112" i="11"/>
  <c r="C113" i="11"/>
  <c r="E114" i="11"/>
  <c r="C115" i="11"/>
  <c r="E115" i="11"/>
  <c r="C116" i="11"/>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E68" i="10"/>
  <c r="E70" i="10"/>
  <c r="E72" i="10"/>
  <c r="E74" i="10"/>
  <c r="E76" i="10"/>
  <c r="E78" i="10"/>
  <c r="E80" i="10"/>
  <c r="E82" i="10"/>
  <c r="E84" i="10"/>
  <c r="E86" i="10"/>
  <c r="E88" i="10"/>
  <c r="E90" i="10"/>
  <c r="E92" i="10"/>
  <c r="E94" i="10"/>
  <c r="E99" i="10"/>
  <c r="E101" i="10"/>
  <c r="E103" i="10"/>
  <c r="D109" i="10"/>
  <c r="C110" i="10"/>
  <c r="E111" i="10"/>
  <c r="C112" i="10"/>
  <c r="E113" i="10"/>
  <c r="C114" i="10"/>
  <c r="D115" i="10"/>
  <c r="D117" i="10"/>
  <c r="F117" i="10" s="1"/>
  <c r="E120" i="10"/>
  <c r="F120" i="10" s="1"/>
  <c r="C116" i="9"/>
  <c r="E115" i="9"/>
  <c r="C115" i="9"/>
  <c r="E114" i="9"/>
  <c r="C113" i="9"/>
  <c r="E112" i="9"/>
  <c r="C111" i="9"/>
  <c r="E110" i="9"/>
  <c r="E120" i="9"/>
  <c r="F120" i="9" s="1"/>
  <c r="D117" i="9"/>
  <c r="F117" i="9" s="1"/>
  <c r="D115" i="9"/>
  <c r="C114" i="9"/>
  <c r="F114" i="9" s="1"/>
  <c r="E113" i="9"/>
  <c r="C112" i="9"/>
  <c r="F112" i="9" s="1"/>
  <c r="E111" i="9"/>
  <c r="C110" i="9"/>
  <c r="F110" i="9" s="1"/>
  <c r="D109" i="9"/>
  <c r="D118" i="9" s="1"/>
  <c r="D36" i="9"/>
  <c r="D67" i="9" s="1"/>
  <c r="D37" i="9"/>
  <c r="D38" i="9"/>
  <c r="D39" i="9"/>
  <c r="D40" i="9"/>
  <c r="D41" i="9"/>
  <c r="D42" i="9"/>
  <c r="D43" i="9"/>
  <c r="D44" i="9"/>
  <c r="D45" i="9"/>
  <c r="D46" i="9"/>
  <c r="D47" i="9"/>
  <c r="D48" i="9"/>
  <c r="D49" i="9"/>
  <c r="D50" i="9"/>
  <c r="D51" i="9"/>
  <c r="D52" i="9"/>
  <c r="D53" i="9"/>
  <c r="D54" i="9"/>
  <c r="D55" i="9"/>
  <c r="D56" i="9"/>
  <c r="D57" i="9"/>
  <c r="D58" i="9"/>
  <c r="D59" i="9"/>
  <c r="D60" i="9"/>
  <c r="D61" i="9"/>
  <c r="D62" i="9"/>
  <c r="D63" i="9"/>
  <c r="E68" i="9"/>
  <c r="E70" i="9"/>
  <c r="E72" i="9"/>
  <c r="E74" i="9"/>
  <c r="E76" i="9"/>
  <c r="E78" i="9"/>
  <c r="E80" i="9"/>
  <c r="E82" i="9"/>
  <c r="E84" i="9"/>
  <c r="E86" i="9"/>
  <c r="E88" i="9"/>
  <c r="E90" i="9"/>
  <c r="E92" i="9"/>
  <c r="E94" i="9"/>
  <c r="E99" i="9"/>
  <c r="E101" i="9"/>
  <c r="E103" i="9"/>
  <c r="F103" i="9" s="1"/>
  <c r="E67" i="12"/>
  <c r="E69" i="12"/>
  <c r="E71" i="12"/>
  <c r="E73" i="12"/>
  <c r="E75" i="12"/>
  <c r="E77" i="12"/>
  <c r="E79" i="12"/>
  <c r="E81" i="12"/>
  <c r="E83" i="12"/>
  <c r="E85" i="12"/>
  <c r="E87" i="12"/>
  <c r="E89" i="12"/>
  <c r="E91" i="12"/>
  <c r="E93" i="12"/>
  <c r="E98" i="12"/>
  <c r="E100" i="12"/>
  <c r="E102" i="12"/>
  <c r="E104" i="12"/>
  <c r="D109" i="12"/>
  <c r="C110" i="12"/>
  <c r="E111" i="12"/>
  <c r="C112" i="12"/>
  <c r="E113" i="12"/>
  <c r="C114" i="12"/>
  <c r="D115" i="12"/>
  <c r="D117" i="12"/>
  <c r="F117" i="12" s="1"/>
  <c r="E67" i="11"/>
  <c r="E69" i="11"/>
  <c r="E71" i="11"/>
  <c r="E73" i="11"/>
  <c r="E75" i="11"/>
  <c r="E77" i="11"/>
  <c r="E79" i="11"/>
  <c r="E81" i="11"/>
  <c r="E83" i="11"/>
  <c r="E85" i="11"/>
  <c r="E87" i="11"/>
  <c r="E89" i="11"/>
  <c r="E91" i="11"/>
  <c r="E93" i="11"/>
  <c r="E98" i="11"/>
  <c r="E100" i="11"/>
  <c r="E102" i="11"/>
  <c r="E104" i="11"/>
  <c r="D109" i="11"/>
  <c r="C110" i="11"/>
  <c r="E111" i="11"/>
  <c r="C112" i="11"/>
  <c r="E113" i="11"/>
  <c r="C114" i="11"/>
  <c r="D115" i="11"/>
  <c r="D117" i="11"/>
  <c r="F117" i="11" s="1"/>
  <c r="E67" i="10"/>
  <c r="E69" i="10"/>
  <c r="E71" i="10"/>
  <c r="E73" i="10"/>
  <c r="E75" i="10"/>
  <c r="E77" i="10"/>
  <c r="E79" i="10"/>
  <c r="E81" i="10"/>
  <c r="E83" i="10"/>
  <c r="E85" i="10"/>
  <c r="E87" i="10"/>
  <c r="E89" i="10"/>
  <c r="E91" i="10"/>
  <c r="E93" i="10"/>
  <c r="E98" i="10"/>
  <c r="E100" i="10"/>
  <c r="E102" i="10"/>
  <c r="E104" i="10"/>
  <c r="E109" i="10"/>
  <c r="E110" i="10"/>
  <c r="C111" i="10"/>
  <c r="F111" i="10" s="1"/>
  <c r="E112" i="10"/>
  <c r="C113" i="10"/>
  <c r="F113" i="10" s="1"/>
  <c r="E114" i="10"/>
  <c r="C115" i="10"/>
  <c r="E115" i="10"/>
  <c r="E67" i="9"/>
  <c r="E69" i="9"/>
  <c r="E71" i="9"/>
  <c r="E73" i="9"/>
  <c r="E75" i="9"/>
  <c r="E77" i="9"/>
  <c r="E79" i="9"/>
  <c r="E81" i="9"/>
  <c r="E83" i="9"/>
  <c r="E85" i="9"/>
  <c r="E87" i="9"/>
  <c r="E89" i="9"/>
  <c r="E91" i="9"/>
  <c r="E93" i="9"/>
  <c r="E98" i="9"/>
  <c r="E100" i="9"/>
  <c r="E102" i="9"/>
  <c r="E104" i="9"/>
  <c r="E109" i="9"/>
  <c r="D36" i="8"/>
  <c r="D37" i="8"/>
  <c r="D68" i="8" s="1"/>
  <c r="D38" i="8"/>
  <c r="D39" i="8"/>
  <c r="D40" i="8"/>
  <c r="D41" i="8"/>
  <c r="D42" i="8"/>
  <c r="D43" i="8"/>
  <c r="D44" i="8"/>
  <c r="D45" i="8"/>
  <c r="D46" i="8"/>
  <c r="D47" i="8"/>
  <c r="D48" i="8"/>
  <c r="D49" i="8"/>
  <c r="D50" i="8"/>
  <c r="D51" i="8"/>
  <c r="D52" i="8"/>
  <c r="D53" i="8"/>
  <c r="D54" i="8"/>
  <c r="D55" i="8"/>
  <c r="D56" i="8"/>
  <c r="D57" i="8"/>
  <c r="D58" i="8"/>
  <c r="D59" i="8"/>
  <c r="D60" i="8"/>
  <c r="D61" i="8"/>
  <c r="D62" i="8"/>
  <c r="D63" i="8"/>
  <c r="E68" i="8"/>
  <c r="E70" i="8"/>
  <c r="E72" i="8"/>
  <c r="E74" i="8"/>
  <c r="E76" i="8"/>
  <c r="E78" i="8"/>
  <c r="E80" i="8"/>
  <c r="E82" i="8"/>
  <c r="E84" i="8"/>
  <c r="E86" i="8"/>
  <c r="E88" i="8"/>
  <c r="E90" i="8"/>
  <c r="E92" i="8"/>
  <c r="E94" i="8"/>
  <c r="E99" i="8"/>
  <c r="E101" i="8"/>
  <c r="E103" i="8"/>
  <c r="E109" i="8"/>
  <c r="E110" i="8"/>
  <c r="C111" i="8"/>
  <c r="E112" i="8"/>
  <c r="C113" i="8"/>
  <c r="E114" i="8"/>
  <c r="C115" i="8"/>
  <c r="E115" i="8"/>
  <c r="C116" i="8"/>
  <c r="D36" i="7"/>
  <c r="D67" i="7" s="1"/>
  <c r="D37" i="7"/>
  <c r="D38" i="7"/>
  <c r="D69" i="7" s="1"/>
  <c r="D39" i="7"/>
  <c r="D40" i="7"/>
  <c r="D41" i="7"/>
  <c r="D42" i="7"/>
  <c r="D43" i="7"/>
  <c r="D44" i="7"/>
  <c r="D45" i="7"/>
  <c r="D46" i="7"/>
  <c r="D47" i="7"/>
  <c r="D48" i="7"/>
  <c r="D49" i="7"/>
  <c r="D50" i="7"/>
  <c r="D51" i="7"/>
  <c r="D52" i="7"/>
  <c r="D53" i="7"/>
  <c r="D54" i="7"/>
  <c r="D55" i="7"/>
  <c r="D56" i="7"/>
  <c r="D57" i="7"/>
  <c r="D58" i="7"/>
  <c r="D59" i="7"/>
  <c r="D60" i="7"/>
  <c r="D61" i="7"/>
  <c r="D62" i="7"/>
  <c r="D63" i="7"/>
  <c r="E68" i="7"/>
  <c r="E70" i="7"/>
  <c r="E72" i="7"/>
  <c r="E74" i="7"/>
  <c r="E76" i="7"/>
  <c r="E78" i="7"/>
  <c r="E80" i="7"/>
  <c r="E82" i="7"/>
  <c r="E84" i="7"/>
  <c r="E86" i="7"/>
  <c r="E88" i="7"/>
  <c r="E90" i="7"/>
  <c r="E92" i="7"/>
  <c r="E94" i="7"/>
  <c r="E99" i="7"/>
  <c r="E101" i="7"/>
  <c r="E103" i="7"/>
  <c r="E109" i="7"/>
  <c r="E110" i="7"/>
  <c r="C111" i="7"/>
  <c r="E112" i="7"/>
  <c r="C113" i="7"/>
  <c r="C115" i="7"/>
  <c r="E64" i="6"/>
  <c r="E67" i="8"/>
  <c r="E69" i="8"/>
  <c r="E71" i="8"/>
  <c r="E73" i="8"/>
  <c r="E75" i="8"/>
  <c r="E77" i="8"/>
  <c r="E79" i="8"/>
  <c r="E81" i="8"/>
  <c r="E83" i="8"/>
  <c r="E85" i="8"/>
  <c r="E87" i="8"/>
  <c r="E89" i="8"/>
  <c r="E91" i="8"/>
  <c r="E93" i="8"/>
  <c r="E98" i="8"/>
  <c r="E100" i="8"/>
  <c r="E102" i="8"/>
  <c r="E104" i="8"/>
  <c r="D109" i="8"/>
  <c r="C110" i="8"/>
  <c r="E111" i="8"/>
  <c r="C112" i="8"/>
  <c r="E113" i="8"/>
  <c r="C114" i="8"/>
  <c r="D115" i="8"/>
  <c r="D117" i="8"/>
  <c r="F117" i="8" s="1"/>
  <c r="E120" i="7"/>
  <c r="F120" i="7" s="1"/>
  <c r="D117" i="7"/>
  <c r="F117" i="7" s="1"/>
  <c r="D115" i="7"/>
  <c r="C114" i="7"/>
  <c r="E67" i="7"/>
  <c r="E69" i="7"/>
  <c r="E71" i="7"/>
  <c r="E73" i="7"/>
  <c r="E75" i="7"/>
  <c r="E77" i="7"/>
  <c r="E79" i="7"/>
  <c r="E81" i="7"/>
  <c r="E83" i="7"/>
  <c r="E85" i="7"/>
  <c r="E87" i="7"/>
  <c r="E89" i="7"/>
  <c r="E91" i="7"/>
  <c r="E93" i="7"/>
  <c r="E98" i="7"/>
  <c r="E100" i="7"/>
  <c r="E102" i="7"/>
  <c r="E104" i="7"/>
  <c r="D109" i="7"/>
  <c r="D118" i="7" s="1"/>
  <c r="C110" i="7"/>
  <c r="E111" i="7"/>
  <c r="C112" i="7"/>
  <c r="E113" i="7"/>
  <c r="E114" i="7"/>
  <c r="E115" i="7"/>
  <c r="D68" i="4"/>
  <c r="F68" i="4" s="1"/>
  <c r="D6" i="4"/>
  <c r="D70" i="4"/>
  <c r="F70" i="4" s="1"/>
  <c r="D8" i="4"/>
  <c r="D72" i="4"/>
  <c r="F72" i="4" s="1"/>
  <c r="D10" i="4"/>
  <c r="D74" i="4"/>
  <c r="F74" i="4" s="1"/>
  <c r="D12" i="4"/>
  <c r="D76" i="4"/>
  <c r="F76" i="4" s="1"/>
  <c r="D14" i="4"/>
  <c r="D78" i="4"/>
  <c r="F78" i="4" s="1"/>
  <c r="D16" i="4"/>
  <c r="D80" i="4"/>
  <c r="F80" i="4" s="1"/>
  <c r="D18" i="4"/>
  <c r="D82" i="4"/>
  <c r="F82" i="4" s="1"/>
  <c r="D20" i="4"/>
  <c r="D84" i="4"/>
  <c r="F84" i="4" s="1"/>
  <c r="D22" i="4"/>
  <c r="D86" i="4"/>
  <c r="F86" i="4" s="1"/>
  <c r="D24" i="4"/>
  <c r="D88" i="4"/>
  <c r="F88" i="4" s="1"/>
  <c r="D26" i="4"/>
  <c r="D90" i="4"/>
  <c r="F90" i="4" s="1"/>
  <c r="D28" i="4"/>
  <c r="D92" i="4"/>
  <c r="F92" i="4" s="1"/>
  <c r="D30" i="4"/>
  <c r="D94" i="4"/>
  <c r="F94" i="4" s="1"/>
  <c r="D32" i="4"/>
  <c r="C116" i="6"/>
  <c r="E115" i="6"/>
  <c r="C115" i="6"/>
  <c r="E114" i="6"/>
  <c r="C113" i="6"/>
  <c r="F113" i="6" s="1"/>
  <c r="E112" i="6"/>
  <c r="F112" i="6" s="1"/>
  <c r="C111" i="6"/>
  <c r="E110" i="6"/>
  <c r="E109" i="6"/>
  <c r="E103" i="6"/>
  <c r="E101" i="6"/>
  <c r="E99" i="6"/>
  <c r="E94" i="6"/>
  <c r="E92" i="6"/>
  <c r="E90" i="6"/>
  <c r="E88" i="6"/>
  <c r="E86" i="6"/>
  <c r="E84" i="6"/>
  <c r="E82" i="6"/>
  <c r="E80" i="6"/>
  <c r="E78" i="6"/>
  <c r="E76"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E68" i="6"/>
  <c r="E70" i="6"/>
  <c r="E72" i="6"/>
  <c r="E74" i="6"/>
  <c r="E77" i="6"/>
  <c r="E81" i="6"/>
  <c r="E85" i="6"/>
  <c r="E89" i="6"/>
  <c r="E93" i="6"/>
  <c r="E100" i="6"/>
  <c r="E104" i="6"/>
  <c r="C110" i="6"/>
  <c r="F110" i="6" s="1"/>
  <c r="E111" i="6"/>
  <c r="C114" i="6"/>
  <c r="F114" i="6" s="1"/>
  <c r="D115" i="6"/>
  <c r="D118" i="6" s="1"/>
  <c r="D64" i="4"/>
  <c r="F38" i="4"/>
  <c r="F40" i="4"/>
  <c r="F42" i="4"/>
  <c r="F44" i="4"/>
  <c r="F46" i="4"/>
  <c r="F50" i="4"/>
  <c r="F52" i="4"/>
  <c r="F54" i="4"/>
  <c r="F56" i="4"/>
  <c r="F58" i="4"/>
  <c r="F60" i="4"/>
  <c r="F62" i="4"/>
  <c r="E67" i="4"/>
  <c r="E69" i="4"/>
  <c r="E71" i="4"/>
  <c r="E73" i="4"/>
  <c r="E75" i="4"/>
  <c r="E77" i="4"/>
  <c r="E79" i="4"/>
  <c r="E81" i="4"/>
  <c r="E83" i="4"/>
  <c r="E85" i="4"/>
  <c r="E87" i="4"/>
  <c r="E89" i="4"/>
  <c r="E91" i="4"/>
  <c r="E93" i="4"/>
  <c r="E98" i="4"/>
  <c r="E100" i="4"/>
  <c r="E102" i="4"/>
  <c r="E104" i="4"/>
  <c r="D109" i="4"/>
  <c r="C110" i="4"/>
  <c r="F110" i="4" s="1"/>
  <c r="E111" i="4"/>
  <c r="F111" i="4" s="1"/>
  <c r="C112" i="4"/>
  <c r="F112" i="4" s="1"/>
  <c r="E113" i="4"/>
  <c r="F113" i="4" s="1"/>
  <c r="C114" i="4"/>
  <c r="F114" i="4" s="1"/>
  <c r="D115" i="4"/>
  <c r="F115" i="4" s="1"/>
  <c r="D117" i="4"/>
  <c r="F117" i="4" s="1"/>
  <c r="E67" i="59"/>
  <c r="E69" i="59"/>
  <c r="E71" i="59"/>
  <c r="E73" i="59"/>
  <c r="E75" i="59"/>
  <c r="E77" i="59"/>
  <c r="E79" i="59"/>
  <c r="E81" i="59"/>
  <c r="E83" i="59"/>
  <c r="E85" i="59"/>
  <c r="E87" i="59"/>
  <c r="E89" i="59"/>
  <c r="E91" i="59"/>
  <c r="E93" i="59"/>
  <c r="E98" i="59"/>
  <c r="E100" i="59"/>
  <c r="E102" i="59"/>
  <c r="E104" i="59"/>
  <c r="D109" i="59"/>
  <c r="C110" i="59"/>
  <c r="E111" i="59"/>
  <c r="C112" i="59"/>
  <c r="C116" i="59"/>
  <c r="E115" i="59"/>
  <c r="C115" i="59"/>
  <c r="E114" i="59"/>
  <c r="E120" i="59"/>
  <c r="F120" i="59" s="1"/>
  <c r="D117" i="59"/>
  <c r="F117" i="59" s="1"/>
  <c r="D115" i="59"/>
  <c r="C114" i="59"/>
  <c r="F114" i="59" s="1"/>
  <c r="E113" i="59"/>
  <c r="F113" i="59" s="1"/>
  <c r="D36" i="59"/>
  <c r="D37" i="59"/>
  <c r="F37" i="59" s="1"/>
  <c r="D38" i="59"/>
  <c r="D39" i="59"/>
  <c r="D40" i="59"/>
  <c r="D41" i="59"/>
  <c r="D42" i="59"/>
  <c r="D43" i="59"/>
  <c r="D44" i="59"/>
  <c r="D45" i="59"/>
  <c r="D46" i="59"/>
  <c r="D47" i="59"/>
  <c r="D48" i="59"/>
  <c r="D49" i="59"/>
  <c r="D50" i="59"/>
  <c r="D51" i="59"/>
  <c r="D52" i="59"/>
  <c r="D53" i="59"/>
  <c r="D54" i="59"/>
  <c r="D55" i="59"/>
  <c r="D56" i="59"/>
  <c r="D57" i="59"/>
  <c r="D58" i="59"/>
  <c r="D59" i="59"/>
  <c r="D60" i="59"/>
  <c r="D61" i="59"/>
  <c r="D62" i="59"/>
  <c r="D63" i="59"/>
  <c r="E68" i="59"/>
  <c r="E70" i="59"/>
  <c r="E72" i="59"/>
  <c r="E74" i="59"/>
  <c r="E76" i="59"/>
  <c r="E78" i="59"/>
  <c r="E80" i="59"/>
  <c r="E82" i="59"/>
  <c r="E84" i="59"/>
  <c r="E86" i="59"/>
  <c r="E88" i="59"/>
  <c r="E90" i="59"/>
  <c r="E92" i="59"/>
  <c r="E94" i="59"/>
  <c r="E99" i="59"/>
  <c r="E101" i="59"/>
  <c r="E103" i="59"/>
  <c r="E109" i="59"/>
  <c r="E110" i="59"/>
  <c r="C111" i="59"/>
  <c r="F111" i="59" s="1"/>
  <c r="E112" i="59"/>
  <c r="E67" i="1"/>
  <c r="E69" i="1"/>
  <c r="E71" i="1"/>
  <c r="E73" i="1"/>
  <c r="E75" i="1"/>
  <c r="E77" i="1"/>
  <c r="E79" i="1"/>
  <c r="E81" i="1"/>
  <c r="E83" i="1"/>
  <c r="E85" i="1"/>
  <c r="E87" i="1"/>
  <c r="E89" i="1"/>
  <c r="E91" i="1"/>
  <c r="E93" i="1"/>
  <c r="E98" i="1"/>
  <c r="E100" i="1"/>
  <c r="E102" i="1"/>
  <c r="E104" i="1"/>
  <c r="D109" i="1"/>
  <c r="C110" i="1"/>
  <c r="E111" i="1"/>
  <c r="C112" i="1"/>
  <c r="E113" i="1"/>
  <c r="C114" i="1"/>
  <c r="D115" i="1"/>
  <c r="D117" i="1"/>
  <c r="F117" i="1" s="1"/>
  <c r="E120" i="1"/>
  <c r="F120" i="1" s="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E68" i="1"/>
  <c r="E70" i="1"/>
  <c r="E72" i="1"/>
  <c r="E74" i="1"/>
  <c r="E76" i="1"/>
  <c r="E78" i="1"/>
  <c r="E80" i="1"/>
  <c r="E82" i="1"/>
  <c r="E84" i="1"/>
  <c r="E86" i="1"/>
  <c r="E88" i="1"/>
  <c r="E90" i="1"/>
  <c r="E92" i="1"/>
  <c r="E94" i="1"/>
  <c r="E99" i="1"/>
  <c r="E101" i="1"/>
  <c r="E103" i="1"/>
  <c r="E109" i="1"/>
  <c r="E110" i="1"/>
  <c r="C111" i="1"/>
  <c r="F111" i="1" s="1"/>
  <c r="E112" i="1"/>
  <c r="C113" i="1"/>
  <c r="F113" i="1" s="1"/>
  <c r="E114" i="1"/>
  <c r="C115" i="1"/>
  <c r="E115" i="1"/>
  <c r="E67" i="3"/>
  <c r="E69" i="3"/>
  <c r="E71" i="3"/>
  <c r="E73" i="3"/>
  <c r="E75" i="3"/>
  <c r="E77" i="3"/>
  <c r="E79" i="3"/>
  <c r="E81" i="3"/>
  <c r="E83" i="3"/>
  <c r="E85" i="3"/>
  <c r="E87" i="3"/>
  <c r="E89" i="3"/>
  <c r="E91" i="3"/>
  <c r="E93" i="3"/>
  <c r="E98" i="3"/>
  <c r="E99" i="3"/>
  <c r="E100" i="3"/>
  <c r="E101" i="3"/>
  <c r="E103" i="3"/>
  <c r="E104" i="3"/>
  <c r="E109" i="3"/>
  <c r="E110" i="3"/>
  <c r="C111" i="3"/>
  <c r="E112" i="3"/>
  <c r="C113" i="3"/>
  <c r="E114" i="3"/>
  <c r="C115" i="3"/>
  <c r="E115" i="3"/>
  <c r="C116"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E68" i="3"/>
  <c r="E70" i="3"/>
  <c r="E72" i="3"/>
  <c r="E74" i="3"/>
  <c r="E76" i="3"/>
  <c r="E78" i="3"/>
  <c r="E80" i="3"/>
  <c r="E82" i="3"/>
  <c r="E84" i="3"/>
  <c r="E86" i="3"/>
  <c r="E88" i="3"/>
  <c r="E90" i="3"/>
  <c r="E92" i="3"/>
  <c r="E94" i="3"/>
  <c r="E102" i="3"/>
  <c r="D109" i="3"/>
  <c r="C110" i="3"/>
  <c r="F110" i="3" s="1"/>
  <c r="E111" i="3"/>
  <c r="C112" i="3"/>
  <c r="F112" i="3" s="1"/>
  <c r="E113" i="3"/>
  <c r="C114" i="3"/>
  <c r="F114" i="3" s="1"/>
  <c r="D115" i="3"/>
  <c r="D117" i="3"/>
  <c r="F117" i="3" s="1"/>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E67" i="5"/>
  <c r="E70" i="5"/>
  <c r="E71" i="5"/>
  <c r="E74" i="5"/>
  <c r="E75" i="5"/>
  <c r="E78" i="5"/>
  <c r="E79" i="5"/>
  <c r="E82" i="5"/>
  <c r="E83" i="5"/>
  <c r="E86" i="5"/>
  <c r="E87" i="5"/>
  <c r="E90" i="5"/>
  <c r="E91" i="5"/>
  <c r="E94" i="5"/>
  <c r="E102" i="5"/>
  <c r="D109" i="5"/>
  <c r="C110" i="5"/>
  <c r="E111" i="5"/>
  <c r="C112" i="5"/>
  <c r="E113" i="5"/>
  <c r="C114" i="5"/>
  <c r="D115" i="5"/>
  <c r="D117" i="5"/>
  <c r="F117" i="5" s="1"/>
  <c r="E120" i="5"/>
  <c r="F120" i="5" s="1"/>
  <c r="E68" i="5"/>
  <c r="E69" i="5"/>
  <c r="E72" i="5"/>
  <c r="E73" i="5"/>
  <c r="E76" i="5"/>
  <c r="E77" i="5"/>
  <c r="E80" i="5"/>
  <c r="E81" i="5"/>
  <c r="E84" i="5"/>
  <c r="E85" i="5"/>
  <c r="E88" i="5"/>
  <c r="E89" i="5"/>
  <c r="E92" i="5"/>
  <c r="E93" i="5"/>
  <c r="E98" i="5"/>
  <c r="E99" i="5"/>
  <c r="E100" i="5"/>
  <c r="E101" i="5"/>
  <c r="E103" i="5"/>
  <c r="E104" i="5"/>
  <c r="E109" i="5"/>
  <c r="E110" i="5"/>
  <c r="C111" i="5"/>
  <c r="E112" i="5"/>
  <c r="C113" i="5"/>
  <c r="E114" i="5"/>
  <c r="C115" i="5"/>
  <c r="E115" i="5"/>
  <c r="E67" i="18"/>
  <c r="E68" i="18"/>
  <c r="E71" i="18"/>
  <c r="E72" i="18"/>
  <c r="E75" i="18"/>
  <c r="E76" i="18"/>
  <c r="E79" i="18"/>
  <c r="E80" i="18"/>
  <c r="E83" i="18"/>
  <c r="E84" i="18"/>
  <c r="E87" i="18"/>
  <c r="E88" i="18"/>
  <c r="E91" i="18"/>
  <c r="E92" i="18"/>
  <c r="E98" i="18"/>
  <c r="E99" i="18"/>
  <c r="E100" i="18"/>
  <c r="E101" i="18"/>
  <c r="E103" i="18"/>
  <c r="E104" i="18"/>
  <c r="E109" i="18"/>
  <c r="E110" i="18"/>
  <c r="C111" i="18"/>
  <c r="E112" i="18"/>
  <c r="C113" i="18"/>
  <c r="E114" i="18"/>
  <c r="C115" i="18"/>
  <c r="E115" i="18"/>
  <c r="C116" i="18"/>
  <c r="D36" i="18"/>
  <c r="D5" i="18" s="1"/>
  <c r="D37" i="18"/>
  <c r="D38" i="18"/>
  <c r="D7" i="18" s="1"/>
  <c r="D39" i="18"/>
  <c r="D40" i="18"/>
  <c r="D71" i="18" s="1"/>
  <c r="D41" i="18"/>
  <c r="D42" i="18"/>
  <c r="D11" i="18" s="1"/>
  <c r="D43" i="18"/>
  <c r="D44" i="18"/>
  <c r="D13" i="18" s="1"/>
  <c r="D45" i="18"/>
  <c r="D46" i="18"/>
  <c r="D15" i="18" s="1"/>
  <c r="D47" i="18"/>
  <c r="D48" i="18"/>
  <c r="D79" i="18" s="1"/>
  <c r="D49" i="18"/>
  <c r="D50" i="18"/>
  <c r="D19" i="18" s="1"/>
  <c r="D51" i="18"/>
  <c r="D52" i="18"/>
  <c r="D21" i="18" s="1"/>
  <c r="D53" i="18"/>
  <c r="D54" i="18"/>
  <c r="D23" i="18" s="1"/>
  <c r="D55" i="18"/>
  <c r="D56" i="18"/>
  <c r="D87" i="18" s="1"/>
  <c r="D57" i="18"/>
  <c r="D58" i="18"/>
  <c r="D27" i="18" s="1"/>
  <c r="D59" i="18"/>
  <c r="D60" i="18"/>
  <c r="D29" i="18" s="1"/>
  <c r="D61" i="18"/>
  <c r="D62" i="18"/>
  <c r="D31" i="18" s="1"/>
  <c r="D63" i="18"/>
  <c r="E69" i="18"/>
  <c r="E70" i="18"/>
  <c r="E73" i="18"/>
  <c r="E74" i="18"/>
  <c r="E77" i="18"/>
  <c r="E78" i="18"/>
  <c r="E81" i="18"/>
  <c r="E82" i="18"/>
  <c r="E85" i="18"/>
  <c r="E86" i="18"/>
  <c r="E89" i="18"/>
  <c r="E90" i="18"/>
  <c r="E93" i="18"/>
  <c r="E94" i="18"/>
  <c r="E102" i="18"/>
  <c r="D109" i="18"/>
  <c r="C110" i="18"/>
  <c r="F110" i="18" s="1"/>
  <c r="E111" i="18"/>
  <c r="C112" i="18"/>
  <c r="F112" i="18" s="1"/>
  <c r="E113" i="18"/>
  <c r="C114" i="18"/>
  <c r="F114" i="18" s="1"/>
  <c r="D115" i="18"/>
  <c r="D117" i="18"/>
  <c r="F117" i="18" s="1"/>
  <c r="F120" i="20"/>
  <c r="E37" i="60"/>
  <c r="E41" i="60"/>
  <c r="E45" i="60"/>
  <c r="E49" i="60"/>
  <c r="E53" i="60"/>
  <c r="E57" i="60"/>
  <c r="E59" i="60"/>
  <c r="E61" i="60"/>
  <c r="E63" i="60"/>
  <c r="E67" i="20"/>
  <c r="E68" i="20"/>
  <c r="E71" i="20"/>
  <c r="E72" i="20"/>
  <c r="E75" i="20"/>
  <c r="E76" i="20"/>
  <c r="E79" i="20"/>
  <c r="E80" i="20"/>
  <c r="E83" i="20"/>
  <c r="E84" i="20"/>
  <c r="E87" i="20"/>
  <c r="E88" i="20"/>
  <c r="E91" i="20"/>
  <c r="E92" i="20"/>
  <c r="E98" i="20"/>
  <c r="E99" i="20"/>
  <c r="E100" i="20"/>
  <c r="E101" i="20"/>
  <c r="E103" i="20"/>
  <c r="E104" i="20"/>
  <c r="E109" i="20"/>
  <c r="E110" i="20"/>
  <c r="E110" i="60" s="1"/>
  <c r="C111" i="20"/>
  <c r="E112" i="20"/>
  <c r="E112" i="60" s="1"/>
  <c r="C113" i="20"/>
  <c r="E114" i="20"/>
  <c r="E114" i="60" s="1"/>
  <c r="C115" i="20"/>
  <c r="E115" i="20"/>
  <c r="E115" i="60" s="1"/>
  <c r="C116" i="20"/>
  <c r="D36" i="20"/>
  <c r="F36" i="20" s="1"/>
  <c r="D37" i="20"/>
  <c r="D38" i="20"/>
  <c r="D7" i="20" s="1"/>
  <c r="D39" i="20"/>
  <c r="D40" i="20"/>
  <c r="D9" i="20" s="1"/>
  <c r="D41" i="20"/>
  <c r="D42" i="20"/>
  <c r="D11" i="20" s="1"/>
  <c r="D43" i="20"/>
  <c r="D44" i="20"/>
  <c r="D75" i="20" s="1"/>
  <c r="D45" i="20"/>
  <c r="D46" i="20"/>
  <c r="D15" i="20" s="1"/>
  <c r="D47" i="20"/>
  <c r="D48" i="20"/>
  <c r="D17" i="20" s="1"/>
  <c r="D49" i="20"/>
  <c r="D50" i="20"/>
  <c r="D19" i="20" s="1"/>
  <c r="D51" i="20"/>
  <c r="D52" i="20"/>
  <c r="D83" i="20" s="1"/>
  <c r="D53" i="20"/>
  <c r="D54" i="20"/>
  <c r="D23" i="20" s="1"/>
  <c r="D55" i="20"/>
  <c r="D56" i="20"/>
  <c r="D25" i="20" s="1"/>
  <c r="D57" i="20"/>
  <c r="D58" i="20"/>
  <c r="D27" i="20" s="1"/>
  <c r="D59" i="20"/>
  <c r="D60" i="20"/>
  <c r="D91" i="20" s="1"/>
  <c r="D61" i="20"/>
  <c r="D62" i="20"/>
  <c r="D31" i="20" s="1"/>
  <c r="D63" i="20"/>
  <c r="E69" i="20"/>
  <c r="E69" i="60" s="1"/>
  <c r="E70" i="20"/>
  <c r="E73" i="20"/>
  <c r="E73" i="60" s="1"/>
  <c r="E74" i="20"/>
  <c r="E77" i="20"/>
  <c r="E77" i="60" s="1"/>
  <c r="E78" i="20"/>
  <c r="E81" i="20"/>
  <c r="E81" i="60" s="1"/>
  <c r="E82" i="20"/>
  <c r="E85" i="20"/>
  <c r="E85" i="60" s="1"/>
  <c r="E86" i="20"/>
  <c r="E89" i="20"/>
  <c r="E89" i="60" s="1"/>
  <c r="E90" i="20"/>
  <c r="E93" i="20"/>
  <c r="E93" i="60" s="1"/>
  <c r="E94" i="20"/>
  <c r="E102" i="20"/>
  <c r="F102" i="20" s="1"/>
  <c r="D109" i="20"/>
  <c r="C110" i="20"/>
  <c r="E111" i="20"/>
  <c r="C112" i="20"/>
  <c r="E113" i="20"/>
  <c r="C114" i="20"/>
  <c r="D115" i="20"/>
  <c r="D117" i="20"/>
  <c r="F67" i="51"/>
  <c r="F67" i="49"/>
  <c r="F67" i="47"/>
  <c r="C118" i="45"/>
  <c r="F109" i="45"/>
  <c r="D6" i="57"/>
  <c r="D8" i="57"/>
  <c r="D10" i="57"/>
  <c r="D12" i="57"/>
  <c r="D14" i="57"/>
  <c r="D16" i="57"/>
  <c r="D18" i="57"/>
  <c r="D20" i="57"/>
  <c r="D22" i="57"/>
  <c r="D24" i="57"/>
  <c r="D26" i="57"/>
  <c r="D28" i="57"/>
  <c r="D30" i="57"/>
  <c r="D32" i="57"/>
  <c r="F36" i="57"/>
  <c r="D68" i="57"/>
  <c r="F68" i="57" s="1"/>
  <c r="D70" i="57"/>
  <c r="F70" i="57" s="1"/>
  <c r="D72" i="57"/>
  <c r="F72" i="57" s="1"/>
  <c r="D74" i="57"/>
  <c r="F74" i="57" s="1"/>
  <c r="D76" i="57"/>
  <c r="F76" i="57" s="1"/>
  <c r="D78" i="57"/>
  <c r="F78" i="57" s="1"/>
  <c r="D80" i="57"/>
  <c r="F80" i="57" s="1"/>
  <c r="D82" i="57"/>
  <c r="F82" i="57" s="1"/>
  <c r="D84" i="57"/>
  <c r="F84" i="57" s="1"/>
  <c r="D86" i="57"/>
  <c r="F86" i="57" s="1"/>
  <c r="D88" i="57"/>
  <c r="F88" i="57" s="1"/>
  <c r="D90" i="57"/>
  <c r="F90" i="57" s="1"/>
  <c r="D92" i="57"/>
  <c r="F92" i="57" s="1"/>
  <c r="D94" i="57"/>
  <c r="F94" i="57" s="1"/>
  <c r="D5" i="56"/>
  <c r="F37" i="56"/>
  <c r="F39" i="56"/>
  <c r="F41" i="56"/>
  <c r="F43" i="56"/>
  <c r="F45" i="56"/>
  <c r="F47" i="56"/>
  <c r="F49" i="56"/>
  <c r="F51" i="56"/>
  <c r="F53" i="56"/>
  <c r="F55" i="56"/>
  <c r="F57" i="56"/>
  <c r="F59" i="56"/>
  <c r="F61" i="56"/>
  <c r="F63" i="56"/>
  <c r="D67" i="56"/>
  <c r="D69" i="56"/>
  <c r="F69" i="56" s="1"/>
  <c r="D71" i="56"/>
  <c r="F71" i="56" s="1"/>
  <c r="D73" i="56"/>
  <c r="F73" i="56" s="1"/>
  <c r="D75" i="56"/>
  <c r="F75" i="56" s="1"/>
  <c r="D77" i="56"/>
  <c r="F77" i="56" s="1"/>
  <c r="D79" i="56"/>
  <c r="F79" i="56" s="1"/>
  <c r="D81" i="56"/>
  <c r="F81" i="56" s="1"/>
  <c r="D83" i="56"/>
  <c r="F83" i="56" s="1"/>
  <c r="D85" i="56"/>
  <c r="F85" i="56" s="1"/>
  <c r="D87" i="56"/>
  <c r="F87" i="56" s="1"/>
  <c r="D89" i="56"/>
  <c r="F89" i="56" s="1"/>
  <c r="D91" i="56"/>
  <c r="F91" i="56" s="1"/>
  <c r="D93" i="56"/>
  <c r="F93" i="56" s="1"/>
  <c r="D6" i="55"/>
  <c r="F36" i="55"/>
  <c r="F38" i="55"/>
  <c r="F40" i="55"/>
  <c r="F42" i="55"/>
  <c r="F44" i="55"/>
  <c r="F46" i="55"/>
  <c r="F50" i="55"/>
  <c r="F52" i="55"/>
  <c r="F54" i="55"/>
  <c r="F56" i="55"/>
  <c r="F58" i="55"/>
  <c r="F60" i="55"/>
  <c r="F62" i="55"/>
  <c r="D64" i="55"/>
  <c r="D68" i="55"/>
  <c r="F68" i="55" s="1"/>
  <c r="D70" i="55"/>
  <c r="F70" i="55" s="1"/>
  <c r="D72" i="55"/>
  <c r="F72" i="55" s="1"/>
  <c r="D74" i="55"/>
  <c r="F74" i="55" s="1"/>
  <c r="D76" i="55"/>
  <c r="F76" i="55" s="1"/>
  <c r="D78" i="55"/>
  <c r="F78" i="55" s="1"/>
  <c r="D80" i="55"/>
  <c r="F80" i="55" s="1"/>
  <c r="D82" i="55"/>
  <c r="F82" i="55" s="1"/>
  <c r="D84" i="55"/>
  <c r="F84" i="55" s="1"/>
  <c r="D86" i="55"/>
  <c r="F86" i="55" s="1"/>
  <c r="D88" i="55"/>
  <c r="F88" i="55" s="1"/>
  <c r="D90" i="55"/>
  <c r="F90" i="55" s="1"/>
  <c r="D92" i="55"/>
  <c r="F92" i="55" s="1"/>
  <c r="D94" i="55"/>
  <c r="F94" i="55" s="1"/>
  <c r="D5" i="54"/>
  <c r="D7" i="54"/>
  <c r="F37" i="54"/>
  <c r="F39" i="54"/>
  <c r="F41" i="54"/>
  <c r="F43" i="54"/>
  <c r="F45" i="54"/>
  <c r="F47" i="54"/>
  <c r="F49" i="54"/>
  <c r="F51" i="54"/>
  <c r="F53" i="54"/>
  <c r="F55" i="54"/>
  <c r="F57" i="54"/>
  <c r="F59" i="54"/>
  <c r="F61" i="54"/>
  <c r="F63" i="54"/>
  <c r="D67" i="54"/>
  <c r="D69" i="54"/>
  <c r="F69" i="54" s="1"/>
  <c r="D71" i="54"/>
  <c r="F71" i="54" s="1"/>
  <c r="D73" i="54"/>
  <c r="F73" i="54" s="1"/>
  <c r="D75" i="54"/>
  <c r="F75" i="54" s="1"/>
  <c r="D77" i="54"/>
  <c r="F77" i="54" s="1"/>
  <c r="D79" i="54"/>
  <c r="F79" i="54" s="1"/>
  <c r="D81" i="54"/>
  <c r="F81" i="54" s="1"/>
  <c r="D83" i="54"/>
  <c r="F83" i="54" s="1"/>
  <c r="D85" i="54"/>
  <c r="F85" i="54" s="1"/>
  <c r="D87" i="54"/>
  <c r="F87" i="54" s="1"/>
  <c r="D89" i="54"/>
  <c r="F89" i="54" s="1"/>
  <c r="D91" i="54"/>
  <c r="F91" i="54" s="1"/>
  <c r="D93" i="54"/>
  <c r="F93" i="54" s="1"/>
  <c r="D6" i="53"/>
  <c r="D8" i="53"/>
  <c r="F36" i="53"/>
  <c r="F38" i="53"/>
  <c r="F40" i="53"/>
  <c r="F42" i="53"/>
  <c r="F44" i="53"/>
  <c r="F46" i="53"/>
  <c r="F48" i="53"/>
  <c r="F52" i="53"/>
  <c r="F54" i="53"/>
  <c r="F56" i="53"/>
  <c r="F58" i="53"/>
  <c r="F60" i="53"/>
  <c r="F62" i="53"/>
  <c r="D64" i="53"/>
  <c r="D68" i="53"/>
  <c r="F68" i="53" s="1"/>
  <c r="D70" i="53"/>
  <c r="F70" i="53" s="1"/>
  <c r="D72" i="53"/>
  <c r="F72" i="53" s="1"/>
  <c r="D74" i="53"/>
  <c r="F74" i="53" s="1"/>
  <c r="D76" i="53"/>
  <c r="F76" i="53" s="1"/>
  <c r="D78" i="53"/>
  <c r="F78" i="53" s="1"/>
  <c r="D80" i="53"/>
  <c r="F80" i="53" s="1"/>
  <c r="D82" i="53"/>
  <c r="F82" i="53" s="1"/>
  <c r="D84" i="53"/>
  <c r="F84" i="53" s="1"/>
  <c r="D86" i="53"/>
  <c r="F86" i="53" s="1"/>
  <c r="D88" i="53"/>
  <c r="F88" i="53" s="1"/>
  <c r="D90" i="53"/>
  <c r="F90" i="53" s="1"/>
  <c r="D92" i="53"/>
  <c r="F92" i="53" s="1"/>
  <c r="D94" i="53"/>
  <c r="F94" i="53" s="1"/>
  <c r="D5" i="52"/>
  <c r="D7" i="52"/>
  <c r="F37" i="52"/>
  <c r="F39" i="52"/>
  <c r="F41" i="52"/>
  <c r="F43" i="52"/>
  <c r="F45" i="52"/>
  <c r="F47" i="52"/>
  <c r="F49" i="52"/>
  <c r="F51" i="52"/>
  <c r="F53" i="52"/>
  <c r="F57" i="52"/>
  <c r="F59" i="52"/>
  <c r="F61" i="52"/>
  <c r="F63" i="52"/>
  <c r="D67" i="52"/>
  <c r="D69" i="52"/>
  <c r="F69" i="52" s="1"/>
  <c r="D71" i="52"/>
  <c r="F71" i="52" s="1"/>
  <c r="D73" i="52"/>
  <c r="F73" i="52" s="1"/>
  <c r="D75" i="52"/>
  <c r="F75" i="52" s="1"/>
  <c r="D77" i="52"/>
  <c r="F77" i="52" s="1"/>
  <c r="D79" i="52"/>
  <c r="F79" i="52" s="1"/>
  <c r="D81" i="52"/>
  <c r="F81" i="52" s="1"/>
  <c r="D83" i="52"/>
  <c r="F83" i="52" s="1"/>
  <c r="D85" i="52"/>
  <c r="F85" i="52" s="1"/>
  <c r="D87" i="52"/>
  <c r="F87" i="52" s="1"/>
  <c r="D89" i="52"/>
  <c r="F89" i="52" s="1"/>
  <c r="D91" i="52"/>
  <c r="F91" i="52" s="1"/>
  <c r="D93" i="52"/>
  <c r="F93" i="52" s="1"/>
  <c r="D6" i="51"/>
  <c r="D8" i="51"/>
  <c r="F36" i="51"/>
  <c r="F38" i="51"/>
  <c r="F40" i="51"/>
  <c r="F42" i="51"/>
  <c r="F44" i="51"/>
  <c r="F46" i="51"/>
  <c r="F52" i="51"/>
  <c r="F54" i="51"/>
  <c r="F56" i="51"/>
  <c r="F58" i="51"/>
  <c r="F60" i="51"/>
  <c r="F62" i="51"/>
  <c r="D64" i="51"/>
  <c r="D68" i="51"/>
  <c r="F68" i="51" s="1"/>
  <c r="D70" i="51"/>
  <c r="F70" i="51" s="1"/>
  <c r="D72" i="51"/>
  <c r="F72" i="51" s="1"/>
  <c r="D74" i="51"/>
  <c r="F74" i="51" s="1"/>
  <c r="D76" i="51"/>
  <c r="F76" i="51" s="1"/>
  <c r="D78" i="51"/>
  <c r="F78" i="51" s="1"/>
  <c r="D80" i="51"/>
  <c r="F80" i="51" s="1"/>
  <c r="D82" i="51"/>
  <c r="F82" i="51" s="1"/>
  <c r="D84" i="51"/>
  <c r="F84" i="51" s="1"/>
  <c r="D86" i="51"/>
  <c r="F86" i="51" s="1"/>
  <c r="D88" i="51"/>
  <c r="F88" i="51" s="1"/>
  <c r="D90" i="51"/>
  <c r="F90" i="51" s="1"/>
  <c r="D92" i="51"/>
  <c r="F92" i="51" s="1"/>
  <c r="D94" i="51"/>
  <c r="F94" i="51" s="1"/>
  <c r="D5" i="50"/>
  <c r="D7" i="50"/>
  <c r="D9" i="50"/>
  <c r="F37" i="50"/>
  <c r="F39" i="50"/>
  <c r="F41" i="50"/>
  <c r="F43" i="50"/>
  <c r="F45" i="50"/>
  <c r="F47" i="50"/>
  <c r="F49" i="50"/>
  <c r="F51" i="50"/>
  <c r="F53" i="50"/>
  <c r="F55" i="50"/>
  <c r="F57" i="50"/>
  <c r="F59" i="50"/>
  <c r="F61" i="50"/>
  <c r="F63" i="50"/>
  <c r="D67" i="50"/>
  <c r="D69" i="50"/>
  <c r="F69" i="50" s="1"/>
  <c r="D71" i="50"/>
  <c r="F71" i="50" s="1"/>
  <c r="D73" i="50"/>
  <c r="F73" i="50" s="1"/>
  <c r="D75" i="50"/>
  <c r="F75" i="50" s="1"/>
  <c r="D77" i="50"/>
  <c r="F77" i="50" s="1"/>
  <c r="D79" i="50"/>
  <c r="F79" i="50" s="1"/>
  <c r="D81" i="50"/>
  <c r="F81" i="50" s="1"/>
  <c r="D83" i="50"/>
  <c r="F83" i="50" s="1"/>
  <c r="D85" i="50"/>
  <c r="F85" i="50" s="1"/>
  <c r="D87" i="50"/>
  <c r="F87" i="50" s="1"/>
  <c r="D89" i="50"/>
  <c r="F89" i="50" s="1"/>
  <c r="D91" i="50"/>
  <c r="F91" i="50" s="1"/>
  <c r="D93" i="50"/>
  <c r="F93" i="50" s="1"/>
  <c r="D6" i="49"/>
  <c r="D8" i="49"/>
  <c r="D10" i="49"/>
  <c r="F36" i="49"/>
  <c r="F38" i="49"/>
  <c r="F40" i="49"/>
  <c r="F42" i="49"/>
  <c r="F44" i="49"/>
  <c r="F46" i="49"/>
  <c r="F48" i="49"/>
  <c r="F50" i="49"/>
  <c r="F52" i="49"/>
  <c r="F54" i="49"/>
  <c r="F56" i="49"/>
  <c r="F58" i="49"/>
  <c r="F60" i="49"/>
  <c r="F62" i="49"/>
  <c r="D64" i="49"/>
  <c r="D68" i="49"/>
  <c r="F68" i="49" s="1"/>
  <c r="D70" i="49"/>
  <c r="F70" i="49" s="1"/>
  <c r="D72" i="49"/>
  <c r="F72" i="49" s="1"/>
  <c r="D74" i="49"/>
  <c r="F74" i="49" s="1"/>
  <c r="D76" i="49"/>
  <c r="F76" i="49" s="1"/>
  <c r="D78" i="49"/>
  <c r="F78" i="49" s="1"/>
  <c r="D80" i="49"/>
  <c r="F80" i="49" s="1"/>
  <c r="D82" i="49"/>
  <c r="F82" i="49" s="1"/>
  <c r="D84" i="49"/>
  <c r="F84" i="49" s="1"/>
  <c r="D86" i="49"/>
  <c r="F86" i="49" s="1"/>
  <c r="D88" i="49"/>
  <c r="F88" i="49" s="1"/>
  <c r="D90" i="49"/>
  <c r="F90" i="49" s="1"/>
  <c r="D92" i="49"/>
  <c r="F92" i="49" s="1"/>
  <c r="D94" i="49"/>
  <c r="F94" i="49" s="1"/>
  <c r="D5" i="48"/>
  <c r="D7" i="48"/>
  <c r="D9" i="48"/>
  <c r="F37" i="48"/>
  <c r="F39" i="48"/>
  <c r="F41" i="48"/>
  <c r="F43" i="48"/>
  <c r="F45" i="48"/>
  <c r="F47" i="48"/>
  <c r="F49" i="48"/>
  <c r="F51" i="48"/>
  <c r="F53" i="48"/>
  <c r="F57" i="48"/>
  <c r="F59" i="48"/>
  <c r="F61" i="48"/>
  <c r="F63" i="48"/>
  <c r="D67" i="48"/>
  <c r="D69" i="48"/>
  <c r="F69" i="48" s="1"/>
  <c r="D71" i="48"/>
  <c r="F71" i="48" s="1"/>
  <c r="D73" i="48"/>
  <c r="F73" i="48" s="1"/>
  <c r="D75" i="48"/>
  <c r="F75" i="48" s="1"/>
  <c r="D77" i="48"/>
  <c r="F77" i="48" s="1"/>
  <c r="D79" i="48"/>
  <c r="F79" i="48" s="1"/>
  <c r="D81" i="48"/>
  <c r="F81" i="48" s="1"/>
  <c r="D83" i="48"/>
  <c r="F83" i="48" s="1"/>
  <c r="D85" i="48"/>
  <c r="F85" i="48" s="1"/>
  <c r="D87" i="48"/>
  <c r="F87" i="48" s="1"/>
  <c r="D89" i="48"/>
  <c r="F89" i="48" s="1"/>
  <c r="D91" i="48"/>
  <c r="F91" i="48" s="1"/>
  <c r="D93" i="48"/>
  <c r="F93" i="48" s="1"/>
  <c r="D6" i="47"/>
  <c r="D8" i="47"/>
  <c r="D10" i="47"/>
  <c r="F36" i="47"/>
  <c r="F38" i="47"/>
  <c r="F40" i="47"/>
  <c r="F42" i="47"/>
  <c r="F44" i="47"/>
  <c r="F46" i="47"/>
  <c r="F52" i="47"/>
  <c r="F54" i="47"/>
  <c r="F56" i="47"/>
  <c r="F58" i="47"/>
  <c r="F60" i="47"/>
  <c r="F62" i="47"/>
  <c r="D64" i="47"/>
  <c r="D68" i="47"/>
  <c r="F68" i="47" s="1"/>
  <c r="D70" i="47"/>
  <c r="F70" i="47" s="1"/>
  <c r="D72" i="47"/>
  <c r="F72" i="47" s="1"/>
  <c r="D74" i="47"/>
  <c r="F74" i="47" s="1"/>
  <c r="D76" i="47"/>
  <c r="F76" i="47" s="1"/>
  <c r="D78" i="47"/>
  <c r="F78" i="47" s="1"/>
  <c r="D80" i="47"/>
  <c r="F80" i="47" s="1"/>
  <c r="D82" i="47"/>
  <c r="F82" i="47" s="1"/>
  <c r="D84" i="47"/>
  <c r="F84" i="47" s="1"/>
  <c r="D86" i="47"/>
  <c r="F86" i="47" s="1"/>
  <c r="D88" i="47"/>
  <c r="F88" i="47" s="1"/>
  <c r="D90" i="47"/>
  <c r="F90" i="47" s="1"/>
  <c r="D92" i="47"/>
  <c r="F92" i="47" s="1"/>
  <c r="D94" i="47"/>
  <c r="F94" i="47" s="1"/>
  <c r="D5" i="46"/>
  <c r="D7" i="46"/>
  <c r="D9" i="46"/>
  <c r="F37" i="46"/>
  <c r="F39" i="46"/>
  <c r="F41" i="46"/>
  <c r="F43" i="46"/>
  <c r="F45" i="46"/>
  <c r="F47" i="46"/>
  <c r="F49" i="46"/>
  <c r="F51" i="46"/>
  <c r="F53" i="46"/>
  <c r="F55" i="46"/>
  <c r="F57" i="46"/>
  <c r="F59" i="46"/>
  <c r="F61" i="46"/>
  <c r="F63" i="46"/>
  <c r="D67" i="46"/>
  <c r="D69" i="46"/>
  <c r="F69" i="46" s="1"/>
  <c r="D71" i="46"/>
  <c r="F71" i="46" s="1"/>
  <c r="D73" i="46"/>
  <c r="F73" i="46" s="1"/>
  <c r="D75" i="46"/>
  <c r="F75" i="46" s="1"/>
  <c r="D77" i="46"/>
  <c r="F77" i="46" s="1"/>
  <c r="D79" i="46"/>
  <c r="F79" i="46" s="1"/>
  <c r="D81" i="46"/>
  <c r="F81" i="46" s="1"/>
  <c r="D83" i="46"/>
  <c r="F83" i="46" s="1"/>
  <c r="D85" i="46"/>
  <c r="F85" i="46" s="1"/>
  <c r="D87" i="46"/>
  <c r="F87" i="46" s="1"/>
  <c r="D89" i="46"/>
  <c r="F89" i="46" s="1"/>
  <c r="D91" i="46"/>
  <c r="F91" i="46" s="1"/>
  <c r="D93" i="46"/>
  <c r="F93" i="46" s="1"/>
  <c r="D6" i="45"/>
  <c r="D8" i="45"/>
  <c r="D10" i="45"/>
  <c r="D12" i="45"/>
  <c r="F36" i="45"/>
  <c r="F38" i="45"/>
  <c r="F40" i="45"/>
  <c r="F42" i="45"/>
  <c r="F44" i="45"/>
  <c r="F46" i="45"/>
  <c r="F48" i="45"/>
  <c r="F52" i="45"/>
  <c r="F54" i="45"/>
  <c r="F56" i="45"/>
  <c r="F58" i="45"/>
  <c r="F60" i="45"/>
  <c r="F62" i="45"/>
  <c r="D64" i="45"/>
  <c r="D68" i="45"/>
  <c r="F68" i="45" s="1"/>
  <c r="D70" i="45"/>
  <c r="F70" i="45" s="1"/>
  <c r="D72" i="45"/>
  <c r="F72" i="45" s="1"/>
  <c r="D74" i="45"/>
  <c r="F74" i="45" s="1"/>
  <c r="D76" i="45"/>
  <c r="F76" i="45" s="1"/>
  <c r="D78" i="45"/>
  <c r="F78" i="45" s="1"/>
  <c r="D80" i="45"/>
  <c r="F80" i="45" s="1"/>
  <c r="D82" i="45"/>
  <c r="F82" i="45" s="1"/>
  <c r="D84" i="45"/>
  <c r="F84" i="45" s="1"/>
  <c r="D86" i="45"/>
  <c r="F86" i="45" s="1"/>
  <c r="D88" i="45"/>
  <c r="F88" i="45" s="1"/>
  <c r="D90" i="45"/>
  <c r="F90" i="45" s="1"/>
  <c r="D92" i="45"/>
  <c r="F92" i="45" s="1"/>
  <c r="D94" i="45"/>
  <c r="F94" i="45" s="1"/>
  <c r="D5" i="44"/>
  <c r="D7" i="44"/>
  <c r="D9" i="44"/>
  <c r="D11" i="44"/>
  <c r="F37" i="44"/>
  <c r="F39" i="44"/>
  <c r="F41" i="44"/>
  <c r="F43" i="44"/>
  <c r="F45" i="44"/>
  <c r="F47" i="44"/>
  <c r="F49" i="44"/>
  <c r="F51" i="44"/>
  <c r="F53" i="44"/>
  <c r="F57" i="44"/>
  <c r="F59" i="44"/>
  <c r="F61" i="44"/>
  <c r="F63" i="44"/>
  <c r="D67" i="44"/>
  <c r="D69" i="44"/>
  <c r="F69" i="44" s="1"/>
  <c r="D71" i="44"/>
  <c r="F71" i="44" s="1"/>
  <c r="D73" i="44"/>
  <c r="F73" i="44" s="1"/>
  <c r="D75" i="44"/>
  <c r="F75" i="44" s="1"/>
  <c r="D77" i="44"/>
  <c r="F77" i="44" s="1"/>
  <c r="D79" i="44"/>
  <c r="F79" i="44" s="1"/>
  <c r="F67" i="42"/>
  <c r="F67" i="38"/>
  <c r="F67" i="36"/>
  <c r="F67" i="32"/>
  <c r="F67" i="57"/>
  <c r="F36" i="56"/>
  <c r="F36" i="54"/>
  <c r="F36" i="52"/>
  <c r="F36" i="50"/>
  <c r="F36" i="48"/>
  <c r="F36" i="46"/>
  <c r="F36" i="44"/>
  <c r="F52" i="44"/>
  <c r="F54" i="44"/>
  <c r="F56" i="44"/>
  <c r="F58" i="44"/>
  <c r="F60" i="44"/>
  <c r="F62" i="44"/>
  <c r="F67" i="40"/>
  <c r="F67" i="34"/>
  <c r="F37" i="43"/>
  <c r="F39" i="43"/>
  <c r="F41" i="43"/>
  <c r="F45" i="43"/>
  <c r="F47" i="43"/>
  <c r="F49" i="43"/>
  <c r="F51" i="43"/>
  <c r="F53" i="43"/>
  <c r="F57" i="43"/>
  <c r="F59" i="43"/>
  <c r="F61" i="43"/>
  <c r="F63" i="43"/>
  <c r="D67" i="43"/>
  <c r="D69" i="43"/>
  <c r="F69" i="43" s="1"/>
  <c r="D71" i="43"/>
  <c r="F71" i="43" s="1"/>
  <c r="D73" i="43"/>
  <c r="F73" i="43" s="1"/>
  <c r="D75" i="43"/>
  <c r="F75" i="43" s="1"/>
  <c r="D77" i="43"/>
  <c r="F77" i="43" s="1"/>
  <c r="D79" i="43"/>
  <c r="F79" i="43" s="1"/>
  <c r="D81" i="43"/>
  <c r="F81" i="43" s="1"/>
  <c r="D83" i="43"/>
  <c r="F83" i="43" s="1"/>
  <c r="D85" i="43"/>
  <c r="F85" i="43" s="1"/>
  <c r="D87" i="43"/>
  <c r="F87" i="43" s="1"/>
  <c r="D89" i="43"/>
  <c r="F89" i="43" s="1"/>
  <c r="D91" i="43"/>
  <c r="F91" i="43" s="1"/>
  <c r="D93" i="43"/>
  <c r="F93" i="43" s="1"/>
  <c r="F36" i="42"/>
  <c r="F38" i="42"/>
  <c r="F40" i="42"/>
  <c r="F42" i="42"/>
  <c r="F44" i="42"/>
  <c r="F46" i="42"/>
  <c r="F48" i="42"/>
  <c r="F52" i="42"/>
  <c r="F54" i="42"/>
  <c r="F56" i="42"/>
  <c r="F58" i="42"/>
  <c r="F60" i="42"/>
  <c r="F62" i="42"/>
  <c r="D64" i="42"/>
  <c r="D68" i="42"/>
  <c r="F68" i="42" s="1"/>
  <c r="D70" i="42"/>
  <c r="F70" i="42" s="1"/>
  <c r="D72" i="42"/>
  <c r="F72" i="42" s="1"/>
  <c r="D74" i="42"/>
  <c r="F74" i="42" s="1"/>
  <c r="D76" i="42"/>
  <c r="F76" i="42" s="1"/>
  <c r="D78" i="42"/>
  <c r="F78" i="42" s="1"/>
  <c r="D80" i="42"/>
  <c r="F80" i="42" s="1"/>
  <c r="D82" i="42"/>
  <c r="F82" i="42" s="1"/>
  <c r="D84" i="42"/>
  <c r="F84" i="42" s="1"/>
  <c r="D86" i="42"/>
  <c r="F86" i="42" s="1"/>
  <c r="D88" i="42"/>
  <c r="F88" i="42" s="1"/>
  <c r="D90" i="42"/>
  <c r="F90" i="42" s="1"/>
  <c r="D92" i="42"/>
  <c r="F92" i="42" s="1"/>
  <c r="D94" i="42"/>
  <c r="F94" i="42" s="1"/>
  <c r="F37" i="41"/>
  <c r="F39" i="41"/>
  <c r="F41" i="41"/>
  <c r="F45" i="41"/>
  <c r="F47" i="41"/>
  <c r="F49" i="41"/>
  <c r="F51" i="41"/>
  <c r="F53" i="41"/>
  <c r="F55" i="41"/>
  <c r="F57" i="41"/>
  <c r="F59" i="41"/>
  <c r="F61" i="41"/>
  <c r="F63" i="41"/>
  <c r="D67" i="41"/>
  <c r="D69" i="41"/>
  <c r="F69" i="41" s="1"/>
  <c r="D71" i="41"/>
  <c r="F71" i="41" s="1"/>
  <c r="D73" i="41"/>
  <c r="F73" i="41" s="1"/>
  <c r="D75" i="41"/>
  <c r="F75" i="41" s="1"/>
  <c r="D77" i="41"/>
  <c r="F77" i="41" s="1"/>
  <c r="D79" i="41"/>
  <c r="F79" i="41" s="1"/>
  <c r="D81" i="41"/>
  <c r="F81" i="41" s="1"/>
  <c r="D83" i="41"/>
  <c r="F83" i="41" s="1"/>
  <c r="D85" i="41"/>
  <c r="F85" i="41" s="1"/>
  <c r="D87" i="41"/>
  <c r="F87" i="41" s="1"/>
  <c r="D89" i="41"/>
  <c r="F89" i="41" s="1"/>
  <c r="D91" i="41"/>
  <c r="F91" i="41" s="1"/>
  <c r="D93" i="41"/>
  <c r="F93" i="41" s="1"/>
  <c r="F36" i="40"/>
  <c r="F38" i="40"/>
  <c r="F40" i="40"/>
  <c r="F42" i="40"/>
  <c r="F44" i="40"/>
  <c r="F46" i="40"/>
  <c r="F48" i="40"/>
  <c r="F52" i="40"/>
  <c r="F54" i="40"/>
  <c r="F56" i="40"/>
  <c r="F58" i="40"/>
  <c r="F60" i="40"/>
  <c r="F62" i="40"/>
  <c r="D64" i="40"/>
  <c r="D68" i="40"/>
  <c r="F68" i="40" s="1"/>
  <c r="D70" i="40"/>
  <c r="F70" i="40" s="1"/>
  <c r="D72" i="40"/>
  <c r="F72" i="40" s="1"/>
  <c r="D74" i="40"/>
  <c r="F74" i="40" s="1"/>
  <c r="D76" i="40"/>
  <c r="F76" i="40" s="1"/>
  <c r="D78" i="40"/>
  <c r="F78" i="40" s="1"/>
  <c r="D80" i="40"/>
  <c r="F80" i="40" s="1"/>
  <c r="D82" i="40"/>
  <c r="F82" i="40" s="1"/>
  <c r="D84" i="40"/>
  <c r="F84" i="40" s="1"/>
  <c r="D86" i="40"/>
  <c r="F86" i="40" s="1"/>
  <c r="D88" i="40"/>
  <c r="F88" i="40" s="1"/>
  <c r="D90" i="40"/>
  <c r="F90" i="40" s="1"/>
  <c r="D92" i="40"/>
  <c r="F92" i="40" s="1"/>
  <c r="D94" i="40"/>
  <c r="F94" i="40" s="1"/>
  <c r="F37" i="39"/>
  <c r="F39" i="39"/>
  <c r="F41" i="39"/>
  <c r="F45" i="39"/>
  <c r="F47" i="39"/>
  <c r="F49" i="39"/>
  <c r="F51" i="39"/>
  <c r="F53" i="39"/>
  <c r="F57" i="39"/>
  <c r="F59" i="39"/>
  <c r="F61" i="39"/>
  <c r="F63" i="39"/>
  <c r="D67" i="39"/>
  <c r="D69" i="39"/>
  <c r="F69" i="39" s="1"/>
  <c r="D71" i="39"/>
  <c r="F71" i="39" s="1"/>
  <c r="D73" i="39"/>
  <c r="F73" i="39" s="1"/>
  <c r="D75" i="39"/>
  <c r="F75" i="39" s="1"/>
  <c r="D77" i="39"/>
  <c r="F77" i="39" s="1"/>
  <c r="D79" i="39"/>
  <c r="F79" i="39" s="1"/>
  <c r="D81" i="39"/>
  <c r="F81" i="39" s="1"/>
  <c r="D83" i="39"/>
  <c r="F83" i="39" s="1"/>
  <c r="D85" i="39"/>
  <c r="F85" i="39" s="1"/>
  <c r="D87" i="39"/>
  <c r="F87" i="39" s="1"/>
  <c r="D89" i="39"/>
  <c r="F89" i="39" s="1"/>
  <c r="D91" i="39"/>
  <c r="F91" i="39" s="1"/>
  <c r="D93" i="39"/>
  <c r="F93" i="39" s="1"/>
  <c r="F36" i="38"/>
  <c r="F38" i="38"/>
  <c r="F40" i="38"/>
  <c r="F42" i="38"/>
  <c r="F44" i="38"/>
  <c r="F46" i="38"/>
  <c r="F48" i="38"/>
  <c r="F52" i="38"/>
  <c r="F54" i="38"/>
  <c r="F56" i="38"/>
  <c r="F58" i="38"/>
  <c r="F60" i="38"/>
  <c r="F62" i="38"/>
  <c r="D64" i="38"/>
  <c r="D68" i="38"/>
  <c r="F68" i="38" s="1"/>
  <c r="D70" i="38"/>
  <c r="F70" i="38" s="1"/>
  <c r="D72" i="38"/>
  <c r="F72" i="38" s="1"/>
  <c r="D74" i="38"/>
  <c r="F74" i="38" s="1"/>
  <c r="D76" i="38"/>
  <c r="F76" i="38" s="1"/>
  <c r="D78" i="38"/>
  <c r="F78" i="38" s="1"/>
  <c r="D80" i="38"/>
  <c r="F80" i="38" s="1"/>
  <c r="D82" i="38"/>
  <c r="F82" i="38" s="1"/>
  <c r="D84" i="38"/>
  <c r="F84" i="38" s="1"/>
  <c r="D86" i="38"/>
  <c r="F86" i="38" s="1"/>
  <c r="D88" i="38"/>
  <c r="F88" i="38" s="1"/>
  <c r="D90" i="38"/>
  <c r="F90" i="38" s="1"/>
  <c r="D92" i="38"/>
  <c r="F92" i="38" s="1"/>
  <c r="D94" i="38"/>
  <c r="F94" i="38" s="1"/>
  <c r="F37" i="37"/>
  <c r="F39" i="37"/>
  <c r="F41" i="37"/>
  <c r="F43" i="37"/>
  <c r="F45" i="37"/>
  <c r="F47" i="37"/>
  <c r="F49" i="37"/>
  <c r="F51" i="37"/>
  <c r="F53" i="37"/>
  <c r="F57" i="37"/>
  <c r="F59" i="37"/>
  <c r="F61" i="37"/>
  <c r="F63" i="37"/>
  <c r="D67" i="37"/>
  <c r="D69" i="37"/>
  <c r="F69" i="37" s="1"/>
  <c r="D71" i="37"/>
  <c r="F71" i="37" s="1"/>
  <c r="D73" i="37"/>
  <c r="F73" i="37" s="1"/>
  <c r="D75" i="37"/>
  <c r="F75" i="37" s="1"/>
  <c r="D77" i="37"/>
  <c r="F77" i="37" s="1"/>
  <c r="D79" i="37"/>
  <c r="F79" i="37" s="1"/>
  <c r="D81" i="37"/>
  <c r="F81" i="37" s="1"/>
  <c r="D83" i="37"/>
  <c r="F83" i="37" s="1"/>
  <c r="D85" i="37"/>
  <c r="F85" i="37" s="1"/>
  <c r="D87" i="37"/>
  <c r="F87" i="37" s="1"/>
  <c r="D89" i="37"/>
  <c r="F89" i="37" s="1"/>
  <c r="D91" i="37"/>
  <c r="F91" i="37" s="1"/>
  <c r="D93" i="37"/>
  <c r="F93" i="37" s="1"/>
  <c r="F36" i="36"/>
  <c r="F38" i="36"/>
  <c r="F40" i="36"/>
  <c r="F42" i="36"/>
  <c r="F44" i="36"/>
  <c r="F46" i="36"/>
  <c r="F48" i="36"/>
  <c r="F52" i="36"/>
  <c r="F54" i="36"/>
  <c r="F56" i="36"/>
  <c r="F58" i="36"/>
  <c r="F60" i="36"/>
  <c r="F62" i="36"/>
  <c r="D64" i="36"/>
  <c r="F37" i="35"/>
  <c r="F39" i="35"/>
  <c r="F41" i="35"/>
  <c r="F43" i="35"/>
  <c r="F45" i="35"/>
  <c r="F47" i="35"/>
  <c r="F49" i="35"/>
  <c r="F51" i="35"/>
  <c r="F53" i="35"/>
  <c r="F57" i="35"/>
  <c r="F59" i="35"/>
  <c r="F61" i="35"/>
  <c r="F63" i="35"/>
  <c r="D67" i="35"/>
  <c r="D69" i="35"/>
  <c r="F69" i="35" s="1"/>
  <c r="D71" i="35"/>
  <c r="F71" i="35" s="1"/>
  <c r="D73" i="35"/>
  <c r="F73" i="35" s="1"/>
  <c r="D75" i="35"/>
  <c r="F75" i="35" s="1"/>
  <c r="D77" i="35"/>
  <c r="F77" i="35" s="1"/>
  <c r="D79" i="35"/>
  <c r="F79" i="35" s="1"/>
  <c r="D81" i="35"/>
  <c r="F81" i="35" s="1"/>
  <c r="D83" i="35"/>
  <c r="F83" i="35" s="1"/>
  <c r="D85" i="35"/>
  <c r="F85" i="35" s="1"/>
  <c r="D87" i="35"/>
  <c r="F87" i="35" s="1"/>
  <c r="D89" i="35"/>
  <c r="F89" i="35" s="1"/>
  <c r="D91" i="35"/>
  <c r="F91" i="35" s="1"/>
  <c r="D93" i="35"/>
  <c r="F93" i="35" s="1"/>
  <c r="F36" i="34"/>
  <c r="F38" i="34"/>
  <c r="F40" i="34"/>
  <c r="F42" i="34"/>
  <c r="F44" i="34"/>
  <c r="F46" i="34"/>
  <c r="F48" i="34"/>
  <c r="F52" i="34"/>
  <c r="F54" i="34"/>
  <c r="F56" i="34"/>
  <c r="F58" i="34"/>
  <c r="F60" i="34"/>
  <c r="F62" i="34"/>
  <c r="D64" i="34"/>
  <c r="D68" i="34"/>
  <c r="F68" i="34" s="1"/>
  <c r="D70" i="34"/>
  <c r="F70" i="34" s="1"/>
  <c r="D72" i="34"/>
  <c r="F72" i="34" s="1"/>
  <c r="D74" i="34"/>
  <c r="F74" i="34" s="1"/>
  <c r="D76" i="34"/>
  <c r="F76" i="34" s="1"/>
  <c r="D78" i="34"/>
  <c r="F78" i="34" s="1"/>
  <c r="D80" i="34"/>
  <c r="F80" i="34" s="1"/>
  <c r="D82" i="34"/>
  <c r="F82" i="34" s="1"/>
  <c r="D84" i="34"/>
  <c r="F84" i="34" s="1"/>
  <c r="D86" i="34"/>
  <c r="F86" i="34" s="1"/>
  <c r="D88" i="34"/>
  <c r="F88" i="34" s="1"/>
  <c r="D90" i="34"/>
  <c r="F90" i="34" s="1"/>
  <c r="D92" i="34"/>
  <c r="F92" i="34" s="1"/>
  <c r="D94" i="34"/>
  <c r="F94" i="34" s="1"/>
  <c r="F37" i="33"/>
  <c r="F39" i="33"/>
  <c r="F41" i="33"/>
  <c r="F43" i="33"/>
  <c r="F45" i="33"/>
  <c r="F47" i="33"/>
  <c r="F49" i="33"/>
  <c r="F51" i="33"/>
  <c r="F53" i="33"/>
  <c r="F57" i="33"/>
  <c r="F59" i="33"/>
  <c r="F61" i="33"/>
  <c r="F63" i="33"/>
  <c r="D67" i="33"/>
  <c r="D69" i="33"/>
  <c r="F69" i="33" s="1"/>
  <c r="D71" i="33"/>
  <c r="F71" i="33" s="1"/>
  <c r="D73" i="33"/>
  <c r="F73" i="33" s="1"/>
  <c r="D75" i="33"/>
  <c r="F75" i="33" s="1"/>
  <c r="D77" i="33"/>
  <c r="F77" i="33" s="1"/>
  <c r="D79" i="33"/>
  <c r="F79" i="33" s="1"/>
  <c r="D81" i="33"/>
  <c r="F81" i="33" s="1"/>
  <c r="D83" i="33"/>
  <c r="F83" i="33" s="1"/>
  <c r="D85" i="33"/>
  <c r="F85" i="33" s="1"/>
  <c r="D87" i="33"/>
  <c r="F87" i="33" s="1"/>
  <c r="D89" i="33"/>
  <c r="F89" i="33" s="1"/>
  <c r="D91" i="33"/>
  <c r="F91" i="33" s="1"/>
  <c r="D93" i="33"/>
  <c r="F93" i="33" s="1"/>
  <c r="F36" i="32"/>
  <c r="F38" i="32"/>
  <c r="F40" i="32"/>
  <c r="F42" i="32"/>
  <c r="F44" i="32"/>
  <c r="F46" i="32"/>
  <c r="F48" i="32"/>
  <c r="F52" i="32"/>
  <c r="F54" i="32"/>
  <c r="F56" i="32"/>
  <c r="F58" i="32"/>
  <c r="F60" i="32"/>
  <c r="F62" i="32"/>
  <c r="D64" i="32"/>
  <c r="F37" i="31"/>
  <c r="F39" i="31"/>
  <c r="F41" i="31"/>
  <c r="F45" i="31"/>
  <c r="F47" i="31"/>
  <c r="F49" i="31"/>
  <c r="F51" i="31"/>
  <c r="F53" i="31"/>
  <c r="F55" i="31"/>
  <c r="F57" i="31"/>
  <c r="F59" i="31"/>
  <c r="F61" i="31"/>
  <c r="F63" i="31"/>
  <c r="F36" i="30"/>
  <c r="F38" i="30"/>
  <c r="F41" i="30"/>
  <c r="F45" i="30"/>
  <c r="F49" i="30"/>
  <c r="F53" i="30"/>
  <c r="F57" i="30"/>
  <c r="F61" i="30"/>
  <c r="D6" i="43"/>
  <c r="D8" i="43"/>
  <c r="D10" i="43"/>
  <c r="D12" i="43"/>
  <c r="D14" i="43"/>
  <c r="F36" i="43"/>
  <c r="D5" i="42"/>
  <c r="D7" i="42"/>
  <c r="D9" i="42"/>
  <c r="D11" i="42"/>
  <c r="D13" i="42"/>
  <c r="D15" i="42"/>
  <c r="D6" i="41"/>
  <c r="D8" i="41"/>
  <c r="D10" i="41"/>
  <c r="D12" i="41"/>
  <c r="D14" i="41"/>
  <c r="D16" i="41"/>
  <c r="F36" i="41"/>
  <c r="D5" i="40"/>
  <c r="D7" i="40"/>
  <c r="D9" i="40"/>
  <c r="D11" i="40"/>
  <c r="D13" i="40"/>
  <c r="D15" i="40"/>
  <c r="D17" i="40"/>
  <c r="D6" i="39"/>
  <c r="D8" i="39"/>
  <c r="D10" i="39"/>
  <c r="D12" i="39"/>
  <c r="D14" i="39"/>
  <c r="D16" i="39"/>
  <c r="D18" i="39"/>
  <c r="D20" i="39"/>
  <c r="F36" i="39"/>
  <c r="D5" i="38"/>
  <c r="D7" i="38"/>
  <c r="D9" i="38"/>
  <c r="D11" i="38"/>
  <c r="D13" i="38"/>
  <c r="D15" i="38"/>
  <c r="D17" i="38"/>
  <c r="D19" i="38"/>
  <c r="D6" i="37"/>
  <c r="D8" i="37"/>
  <c r="D10" i="37"/>
  <c r="D12" i="37"/>
  <c r="D14" i="37"/>
  <c r="D16" i="37"/>
  <c r="D18" i="37"/>
  <c r="D20" i="37"/>
  <c r="D22" i="37"/>
  <c r="D24" i="37"/>
  <c r="F36" i="37"/>
  <c r="D5" i="36"/>
  <c r="D7" i="36"/>
  <c r="D9" i="36"/>
  <c r="D11" i="36"/>
  <c r="D13" i="36"/>
  <c r="D15" i="36"/>
  <c r="D17" i="36"/>
  <c r="D19" i="36"/>
  <c r="D21" i="36"/>
  <c r="D23" i="36"/>
  <c r="D25" i="36"/>
  <c r="D27" i="36"/>
  <c r="D29" i="36"/>
  <c r="D31" i="36"/>
  <c r="D6" i="35"/>
  <c r="D8" i="35"/>
  <c r="D10" i="35"/>
  <c r="D12" i="35"/>
  <c r="D14" i="35"/>
  <c r="D16" i="35"/>
  <c r="D18" i="35"/>
  <c r="D20" i="35"/>
  <c r="D22" i="35"/>
  <c r="D24" i="35"/>
  <c r="F36" i="35"/>
  <c r="D5" i="34"/>
  <c r="D7" i="34"/>
  <c r="D9" i="34"/>
  <c r="D11" i="34"/>
  <c r="D13" i="34"/>
  <c r="D15" i="34"/>
  <c r="D17" i="34"/>
  <c r="D19" i="34"/>
  <c r="D21" i="34"/>
  <c r="D23" i="34"/>
  <c r="D25" i="34"/>
  <c r="D27" i="34"/>
  <c r="D6" i="33"/>
  <c r="D8" i="33"/>
  <c r="D10" i="33"/>
  <c r="D12" i="33"/>
  <c r="D14" i="33"/>
  <c r="D16" i="33"/>
  <c r="D18" i="33"/>
  <c r="D20" i="33"/>
  <c r="D22" i="33"/>
  <c r="D24" i="33"/>
  <c r="D26" i="33"/>
  <c r="D28" i="33"/>
  <c r="D30" i="33"/>
  <c r="D32" i="33"/>
  <c r="F36" i="33"/>
  <c r="D5" i="32"/>
  <c r="D7" i="32"/>
  <c r="D9" i="32"/>
  <c r="D11" i="32"/>
  <c r="D13" i="32"/>
  <c r="D15" i="32"/>
  <c r="D17" i="32"/>
  <c r="D19" i="32"/>
  <c r="D21" i="32"/>
  <c r="D23" i="32"/>
  <c r="D25" i="32"/>
  <c r="D27" i="32"/>
  <c r="D29" i="32"/>
  <c r="D31" i="32"/>
  <c r="D6" i="31"/>
  <c r="D8" i="31"/>
  <c r="D10" i="31"/>
  <c r="D12" i="31"/>
  <c r="D14" i="31"/>
  <c r="D16" i="31"/>
  <c r="D18" i="31"/>
  <c r="D20" i="31"/>
  <c r="D22" i="31"/>
  <c r="D24" i="31"/>
  <c r="D26" i="31"/>
  <c r="D28" i="31"/>
  <c r="D30" i="31"/>
  <c r="D32" i="31"/>
  <c r="F36" i="31"/>
  <c r="D5" i="30"/>
  <c r="D7" i="30"/>
  <c r="F37" i="30"/>
  <c r="F39" i="30"/>
  <c r="F43" i="30"/>
  <c r="F47" i="30"/>
  <c r="F51" i="30"/>
  <c r="F59" i="30"/>
  <c r="F63" i="30"/>
  <c r="D67" i="30"/>
  <c r="D5" i="29"/>
  <c r="D7" i="29"/>
  <c r="D9" i="29"/>
  <c r="D11" i="29"/>
  <c r="D13" i="29"/>
  <c r="D15" i="29"/>
  <c r="D17" i="29"/>
  <c r="D19" i="29"/>
  <c r="D21" i="29"/>
  <c r="D23" i="29"/>
  <c r="D25" i="29"/>
  <c r="D27" i="29"/>
  <c r="D29" i="29"/>
  <c r="D31" i="29"/>
  <c r="D67" i="29"/>
  <c r="D69" i="29"/>
  <c r="F69" i="29" s="1"/>
  <c r="D71" i="29"/>
  <c r="F71" i="29" s="1"/>
  <c r="D73" i="29"/>
  <c r="F73" i="29" s="1"/>
  <c r="D75" i="29"/>
  <c r="F75" i="29" s="1"/>
  <c r="D77" i="29"/>
  <c r="F77" i="29" s="1"/>
  <c r="D79" i="29"/>
  <c r="F79" i="29" s="1"/>
  <c r="D81" i="29"/>
  <c r="F81" i="29" s="1"/>
  <c r="D83" i="29"/>
  <c r="F83" i="29" s="1"/>
  <c r="D85" i="29"/>
  <c r="F85" i="29" s="1"/>
  <c r="D87" i="29"/>
  <c r="F87" i="29" s="1"/>
  <c r="D89" i="29"/>
  <c r="F89" i="29" s="1"/>
  <c r="D91" i="29"/>
  <c r="F91" i="29" s="1"/>
  <c r="D93" i="29"/>
  <c r="F93" i="29" s="1"/>
  <c r="D6" i="28"/>
  <c r="D8" i="28"/>
  <c r="D10" i="28"/>
  <c r="D12" i="28"/>
  <c r="D14" i="28"/>
  <c r="D16" i="28"/>
  <c r="D18" i="28"/>
  <c r="D20" i="28"/>
  <c r="D22" i="28"/>
  <c r="D24" i="28"/>
  <c r="D26" i="28"/>
  <c r="D28" i="28"/>
  <c r="D30" i="28"/>
  <c r="D32" i="28"/>
  <c r="F36" i="28"/>
  <c r="D68" i="28"/>
  <c r="F68" i="28" s="1"/>
  <c r="D70" i="28"/>
  <c r="F70" i="28" s="1"/>
  <c r="D72" i="28"/>
  <c r="F72" i="28" s="1"/>
  <c r="D74" i="28"/>
  <c r="F74" i="28" s="1"/>
  <c r="D76" i="28"/>
  <c r="F76" i="28" s="1"/>
  <c r="D78" i="28"/>
  <c r="F78" i="28" s="1"/>
  <c r="D80" i="28"/>
  <c r="F80" i="28" s="1"/>
  <c r="D82" i="28"/>
  <c r="F82" i="28" s="1"/>
  <c r="D84" i="28"/>
  <c r="F84" i="28" s="1"/>
  <c r="D86" i="28"/>
  <c r="F86" i="28" s="1"/>
  <c r="D88" i="28"/>
  <c r="F88" i="28" s="1"/>
  <c r="D90" i="28"/>
  <c r="F90" i="28" s="1"/>
  <c r="D92" i="28"/>
  <c r="F92" i="28" s="1"/>
  <c r="D94" i="28"/>
  <c r="F94" i="28" s="1"/>
  <c r="D5" i="27"/>
  <c r="D7" i="27"/>
  <c r="D9" i="27"/>
  <c r="D11" i="27"/>
  <c r="D13" i="27"/>
  <c r="D15" i="27"/>
  <c r="D17" i="27"/>
  <c r="D19" i="27"/>
  <c r="F37" i="27"/>
  <c r="F39" i="27"/>
  <c r="F41" i="27"/>
  <c r="F45" i="27"/>
  <c r="F47" i="27"/>
  <c r="F49" i="27"/>
  <c r="F53" i="27"/>
  <c r="F55" i="27"/>
  <c r="F57" i="27"/>
  <c r="F59" i="27"/>
  <c r="F61" i="27"/>
  <c r="F63" i="27"/>
  <c r="D67" i="27"/>
  <c r="D69" i="27"/>
  <c r="F69" i="27" s="1"/>
  <c r="D71" i="27"/>
  <c r="F71" i="27" s="1"/>
  <c r="D73" i="27"/>
  <c r="F73" i="27" s="1"/>
  <c r="D75" i="27"/>
  <c r="F75" i="27" s="1"/>
  <c r="D77" i="27"/>
  <c r="F77" i="27" s="1"/>
  <c r="D79" i="27"/>
  <c r="F79" i="27" s="1"/>
  <c r="D81" i="27"/>
  <c r="F81" i="27" s="1"/>
  <c r="D83" i="27"/>
  <c r="F83" i="27" s="1"/>
  <c r="D85" i="27"/>
  <c r="F85" i="27" s="1"/>
  <c r="D87" i="27"/>
  <c r="F87" i="27" s="1"/>
  <c r="D89" i="27"/>
  <c r="F89" i="27" s="1"/>
  <c r="D91" i="27"/>
  <c r="F91" i="27" s="1"/>
  <c r="D93" i="27"/>
  <c r="F93" i="27" s="1"/>
  <c r="F36" i="26"/>
  <c r="F38" i="26"/>
  <c r="F40" i="26"/>
  <c r="F42" i="26"/>
  <c r="F44" i="26"/>
  <c r="F46" i="26"/>
  <c r="F48" i="26"/>
  <c r="F52" i="26"/>
  <c r="F54" i="26"/>
  <c r="F56" i="26"/>
  <c r="F58" i="26"/>
  <c r="F60" i="26"/>
  <c r="F62" i="26"/>
  <c r="D64" i="26"/>
  <c r="D68" i="26"/>
  <c r="F68" i="26" s="1"/>
  <c r="D70" i="26"/>
  <c r="F70" i="26" s="1"/>
  <c r="D72" i="26"/>
  <c r="F72" i="26" s="1"/>
  <c r="D74" i="26"/>
  <c r="F74" i="26" s="1"/>
  <c r="D76" i="26"/>
  <c r="F76" i="26" s="1"/>
  <c r="D78" i="26"/>
  <c r="F78" i="26" s="1"/>
  <c r="D80" i="26"/>
  <c r="F80" i="26" s="1"/>
  <c r="D82" i="26"/>
  <c r="F82" i="26" s="1"/>
  <c r="D84" i="26"/>
  <c r="F84" i="26" s="1"/>
  <c r="D86" i="26"/>
  <c r="F86" i="26" s="1"/>
  <c r="D88" i="26"/>
  <c r="F88" i="26" s="1"/>
  <c r="D90" i="26"/>
  <c r="F90" i="26" s="1"/>
  <c r="D92" i="26"/>
  <c r="F92" i="26" s="1"/>
  <c r="D94" i="26"/>
  <c r="F94" i="26" s="1"/>
  <c r="D5" i="25"/>
  <c r="D7" i="25"/>
  <c r="D9" i="25"/>
  <c r="D11" i="25"/>
  <c r="D13" i="25"/>
  <c r="D15" i="25"/>
  <c r="D17" i="25"/>
  <c r="D19" i="25"/>
  <c r="D21" i="25"/>
  <c r="D23" i="25"/>
  <c r="D25" i="25"/>
  <c r="D27" i="25"/>
  <c r="D29" i="25"/>
  <c r="D31" i="25"/>
  <c r="D67" i="25"/>
  <c r="D69" i="25"/>
  <c r="F69" i="25" s="1"/>
  <c r="D71" i="25"/>
  <c r="F71" i="25" s="1"/>
  <c r="D73" i="25"/>
  <c r="F73" i="25" s="1"/>
  <c r="D75" i="25"/>
  <c r="F75" i="25" s="1"/>
  <c r="D77" i="25"/>
  <c r="F77" i="25" s="1"/>
  <c r="D79" i="25"/>
  <c r="F79" i="25" s="1"/>
  <c r="D81" i="25"/>
  <c r="F81" i="25" s="1"/>
  <c r="D83" i="25"/>
  <c r="F83" i="25" s="1"/>
  <c r="D85" i="25"/>
  <c r="F85" i="25" s="1"/>
  <c r="D87" i="25"/>
  <c r="F87" i="25" s="1"/>
  <c r="D89" i="25"/>
  <c r="F89" i="25" s="1"/>
  <c r="D91" i="25"/>
  <c r="F91" i="25" s="1"/>
  <c r="D93" i="25"/>
  <c r="F93" i="25" s="1"/>
  <c r="D6" i="24"/>
  <c r="F36" i="24"/>
  <c r="F38" i="24"/>
  <c r="F40" i="24"/>
  <c r="F42" i="24"/>
  <c r="F44" i="24"/>
  <c r="F46" i="24"/>
  <c r="F48" i="24"/>
  <c r="F52" i="24"/>
  <c r="F54" i="24"/>
  <c r="F56" i="24"/>
  <c r="F58" i="24"/>
  <c r="F60" i="24"/>
  <c r="F62" i="24"/>
  <c r="D64" i="24"/>
  <c r="D68" i="24"/>
  <c r="F68" i="24" s="1"/>
  <c r="D70" i="24"/>
  <c r="F70" i="24" s="1"/>
  <c r="D72" i="24"/>
  <c r="F72" i="24" s="1"/>
  <c r="D74" i="24"/>
  <c r="F74" i="24" s="1"/>
  <c r="D76" i="24"/>
  <c r="F76" i="24" s="1"/>
  <c r="D78" i="24"/>
  <c r="F78" i="24" s="1"/>
  <c r="D80" i="24"/>
  <c r="F80" i="24" s="1"/>
  <c r="D82" i="24"/>
  <c r="F82" i="24" s="1"/>
  <c r="D84" i="24"/>
  <c r="F84" i="24" s="1"/>
  <c r="D86" i="24"/>
  <c r="F86" i="24" s="1"/>
  <c r="D88" i="24"/>
  <c r="F88" i="24" s="1"/>
  <c r="D90" i="24"/>
  <c r="F90" i="24" s="1"/>
  <c r="D92" i="24"/>
  <c r="F92" i="24" s="1"/>
  <c r="D94" i="24"/>
  <c r="F94" i="24" s="1"/>
  <c r="D5" i="23"/>
  <c r="F37" i="23"/>
  <c r="F39" i="23"/>
  <c r="F41" i="23"/>
  <c r="F45" i="23"/>
  <c r="F47" i="23"/>
  <c r="F49" i="23"/>
  <c r="F51" i="23"/>
  <c r="F53" i="23"/>
  <c r="F57" i="23"/>
  <c r="F59" i="23"/>
  <c r="F61" i="23"/>
  <c r="F63" i="23"/>
  <c r="D67" i="23"/>
  <c r="D69" i="23"/>
  <c r="F69" i="23" s="1"/>
  <c r="D71" i="23"/>
  <c r="F71" i="23" s="1"/>
  <c r="D73" i="23"/>
  <c r="F73" i="23" s="1"/>
  <c r="D75" i="23"/>
  <c r="F75" i="23" s="1"/>
  <c r="D77" i="23"/>
  <c r="F77" i="23" s="1"/>
  <c r="D79" i="23"/>
  <c r="F79" i="23" s="1"/>
  <c r="D81" i="23"/>
  <c r="F81" i="23" s="1"/>
  <c r="D83" i="23"/>
  <c r="F83" i="23" s="1"/>
  <c r="D85" i="23"/>
  <c r="F85" i="23" s="1"/>
  <c r="D87" i="23"/>
  <c r="F87" i="23" s="1"/>
  <c r="D89" i="23"/>
  <c r="F89" i="23" s="1"/>
  <c r="D91" i="23"/>
  <c r="F91" i="23" s="1"/>
  <c r="D93" i="23"/>
  <c r="F93" i="23" s="1"/>
  <c r="D6" i="22"/>
  <c r="F36" i="22"/>
  <c r="F38" i="22"/>
  <c r="F40" i="22"/>
  <c r="F42" i="22"/>
  <c r="F44" i="22"/>
  <c r="F46" i="22"/>
  <c r="F48" i="22"/>
  <c r="F52" i="22"/>
  <c r="F54" i="22"/>
  <c r="F56" i="22"/>
  <c r="F58" i="22"/>
  <c r="F60" i="22"/>
  <c r="F62" i="22"/>
  <c r="D64" i="22"/>
  <c r="D68" i="22"/>
  <c r="F68" i="22" s="1"/>
  <c r="D70" i="22"/>
  <c r="F70" i="22" s="1"/>
  <c r="D72" i="22"/>
  <c r="F72" i="22" s="1"/>
  <c r="D74" i="22"/>
  <c r="D76" i="22"/>
  <c r="F76" i="22" s="1"/>
  <c r="D78" i="22"/>
  <c r="F78" i="22" s="1"/>
  <c r="D80" i="22"/>
  <c r="F80" i="22" s="1"/>
  <c r="D82" i="22"/>
  <c r="F82" i="22" s="1"/>
  <c r="D84" i="22"/>
  <c r="F84" i="22" s="1"/>
  <c r="D86" i="22"/>
  <c r="F86" i="22" s="1"/>
  <c r="D88" i="22"/>
  <c r="F88" i="22" s="1"/>
  <c r="D90" i="22"/>
  <c r="F90" i="22" s="1"/>
  <c r="D92" i="22"/>
  <c r="F92" i="22" s="1"/>
  <c r="D94" i="22"/>
  <c r="F94" i="22" s="1"/>
  <c r="F36" i="29"/>
  <c r="F36" i="27"/>
  <c r="F36" i="25"/>
  <c r="F36" i="23"/>
  <c r="F36" i="21"/>
  <c r="F38" i="21"/>
  <c r="F40" i="21"/>
  <c r="F42" i="21"/>
  <c r="F44" i="21"/>
  <c r="F46" i="21"/>
  <c r="F48" i="21"/>
  <c r="F52" i="21"/>
  <c r="F54" i="21"/>
  <c r="F56" i="21"/>
  <c r="F58" i="21"/>
  <c r="F60" i="21"/>
  <c r="F62" i="21"/>
  <c r="D64" i="21"/>
  <c r="D68" i="21"/>
  <c r="F68" i="21" s="1"/>
  <c r="D70" i="21"/>
  <c r="F70" i="21" s="1"/>
  <c r="D72" i="21"/>
  <c r="F72" i="21" s="1"/>
  <c r="D74" i="21"/>
  <c r="F74" i="21" s="1"/>
  <c r="D76" i="21"/>
  <c r="F76" i="21" s="1"/>
  <c r="D78" i="21"/>
  <c r="F78" i="21" s="1"/>
  <c r="D80" i="21"/>
  <c r="F80" i="21" s="1"/>
  <c r="D82" i="21"/>
  <c r="F82" i="21" s="1"/>
  <c r="D84" i="21"/>
  <c r="F84" i="21" s="1"/>
  <c r="D86" i="21"/>
  <c r="F86" i="21" s="1"/>
  <c r="D88" i="21"/>
  <c r="F88" i="21" s="1"/>
  <c r="D90" i="21"/>
  <c r="F90" i="21" s="1"/>
  <c r="D92" i="21"/>
  <c r="F92" i="21" s="1"/>
  <c r="D94" i="21"/>
  <c r="F94" i="21" s="1"/>
  <c r="D5" i="20"/>
  <c r="D6" i="19"/>
  <c r="D8" i="19"/>
  <c r="F36" i="19"/>
  <c r="F38" i="19"/>
  <c r="F40" i="19"/>
  <c r="F42" i="19"/>
  <c r="F44" i="19"/>
  <c r="F46" i="19"/>
  <c r="F52" i="19"/>
  <c r="F54" i="19"/>
  <c r="F56" i="19"/>
  <c r="F58" i="19"/>
  <c r="F60" i="19"/>
  <c r="F62" i="19"/>
  <c r="D64" i="19"/>
  <c r="D68" i="19"/>
  <c r="F68" i="19" s="1"/>
  <c r="D70" i="19"/>
  <c r="F70" i="19" s="1"/>
  <c r="D72" i="19"/>
  <c r="F72" i="19" s="1"/>
  <c r="D74" i="19"/>
  <c r="D76" i="19"/>
  <c r="F76" i="19" s="1"/>
  <c r="D78" i="19"/>
  <c r="F78" i="19" s="1"/>
  <c r="D80" i="19"/>
  <c r="F80" i="19" s="1"/>
  <c r="D82" i="19"/>
  <c r="F82" i="19" s="1"/>
  <c r="D84" i="19"/>
  <c r="F84" i="19" s="1"/>
  <c r="D86" i="19"/>
  <c r="F86" i="19" s="1"/>
  <c r="D88" i="19"/>
  <c r="F88" i="19" s="1"/>
  <c r="D90" i="19"/>
  <c r="F90" i="19" s="1"/>
  <c r="D92" i="19"/>
  <c r="F92" i="19" s="1"/>
  <c r="D94" i="19"/>
  <c r="F94" i="19" s="1"/>
  <c r="D9" i="18"/>
  <c r="D17" i="18"/>
  <c r="D25" i="18"/>
  <c r="D67" i="18"/>
  <c r="D75" i="18"/>
  <c r="F75" i="18" s="1"/>
  <c r="D83" i="18"/>
  <c r="F83" i="18" s="1"/>
  <c r="D91" i="18"/>
  <c r="F91" i="18" s="1"/>
  <c r="D6" i="17"/>
  <c r="D8" i="17"/>
  <c r="F36" i="17"/>
  <c r="F38" i="17"/>
  <c r="F40" i="17"/>
  <c r="F42" i="17"/>
  <c r="F44" i="17"/>
  <c r="F46" i="17"/>
  <c r="F48" i="17"/>
  <c r="F52" i="17"/>
  <c r="F54" i="17"/>
  <c r="F56" i="17"/>
  <c r="F58" i="17"/>
  <c r="F60" i="17"/>
  <c r="F62" i="17"/>
  <c r="D64" i="17"/>
  <c r="D68" i="17"/>
  <c r="F68" i="17" s="1"/>
  <c r="D70" i="17"/>
  <c r="F70" i="17" s="1"/>
  <c r="D72" i="17"/>
  <c r="F72" i="17" s="1"/>
  <c r="D74" i="17"/>
  <c r="D76" i="17"/>
  <c r="F76" i="17" s="1"/>
  <c r="D78" i="17"/>
  <c r="F78" i="17" s="1"/>
  <c r="D80" i="17"/>
  <c r="F80" i="17" s="1"/>
  <c r="D82" i="17"/>
  <c r="F82" i="17" s="1"/>
  <c r="D84" i="17"/>
  <c r="F84" i="17" s="1"/>
  <c r="D86" i="17"/>
  <c r="F86" i="17" s="1"/>
  <c r="D88" i="17"/>
  <c r="F88" i="17" s="1"/>
  <c r="D90" i="17"/>
  <c r="F90" i="17" s="1"/>
  <c r="D92" i="17"/>
  <c r="F92" i="17" s="1"/>
  <c r="D94" i="17"/>
  <c r="F94" i="17" s="1"/>
  <c r="D5" i="16"/>
  <c r="D7" i="16"/>
  <c r="D9" i="16"/>
  <c r="D11" i="16"/>
  <c r="D13" i="16"/>
  <c r="D15" i="16"/>
  <c r="D17" i="16"/>
  <c r="D19" i="16"/>
  <c r="D21" i="16"/>
  <c r="D23" i="16"/>
  <c r="D25" i="16"/>
  <c r="D27" i="16"/>
  <c r="D29" i="16"/>
  <c r="D31" i="16"/>
  <c r="D67" i="16"/>
  <c r="D69" i="16"/>
  <c r="F69" i="16" s="1"/>
  <c r="D71" i="16"/>
  <c r="F71" i="16" s="1"/>
  <c r="D73" i="16"/>
  <c r="F73" i="16" s="1"/>
  <c r="D75" i="16"/>
  <c r="F75" i="16" s="1"/>
  <c r="D77" i="16"/>
  <c r="F77" i="16" s="1"/>
  <c r="D79" i="16"/>
  <c r="F79" i="16" s="1"/>
  <c r="D81" i="16"/>
  <c r="F81" i="16" s="1"/>
  <c r="D83" i="16"/>
  <c r="F83" i="16" s="1"/>
  <c r="D85" i="16"/>
  <c r="F85" i="16" s="1"/>
  <c r="D87" i="16"/>
  <c r="F87" i="16" s="1"/>
  <c r="D89" i="16"/>
  <c r="F89" i="16" s="1"/>
  <c r="D91" i="16"/>
  <c r="F91" i="16" s="1"/>
  <c r="D93" i="16"/>
  <c r="F93" i="16" s="1"/>
  <c r="D6" i="15"/>
  <c r="D8" i="15"/>
  <c r="F36" i="15"/>
  <c r="F38" i="15"/>
  <c r="F40" i="15"/>
  <c r="F42" i="15"/>
  <c r="F44" i="15"/>
  <c r="F46" i="15"/>
  <c r="F48" i="15"/>
  <c r="F52" i="15"/>
  <c r="F54" i="15"/>
  <c r="F56" i="15"/>
  <c r="F58" i="15"/>
  <c r="F60" i="15"/>
  <c r="F62" i="15"/>
  <c r="D64" i="15"/>
  <c r="D68" i="15"/>
  <c r="F68" i="15" s="1"/>
  <c r="D70" i="15"/>
  <c r="F70" i="15" s="1"/>
  <c r="D72" i="15"/>
  <c r="F72" i="15" s="1"/>
  <c r="D74" i="15"/>
  <c r="F74" i="15" s="1"/>
  <c r="D76" i="15"/>
  <c r="F76" i="15" s="1"/>
  <c r="D78" i="15"/>
  <c r="F78" i="15" s="1"/>
  <c r="D80" i="15"/>
  <c r="F80" i="15" s="1"/>
  <c r="D82" i="15"/>
  <c r="F82" i="15" s="1"/>
  <c r="D84" i="15"/>
  <c r="F84" i="15" s="1"/>
  <c r="D86" i="15"/>
  <c r="F86" i="15" s="1"/>
  <c r="D88" i="15"/>
  <c r="F88" i="15" s="1"/>
  <c r="D90" i="15"/>
  <c r="F90" i="15" s="1"/>
  <c r="D92" i="15"/>
  <c r="F92" i="15" s="1"/>
  <c r="D94" i="15"/>
  <c r="F94" i="15" s="1"/>
  <c r="D5" i="14"/>
  <c r="F37" i="14"/>
  <c r="F39" i="14"/>
  <c r="F41" i="14"/>
  <c r="F45" i="14"/>
  <c r="F47" i="14"/>
  <c r="F49" i="14"/>
  <c r="F51" i="14"/>
  <c r="F53" i="14"/>
  <c r="F57" i="14"/>
  <c r="F59" i="14"/>
  <c r="F61" i="14"/>
  <c r="F36" i="16"/>
  <c r="F36" i="14"/>
  <c r="F38" i="14"/>
  <c r="F40" i="14"/>
  <c r="F42" i="14"/>
  <c r="F44" i="14"/>
  <c r="F46" i="14"/>
  <c r="F48" i="14"/>
  <c r="F52" i="14"/>
  <c r="F54" i="14"/>
  <c r="F56" i="14"/>
  <c r="F58" i="14"/>
  <c r="F60" i="14"/>
  <c r="D93" i="14"/>
  <c r="F93" i="14" s="1"/>
  <c r="F62" i="14"/>
  <c r="F63" i="14"/>
  <c r="D67" i="14"/>
  <c r="F37" i="13"/>
  <c r="F39" i="13"/>
  <c r="F41" i="13"/>
  <c r="F45" i="13"/>
  <c r="F47" i="13"/>
  <c r="F49" i="13"/>
  <c r="F53" i="13"/>
  <c r="F55" i="13"/>
  <c r="F57" i="13"/>
  <c r="F59" i="13"/>
  <c r="F61" i="13"/>
  <c r="F63" i="13"/>
  <c r="D67" i="13"/>
  <c r="D69" i="13"/>
  <c r="F69" i="13" s="1"/>
  <c r="D71" i="13"/>
  <c r="F71" i="13" s="1"/>
  <c r="D73" i="13"/>
  <c r="F73" i="13" s="1"/>
  <c r="D75" i="13"/>
  <c r="F75" i="13" s="1"/>
  <c r="D77" i="13"/>
  <c r="F77" i="13" s="1"/>
  <c r="D79" i="13"/>
  <c r="F79" i="13" s="1"/>
  <c r="D81" i="13"/>
  <c r="F81" i="13" s="1"/>
  <c r="D83" i="13"/>
  <c r="F83" i="13" s="1"/>
  <c r="D85" i="13"/>
  <c r="F85" i="13" s="1"/>
  <c r="D87" i="13"/>
  <c r="F87" i="13" s="1"/>
  <c r="D89" i="13"/>
  <c r="F89" i="13" s="1"/>
  <c r="D91" i="13"/>
  <c r="F91" i="13" s="1"/>
  <c r="D93" i="13"/>
  <c r="F93" i="13" s="1"/>
  <c r="F36" i="12"/>
  <c r="F38" i="12"/>
  <c r="F40" i="12"/>
  <c r="F42" i="12"/>
  <c r="F44" i="12"/>
  <c r="F46" i="12"/>
  <c r="F52" i="12"/>
  <c r="F54" i="12"/>
  <c r="F56" i="12"/>
  <c r="F58" i="12"/>
  <c r="F60" i="12"/>
  <c r="F62" i="12"/>
  <c r="D64" i="12"/>
  <c r="D68" i="12"/>
  <c r="F68" i="12" s="1"/>
  <c r="D70" i="12"/>
  <c r="F70" i="12" s="1"/>
  <c r="D72" i="12"/>
  <c r="F72" i="12" s="1"/>
  <c r="D74" i="12"/>
  <c r="D76" i="12"/>
  <c r="F76" i="12" s="1"/>
  <c r="D78" i="12"/>
  <c r="F78" i="12" s="1"/>
  <c r="D80" i="12"/>
  <c r="F80" i="12" s="1"/>
  <c r="D82" i="12"/>
  <c r="F82" i="12" s="1"/>
  <c r="D84" i="12"/>
  <c r="F84" i="12" s="1"/>
  <c r="D86" i="12"/>
  <c r="F86" i="12" s="1"/>
  <c r="D88" i="12"/>
  <c r="F88" i="12" s="1"/>
  <c r="D90" i="12"/>
  <c r="F90" i="12" s="1"/>
  <c r="D92" i="12"/>
  <c r="F92" i="12" s="1"/>
  <c r="D94" i="12"/>
  <c r="F94" i="12" s="1"/>
  <c r="F37" i="11"/>
  <c r="F39" i="11"/>
  <c r="F41" i="11"/>
  <c r="F43" i="11"/>
  <c r="F45" i="11"/>
  <c r="F47" i="11"/>
  <c r="F49" i="11"/>
  <c r="F53" i="11"/>
  <c r="F55" i="11"/>
  <c r="F57" i="11"/>
  <c r="F59" i="11"/>
  <c r="F61" i="11"/>
  <c r="F63" i="11"/>
  <c r="D67" i="11"/>
  <c r="D69" i="11"/>
  <c r="F69" i="11" s="1"/>
  <c r="D71" i="11"/>
  <c r="F71" i="11" s="1"/>
  <c r="D73" i="11"/>
  <c r="F73" i="11" s="1"/>
  <c r="D75" i="11"/>
  <c r="F75" i="11" s="1"/>
  <c r="D77" i="11"/>
  <c r="F77" i="11" s="1"/>
  <c r="D79" i="11"/>
  <c r="F79" i="11" s="1"/>
  <c r="D81" i="11"/>
  <c r="F81" i="11" s="1"/>
  <c r="D83" i="11"/>
  <c r="F83" i="11" s="1"/>
  <c r="D85" i="11"/>
  <c r="F85" i="11" s="1"/>
  <c r="D87" i="11"/>
  <c r="F87" i="11" s="1"/>
  <c r="D89" i="11"/>
  <c r="F89" i="11" s="1"/>
  <c r="D91" i="11"/>
  <c r="F91" i="11" s="1"/>
  <c r="D93" i="11"/>
  <c r="F93" i="11" s="1"/>
  <c r="F67" i="9"/>
  <c r="F36" i="13"/>
  <c r="F36" i="11"/>
  <c r="F67" i="7"/>
  <c r="F37" i="10"/>
  <c r="F39" i="10"/>
  <c r="F41" i="10"/>
  <c r="F43" i="10"/>
  <c r="F45" i="10"/>
  <c r="F47" i="10"/>
  <c r="F49" i="10"/>
  <c r="F51" i="10"/>
  <c r="F53" i="10"/>
  <c r="F55" i="10"/>
  <c r="F57" i="10"/>
  <c r="F59" i="10"/>
  <c r="F61" i="10"/>
  <c r="F63" i="10"/>
  <c r="D67" i="10"/>
  <c r="D69" i="10"/>
  <c r="F69" i="10" s="1"/>
  <c r="D71" i="10"/>
  <c r="F71" i="10" s="1"/>
  <c r="D73" i="10"/>
  <c r="F73" i="10" s="1"/>
  <c r="D75" i="10"/>
  <c r="F75" i="10" s="1"/>
  <c r="D77" i="10"/>
  <c r="F77" i="10" s="1"/>
  <c r="D79" i="10"/>
  <c r="F79" i="10" s="1"/>
  <c r="D81" i="10"/>
  <c r="F81" i="10" s="1"/>
  <c r="D83" i="10"/>
  <c r="F83" i="10" s="1"/>
  <c r="D85" i="10"/>
  <c r="F85" i="10" s="1"/>
  <c r="D87" i="10"/>
  <c r="F87" i="10" s="1"/>
  <c r="D89" i="10"/>
  <c r="F89" i="10" s="1"/>
  <c r="D91" i="10"/>
  <c r="F91" i="10" s="1"/>
  <c r="D93" i="10"/>
  <c r="F93" i="10" s="1"/>
  <c r="F36" i="9"/>
  <c r="F38" i="9"/>
  <c r="F40" i="9"/>
  <c r="F42" i="9"/>
  <c r="F44" i="9"/>
  <c r="F46" i="9"/>
  <c r="F48" i="9"/>
  <c r="F52" i="9"/>
  <c r="F54" i="9"/>
  <c r="F56" i="9"/>
  <c r="F58" i="9"/>
  <c r="F60" i="9"/>
  <c r="F62" i="9"/>
  <c r="D64" i="9"/>
  <c r="D68" i="9"/>
  <c r="F68" i="9" s="1"/>
  <c r="D70" i="9"/>
  <c r="F70" i="9" s="1"/>
  <c r="D72" i="9"/>
  <c r="F72" i="9" s="1"/>
  <c r="D74" i="9"/>
  <c r="F74" i="9" s="1"/>
  <c r="D76" i="9"/>
  <c r="F76" i="9" s="1"/>
  <c r="D78" i="9"/>
  <c r="F78" i="9" s="1"/>
  <c r="D80" i="9"/>
  <c r="F80" i="9" s="1"/>
  <c r="D82" i="9"/>
  <c r="F82" i="9" s="1"/>
  <c r="D84" i="9"/>
  <c r="F84" i="9" s="1"/>
  <c r="D86" i="9"/>
  <c r="F86" i="9" s="1"/>
  <c r="D88" i="9"/>
  <c r="F88" i="9" s="1"/>
  <c r="D90" i="9"/>
  <c r="F90" i="9" s="1"/>
  <c r="D92" i="9"/>
  <c r="F92" i="9" s="1"/>
  <c r="D94" i="9"/>
  <c r="F94" i="9" s="1"/>
  <c r="F37" i="8"/>
  <c r="F39" i="8"/>
  <c r="F41" i="8"/>
  <c r="F45" i="8"/>
  <c r="F47" i="8"/>
  <c r="F49" i="8"/>
  <c r="F51" i="8"/>
  <c r="F53" i="8"/>
  <c r="F57" i="8"/>
  <c r="F59" i="8"/>
  <c r="F61" i="8"/>
  <c r="F63" i="8"/>
  <c r="D67" i="8"/>
  <c r="D69" i="8"/>
  <c r="F69" i="8" s="1"/>
  <c r="D71" i="8"/>
  <c r="F71" i="8" s="1"/>
  <c r="D73" i="8"/>
  <c r="F73" i="8" s="1"/>
  <c r="D75" i="8"/>
  <c r="F75" i="8" s="1"/>
  <c r="D77" i="8"/>
  <c r="F77" i="8" s="1"/>
  <c r="D79" i="8"/>
  <c r="F79" i="8" s="1"/>
  <c r="D81" i="8"/>
  <c r="F81" i="8" s="1"/>
  <c r="D83" i="8"/>
  <c r="F83" i="8" s="1"/>
  <c r="D85" i="8"/>
  <c r="F85" i="8" s="1"/>
  <c r="D87" i="8"/>
  <c r="F87" i="8" s="1"/>
  <c r="D89" i="8"/>
  <c r="F89" i="8" s="1"/>
  <c r="D91" i="8"/>
  <c r="F91" i="8" s="1"/>
  <c r="D93" i="8"/>
  <c r="F93" i="8" s="1"/>
  <c r="F36" i="7"/>
  <c r="F38" i="7"/>
  <c r="F40" i="7"/>
  <c r="F42" i="7"/>
  <c r="F44" i="7"/>
  <c r="F46" i="7"/>
  <c r="F48" i="7"/>
  <c r="F52" i="7"/>
  <c r="F54" i="7"/>
  <c r="F56" i="7"/>
  <c r="F58" i="7"/>
  <c r="F60" i="7"/>
  <c r="F62" i="7"/>
  <c r="D64" i="7"/>
  <c r="D68" i="7"/>
  <c r="F68" i="7" s="1"/>
  <c r="D70" i="7"/>
  <c r="F70" i="7" s="1"/>
  <c r="D72" i="7"/>
  <c r="F72" i="7" s="1"/>
  <c r="D74" i="7"/>
  <c r="F74" i="7" s="1"/>
  <c r="D76" i="7"/>
  <c r="F76" i="7" s="1"/>
  <c r="D78" i="7"/>
  <c r="F78" i="7" s="1"/>
  <c r="D80" i="7"/>
  <c r="F80" i="7" s="1"/>
  <c r="D82" i="7"/>
  <c r="F82" i="7" s="1"/>
  <c r="D84" i="7"/>
  <c r="F84" i="7" s="1"/>
  <c r="D86" i="7"/>
  <c r="F86" i="7" s="1"/>
  <c r="D88" i="7"/>
  <c r="F88" i="7" s="1"/>
  <c r="D90" i="7"/>
  <c r="F90" i="7" s="1"/>
  <c r="D92" i="7"/>
  <c r="F92" i="7" s="1"/>
  <c r="F36" i="10"/>
  <c r="D5" i="9"/>
  <c r="D6" i="8"/>
  <c r="F36" i="8"/>
  <c r="D5" i="7"/>
  <c r="D7" i="7"/>
  <c r="F63" i="7"/>
  <c r="D5" i="6"/>
  <c r="F37" i="6"/>
  <c r="F39" i="6"/>
  <c r="F41" i="6"/>
  <c r="F45" i="6"/>
  <c r="F47" i="6"/>
  <c r="F49" i="6"/>
  <c r="F51" i="6"/>
  <c r="F53" i="6"/>
  <c r="F57" i="6"/>
  <c r="F59" i="6"/>
  <c r="F61" i="6"/>
  <c r="F63" i="6"/>
  <c r="D67" i="6"/>
  <c r="D69" i="6"/>
  <c r="F69" i="6" s="1"/>
  <c r="D71" i="6"/>
  <c r="F71" i="6" s="1"/>
  <c r="D73" i="6"/>
  <c r="F73" i="6" s="1"/>
  <c r="D75" i="6"/>
  <c r="F75" i="6" s="1"/>
  <c r="D77" i="6"/>
  <c r="F77" i="6" s="1"/>
  <c r="D79" i="6"/>
  <c r="F79" i="6" s="1"/>
  <c r="D81" i="6"/>
  <c r="F81" i="6" s="1"/>
  <c r="D83" i="6"/>
  <c r="F83" i="6" s="1"/>
  <c r="D85" i="6"/>
  <c r="F85" i="6" s="1"/>
  <c r="D87" i="6"/>
  <c r="F87" i="6" s="1"/>
  <c r="D89" i="6"/>
  <c r="F89" i="6" s="1"/>
  <c r="D91" i="6"/>
  <c r="F91" i="6" s="1"/>
  <c r="D93" i="6"/>
  <c r="F93" i="6" s="1"/>
  <c r="D6" i="5"/>
  <c r="D8" i="5"/>
  <c r="D10" i="5"/>
  <c r="D12" i="5"/>
  <c r="D14" i="5"/>
  <c r="D16" i="5"/>
  <c r="D18" i="5"/>
  <c r="D20" i="5"/>
  <c r="D22" i="5"/>
  <c r="D24" i="5"/>
  <c r="D26" i="5"/>
  <c r="D28" i="5"/>
  <c r="D30" i="5"/>
  <c r="D32" i="5"/>
  <c r="F36" i="5"/>
  <c r="D68" i="5"/>
  <c r="F68" i="5" s="1"/>
  <c r="D70" i="5"/>
  <c r="F70" i="5" s="1"/>
  <c r="D72" i="5"/>
  <c r="F72" i="5" s="1"/>
  <c r="D74" i="5"/>
  <c r="F74" i="5" s="1"/>
  <c r="D76" i="5"/>
  <c r="F76" i="5" s="1"/>
  <c r="D78" i="5"/>
  <c r="F78" i="5" s="1"/>
  <c r="D80" i="5"/>
  <c r="F80" i="5" s="1"/>
  <c r="D82" i="5"/>
  <c r="F82" i="5" s="1"/>
  <c r="D84" i="5"/>
  <c r="F84" i="5" s="1"/>
  <c r="D86" i="5"/>
  <c r="F86" i="5" s="1"/>
  <c r="D88" i="5"/>
  <c r="F88" i="5" s="1"/>
  <c r="D90" i="5"/>
  <c r="F90" i="5" s="1"/>
  <c r="D92" i="5"/>
  <c r="F92" i="5" s="1"/>
  <c r="D94" i="5"/>
  <c r="F94" i="5" s="1"/>
  <c r="D33" i="4"/>
  <c r="F36" i="6"/>
  <c r="F37" i="4"/>
  <c r="F39" i="4"/>
  <c r="F41" i="4"/>
  <c r="F43" i="4"/>
  <c r="F45" i="4"/>
  <c r="F47" i="4"/>
  <c r="F49" i="4"/>
  <c r="F51" i="4"/>
  <c r="F53" i="4"/>
  <c r="F55" i="4"/>
  <c r="F57" i="4"/>
  <c r="F59" i="4"/>
  <c r="F61" i="4"/>
  <c r="F63" i="4"/>
  <c r="D67" i="4"/>
  <c r="D69" i="4"/>
  <c r="F69" i="4" s="1"/>
  <c r="D71" i="4"/>
  <c r="F71" i="4" s="1"/>
  <c r="D73" i="4"/>
  <c r="F73" i="4" s="1"/>
  <c r="D75" i="4"/>
  <c r="F75" i="4" s="1"/>
  <c r="D77" i="4"/>
  <c r="F77" i="4" s="1"/>
  <c r="D79" i="4"/>
  <c r="F79" i="4" s="1"/>
  <c r="D81" i="4"/>
  <c r="F81" i="4" s="1"/>
  <c r="D83" i="4"/>
  <c r="F83" i="4" s="1"/>
  <c r="D85" i="4"/>
  <c r="F85" i="4" s="1"/>
  <c r="D87" i="4"/>
  <c r="F87" i="4" s="1"/>
  <c r="D89" i="4"/>
  <c r="F89" i="4" s="1"/>
  <c r="D91" i="4"/>
  <c r="F91" i="4" s="1"/>
  <c r="D93" i="4"/>
  <c r="F93" i="4" s="1"/>
  <c r="F36" i="3"/>
  <c r="F38" i="3"/>
  <c r="F40" i="3"/>
  <c r="F42" i="3"/>
  <c r="F44" i="3"/>
  <c r="F46" i="3"/>
  <c r="F48" i="3"/>
  <c r="F52" i="3"/>
  <c r="F54" i="3"/>
  <c r="F56" i="3"/>
  <c r="F58" i="3"/>
  <c r="F60" i="3"/>
  <c r="F62" i="3"/>
  <c r="D64" i="3"/>
  <c r="D68" i="3"/>
  <c r="F68" i="3" s="1"/>
  <c r="D70" i="3"/>
  <c r="F70" i="3" s="1"/>
  <c r="D72" i="3"/>
  <c r="D74" i="3"/>
  <c r="F74" i="3" s="1"/>
  <c r="D76" i="3"/>
  <c r="F76" i="3" s="1"/>
  <c r="D78" i="3"/>
  <c r="F78" i="3" s="1"/>
  <c r="D80" i="3"/>
  <c r="F80" i="3" s="1"/>
  <c r="D82" i="3"/>
  <c r="F82" i="3" s="1"/>
  <c r="D84" i="3"/>
  <c r="F84" i="3" s="1"/>
  <c r="D86" i="3"/>
  <c r="F86" i="3" s="1"/>
  <c r="D88" i="3"/>
  <c r="F88" i="3" s="1"/>
  <c r="D90" i="3"/>
  <c r="F90" i="3" s="1"/>
  <c r="D92" i="3"/>
  <c r="F92" i="3" s="1"/>
  <c r="D94" i="3"/>
  <c r="F94" i="3" s="1"/>
  <c r="F36" i="4"/>
  <c r="D6" i="59"/>
  <c r="F36" i="59"/>
  <c r="F38" i="59"/>
  <c r="F40" i="59"/>
  <c r="F42" i="59"/>
  <c r="F44" i="59"/>
  <c r="F46" i="59"/>
  <c r="F48" i="59"/>
  <c r="F52" i="59"/>
  <c r="F54" i="59"/>
  <c r="F56" i="59"/>
  <c r="F58" i="59"/>
  <c r="F60" i="59"/>
  <c r="F62" i="59"/>
  <c r="D64" i="59"/>
  <c r="D68" i="59"/>
  <c r="F68" i="59" s="1"/>
  <c r="D70" i="59"/>
  <c r="F70" i="59" s="1"/>
  <c r="D72" i="59"/>
  <c r="D74" i="59"/>
  <c r="D76" i="59"/>
  <c r="F76" i="59" s="1"/>
  <c r="D78" i="59"/>
  <c r="F78" i="59" s="1"/>
  <c r="D80" i="59"/>
  <c r="F80" i="59" s="1"/>
  <c r="D82" i="59"/>
  <c r="F82" i="59" s="1"/>
  <c r="D84" i="59"/>
  <c r="F84" i="59" s="1"/>
  <c r="D86" i="59"/>
  <c r="F86" i="59" s="1"/>
  <c r="D88" i="59"/>
  <c r="F88" i="59" s="1"/>
  <c r="D90" i="59"/>
  <c r="F90" i="59" s="1"/>
  <c r="D92" i="59"/>
  <c r="F92" i="59" s="1"/>
  <c r="D94" i="59"/>
  <c r="F94" i="59" s="1"/>
  <c r="F37" i="1"/>
  <c r="F39" i="1"/>
  <c r="F41" i="1"/>
  <c r="F45" i="1"/>
  <c r="F47" i="1"/>
  <c r="F49" i="1"/>
  <c r="F51" i="1"/>
  <c r="F53" i="1"/>
  <c r="F57" i="1"/>
  <c r="F59" i="1"/>
  <c r="F61" i="1"/>
  <c r="F63" i="1"/>
  <c r="D67" i="1"/>
  <c r="D69" i="1"/>
  <c r="F69" i="1" s="1"/>
  <c r="D71" i="1"/>
  <c r="F71" i="1" s="1"/>
  <c r="D73" i="1"/>
  <c r="F73" i="1" s="1"/>
  <c r="D75" i="1"/>
  <c r="F75" i="1" s="1"/>
  <c r="D77" i="1"/>
  <c r="F77" i="1" s="1"/>
  <c r="D79" i="1"/>
  <c r="F79" i="1" s="1"/>
  <c r="D81" i="1"/>
  <c r="F81" i="1" s="1"/>
  <c r="D83" i="1"/>
  <c r="F83" i="1" s="1"/>
  <c r="D85" i="1"/>
  <c r="F85" i="1" s="1"/>
  <c r="D87" i="1"/>
  <c r="F87" i="1" s="1"/>
  <c r="D89" i="1"/>
  <c r="F89" i="1" s="1"/>
  <c r="D91" i="1"/>
  <c r="F91" i="1" s="1"/>
  <c r="D93" i="1"/>
  <c r="F93" i="1" s="1"/>
  <c r="F36" i="1"/>
  <c r="D71" i="20" l="1"/>
  <c r="F71" i="20" s="1"/>
  <c r="E95" i="44"/>
  <c r="C109" i="44" s="1"/>
  <c r="C118" i="44" s="1"/>
  <c r="F72" i="59"/>
  <c r="F72" i="3"/>
  <c r="E92" i="60"/>
  <c r="E88" i="60"/>
  <c r="E84" i="60"/>
  <c r="E80" i="60"/>
  <c r="E76" i="60"/>
  <c r="E72" i="60"/>
  <c r="E68" i="60"/>
  <c r="F111" i="49"/>
  <c r="F51" i="11"/>
  <c r="F51" i="13"/>
  <c r="F51" i="15"/>
  <c r="F51" i="27"/>
  <c r="E51" i="60"/>
  <c r="F50" i="7"/>
  <c r="F50" i="9"/>
  <c r="F43" i="13"/>
  <c r="F43" i="15"/>
  <c r="F55" i="15"/>
  <c r="F50" i="15"/>
  <c r="F50" i="17"/>
  <c r="F50" i="19"/>
  <c r="F43" i="21"/>
  <c r="F50" i="21"/>
  <c r="F43" i="23"/>
  <c r="F55" i="23"/>
  <c r="F43" i="27"/>
  <c r="F43" i="31"/>
  <c r="F55" i="33"/>
  <c r="F55" i="35"/>
  <c r="F50" i="35"/>
  <c r="F55" i="37"/>
  <c r="F43" i="39"/>
  <c r="F55" i="39"/>
  <c r="F43" i="41"/>
  <c r="F43" i="43"/>
  <c r="F55" i="43"/>
  <c r="F50" i="45"/>
  <c r="F50" i="47"/>
  <c r="F55" i="51"/>
  <c r="F50" i="51"/>
  <c r="F50" i="53"/>
  <c r="F50" i="57"/>
  <c r="F43" i="8"/>
  <c r="F55" i="8"/>
  <c r="F50" i="12"/>
  <c r="F43" i="14"/>
  <c r="F55" i="14"/>
  <c r="F50" i="14"/>
  <c r="F50" i="22"/>
  <c r="F50" i="24"/>
  <c r="F50" i="26"/>
  <c r="F55" i="30"/>
  <c r="F50" i="32"/>
  <c r="F55" i="34"/>
  <c r="F50" i="34"/>
  <c r="F50" i="36"/>
  <c r="F50" i="38"/>
  <c r="F50" i="40"/>
  <c r="F50" i="42"/>
  <c r="F55" i="44"/>
  <c r="F50" i="44"/>
  <c r="F55" i="48"/>
  <c r="F55" i="52"/>
  <c r="F55" i="1"/>
  <c r="F50" i="3"/>
  <c r="F50" i="59"/>
  <c r="F43" i="6"/>
  <c r="F55" i="6"/>
  <c r="E55" i="60"/>
  <c r="E64" i="55"/>
  <c r="E64" i="50"/>
  <c r="M14" i="63" s="1"/>
  <c r="F64" i="55"/>
  <c r="F64" i="45"/>
  <c r="F43" i="17"/>
  <c r="F43" i="1"/>
  <c r="F74" i="59"/>
  <c r="F74" i="12"/>
  <c r="F74" i="17"/>
  <c r="F74" i="19"/>
  <c r="F74" i="22"/>
  <c r="E47" i="60"/>
  <c r="F87" i="18"/>
  <c r="F79" i="18"/>
  <c r="F71" i="18"/>
  <c r="F36" i="18"/>
  <c r="D87" i="20"/>
  <c r="F87" i="20" s="1"/>
  <c r="D21" i="20"/>
  <c r="D93" i="18"/>
  <c r="F93" i="18" s="1"/>
  <c r="D89" i="18"/>
  <c r="F89" i="18" s="1"/>
  <c r="D85" i="18"/>
  <c r="F85" i="18" s="1"/>
  <c r="D81" i="18"/>
  <c r="F81" i="18" s="1"/>
  <c r="D77" i="18"/>
  <c r="F77" i="18" s="1"/>
  <c r="D73" i="18"/>
  <c r="F73" i="18" s="1"/>
  <c r="D69" i="18"/>
  <c r="F69" i="18" s="1"/>
  <c r="D79" i="20"/>
  <c r="F79" i="20" s="1"/>
  <c r="D29" i="20"/>
  <c r="D13" i="20"/>
  <c r="F120" i="60"/>
  <c r="F114" i="11"/>
  <c r="F112" i="11"/>
  <c r="F110" i="11"/>
  <c r="F114" i="12"/>
  <c r="F112" i="12"/>
  <c r="F110" i="12"/>
  <c r="F112" i="17"/>
  <c r="F111" i="16"/>
  <c r="F113" i="19"/>
  <c r="D118" i="57"/>
  <c r="F94" i="33"/>
  <c r="F86" i="33"/>
  <c r="D118" i="48"/>
  <c r="E105" i="45"/>
  <c r="E105" i="44"/>
  <c r="F74" i="23"/>
  <c r="F74" i="35"/>
  <c r="F87" i="34"/>
  <c r="F87" i="51"/>
  <c r="F74" i="43"/>
  <c r="F74" i="33"/>
  <c r="F91" i="20"/>
  <c r="F83" i="20"/>
  <c r="F75" i="20"/>
  <c r="F38" i="57"/>
  <c r="F42" i="57"/>
  <c r="F48" i="57"/>
  <c r="F54" i="57"/>
  <c r="D67" i="20"/>
  <c r="D93" i="20"/>
  <c r="F93" i="20" s="1"/>
  <c r="D89" i="20"/>
  <c r="F89" i="20" s="1"/>
  <c r="D85" i="20"/>
  <c r="F85" i="20" s="1"/>
  <c r="D81" i="20"/>
  <c r="D77" i="20"/>
  <c r="F77" i="20" s="1"/>
  <c r="D73" i="20"/>
  <c r="F73" i="20" s="1"/>
  <c r="D69" i="20"/>
  <c r="F69" i="20" s="1"/>
  <c r="D115" i="60"/>
  <c r="E113" i="60"/>
  <c r="E111" i="60"/>
  <c r="E94" i="60"/>
  <c r="E90" i="60"/>
  <c r="E86" i="60"/>
  <c r="E82" i="60"/>
  <c r="E78" i="60"/>
  <c r="E74" i="60"/>
  <c r="E70" i="60"/>
  <c r="E91" i="60"/>
  <c r="E87" i="60"/>
  <c r="E83" i="60"/>
  <c r="E79" i="60"/>
  <c r="E75" i="60"/>
  <c r="E71" i="60"/>
  <c r="F114" i="8"/>
  <c r="F112" i="8"/>
  <c r="F110" i="8"/>
  <c r="F114" i="38"/>
  <c r="F111" i="25"/>
  <c r="F112" i="37"/>
  <c r="F112" i="41"/>
  <c r="F112" i="54"/>
  <c r="F115" i="47"/>
  <c r="F111" i="47"/>
  <c r="E116" i="18"/>
  <c r="E116" i="3"/>
  <c r="F112" i="7"/>
  <c r="F110" i="7"/>
  <c r="E116" i="9"/>
  <c r="E118" i="9" s="1"/>
  <c r="E116" i="10"/>
  <c r="F116" i="10" s="1"/>
  <c r="E116" i="11"/>
  <c r="E116" i="12"/>
  <c r="E116" i="15"/>
  <c r="F116" i="15" s="1"/>
  <c r="E116" i="21"/>
  <c r="F116" i="21" s="1"/>
  <c r="E116" i="13"/>
  <c r="E118" i="13" s="1"/>
  <c r="E116" i="34"/>
  <c r="F116" i="34" s="1"/>
  <c r="E116" i="35"/>
  <c r="F116" i="35" s="1"/>
  <c r="F103" i="19"/>
  <c r="T45" i="63" s="1"/>
  <c r="E116" i="26"/>
  <c r="E116" i="27"/>
  <c r="E116" i="28"/>
  <c r="E116" i="29"/>
  <c r="F112" i="30"/>
  <c r="E116" i="30"/>
  <c r="E116" i="51"/>
  <c r="F116" i="51" s="1"/>
  <c r="E116" i="25"/>
  <c r="F116" i="25" s="1"/>
  <c r="E116" i="37"/>
  <c r="E116" i="41"/>
  <c r="F103" i="52"/>
  <c r="T12" i="63" s="1"/>
  <c r="E116" i="54"/>
  <c r="E116" i="40"/>
  <c r="F116" i="40" s="1"/>
  <c r="E116" i="49"/>
  <c r="F116" i="49" s="1"/>
  <c r="F102" i="49"/>
  <c r="E116" i="6"/>
  <c r="F116" i="6" s="1"/>
  <c r="E116" i="22"/>
  <c r="F116" i="22" s="1"/>
  <c r="E116" i="31"/>
  <c r="E116" i="24"/>
  <c r="F116" i="24" s="1"/>
  <c r="E116" i="45"/>
  <c r="F116" i="45" s="1"/>
  <c r="E116" i="32"/>
  <c r="F116" i="32" s="1"/>
  <c r="E116" i="48"/>
  <c r="F116" i="48" s="1"/>
  <c r="F102" i="48"/>
  <c r="E116" i="5"/>
  <c r="F116" i="5" s="1"/>
  <c r="E116" i="1"/>
  <c r="F116" i="1" s="1"/>
  <c r="E116" i="59"/>
  <c r="E116" i="4"/>
  <c r="F116" i="4" s="1"/>
  <c r="E116" i="7"/>
  <c r="F116" i="7" s="1"/>
  <c r="E116" i="8"/>
  <c r="E116" i="14"/>
  <c r="F116" i="14" s="1"/>
  <c r="E116" i="17"/>
  <c r="E116" i="23"/>
  <c r="F116" i="23" s="1"/>
  <c r="E116" i="33"/>
  <c r="F116" i="33" s="1"/>
  <c r="E116" i="16"/>
  <c r="E116" i="19"/>
  <c r="F116" i="19" s="1"/>
  <c r="F116" i="31"/>
  <c r="E116" i="36"/>
  <c r="F116" i="36" s="1"/>
  <c r="E116" i="38"/>
  <c r="E116" i="39"/>
  <c r="E116" i="52"/>
  <c r="F116" i="52" s="1"/>
  <c r="E116" i="56"/>
  <c r="F116" i="56" s="1"/>
  <c r="F112" i="40"/>
  <c r="E116" i="42"/>
  <c r="E116" i="43"/>
  <c r="E116" i="47"/>
  <c r="F116" i="47" s="1"/>
  <c r="E116" i="53"/>
  <c r="F103" i="33"/>
  <c r="T31" i="63" s="1"/>
  <c r="E116" i="46"/>
  <c r="F116" i="46" s="1"/>
  <c r="E116" i="50"/>
  <c r="F116" i="50" s="1"/>
  <c r="E116" i="55"/>
  <c r="E118" i="55" s="1"/>
  <c r="E116" i="44"/>
  <c r="F116" i="44" s="1"/>
  <c r="E116" i="57"/>
  <c r="F116" i="57" s="1"/>
  <c r="E62" i="60"/>
  <c r="E60" i="60"/>
  <c r="E58" i="60"/>
  <c r="E56" i="60"/>
  <c r="E54" i="60"/>
  <c r="E52" i="60"/>
  <c r="E50" i="60"/>
  <c r="E48" i="60"/>
  <c r="E46" i="60"/>
  <c r="E44" i="60"/>
  <c r="E42" i="60"/>
  <c r="E40" i="60"/>
  <c r="E38" i="60"/>
  <c r="F113" i="5"/>
  <c r="F111" i="5"/>
  <c r="E118" i="59"/>
  <c r="F115" i="10"/>
  <c r="F115" i="17"/>
  <c r="D64" i="16"/>
  <c r="F40" i="16"/>
  <c r="F44" i="16"/>
  <c r="F48" i="16"/>
  <c r="F52" i="16"/>
  <c r="F56" i="16"/>
  <c r="F60" i="16"/>
  <c r="F81" i="20"/>
  <c r="F68" i="41"/>
  <c r="F72" i="41"/>
  <c r="F76" i="41"/>
  <c r="E20" i="63"/>
  <c r="E19" i="63"/>
  <c r="M58" i="63"/>
  <c r="M19" i="63"/>
  <c r="D118" i="50"/>
  <c r="M9" i="63"/>
  <c r="B60" i="63"/>
  <c r="M20" i="63"/>
  <c r="F116" i="59"/>
  <c r="E101" i="60"/>
  <c r="E120" i="60"/>
  <c r="E105" i="53"/>
  <c r="F68" i="43"/>
  <c r="F112" i="16"/>
  <c r="F90" i="33"/>
  <c r="F82" i="33"/>
  <c r="D83" i="21"/>
  <c r="F83" i="21" s="1"/>
  <c r="D21" i="21"/>
  <c r="D67" i="21"/>
  <c r="F67" i="21" s="1"/>
  <c r="D5" i="21"/>
  <c r="D87" i="21"/>
  <c r="F87" i="21" s="1"/>
  <c r="D25" i="21"/>
  <c r="D71" i="21"/>
  <c r="F71" i="21" s="1"/>
  <c r="D9" i="21"/>
  <c r="F115" i="41"/>
  <c r="E64" i="48"/>
  <c r="M16" i="63" s="1"/>
  <c r="D91" i="21"/>
  <c r="F91" i="21" s="1"/>
  <c r="D29" i="21"/>
  <c r="D75" i="21"/>
  <c r="F75" i="21" s="1"/>
  <c r="D13" i="21"/>
  <c r="D79" i="21"/>
  <c r="F79" i="21" s="1"/>
  <c r="D17" i="21"/>
  <c r="D87" i="40"/>
  <c r="F87" i="40" s="1"/>
  <c r="D25" i="40"/>
  <c r="D79" i="51"/>
  <c r="F79" i="51" s="1"/>
  <c r="D17" i="51"/>
  <c r="D87" i="47"/>
  <c r="F87" i="47" s="1"/>
  <c r="D25" i="47"/>
  <c r="F62" i="18"/>
  <c r="F60" i="18"/>
  <c r="F58" i="18"/>
  <c r="F56" i="18"/>
  <c r="F54" i="18"/>
  <c r="F52" i="18"/>
  <c r="F50" i="18"/>
  <c r="F48" i="18"/>
  <c r="F46" i="18"/>
  <c r="F44" i="18"/>
  <c r="F42" i="18"/>
  <c r="F40" i="18"/>
  <c r="F38" i="18"/>
  <c r="E105" i="6"/>
  <c r="F111" i="13"/>
  <c r="F113" i="13"/>
  <c r="F115" i="13"/>
  <c r="E118" i="23"/>
  <c r="E64" i="24"/>
  <c r="M40" i="63" s="1"/>
  <c r="F115" i="30"/>
  <c r="E105" i="31"/>
  <c r="E105" i="38"/>
  <c r="E105" i="46"/>
  <c r="E95" i="46"/>
  <c r="C109" i="46" s="1"/>
  <c r="C118" i="46" s="1"/>
  <c r="F115" i="48"/>
  <c r="E118" i="48"/>
  <c r="E105" i="50"/>
  <c r="E95" i="50"/>
  <c r="C109" i="50" s="1"/>
  <c r="C118" i="50" s="1"/>
  <c r="F115" i="55"/>
  <c r="D64" i="25"/>
  <c r="F40" i="25"/>
  <c r="F44" i="25"/>
  <c r="D64" i="27"/>
  <c r="D64" i="29"/>
  <c r="F40" i="29"/>
  <c r="F68" i="37"/>
  <c r="F72" i="37"/>
  <c r="F76" i="37"/>
  <c r="F80" i="37"/>
  <c r="F84" i="37"/>
  <c r="F68" i="39"/>
  <c r="F72" i="39"/>
  <c r="F76" i="39"/>
  <c r="F80" i="39"/>
  <c r="E105" i="52"/>
  <c r="D64" i="52"/>
  <c r="F115" i="54"/>
  <c r="F115" i="40"/>
  <c r="F115" i="42"/>
  <c r="F39" i="47"/>
  <c r="D81" i="15"/>
  <c r="F81" i="15" s="1"/>
  <c r="D19" i="15"/>
  <c r="D77" i="15"/>
  <c r="F77" i="15" s="1"/>
  <c r="D15" i="15"/>
  <c r="D73" i="15"/>
  <c r="F73" i="15" s="1"/>
  <c r="D11" i="15"/>
  <c r="D83" i="15"/>
  <c r="D21" i="15"/>
  <c r="D87" i="15"/>
  <c r="F87" i="15" s="1"/>
  <c r="D25" i="15"/>
  <c r="D91" i="15"/>
  <c r="D29" i="15"/>
  <c r="D69" i="47"/>
  <c r="D7" i="47"/>
  <c r="D91" i="34"/>
  <c r="D29" i="34"/>
  <c r="D64" i="35"/>
  <c r="F72" i="43"/>
  <c r="D118" i="46"/>
  <c r="D83" i="40"/>
  <c r="F83" i="40" s="1"/>
  <c r="D21" i="40"/>
  <c r="D75" i="49"/>
  <c r="F75" i="49" s="1"/>
  <c r="D13" i="49"/>
  <c r="D83" i="49"/>
  <c r="F83" i="49" s="1"/>
  <c r="D21" i="49"/>
  <c r="D91" i="49"/>
  <c r="F91" i="49" s="1"/>
  <c r="D29" i="49"/>
  <c r="E95" i="6"/>
  <c r="C109" i="6" s="1"/>
  <c r="F109" i="6" s="1"/>
  <c r="F91" i="15"/>
  <c r="F83" i="15"/>
  <c r="E105" i="22"/>
  <c r="E95" i="22"/>
  <c r="C109" i="22" s="1"/>
  <c r="F109" i="22" s="1"/>
  <c r="F118" i="22" s="1"/>
  <c r="E64" i="14"/>
  <c r="M50" i="63" s="1"/>
  <c r="F115" i="23"/>
  <c r="E95" i="24"/>
  <c r="C109" i="24" s="1"/>
  <c r="C118" i="24" s="1"/>
  <c r="E105" i="24"/>
  <c r="F91" i="34"/>
  <c r="E105" i="32"/>
  <c r="E105" i="48"/>
  <c r="E95" i="48"/>
  <c r="E105" i="55"/>
  <c r="E95" i="55"/>
  <c r="E95" i="57"/>
  <c r="F69" i="47"/>
  <c r="D79" i="15"/>
  <c r="F79" i="15" s="1"/>
  <c r="D17" i="15"/>
  <c r="D75" i="15"/>
  <c r="F75" i="15" s="1"/>
  <c r="D13" i="15"/>
  <c r="D71" i="15"/>
  <c r="F71" i="15" s="1"/>
  <c r="D9" i="15"/>
  <c r="D67" i="15"/>
  <c r="F67" i="15" s="1"/>
  <c r="D5" i="15"/>
  <c r="D85" i="15"/>
  <c r="F85" i="15" s="1"/>
  <c r="D23" i="15"/>
  <c r="D89" i="15"/>
  <c r="F89" i="15" s="1"/>
  <c r="D27" i="15"/>
  <c r="D93" i="15"/>
  <c r="F93" i="15" s="1"/>
  <c r="D31" i="15"/>
  <c r="E64" i="22"/>
  <c r="F64" i="22" s="1"/>
  <c r="D93" i="34"/>
  <c r="F93" i="34" s="1"/>
  <c r="D31" i="34"/>
  <c r="D91" i="40"/>
  <c r="F91" i="40" s="1"/>
  <c r="D29" i="40"/>
  <c r="D69" i="49"/>
  <c r="F69" i="49" s="1"/>
  <c r="D7" i="49"/>
  <c r="D79" i="49"/>
  <c r="F79" i="49" s="1"/>
  <c r="D17" i="49"/>
  <c r="D87" i="49"/>
  <c r="F87" i="49" s="1"/>
  <c r="D25" i="49"/>
  <c r="D118" i="55"/>
  <c r="F64" i="24"/>
  <c r="D33" i="57"/>
  <c r="B7" i="63" s="1"/>
  <c r="F115" i="1"/>
  <c r="D94" i="1"/>
  <c r="F94" i="1" s="1"/>
  <c r="D32" i="1"/>
  <c r="D92" i="1"/>
  <c r="F92" i="1" s="1"/>
  <c r="D30" i="1"/>
  <c r="D90" i="1"/>
  <c r="F90" i="1" s="1"/>
  <c r="D28" i="1"/>
  <c r="D88" i="1"/>
  <c r="F88" i="1" s="1"/>
  <c r="D26" i="1"/>
  <c r="D86" i="1"/>
  <c r="F86" i="1" s="1"/>
  <c r="D24" i="1"/>
  <c r="D84" i="1"/>
  <c r="F84" i="1" s="1"/>
  <c r="D22" i="1"/>
  <c r="D82" i="1"/>
  <c r="F82" i="1" s="1"/>
  <c r="D20" i="1"/>
  <c r="D80" i="1"/>
  <c r="F80" i="1" s="1"/>
  <c r="D18" i="1"/>
  <c r="D78" i="1"/>
  <c r="F78" i="1" s="1"/>
  <c r="D16" i="1"/>
  <c r="D76" i="1"/>
  <c r="F76" i="1" s="1"/>
  <c r="D14" i="1"/>
  <c r="D74" i="1"/>
  <c r="F74" i="1" s="1"/>
  <c r="D12" i="1"/>
  <c r="D72" i="1"/>
  <c r="F72" i="1" s="1"/>
  <c r="D10" i="1"/>
  <c r="D70" i="1"/>
  <c r="F70" i="1" s="1"/>
  <c r="D8" i="1"/>
  <c r="D68" i="1"/>
  <c r="F68" i="1" s="1"/>
  <c r="D6" i="1"/>
  <c r="D118" i="1"/>
  <c r="E105" i="1"/>
  <c r="E95" i="1"/>
  <c r="C109" i="1" s="1"/>
  <c r="E64" i="1"/>
  <c r="M63" i="63" s="1"/>
  <c r="D93" i="59"/>
  <c r="F93" i="59" s="1"/>
  <c r="D31" i="59"/>
  <c r="D91" i="59"/>
  <c r="F91" i="59" s="1"/>
  <c r="D29" i="59"/>
  <c r="D89" i="59"/>
  <c r="F89" i="59" s="1"/>
  <c r="D27" i="59"/>
  <c r="D87" i="59"/>
  <c r="F87" i="59" s="1"/>
  <c r="D25" i="59"/>
  <c r="D85" i="59"/>
  <c r="F85" i="59" s="1"/>
  <c r="D23" i="59"/>
  <c r="D83" i="59"/>
  <c r="F83" i="59" s="1"/>
  <c r="D21" i="59"/>
  <c r="D81" i="59"/>
  <c r="F81" i="59" s="1"/>
  <c r="D19" i="59"/>
  <c r="D79" i="59"/>
  <c r="F79" i="59" s="1"/>
  <c r="D17" i="59"/>
  <c r="D77" i="59"/>
  <c r="F77" i="59" s="1"/>
  <c r="D15" i="59"/>
  <c r="D75" i="59"/>
  <c r="F75" i="59" s="1"/>
  <c r="D13" i="59"/>
  <c r="D73" i="59"/>
  <c r="F73" i="59" s="1"/>
  <c r="D11" i="59"/>
  <c r="D71" i="59"/>
  <c r="F71" i="59" s="1"/>
  <c r="D9" i="59"/>
  <c r="D69" i="59"/>
  <c r="F69" i="59" s="1"/>
  <c r="D7" i="59"/>
  <c r="D67" i="59"/>
  <c r="F67" i="59" s="1"/>
  <c r="D5" i="59"/>
  <c r="F112" i="59"/>
  <c r="F110" i="59"/>
  <c r="F62" i="6"/>
  <c r="D31" i="6"/>
  <c r="F60" i="6"/>
  <c r="D29" i="6"/>
  <c r="F58" i="6"/>
  <c r="D27" i="6"/>
  <c r="F56" i="6"/>
  <c r="D25" i="6"/>
  <c r="F54" i="6"/>
  <c r="D23" i="6"/>
  <c r="F52" i="6"/>
  <c r="D21" i="6"/>
  <c r="F50" i="6"/>
  <c r="D19" i="6"/>
  <c r="F48" i="6"/>
  <c r="D17" i="6"/>
  <c r="F46" i="6"/>
  <c r="D15" i="6"/>
  <c r="F44" i="6"/>
  <c r="D13" i="6"/>
  <c r="F42" i="6"/>
  <c r="D11" i="6"/>
  <c r="F40" i="6"/>
  <c r="D9" i="6"/>
  <c r="F38" i="6"/>
  <c r="D7" i="6"/>
  <c r="D64" i="6"/>
  <c r="F64" i="6" s="1"/>
  <c r="N58" i="63" s="1"/>
  <c r="E118" i="6"/>
  <c r="F111" i="6"/>
  <c r="F115" i="6"/>
  <c r="E118" i="4"/>
  <c r="E105" i="7"/>
  <c r="E95" i="7"/>
  <c r="C109" i="7" s="1"/>
  <c r="E64" i="7"/>
  <c r="M57" i="63" s="1"/>
  <c r="D118" i="8"/>
  <c r="E105" i="8"/>
  <c r="E95" i="8"/>
  <c r="C109" i="8" s="1"/>
  <c r="E64" i="8"/>
  <c r="M56" i="63" s="1"/>
  <c r="F113" i="7"/>
  <c r="F111" i="7"/>
  <c r="E118" i="7"/>
  <c r="D94" i="7"/>
  <c r="F94" i="7" s="1"/>
  <c r="D32" i="7"/>
  <c r="F61" i="7"/>
  <c r="D30" i="7"/>
  <c r="F59" i="7"/>
  <c r="D28" i="7"/>
  <c r="F57" i="7"/>
  <c r="D26" i="7"/>
  <c r="F55" i="7"/>
  <c r="D24" i="7"/>
  <c r="F53" i="7"/>
  <c r="D22" i="7"/>
  <c r="F51" i="7"/>
  <c r="D20" i="7"/>
  <c r="F49" i="7"/>
  <c r="D18" i="7"/>
  <c r="F47" i="7"/>
  <c r="D16" i="7"/>
  <c r="F45" i="7"/>
  <c r="D14" i="7"/>
  <c r="F43" i="7"/>
  <c r="D12" i="7"/>
  <c r="F41" i="7"/>
  <c r="D10" i="7"/>
  <c r="F39" i="7"/>
  <c r="D8" i="7"/>
  <c r="F37" i="7"/>
  <c r="D6" i="7"/>
  <c r="F116" i="8"/>
  <c r="F115" i="8"/>
  <c r="F113" i="8"/>
  <c r="F111" i="8"/>
  <c r="E118" i="8"/>
  <c r="D94" i="8"/>
  <c r="F94" i="8" s="1"/>
  <c r="D32" i="8"/>
  <c r="D92" i="8"/>
  <c r="F92" i="8" s="1"/>
  <c r="D30" i="8"/>
  <c r="D90" i="8"/>
  <c r="F90" i="8" s="1"/>
  <c r="D28" i="8"/>
  <c r="D88" i="8"/>
  <c r="F88" i="8" s="1"/>
  <c r="D26" i="8"/>
  <c r="D86" i="8"/>
  <c r="F86" i="8" s="1"/>
  <c r="D24" i="8"/>
  <c r="D84" i="8"/>
  <c r="F84" i="8" s="1"/>
  <c r="D22" i="8"/>
  <c r="D82" i="8"/>
  <c r="F82" i="8" s="1"/>
  <c r="D20" i="8"/>
  <c r="D80" i="8"/>
  <c r="F80" i="8" s="1"/>
  <c r="D18" i="8"/>
  <c r="D78" i="8"/>
  <c r="F78" i="8" s="1"/>
  <c r="D16" i="8"/>
  <c r="D76" i="8"/>
  <c r="F76" i="8" s="1"/>
  <c r="D14" i="8"/>
  <c r="D74" i="8"/>
  <c r="F74" i="8" s="1"/>
  <c r="D12" i="8"/>
  <c r="D72" i="8"/>
  <c r="F72" i="8" s="1"/>
  <c r="D10" i="8"/>
  <c r="D70" i="8"/>
  <c r="F70" i="8" s="1"/>
  <c r="D8" i="8"/>
  <c r="F68" i="8"/>
  <c r="D93" i="9"/>
  <c r="F93" i="9" s="1"/>
  <c r="D31" i="9"/>
  <c r="D91" i="9"/>
  <c r="F91" i="9" s="1"/>
  <c r="D29" i="9"/>
  <c r="D89" i="9"/>
  <c r="F89" i="9" s="1"/>
  <c r="D27" i="9"/>
  <c r="D87" i="9"/>
  <c r="F87" i="9" s="1"/>
  <c r="D25" i="9"/>
  <c r="D85" i="9"/>
  <c r="F85" i="9" s="1"/>
  <c r="D23" i="9"/>
  <c r="D83" i="9"/>
  <c r="F83" i="9" s="1"/>
  <c r="D21" i="9"/>
  <c r="D81" i="9"/>
  <c r="F81" i="9" s="1"/>
  <c r="D19" i="9"/>
  <c r="D79" i="9"/>
  <c r="F79" i="9" s="1"/>
  <c r="D17" i="9"/>
  <c r="D77" i="9"/>
  <c r="F77" i="9" s="1"/>
  <c r="D15" i="9"/>
  <c r="D75" i="9"/>
  <c r="F75" i="9" s="1"/>
  <c r="D13" i="9"/>
  <c r="D73" i="9"/>
  <c r="F73" i="9" s="1"/>
  <c r="D11" i="9"/>
  <c r="D71" i="9"/>
  <c r="F71" i="9" s="1"/>
  <c r="D9" i="9"/>
  <c r="D69" i="9"/>
  <c r="F69" i="9" s="1"/>
  <c r="D7" i="9"/>
  <c r="D118" i="10"/>
  <c r="D94" i="10"/>
  <c r="F94" i="10" s="1"/>
  <c r="D32" i="10"/>
  <c r="D92" i="10"/>
  <c r="F92" i="10" s="1"/>
  <c r="D30" i="10"/>
  <c r="D90" i="10"/>
  <c r="F90" i="10" s="1"/>
  <c r="D28" i="10"/>
  <c r="D88" i="10"/>
  <c r="F88" i="10" s="1"/>
  <c r="D26" i="10"/>
  <c r="D86" i="10"/>
  <c r="F86" i="10" s="1"/>
  <c r="D24" i="10"/>
  <c r="D84" i="10"/>
  <c r="F84" i="10" s="1"/>
  <c r="D22" i="10"/>
  <c r="D82" i="10"/>
  <c r="F82" i="10" s="1"/>
  <c r="D20" i="10"/>
  <c r="D80" i="10"/>
  <c r="F80" i="10" s="1"/>
  <c r="D18" i="10"/>
  <c r="D78" i="10"/>
  <c r="F78" i="10" s="1"/>
  <c r="D16" i="10"/>
  <c r="D76" i="10"/>
  <c r="F76" i="10" s="1"/>
  <c r="D14" i="10"/>
  <c r="D74" i="10"/>
  <c r="F74" i="10" s="1"/>
  <c r="D12" i="10"/>
  <c r="D72" i="10"/>
  <c r="F72" i="10" s="1"/>
  <c r="D10" i="10"/>
  <c r="D70" i="10"/>
  <c r="F70" i="10" s="1"/>
  <c r="D8" i="10"/>
  <c r="D68" i="10"/>
  <c r="F68" i="10" s="1"/>
  <c r="D6" i="10"/>
  <c r="F116" i="11"/>
  <c r="F115" i="11"/>
  <c r="F113" i="11"/>
  <c r="F111" i="11"/>
  <c r="E118" i="11"/>
  <c r="D94" i="11"/>
  <c r="F94" i="11" s="1"/>
  <c r="D32" i="11"/>
  <c r="D92" i="11"/>
  <c r="F92" i="11" s="1"/>
  <c r="D30" i="11"/>
  <c r="D90" i="11"/>
  <c r="F90" i="11" s="1"/>
  <c r="D28" i="11"/>
  <c r="D88" i="11"/>
  <c r="F88" i="11" s="1"/>
  <c r="D26" i="11"/>
  <c r="D86" i="11"/>
  <c r="F86" i="11" s="1"/>
  <c r="D24" i="11"/>
  <c r="D84" i="11"/>
  <c r="F84" i="11" s="1"/>
  <c r="D22" i="11"/>
  <c r="D82" i="11"/>
  <c r="F82" i="11" s="1"/>
  <c r="D20" i="11"/>
  <c r="D80" i="11"/>
  <c r="F80" i="11" s="1"/>
  <c r="D18" i="11"/>
  <c r="D78" i="11"/>
  <c r="F78" i="11" s="1"/>
  <c r="D16" i="11"/>
  <c r="D76" i="11"/>
  <c r="F76" i="11" s="1"/>
  <c r="D14" i="11"/>
  <c r="D74" i="11"/>
  <c r="F74" i="11" s="1"/>
  <c r="D12" i="11"/>
  <c r="D72" i="11"/>
  <c r="F72" i="11" s="1"/>
  <c r="D10" i="11"/>
  <c r="D70" i="11"/>
  <c r="F70" i="11" s="1"/>
  <c r="D8" i="11"/>
  <c r="D68" i="11"/>
  <c r="F68" i="11" s="1"/>
  <c r="D6" i="11"/>
  <c r="F116" i="12"/>
  <c r="F115" i="12"/>
  <c r="F113" i="12"/>
  <c r="F111" i="12"/>
  <c r="E118" i="12"/>
  <c r="F63" i="12"/>
  <c r="D32" i="12"/>
  <c r="F61" i="12"/>
  <c r="D30" i="12"/>
  <c r="F59" i="12"/>
  <c r="D28" i="12"/>
  <c r="F57" i="12"/>
  <c r="D26" i="12"/>
  <c r="F55" i="12"/>
  <c r="D24" i="12"/>
  <c r="F53" i="12"/>
  <c r="D22" i="12"/>
  <c r="F51" i="12"/>
  <c r="D20" i="12"/>
  <c r="F49" i="12"/>
  <c r="D18" i="12"/>
  <c r="F47" i="12"/>
  <c r="D16" i="12"/>
  <c r="F45" i="12"/>
  <c r="D14" i="12"/>
  <c r="F43" i="12"/>
  <c r="D12" i="12"/>
  <c r="F41" i="12"/>
  <c r="D10" i="12"/>
  <c r="F39" i="12"/>
  <c r="D8" i="12"/>
  <c r="F37" i="12"/>
  <c r="D6" i="12"/>
  <c r="F44" i="13"/>
  <c r="D13" i="13"/>
  <c r="F42" i="13"/>
  <c r="D11" i="13"/>
  <c r="F40" i="13"/>
  <c r="D9" i="13"/>
  <c r="F38" i="13"/>
  <c r="D7" i="13"/>
  <c r="D64" i="13"/>
  <c r="D5" i="13"/>
  <c r="F115" i="14"/>
  <c r="E118" i="14"/>
  <c r="D94" i="14"/>
  <c r="F94" i="14" s="1"/>
  <c r="D32" i="14"/>
  <c r="D92" i="14"/>
  <c r="F92" i="14" s="1"/>
  <c r="D30" i="14"/>
  <c r="D90" i="14"/>
  <c r="F90" i="14" s="1"/>
  <c r="D28" i="14"/>
  <c r="D88" i="14"/>
  <c r="F88" i="14" s="1"/>
  <c r="D26" i="14"/>
  <c r="D86" i="14"/>
  <c r="F86" i="14" s="1"/>
  <c r="D24" i="14"/>
  <c r="D84" i="14"/>
  <c r="F84" i="14" s="1"/>
  <c r="D22" i="14"/>
  <c r="D82" i="14"/>
  <c r="F82" i="14" s="1"/>
  <c r="D20" i="14"/>
  <c r="D80" i="14"/>
  <c r="F80" i="14" s="1"/>
  <c r="D18" i="14"/>
  <c r="D78" i="14"/>
  <c r="F78" i="14" s="1"/>
  <c r="D16" i="14"/>
  <c r="D76" i="14"/>
  <c r="F76" i="14" s="1"/>
  <c r="D14" i="14"/>
  <c r="D74" i="14"/>
  <c r="F74" i="14" s="1"/>
  <c r="D12" i="14"/>
  <c r="D72" i="14"/>
  <c r="F72" i="14" s="1"/>
  <c r="D10" i="14"/>
  <c r="D70" i="14"/>
  <c r="F70" i="14" s="1"/>
  <c r="D8" i="14"/>
  <c r="D68" i="14"/>
  <c r="F68" i="14" s="1"/>
  <c r="D6" i="14"/>
  <c r="F63" i="22"/>
  <c r="D32" i="22"/>
  <c r="F61" i="22"/>
  <c r="D30" i="22"/>
  <c r="F59" i="22"/>
  <c r="D28" i="22"/>
  <c r="F57" i="22"/>
  <c r="D26" i="22"/>
  <c r="F55" i="22"/>
  <c r="D24" i="22"/>
  <c r="F53" i="22"/>
  <c r="D22" i="22"/>
  <c r="F51" i="22"/>
  <c r="D20" i="22"/>
  <c r="F49" i="22"/>
  <c r="D18" i="22"/>
  <c r="F47" i="22"/>
  <c r="D16" i="22"/>
  <c r="F45" i="22"/>
  <c r="D14" i="22"/>
  <c r="F43" i="22"/>
  <c r="D12" i="22"/>
  <c r="F41" i="22"/>
  <c r="D10" i="22"/>
  <c r="F39" i="22"/>
  <c r="D8" i="22"/>
  <c r="E64" i="13"/>
  <c r="M51" i="63" s="1"/>
  <c r="F46" i="13"/>
  <c r="D15" i="13"/>
  <c r="F48" i="13"/>
  <c r="D17" i="13"/>
  <c r="F50" i="13"/>
  <c r="D19" i="13"/>
  <c r="F52" i="13"/>
  <c r="D21" i="13"/>
  <c r="F54" i="13"/>
  <c r="D23" i="13"/>
  <c r="F56" i="13"/>
  <c r="D25" i="13"/>
  <c r="F58" i="13"/>
  <c r="D27" i="13"/>
  <c r="F60" i="13"/>
  <c r="D29" i="13"/>
  <c r="F62" i="13"/>
  <c r="D31" i="13"/>
  <c r="E95" i="13"/>
  <c r="C109" i="13" s="1"/>
  <c r="E105" i="13"/>
  <c r="F114" i="14"/>
  <c r="F112" i="14"/>
  <c r="F110" i="14"/>
  <c r="E105" i="16"/>
  <c r="E105" i="17"/>
  <c r="D67" i="17"/>
  <c r="F67" i="17" s="1"/>
  <c r="D5" i="17"/>
  <c r="D69" i="17"/>
  <c r="F69" i="17" s="1"/>
  <c r="D7" i="17"/>
  <c r="D71" i="17"/>
  <c r="F71" i="17" s="1"/>
  <c r="D9" i="17"/>
  <c r="D73" i="17"/>
  <c r="F73" i="17" s="1"/>
  <c r="D11" i="17"/>
  <c r="D75" i="17"/>
  <c r="F75" i="17" s="1"/>
  <c r="D13" i="17"/>
  <c r="D77" i="17"/>
  <c r="F77" i="17" s="1"/>
  <c r="D15" i="17"/>
  <c r="D79" i="17"/>
  <c r="F79" i="17" s="1"/>
  <c r="D17" i="17"/>
  <c r="D81" i="17"/>
  <c r="F81" i="17" s="1"/>
  <c r="D19" i="17"/>
  <c r="D83" i="17"/>
  <c r="F83" i="17" s="1"/>
  <c r="D21" i="17"/>
  <c r="D85" i="17"/>
  <c r="F85" i="17" s="1"/>
  <c r="D23" i="17"/>
  <c r="D87" i="17"/>
  <c r="F87" i="17" s="1"/>
  <c r="D25" i="17"/>
  <c r="D89" i="17"/>
  <c r="F89" i="17" s="1"/>
  <c r="D27" i="17"/>
  <c r="D91" i="17"/>
  <c r="F91" i="17" s="1"/>
  <c r="D29" i="17"/>
  <c r="D93" i="17"/>
  <c r="F93" i="17" s="1"/>
  <c r="D31" i="17"/>
  <c r="E118" i="19"/>
  <c r="F60" i="23"/>
  <c r="D29" i="23"/>
  <c r="F56" i="23"/>
  <c r="D25" i="23"/>
  <c r="F52" i="23"/>
  <c r="D21" i="23"/>
  <c r="F48" i="23"/>
  <c r="D17" i="23"/>
  <c r="F44" i="23"/>
  <c r="D13" i="23"/>
  <c r="F40" i="23"/>
  <c r="D9" i="23"/>
  <c r="D64" i="23"/>
  <c r="F110" i="23"/>
  <c r="F114" i="23"/>
  <c r="F39" i="24"/>
  <c r="D8" i="24"/>
  <c r="F41" i="24"/>
  <c r="D10" i="24"/>
  <c r="F43" i="24"/>
  <c r="D12" i="24"/>
  <c r="F45" i="24"/>
  <c r="D14" i="24"/>
  <c r="F47" i="24"/>
  <c r="D16" i="24"/>
  <c r="F49" i="24"/>
  <c r="D18" i="24"/>
  <c r="F51" i="24"/>
  <c r="D20" i="24"/>
  <c r="F53" i="24"/>
  <c r="D22" i="24"/>
  <c r="F55" i="24"/>
  <c r="D24" i="24"/>
  <c r="F57" i="24"/>
  <c r="D26" i="24"/>
  <c r="F59" i="24"/>
  <c r="D28" i="24"/>
  <c r="F61" i="24"/>
  <c r="D30" i="24"/>
  <c r="F63" i="24"/>
  <c r="D32" i="24"/>
  <c r="E118" i="24"/>
  <c r="F111" i="24"/>
  <c r="F115" i="24"/>
  <c r="F115" i="33"/>
  <c r="E118" i="33"/>
  <c r="F116" i="16"/>
  <c r="E118" i="16"/>
  <c r="E95" i="16"/>
  <c r="C109" i="16" s="1"/>
  <c r="E64" i="16"/>
  <c r="M48" i="63" s="1"/>
  <c r="F37" i="16"/>
  <c r="D68" i="16"/>
  <c r="F68" i="16" s="1"/>
  <c r="D6" i="16"/>
  <c r="F39" i="16"/>
  <c r="D8" i="16"/>
  <c r="D70" i="16"/>
  <c r="F70" i="16" s="1"/>
  <c r="F41" i="16"/>
  <c r="D72" i="16"/>
  <c r="F72" i="16" s="1"/>
  <c r="D10" i="16"/>
  <c r="F43" i="16"/>
  <c r="D74" i="16"/>
  <c r="F74" i="16" s="1"/>
  <c r="D12" i="16"/>
  <c r="F45" i="16"/>
  <c r="D76" i="16"/>
  <c r="F76" i="16" s="1"/>
  <c r="D14" i="16"/>
  <c r="F47" i="16"/>
  <c r="D16" i="16"/>
  <c r="D78" i="16"/>
  <c r="F78" i="16" s="1"/>
  <c r="F49" i="16"/>
  <c r="D80" i="16"/>
  <c r="F80" i="16" s="1"/>
  <c r="D18" i="16"/>
  <c r="F51" i="16"/>
  <c r="D82" i="16"/>
  <c r="F82" i="16" s="1"/>
  <c r="D20" i="16"/>
  <c r="F53" i="16"/>
  <c r="D84" i="16"/>
  <c r="F84" i="16" s="1"/>
  <c r="D22" i="16"/>
  <c r="F55" i="16"/>
  <c r="D24" i="16"/>
  <c r="D86" i="16"/>
  <c r="F86" i="16" s="1"/>
  <c r="F57" i="16"/>
  <c r="D88" i="16"/>
  <c r="F88" i="16" s="1"/>
  <c r="D26" i="16"/>
  <c r="F59" i="16"/>
  <c r="D90" i="16"/>
  <c r="F90" i="16" s="1"/>
  <c r="D28" i="16"/>
  <c r="F61" i="16"/>
  <c r="D92" i="16"/>
  <c r="F92" i="16" s="1"/>
  <c r="D30" i="16"/>
  <c r="F63" i="16"/>
  <c r="D32" i="16"/>
  <c r="D94" i="16"/>
  <c r="F94" i="16" s="1"/>
  <c r="E105" i="19"/>
  <c r="D67" i="19"/>
  <c r="F67" i="19" s="1"/>
  <c r="D5" i="19"/>
  <c r="D69" i="19"/>
  <c r="F69" i="19" s="1"/>
  <c r="D7" i="19"/>
  <c r="D71" i="19"/>
  <c r="F71" i="19" s="1"/>
  <c r="D9" i="19"/>
  <c r="D73" i="19"/>
  <c r="F73" i="19" s="1"/>
  <c r="D11" i="19"/>
  <c r="D75" i="19"/>
  <c r="F75" i="19" s="1"/>
  <c r="D13" i="19"/>
  <c r="D77" i="19"/>
  <c r="F77" i="19" s="1"/>
  <c r="D15" i="19"/>
  <c r="D79" i="19"/>
  <c r="F79" i="19" s="1"/>
  <c r="D17" i="19"/>
  <c r="D81" i="19"/>
  <c r="F81" i="19" s="1"/>
  <c r="D19" i="19"/>
  <c r="D83" i="19"/>
  <c r="F83" i="19" s="1"/>
  <c r="D21" i="19"/>
  <c r="D85" i="19"/>
  <c r="F85" i="19" s="1"/>
  <c r="D23" i="19"/>
  <c r="D87" i="19"/>
  <c r="F87" i="19" s="1"/>
  <c r="D25" i="19"/>
  <c r="D89" i="19"/>
  <c r="F89" i="19" s="1"/>
  <c r="D27" i="19"/>
  <c r="D91" i="19"/>
  <c r="F91" i="19" s="1"/>
  <c r="D29" i="19"/>
  <c r="D93" i="19"/>
  <c r="F93" i="19" s="1"/>
  <c r="D31" i="19"/>
  <c r="D33" i="21"/>
  <c r="E95" i="26"/>
  <c r="C109" i="26" s="1"/>
  <c r="E64" i="26"/>
  <c r="F64" i="26" s="1"/>
  <c r="E95" i="27"/>
  <c r="C109" i="27" s="1"/>
  <c r="E64" i="27"/>
  <c r="F64" i="27" s="1"/>
  <c r="E95" i="30"/>
  <c r="C109" i="30" s="1"/>
  <c r="E64" i="30"/>
  <c r="M34" i="63" s="1"/>
  <c r="D68" i="30"/>
  <c r="F68" i="30" s="1"/>
  <c r="D6" i="30"/>
  <c r="D70" i="30"/>
  <c r="F70" i="30" s="1"/>
  <c r="D8" i="30"/>
  <c r="D72" i="30"/>
  <c r="F72" i="30" s="1"/>
  <c r="D10" i="30"/>
  <c r="D74" i="30"/>
  <c r="F74" i="30" s="1"/>
  <c r="D12" i="30"/>
  <c r="D76" i="30"/>
  <c r="F76" i="30" s="1"/>
  <c r="D14" i="30"/>
  <c r="D78" i="30"/>
  <c r="F78" i="30" s="1"/>
  <c r="D16" i="30"/>
  <c r="D80" i="30"/>
  <c r="F80" i="30" s="1"/>
  <c r="D18" i="30"/>
  <c r="D82" i="30"/>
  <c r="F82" i="30" s="1"/>
  <c r="D20" i="30"/>
  <c r="D84" i="30"/>
  <c r="F84" i="30" s="1"/>
  <c r="D22" i="30"/>
  <c r="D86" i="30"/>
  <c r="F86" i="30" s="1"/>
  <c r="D24" i="30"/>
  <c r="D88" i="30"/>
  <c r="F88" i="30" s="1"/>
  <c r="D26" i="30"/>
  <c r="D90" i="30"/>
  <c r="F90" i="30" s="1"/>
  <c r="D28" i="30"/>
  <c r="D92" i="30"/>
  <c r="F92" i="30" s="1"/>
  <c r="D30" i="30"/>
  <c r="D94" i="30"/>
  <c r="F94" i="30" s="1"/>
  <c r="D32" i="30"/>
  <c r="E118" i="30"/>
  <c r="F113" i="30"/>
  <c r="F116" i="30"/>
  <c r="D64" i="31"/>
  <c r="D5" i="31"/>
  <c r="D67" i="31"/>
  <c r="F38" i="31"/>
  <c r="D69" i="31"/>
  <c r="F69" i="31" s="1"/>
  <c r="D7" i="31"/>
  <c r="F40" i="31"/>
  <c r="D9" i="31"/>
  <c r="D71" i="31"/>
  <c r="F71" i="31" s="1"/>
  <c r="F42" i="31"/>
  <c r="D73" i="31"/>
  <c r="F73" i="31" s="1"/>
  <c r="D11" i="31"/>
  <c r="F44" i="31"/>
  <c r="D13" i="31"/>
  <c r="D75" i="31"/>
  <c r="F75" i="31" s="1"/>
  <c r="F46" i="31"/>
  <c r="D77" i="31"/>
  <c r="F77" i="31" s="1"/>
  <c r="D15" i="31"/>
  <c r="F48" i="31"/>
  <c r="D17" i="31"/>
  <c r="D79" i="31"/>
  <c r="F79" i="31" s="1"/>
  <c r="F50" i="31"/>
  <c r="D81" i="31"/>
  <c r="F81" i="31" s="1"/>
  <c r="D19" i="31"/>
  <c r="F52" i="31"/>
  <c r="D21" i="31"/>
  <c r="D83" i="31"/>
  <c r="F83" i="31" s="1"/>
  <c r="F54" i="31"/>
  <c r="D85" i="31"/>
  <c r="F85" i="31" s="1"/>
  <c r="D23" i="31"/>
  <c r="F56" i="31"/>
  <c r="D25" i="31"/>
  <c r="D87" i="31"/>
  <c r="F87" i="31" s="1"/>
  <c r="F58" i="31"/>
  <c r="D89" i="31"/>
  <c r="F89" i="31" s="1"/>
  <c r="D27" i="31"/>
  <c r="F60" i="31"/>
  <c r="D29" i="31"/>
  <c r="D91" i="31"/>
  <c r="F91" i="31" s="1"/>
  <c r="F62" i="31"/>
  <c r="D93" i="31"/>
  <c r="F93" i="31" s="1"/>
  <c r="D31" i="31"/>
  <c r="E95" i="31"/>
  <c r="C109" i="31" s="1"/>
  <c r="E95" i="32"/>
  <c r="C109" i="32" s="1"/>
  <c r="E64" i="32"/>
  <c r="F64" i="32" s="1"/>
  <c r="F37" i="32"/>
  <c r="D68" i="32"/>
  <c r="D6" i="32"/>
  <c r="F39" i="32"/>
  <c r="D70" i="32"/>
  <c r="F70" i="32" s="1"/>
  <c r="D8" i="32"/>
  <c r="F41" i="32"/>
  <c r="D72" i="32"/>
  <c r="F72" i="32" s="1"/>
  <c r="D10" i="32"/>
  <c r="F43" i="32"/>
  <c r="D12" i="32"/>
  <c r="D74" i="32"/>
  <c r="F74" i="32" s="1"/>
  <c r="F45" i="32"/>
  <c r="D76" i="32"/>
  <c r="F76" i="32" s="1"/>
  <c r="D14" i="32"/>
  <c r="F47" i="32"/>
  <c r="D78" i="32"/>
  <c r="F78" i="32" s="1"/>
  <c r="D16" i="32"/>
  <c r="F49" i="32"/>
  <c r="D80" i="32"/>
  <c r="F80" i="32" s="1"/>
  <c r="D18" i="32"/>
  <c r="F51" i="32"/>
  <c r="D20" i="32"/>
  <c r="D82" i="32"/>
  <c r="F82" i="32" s="1"/>
  <c r="F53" i="32"/>
  <c r="D84" i="32"/>
  <c r="F84" i="32" s="1"/>
  <c r="D22" i="32"/>
  <c r="F55" i="32"/>
  <c r="D86" i="32"/>
  <c r="F86" i="32" s="1"/>
  <c r="D24" i="32"/>
  <c r="F57" i="32"/>
  <c r="D88" i="32"/>
  <c r="F88" i="32" s="1"/>
  <c r="D26" i="32"/>
  <c r="F59" i="32"/>
  <c r="D28" i="32"/>
  <c r="D90" i="32"/>
  <c r="F90" i="32" s="1"/>
  <c r="F61" i="32"/>
  <c r="D92" i="32"/>
  <c r="F92" i="32" s="1"/>
  <c r="D30" i="32"/>
  <c r="F63" i="32"/>
  <c r="D94" i="32"/>
  <c r="F94" i="32" s="1"/>
  <c r="D32" i="32"/>
  <c r="E118" i="32"/>
  <c r="F111" i="32"/>
  <c r="F115" i="32"/>
  <c r="E118" i="36"/>
  <c r="E95" i="36"/>
  <c r="C109" i="36" s="1"/>
  <c r="E64" i="36"/>
  <c r="F64" i="36" s="1"/>
  <c r="F37" i="36"/>
  <c r="D68" i="36"/>
  <c r="D6" i="36"/>
  <c r="F39" i="36"/>
  <c r="D70" i="36"/>
  <c r="F70" i="36" s="1"/>
  <c r="D8" i="36"/>
  <c r="F41" i="36"/>
  <c r="D72" i="36"/>
  <c r="F72" i="36" s="1"/>
  <c r="D10" i="36"/>
  <c r="F43" i="36"/>
  <c r="D12" i="36"/>
  <c r="D74" i="36"/>
  <c r="F74" i="36" s="1"/>
  <c r="F45" i="36"/>
  <c r="D76" i="36"/>
  <c r="F76" i="36" s="1"/>
  <c r="D14" i="36"/>
  <c r="F47" i="36"/>
  <c r="D78" i="36"/>
  <c r="F78" i="36" s="1"/>
  <c r="D16" i="36"/>
  <c r="F49" i="36"/>
  <c r="D80" i="36"/>
  <c r="F80" i="36" s="1"/>
  <c r="D18" i="36"/>
  <c r="F51" i="36"/>
  <c r="D20" i="36"/>
  <c r="D82" i="36"/>
  <c r="F82" i="36" s="1"/>
  <c r="F53" i="36"/>
  <c r="D84" i="36"/>
  <c r="F84" i="36" s="1"/>
  <c r="D22" i="36"/>
  <c r="F55" i="36"/>
  <c r="D86" i="36"/>
  <c r="F86" i="36" s="1"/>
  <c r="D24" i="36"/>
  <c r="F57" i="36"/>
  <c r="D88" i="36"/>
  <c r="F88" i="36" s="1"/>
  <c r="D26" i="36"/>
  <c r="F59" i="36"/>
  <c r="D28" i="36"/>
  <c r="D90" i="36"/>
  <c r="F90" i="36" s="1"/>
  <c r="F61" i="36"/>
  <c r="D92" i="36"/>
  <c r="F92" i="36" s="1"/>
  <c r="D30" i="36"/>
  <c r="F63" i="36"/>
  <c r="D94" i="36"/>
  <c r="F94" i="36" s="1"/>
  <c r="D32" i="36"/>
  <c r="F62" i="46"/>
  <c r="D31" i="46"/>
  <c r="F60" i="46"/>
  <c r="D29" i="46"/>
  <c r="F58" i="46"/>
  <c r="D27" i="46"/>
  <c r="F56" i="46"/>
  <c r="D25" i="46"/>
  <c r="F54" i="46"/>
  <c r="D23" i="46"/>
  <c r="F52" i="46"/>
  <c r="D21" i="46"/>
  <c r="F50" i="46"/>
  <c r="D19" i="46"/>
  <c r="F48" i="46"/>
  <c r="D17" i="46"/>
  <c r="F46" i="46"/>
  <c r="D15" i="46"/>
  <c r="F44" i="46"/>
  <c r="D13" i="46"/>
  <c r="F42" i="46"/>
  <c r="D11" i="46"/>
  <c r="D64" i="46"/>
  <c r="F64" i="46" s="1"/>
  <c r="N18" i="63" s="1"/>
  <c r="D94" i="48"/>
  <c r="F94" i="48" s="1"/>
  <c r="D32" i="48"/>
  <c r="D92" i="48"/>
  <c r="F92" i="48" s="1"/>
  <c r="D30" i="48"/>
  <c r="D90" i="48"/>
  <c r="F90" i="48" s="1"/>
  <c r="D28" i="48"/>
  <c r="D88" i="48"/>
  <c r="F88" i="48" s="1"/>
  <c r="D26" i="48"/>
  <c r="D86" i="48"/>
  <c r="F86" i="48" s="1"/>
  <c r="D24" i="48"/>
  <c r="D84" i="48"/>
  <c r="F84" i="48" s="1"/>
  <c r="D22" i="48"/>
  <c r="D82" i="48"/>
  <c r="F82" i="48" s="1"/>
  <c r="D20" i="48"/>
  <c r="D80" i="48"/>
  <c r="F80" i="48" s="1"/>
  <c r="D18" i="48"/>
  <c r="D78" i="48"/>
  <c r="F78" i="48" s="1"/>
  <c r="D16" i="48"/>
  <c r="D76" i="48"/>
  <c r="F76" i="48" s="1"/>
  <c r="D14" i="48"/>
  <c r="D74" i="48"/>
  <c r="F74" i="48" s="1"/>
  <c r="D12" i="48"/>
  <c r="D72" i="48"/>
  <c r="F72" i="48" s="1"/>
  <c r="D10" i="48"/>
  <c r="D70" i="48"/>
  <c r="F70" i="48" s="1"/>
  <c r="D8" i="48"/>
  <c r="D68" i="48"/>
  <c r="F68" i="48" s="1"/>
  <c r="D6" i="48"/>
  <c r="F62" i="50"/>
  <c r="D31" i="50"/>
  <c r="F60" i="50"/>
  <c r="D29" i="50"/>
  <c r="F58" i="50"/>
  <c r="D27" i="50"/>
  <c r="F56" i="50"/>
  <c r="D25" i="50"/>
  <c r="F54" i="50"/>
  <c r="D23" i="50"/>
  <c r="F52" i="50"/>
  <c r="D21" i="50"/>
  <c r="F50" i="50"/>
  <c r="D19" i="50"/>
  <c r="F48" i="50"/>
  <c r="D17" i="50"/>
  <c r="F46" i="50"/>
  <c r="D15" i="50"/>
  <c r="F44" i="50"/>
  <c r="D13" i="50"/>
  <c r="F42" i="50"/>
  <c r="D11" i="50"/>
  <c r="D64" i="50"/>
  <c r="F64" i="50" s="1"/>
  <c r="N14" i="63" s="1"/>
  <c r="D118" i="51"/>
  <c r="E105" i="51"/>
  <c r="E95" i="51"/>
  <c r="C109" i="51" s="1"/>
  <c r="E13" i="63"/>
  <c r="E64" i="51"/>
  <c r="M13" i="63" s="1"/>
  <c r="F63" i="55"/>
  <c r="D32" i="55"/>
  <c r="F61" i="55"/>
  <c r="D30" i="55"/>
  <c r="F59" i="55"/>
  <c r="D28" i="55"/>
  <c r="F57" i="55"/>
  <c r="D26" i="55"/>
  <c r="F55" i="55"/>
  <c r="D24" i="55"/>
  <c r="F53" i="55"/>
  <c r="D22" i="55"/>
  <c r="F51" i="55"/>
  <c r="D20" i="55"/>
  <c r="F49" i="55"/>
  <c r="D18" i="55"/>
  <c r="F47" i="55"/>
  <c r="D16" i="55"/>
  <c r="F45" i="55"/>
  <c r="D14" i="55"/>
  <c r="F43" i="55"/>
  <c r="D12" i="55"/>
  <c r="F41" i="55"/>
  <c r="D10" i="55"/>
  <c r="F39" i="55"/>
  <c r="D8" i="55"/>
  <c r="F69" i="38"/>
  <c r="F71" i="38"/>
  <c r="F75" i="38"/>
  <c r="F79" i="38"/>
  <c r="F81" i="38"/>
  <c r="D83" i="38"/>
  <c r="F83" i="38" s="1"/>
  <c r="D21" i="38"/>
  <c r="D85" i="38"/>
  <c r="F85" i="38" s="1"/>
  <c r="D23" i="38"/>
  <c r="D87" i="38"/>
  <c r="F87" i="38" s="1"/>
  <c r="D25" i="38"/>
  <c r="D89" i="38"/>
  <c r="F89" i="38" s="1"/>
  <c r="D27" i="38"/>
  <c r="D91" i="38"/>
  <c r="F91" i="38" s="1"/>
  <c r="D29" i="38"/>
  <c r="D93" i="38"/>
  <c r="F93" i="38" s="1"/>
  <c r="D31" i="38"/>
  <c r="F111" i="15"/>
  <c r="E118" i="21"/>
  <c r="F94" i="23"/>
  <c r="F90" i="23"/>
  <c r="F86" i="23"/>
  <c r="F82" i="23"/>
  <c r="F78" i="23"/>
  <c r="F70" i="23"/>
  <c r="F115" i="25"/>
  <c r="F38" i="25"/>
  <c r="F42" i="25"/>
  <c r="F46" i="25"/>
  <c r="F48" i="25"/>
  <c r="F50" i="25"/>
  <c r="F52" i="25"/>
  <c r="F54" i="25"/>
  <c r="F56" i="25"/>
  <c r="F58" i="25"/>
  <c r="F60" i="25"/>
  <c r="F62" i="25"/>
  <c r="F110" i="25"/>
  <c r="F112" i="25"/>
  <c r="F114" i="25"/>
  <c r="F37" i="26"/>
  <c r="D6" i="26"/>
  <c r="F39" i="26"/>
  <c r="D8" i="26"/>
  <c r="F41" i="26"/>
  <c r="D10" i="26"/>
  <c r="F43" i="26"/>
  <c r="D12" i="26"/>
  <c r="F45" i="26"/>
  <c r="D14" i="26"/>
  <c r="F47" i="26"/>
  <c r="D16" i="26"/>
  <c r="F49" i="26"/>
  <c r="D18" i="26"/>
  <c r="F51" i="26"/>
  <c r="D20" i="26"/>
  <c r="F53" i="26"/>
  <c r="D22" i="26"/>
  <c r="F55" i="26"/>
  <c r="D24" i="26"/>
  <c r="F57" i="26"/>
  <c r="D26" i="26"/>
  <c r="F59" i="26"/>
  <c r="D28" i="26"/>
  <c r="F61" i="26"/>
  <c r="D30" i="26"/>
  <c r="F63" i="26"/>
  <c r="D32" i="26"/>
  <c r="E118" i="26"/>
  <c r="F111" i="26"/>
  <c r="F113" i="26"/>
  <c r="F115" i="26"/>
  <c r="F116" i="26"/>
  <c r="F38" i="27"/>
  <c r="F40" i="27"/>
  <c r="F42" i="27"/>
  <c r="F44" i="27"/>
  <c r="F46" i="27"/>
  <c r="F48" i="27"/>
  <c r="F50" i="27"/>
  <c r="F52" i="27"/>
  <c r="D21" i="27"/>
  <c r="F54" i="27"/>
  <c r="D23" i="27"/>
  <c r="F56" i="27"/>
  <c r="D25" i="27"/>
  <c r="F58" i="27"/>
  <c r="D27" i="27"/>
  <c r="F60" i="27"/>
  <c r="D29" i="27"/>
  <c r="F62" i="27"/>
  <c r="D31" i="27"/>
  <c r="E64" i="28"/>
  <c r="M36" i="63" s="1"/>
  <c r="F37" i="28"/>
  <c r="F39" i="28"/>
  <c r="F41" i="28"/>
  <c r="F43" i="28"/>
  <c r="F45" i="28"/>
  <c r="F47" i="28"/>
  <c r="F49" i="28"/>
  <c r="F51" i="28"/>
  <c r="F53" i="28"/>
  <c r="F55" i="28"/>
  <c r="F57" i="28"/>
  <c r="F59" i="28"/>
  <c r="F61" i="28"/>
  <c r="F63" i="28"/>
  <c r="E118" i="28"/>
  <c r="F111" i="28"/>
  <c r="F113" i="28"/>
  <c r="F115" i="28"/>
  <c r="F116" i="28"/>
  <c r="F38" i="29"/>
  <c r="F42" i="29"/>
  <c r="F44" i="29"/>
  <c r="F46" i="29"/>
  <c r="F48" i="29"/>
  <c r="F50" i="29"/>
  <c r="F52" i="29"/>
  <c r="F54" i="29"/>
  <c r="F56" i="29"/>
  <c r="F58" i="29"/>
  <c r="F60" i="29"/>
  <c r="F62" i="29"/>
  <c r="D118" i="37"/>
  <c r="E105" i="37"/>
  <c r="D64" i="37"/>
  <c r="D5" i="37"/>
  <c r="F38" i="37"/>
  <c r="D7" i="37"/>
  <c r="F40" i="37"/>
  <c r="D9" i="37"/>
  <c r="F42" i="37"/>
  <c r="D11" i="37"/>
  <c r="F44" i="37"/>
  <c r="D13" i="37"/>
  <c r="F46" i="37"/>
  <c r="D15" i="37"/>
  <c r="F48" i="37"/>
  <c r="D17" i="37"/>
  <c r="F50" i="37"/>
  <c r="D19" i="37"/>
  <c r="F52" i="37"/>
  <c r="D21" i="37"/>
  <c r="F54" i="37"/>
  <c r="D23" i="37"/>
  <c r="F56" i="37"/>
  <c r="D25" i="37"/>
  <c r="F58" i="37"/>
  <c r="D27" i="37"/>
  <c r="F60" i="37"/>
  <c r="D29" i="37"/>
  <c r="F62" i="37"/>
  <c r="D31" i="37"/>
  <c r="E64" i="39"/>
  <c r="M25" i="63" s="1"/>
  <c r="E95" i="39"/>
  <c r="C109" i="39" s="1"/>
  <c r="D64" i="39"/>
  <c r="F64" i="39" s="1"/>
  <c r="D5" i="39"/>
  <c r="F38" i="39"/>
  <c r="D7" i="39"/>
  <c r="F40" i="39"/>
  <c r="D9" i="39"/>
  <c r="F42" i="39"/>
  <c r="D11" i="39"/>
  <c r="F44" i="39"/>
  <c r="D13" i="39"/>
  <c r="F46" i="39"/>
  <c r="D15" i="39"/>
  <c r="F48" i="39"/>
  <c r="D17" i="39"/>
  <c r="F50" i="39"/>
  <c r="D19" i="39"/>
  <c r="F52" i="39"/>
  <c r="D21" i="39"/>
  <c r="F54" i="39"/>
  <c r="D23" i="39"/>
  <c r="F56" i="39"/>
  <c r="D25" i="39"/>
  <c r="F58" i="39"/>
  <c r="D27" i="39"/>
  <c r="F60" i="39"/>
  <c r="D29" i="39"/>
  <c r="F62" i="39"/>
  <c r="D31" i="39"/>
  <c r="E95" i="41"/>
  <c r="C109" i="41" s="1"/>
  <c r="E64" i="41"/>
  <c r="M23" i="63" s="1"/>
  <c r="D80" i="41"/>
  <c r="F80" i="41" s="1"/>
  <c r="D18" i="41"/>
  <c r="D82" i="41"/>
  <c r="F82" i="41" s="1"/>
  <c r="D20" i="41"/>
  <c r="D84" i="41"/>
  <c r="F84" i="41" s="1"/>
  <c r="D22" i="41"/>
  <c r="D86" i="41"/>
  <c r="F86" i="41" s="1"/>
  <c r="D24" i="41"/>
  <c r="D88" i="41"/>
  <c r="F88" i="41" s="1"/>
  <c r="D26" i="41"/>
  <c r="D90" i="41"/>
  <c r="F90" i="41" s="1"/>
  <c r="D28" i="41"/>
  <c r="D92" i="41"/>
  <c r="F92" i="41" s="1"/>
  <c r="D30" i="41"/>
  <c r="D94" i="41"/>
  <c r="F94" i="41" s="1"/>
  <c r="D32" i="41"/>
  <c r="E118" i="41"/>
  <c r="F113" i="41"/>
  <c r="F116" i="41"/>
  <c r="F40" i="52"/>
  <c r="D9" i="52"/>
  <c r="F42" i="52"/>
  <c r="D11" i="52"/>
  <c r="F44" i="52"/>
  <c r="D13" i="52"/>
  <c r="F46" i="52"/>
  <c r="D15" i="52"/>
  <c r="F48" i="52"/>
  <c r="D17" i="52"/>
  <c r="F50" i="52"/>
  <c r="D19" i="52"/>
  <c r="F52" i="52"/>
  <c r="D21" i="52"/>
  <c r="F54" i="52"/>
  <c r="D23" i="52"/>
  <c r="F56" i="52"/>
  <c r="D25" i="52"/>
  <c r="F58" i="52"/>
  <c r="D27" i="52"/>
  <c r="F60" i="52"/>
  <c r="D29" i="52"/>
  <c r="F62" i="52"/>
  <c r="D31" i="52"/>
  <c r="E95" i="54"/>
  <c r="C109" i="54" s="1"/>
  <c r="E64" i="54"/>
  <c r="M10" i="63" s="1"/>
  <c r="D68" i="54"/>
  <c r="F68" i="54" s="1"/>
  <c r="D6" i="54"/>
  <c r="D70" i="54"/>
  <c r="F70" i="54" s="1"/>
  <c r="D8" i="54"/>
  <c r="D72" i="54"/>
  <c r="F72" i="54" s="1"/>
  <c r="D10" i="54"/>
  <c r="D74" i="54"/>
  <c r="F74" i="54" s="1"/>
  <c r="D12" i="54"/>
  <c r="D76" i="54"/>
  <c r="F76" i="54" s="1"/>
  <c r="D14" i="54"/>
  <c r="D78" i="54"/>
  <c r="F78" i="54" s="1"/>
  <c r="D16" i="54"/>
  <c r="D80" i="54"/>
  <c r="F80" i="54" s="1"/>
  <c r="D18" i="54"/>
  <c r="D82" i="54"/>
  <c r="F82" i="54" s="1"/>
  <c r="D20" i="54"/>
  <c r="D84" i="54"/>
  <c r="F84" i="54" s="1"/>
  <c r="D22" i="54"/>
  <c r="D86" i="54"/>
  <c r="F86" i="54" s="1"/>
  <c r="D24" i="54"/>
  <c r="D88" i="54"/>
  <c r="F88" i="54" s="1"/>
  <c r="D26" i="54"/>
  <c r="D90" i="54"/>
  <c r="F90" i="54" s="1"/>
  <c r="D28" i="54"/>
  <c r="D92" i="54"/>
  <c r="F92" i="54" s="1"/>
  <c r="D30" i="54"/>
  <c r="D94" i="54"/>
  <c r="F94" i="54" s="1"/>
  <c r="D32" i="54"/>
  <c r="E118" i="54"/>
  <c r="F113" i="54"/>
  <c r="F116" i="54"/>
  <c r="F56" i="56"/>
  <c r="D25" i="56"/>
  <c r="F46" i="56"/>
  <c r="D15" i="56"/>
  <c r="D64" i="56"/>
  <c r="F110" i="56"/>
  <c r="F114" i="56"/>
  <c r="E118" i="34"/>
  <c r="F61" i="40"/>
  <c r="D30" i="40"/>
  <c r="F57" i="40"/>
  <c r="D26" i="40"/>
  <c r="F53" i="40"/>
  <c r="D22" i="40"/>
  <c r="F49" i="40"/>
  <c r="D18" i="40"/>
  <c r="F45" i="40"/>
  <c r="D14" i="40"/>
  <c r="F41" i="40"/>
  <c r="D10" i="40"/>
  <c r="F37" i="40"/>
  <c r="D6" i="40"/>
  <c r="E118" i="40"/>
  <c r="F113" i="40"/>
  <c r="E95" i="42"/>
  <c r="C109" i="42" s="1"/>
  <c r="E64" i="42"/>
  <c r="F64" i="42" s="1"/>
  <c r="F37" i="42"/>
  <c r="D6" i="42"/>
  <c r="F39" i="42"/>
  <c r="D8" i="42"/>
  <c r="F41" i="42"/>
  <c r="D10" i="42"/>
  <c r="F43" i="42"/>
  <c r="D12" i="42"/>
  <c r="F45" i="42"/>
  <c r="D14" i="42"/>
  <c r="F47" i="42"/>
  <c r="D16" i="42"/>
  <c r="F49" i="42"/>
  <c r="D18" i="42"/>
  <c r="F51" i="42"/>
  <c r="D20" i="42"/>
  <c r="F53" i="42"/>
  <c r="D22" i="42"/>
  <c r="F55" i="42"/>
  <c r="D24" i="42"/>
  <c r="F57" i="42"/>
  <c r="D26" i="42"/>
  <c r="F59" i="42"/>
  <c r="D28" i="42"/>
  <c r="F61" i="42"/>
  <c r="D30" i="42"/>
  <c r="F63" i="42"/>
  <c r="D32" i="42"/>
  <c r="E118" i="42"/>
  <c r="F113" i="42"/>
  <c r="F116" i="42"/>
  <c r="F62" i="43"/>
  <c r="D31" i="43"/>
  <c r="F58" i="43"/>
  <c r="D27" i="43"/>
  <c r="F54" i="43"/>
  <c r="D23" i="43"/>
  <c r="F50" i="43"/>
  <c r="D19" i="43"/>
  <c r="F46" i="43"/>
  <c r="D15" i="43"/>
  <c r="F42" i="43"/>
  <c r="D11" i="43"/>
  <c r="F38" i="43"/>
  <c r="D7" i="43"/>
  <c r="E64" i="43"/>
  <c r="M21" i="63" s="1"/>
  <c r="E95" i="43"/>
  <c r="C109" i="43" s="1"/>
  <c r="E105" i="43"/>
  <c r="D68" i="44"/>
  <c r="F68" i="44" s="1"/>
  <c r="D6" i="44"/>
  <c r="D70" i="44"/>
  <c r="F70" i="44" s="1"/>
  <c r="D8" i="44"/>
  <c r="D72" i="44"/>
  <c r="F72" i="44" s="1"/>
  <c r="D10" i="44"/>
  <c r="D74" i="44"/>
  <c r="F74" i="44" s="1"/>
  <c r="D12" i="44"/>
  <c r="D76" i="44"/>
  <c r="F76" i="44" s="1"/>
  <c r="D14" i="44"/>
  <c r="D78" i="44"/>
  <c r="F78" i="44" s="1"/>
  <c r="D16" i="44"/>
  <c r="D80" i="44"/>
  <c r="F80" i="44" s="1"/>
  <c r="D18" i="44"/>
  <c r="D82" i="44"/>
  <c r="F82" i="44" s="1"/>
  <c r="D20" i="44"/>
  <c r="D84" i="44"/>
  <c r="F84" i="44" s="1"/>
  <c r="D22" i="44"/>
  <c r="D86" i="44"/>
  <c r="F86" i="44" s="1"/>
  <c r="D24" i="44"/>
  <c r="D88" i="44"/>
  <c r="F88" i="44" s="1"/>
  <c r="D26" i="44"/>
  <c r="D90" i="44"/>
  <c r="F90" i="44" s="1"/>
  <c r="D28" i="44"/>
  <c r="D92" i="44"/>
  <c r="F92" i="44" s="1"/>
  <c r="D30" i="44"/>
  <c r="D94" i="44"/>
  <c r="F94" i="44" s="1"/>
  <c r="D32" i="44"/>
  <c r="E118" i="44"/>
  <c r="F111" i="44"/>
  <c r="F115" i="44"/>
  <c r="D67" i="45"/>
  <c r="F67" i="45" s="1"/>
  <c r="D5" i="45"/>
  <c r="D69" i="45"/>
  <c r="F69" i="45" s="1"/>
  <c r="D7" i="45"/>
  <c r="D71" i="45"/>
  <c r="F71" i="45" s="1"/>
  <c r="D9" i="45"/>
  <c r="D73" i="45"/>
  <c r="F73" i="45" s="1"/>
  <c r="D11" i="45"/>
  <c r="D75" i="45"/>
  <c r="F75" i="45" s="1"/>
  <c r="D13" i="45"/>
  <c r="D77" i="45"/>
  <c r="F77" i="45" s="1"/>
  <c r="D15" i="45"/>
  <c r="D79" i="45"/>
  <c r="F79" i="45" s="1"/>
  <c r="D17" i="45"/>
  <c r="D81" i="45"/>
  <c r="F81" i="45" s="1"/>
  <c r="D19" i="45"/>
  <c r="D83" i="45"/>
  <c r="F83" i="45" s="1"/>
  <c r="D21" i="45"/>
  <c r="D85" i="45"/>
  <c r="F85" i="45" s="1"/>
  <c r="D23" i="45"/>
  <c r="D87" i="45"/>
  <c r="F87" i="45" s="1"/>
  <c r="D25" i="45"/>
  <c r="D89" i="45"/>
  <c r="F89" i="45" s="1"/>
  <c r="D27" i="45"/>
  <c r="D91" i="45"/>
  <c r="F91" i="45" s="1"/>
  <c r="D29" i="45"/>
  <c r="D93" i="45"/>
  <c r="F93" i="45" s="1"/>
  <c r="D31" i="45"/>
  <c r="E118" i="47"/>
  <c r="F63" i="47"/>
  <c r="D32" i="47"/>
  <c r="F59" i="47"/>
  <c r="D28" i="47"/>
  <c r="F55" i="47"/>
  <c r="D24" i="47"/>
  <c r="F51" i="47"/>
  <c r="D20" i="47"/>
  <c r="F47" i="47"/>
  <c r="D16" i="47"/>
  <c r="F43" i="47"/>
  <c r="D12" i="47"/>
  <c r="E64" i="47"/>
  <c r="M17" i="63" s="1"/>
  <c r="E95" i="47"/>
  <c r="C109" i="47" s="1"/>
  <c r="E105" i="47"/>
  <c r="F61" i="49"/>
  <c r="D30" i="49"/>
  <c r="F57" i="49"/>
  <c r="D26" i="49"/>
  <c r="F53" i="49"/>
  <c r="D22" i="49"/>
  <c r="F49" i="49"/>
  <c r="D18" i="49"/>
  <c r="F45" i="49"/>
  <c r="D14" i="49"/>
  <c r="F112" i="49"/>
  <c r="F115" i="52"/>
  <c r="F111" i="52"/>
  <c r="D67" i="53"/>
  <c r="F67" i="53" s="1"/>
  <c r="D5" i="53"/>
  <c r="D69" i="53"/>
  <c r="F69" i="53" s="1"/>
  <c r="D7" i="53"/>
  <c r="D71" i="53"/>
  <c r="F71" i="53" s="1"/>
  <c r="D9" i="53"/>
  <c r="D73" i="53"/>
  <c r="F73" i="53" s="1"/>
  <c r="D11" i="53"/>
  <c r="D75" i="53"/>
  <c r="F75" i="53" s="1"/>
  <c r="D13" i="53"/>
  <c r="D77" i="53"/>
  <c r="F77" i="53" s="1"/>
  <c r="D15" i="53"/>
  <c r="D79" i="53"/>
  <c r="F79" i="53" s="1"/>
  <c r="D17" i="53"/>
  <c r="D81" i="53"/>
  <c r="F81" i="53" s="1"/>
  <c r="D19" i="53"/>
  <c r="D83" i="53"/>
  <c r="F83" i="53" s="1"/>
  <c r="D21" i="53"/>
  <c r="D85" i="53"/>
  <c r="F85" i="53" s="1"/>
  <c r="D23" i="53"/>
  <c r="D87" i="53"/>
  <c r="F87" i="53" s="1"/>
  <c r="D25" i="53"/>
  <c r="D89" i="53"/>
  <c r="F89" i="53" s="1"/>
  <c r="D27" i="53"/>
  <c r="D91" i="53"/>
  <c r="F91" i="53" s="1"/>
  <c r="D29" i="53"/>
  <c r="D93" i="53"/>
  <c r="F93" i="53" s="1"/>
  <c r="D31" i="53"/>
  <c r="F114" i="54"/>
  <c r="F110" i="54"/>
  <c r="F115" i="56"/>
  <c r="F111" i="56"/>
  <c r="D92" i="56"/>
  <c r="F92" i="56" s="1"/>
  <c r="D30" i="56"/>
  <c r="D88" i="56"/>
  <c r="F88" i="56" s="1"/>
  <c r="D26" i="56"/>
  <c r="D84" i="56"/>
  <c r="F84" i="56" s="1"/>
  <c r="D22" i="56"/>
  <c r="D80" i="56"/>
  <c r="F80" i="56" s="1"/>
  <c r="D18" i="56"/>
  <c r="D76" i="56"/>
  <c r="F76" i="56" s="1"/>
  <c r="D14" i="56"/>
  <c r="D72" i="56"/>
  <c r="F72" i="56" s="1"/>
  <c r="D10" i="56"/>
  <c r="D68" i="56"/>
  <c r="F68" i="56" s="1"/>
  <c r="D6" i="56"/>
  <c r="F85" i="57"/>
  <c r="F69" i="57"/>
  <c r="F71" i="49"/>
  <c r="F69" i="51"/>
  <c r="F113" i="52"/>
  <c r="E95" i="52"/>
  <c r="C109" i="52" s="1"/>
  <c r="F58" i="56"/>
  <c r="D27" i="56"/>
  <c r="F52" i="56"/>
  <c r="D21" i="56"/>
  <c r="F44" i="56"/>
  <c r="D13" i="56"/>
  <c r="F38" i="56"/>
  <c r="D7" i="56"/>
  <c r="F64" i="7"/>
  <c r="N57" i="63" s="1"/>
  <c r="D33" i="31"/>
  <c r="F64" i="51"/>
  <c r="N13" i="63" s="1"/>
  <c r="F62" i="1"/>
  <c r="D31" i="1"/>
  <c r="F60" i="1"/>
  <c r="D29" i="1"/>
  <c r="F58" i="1"/>
  <c r="D27" i="1"/>
  <c r="F56" i="1"/>
  <c r="D25" i="1"/>
  <c r="F54" i="1"/>
  <c r="D23" i="1"/>
  <c r="F52" i="1"/>
  <c r="D21" i="1"/>
  <c r="F50" i="1"/>
  <c r="D19" i="1"/>
  <c r="F48" i="1"/>
  <c r="D17" i="1"/>
  <c r="F46" i="1"/>
  <c r="D15" i="1"/>
  <c r="F44" i="1"/>
  <c r="D13" i="1"/>
  <c r="F42" i="1"/>
  <c r="D11" i="1"/>
  <c r="F40" i="1"/>
  <c r="D9" i="1"/>
  <c r="F38" i="1"/>
  <c r="D7" i="1"/>
  <c r="D64" i="1"/>
  <c r="F64" i="1" s="1"/>
  <c r="N63" i="63" s="1"/>
  <c r="D5" i="1"/>
  <c r="F114" i="1"/>
  <c r="F112" i="1"/>
  <c r="F110" i="1"/>
  <c r="F63" i="59"/>
  <c r="D32" i="59"/>
  <c r="F61" i="59"/>
  <c r="D30" i="59"/>
  <c r="F59" i="59"/>
  <c r="D28" i="59"/>
  <c r="F57" i="59"/>
  <c r="D26" i="59"/>
  <c r="F55" i="59"/>
  <c r="D24" i="59"/>
  <c r="F53" i="59"/>
  <c r="D22" i="59"/>
  <c r="F51" i="59"/>
  <c r="D20" i="59"/>
  <c r="F49" i="59"/>
  <c r="D18" i="59"/>
  <c r="F47" i="59"/>
  <c r="D16" i="59"/>
  <c r="F45" i="59"/>
  <c r="D14" i="59"/>
  <c r="F43" i="59"/>
  <c r="D12" i="59"/>
  <c r="F41" i="59"/>
  <c r="D10" i="59"/>
  <c r="F39" i="59"/>
  <c r="D8" i="59"/>
  <c r="F115" i="59"/>
  <c r="D118" i="59"/>
  <c r="E105" i="59"/>
  <c r="E95" i="59"/>
  <c r="C109" i="59" s="1"/>
  <c r="E64" i="59"/>
  <c r="F64" i="59" s="1"/>
  <c r="N62" i="63" s="1"/>
  <c r="D118" i="4"/>
  <c r="E105" i="4"/>
  <c r="E95" i="4"/>
  <c r="C109" i="4" s="1"/>
  <c r="E64" i="4"/>
  <c r="M60" i="63" s="1"/>
  <c r="D94" i="6"/>
  <c r="F94" i="6" s="1"/>
  <c r="D32" i="6"/>
  <c r="D92" i="6"/>
  <c r="F92" i="6" s="1"/>
  <c r="D30" i="6"/>
  <c r="D90" i="6"/>
  <c r="F90" i="6" s="1"/>
  <c r="D28" i="6"/>
  <c r="D88" i="6"/>
  <c r="F88" i="6" s="1"/>
  <c r="D26" i="6"/>
  <c r="D86" i="6"/>
  <c r="F86" i="6" s="1"/>
  <c r="D24" i="6"/>
  <c r="D84" i="6"/>
  <c r="F84" i="6" s="1"/>
  <c r="D22" i="6"/>
  <c r="D82" i="6"/>
  <c r="F82" i="6" s="1"/>
  <c r="D20" i="6"/>
  <c r="D80" i="6"/>
  <c r="F80" i="6" s="1"/>
  <c r="D18" i="6"/>
  <c r="D78" i="6"/>
  <c r="F78" i="6" s="1"/>
  <c r="D16" i="6"/>
  <c r="D76" i="6"/>
  <c r="F76" i="6" s="1"/>
  <c r="D14" i="6"/>
  <c r="D74" i="6"/>
  <c r="F74" i="6" s="1"/>
  <c r="D12" i="6"/>
  <c r="D72" i="6"/>
  <c r="F72" i="6" s="1"/>
  <c r="D10" i="6"/>
  <c r="D70" i="6"/>
  <c r="F70" i="6" s="1"/>
  <c r="D8" i="6"/>
  <c r="D68" i="6"/>
  <c r="F68" i="6" s="1"/>
  <c r="D6" i="6"/>
  <c r="F114" i="7"/>
  <c r="F115" i="7"/>
  <c r="D93" i="7"/>
  <c r="F93" i="7" s="1"/>
  <c r="D31" i="7"/>
  <c r="D91" i="7"/>
  <c r="F91" i="7" s="1"/>
  <c r="D29" i="7"/>
  <c r="D89" i="7"/>
  <c r="F89" i="7" s="1"/>
  <c r="D27" i="7"/>
  <c r="D87" i="7"/>
  <c r="F87" i="7" s="1"/>
  <c r="D25" i="7"/>
  <c r="D85" i="7"/>
  <c r="F85" i="7" s="1"/>
  <c r="D23" i="7"/>
  <c r="D83" i="7"/>
  <c r="F83" i="7" s="1"/>
  <c r="D21" i="7"/>
  <c r="D81" i="7"/>
  <c r="F81" i="7" s="1"/>
  <c r="D19" i="7"/>
  <c r="D79" i="7"/>
  <c r="F79" i="7" s="1"/>
  <c r="D17" i="7"/>
  <c r="D77" i="7"/>
  <c r="F77" i="7" s="1"/>
  <c r="D15" i="7"/>
  <c r="D75" i="7"/>
  <c r="F75" i="7" s="1"/>
  <c r="D13" i="7"/>
  <c r="D73" i="7"/>
  <c r="F73" i="7" s="1"/>
  <c r="D11" i="7"/>
  <c r="D71" i="7"/>
  <c r="F71" i="7" s="1"/>
  <c r="D9" i="7"/>
  <c r="F69" i="7"/>
  <c r="F62" i="8"/>
  <c r="D31" i="8"/>
  <c r="F60" i="8"/>
  <c r="D29" i="8"/>
  <c r="F58" i="8"/>
  <c r="D27" i="8"/>
  <c r="F56" i="8"/>
  <c r="D25" i="8"/>
  <c r="F54" i="8"/>
  <c r="D23" i="8"/>
  <c r="F52" i="8"/>
  <c r="D21" i="8"/>
  <c r="F50" i="8"/>
  <c r="D19" i="8"/>
  <c r="F48" i="8"/>
  <c r="D17" i="8"/>
  <c r="F46" i="8"/>
  <c r="D15" i="8"/>
  <c r="F44" i="8"/>
  <c r="D13" i="8"/>
  <c r="F42" i="8"/>
  <c r="D11" i="8"/>
  <c r="F40" i="8"/>
  <c r="D9" i="8"/>
  <c r="F38" i="8"/>
  <c r="D7" i="8"/>
  <c r="D64" i="8"/>
  <c r="F64" i="8" s="1"/>
  <c r="N56" i="63" s="1"/>
  <c r="D5" i="8"/>
  <c r="E105" i="9"/>
  <c r="E95" i="9"/>
  <c r="C109" i="9" s="1"/>
  <c r="E64" i="9"/>
  <c r="F64" i="9" s="1"/>
  <c r="E118" i="10"/>
  <c r="E105" i="10"/>
  <c r="E95" i="10"/>
  <c r="C109" i="10" s="1"/>
  <c r="E64" i="10"/>
  <c r="M54" i="63" s="1"/>
  <c r="D118" i="11"/>
  <c r="E105" i="11"/>
  <c r="E95" i="11"/>
  <c r="C109" i="11" s="1"/>
  <c r="E64" i="11"/>
  <c r="M53" i="63" s="1"/>
  <c r="D118" i="12"/>
  <c r="E105" i="12"/>
  <c r="E95" i="12"/>
  <c r="C109" i="12" s="1"/>
  <c r="E64" i="12"/>
  <c r="F64" i="12" s="1"/>
  <c r="N52" i="63" s="1"/>
  <c r="F63" i="9"/>
  <c r="D32" i="9"/>
  <c r="F61" i="9"/>
  <c r="D30" i="9"/>
  <c r="F59" i="9"/>
  <c r="D28" i="9"/>
  <c r="F57" i="9"/>
  <c r="D26" i="9"/>
  <c r="F55" i="9"/>
  <c r="D24" i="9"/>
  <c r="F53" i="9"/>
  <c r="D22" i="9"/>
  <c r="F51" i="9"/>
  <c r="D20" i="9"/>
  <c r="F49" i="9"/>
  <c r="D18" i="9"/>
  <c r="F47" i="9"/>
  <c r="D16" i="9"/>
  <c r="F45" i="9"/>
  <c r="D14" i="9"/>
  <c r="F43" i="9"/>
  <c r="D12" i="9"/>
  <c r="F41" i="9"/>
  <c r="D10" i="9"/>
  <c r="F39" i="9"/>
  <c r="D8" i="9"/>
  <c r="F37" i="9"/>
  <c r="D6" i="9"/>
  <c r="F111" i="9"/>
  <c r="F113" i="9"/>
  <c r="F115" i="9"/>
  <c r="F116" i="9"/>
  <c r="F114" i="10"/>
  <c r="F112" i="10"/>
  <c r="F110" i="10"/>
  <c r="F62" i="10"/>
  <c r="D31" i="10"/>
  <c r="F60" i="10"/>
  <c r="D29" i="10"/>
  <c r="F58" i="10"/>
  <c r="D27" i="10"/>
  <c r="F56" i="10"/>
  <c r="D25" i="10"/>
  <c r="F54" i="10"/>
  <c r="D23" i="10"/>
  <c r="F52" i="10"/>
  <c r="D21" i="10"/>
  <c r="F50" i="10"/>
  <c r="D19" i="10"/>
  <c r="F48" i="10"/>
  <c r="D17" i="10"/>
  <c r="F46" i="10"/>
  <c r="D15" i="10"/>
  <c r="F44" i="10"/>
  <c r="D13" i="10"/>
  <c r="F42" i="10"/>
  <c r="D11" i="10"/>
  <c r="F40" i="10"/>
  <c r="D9" i="10"/>
  <c r="F38" i="10"/>
  <c r="D7" i="10"/>
  <c r="D64" i="10"/>
  <c r="D5" i="10"/>
  <c r="F62" i="11"/>
  <c r="D31" i="11"/>
  <c r="F60" i="11"/>
  <c r="D29" i="11"/>
  <c r="F58" i="11"/>
  <c r="D27" i="11"/>
  <c r="F56" i="11"/>
  <c r="D25" i="11"/>
  <c r="F54" i="11"/>
  <c r="D23" i="11"/>
  <c r="F52" i="11"/>
  <c r="D21" i="11"/>
  <c r="F50" i="11"/>
  <c r="D19" i="11"/>
  <c r="F48" i="11"/>
  <c r="D17" i="11"/>
  <c r="F46" i="11"/>
  <c r="D15" i="11"/>
  <c r="F44" i="11"/>
  <c r="D13" i="11"/>
  <c r="F42" i="11"/>
  <c r="D11" i="11"/>
  <c r="F40" i="11"/>
  <c r="D9" i="11"/>
  <c r="F38" i="11"/>
  <c r="D7" i="11"/>
  <c r="D64" i="11"/>
  <c r="D5" i="11"/>
  <c r="D93" i="12"/>
  <c r="F93" i="12" s="1"/>
  <c r="D31" i="12"/>
  <c r="D91" i="12"/>
  <c r="F91" i="12" s="1"/>
  <c r="D29" i="12"/>
  <c r="D89" i="12"/>
  <c r="F89" i="12" s="1"/>
  <c r="D27" i="12"/>
  <c r="D87" i="12"/>
  <c r="F87" i="12" s="1"/>
  <c r="D25" i="12"/>
  <c r="D85" i="12"/>
  <c r="F85" i="12" s="1"/>
  <c r="D23" i="12"/>
  <c r="D83" i="12"/>
  <c r="F83" i="12" s="1"/>
  <c r="D21" i="12"/>
  <c r="D81" i="12"/>
  <c r="F81" i="12" s="1"/>
  <c r="D19" i="12"/>
  <c r="D79" i="12"/>
  <c r="F79" i="12" s="1"/>
  <c r="D17" i="12"/>
  <c r="D77" i="12"/>
  <c r="F77" i="12" s="1"/>
  <c r="D15" i="12"/>
  <c r="D75" i="12"/>
  <c r="F75" i="12" s="1"/>
  <c r="D13" i="12"/>
  <c r="D73" i="12"/>
  <c r="F73" i="12" s="1"/>
  <c r="D11" i="12"/>
  <c r="D71" i="12"/>
  <c r="F71" i="12" s="1"/>
  <c r="D9" i="12"/>
  <c r="D69" i="12"/>
  <c r="F69" i="12" s="1"/>
  <c r="D7" i="12"/>
  <c r="D67" i="12"/>
  <c r="F67" i="12" s="1"/>
  <c r="D5" i="12"/>
  <c r="D74" i="13"/>
  <c r="F74" i="13" s="1"/>
  <c r="D12" i="13"/>
  <c r="D72" i="13"/>
  <c r="F72" i="13" s="1"/>
  <c r="D10" i="13"/>
  <c r="D70" i="13"/>
  <c r="F70" i="13" s="1"/>
  <c r="D8" i="13"/>
  <c r="D68" i="13"/>
  <c r="F68" i="13" s="1"/>
  <c r="D6" i="13"/>
  <c r="D91" i="14"/>
  <c r="F91" i="14" s="1"/>
  <c r="D29" i="14"/>
  <c r="D89" i="14"/>
  <c r="F89" i="14" s="1"/>
  <c r="D27" i="14"/>
  <c r="D87" i="14"/>
  <c r="F87" i="14" s="1"/>
  <c r="D25" i="14"/>
  <c r="D85" i="14"/>
  <c r="F85" i="14" s="1"/>
  <c r="D23" i="14"/>
  <c r="D83" i="14"/>
  <c r="F83" i="14" s="1"/>
  <c r="D21" i="14"/>
  <c r="D81" i="14"/>
  <c r="F81" i="14" s="1"/>
  <c r="D19" i="14"/>
  <c r="D79" i="14"/>
  <c r="F79" i="14" s="1"/>
  <c r="D17" i="14"/>
  <c r="D77" i="14"/>
  <c r="F77" i="14" s="1"/>
  <c r="D15" i="14"/>
  <c r="D75" i="14"/>
  <c r="F75" i="14" s="1"/>
  <c r="D13" i="14"/>
  <c r="D73" i="14"/>
  <c r="F73" i="14" s="1"/>
  <c r="D11" i="14"/>
  <c r="D71" i="14"/>
  <c r="F71" i="14" s="1"/>
  <c r="D9" i="14"/>
  <c r="D69" i="14"/>
  <c r="F69" i="14" s="1"/>
  <c r="D7" i="14"/>
  <c r="D33" i="14" s="1"/>
  <c r="B50" i="63" s="1"/>
  <c r="D64" i="14"/>
  <c r="F64" i="14" s="1"/>
  <c r="N50" i="63" s="1"/>
  <c r="D118" i="15"/>
  <c r="E105" i="15"/>
  <c r="E95" i="15"/>
  <c r="C109" i="15" s="1"/>
  <c r="E64" i="15"/>
  <c r="F64" i="15" s="1"/>
  <c r="N49" i="63" s="1"/>
  <c r="D118" i="21"/>
  <c r="E105" i="21"/>
  <c r="E95" i="21"/>
  <c r="C109" i="21" s="1"/>
  <c r="E64" i="21"/>
  <c r="F64" i="21" s="1"/>
  <c r="N43" i="63" s="1"/>
  <c r="D118" i="22"/>
  <c r="D93" i="22"/>
  <c r="F93" i="22" s="1"/>
  <c r="D31" i="22"/>
  <c r="D91" i="22"/>
  <c r="F91" i="22" s="1"/>
  <c r="D29" i="22"/>
  <c r="D89" i="22"/>
  <c r="F89" i="22" s="1"/>
  <c r="D27" i="22"/>
  <c r="D87" i="22"/>
  <c r="F87" i="22" s="1"/>
  <c r="D25" i="22"/>
  <c r="D85" i="22"/>
  <c r="F85" i="22" s="1"/>
  <c r="D23" i="22"/>
  <c r="D83" i="22"/>
  <c r="F83" i="22" s="1"/>
  <c r="D21" i="22"/>
  <c r="D81" i="22"/>
  <c r="F81" i="22" s="1"/>
  <c r="D19" i="22"/>
  <c r="D79" i="22"/>
  <c r="F79" i="22" s="1"/>
  <c r="D17" i="22"/>
  <c r="D77" i="22"/>
  <c r="F77" i="22" s="1"/>
  <c r="D15" i="22"/>
  <c r="D75" i="22"/>
  <c r="F75" i="22" s="1"/>
  <c r="D13" i="22"/>
  <c r="D73" i="22"/>
  <c r="F73" i="22" s="1"/>
  <c r="D11" i="22"/>
  <c r="D71" i="22"/>
  <c r="F71" i="22" s="1"/>
  <c r="D9" i="22"/>
  <c r="D69" i="22"/>
  <c r="F69" i="22" s="1"/>
  <c r="D7" i="22"/>
  <c r="D67" i="22"/>
  <c r="F67" i="22" s="1"/>
  <c r="D5" i="22"/>
  <c r="D76" i="13"/>
  <c r="F76" i="13" s="1"/>
  <c r="D14" i="13"/>
  <c r="D78" i="13"/>
  <c r="F78" i="13" s="1"/>
  <c r="D16" i="13"/>
  <c r="D80" i="13"/>
  <c r="F80" i="13" s="1"/>
  <c r="D18" i="13"/>
  <c r="D82" i="13"/>
  <c r="F82" i="13" s="1"/>
  <c r="D20" i="13"/>
  <c r="D84" i="13"/>
  <c r="F84" i="13" s="1"/>
  <c r="D22" i="13"/>
  <c r="D86" i="13"/>
  <c r="F86" i="13" s="1"/>
  <c r="D24" i="13"/>
  <c r="D88" i="13"/>
  <c r="F88" i="13" s="1"/>
  <c r="D26" i="13"/>
  <c r="D90" i="13"/>
  <c r="F90" i="13" s="1"/>
  <c r="D28" i="13"/>
  <c r="D92" i="13"/>
  <c r="F92" i="13" s="1"/>
  <c r="D30" i="13"/>
  <c r="D94" i="13"/>
  <c r="F94" i="13" s="1"/>
  <c r="D32" i="13"/>
  <c r="F110" i="13"/>
  <c r="F112" i="13"/>
  <c r="F114" i="13"/>
  <c r="D118" i="14"/>
  <c r="E105" i="14"/>
  <c r="E95" i="14"/>
  <c r="C109" i="14" s="1"/>
  <c r="F69" i="15"/>
  <c r="E95" i="17"/>
  <c r="C109" i="17" s="1"/>
  <c r="E64" i="17"/>
  <c r="F64" i="17" s="1"/>
  <c r="F41" i="17"/>
  <c r="D10" i="17"/>
  <c r="D12" i="17"/>
  <c r="F45" i="17"/>
  <c r="D14" i="17"/>
  <c r="F47" i="17"/>
  <c r="D16" i="17"/>
  <c r="F49" i="17"/>
  <c r="D18" i="17"/>
  <c r="F51" i="17"/>
  <c r="D20" i="17"/>
  <c r="F53" i="17"/>
  <c r="D22" i="17"/>
  <c r="F55" i="17"/>
  <c r="N47" i="63" s="1"/>
  <c r="D24" i="17"/>
  <c r="F57" i="17"/>
  <c r="D26" i="17"/>
  <c r="F59" i="17"/>
  <c r="D28" i="17"/>
  <c r="F61" i="17"/>
  <c r="D30" i="17"/>
  <c r="F63" i="17"/>
  <c r="D32" i="17"/>
  <c r="E118" i="17"/>
  <c r="F113" i="17"/>
  <c r="F116" i="17"/>
  <c r="F62" i="23"/>
  <c r="D31" i="23"/>
  <c r="F58" i="23"/>
  <c r="D27" i="23"/>
  <c r="F54" i="23"/>
  <c r="D23" i="23"/>
  <c r="F50" i="23"/>
  <c r="D19" i="23"/>
  <c r="F46" i="23"/>
  <c r="D15" i="23"/>
  <c r="F42" i="23"/>
  <c r="D11" i="23"/>
  <c r="F38" i="23"/>
  <c r="D7" i="23"/>
  <c r="E64" i="23"/>
  <c r="M41" i="63" s="1"/>
  <c r="E95" i="23"/>
  <c r="C109" i="23" s="1"/>
  <c r="E105" i="23"/>
  <c r="D71" i="24"/>
  <c r="F71" i="24" s="1"/>
  <c r="D9" i="24"/>
  <c r="D69" i="24"/>
  <c r="F69" i="24" s="1"/>
  <c r="D7" i="24"/>
  <c r="D67" i="24"/>
  <c r="F67" i="24" s="1"/>
  <c r="D5" i="24"/>
  <c r="D73" i="24"/>
  <c r="F73" i="24" s="1"/>
  <c r="D11" i="24"/>
  <c r="D75" i="24"/>
  <c r="F75" i="24" s="1"/>
  <c r="D13" i="24"/>
  <c r="D77" i="24"/>
  <c r="F77" i="24" s="1"/>
  <c r="D15" i="24"/>
  <c r="D79" i="24"/>
  <c r="F79" i="24" s="1"/>
  <c r="D17" i="24"/>
  <c r="D81" i="24"/>
  <c r="F81" i="24" s="1"/>
  <c r="D19" i="24"/>
  <c r="D83" i="24"/>
  <c r="F83" i="24" s="1"/>
  <c r="D21" i="24"/>
  <c r="D85" i="24"/>
  <c r="F85" i="24" s="1"/>
  <c r="D23" i="24"/>
  <c r="D87" i="24"/>
  <c r="F87" i="24" s="1"/>
  <c r="D25" i="24"/>
  <c r="D89" i="24"/>
  <c r="F89" i="24" s="1"/>
  <c r="D27" i="24"/>
  <c r="D91" i="24"/>
  <c r="F91" i="24" s="1"/>
  <c r="D29" i="24"/>
  <c r="D93" i="24"/>
  <c r="F93" i="24" s="1"/>
  <c r="D31" i="24"/>
  <c r="E105" i="33"/>
  <c r="E95" i="33"/>
  <c r="C109" i="33" s="1"/>
  <c r="E64" i="33"/>
  <c r="M31" i="63" s="1"/>
  <c r="D118" i="34"/>
  <c r="E105" i="34"/>
  <c r="E95" i="34"/>
  <c r="C109" i="34" s="1"/>
  <c r="E64" i="34"/>
  <c r="F64" i="34" s="1"/>
  <c r="N30" i="63" s="1"/>
  <c r="D118" i="35"/>
  <c r="E105" i="35"/>
  <c r="E95" i="35"/>
  <c r="C109" i="35" s="1"/>
  <c r="E64" i="35"/>
  <c r="F115" i="16"/>
  <c r="F64" i="16"/>
  <c r="F38" i="16"/>
  <c r="F42" i="16"/>
  <c r="F46" i="16"/>
  <c r="F50" i="16"/>
  <c r="F54" i="16"/>
  <c r="F58" i="16"/>
  <c r="F62" i="16"/>
  <c r="F110" i="16"/>
  <c r="F114" i="16"/>
  <c r="E95" i="19"/>
  <c r="C109" i="19" s="1"/>
  <c r="E64" i="19"/>
  <c r="F64" i="19" s="1"/>
  <c r="F37" i="19"/>
  <c r="F39" i="19"/>
  <c r="F41" i="19"/>
  <c r="D10" i="19"/>
  <c r="F43" i="19"/>
  <c r="D12" i="19"/>
  <c r="F45" i="19"/>
  <c r="D14" i="19"/>
  <c r="F47" i="19"/>
  <c r="D16" i="19"/>
  <c r="F49" i="19"/>
  <c r="D18" i="19"/>
  <c r="F51" i="19"/>
  <c r="D20" i="19"/>
  <c r="F53" i="19"/>
  <c r="D22" i="19"/>
  <c r="F55" i="19"/>
  <c r="D24" i="19"/>
  <c r="F57" i="19"/>
  <c r="D26" i="19"/>
  <c r="F59" i="19"/>
  <c r="D28" i="19"/>
  <c r="F61" i="19"/>
  <c r="D30" i="19"/>
  <c r="F63" i="19"/>
  <c r="D32" i="19"/>
  <c r="F110" i="19"/>
  <c r="F112" i="19"/>
  <c r="F114" i="19"/>
  <c r="E105" i="25"/>
  <c r="E105" i="26"/>
  <c r="E105" i="27"/>
  <c r="E105" i="28"/>
  <c r="E105" i="29"/>
  <c r="E105" i="30"/>
  <c r="D64" i="30"/>
  <c r="F64" i="30" s="1"/>
  <c r="F40" i="30"/>
  <c r="D9" i="30"/>
  <c r="D71" i="30"/>
  <c r="F71" i="30" s="1"/>
  <c r="F42" i="30"/>
  <c r="D73" i="30"/>
  <c r="F73" i="30" s="1"/>
  <c r="D11" i="30"/>
  <c r="F44" i="30"/>
  <c r="D13" i="30"/>
  <c r="D75" i="30"/>
  <c r="F75" i="30" s="1"/>
  <c r="F46" i="30"/>
  <c r="D77" i="30"/>
  <c r="F77" i="30" s="1"/>
  <c r="D15" i="30"/>
  <c r="F48" i="30"/>
  <c r="D17" i="30"/>
  <c r="D79" i="30"/>
  <c r="F79" i="30" s="1"/>
  <c r="F50" i="30"/>
  <c r="D81" i="30"/>
  <c r="F81" i="30" s="1"/>
  <c r="D19" i="30"/>
  <c r="F52" i="30"/>
  <c r="D21" i="30"/>
  <c r="D83" i="30"/>
  <c r="F83" i="30" s="1"/>
  <c r="F54" i="30"/>
  <c r="D85" i="30"/>
  <c r="F85" i="30" s="1"/>
  <c r="D23" i="30"/>
  <c r="F56" i="30"/>
  <c r="D25" i="30"/>
  <c r="D87" i="30"/>
  <c r="F87" i="30" s="1"/>
  <c r="F58" i="30"/>
  <c r="D89" i="30"/>
  <c r="F89" i="30" s="1"/>
  <c r="D27" i="30"/>
  <c r="F60" i="30"/>
  <c r="D29" i="30"/>
  <c r="D91" i="30"/>
  <c r="F91" i="30" s="1"/>
  <c r="F62" i="30"/>
  <c r="D93" i="30"/>
  <c r="F93" i="30" s="1"/>
  <c r="D31" i="30"/>
  <c r="E64" i="31"/>
  <c r="M33" i="63" s="1"/>
  <c r="F72" i="31"/>
  <c r="F80" i="31"/>
  <c r="F88" i="31"/>
  <c r="E118" i="31"/>
  <c r="F111" i="31"/>
  <c r="F115" i="31"/>
  <c r="F75" i="32"/>
  <c r="F83" i="32"/>
  <c r="F91" i="32"/>
  <c r="F115" i="36"/>
  <c r="F111" i="36"/>
  <c r="F75" i="36"/>
  <c r="F83" i="36"/>
  <c r="F91" i="36"/>
  <c r="F112" i="36"/>
  <c r="E95" i="38"/>
  <c r="C109" i="38" s="1"/>
  <c r="E64" i="38"/>
  <c r="F64" i="38" s="1"/>
  <c r="F115" i="46"/>
  <c r="E118" i="46"/>
  <c r="D94" i="46"/>
  <c r="F94" i="46" s="1"/>
  <c r="D32" i="46"/>
  <c r="D92" i="46"/>
  <c r="F92" i="46" s="1"/>
  <c r="D30" i="46"/>
  <c r="D90" i="46"/>
  <c r="F90" i="46" s="1"/>
  <c r="D28" i="46"/>
  <c r="D88" i="46"/>
  <c r="F88" i="46" s="1"/>
  <c r="D26" i="46"/>
  <c r="D86" i="46"/>
  <c r="F86" i="46" s="1"/>
  <c r="D24" i="46"/>
  <c r="D84" i="46"/>
  <c r="F84" i="46" s="1"/>
  <c r="D22" i="46"/>
  <c r="D82" i="46"/>
  <c r="F82" i="46" s="1"/>
  <c r="D20" i="46"/>
  <c r="D80" i="46"/>
  <c r="F80" i="46" s="1"/>
  <c r="D18" i="46"/>
  <c r="D78" i="46"/>
  <c r="F78" i="46" s="1"/>
  <c r="D16" i="46"/>
  <c r="D76" i="46"/>
  <c r="F76" i="46" s="1"/>
  <c r="D14" i="46"/>
  <c r="D74" i="46"/>
  <c r="F74" i="46" s="1"/>
  <c r="D12" i="46"/>
  <c r="D72" i="46"/>
  <c r="F72" i="46" s="1"/>
  <c r="D10" i="46"/>
  <c r="D70" i="46"/>
  <c r="F70" i="46" s="1"/>
  <c r="D8" i="46"/>
  <c r="D68" i="46"/>
  <c r="F68" i="46" s="1"/>
  <c r="D6" i="46"/>
  <c r="D33" i="46" s="1"/>
  <c r="B18" i="63" s="1"/>
  <c r="F62" i="48"/>
  <c r="D31" i="48"/>
  <c r="F60" i="48"/>
  <c r="D29" i="48"/>
  <c r="F58" i="48"/>
  <c r="D27" i="48"/>
  <c r="F56" i="48"/>
  <c r="D25" i="48"/>
  <c r="F54" i="48"/>
  <c r="D23" i="48"/>
  <c r="F52" i="48"/>
  <c r="D21" i="48"/>
  <c r="F50" i="48"/>
  <c r="D19" i="48"/>
  <c r="F48" i="48"/>
  <c r="D17" i="48"/>
  <c r="F46" i="48"/>
  <c r="D15" i="48"/>
  <c r="F44" i="48"/>
  <c r="D13" i="48"/>
  <c r="F42" i="48"/>
  <c r="D11" i="48"/>
  <c r="D33" i="48" s="1"/>
  <c r="B16" i="63" s="1"/>
  <c r="D64" i="48"/>
  <c r="F64" i="48" s="1"/>
  <c r="N16" i="63" s="1"/>
  <c r="F115" i="50"/>
  <c r="E118" i="50"/>
  <c r="D94" i="50"/>
  <c r="F94" i="50" s="1"/>
  <c r="D32" i="50"/>
  <c r="D92" i="50"/>
  <c r="F92" i="50" s="1"/>
  <c r="D30" i="50"/>
  <c r="D90" i="50"/>
  <c r="F90" i="50" s="1"/>
  <c r="D28" i="50"/>
  <c r="D88" i="50"/>
  <c r="F88" i="50" s="1"/>
  <c r="D26" i="50"/>
  <c r="D86" i="50"/>
  <c r="F86" i="50" s="1"/>
  <c r="D24" i="50"/>
  <c r="D84" i="50"/>
  <c r="F84" i="50" s="1"/>
  <c r="D22" i="50"/>
  <c r="D82" i="50"/>
  <c r="F82" i="50" s="1"/>
  <c r="D20" i="50"/>
  <c r="D80" i="50"/>
  <c r="F80" i="50" s="1"/>
  <c r="D18" i="50"/>
  <c r="D78" i="50"/>
  <c r="F78" i="50" s="1"/>
  <c r="D16" i="50"/>
  <c r="D76" i="50"/>
  <c r="F76" i="50" s="1"/>
  <c r="D14" i="50"/>
  <c r="D74" i="50"/>
  <c r="F74" i="50" s="1"/>
  <c r="D12" i="50"/>
  <c r="D72" i="50"/>
  <c r="F72" i="50" s="1"/>
  <c r="D10" i="50"/>
  <c r="D70" i="50"/>
  <c r="F70" i="50" s="1"/>
  <c r="D8" i="50"/>
  <c r="D68" i="50"/>
  <c r="F68" i="50" s="1"/>
  <c r="D6" i="50"/>
  <c r="D93" i="55"/>
  <c r="F93" i="55" s="1"/>
  <c r="D31" i="55"/>
  <c r="D91" i="55"/>
  <c r="F91" i="55" s="1"/>
  <c r="D29" i="55"/>
  <c r="D89" i="55"/>
  <c r="F89" i="55" s="1"/>
  <c r="D27" i="55"/>
  <c r="D87" i="55"/>
  <c r="F87" i="55" s="1"/>
  <c r="D25" i="55"/>
  <c r="D85" i="55"/>
  <c r="F85" i="55" s="1"/>
  <c r="D23" i="55"/>
  <c r="D83" i="55"/>
  <c r="F83" i="55" s="1"/>
  <c r="D21" i="55"/>
  <c r="D81" i="55"/>
  <c r="F81" i="55" s="1"/>
  <c r="D19" i="55"/>
  <c r="D79" i="55"/>
  <c r="F79" i="55" s="1"/>
  <c r="D17" i="55"/>
  <c r="D77" i="55"/>
  <c r="F77" i="55" s="1"/>
  <c r="D15" i="55"/>
  <c r="D75" i="55"/>
  <c r="F75" i="55" s="1"/>
  <c r="D13" i="55"/>
  <c r="D73" i="55"/>
  <c r="F73" i="55" s="1"/>
  <c r="D11" i="55"/>
  <c r="D71" i="55"/>
  <c r="F71" i="55" s="1"/>
  <c r="D9" i="55"/>
  <c r="D69" i="55"/>
  <c r="F69" i="55" s="1"/>
  <c r="D7" i="55"/>
  <c r="D67" i="55"/>
  <c r="F67" i="55" s="1"/>
  <c r="D5" i="55"/>
  <c r="F115" i="57"/>
  <c r="E118" i="57"/>
  <c r="E105" i="57"/>
  <c r="E64" i="57"/>
  <c r="F64" i="57" s="1"/>
  <c r="F37" i="38"/>
  <c r="D6" i="38"/>
  <c r="F39" i="38"/>
  <c r="D8" i="38"/>
  <c r="F41" i="38"/>
  <c r="D10" i="38"/>
  <c r="F43" i="38"/>
  <c r="D12" i="38"/>
  <c r="F45" i="38"/>
  <c r="D14" i="38"/>
  <c r="F47" i="38"/>
  <c r="D16" i="38"/>
  <c r="F49" i="38"/>
  <c r="D18" i="38"/>
  <c r="F51" i="38"/>
  <c r="D20" i="38"/>
  <c r="F53" i="38"/>
  <c r="D22" i="38"/>
  <c r="F55" i="38"/>
  <c r="D24" i="38"/>
  <c r="F57" i="38"/>
  <c r="D26" i="38"/>
  <c r="F59" i="38"/>
  <c r="D28" i="38"/>
  <c r="F61" i="38"/>
  <c r="D30" i="38"/>
  <c r="F63" i="38"/>
  <c r="D32" i="38"/>
  <c r="E118" i="38"/>
  <c r="F113" i="38"/>
  <c r="F115" i="38"/>
  <c r="F116" i="38"/>
  <c r="E118" i="22"/>
  <c r="E118" i="25"/>
  <c r="E95" i="25"/>
  <c r="C109" i="25" s="1"/>
  <c r="E64" i="25"/>
  <c r="F64" i="25" s="1"/>
  <c r="F37" i="25"/>
  <c r="D68" i="25"/>
  <c r="F68" i="25" s="1"/>
  <c r="D6" i="25"/>
  <c r="F39" i="25"/>
  <c r="D8" i="25"/>
  <c r="D70" i="25"/>
  <c r="F70" i="25" s="1"/>
  <c r="F41" i="25"/>
  <c r="D72" i="25"/>
  <c r="F72" i="25" s="1"/>
  <c r="D10" i="25"/>
  <c r="F43" i="25"/>
  <c r="D74" i="25"/>
  <c r="F74" i="25" s="1"/>
  <c r="D12" i="25"/>
  <c r="F45" i="25"/>
  <c r="D76" i="25"/>
  <c r="F76" i="25" s="1"/>
  <c r="D14" i="25"/>
  <c r="F47" i="25"/>
  <c r="D16" i="25"/>
  <c r="D78" i="25"/>
  <c r="F78" i="25" s="1"/>
  <c r="F49" i="25"/>
  <c r="D80" i="25"/>
  <c r="F80" i="25" s="1"/>
  <c r="D18" i="25"/>
  <c r="F51" i="25"/>
  <c r="D82" i="25"/>
  <c r="F82" i="25" s="1"/>
  <c r="D20" i="25"/>
  <c r="F53" i="25"/>
  <c r="D84" i="25"/>
  <c r="F84" i="25" s="1"/>
  <c r="D22" i="25"/>
  <c r="F55" i="25"/>
  <c r="D24" i="25"/>
  <c r="D86" i="25"/>
  <c r="F86" i="25" s="1"/>
  <c r="F57" i="25"/>
  <c r="D88" i="25"/>
  <c r="F88" i="25" s="1"/>
  <c r="D26" i="25"/>
  <c r="F59" i="25"/>
  <c r="D90" i="25"/>
  <c r="F90" i="25" s="1"/>
  <c r="D28" i="25"/>
  <c r="F61" i="25"/>
  <c r="D92" i="25"/>
  <c r="F92" i="25" s="1"/>
  <c r="D30" i="25"/>
  <c r="F63" i="25"/>
  <c r="D32" i="25"/>
  <c r="D94" i="25"/>
  <c r="F94" i="25" s="1"/>
  <c r="D67" i="26"/>
  <c r="F67" i="26" s="1"/>
  <c r="D5" i="26"/>
  <c r="D69" i="26"/>
  <c r="F69" i="26" s="1"/>
  <c r="D7" i="26"/>
  <c r="D71" i="26"/>
  <c r="F71" i="26" s="1"/>
  <c r="D9" i="26"/>
  <c r="D73" i="26"/>
  <c r="F73" i="26" s="1"/>
  <c r="D11" i="26"/>
  <c r="D75" i="26"/>
  <c r="F75" i="26" s="1"/>
  <c r="D13" i="26"/>
  <c r="D77" i="26"/>
  <c r="F77" i="26" s="1"/>
  <c r="D15" i="26"/>
  <c r="D79" i="26"/>
  <c r="F79" i="26" s="1"/>
  <c r="D17" i="26"/>
  <c r="D81" i="26"/>
  <c r="F81" i="26" s="1"/>
  <c r="D19" i="26"/>
  <c r="D83" i="26"/>
  <c r="F83" i="26" s="1"/>
  <c r="D21" i="26"/>
  <c r="D85" i="26"/>
  <c r="F85" i="26" s="1"/>
  <c r="D23" i="26"/>
  <c r="D87" i="26"/>
  <c r="F87" i="26" s="1"/>
  <c r="D25" i="26"/>
  <c r="D89" i="26"/>
  <c r="F89" i="26" s="1"/>
  <c r="D27" i="26"/>
  <c r="D91" i="26"/>
  <c r="F91" i="26" s="1"/>
  <c r="D29" i="26"/>
  <c r="D93" i="26"/>
  <c r="F93" i="26" s="1"/>
  <c r="D31" i="26"/>
  <c r="D68" i="27"/>
  <c r="F68" i="27" s="1"/>
  <c r="D6" i="27"/>
  <c r="D70" i="27"/>
  <c r="F70" i="27" s="1"/>
  <c r="D8" i="27"/>
  <c r="D72" i="27"/>
  <c r="F72" i="27" s="1"/>
  <c r="D10" i="27"/>
  <c r="D74" i="27"/>
  <c r="F74" i="27" s="1"/>
  <c r="D12" i="27"/>
  <c r="D76" i="27"/>
  <c r="F76" i="27" s="1"/>
  <c r="D14" i="27"/>
  <c r="D78" i="27"/>
  <c r="F78" i="27" s="1"/>
  <c r="D16" i="27"/>
  <c r="D80" i="27"/>
  <c r="F80" i="27" s="1"/>
  <c r="D18" i="27"/>
  <c r="D82" i="27"/>
  <c r="F82" i="27" s="1"/>
  <c r="D20" i="27"/>
  <c r="D84" i="27"/>
  <c r="F84" i="27" s="1"/>
  <c r="D22" i="27"/>
  <c r="D86" i="27"/>
  <c r="F86" i="27" s="1"/>
  <c r="D24" i="27"/>
  <c r="D88" i="27"/>
  <c r="F88" i="27" s="1"/>
  <c r="D26" i="27"/>
  <c r="D90" i="27"/>
  <c r="F90" i="27" s="1"/>
  <c r="D28" i="27"/>
  <c r="D92" i="27"/>
  <c r="F92" i="27" s="1"/>
  <c r="D30" i="27"/>
  <c r="D94" i="27"/>
  <c r="F94" i="27" s="1"/>
  <c r="D32" i="27"/>
  <c r="E118" i="27"/>
  <c r="F111" i="27"/>
  <c r="F113" i="27"/>
  <c r="F115" i="27"/>
  <c r="F116" i="27"/>
  <c r="D64" i="28"/>
  <c r="F64" i="28" s="1"/>
  <c r="D5" i="28"/>
  <c r="D67" i="28"/>
  <c r="F67" i="28" s="1"/>
  <c r="F38" i="28"/>
  <c r="D69" i="28"/>
  <c r="F69" i="28" s="1"/>
  <c r="D7" i="28"/>
  <c r="F40" i="28"/>
  <c r="D9" i="28"/>
  <c r="D71" i="28"/>
  <c r="F71" i="28" s="1"/>
  <c r="F42" i="28"/>
  <c r="D73" i="28"/>
  <c r="F73" i="28" s="1"/>
  <c r="D11" i="28"/>
  <c r="F44" i="28"/>
  <c r="D13" i="28"/>
  <c r="D75" i="28"/>
  <c r="F75" i="28" s="1"/>
  <c r="F46" i="28"/>
  <c r="D77" i="28"/>
  <c r="F77" i="28" s="1"/>
  <c r="D15" i="28"/>
  <c r="F48" i="28"/>
  <c r="D17" i="28"/>
  <c r="D79" i="28"/>
  <c r="F79" i="28" s="1"/>
  <c r="F50" i="28"/>
  <c r="D81" i="28"/>
  <c r="F81" i="28" s="1"/>
  <c r="D19" i="28"/>
  <c r="F52" i="28"/>
  <c r="D21" i="28"/>
  <c r="D83" i="28"/>
  <c r="F83" i="28" s="1"/>
  <c r="F54" i="28"/>
  <c r="D85" i="28"/>
  <c r="F85" i="28" s="1"/>
  <c r="D23" i="28"/>
  <c r="F56" i="28"/>
  <c r="D25" i="28"/>
  <c r="D87" i="28"/>
  <c r="F87" i="28" s="1"/>
  <c r="F58" i="28"/>
  <c r="D89" i="28"/>
  <c r="F89" i="28" s="1"/>
  <c r="D27" i="28"/>
  <c r="F60" i="28"/>
  <c r="D29" i="28"/>
  <c r="D91" i="28"/>
  <c r="F91" i="28" s="1"/>
  <c r="F62" i="28"/>
  <c r="D93" i="28"/>
  <c r="F93" i="28" s="1"/>
  <c r="D31" i="28"/>
  <c r="E95" i="28"/>
  <c r="C109" i="28" s="1"/>
  <c r="E95" i="29"/>
  <c r="C109" i="29" s="1"/>
  <c r="E64" i="29"/>
  <c r="F64" i="29" s="1"/>
  <c r="F37" i="29"/>
  <c r="D68" i="29"/>
  <c r="F68" i="29" s="1"/>
  <c r="D6" i="29"/>
  <c r="F39" i="29"/>
  <c r="D8" i="29"/>
  <c r="D70" i="29"/>
  <c r="F70" i="29" s="1"/>
  <c r="F41" i="29"/>
  <c r="D72" i="29"/>
  <c r="F72" i="29" s="1"/>
  <c r="D10" i="29"/>
  <c r="F43" i="29"/>
  <c r="D74" i="29"/>
  <c r="F74" i="29" s="1"/>
  <c r="D12" i="29"/>
  <c r="F45" i="29"/>
  <c r="D76" i="29"/>
  <c r="F76" i="29" s="1"/>
  <c r="D14" i="29"/>
  <c r="F47" i="29"/>
  <c r="D16" i="29"/>
  <c r="D78" i="29"/>
  <c r="F78" i="29" s="1"/>
  <c r="F49" i="29"/>
  <c r="D80" i="29"/>
  <c r="F80" i="29" s="1"/>
  <c r="D18" i="29"/>
  <c r="F51" i="29"/>
  <c r="D82" i="29"/>
  <c r="F82" i="29" s="1"/>
  <c r="D20" i="29"/>
  <c r="F53" i="29"/>
  <c r="D84" i="29"/>
  <c r="F84" i="29" s="1"/>
  <c r="D22" i="29"/>
  <c r="F55" i="29"/>
  <c r="D24" i="29"/>
  <c r="D86" i="29"/>
  <c r="F86" i="29" s="1"/>
  <c r="F57" i="29"/>
  <c r="D88" i="29"/>
  <c r="F88" i="29" s="1"/>
  <c r="D26" i="29"/>
  <c r="F59" i="29"/>
  <c r="D90" i="29"/>
  <c r="F90" i="29" s="1"/>
  <c r="D28" i="29"/>
  <c r="F61" i="29"/>
  <c r="D92" i="29"/>
  <c r="F92" i="29" s="1"/>
  <c r="D30" i="29"/>
  <c r="F63" i="29"/>
  <c r="D32" i="29"/>
  <c r="D94" i="29"/>
  <c r="F94" i="29" s="1"/>
  <c r="E118" i="29"/>
  <c r="F111" i="29"/>
  <c r="F113" i="29"/>
  <c r="F115" i="29"/>
  <c r="F116" i="29"/>
  <c r="E105" i="36"/>
  <c r="E95" i="37"/>
  <c r="C109" i="37" s="1"/>
  <c r="E64" i="37"/>
  <c r="M27" i="63" s="1"/>
  <c r="D88" i="37"/>
  <c r="F88" i="37" s="1"/>
  <c r="D26" i="37"/>
  <c r="D90" i="37"/>
  <c r="F90" i="37" s="1"/>
  <c r="D28" i="37"/>
  <c r="D92" i="37"/>
  <c r="F92" i="37" s="1"/>
  <c r="D30" i="37"/>
  <c r="D94" i="37"/>
  <c r="F94" i="37" s="1"/>
  <c r="D32" i="37"/>
  <c r="E118" i="37"/>
  <c r="F111" i="37"/>
  <c r="F113" i="37"/>
  <c r="F115" i="37"/>
  <c r="F116" i="37"/>
  <c r="E118" i="35"/>
  <c r="E105" i="39"/>
  <c r="D118" i="39"/>
  <c r="D84" i="39"/>
  <c r="F84" i="39" s="1"/>
  <c r="D22" i="39"/>
  <c r="D86" i="39"/>
  <c r="F86" i="39" s="1"/>
  <c r="D24" i="39"/>
  <c r="D88" i="39"/>
  <c r="F88" i="39" s="1"/>
  <c r="D26" i="39"/>
  <c r="D90" i="39"/>
  <c r="F90" i="39" s="1"/>
  <c r="D28" i="39"/>
  <c r="D92" i="39"/>
  <c r="F92" i="39" s="1"/>
  <c r="D30" i="39"/>
  <c r="D94" i="39"/>
  <c r="F94" i="39" s="1"/>
  <c r="D32" i="39"/>
  <c r="E118" i="39"/>
  <c r="F111" i="39"/>
  <c r="F113" i="39"/>
  <c r="F115" i="39"/>
  <c r="F116" i="39"/>
  <c r="E105" i="41"/>
  <c r="D64" i="41"/>
  <c r="F64" i="41" s="1"/>
  <c r="D5" i="41"/>
  <c r="F38" i="41"/>
  <c r="D7" i="41"/>
  <c r="F40" i="41"/>
  <c r="D9" i="41"/>
  <c r="F42" i="41"/>
  <c r="D11" i="41"/>
  <c r="F44" i="41"/>
  <c r="D13" i="41"/>
  <c r="F46" i="41"/>
  <c r="D15" i="41"/>
  <c r="F48" i="41"/>
  <c r="D17" i="41"/>
  <c r="F50" i="41"/>
  <c r="D19" i="41"/>
  <c r="F52" i="41"/>
  <c r="D21" i="41"/>
  <c r="F54" i="41"/>
  <c r="D23" i="41"/>
  <c r="F56" i="41"/>
  <c r="D25" i="41"/>
  <c r="F58" i="41"/>
  <c r="D27" i="41"/>
  <c r="F60" i="41"/>
  <c r="D29" i="41"/>
  <c r="F62" i="41"/>
  <c r="D31" i="41"/>
  <c r="E64" i="52"/>
  <c r="F64" i="52" s="1"/>
  <c r="N12" i="63" s="1"/>
  <c r="D68" i="52"/>
  <c r="F68" i="52" s="1"/>
  <c r="D6" i="52"/>
  <c r="D70" i="52"/>
  <c r="F70" i="52" s="1"/>
  <c r="D8" i="52"/>
  <c r="D72" i="52"/>
  <c r="F72" i="52" s="1"/>
  <c r="D10" i="52"/>
  <c r="D74" i="52"/>
  <c r="F74" i="52" s="1"/>
  <c r="D12" i="52"/>
  <c r="D76" i="52"/>
  <c r="F76" i="52" s="1"/>
  <c r="D14" i="52"/>
  <c r="D78" i="52"/>
  <c r="F78" i="52" s="1"/>
  <c r="D16" i="52"/>
  <c r="D80" i="52"/>
  <c r="F80" i="52" s="1"/>
  <c r="D18" i="52"/>
  <c r="D82" i="52"/>
  <c r="F82" i="52" s="1"/>
  <c r="D20" i="52"/>
  <c r="D84" i="52"/>
  <c r="F84" i="52" s="1"/>
  <c r="D22" i="52"/>
  <c r="D86" i="52"/>
  <c r="F86" i="52" s="1"/>
  <c r="D24" i="52"/>
  <c r="D88" i="52"/>
  <c r="F88" i="52" s="1"/>
  <c r="D26" i="52"/>
  <c r="D90" i="52"/>
  <c r="F90" i="52" s="1"/>
  <c r="D28" i="52"/>
  <c r="D92" i="52"/>
  <c r="F92" i="52" s="1"/>
  <c r="D30" i="52"/>
  <c r="D94" i="52"/>
  <c r="F94" i="52" s="1"/>
  <c r="D32" i="52"/>
  <c r="F110" i="52"/>
  <c r="F114" i="52"/>
  <c r="E105" i="54"/>
  <c r="D64" i="54"/>
  <c r="F64" i="54" s="1"/>
  <c r="F38" i="54"/>
  <c r="F40" i="54"/>
  <c r="D9" i="54"/>
  <c r="F42" i="54"/>
  <c r="D11" i="54"/>
  <c r="F44" i="54"/>
  <c r="D13" i="54"/>
  <c r="F46" i="54"/>
  <c r="D15" i="54"/>
  <c r="F48" i="54"/>
  <c r="D17" i="54"/>
  <c r="F50" i="54"/>
  <c r="D19" i="54"/>
  <c r="F52" i="54"/>
  <c r="D21" i="54"/>
  <c r="F54" i="54"/>
  <c r="D23" i="54"/>
  <c r="F56" i="54"/>
  <c r="D25" i="54"/>
  <c r="F58" i="54"/>
  <c r="D27" i="54"/>
  <c r="F60" i="54"/>
  <c r="D29" i="54"/>
  <c r="F62" i="54"/>
  <c r="D31" i="54"/>
  <c r="F60" i="56"/>
  <c r="D29" i="56"/>
  <c r="F50" i="56"/>
  <c r="D19" i="56"/>
  <c r="F40" i="56"/>
  <c r="D9" i="56"/>
  <c r="E64" i="56"/>
  <c r="M8" i="63" s="1"/>
  <c r="E95" i="56"/>
  <c r="C109" i="56" s="1"/>
  <c r="E105" i="56"/>
  <c r="F63" i="40"/>
  <c r="D32" i="40"/>
  <c r="F59" i="40"/>
  <c r="D28" i="40"/>
  <c r="F55" i="40"/>
  <c r="D24" i="40"/>
  <c r="F51" i="40"/>
  <c r="D20" i="40"/>
  <c r="F47" i="40"/>
  <c r="D16" i="40"/>
  <c r="F43" i="40"/>
  <c r="D12" i="40"/>
  <c r="F39" i="40"/>
  <c r="D8" i="40"/>
  <c r="D33" i="40" s="1"/>
  <c r="B24" i="63" s="1"/>
  <c r="E64" i="40"/>
  <c r="F64" i="40" s="1"/>
  <c r="N24" i="63" s="1"/>
  <c r="E95" i="40"/>
  <c r="C109" i="40" s="1"/>
  <c r="E105" i="40"/>
  <c r="F114" i="41"/>
  <c r="F110" i="41"/>
  <c r="E105" i="42"/>
  <c r="F71" i="42"/>
  <c r="F75" i="42"/>
  <c r="D79" i="42"/>
  <c r="F79" i="42" s="1"/>
  <c r="D17" i="42"/>
  <c r="D81" i="42"/>
  <c r="F81" i="42" s="1"/>
  <c r="D19" i="42"/>
  <c r="D83" i="42"/>
  <c r="F83" i="42" s="1"/>
  <c r="D21" i="42"/>
  <c r="D85" i="42"/>
  <c r="F85" i="42" s="1"/>
  <c r="D23" i="42"/>
  <c r="D87" i="42"/>
  <c r="F87" i="42" s="1"/>
  <c r="D25" i="42"/>
  <c r="D89" i="42"/>
  <c r="F89" i="42" s="1"/>
  <c r="D27" i="42"/>
  <c r="D91" i="42"/>
  <c r="F91" i="42" s="1"/>
  <c r="D29" i="42"/>
  <c r="D93" i="42"/>
  <c r="F93" i="42" s="1"/>
  <c r="D31" i="42"/>
  <c r="F60" i="43"/>
  <c r="D29" i="43"/>
  <c r="F56" i="43"/>
  <c r="D25" i="43"/>
  <c r="F52" i="43"/>
  <c r="D21" i="43"/>
  <c r="F48" i="43"/>
  <c r="D17" i="43"/>
  <c r="F44" i="43"/>
  <c r="D13" i="43"/>
  <c r="F40" i="43"/>
  <c r="D9" i="43"/>
  <c r="D64" i="43"/>
  <c r="F64" i="43" s="1"/>
  <c r="N21" i="63" s="1"/>
  <c r="D5" i="43"/>
  <c r="E118" i="43"/>
  <c r="F111" i="43"/>
  <c r="F115" i="43"/>
  <c r="F116" i="43"/>
  <c r="D64" i="44"/>
  <c r="F64" i="44" s="1"/>
  <c r="N20" i="63" s="1"/>
  <c r="F44" i="44"/>
  <c r="D13" i="44"/>
  <c r="F46" i="44"/>
  <c r="D15" i="44"/>
  <c r="F48" i="44"/>
  <c r="D17" i="44"/>
  <c r="D81" i="44"/>
  <c r="F81" i="44" s="1"/>
  <c r="D19" i="44"/>
  <c r="D83" i="44"/>
  <c r="F83" i="44" s="1"/>
  <c r="D21" i="44"/>
  <c r="D85" i="44"/>
  <c r="F85" i="44" s="1"/>
  <c r="D23" i="44"/>
  <c r="D87" i="44"/>
  <c r="F87" i="44" s="1"/>
  <c r="D25" i="44"/>
  <c r="D89" i="44"/>
  <c r="F89" i="44" s="1"/>
  <c r="D27" i="44"/>
  <c r="D91" i="44"/>
  <c r="F91" i="44" s="1"/>
  <c r="D29" i="44"/>
  <c r="D93" i="44"/>
  <c r="F93" i="44" s="1"/>
  <c r="D31" i="44"/>
  <c r="F37" i="45"/>
  <c r="F39" i="45"/>
  <c r="F41" i="45"/>
  <c r="F43" i="45"/>
  <c r="F45" i="45"/>
  <c r="D14" i="45"/>
  <c r="F47" i="45"/>
  <c r="D16" i="45"/>
  <c r="F49" i="45"/>
  <c r="D18" i="45"/>
  <c r="F51" i="45"/>
  <c r="D20" i="45"/>
  <c r="F53" i="45"/>
  <c r="D22" i="45"/>
  <c r="F55" i="45"/>
  <c r="D24" i="45"/>
  <c r="F57" i="45"/>
  <c r="D26" i="45"/>
  <c r="F59" i="45"/>
  <c r="D28" i="45"/>
  <c r="F61" i="45"/>
  <c r="D30" i="45"/>
  <c r="F63" i="45"/>
  <c r="D32" i="45"/>
  <c r="E118" i="45"/>
  <c r="F111" i="45"/>
  <c r="F115" i="45"/>
  <c r="F61" i="47"/>
  <c r="D30" i="47"/>
  <c r="F57" i="47"/>
  <c r="D26" i="47"/>
  <c r="F53" i="47"/>
  <c r="D22" i="47"/>
  <c r="F49" i="47"/>
  <c r="D18" i="47"/>
  <c r="F45" i="47"/>
  <c r="D14" i="47"/>
  <c r="D33" i="47" s="1"/>
  <c r="B17" i="63" s="1"/>
  <c r="F112" i="47"/>
  <c r="E118" i="49"/>
  <c r="F63" i="49"/>
  <c r="D32" i="49"/>
  <c r="F59" i="49"/>
  <c r="D28" i="49"/>
  <c r="F55" i="49"/>
  <c r="D24" i="49"/>
  <c r="F51" i="49"/>
  <c r="D20" i="49"/>
  <c r="F47" i="49"/>
  <c r="D16" i="49"/>
  <c r="F43" i="49"/>
  <c r="D12" i="49"/>
  <c r="D33" i="49" s="1"/>
  <c r="B15" i="63" s="1"/>
  <c r="F39" i="49"/>
  <c r="E64" i="49"/>
  <c r="F64" i="49" s="1"/>
  <c r="E95" i="49"/>
  <c r="C109" i="49" s="1"/>
  <c r="E105" i="49"/>
  <c r="E118" i="52"/>
  <c r="E95" i="53"/>
  <c r="C109" i="53" s="1"/>
  <c r="E64" i="53"/>
  <c r="F64" i="53" s="1"/>
  <c r="F41" i="53"/>
  <c r="D10" i="53"/>
  <c r="F43" i="53"/>
  <c r="D12" i="53"/>
  <c r="F45" i="53"/>
  <c r="D14" i="53"/>
  <c r="F47" i="53"/>
  <c r="D16" i="53"/>
  <c r="F49" i="53"/>
  <c r="D18" i="53"/>
  <c r="F51" i="53"/>
  <c r="D20" i="53"/>
  <c r="F53" i="53"/>
  <c r="D22" i="53"/>
  <c r="F55" i="53"/>
  <c r="D24" i="53"/>
  <c r="F57" i="53"/>
  <c r="D26" i="53"/>
  <c r="F59" i="53"/>
  <c r="D28" i="53"/>
  <c r="F61" i="53"/>
  <c r="D30" i="53"/>
  <c r="F63" i="53"/>
  <c r="D32" i="53"/>
  <c r="E118" i="53"/>
  <c r="F113" i="53"/>
  <c r="F115" i="53"/>
  <c r="F116" i="53"/>
  <c r="E118" i="56"/>
  <c r="D94" i="56"/>
  <c r="F94" i="56" s="1"/>
  <c r="D32" i="56"/>
  <c r="D90" i="56"/>
  <c r="F90" i="56" s="1"/>
  <c r="D28" i="56"/>
  <c r="D86" i="56"/>
  <c r="F86" i="56" s="1"/>
  <c r="D24" i="56"/>
  <c r="D82" i="56"/>
  <c r="F82" i="56" s="1"/>
  <c r="D20" i="56"/>
  <c r="D78" i="56"/>
  <c r="F78" i="56" s="1"/>
  <c r="D16" i="56"/>
  <c r="D74" i="56"/>
  <c r="F74" i="56" s="1"/>
  <c r="D12" i="56"/>
  <c r="D70" i="56"/>
  <c r="F70" i="56" s="1"/>
  <c r="D8" i="56"/>
  <c r="F93" i="57"/>
  <c r="F77" i="57"/>
  <c r="F62" i="56"/>
  <c r="D31" i="56"/>
  <c r="F54" i="56"/>
  <c r="D23" i="56"/>
  <c r="F48" i="56"/>
  <c r="D17" i="56"/>
  <c r="F42" i="56"/>
  <c r="D11" i="56"/>
  <c r="E118" i="51"/>
  <c r="D93" i="3"/>
  <c r="F93" i="3" s="1"/>
  <c r="D31" i="3"/>
  <c r="D91" i="3"/>
  <c r="F91" i="3" s="1"/>
  <c r="D29" i="3"/>
  <c r="D89" i="3"/>
  <c r="F89" i="3" s="1"/>
  <c r="D27" i="3"/>
  <c r="D87" i="3"/>
  <c r="F87" i="3" s="1"/>
  <c r="D25" i="3"/>
  <c r="D85" i="3"/>
  <c r="F85" i="3" s="1"/>
  <c r="D23" i="3"/>
  <c r="D83" i="3"/>
  <c r="F83" i="3" s="1"/>
  <c r="D21" i="3"/>
  <c r="D81" i="3"/>
  <c r="F81" i="3" s="1"/>
  <c r="D19" i="3"/>
  <c r="D79" i="3"/>
  <c r="F79" i="3" s="1"/>
  <c r="D17" i="3"/>
  <c r="D77" i="3"/>
  <c r="F77" i="3" s="1"/>
  <c r="D15" i="3"/>
  <c r="D75" i="3"/>
  <c r="F75" i="3" s="1"/>
  <c r="D13" i="3"/>
  <c r="D73" i="3"/>
  <c r="F73" i="3" s="1"/>
  <c r="D11" i="3"/>
  <c r="D71" i="3"/>
  <c r="F71" i="3" s="1"/>
  <c r="D9" i="3"/>
  <c r="D69" i="3"/>
  <c r="F69" i="3" s="1"/>
  <c r="D7" i="3"/>
  <c r="D67" i="3"/>
  <c r="F67" i="3" s="1"/>
  <c r="D5" i="3"/>
  <c r="D118" i="3"/>
  <c r="F63" i="3"/>
  <c r="D32" i="3"/>
  <c r="F61" i="3"/>
  <c r="D30" i="3"/>
  <c r="F59" i="3"/>
  <c r="D28" i="3"/>
  <c r="F57" i="3"/>
  <c r="D26" i="3"/>
  <c r="F55" i="3"/>
  <c r="D24" i="3"/>
  <c r="F53" i="3"/>
  <c r="D22" i="3"/>
  <c r="F51" i="3"/>
  <c r="D20" i="3"/>
  <c r="F49" i="3"/>
  <c r="D18" i="3"/>
  <c r="F47" i="3"/>
  <c r="D16" i="3"/>
  <c r="F45" i="3"/>
  <c r="D14" i="3"/>
  <c r="F43" i="3"/>
  <c r="D12" i="3"/>
  <c r="F41" i="3"/>
  <c r="D10" i="3"/>
  <c r="F39" i="3"/>
  <c r="D8" i="3"/>
  <c r="F37" i="3"/>
  <c r="D6" i="3"/>
  <c r="F116" i="3"/>
  <c r="F115" i="3"/>
  <c r="F113" i="3"/>
  <c r="F111" i="3"/>
  <c r="E118" i="3"/>
  <c r="E105" i="3"/>
  <c r="E95" i="3"/>
  <c r="C109" i="3" s="1"/>
  <c r="E64" i="3"/>
  <c r="F64" i="3" s="1"/>
  <c r="F115" i="5"/>
  <c r="E118" i="5"/>
  <c r="E105" i="5"/>
  <c r="E64" i="5"/>
  <c r="M59" i="63" s="1"/>
  <c r="F114" i="5"/>
  <c r="F112" i="5"/>
  <c r="F110" i="5"/>
  <c r="E95" i="5"/>
  <c r="C109" i="5" s="1"/>
  <c r="F62" i="5"/>
  <c r="D31" i="5"/>
  <c r="D93" i="5"/>
  <c r="F93" i="5" s="1"/>
  <c r="F60" i="5"/>
  <c r="D91" i="5"/>
  <c r="F91" i="5" s="1"/>
  <c r="D29" i="5"/>
  <c r="F58" i="5"/>
  <c r="D27" i="5"/>
  <c r="D89" i="5"/>
  <c r="F89" i="5" s="1"/>
  <c r="F56" i="5"/>
  <c r="D87" i="5"/>
  <c r="F87" i="5" s="1"/>
  <c r="D25" i="5"/>
  <c r="F54" i="5"/>
  <c r="D23" i="5"/>
  <c r="D85" i="5"/>
  <c r="F85" i="5" s="1"/>
  <c r="F52" i="5"/>
  <c r="D83" i="5"/>
  <c r="F83" i="5" s="1"/>
  <c r="D21" i="5"/>
  <c r="F50" i="5"/>
  <c r="D19" i="5"/>
  <c r="D81" i="5"/>
  <c r="F81" i="5" s="1"/>
  <c r="F48" i="5"/>
  <c r="D79" i="5"/>
  <c r="F79" i="5" s="1"/>
  <c r="D17" i="5"/>
  <c r="F46" i="5"/>
  <c r="D15" i="5"/>
  <c r="D77" i="5"/>
  <c r="F77" i="5" s="1"/>
  <c r="F44" i="5"/>
  <c r="D75" i="5"/>
  <c r="F75" i="5" s="1"/>
  <c r="D13" i="5"/>
  <c r="F42" i="5"/>
  <c r="D11" i="5"/>
  <c r="D73" i="5"/>
  <c r="F73" i="5" s="1"/>
  <c r="F40" i="5"/>
  <c r="D71" i="5"/>
  <c r="F71" i="5" s="1"/>
  <c r="D9" i="5"/>
  <c r="F38" i="5"/>
  <c r="D7" i="5"/>
  <c r="D69" i="5"/>
  <c r="F69" i="5" s="1"/>
  <c r="D64" i="5"/>
  <c r="D67" i="5"/>
  <c r="F67" i="5" s="1"/>
  <c r="D5" i="5"/>
  <c r="D33" i="5" s="1"/>
  <c r="D118" i="5"/>
  <c r="F63" i="5"/>
  <c r="F61" i="5"/>
  <c r="F59" i="5"/>
  <c r="F57" i="5"/>
  <c r="F55" i="5"/>
  <c r="F53" i="5"/>
  <c r="F51" i="5"/>
  <c r="F49" i="5"/>
  <c r="F47" i="5"/>
  <c r="F45" i="5"/>
  <c r="F43" i="5"/>
  <c r="F41" i="5"/>
  <c r="F39" i="5"/>
  <c r="F37" i="5"/>
  <c r="D64" i="18"/>
  <c r="D118" i="18"/>
  <c r="F63" i="18"/>
  <c r="D94" i="18"/>
  <c r="F94" i="18" s="1"/>
  <c r="D32" i="18"/>
  <c r="F61" i="18"/>
  <c r="D92" i="18"/>
  <c r="F92" i="18" s="1"/>
  <c r="D30" i="18"/>
  <c r="F59" i="18"/>
  <c r="D90" i="18"/>
  <c r="F90" i="18" s="1"/>
  <c r="D28" i="18"/>
  <c r="F57" i="18"/>
  <c r="D88" i="18"/>
  <c r="F88" i="18" s="1"/>
  <c r="D26" i="18"/>
  <c r="F55" i="18"/>
  <c r="D86" i="18"/>
  <c r="F86" i="18" s="1"/>
  <c r="D24" i="18"/>
  <c r="F53" i="18"/>
  <c r="D84" i="18"/>
  <c r="F84" i="18" s="1"/>
  <c r="D22" i="18"/>
  <c r="F51" i="18"/>
  <c r="D82" i="18"/>
  <c r="F82" i="18" s="1"/>
  <c r="D20" i="18"/>
  <c r="F49" i="18"/>
  <c r="D80" i="18"/>
  <c r="F80" i="18" s="1"/>
  <c r="D18" i="18"/>
  <c r="F47" i="18"/>
  <c r="D78" i="18"/>
  <c r="F78" i="18" s="1"/>
  <c r="D16" i="18"/>
  <c r="F45" i="18"/>
  <c r="D76" i="18"/>
  <c r="F76" i="18" s="1"/>
  <c r="D14" i="18"/>
  <c r="F43" i="18"/>
  <c r="D74" i="18"/>
  <c r="F74" i="18" s="1"/>
  <c r="D12" i="18"/>
  <c r="F41" i="18"/>
  <c r="D72" i="18"/>
  <c r="F72" i="18" s="1"/>
  <c r="D10" i="18"/>
  <c r="F39" i="18"/>
  <c r="D70" i="18"/>
  <c r="F70" i="18" s="1"/>
  <c r="D8" i="18"/>
  <c r="F37" i="18"/>
  <c r="D68" i="18"/>
  <c r="F68" i="18" s="1"/>
  <c r="D6" i="18"/>
  <c r="F116" i="18"/>
  <c r="F115" i="18"/>
  <c r="F113" i="18"/>
  <c r="F111" i="18"/>
  <c r="E118" i="18"/>
  <c r="E105" i="18"/>
  <c r="E95" i="18"/>
  <c r="C109" i="18" s="1"/>
  <c r="E64" i="18"/>
  <c r="M46" i="63" s="1"/>
  <c r="F117" i="20"/>
  <c r="F117" i="60" s="1"/>
  <c r="D117" i="60"/>
  <c r="F114" i="20"/>
  <c r="C114" i="60"/>
  <c r="F112" i="20"/>
  <c r="C112" i="60"/>
  <c r="F110" i="20"/>
  <c r="F110" i="60" s="1"/>
  <c r="C110" i="60"/>
  <c r="E116" i="20"/>
  <c r="E116" i="60" s="1"/>
  <c r="E102" i="60"/>
  <c r="F62" i="20"/>
  <c r="D62" i="60"/>
  <c r="F60" i="20"/>
  <c r="D60" i="60"/>
  <c r="F58" i="20"/>
  <c r="D58" i="60"/>
  <c r="F56" i="20"/>
  <c r="D56" i="60"/>
  <c r="F54" i="20"/>
  <c r="D54" i="60"/>
  <c r="F52" i="20"/>
  <c r="D52" i="60"/>
  <c r="F50" i="20"/>
  <c r="D50" i="60"/>
  <c r="F48" i="20"/>
  <c r="D48" i="60"/>
  <c r="F46" i="20"/>
  <c r="D46" i="60"/>
  <c r="F44" i="20"/>
  <c r="D44" i="60"/>
  <c r="F42" i="20"/>
  <c r="D42" i="60"/>
  <c r="F40" i="20"/>
  <c r="D40" i="60"/>
  <c r="F38" i="20"/>
  <c r="D38" i="60"/>
  <c r="D64" i="20"/>
  <c r="D36" i="60"/>
  <c r="E104" i="60"/>
  <c r="E99" i="60"/>
  <c r="D118" i="20"/>
  <c r="D109" i="60"/>
  <c r="D118" i="60" s="1"/>
  <c r="F63" i="20"/>
  <c r="D94" i="20"/>
  <c r="F94" i="20" s="1"/>
  <c r="D32" i="20"/>
  <c r="D63" i="60"/>
  <c r="F61" i="20"/>
  <c r="D92" i="20"/>
  <c r="F92" i="20" s="1"/>
  <c r="D30" i="20"/>
  <c r="D61" i="60"/>
  <c r="F59" i="20"/>
  <c r="D90" i="20"/>
  <c r="F90" i="20" s="1"/>
  <c r="D28" i="20"/>
  <c r="D59" i="60"/>
  <c r="F57" i="20"/>
  <c r="D88" i="20"/>
  <c r="F88" i="20" s="1"/>
  <c r="D26" i="20"/>
  <c r="D57" i="60"/>
  <c r="F55" i="20"/>
  <c r="D86" i="20"/>
  <c r="F86" i="20" s="1"/>
  <c r="D24" i="20"/>
  <c r="D55" i="60"/>
  <c r="F53" i="20"/>
  <c r="D84" i="20"/>
  <c r="F84" i="20" s="1"/>
  <c r="D22" i="20"/>
  <c r="D53" i="60"/>
  <c r="F51" i="20"/>
  <c r="D82" i="20"/>
  <c r="F82" i="20" s="1"/>
  <c r="D20" i="20"/>
  <c r="D51" i="60"/>
  <c r="F49" i="20"/>
  <c r="D80" i="20"/>
  <c r="F80" i="20" s="1"/>
  <c r="D18" i="20"/>
  <c r="D49" i="60"/>
  <c r="F47" i="20"/>
  <c r="D78" i="20"/>
  <c r="F78" i="20" s="1"/>
  <c r="D16" i="20"/>
  <c r="D47" i="60"/>
  <c r="F45" i="20"/>
  <c r="D76" i="20"/>
  <c r="F76" i="20" s="1"/>
  <c r="D14" i="20"/>
  <c r="D45" i="60"/>
  <c r="F43" i="20"/>
  <c r="D74" i="20"/>
  <c r="D12" i="20"/>
  <c r="D43" i="60"/>
  <c r="F41" i="20"/>
  <c r="D72" i="20"/>
  <c r="F72" i="20" s="1"/>
  <c r="D10" i="20"/>
  <c r="D41" i="60"/>
  <c r="F39" i="20"/>
  <c r="D70" i="20"/>
  <c r="F70" i="20" s="1"/>
  <c r="D8" i="20"/>
  <c r="D39" i="60"/>
  <c r="F37" i="20"/>
  <c r="D68" i="20"/>
  <c r="F68" i="20" s="1"/>
  <c r="D6" i="20"/>
  <c r="D37" i="60"/>
  <c r="F116" i="20"/>
  <c r="C116" i="60"/>
  <c r="F115" i="20"/>
  <c r="C115" i="60"/>
  <c r="F113" i="20"/>
  <c r="C113" i="60"/>
  <c r="F111" i="20"/>
  <c r="C111" i="60"/>
  <c r="E118" i="20"/>
  <c r="E109" i="60"/>
  <c r="E103" i="60"/>
  <c r="E100" i="60"/>
  <c r="E105" i="20"/>
  <c r="E98" i="60"/>
  <c r="E95" i="20"/>
  <c r="C109" i="20" s="1"/>
  <c r="E44" i="63"/>
  <c r="E67" i="60"/>
  <c r="E64" i="20"/>
  <c r="M44" i="63" s="1"/>
  <c r="E36" i="60"/>
  <c r="D95" i="1"/>
  <c r="F67" i="1"/>
  <c r="D95" i="59"/>
  <c r="D95" i="4"/>
  <c r="F67" i="4"/>
  <c r="D95" i="6"/>
  <c r="F67" i="6"/>
  <c r="D95" i="5"/>
  <c r="D33" i="9"/>
  <c r="B55" i="63" s="1"/>
  <c r="D95" i="7"/>
  <c r="D95" i="9"/>
  <c r="D95" i="11"/>
  <c r="F67" i="11"/>
  <c r="D95" i="13"/>
  <c r="F67" i="13"/>
  <c r="D95" i="14"/>
  <c r="F67" i="14"/>
  <c r="D95" i="16"/>
  <c r="F67" i="16"/>
  <c r="D33" i="16"/>
  <c r="B48" i="63" s="1"/>
  <c r="F67" i="20"/>
  <c r="D33" i="20"/>
  <c r="D33" i="15"/>
  <c r="D33" i="19"/>
  <c r="D33" i="23"/>
  <c r="B41" i="63" s="1"/>
  <c r="D95" i="25"/>
  <c r="F67" i="25"/>
  <c r="D33" i="25"/>
  <c r="B39" i="63" s="1"/>
  <c r="F67" i="29"/>
  <c r="D95" i="30"/>
  <c r="F67" i="30"/>
  <c r="D33" i="30"/>
  <c r="B34" i="63" s="1"/>
  <c r="D33" i="34"/>
  <c r="B30" i="63" s="1"/>
  <c r="D33" i="38"/>
  <c r="B26" i="63" s="1"/>
  <c r="D95" i="22"/>
  <c r="D33" i="28"/>
  <c r="D33" i="33"/>
  <c r="B31" i="63" s="1"/>
  <c r="S31" i="63" s="1"/>
  <c r="D95" i="34"/>
  <c r="D95" i="46"/>
  <c r="F67" i="46"/>
  <c r="F67" i="50"/>
  <c r="D95" i="52"/>
  <c r="F67" i="52"/>
  <c r="D95" i="47"/>
  <c r="D95" i="51"/>
  <c r="D95" i="45"/>
  <c r="D33" i="45"/>
  <c r="D95" i="53"/>
  <c r="D95" i="57"/>
  <c r="D33" i="59"/>
  <c r="D33" i="6"/>
  <c r="B58" i="63" s="1"/>
  <c r="D33" i="7"/>
  <c r="B57" i="63" s="1"/>
  <c r="D95" i="8"/>
  <c r="F67" i="8"/>
  <c r="D95" i="10"/>
  <c r="F67" i="10"/>
  <c r="D95" i="12"/>
  <c r="F67" i="18"/>
  <c r="D95" i="15"/>
  <c r="D95" i="21"/>
  <c r="D95" i="17"/>
  <c r="D95" i="19"/>
  <c r="D95" i="23"/>
  <c r="F67" i="23"/>
  <c r="F67" i="27"/>
  <c r="D33" i="27"/>
  <c r="B37" i="63" s="1"/>
  <c r="D95" i="28"/>
  <c r="D33" i="32"/>
  <c r="B32" i="63" s="1"/>
  <c r="D33" i="36"/>
  <c r="B28" i="63" s="1"/>
  <c r="D95" i="24"/>
  <c r="D95" i="33"/>
  <c r="F67" i="33"/>
  <c r="D95" i="35"/>
  <c r="F67" i="35"/>
  <c r="F67" i="37"/>
  <c r="F67" i="39"/>
  <c r="D95" i="41"/>
  <c r="F67" i="41"/>
  <c r="D95" i="43"/>
  <c r="F67" i="43"/>
  <c r="D33" i="35"/>
  <c r="B29" i="63" s="1"/>
  <c r="D95" i="40"/>
  <c r="D33" i="37"/>
  <c r="D95" i="38"/>
  <c r="D33" i="39"/>
  <c r="D33" i="41"/>
  <c r="D95" i="42"/>
  <c r="F67" i="44"/>
  <c r="D33" i="44"/>
  <c r="B20" i="63" s="1"/>
  <c r="D95" i="48"/>
  <c r="F67" i="48"/>
  <c r="D33" i="50"/>
  <c r="B14" i="63" s="1"/>
  <c r="D95" i="54"/>
  <c r="F67" i="54"/>
  <c r="D33" i="54"/>
  <c r="B10" i="63" s="1"/>
  <c r="D95" i="56"/>
  <c r="F67" i="56"/>
  <c r="N7" i="63"/>
  <c r="F36" i="60"/>
  <c r="D95" i="49"/>
  <c r="D33" i="51"/>
  <c r="B13" i="63" s="1"/>
  <c r="D33" i="53"/>
  <c r="N36" i="63" l="1"/>
  <c r="N37" i="63"/>
  <c r="F109" i="44"/>
  <c r="D95" i="39"/>
  <c r="D95" i="37"/>
  <c r="D105" i="37" s="1"/>
  <c r="F101" i="37" s="1"/>
  <c r="F41" i="60"/>
  <c r="F109" i="46"/>
  <c r="F50" i="60"/>
  <c r="F69" i="60"/>
  <c r="D33" i="24"/>
  <c r="F92" i="60"/>
  <c r="D95" i="50"/>
  <c r="F61" i="60"/>
  <c r="D33" i="29"/>
  <c r="B35" i="63" s="1"/>
  <c r="E118" i="15"/>
  <c r="N48" i="63"/>
  <c r="N25" i="63"/>
  <c r="N10" i="63"/>
  <c r="N23" i="63"/>
  <c r="N34" i="63"/>
  <c r="N15" i="63"/>
  <c r="N19" i="63"/>
  <c r="N9" i="63"/>
  <c r="N28" i="63"/>
  <c r="D95" i="26"/>
  <c r="D95" i="27"/>
  <c r="D105" i="27" s="1"/>
  <c r="F101" i="27" s="1"/>
  <c r="D95" i="55"/>
  <c r="D95" i="29"/>
  <c r="D105" i="29" s="1"/>
  <c r="F101" i="29" s="1"/>
  <c r="F70" i="60"/>
  <c r="F72" i="60"/>
  <c r="F76" i="60"/>
  <c r="F78" i="60"/>
  <c r="F80" i="60"/>
  <c r="F82" i="60"/>
  <c r="F84" i="60"/>
  <c r="F86" i="60"/>
  <c r="F88" i="60"/>
  <c r="F90" i="60"/>
  <c r="F58" i="60"/>
  <c r="F42" i="60"/>
  <c r="F49" i="60"/>
  <c r="F37" i="60"/>
  <c r="F45" i="60"/>
  <c r="F53" i="60"/>
  <c r="F38" i="60"/>
  <c r="F46" i="60"/>
  <c r="F54" i="60"/>
  <c r="M39" i="63"/>
  <c r="M32" i="63"/>
  <c r="E17" i="63"/>
  <c r="E21" i="63"/>
  <c r="E28" i="63"/>
  <c r="E32" i="63"/>
  <c r="E33" i="63"/>
  <c r="B44" i="63"/>
  <c r="E46" i="63"/>
  <c r="E39" i="63"/>
  <c r="E118" i="1"/>
  <c r="F116" i="55"/>
  <c r="F116" i="13"/>
  <c r="F74" i="20"/>
  <c r="F74" i="60" s="1"/>
  <c r="D33" i="18"/>
  <c r="B46" i="63" s="1"/>
  <c r="F83" i="60"/>
  <c r="F109" i="24"/>
  <c r="F118" i="24" s="1"/>
  <c r="F52" i="60"/>
  <c r="F47" i="60"/>
  <c r="F109" i="50"/>
  <c r="D33" i="42"/>
  <c r="B22" i="63" s="1"/>
  <c r="F39" i="60"/>
  <c r="F57" i="60"/>
  <c r="F55" i="60"/>
  <c r="F60" i="60"/>
  <c r="F44" i="60"/>
  <c r="N22" i="63"/>
  <c r="D95" i="18"/>
  <c r="D95" i="3"/>
  <c r="F95" i="3" s="1"/>
  <c r="F61" i="63" s="1"/>
  <c r="D33" i="56"/>
  <c r="B8" i="63" s="1"/>
  <c r="F59" i="60"/>
  <c r="F51" i="60"/>
  <c r="F43" i="60"/>
  <c r="F40" i="60"/>
  <c r="F56" i="60"/>
  <c r="F48" i="60"/>
  <c r="D33" i="52"/>
  <c r="B12" i="63" s="1"/>
  <c r="S12" i="63" s="1"/>
  <c r="D95" i="44"/>
  <c r="F113" i="60"/>
  <c r="F114" i="60"/>
  <c r="N11" i="63"/>
  <c r="N35" i="63"/>
  <c r="N61" i="63"/>
  <c r="N39" i="63"/>
  <c r="N26" i="63"/>
  <c r="N45" i="63"/>
  <c r="N32" i="63"/>
  <c r="N38" i="63"/>
  <c r="N40" i="63"/>
  <c r="N55" i="63"/>
  <c r="N42" i="63"/>
  <c r="C118" i="22"/>
  <c r="M61" i="63"/>
  <c r="E61" i="63"/>
  <c r="E11" i="63"/>
  <c r="E15" i="63"/>
  <c r="M15" i="63"/>
  <c r="F118" i="45"/>
  <c r="E54" i="63"/>
  <c r="M55" i="63"/>
  <c r="E55" i="63"/>
  <c r="F64" i="4"/>
  <c r="N60" i="63" s="1"/>
  <c r="F64" i="47"/>
  <c r="N17" i="63" s="1"/>
  <c r="E23" i="63"/>
  <c r="E25" i="63"/>
  <c r="M28" i="63"/>
  <c r="F64" i="5"/>
  <c r="N59" i="63" s="1"/>
  <c r="E59" i="63"/>
  <c r="M11" i="63"/>
  <c r="E57" i="63"/>
  <c r="E63" i="63"/>
  <c r="M42" i="63"/>
  <c r="M24" i="63"/>
  <c r="E8" i="63"/>
  <c r="M26" i="63"/>
  <c r="E26" i="63"/>
  <c r="F64" i="33"/>
  <c r="N31" i="63" s="1"/>
  <c r="M45" i="63"/>
  <c r="E45" i="63"/>
  <c r="M47" i="63"/>
  <c r="E47" i="63"/>
  <c r="E12" i="63"/>
  <c r="E22" i="63"/>
  <c r="E10" i="63"/>
  <c r="E24" i="63"/>
  <c r="M12" i="63"/>
  <c r="B23" i="63"/>
  <c r="E27" i="63"/>
  <c r="M35" i="63"/>
  <c r="E35" i="63"/>
  <c r="E36" i="63"/>
  <c r="B36" i="63"/>
  <c r="M7" i="63"/>
  <c r="F64" i="35"/>
  <c r="N29" i="63" s="1"/>
  <c r="M29" i="63"/>
  <c r="B59" i="63"/>
  <c r="E29" i="63"/>
  <c r="M30" i="63"/>
  <c r="E30" i="63"/>
  <c r="E31" i="63"/>
  <c r="E41" i="63"/>
  <c r="E50" i="63"/>
  <c r="M43" i="63"/>
  <c r="E43" i="63"/>
  <c r="M49" i="63"/>
  <c r="E49" i="63"/>
  <c r="M52" i="63"/>
  <c r="E52" i="63"/>
  <c r="E53" i="63"/>
  <c r="B11" i="63"/>
  <c r="M22" i="63"/>
  <c r="B25" i="63"/>
  <c r="B27" i="63"/>
  <c r="B33" i="63"/>
  <c r="B45" i="63"/>
  <c r="S45" i="63" s="1"/>
  <c r="C118" i="6"/>
  <c r="C109" i="57"/>
  <c r="E7" i="63"/>
  <c r="E14" i="63"/>
  <c r="B40" i="63"/>
  <c r="E60" i="63"/>
  <c r="M62" i="63"/>
  <c r="E62" i="63"/>
  <c r="B19" i="63"/>
  <c r="F118" i="44"/>
  <c r="E34" i="63"/>
  <c r="M37" i="63"/>
  <c r="E37" i="63"/>
  <c r="M38" i="63"/>
  <c r="E38" i="63"/>
  <c r="E48" i="63"/>
  <c r="E51" i="63"/>
  <c r="E56" i="63"/>
  <c r="B62" i="63"/>
  <c r="B49" i="63"/>
  <c r="C109" i="55"/>
  <c r="E9" i="63"/>
  <c r="C109" i="48"/>
  <c r="E16" i="63"/>
  <c r="B43" i="63"/>
  <c r="E18" i="63"/>
  <c r="E40" i="63"/>
  <c r="E42" i="63"/>
  <c r="E58" i="63"/>
  <c r="F91" i="60"/>
  <c r="E118" i="60"/>
  <c r="F75" i="60"/>
  <c r="F87" i="60"/>
  <c r="F79" i="60"/>
  <c r="F89" i="60"/>
  <c r="F85" i="60"/>
  <c r="F71" i="60"/>
  <c r="F73" i="60"/>
  <c r="F77" i="60"/>
  <c r="F81" i="60"/>
  <c r="D33" i="17"/>
  <c r="B47" i="63" s="1"/>
  <c r="C118" i="53"/>
  <c r="F109" i="53"/>
  <c r="F118" i="53" s="1"/>
  <c r="F109" i="49"/>
  <c r="F118" i="49" s="1"/>
  <c r="C118" i="49"/>
  <c r="C118" i="56"/>
  <c r="F109" i="56"/>
  <c r="F118" i="56" s="1"/>
  <c r="F109" i="25"/>
  <c r="F118" i="25" s="1"/>
  <c r="C118" i="25"/>
  <c r="F109" i="35"/>
  <c r="F118" i="35" s="1"/>
  <c r="C118" i="35"/>
  <c r="C118" i="34"/>
  <c r="F109" i="34"/>
  <c r="F118" i="34" s="1"/>
  <c r="F109" i="33"/>
  <c r="F118" i="33" s="1"/>
  <c r="C118" i="33"/>
  <c r="C118" i="23"/>
  <c r="F109" i="23"/>
  <c r="F118" i="23" s="1"/>
  <c r="C118" i="14"/>
  <c r="F109" i="14"/>
  <c r="F118" i="14" s="1"/>
  <c r="F109" i="21"/>
  <c r="F118" i="21" s="1"/>
  <c r="C118" i="21"/>
  <c r="F109" i="15"/>
  <c r="F118" i="15" s="1"/>
  <c r="C118" i="15"/>
  <c r="D33" i="12"/>
  <c r="B52" i="63" s="1"/>
  <c r="D33" i="11"/>
  <c r="B53" i="63" s="1"/>
  <c r="D33" i="10"/>
  <c r="B54" i="63" s="1"/>
  <c r="F109" i="12"/>
  <c r="F118" i="12" s="1"/>
  <c r="C118" i="12"/>
  <c r="C118" i="11"/>
  <c r="F109" i="11"/>
  <c r="F118" i="11" s="1"/>
  <c r="F109" i="10"/>
  <c r="F118" i="10" s="1"/>
  <c r="C118" i="10"/>
  <c r="C118" i="9"/>
  <c r="F109" i="9"/>
  <c r="F118" i="9" s="1"/>
  <c r="D33" i="1"/>
  <c r="B63" i="63" s="1"/>
  <c r="F109" i="52"/>
  <c r="F118" i="52" s="1"/>
  <c r="C118" i="52"/>
  <c r="F109" i="47"/>
  <c r="F118" i="47" s="1"/>
  <c r="C118" i="47"/>
  <c r="F109" i="42"/>
  <c r="F118" i="42" s="1"/>
  <c r="C118" i="42"/>
  <c r="F64" i="56"/>
  <c r="N8" i="63" s="1"/>
  <c r="F109" i="51"/>
  <c r="F118" i="51" s="1"/>
  <c r="C118" i="51"/>
  <c r="C118" i="36"/>
  <c r="F109" i="36"/>
  <c r="F118" i="36" s="1"/>
  <c r="F109" i="32"/>
  <c r="F118" i="32" s="1"/>
  <c r="C118" i="32"/>
  <c r="F109" i="31"/>
  <c r="F118" i="31" s="1"/>
  <c r="C118" i="31"/>
  <c r="F67" i="31"/>
  <c r="F67" i="60" s="1"/>
  <c r="D95" i="31"/>
  <c r="F64" i="31"/>
  <c r="N33" i="63" s="1"/>
  <c r="C118" i="16"/>
  <c r="F109" i="16"/>
  <c r="F118" i="16" s="1"/>
  <c r="F64" i="23"/>
  <c r="N41" i="63" s="1"/>
  <c r="C118" i="13"/>
  <c r="F109" i="13"/>
  <c r="F64" i="13"/>
  <c r="N51" i="63" s="1"/>
  <c r="F109" i="8"/>
  <c r="F118" i="8" s="1"/>
  <c r="C118" i="8"/>
  <c r="F109" i="7"/>
  <c r="F118" i="7" s="1"/>
  <c r="C118" i="7"/>
  <c r="C118" i="1"/>
  <c r="F109" i="1"/>
  <c r="F118" i="1" s="1"/>
  <c r="D33" i="55"/>
  <c r="B9" i="63" s="1"/>
  <c r="D33" i="22"/>
  <c r="B42" i="63" s="1"/>
  <c r="F118" i="50"/>
  <c r="F118" i="46"/>
  <c r="F118" i="6"/>
  <c r="F111" i="60"/>
  <c r="F115" i="60"/>
  <c r="F112" i="60"/>
  <c r="F109" i="40"/>
  <c r="F118" i="40" s="1"/>
  <c r="C118" i="40"/>
  <c r="F109" i="37"/>
  <c r="F118" i="37" s="1"/>
  <c r="C118" i="37"/>
  <c r="F109" i="29"/>
  <c r="F118" i="29" s="1"/>
  <c r="C118" i="29"/>
  <c r="F109" i="28"/>
  <c r="F118" i="28" s="1"/>
  <c r="C118" i="28"/>
  <c r="D33" i="26"/>
  <c r="B38" i="63" s="1"/>
  <c r="C118" i="38"/>
  <c r="F109" i="38"/>
  <c r="F118" i="38" s="1"/>
  <c r="F109" i="19"/>
  <c r="F118" i="19" s="1"/>
  <c r="C118" i="19"/>
  <c r="F109" i="17"/>
  <c r="F118" i="17" s="1"/>
  <c r="C118" i="17"/>
  <c r="F64" i="11"/>
  <c r="N53" i="63" s="1"/>
  <c r="F64" i="10"/>
  <c r="N54" i="63" s="1"/>
  <c r="F109" i="4"/>
  <c r="F118" i="4" s="1"/>
  <c r="C118" i="4"/>
  <c r="F109" i="59"/>
  <c r="F118" i="59" s="1"/>
  <c r="C118" i="59"/>
  <c r="D33" i="43"/>
  <c r="B21" i="63" s="1"/>
  <c r="D33" i="8"/>
  <c r="B56" i="63" s="1"/>
  <c r="F109" i="43"/>
  <c r="F118" i="43" s="1"/>
  <c r="C118" i="43"/>
  <c r="F109" i="54"/>
  <c r="F118" i="54" s="1"/>
  <c r="C118" i="54"/>
  <c r="C118" i="41"/>
  <c r="F109" i="41"/>
  <c r="F118" i="41" s="1"/>
  <c r="F109" i="39"/>
  <c r="F118" i="39" s="1"/>
  <c r="C118" i="39"/>
  <c r="F64" i="37"/>
  <c r="N27" i="63" s="1"/>
  <c r="F68" i="36"/>
  <c r="D95" i="36"/>
  <c r="F68" i="32"/>
  <c r="D95" i="32"/>
  <c r="F109" i="30"/>
  <c r="F118" i="30" s="1"/>
  <c r="C118" i="30"/>
  <c r="F109" i="27"/>
  <c r="F118" i="27" s="1"/>
  <c r="C118" i="27"/>
  <c r="C118" i="26"/>
  <c r="F109" i="26"/>
  <c r="F118" i="26" s="1"/>
  <c r="D33" i="13"/>
  <c r="B51" i="63" s="1"/>
  <c r="F109" i="3"/>
  <c r="F118" i="3" s="1"/>
  <c r="C118" i="3"/>
  <c r="D33" i="3"/>
  <c r="B61" i="63" s="1"/>
  <c r="C118" i="5"/>
  <c r="F109" i="5"/>
  <c r="F118" i="5" s="1"/>
  <c r="C118" i="18"/>
  <c r="F109" i="18"/>
  <c r="F118" i="18" s="1"/>
  <c r="F64" i="18"/>
  <c r="N46" i="63" s="1"/>
  <c r="E95" i="60"/>
  <c r="E64" i="63" s="1"/>
  <c r="C118" i="20"/>
  <c r="F109" i="20"/>
  <c r="D68" i="60"/>
  <c r="D6" i="60"/>
  <c r="D70" i="60"/>
  <c r="D8" i="60"/>
  <c r="D72" i="60"/>
  <c r="D10" i="60"/>
  <c r="D74" i="60"/>
  <c r="D12" i="60"/>
  <c r="D76" i="60"/>
  <c r="D14" i="60"/>
  <c r="D78" i="60"/>
  <c r="D16" i="60"/>
  <c r="D80" i="60"/>
  <c r="D18" i="60"/>
  <c r="D82" i="60"/>
  <c r="D20" i="60"/>
  <c r="D84" i="60"/>
  <c r="D22" i="60"/>
  <c r="D86" i="60"/>
  <c r="D24" i="60"/>
  <c r="D88" i="60"/>
  <c r="D26" i="60"/>
  <c r="D90" i="60"/>
  <c r="D28" i="60"/>
  <c r="D92" i="60"/>
  <c r="D30" i="60"/>
  <c r="D94" i="60"/>
  <c r="D32" i="60"/>
  <c r="D64" i="60"/>
  <c r="D5" i="60"/>
  <c r="D67" i="60"/>
  <c r="D69" i="60"/>
  <c r="D7" i="60"/>
  <c r="D71" i="60"/>
  <c r="D9" i="60"/>
  <c r="D73" i="60"/>
  <c r="D11" i="60"/>
  <c r="D75" i="60"/>
  <c r="D13" i="60"/>
  <c r="D77" i="60"/>
  <c r="D15" i="60"/>
  <c r="D79" i="60"/>
  <c r="D17" i="60"/>
  <c r="D81" i="60"/>
  <c r="D19" i="60"/>
  <c r="D83" i="60"/>
  <c r="D21" i="60"/>
  <c r="D85" i="60"/>
  <c r="D23" i="60"/>
  <c r="D87" i="60"/>
  <c r="D25" i="60"/>
  <c r="D89" i="60"/>
  <c r="D27" i="60"/>
  <c r="D91" i="60"/>
  <c r="D29" i="60"/>
  <c r="D93" i="60"/>
  <c r="D31" i="60"/>
  <c r="D95" i="20"/>
  <c r="D105" i="20" s="1"/>
  <c r="F101" i="20" s="1"/>
  <c r="E64" i="60"/>
  <c r="M64" i="63" s="1"/>
  <c r="E105" i="60"/>
  <c r="F64" i="20"/>
  <c r="D105" i="48"/>
  <c r="F101" i="48" s="1"/>
  <c r="F95" i="48"/>
  <c r="F16" i="63" s="1"/>
  <c r="F95" i="44"/>
  <c r="F20" i="63" s="1"/>
  <c r="D105" i="44"/>
  <c r="F101" i="44" s="1"/>
  <c r="F95" i="38"/>
  <c r="F26" i="63" s="1"/>
  <c r="D105" i="38"/>
  <c r="F101" i="38" s="1"/>
  <c r="F95" i="40"/>
  <c r="F24" i="63" s="1"/>
  <c r="D105" i="40"/>
  <c r="F101" i="40" s="1"/>
  <c r="F95" i="26"/>
  <c r="F38" i="63" s="1"/>
  <c r="D105" i="26"/>
  <c r="F101" i="26" s="1"/>
  <c r="F95" i="27"/>
  <c r="F37" i="63" s="1"/>
  <c r="F95" i="17"/>
  <c r="F47" i="63" s="1"/>
  <c r="D105" i="17"/>
  <c r="F101" i="17" s="1"/>
  <c r="F95" i="15"/>
  <c r="F49" i="63" s="1"/>
  <c r="D105" i="15"/>
  <c r="F101" i="15" s="1"/>
  <c r="F95" i="12"/>
  <c r="F52" i="63" s="1"/>
  <c r="D105" i="12"/>
  <c r="F101" i="12" s="1"/>
  <c r="D105" i="10"/>
  <c r="F95" i="10"/>
  <c r="F54" i="63" s="1"/>
  <c r="D105" i="8"/>
  <c r="F101" i="8" s="1"/>
  <c r="F95" i="8"/>
  <c r="F56" i="63" s="1"/>
  <c r="D105" i="3"/>
  <c r="F101" i="3" s="1"/>
  <c r="F95" i="57"/>
  <c r="F7" i="63" s="1"/>
  <c r="D105" i="57"/>
  <c r="F101" i="57" s="1"/>
  <c r="F95" i="53"/>
  <c r="F11" i="63" s="1"/>
  <c r="D105" i="53"/>
  <c r="F101" i="53" s="1"/>
  <c r="F95" i="51"/>
  <c r="F13" i="63" s="1"/>
  <c r="D105" i="51"/>
  <c r="F101" i="51" s="1"/>
  <c r="D105" i="52"/>
  <c r="F101" i="52" s="1"/>
  <c r="F95" i="52"/>
  <c r="F12" i="63" s="1"/>
  <c r="D105" i="50"/>
  <c r="F101" i="50" s="1"/>
  <c r="F95" i="50"/>
  <c r="F14" i="63" s="1"/>
  <c r="D105" i="46"/>
  <c r="F101" i="46" s="1"/>
  <c r="F95" i="46"/>
  <c r="F18" i="63" s="1"/>
  <c r="F95" i="22"/>
  <c r="F42" i="63" s="1"/>
  <c r="D105" i="22"/>
  <c r="F101" i="22" s="1"/>
  <c r="F95" i="29"/>
  <c r="F35" i="63" s="1"/>
  <c r="D105" i="25"/>
  <c r="F101" i="25" s="1"/>
  <c r="F95" i="25"/>
  <c r="F39" i="63" s="1"/>
  <c r="F95" i="14"/>
  <c r="F50" i="63" s="1"/>
  <c r="D105" i="14"/>
  <c r="F101" i="14" s="1"/>
  <c r="D105" i="13"/>
  <c r="F101" i="13" s="1"/>
  <c r="F95" i="13"/>
  <c r="F51" i="63" s="1"/>
  <c r="D105" i="11"/>
  <c r="F101" i="11" s="1"/>
  <c r="F95" i="11"/>
  <c r="F53" i="63" s="1"/>
  <c r="F95" i="9"/>
  <c r="F55" i="63" s="1"/>
  <c r="D105" i="9"/>
  <c r="D105" i="4"/>
  <c r="F101" i="4" s="1"/>
  <c r="F95" i="4"/>
  <c r="F60" i="63" s="1"/>
  <c r="D105" i="1"/>
  <c r="F101" i="1" s="1"/>
  <c r="F95" i="1"/>
  <c r="F63" i="63" s="1"/>
  <c r="F95" i="49"/>
  <c r="F15" i="63" s="1"/>
  <c r="D105" i="49"/>
  <c r="F101" i="49" s="1"/>
  <c r="D105" i="56"/>
  <c r="F101" i="56" s="1"/>
  <c r="F95" i="56"/>
  <c r="F8" i="63" s="1"/>
  <c r="D105" i="54"/>
  <c r="F101" i="54" s="1"/>
  <c r="F95" i="54"/>
  <c r="F10" i="63" s="1"/>
  <c r="F95" i="42"/>
  <c r="F22" i="63" s="1"/>
  <c r="D105" i="42"/>
  <c r="F101" i="42" s="1"/>
  <c r="D105" i="43"/>
  <c r="F101" i="43" s="1"/>
  <c r="F95" i="43"/>
  <c r="F21" i="63" s="1"/>
  <c r="D105" i="41"/>
  <c r="F101" i="41" s="1"/>
  <c r="F95" i="41"/>
  <c r="F23" i="63" s="1"/>
  <c r="D105" i="39"/>
  <c r="F101" i="39" s="1"/>
  <c r="F95" i="39"/>
  <c r="F25" i="63" s="1"/>
  <c r="F95" i="37"/>
  <c r="F27" i="63" s="1"/>
  <c r="D105" i="35"/>
  <c r="F101" i="35" s="1"/>
  <c r="F95" i="35"/>
  <c r="F29" i="63" s="1"/>
  <c r="D105" i="33"/>
  <c r="F101" i="33" s="1"/>
  <c r="F95" i="33"/>
  <c r="F31" i="63" s="1"/>
  <c r="F95" i="24"/>
  <c r="F40" i="63" s="1"/>
  <c r="D105" i="24"/>
  <c r="F101" i="24" s="1"/>
  <c r="F95" i="28"/>
  <c r="F36" i="63" s="1"/>
  <c r="D105" i="28"/>
  <c r="F101" i="28" s="1"/>
  <c r="D105" i="23"/>
  <c r="F101" i="23" s="1"/>
  <c r="F95" i="23"/>
  <c r="F41" i="63" s="1"/>
  <c r="F95" i="19"/>
  <c r="F45" i="63" s="1"/>
  <c r="D105" i="19"/>
  <c r="F101" i="19" s="1"/>
  <c r="F95" i="21"/>
  <c r="F43" i="63" s="1"/>
  <c r="D105" i="21"/>
  <c r="F101" i="21" s="1"/>
  <c r="D105" i="18"/>
  <c r="F101" i="18" s="1"/>
  <c r="F95" i="18"/>
  <c r="F46" i="63" s="1"/>
  <c r="F95" i="55"/>
  <c r="F9" i="63" s="1"/>
  <c r="D105" i="55"/>
  <c r="F101" i="55" s="1"/>
  <c r="F95" i="45"/>
  <c r="F19" i="63" s="1"/>
  <c r="D105" i="45"/>
  <c r="F101" i="45" s="1"/>
  <c r="F95" i="47"/>
  <c r="F17" i="63" s="1"/>
  <c r="D105" i="47"/>
  <c r="F101" i="47" s="1"/>
  <c r="F95" i="34"/>
  <c r="F30" i="63" s="1"/>
  <c r="D105" i="34"/>
  <c r="F101" i="34" s="1"/>
  <c r="D105" i="30"/>
  <c r="F101" i="30" s="1"/>
  <c r="F95" i="30"/>
  <c r="F34" i="63" s="1"/>
  <c r="F95" i="20"/>
  <c r="F44" i="63" s="1"/>
  <c r="D105" i="16"/>
  <c r="F95" i="16"/>
  <c r="F48" i="63" s="1"/>
  <c r="D105" i="7"/>
  <c r="F101" i="7" s="1"/>
  <c r="F95" i="7"/>
  <c r="F57" i="63" s="1"/>
  <c r="F95" i="5"/>
  <c r="F59" i="63" s="1"/>
  <c r="D105" i="5"/>
  <c r="F101" i="5" s="1"/>
  <c r="D105" i="6"/>
  <c r="F101" i="6" s="1"/>
  <c r="F95" i="6"/>
  <c r="F58" i="63" s="1"/>
  <c r="F95" i="59"/>
  <c r="F62" i="63" s="1"/>
  <c r="D105" i="59"/>
  <c r="F101" i="59" s="1"/>
  <c r="F116" i="60" l="1"/>
  <c r="F118" i="13"/>
  <c r="C109" i="60"/>
  <c r="C118" i="60" s="1"/>
  <c r="F104" i="10"/>
  <c r="V54" i="63" s="1"/>
  <c r="F101" i="10"/>
  <c r="F104" i="16"/>
  <c r="F101" i="16"/>
  <c r="F104" i="9"/>
  <c r="F101" i="9"/>
  <c r="U54" i="63"/>
  <c r="F98" i="59"/>
  <c r="F103" i="59"/>
  <c r="F104" i="59"/>
  <c r="F99" i="59"/>
  <c r="F100" i="59"/>
  <c r="F102" i="59"/>
  <c r="F100" i="5"/>
  <c r="F104" i="5"/>
  <c r="F103" i="5"/>
  <c r="F98" i="5"/>
  <c r="F99" i="5"/>
  <c r="F102" i="5"/>
  <c r="F103" i="30"/>
  <c r="F98" i="30"/>
  <c r="F99" i="30"/>
  <c r="F100" i="30"/>
  <c r="F104" i="30"/>
  <c r="F102" i="30"/>
  <c r="F100" i="34"/>
  <c r="F98" i="34"/>
  <c r="F104" i="34"/>
  <c r="F102" i="34"/>
  <c r="F103" i="34"/>
  <c r="F99" i="34"/>
  <c r="F99" i="47"/>
  <c r="F98" i="47"/>
  <c r="F103" i="47"/>
  <c r="F104" i="47"/>
  <c r="F100" i="47"/>
  <c r="F102" i="47"/>
  <c r="F100" i="45"/>
  <c r="F103" i="45"/>
  <c r="F99" i="45"/>
  <c r="F98" i="45"/>
  <c r="F104" i="45"/>
  <c r="F102" i="45"/>
  <c r="F103" i="55"/>
  <c r="F99" i="55"/>
  <c r="F98" i="55"/>
  <c r="F100" i="55"/>
  <c r="F104" i="55"/>
  <c r="F102" i="55"/>
  <c r="F104" i="21"/>
  <c r="F100" i="21"/>
  <c r="F98" i="21"/>
  <c r="F99" i="21"/>
  <c r="F103" i="21"/>
  <c r="F102" i="21"/>
  <c r="F104" i="19"/>
  <c r="F98" i="19"/>
  <c r="F100" i="19"/>
  <c r="F102" i="19"/>
  <c r="F99" i="19"/>
  <c r="F100" i="28"/>
  <c r="F103" i="28"/>
  <c r="F98" i="28"/>
  <c r="F99" i="28"/>
  <c r="F102" i="28"/>
  <c r="F104" i="28"/>
  <c r="F99" i="24"/>
  <c r="F104" i="24"/>
  <c r="F100" i="24"/>
  <c r="F103" i="24"/>
  <c r="F98" i="24"/>
  <c r="F102" i="24"/>
  <c r="F99" i="42"/>
  <c r="F104" i="42"/>
  <c r="F98" i="42"/>
  <c r="F103" i="42"/>
  <c r="F100" i="42"/>
  <c r="F102" i="42"/>
  <c r="F103" i="49"/>
  <c r="F104" i="49"/>
  <c r="F98" i="49"/>
  <c r="F100" i="49"/>
  <c r="F99" i="49"/>
  <c r="F98" i="9"/>
  <c r="F100" i="9"/>
  <c r="F99" i="9"/>
  <c r="F102" i="9"/>
  <c r="F103" i="14"/>
  <c r="F104" i="14"/>
  <c r="F98" i="14"/>
  <c r="F99" i="14"/>
  <c r="F100" i="14"/>
  <c r="F102" i="14"/>
  <c r="F104" i="22"/>
  <c r="F99" i="22"/>
  <c r="F100" i="22"/>
  <c r="F98" i="22"/>
  <c r="F103" i="22"/>
  <c r="T42" i="63" s="1"/>
  <c r="F102" i="22"/>
  <c r="F98" i="8"/>
  <c r="F99" i="8"/>
  <c r="F104" i="8"/>
  <c r="F103" i="8"/>
  <c r="F100" i="8"/>
  <c r="F102" i="8"/>
  <c r="F100" i="10"/>
  <c r="F103" i="10"/>
  <c r="F98" i="10"/>
  <c r="F99" i="10"/>
  <c r="F102" i="10"/>
  <c r="F98" i="27"/>
  <c r="F104" i="27"/>
  <c r="F100" i="27"/>
  <c r="F103" i="27"/>
  <c r="F102" i="27"/>
  <c r="F99" i="27"/>
  <c r="F99" i="38"/>
  <c r="F103" i="38"/>
  <c r="F100" i="38"/>
  <c r="F98" i="38"/>
  <c r="F104" i="38"/>
  <c r="F102" i="38"/>
  <c r="F104" i="44"/>
  <c r="F100" i="44"/>
  <c r="F103" i="44"/>
  <c r="F98" i="44"/>
  <c r="F99" i="44"/>
  <c r="F102" i="44"/>
  <c r="F100" i="6"/>
  <c r="F103" i="6"/>
  <c r="F104" i="6"/>
  <c r="F99" i="6"/>
  <c r="F98" i="6"/>
  <c r="F102" i="6"/>
  <c r="F99" i="7"/>
  <c r="F100" i="7"/>
  <c r="F98" i="7"/>
  <c r="F103" i="7"/>
  <c r="F104" i="7"/>
  <c r="F102" i="7"/>
  <c r="F100" i="16"/>
  <c r="F98" i="16"/>
  <c r="F99" i="16"/>
  <c r="F102" i="16"/>
  <c r="F103" i="18"/>
  <c r="F98" i="18"/>
  <c r="F104" i="18"/>
  <c r="F100" i="18"/>
  <c r="F99" i="18"/>
  <c r="F102" i="18"/>
  <c r="F98" i="23"/>
  <c r="F100" i="23"/>
  <c r="F104" i="23"/>
  <c r="F99" i="23"/>
  <c r="F102" i="23"/>
  <c r="F103" i="23"/>
  <c r="F98" i="33"/>
  <c r="F100" i="33"/>
  <c r="F104" i="33"/>
  <c r="F102" i="33"/>
  <c r="F99" i="33"/>
  <c r="F100" i="35"/>
  <c r="F104" i="35"/>
  <c r="F98" i="35"/>
  <c r="F99" i="35"/>
  <c r="F102" i="35"/>
  <c r="F103" i="35"/>
  <c r="F98" i="37"/>
  <c r="F103" i="37"/>
  <c r="F104" i="37"/>
  <c r="F99" i="37"/>
  <c r="F100" i="37"/>
  <c r="F102" i="37"/>
  <c r="F104" i="39"/>
  <c r="F103" i="39"/>
  <c r="F99" i="39"/>
  <c r="F98" i="39"/>
  <c r="F102" i="39"/>
  <c r="F100" i="39"/>
  <c r="F99" i="41"/>
  <c r="F98" i="41"/>
  <c r="F104" i="41"/>
  <c r="F100" i="41"/>
  <c r="F102" i="41"/>
  <c r="F98" i="43"/>
  <c r="F104" i="43"/>
  <c r="F99" i="43"/>
  <c r="F100" i="43"/>
  <c r="F102" i="43"/>
  <c r="F103" i="43"/>
  <c r="T21" i="63" s="1"/>
  <c r="F98" i="54"/>
  <c r="F103" i="54"/>
  <c r="F99" i="54"/>
  <c r="F104" i="54"/>
  <c r="F100" i="54"/>
  <c r="F102" i="54"/>
  <c r="F98" i="56"/>
  <c r="F103" i="56"/>
  <c r="F104" i="56"/>
  <c r="F99" i="56"/>
  <c r="F102" i="56"/>
  <c r="F100" i="56"/>
  <c r="F103" i="1"/>
  <c r="F104" i="1"/>
  <c r="F98" i="1"/>
  <c r="F99" i="1"/>
  <c r="F100" i="1"/>
  <c r="F102" i="1"/>
  <c r="F104" i="4"/>
  <c r="F98" i="4"/>
  <c r="F100" i="4"/>
  <c r="F103" i="4"/>
  <c r="F99" i="4"/>
  <c r="F102" i="4"/>
  <c r="F100" i="11"/>
  <c r="F98" i="11"/>
  <c r="F103" i="11"/>
  <c r="F104" i="11"/>
  <c r="F99" i="11"/>
  <c r="F102" i="11"/>
  <c r="F104" i="13"/>
  <c r="F103" i="13"/>
  <c r="F100" i="13"/>
  <c r="F99" i="13"/>
  <c r="F98" i="13"/>
  <c r="F102" i="13"/>
  <c r="F98" i="25"/>
  <c r="F103" i="25"/>
  <c r="F100" i="25"/>
  <c r="F99" i="25"/>
  <c r="F104" i="25"/>
  <c r="F102" i="25"/>
  <c r="F98" i="29"/>
  <c r="F104" i="29"/>
  <c r="F100" i="29"/>
  <c r="F103" i="29"/>
  <c r="F102" i="29"/>
  <c r="F99" i="29"/>
  <c r="F98" i="46"/>
  <c r="F99" i="46"/>
  <c r="F100" i="46"/>
  <c r="F103" i="46"/>
  <c r="F104" i="46"/>
  <c r="F102" i="46"/>
  <c r="F99" i="50"/>
  <c r="F100" i="50"/>
  <c r="F104" i="50"/>
  <c r="F98" i="50"/>
  <c r="F103" i="50"/>
  <c r="F102" i="50"/>
  <c r="F104" i="52"/>
  <c r="F98" i="52"/>
  <c r="F102" i="52"/>
  <c r="F99" i="52"/>
  <c r="F100" i="52"/>
  <c r="F104" i="51"/>
  <c r="F100" i="51"/>
  <c r="F103" i="51"/>
  <c r="F99" i="51"/>
  <c r="F98" i="51"/>
  <c r="F102" i="51"/>
  <c r="F98" i="53"/>
  <c r="F103" i="53"/>
  <c r="F99" i="53"/>
  <c r="F104" i="53"/>
  <c r="F100" i="53"/>
  <c r="F102" i="53"/>
  <c r="F102" i="57"/>
  <c r="F103" i="3"/>
  <c r="F98" i="3"/>
  <c r="F104" i="3"/>
  <c r="F100" i="3"/>
  <c r="F99" i="3"/>
  <c r="F102" i="3"/>
  <c r="F100" i="12"/>
  <c r="F103" i="12"/>
  <c r="F104" i="12"/>
  <c r="F98" i="12"/>
  <c r="F99" i="12"/>
  <c r="F102" i="12"/>
  <c r="F104" i="15"/>
  <c r="F98" i="15"/>
  <c r="F100" i="15"/>
  <c r="F103" i="15"/>
  <c r="F99" i="15"/>
  <c r="F102" i="15"/>
  <c r="F99" i="17"/>
  <c r="F98" i="17"/>
  <c r="F103" i="17"/>
  <c r="F100" i="17"/>
  <c r="F104" i="17"/>
  <c r="F102" i="17"/>
  <c r="F100" i="26"/>
  <c r="F103" i="26"/>
  <c r="F98" i="26"/>
  <c r="F99" i="26"/>
  <c r="F102" i="26"/>
  <c r="F104" i="26"/>
  <c r="F100" i="40"/>
  <c r="F99" i="40"/>
  <c r="F104" i="40"/>
  <c r="F98" i="40"/>
  <c r="F102" i="40"/>
  <c r="F103" i="40"/>
  <c r="F103" i="48"/>
  <c r="F99" i="48"/>
  <c r="F100" i="48"/>
  <c r="F104" i="48"/>
  <c r="F98" i="48"/>
  <c r="F104" i="20"/>
  <c r="F100" i="20"/>
  <c r="F99" i="20"/>
  <c r="F103" i="20"/>
  <c r="F98" i="20"/>
  <c r="S42" i="63"/>
  <c r="F104" i="57"/>
  <c r="F103" i="57"/>
  <c r="F98" i="57"/>
  <c r="F99" i="57"/>
  <c r="F100" i="57"/>
  <c r="F64" i="60"/>
  <c r="N44" i="63"/>
  <c r="N64" i="63" s="1"/>
  <c r="F109" i="48"/>
  <c r="F118" i="48" s="1"/>
  <c r="C118" i="48"/>
  <c r="C118" i="55"/>
  <c r="F109" i="55"/>
  <c r="F118" i="55" s="1"/>
  <c r="V61" i="63"/>
  <c r="T61" i="63"/>
  <c r="L61" i="63"/>
  <c r="H61" i="63"/>
  <c r="J61" i="63"/>
  <c r="C118" i="57"/>
  <c r="F109" i="57"/>
  <c r="F118" i="57" s="1"/>
  <c r="D105" i="32"/>
  <c r="F101" i="32" s="1"/>
  <c r="F95" i="32"/>
  <c r="F32" i="63" s="1"/>
  <c r="D105" i="36"/>
  <c r="F101" i="36" s="1"/>
  <c r="F95" i="36"/>
  <c r="F28" i="63" s="1"/>
  <c r="F68" i="60"/>
  <c r="D105" i="31"/>
  <c r="F101" i="31" s="1"/>
  <c r="F95" i="31"/>
  <c r="F33" i="63" s="1"/>
  <c r="U61" i="63"/>
  <c r="G61" i="63"/>
  <c r="S61" i="63"/>
  <c r="D95" i="60"/>
  <c r="D105" i="60" s="1"/>
  <c r="D33" i="60"/>
  <c r="B64" i="63" s="1"/>
  <c r="F118" i="20"/>
  <c r="F105" i="6"/>
  <c r="E31" i="6"/>
  <c r="F31" i="6" s="1"/>
  <c r="AB55" i="62" s="1"/>
  <c r="E29" i="6"/>
  <c r="F29" i="6" s="1"/>
  <c r="Z55" i="62" s="1"/>
  <c r="E27" i="6"/>
  <c r="F27" i="6" s="1"/>
  <c r="X55" i="62" s="1"/>
  <c r="E25" i="6"/>
  <c r="F25" i="6" s="1"/>
  <c r="V55" i="62" s="1"/>
  <c r="E23" i="6"/>
  <c r="F23" i="6" s="1"/>
  <c r="T55" i="62" s="1"/>
  <c r="E21" i="6"/>
  <c r="F21" i="6" s="1"/>
  <c r="R55" i="62" s="1"/>
  <c r="E19" i="6"/>
  <c r="F19" i="6" s="1"/>
  <c r="P55" i="62" s="1"/>
  <c r="E17" i="6"/>
  <c r="F17" i="6" s="1"/>
  <c r="N55" i="62" s="1"/>
  <c r="E15" i="6"/>
  <c r="F15" i="6" s="1"/>
  <c r="L55" i="62" s="1"/>
  <c r="E32" i="6"/>
  <c r="F32" i="6" s="1"/>
  <c r="AC55" i="62" s="1"/>
  <c r="E30" i="6"/>
  <c r="F30" i="6" s="1"/>
  <c r="AA55" i="62" s="1"/>
  <c r="E28" i="6"/>
  <c r="F28" i="6" s="1"/>
  <c r="Y55" i="62" s="1"/>
  <c r="E26" i="6"/>
  <c r="F26" i="6" s="1"/>
  <c r="W55" i="62" s="1"/>
  <c r="E24" i="6"/>
  <c r="F24" i="6" s="1"/>
  <c r="U55" i="62" s="1"/>
  <c r="E22" i="6"/>
  <c r="F22" i="6" s="1"/>
  <c r="S55" i="62" s="1"/>
  <c r="E20" i="6"/>
  <c r="F20" i="6" s="1"/>
  <c r="Q55" i="62" s="1"/>
  <c r="E18" i="6"/>
  <c r="F18" i="6" s="1"/>
  <c r="O55" i="62" s="1"/>
  <c r="E16" i="6"/>
  <c r="F16" i="6" s="1"/>
  <c r="M55" i="62" s="1"/>
  <c r="E14" i="6"/>
  <c r="F14" i="6" s="1"/>
  <c r="K55" i="62" s="1"/>
  <c r="E12" i="6"/>
  <c r="F12" i="6" s="1"/>
  <c r="I55" i="62" s="1"/>
  <c r="E10" i="6"/>
  <c r="F10" i="6" s="1"/>
  <c r="G55" i="62" s="1"/>
  <c r="E8" i="6"/>
  <c r="F8" i="6" s="1"/>
  <c r="E55" i="62" s="1"/>
  <c r="E6" i="6"/>
  <c r="F6" i="6" s="1"/>
  <c r="C55" i="62" s="1"/>
  <c r="E13" i="6"/>
  <c r="F13" i="6" s="1"/>
  <c r="J55" i="62" s="1"/>
  <c r="E11" i="6"/>
  <c r="F11" i="6" s="1"/>
  <c r="H55" i="62" s="1"/>
  <c r="E9" i="6"/>
  <c r="F9" i="6" s="1"/>
  <c r="F55" i="62" s="1"/>
  <c r="E7" i="6"/>
  <c r="F7" i="6" s="1"/>
  <c r="D55" i="62" s="1"/>
  <c r="E5" i="6"/>
  <c r="F105" i="7"/>
  <c r="E32" i="7"/>
  <c r="F32" i="7" s="1"/>
  <c r="AC54" i="62" s="1"/>
  <c r="E30" i="7"/>
  <c r="F30" i="7" s="1"/>
  <c r="AA54" i="62" s="1"/>
  <c r="E28" i="7"/>
  <c r="F28" i="7" s="1"/>
  <c r="Y54" i="62" s="1"/>
  <c r="E26" i="7"/>
  <c r="F26" i="7" s="1"/>
  <c r="W54" i="62" s="1"/>
  <c r="E24" i="7"/>
  <c r="F24" i="7" s="1"/>
  <c r="U54" i="62" s="1"/>
  <c r="E22" i="7"/>
  <c r="F22" i="7" s="1"/>
  <c r="S54" i="62" s="1"/>
  <c r="E20" i="7"/>
  <c r="F20" i="7" s="1"/>
  <c r="Q54" i="62" s="1"/>
  <c r="E18" i="7"/>
  <c r="F18" i="7" s="1"/>
  <c r="O54" i="62" s="1"/>
  <c r="E16" i="7"/>
  <c r="F16" i="7" s="1"/>
  <c r="M54" i="62" s="1"/>
  <c r="E14" i="7"/>
  <c r="F14" i="7" s="1"/>
  <c r="K54" i="62" s="1"/>
  <c r="E12" i="7"/>
  <c r="F12" i="7" s="1"/>
  <c r="I54" i="62" s="1"/>
  <c r="E10" i="7"/>
  <c r="F10" i="7" s="1"/>
  <c r="G54" i="62" s="1"/>
  <c r="E8" i="7"/>
  <c r="F8" i="7" s="1"/>
  <c r="E54" i="62" s="1"/>
  <c r="E6" i="7"/>
  <c r="F6" i="7" s="1"/>
  <c r="C54" i="62" s="1"/>
  <c r="E31" i="7"/>
  <c r="F31" i="7" s="1"/>
  <c r="AB54" i="62" s="1"/>
  <c r="E29" i="7"/>
  <c r="F29" i="7" s="1"/>
  <c r="Z54" i="62" s="1"/>
  <c r="E27" i="7"/>
  <c r="F27" i="7" s="1"/>
  <c r="X54" i="62" s="1"/>
  <c r="E25" i="7"/>
  <c r="F25" i="7" s="1"/>
  <c r="V54" i="62" s="1"/>
  <c r="E23" i="7"/>
  <c r="F23" i="7" s="1"/>
  <c r="T54" i="62" s="1"/>
  <c r="E21" i="7"/>
  <c r="F21" i="7" s="1"/>
  <c r="R54" i="62" s="1"/>
  <c r="E19" i="7"/>
  <c r="F19" i="7" s="1"/>
  <c r="P54" i="62" s="1"/>
  <c r="E17" i="7"/>
  <c r="F17" i="7" s="1"/>
  <c r="N54" i="62" s="1"/>
  <c r="E15" i="7"/>
  <c r="F15" i="7" s="1"/>
  <c r="L54" i="62" s="1"/>
  <c r="E13" i="7"/>
  <c r="F13" i="7" s="1"/>
  <c r="J54" i="62" s="1"/>
  <c r="E11" i="7"/>
  <c r="F11" i="7" s="1"/>
  <c r="H54" i="62" s="1"/>
  <c r="E9" i="7"/>
  <c r="F9" i="7" s="1"/>
  <c r="F54" i="62" s="1"/>
  <c r="E7" i="7"/>
  <c r="F7" i="7" s="1"/>
  <c r="D54" i="62" s="1"/>
  <c r="E5" i="7"/>
  <c r="F105" i="16"/>
  <c r="E31" i="16"/>
  <c r="F31" i="16" s="1"/>
  <c r="AB45" i="62" s="1"/>
  <c r="E29" i="16"/>
  <c r="F29" i="16" s="1"/>
  <c r="Z45" i="62" s="1"/>
  <c r="E27" i="16"/>
  <c r="F27" i="16" s="1"/>
  <c r="X45" i="62" s="1"/>
  <c r="E25" i="16"/>
  <c r="F25" i="16" s="1"/>
  <c r="V45" i="62" s="1"/>
  <c r="E23" i="16"/>
  <c r="F23" i="16" s="1"/>
  <c r="T45" i="62" s="1"/>
  <c r="E21" i="16"/>
  <c r="F21" i="16" s="1"/>
  <c r="R45" i="62" s="1"/>
  <c r="E19" i="16"/>
  <c r="F19" i="16" s="1"/>
  <c r="P45" i="62" s="1"/>
  <c r="E17" i="16"/>
  <c r="F17" i="16" s="1"/>
  <c r="N45" i="62" s="1"/>
  <c r="E15" i="16"/>
  <c r="F15" i="16" s="1"/>
  <c r="L45" i="62" s="1"/>
  <c r="E13" i="16"/>
  <c r="F13" i="16" s="1"/>
  <c r="J45" i="62" s="1"/>
  <c r="E11" i="16"/>
  <c r="F11" i="16" s="1"/>
  <c r="H45" i="62" s="1"/>
  <c r="E9" i="16"/>
  <c r="F9" i="16" s="1"/>
  <c r="F45" i="62" s="1"/>
  <c r="E7" i="16"/>
  <c r="F7" i="16" s="1"/>
  <c r="D45" i="62" s="1"/>
  <c r="E5" i="16"/>
  <c r="E32" i="16"/>
  <c r="F32" i="16" s="1"/>
  <c r="AC45" i="62" s="1"/>
  <c r="E30" i="16"/>
  <c r="F30" i="16" s="1"/>
  <c r="AA45" i="62" s="1"/>
  <c r="E28" i="16"/>
  <c r="F28" i="16" s="1"/>
  <c r="Y45" i="62" s="1"/>
  <c r="E26" i="16"/>
  <c r="F26" i="16" s="1"/>
  <c r="W45" i="62" s="1"/>
  <c r="E24" i="16"/>
  <c r="F24" i="16" s="1"/>
  <c r="U45" i="62" s="1"/>
  <c r="E22" i="16"/>
  <c r="F22" i="16" s="1"/>
  <c r="S45" i="62" s="1"/>
  <c r="E20" i="16"/>
  <c r="F20" i="16" s="1"/>
  <c r="Q45" i="62" s="1"/>
  <c r="E18" i="16"/>
  <c r="F18" i="16" s="1"/>
  <c r="O45" i="62" s="1"/>
  <c r="E16" i="16"/>
  <c r="F16" i="16" s="1"/>
  <c r="M45" i="62" s="1"/>
  <c r="E14" i="16"/>
  <c r="F14" i="16" s="1"/>
  <c r="K45" i="62" s="1"/>
  <c r="E12" i="16"/>
  <c r="F12" i="16" s="1"/>
  <c r="I45" i="62" s="1"/>
  <c r="E10" i="16"/>
  <c r="F10" i="16" s="1"/>
  <c r="G45" i="62" s="1"/>
  <c r="E8" i="16"/>
  <c r="F8" i="16" s="1"/>
  <c r="E45" i="62" s="1"/>
  <c r="E6" i="16"/>
  <c r="F6" i="16" s="1"/>
  <c r="C45" i="62" s="1"/>
  <c r="F105" i="20"/>
  <c r="E31" i="20"/>
  <c r="F31" i="20" s="1"/>
  <c r="AB41" i="62" s="1"/>
  <c r="E29" i="20"/>
  <c r="F29" i="20" s="1"/>
  <c r="Z41" i="62" s="1"/>
  <c r="E27" i="20"/>
  <c r="F27" i="20" s="1"/>
  <c r="X41" i="62" s="1"/>
  <c r="E25" i="20"/>
  <c r="F25" i="20" s="1"/>
  <c r="V41" i="62" s="1"/>
  <c r="E23" i="20"/>
  <c r="F23" i="20" s="1"/>
  <c r="T41" i="62" s="1"/>
  <c r="E21" i="20"/>
  <c r="F21" i="20" s="1"/>
  <c r="R41" i="62" s="1"/>
  <c r="E19" i="20"/>
  <c r="F19" i="20" s="1"/>
  <c r="P41" i="62" s="1"/>
  <c r="E17" i="20"/>
  <c r="F17" i="20" s="1"/>
  <c r="N41" i="62" s="1"/>
  <c r="E15" i="20"/>
  <c r="F15" i="20" s="1"/>
  <c r="L41" i="62" s="1"/>
  <c r="E13" i="20"/>
  <c r="F13" i="20" s="1"/>
  <c r="J41" i="62" s="1"/>
  <c r="E11" i="20"/>
  <c r="F11" i="20" s="1"/>
  <c r="H41" i="62" s="1"/>
  <c r="E9" i="20"/>
  <c r="F9" i="20" s="1"/>
  <c r="F41" i="62" s="1"/>
  <c r="E7" i="20"/>
  <c r="F7" i="20" s="1"/>
  <c r="D41" i="62" s="1"/>
  <c r="E5" i="20"/>
  <c r="E32" i="20"/>
  <c r="F32" i="20" s="1"/>
  <c r="AC41" i="62" s="1"/>
  <c r="E30" i="20"/>
  <c r="F30" i="20" s="1"/>
  <c r="AA41" i="62" s="1"/>
  <c r="E28" i="20"/>
  <c r="F28" i="20" s="1"/>
  <c r="Y41" i="62" s="1"/>
  <c r="E26" i="20"/>
  <c r="F26" i="20" s="1"/>
  <c r="W41" i="62" s="1"/>
  <c r="E24" i="20"/>
  <c r="F24" i="20" s="1"/>
  <c r="U41" i="62" s="1"/>
  <c r="E22" i="20"/>
  <c r="F22" i="20" s="1"/>
  <c r="S41" i="62" s="1"/>
  <c r="E20" i="20"/>
  <c r="F20" i="20" s="1"/>
  <c r="Q41" i="62" s="1"/>
  <c r="E18" i="20"/>
  <c r="F18" i="20" s="1"/>
  <c r="O41" i="62" s="1"/>
  <c r="E16" i="20"/>
  <c r="F16" i="20" s="1"/>
  <c r="M41" i="62" s="1"/>
  <c r="E14" i="20"/>
  <c r="F14" i="20" s="1"/>
  <c r="K41" i="62" s="1"/>
  <c r="E12" i="20"/>
  <c r="F12" i="20" s="1"/>
  <c r="I41" i="62" s="1"/>
  <c r="E10" i="20"/>
  <c r="F10" i="20" s="1"/>
  <c r="G41" i="62" s="1"/>
  <c r="E8" i="20"/>
  <c r="F8" i="20" s="1"/>
  <c r="E41" i="62" s="1"/>
  <c r="E6" i="20"/>
  <c r="F6" i="20" s="1"/>
  <c r="C41" i="62" s="1"/>
  <c r="E32" i="34"/>
  <c r="F32" i="34" s="1"/>
  <c r="AC27" i="62" s="1"/>
  <c r="E30" i="34"/>
  <c r="F30" i="34" s="1"/>
  <c r="AA27" i="62" s="1"/>
  <c r="E28" i="34"/>
  <c r="F28" i="34" s="1"/>
  <c r="Y27" i="62" s="1"/>
  <c r="E26" i="34"/>
  <c r="F26" i="34" s="1"/>
  <c r="W27" i="62" s="1"/>
  <c r="E24" i="34"/>
  <c r="F24" i="34" s="1"/>
  <c r="U27" i="62" s="1"/>
  <c r="E22" i="34"/>
  <c r="F22" i="34" s="1"/>
  <c r="S27" i="62" s="1"/>
  <c r="E20" i="34"/>
  <c r="F20" i="34" s="1"/>
  <c r="Q27" i="62" s="1"/>
  <c r="E18" i="34"/>
  <c r="F18" i="34" s="1"/>
  <c r="O27" i="62" s="1"/>
  <c r="E16" i="34"/>
  <c r="F16" i="34" s="1"/>
  <c r="M27" i="62" s="1"/>
  <c r="E14" i="34"/>
  <c r="F14" i="34" s="1"/>
  <c r="K27" i="62" s="1"/>
  <c r="E12" i="34"/>
  <c r="F12" i="34" s="1"/>
  <c r="I27" i="62" s="1"/>
  <c r="E10" i="34"/>
  <c r="F10" i="34" s="1"/>
  <c r="G27" i="62" s="1"/>
  <c r="E8" i="34"/>
  <c r="F8" i="34" s="1"/>
  <c r="E27" i="62" s="1"/>
  <c r="E6" i="34"/>
  <c r="F6" i="34" s="1"/>
  <c r="C27" i="62" s="1"/>
  <c r="F105" i="34"/>
  <c r="E31" i="34"/>
  <c r="F31" i="34" s="1"/>
  <c r="AB27" i="62" s="1"/>
  <c r="E29" i="34"/>
  <c r="F29" i="34" s="1"/>
  <c r="Z27" i="62" s="1"/>
  <c r="E27" i="34"/>
  <c r="F27" i="34" s="1"/>
  <c r="X27" i="62" s="1"/>
  <c r="E25" i="34"/>
  <c r="F25" i="34" s="1"/>
  <c r="V27" i="62" s="1"/>
  <c r="E23" i="34"/>
  <c r="F23" i="34" s="1"/>
  <c r="T27" i="62" s="1"/>
  <c r="E21" i="34"/>
  <c r="F21" i="34" s="1"/>
  <c r="R27" i="62" s="1"/>
  <c r="E19" i="34"/>
  <c r="F19" i="34" s="1"/>
  <c r="P27" i="62" s="1"/>
  <c r="E17" i="34"/>
  <c r="F17" i="34" s="1"/>
  <c r="N27" i="62" s="1"/>
  <c r="E15" i="34"/>
  <c r="F15" i="34" s="1"/>
  <c r="L27" i="62" s="1"/>
  <c r="E13" i="34"/>
  <c r="F13" i="34" s="1"/>
  <c r="J27" i="62" s="1"/>
  <c r="E11" i="34"/>
  <c r="F11" i="34" s="1"/>
  <c r="H27" i="62" s="1"/>
  <c r="E9" i="34"/>
  <c r="F9" i="34" s="1"/>
  <c r="F27" i="62" s="1"/>
  <c r="E7" i="34"/>
  <c r="F7" i="34" s="1"/>
  <c r="D27" i="62" s="1"/>
  <c r="E5" i="34"/>
  <c r="E32" i="55"/>
  <c r="F32" i="55" s="1"/>
  <c r="AC6" i="62" s="1"/>
  <c r="E30" i="55"/>
  <c r="F30" i="55" s="1"/>
  <c r="AA6" i="62" s="1"/>
  <c r="E28" i="55"/>
  <c r="F28" i="55" s="1"/>
  <c r="Y6" i="62" s="1"/>
  <c r="E26" i="55"/>
  <c r="F26" i="55" s="1"/>
  <c r="W6" i="62" s="1"/>
  <c r="E24" i="55"/>
  <c r="F24" i="55" s="1"/>
  <c r="U6" i="62" s="1"/>
  <c r="E22" i="55"/>
  <c r="F22" i="55" s="1"/>
  <c r="S6" i="62" s="1"/>
  <c r="E20" i="55"/>
  <c r="F20" i="55" s="1"/>
  <c r="Q6" i="62" s="1"/>
  <c r="E18" i="55"/>
  <c r="F18" i="55" s="1"/>
  <c r="O6" i="62" s="1"/>
  <c r="E16" i="55"/>
  <c r="F16" i="55" s="1"/>
  <c r="M6" i="62" s="1"/>
  <c r="E14" i="55"/>
  <c r="F14" i="55" s="1"/>
  <c r="K6" i="62" s="1"/>
  <c r="E12" i="55"/>
  <c r="F12" i="55" s="1"/>
  <c r="I6" i="62" s="1"/>
  <c r="E10" i="55"/>
  <c r="F10" i="55" s="1"/>
  <c r="G6" i="62" s="1"/>
  <c r="E8" i="55"/>
  <c r="F8" i="55" s="1"/>
  <c r="E6" i="62" s="1"/>
  <c r="E6" i="55"/>
  <c r="F6" i="55" s="1"/>
  <c r="C6" i="62" s="1"/>
  <c r="F105" i="55"/>
  <c r="E31" i="55"/>
  <c r="F31" i="55" s="1"/>
  <c r="AB6" i="62" s="1"/>
  <c r="E29" i="55"/>
  <c r="F29" i="55" s="1"/>
  <c r="Z6" i="62" s="1"/>
  <c r="E27" i="55"/>
  <c r="F27" i="55" s="1"/>
  <c r="X6" i="62" s="1"/>
  <c r="E25" i="55"/>
  <c r="F25" i="55" s="1"/>
  <c r="V6" i="62" s="1"/>
  <c r="E23" i="55"/>
  <c r="F23" i="55" s="1"/>
  <c r="T6" i="62" s="1"/>
  <c r="E21" i="55"/>
  <c r="F21" i="55" s="1"/>
  <c r="R6" i="62" s="1"/>
  <c r="E19" i="55"/>
  <c r="F19" i="55" s="1"/>
  <c r="P6" i="62" s="1"/>
  <c r="E17" i="55"/>
  <c r="F17" i="55" s="1"/>
  <c r="N6" i="62" s="1"/>
  <c r="E15" i="55"/>
  <c r="F15" i="55" s="1"/>
  <c r="L6" i="62" s="1"/>
  <c r="E13" i="55"/>
  <c r="F13" i="55" s="1"/>
  <c r="J6" i="62" s="1"/>
  <c r="E11" i="55"/>
  <c r="F11" i="55" s="1"/>
  <c r="H6" i="62" s="1"/>
  <c r="E9" i="55"/>
  <c r="F9" i="55" s="1"/>
  <c r="F6" i="62" s="1"/>
  <c r="E7" i="55"/>
  <c r="F7" i="55" s="1"/>
  <c r="D6" i="62" s="1"/>
  <c r="E5" i="55"/>
  <c r="F105" i="21"/>
  <c r="E31" i="21"/>
  <c r="F31" i="21" s="1"/>
  <c r="AB40" i="62" s="1"/>
  <c r="E29" i="21"/>
  <c r="F29" i="21" s="1"/>
  <c r="Z40" i="62" s="1"/>
  <c r="E27" i="21"/>
  <c r="F27" i="21" s="1"/>
  <c r="X40" i="62" s="1"/>
  <c r="E25" i="21"/>
  <c r="F25" i="21" s="1"/>
  <c r="V40" i="62" s="1"/>
  <c r="E23" i="21"/>
  <c r="F23" i="21" s="1"/>
  <c r="T40" i="62" s="1"/>
  <c r="E21" i="21"/>
  <c r="F21" i="21" s="1"/>
  <c r="R40" i="62" s="1"/>
  <c r="E19" i="21"/>
  <c r="F19" i="21" s="1"/>
  <c r="P40" i="62" s="1"/>
  <c r="E17" i="21"/>
  <c r="F17" i="21" s="1"/>
  <c r="N40" i="62" s="1"/>
  <c r="E15" i="21"/>
  <c r="F15" i="21" s="1"/>
  <c r="L40" i="62" s="1"/>
  <c r="E13" i="21"/>
  <c r="F13" i="21" s="1"/>
  <c r="J40" i="62" s="1"/>
  <c r="E11" i="21"/>
  <c r="F11" i="21" s="1"/>
  <c r="H40" i="62" s="1"/>
  <c r="E9" i="21"/>
  <c r="F9" i="21" s="1"/>
  <c r="F40" i="62" s="1"/>
  <c r="E7" i="21"/>
  <c r="F7" i="21" s="1"/>
  <c r="D40" i="62" s="1"/>
  <c r="E5" i="21"/>
  <c r="E32" i="21"/>
  <c r="F32" i="21" s="1"/>
  <c r="AC40" i="62" s="1"/>
  <c r="E30" i="21"/>
  <c r="F30" i="21" s="1"/>
  <c r="AA40" i="62" s="1"/>
  <c r="E28" i="21"/>
  <c r="F28" i="21" s="1"/>
  <c r="Y40" i="62" s="1"/>
  <c r="E26" i="21"/>
  <c r="F26" i="21" s="1"/>
  <c r="W40" i="62" s="1"/>
  <c r="E24" i="21"/>
  <c r="F24" i="21" s="1"/>
  <c r="U40" i="62" s="1"/>
  <c r="E22" i="21"/>
  <c r="F22" i="21" s="1"/>
  <c r="S40" i="62" s="1"/>
  <c r="E20" i="21"/>
  <c r="F20" i="21" s="1"/>
  <c r="Q40" i="62" s="1"/>
  <c r="E18" i="21"/>
  <c r="F18" i="21" s="1"/>
  <c r="O40" i="62" s="1"/>
  <c r="E16" i="21"/>
  <c r="F16" i="21" s="1"/>
  <c r="M40" i="62" s="1"/>
  <c r="E14" i="21"/>
  <c r="F14" i="21" s="1"/>
  <c r="K40" i="62" s="1"/>
  <c r="E12" i="21"/>
  <c r="F12" i="21" s="1"/>
  <c r="I40" i="62" s="1"/>
  <c r="E10" i="21"/>
  <c r="F10" i="21" s="1"/>
  <c r="G40" i="62" s="1"/>
  <c r="E8" i="21"/>
  <c r="F8" i="21" s="1"/>
  <c r="E40" i="62" s="1"/>
  <c r="E6" i="21"/>
  <c r="F6" i="21" s="1"/>
  <c r="C40" i="62" s="1"/>
  <c r="E32" i="19"/>
  <c r="F32" i="19" s="1"/>
  <c r="AC42" i="62" s="1"/>
  <c r="E30" i="19"/>
  <c r="F30" i="19" s="1"/>
  <c r="AA42" i="62" s="1"/>
  <c r="E28" i="19"/>
  <c r="F28" i="19" s="1"/>
  <c r="Y42" i="62" s="1"/>
  <c r="E26" i="19"/>
  <c r="F26" i="19" s="1"/>
  <c r="W42" i="62" s="1"/>
  <c r="E24" i="19"/>
  <c r="F24" i="19" s="1"/>
  <c r="U42" i="62" s="1"/>
  <c r="E22" i="19"/>
  <c r="F22" i="19" s="1"/>
  <c r="S42" i="62" s="1"/>
  <c r="E20" i="19"/>
  <c r="F20" i="19" s="1"/>
  <c r="Q42" i="62" s="1"/>
  <c r="E18" i="19"/>
  <c r="F18" i="19" s="1"/>
  <c r="O42" i="62" s="1"/>
  <c r="E16" i="19"/>
  <c r="F16" i="19" s="1"/>
  <c r="M42" i="62" s="1"/>
  <c r="E14" i="19"/>
  <c r="F14" i="19" s="1"/>
  <c r="K42" i="62" s="1"/>
  <c r="E12" i="19"/>
  <c r="F12" i="19" s="1"/>
  <c r="I42" i="62" s="1"/>
  <c r="E10" i="19"/>
  <c r="F10" i="19" s="1"/>
  <c r="G42" i="62" s="1"/>
  <c r="E8" i="19"/>
  <c r="F8" i="19" s="1"/>
  <c r="E42" i="62" s="1"/>
  <c r="E6" i="19"/>
  <c r="F6" i="19" s="1"/>
  <c r="C42" i="62" s="1"/>
  <c r="F105" i="19"/>
  <c r="E31" i="19"/>
  <c r="F31" i="19" s="1"/>
  <c r="AB42" i="62" s="1"/>
  <c r="E29" i="19"/>
  <c r="F29" i="19" s="1"/>
  <c r="Z42" i="62" s="1"/>
  <c r="E27" i="19"/>
  <c r="F27" i="19" s="1"/>
  <c r="X42" i="62" s="1"/>
  <c r="E25" i="19"/>
  <c r="F25" i="19" s="1"/>
  <c r="V42" i="62" s="1"/>
  <c r="E23" i="19"/>
  <c r="F23" i="19" s="1"/>
  <c r="T42" i="62" s="1"/>
  <c r="E21" i="19"/>
  <c r="F21" i="19" s="1"/>
  <c r="R42" i="62" s="1"/>
  <c r="E19" i="19"/>
  <c r="F19" i="19" s="1"/>
  <c r="P42" i="62" s="1"/>
  <c r="E17" i="19"/>
  <c r="F17" i="19" s="1"/>
  <c r="N42" i="62" s="1"/>
  <c r="E15" i="19"/>
  <c r="F15" i="19" s="1"/>
  <c r="L42" i="62" s="1"/>
  <c r="E13" i="19"/>
  <c r="F13" i="19" s="1"/>
  <c r="J42" i="62" s="1"/>
  <c r="E11" i="19"/>
  <c r="F11" i="19" s="1"/>
  <c r="H42" i="62" s="1"/>
  <c r="E9" i="19"/>
  <c r="F9" i="19" s="1"/>
  <c r="F42" i="62" s="1"/>
  <c r="E7" i="19"/>
  <c r="F7" i="19" s="1"/>
  <c r="D42" i="62" s="1"/>
  <c r="E5" i="19"/>
  <c r="E32" i="28"/>
  <c r="F32" i="28" s="1"/>
  <c r="AC33" i="62" s="1"/>
  <c r="E30" i="28"/>
  <c r="F30" i="28" s="1"/>
  <c r="AA33" i="62" s="1"/>
  <c r="E28" i="28"/>
  <c r="F28" i="28" s="1"/>
  <c r="Y33" i="62" s="1"/>
  <c r="E26" i="28"/>
  <c r="F26" i="28" s="1"/>
  <c r="W33" i="62" s="1"/>
  <c r="E24" i="28"/>
  <c r="F24" i="28" s="1"/>
  <c r="U33" i="62" s="1"/>
  <c r="E22" i="28"/>
  <c r="F22" i="28" s="1"/>
  <c r="S33" i="62" s="1"/>
  <c r="E20" i="28"/>
  <c r="F20" i="28" s="1"/>
  <c r="Q33" i="62" s="1"/>
  <c r="E18" i="28"/>
  <c r="F18" i="28" s="1"/>
  <c r="O33" i="62" s="1"/>
  <c r="E16" i="28"/>
  <c r="F16" i="28" s="1"/>
  <c r="M33" i="62" s="1"/>
  <c r="E14" i="28"/>
  <c r="F14" i="28" s="1"/>
  <c r="K33" i="62" s="1"/>
  <c r="E12" i="28"/>
  <c r="F12" i="28" s="1"/>
  <c r="I33" i="62" s="1"/>
  <c r="E10" i="28"/>
  <c r="F10" i="28" s="1"/>
  <c r="G33" i="62" s="1"/>
  <c r="E8" i="28"/>
  <c r="F8" i="28" s="1"/>
  <c r="E33" i="62" s="1"/>
  <c r="E6" i="28"/>
  <c r="F6" i="28" s="1"/>
  <c r="C33" i="62" s="1"/>
  <c r="F105" i="28"/>
  <c r="E31" i="28"/>
  <c r="F31" i="28" s="1"/>
  <c r="AB33" i="62" s="1"/>
  <c r="E29" i="28"/>
  <c r="F29" i="28" s="1"/>
  <c r="Z33" i="62" s="1"/>
  <c r="E27" i="28"/>
  <c r="F27" i="28" s="1"/>
  <c r="X33" i="62" s="1"/>
  <c r="E25" i="28"/>
  <c r="F25" i="28" s="1"/>
  <c r="V33" i="62" s="1"/>
  <c r="E23" i="28"/>
  <c r="F23" i="28" s="1"/>
  <c r="T33" i="62" s="1"/>
  <c r="E21" i="28"/>
  <c r="F21" i="28" s="1"/>
  <c r="R33" i="62" s="1"/>
  <c r="E19" i="28"/>
  <c r="F19" i="28" s="1"/>
  <c r="P33" i="62" s="1"/>
  <c r="E17" i="28"/>
  <c r="F17" i="28" s="1"/>
  <c r="N33" i="62" s="1"/>
  <c r="E15" i="28"/>
  <c r="F15" i="28" s="1"/>
  <c r="L33" i="62" s="1"/>
  <c r="E13" i="28"/>
  <c r="F13" i="28" s="1"/>
  <c r="J33" i="62" s="1"/>
  <c r="E11" i="28"/>
  <c r="F11" i="28" s="1"/>
  <c r="H33" i="62" s="1"/>
  <c r="E9" i="28"/>
  <c r="F9" i="28" s="1"/>
  <c r="F33" i="62" s="1"/>
  <c r="E7" i="28"/>
  <c r="F7" i="28" s="1"/>
  <c r="D33" i="62" s="1"/>
  <c r="E5" i="28"/>
  <c r="E32" i="24"/>
  <c r="F32" i="24" s="1"/>
  <c r="AC37" i="62" s="1"/>
  <c r="E30" i="24"/>
  <c r="F30" i="24" s="1"/>
  <c r="AA37" i="62" s="1"/>
  <c r="E28" i="24"/>
  <c r="F28" i="24" s="1"/>
  <c r="Y37" i="62" s="1"/>
  <c r="E26" i="24"/>
  <c r="F26" i="24" s="1"/>
  <c r="W37" i="62" s="1"/>
  <c r="E24" i="24"/>
  <c r="F24" i="24" s="1"/>
  <c r="U37" i="62" s="1"/>
  <c r="E22" i="24"/>
  <c r="F22" i="24" s="1"/>
  <c r="S37" i="62" s="1"/>
  <c r="E20" i="24"/>
  <c r="F20" i="24" s="1"/>
  <c r="Q37" i="62" s="1"/>
  <c r="E18" i="24"/>
  <c r="F18" i="24" s="1"/>
  <c r="O37" i="62" s="1"/>
  <c r="E16" i="24"/>
  <c r="F16" i="24" s="1"/>
  <c r="M37" i="62" s="1"/>
  <c r="E14" i="24"/>
  <c r="F14" i="24" s="1"/>
  <c r="K37" i="62" s="1"/>
  <c r="E12" i="24"/>
  <c r="F12" i="24" s="1"/>
  <c r="I37" i="62" s="1"/>
  <c r="E10" i="24"/>
  <c r="F10" i="24" s="1"/>
  <c r="G37" i="62" s="1"/>
  <c r="E8" i="24"/>
  <c r="F8" i="24" s="1"/>
  <c r="E37" i="62" s="1"/>
  <c r="E6" i="24"/>
  <c r="F6" i="24" s="1"/>
  <c r="C37" i="62" s="1"/>
  <c r="F105" i="24"/>
  <c r="E31" i="24"/>
  <c r="F31" i="24" s="1"/>
  <c r="AB37" i="62" s="1"/>
  <c r="E29" i="24"/>
  <c r="F29" i="24" s="1"/>
  <c r="Z37" i="62" s="1"/>
  <c r="E27" i="24"/>
  <c r="F27" i="24" s="1"/>
  <c r="X37" i="62" s="1"/>
  <c r="E25" i="24"/>
  <c r="F25" i="24" s="1"/>
  <c r="V37" i="62" s="1"/>
  <c r="E23" i="24"/>
  <c r="F23" i="24" s="1"/>
  <c r="T37" i="62" s="1"/>
  <c r="E21" i="24"/>
  <c r="F21" i="24" s="1"/>
  <c r="R37" i="62" s="1"/>
  <c r="E19" i="24"/>
  <c r="F19" i="24" s="1"/>
  <c r="P37" i="62" s="1"/>
  <c r="E17" i="24"/>
  <c r="F17" i="24" s="1"/>
  <c r="N37" i="62" s="1"/>
  <c r="E15" i="24"/>
  <c r="F15" i="24" s="1"/>
  <c r="L37" i="62" s="1"/>
  <c r="E13" i="24"/>
  <c r="F13" i="24" s="1"/>
  <c r="J37" i="62" s="1"/>
  <c r="E11" i="24"/>
  <c r="F11" i="24" s="1"/>
  <c r="H37" i="62" s="1"/>
  <c r="E9" i="24"/>
  <c r="F9" i="24" s="1"/>
  <c r="F37" i="62" s="1"/>
  <c r="E7" i="24"/>
  <c r="F7" i="24" s="1"/>
  <c r="D37" i="62" s="1"/>
  <c r="E5" i="24"/>
  <c r="E32" i="42"/>
  <c r="F32" i="42" s="1"/>
  <c r="AC19" i="62" s="1"/>
  <c r="E30" i="42"/>
  <c r="F30" i="42" s="1"/>
  <c r="AA19" i="62" s="1"/>
  <c r="E28" i="42"/>
  <c r="F28" i="42" s="1"/>
  <c r="Y19" i="62" s="1"/>
  <c r="E26" i="42"/>
  <c r="F26" i="42" s="1"/>
  <c r="W19" i="62" s="1"/>
  <c r="E24" i="42"/>
  <c r="F24" i="42" s="1"/>
  <c r="U19" i="62" s="1"/>
  <c r="E22" i="42"/>
  <c r="F22" i="42" s="1"/>
  <c r="S19" i="62" s="1"/>
  <c r="E20" i="42"/>
  <c r="F20" i="42" s="1"/>
  <c r="Q19" i="62" s="1"/>
  <c r="E18" i="42"/>
  <c r="F18" i="42" s="1"/>
  <c r="O19" i="62" s="1"/>
  <c r="E16" i="42"/>
  <c r="F16" i="42" s="1"/>
  <c r="M19" i="62" s="1"/>
  <c r="E14" i="42"/>
  <c r="F14" i="42" s="1"/>
  <c r="K19" i="62" s="1"/>
  <c r="E12" i="42"/>
  <c r="F12" i="42" s="1"/>
  <c r="I19" i="62" s="1"/>
  <c r="E10" i="42"/>
  <c r="F10" i="42" s="1"/>
  <c r="G19" i="62" s="1"/>
  <c r="E8" i="42"/>
  <c r="F8" i="42" s="1"/>
  <c r="E19" i="62" s="1"/>
  <c r="E6" i="42"/>
  <c r="F6" i="42" s="1"/>
  <c r="C19" i="62" s="1"/>
  <c r="F105" i="42"/>
  <c r="E31" i="42"/>
  <c r="F31" i="42" s="1"/>
  <c r="AB19" i="62" s="1"/>
  <c r="E29" i="42"/>
  <c r="F29" i="42" s="1"/>
  <c r="Z19" i="62" s="1"/>
  <c r="E27" i="42"/>
  <c r="F27" i="42" s="1"/>
  <c r="X19" i="62" s="1"/>
  <c r="E25" i="42"/>
  <c r="F25" i="42" s="1"/>
  <c r="V19" i="62" s="1"/>
  <c r="E23" i="42"/>
  <c r="F23" i="42" s="1"/>
  <c r="T19" i="62" s="1"/>
  <c r="E21" i="42"/>
  <c r="F21" i="42" s="1"/>
  <c r="R19" i="62" s="1"/>
  <c r="E19" i="42"/>
  <c r="F19" i="42" s="1"/>
  <c r="P19" i="62" s="1"/>
  <c r="E17" i="42"/>
  <c r="F17" i="42" s="1"/>
  <c r="N19" i="62" s="1"/>
  <c r="E15" i="42"/>
  <c r="F15" i="42" s="1"/>
  <c r="L19" i="62" s="1"/>
  <c r="E13" i="42"/>
  <c r="F13" i="42" s="1"/>
  <c r="J19" i="62" s="1"/>
  <c r="E11" i="42"/>
  <c r="F11" i="42" s="1"/>
  <c r="H19" i="62" s="1"/>
  <c r="E9" i="42"/>
  <c r="F9" i="42" s="1"/>
  <c r="F19" i="62" s="1"/>
  <c r="E7" i="42"/>
  <c r="F7" i="42" s="1"/>
  <c r="D19" i="62" s="1"/>
  <c r="E5" i="42"/>
  <c r="F105" i="56"/>
  <c r="E31" i="56"/>
  <c r="F31" i="56" s="1"/>
  <c r="AB5" i="62" s="1"/>
  <c r="E29" i="56"/>
  <c r="F29" i="56" s="1"/>
  <c r="Z5" i="62" s="1"/>
  <c r="E27" i="56"/>
  <c r="F27" i="56" s="1"/>
  <c r="X5" i="62" s="1"/>
  <c r="E25" i="56"/>
  <c r="F25" i="56" s="1"/>
  <c r="V5" i="62" s="1"/>
  <c r="E23" i="56"/>
  <c r="F23" i="56" s="1"/>
  <c r="T5" i="62" s="1"/>
  <c r="E21" i="56"/>
  <c r="F21" i="56" s="1"/>
  <c r="R5" i="62" s="1"/>
  <c r="E19" i="56"/>
  <c r="F19" i="56" s="1"/>
  <c r="P5" i="62" s="1"/>
  <c r="E17" i="56"/>
  <c r="F17" i="56" s="1"/>
  <c r="N5" i="62" s="1"/>
  <c r="E15" i="56"/>
  <c r="F15" i="56" s="1"/>
  <c r="L5" i="62" s="1"/>
  <c r="E13" i="56"/>
  <c r="F13" i="56" s="1"/>
  <c r="J5" i="62" s="1"/>
  <c r="E11" i="56"/>
  <c r="F11" i="56" s="1"/>
  <c r="H5" i="62" s="1"/>
  <c r="E9" i="56"/>
  <c r="F9" i="56" s="1"/>
  <c r="F5" i="62" s="1"/>
  <c r="E7" i="56"/>
  <c r="F7" i="56" s="1"/>
  <c r="D5" i="62" s="1"/>
  <c r="E5" i="56"/>
  <c r="E32" i="56"/>
  <c r="F32" i="56" s="1"/>
  <c r="AC5" i="62" s="1"/>
  <c r="E30" i="56"/>
  <c r="F30" i="56" s="1"/>
  <c r="AA5" i="62" s="1"/>
  <c r="E28" i="56"/>
  <c r="F28" i="56" s="1"/>
  <c r="Y5" i="62" s="1"/>
  <c r="E26" i="56"/>
  <c r="F26" i="56" s="1"/>
  <c r="W5" i="62" s="1"/>
  <c r="E24" i="56"/>
  <c r="F24" i="56" s="1"/>
  <c r="U5" i="62" s="1"/>
  <c r="E22" i="56"/>
  <c r="F22" i="56" s="1"/>
  <c r="S5" i="62" s="1"/>
  <c r="E20" i="56"/>
  <c r="F20" i="56" s="1"/>
  <c r="Q5" i="62" s="1"/>
  <c r="E18" i="56"/>
  <c r="F18" i="56" s="1"/>
  <c r="O5" i="62" s="1"/>
  <c r="E16" i="56"/>
  <c r="F16" i="56" s="1"/>
  <c r="M5" i="62" s="1"/>
  <c r="E14" i="56"/>
  <c r="F14" i="56" s="1"/>
  <c r="K5" i="62" s="1"/>
  <c r="E12" i="56"/>
  <c r="F12" i="56" s="1"/>
  <c r="I5" i="62" s="1"/>
  <c r="E10" i="56"/>
  <c r="F10" i="56" s="1"/>
  <c r="G5" i="62" s="1"/>
  <c r="E8" i="56"/>
  <c r="F8" i="56" s="1"/>
  <c r="E5" i="62" s="1"/>
  <c r="E6" i="56"/>
  <c r="F6" i="56" s="1"/>
  <c r="C5" i="62" s="1"/>
  <c r="F105" i="11"/>
  <c r="E31" i="11"/>
  <c r="F31" i="11" s="1"/>
  <c r="AB50" i="62" s="1"/>
  <c r="E29" i="11"/>
  <c r="F29" i="11" s="1"/>
  <c r="Z50" i="62" s="1"/>
  <c r="E27" i="11"/>
  <c r="F27" i="11" s="1"/>
  <c r="X50" i="62" s="1"/>
  <c r="E25" i="11"/>
  <c r="F25" i="11" s="1"/>
  <c r="V50" i="62" s="1"/>
  <c r="E23" i="11"/>
  <c r="F23" i="11" s="1"/>
  <c r="T50" i="62" s="1"/>
  <c r="E21" i="11"/>
  <c r="F21" i="11" s="1"/>
  <c r="R50" i="62" s="1"/>
  <c r="E19" i="11"/>
  <c r="F19" i="11" s="1"/>
  <c r="P50" i="62" s="1"/>
  <c r="E17" i="11"/>
  <c r="F17" i="11" s="1"/>
  <c r="N50" i="62" s="1"/>
  <c r="E15" i="11"/>
  <c r="F15" i="11" s="1"/>
  <c r="L50" i="62" s="1"/>
  <c r="E13" i="11"/>
  <c r="F13" i="11" s="1"/>
  <c r="J50" i="62" s="1"/>
  <c r="E11" i="11"/>
  <c r="F11" i="11" s="1"/>
  <c r="H50" i="62" s="1"/>
  <c r="E9" i="11"/>
  <c r="F9" i="11" s="1"/>
  <c r="F50" i="62" s="1"/>
  <c r="E7" i="11"/>
  <c r="F7" i="11" s="1"/>
  <c r="D50" i="62" s="1"/>
  <c r="E5" i="11"/>
  <c r="E32" i="11"/>
  <c r="F32" i="11" s="1"/>
  <c r="AC50" i="62" s="1"/>
  <c r="E30" i="11"/>
  <c r="F30" i="11" s="1"/>
  <c r="AA50" i="62" s="1"/>
  <c r="E28" i="11"/>
  <c r="F28" i="11" s="1"/>
  <c r="Y50" i="62" s="1"/>
  <c r="E26" i="11"/>
  <c r="F26" i="11" s="1"/>
  <c r="W50" i="62" s="1"/>
  <c r="E24" i="11"/>
  <c r="F24" i="11" s="1"/>
  <c r="U50" i="62" s="1"/>
  <c r="E22" i="11"/>
  <c r="F22" i="11" s="1"/>
  <c r="S50" i="62" s="1"/>
  <c r="E20" i="11"/>
  <c r="F20" i="11" s="1"/>
  <c r="Q50" i="62" s="1"/>
  <c r="E18" i="11"/>
  <c r="F18" i="11" s="1"/>
  <c r="O50" i="62" s="1"/>
  <c r="E16" i="11"/>
  <c r="F16" i="11" s="1"/>
  <c r="M50" i="62" s="1"/>
  <c r="E14" i="11"/>
  <c r="F14" i="11" s="1"/>
  <c r="K50" i="62" s="1"/>
  <c r="E12" i="11"/>
  <c r="F12" i="11" s="1"/>
  <c r="I50" i="62" s="1"/>
  <c r="E10" i="11"/>
  <c r="F10" i="11" s="1"/>
  <c r="G50" i="62" s="1"/>
  <c r="E8" i="11"/>
  <c r="F8" i="11" s="1"/>
  <c r="E50" i="62" s="1"/>
  <c r="E6" i="11"/>
  <c r="F6" i="11" s="1"/>
  <c r="C50" i="62" s="1"/>
  <c r="F105" i="13"/>
  <c r="E31" i="13"/>
  <c r="F31" i="13" s="1"/>
  <c r="AB48" i="62" s="1"/>
  <c r="E29" i="13"/>
  <c r="F29" i="13" s="1"/>
  <c r="Z48" i="62" s="1"/>
  <c r="E27" i="13"/>
  <c r="F27" i="13" s="1"/>
  <c r="X48" i="62" s="1"/>
  <c r="E25" i="13"/>
  <c r="F25" i="13" s="1"/>
  <c r="V48" i="62" s="1"/>
  <c r="E23" i="13"/>
  <c r="F23" i="13" s="1"/>
  <c r="T48" i="62" s="1"/>
  <c r="E21" i="13"/>
  <c r="F21" i="13" s="1"/>
  <c r="R48" i="62" s="1"/>
  <c r="E19" i="13"/>
  <c r="F19" i="13" s="1"/>
  <c r="P48" i="62" s="1"/>
  <c r="E17" i="13"/>
  <c r="F17" i="13" s="1"/>
  <c r="N48" i="62" s="1"/>
  <c r="E15" i="13"/>
  <c r="F15" i="13" s="1"/>
  <c r="L48" i="62" s="1"/>
  <c r="E13" i="13"/>
  <c r="F13" i="13" s="1"/>
  <c r="J48" i="62" s="1"/>
  <c r="E11" i="13"/>
  <c r="F11" i="13" s="1"/>
  <c r="H48" i="62" s="1"/>
  <c r="E9" i="13"/>
  <c r="F9" i="13" s="1"/>
  <c r="F48" i="62" s="1"/>
  <c r="E7" i="13"/>
  <c r="F7" i="13" s="1"/>
  <c r="D48" i="62" s="1"/>
  <c r="E5" i="13"/>
  <c r="E32" i="13"/>
  <c r="F32" i="13" s="1"/>
  <c r="AC48" i="62" s="1"/>
  <c r="E30" i="13"/>
  <c r="F30" i="13" s="1"/>
  <c r="AA48" i="62" s="1"/>
  <c r="E28" i="13"/>
  <c r="F28" i="13" s="1"/>
  <c r="Y48" i="62" s="1"/>
  <c r="E26" i="13"/>
  <c r="F26" i="13" s="1"/>
  <c r="W48" i="62" s="1"/>
  <c r="E24" i="13"/>
  <c r="F24" i="13" s="1"/>
  <c r="U48" i="62" s="1"/>
  <c r="E22" i="13"/>
  <c r="F22" i="13" s="1"/>
  <c r="S48" i="62" s="1"/>
  <c r="E20" i="13"/>
  <c r="F20" i="13" s="1"/>
  <c r="Q48" i="62" s="1"/>
  <c r="E18" i="13"/>
  <c r="F18" i="13" s="1"/>
  <c r="O48" i="62" s="1"/>
  <c r="E16" i="13"/>
  <c r="F16" i="13" s="1"/>
  <c r="M48" i="62" s="1"/>
  <c r="E14" i="13"/>
  <c r="F14" i="13" s="1"/>
  <c r="K48" i="62" s="1"/>
  <c r="E12" i="13"/>
  <c r="F12" i="13" s="1"/>
  <c r="I48" i="62" s="1"/>
  <c r="E10" i="13"/>
  <c r="F10" i="13" s="1"/>
  <c r="G48" i="62" s="1"/>
  <c r="E8" i="13"/>
  <c r="F8" i="13" s="1"/>
  <c r="E48" i="62" s="1"/>
  <c r="E6" i="13"/>
  <c r="F6" i="13" s="1"/>
  <c r="C48" i="62" s="1"/>
  <c r="E32" i="22"/>
  <c r="F32" i="22" s="1"/>
  <c r="AC39" i="62" s="1"/>
  <c r="E30" i="22"/>
  <c r="F30" i="22" s="1"/>
  <c r="AA39" i="62" s="1"/>
  <c r="E28" i="22"/>
  <c r="F28" i="22" s="1"/>
  <c r="Y39" i="62" s="1"/>
  <c r="E26" i="22"/>
  <c r="F26" i="22" s="1"/>
  <c r="W39" i="62" s="1"/>
  <c r="E24" i="22"/>
  <c r="F24" i="22" s="1"/>
  <c r="U39" i="62" s="1"/>
  <c r="E22" i="22"/>
  <c r="F22" i="22" s="1"/>
  <c r="S39" i="62" s="1"/>
  <c r="E20" i="22"/>
  <c r="F20" i="22" s="1"/>
  <c r="Q39" i="62" s="1"/>
  <c r="E18" i="22"/>
  <c r="F18" i="22" s="1"/>
  <c r="O39" i="62" s="1"/>
  <c r="E16" i="22"/>
  <c r="F16" i="22" s="1"/>
  <c r="M39" i="62" s="1"/>
  <c r="E14" i="22"/>
  <c r="F14" i="22" s="1"/>
  <c r="K39" i="62" s="1"/>
  <c r="E12" i="22"/>
  <c r="F12" i="22" s="1"/>
  <c r="I39" i="62" s="1"/>
  <c r="E10" i="22"/>
  <c r="F10" i="22" s="1"/>
  <c r="G39" i="62" s="1"/>
  <c r="E8" i="22"/>
  <c r="F8" i="22" s="1"/>
  <c r="E39" i="62" s="1"/>
  <c r="E6" i="22"/>
  <c r="F6" i="22" s="1"/>
  <c r="C39" i="62" s="1"/>
  <c r="F105" i="22"/>
  <c r="E31" i="22"/>
  <c r="F31" i="22" s="1"/>
  <c r="AB39" i="62" s="1"/>
  <c r="E29" i="22"/>
  <c r="F29" i="22" s="1"/>
  <c r="Z39" i="62" s="1"/>
  <c r="E27" i="22"/>
  <c r="F27" i="22" s="1"/>
  <c r="X39" i="62" s="1"/>
  <c r="E25" i="22"/>
  <c r="F25" i="22" s="1"/>
  <c r="V39" i="62" s="1"/>
  <c r="E23" i="22"/>
  <c r="F23" i="22" s="1"/>
  <c r="T39" i="62" s="1"/>
  <c r="E21" i="22"/>
  <c r="F21" i="22" s="1"/>
  <c r="R39" i="62" s="1"/>
  <c r="E19" i="22"/>
  <c r="F19" i="22" s="1"/>
  <c r="P39" i="62" s="1"/>
  <c r="E17" i="22"/>
  <c r="F17" i="22" s="1"/>
  <c r="N39" i="62" s="1"/>
  <c r="E15" i="22"/>
  <c r="F15" i="22" s="1"/>
  <c r="L39" i="62" s="1"/>
  <c r="E13" i="22"/>
  <c r="F13" i="22" s="1"/>
  <c r="J39" i="62" s="1"/>
  <c r="E11" i="22"/>
  <c r="F11" i="22" s="1"/>
  <c r="H39" i="62" s="1"/>
  <c r="E9" i="22"/>
  <c r="F9" i="22" s="1"/>
  <c r="F39" i="62" s="1"/>
  <c r="E7" i="22"/>
  <c r="F7" i="22" s="1"/>
  <c r="D39" i="62" s="1"/>
  <c r="E5" i="22"/>
  <c r="F105" i="46"/>
  <c r="E31" i="46"/>
  <c r="F31" i="46" s="1"/>
  <c r="AB15" i="62" s="1"/>
  <c r="E29" i="46"/>
  <c r="F29" i="46" s="1"/>
  <c r="Z15" i="62" s="1"/>
  <c r="E27" i="46"/>
  <c r="F27" i="46" s="1"/>
  <c r="X15" i="62" s="1"/>
  <c r="E25" i="46"/>
  <c r="F25" i="46" s="1"/>
  <c r="V15" i="62" s="1"/>
  <c r="E23" i="46"/>
  <c r="F23" i="46" s="1"/>
  <c r="T15" i="62" s="1"/>
  <c r="E21" i="46"/>
  <c r="F21" i="46" s="1"/>
  <c r="R15" i="62" s="1"/>
  <c r="E19" i="46"/>
  <c r="F19" i="46" s="1"/>
  <c r="P15" i="62" s="1"/>
  <c r="E17" i="46"/>
  <c r="F17" i="46" s="1"/>
  <c r="N15" i="62" s="1"/>
  <c r="E15" i="46"/>
  <c r="F15" i="46" s="1"/>
  <c r="L15" i="62" s="1"/>
  <c r="E13" i="46"/>
  <c r="F13" i="46" s="1"/>
  <c r="J15" i="62" s="1"/>
  <c r="E11" i="46"/>
  <c r="F11" i="46" s="1"/>
  <c r="H15" i="62" s="1"/>
  <c r="E9" i="46"/>
  <c r="F9" i="46" s="1"/>
  <c r="F15" i="62" s="1"/>
  <c r="E7" i="46"/>
  <c r="F7" i="46" s="1"/>
  <c r="D15" i="62" s="1"/>
  <c r="E5" i="46"/>
  <c r="E32" i="46"/>
  <c r="F32" i="46" s="1"/>
  <c r="AC15" i="62" s="1"/>
  <c r="E30" i="46"/>
  <c r="F30" i="46" s="1"/>
  <c r="AA15" i="62" s="1"/>
  <c r="E28" i="46"/>
  <c r="F28" i="46" s="1"/>
  <c r="Y15" i="62" s="1"/>
  <c r="E26" i="46"/>
  <c r="F26" i="46" s="1"/>
  <c r="W15" i="62" s="1"/>
  <c r="E24" i="46"/>
  <c r="F24" i="46" s="1"/>
  <c r="U15" i="62" s="1"/>
  <c r="E22" i="46"/>
  <c r="F22" i="46" s="1"/>
  <c r="S15" i="62" s="1"/>
  <c r="E20" i="46"/>
  <c r="F20" i="46" s="1"/>
  <c r="Q15" i="62" s="1"/>
  <c r="E18" i="46"/>
  <c r="F18" i="46" s="1"/>
  <c r="O15" i="62" s="1"/>
  <c r="E16" i="46"/>
  <c r="F16" i="46" s="1"/>
  <c r="M15" i="62" s="1"/>
  <c r="E14" i="46"/>
  <c r="F14" i="46" s="1"/>
  <c r="K15" i="62" s="1"/>
  <c r="E12" i="46"/>
  <c r="F12" i="46" s="1"/>
  <c r="I15" i="62" s="1"/>
  <c r="E10" i="46"/>
  <c r="F10" i="46" s="1"/>
  <c r="G15" i="62" s="1"/>
  <c r="E8" i="46"/>
  <c r="F8" i="46" s="1"/>
  <c r="E15" i="62" s="1"/>
  <c r="E6" i="46"/>
  <c r="F6" i="46" s="1"/>
  <c r="C15" i="62" s="1"/>
  <c r="F105" i="50"/>
  <c r="E31" i="50"/>
  <c r="F31" i="50" s="1"/>
  <c r="AB11" i="62" s="1"/>
  <c r="E29" i="50"/>
  <c r="F29" i="50" s="1"/>
  <c r="Z11" i="62" s="1"/>
  <c r="E27" i="50"/>
  <c r="F27" i="50" s="1"/>
  <c r="X11" i="62" s="1"/>
  <c r="E25" i="50"/>
  <c r="F25" i="50" s="1"/>
  <c r="V11" i="62" s="1"/>
  <c r="E23" i="50"/>
  <c r="F23" i="50" s="1"/>
  <c r="T11" i="62" s="1"/>
  <c r="E21" i="50"/>
  <c r="F21" i="50" s="1"/>
  <c r="R11" i="62" s="1"/>
  <c r="E19" i="50"/>
  <c r="F19" i="50" s="1"/>
  <c r="P11" i="62" s="1"/>
  <c r="E17" i="50"/>
  <c r="F17" i="50" s="1"/>
  <c r="N11" i="62" s="1"/>
  <c r="E15" i="50"/>
  <c r="F15" i="50" s="1"/>
  <c r="L11" i="62" s="1"/>
  <c r="E13" i="50"/>
  <c r="F13" i="50" s="1"/>
  <c r="J11" i="62" s="1"/>
  <c r="E11" i="50"/>
  <c r="F11" i="50" s="1"/>
  <c r="H11" i="62" s="1"/>
  <c r="E9" i="50"/>
  <c r="F9" i="50" s="1"/>
  <c r="F11" i="62" s="1"/>
  <c r="E7" i="50"/>
  <c r="F7" i="50" s="1"/>
  <c r="D11" i="62" s="1"/>
  <c r="E5" i="50"/>
  <c r="E32" i="50"/>
  <c r="F32" i="50" s="1"/>
  <c r="AC11" i="62" s="1"/>
  <c r="E30" i="50"/>
  <c r="F30" i="50" s="1"/>
  <c r="AA11" i="62" s="1"/>
  <c r="E28" i="50"/>
  <c r="F28" i="50" s="1"/>
  <c r="Y11" i="62" s="1"/>
  <c r="E26" i="50"/>
  <c r="F26" i="50" s="1"/>
  <c r="W11" i="62" s="1"/>
  <c r="E24" i="50"/>
  <c r="F24" i="50" s="1"/>
  <c r="U11" i="62" s="1"/>
  <c r="E22" i="50"/>
  <c r="F22" i="50" s="1"/>
  <c r="S11" i="62" s="1"/>
  <c r="E20" i="50"/>
  <c r="F20" i="50" s="1"/>
  <c r="Q11" i="62" s="1"/>
  <c r="E18" i="50"/>
  <c r="F18" i="50" s="1"/>
  <c r="O11" i="62" s="1"/>
  <c r="E16" i="50"/>
  <c r="F16" i="50" s="1"/>
  <c r="M11" i="62" s="1"/>
  <c r="E14" i="50"/>
  <c r="F14" i="50" s="1"/>
  <c r="K11" i="62" s="1"/>
  <c r="E12" i="50"/>
  <c r="F12" i="50" s="1"/>
  <c r="I11" i="62" s="1"/>
  <c r="E10" i="50"/>
  <c r="F10" i="50" s="1"/>
  <c r="G11" i="62" s="1"/>
  <c r="E8" i="50"/>
  <c r="F8" i="50" s="1"/>
  <c r="E11" i="62" s="1"/>
  <c r="E6" i="50"/>
  <c r="F6" i="50" s="1"/>
  <c r="C11" i="62" s="1"/>
  <c r="F105" i="52"/>
  <c r="E31" i="52"/>
  <c r="F31" i="52" s="1"/>
  <c r="AB9" i="62" s="1"/>
  <c r="E29" i="52"/>
  <c r="F29" i="52" s="1"/>
  <c r="Z9" i="62" s="1"/>
  <c r="E27" i="52"/>
  <c r="F27" i="52" s="1"/>
  <c r="X9" i="62" s="1"/>
  <c r="E25" i="52"/>
  <c r="F25" i="52" s="1"/>
  <c r="V9" i="62" s="1"/>
  <c r="E23" i="52"/>
  <c r="F23" i="52" s="1"/>
  <c r="T9" i="62" s="1"/>
  <c r="E21" i="52"/>
  <c r="F21" i="52" s="1"/>
  <c r="R9" i="62" s="1"/>
  <c r="E19" i="52"/>
  <c r="F19" i="52" s="1"/>
  <c r="P9" i="62" s="1"/>
  <c r="E17" i="52"/>
  <c r="F17" i="52" s="1"/>
  <c r="N9" i="62" s="1"/>
  <c r="E15" i="52"/>
  <c r="F15" i="52" s="1"/>
  <c r="L9" i="62" s="1"/>
  <c r="E13" i="52"/>
  <c r="F13" i="52" s="1"/>
  <c r="J9" i="62" s="1"/>
  <c r="E11" i="52"/>
  <c r="F11" i="52" s="1"/>
  <c r="H9" i="62" s="1"/>
  <c r="E9" i="52"/>
  <c r="F9" i="52" s="1"/>
  <c r="F9" i="62" s="1"/>
  <c r="E7" i="52"/>
  <c r="F7" i="52" s="1"/>
  <c r="D9" i="62" s="1"/>
  <c r="E5" i="52"/>
  <c r="E32" i="52"/>
  <c r="F32" i="52" s="1"/>
  <c r="AC9" i="62" s="1"/>
  <c r="E30" i="52"/>
  <c r="F30" i="52" s="1"/>
  <c r="AA9" i="62" s="1"/>
  <c r="E28" i="52"/>
  <c r="F28" i="52" s="1"/>
  <c r="Y9" i="62" s="1"/>
  <c r="E26" i="52"/>
  <c r="F26" i="52" s="1"/>
  <c r="W9" i="62" s="1"/>
  <c r="E24" i="52"/>
  <c r="F24" i="52" s="1"/>
  <c r="U9" i="62" s="1"/>
  <c r="E22" i="52"/>
  <c r="F22" i="52" s="1"/>
  <c r="S9" i="62" s="1"/>
  <c r="E20" i="52"/>
  <c r="F20" i="52" s="1"/>
  <c r="Q9" i="62" s="1"/>
  <c r="E18" i="52"/>
  <c r="F18" i="52" s="1"/>
  <c r="O9" i="62" s="1"/>
  <c r="E16" i="52"/>
  <c r="F16" i="52" s="1"/>
  <c r="M9" i="62" s="1"/>
  <c r="E14" i="52"/>
  <c r="F14" i="52" s="1"/>
  <c r="K9" i="62" s="1"/>
  <c r="E12" i="52"/>
  <c r="F12" i="52" s="1"/>
  <c r="I9" i="62" s="1"/>
  <c r="E10" i="52"/>
  <c r="F10" i="52" s="1"/>
  <c r="G9" i="62" s="1"/>
  <c r="E8" i="52"/>
  <c r="F8" i="52" s="1"/>
  <c r="E9" i="62" s="1"/>
  <c r="E6" i="52"/>
  <c r="F6" i="52" s="1"/>
  <c r="C9" i="62" s="1"/>
  <c r="E32" i="51"/>
  <c r="F32" i="51" s="1"/>
  <c r="AC10" i="62" s="1"/>
  <c r="E30" i="51"/>
  <c r="F30" i="51" s="1"/>
  <c r="AA10" i="62" s="1"/>
  <c r="E28" i="51"/>
  <c r="F28" i="51" s="1"/>
  <c r="Y10" i="62" s="1"/>
  <c r="E26" i="51"/>
  <c r="F26" i="51" s="1"/>
  <c r="W10" i="62" s="1"/>
  <c r="E24" i="51"/>
  <c r="F24" i="51" s="1"/>
  <c r="U10" i="62" s="1"/>
  <c r="E22" i="51"/>
  <c r="F22" i="51" s="1"/>
  <c r="S10" i="62" s="1"/>
  <c r="E20" i="51"/>
  <c r="F20" i="51" s="1"/>
  <c r="Q10" i="62" s="1"/>
  <c r="E18" i="51"/>
  <c r="F18" i="51" s="1"/>
  <c r="O10" i="62" s="1"/>
  <c r="E16" i="51"/>
  <c r="F16" i="51" s="1"/>
  <c r="M10" i="62" s="1"/>
  <c r="E14" i="51"/>
  <c r="F14" i="51" s="1"/>
  <c r="K10" i="62" s="1"/>
  <c r="E12" i="51"/>
  <c r="F12" i="51" s="1"/>
  <c r="I10" i="62" s="1"/>
  <c r="E10" i="51"/>
  <c r="F10" i="51" s="1"/>
  <c r="G10" i="62" s="1"/>
  <c r="E8" i="51"/>
  <c r="F8" i="51" s="1"/>
  <c r="E10" i="62" s="1"/>
  <c r="E6" i="51"/>
  <c r="F6" i="51" s="1"/>
  <c r="C10" i="62" s="1"/>
  <c r="F105" i="51"/>
  <c r="E31" i="51"/>
  <c r="F31" i="51" s="1"/>
  <c r="AB10" i="62" s="1"/>
  <c r="E29" i="51"/>
  <c r="F29" i="51" s="1"/>
  <c r="Z10" i="62" s="1"/>
  <c r="E27" i="51"/>
  <c r="F27" i="51" s="1"/>
  <c r="X10" i="62" s="1"/>
  <c r="E25" i="51"/>
  <c r="F25" i="51" s="1"/>
  <c r="V10" i="62" s="1"/>
  <c r="E23" i="51"/>
  <c r="F23" i="51" s="1"/>
  <c r="T10" i="62" s="1"/>
  <c r="E21" i="51"/>
  <c r="F21" i="51" s="1"/>
  <c r="R10" i="62" s="1"/>
  <c r="E19" i="51"/>
  <c r="F19" i="51" s="1"/>
  <c r="P10" i="62" s="1"/>
  <c r="E17" i="51"/>
  <c r="F17" i="51" s="1"/>
  <c r="N10" i="62" s="1"/>
  <c r="E15" i="51"/>
  <c r="F15" i="51" s="1"/>
  <c r="L10" i="62" s="1"/>
  <c r="E13" i="51"/>
  <c r="F13" i="51" s="1"/>
  <c r="J10" i="62" s="1"/>
  <c r="E11" i="51"/>
  <c r="F11" i="51" s="1"/>
  <c r="H10" i="62" s="1"/>
  <c r="E9" i="51"/>
  <c r="F9" i="51" s="1"/>
  <c r="F10" i="62" s="1"/>
  <c r="E7" i="51"/>
  <c r="F7" i="51" s="1"/>
  <c r="D10" i="62" s="1"/>
  <c r="E5" i="51"/>
  <c r="F105" i="8"/>
  <c r="E31" i="8"/>
  <c r="F31" i="8" s="1"/>
  <c r="AB53" i="62" s="1"/>
  <c r="E29" i="8"/>
  <c r="F29" i="8" s="1"/>
  <c r="Z53" i="62" s="1"/>
  <c r="E27" i="8"/>
  <c r="F27" i="8" s="1"/>
  <c r="X53" i="62" s="1"/>
  <c r="E25" i="8"/>
  <c r="F25" i="8" s="1"/>
  <c r="V53" i="62" s="1"/>
  <c r="E23" i="8"/>
  <c r="F23" i="8" s="1"/>
  <c r="T53" i="62" s="1"/>
  <c r="E21" i="8"/>
  <c r="F21" i="8" s="1"/>
  <c r="R53" i="62" s="1"/>
  <c r="E19" i="8"/>
  <c r="F19" i="8" s="1"/>
  <c r="P53" i="62" s="1"/>
  <c r="E17" i="8"/>
  <c r="F17" i="8" s="1"/>
  <c r="N53" i="62" s="1"/>
  <c r="E15" i="8"/>
  <c r="F15" i="8" s="1"/>
  <c r="L53" i="62" s="1"/>
  <c r="E13" i="8"/>
  <c r="F13" i="8" s="1"/>
  <c r="J53" i="62" s="1"/>
  <c r="E11" i="8"/>
  <c r="F11" i="8" s="1"/>
  <c r="H53" i="62" s="1"/>
  <c r="E9" i="8"/>
  <c r="F9" i="8" s="1"/>
  <c r="F53" i="62" s="1"/>
  <c r="E7" i="8"/>
  <c r="F7" i="8" s="1"/>
  <c r="D53" i="62" s="1"/>
  <c r="E5" i="8"/>
  <c r="E32" i="8"/>
  <c r="F32" i="8" s="1"/>
  <c r="AC53" i="62" s="1"/>
  <c r="E30" i="8"/>
  <c r="F30" i="8" s="1"/>
  <c r="AA53" i="62" s="1"/>
  <c r="E28" i="8"/>
  <c r="F28" i="8" s="1"/>
  <c r="Y53" i="62" s="1"/>
  <c r="E26" i="8"/>
  <c r="F26" i="8" s="1"/>
  <c r="W53" i="62" s="1"/>
  <c r="E24" i="8"/>
  <c r="F24" i="8" s="1"/>
  <c r="U53" i="62" s="1"/>
  <c r="E22" i="8"/>
  <c r="F22" i="8" s="1"/>
  <c r="S53" i="62" s="1"/>
  <c r="E20" i="8"/>
  <c r="F20" i="8" s="1"/>
  <c r="Q53" i="62" s="1"/>
  <c r="E18" i="8"/>
  <c r="F18" i="8" s="1"/>
  <c r="O53" i="62" s="1"/>
  <c r="E16" i="8"/>
  <c r="F16" i="8" s="1"/>
  <c r="M53" i="62" s="1"/>
  <c r="E14" i="8"/>
  <c r="F14" i="8" s="1"/>
  <c r="K53" i="62" s="1"/>
  <c r="E12" i="8"/>
  <c r="F12" i="8" s="1"/>
  <c r="I53" i="62" s="1"/>
  <c r="E10" i="8"/>
  <c r="F10" i="8" s="1"/>
  <c r="G53" i="62" s="1"/>
  <c r="E8" i="8"/>
  <c r="F8" i="8" s="1"/>
  <c r="E53" i="62" s="1"/>
  <c r="E6" i="8"/>
  <c r="F6" i="8" s="1"/>
  <c r="C53" i="62" s="1"/>
  <c r="F105" i="10"/>
  <c r="E31" i="10"/>
  <c r="F31" i="10" s="1"/>
  <c r="AB51" i="62" s="1"/>
  <c r="E29" i="10"/>
  <c r="F29" i="10" s="1"/>
  <c r="Z51" i="62" s="1"/>
  <c r="E27" i="10"/>
  <c r="F27" i="10" s="1"/>
  <c r="X51" i="62" s="1"/>
  <c r="E25" i="10"/>
  <c r="F25" i="10" s="1"/>
  <c r="V51" i="62" s="1"/>
  <c r="E23" i="10"/>
  <c r="F23" i="10" s="1"/>
  <c r="T51" i="62" s="1"/>
  <c r="E21" i="10"/>
  <c r="F21" i="10" s="1"/>
  <c r="R51" i="62" s="1"/>
  <c r="E19" i="10"/>
  <c r="F19" i="10" s="1"/>
  <c r="P51" i="62" s="1"/>
  <c r="E17" i="10"/>
  <c r="F17" i="10" s="1"/>
  <c r="N51" i="62" s="1"/>
  <c r="E15" i="10"/>
  <c r="F15" i="10" s="1"/>
  <c r="L51" i="62" s="1"/>
  <c r="E32" i="10"/>
  <c r="F32" i="10" s="1"/>
  <c r="AC51" i="62" s="1"/>
  <c r="E30" i="10"/>
  <c r="F30" i="10" s="1"/>
  <c r="AA51" i="62" s="1"/>
  <c r="E28" i="10"/>
  <c r="F28" i="10" s="1"/>
  <c r="Y51" i="62" s="1"/>
  <c r="E26" i="10"/>
  <c r="F26" i="10" s="1"/>
  <c r="W51" i="62" s="1"/>
  <c r="E24" i="10"/>
  <c r="F24" i="10" s="1"/>
  <c r="U51" i="62" s="1"/>
  <c r="E22" i="10"/>
  <c r="F22" i="10" s="1"/>
  <c r="S51" i="62" s="1"/>
  <c r="E20" i="10"/>
  <c r="F20" i="10" s="1"/>
  <c r="Q51" i="62" s="1"/>
  <c r="E18" i="10"/>
  <c r="F18" i="10" s="1"/>
  <c r="O51" i="62" s="1"/>
  <c r="E16" i="10"/>
  <c r="F16" i="10" s="1"/>
  <c r="M51" i="62" s="1"/>
  <c r="E14" i="10"/>
  <c r="F14" i="10" s="1"/>
  <c r="K51" i="62" s="1"/>
  <c r="E12" i="10"/>
  <c r="F12" i="10" s="1"/>
  <c r="I51" i="62" s="1"/>
  <c r="E10" i="10"/>
  <c r="F10" i="10" s="1"/>
  <c r="G51" i="62" s="1"/>
  <c r="E8" i="10"/>
  <c r="F8" i="10" s="1"/>
  <c r="E51" i="62" s="1"/>
  <c r="E6" i="10"/>
  <c r="F6" i="10" s="1"/>
  <c r="C51" i="62" s="1"/>
  <c r="E13" i="10"/>
  <c r="F13" i="10" s="1"/>
  <c r="J51" i="62" s="1"/>
  <c r="E11" i="10"/>
  <c r="F11" i="10" s="1"/>
  <c r="H51" i="62" s="1"/>
  <c r="E9" i="10"/>
  <c r="F9" i="10" s="1"/>
  <c r="F51" i="62" s="1"/>
  <c r="E7" i="10"/>
  <c r="F7" i="10" s="1"/>
  <c r="D51" i="62" s="1"/>
  <c r="E5" i="10"/>
  <c r="F105" i="27"/>
  <c r="E31" i="27"/>
  <c r="F31" i="27" s="1"/>
  <c r="AB34" i="62" s="1"/>
  <c r="E29" i="27"/>
  <c r="F29" i="27" s="1"/>
  <c r="Z34" i="62" s="1"/>
  <c r="E27" i="27"/>
  <c r="F27" i="27" s="1"/>
  <c r="X34" i="62" s="1"/>
  <c r="E25" i="27"/>
  <c r="F25" i="27" s="1"/>
  <c r="V34" i="62" s="1"/>
  <c r="E23" i="27"/>
  <c r="F23" i="27" s="1"/>
  <c r="T34" i="62" s="1"/>
  <c r="E21" i="27"/>
  <c r="F21" i="27" s="1"/>
  <c r="R34" i="62" s="1"/>
  <c r="E19" i="27"/>
  <c r="F19" i="27" s="1"/>
  <c r="P34" i="62" s="1"/>
  <c r="E17" i="27"/>
  <c r="F17" i="27" s="1"/>
  <c r="N34" i="62" s="1"/>
  <c r="E15" i="27"/>
  <c r="F15" i="27" s="1"/>
  <c r="L34" i="62" s="1"/>
  <c r="E13" i="27"/>
  <c r="F13" i="27" s="1"/>
  <c r="J34" i="62" s="1"/>
  <c r="E11" i="27"/>
  <c r="F11" i="27" s="1"/>
  <c r="H34" i="62" s="1"/>
  <c r="E9" i="27"/>
  <c r="F9" i="27" s="1"/>
  <c r="F34" i="62" s="1"/>
  <c r="E7" i="27"/>
  <c r="F7" i="27" s="1"/>
  <c r="D34" i="62" s="1"/>
  <c r="E5" i="27"/>
  <c r="E32" i="27"/>
  <c r="F32" i="27" s="1"/>
  <c r="AC34" i="62" s="1"/>
  <c r="E30" i="27"/>
  <c r="F30" i="27" s="1"/>
  <c r="AA34" i="62" s="1"/>
  <c r="E28" i="27"/>
  <c r="F28" i="27" s="1"/>
  <c r="Y34" i="62" s="1"/>
  <c r="E26" i="27"/>
  <c r="F26" i="27" s="1"/>
  <c r="W34" i="62" s="1"/>
  <c r="E24" i="27"/>
  <c r="F24" i="27" s="1"/>
  <c r="U34" i="62" s="1"/>
  <c r="E22" i="27"/>
  <c r="F22" i="27" s="1"/>
  <c r="S34" i="62" s="1"/>
  <c r="E20" i="27"/>
  <c r="F20" i="27" s="1"/>
  <c r="Q34" i="62" s="1"/>
  <c r="E18" i="27"/>
  <c r="F18" i="27" s="1"/>
  <c r="O34" i="62" s="1"/>
  <c r="E16" i="27"/>
  <c r="F16" i="27" s="1"/>
  <c r="M34" i="62" s="1"/>
  <c r="E14" i="27"/>
  <c r="F14" i="27" s="1"/>
  <c r="K34" i="62" s="1"/>
  <c r="E12" i="27"/>
  <c r="F12" i="27" s="1"/>
  <c r="I34" i="62" s="1"/>
  <c r="E10" i="27"/>
  <c r="F10" i="27" s="1"/>
  <c r="G34" i="62" s="1"/>
  <c r="E8" i="27"/>
  <c r="F8" i="27" s="1"/>
  <c r="E34" i="62" s="1"/>
  <c r="E6" i="27"/>
  <c r="F6" i="27" s="1"/>
  <c r="C34" i="62" s="1"/>
  <c r="E32" i="26"/>
  <c r="F32" i="26" s="1"/>
  <c r="AC35" i="62" s="1"/>
  <c r="E30" i="26"/>
  <c r="F30" i="26" s="1"/>
  <c r="AA35" i="62" s="1"/>
  <c r="E28" i="26"/>
  <c r="F28" i="26" s="1"/>
  <c r="Y35" i="62" s="1"/>
  <c r="E26" i="26"/>
  <c r="F26" i="26" s="1"/>
  <c r="W35" i="62" s="1"/>
  <c r="E24" i="26"/>
  <c r="F24" i="26" s="1"/>
  <c r="U35" i="62" s="1"/>
  <c r="E22" i="26"/>
  <c r="F22" i="26" s="1"/>
  <c r="S35" i="62" s="1"/>
  <c r="E20" i="26"/>
  <c r="F20" i="26" s="1"/>
  <c r="Q35" i="62" s="1"/>
  <c r="E18" i="26"/>
  <c r="F18" i="26" s="1"/>
  <c r="O35" i="62" s="1"/>
  <c r="E16" i="26"/>
  <c r="F16" i="26" s="1"/>
  <c r="M35" i="62" s="1"/>
  <c r="E14" i="26"/>
  <c r="F14" i="26" s="1"/>
  <c r="K35" i="62" s="1"/>
  <c r="E12" i="26"/>
  <c r="F12" i="26" s="1"/>
  <c r="I35" i="62" s="1"/>
  <c r="E10" i="26"/>
  <c r="F10" i="26" s="1"/>
  <c r="G35" i="62" s="1"/>
  <c r="E8" i="26"/>
  <c r="F8" i="26" s="1"/>
  <c r="E35" i="62" s="1"/>
  <c r="E6" i="26"/>
  <c r="F6" i="26" s="1"/>
  <c r="C35" i="62" s="1"/>
  <c r="F105" i="26"/>
  <c r="E31" i="26"/>
  <c r="F31" i="26" s="1"/>
  <c r="AB35" i="62" s="1"/>
  <c r="E29" i="26"/>
  <c r="F29" i="26" s="1"/>
  <c r="Z35" i="62" s="1"/>
  <c r="E27" i="26"/>
  <c r="F27" i="26" s="1"/>
  <c r="X35" i="62" s="1"/>
  <c r="E25" i="26"/>
  <c r="F25" i="26" s="1"/>
  <c r="V35" i="62" s="1"/>
  <c r="E23" i="26"/>
  <c r="F23" i="26" s="1"/>
  <c r="T35" i="62" s="1"/>
  <c r="E21" i="26"/>
  <c r="F21" i="26" s="1"/>
  <c r="R35" i="62" s="1"/>
  <c r="E19" i="26"/>
  <c r="F19" i="26" s="1"/>
  <c r="P35" i="62" s="1"/>
  <c r="E17" i="26"/>
  <c r="F17" i="26" s="1"/>
  <c r="N35" i="62" s="1"/>
  <c r="E15" i="26"/>
  <c r="F15" i="26" s="1"/>
  <c r="L35" i="62" s="1"/>
  <c r="E13" i="26"/>
  <c r="F13" i="26" s="1"/>
  <c r="J35" i="62" s="1"/>
  <c r="E11" i="26"/>
  <c r="F11" i="26" s="1"/>
  <c r="H35" i="62" s="1"/>
  <c r="E9" i="26"/>
  <c r="F9" i="26" s="1"/>
  <c r="F35" i="62" s="1"/>
  <c r="E7" i="26"/>
  <c r="F7" i="26" s="1"/>
  <c r="D35" i="62" s="1"/>
  <c r="E5" i="26"/>
  <c r="E32" i="40"/>
  <c r="F32" i="40" s="1"/>
  <c r="AC21" i="62" s="1"/>
  <c r="E30" i="40"/>
  <c r="F30" i="40" s="1"/>
  <c r="AA21" i="62" s="1"/>
  <c r="E28" i="40"/>
  <c r="F28" i="40" s="1"/>
  <c r="Y21" i="62" s="1"/>
  <c r="E26" i="40"/>
  <c r="F26" i="40" s="1"/>
  <c r="W21" i="62" s="1"/>
  <c r="E24" i="40"/>
  <c r="F24" i="40" s="1"/>
  <c r="U21" i="62" s="1"/>
  <c r="E22" i="40"/>
  <c r="F22" i="40" s="1"/>
  <c r="S21" i="62" s="1"/>
  <c r="E20" i="40"/>
  <c r="F20" i="40" s="1"/>
  <c r="Q21" i="62" s="1"/>
  <c r="E18" i="40"/>
  <c r="F18" i="40" s="1"/>
  <c r="O21" i="62" s="1"/>
  <c r="E16" i="40"/>
  <c r="F16" i="40" s="1"/>
  <c r="M21" i="62" s="1"/>
  <c r="E14" i="40"/>
  <c r="F14" i="40" s="1"/>
  <c r="K21" i="62" s="1"/>
  <c r="E12" i="40"/>
  <c r="F12" i="40" s="1"/>
  <c r="I21" i="62" s="1"/>
  <c r="E10" i="40"/>
  <c r="F10" i="40" s="1"/>
  <c r="G21" i="62" s="1"/>
  <c r="E8" i="40"/>
  <c r="F8" i="40" s="1"/>
  <c r="E21" i="62" s="1"/>
  <c r="E6" i="40"/>
  <c r="F6" i="40" s="1"/>
  <c r="C21" i="62" s="1"/>
  <c r="F105" i="40"/>
  <c r="E31" i="40"/>
  <c r="F31" i="40" s="1"/>
  <c r="AB21" i="62" s="1"/>
  <c r="E29" i="40"/>
  <c r="F29" i="40" s="1"/>
  <c r="Z21" i="62" s="1"/>
  <c r="E27" i="40"/>
  <c r="F27" i="40" s="1"/>
  <c r="X21" i="62" s="1"/>
  <c r="E25" i="40"/>
  <c r="F25" i="40" s="1"/>
  <c r="V21" i="62" s="1"/>
  <c r="E23" i="40"/>
  <c r="F23" i="40" s="1"/>
  <c r="T21" i="62" s="1"/>
  <c r="E21" i="40"/>
  <c r="F21" i="40" s="1"/>
  <c r="R21" i="62" s="1"/>
  <c r="E19" i="40"/>
  <c r="F19" i="40" s="1"/>
  <c r="P21" i="62" s="1"/>
  <c r="E17" i="40"/>
  <c r="F17" i="40" s="1"/>
  <c r="N21" i="62" s="1"/>
  <c r="E15" i="40"/>
  <c r="F15" i="40" s="1"/>
  <c r="L21" i="62" s="1"/>
  <c r="E13" i="40"/>
  <c r="F13" i="40" s="1"/>
  <c r="J21" i="62" s="1"/>
  <c r="E11" i="40"/>
  <c r="F11" i="40" s="1"/>
  <c r="H21" i="62" s="1"/>
  <c r="E9" i="40"/>
  <c r="F9" i="40" s="1"/>
  <c r="F21" i="62" s="1"/>
  <c r="E7" i="40"/>
  <c r="F7" i="40" s="1"/>
  <c r="D21" i="62" s="1"/>
  <c r="E5" i="40"/>
  <c r="E32" i="38"/>
  <c r="F32" i="38" s="1"/>
  <c r="AC23" i="62" s="1"/>
  <c r="E30" i="38"/>
  <c r="F30" i="38" s="1"/>
  <c r="AA23" i="62" s="1"/>
  <c r="E28" i="38"/>
  <c r="F28" i="38" s="1"/>
  <c r="Y23" i="62" s="1"/>
  <c r="E26" i="38"/>
  <c r="F26" i="38" s="1"/>
  <c r="W23" i="62" s="1"/>
  <c r="E24" i="38"/>
  <c r="F24" i="38" s="1"/>
  <c r="U23" i="62" s="1"/>
  <c r="E22" i="38"/>
  <c r="F22" i="38" s="1"/>
  <c r="S23" i="62" s="1"/>
  <c r="E20" i="38"/>
  <c r="F20" i="38" s="1"/>
  <c r="Q23" i="62" s="1"/>
  <c r="E18" i="38"/>
  <c r="F18" i="38" s="1"/>
  <c r="O23" i="62" s="1"/>
  <c r="E16" i="38"/>
  <c r="F16" i="38" s="1"/>
  <c r="M23" i="62" s="1"/>
  <c r="E14" i="38"/>
  <c r="F14" i="38" s="1"/>
  <c r="K23" i="62" s="1"/>
  <c r="E12" i="38"/>
  <c r="F12" i="38" s="1"/>
  <c r="I23" i="62" s="1"/>
  <c r="E10" i="38"/>
  <c r="F10" i="38" s="1"/>
  <c r="G23" i="62" s="1"/>
  <c r="E8" i="38"/>
  <c r="F8" i="38" s="1"/>
  <c r="E23" i="62" s="1"/>
  <c r="E6" i="38"/>
  <c r="F6" i="38" s="1"/>
  <c r="C23" i="62" s="1"/>
  <c r="F105" i="38"/>
  <c r="E31" i="38"/>
  <c r="F31" i="38" s="1"/>
  <c r="AB23" i="62" s="1"/>
  <c r="E29" i="38"/>
  <c r="F29" i="38" s="1"/>
  <c r="Z23" i="62" s="1"/>
  <c r="E27" i="38"/>
  <c r="F27" i="38" s="1"/>
  <c r="X23" i="62" s="1"/>
  <c r="E25" i="38"/>
  <c r="F25" i="38" s="1"/>
  <c r="V23" i="62" s="1"/>
  <c r="E23" i="38"/>
  <c r="F23" i="38" s="1"/>
  <c r="T23" i="62" s="1"/>
  <c r="E21" i="38"/>
  <c r="F21" i="38" s="1"/>
  <c r="R23" i="62" s="1"/>
  <c r="E19" i="38"/>
  <c r="F19" i="38" s="1"/>
  <c r="P23" i="62" s="1"/>
  <c r="E17" i="38"/>
  <c r="F17" i="38" s="1"/>
  <c r="N23" i="62" s="1"/>
  <c r="E15" i="38"/>
  <c r="F15" i="38" s="1"/>
  <c r="L23" i="62" s="1"/>
  <c r="E13" i="38"/>
  <c r="F13" i="38" s="1"/>
  <c r="J23" i="62" s="1"/>
  <c r="E11" i="38"/>
  <c r="F11" i="38" s="1"/>
  <c r="H23" i="62" s="1"/>
  <c r="E9" i="38"/>
  <c r="F9" i="38" s="1"/>
  <c r="F23" i="62" s="1"/>
  <c r="E7" i="38"/>
  <c r="F7" i="38" s="1"/>
  <c r="D23" i="62" s="1"/>
  <c r="E5" i="38"/>
  <c r="F105" i="48"/>
  <c r="E31" i="48"/>
  <c r="F31" i="48" s="1"/>
  <c r="AB13" i="62" s="1"/>
  <c r="E29" i="48"/>
  <c r="F29" i="48" s="1"/>
  <c r="Z13" i="62" s="1"/>
  <c r="E27" i="48"/>
  <c r="F27" i="48" s="1"/>
  <c r="X13" i="62" s="1"/>
  <c r="E25" i="48"/>
  <c r="F25" i="48" s="1"/>
  <c r="V13" i="62" s="1"/>
  <c r="E23" i="48"/>
  <c r="F23" i="48" s="1"/>
  <c r="T13" i="62" s="1"/>
  <c r="E21" i="48"/>
  <c r="F21" i="48" s="1"/>
  <c r="R13" i="62" s="1"/>
  <c r="E19" i="48"/>
  <c r="F19" i="48" s="1"/>
  <c r="P13" i="62" s="1"/>
  <c r="E17" i="48"/>
  <c r="F17" i="48" s="1"/>
  <c r="N13" i="62" s="1"/>
  <c r="E15" i="48"/>
  <c r="F15" i="48" s="1"/>
  <c r="L13" i="62" s="1"/>
  <c r="E13" i="48"/>
  <c r="F13" i="48" s="1"/>
  <c r="J13" i="62" s="1"/>
  <c r="E11" i="48"/>
  <c r="F11" i="48" s="1"/>
  <c r="H13" i="62" s="1"/>
  <c r="E9" i="48"/>
  <c r="F9" i="48" s="1"/>
  <c r="F13" i="62" s="1"/>
  <c r="E7" i="48"/>
  <c r="F7" i="48" s="1"/>
  <c r="D13" i="62" s="1"/>
  <c r="E5" i="48"/>
  <c r="E32" i="48"/>
  <c r="F32" i="48" s="1"/>
  <c r="AC13" i="62" s="1"/>
  <c r="E30" i="48"/>
  <c r="F30" i="48" s="1"/>
  <c r="AA13" i="62" s="1"/>
  <c r="E28" i="48"/>
  <c r="F28" i="48" s="1"/>
  <c r="Y13" i="62" s="1"/>
  <c r="E26" i="48"/>
  <c r="F26" i="48" s="1"/>
  <c r="W13" i="62" s="1"/>
  <c r="E24" i="48"/>
  <c r="F24" i="48" s="1"/>
  <c r="U13" i="62" s="1"/>
  <c r="E22" i="48"/>
  <c r="F22" i="48" s="1"/>
  <c r="S13" i="62" s="1"/>
  <c r="E20" i="48"/>
  <c r="F20" i="48" s="1"/>
  <c r="Q13" i="62" s="1"/>
  <c r="E18" i="48"/>
  <c r="F18" i="48" s="1"/>
  <c r="O13" i="62" s="1"/>
  <c r="E16" i="48"/>
  <c r="F16" i="48" s="1"/>
  <c r="M13" i="62" s="1"/>
  <c r="E14" i="48"/>
  <c r="F14" i="48" s="1"/>
  <c r="K13" i="62" s="1"/>
  <c r="E12" i="48"/>
  <c r="F12" i="48" s="1"/>
  <c r="I13" i="62" s="1"/>
  <c r="E10" i="48"/>
  <c r="F10" i="48" s="1"/>
  <c r="G13" i="62" s="1"/>
  <c r="E8" i="48"/>
  <c r="F8" i="48" s="1"/>
  <c r="E13" i="62" s="1"/>
  <c r="E6" i="48"/>
  <c r="F6" i="48" s="1"/>
  <c r="C13" i="62" s="1"/>
  <c r="E32" i="59"/>
  <c r="F32" i="59" s="1"/>
  <c r="AC59" i="62" s="1"/>
  <c r="E30" i="59"/>
  <c r="F30" i="59" s="1"/>
  <c r="AA59" i="62" s="1"/>
  <c r="E28" i="59"/>
  <c r="F28" i="59" s="1"/>
  <c r="Y59" i="62" s="1"/>
  <c r="E26" i="59"/>
  <c r="F26" i="59" s="1"/>
  <c r="W59" i="62" s="1"/>
  <c r="F105" i="59"/>
  <c r="E31" i="59"/>
  <c r="F31" i="59" s="1"/>
  <c r="AB59" i="62" s="1"/>
  <c r="E29" i="59"/>
  <c r="F29" i="59" s="1"/>
  <c r="Z59" i="62" s="1"/>
  <c r="E27" i="59"/>
  <c r="F27" i="59" s="1"/>
  <c r="X59" i="62" s="1"/>
  <c r="E25" i="59"/>
  <c r="F25" i="59" s="1"/>
  <c r="V59" i="62" s="1"/>
  <c r="E23" i="59"/>
  <c r="F23" i="59" s="1"/>
  <c r="T59" i="62" s="1"/>
  <c r="E21" i="59"/>
  <c r="F21" i="59" s="1"/>
  <c r="R59" i="62" s="1"/>
  <c r="E19" i="59"/>
  <c r="F19" i="59" s="1"/>
  <c r="P59" i="62" s="1"/>
  <c r="E17" i="59"/>
  <c r="F17" i="59" s="1"/>
  <c r="N59" i="62" s="1"/>
  <c r="E15" i="59"/>
  <c r="F15" i="59" s="1"/>
  <c r="L59" i="62" s="1"/>
  <c r="E13" i="59"/>
  <c r="F13" i="59" s="1"/>
  <c r="J59" i="62" s="1"/>
  <c r="E11" i="59"/>
  <c r="F11" i="59" s="1"/>
  <c r="H59" i="62" s="1"/>
  <c r="E9" i="59"/>
  <c r="F9" i="59" s="1"/>
  <c r="F59" i="62" s="1"/>
  <c r="E7" i="59"/>
  <c r="F7" i="59" s="1"/>
  <c r="D59" i="62" s="1"/>
  <c r="E5" i="59"/>
  <c r="E24" i="59"/>
  <c r="F24" i="59" s="1"/>
  <c r="U59" i="62" s="1"/>
  <c r="E22" i="59"/>
  <c r="F22" i="59" s="1"/>
  <c r="S59" i="62" s="1"/>
  <c r="E20" i="59"/>
  <c r="F20" i="59" s="1"/>
  <c r="Q59" i="62" s="1"/>
  <c r="E18" i="59"/>
  <c r="F18" i="59" s="1"/>
  <c r="O59" i="62" s="1"/>
  <c r="E16" i="59"/>
  <c r="F16" i="59" s="1"/>
  <c r="M59" i="62" s="1"/>
  <c r="E14" i="59"/>
  <c r="F14" i="59" s="1"/>
  <c r="K59" i="62" s="1"/>
  <c r="E12" i="59"/>
  <c r="F12" i="59" s="1"/>
  <c r="I59" i="62" s="1"/>
  <c r="E10" i="59"/>
  <c r="F10" i="59" s="1"/>
  <c r="G59" i="62" s="1"/>
  <c r="E8" i="59"/>
  <c r="F8" i="59" s="1"/>
  <c r="E59" i="62" s="1"/>
  <c r="E6" i="59"/>
  <c r="F6" i="59" s="1"/>
  <c r="C59" i="62" s="1"/>
  <c r="E32" i="5"/>
  <c r="F32" i="5" s="1"/>
  <c r="AC56" i="62" s="1"/>
  <c r="E30" i="5"/>
  <c r="F30" i="5" s="1"/>
  <c r="AA56" i="62" s="1"/>
  <c r="E28" i="5"/>
  <c r="F28" i="5" s="1"/>
  <c r="Y56" i="62" s="1"/>
  <c r="E26" i="5"/>
  <c r="F26" i="5" s="1"/>
  <c r="W56" i="62" s="1"/>
  <c r="E24" i="5"/>
  <c r="F24" i="5" s="1"/>
  <c r="U56" i="62" s="1"/>
  <c r="E22" i="5"/>
  <c r="F22" i="5" s="1"/>
  <c r="S56" i="62" s="1"/>
  <c r="E20" i="5"/>
  <c r="F20" i="5" s="1"/>
  <c r="Q56" i="62" s="1"/>
  <c r="E18" i="5"/>
  <c r="F18" i="5" s="1"/>
  <c r="O56" i="62" s="1"/>
  <c r="E16" i="5"/>
  <c r="F16" i="5" s="1"/>
  <c r="M56" i="62" s="1"/>
  <c r="E14" i="5"/>
  <c r="F14" i="5" s="1"/>
  <c r="K56" i="62" s="1"/>
  <c r="E12" i="5"/>
  <c r="F12" i="5" s="1"/>
  <c r="I56" i="62" s="1"/>
  <c r="E10" i="5"/>
  <c r="F10" i="5" s="1"/>
  <c r="G56" i="62" s="1"/>
  <c r="E8" i="5"/>
  <c r="F8" i="5" s="1"/>
  <c r="E56" i="62" s="1"/>
  <c r="E6" i="5"/>
  <c r="F6" i="5" s="1"/>
  <c r="C56" i="62" s="1"/>
  <c r="F105" i="5"/>
  <c r="E31" i="5"/>
  <c r="F31" i="5" s="1"/>
  <c r="AB56" i="62" s="1"/>
  <c r="E29" i="5"/>
  <c r="F29" i="5" s="1"/>
  <c r="Z56" i="62" s="1"/>
  <c r="E27" i="5"/>
  <c r="F27" i="5" s="1"/>
  <c r="X56" i="62" s="1"/>
  <c r="E25" i="5"/>
  <c r="F25" i="5" s="1"/>
  <c r="V56" i="62" s="1"/>
  <c r="E23" i="5"/>
  <c r="F23" i="5" s="1"/>
  <c r="T56" i="62" s="1"/>
  <c r="E21" i="5"/>
  <c r="F21" i="5" s="1"/>
  <c r="R56" i="62" s="1"/>
  <c r="E19" i="5"/>
  <c r="F19" i="5" s="1"/>
  <c r="P56" i="62" s="1"/>
  <c r="E17" i="5"/>
  <c r="F17" i="5" s="1"/>
  <c r="N56" i="62" s="1"/>
  <c r="E15" i="5"/>
  <c r="F15" i="5" s="1"/>
  <c r="L56" i="62" s="1"/>
  <c r="E13" i="5"/>
  <c r="F13" i="5" s="1"/>
  <c r="J56" i="62" s="1"/>
  <c r="E11" i="5"/>
  <c r="F11" i="5" s="1"/>
  <c r="H56" i="62" s="1"/>
  <c r="E9" i="5"/>
  <c r="F9" i="5" s="1"/>
  <c r="F56" i="62" s="1"/>
  <c r="E7" i="5"/>
  <c r="F7" i="5" s="1"/>
  <c r="D56" i="62" s="1"/>
  <c r="E5" i="5"/>
  <c r="F105" i="30"/>
  <c r="E32" i="30"/>
  <c r="F32" i="30" s="1"/>
  <c r="AC31" i="62" s="1"/>
  <c r="E30" i="30"/>
  <c r="F30" i="30" s="1"/>
  <c r="AA31" i="62" s="1"/>
  <c r="E28" i="30"/>
  <c r="F28" i="30" s="1"/>
  <c r="Y31" i="62" s="1"/>
  <c r="E26" i="30"/>
  <c r="F26" i="30" s="1"/>
  <c r="W31" i="62" s="1"/>
  <c r="E24" i="30"/>
  <c r="F24" i="30" s="1"/>
  <c r="U31" i="62" s="1"/>
  <c r="E22" i="30"/>
  <c r="F22" i="30" s="1"/>
  <c r="S31" i="62" s="1"/>
  <c r="E31" i="30"/>
  <c r="F31" i="30" s="1"/>
  <c r="AB31" i="62" s="1"/>
  <c r="E29" i="30"/>
  <c r="F29" i="30" s="1"/>
  <c r="Z31" i="62" s="1"/>
  <c r="E27" i="30"/>
  <c r="F27" i="30" s="1"/>
  <c r="X31" i="62" s="1"/>
  <c r="E25" i="30"/>
  <c r="F25" i="30" s="1"/>
  <c r="V31" i="62" s="1"/>
  <c r="E23" i="30"/>
  <c r="F23" i="30" s="1"/>
  <c r="T31" i="62" s="1"/>
  <c r="E21" i="30"/>
  <c r="F21" i="30" s="1"/>
  <c r="R31" i="62" s="1"/>
  <c r="E19" i="30"/>
  <c r="F19" i="30" s="1"/>
  <c r="P31" i="62" s="1"/>
  <c r="E17" i="30"/>
  <c r="F17" i="30" s="1"/>
  <c r="N31" i="62" s="1"/>
  <c r="E15" i="30"/>
  <c r="F15" i="30" s="1"/>
  <c r="L31" i="62" s="1"/>
  <c r="E13" i="30"/>
  <c r="F13" i="30" s="1"/>
  <c r="J31" i="62" s="1"/>
  <c r="E11" i="30"/>
  <c r="F11" i="30" s="1"/>
  <c r="H31" i="62" s="1"/>
  <c r="E9" i="30"/>
  <c r="F9" i="30" s="1"/>
  <c r="F31" i="62" s="1"/>
  <c r="E7" i="30"/>
  <c r="F7" i="30" s="1"/>
  <c r="D31" i="62" s="1"/>
  <c r="E5" i="30"/>
  <c r="E8" i="30"/>
  <c r="F8" i="30" s="1"/>
  <c r="E31" i="62" s="1"/>
  <c r="E16" i="30"/>
  <c r="F16" i="30" s="1"/>
  <c r="M31" i="62" s="1"/>
  <c r="E10" i="30"/>
  <c r="F10" i="30" s="1"/>
  <c r="G31" i="62" s="1"/>
  <c r="E18" i="30"/>
  <c r="F18" i="30" s="1"/>
  <c r="O31" i="62" s="1"/>
  <c r="E6" i="30"/>
  <c r="F6" i="30" s="1"/>
  <c r="C31" i="62" s="1"/>
  <c r="E12" i="30"/>
  <c r="F12" i="30" s="1"/>
  <c r="I31" i="62" s="1"/>
  <c r="E20" i="30"/>
  <c r="F20" i="30" s="1"/>
  <c r="Q31" i="62" s="1"/>
  <c r="E14" i="30"/>
  <c r="F14" i="30" s="1"/>
  <c r="K31" i="62" s="1"/>
  <c r="E32" i="47"/>
  <c r="F32" i="47" s="1"/>
  <c r="AC14" i="62" s="1"/>
  <c r="E30" i="47"/>
  <c r="F30" i="47" s="1"/>
  <c r="AA14" i="62" s="1"/>
  <c r="E28" i="47"/>
  <c r="F28" i="47" s="1"/>
  <c r="Y14" i="62" s="1"/>
  <c r="E26" i="47"/>
  <c r="F26" i="47" s="1"/>
  <c r="W14" i="62" s="1"/>
  <c r="E24" i="47"/>
  <c r="F24" i="47" s="1"/>
  <c r="U14" i="62" s="1"/>
  <c r="E22" i="47"/>
  <c r="F22" i="47" s="1"/>
  <c r="S14" i="62" s="1"/>
  <c r="E20" i="47"/>
  <c r="F20" i="47" s="1"/>
  <c r="Q14" i="62" s="1"/>
  <c r="E18" i="47"/>
  <c r="F18" i="47" s="1"/>
  <c r="O14" i="62" s="1"/>
  <c r="E16" i="47"/>
  <c r="F16" i="47" s="1"/>
  <c r="M14" i="62" s="1"/>
  <c r="E14" i="47"/>
  <c r="F14" i="47" s="1"/>
  <c r="K14" i="62" s="1"/>
  <c r="E12" i="47"/>
  <c r="F12" i="47" s="1"/>
  <c r="I14" i="62" s="1"/>
  <c r="E10" i="47"/>
  <c r="F10" i="47" s="1"/>
  <c r="G14" i="62" s="1"/>
  <c r="E8" i="47"/>
  <c r="F8" i="47" s="1"/>
  <c r="E14" i="62" s="1"/>
  <c r="E6" i="47"/>
  <c r="F6" i="47" s="1"/>
  <c r="C14" i="62" s="1"/>
  <c r="F105" i="47"/>
  <c r="E31" i="47"/>
  <c r="F31" i="47" s="1"/>
  <c r="AB14" i="62" s="1"/>
  <c r="E29" i="47"/>
  <c r="F29" i="47" s="1"/>
  <c r="Z14" i="62" s="1"/>
  <c r="E27" i="47"/>
  <c r="F27" i="47" s="1"/>
  <c r="X14" i="62" s="1"/>
  <c r="E25" i="47"/>
  <c r="F25" i="47" s="1"/>
  <c r="V14" i="62" s="1"/>
  <c r="E23" i="47"/>
  <c r="F23" i="47" s="1"/>
  <c r="T14" i="62" s="1"/>
  <c r="E21" i="47"/>
  <c r="F21" i="47" s="1"/>
  <c r="R14" i="62" s="1"/>
  <c r="E19" i="47"/>
  <c r="F19" i="47" s="1"/>
  <c r="P14" i="62" s="1"/>
  <c r="E17" i="47"/>
  <c r="F17" i="47" s="1"/>
  <c r="N14" i="62" s="1"/>
  <c r="E15" i="47"/>
  <c r="F15" i="47" s="1"/>
  <c r="L14" i="62" s="1"/>
  <c r="E13" i="47"/>
  <c r="F13" i="47" s="1"/>
  <c r="J14" i="62" s="1"/>
  <c r="E11" i="47"/>
  <c r="F11" i="47" s="1"/>
  <c r="H14" i="62" s="1"/>
  <c r="E9" i="47"/>
  <c r="F9" i="47" s="1"/>
  <c r="F14" i="62" s="1"/>
  <c r="E7" i="47"/>
  <c r="F7" i="47" s="1"/>
  <c r="D14" i="62" s="1"/>
  <c r="E5" i="47"/>
  <c r="E32" i="45"/>
  <c r="F32" i="45" s="1"/>
  <c r="AC16" i="62" s="1"/>
  <c r="E30" i="45"/>
  <c r="F30" i="45" s="1"/>
  <c r="AA16" i="62" s="1"/>
  <c r="E28" i="45"/>
  <c r="F28" i="45" s="1"/>
  <c r="Y16" i="62" s="1"/>
  <c r="E26" i="45"/>
  <c r="F26" i="45" s="1"/>
  <c r="W16" i="62" s="1"/>
  <c r="E24" i="45"/>
  <c r="F24" i="45" s="1"/>
  <c r="U16" i="62" s="1"/>
  <c r="E22" i="45"/>
  <c r="F22" i="45" s="1"/>
  <c r="S16" i="62" s="1"/>
  <c r="E20" i="45"/>
  <c r="F20" i="45" s="1"/>
  <c r="Q16" i="62" s="1"/>
  <c r="E18" i="45"/>
  <c r="F18" i="45" s="1"/>
  <c r="O16" i="62" s="1"/>
  <c r="E16" i="45"/>
  <c r="F16" i="45" s="1"/>
  <c r="M16" i="62" s="1"/>
  <c r="E14" i="45"/>
  <c r="F14" i="45" s="1"/>
  <c r="K16" i="62" s="1"/>
  <c r="E12" i="45"/>
  <c r="F12" i="45" s="1"/>
  <c r="I16" i="62" s="1"/>
  <c r="E10" i="45"/>
  <c r="F10" i="45" s="1"/>
  <c r="G16" i="62" s="1"/>
  <c r="E8" i="45"/>
  <c r="F8" i="45" s="1"/>
  <c r="E16" i="62" s="1"/>
  <c r="E6" i="45"/>
  <c r="F6" i="45" s="1"/>
  <c r="C16" i="62" s="1"/>
  <c r="F105" i="45"/>
  <c r="E31" i="45"/>
  <c r="F31" i="45" s="1"/>
  <c r="AB16" i="62" s="1"/>
  <c r="E29" i="45"/>
  <c r="F29" i="45" s="1"/>
  <c r="Z16" i="62" s="1"/>
  <c r="E27" i="45"/>
  <c r="F27" i="45" s="1"/>
  <c r="X16" i="62" s="1"/>
  <c r="E25" i="45"/>
  <c r="F25" i="45" s="1"/>
  <c r="V16" i="62" s="1"/>
  <c r="E23" i="45"/>
  <c r="F23" i="45" s="1"/>
  <c r="T16" i="62" s="1"/>
  <c r="E21" i="45"/>
  <c r="F21" i="45" s="1"/>
  <c r="R16" i="62" s="1"/>
  <c r="E19" i="45"/>
  <c r="F19" i="45" s="1"/>
  <c r="P16" i="62" s="1"/>
  <c r="E17" i="45"/>
  <c r="F17" i="45" s="1"/>
  <c r="N16" i="62" s="1"/>
  <c r="E15" i="45"/>
  <c r="F15" i="45" s="1"/>
  <c r="L16" i="62" s="1"/>
  <c r="E13" i="45"/>
  <c r="F13" i="45" s="1"/>
  <c r="J16" i="62" s="1"/>
  <c r="E11" i="45"/>
  <c r="F11" i="45" s="1"/>
  <c r="H16" i="62" s="1"/>
  <c r="E9" i="45"/>
  <c r="F9" i="45" s="1"/>
  <c r="F16" i="62" s="1"/>
  <c r="E7" i="45"/>
  <c r="F7" i="45" s="1"/>
  <c r="D16" i="62" s="1"/>
  <c r="E5" i="45"/>
  <c r="F105" i="18"/>
  <c r="E31" i="18"/>
  <c r="F31" i="18" s="1"/>
  <c r="AB43" i="62" s="1"/>
  <c r="E29" i="18"/>
  <c r="F29" i="18" s="1"/>
  <c r="Z43" i="62" s="1"/>
  <c r="E27" i="18"/>
  <c r="F27" i="18" s="1"/>
  <c r="X43" i="62" s="1"/>
  <c r="E25" i="18"/>
  <c r="F25" i="18" s="1"/>
  <c r="V43" i="62" s="1"/>
  <c r="E23" i="18"/>
  <c r="F23" i="18" s="1"/>
  <c r="T43" i="62" s="1"/>
  <c r="E21" i="18"/>
  <c r="F21" i="18" s="1"/>
  <c r="R43" i="62" s="1"/>
  <c r="E19" i="18"/>
  <c r="F19" i="18" s="1"/>
  <c r="P43" i="62" s="1"/>
  <c r="E17" i="18"/>
  <c r="F17" i="18" s="1"/>
  <c r="N43" i="62" s="1"/>
  <c r="E15" i="18"/>
  <c r="F15" i="18" s="1"/>
  <c r="L43" i="62" s="1"/>
  <c r="E13" i="18"/>
  <c r="F13" i="18" s="1"/>
  <c r="J43" i="62" s="1"/>
  <c r="E11" i="18"/>
  <c r="F11" i="18" s="1"/>
  <c r="H43" i="62" s="1"/>
  <c r="E9" i="18"/>
  <c r="F9" i="18" s="1"/>
  <c r="F43" i="62" s="1"/>
  <c r="E7" i="18"/>
  <c r="F7" i="18" s="1"/>
  <c r="D43" i="62" s="1"/>
  <c r="E5" i="18"/>
  <c r="E32" i="18"/>
  <c r="F32" i="18" s="1"/>
  <c r="AC43" i="62" s="1"/>
  <c r="E30" i="18"/>
  <c r="F30" i="18" s="1"/>
  <c r="AA43" i="62" s="1"/>
  <c r="E28" i="18"/>
  <c r="F28" i="18" s="1"/>
  <c r="Y43" i="62" s="1"/>
  <c r="E26" i="18"/>
  <c r="F26" i="18" s="1"/>
  <c r="W43" i="62" s="1"/>
  <c r="E24" i="18"/>
  <c r="F24" i="18" s="1"/>
  <c r="U43" i="62" s="1"/>
  <c r="E22" i="18"/>
  <c r="F22" i="18" s="1"/>
  <c r="S43" i="62" s="1"/>
  <c r="E20" i="18"/>
  <c r="F20" i="18" s="1"/>
  <c r="Q43" i="62" s="1"/>
  <c r="E18" i="18"/>
  <c r="F18" i="18" s="1"/>
  <c r="O43" i="62" s="1"/>
  <c r="E16" i="18"/>
  <c r="F16" i="18" s="1"/>
  <c r="M43" i="62" s="1"/>
  <c r="E14" i="18"/>
  <c r="F14" i="18" s="1"/>
  <c r="K43" i="62" s="1"/>
  <c r="E12" i="18"/>
  <c r="F12" i="18" s="1"/>
  <c r="I43" i="62" s="1"/>
  <c r="E10" i="18"/>
  <c r="F10" i="18" s="1"/>
  <c r="G43" i="62" s="1"/>
  <c r="E8" i="18"/>
  <c r="F8" i="18" s="1"/>
  <c r="E43" i="62" s="1"/>
  <c r="E6" i="18"/>
  <c r="F6" i="18" s="1"/>
  <c r="C43" i="62" s="1"/>
  <c r="F105" i="23"/>
  <c r="E31" i="23"/>
  <c r="F31" i="23" s="1"/>
  <c r="AB38" i="62" s="1"/>
  <c r="E29" i="23"/>
  <c r="F29" i="23" s="1"/>
  <c r="Z38" i="62" s="1"/>
  <c r="E27" i="23"/>
  <c r="F27" i="23" s="1"/>
  <c r="X38" i="62" s="1"/>
  <c r="E25" i="23"/>
  <c r="F25" i="23" s="1"/>
  <c r="V38" i="62" s="1"/>
  <c r="E23" i="23"/>
  <c r="F23" i="23" s="1"/>
  <c r="T38" i="62" s="1"/>
  <c r="E21" i="23"/>
  <c r="F21" i="23" s="1"/>
  <c r="R38" i="62" s="1"/>
  <c r="E19" i="23"/>
  <c r="F19" i="23" s="1"/>
  <c r="P38" i="62" s="1"/>
  <c r="E17" i="23"/>
  <c r="F17" i="23" s="1"/>
  <c r="N38" i="62" s="1"/>
  <c r="E15" i="23"/>
  <c r="F15" i="23" s="1"/>
  <c r="L38" i="62" s="1"/>
  <c r="E13" i="23"/>
  <c r="F13" i="23" s="1"/>
  <c r="J38" i="62" s="1"/>
  <c r="E11" i="23"/>
  <c r="F11" i="23" s="1"/>
  <c r="H38" i="62" s="1"/>
  <c r="E9" i="23"/>
  <c r="F9" i="23" s="1"/>
  <c r="F38" i="62" s="1"/>
  <c r="E7" i="23"/>
  <c r="F7" i="23" s="1"/>
  <c r="D38" i="62" s="1"/>
  <c r="E5" i="23"/>
  <c r="E32" i="23"/>
  <c r="F32" i="23" s="1"/>
  <c r="AC38" i="62" s="1"/>
  <c r="E30" i="23"/>
  <c r="F30" i="23" s="1"/>
  <c r="AA38" i="62" s="1"/>
  <c r="E28" i="23"/>
  <c r="F28" i="23" s="1"/>
  <c r="Y38" i="62" s="1"/>
  <c r="E26" i="23"/>
  <c r="F26" i="23" s="1"/>
  <c r="W38" i="62" s="1"/>
  <c r="E24" i="23"/>
  <c r="F24" i="23" s="1"/>
  <c r="U38" i="62" s="1"/>
  <c r="E22" i="23"/>
  <c r="F22" i="23" s="1"/>
  <c r="S38" i="62" s="1"/>
  <c r="E20" i="23"/>
  <c r="F20" i="23" s="1"/>
  <c r="Q38" i="62" s="1"/>
  <c r="E18" i="23"/>
  <c r="F18" i="23" s="1"/>
  <c r="O38" i="62" s="1"/>
  <c r="E16" i="23"/>
  <c r="F16" i="23" s="1"/>
  <c r="M38" i="62" s="1"/>
  <c r="E14" i="23"/>
  <c r="F14" i="23" s="1"/>
  <c r="K38" i="62" s="1"/>
  <c r="E12" i="23"/>
  <c r="F12" i="23" s="1"/>
  <c r="I38" i="62" s="1"/>
  <c r="E10" i="23"/>
  <c r="F10" i="23" s="1"/>
  <c r="G38" i="62" s="1"/>
  <c r="E8" i="23"/>
  <c r="F8" i="23" s="1"/>
  <c r="E38" i="62" s="1"/>
  <c r="E6" i="23"/>
  <c r="F6" i="23" s="1"/>
  <c r="C38" i="62" s="1"/>
  <c r="F105" i="33"/>
  <c r="E31" i="33"/>
  <c r="F31" i="33" s="1"/>
  <c r="AB28" i="62" s="1"/>
  <c r="E29" i="33"/>
  <c r="F29" i="33" s="1"/>
  <c r="Z28" i="62" s="1"/>
  <c r="E27" i="33"/>
  <c r="F27" i="33" s="1"/>
  <c r="X28" i="62" s="1"/>
  <c r="E25" i="33"/>
  <c r="F25" i="33" s="1"/>
  <c r="V28" i="62" s="1"/>
  <c r="E23" i="33"/>
  <c r="F23" i="33" s="1"/>
  <c r="T28" i="62" s="1"/>
  <c r="E21" i="33"/>
  <c r="F21" i="33" s="1"/>
  <c r="R28" i="62" s="1"/>
  <c r="E19" i="33"/>
  <c r="F19" i="33" s="1"/>
  <c r="P28" i="62" s="1"/>
  <c r="E17" i="33"/>
  <c r="F17" i="33" s="1"/>
  <c r="N28" i="62" s="1"/>
  <c r="E15" i="33"/>
  <c r="F15" i="33" s="1"/>
  <c r="L28" i="62" s="1"/>
  <c r="E13" i="33"/>
  <c r="F13" i="33" s="1"/>
  <c r="J28" i="62" s="1"/>
  <c r="E11" i="33"/>
  <c r="F11" i="33" s="1"/>
  <c r="H28" i="62" s="1"/>
  <c r="E9" i="33"/>
  <c r="F9" i="33" s="1"/>
  <c r="F28" i="62" s="1"/>
  <c r="E7" i="33"/>
  <c r="F7" i="33" s="1"/>
  <c r="D28" i="62" s="1"/>
  <c r="E5" i="33"/>
  <c r="E32" i="33"/>
  <c r="F32" i="33" s="1"/>
  <c r="AC28" i="62" s="1"/>
  <c r="E30" i="33"/>
  <c r="F30" i="33" s="1"/>
  <c r="AA28" i="62" s="1"/>
  <c r="E28" i="33"/>
  <c r="F28" i="33" s="1"/>
  <c r="Y28" i="62" s="1"/>
  <c r="E26" i="33"/>
  <c r="F26" i="33" s="1"/>
  <c r="W28" i="62" s="1"/>
  <c r="E24" i="33"/>
  <c r="F24" i="33" s="1"/>
  <c r="U28" i="62" s="1"/>
  <c r="E22" i="33"/>
  <c r="F22" i="33" s="1"/>
  <c r="S28" i="62" s="1"/>
  <c r="E20" i="33"/>
  <c r="F20" i="33" s="1"/>
  <c r="Q28" i="62" s="1"/>
  <c r="E18" i="33"/>
  <c r="F18" i="33" s="1"/>
  <c r="O28" i="62" s="1"/>
  <c r="E16" i="33"/>
  <c r="F16" i="33" s="1"/>
  <c r="M28" i="62" s="1"/>
  <c r="E14" i="33"/>
  <c r="F14" i="33" s="1"/>
  <c r="K28" i="62" s="1"/>
  <c r="E12" i="33"/>
  <c r="F12" i="33" s="1"/>
  <c r="I28" i="62" s="1"/>
  <c r="E10" i="33"/>
  <c r="F10" i="33" s="1"/>
  <c r="G28" i="62" s="1"/>
  <c r="E8" i="33"/>
  <c r="F8" i="33" s="1"/>
  <c r="E28" i="62" s="1"/>
  <c r="E6" i="33"/>
  <c r="F6" i="33" s="1"/>
  <c r="C28" i="62" s="1"/>
  <c r="F105" i="35"/>
  <c r="E31" i="35"/>
  <c r="F31" i="35" s="1"/>
  <c r="AB26" i="62" s="1"/>
  <c r="E29" i="35"/>
  <c r="F29" i="35" s="1"/>
  <c r="Z26" i="62" s="1"/>
  <c r="E27" i="35"/>
  <c r="F27" i="35" s="1"/>
  <c r="X26" i="62" s="1"/>
  <c r="E25" i="35"/>
  <c r="F25" i="35" s="1"/>
  <c r="V26" i="62" s="1"/>
  <c r="E23" i="35"/>
  <c r="F23" i="35" s="1"/>
  <c r="T26" i="62" s="1"/>
  <c r="E21" i="35"/>
  <c r="F21" i="35" s="1"/>
  <c r="R26" i="62" s="1"/>
  <c r="E19" i="35"/>
  <c r="F19" i="35" s="1"/>
  <c r="P26" i="62" s="1"/>
  <c r="E17" i="35"/>
  <c r="F17" i="35" s="1"/>
  <c r="N26" i="62" s="1"/>
  <c r="E15" i="35"/>
  <c r="F15" i="35" s="1"/>
  <c r="L26" i="62" s="1"/>
  <c r="E13" i="35"/>
  <c r="F13" i="35" s="1"/>
  <c r="J26" i="62" s="1"/>
  <c r="E11" i="35"/>
  <c r="F11" i="35" s="1"/>
  <c r="H26" i="62" s="1"/>
  <c r="E9" i="35"/>
  <c r="F9" i="35" s="1"/>
  <c r="F26" i="62" s="1"/>
  <c r="E7" i="35"/>
  <c r="F7" i="35" s="1"/>
  <c r="D26" i="62" s="1"/>
  <c r="E5" i="35"/>
  <c r="E32" i="35"/>
  <c r="F32" i="35" s="1"/>
  <c r="AC26" i="62" s="1"/>
  <c r="E30" i="35"/>
  <c r="F30" i="35" s="1"/>
  <c r="AA26" i="62" s="1"/>
  <c r="E28" i="35"/>
  <c r="F28" i="35" s="1"/>
  <c r="Y26" i="62" s="1"/>
  <c r="E26" i="35"/>
  <c r="F26" i="35" s="1"/>
  <c r="W26" i="62" s="1"/>
  <c r="E24" i="35"/>
  <c r="F24" i="35" s="1"/>
  <c r="U26" i="62" s="1"/>
  <c r="E22" i="35"/>
  <c r="F22" i="35" s="1"/>
  <c r="S26" i="62" s="1"/>
  <c r="E20" i="35"/>
  <c r="F20" i="35" s="1"/>
  <c r="Q26" i="62" s="1"/>
  <c r="E18" i="35"/>
  <c r="F18" i="35" s="1"/>
  <c r="O26" i="62" s="1"/>
  <c r="E16" i="35"/>
  <c r="F16" i="35" s="1"/>
  <c r="M26" i="62" s="1"/>
  <c r="E14" i="35"/>
  <c r="F14" i="35" s="1"/>
  <c r="K26" i="62" s="1"/>
  <c r="E12" i="35"/>
  <c r="F12" i="35" s="1"/>
  <c r="I26" i="62" s="1"/>
  <c r="E10" i="35"/>
  <c r="F10" i="35" s="1"/>
  <c r="G26" i="62" s="1"/>
  <c r="E8" i="35"/>
  <c r="F8" i="35" s="1"/>
  <c r="E26" i="62" s="1"/>
  <c r="E6" i="35"/>
  <c r="F6" i="35" s="1"/>
  <c r="C26" i="62" s="1"/>
  <c r="F105" i="37"/>
  <c r="E31" i="37"/>
  <c r="F31" i="37" s="1"/>
  <c r="AB24" i="62" s="1"/>
  <c r="E29" i="37"/>
  <c r="F29" i="37" s="1"/>
  <c r="Z24" i="62" s="1"/>
  <c r="E27" i="37"/>
  <c r="F27" i="37" s="1"/>
  <c r="X24" i="62" s="1"/>
  <c r="E25" i="37"/>
  <c r="F25" i="37" s="1"/>
  <c r="V24" i="62" s="1"/>
  <c r="E23" i="37"/>
  <c r="F23" i="37" s="1"/>
  <c r="T24" i="62" s="1"/>
  <c r="E21" i="37"/>
  <c r="F21" i="37" s="1"/>
  <c r="R24" i="62" s="1"/>
  <c r="E19" i="37"/>
  <c r="F19" i="37" s="1"/>
  <c r="P24" i="62" s="1"/>
  <c r="E17" i="37"/>
  <c r="F17" i="37" s="1"/>
  <c r="N24" i="62" s="1"/>
  <c r="E15" i="37"/>
  <c r="F15" i="37" s="1"/>
  <c r="L24" i="62" s="1"/>
  <c r="E13" i="37"/>
  <c r="F13" i="37" s="1"/>
  <c r="J24" i="62" s="1"/>
  <c r="E11" i="37"/>
  <c r="F11" i="37" s="1"/>
  <c r="H24" i="62" s="1"/>
  <c r="E9" i="37"/>
  <c r="F9" i="37" s="1"/>
  <c r="F24" i="62" s="1"/>
  <c r="E7" i="37"/>
  <c r="F7" i="37" s="1"/>
  <c r="D24" i="62" s="1"/>
  <c r="E5" i="37"/>
  <c r="E32" i="37"/>
  <c r="F32" i="37" s="1"/>
  <c r="AC24" i="62" s="1"/>
  <c r="E30" i="37"/>
  <c r="F30" i="37" s="1"/>
  <c r="AA24" i="62" s="1"/>
  <c r="E28" i="37"/>
  <c r="F28" i="37" s="1"/>
  <c r="Y24" i="62" s="1"/>
  <c r="E26" i="37"/>
  <c r="F26" i="37" s="1"/>
  <c r="W24" i="62" s="1"/>
  <c r="E24" i="37"/>
  <c r="F24" i="37" s="1"/>
  <c r="U24" i="62" s="1"/>
  <c r="E22" i="37"/>
  <c r="F22" i="37" s="1"/>
  <c r="S24" i="62" s="1"/>
  <c r="E20" i="37"/>
  <c r="F20" i="37" s="1"/>
  <c r="Q24" i="62" s="1"/>
  <c r="E18" i="37"/>
  <c r="F18" i="37" s="1"/>
  <c r="O24" i="62" s="1"/>
  <c r="E16" i="37"/>
  <c r="F16" i="37" s="1"/>
  <c r="M24" i="62" s="1"/>
  <c r="E14" i="37"/>
  <c r="F14" i="37" s="1"/>
  <c r="K24" i="62" s="1"/>
  <c r="E12" i="37"/>
  <c r="F12" i="37" s="1"/>
  <c r="I24" i="62" s="1"/>
  <c r="E10" i="37"/>
  <c r="F10" i="37" s="1"/>
  <c r="G24" i="62" s="1"/>
  <c r="E8" i="37"/>
  <c r="F8" i="37" s="1"/>
  <c r="E24" i="62" s="1"/>
  <c r="E6" i="37"/>
  <c r="F6" i="37" s="1"/>
  <c r="C24" i="62" s="1"/>
  <c r="F105" i="39"/>
  <c r="E31" i="39"/>
  <c r="F31" i="39" s="1"/>
  <c r="AB22" i="62" s="1"/>
  <c r="E29" i="39"/>
  <c r="F29" i="39" s="1"/>
  <c r="Z22" i="62" s="1"/>
  <c r="E27" i="39"/>
  <c r="F27" i="39" s="1"/>
  <c r="X22" i="62" s="1"/>
  <c r="E25" i="39"/>
  <c r="F25" i="39" s="1"/>
  <c r="V22" i="62" s="1"/>
  <c r="E23" i="39"/>
  <c r="F23" i="39" s="1"/>
  <c r="T22" i="62" s="1"/>
  <c r="E21" i="39"/>
  <c r="F21" i="39" s="1"/>
  <c r="R22" i="62" s="1"/>
  <c r="E19" i="39"/>
  <c r="F19" i="39" s="1"/>
  <c r="P22" i="62" s="1"/>
  <c r="E17" i="39"/>
  <c r="F17" i="39" s="1"/>
  <c r="N22" i="62" s="1"/>
  <c r="E15" i="39"/>
  <c r="F15" i="39" s="1"/>
  <c r="L22" i="62" s="1"/>
  <c r="E13" i="39"/>
  <c r="F13" i="39" s="1"/>
  <c r="J22" i="62" s="1"/>
  <c r="E11" i="39"/>
  <c r="F11" i="39" s="1"/>
  <c r="H22" i="62" s="1"/>
  <c r="E9" i="39"/>
  <c r="F9" i="39" s="1"/>
  <c r="F22" i="62" s="1"/>
  <c r="E7" i="39"/>
  <c r="F7" i="39" s="1"/>
  <c r="D22" i="62" s="1"/>
  <c r="E5" i="39"/>
  <c r="E32" i="39"/>
  <c r="F32" i="39" s="1"/>
  <c r="AC22" i="62" s="1"/>
  <c r="E30" i="39"/>
  <c r="F30" i="39" s="1"/>
  <c r="AA22" i="62" s="1"/>
  <c r="E28" i="39"/>
  <c r="F28" i="39" s="1"/>
  <c r="Y22" i="62" s="1"/>
  <c r="E26" i="39"/>
  <c r="F26" i="39" s="1"/>
  <c r="W22" i="62" s="1"/>
  <c r="E24" i="39"/>
  <c r="F24" i="39" s="1"/>
  <c r="U22" i="62" s="1"/>
  <c r="E22" i="39"/>
  <c r="F22" i="39" s="1"/>
  <c r="S22" i="62" s="1"/>
  <c r="E20" i="39"/>
  <c r="F20" i="39" s="1"/>
  <c r="Q22" i="62" s="1"/>
  <c r="E18" i="39"/>
  <c r="F18" i="39" s="1"/>
  <c r="O22" i="62" s="1"/>
  <c r="E16" i="39"/>
  <c r="F16" i="39" s="1"/>
  <c r="M22" i="62" s="1"/>
  <c r="E14" i="39"/>
  <c r="F14" i="39" s="1"/>
  <c r="K22" i="62" s="1"/>
  <c r="E12" i="39"/>
  <c r="F12" i="39" s="1"/>
  <c r="I22" i="62" s="1"/>
  <c r="E10" i="39"/>
  <c r="F10" i="39" s="1"/>
  <c r="G22" i="62" s="1"/>
  <c r="E8" i="39"/>
  <c r="F8" i="39" s="1"/>
  <c r="E22" i="62" s="1"/>
  <c r="E6" i="39"/>
  <c r="F6" i="39" s="1"/>
  <c r="C22" i="62" s="1"/>
  <c r="F105" i="41"/>
  <c r="E31" i="41"/>
  <c r="F31" i="41" s="1"/>
  <c r="AB20" i="62" s="1"/>
  <c r="E29" i="41"/>
  <c r="F29" i="41" s="1"/>
  <c r="Z20" i="62" s="1"/>
  <c r="E27" i="41"/>
  <c r="F27" i="41" s="1"/>
  <c r="X20" i="62" s="1"/>
  <c r="E25" i="41"/>
  <c r="F25" i="41" s="1"/>
  <c r="V20" i="62" s="1"/>
  <c r="E23" i="41"/>
  <c r="F23" i="41" s="1"/>
  <c r="T20" i="62" s="1"/>
  <c r="E21" i="41"/>
  <c r="F21" i="41" s="1"/>
  <c r="R20" i="62" s="1"/>
  <c r="E19" i="41"/>
  <c r="F19" i="41" s="1"/>
  <c r="P20" i="62" s="1"/>
  <c r="E17" i="41"/>
  <c r="F17" i="41" s="1"/>
  <c r="N20" i="62" s="1"/>
  <c r="E15" i="41"/>
  <c r="F15" i="41" s="1"/>
  <c r="L20" i="62" s="1"/>
  <c r="E13" i="41"/>
  <c r="F13" i="41" s="1"/>
  <c r="J20" i="62" s="1"/>
  <c r="E11" i="41"/>
  <c r="F11" i="41" s="1"/>
  <c r="H20" i="62" s="1"/>
  <c r="E9" i="41"/>
  <c r="F9" i="41" s="1"/>
  <c r="F20" i="62" s="1"/>
  <c r="E7" i="41"/>
  <c r="F7" i="41" s="1"/>
  <c r="D20" i="62" s="1"/>
  <c r="E5" i="41"/>
  <c r="E32" i="41"/>
  <c r="F32" i="41" s="1"/>
  <c r="AC20" i="62" s="1"/>
  <c r="E30" i="41"/>
  <c r="F30" i="41" s="1"/>
  <c r="AA20" i="62" s="1"/>
  <c r="E28" i="41"/>
  <c r="F28" i="41" s="1"/>
  <c r="Y20" i="62" s="1"/>
  <c r="E26" i="41"/>
  <c r="F26" i="41" s="1"/>
  <c r="W20" i="62" s="1"/>
  <c r="E24" i="41"/>
  <c r="F24" i="41" s="1"/>
  <c r="U20" i="62" s="1"/>
  <c r="E22" i="41"/>
  <c r="F22" i="41" s="1"/>
  <c r="S20" i="62" s="1"/>
  <c r="E20" i="41"/>
  <c r="F20" i="41" s="1"/>
  <c r="Q20" i="62" s="1"/>
  <c r="E18" i="41"/>
  <c r="F18" i="41" s="1"/>
  <c r="O20" i="62" s="1"/>
  <c r="E16" i="41"/>
  <c r="F16" i="41" s="1"/>
  <c r="M20" i="62" s="1"/>
  <c r="E14" i="41"/>
  <c r="F14" i="41" s="1"/>
  <c r="K20" i="62" s="1"/>
  <c r="E12" i="41"/>
  <c r="F12" i="41" s="1"/>
  <c r="I20" i="62" s="1"/>
  <c r="E10" i="41"/>
  <c r="F10" i="41" s="1"/>
  <c r="G20" i="62" s="1"/>
  <c r="E8" i="41"/>
  <c r="F8" i="41" s="1"/>
  <c r="E20" i="62" s="1"/>
  <c r="E6" i="41"/>
  <c r="F6" i="41" s="1"/>
  <c r="C20" i="62" s="1"/>
  <c r="F105" i="43"/>
  <c r="E31" i="43"/>
  <c r="F31" i="43" s="1"/>
  <c r="AB18" i="62" s="1"/>
  <c r="E29" i="43"/>
  <c r="F29" i="43" s="1"/>
  <c r="Z18" i="62" s="1"/>
  <c r="E27" i="43"/>
  <c r="F27" i="43" s="1"/>
  <c r="X18" i="62" s="1"/>
  <c r="E25" i="43"/>
  <c r="F25" i="43" s="1"/>
  <c r="V18" i="62" s="1"/>
  <c r="E23" i="43"/>
  <c r="F23" i="43" s="1"/>
  <c r="T18" i="62" s="1"/>
  <c r="E21" i="43"/>
  <c r="F21" i="43" s="1"/>
  <c r="R18" i="62" s="1"/>
  <c r="E19" i="43"/>
  <c r="F19" i="43" s="1"/>
  <c r="P18" i="62" s="1"/>
  <c r="E17" i="43"/>
  <c r="F17" i="43" s="1"/>
  <c r="N18" i="62" s="1"/>
  <c r="E15" i="43"/>
  <c r="F15" i="43" s="1"/>
  <c r="L18" i="62" s="1"/>
  <c r="E13" i="43"/>
  <c r="F13" i="43" s="1"/>
  <c r="J18" i="62" s="1"/>
  <c r="E11" i="43"/>
  <c r="F11" i="43" s="1"/>
  <c r="H18" i="62" s="1"/>
  <c r="E9" i="43"/>
  <c r="F9" i="43" s="1"/>
  <c r="F18" i="62" s="1"/>
  <c r="E7" i="43"/>
  <c r="F7" i="43" s="1"/>
  <c r="D18" i="62" s="1"/>
  <c r="E5" i="43"/>
  <c r="E32" i="43"/>
  <c r="F32" i="43" s="1"/>
  <c r="AC18" i="62" s="1"/>
  <c r="E30" i="43"/>
  <c r="F30" i="43" s="1"/>
  <c r="AA18" i="62" s="1"/>
  <c r="E28" i="43"/>
  <c r="F28" i="43" s="1"/>
  <c r="Y18" i="62" s="1"/>
  <c r="E26" i="43"/>
  <c r="F26" i="43" s="1"/>
  <c r="W18" i="62" s="1"/>
  <c r="E24" i="43"/>
  <c r="F24" i="43" s="1"/>
  <c r="U18" i="62" s="1"/>
  <c r="E22" i="43"/>
  <c r="F22" i="43" s="1"/>
  <c r="S18" i="62" s="1"/>
  <c r="E20" i="43"/>
  <c r="F20" i="43" s="1"/>
  <c r="Q18" i="62" s="1"/>
  <c r="E18" i="43"/>
  <c r="F18" i="43" s="1"/>
  <c r="O18" i="62" s="1"/>
  <c r="E16" i="43"/>
  <c r="F16" i="43" s="1"/>
  <c r="M18" i="62" s="1"/>
  <c r="E14" i="43"/>
  <c r="F14" i="43" s="1"/>
  <c r="K18" i="62" s="1"/>
  <c r="E12" i="43"/>
  <c r="F12" i="43" s="1"/>
  <c r="I18" i="62" s="1"/>
  <c r="E10" i="43"/>
  <c r="F10" i="43" s="1"/>
  <c r="G18" i="62" s="1"/>
  <c r="E8" i="43"/>
  <c r="F8" i="43" s="1"/>
  <c r="E18" i="62" s="1"/>
  <c r="E6" i="43"/>
  <c r="F6" i="43" s="1"/>
  <c r="C18" i="62" s="1"/>
  <c r="F105" i="54"/>
  <c r="E31" i="54"/>
  <c r="F31" i="54" s="1"/>
  <c r="AB7" i="62" s="1"/>
  <c r="E29" i="54"/>
  <c r="F29" i="54" s="1"/>
  <c r="Z7" i="62" s="1"/>
  <c r="E27" i="54"/>
  <c r="F27" i="54" s="1"/>
  <c r="X7" i="62" s="1"/>
  <c r="E25" i="54"/>
  <c r="F25" i="54" s="1"/>
  <c r="V7" i="62" s="1"/>
  <c r="E23" i="54"/>
  <c r="F23" i="54" s="1"/>
  <c r="T7" i="62" s="1"/>
  <c r="E21" i="54"/>
  <c r="F21" i="54" s="1"/>
  <c r="R7" i="62" s="1"/>
  <c r="E19" i="54"/>
  <c r="F19" i="54" s="1"/>
  <c r="P7" i="62" s="1"/>
  <c r="E17" i="54"/>
  <c r="F17" i="54" s="1"/>
  <c r="N7" i="62" s="1"/>
  <c r="E15" i="54"/>
  <c r="F15" i="54" s="1"/>
  <c r="L7" i="62" s="1"/>
  <c r="E13" i="54"/>
  <c r="F13" i="54" s="1"/>
  <c r="J7" i="62" s="1"/>
  <c r="E11" i="54"/>
  <c r="F11" i="54" s="1"/>
  <c r="H7" i="62" s="1"/>
  <c r="E9" i="54"/>
  <c r="F9" i="54" s="1"/>
  <c r="F7" i="62" s="1"/>
  <c r="E7" i="54"/>
  <c r="F7" i="54" s="1"/>
  <c r="D7" i="62" s="1"/>
  <c r="E5" i="54"/>
  <c r="E32" i="54"/>
  <c r="F32" i="54" s="1"/>
  <c r="AC7" i="62" s="1"/>
  <c r="E30" i="54"/>
  <c r="F30" i="54" s="1"/>
  <c r="AA7" i="62" s="1"/>
  <c r="E28" i="54"/>
  <c r="F28" i="54" s="1"/>
  <c r="Y7" i="62" s="1"/>
  <c r="E26" i="54"/>
  <c r="F26" i="54" s="1"/>
  <c r="W7" i="62" s="1"/>
  <c r="E24" i="54"/>
  <c r="F24" i="54" s="1"/>
  <c r="U7" i="62" s="1"/>
  <c r="E22" i="54"/>
  <c r="F22" i="54" s="1"/>
  <c r="S7" i="62" s="1"/>
  <c r="E20" i="54"/>
  <c r="F20" i="54" s="1"/>
  <c r="Q7" i="62" s="1"/>
  <c r="E18" i="54"/>
  <c r="F18" i="54" s="1"/>
  <c r="O7" i="62" s="1"/>
  <c r="E16" i="54"/>
  <c r="F16" i="54" s="1"/>
  <c r="M7" i="62" s="1"/>
  <c r="E14" i="54"/>
  <c r="F14" i="54" s="1"/>
  <c r="K7" i="62" s="1"/>
  <c r="E12" i="54"/>
  <c r="F12" i="54" s="1"/>
  <c r="I7" i="62" s="1"/>
  <c r="E10" i="54"/>
  <c r="F10" i="54" s="1"/>
  <c r="G7" i="62" s="1"/>
  <c r="E8" i="54"/>
  <c r="F8" i="54" s="1"/>
  <c r="E7" i="62" s="1"/>
  <c r="E6" i="54"/>
  <c r="F6" i="54" s="1"/>
  <c r="C7" i="62" s="1"/>
  <c r="E32" i="49"/>
  <c r="F32" i="49" s="1"/>
  <c r="AC12" i="62" s="1"/>
  <c r="E30" i="49"/>
  <c r="F30" i="49" s="1"/>
  <c r="AA12" i="62" s="1"/>
  <c r="E28" i="49"/>
  <c r="F28" i="49" s="1"/>
  <c r="Y12" i="62" s="1"/>
  <c r="E26" i="49"/>
  <c r="F26" i="49" s="1"/>
  <c r="W12" i="62" s="1"/>
  <c r="E24" i="49"/>
  <c r="F24" i="49" s="1"/>
  <c r="U12" i="62" s="1"/>
  <c r="E22" i="49"/>
  <c r="F22" i="49" s="1"/>
  <c r="S12" i="62" s="1"/>
  <c r="E20" i="49"/>
  <c r="F20" i="49" s="1"/>
  <c r="Q12" i="62" s="1"/>
  <c r="E18" i="49"/>
  <c r="F18" i="49" s="1"/>
  <c r="O12" i="62" s="1"/>
  <c r="E16" i="49"/>
  <c r="F16" i="49" s="1"/>
  <c r="M12" i="62" s="1"/>
  <c r="E14" i="49"/>
  <c r="F14" i="49" s="1"/>
  <c r="K12" i="62" s="1"/>
  <c r="E12" i="49"/>
  <c r="F12" i="49" s="1"/>
  <c r="I12" i="62" s="1"/>
  <c r="E10" i="49"/>
  <c r="F10" i="49" s="1"/>
  <c r="G12" i="62" s="1"/>
  <c r="E8" i="49"/>
  <c r="F8" i="49" s="1"/>
  <c r="E12" i="62" s="1"/>
  <c r="E6" i="49"/>
  <c r="F6" i="49" s="1"/>
  <c r="C12" i="62" s="1"/>
  <c r="F105" i="49"/>
  <c r="E31" i="49"/>
  <c r="F31" i="49" s="1"/>
  <c r="AB12" i="62" s="1"/>
  <c r="E29" i="49"/>
  <c r="F29" i="49" s="1"/>
  <c r="Z12" i="62" s="1"/>
  <c r="E27" i="49"/>
  <c r="F27" i="49" s="1"/>
  <c r="X12" i="62" s="1"/>
  <c r="E25" i="49"/>
  <c r="F25" i="49" s="1"/>
  <c r="V12" i="62" s="1"/>
  <c r="E23" i="49"/>
  <c r="F23" i="49" s="1"/>
  <c r="T12" i="62" s="1"/>
  <c r="E21" i="49"/>
  <c r="F21" i="49" s="1"/>
  <c r="R12" i="62" s="1"/>
  <c r="E19" i="49"/>
  <c r="F19" i="49" s="1"/>
  <c r="P12" i="62" s="1"/>
  <c r="E17" i="49"/>
  <c r="F17" i="49" s="1"/>
  <c r="N12" i="62" s="1"/>
  <c r="E15" i="49"/>
  <c r="F15" i="49" s="1"/>
  <c r="L12" i="62" s="1"/>
  <c r="E13" i="49"/>
  <c r="F13" i="49" s="1"/>
  <c r="J12" i="62" s="1"/>
  <c r="E11" i="49"/>
  <c r="F11" i="49" s="1"/>
  <c r="H12" i="62" s="1"/>
  <c r="E9" i="49"/>
  <c r="F9" i="49" s="1"/>
  <c r="F12" i="62" s="1"/>
  <c r="E7" i="49"/>
  <c r="F7" i="49" s="1"/>
  <c r="D12" i="62" s="1"/>
  <c r="E5" i="49"/>
  <c r="F105" i="1"/>
  <c r="E31" i="1"/>
  <c r="F31" i="1" s="1"/>
  <c r="AB60" i="62" s="1"/>
  <c r="E29" i="1"/>
  <c r="F29" i="1" s="1"/>
  <c r="Z60" i="62" s="1"/>
  <c r="E27" i="1"/>
  <c r="F27" i="1" s="1"/>
  <c r="X60" i="62" s="1"/>
  <c r="E25" i="1"/>
  <c r="F25" i="1" s="1"/>
  <c r="V60" i="62" s="1"/>
  <c r="E32" i="1"/>
  <c r="F32" i="1" s="1"/>
  <c r="AC60" i="62" s="1"/>
  <c r="E30" i="1"/>
  <c r="F30" i="1" s="1"/>
  <c r="AA60" i="62" s="1"/>
  <c r="E28" i="1"/>
  <c r="F28" i="1" s="1"/>
  <c r="Y60" i="62" s="1"/>
  <c r="E26" i="1"/>
  <c r="F26" i="1" s="1"/>
  <c r="W60" i="62" s="1"/>
  <c r="E24" i="1"/>
  <c r="F24" i="1" s="1"/>
  <c r="U60" i="62" s="1"/>
  <c r="E22" i="1"/>
  <c r="F22" i="1" s="1"/>
  <c r="S60" i="62" s="1"/>
  <c r="E20" i="1"/>
  <c r="F20" i="1" s="1"/>
  <c r="Q60" i="62" s="1"/>
  <c r="E18" i="1"/>
  <c r="F18" i="1" s="1"/>
  <c r="O60" i="62" s="1"/>
  <c r="E16" i="1"/>
  <c r="F16" i="1" s="1"/>
  <c r="M60" i="62" s="1"/>
  <c r="E14" i="1"/>
  <c r="F14" i="1" s="1"/>
  <c r="K60" i="62" s="1"/>
  <c r="E12" i="1"/>
  <c r="F12" i="1" s="1"/>
  <c r="I60" i="62" s="1"/>
  <c r="E10" i="1"/>
  <c r="F10" i="1" s="1"/>
  <c r="G60" i="62" s="1"/>
  <c r="E8" i="1"/>
  <c r="F8" i="1" s="1"/>
  <c r="E60" i="62" s="1"/>
  <c r="E6" i="1"/>
  <c r="F6" i="1" s="1"/>
  <c r="C60" i="62" s="1"/>
  <c r="E23" i="1"/>
  <c r="F23" i="1" s="1"/>
  <c r="T60" i="62" s="1"/>
  <c r="E21" i="1"/>
  <c r="F21" i="1" s="1"/>
  <c r="R60" i="62" s="1"/>
  <c r="E19" i="1"/>
  <c r="F19" i="1" s="1"/>
  <c r="P60" i="62" s="1"/>
  <c r="E17" i="1"/>
  <c r="F17" i="1" s="1"/>
  <c r="N60" i="62" s="1"/>
  <c r="E15" i="1"/>
  <c r="F15" i="1" s="1"/>
  <c r="L60" i="62" s="1"/>
  <c r="E13" i="1"/>
  <c r="F13" i="1" s="1"/>
  <c r="J60" i="62" s="1"/>
  <c r="E11" i="1"/>
  <c r="F11" i="1" s="1"/>
  <c r="H60" i="62" s="1"/>
  <c r="E9" i="1"/>
  <c r="F9" i="1" s="1"/>
  <c r="F60" i="62" s="1"/>
  <c r="E7" i="1"/>
  <c r="F7" i="1" s="1"/>
  <c r="D60" i="62" s="1"/>
  <c r="E5" i="1"/>
  <c r="F105" i="4"/>
  <c r="E31" i="4"/>
  <c r="F31" i="4" s="1"/>
  <c r="AB57" i="62" s="1"/>
  <c r="E29" i="4"/>
  <c r="F29" i="4" s="1"/>
  <c r="Z57" i="62" s="1"/>
  <c r="E27" i="4"/>
  <c r="F27" i="4" s="1"/>
  <c r="X57" i="62" s="1"/>
  <c r="E25" i="4"/>
  <c r="F25" i="4" s="1"/>
  <c r="V57" i="62" s="1"/>
  <c r="E23" i="4"/>
  <c r="F23" i="4" s="1"/>
  <c r="T57" i="62" s="1"/>
  <c r="E21" i="4"/>
  <c r="F21" i="4" s="1"/>
  <c r="R57" i="62" s="1"/>
  <c r="E19" i="4"/>
  <c r="F19" i="4" s="1"/>
  <c r="P57" i="62" s="1"/>
  <c r="E32" i="4"/>
  <c r="F32" i="4" s="1"/>
  <c r="AC57" i="62" s="1"/>
  <c r="E30" i="4"/>
  <c r="F30" i="4" s="1"/>
  <c r="AA57" i="62" s="1"/>
  <c r="E28" i="4"/>
  <c r="F28" i="4" s="1"/>
  <c r="Y57" i="62" s="1"/>
  <c r="E26" i="4"/>
  <c r="F26" i="4" s="1"/>
  <c r="W57" i="62" s="1"/>
  <c r="E24" i="4"/>
  <c r="F24" i="4" s="1"/>
  <c r="U57" i="62" s="1"/>
  <c r="E22" i="4"/>
  <c r="F22" i="4" s="1"/>
  <c r="S57" i="62" s="1"/>
  <c r="E20" i="4"/>
  <c r="F20" i="4" s="1"/>
  <c r="Q57" i="62" s="1"/>
  <c r="E17" i="4"/>
  <c r="F17" i="4" s="1"/>
  <c r="N57" i="62" s="1"/>
  <c r="E15" i="4"/>
  <c r="F15" i="4" s="1"/>
  <c r="L57" i="62" s="1"/>
  <c r="E13" i="4"/>
  <c r="F13" i="4" s="1"/>
  <c r="J57" i="62" s="1"/>
  <c r="E11" i="4"/>
  <c r="F11" i="4" s="1"/>
  <c r="H57" i="62" s="1"/>
  <c r="E9" i="4"/>
  <c r="F9" i="4" s="1"/>
  <c r="F57" i="62" s="1"/>
  <c r="E7" i="4"/>
  <c r="F7" i="4" s="1"/>
  <c r="D57" i="62" s="1"/>
  <c r="E5" i="4"/>
  <c r="E18" i="4"/>
  <c r="F18" i="4" s="1"/>
  <c r="O57" i="62" s="1"/>
  <c r="E16" i="4"/>
  <c r="F16" i="4" s="1"/>
  <c r="M57" i="62" s="1"/>
  <c r="E14" i="4"/>
  <c r="F14" i="4" s="1"/>
  <c r="K57" i="62" s="1"/>
  <c r="E12" i="4"/>
  <c r="F12" i="4" s="1"/>
  <c r="I57" i="62" s="1"/>
  <c r="E10" i="4"/>
  <c r="F10" i="4" s="1"/>
  <c r="G57" i="62" s="1"/>
  <c r="E8" i="4"/>
  <c r="F8" i="4" s="1"/>
  <c r="E57" i="62" s="1"/>
  <c r="E6" i="4"/>
  <c r="F6" i="4" s="1"/>
  <c r="C57" i="62" s="1"/>
  <c r="E32" i="9"/>
  <c r="F32" i="9" s="1"/>
  <c r="AC52" i="62" s="1"/>
  <c r="E30" i="9"/>
  <c r="F30" i="9" s="1"/>
  <c r="AA52" i="62" s="1"/>
  <c r="E28" i="9"/>
  <c r="F28" i="9" s="1"/>
  <c r="Y52" i="62" s="1"/>
  <c r="E26" i="9"/>
  <c r="F26" i="9" s="1"/>
  <c r="W52" i="62" s="1"/>
  <c r="E24" i="9"/>
  <c r="F24" i="9" s="1"/>
  <c r="U52" i="62" s="1"/>
  <c r="E22" i="9"/>
  <c r="F22" i="9" s="1"/>
  <c r="S52" i="62" s="1"/>
  <c r="E20" i="9"/>
  <c r="F20" i="9" s="1"/>
  <c r="Q52" i="62" s="1"/>
  <c r="E18" i="9"/>
  <c r="F18" i="9" s="1"/>
  <c r="O52" i="62" s="1"/>
  <c r="E16" i="9"/>
  <c r="F16" i="9" s="1"/>
  <c r="M52" i="62" s="1"/>
  <c r="E14" i="9"/>
  <c r="F14" i="9" s="1"/>
  <c r="K52" i="62" s="1"/>
  <c r="E12" i="9"/>
  <c r="F12" i="9" s="1"/>
  <c r="I52" i="62" s="1"/>
  <c r="E10" i="9"/>
  <c r="F10" i="9" s="1"/>
  <c r="G52" i="62" s="1"/>
  <c r="E8" i="9"/>
  <c r="F8" i="9" s="1"/>
  <c r="E52" i="62" s="1"/>
  <c r="E6" i="9"/>
  <c r="F6" i="9" s="1"/>
  <c r="C52" i="62" s="1"/>
  <c r="F105" i="9"/>
  <c r="E31" i="9"/>
  <c r="F31" i="9" s="1"/>
  <c r="AB52" i="62" s="1"/>
  <c r="E29" i="9"/>
  <c r="F29" i="9" s="1"/>
  <c r="Z52" i="62" s="1"/>
  <c r="E27" i="9"/>
  <c r="F27" i="9" s="1"/>
  <c r="X52" i="62" s="1"/>
  <c r="E25" i="9"/>
  <c r="F25" i="9" s="1"/>
  <c r="V52" i="62" s="1"/>
  <c r="E23" i="9"/>
  <c r="F23" i="9" s="1"/>
  <c r="T52" i="62" s="1"/>
  <c r="E21" i="9"/>
  <c r="F21" i="9" s="1"/>
  <c r="R52" i="62" s="1"/>
  <c r="E19" i="9"/>
  <c r="F19" i="9" s="1"/>
  <c r="P52" i="62" s="1"/>
  <c r="E17" i="9"/>
  <c r="F17" i="9" s="1"/>
  <c r="N52" i="62" s="1"/>
  <c r="E15" i="9"/>
  <c r="F15" i="9" s="1"/>
  <c r="L52" i="62" s="1"/>
  <c r="E13" i="9"/>
  <c r="F13" i="9" s="1"/>
  <c r="J52" i="62" s="1"/>
  <c r="E11" i="9"/>
  <c r="F11" i="9" s="1"/>
  <c r="H52" i="62" s="1"/>
  <c r="E9" i="9"/>
  <c r="F9" i="9" s="1"/>
  <c r="F52" i="62" s="1"/>
  <c r="E7" i="9"/>
  <c r="F7" i="9" s="1"/>
  <c r="D52" i="62" s="1"/>
  <c r="E5" i="9"/>
  <c r="F105" i="14"/>
  <c r="E31" i="14"/>
  <c r="F31" i="14" s="1"/>
  <c r="AB47" i="62" s="1"/>
  <c r="E29" i="14"/>
  <c r="F29" i="14" s="1"/>
  <c r="Z47" i="62" s="1"/>
  <c r="E27" i="14"/>
  <c r="F27" i="14" s="1"/>
  <c r="X47" i="62" s="1"/>
  <c r="E25" i="14"/>
  <c r="F25" i="14" s="1"/>
  <c r="V47" i="62" s="1"/>
  <c r="E23" i="14"/>
  <c r="F23" i="14" s="1"/>
  <c r="T47" i="62" s="1"/>
  <c r="E21" i="14"/>
  <c r="F21" i="14" s="1"/>
  <c r="R47" i="62" s="1"/>
  <c r="E19" i="14"/>
  <c r="F19" i="14" s="1"/>
  <c r="P47" i="62" s="1"/>
  <c r="E17" i="14"/>
  <c r="F17" i="14" s="1"/>
  <c r="N47" i="62" s="1"/>
  <c r="E15" i="14"/>
  <c r="F15" i="14" s="1"/>
  <c r="L47" i="62" s="1"/>
  <c r="E13" i="14"/>
  <c r="F13" i="14" s="1"/>
  <c r="J47" i="62" s="1"/>
  <c r="E11" i="14"/>
  <c r="F11" i="14" s="1"/>
  <c r="H47" i="62" s="1"/>
  <c r="E9" i="14"/>
  <c r="F9" i="14" s="1"/>
  <c r="F47" i="62" s="1"/>
  <c r="E7" i="14"/>
  <c r="F7" i="14" s="1"/>
  <c r="D47" i="62" s="1"/>
  <c r="E5" i="14"/>
  <c r="E32" i="14"/>
  <c r="F32" i="14" s="1"/>
  <c r="AC47" i="62" s="1"/>
  <c r="E30" i="14"/>
  <c r="F30" i="14" s="1"/>
  <c r="AA47" i="62" s="1"/>
  <c r="E28" i="14"/>
  <c r="F28" i="14" s="1"/>
  <c r="Y47" i="62" s="1"/>
  <c r="E26" i="14"/>
  <c r="F26" i="14" s="1"/>
  <c r="W47" i="62" s="1"/>
  <c r="E24" i="14"/>
  <c r="F24" i="14" s="1"/>
  <c r="U47" i="62" s="1"/>
  <c r="E22" i="14"/>
  <c r="F22" i="14" s="1"/>
  <c r="S47" i="62" s="1"/>
  <c r="E20" i="14"/>
  <c r="F20" i="14" s="1"/>
  <c r="Q47" i="62" s="1"/>
  <c r="E18" i="14"/>
  <c r="F18" i="14" s="1"/>
  <c r="O47" i="62" s="1"/>
  <c r="E16" i="14"/>
  <c r="F16" i="14" s="1"/>
  <c r="M47" i="62" s="1"/>
  <c r="E14" i="14"/>
  <c r="F14" i="14" s="1"/>
  <c r="K47" i="62" s="1"/>
  <c r="E12" i="14"/>
  <c r="F12" i="14" s="1"/>
  <c r="I47" i="62" s="1"/>
  <c r="E10" i="14"/>
  <c r="F10" i="14" s="1"/>
  <c r="G47" i="62" s="1"/>
  <c r="E8" i="14"/>
  <c r="F8" i="14" s="1"/>
  <c r="E47" i="62" s="1"/>
  <c r="E6" i="14"/>
  <c r="F6" i="14" s="1"/>
  <c r="C47" i="62" s="1"/>
  <c r="F105" i="25"/>
  <c r="E31" i="25"/>
  <c r="F31" i="25" s="1"/>
  <c r="AB36" i="62" s="1"/>
  <c r="E29" i="25"/>
  <c r="F29" i="25" s="1"/>
  <c r="Z36" i="62" s="1"/>
  <c r="E27" i="25"/>
  <c r="F27" i="25" s="1"/>
  <c r="X36" i="62" s="1"/>
  <c r="E25" i="25"/>
  <c r="F25" i="25" s="1"/>
  <c r="V36" i="62" s="1"/>
  <c r="E23" i="25"/>
  <c r="F23" i="25" s="1"/>
  <c r="T36" i="62" s="1"/>
  <c r="E21" i="25"/>
  <c r="F21" i="25" s="1"/>
  <c r="R36" i="62" s="1"/>
  <c r="E19" i="25"/>
  <c r="F19" i="25" s="1"/>
  <c r="P36" i="62" s="1"/>
  <c r="E17" i="25"/>
  <c r="F17" i="25" s="1"/>
  <c r="N36" i="62" s="1"/>
  <c r="E15" i="25"/>
  <c r="F15" i="25" s="1"/>
  <c r="L36" i="62" s="1"/>
  <c r="E13" i="25"/>
  <c r="F13" i="25" s="1"/>
  <c r="J36" i="62" s="1"/>
  <c r="E11" i="25"/>
  <c r="F11" i="25" s="1"/>
  <c r="H36" i="62" s="1"/>
  <c r="E9" i="25"/>
  <c r="F9" i="25" s="1"/>
  <c r="F36" i="62" s="1"/>
  <c r="E7" i="25"/>
  <c r="F7" i="25" s="1"/>
  <c r="D36" i="62" s="1"/>
  <c r="E5" i="25"/>
  <c r="E32" i="25"/>
  <c r="F32" i="25" s="1"/>
  <c r="AC36" i="62" s="1"/>
  <c r="E30" i="25"/>
  <c r="F30" i="25" s="1"/>
  <c r="AA36" i="62" s="1"/>
  <c r="E28" i="25"/>
  <c r="F28" i="25" s="1"/>
  <c r="Y36" i="62" s="1"/>
  <c r="E26" i="25"/>
  <c r="F26" i="25" s="1"/>
  <c r="W36" i="62" s="1"/>
  <c r="E24" i="25"/>
  <c r="F24" i="25" s="1"/>
  <c r="U36" i="62" s="1"/>
  <c r="E22" i="25"/>
  <c r="F22" i="25" s="1"/>
  <c r="S36" i="62" s="1"/>
  <c r="E20" i="25"/>
  <c r="F20" i="25" s="1"/>
  <c r="Q36" i="62" s="1"/>
  <c r="E18" i="25"/>
  <c r="F18" i="25" s="1"/>
  <c r="O36" i="62" s="1"/>
  <c r="E16" i="25"/>
  <c r="F16" i="25" s="1"/>
  <c r="M36" i="62" s="1"/>
  <c r="E14" i="25"/>
  <c r="F14" i="25" s="1"/>
  <c r="K36" i="62" s="1"/>
  <c r="E12" i="25"/>
  <c r="F12" i="25" s="1"/>
  <c r="I36" i="62" s="1"/>
  <c r="E10" i="25"/>
  <c r="F10" i="25" s="1"/>
  <c r="G36" i="62" s="1"/>
  <c r="E8" i="25"/>
  <c r="F8" i="25" s="1"/>
  <c r="E36" i="62" s="1"/>
  <c r="E6" i="25"/>
  <c r="F6" i="25" s="1"/>
  <c r="C36" i="62" s="1"/>
  <c r="F105" i="29"/>
  <c r="E31" i="29"/>
  <c r="F31" i="29" s="1"/>
  <c r="AB32" i="62" s="1"/>
  <c r="E29" i="29"/>
  <c r="F29" i="29" s="1"/>
  <c r="Z32" i="62" s="1"/>
  <c r="E27" i="29"/>
  <c r="F27" i="29" s="1"/>
  <c r="X32" i="62" s="1"/>
  <c r="E25" i="29"/>
  <c r="F25" i="29" s="1"/>
  <c r="V32" i="62" s="1"/>
  <c r="E23" i="29"/>
  <c r="F23" i="29" s="1"/>
  <c r="T32" i="62" s="1"/>
  <c r="E21" i="29"/>
  <c r="F21" i="29" s="1"/>
  <c r="R32" i="62" s="1"/>
  <c r="E19" i="29"/>
  <c r="F19" i="29" s="1"/>
  <c r="P32" i="62" s="1"/>
  <c r="E17" i="29"/>
  <c r="F17" i="29" s="1"/>
  <c r="N32" i="62" s="1"/>
  <c r="E32" i="29"/>
  <c r="F32" i="29" s="1"/>
  <c r="AC32" i="62" s="1"/>
  <c r="E30" i="29"/>
  <c r="F30" i="29" s="1"/>
  <c r="AA32" i="62" s="1"/>
  <c r="E28" i="29"/>
  <c r="F28" i="29" s="1"/>
  <c r="Y32" i="62" s="1"/>
  <c r="E26" i="29"/>
  <c r="F26" i="29" s="1"/>
  <c r="W32" i="62" s="1"/>
  <c r="E24" i="29"/>
  <c r="F24" i="29" s="1"/>
  <c r="U32" i="62" s="1"/>
  <c r="E22" i="29"/>
  <c r="F22" i="29" s="1"/>
  <c r="S32" i="62" s="1"/>
  <c r="E20" i="29"/>
  <c r="F20" i="29" s="1"/>
  <c r="Q32" i="62" s="1"/>
  <c r="E18" i="29"/>
  <c r="F18" i="29" s="1"/>
  <c r="O32" i="62" s="1"/>
  <c r="E16" i="29"/>
  <c r="F16" i="29" s="1"/>
  <c r="M32" i="62" s="1"/>
  <c r="E14" i="29"/>
  <c r="F14" i="29" s="1"/>
  <c r="K32" i="62" s="1"/>
  <c r="E12" i="29"/>
  <c r="F12" i="29" s="1"/>
  <c r="I32" i="62" s="1"/>
  <c r="E10" i="29"/>
  <c r="F10" i="29" s="1"/>
  <c r="G32" i="62" s="1"/>
  <c r="E8" i="29"/>
  <c r="F8" i="29" s="1"/>
  <c r="E32" i="62" s="1"/>
  <c r="E6" i="29"/>
  <c r="F6" i="29" s="1"/>
  <c r="C32" i="62" s="1"/>
  <c r="E13" i="29"/>
  <c r="F13" i="29" s="1"/>
  <c r="J32" i="62" s="1"/>
  <c r="E9" i="29"/>
  <c r="F9" i="29" s="1"/>
  <c r="F32" i="62" s="1"/>
  <c r="E5" i="29"/>
  <c r="E15" i="29"/>
  <c r="F15" i="29" s="1"/>
  <c r="L32" i="62" s="1"/>
  <c r="E11" i="29"/>
  <c r="F11" i="29" s="1"/>
  <c r="H32" i="62" s="1"/>
  <c r="E7" i="29"/>
  <c r="F7" i="29" s="1"/>
  <c r="D32" i="62" s="1"/>
  <c r="E32" i="53"/>
  <c r="F32" i="53" s="1"/>
  <c r="AC8" i="62" s="1"/>
  <c r="E30" i="53"/>
  <c r="F30" i="53" s="1"/>
  <c r="AA8" i="62" s="1"/>
  <c r="E28" i="53"/>
  <c r="F28" i="53" s="1"/>
  <c r="Y8" i="62" s="1"/>
  <c r="E26" i="53"/>
  <c r="F26" i="53" s="1"/>
  <c r="W8" i="62" s="1"/>
  <c r="E24" i="53"/>
  <c r="F24" i="53" s="1"/>
  <c r="U8" i="62" s="1"/>
  <c r="E22" i="53"/>
  <c r="F22" i="53" s="1"/>
  <c r="S8" i="62" s="1"/>
  <c r="E20" i="53"/>
  <c r="F20" i="53" s="1"/>
  <c r="Q8" i="62" s="1"/>
  <c r="E18" i="53"/>
  <c r="F18" i="53" s="1"/>
  <c r="O8" i="62" s="1"/>
  <c r="E16" i="53"/>
  <c r="F16" i="53" s="1"/>
  <c r="M8" i="62" s="1"/>
  <c r="E14" i="53"/>
  <c r="F14" i="53" s="1"/>
  <c r="K8" i="62" s="1"/>
  <c r="E12" i="53"/>
  <c r="F12" i="53" s="1"/>
  <c r="I8" i="62" s="1"/>
  <c r="E10" i="53"/>
  <c r="F10" i="53" s="1"/>
  <c r="G8" i="62" s="1"/>
  <c r="E8" i="53"/>
  <c r="F8" i="53" s="1"/>
  <c r="E8" i="62" s="1"/>
  <c r="E6" i="53"/>
  <c r="F6" i="53" s="1"/>
  <c r="C8" i="62" s="1"/>
  <c r="F105" i="53"/>
  <c r="E31" i="53"/>
  <c r="F31" i="53" s="1"/>
  <c r="AB8" i="62" s="1"/>
  <c r="E29" i="53"/>
  <c r="F29" i="53" s="1"/>
  <c r="Z8" i="62" s="1"/>
  <c r="E27" i="53"/>
  <c r="F27" i="53" s="1"/>
  <c r="X8" i="62" s="1"/>
  <c r="E25" i="53"/>
  <c r="F25" i="53" s="1"/>
  <c r="V8" i="62" s="1"/>
  <c r="E23" i="53"/>
  <c r="F23" i="53" s="1"/>
  <c r="T8" i="62" s="1"/>
  <c r="E21" i="53"/>
  <c r="F21" i="53" s="1"/>
  <c r="R8" i="62" s="1"/>
  <c r="E19" i="53"/>
  <c r="F19" i="53" s="1"/>
  <c r="P8" i="62" s="1"/>
  <c r="E17" i="53"/>
  <c r="F17" i="53" s="1"/>
  <c r="N8" i="62" s="1"/>
  <c r="E15" i="53"/>
  <c r="F15" i="53" s="1"/>
  <c r="L8" i="62" s="1"/>
  <c r="E13" i="53"/>
  <c r="F13" i="53" s="1"/>
  <c r="J8" i="62" s="1"/>
  <c r="E11" i="53"/>
  <c r="F11" i="53" s="1"/>
  <c r="H8" i="62" s="1"/>
  <c r="E9" i="53"/>
  <c r="F9" i="53" s="1"/>
  <c r="F8" i="62" s="1"/>
  <c r="E7" i="53"/>
  <c r="F7" i="53" s="1"/>
  <c r="D8" i="62" s="1"/>
  <c r="E5" i="53"/>
  <c r="E32" i="57"/>
  <c r="F32" i="57" s="1"/>
  <c r="AC4" i="62" s="1"/>
  <c r="E30" i="57"/>
  <c r="F30" i="57" s="1"/>
  <c r="AA4" i="62" s="1"/>
  <c r="E28" i="57"/>
  <c r="F28" i="57" s="1"/>
  <c r="Y4" i="62" s="1"/>
  <c r="E26" i="57"/>
  <c r="F26" i="57" s="1"/>
  <c r="W4" i="62" s="1"/>
  <c r="E24" i="57"/>
  <c r="F24" i="57" s="1"/>
  <c r="U4" i="62" s="1"/>
  <c r="E22" i="57"/>
  <c r="F22" i="57" s="1"/>
  <c r="S4" i="62" s="1"/>
  <c r="E20" i="57"/>
  <c r="F20" i="57" s="1"/>
  <c r="Q4" i="62" s="1"/>
  <c r="E18" i="57"/>
  <c r="F18" i="57" s="1"/>
  <c r="O4" i="62" s="1"/>
  <c r="E16" i="57"/>
  <c r="F16" i="57" s="1"/>
  <c r="M4" i="62" s="1"/>
  <c r="E14" i="57"/>
  <c r="F14" i="57" s="1"/>
  <c r="K4" i="62" s="1"/>
  <c r="E12" i="57"/>
  <c r="F12" i="57" s="1"/>
  <c r="I4" i="62" s="1"/>
  <c r="E10" i="57"/>
  <c r="F10" i="57" s="1"/>
  <c r="G4" i="62" s="1"/>
  <c r="E8" i="57"/>
  <c r="F8" i="57" s="1"/>
  <c r="E4" i="62" s="1"/>
  <c r="E6" i="57"/>
  <c r="F6" i="57" s="1"/>
  <c r="C4" i="62" s="1"/>
  <c r="F105" i="57"/>
  <c r="E31" i="57"/>
  <c r="F31" i="57" s="1"/>
  <c r="AB4" i="62" s="1"/>
  <c r="E29" i="57"/>
  <c r="F29" i="57" s="1"/>
  <c r="Z4" i="62" s="1"/>
  <c r="E27" i="57"/>
  <c r="F27" i="57" s="1"/>
  <c r="X4" i="62" s="1"/>
  <c r="E25" i="57"/>
  <c r="F25" i="57" s="1"/>
  <c r="V4" i="62" s="1"/>
  <c r="E23" i="57"/>
  <c r="F23" i="57" s="1"/>
  <c r="T4" i="62" s="1"/>
  <c r="E21" i="57"/>
  <c r="F21" i="57" s="1"/>
  <c r="R4" i="62" s="1"/>
  <c r="E19" i="57"/>
  <c r="F19" i="57" s="1"/>
  <c r="P4" i="62" s="1"/>
  <c r="E17" i="57"/>
  <c r="F17" i="57" s="1"/>
  <c r="N4" i="62" s="1"/>
  <c r="E15" i="57"/>
  <c r="F15" i="57" s="1"/>
  <c r="L4" i="62" s="1"/>
  <c r="E13" i="57"/>
  <c r="F13" i="57" s="1"/>
  <c r="J4" i="62" s="1"/>
  <c r="E11" i="57"/>
  <c r="F11" i="57" s="1"/>
  <c r="H4" i="62" s="1"/>
  <c r="E9" i="57"/>
  <c r="F9" i="57" s="1"/>
  <c r="F4" i="62" s="1"/>
  <c r="E7" i="57"/>
  <c r="F7" i="57" s="1"/>
  <c r="D4" i="62" s="1"/>
  <c r="E5" i="57"/>
  <c r="E32" i="3"/>
  <c r="F32" i="3" s="1"/>
  <c r="AC58" i="62" s="1"/>
  <c r="E30" i="3"/>
  <c r="F30" i="3" s="1"/>
  <c r="AA58" i="62" s="1"/>
  <c r="E28" i="3"/>
  <c r="F28" i="3" s="1"/>
  <c r="Y58" i="62" s="1"/>
  <c r="E26" i="3"/>
  <c r="F26" i="3" s="1"/>
  <c r="W58" i="62" s="1"/>
  <c r="E24" i="3"/>
  <c r="F24" i="3" s="1"/>
  <c r="U58" i="62" s="1"/>
  <c r="E22" i="3"/>
  <c r="F22" i="3" s="1"/>
  <c r="S58" i="62" s="1"/>
  <c r="E20" i="3"/>
  <c r="F20" i="3" s="1"/>
  <c r="Q58" i="62" s="1"/>
  <c r="E18" i="3"/>
  <c r="F18" i="3" s="1"/>
  <c r="O58" i="62" s="1"/>
  <c r="E16" i="3"/>
  <c r="F16" i="3" s="1"/>
  <c r="M58" i="62" s="1"/>
  <c r="E14" i="3"/>
  <c r="F14" i="3" s="1"/>
  <c r="K58" i="62" s="1"/>
  <c r="E12" i="3"/>
  <c r="F12" i="3" s="1"/>
  <c r="I58" i="62" s="1"/>
  <c r="E10" i="3"/>
  <c r="F10" i="3" s="1"/>
  <c r="G58" i="62" s="1"/>
  <c r="E8" i="3"/>
  <c r="F8" i="3" s="1"/>
  <c r="E58" i="62" s="1"/>
  <c r="E6" i="3"/>
  <c r="F6" i="3" s="1"/>
  <c r="C58" i="62" s="1"/>
  <c r="F105" i="3"/>
  <c r="E31" i="3"/>
  <c r="F31" i="3" s="1"/>
  <c r="AB58" i="62" s="1"/>
  <c r="E29" i="3"/>
  <c r="F29" i="3" s="1"/>
  <c r="Z58" i="62" s="1"/>
  <c r="E27" i="3"/>
  <c r="F27" i="3" s="1"/>
  <c r="X58" i="62" s="1"/>
  <c r="E25" i="3"/>
  <c r="F25" i="3" s="1"/>
  <c r="V58" i="62" s="1"/>
  <c r="E23" i="3"/>
  <c r="F23" i="3" s="1"/>
  <c r="T58" i="62" s="1"/>
  <c r="E21" i="3"/>
  <c r="F21" i="3" s="1"/>
  <c r="R58" i="62" s="1"/>
  <c r="E19" i="3"/>
  <c r="F19" i="3" s="1"/>
  <c r="P58" i="62" s="1"/>
  <c r="E17" i="3"/>
  <c r="F17" i="3" s="1"/>
  <c r="N58" i="62" s="1"/>
  <c r="E15" i="3"/>
  <c r="F15" i="3" s="1"/>
  <c r="L58" i="62" s="1"/>
  <c r="E13" i="3"/>
  <c r="F13" i="3" s="1"/>
  <c r="J58" i="62" s="1"/>
  <c r="E11" i="3"/>
  <c r="F11" i="3" s="1"/>
  <c r="H58" i="62" s="1"/>
  <c r="E9" i="3"/>
  <c r="F9" i="3" s="1"/>
  <c r="F58" i="62" s="1"/>
  <c r="E7" i="3"/>
  <c r="F7" i="3" s="1"/>
  <c r="D58" i="62" s="1"/>
  <c r="E5" i="3"/>
  <c r="E32" i="12"/>
  <c r="F32" i="12" s="1"/>
  <c r="AC49" i="62" s="1"/>
  <c r="E30" i="12"/>
  <c r="F30" i="12" s="1"/>
  <c r="AA49" i="62" s="1"/>
  <c r="E28" i="12"/>
  <c r="F28" i="12" s="1"/>
  <c r="Y49" i="62" s="1"/>
  <c r="E26" i="12"/>
  <c r="F26" i="12" s="1"/>
  <c r="W49" i="62" s="1"/>
  <c r="E24" i="12"/>
  <c r="F24" i="12" s="1"/>
  <c r="U49" i="62" s="1"/>
  <c r="E22" i="12"/>
  <c r="F22" i="12" s="1"/>
  <c r="S49" i="62" s="1"/>
  <c r="E20" i="12"/>
  <c r="F20" i="12" s="1"/>
  <c r="Q49" i="62" s="1"/>
  <c r="E18" i="12"/>
  <c r="F18" i="12" s="1"/>
  <c r="O49" i="62" s="1"/>
  <c r="E16" i="12"/>
  <c r="F16" i="12" s="1"/>
  <c r="M49" i="62" s="1"/>
  <c r="E14" i="12"/>
  <c r="F14" i="12" s="1"/>
  <c r="K49" i="62" s="1"/>
  <c r="E12" i="12"/>
  <c r="F12" i="12" s="1"/>
  <c r="I49" i="62" s="1"/>
  <c r="E10" i="12"/>
  <c r="F10" i="12" s="1"/>
  <c r="G49" i="62" s="1"/>
  <c r="E8" i="12"/>
  <c r="F8" i="12" s="1"/>
  <c r="E49" i="62" s="1"/>
  <c r="E6" i="12"/>
  <c r="F6" i="12" s="1"/>
  <c r="C49" i="62" s="1"/>
  <c r="F105" i="12"/>
  <c r="E31" i="12"/>
  <c r="F31" i="12" s="1"/>
  <c r="AB49" i="62" s="1"/>
  <c r="E29" i="12"/>
  <c r="F29" i="12" s="1"/>
  <c r="Z49" i="62" s="1"/>
  <c r="E27" i="12"/>
  <c r="F27" i="12" s="1"/>
  <c r="X49" i="62" s="1"/>
  <c r="E25" i="12"/>
  <c r="F25" i="12" s="1"/>
  <c r="V49" i="62" s="1"/>
  <c r="E23" i="12"/>
  <c r="F23" i="12" s="1"/>
  <c r="T49" i="62" s="1"/>
  <c r="E21" i="12"/>
  <c r="F21" i="12" s="1"/>
  <c r="R49" i="62" s="1"/>
  <c r="E19" i="12"/>
  <c r="F19" i="12" s="1"/>
  <c r="P49" i="62" s="1"/>
  <c r="E17" i="12"/>
  <c r="F17" i="12" s="1"/>
  <c r="N49" i="62" s="1"/>
  <c r="E15" i="12"/>
  <c r="F15" i="12" s="1"/>
  <c r="L49" i="62" s="1"/>
  <c r="E13" i="12"/>
  <c r="F13" i="12" s="1"/>
  <c r="J49" i="62" s="1"/>
  <c r="E11" i="12"/>
  <c r="F11" i="12" s="1"/>
  <c r="H49" i="62" s="1"/>
  <c r="E9" i="12"/>
  <c r="F9" i="12" s="1"/>
  <c r="F49" i="62" s="1"/>
  <c r="E7" i="12"/>
  <c r="F7" i="12" s="1"/>
  <c r="D49" i="62" s="1"/>
  <c r="E5" i="12"/>
  <c r="E32" i="15"/>
  <c r="F32" i="15" s="1"/>
  <c r="AC46" i="62" s="1"/>
  <c r="E30" i="15"/>
  <c r="F30" i="15" s="1"/>
  <c r="AA46" i="62" s="1"/>
  <c r="E28" i="15"/>
  <c r="F28" i="15" s="1"/>
  <c r="Y46" i="62" s="1"/>
  <c r="E26" i="15"/>
  <c r="F26" i="15" s="1"/>
  <c r="W46" i="62" s="1"/>
  <c r="E24" i="15"/>
  <c r="F24" i="15" s="1"/>
  <c r="U46" i="62" s="1"/>
  <c r="E22" i="15"/>
  <c r="F22" i="15" s="1"/>
  <c r="S46" i="62" s="1"/>
  <c r="E20" i="15"/>
  <c r="F20" i="15" s="1"/>
  <c r="Q46" i="62" s="1"/>
  <c r="E18" i="15"/>
  <c r="F18" i="15" s="1"/>
  <c r="O46" i="62" s="1"/>
  <c r="E16" i="15"/>
  <c r="F16" i="15" s="1"/>
  <c r="M46" i="62" s="1"/>
  <c r="E14" i="15"/>
  <c r="F14" i="15" s="1"/>
  <c r="K46" i="62" s="1"/>
  <c r="E12" i="15"/>
  <c r="F12" i="15" s="1"/>
  <c r="I46" i="62" s="1"/>
  <c r="E10" i="15"/>
  <c r="F10" i="15" s="1"/>
  <c r="G46" i="62" s="1"/>
  <c r="E8" i="15"/>
  <c r="F8" i="15" s="1"/>
  <c r="E46" i="62" s="1"/>
  <c r="E6" i="15"/>
  <c r="F6" i="15" s="1"/>
  <c r="C46" i="62" s="1"/>
  <c r="F105" i="15"/>
  <c r="E31" i="15"/>
  <c r="F31" i="15" s="1"/>
  <c r="AB46" i="62" s="1"/>
  <c r="E29" i="15"/>
  <c r="F29" i="15" s="1"/>
  <c r="Z46" i="62" s="1"/>
  <c r="E27" i="15"/>
  <c r="F27" i="15" s="1"/>
  <c r="X46" i="62" s="1"/>
  <c r="E25" i="15"/>
  <c r="F25" i="15" s="1"/>
  <c r="V46" i="62" s="1"/>
  <c r="E23" i="15"/>
  <c r="F23" i="15" s="1"/>
  <c r="T46" i="62" s="1"/>
  <c r="E21" i="15"/>
  <c r="F21" i="15" s="1"/>
  <c r="R46" i="62" s="1"/>
  <c r="E19" i="15"/>
  <c r="F19" i="15" s="1"/>
  <c r="P46" i="62" s="1"/>
  <c r="E17" i="15"/>
  <c r="F17" i="15" s="1"/>
  <c r="N46" i="62" s="1"/>
  <c r="E15" i="15"/>
  <c r="F15" i="15" s="1"/>
  <c r="L46" i="62" s="1"/>
  <c r="E13" i="15"/>
  <c r="F13" i="15" s="1"/>
  <c r="J46" i="62" s="1"/>
  <c r="E11" i="15"/>
  <c r="F11" i="15" s="1"/>
  <c r="H46" i="62" s="1"/>
  <c r="E9" i="15"/>
  <c r="F9" i="15" s="1"/>
  <c r="F46" i="62" s="1"/>
  <c r="E7" i="15"/>
  <c r="F7" i="15" s="1"/>
  <c r="D46" i="62" s="1"/>
  <c r="E5" i="15"/>
  <c r="E32" i="17"/>
  <c r="F32" i="17" s="1"/>
  <c r="AC44" i="62" s="1"/>
  <c r="E30" i="17"/>
  <c r="F30" i="17" s="1"/>
  <c r="AA44" i="62" s="1"/>
  <c r="E28" i="17"/>
  <c r="F28" i="17" s="1"/>
  <c r="Y44" i="62" s="1"/>
  <c r="E26" i="17"/>
  <c r="F26" i="17" s="1"/>
  <c r="W44" i="62" s="1"/>
  <c r="E24" i="17"/>
  <c r="F24" i="17" s="1"/>
  <c r="U44" i="62" s="1"/>
  <c r="E22" i="17"/>
  <c r="F22" i="17" s="1"/>
  <c r="S44" i="62" s="1"/>
  <c r="E20" i="17"/>
  <c r="F20" i="17" s="1"/>
  <c r="Q44" i="62" s="1"/>
  <c r="E18" i="17"/>
  <c r="F18" i="17" s="1"/>
  <c r="O44" i="62" s="1"/>
  <c r="E16" i="17"/>
  <c r="F16" i="17" s="1"/>
  <c r="M44" i="62" s="1"/>
  <c r="E14" i="17"/>
  <c r="F14" i="17" s="1"/>
  <c r="K44" i="62" s="1"/>
  <c r="E12" i="17"/>
  <c r="F12" i="17" s="1"/>
  <c r="I44" i="62" s="1"/>
  <c r="E10" i="17"/>
  <c r="F10" i="17" s="1"/>
  <c r="G44" i="62" s="1"/>
  <c r="E8" i="17"/>
  <c r="F8" i="17" s="1"/>
  <c r="E44" i="62" s="1"/>
  <c r="E6" i="17"/>
  <c r="F6" i="17" s="1"/>
  <c r="C44" i="62" s="1"/>
  <c r="F105" i="17"/>
  <c r="E31" i="17"/>
  <c r="F31" i="17" s="1"/>
  <c r="AB44" i="62" s="1"/>
  <c r="E29" i="17"/>
  <c r="F29" i="17" s="1"/>
  <c r="Z44" i="62" s="1"/>
  <c r="E27" i="17"/>
  <c r="F27" i="17" s="1"/>
  <c r="X44" i="62" s="1"/>
  <c r="E25" i="17"/>
  <c r="F25" i="17" s="1"/>
  <c r="V44" i="62" s="1"/>
  <c r="E23" i="17"/>
  <c r="F23" i="17" s="1"/>
  <c r="T44" i="62" s="1"/>
  <c r="E21" i="17"/>
  <c r="F21" i="17" s="1"/>
  <c r="R44" i="62" s="1"/>
  <c r="E19" i="17"/>
  <c r="F19" i="17" s="1"/>
  <c r="P44" i="62" s="1"/>
  <c r="E17" i="17"/>
  <c r="F17" i="17" s="1"/>
  <c r="N44" i="62" s="1"/>
  <c r="E15" i="17"/>
  <c r="F15" i="17" s="1"/>
  <c r="L44" i="62" s="1"/>
  <c r="E13" i="17"/>
  <c r="F13" i="17" s="1"/>
  <c r="J44" i="62" s="1"/>
  <c r="E11" i="17"/>
  <c r="F11" i="17" s="1"/>
  <c r="H44" i="62" s="1"/>
  <c r="E9" i="17"/>
  <c r="F9" i="17" s="1"/>
  <c r="F44" i="62" s="1"/>
  <c r="E7" i="17"/>
  <c r="F7" i="17" s="1"/>
  <c r="D44" i="62" s="1"/>
  <c r="E5" i="17"/>
  <c r="F105" i="44"/>
  <c r="E31" i="44"/>
  <c r="F31" i="44" s="1"/>
  <c r="AB17" i="62" s="1"/>
  <c r="E29" i="44"/>
  <c r="F29" i="44" s="1"/>
  <c r="Z17" i="62" s="1"/>
  <c r="E27" i="44"/>
  <c r="F27" i="44" s="1"/>
  <c r="X17" i="62" s="1"/>
  <c r="E25" i="44"/>
  <c r="F25" i="44" s="1"/>
  <c r="V17" i="62" s="1"/>
  <c r="E23" i="44"/>
  <c r="F23" i="44" s="1"/>
  <c r="T17" i="62" s="1"/>
  <c r="E21" i="44"/>
  <c r="F21" i="44" s="1"/>
  <c r="R17" i="62" s="1"/>
  <c r="E19" i="44"/>
  <c r="F19" i="44" s="1"/>
  <c r="P17" i="62" s="1"/>
  <c r="E17" i="44"/>
  <c r="F17" i="44" s="1"/>
  <c r="N17" i="62" s="1"/>
  <c r="E15" i="44"/>
  <c r="F15" i="44" s="1"/>
  <c r="L17" i="62" s="1"/>
  <c r="E13" i="44"/>
  <c r="F13" i="44" s="1"/>
  <c r="J17" i="62" s="1"/>
  <c r="E11" i="44"/>
  <c r="F11" i="44" s="1"/>
  <c r="H17" i="62" s="1"/>
  <c r="E9" i="44"/>
  <c r="F9" i="44" s="1"/>
  <c r="F17" i="62" s="1"/>
  <c r="E7" i="44"/>
  <c r="F7" i="44" s="1"/>
  <c r="D17" i="62" s="1"/>
  <c r="E5" i="44"/>
  <c r="E32" i="44"/>
  <c r="F32" i="44" s="1"/>
  <c r="AC17" i="62" s="1"/>
  <c r="E30" i="44"/>
  <c r="F30" i="44" s="1"/>
  <c r="AA17" i="62" s="1"/>
  <c r="E28" i="44"/>
  <c r="F28" i="44" s="1"/>
  <c r="Y17" i="62" s="1"/>
  <c r="E26" i="44"/>
  <c r="F26" i="44" s="1"/>
  <c r="W17" i="62" s="1"/>
  <c r="E24" i="44"/>
  <c r="F24" i="44" s="1"/>
  <c r="U17" i="62" s="1"/>
  <c r="E22" i="44"/>
  <c r="F22" i="44" s="1"/>
  <c r="S17" i="62" s="1"/>
  <c r="E20" i="44"/>
  <c r="F20" i="44" s="1"/>
  <c r="Q17" i="62" s="1"/>
  <c r="E18" i="44"/>
  <c r="F18" i="44" s="1"/>
  <c r="O17" i="62" s="1"/>
  <c r="E16" i="44"/>
  <c r="F16" i="44" s="1"/>
  <c r="M17" i="62" s="1"/>
  <c r="E14" i="44"/>
  <c r="F14" i="44" s="1"/>
  <c r="K17" i="62" s="1"/>
  <c r="E12" i="44"/>
  <c r="F12" i="44" s="1"/>
  <c r="I17" i="62" s="1"/>
  <c r="E10" i="44"/>
  <c r="F10" i="44" s="1"/>
  <c r="G17" i="62" s="1"/>
  <c r="E8" i="44"/>
  <c r="F8" i="44" s="1"/>
  <c r="E17" i="62" s="1"/>
  <c r="E6" i="44"/>
  <c r="F6" i="44" s="1"/>
  <c r="C17" i="62" s="1"/>
  <c r="F95" i="60" l="1"/>
  <c r="F101" i="60"/>
  <c r="F109" i="60"/>
  <c r="F118" i="60" s="1"/>
  <c r="F104" i="36"/>
  <c r="F100" i="36"/>
  <c r="F99" i="36"/>
  <c r="F98" i="36"/>
  <c r="F103" i="36"/>
  <c r="F102" i="36"/>
  <c r="F100" i="32"/>
  <c r="F103" i="32"/>
  <c r="F99" i="32"/>
  <c r="F104" i="32"/>
  <c r="F98" i="32"/>
  <c r="F102" i="32"/>
  <c r="T24" i="63"/>
  <c r="S24" i="63"/>
  <c r="F104" i="31"/>
  <c r="F99" i="31"/>
  <c r="F100" i="31"/>
  <c r="F103" i="31"/>
  <c r="F98" i="31"/>
  <c r="F102" i="31"/>
  <c r="S21" i="63"/>
  <c r="E29" i="60"/>
  <c r="I61" i="63"/>
  <c r="K61" i="63"/>
  <c r="F64" i="63"/>
  <c r="V48" i="63"/>
  <c r="U48" i="63"/>
  <c r="H48" i="63"/>
  <c r="G48" i="63"/>
  <c r="J48" i="63"/>
  <c r="I48" i="63"/>
  <c r="L48" i="63"/>
  <c r="K48" i="63"/>
  <c r="T48" i="63"/>
  <c r="S48" i="63"/>
  <c r="H7" i="63"/>
  <c r="G7" i="63"/>
  <c r="T7" i="63"/>
  <c r="S7" i="63"/>
  <c r="J7" i="63"/>
  <c r="I7" i="63"/>
  <c r="V7" i="63"/>
  <c r="U7" i="63"/>
  <c r="L7" i="63"/>
  <c r="K7" i="63"/>
  <c r="E30" i="36"/>
  <c r="F30" i="36" s="1"/>
  <c r="AA25" i="62" s="1"/>
  <c r="E26" i="36"/>
  <c r="F26" i="36" s="1"/>
  <c r="W25" i="62" s="1"/>
  <c r="E22" i="36"/>
  <c r="F22" i="36" s="1"/>
  <c r="S25" i="62" s="1"/>
  <c r="E18" i="36"/>
  <c r="F18" i="36" s="1"/>
  <c r="O25" i="62" s="1"/>
  <c r="E14" i="36"/>
  <c r="F14" i="36" s="1"/>
  <c r="K25" i="62" s="1"/>
  <c r="E10" i="36"/>
  <c r="F10" i="36" s="1"/>
  <c r="G25" i="62" s="1"/>
  <c r="E6" i="36"/>
  <c r="F6" i="36" s="1"/>
  <c r="C25" i="62" s="1"/>
  <c r="E31" i="36"/>
  <c r="F31" i="36" s="1"/>
  <c r="AB25" i="62" s="1"/>
  <c r="E27" i="36"/>
  <c r="F27" i="36" s="1"/>
  <c r="X25" i="62" s="1"/>
  <c r="E23" i="36"/>
  <c r="F23" i="36" s="1"/>
  <c r="T25" i="62" s="1"/>
  <c r="E19" i="36"/>
  <c r="F19" i="36" s="1"/>
  <c r="P25" i="62" s="1"/>
  <c r="E15" i="36"/>
  <c r="F15" i="36" s="1"/>
  <c r="L25" i="62" s="1"/>
  <c r="E11" i="36"/>
  <c r="F11" i="36" s="1"/>
  <c r="H25" i="62" s="1"/>
  <c r="E7" i="36"/>
  <c r="F7" i="36" s="1"/>
  <c r="D25" i="62" s="1"/>
  <c r="E32" i="36"/>
  <c r="F32" i="36" s="1"/>
  <c r="AC25" i="62" s="1"/>
  <c r="E28" i="36"/>
  <c r="F28" i="36" s="1"/>
  <c r="Y25" i="62" s="1"/>
  <c r="E24" i="36"/>
  <c r="F24" i="36" s="1"/>
  <c r="U25" i="62" s="1"/>
  <c r="E20" i="36"/>
  <c r="F20" i="36" s="1"/>
  <c r="Q25" i="62" s="1"/>
  <c r="E16" i="36"/>
  <c r="F16" i="36" s="1"/>
  <c r="M25" i="62" s="1"/>
  <c r="E12" i="36"/>
  <c r="F12" i="36" s="1"/>
  <c r="I25" i="62" s="1"/>
  <c r="E8" i="36"/>
  <c r="F8" i="36" s="1"/>
  <c r="E25" i="62" s="1"/>
  <c r="F105" i="36"/>
  <c r="E29" i="36"/>
  <c r="F29" i="36" s="1"/>
  <c r="Z25" i="62" s="1"/>
  <c r="E25" i="36"/>
  <c r="F25" i="36" s="1"/>
  <c r="V25" i="62" s="1"/>
  <c r="E21" i="36"/>
  <c r="F21" i="36" s="1"/>
  <c r="R25" i="62" s="1"/>
  <c r="E17" i="36"/>
  <c r="F17" i="36" s="1"/>
  <c r="N25" i="62" s="1"/>
  <c r="E13" i="36"/>
  <c r="F13" i="36" s="1"/>
  <c r="J25" i="62" s="1"/>
  <c r="E9" i="36"/>
  <c r="F9" i="36" s="1"/>
  <c r="F25" i="62" s="1"/>
  <c r="E5" i="36"/>
  <c r="E32" i="32"/>
  <c r="F32" i="32" s="1"/>
  <c r="AC29" i="62" s="1"/>
  <c r="E24" i="32"/>
  <c r="F24" i="32" s="1"/>
  <c r="U29" i="62" s="1"/>
  <c r="E16" i="32"/>
  <c r="F16" i="32" s="1"/>
  <c r="M29" i="62" s="1"/>
  <c r="E8" i="32"/>
  <c r="F8" i="32" s="1"/>
  <c r="E29" i="62" s="1"/>
  <c r="E25" i="32"/>
  <c r="F25" i="32" s="1"/>
  <c r="V29" i="62" s="1"/>
  <c r="E17" i="32"/>
  <c r="F17" i="32" s="1"/>
  <c r="N29" i="62" s="1"/>
  <c r="E9" i="32"/>
  <c r="F9" i="32" s="1"/>
  <c r="F29" i="62" s="1"/>
  <c r="E30" i="32"/>
  <c r="F30" i="32" s="1"/>
  <c r="AA29" i="62" s="1"/>
  <c r="E26" i="32"/>
  <c r="F26" i="32" s="1"/>
  <c r="W29" i="62" s="1"/>
  <c r="E22" i="32"/>
  <c r="F22" i="32" s="1"/>
  <c r="S29" i="62" s="1"/>
  <c r="E18" i="32"/>
  <c r="F18" i="32" s="1"/>
  <c r="O29" i="62" s="1"/>
  <c r="E14" i="32"/>
  <c r="F14" i="32" s="1"/>
  <c r="K29" i="62" s="1"/>
  <c r="E10" i="32"/>
  <c r="F10" i="32" s="1"/>
  <c r="G29" i="62" s="1"/>
  <c r="E6" i="32"/>
  <c r="F6" i="32" s="1"/>
  <c r="C29" i="62" s="1"/>
  <c r="E31" i="32"/>
  <c r="F31" i="32" s="1"/>
  <c r="AB29" i="62" s="1"/>
  <c r="E27" i="32"/>
  <c r="F27" i="32" s="1"/>
  <c r="X29" i="62" s="1"/>
  <c r="E23" i="32"/>
  <c r="F23" i="32" s="1"/>
  <c r="T29" i="62" s="1"/>
  <c r="E19" i="32"/>
  <c r="F19" i="32" s="1"/>
  <c r="P29" i="62" s="1"/>
  <c r="E15" i="32"/>
  <c r="F15" i="32" s="1"/>
  <c r="L29" i="62" s="1"/>
  <c r="E11" i="32"/>
  <c r="F11" i="32" s="1"/>
  <c r="H29" i="62" s="1"/>
  <c r="E7" i="32"/>
  <c r="F7" i="32" s="1"/>
  <c r="D29" i="62" s="1"/>
  <c r="E28" i="32"/>
  <c r="F28" i="32" s="1"/>
  <c r="Y29" i="62" s="1"/>
  <c r="E20" i="32"/>
  <c r="F20" i="32" s="1"/>
  <c r="Q29" i="62" s="1"/>
  <c r="E12" i="32"/>
  <c r="F12" i="32" s="1"/>
  <c r="I29" i="62" s="1"/>
  <c r="F105" i="32"/>
  <c r="E29" i="32"/>
  <c r="F29" i="32" s="1"/>
  <c r="Z29" i="62" s="1"/>
  <c r="E21" i="32"/>
  <c r="F21" i="32" s="1"/>
  <c r="R29" i="62" s="1"/>
  <c r="E13" i="32"/>
  <c r="F13" i="32" s="1"/>
  <c r="J29" i="62" s="1"/>
  <c r="E5" i="32"/>
  <c r="L39" i="63"/>
  <c r="K39" i="63"/>
  <c r="J39" i="63"/>
  <c r="I39" i="63"/>
  <c r="F105" i="31"/>
  <c r="E25" i="31"/>
  <c r="F25" i="31" s="1"/>
  <c r="V30" i="62" s="1"/>
  <c r="E17" i="31"/>
  <c r="F17" i="31" s="1"/>
  <c r="N30" i="62" s="1"/>
  <c r="E9" i="31"/>
  <c r="F9" i="31" s="1"/>
  <c r="F30" i="62" s="1"/>
  <c r="E28" i="31"/>
  <c r="F28" i="31" s="1"/>
  <c r="Y30" i="62" s="1"/>
  <c r="E20" i="31"/>
  <c r="F20" i="31" s="1"/>
  <c r="Q30" i="62" s="1"/>
  <c r="E12" i="31"/>
  <c r="F12" i="31" s="1"/>
  <c r="I30" i="62" s="1"/>
  <c r="E31" i="31"/>
  <c r="F31" i="31" s="1"/>
  <c r="AB30" i="62" s="1"/>
  <c r="E27" i="31"/>
  <c r="F27" i="31" s="1"/>
  <c r="X30" i="62" s="1"/>
  <c r="X62" i="62" s="1"/>
  <c r="E23" i="31"/>
  <c r="F23" i="31" s="1"/>
  <c r="T30" i="62" s="1"/>
  <c r="E19" i="31"/>
  <c r="F19" i="31" s="1"/>
  <c r="P30" i="62" s="1"/>
  <c r="P62" i="62" s="1"/>
  <c r="E15" i="31"/>
  <c r="F15" i="31" s="1"/>
  <c r="L30" i="62" s="1"/>
  <c r="E11" i="31"/>
  <c r="F11" i="31" s="1"/>
  <c r="H30" i="62" s="1"/>
  <c r="E7" i="31"/>
  <c r="F7" i="31" s="1"/>
  <c r="D30" i="62" s="1"/>
  <c r="E30" i="31"/>
  <c r="F30" i="31" s="1"/>
  <c r="AA30" i="62" s="1"/>
  <c r="AA63" i="62" s="1"/>
  <c r="E26" i="31"/>
  <c r="F26" i="31" s="1"/>
  <c r="W30" i="62" s="1"/>
  <c r="E22" i="31"/>
  <c r="F22" i="31" s="1"/>
  <c r="S30" i="62" s="1"/>
  <c r="S65" i="62" s="1"/>
  <c r="E18" i="31"/>
  <c r="F18" i="31" s="1"/>
  <c r="O30" i="62" s="1"/>
  <c r="E14" i="31"/>
  <c r="F14" i="31" s="1"/>
  <c r="K30" i="62" s="1"/>
  <c r="K63" i="62" s="1"/>
  <c r="E10" i="31"/>
  <c r="F10" i="31" s="1"/>
  <c r="G30" i="62" s="1"/>
  <c r="E6" i="31"/>
  <c r="F6" i="31" s="1"/>
  <c r="C30" i="62" s="1"/>
  <c r="C63" i="62" s="1"/>
  <c r="E29" i="31"/>
  <c r="F29" i="31" s="1"/>
  <c r="Z30" i="62" s="1"/>
  <c r="Z64" i="62" s="1"/>
  <c r="E21" i="31"/>
  <c r="F21" i="31" s="1"/>
  <c r="R30" i="62" s="1"/>
  <c r="E13" i="31"/>
  <c r="F13" i="31" s="1"/>
  <c r="J30" i="62" s="1"/>
  <c r="J64" i="62" s="1"/>
  <c r="E5" i="31"/>
  <c r="E32" i="31"/>
  <c r="F32" i="31" s="1"/>
  <c r="AC30" i="62" s="1"/>
  <c r="E24" i="31"/>
  <c r="F24" i="31" s="1"/>
  <c r="U30" i="62" s="1"/>
  <c r="E16" i="31"/>
  <c r="F16" i="31" s="1"/>
  <c r="M30" i="62" s="1"/>
  <c r="E8" i="31"/>
  <c r="F8" i="31" s="1"/>
  <c r="E30" i="62" s="1"/>
  <c r="T39" i="63"/>
  <c r="S39" i="63"/>
  <c r="H39" i="63"/>
  <c r="G39" i="63"/>
  <c r="V39" i="63"/>
  <c r="U39" i="63"/>
  <c r="J59" i="63"/>
  <c r="I59" i="63"/>
  <c r="L59" i="63"/>
  <c r="K59" i="63"/>
  <c r="V59" i="63"/>
  <c r="U59" i="63"/>
  <c r="H59" i="63"/>
  <c r="G59" i="63"/>
  <c r="T59" i="63"/>
  <c r="S59" i="63"/>
  <c r="E6" i="60"/>
  <c r="E26" i="60"/>
  <c r="E20" i="60"/>
  <c r="E30" i="60"/>
  <c r="E9" i="60"/>
  <c r="T46" i="63"/>
  <c r="S46" i="63"/>
  <c r="H46" i="63"/>
  <c r="G46" i="63"/>
  <c r="E14" i="60"/>
  <c r="E12" i="60"/>
  <c r="E24" i="60"/>
  <c r="E5" i="60"/>
  <c r="E13" i="60"/>
  <c r="J46" i="63"/>
  <c r="I46" i="63"/>
  <c r="V46" i="63"/>
  <c r="U46" i="63"/>
  <c r="L46" i="63"/>
  <c r="K46" i="63"/>
  <c r="E10" i="60"/>
  <c r="E18" i="60"/>
  <c r="E8" i="60"/>
  <c r="E16" i="60"/>
  <c r="E22" i="60"/>
  <c r="E28" i="60"/>
  <c r="E32" i="60"/>
  <c r="E7" i="60"/>
  <c r="E11" i="60"/>
  <c r="E15" i="60"/>
  <c r="E19" i="60"/>
  <c r="E23" i="60"/>
  <c r="E27" i="60"/>
  <c r="E31" i="60"/>
  <c r="H44" i="63"/>
  <c r="G44" i="63"/>
  <c r="L44" i="63"/>
  <c r="K44" i="63"/>
  <c r="E17" i="60"/>
  <c r="E21" i="60"/>
  <c r="E25" i="60"/>
  <c r="J44" i="63"/>
  <c r="I44" i="63"/>
  <c r="T44" i="63"/>
  <c r="S44" i="63"/>
  <c r="V44" i="63"/>
  <c r="U44" i="63"/>
  <c r="E33" i="44"/>
  <c r="C20" i="63" s="1"/>
  <c r="F5" i="44"/>
  <c r="L20" i="63"/>
  <c r="K20" i="63"/>
  <c r="P20" i="63"/>
  <c r="O20" i="63"/>
  <c r="T20" i="63"/>
  <c r="S20" i="63"/>
  <c r="E33" i="17"/>
  <c r="C47" i="63" s="1"/>
  <c r="F5" i="17"/>
  <c r="L47" i="63"/>
  <c r="K47" i="63"/>
  <c r="P47" i="63"/>
  <c r="O47" i="63"/>
  <c r="T47" i="63"/>
  <c r="S47" i="63"/>
  <c r="E33" i="15"/>
  <c r="C49" i="63" s="1"/>
  <c r="F5" i="15"/>
  <c r="L49" i="63"/>
  <c r="K49" i="63"/>
  <c r="P49" i="63"/>
  <c r="O49" i="63"/>
  <c r="T49" i="63"/>
  <c r="S49" i="63"/>
  <c r="E33" i="12"/>
  <c r="C52" i="63" s="1"/>
  <c r="F5" i="12"/>
  <c r="L52" i="63"/>
  <c r="K52" i="63"/>
  <c r="P52" i="63"/>
  <c r="O52" i="63"/>
  <c r="T52" i="63"/>
  <c r="S52" i="63"/>
  <c r="E33" i="3"/>
  <c r="C61" i="63" s="1"/>
  <c r="F5" i="3"/>
  <c r="R61" i="63"/>
  <c r="Q61" i="63"/>
  <c r="D62" i="62"/>
  <c r="D63" i="62"/>
  <c r="H64" i="62"/>
  <c r="L64" i="62"/>
  <c r="L65" i="62"/>
  <c r="T64" i="62"/>
  <c r="T65" i="62"/>
  <c r="X64" i="62"/>
  <c r="G62" i="62"/>
  <c r="K65" i="62"/>
  <c r="O65" i="62"/>
  <c r="O64" i="62"/>
  <c r="S64" i="62"/>
  <c r="W63" i="62"/>
  <c r="W62" i="62"/>
  <c r="AA65" i="62"/>
  <c r="AA64" i="62"/>
  <c r="P7" i="63"/>
  <c r="O64" i="63"/>
  <c r="O7" i="63"/>
  <c r="E33" i="53"/>
  <c r="C11" i="63"/>
  <c r="F5" i="53"/>
  <c r="L11" i="63"/>
  <c r="K11" i="63"/>
  <c r="P11" i="63"/>
  <c r="O11" i="63"/>
  <c r="T11" i="63"/>
  <c r="S11" i="63"/>
  <c r="J35" i="63"/>
  <c r="I35" i="63"/>
  <c r="H35" i="63"/>
  <c r="G35" i="63"/>
  <c r="R35" i="63"/>
  <c r="Q35" i="63"/>
  <c r="V35" i="63"/>
  <c r="U35" i="63"/>
  <c r="P39" i="63"/>
  <c r="O39" i="63"/>
  <c r="E33" i="25"/>
  <c r="C39" i="63" s="1"/>
  <c r="F5" i="25"/>
  <c r="J50" i="63"/>
  <c r="I50" i="63"/>
  <c r="H50" i="63"/>
  <c r="G50" i="63"/>
  <c r="R50" i="63"/>
  <c r="Q50" i="63"/>
  <c r="V50" i="63"/>
  <c r="U50" i="63"/>
  <c r="J55" i="63"/>
  <c r="I55" i="63"/>
  <c r="H55" i="63"/>
  <c r="G55" i="63"/>
  <c r="R55" i="63"/>
  <c r="Q55" i="63"/>
  <c r="V55" i="63"/>
  <c r="U55" i="63"/>
  <c r="E33" i="4"/>
  <c r="C60" i="63" s="1"/>
  <c r="F5" i="4"/>
  <c r="J60" i="63"/>
  <c r="I60" i="63"/>
  <c r="H60" i="63"/>
  <c r="G60" i="63"/>
  <c r="R60" i="63"/>
  <c r="Q60" i="63"/>
  <c r="V60" i="63"/>
  <c r="U60" i="63"/>
  <c r="L63" i="63"/>
  <c r="K63" i="63"/>
  <c r="P63" i="63"/>
  <c r="O63" i="63"/>
  <c r="T63" i="63"/>
  <c r="S63" i="63"/>
  <c r="J15" i="63"/>
  <c r="I15" i="63"/>
  <c r="H15" i="63"/>
  <c r="G15" i="63"/>
  <c r="R15" i="63"/>
  <c r="Q15" i="63"/>
  <c r="V15" i="63"/>
  <c r="U15" i="63"/>
  <c r="L10" i="63"/>
  <c r="K10" i="63"/>
  <c r="P10" i="63"/>
  <c r="O10" i="63"/>
  <c r="T10" i="63"/>
  <c r="S10" i="63"/>
  <c r="E33" i="54"/>
  <c r="C10" i="63" s="1"/>
  <c r="F5" i="54"/>
  <c r="J21" i="63"/>
  <c r="I21" i="63"/>
  <c r="H21" i="63"/>
  <c r="G21" i="63"/>
  <c r="R21" i="63"/>
  <c r="Q21" i="63"/>
  <c r="E33" i="43"/>
  <c r="C21" i="63" s="1"/>
  <c r="F5" i="43"/>
  <c r="L23" i="63"/>
  <c r="K23" i="63"/>
  <c r="P23" i="63"/>
  <c r="O23" i="63"/>
  <c r="T23" i="63"/>
  <c r="S23" i="63"/>
  <c r="E33" i="41"/>
  <c r="C23" i="63" s="1"/>
  <c r="F5" i="41"/>
  <c r="L25" i="63"/>
  <c r="K25" i="63"/>
  <c r="P25" i="63"/>
  <c r="O25" i="63"/>
  <c r="T25" i="63"/>
  <c r="S25" i="63"/>
  <c r="E33" i="39"/>
  <c r="C25" i="63" s="1"/>
  <c r="F5" i="39"/>
  <c r="L27" i="63"/>
  <c r="K27" i="63"/>
  <c r="P27" i="63"/>
  <c r="O27" i="63"/>
  <c r="T27" i="63"/>
  <c r="S27" i="63"/>
  <c r="E33" i="37"/>
  <c r="C27" i="63" s="1"/>
  <c r="F5" i="37"/>
  <c r="L29" i="63"/>
  <c r="K29" i="63"/>
  <c r="P29" i="63"/>
  <c r="O29" i="63"/>
  <c r="T29" i="63"/>
  <c r="S29" i="63"/>
  <c r="E33" i="35"/>
  <c r="C29" i="63" s="1"/>
  <c r="F5" i="35"/>
  <c r="L31" i="63"/>
  <c r="K31" i="63"/>
  <c r="P31" i="63"/>
  <c r="O31" i="63"/>
  <c r="V31" i="63"/>
  <c r="U31" i="63"/>
  <c r="J41" i="63"/>
  <c r="I41" i="63"/>
  <c r="H41" i="63"/>
  <c r="G41" i="63"/>
  <c r="R41" i="63"/>
  <c r="Q41" i="63"/>
  <c r="V41" i="63"/>
  <c r="U41" i="63"/>
  <c r="P46" i="63"/>
  <c r="O46" i="63"/>
  <c r="E33" i="18"/>
  <c r="C46" i="63" s="1"/>
  <c r="F5" i="18"/>
  <c r="J19" i="63"/>
  <c r="I19" i="63"/>
  <c r="H19" i="63"/>
  <c r="G19" i="63"/>
  <c r="R19" i="63"/>
  <c r="Q19" i="63"/>
  <c r="V19" i="63"/>
  <c r="U19" i="63"/>
  <c r="J17" i="63"/>
  <c r="I17" i="63"/>
  <c r="H17" i="63"/>
  <c r="G17" i="63"/>
  <c r="R17" i="63"/>
  <c r="Q17" i="63"/>
  <c r="V17" i="63"/>
  <c r="U17" i="63"/>
  <c r="L34" i="63"/>
  <c r="K34" i="63"/>
  <c r="P34" i="63"/>
  <c r="O34" i="63"/>
  <c r="T34" i="63"/>
  <c r="S34" i="63"/>
  <c r="P59" i="63"/>
  <c r="O59" i="63"/>
  <c r="E33" i="59"/>
  <c r="C62" i="63" s="1"/>
  <c r="F5" i="59"/>
  <c r="L62" i="63"/>
  <c r="K62" i="63"/>
  <c r="P62" i="63"/>
  <c r="O62" i="63"/>
  <c r="T62" i="63"/>
  <c r="S62" i="63"/>
  <c r="J16" i="63"/>
  <c r="I16" i="63"/>
  <c r="H16" i="63"/>
  <c r="G16" i="63"/>
  <c r="R16" i="63"/>
  <c r="Q16" i="63"/>
  <c r="V16" i="63"/>
  <c r="U16" i="63"/>
  <c r="E33" i="38"/>
  <c r="C26" i="63" s="1"/>
  <c r="F5" i="38"/>
  <c r="L26" i="63"/>
  <c r="K26" i="63"/>
  <c r="P26" i="63"/>
  <c r="O26" i="63"/>
  <c r="T26" i="63"/>
  <c r="S26" i="63"/>
  <c r="E33" i="40"/>
  <c r="C24" i="63" s="1"/>
  <c r="F5" i="40"/>
  <c r="L24" i="63"/>
  <c r="K24" i="63"/>
  <c r="P24" i="63"/>
  <c r="O24" i="63"/>
  <c r="V24" i="63"/>
  <c r="U24" i="63"/>
  <c r="J38" i="63"/>
  <c r="I38" i="63"/>
  <c r="H38" i="63"/>
  <c r="G38" i="63"/>
  <c r="R38" i="63"/>
  <c r="Q38" i="63"/>
  <c r="V38" i="63"/>
  <c r="U38" i="63"/>
  <c r="L37" i="63"/>
  <c r="K37" i="63"/>
  <c r="P37" i="63"/>
  <c r="O37" i="63"/>
  <c r="T37" i="63"/>
  <c r="S37" i="63"/>
  <c r="E33" i="27"/>
  <c r="C37" i="63" s="1"/>
  <c r="F5" i="27"/>
  <c r="J54" i="63"/>
  <c r="I54" i="63"/>
  <c r="H54" i="63"/>
  <c r="G54" i="63"/>
  <c r="R54" i="63"/>
  <c r="Q54" i="63"/>
  <c r="J56" i="63"/>
  <c r="I56" i="63"/>
  <c r="H56" i="63"/>
  <c r="G56" i="63"/>
  <c r="R56" i="63"/>
  <c r="Q56" i="63"/>
  <c r="V56" i="63"/>
  <c r="U56" i="63"/>
  <c r="J13" i="63"/>
  <c r="I13" i="63"/>
  <c r="H13" i="63"/>
  <c r="G13" i="63"/>
  <c r="R13" i="63"/>
  <c r="Q13" i="63"/>
  <c r="V13" i="63"/>
  <c r="U13" i="63"/>
  <c r="L12" i="63"/>
  <c r="K12" i="63"/>
  <c r="P12" i="63"/>
  <c r="O12" i="63"/>
  <c r="V12" i="63"/>
  <c r="U12" i="63"/>
  <c r="J14" i="63"/>
  <c r="I14" i="63"/>
  <c r="H14" i="63"/>
  <c r="G14" i="63"/>
  <c r="R14" i="63"/>
  <c r="Q14" i="63"/>
  <c r="V14" i="63"/>
  <c r="U14" i="63"/>
  <c r="J18" i="63"/>
  <c r="I18" i="63"/>
  <c r="H18" i="63"/>
  <c r="G18" i="63"/>
  <c r="R18" i="63"/>
  <c r="Q18" i="63"/>
  <c r="V18" i="63"/>
  <c r="U18" i="63"/>
  <c r="E33" i="22"/>
  <c r="C42" i="63" s="1"/>
  <c r="F5" i="22"/>
  <c r="L42" i="63"/>
  <c r="K42" i="63"/>
  <c r="P42" i="63"/>
  <c r="O42" i="63"/>
  <c r="V42" i="63"/>
  <c r="U42" i="63"/>
  <c r="L51" i="63"/>
  <c r="K51" i="63"/>
  <c r="P51" i="63"/>
  <c r="O51" i="63"/>
  <c r="T51" i="63"/>
  <c r="S51" i="63"/>
  <c r="E33" i="13"/>
  <c r="C51" i="63" s="1"/>
  <c r="F5" i="13"/>
  <c r="L53" i="63"/>
  <c r="K53" i="63"/>
  <c r="P53" i="63"/>
  <c r="O53" i="63"/>
  <c r="T53" i="63"/>
  <c r="S53" i="63"/>
  <c r="E33" i="11"/>
  <c r="C53" i="63" s="1"/>
  <c r="F5" i="11"/>
  <c r="L8" i="63"/>
  <c r="K8" i="63"/>
  <c r="P8" i="63"/>
  <c r="O8" i="63"/>
  <c r="T8" i="63"/>
  <c r="S8" i="63"/>
  <c r="E33" i="56"/>
  <c r="C8" i="63" s="1"/>
  <c r="F5" i="56"/>
  <c r="J22" i="63"/>
  <c r="I22" i="63"/>
  <c r="H22" i="63"/>
  <c r="G22" i="63"/>
  <c r="R22" i="63"/>
  <c r="Q22" i="63"/>
  <c r="V22" i="63"/>
  <c r="U22" i="63"/>
  <c r="J40" i="63"/>
  <c r="I40" i="63"/>
  <c r="H40" i="63"/>
  <c r="G40" i="63"/>
  <c r="R40" i="63"/>
  <c r="Q40" i="63"/>
  <c r="V40" i="63"/>
  <c r="U40" i="63"/>
  <c r="J36" i="63"/>
  <c r="I36" i="63"/>
  <c r="H36" i="63"/>
  <c r="G36" i="63"/>
  <c r="R36" i="63"/>
  <c r="Q36" i="63"/>
  <c r="V36" i="63"/>
  <c r="U36" i="63"/>
  <c r="J45" i="63"/>
  <c r="I45" i="63"/>
  <c r="H45" i="63"/>
  <c r="G45" i="63"/>
  <c r="R45" i="63"/>
  <c r="Q45" i="63"/>
  <c r="E33" i="21"/>
  <c r="C43" i="63" s="1"/>
  <c r="F5" i="21"/>
  <c r="L43" i="63"/>
  <c r="K43" i="63"/>
  <c r="P43" i="63"/>
  <c r="O43" i="63"/>
  <c r="T43" i="63"/>
  <c r="S43" i="63"/>
  <c r="E33" i="55"/>
  <c r="C9" i="63" s="1"/>
  <c r="F5" i="55"/>
  <c r="L9" i="63"/>
  <c r="K9" i="63"/>
  <c r="P9" i="63"/>
  <c r="O9" i="63"/>
  <c r="T9" i="63"/>
  <c r="S9" i="63"/>
  <c r="J30" i="63"/>
  <c r="I30" i="63"/>
  <c r="H30" i="63"/>
  <c r="G30" i="63"/>
  <c r="R30" i="63"/>
  <c r="Q30" i="63"/>
  <c r="V30" i="63"/>
  <c r="U30" i="63"/>
  <c r="R44" i="63"/>
  <c r="Q44" i="63"/>
  <c r="P48" i="63"/>
  <c r="O48" i="63"/>
  <c r="E33" i="16"/>
  <c r="C48" i="63" s="1"/>
  <c r="F5" i="16"/>
  <c r="L57" i="63"/>
  <c r="K57" i="63"/>
  <c r="P57" i="63"/>
  <c r="O57" i="63"/>
  <c r="T57" i="63"/>
  <c r="S57" i="63"/>
  <c r="J58" i="63"/>
  <c r="I58" i="63"/>
  <c r="H58" i="63"/>
  <c r="G58" i="63"/>
  <c r="R58" i="63"/>
  <c r="Q58" i="63"/>
  <c r="V58" i="63"/>
  <c r="U58" i="63"/>
  <c r="J20" i="63"/>
  <c r="I20" i="63"/>
  <c r="H20" i="63"/>
  <c r="G20" i="63"/>
  <c r="R20" i="63"/>
  <c r="Q20" i="63"/>
  <c r="V20" i="63"/>
  <c r="U20" i="63"/>
  <c r="J47" i="63"/>
  <c r="I47" i="63"/>
  <c r="H47" i="63"/>
  <c r="G47" i="63"/>
  <c r="R47" i="63"/>
  <c r="Q47" i="63"/>
  <c r="V47" i="63"/>
  <c r="U47" i="63"/>
  <c r="J49" i="63"/>
  <c r="I49" i="63"/>
  <c r="H49" i="63"/>
  <c r="G49" i="63"/>
  <c r="R49" i="63"/>
  <c r="Q49" i="63"/>
  <c r="V49" i="63"/>
  <c r="U49" i="63"/>
  <c r="J52" i="63"/>
  <c r="I52" i="63"/>
  <c r="H52" i="63"/>
  <c r="G52" i="63"/>
  <c r="R52" i="63"/>
  <c r="Q52" i="63"/>
  <c r="V52" i="63"/>
  <c r="U52" i="63"/>
  <c r="P61" i="63"/>
  <c r="O61" i="63"/>
  <c r="E33" i="57"/>
  <c r="C7" i="63" s="1"/>
  <c r="F5" i="57"/>
  <c r="F62" i="62"/>
  <c r="F63" i="62"/>
  <c r="J62" i="62"/>
  <c r="J63" i="62"/>
  <c r="N62" i="62"/>
  <c r="N63" i="62"/>
  <c r="R62" i="62"/>
  <c r="R63" i="62"/>
  <c r="V62" i="62"/>
  <c r="V63" i="62"/>
  <c r="Z62" i="62"/>
  <c r="Z63" i="62"/>
  <c r="E65" i="62"/>
  <c r="E63" i="62"/>
  <c r="E64" i="62"/>
  <c r="E62" i="62"/>
  <c r="I63" i="62"/>
  <c r="I62" i="62"/>
  <c r="M63" i="62"/>
  <c r="M62" i="62"/>
  <c r="Q63" i="62"/>
  <c r="Q62" i="62"/>
  <c r="U65" i="62"/>
  <c r="U63" i="62"/>
  <c r="U64" i="62"/>
  <c r="U62" i="62"/>
  <c r="Y65" i="62"/>
  <c r="Y63" i="62"/>
  <c r="Y64" i="62"/>
  <c r="Y62" i="62"/>
  <c r="R7" i="63"/>
  <c r="Q7" i="63"/>
  <c r="J11" i="63"/>
  <c r="I11" i="63"/>
  <c r="H11" i="63"/>
  <c r="G11" i="63"/>
  <c r="R11" i="63"/>
  <c r="Q11" i="63"/>
  <c r="V11" i="63"/>
  <c r="U11" i="63"/>
  <c r="E33" i="29"/>
  <c r="C35" i="63" s="1"/>
  <c r="F5" i="29"/>
  <c r="L35" i="63"/>
  <c r="K35" i="63"/>
  <c r="P35" i="63"/>
  <c r="O35" i="63"/>
  <c r="T35" i="63"/>
  <c r="S35" i="63"/>
  <c r="R39" i="63"/>
  <c r="Q39" i="63"/>
  <c r="E33" i="14"/>
  <c r="C50" i="63"/>
  <c r="F5" i="14"/>
  <c r="L50" i="63"/>
  <c r="K50" i="63"/>
  <c r="P50" i="63"/>
  <c r="O50" i="63"/>
  <c r="T50" i="63"/>
  <c r="S50" i="63"/>
  <c r="E33" i="9"/>
  <c r="C55" i="63" s="1"/>
  <c r="F5" i="9"/>
  <c r="L55" i="63"/>
  <c r="K55" i="63"/>
  <c r="P55" i="63"/>
  <c r="O55" i="63"/>
  <c r="T55" i="63"/>
  <c r="S55" i="63"/>
  <c r="L60" i="63"/>
  <c r="K60" i="63"/>
  <c r="P60" i="63"/>
  <c r="O60" i="63"/>
  <c r="T60" i="63"/>
  <c r="S60" i="63"/>
  <c r="E33" i="1"/>
  <c r="C63" i="63" s="1"/>
  <c r="F5" i="1"/>
  <c r="J63" i="63"/>
  <c r="I63" i="63"/>
  <c r="H63" i="63"/>
  <c r="G63" i="63"/>
  <c r="R63" i="63"/>
  <c r="Q63" i="63"/>
  <c r="V63" i="63"/>
  <c r="U63" i="63"/>
  <c r="E33" i="49"/>
  <c r="C15" i="63" s="1"/>
  <c r="F5" i="49"/>
  <c r="L15" i="63"/>
  <c r="K15" i="63"/>
  <c r="P15" i="63"/>
  <c r="O15" i="63"/>
  <c r="T15" i="63"/>
  <c r="S15" i="63"/>
  <c r="J10" i="63"/>
  <c r="I10" i="63"/>
  <c r="H10" i="63"/>
  <c r="G10" i="63"/>
  <c r="R10" i="63"/>
  <c r="Q10" i="63"/>
  <c r="V10" i="63"/>
  <c r="U10" i="63"/>
  <c r="L21" i="63"/>
  <c r="K21" i="63"/>
  <c r="P21" i="63"/>
  <c r="O21" i="63"/>
  <c r="V21" i="63"/>
  <c r="U21" i="63"/>
  <c r="J23" i="63"/>
  <c r="I23" i="63"/>
  <c r="H23" i="63"/>
  <c r="G23" i="63"/>
  <c r="R23" i="63"/>
  <c r="Q23" i="63"/>
  <c r="V23" i="63"/>
  <c r="U23" i="63"/>
  <c r="J25" i="63"/>
  <c r="I25" i="63"/>
  <c r="H25" i="63"/>
  <c r="G25" i="63"/>
  <c r="R25" i="63"/>
  <c r="Q25" i="63"/>
  <c r="V25" i="63"/>
  <c r="U25" i="63"/>
  <c r="J27" i="63"/>
  <c r="I27" i="63"/>
  <c r="H27" i="63"/>
  <c r="G27" i="63"/>
  <c r="R27" i="63"/>
  <c r="Q27" i="63"/>
  <c r="V27" i="63"/>
  <c r="U27" i="63"/>
  <c r="J29" i="63"/>
  <c r="I29" i="63"/>
  <c r="H29" i="63"/>
  <c r="G29" i="63"/>
  <c r="R29" i="63"/>
  <c r="Q29" i="63"/>
  <c r="V29" i="63"/>
  <c r="U29" i="63"/>
  <c r="J31" i="63"/>
  <c r="I31" i="63"/>
  <c r="H31" i="63"/>
  <c r="G31" i="63"/>
  <c r="R31" i="63"/>
  <c r="Q31" i="63"/>
  <c r="E33" i="33"/>
  <c r="C31" i="63" s="1"/>
  <c r="F5" i="33"/>
  <c r="L41" i="63"/>
  <c r="K41" i="63"/>
  <c r="P41" i="63"/>
  <c r="O41" i="63"/>
  <c r="T41" i="63"/>
  <c r="S41" i="63"/>
  <c r="E33" i="23"/>
  <c r="C41" i="63" s="1"/>
  <c r="F5" i="23"/>
  <c r="R46" i="63"/>
  <c r="Q46" i="63"/>
  <c r="E33" i="45"/>
  <c r="C19" i="63" s="1"/>
  <c r="F5" i="45"/>
  <c r="L19" i="63"/>
  <c r="K19" i="63"/>
  <c r="P19" i="63"/>
  <c r="O19" i="63"/>
  <c r="T19" i="63"/>
  <c r="S19" i="63"/>
  <c r="E33" i="47"/>
  <c r="C17" i="63" s="1"/>
  <c r="F5" i="47"/>
  <c r="L17" i="63"/>
  <c r="K17" i="63"/>
  <c r="P17" i="63"/>
  <c r="O17" i="63"/>
  <c r="T17" i="63"/>
  <c r="S17" i="63"/>
  <c r="E33" i="30"/>
  <c r="C34" i="63" s="1"/>
  <c r="F5" i="30"/>
  <c r="J34" i="63"/>
  <c r="I34" i="63"/>
  <c r="H34" i="63"/>
  <c r="G34" i="63"/>
  <c r="R34" i="63"/>
  <c r="Q34" i="63"/>
  <c r="V34" i="63"/>
  <c r="U34" i="63"/>
  <c r="E33" i="5"/>
  <c r="C59" i="63" s="1"/>
  <c r="F5" i="5"/>
  <c r="R59" i="63"/>
  <c r="Q59" i="63"/>
  <c r="J62" i="63"/>
  <c r="I62" i="63"/>
  <c r="H62" i="63"/>
  <c r="G62" i="63"/>
  <c r="R62" i="63"/>
  <c r="Q62" i="63"/>
  <c r="V62" i="63"/>
  <c r="U62" i="63"/>
  <c r="L16" i="63"/>
  <c r="K16" i="63"/>
  <c r="P16" i="63"/>
  <c r="O16" i="63"/>
  <c r="T16" i="63"/>
  <c r="S16" i="63"/>
  <c r="E33" i="48"/>
  <c r="C16" i="63" s="1"/>
  <c r="F5" i="48"/>
  <c r="J26" i="63"/>
  <c r="I26" i="63"/>
  <c r="H26" i="63"/>
  <c r="G26" i="63"/>
  <c r="R26" i="63"/>
  <c r="Q26" i="63"/>
  <c r="V26" i="63"/>
  <c r="U26" i="63"/>
  <c r="J24" i="63"/>
  <c r="I24" i="63"/>
  <c r="H24" i="63"/>
  <c r="G24" i="63"/>
  <c r="R24" i="63"/>
  <c r="Q24" i="63"/>
  <c r="E33" i="26"/>
  <c r="C38" i="63" s="1"/>
  <c r="F5" i="26"/>
  <c r="L38" i="63"/>
  <c r="K38" i="63"/>
  <c r="P38" i="63"/>
  <c r="O38" i="63"/>
  <c r="T38" i="63"/>
  <c r="S38" i="63"/>
  <c r="J37" i="63"/>
  <c r="I37" i="63"/>
  <c r="H37" i="63"/>
  <c r="G37" i="63"/>
  <c r="R37" i="63"/>
  <c r="Q37" i="63"/>
  <c r="V37" i="63"/>
  <c r="U37" i="63"/>
  <c r="E33" i="10"/>
  <c r="C54" i="63" s="1"/>
  <c r="F5" i="10"/>
  <c r="L54" i="63"/>
  <c r="K54" i="63"/>
  <c r="P54" i="63"/>
  <c r="O54" i="63"/>
  <c r="T54" i="63"/>
  <c r="S54" i="63"/>
  <c r="L56" i="63"/>
  <c r="K56" i="63"/>
  <c r="P56" i="63"/>
  <c r="O56" i="63"/>
  <c r="T56" i="63"/>
  <c r="S56" i="63"/>
  <c r="E33" i="8"/>
  <c r="C56" i="63" s="1"/>
  <c r="F5" i="8"/>
  <c r="E33" i="51"/>
  <c r="C13" i="63" s="1"/>
  <c r="F5" i="51"/>
  <c r="L13" i="63"/>
  <c r="K13" i="63"/>
  <c r="P13" i="63"/>
  <c r="O13" i="63"/>
  <c r="T13" i="63"/>
  <c r="S13" i="63"/>
  <c r="J12" i="63"/>
  <c r="I12" i="63"/>
  <c r="H12" i="63"/>
  <c r="G12" i="63"/>
  <c r="R12" i="63"/>
  <c r="Q12" i="63"/>
  <c r="E33" i="52"/>
  <c r="C12" i="63" s="1"/>
  <c r="F5" i="52"/>
  <c r="L14" i="63"/>
  <c r="K14" i="63"/>
  <c r="P14" i="63"/>
  <c r="O14" i="63"/>
  <c r="T14" i="63"/>
  <c r="S14" i="63"/>
  <c r="E33" i="50"/>
  <c r="C14" i="63" s="1"/>
  <c r="F5" i="50"/>
  <c r="L18" i="63"/>
  <c r="K18" i="63"/>
  <c r="P18" i="63"/>
  <c r="O18" i="63"/>
  <c r="T18" i="63"/>
  <c r="S18" i="63"/>
  <c r="E33" i="46"/>
  <c r="C18" i="63" s="1"/>
  <c r="F5" i="46"/>
  <c r="J42" i="63"/>
  <c r="I42" i="63"/>
  <c r="H42" i="63"/>
  <c r="G42" i="63"/>
  <c r="R42" i="63"/>
  <c r="Q42" i="63"/>
  <c r="J51" i="63"/>
  <c r="I51" i="63"/>
  <c r="H51" i="63"/>
  <c r="G51" i="63"/>
  <c r="R51" i="63"/>
  <c r="Q51" i="63"/>
  <c r="V51" i="63"/>
  <c r="U51" i="63"/>
  <c r="J53" i="63"/>
  <c r="I53" i="63"/>
  <c r="H53" i="63"/>
  <c r="G53" i="63"/>
  <c r="R53" i="63"/>
  <c r="Q53" i="63"/>
  <c r="V53" i="63"/>
  <c r="U53" i="63"/>
  <c r="J8" i="63"/>
  <c r="I8" i="63"/>
  <c r="H8" i="63"/>
  <c r="G8" i="63"/>
  <c r="R8" i="63"/>
  <c r="Q8" i="63"/>
  <c r="V8" i="63"/>
  <c r="U8" i="63"/>
  <c r="E33" i="42"/>
  <c r="C22" i="63" s="1"/>
  <c r="F5" i="42"/>
  <c r="L22" i="63"/>
  <c r="K22" i="63"/>
  <c r="P22" i="63"/>
  <c r="O22" i="63"/>
  <c r="T22" i="63"/>
  <c r="S22" i="63"/>
  <c r="E33" i="24"/>
  <c r="C40" i="63" s="1"/>
  <c r="F5" i="24"/>
  <c r="L40" i="63"/>
  <c r="K40" i="63"/>
  <c r="P40" i="63"/>
  <c r="O40" i="63"/>
  <c r="T40" i="63"/>
  <c r="S40" i="63"/>
  <c r="E33" i="28"/>
  <c r="C36" i="63" s="1"/>
  <c r="F5" i="28"/>
  <c r="L36" i="63"/>
  <c r="K36" i="63"/>
  <c r="P36" i="63"/>
  <c r="O36" i="63"/>
  <c r="T36" i="63"/>
  <c r="S36" i="63"/>
  <c r="E33" i="19"/>
  <c r="C45" i="63" s="1"/>
  <c r="F5" i="19"/>
  <c r="L45" i="63"/>
  <c r="K45" i="63"/>
  <c r="P45" i="63"/>
  <c r="O45" i="63"/>
  <c r="V45" i="63"/>
  <c r="U45" i="63"/>
  <c r="J43" i="63"/>
  <c r="I43" i="63"/>
  <c r="H43" i="63"/>
  <c r="G43" i="63"/>
  <c r="R43" i="63"/>
  <c r="Q43" i="63"/>
  <c r="V43" i="63"/>
  <c r="U43" i="63"/>
  <c r="J9" i="63"/>
  <c r="I9" i="63"/>
  <c r="H9" i="63"/>
  <c r="G9" i="63"/>
  <c r="R9" i="63"/>
  <c r="Q9" i="63"/>
  <c r="V9" i="63"/>
  <c r="U9" i="63"/>
  <c r="E33" i="34"/>
  <c r="C30" i="63" s="1"/>
  <c r="F5" i="34"/>
  <c r="L30" i="63"/>
  <c r="K30" i="63"/>
  <c r="P30" i="63"/>
  <c r="O30" i="63"/>
  <c r="T30" i="63"/>
  <c r="S30" i="63"/>
  <c r="P44" i="63"/>
  <c r="O44" i="63"/>
  <c r="E33" i="20"/>
  <c r="C44" i="63" s="1"/>
  <c r="F5" i="20"/>
  <c r="R48" i="63"/>
  <c r="Q48" i="63"/>
  <c r="E33" i="7"/>
  <c r="C57" i="63" s="1"/>
  <c r="F5" i="7"/>
  <c r="J57" i="63"/>
  <c r="I57" i="63"/>
  <c r="H57" i="63"/>
  <c r="G57" i="63"/>
  <c r="R57" i="63"/>
  <c r="Q57" i="63"/>
  <c r="V57" i="63"/>
  <c r="U57" i="63"/>
  <c r="E33" i="6"/>
  <c r="C58" i="63" s="1"/>
  <c r="F5" i="6"/>
  <c r="L58" i="63"/>
  <c r="K58" i="63"/>
  <c r="P58" i="63"/>
  <c r="O58" i="63"/>
  <c r="T58" i="63"/>
  <c r="S58" i="63"/>
  <c r="G63" i="62" l="1"/>
  <c r="F98" i="60"/>
  <c r="F100" i="60"/>
  <c r="F99" i="60"/>
  <c r="K64" i="63" s="1"/>
  <c r="F104" i="60"/>
  <c r="N64" i="62"/>
  <c r="R64" i="62"/>
  <c r="M65" i="62"/>
  <c r="F64" i="62"/>
  <c r="V64" i="62"/>
  <c r="I65" i="62"/>
  <c r="Q65" i="62"/>
  <c r="D64" i="62"/>
  <c r="L62" i="62"/>
  <c r="T62" i="62"/>
  <c r="G65" i="62"/>
  <c r="O63" i="62"/>
  <c r="W65" i="62"/>
  <c r="Q64" i="62"/>
  <c r="M64" i="62"/>
  <c r="I64" i="62"/>
  <c r="Z65" i="62"/>
  <c r="V65" i="62"/>
  <c r="R65" i="62"/>
  <c r="N65" i="62"/>
  <c r="J65" i="62"/>
  <c r="F65" i="62"/>
  <c r="W64" i="62"/>
  <c r="O62" i="62"/>
  <c r="G64" i="62"/>
  <c r="T63" i="62"/>
  <c r="L63" i="62"/>
  <c r="D65" i="62"/>
  <c r="F103" i="60"/>
  <c r="S64" i="63" s="1"/>
  <c r="U64" i="63"/>
  <c r="F102" i="60"/>
  <c r="Q64" i="63" s="1"/>
  <c r="G64" i="63"/>
  <c r="P64" i="62"/>
  <c r="C65" i="62"/>
  <c r="X65" i="62"/>
  <c r="C64" i="62"/>
  <c r="K64" i="62"/>
  <c r="S63" i="62"/>
  <c r="H65" i="62"/>
  <c r="P65" i="62"/>
  <c r="AA62" i="62"/>
  <c r="S62" i="62"/>
  <c r="H62" i="62"/>
  <c r="K62" i="62"/>
  <c r="C62" i="62"/>
  <c r="X63" i="62"/>
  <c r="P63" i="62"/>
  <c r="H63" i="62"/>
  <c r="L28" i="63"/>
  <c r="K28" i="63"/>
  <c r="T28" i="63"/>
  <c r="S28" i="63"/>
  <c r="H28" i="63"/>
  <c r="G28" i="63"/>
  <c r="J28" i="63"/>
  <c r="I28" i="63"/>
  <c r="V28" i="63"/>
  <c r="U28" i="63"/>
  <c r="E33" i="31"/>
  <c r="F5" i="31"/>
  <c r="C33" i="63"/>
  <c r="G33" i="63"/>
  <c r="H33" i="63"/>
  <c r="U33" i="63"/>
  <c r="V33" i="63"/>
  <c r="T33" i="63"/>
  <c r="S33" i="63"/>
  <c r="T32" i="63"/>
  <c r="S32" i="63"/>
  <c r="G32" i="63"/>
  <c r="H32" i="63"/>
  <c r="V32" i="63"/>
  <c r="U32" i="63"/>
  <c r="P32" i="63"/>
  <c r="O32" i="63"/>
  <c r="R28" i="63"/>
  <c r="Q28" i="63"/>
  <c r="P33" i="63"/>
  <c r="O33" i="63"/>
  <c r="I33" i="63"/>
  <c r="J33" i="63"/>
  <c r="Q33" i="63"/>
  <c r="R33" i="63"/>
  <c r="L33" i="63"/>
  <c r="K33" i="63"/>
  <c r="E33" i="32"/>
  <c r="C32" i="63" s="1"/>
  <c r="F5" i="32"/>
  <c r="L32" i="63"/>
  <c r="K32" i="63"/>
  <c r="I32" i="63"/>
  <c r="J32" i="63"/>
  <c r="J64" i="63" s="1"/>
  <c r="Q32" i="63"/>
  <c r="R32" i="63"/>
  <c r="E33" i="36"/>
  <c r="C28" i="63" s="1"/>
  <c r="F5" i="36"/>
  <c r="P28" i="63"/>
  <c r="P64" i="63" s="1"/>
  <c r="O28" i="63"/>
  <c r="E33" i="60"/>
  <c r="C64" i="63" s="1"/>
  <c r="B55" i="62"/>
  <c r="D55" i="65"/>
  <c r="E55" i="65" s="1"/>
  <c r="F33" i="6"/>
  <c r="AD55" i="62" s="1"/>
  <c r="B41" i="62"/>
  <c r="D41" i="65"/>
  <c r="E41" i="65" s="1"/>
  <c r="F33" i="20"/>
  <c r="AD41" i="62" s="1"/>
  <c r="B42" i="62"/>
  <c r="D42" i="65"/>
  <c r="E42" i="65" s="1"/>
  <c r="F33" i="19"/>
  <c r="AD42" i="62" s="1"/>
  <c r="B37" i="62"/>
  <c r="D37" i="65"/>
  <c r="E37" i="65" s="1"/>
  <c r="F33" i="24"/>
  <c r="AD37" i="62" s="1"/>
  <c r="D11" i="65"/>
  <c r="E11" i="65" s="1"/>
  <c r="F33" i="50"/>
  <c r="AD11" i="62" s="1"/>
  <c r="D10" i="65"/>
  <c r="E10" i="65" s="1"/>
  <c r="F33" i="51"/>
  <c r="AD10" i="62" s="1"/>
  <c r="D51" i="65"/>
  <c r="E51" i="65" s="1"/>
  <c r="F33" i="10"/>
  <c r="AD51" i="62" s="1"/>
  <c r="D13" i="65"/>
  <c r="E13" i="65" s="1"/>
  <c r="F33" i="48"/>
  <c r="AD13" i="62" s="1"/>
  <c r="B31" i="62"/>
  <c r="D16" i="65"/>
  <c r="E16" i="65" s="1"/>
  <c r="F33" i="45"/>
  <c r="AD16" i="62" s="1"/>
  <c r="D28" i="65"/>
  <c r="E28" i="65" s="1"/>
  <c r="F33" i="33"/>
  <c r="AD28" i="62" s="1"/>
  <c r="D60" i="65"/>
  <c r="E60" i="65" s="1"/>
  <c r="F33" i="1"/>
  <c r="AD60" i="62" s="1"/>
  <c r="B47" i="62"/>
  <c r="D47" i="65"/>
  <c r="E47" i="65" s="1"/>
  <c r="F33" i="14"/>
  <c r="AD47" i="62" s="1"/>
  <c r="B45" i="62"/>
  <c r="D45" i="65"/>
  <c r="E45" i="65" s="1"/>
  <c r="F33" i="16"/>
  <c r="AD45" i="62" s="1"/>
  <c r="B40" i="62"/>
  <c r="D40" i="65"/>
  <c r="E40" i="65" s="1"/>
  <c r="F33" i="21"/>
  <c r="AD40" i="62" s="1"/>
  <c r="B50" i="62"/>
  <c r="D50" i="65"/>
  <c r="E50" i="65" s="1"/>
  <c r="F33" i="11"/>
  <c r="AD50" i="62" s="1"/>
  <c r="B39" i="62"/>
  <c r="D39" i="65"/>
  <c r="E39" i="65" s="1"/>
  <c r="F33" i="22"/>
  <c r="AD39" i="62" s="1"/>
  <c r="B34" i="62"/>
  <c r="D34" i="65"/>
  <c r="E34" i="65" s="1"/>
  <c r="F33" i="27"/>
  <c r="AD34" i="62" s="1"/>
  <c r="B23" i="62"/>
  <c r="D23" i="65"/>
  <c r="E23" i="65" s="1"/>
  <c r="F33" i="38"/>
  <c r="AD23" i="62" s="1"/>
  <c r="B43" i="62"/>
  <c r="D43" i="65"/>
  <c r="E43" i="65" s="1"/>
  <c r="F33" i="18"/>
  <c r="AD43" i="62" s="1"/>
  <c r="B24" i="62"/>
  <c r="D24" i="65"/>
  <c r="E24" i="65" s="1"/>
  <c r="F33" i="37"/>
  <c r="AD24" i="62" s="1"/>
  <c r="B20" i="62"/>
  <c r="D20" i="65"/>
  <c r="E20" i="65" s="1"/>
  <c r="F33" i="41"/>
  <c r="AD20" i="62" s="1"/>
  <c r="B7" i="62"/>
  <c r="D7" i="65"/>
  <c r="E7" i="65" s="1"/>
  <c r="F33" i="54"/>
  <c r="AD7" i="62" s="1"/>
  <c r="B36" i="62"/>
  <c r="D36" i="65"/>
  <c r="E36" i="65" s="1"/>
  <c r="F33" i="25"/>
  <c r="AD36" i="62" s="1"/>
  <c r="B49" i="62"/>
  <c r="D49" i="65"/>
  <c r="E49" i="65" s="1"/>
  <c r="F33" i="12"/>
  <c r="AD49" i="62" s="1"/>
  <c r="B44" i="62"/>
  <c r="D44" i="65"/>
  <c r="E44" i="65" s="1"/>
  <c r="F33" i="17"/>
  <c r="AD44" i="62" s="1"/>
  <c r="B11" i="62"/>
  <c r="B10" i="62"/>
  <c r="B51" i="62"/>
  <c r="B13" i="62"/>
  <c r="D31" i="65"/>
  <c r="E31" i="65" s="1"/>
  <c r="F33" i="30"/>
  <c r="AD31" i="62" s="1"/>
  <c r="B16" i="62"/>
  <c r="B28" i="62"/>
  <c r="B60" i="62"/>
  <c r="B54" i="62"/>
  <c r="D54" i="65"/>
  <c r="E54" i="65" s="1"/>
  <c r="F33" i="7"/>
  <c r="AD54" i="62" s="1"/>
  <c r="B27" i="62"/>
  <c r="D27" i="65"/>
  <c r="E27" i="65" s="1"/>
  <c r="F33" i="34"/>
  <c r="AD27" i="62" s="1"/>
  <c r="B33" i="62"/>
  <c r="D33" i="65"/>
  <c r="E33" i="65" s="1"/>
  <c r="F33" i="28"/>
  <c r="AD33" i="62" s="1"/>
  <c r="B19" i="62"/>
  <c r="D19" i="65"/>
  <c r="E19" i="65" s="1"/>
  <c r="F33" i="42"/>
  <c r="AD19" i="62" s="1"/>
  <c r="H64" i="63"/>
  <c r="I64" i="63"/>
  <c r="B15" i="62"/>
  <c r="D15" i="65"/>
  <c r="E15" i="65" s="1"/>
  <c r="F33" i="46"/>
  <c r="AD15" i="62" s="1"/>
  <c r="B9" i="62"/>
  <c r="D9" i="65"/>
  <c r="E9" i="65" s="1"/>
  <c r="F33" i="52"/>
  <c r="AD9" i="62" s="1"/>
  <c r="B53" i="62"/>
  <c r="D53" i="65"/>
  <c r="E53" i="65" s="1"/>
  <c r="F33" i="8"/>
  <c r="AD53" i="62" s="1"/>
  <c r="B35" i="62"/>
  <c r="D35" i="65"/>
  <c r="E35" i="65" s="1"/>
  <c r="F33" i="26"/>
  <c r="AD35" i="62" s="1"/>
  <c r="B56" i="62"/>
  <c r="D56" i="65"/>
  <c r="E56" i="65" s="1"/>
  <c r="F33" i="5"/>
  <c r="AD56" i="62" s="1"/>
  <c r="B14" i="62"/>
  <c r="D14" i="65"/>
  <c r="E14" i="65" s="1"/>
  <c r="F33" i="47"/>
  <c r="AD14" i="62" s="1"/>
  <c r="B38" i="62"/>
  <c r="D38" i="65"/>
  <c r="E38" i="65" s="1"/>
  <c r="F33" i="23"/>
  <c r="AD38" i="62" s="1"/>
  <c r="B12" i="62"/>
  <c r="D12" i="65"/>
  <c r="E12" i="65" s="1"/>
  <c r="F33" i="49"/>
  <c r="AD12" i="62" s="1"/>
  <c r="B52" i="62"/>
  <c r="D52" i="65"/>
  <c r="E52" i="65" s="1"/>
  <c r="F33" i="9"/>
  <c r="AD52" i="62" s="1"/>
  <c r="B32" i="62"/>
  <c r="D32" i="65"/>
  <c r="E32" i="65" s="1"/>
  <c r="F33" i="29"/>
  <c r="AD32" i="62" s="1"/>
  <c r="B4" i="62"/>
  <c r="D4" i="65"/>
  <c r="F33" i="57"/>
  <c r="AD4" i="62" s="1"/>
  <c r="B6" i="62"/>
  <c r="D6" i="65"/>
  <c r="E6" i="65" s="1"/>
  <c r="F33" i="55"/>
  <c r="AD6" i="62" s="1"/>
  <c r="B5" i="62"/>
  <c r="D5" i="65"/>
  <c r="E5" i="65" s="1"/>
  <c r="F33" i="56"/>
  <c r="AD5" i="62" s="1"/>
  <c r="L64" i="63"/>
  <c r="B48" i="62"/>
  <c r="D48" i="65"/>
  <c r="E48" i="65" s="1"/>
  <c r="F33" i="13"/>
  <c r="AD48" i="62" s="1"/>
  <c r="B21" i="62"/>
  <c r="D21" i="65"/>
  <c r="E21" i="65" s="1"/>
  <c r="F33" i="40"/>
  <c r="AD21" i="62" s="1"/>
  <c r="B59" i="62"/>
  <c r="D59" i="65"/>
  <c r="E59" i="65" s="1"/>
  <c r="F33" i="59"/>
  <c r="AD59" i="62" s="1"/>
  <c r="B26" i="62"/>
  <c r="D26" i="65"/>
  <c r="E26" i="65" s="1"/>
  <c r="F33" i="35"/>
  <c r="AD26" i="62" s="1"/>
  <c r="B22" i="62"/>
  <c r="D22" i="65"/>
  <c r="E22" i="65" s="1"/>
  <c r="F33" i="39"/>
  <c r="AD22" i="62" s="1"/>
  <c r="B18" i="62"/>
  <c r="D18" i="65"/>
  <c r="E18" i="65" s="1"/>
  <c r="F33" i="43"/>
  <c r="AD18" i="62" s="1"/>
  <c r="B57" i="62"/>
  <c r="D57" i="65"/>
  <c r="E57" i="65" s="1"/>
  <c r="F33" i="4"/>
  <c r="AD57" i="62" s="1"/>
  <c r="B8" i="62"/>
  <c r="D8" i="65"/>
  <c r="E8" i="65" s="1"/>
  <c r="F33" i="53"/>
  <c r="AD8" i="62" s="1"/>
  <c r="B58" i="62"/>
  <c r="D58" i="65"/>
  <c r="E58" i="65" s="1"/>
  <c r="F33" i="3"/>
  <c r="AD58" i="62" s="1"/>
  <c r="B46" i="62"/>
  <c r="D46" i="65"/>
  <c r="E46" i="65" s="1"/>
  <c r="F33" i="15"/>
  <c r="AD46" i="62" s="1"/>
  <c r="B17" i="62"/>
  <c r="D17" i="65"/>
  <c r="E17" i="65" s="1"/>
  <c r="F33" i="44"/>
  <c r="AD17" i="62" s="1"/>
  <c r="R64" i="63" l="1"/>
  <c r="D13" i="63"/>
  <c r="D16" i="63"/>
  <c r="D54" i="63"/>
  <c r="D14" i="63"/>
  <c r="V64" i="63"/>
  <c r="T64" i="63"/>
  <c r="F105" i="60"/>
  <c r="D63" i="63"/>
  <c r="D31" i="63"/>
  <c r="D19" i="63"/>
  <c r="D60" i="63"/>
  <c r="D20" i="63"/>
  <c r="D62" i="63"/>
  <c r="D24" i="63"/>
  <c r="D22" i="63"/>
  <c r="D36" i="63"/>
  <c r="D30" i="63"/>
  <c r="D52" i="63"/>
  <c r="D48" i="63"/>
  <c r="D35" i="63"/>
  <c r="D55" i="63"/>
  <c r="D15" i="63"/>
  <c r="D41" i="63"/>
  <c r="D17" i="63"/>
  <c r="D59" i="63"/>
  <c r="D39" i="63"/>
  <c r="D23" i="63"/>
  <c r="D27" i="63"/>
  <c r="D37" i="63"/>
  <c r="D53" i="63"/>
  <c r="D45" i="63"/>
  <c r="D9" i="63"/>
  <c r="D7" i="63"/>
  <c r="D49" i="63"/>
  <c r="D61" i="63"/>
  <c r="D11" i="63"/>
  <c r="D21" i="63"/>
  <c r="D25" i="63"/>
  <c r="D29" i="63"/>
  <c r="D51" i="63"/>
  <c r="D8" i="63"/>
  <c r="D38" i="63"/>
  <c r="D56" i="63"/>
  <c r="D12" i="63"/>
  <c r="D18" i="63"/>
  <c r="D57" i="63"/>
  <c r="D47" i="63"/>
  <c r="D10" i="63"/>
  <c r="D46" i="63"/>
  <c r="D26" i="63"/>
  <c r="D42" i="63"/>
  <c r="D43" i="63"/>
  <c r="D50" i="63"/>
  <c r="D34" i="63"/>
  <c r="D40" i="63"/>
  <c r="D44" i="63"/>
  <c r="D58" i="63"/>
  <c r="D25" i="65"/>
  <c r="E25" i="65" s="1"/>
  <c r="F33" i="36"/>
  <c r="AD25" i="62" s="1"/>
  <c r="B29" i="62"/>
  <c r="B30" i="62"/>
  <c r="B25" i="62"/>
  <c r="F33" i="32"/>
  <c r="AD29" i="62" s="1"/>
  <c r="D29" i="65"/>
  <c r="E29" i="65" s="1"/>
  <c r="F33" i="31"/>
  <c r="AD30" i="62" s="1"/>
  <c r="AD65" i="62" s="1"/>
  <c r="D30" i="65"/>
  <c r="E30" i="65" s="1"/>
  <c r="E4" i="65"/>
  <c r="B61" i="65"/>
  <c r="F18" i="60"/>
  <c r="F11" i="60"/>
  <c r="F27" i="60"/>
  <c r="F12" i="60"/>
  <c r="F28" i="60"/>
  <c r="F21" i="60"/>
  <c r="F14" i="60"/>
  <c r="F30" i="60"/>
  <c r="F15" i="60"/>
  <c r="F16" i="60"/>
  <c r="F9" i="60"/>
  <c r="F25" i="60"/>
  <c r="F10" i="60"/>
  <c r="F26" i="60"/>
  <c r="F19" i="60"/>
  <c r="F20" i="60"/>
  <c r="F13" i="60"/>
  <c r="F29" i="60"/>
  <c r="F6" i="60"/>
  <c r="F22" i="60"/>
  <c r="F7" i="60"/>
  <c r="F23" i="60"/>
  <c r="F8" i="60"/>
  <c r="F24" i="60"/>
  <c r="F17" i="60"/>
  <c r="F5" i="60"/>
  <c r="F33" i="60"/>
  <c r="AD61" i="62" s="1"/>
  <c r="C61" i="65" l="1"/>
  <c r="C64" i="65" s="1"/>
  <c r="B62" i="62"/>
  <c r="AD64" i="62"/>
  <c r="B63" i="62"/>
  <c r="B64" i="62"/>
  <c r="B65" i="62"/>
  <c r="D61" i="65"/>
  <c r="E61" i="65" s="1"/>
  <c r="D28" i="63"/>
  <c r="D32" i="63"/>
  <c r="D33" i="63"/>
  <c r="AD63" i="62"/>
  <c r="AD62" i="62"/>
  <c r="B61" i="62"/>
  <c r="U61" i="62"/>
  <c r="T61" i="62"/>
  <c r="S61" i="62"/>
  <c r="Z61" i="62"/>
  <c r="Q61" i="62"/>
  <c r="W61" i="62"/>
  <c r="V61" i="62"/>
  <c r="M61" i="62"/>
  <c r="AA61" i="62"/>
  <c r="R61" i="62"/>
  <c r="I61" i="62"/>
  <c r="H61" i="62"/>
  <c r="N61" i="62"/>
  <c r="E61" i="62"/>
  <c r="D61" i="62"/>
  <c r="C61" i="62"/>
  <c r="J61" i="62"/>
  <c r="P61" i="62"/>
  <c r="G61" i="62"/>
  <c r="F61" i="62"/>
  <c r="L61" i="62"/>
  <c r="K61" i="62"/>
  <c r="Y61" i="62"/>
  <c r="X61" i="62"/>
  <c r="O61" i="62"/>
  <c r="D64" i="63" l="1"/>
</calcChain>
</file>

<file path=xl/connections.xml><?xml version="1.0" encoding="utf-8"?>
<connections xmlns="http://schemas.openxmlformats.org/spreadsheetml/2006/main">
  <connection id="1" keepAlive="1" name="Broadway AP_FRP_RFOE CCSurvey" type="5" refreshedVersion="4" deleted="1" background="1" saveData="1">
    <dbPr connection="" command="" commandType="3"/>
  </connection>
</connections>
</file>

<file path=xl/sharedStrings.xml><?xml version="1.0" encoding="utf-8"?>
<sst xmlns="http://schemas.openxmlformats.org/spreadsheetml/2006/main" count="9487" uniqueCount="1088">
  <si>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</si>
  <si>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</si>
  <si>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</si>
  <si>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</si>
  <si>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</si>
  <si>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</si>
  <si>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</si>
  <si>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</si>
  <si>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</si>
  <si>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</si>
  <si>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</si>
  <si>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</si>
  <si>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</si>
  <si>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</si>
  <si>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</si>
  <si>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</si>
  <si>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</si>
  <si>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</si>
  <si>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</si>
  <si>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</si>
  <si>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</si>
  <si>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</si>
  <si>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</si>
  <si>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</si>
  <si>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</si>
  <si>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</si>
  <si>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</si>
  <si>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</si>
  <si>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</si>
  <si>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</si>
  <si>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</si>
  <si>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</si>
  <si>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</si>
  <si>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</si>
  <si>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</si>
  <si>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</si>
  <si>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</si>
  <si>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</si>
  <si>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</si>
  <si>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</si>
  <si>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</si>
  <si>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</si>
  <si>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</si>
  <si>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</si>
  <si>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</si>
  <si>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</si>
  <si>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</si>
  <si>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</si>
  <si>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</si>
  <si>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</si>
  <si>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</si>
  <si>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</si>
  <si>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</si>
  <si>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</si>
  <si>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</si>
  <si>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</si>
  <si>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</si>
  <si>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</si>
  <si>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</si>
  <si>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</si>
  <si>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</si>
  <si>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</si>
  <si>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</si>
  <si>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</si>
  <si>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</si>
  <si>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</si>
  <si>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</si>
  <si>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</si>
  <si>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</si>
  <si>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</si>
  <si>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</si>
  <si>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</si>
  <si>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</si>
  <si>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</si>
  <si>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</si>
  <si>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</si>
  <si>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</si>
  <si>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</si>
  <si>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</si>
  <si>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</si>
  <si>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</si>
  <si>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</si>
  <si>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</si>
  <si>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</si>
  <si>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</si>
  <si>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</si>
  <si>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</si>
  <si>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</si>
  <si>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</si>
  <si>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</si>
  <si>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</si>
  <si>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</si>
  <si>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</si>
  <si>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</si>
  <si>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</si>
  <si>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</si>
  <si>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</si>
  <si>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</si>
  <si>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</si>
  <si>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</si>
  <si>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</si>
  <si>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</si>
  <si>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</si>
  <si>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</si>
  <si>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</si>
  <si>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</si>
  <si>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</si>
  <si>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</si>
  <si>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</si>
  <si>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</si>
  <si>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</si>
  <si>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</si>
  <si>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</si>
  <si>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</si>
  <si>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</si>
  <si>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</si>
  <si>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</si>
  <si>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</si>
  <si>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</si>
  <si>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</si>
  <si>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</si>
  <si>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</si>
  <si>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</si>
  <si>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</si>
  <si>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</si>
  <si>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</si>
  <si>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</si>
  <si>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</si>
  <si>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</si>
  <si>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</si>
  <si>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</si>
  <si>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</si>
  <si>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</si>
  <si>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</si>
  <si>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</si>
  <si>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</si>
  <si>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</si>
  <si>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</si>
  <si>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</si>
  <si>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</si>
  <si>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</si>
  <si>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</si>
  <si>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</si>
  <si>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</si>
  <si>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</si>
  <si>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</si>
  <si>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</si>
  <si>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</si>
  <si>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</si>
  <si>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</si>
  <si>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</si>
  <si>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</si>
  <si>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</si>
  <si>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</si>
  <si>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</si>
  <si>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</si>
  <si>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</si>
  <si>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</si>
  <si>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</si>
  <si>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</si>
  <si>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</si>
  <si>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</si>
  <si>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</si>
  <si>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</si>
  <si>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</si>
  <si>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</si>
  <si>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</si>
  <si>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</si>
  <si>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</si>
  <si>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</si>
  <si>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</si>
  <si>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</si>
  <si>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</si>
  <si>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</si>
  <si>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</si>
  <si>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</si>
  <si>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</si>
  <si>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</si>
  <si>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</si>
  <si>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</si>
  <si>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</si>
  <si>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</si>
  <si>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</si>
  <si>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</si>
  <si>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</si>
  <si>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</si>
  <si>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</si>
  <si>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</si>
  <si>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</si>
  <si>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</si>
  <si>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</si>
  <si>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</si>
  <si>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</si>
  <si>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</si>
  <si>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</si>
  <si>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</si>
  <si>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</si>
  <si>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</si>
  <si>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</si>
  <si>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</si>
  <si>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</si>
  <si>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</si>
  <si>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</si>
  <si>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</si>
  <si>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</si>
  <si>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</si>
  <si>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</si>
  <si>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</si>
  <si>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</si>
  <si>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</si>
  <si>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</si>
  <si>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</si>
  <si>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</si>
  <si>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</si>
  <si>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</si>
  <si>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</si>
  <si>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</si>
  <si>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</si>
  <si>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</si>
  <si>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</si>
  <si>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</si>
  <si>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</si>
  <si>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</si>
  <si>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</si>
  <si>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</si>
  <si>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</si>
  <si>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</si>
  <si>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</si>
  <si>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</si>
  <si>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</si>
  <si>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</si>
  <si>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</si>
  <si>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</si>
  <si>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</si>
  <si>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</si>
  <si>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</si>
  <si>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</si>
  <si>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</si>
  <si>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</si>
  <si>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</si>
  <si>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</si>
  <si>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</si>
  <si>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</si>
  <si>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</si>
  <si>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</si>
  <si>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</si>
  <si>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</si>
  <si>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</si>
  <si>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</si>
  <si>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</si>
  <si>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</si>
  <si>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</si>
  <si>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</si>
  <si>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</si>
  <si>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</si>
  <si>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</si>
  <si>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</si>
  <si>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</si>
  <si>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</si>
  <si>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</si>
  <si>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</si>
  <si>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</si>
  <si>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</si>
  <si>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</si>
  <si>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</si>
  <si>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</si>
  <si>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</si>
  <si>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</si>
  <si>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</si>
  <si>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</si>
  <si>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</si>
  <si>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</si>
  <si>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</si>
  <si>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</si>
  <si>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</si>
  <si>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</si>
  <si>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</si>
  <si>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</si>
  <si>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</si>
  <si>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</si>
  <si>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</si>
  <si>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</si>
  <si>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</si>
  <si>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</si>
  <si>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</si>
  <si>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</si>
  <si>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</si>
  <si>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</si>
  <si>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</si>
  <si>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</si>
  <si>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</si>
  <si>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</si>
  <si>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</si>
  <si>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</si>
  <si>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</si>
  <si>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</si>
  <si>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</si>
  <si>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</si>
  <si>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</si>
  <si>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</si>
  <si>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</si>
  <si>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</si>
  <si>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</si>
  <si>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</si>
  <si>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</si>
  <si>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</si>
  <si>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</si>
  <si>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</si>
  <si>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</si>
  <si>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</si>
  <si>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</si>
  <si>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</si>
  <si>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</si>
  <si>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</si>
  <si>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</si>
  <si>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</si>
  <si>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</si>
  <si>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</si>
  <si>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</si>
  <si>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</si>
  <si>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</si>
  <si>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</si>
  <si>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</si>
  <si>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</si>
  <si>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</si>
  <si>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</si>
  <si>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</si>
  <si>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</si>
  <si>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</si>
  <si>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</si>
  <si>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</si>
  <si>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</si>
  <si>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</si>
  <si>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</si>
  <si>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</si>
  <si>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</si>
  <si>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</si>
  <si>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</si>
  <si>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</si>
  <si>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</si>
  <si>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</si>
  <si>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</si>
  <si>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</si>
  <si>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</si>
  <si>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</si>
  <si>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</si>
  <si>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</si>
  <si>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</si>
  <si>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</si>
  <si>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</si>
  <si>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</si>
  <si>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</si>
  <si>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</si>
  <si>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</si>
  <si>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</si>
  <si>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</si>
  <si>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</si>
  <si>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</si>
  <si>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</si>
  <si>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</si>
  <si>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</si>
  <si>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</si>
  <si>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</si>
  <si>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</si>
  <si>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</si>
  <si>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</si>
  <si>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</si>
  <si>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</si>
  <si>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</si>
  <si>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</si>
  <si>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</si>
  <si>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Trinity Valley Community College</t>
  </si>
  <si>
    <t>003573</t>
  </si>
  <si>
    <t>Hill College</t>
  </si>
  <si>
    <t>003574</t>
  </si>
  <si>
    <t>Howard College</t>
  </si>
  <si>
    <t>003580</t>
  </si>
  <si>
    <t>Kilgore College</t>
  </si>
  <si>
    <t>003582</t>
  </si>
  <si>
    <t>Laredo Community College</t>
  </si>
  <si>
    <t>003583</t>
  </si>
  <si>
    <t>Lee College</t>
  </si>
  <si>
    <t>003590</t>
  </si>
  <si>
    <t>McLennan Community College</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</si>
  <si>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</si>
  <si>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</si>
  <si>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</si>
  <si>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</si>
  <si>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</si>
  <si>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</si>
  <si>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</si>
  <si>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</si>
  <si>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</si>
  <si>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</si>
  <si>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</si>
  <si>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</si>
  <si>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</si>
  <si>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</si>
  <si>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</si>
  <si>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</si>
  <si>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</si>
  <si>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</si>
  <si>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Tarrant County College District</t>
  </si>
  <si>
    <t>003627</t>
  </si>
  <si>
    <t>Temple College</t>
  </si>
  <si>
    <t>003628</t>
  </si>
  <si>
    <t>Texarkana College</t>
  </si>
  <si>
    <t>003634</t>
  </si>
  <si>
    <t>Texas State Technical College-Waco</t>
  </si>
  <si>
    <t>003643</t>
  </si>
  <si>
    <t>Texas Southmost College</t>
  </si>
  <si>
    <t>003648</t>
  </si>
  <si>
    <t>Tyler Junior College</t>
  </si>
  <si>
    <t>003662</t>
  </si>
  <si>
    <t>Victoria College, The</t>
  </si>
  <si>
    <t>003664</t>
  </si>
  <si>
    <t>Weatherford College</t>
  </si>
  <si>
    <t>003668</t>
  </si>
  <si>
    <t>Wharton County Junior College</t>
  </si>
  <si>
    <t>004003</t>
  </si>
  <si>
    <t>Central Texas College</t>
  </si>
  <si>
    <t>006661</t>
  </si>
  <si>
    <t>Angelina College</t>
  </si>
  <si>
    <t>006662</t>
  </si>
  <si>
    <t>Galveston College</t>
  </si>
  <si>
    <t>007096</t>
  </si>
  <si>
    <t>College of the Mainland Community College District</t>
  </si>
  <si>
    <t>007857</t>
  </si>
  <si>
    <t>Brazosport College</t>
  </si>
  <si>
    <t>009225</t>
  </si>
  <si>
    <t>Texas State Technical College-Harlingen</t>
  </si>
  <si>
    <t>009549</t>
  </si>
  <si>
    <t>Western Texas College</t>
  </si>
  <si>
    <t>009797</t>
  </si>
  <si>
    <t>Midland College</t>
  </si>
  <si>
    <t>009932</t>
  </si>
  <si>
    <t>Texas State Technical College-West Texas</t>
  </si>
  <si>
    <t>010060</t>
  </si>
  <si>
    <t>Vernon College</t>
  </si>
  <si>
    <t>010387</t>
  </si>
  <si>
    <t>El Paso Community College</t>
  </si>
  <si>
    <t>010633</t>
  </si>
  <si>
    <t>Houston Community College System</t>
  </si>
  <si>
    <t>011145</t>
  </si>
  <si>
    <t>012015</t>
  </si>
  <si>
    <t>Austin Community College</t>
  </si>
  <si>
    <t>023154</t>
  </si>
  <si>
    <t>Northeast Texas Community College</t>
  </si>
  <si>
    <t>023485</t>
  </si>
  <si>
    <t>Lamar State College-Port Arthur</t>
  </si>
  <si>
    <t>023582</t>
  </si>
  <si>
    <t>Lamar State College-Orange</t>
  </si>
  <si>
    <t>023614</t>
  </si>
  <si>
    <t>Collin County Community College District</t>
  </si>
  <si>
    <t>029150</t>
  </si>
  <si>
    <t>Dallas County Community College District</t>
  </si>
  <si>
    <t>South Texas College</t>
  </si>
  <si>
    <t>Texas State Technical Collage-Marshall</t>
  </si>
  <si>
    <t>Lamar Institute of Technology</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</si>
  <si>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</si>
  <si>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</si>
  <si>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</si>
  <si>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</si>
  <si>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</si>
  <si>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</si>
  <si>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</si>
  <si>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</si>
  <si>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</si>
  <si>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</si>
  <si>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</si>
  <si>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</si>
  <si>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</si>
  <si>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</si>
  <si>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</si>
  <si>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</si>
  <si>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</si>
  <si>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</si>
  <si>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</si>
  <si>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</si>
  <si>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</si>
  <si>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</si>
  <si>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</si>
  <si>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</si>
  <si>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</si>
  <si>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</si>
  <si>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</si>
  <si>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</si>
  <si>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</si>
  <si>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</si>
  <si>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</si>
  <si>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</si>
  <si>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</si>
  <si>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</si>
  <si>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</si>
  <si>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</si>
  <si>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</si>
  <si>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</si>
  <si>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</si>
  <si>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</si>
  <si>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</si>
  <si>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</si>
  <si>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</si>
  <si>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</si>
  <si>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</si>
  <si>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</si>
  <si>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</si>
  <si>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</si>
  <si>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</si>
  <si>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</si>
  <si>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</si>
  <si>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</si>
  <si>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</si>
  <si>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</si>
  <si>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</si>
  <si>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</si>
  <si>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</si>
  <si>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</si>
  <si>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</si>
  <si>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</si>
  <si>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</si>
  <si>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</si>
  <si>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</si>
  <si>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</si>
  <si>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</si>
  <si>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</si>
  <si>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</si>
  <si>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</si>
  <si>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</si>
  <si>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</si>
  <si>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</si>
  <si>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</si>
  <si>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</si>
  <si>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</si>
  <si>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</si>
  <si>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</si>
  <si>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</si>
  <si>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</si>
  <si>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</si>
  <si>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</si>
  <si>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</si>
  <si>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</si>
  <si>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</si>
  <si>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</si>
  <si>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</si>
  <si>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</si>
  <si>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</si>
  <si>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</si>
  <si>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</si>
  <si>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</si>
  <si>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</si>
  <si>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</si>
  <si>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</si>
  <si>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</si>
  <si>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</si>
  <si>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</si>
  <si>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</si>
  <si>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</si>
  <si>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</si>
  <si>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</si>
  <si>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</si>
  <si>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</si>
  <si>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</si>
  <si>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</si>
  <si>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</si>
  <si>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</si>
  <si>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</si>
  <si>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</si>
  <si>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</si>
  <si>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</si>
  <si>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</si>
  <si>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</si>
  <si>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</si>
  <si>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</si>
  <si>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</si>
  <si>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</si>
  <si>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</si>
  <si>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</si>
  <si>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</si>
  <si>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</si>
  <si>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</si>
  <si>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</si>
  <si>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</si>
  <si>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</si>
  <si>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</si>
  <si>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</si>
  <si>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</si>
  <si>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</si>
  <si>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</si>
  <si>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</si>
  <si>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</si>
  <si>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</si>
  <si>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</si>
  <si>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</si>
  <si>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</si>
  <si>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</si>
  <si>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</si>
  <si>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</si>
  <si>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</si>
  <si>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</si>
  <si>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</si>
  <si>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</si>
  <si>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</si>
  <si>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</si>
  <si>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</si>
  <si>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</si>
  <si>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</si>
  <si>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</si>
  <si>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</si>
  <si>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</si>
  <si>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</si>
  <si>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</si>
  <si>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</si>
  <si>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</si>
  <si>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</si>
  <si>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</si>
  <si>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</si>
  <si>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</si>
  <si>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</si>
  <si>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</si>
  <si>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</si>
  <si>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</si>
  <si>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</si>
  <si>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</si>
  <si>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</si>
  <si>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</si>
  <si>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</si>
  <si>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</si>
  <si>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</si>
  <si>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</si>
  <si>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</si>
  <si>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</si>
  <si>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</si>
  <si>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</si>
  <si>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</si>
  <si>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</si>
  <si>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</si>
  <si>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</si>
  <si>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</si>
  <si>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</si>
  <si>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</si>
  <si>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</si>
  <si>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</si>
  <si>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</si>
  <si>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</si>
  <si>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</si>
  <si>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</si>
  <si>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</si>
  <si>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</si>
  <si>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</si>
  <si>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</si>
  <si>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</si>
  <si>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</si>
  <si>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</si>
  <si>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</si>
  <si>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</si>
  <si>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</si>
  <si>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</si>
  <si>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</si>
  <si>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</si>
  <si>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</si>
  <si>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</si>
  <si>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</si>
  <si>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</si>
  <si>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</si>
  <si>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</si>
  <si>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</si>
  <si>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</si>
  <si>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</si>
  <si>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</si>
  <si>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</si>
  <si>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</si>
  <si>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</si>
  <si>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</si>
  <si>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</si>
  <si>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</si>
  <si>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</si>
  <si>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</si>
  <si>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</si>
  <si>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</si>
  <si>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</si>
  <si>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</si>
  <si>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</si>
  <si>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</si>
  <si>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</si>
  <si>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</si>
  <si>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</si>
  <si>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</si>
  <si>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</si>
  <si>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</si>
  <si>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</si>
  <si>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</si>
  <si>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</si>
  <si>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</si>
  <si>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</si>
  <si>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</si>
  <si>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</si>
  <si>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</si>
  <si>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</si>
  <si>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</si>
  <si>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</si>
  <si>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</si>
  <si>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</si>
  <si>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</si>
  <si>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</si>
  <si>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</si>
  <si>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</si>
  <si>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</si>
  <si>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</si>
  <si>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</si>
  <si>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</si>
  <si>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</si>
  <si>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</si>
  <si>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</si>
  <si>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</si>
  <si>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</si>
  <si>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</si>
  <si>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</si>
  <si>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</si>
  <si>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</si>
  <si>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</si>
  <si>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</si>
  <si>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</si>
  <si>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</si>
  <si>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</si>
  <si>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</si>
  <si>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</si>
  <si>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</si>
  <si>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</si>
  <si>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</si>
  <si>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</si>
  <si>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</si>
  <si>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</si>
  <si>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</si>
  <si>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</si>
  <si>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</si>
  <si>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</si>
  <si>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</si>
  <si>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</si>
  <si>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</si>
  <si>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</si>
  <si>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</si>
  <si>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</si>
  <si>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</si>
  <si>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</si>
  <si>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</si>
  <si>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</si>
  <si>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</si>
  <si>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</si>
  <si>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</si>
  <si>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</si>
  <si>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</si>
  <si>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</si>
  <si>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</si>
  <si>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</si>
  <si>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</si>
  <si>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</si>
  <si>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</si>
  <si>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</si>
  <si>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</si>
  <si>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</si>
  <si>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</si>
  <si>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</si>
  <si>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</si>
  <si>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</si>
  <si>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</si>
  <si>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</si>
  <si>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</si>
  <si>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</si>
  <si>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</si>
  <si>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</si>
  <si>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</si>
  <si>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</si>
  <si>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</si>
  <si>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</si>
  <si>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</si>
  <si>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</si>
  <si>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</si>
  <si>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</si>
  <si>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</si>
  <si>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</si>
  <si>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</si>
  <si>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</si>
  <si>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</si>
  <si>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</si>
  <si>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</si>
  <si>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</si>
  <si>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</si>
  <si>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</si>
  <si>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</si>
  <si>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</si>
  <si>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</si>
  <si>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</si>
  <si>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</si>
  <si>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</si>
  <si>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</si>
  <si>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</si>
  <si>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</si>
  <si>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</si>
  <si>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</si>
  <si>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</si>
  <si>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</si>
  <si>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</si>
  <si>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</si>
  <si>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</si>
  <si>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</si>
  <si>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</si>
  <si>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</si>
  <si>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</si>
  <si>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</si>
  <si>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</si>
  <si>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</si>
  <si>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</si>
  <si>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</si>
  <si>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</si>
  <si>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</si>
  <si>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</si>
  <si>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</si>
  <si>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</si>
  <si>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</si>
  <si>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</si>
  <si>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</si>
  <si>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</si>
  <si>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</si>
  <si>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</si>
  <si>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</si>
  <si>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</si>
  <si>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</si>
  <si>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</si>
  <si>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</si>
  <si>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</si>
  <si>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</si>
  <si>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</si>
  <si>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</si>
  <si>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</si>
  <si>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</si>
  <si>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</si>
  <si>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</si>
  <si>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</si>
  <si>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</si>
  <si>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</si>
  <si>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</si>
  <si>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</si>
  <si>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</si>
  <si>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</si>
  <si>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</si>
  <si>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</si>
  <si>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</si>
  <si>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</si>
  <si>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</si>
  <si>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</si>
  <si>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</si>
  <si>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</si>
  <si>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</si>
  <si>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</si>
  <si>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</si>
  <si>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</si>
  <si>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</si>
  <si>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</si>
  <si>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</si>
  <si>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</si>
  <si>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</si>
  <si>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</si>
  <si>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</si>
  <si>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</si>
  <si>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</si>
  <si>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</si>
  <si>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</si>
  <si>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</si>
  <si>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</si>
  <si>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</si>
  <si>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</si>
  <si>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</si>
  <si>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</si>
  <si>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</si>
  <si>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</si>
  <si>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</si>
  <si>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</si>
  <si>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</si>
  <si>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</si>
  <si>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</si>
  <si>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</si>
  <si>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</si>
  <si>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</si>
  <si>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</si>
  <si>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</si>
  <si>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</si>
  <si>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</si>
  <si>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</si>
  <si>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</si>
  <si>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</si>
  <si>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</si>
  <si>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</si>
  <si>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</si>
  <si>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</si>
  <si>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</si>
  <si>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</si>
  <si>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</si>
  <si>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</si>
  <si>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</si>
  <si>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</si>
  <si>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</si>
  <si>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</si>
  <si>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</si>
  <si>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</si>
  <si>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</si>
  <si>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</si>
  <si>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</si>
  <si>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</si>
  <si>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</si>
  <si>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</si>
  <si>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</si>
  <si>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</si>
  <si>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</si>
  <si>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</si>
  <si>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</si>
  <si>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</si>
  <si>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</si>
  <si>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</si>
  <si>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</si>
  <si>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</si>
  <si>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</si>
  <si>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</si>
  <si>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</si>
  <si>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</si>
  <si>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</si>
  <si>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</si>
  <si>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</si>
  <si>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</si>
  <si>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</si>
  <si>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</si>
  <si>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</si>
  <si>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</si>
  <si>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</si>
  <si>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</si>
  <si>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</si>
  <si>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</si>
  <si>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College Of The Mainland</t>
  </si>
  <si>
    <t>TSTC-Harlingen</t>
  </si>
  <si>
    <t>TSTC-West Texas</t>
  </si>
  <si>
    <t>TSTC-Marshall</t>
  </si>
  <si>
    <t>TSTC-Waco</t>
  </si>
  <si>
    <t>Lamar-IOT</t>
  </si>
  <si>
    <t>Lamar-Orange</t>
  </si>
  <si>
    <t>Lamar-Port Arthur</t>
  </si>
  <si>
    <t>Institution</t>
  </si>
  <si>
    <t>Discipline</t>
  </si>
  <si>
    <t>All Disciplines</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</si>
  <si>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</si>
  <si>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</si>
  <si>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</si>
  <si>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</si>
  <si>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</si>
  <si>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</si>
  <si>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</si>
  <si>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</si>
  <si>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</si>
  <si>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</si>
  <si>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</si>
  <si>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</si>
  <si>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</si>
  <si>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</si>
  <si>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</si>
  <si>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</si>
  <si>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</si>
  <si>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</si>
  <si>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</si>
  <si>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</si>
  <si>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</si>
  <si>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</si>
  <si>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</si>
  <si>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</si>
  <si>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</si>
  <si>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</si>
  <si>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</si>
  <si>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</si>
  <si>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</si>
  <si>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</si>
  <si>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</si>
  <si>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</si>
  <si>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</si>
  <si>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</si>
  <si>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</si>
  <si>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</si>
  <si>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</si>
  <si>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</si>
  <si>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</si>
  <si>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</si>
  <si>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</si>
  <si>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</si>
  <si>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</si>
  <si>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</si>
  <si>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</si>
  <si>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</si>
  <si>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</si>
  <si>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</si>
  <si>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</si>
  <si>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</si>
  <si>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</si>
  <si>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</si>
  <si>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</si>
  <si>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</si>
  <si>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</si>
  <si>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</si>
  <si>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</si>
  <si>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</si>
  <si>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</si>
  <si>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</si>
  <si>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</si>
  <si>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</si>
  <si>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</si>
  <si>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</si>
  <si>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Total FTSE</t>
  </si>
  <si>
    <t>Total Expenditure</t>
  </si>
  <si>
    <t>Average Expenditure per FTSE</t>
  </si>
  <si>
    <t>Total for Instutions Reporting Expense</t>
  </si>
  <si>
    <t>Summary of Expense divided  Contact Hours</t>
  </si>
  <si>
    <t>Average Total Expenditure per Full-Time Student Equivalent (FTSE)</t>
  </si>
  <si>
    <t>Discipline Analysis by Institution</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</si>
  <si>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</si>
  <si>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</si>
  <si>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</si>
  <si>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</si>
  <si>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</si>
  <si>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</si>
  <si>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</si>
  <si>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</si>
  <si>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</si>
  <si>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</si>
  <si>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</si>
  <si>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</si>
  <si>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</si>
  <si>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</si>
  <si>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</si>
  <si>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</si>
  <si>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</si>
  <si>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</si>
  <si>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</si>
  <si>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</si>
  <si>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</si>
  <si>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</si>
  <si>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</si>
  <si>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</si>
  <si>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</si>
  <si>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</si>
  <si>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</si>
  <si>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</si>
  <si>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</si>
  <si>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</si>
  <si>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</si>
  <si>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</si>
  <si>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</si>
  <si>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</si>
  <si>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</si>
  <si>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</si>
  <si>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</si>
  <si>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</si>
  <si>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</si>
  <si>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</si>
  <si>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</si>
  <si>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</si>
  <si>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</si>
  <si>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</si>
  <si>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</si>
  <si>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</si>
  <si>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</si>
  <si>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</si>
  <si>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</si>
  <si>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</si>
  <si>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</si>
  <si>
    <t>1</t>
  </si>
  <si>
    <t>008900</t>
  </si>
  <si>
    <t>103634</t>
  </si>
  <si>
    <t>109225</t>
  </si>
  <si>
    <t>358135</t>
  </si>
  <si>
    <t>North Harris Montgomery Community College District</t>
  </si>
  <si>
    <t>Other Allocated Administrative Expenses - Library - Total</t>
  </si>
  <si>
    <t>Other Allocated Administrative Expenses - Instructional Administration - Total</t>
  </si>
  <si>
    <t>Other Allocated Administrative Expenses - Organized Activities - Total</t>
  </si>
  <si>
    <t>Library</t>
  </si>
  <si>
    <t>Instructional Administration</t>
  </si>
  <si>
    <t>Organized Activities</t>
  </si>
  <si>
    <t>Community and Technical Colleges, Report of Fundable Operating Expenses, Fiscal Year (FY) 1999</t>
  </si>
  <si>
    <t>Contact Hours for fall 1998 and spring and summer 1999</t>
  </si>
  <si>
    <t>Rate History</t>
  </si>
  <si>
    <t>Expense per Contact Hour by
 Discipline</t>
  </si>
  <si>
    <t>Average</t>
  </si>
  <si>
    <t>Median</t>
  </si>
  <si>
    <t>Standard Deviation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</si>
</sst>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quot;$&quot;#,##0\ ;\(&quot;$&quot;#,##0\)"/>
    <numFmt numFmtId="168" formatCode="dd\-mmm\-yy"/>
  </numFmts>
  <fonts count="23"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
      <sz val="10"/>
      <name val="Arial"/>
    </font>
    <font>
      <sz val="11"/>
      <color indexed="8"/>
      <name val="Calibri"/>
    </font>
    <font>
      <sz val="10"/>
      <color indexed="8"/>
      <name val="Arial"/>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2"/>
      </left>
      <right style="thin">
        <color indexed="22"/>
      </right>
      <top style="thin">
        <color indexed="22"/>
      </top>
      <bottom style="thin">
        <color indexed="22"/>
      </bottom>
      <diagonal/>
    </border>
  </borders>
  <cellStyleXfs count="290">
    <xf numFmtId="0" fontId="0" fillId="0" borderId="0"/>
    <xf numFmtId="43" fontId="1" fillId="0" borderId="0" applyFont="0" applyFill="0" applyBorder="0" applyAlignment="0" applyProtection="0"/>
    <xf numFmtId="44"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6"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43" fontId="20"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20" fillId="0" borderId="0"/>
    <xf numFmtId="43" fontId="19" fillId="0" borderId="0" applyFont="0" applyFill="0" applyBorder="0" applyAlignment="0" applyProtection="0"/>
    <xf numFmtId="0" fontId="19" fillId="0" borderId="0"/>
    <xf numFmtId="0" fontId="4" fillId="0" borderId="0"/>
    <xf numFmtId="0" fontId="22" fillId="0" borderId="0"/>
  </cellStyleXfs>
  <cellXfs count="175">
    <xf numFmtId="0" fontId="0" fillId="0" borderId="0" xfId="0"/>
    <xf numFmtId="0" fontId="2" fillId="0" borderId="0" xfId="0" applyFon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3"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3"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3" applyFont="1" applyAlignment="1"/>
    <xf numFmtId="0" fontId="6" fillId="0" borderId="0" xfId="3"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2" fillId="0" borderId="0" xfId="0" applyFont="1"/>
    <xf numFmtId="164" fontId="2" fillId="0" borderId="0" xfId="1" applyNumberFormat="1" applyFont="1"/>
    <xf numFmtId="0" fontId="3" fillId="0" borderId="0" xfId="0" applyFont="1"/>
    <xf numFmtId="43" fontId="2" fillId="0" borderId="0" xfId="0" applyNumberFormat="1" applyFont="1"/>
    <xf numFmtId="43" fontId="2" fillId="0" borderId="8" xfId="2"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43" fontId="2" fillId="0" borderId="27" xfId="0" applyNumberFormat="1" applyFont="1" applyBorder="1"/>
    <xf numFmtId="0" fontId="12" fillId="0" borderId="26" xfId="26"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3"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6"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3" applyFont="1" applyFill="1" applyBorder="1" applyAlignment="1"/>
    <xf numFmtId="0" fontId="7" fillId="0" borderId="0" xfId="0" applyFont="1" applyFill="1" applyBorder="1" applyAlignment="1"/>
    <xf numFmtId="0" fontId="12" fillId="0" borderId="2" xfId="26" applyFont="1" applyFill="1" applyBorder="1" applyAlignment="1" applyProtection="1">
      <alignment horizontal="left" wrapText="1"/>
    </xf>
    <xf numFmtId="3" fontId="5" fillId="0" borderId="7" xfId="59" applyNumberFormat="1" applyFont="1" applyFill="1" applyBorder="1" applyAlignment="1" applyProtection="1">
      <alignment horizontal="left"/>
    </xf>
    <xf numFmtId="0" fontId="12" fillId="0" borderId="5" xfId="26" applyFont="1" applyFill="1" applyBorder="1" applyAlignment="1" applyProtection="1">
      <alignment horizontal="left" wrapText="1"/>
    </xf>
    <xf numFmtId="37" fontId="5" fillId="0" borderId="5" xfId="6" applyFont="1" applyFill="1" applyBorder="1"/>
    <xf numFmtId="37" fontId="5" fillId="0" borderId="5" xfId="6" applyFont="1" applyBorder="1"/>
    <xf numFmtId="43" fontId="2" fillId="0" borderId="6" xfId="0" applyNumberFormat="1" applyFont="1" applyBorder="1"/>
    <xf numFmtId="44" fontId="2" fillId="0" borderId="6" xfId="0" applyNumberFormat="1" applyFont="1" applyBorder="1"/>
    <xf numFmtId="3" fontId="5" fillId="0" borderId="5" xfId="59" applyNumberFormat="1" applyFont="1" applyFill="1" applyBorder="1" applyAlignment="1" applyProtection="1">
      <alignment horizontal="left"/>
    </xf>
    <xf numFmtId="3" fontId="5" fillId="3" borderId="18" xfId="59" quotePrefix="1" applyNumberFormat="1" applyFont="1" applyFill="1" applyBorder="1" applyAlignment="1" applyProtection="1">
      <alignment horizontal="right"/>
    </xf>
    <xf numFmtId="3" fontId="5" fillId="3" borderId="18" xfId="59" applyNumberFormat="1" applyFont="1" applyFill="1" applyBorder="1" applyAlignment="1" applyProtection="1">
      <alignment horizontal="right"/>
    </xf>
    <xf numFmtId="3" fontId="5" fillId="3" borderId="13" xfId="59" applyNumberFormat="1" applyFont="1" applyFill="1" applyBorder="1" applyAlignment="1" applyProtection="1">
      <alignment horizontal="right"/>
    </xf>
    <xf numFmtId="166" fontId="0" fillId="0" borderId="0" xfId="0" applyNumberFormat="1"/>
    <xf numFmtId="0" fontId="7" fillId="2" borderId="33" xfId="59" applyFont="1" applyFill="1" applyBorder="1" applyAlignment="1">
      <alignment horizontal="center" wrapText="1"/>
    </xf>
    <xf numFmtId="37" fontId="5" fillId="0" borderId="32" xfId="6" applyFont="1" applyBorder="1"/>
    <xf numFmtId="0" fontId="7" fillId="2" borderId="30" xfId="59" applyFont="1" applyFill="1" applyBorder="1" applyAlignment="1">
      <alignment horizontal="center" wrapText="1"/>
    </xf>
    <xf numFmtId="0" fontId="7" fillId="2" borderId="31" xfId="59" applyFont="1" applyFill="1" applyBorder="1" applyAlignment="1">
      <alignment horizontal="center" wrapText="1"/>
    </xf>
    <xf numFmtId="0" fontId="10" fillId="0" borderId="0" xfId="59"/>
    <xf numFmtId="0" fontId="5" fillId="0" borderId="0" xfId="59" applyFont="1"/>
    <xf numFmtId="0" fontId="6" fillId="0" borderId="0" xfId="59" applyFont="1" applyFill="1" applyAlignment="1">
      <alignment horizontal="left"/>
    </xf>
    <xf numFmtId="0" fontId="6" fillId="0" borderId="0" xfId="59" quotePrefix="1" applyFont="1" applyFill="1" applyAlignment="1">
      <alignment horizontal="left"/>
    </xf>
    <xf numFmtId="164" fontId="5" fillId="0" borderId="3" xfId="32" applyNumberFormat="1" applyFont="1" applyFill="1" applyBorder="1" applyAlignment="1">
      <alignment horizontal="right"/>
    </xf>
    <xf numFmtId="166" fontId="5" fillId="0" borderId="3" xfId="59" applyNumberFormat="1" applyFont="1" applyFill="1" applyBorder="1"/>
    <xf numFmtId="166" fontId="5" fillId="0" borderId="4" xfId="59" applyNumberFormat="1" applyFont="1" applyFill="1" applyBorder="1"/>
    <xf numFmtId="3" fontId="5" fillId="0" borderId="1" xfId="59" applyNumberFormat="1" applyFont="1" applyFill="1" applyBorder="1" applyAlignment="1">
      <alignment horizontal="right"/>
    </xf>
    <xf numFmtId="3" fontId="5" fillId="0" borderId="6" xfId="59" applyNumberFormat="1" applyFont="1" applyFill="1" applyBorder="1" applyAlignment="1">
      <alignment horizontal="right"/>
    </xf>
    <xf numFmtId="3" fontId="5" fillId="0" borderId="1" xfId="59" applyNumberFormat="1" applyFont="1" applyFill="1" applyBorder="1"/>
    <xf numFmtId="3" fontId="5" fillId="0" borderId="6" xfId="59" applyNumberFormat="1" applyFont="1" applyFill="1" applyBorder="1"/>
    <xf numFmtId="3" fontId="6" fillId="0" borderId="8" xfId="59" applyNumberFormat="1" applyFont="1" applyFill="1" applyBorder="1" applyAlignment="1">
      <alignment horizontal="right"/>
    </xf>
    <xf numFmtId="166" fontId="6" fillId="0" borderId="8" xfId="59" applyNumberFormat="1" applyFont="1" applyFill="1" applyBorder="1"/>
    <xf numFmtId="166" fontId="6" fillId="0" borderId="9" xfId="59" applyNumberFormat="1" applyFont="1" applyFill="1" applyBorder="1"/>
    <xf numFmtId="44" fontId="2" fillId="0" borderId="3" xfId="2" applyFont="1" applyBorder="1"/>
    <xf numFmtId="44" fontId="2" fillId="0" borderId="4" xfId="2" applyFont="1" applyBorder="1"/>
    <xf numFmtId="0" fontId="7" fillId="2" borderId="32" xfId="0" applyFont="1" applyFill="1" applyBorder="1" applyAlignment="1">
      <alignment horizontal="center" wrapText="1"/>
    </xf>
    <xf numFmtId="0" fontId="7" fillId="2" borderId="37" xfId="0" applyFont="1" applyFill="1" applyBorder="1" applyAlignment="1">
      <alignment horizontal="center" wrapText="1"/>
    </xf>
    <xf numFmtId="43" fontId="2" fillId="0" borderId="1" xfId="1" applyFont="1" applyFill="1" applyBorder="1"/>
    <xf numFmtId="44" fontId="2" fillId="0" borderId="1" xfId="2" applyFont="1" applyFill="1" applyBorder="1"/>
    <xf numFmtId="43" fontId="2" fillId="0" borderId="8" xfId="1" applyFont="1" applyFill="1" applyBorder="1"/>
    <xf numFmtId="0" fontId="7" fillId="2" borderId="6" xfId="0" applyFont="1" applyFill="1" applyBorder="1" applyAlignment="1">
      <alignment horizontal="center" wrapText="1"/>
    </xf>
    <xf numFmtId="44" fontId="2" fillId="0" borderId="6" xfId="2" applyFont="1" applyFill="1" applyBorder="1"/>
    <xf numFmtId="43" fontId="2" fillId="0" borderId="6" xfId="1" applyFont="1" applyFill="1" applyBorder="1"/>
    <xf numFmtId="43" fontId="2" fillId="0" borderId="9" xfId="1" applyFont="1" applyFill="1" applyBorder="1"/>
    <xf numFmtId="0" fontId="4" fillId="0" borderId="0" xfId="3"/>
    <xf numFmtId="0" fontId="0" fillId="0" borderId="0" xfId="0" applyNumberFormat="1"/>
    <xf numFmtId="43" fontId="2" fillId="0" borderId="1" xfId="1" applyNumberFormat="1" applyFont="1" applyFill="1" applyBorder="1"/>
    <xf numFmtId="0" fontId="0" fillId="0" borderId="0" xfId="0" applyAlignment="1">
      <alignment horizontal="center"/>
    </xf>
    <xf numFmtId="0" fontId="0" fillId="0" borderId="0" xfId="0"/>
    <xf numFmtId="0" fontId="0" fillId="0" borderId="0" xfId="0" applyNumberFormat="1"/>
    <xf numFmtId="0" fontId="21" fillId="0" borderId="40" xfId="289" applyFont="1" applyFill="1" applyBorder="1" applyAlignment="1"/>
    <xf numFmtId="168" fontId="21" fillId="0" borderId="40" xfId="289" applyNumberFormat="1" applyFont="1" applyFill="1" applyBorder="1" applyAlignment="1">
      <alignment horizontal="right"/>
    </xf>
    <xf numFmtId="0" fontId="5" fillId="0" borderId="17" xfId="3" applyFont="1" applyBorder="1" applyAlignment="1">
      <alignment horizontal="left" wrapText="1"/>
    </xf>
    <xf numFmtId="0" fontId="5" fillId="0" borderId="19" xfId="3" applyFont="1" applyBorder="1" applyAlignment="1">
      <alignment horizontal="left" wrapText="1"/>
    </xf>
    <xf numFmtId="0" fontId="7" fillId="2" borderId="16" xfId="0" applyFont="1" applyFill="1" applyBorder="1" applyAlignment="1">
      <alignment horizontal="center" wrapText="1"/>
    </xf>
    <xf numFmtId="0" fontId="7" fillId="2" borderId="2" xfId="0" applyFont="1" applyFill="1" applyBorder="1" applyAlignment="1">
      <alignment horizontal="center"/>
    </xf>
    <xf numFmtId="44" fontId="2" fillId="0" borderId="0" xfId="0" applyNumberFormat="1" applyFont="1"/>
    <xf numFmtId="0" fontId="2" fillId="0" borderId="0" xfId="0" quotePrefix="1" applyFont="1" applyAlignment="1">
      <alignment horizontal="left" vertical="top" wrapText="1"/>
    </xf>
    <xf numFmtId="0" fontId="5" fillId="0" borderId="17" xfId="3" applyFont="1" applyBorder="1" applyAlignment="1">
      <alignment horizontal="left" wrapText="1"/>
    </xf>
    <xf numFmtId="0" fontId="5" fillId="0" borderId="18" xfId="3"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5" fillId="0" borderId="19" xfId="3" applyFont="1" applyBorder="1" applyAlignment="1">
      <alignment horizontal="left" wrapText="1"/>
    </xf>
    <xf numFmtId="0" fontId="5" fillId="0" borderId="20" xfId="3" applyFont="1" applyBorder="1" applyAlignment="1">
      <alignment horizontal="left" wrapText="1"/>
    </xf>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3" applyFont="1" applyBorder="1" applyAlignment="1">
      <alignment horizontal="left"/>
    </xf>
    <xf numFmtId="0" fontId="5" fillId="0" borderId="1" xfId="3" applyFont="1" applyBorder="1" applyAlignment="1">
      <alignment horizontal="left"/>
    </xf>
    <xf numFmtId="0" fontId="5" fillId="0" borderId="6" xfId="3" applyFont="1" applyBorder="1" applyAlignment="1">
      <alignment horizontal="left"/>
    </xf>
    <xf numFmtId="0" fontId="5" fillId="0" borderId="7" xfId="3" applyFont="1" applyBorder="1" applyAlignment="1">
      <alignment horizontal="left"/>
    </xf>
    <xf numFmtId="0" fontId="5" fillId="0" borderId="8" xfId="3" applyFont="1" applyBorder="1" applyAlignment="1">
      <alignment horizontal="left"/>
    </xf>
    <xf numFmtId="0" fontId="5" fillId="0" borderId="9" xfId="3" applyFont="1" applyBorder="1" applyAlignment="1">
      <alignment horizontal="left"/>
    </xf>
    <xf numFmtId="0" fontId="2" fillId="0" borderId="25" xfId="0" applyFont="1" applyBorder="1" applyAlignment="1">
      <alignment horizontal="left"/>
    </xf>
    <xf numFmtId="0" fontId="2" fillId="0" borderId="34" xfId="0" applyFont="1" applyBorder="1" applyAlignment="1">
      <alignment horizontal="left"/>
    </xf>
    <xf numFmtId="0" fontId="2" fillId="0" borderId="35" xfId="0" applyFont="1" applyBorder="1" applyAlignment="1">
      <alignment horizontal="left"/>
    </xf>
    <xf numFmtId="0" fontId="7" fillId="2" borderId="38" xfId="0" applyFont="1" applyFill="1" applyBorder="1" applyAlignment="1">
      <alignment horizontal="center" wrapText="1"/>
    </xf>
    <xf numFmtId="0" fontId="7" fillId="2" borderId="39" xfId="0" applyFont="1" applyFill="1" applyBorder="1" applyAlignment="1">
      <alignment horizontal="center" wrapText="1"/>
    </xf>
    <xf numFmtId="0" fontId="7" fillId="2" borderId="37" xfId="0" applyFont="1" applyFill="1" applyBorder="1" applyAlignment="1">
      <alignment horizontal="center" wrapText="1"/>
    </xf>
    <xf numFmtId="0" fontId="7" fillId="2" borderId="4" xfId="1" applyNumberFormat="1" applyFont="1" applyFill="1" applyBorder="1" applyAlignment="1">
      <alignment horizontal="center" wrapText="1"/>
    </xf>
    <xf numFmtId="44" fontId="2" fillId="0" borderId="0" xfId="2" applyFont="1"/>
    <xf numFmtId="3" fontId="0" fillId="0" borderId="0" xfId="0" applyNumberFormat="1"/>
  </cellXfs>
  <cellStyles count="290">
    <cellStyle name="Comma" xfId="1" builtinId="3"/>
    <cellStyle name="Comma 10" xfId="107"/>
    <cellStyle name="Comma 11" xfId="108"/>
    <cellStyle name="Comma 12" xfId="109"/>
    <cellStyle name="Comma 13" xfId="110"/>
    <cellStyle name="Comma 14" xfId="111"/>
    <cellStyle name="Comma 15" xfId="112"/>
    <cellStyle name="Comma 16" xfId="113"/>
    <cellStyle name="Comma 17" xfId="114"/>
    <cellStyle name="Comma 18" xfId="115"/>
    <cellStyle name="Comma 19" xfId="116"/>
    <cellStyle name="Comma 2" xfId="4"/>
    <cellStyle name="Comma 2 10" xfId="117"/>
    <cellStyle name="Comma 2 11" xfId="118"/>
    <cellStyle name="Comma 2 12" xfId="119"/>
    <cellStyle name="Comma 2 13" xfId="120"/>
    <cellStyle name="Comma 2 14" xfId="121"/>
    <cellStyle name="Comma 2 15" xfId="122"/>
    <cellStyle name="Comma 2 16" xfId="123"/>
    <cellStyle name="Comma 2 17" xfId="124"/>
    <cellStyle name="Comma 2 18" xfId="125"/>
    <cellStyle name="Comma 2 19" xfId="126"/>
    <cellStyle name="Comma 2 2" xfId="8"/>
    <cellStyle name="Comma 2 2 2" xfId="31"/>
    <cellStyle name="Comma 2 2 3" xfId="76"/>
    <cellStyle name="Comma 2 20" xfId="127"/>
    <cellStyle name="Comma 2 21" xfId="128"/>
    <cellStyle name="Comma 2 22" xfId="129"/>
    <cellStyle name="Comma 2 23" xfId="130"/>
    <cellStyle name="Comma 2 24" xfId="131"/>
    <cellStyle name="Comma 2 25" xfId="66"/>
    <cellStyle name="Comma 2 26" xfId="286"/>
    <cellStyle name="Comma 2 27" xfId="282"/>
    <cellStyle name="Comma 2 28" xfId="281"/>
    <cellStyle name="Comma 2 29" xfId="284"/>
    <cellStyle name="Comma 2 3" xfId="74"/>
    <cellStyle name="Comma 2 4" xfId="88"/>
    <cellStyle name="Comma 2 5" xfId="94"/>
    <cellStyle name="Comma 2 6" xfId="93"/>
    <cellStyle name="Comma 2 7" xfId="98"/>
    <cellStyle name="Comma 2 8" xfId="132"/>
    <cellStyle name="Comma 2 9" xfId="133"/>
    <cellStyle name="Comma 20" xfId="134"/>
    <cellStyle name="Comma 3" xfId="11"/>
    <cellStyle name="Comma 3 2" xfId="32"/>
    <cellStyle name="Comma 3 3" xfId="27"/>
    <cellStyle name="Comma 3 4" xfId="89"/>
    <cellStyle name="Comma 3 5" xfId="95"/>
    <cellStyle name="Comma 3 6" xfId="96"/>
    <cellStyle name="Comma 3 7" xfId="92"/>
    <cellStyle name="Comma 4" xfId="14"/>
    <cellStyle name="Comma 4 2" xfId="135"/>
    <cellStyle name="Comma 5" xfId="15"/>
    <cellStyle name="Comma 5 2" xfId="64"/>
    <cellStyle name="Comma 5 3" xfId="136"/>
    <cellStyle name="Comma 6" xfId="13"/>
    <cellStyle name="Comma 6 2" xfId="137"/>
    <cellStyle name="Comma 9" xfId="138"/>
    <cellStyle name="Comma0" xfId="30"/>
    <cellStyle name="Comma0 2" xfId="33"/>
    <cellStyle name="Comma0 3" xfId="67"/>
    <cellStyle name="Currency" xfId="2" builtinId="4"/>
    <cellStyle name="Currency 10" xfId="139"/>
    <cellStyle name="Currency 11" xfId="140"/>
    <cellStyle name="Currency 12" xfId="141"/>
    <cellStyle name="Currency 13" xfId="142"/>
    <cellStyle name="Currency 14" xfId="143"/>
    <cellStyle name="Currency 15" xfId="144"/>
    <cellStyle name="Currency 16" xfId="145"/>
    <cellStyle name="Currency 17" xfId="146"/>
    <cellStyle name="Currency 18" xfId="147"/>
    <cellStyle name="Currency 19" xfId="148"/>
    <cellStyle name="Currency 2" xfId="29"/>
    <cellStyle name="Currency 2 10" xfId="149"/>
    <cellStyle name="Currency 2 11" xfId="150"/>
    <cellStyle name="Currency 2 12" xfId="151"/>
    <cellStyle name="Currency 2 13" xfId="152"/>
    <cellStyle name="Currency 2 14" xfId="153"/>
    <cellStyle name="Currency 2 15" xfId="154"/>
    <cellStyle name="Currency 2 16" xfId="155"/>
    <cellStyle name="Currency 2 17" xfId="156"/>
    <cellStyle name="Currency 2 18" xfId="157"/>
    <cellStyle name="Currency 2 19" xfId="158"/>
    <cellStyle name="Currency 2 2" xfId="34"/>
    <cellStyle name="Currency 2 20" xfId="159"/>
    <cellStyle name="Currency 2 21" xfId="160"/>
    <cellStyle name="Currency 2 22" xfId="161"/>
    <cellStyle name="Currency 2 23" xfId="162"/>
    <cellStyle name="Currency 2 24" xfId="163"/>
    <cellStyle name="Currency 2 3" xfId="84"/>
    <cellStyle name="Currency 2 4" xfId="85"/>
    <cellStyle name="Currency 2 5" xfId="97"/>
    <cellStyle name="Currency 2 6" xfId="101"/>
    <cellStyle name="Currency 2 7" xfId="104"/>
    <cellStyle name="Currency 2 8" xfId="164"/>
    <cellStyle name="Currency 2 9" xfId="165"/>
    <cellStyle name="Currency 3" xfId="57"/>
    <cellStyle name="Currency 3 2" xfId="35"/>
    <cellStyle name="Currency 4" xfId="62"/>
    <cellStyle name="Currency 4 2" xfId="166"/>
    <cellStyle name="Currency 5" xfId="22"/>
    <cellStyle name="Currency 7" xfId="167"/>
    <cellStyle name="Currency 8" xfId="168"/>
    <cellStyle name="Currency 9" xfId="169"/>
    <cellStyle name="Currency0" xfId="68"/>
    <cellStyle name="Date" xfId="69"/>
    <cellStyle name="Fixed" xfId="70"/>
    <cellStyle name="Heading 1 10" xfId="170"/>
    <cellStyle name="Heading 1 11" xfId="171"/>
    <cellStyle name="Heading 1 12" xfId="172"/>
    <cellStyle name="Heading 1 13" xfId="173"/>
    <cellStyle name="Heading 1 14" xfId="174"/>
    <cellStyle name="Heading 1 15" xfId="175"/>
    <cellStyle name="Heading 1 16" xfId="176"/>
    <cellStyle name="Heading 1 17" xfId="177"/>
    <cellStyle name="Heading 1 18" xfId="178"/>
    <cellStyle name="Heading 1 19" xfId="179"/>
    <cellStyle name="Heading 1 2" xfId="180"/>
    <cellStyle name="Heading 1 20" xfId="71"/>
    <cellStyle name="Heading 1 3" xfId="181"/>
    <cellStyle name="Heading 1 4" xfId="182"/>
    <cellStyle name="Heading 1 5" xfId="183"/>
    <cellStyle name="Heading 1 6" xfId="184"/>
    <cellStyle name="Heading 1 7" xfId="185"/>
    <cellStyle name="Heading 1 8" xfId="186"/>
    <cellStyle name="Heading 1 9" xfId="187"/>
    <cellStyle name="Heading 2 10" xfId="188"/>
    <cellStyle name="Heading 2 11" xfId="189"/>
    <cellStyle name="Heading 2 12" xfId="190"/>
    <cellStyle name="Heading 2 13" xfId="191"/>
    <cellStyle name="Heading 2 14" xfId="192"/>
    <cellStyle name="Heading 2 15" xfId="193"/>
    <cellStyle name="Heading 2 16" xfId="194"/>
    <cellStyle name="Heading 2 17" xfId="195"/>
    <cellStyle name="Heading 2 18" xfId="196"/>
    <cellStyle name="Heading 2 19" xfId="197"/>
    <cellStyle name="Heading 2 2" xfId="198"/>
    <cellStyle name="Heading 2 20" xfId="72"/>
    <cellStyle name="Heading 2 3" xfId="199"/>
    <cellStyle name="Heading 2 4" xfId="200"/>
    <cellStyle name="Heading 2 5" xfId="201"/>
    <cellStyle name="Heading 2 6" xfId="202"/>
    <cellStyle name="Heading 2 7" xfId="203"/>
    <cellStyle name="Heading 2 8" xfId="204"/>
    <cellStyle name="Heading 2 9" xfId="205"/>
    <cellStyle name="Normal" xfId="0" builtinId="0"/>
    <cellStyle name="Normal 10" xfId="59"/>
    <cellStyle name="Normal 10 2" xfId="60"/>
    <cellStyle name="Normal 11" xfId="61"/>
    <cellStyle name="Normal 11 2" xfId="206"/>
    <cellStyle name="Normal 12" xfId="65"/>
    <cellStyle name="Normal 12 2" xfId="207"/>
    <cellStyle name="Normal 13" xfId="208"/>
    <cellStyle name="Normal 14" xfId="209"/>
    <cellStyle name="Normal 15" xfId="210"/>
    <cellStyle name="Normal 16" xfId="211"/>
    <cellStyle name="Normal 17" xfId="212"/>
    <cellStyle name="Normal 18" xfId="213"/>
    <cellStyle name="Normal 19" xfId="214"/>
    <cellStyle name="Normal 2" xfId="3"/>
    <cellStyle name="Normal 2 10" xfId="37"/>
    <cellStyle name="Normal 2 11" xfId="38"/>
    <cellStyle name="Normal 2 12" xfId="39"/>
    <cellStyle name="Normal 2 13" xfId="40"/>
    <cellStyle name="Normal 2 14" xfId="23"/>
    <cellStyle name="Normal 2 15" xfId="215"/>
    <cellStyle name="Normal 2 16" xfId="216"/>
    <cellStyle name="Normal 2 17" xfId="217"/>
    <cellStyle name="Normal 2 18" xfId="218"/>
    <cellStyle name="Normal 2 19" xfId="219"/>
    <cellStyle name="Normal 2 2" xfId="10"/>
    <cellStyle name="Normal 2 2 2" xfId="36"/>
    <cellStyle name="Normal 2 2 2 2" xfId="78"/>
    <cellStyle name="Normal 2 2 3" xfId="87"/>
    <cellStyle name="Normal 2 2 4" xfId="91"/>
    <cellStyle name="Normal 2 20" xfId="220"/>
    <cellStyle name="Normal 2 21" xfId="221"/>
    <cellStyle name="Normal 2 22" xfId="222"/>
    <cellStyle name="Normal 2 23" xfId="223"/>
    <cellStyle name="Normal 2 24" xfId="224"/>
    <cellStyle name="Normal 2 25" xfId="225"/>
    <cellStyle name="Normal 2 26" xfId="226"/>
    <cellStyle name="Normal 2 27" xfId="287"/>
    <cellStyle name="Normal 2 28" xfId="283"/>
    <cellStyle name="Normal 2 29" xfId="285"/>
    <cellStyle name="Normal 2 3" xfId="6"/>
    <cellStyle name="Normal 2 3 2" xfId="41"/>
    <cellStyle name="Normal 2 3 3" xfId="80"/>
    <cellStyle name="Normal 2 30" xfId="288"/>
    <cellStyle name="Normal 2 4" xfId="42"/>
    <cellStyle name="Normal 2 4 2" xfId="82"/>
    <cellStyle name="Normal 2 5" xfId="43"/>
    <cellStyle name="Normal 2 6" xfId="44"/>
    <cellStyle name="Normal 2 7" xfId="45"/>
    <cellStyle name="Normal 2 8" xfId="46"/>
    <cellStyle name="Normal 2 9" xfId="47"/>
    <cellStyle name="Normal 20" xfId="227"/>
    <cellStyle name="Normal 3" xfId="16"/>
    <cellStyle name="Normal 3 2" xfId="48"/>
    <cellStyle name="Normal 3 2 2" xfId="79"/>
    <cellStyle name="Normal 3 3" xfId="58"/>
    <cellStyle name="Normal 3 3 2" xfId="81"/>
    <cellStyle name="Normal 3 4" xfId="24"/>
    <cellStyle name="Normal 3 4 2" xfId="83"/>
    <cellStyle name="Normal 4" xfId="17"/>
    <cellStyle name="Normal 4 2" xfId="49"/>
    <cellStyle name="Normal 4 3" xfId="25"/>
    <cellStyle name="Normal 4 4" xfId="77"/>
    <cellStyle name="Normal 5" xfId="18"/>
    <cellStyle name="Normal 5 2" xfId="26"/>
    <cellStyle name="Normal 5 3" xfId="228"/>
    <cellStyle name="Normal 6" xfId="19"/>
    <cellStyle name="Normal 6 2" xfId="50"/>
    <cellStyle name="Normal 6 3" xfId="229"/>
    <cellStyle name="Normal 7" xfId="12"/>
    <cellStyle name="Normal 7 2" xfId="51"/>
    <cellStyle name="Normal 8" xfId="21"/>
    <cellStyle name="Normal 8 2" xfId="52"/>
    <cellStyle name="Normal 9" xfId="53"/>
    <cellStyle name="Normal 9 2" xfId="230"/>
    <cellStyle name="Normal_Sheet1 2" xfId="289"/>
    <cellStyle name="Percent 10" xfId="231"/>
    <cellStyle name="Percent 11" xfId="232"/>
    <cellStyle name="Percent 12" xfId="233"/>
    <cellStyle name="Percent 13" xfId="234"/>
    <cellStyle name="Percent 14" xfId="235"/>
    <cellStyle name="Percent 15" xfId="236"/>
    <cellStyle name="Percent 16" xfId="237"/>
    <cellStyle name="Percent 17" xfId="238"/>
    <cellStyle name="Percent 18" xfId="239"/>
    <cellStyle name="Percent 19" xfId="240"/>
    <cellStyle name="Percent 2" xfId="5"/>
    <cellStyle name="Percent 2 10" xfId="241"/>
    <cellStyle name="Percent 2 11" xfId="242"/>
    <cellStyle name="Percent 2 12" xfId="243"/>
    <cellStyle name="Percent 2 13" xfId="244"/>
    <cellStyle name="Percent 2 14" xfId="245"/>
    <cellStyle name="Percent 2 15" xfId="246"/>
    <cellStyle name="Percent 2 16" xfId="247"/>
    <cellStyle name="Percent 2 17" xfId="248"/>
    <cellStyle name="Percent 2 18" xfId="249"/>
    <cellStyle name="Percent 2 19" xfId="250"/>
    <cellStyle name="Percent 2 2" xfId="7"/>
    <cellStyle name="Percent 2 2 2" xfId="54"/>
    <cellStyle name="Percent 2 20" xfId="251"/>
    <cellStyle name="Percent 2 21" xfId="252"/>
    <cellStyle name="Percent 2 22" xfId="253"/>
    <cellStyle name="Percent 2 23" xfId="254"/>
    <cellStyle name="Percent 2 24" xfId="255"/>
    <cellStyle name="Percent 2 3" xfId="86"/>
    <cellStyle name="Percent 2 4" xfId="75"/>
    <cellStyle name="Percent 2 5" xfId="99"/>
    <cellStyle name="Percent 2 6" xfId="102"/>
    <cellStyle name="Percent 2 7" xfId="105"/>
    <cellStyle name="Percent 2 8" xfId="256"/>
    <cellStyle name="Percent 2 9" xfId="257"/>
    <cellStyle name="Percent 20" xfId="258"/>
    <cellStyle name="Percent 3" xfId="9"/>
    <cellStyle name="Percent 3 2" xfId="55"/>
    <cellStyle name="Percent 3 3" xfId="28"/>
    <cellStyle name="Percent 3 4" xfId="90"/>
    <cellStyle name="Percent 3 5" xfId="100"/>
    <cellStyle name="Percent 3 6" xfId="103"/>
    <cellStyle name="Percent 3 7" xfId="106"/>
    <cellStyle name="Percent 4" xfId="20"/>
    <cellStyle name="Percent 4 2" xfId="56"/>
    <cellStyle name="Percent 5" xfId="63"/>
    <cellStyle name="Percent 5 2" xfId="259"/>
    <cellStyle name="Percent 6" xfId="260"/>
    <cellStyle name="Percent 8" xfId="261"/>
    <cellStyle name="Percent 9" xfId="262"/>
    <cellStyle name="Total 10" xfId="263"/>
    <cellStyle name="Total 11" xfId="264"/>
    <cellStyle name="Total 12" xfId="265"/>
    <cellStyle name="Total 13" xfId="266"/>
    <cellStyle name="Total 14" xfId="267"/>
    <cellStyle name="Total 15" xfId="268"/>
    <cellStyle name="Total 16" xfId="269"/>
    <cellStyle name="Total 17" xfId="270"/>
    <cellStyle name="Total 18" xfId="271"/>
    <cellStyle name="Total 19" xfId="272"/>
    <cellStyle name="Total 2" xfId="273"/>
    <cellStyle name="Total 20" xfId="73"/>
    <cellStyle name="Total 3" xfId="274"/>
    <cellStyle name="Total 4" xfId="275"/>
    <cellStyle name="Total 5" xfId="276"/>
    <cellStyle name="Total 6" xfId="277"/>
    <cellStyle name="Total 7" xfId="278"/>
    <cellStyle name="Total 8" xfId="279"/>
    <cellStyle name="Total 9" xfId="280"/>
  </cellStyles>
  <dxfs count="2">
    <dxf>
      <font>
        <b/>
        <i val="0"/>
        <strike val="0"/>
        <u val="none"/>
        <color theme="0"/>
      </font>
      <fill>
        <patternFill>
          <bgColor rgb="FFFF0000"/>
        </patternFill>
      </fill>
    </dxf>
    <dxf>
      <numFmt numFmtId="27" formatCode="m/d/yyyy\ h:mm"/>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trlProps/ctrlProp1.xml><?xml version="1.0" encoding="utf-8"?>
<formControlPr xmlns="http://schemas.microsoft.com/office/spreadsheetml/2009/9/main" objectType="Drop" dropLines="30" dropStyle="combo" dx="16" fmlaLink="A3" fmlaRange="$X$3:$X$31" noThreeD="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1" tableType="queryTable" totalsRowShown="0">
  <autoFilter ref="A4:LB61"/>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1"/>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2"/>
  <sheetViews>
    <sheetView showGridLines="0" tabSelected="1" zoomScale="70" zoomScaleNormal="70" workbookViewId="0"/>
  </sheetViews>
  <sheetFormatPr defaultRowHeight="14.25" x14ac:dyDescent="0.2"/>
  <cols>
    <col min="1" max="1" width="9.42578125" style="10" customWidth="1"/>
    <col min="2" max="2" width="42.42578125" style="10" customWidth="1"/>
    <col min="3" max="3" width="17.85546875" style="10" customWidth="1"/>
    <col min="4" max="4" width="15.85546875" style="10" customWidth="1"/>
    <col min="5" max="5" width="18.28515625" style="10" bestFit="1" customWidth="1"/>
    <col min="6" max="6" width="17.7109375" style="10" bestFit="1" customWidth="1"/>
    <col min="7" max="7" width="2.85546875" style="10" customWidth="1"/>
    <col min="8" max="8" width="17.7109375" style="10" bestFit="1" customWidth="1"/>
    <col min="9" max="9" width="9.140625" style="10"/>
    <col min="10" max="10" width="20.5703125" style="10" bestFit="1" customWidth="1"/>
    <col min="11" max="11" width="18.140625" style="10" bestFit="1" customWidth="1"/>
    <col min="12" max="12" width="19.5703125" style="10" bestFit="1" customWidth="1"/>
    <col min="13" max="13" width="11" style="10" bestFit="1" customWidth="1"/>
    <col min="14" max="14" width="18.28515625" style="10" bestFit="1" customWidth="1"/>
    <col min="15" max="15" width="13.42578125" style="10" bestFit="1" customWidth="1"/>
    <col min="16" max="16" width="15.28515625" style="10" bestFit="1" customWidth="1"/>
    <col min="17" max="17" width="16.42578125" style="10" bestFit="1" customWidth="1"/>
    <col min="18" max="18" width="14.85546875" style="10" bestFit="1" customWidth="1"/>
    <col min="19" max="19" width="16.42578125" style="10" bestFit="1" customWidth="1"/>
    <col min="20" max="20" width="9.140625" style="10"/>
    <col min="21" max="21" width="13.140625" style="10" bestFit="1" customWidth="1"/>
    <col min="22" max="22" width="11.140625" style="10" bestFit="1" customWidth="1"/>
    <col min="23" max="23" width="13.140625" style="10" bestFit="1" customWidth="1"/>
    <col min="24" max="24" width="10" style="10" bestFit="1" customWidth="1"/>
    <col min="25" max="27" width="11.140625" style="10" bestFit="1" customWidth="1"/>
    <col min="28" max="28" width="13.140625" style="10" bestFit="1" customWidth="1"/>
    <col min="29" max="29" width="9.140625" style="10"/>
    <col min="30" max="30" width="17.85546875" style="10" bestFit="1" customWidth="1"/>
    <col min="31" max="31" width="9.140625" style="10"/>
    <col min="32" max="32" width="14.5703125" style="10" bestFit="1" customWidth="1"/>
    <col min="33" max="16384" width="9.140625" style="10"/>
  </cols>
  <sheetData>
    <row r="1" spans="1:6" x14ac:dyDescent="0.2">
      <c r="A1" s="38" t="s">
        <v>1081</v>
      </c>
      <c r="B1" s="38"/>
      <c r="C1" s="38"/>
      <c r="D1" s="38"/>
      <c r="E1" s="38"/>
      <c r="F1" s="38"/>
    </row>
    <row r="2" spans="1:6" x14ac:dyDescent="0.2">
      <c r="A2" s="5" t="s">
        <v>1015</v>
      </c>
      <c r="B2" s="11"/>
      <c r="C2" s="11"/>
    </row>
    <row r="3" spans="1:6" ht="15" thickBot="1" x14ac:dyDescent="0.25">
      <c r="A3" s="5" t="s">
        <v>1082</v>
      </c>
    </row>
    <row r="4" spans="1:6" ht="29.25" customHeight="1" x14ac:dyDescent="0.2">
      <c r="A4" s="26" t="s">
        <v>26</v>
      </c>
      <c r="B4" s="145" t="s">
        <v>465</v>
      </c>
      <c r="C4" s="146"/>
      <c r="D4" s="28" t="s">
        <v>27</v>
      </c>
      <c r="E4" s="28" t="s">
        <v>462</v>
      </c>
      <c r="F4" s="29" t="s">
        <v>463</v>
      </c>
    </row>
    <row r="5" spans="1:6" x14ac:dyDescent="0.2">
      <c r="A5" s="19">
        <v>1</v>
      </c>
      <c r="B5" s="143" t="s">
        <v>0</v>
      </c>
      <c r="C5" s="144"/>
      <c r="D5" s="14">
        <f>D36</f>
        <v>1156306</v>
      </c>
      <c r="E5" s="16">
        <f>E36+E67+IFERROR($E$105/$D$105*D5,0)</f>
        <v>8858021.4649536274</v>
      </c>
      <c r="F5" s="20">
        <f>F36+F67+$F$105</f>
        <v>6.8100000000000005</v>
      </c>
    </row>
    <row r="6" spans="1:6" x14ac:dyDescent="0.2">
      <c r="A6" s="19">
        <v>2</v>
      </c>
      <c r="B6" s="143" t="s">
        <v>1</v>
      </c>
      <c r="C6" s="144"/>
      <c r="D6" s="14">
        <f t="shared" ref="D6:D32" si="0">D37</f>
        <v>5213661</v>
      </c>
      <c r="E6" s="17">
        <f t="shared" ref="E6:E32" si="1">E37+E68+IFERROR($E$105/$D$105*D6,0)</f>
        <v>34812484.38198936</v>
      </c>
      <c r="F6" s="21">
        <f t="shared" ref="F6:F30" si="2">F37+F68+$F$105</f>
        <v>6.6400000000000006</v>
      </c>
    </row>
    <row r="7" spans="1:6" x14ac:dyDescent="0.2">
      <c r="A7" s="19">
        <v>3</v>
      </c>
      <c r="B7" s="143" t="s">
        <v>2</v>
      </c>
      <c r="C7" s="144"/>
      <c r="D7" s="14">
        <f t="shared" si="0"/>
        <v>18409138</v>
      </c>
      <c r="E7" s="17">
        <f t="shared" si="1"/>
        <v>107861117.25993939</v>
      </c>
      <c r="F7" s="21">
        <f t="shared" si="2"/>
        <v>5.51</v>
      </c>
    </row>
    <row r="8" spans="1:6" x14ac:dyDescent="0.2">
      <c r="A8" s="19">
        <v>4</v>
      </c>
      <c r="B8" s="143" t="s">
        <v>3</v>
      </c>
      <c r="C8" s="144"/>
      <c r="D8" s="14">
        <f t="shared" si="0"/>
        <v>15167456</v>
      </c>
      <c r="E8" s="17">
        <f t="shared" si="1"/>
        <v>103904772.57781908</v>
      </c>
      <c r="F8" s="21">
        <f t="shared" si="2"/>
        <v>6.22</v>
      </c>
    </row>
    <row r="9" spans="1:6" x14ac:dyDescent="0.2">
      <c r="A9" s="19">
        <v>5</v>
      </c>
      <c r="B9" s="143" t="s">
        <v>4</v>
      </c>
      <c r="C9" s="144"/>
      <c r="D9" s="14">
        <f t="shared" si="0"/>
        <v>204871</v>
      </c>
      <c r="E9" s="17">
        <f t="shared" si="1"/>
        <v>3446564.1658622497</v>
      </c>
      <c r="F9" s="21">
        <f t="shared" si="2"/>
        <v>18.690000000000001</v>
      </c>
    </row>
    <row r="10" spans="1:6" x14ac:dyDescent="0.2">
      <c r="A10" s="19">
        <v>6</v>
      </c>
      <c r="B10" s="143" t="s">
        <v>5</v>
      </c>
      <c r="C10" s="144"/>
      <c r="D10" s="14">
        <f t="shared" si="0"/>
        <v>914335</v>
      </c>
      <c r="E10" s="17">
        <f t="shared" si="1"/>
        <v>8275048.7534090234</v>
      </c>
      <c r="F10" s="21">
        <f t="shared" si="2"/>
        <v>8.2100000000000009</v>
      </c>
    </row>
    <row r="11" spans="1:6" x14ac:dyDescent="0.2">
      <c r="A11" s="19">
        <v>7</v>
      </c>
      <c r="B11" s="143" t="s">
        <v>6</v>
      </c>
      <c r="C11" s="144"/>
      <c r="D11" s="14">
        <f t="shared" si="0"/>
        <v>13874819</v>
      </c>
      <c r="E11" s="17">
        <f t="shared" si="1"/>
        <v>84977754.150805593</v>
      </c>
      <c r="F11" s="21">
        <f t="shared" si="2"/>
        <v>5.4399999999999995</v>
      </c>
    </row>
    <row r="12" spans="1:6" x14ac:dyDescent="0.2">
      <c r="A12" s="19">
        <v>8</v>
      </c>
      <c r="B12" s="143" t="s">
        <v>7</v>
      </c>
      <c r="C12" s="144"/>
      <c r="D12" s="14">
        <f t="shared" si="0"/>
        <v>1587260</v>
      </c>
      <c r="E12" s="17">
        <f t="shared" si="1"/>
        <v>9343167.002150204</v>
      </c>
      <c r="F12" s="21">
        <f t="shared" si="2"/>
        <v>5.99</v>
      </c>
    </row>
    <row r="13" spans="1:6" x14ac:dyDescent="0.2">
      <c r="A13" s="19">
        <v>9</v>
      </c>
      <c r="B13" s="143" t="s">
        <v>8</v>
      </c>
      <c r="C13" s="144"/>
      <c r="D13" s="14">
        <f t="shared" si="0"/>
        <v>4970395</v>
      </c>
      <c r="E13" s="17">
        <f t="shared" si="1"/>
        <v>30743350.563661508</v>
      </c>
      <c r="F13" s="21">
        <f t="shared" si="2"/>
        <v>5.35</v>
      </c>
    </row>
    <row r="14" spans="1:6" x14ac:dyDescent="0.2">
      <c r="A14" s="19">
        <v>10</v>
      </c>
      <c r="B14" s="143" t="s">
        <v>9</v>
      </c>
      <c r="C14" s="144"/>
      <c r="D14" s="14">
        <f t="shared" si="0"/>
        <v>109700</v>
      </c>
      <c r="E14" s="17">
        <f t="shared" si="1"/>
        <v>2076928.4356160159</v>
      </c>
      <c r="F14" s="21">
        <f t="shared" si="2"/>
        <v>7.6400000000000006</v>
      </c>
    </row>
    <row r="15" spans="1:6" x14ac:dyDescent="0.2">
      <c r="A15" s="19">
        <v>11</v>
      </c>
      <c r="B15" s="143" t="s">
        <v>10</v>
      </c>
      <c r="C15" s="144"/>
      <c r="D15" s="14">
        <f t="shared" si="0"/>
        <v>4655432</v>
      </c>
      <c r="E15" s="17">
        <f t="shared" si="1"/>
        <v>31866786.102832634</v>
      </c>
      <c r="F15" s="21">
        <f t="shared" si="2"/>
        <v>6.42</v>
      </c>
    </row>
    <row r="16" spans="1:6" x14ac:dyDescent="0.2">
      <c r="A16" s="19">
        <v>12</v>
      </c>
      <c r="B16" s="143" t="s">
        <v>11</v>
      </c>
      <c r="C16" s="144"/>
      <c r="D16" s="14">
        <f t="shared" si="0"/>
        <v>31461433</v>
      </c>
      <c r="E16" s="17">
        <f t="shared" si="1"/>
        <v>179775610.16457701</v>
      </c>
      <c r="F16" s="21">
        <f t="shared" si="2"/>
        <v>5.26</v>
      </c>
    </row>
    <row r="17" spans="1:6" x14ac:dyDescent="0.2">
      <c r="A17" s="19">
        <v>13</v>
      </c>
      <c r="B17" s="143" t="s">
        <v>12</v>
      </c>
      <c r="C17" s="144"/>
      <c r="D17" s="14">
        <f t="shared" si="0"/>
        <v>3611853</v>
      </c>
      <c r="E17" s="17">
        <f t="shared" si="1"/>
        <v>21832912.783327382</v>
      </c>
      <c r="F17" s="21">
        <f t="shared" si="2"/>
        <v>5.6999999999999993</v>
      </c>
    </row>
    <row r="18" spans="1:6" x14ac:dyDescent="0.2">
      <c r="A18" s="19">
        <v>14</v>
      </c>
      <c r="B18" s="143" t="s">
        <v>464</v>
      </c>
      <c r="C18" s="144"/>
      <c r="D18" s="14">
        <f t="shared" si="0"/>
        <v>4585973</v>
      </c>
      <c r="E18" s="17">
        <f t="shared" si="1"/>
        <v>43312080.269583292</v>
      </c>
      <c r="F18" s="21">
        <f t="shared" si="2"/>
        <v>9.0399999999999991</v>
      </c>
    </row>
    <row r="19" spans="1:6" x14ac:dyDescent="0.2">
      <c r="A19" s="19">
        <v>15</v>
      </c>
      <c r="B19" s="143" t="s">
        <v>13</v>
      </c>
      <c r="C19" s="144"/>
      <c r="D19" s="14">
        <f t="shared" si="0"/>
        <v>312619</v>
      </c>
      <c r="E19" s="17">
        <f t="shared" si="1"/>
        <v>3703270.9957323908</v>
      </c>
      <c r="F19" s="21">
        <f t="shared" si="2"/>
        <v>11.21</v>
      </c>
    </row>
    <row r="20" spans="1:6" x14ac:dyDescent="0.2">
      <c r="A20" s="19">
        <v>16</v>
      </c>
      <c r="B20" s="143" t="s">
        <v>14</v>
      </c>
      <c r="C20" s="144"/>
      <c r="D20" s="14">
        <f t="shared" si="0"/>
        <v>7032728</v>
      </c>
      <c r="E20" s="17">
        <f t="shared" si="1"/>
        <v>50696154.171093456</v>
      </c>
      <c r="F20" s="21">
        <f t="shared" si="2"/>
        <v>6.51</v>
      </c>
    </row>
    <row r="21" spans="1:6" x14ac:dyDescent="0.2">
      <c r="A21" s="19">
        <v>17</v>
      </c>
      <c r="B21" s="143" t="s">
        <v>15</v>
      </c>
      <c r="C21" s="144"/>
      <c r="D21" s="14">
        <f t="shared" si="0"/>
        <v>637750</v>
      </c>
      <c r="E21" s="17">
        <f t="shared" si="1"/>
        <v>5957724.7266555522</v>
      </c>
      <c r="F21" s="21">
        <f t="shared" si="2"/>
        <v>8.64</v>
      </c>
    </row>
    <row r="22" spans="1:6" x14ac:dyDescent="0.2">
      <c r="A22" s="19">
        <v>18</v>
      </c>
      <c r="B22" s="143" t="s">
        <v>16</v>
      </c>
      <c r="C22" s="144"/>
      <c r="D22" s="14">
        <f t="shared" si="0"/>
        <v>4890778</v>
      </c>
      <c r="E22" s="17">
        <f t="shared" si="1"/>
        <v>30363730.824076816</v>
      </c>
      <c r="F22" s="21">
        <f t="shared" si="2"/>
        <v>5.76</v>
      </c>
    </row>
    <row r="23" spans="1:6" x14ac:dyDescent="0.2">
      <c r="A23" s="19">
        <v>19</v>
      </c>
      <c r="B23" s="143" t="s">
        <v>17</v>
      </c>
      <c r="C23" s="144"/>
      <c r="D23" s="14">
        <f t="shared" si="0"/>
        <v>21685306</v>
      </c>
      <c r="E23" s="17">
        <f t="shared" si="1"/>
        <v>117864105.20115408</v>
      </c>
      <c r="F23" s="21">
        <f t="shared" si="2"/>
        <v>4.96</v>
      </c>
    </row>
    <row r="24" spans="1:6" x14ac:dyDescent="0.2">
      <c r="A24" s="19">
        <v>20</v>
      </c>
      <c r="B24" s="143" t="s">
        <v>18</v>
      </c>
      <c r="C24" s="144"/>
      <c r="D24" s="14">
        <f t="shared" si="0"/>
        <v>2887036</v>
      </c>
      <c r="E24" s="17">
        <f t="shared" si="1"/>
        <v>21942656.316673838</v>
      </c>
      <c r="F24" s="21">
        <f t="shared" si="2"/>
        <v>6.49</v>
      </c>
    </row>
    <row r="25" spans="1:6" x14ac:dyDescent="0.2">
      <c r="A25" s="19">
        <v>21</v>
      </c>
      <c r="B25" s="143" t="s">
        <v>461</v>
      </c>
      <c r="C25" s="144"/>
      <c r="D25" s="14">
        <f t="shared" si="0"/>
        <v>2213124</v>
      </c>
      <c r="E25" s="17">
        <f t="shared" si="1"/>
        <v>18049712.564924881</v>
      </c>
      <c r="F25" s="21">
        <f t="shared" si="2"/>
        <v>7.32</v>
      </c>
    </row>
    <row r="26" spans="1:6" x14ac:dyDescent="0.2">
      <c r="A26" s="19">
        <v>22</v>
      </c>
      <c r="B26" s="143" t="s">
        <v>19</v>
      </c>
      <c r="C26" s="144"/>
      <c r="D26" s="14">
        <f t="shared" si="0"/>
        <v>1911427</v>
      </c>
      <c r="E26" s="17">
        <f t="shared" si="1"/>
        <v>13616886.46671116</v>
      </c>
      <c r="F26" s="21">
        <f t="shared" si="2"/>
        <v>6.4700000000000006</v>
      </c>
    </row>
    <row r="27" spans="1:6" x14ac:dyDescent="0.2">
      <c r="A27" s="19">
        <v>23</v>
      </c>
      <c r="B27" s="143" t="s">
        <v>20</v>
      </c>
      <c r="C27" s="144"/>
      <c r="D27" s="14">
        <f t="shared" si="0"/>
        <v>4704180</v>
      </c>
      <c r="E27" s="17">
        <f t="shared" si="1"/>
        <v>34037733.754932992</v>
      </c>
      <c r="F27" s="21">
        <f t="shared" si="2"/>
        <v>6.21</v>
      </c>
    </row>
    <row r="28" spans="1:6" x14ac:dyDescent="0.2">
      <c r="A28" s="19">
        <v>24</v>
      </c>
      <c r="B28" s="143" t="s">
        <v>21</v>
      </c>
      <c r="C28" s="144"/>
      <c r="D28" s="14">
        <f t="shared" si="0"/>
        <v>5310808</v>
      </c>
      <c r="E28" s="17">
        <f t="shared" si="1"/>
        <v>29204219.791002937</v>
      </c>
      <c r="F28" s="21">
        <f t="shared" si="2"/>
        <v>4.9399999999999995</v>
      </c>
    </row>
    <row r="29" spans="1:6" x14ac:dyDescent="0.2">
      <c r="A29" s="19">
        <v>25</v>
      </c>
      <c r="B29" s="143" t="s">
        <v>22</v>
      </c>
      <c r="C29" s="144"/>
      <c r="D29" s="14">
        <f t="shared" si="0"/>
        <v>27625573</v>
      </c>
      <c r="E29" s="17">
        <f t="shared" si="1"/>
        <v>151538087.32627207</v>
      </c>
      <c r="F29" s="21">
        <f t="shared" si="2"/>
        <v>4.97</v>
      </c>
    </row>
    <row r="30" spans="1:6" x14ac:dyDescent="0.2">
      <c r="A30" s="19">
        <v>26</v>
      </c>
      <c r="B30" s="143" t="s">
        <v>23</v>
      </c>
      <c r="C30" s="144"/>
      <c r="D30" s="14">
        <f t="shared" si="0"/>
        <v>7572223</v>
      </c>
      <c r="E30" s="17">
        <f t="shared" si="1"/>
        <v>59044662.784244433</v>
      </c>
      <c r="F30" s="21">
        <f t="shared" si="2"/>
        <v>7.33</v>
      </c>
    </row>
    <row r="31" spans="1:6" x14ac:dyDescent="0.2">
      <c r="A31" s="19">
        <v>28</v>
      </c>
      <c r="B31" s="143" t="s">
        <v>24</v>
      </c>
      <c r="C31" s="144"/>
      <c r="D31" s="14">
        <f t="shared" si="0"/>
        <v>0</v>
      </c>
      <c r="E31" s="17">
        <f t="shared" si="1"/>
        <v>0</v>
      </c>
      <c r="F31" s="21"/>
    </row>
    <row r="32" spans="1:6" ht="15.75" customHeight="1" thickBot="1" x14ac:dyDescent="0.25">
      <c r="A32" s="22">
        <v>29</v>
      </c>
      <c r="B32" s="147" t="s">
        <v>25</v>
      </c>
      <c r="C32" s="148"/>
      <c r="D32" s="23">
        <f t="shared" si="0"/>
        <v>0</v>
      </c>
      <c r="E32" s="24">
        <f t="shared" si="1"/>
        <v>0</v>
      </c>
      <c r="F32" s="25"/>
    </row>
    <row r="33" spans="1:8" x14ac:dyDescent="0.2">
      <c r="B33" s="13" t="s">
        <v>35</v>
      </c>
      <c r="C33" s="13"/>
      <c r="D33" s="61">
        <f>SUM(D5:D32)</f>
        <v>192706184</v>
      </c>
      <c r="E33" s="4">
        <f>SUM(E5:E32)</f>
        <v>1207105543.0000012</v>
      </c>
      <c r="F33" s="8">
        <f>F64+F95+$F$105</f>
        <v>5.77</v>
      </c>
    </row>
    <row r="34" spans="1:8" ht="15" thickBot="1" x14ac:dyDescent="0.25">
      <c r="H34" s="67"/>
    </row>
    <row r="35" spans="1:8" ht="29.25" customHeight="1" x14ac:dyDescent="0.2">
      <c r="A35" s="26" t="s">
        <v>26</v>
      </c>
      <c r="B35" s="145" t="s">
        <v>466</v>
      </c>
      <c r="C35" s="146"/>
      <c r="D35" s="28" t="s">
        <v>27</v>
      </c>
      <c r="E35" s="28" t="s">
        <v>462</v>
      </c>
      <c r="F35" s="29" t="s">
        <v>463</v>
      </c>
    </row>
    <row r="36" spans="1:8" x14ac:dyDescent="0.2">
      <c r="A36" s="19">
        <v>1</v>
      </c>
      <c r="B36" s="143" t="s">
        <v>0</v>
      </c>
      <c r="C36" s="144"/>
      <c r="D36" s="14">
        <f>SUM('1:57'!D36)</f>
        <v>1156306</v>
      </c>
      <c r="E36" s="15">
        <f>SUM('1:57'!E36)</f>
        <v>1784347</v>
      </c>
      <c r="F36" s="20">
        <f>ROUND(MEDIAN('1:57'!F36),2)</f>
        <v>0.92</v>
      </c>
    </row>
    <row r="37" spans="1:8" x14ac:dyDescent="0.2">
      <c r="A37" s="19">
        <v>2</v>
      </c>
      <c r="B37" s="143" t="s">
        <v>1</v>
      </c>
      <c r="C37" s="144"/>
      <c r="D37" s="14">
        <f>SUM('1:57'!D37)</f>
        <v>5213661</v>
      </c>
      <c r="E37" s="17">
        <f>SUM('1:57'!E37)</f>
        <v>6224692</v>
      </c>
      <c r="F37" s="21">
        <f>ROUND(MEDIAN('1:57'!F37),2)</f>
        <v>1.29</v>
      </c>
    </row>
    <row r="38" spans="1:8" x14ac:dyDescent="0.2">
      <c r="A38" s="19">
        <v>3</v>
      </c>
      <c r="B38" s="143" t="s">
        <v>2</v>
      </c>
      <c r="C38" s="144"/>
      <c r="D38" s="14">
        <f>SUM('1:57'!D38)</f>
        <v>18409138</v>
      </c>
      <c r="E38" s="17">
        <f>SUM('1:57'!E38)</f>
        <v>12557365</v>
      </c>
      <c r="F38" s="21">
        <f>ROUND(MEDIAN('1:57'!F38),2)</f>
        <v>0.5</v>
      </c>
    </row>
    <row r="39" spans="1:8" x14ac:dyDescent="0.2">
      <c r="A39" s="19">
        <v>4</v>
      </c>
      <c r="B39" s="143" t="s">
        <v>3</v>
      </c>
      <c r="C39" s="144"/>
      <c r="D39" s="14">
        <f>SUM('1:57'!D39)</f>
        <v>15167456</v>
      </c>
      <c r="E39" s="17">
        <f>SUM('1:57'!E39)</f>
        <v>14533847</v>
      </c>
      <c r="F39" s="21">
        <f>ROUND(MEDIAN('1:57'!F39),2)</f>
        <v>0.56000000000000005</v>
      </c>
    </row>
    <row r="40" spans="1:8" x14ac:dyDescent="0.2">
      <c r="A40" s="19">
        <v>5</v>
      </c>
      <c r="B40" s="143" t="s">
        <v>4</v>
      </c>
      <c r="C40" s="144"/>
      <c r="D40" s="14">
        <f>SUM('1:57'!D40)</f>
        <v>204871</v>
      </c>
      <c r="E40" s="17">
        <f>SUM('1:57'!E40)</f>
        <v>1699963</v>
      </c>
      <c r="F40" s="21">
        <f>ROUND(MEDIAN('1:57'!F40),2)</f>
        <v>8.73</v>
      </c>
    </row>
    <row r="41" spans="1:8" x14ac:dyDescent="0.2">
      <c r="A41" s="19">
        <v>6</v>
      </c>
      <c r="B41" s="143" t="s">
        <v>5</v>
      </c>
      <c r="C41" s="144"/>
      <c r="D41" s="14">
        <f>SUM('1:57'!D41)</f>
        <v>914335</v>
      </c>
      <c r="E41" s="17">
        <f>SUM('1:57'!E41)</f>
        <v>2355814</v>
      </c>
      <c r="F41" s="21">
        <f>ROUND(MEDIAN('1:57'!F41),2)</f>
        <v>1.48</v>
      </c>
    </row>
    <row r="42" spans="1:8" x14ac:dyDescent="0.2">
      <c r="A42" s="19">
        <v>7</v>
      </c>
      <c r="B42" s="143" t="s">
        <v>6</v>
      </c>
      <c r="C42" s="144"/>
      <c r="D42" s="14">
        <f>SUM('1:57'!D42)</f>
        <v>13874819</v>
      </c>
      <c r="E42" s="17">
        <f>SUM('1:57'!E42)</f>
        <v>16343241</v>
      </c>
      <c r="F42" s="21">
        <f>ROUND(MEDIAN('1:57'!F42),2)</f>
        <v>0.69</v>
      </c>
    </row>
    <row r="43" spans="1:8" x14ac:dyDescent="0.2">
      <c r="A43" s="19">
        <v>8</v>
      </c>
      <c r="B43" s="143" t="s">
        <v>7</v>
      </c>
      <c r="C43" s="144"/>
      <c r="D43" s="14">
        <f>SUM('1:57'!D43)</f>
        <v>1587260</v>
      </c>
      <c r="E43" s="17">
        <f>SUM('1:57'!E43)</f>
        <v>1163947</v>
      </c>
      <c r="F43" s="21">
        <f>ROUND(MEDIAN('1:57'!F43),2)</f>
        <v>0.86</v>
      </c>
    </row>
    <row r="44" spans="1:8" x14ac:dyDescent="0.2">
      <c r="A44" s="19">
        <v>9</v>
      </c>
      <c r="B44" s="143" t="s">
        <v>8</v>
      </c>
      <c r="C44" s="144"/>
      <c r="D44" s="14">
        <f>SUM('1:57'!D44)</f>
        <v>4970395</v>
      </c>
      <c r="E44" s="17">
        <f>SUM('1:57'!E44)</f>
        <v>4180066</v>
      </c>
      <c r="F44" s="21">
        <f>ROUND(MEDIAN('1:57'!F44),2)</f>
        <v>0.48</v>
      </c>
    </row>
    <row r="45" spans="1:8" x14ac:dyDescent="0.2">
      <c r="A45" s="19">
        <v>10</v>
      </c>
      <c r="B45" s="143" t="s">
        <v>9</v>
      </c>
      <c r="C45" s="144"/>
      <c r="D45" s="14">
        <f>SUM('1:57'!D45)</f>
        <v>109700</v>
      </c>
      <c r="E45" s="17">
        <f>SUM('1:57'!E45)</f>
        <v>744438</v>
      </c>
      <c r="F45" s="21">
        <f>ROUND(MEDIAN('1:57'!F45),2)</f>
        <v>0.46</v>
      </c>
    </row>
    <row r="46" spans="1:8" x14ac:dyDescent="0.2">
      <c r="A46" s="19">
        <v>11</v>
      </c>
      <c r="B46" s="143" t="s">
        <v>10</v>
      </c>
      <c r="C46" s="144"/>
      <c r="D46" s="14">
        <f>SUM('1:57'!D46)</f>
        <v>4655432</v>
      </c>
      <c r="E46" s="17">
        <f>SUM('1:57'!E46)</f>
        <v>5378490</v>
      </c>
      <c r="F46" s="21">
        <f>ROUND(MEDIAN('1:57'!F46),2)</f>
        <v>0.92</v>
      </c>
    </row>
    <row r="47" spans="1:8" x14ac:dyDescent="0.2">
      <c r="A47" s="19">
        <v>12</v>
      </c>
      <c r="B47" s="143" t="s">
        <v>11</v>
      </c>
      <c r="C47" s="144"/>
      <c r="D47" s="14">
        <f>SUM('1:57'!D47)</f>
        <v>31461433</v>
      </c>
      <c r="E47" s="17">
        <f>SUM('1:57'!E47)</f>
        <v>13161115</v>
      </c>
      <c r="F47" s="21">
        <f>ROUND(MEDIAN('1:57'!F47),2)</f>
        <v>0.26</v>
      </c>
    </row>
    <row r="48" spans="1:8" x14ac:dyDescent="0.2">
      <c r="A48" s="19">
        <v>13</v>
      </c>
      <c r="B48" s="143" t="s">
        <v>12</v>
      </c>
      <c r="C48" s="144"/>
      <c r="D48" s="14">
        <f>SUM('1:57'!D48)</f>
        <v>3611853</v>
      </c>
      <c r="E48" s="17">
        <f>SUM('1:57'!E48)</f>
        <v>1580311</v>
      </c>
      <c r="F48" s="21">
        <f>ROUND(MEDIAN('1:57'!F48),2)</f>
        <v>0.26</v>
      </c>
    </row>
    <row r="49" spans="1:6" x14ac:dyDescent="0.2">
      <c r="A49" s="19">
        <v>14</v>
      </c>
      <c r="B49" s="143" t="s">
        <v>464</v>
      </c>
      <c r="C49" s="144"/>
      <c r="D49" s="14">
        <f>SUM('1:57'!D49)</f>
        <v>4585973</v>
      </c>
      <c r="E49" s="17">
        <f>SUM('1:57'!E49)</f>
        <v>4216765</v>
      </c>
      <c r="F49" s="21">
        <f>ROUND(MEDIAN('1:57'!F49),2)</f>
        <v>0.89</v>
      </c>
    </row>
    <row r="50" spans="1:6" x14ac:dyDescent="0.2">
      <c r="A50" s="19">
        <v>15</v>
      </c>
      <c r="B50" s="143" t="s">
        <v>13</v>
      </c>
      <c r="C50" s="144"/>
      <c r="D50" s="14">
        <f>SUM('1:57'!D50)</f>
        <v>312619</v>
      </c>
      <c r="E50" s="17">
        <f>SUM('1:57'!E50)</f>
        <v>688121</v>
      </c>
      <c r="F50" s="21">
        <f>ROUND(MEDIAN('1:57'!F50),2)</f>
        <v>2.2799999999999998</v>
      </c>
    </row>
    <row r="51" spans="1:6" x14ac:dyDescent="0.2">
      <c r="A51" s="19">
        <v>16</v>
      </c>
      <c r="B51" s="143" t="s">
        <v>14</v>
      </c>
      <c r="C51" s="144"/>
      <c r="D51" s="14">
        <f>SUM('1:57'!D51)</f>
        <v>7032728</v>
      </c>
      <c r="E51" s="17">
        <f>SUM('1:57'!E51)</f>
        <v>6621093</v>
      </c>
      <c r="F51" s="21">
        <f>ROUND(MEDIAN('1:57'!F51),2)</f>
        <v>0.84</v>
      </c>
    </row>
    <row r="52" spans="1:6" x14ac:dyDescent="0.2">
      <c r="A52" s="19">
        <v>17</v>
      </c>
      <c r="B52" s="143" t="s">
        <v>15</v>
      </c>
      <c r="C52" s="144"/>
      <c r="D52" s="14">
        <f>SUM('1:57'!D52)</f>
        <v>637750</v>
      </c>
      <c r="E52" s="17">
        <f>SUM('1:57'!E52)</f>
        <v>500054</v>
      </c>
      <c r="F52" s="21">
        <f>ROUND(MEDIAN('1:57'!F52),2)</f>
        <v>0.78</v>
      </c>
    </row>
    <row r="53" spans="1:6" x14ac:dyDescent="0.2">
      <c r="A53" s="19">
        <v>18</v>
      </c>
      <c r="B53" s="143" t="s">
        <v>16</v>
      </c>
      <c r="C53" s="144"/>
      <c r="D53" s="14">
        <f>SUM('1:57'!D53)</f>
        <v>4890778</v>
      </c>
      <c r="E53" s="17">
        <f>SUM('1:57'!E53)</f>
        <v>2548076</v>
      </c>
      <c r="F53" s="21">
        <f>ROUND(MEDIAN('1:57'!F53),2)</f>
        <v>0.52</v>
      </c>
    </row>
    <row r="54" spans="1:6" x14ac:dyDescent="0.2">
      <c r="A54" s="19">
        <v>19</v>
      </c>
      <c r="B54" s="143" t="s">
        <v>17</v>
      </c>
      <c r="C54" s="144"/>
      <c r="D54" s="14">
        <f>SUM('1:57'!D54)</f>
        <v>21685306</v>
      </c>
      <c r="E54" s="17">
        <f>SUM('1:57'!E54)</f>
        <v>7156993</v>
      </c>
      <c r="F54" s="21">
        <f>ROUND(MEDIAN('1:57'!F54),2)</f>
        <v>0.2</v>
      </c>
    </row>
    <row r="55" spans="1:6" x14ac:dyDescent="0.2">
      <c r="A55" s="19">
        <v>20</v>
      </c>
      <c r="B55" s="143" t="s">
        <v>18</v>
      </c>
      <c r="C55" s="144"/>
      <c r="D55" s="14">
        <f>SUM('1:57'!D55)</f>
        <v>2887036</v>
      </c>
      <c r="E55" s="17">
        <f>SUM('1:57'!E55)</f>
        <v>3501212</v>
      </c>
      <c r="F55" s="21">
        <f>ROUND(MEDIAN('1:57'!F55),2)</f>
        <v>0.83</v>
      </c>
    </row>
    <row r="56" spans="1:6" ht="14.25" customHeight="1" x14ac:dyDescent="0.2">
      <c r="A56" s="19">
        <v>21</v>
      </c>
      <c r="B56" s="143" t="s">
        <v>461</v>
      </c>
      <c r="C56" s="144"/>
      <c r="D56" s="14">
        <f>SUM('1:57'!D56)</f>
        <v>2213124</v>
      </c>
      <c r="E56" s="17">
        <f>SUM('1:57'!E56)</f>
        <v>3492208</v>
      </c>
      <c r="F56" s="21">
        <f>ROUND(MEDIAN('1:57'!F56),2)</f>
        <v>1.45</v>
      </c>
    </row>
    <row r="57" spans="1:6" x14ac:dyDescent="0.2">
      <c r="A57" s="19">
        <v>22</v>
      </c>
      <c r="B57" s="143" t="s">
        <v>19</v>
      </c>
      <c r="C57" s="144"/>
      <c r="D57" s="14">
        <f>SUM('1:57'!D57)</f>
        <v>1911427</v>
      </c>
      <c r="E57" s="17">
        <f>SUM('1:57'!E57)</f>
        <v>1802821</v>
      </c>
      <c r="F57" s="21">
        <f>ROUND(MEDIAN('1:57'!F57),2)</f>
        <v>0.8</v>
      </c>
    </row>
    <row r="58" spans="1:6" x14ac:dyDescent="0.2">
      <c r="A58" s="19">
        <v>23</v>
      </c>
      <c r="B58" s="143" t="s">
        <v>20</v>
      </c>
      <c r="C58" s="144"/>
      <c r="D58" s="14">
        <f>SUM('1:57'!D58)</f>
        <v>4704180</v>
      </c>
      <c r="E58" s="17">
        <f>SUM('1:57'!E58)</f>
        <v>3862764</v>
      </c>
      <c r="F58" s="21">
        <f>ROUND(MEDIAN('1:57'!F58),2)</f>
        <v>0.46</v>
      </c>
    </row>
    <row r="59" spans="1:6" x14ac:dyDescent="0.2">
      <c r="A59" s="19">
        <v>24</v>
      </c>
      <c r="B59" s="143" t="s">
        <v>21</v>
      </c>
      <c r="C59" s="144"/>
      <c r="D59" s="14">
        <f>SUM('1:57'!D59)</f>
        <v>5310808</v>
      </c>
      <c r="E59" s="17">
        <f>SUM('1:57'!E59)</f>
        <v>4057899</v>
      </c>
      <c r="F59" s="21">
        <f>ROUND(MEDIAN('1:57'!F59),2)</f>
        <v>0.44</v>
      </c>
    </row>
    <row r="60" spans="1:6" x14ac:dyDescent="0.2">
      <c r="A60" s="19">
        <v>25</v>
      </c>
      <c r="B60" s="143" t="s">
        <v>22</v>
      </c>
      <c r="C60" s="144"/>
      <c r="D60" s="14">
        <f>SUM('1:57'!D60)</f>
        <v>27625573</v>
      </c>
      <c r="E60" s="17">
        <f>SUM('1:57'!E60)</f>
        <v>7693385</v>
      </c>
      <c r="F60" s="21">
        <f>ROUND(MEDIAN('1:57'!F60),2)</f>
        <v>0.15</v>
      </c>
    </row>
    <row r="61" spans="1:6" x14ac:dyDescent="0.2">
      <c r="A61" s="19">
        <v>26</v>
      </c>
      <c r="B61" s="143" t="s">
        <v>23</v>
      </c>
      <c r="C61" s="144"/>
      <c r="D61" s="14">
        <f>SUM('1:57'!D61)</f>
        <v>7572223</v>
      </c>
      <c r="E61" s="17">
        <f>SUM('1:57'!E61)</f>
        <v>8194517</v>
      </c>
      <c r="F61" s="21">
        <f>ROUND(MEDIAN('1:57'!F61),2)</f>
        <v>0.94</v>
      </c>
    </row>
    <row r="62" spans="1:6" x14ac:dyDescent="0.2">
      <c r="A62" s="19">
        <v>28</v>
      </c>
      <c r="B62" s="143" t="s">
        <v>24</v>
      </c>
      <c r="C62" s="144"/>
      <c r="D62" s="14">
        <f>SUM('1:57'!D62)</f>
        <v>0</v>
      </c>
      <c r="E62" s="17">
        <f>SUM('1:57'!E62)</f>
        <v>0</v>
      </c>
      <c r="F62" s="21"/>
    </row>
    <row r="63" spans="1:6" ht="15.75" customHeight="1" thickBot="1" x14ac:dyDescent="0.25">
      <c r="A63" s="22">
        <v>29</v>
      </c>
      <c r="B63" s="147" t="s">
        <v>25</v>
      </c>
      <c r="C63" s="148"/>
      <c r="D63" s="23">
        <f>SUM('1:57'!D63)</f>
        <v>0</v>
      </c>
      <c r="E63" s="24">
        <f>SUM('1:57'!E63)</f>
        <v>0</v>
      </c>
      <c r="F63" s="25"/>
    </row>
    <row r="64" spans="1:6" x14ac:dyDescent="0.2">
      <c r="C64" s="13" t="s">
        <v>35</v>
      </c>
      <c r="D64" s="61">
        <f>SUM(D36:D63)</f>
        <v>192706184</v>
      </c>
      <c r="E64" s="4">
        <f>SUM(E36:E63)</f>
        <v>136043544</v>
      </c>
      <c r="F64" s="8">
        <f>ROUND(MEDIAN('1:57'!F64),2)</f>
        <v>0.62</v>
      </c>
    </row>
    <row r="65" spans="1:6" ht="15" thickBot="1" x14ac:dyDescent="0.25"/>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1156306</v>
      </c>
      <c r="E67" s="15">
        <f>SUM('1:57'!E67)</f>
        <v>3793956</v>
      </c>
      <c r="F67" s="20">
        <f>ROUND(MEDIAN('1:57'!F67),2)</f>
        <v>3.32</v>
      </c>
    </row>
    <row r="68" spans="1:6" x14ac:dyDescent="0.2">
      <c r="A68" s="19">
        <v>2</v>
      </c>
      <c r="B68" s="143" t="s">
        <v>1</v>
      </c>
      <c r="C68" s="144"/>
      <c r="D68" s="14">
        <f t="shared" ref="D68:D94" si="3">D37</f>
        <v>5213661</v>
      </c>
      <c r="E68" s="17">
        <f>SUM('1:57'!E68)</f>
        <v>13799890</v>
      </c>
      <c r="F68" s="21">
        <f>ROUND(MEDIAN('1:57'!F68),2)</f>
        <v>2.78</v>
      </c>
    </row>
    <row r="69" spans="1:6" x14ac:dyDescent="0.2">
      <c r="A69" s="19">
        <v>3</v>
      </c>
      <c r="B69" s="143" t="s">
        <v>2</v>
      </c>
      <c r="C69" s="144"/>
      <c r="D69" s="14">
        <f t="shared" si="3"/>
        <v>18409138</v>
      </c>
      <c r="E69" s="17">
        <f>SUM('1:57'!E69)</f>
        <v>43088517</v>
      </c>
      <c r="F69" s="21">
        <f>ROUND(MEDIAN('1:57'!F69),2)</f>
        <v>2.44</v>
      </c>
    </row>
    <row r="70" spans="1:6" x14ac:dyDescent="0.2">
      <c r="A70" s="19">
        <v>4</v>
      </c>
      <c r="B70" s="143" t="s">
        <v>3</v>
      </c>
      <c r="C70" s="144"/>
      <c r="D70" s="14">
        <f t="shared" si="3"/>
        <v>15167456</v>
      </c>
      <c r="E70" s="17">
        <f>SUM('1:57'!E70)</f>
        <v>46350319</v>
      </c>
      <c r="F70" s="21">
        <f>ROUND(MEDIAN('1:57'!F70),2)</f>
        <v>3.09</v>
      </c>
    </row>
    <row r="71" spans="1:6" x14ac:dyDescent="0.2">
      <c r="A71" s="19">
        <v>5</v>
      </c>
      <c r="B71" s="143" t="s">
        <v>4</v>
      </c>
      <c r="C71" s="144"/>
      <c r="D71" s="14">
        <f t="shared" si="3"/>
        <v>204871</v>
      </c>
      <c r="E71" s="17">
        <f>SUM('1:57'!E71)</f>
        <v>1165510</v>
      </c>
      <c r="F71" s="21">
        <f>ROUND(MEDIAN('1:57'!F71),2)</f>
        <v>7.39</v>
      </c>
    </row>
    <row r="72" spans="1:6" x14ac:dyDescent="0.2">
      <c r="A72" s="19">
        <v>6</v>
      </c>
      <c r="B72" s="143" t="s">
        <v>5</v>
      </c>
      <c r="C72" s="144"/>
      <c r="D72" s="14">
        <f t="shared" si="3"/>
        <v>914335</v>
      </c>
      <c r="E72" s="17">
        <f>SUM('1:57'!E72)</f>
        <v>3325837</v>
      </c>
      <c r="F72" s="21">
        <f>ROUND(MEDIAN('1:57'!F72),2)</f>
        <v>4.16</v>
      </c>
    </row>
    <row r="73" spans="1:6" x14ac:dyDescent="0.2">
      <c r="A73" s="19">
        <v>7</v>
      </c>
      <c r="B73" s="143" t="s">
        <v>6</v>
      </c>
      <c r="C73" s="144"/>
      <c r="D73" s="14">
        <f t="shared" si="3"/>
        <v>13874819</v>
      </c>
      <c r="E73" s="17">
        <f>SUM('1:57'!E73)</f>
        <v>29280311</v>
      </c>
      <c r="F73" s="21">
        <f>ROUND(MEDIAN('1:57'!F73),2)</f>
        <v>2.1800000000000002</v>
      </c>
    </row>
    <row r="74" spans="1:6" x14ac:dyDescent="0.2">
      <c r="A74" s="19">
        <v>8</v>
      </c>
      <c r="B74" s="143" t="s">
        <v>7</v>
      </c>
      <c r="C74" s="144"/>
      <c r="D74" s="14">
        <f t="shared" si="3"/>
        <v>1587260</v>
      </c>
      <c r="E74" s="17">
        <f>SUM('1:57'!E74)</f>
        <v>3677154</v>
      </c>
      <c r="F74" s="21">
        <f>ROUND(MEDIAN('1:57'!F74),2)</f>
        <v>2.56</v>
      </c>
    </row>
    <row r="75" spans="1:6" x14ac:dyDescent="0.2">
      <c r="A75" s="19">
        <v>9</v>
      </c>
      <c r="B75" s="143" t="s">
        <v>8</v>
      </c>
      <c r="C75" s="144"/>
      <c r="D75" s="14">
        <f t="shared" si="3"/>
        <v>4970395</v>
      </c>
      <c r="E75" s="17">
        <f>SUM('1:57'!E75)</f>
        <v>12465376</v>
      </c>
      <c r="F75" s="21">
        <f>ROUND(MEDIAN('1:57'!F75),2)</f>
        <v>2.2999999999999998</v>
      </c>
    </row>
    <row r="76" spans="1:6" x14ac:dyDescent="0.2">
      <c r="A76" s="19">
        <v>10</v>
      </c>
      <c r="B76" s="143" t="s">
        <v>9</v>
      </c>
      <c r="C76" s="144"/>
      <c r="D76" s="14">
        <f t="shared" si="3"/>
        <v>109700</v>
      </c>
      <c r="E76" s="17">
        <f>SUM('1:57'!E76)</f>
        <v>1021340</v>
      </c>
      <c r="F76" s="21">
        <f>ROUND(MEDIAN('1:57'!F76),2)</f>
        <v>4.6100000000000003</v>
      </c>
    </row>
    <row r="77" spans="1:6" x14ac:dyDescent="0.2">
      <c r="A77" s="19">
        <v>11</v>
      </c>
      <c r="B77" s="143" t="s">
        <v>10</v>
      </c>
      <c r="C77" s="144"/>
      <c r="D77" s="14">
        <f t="shared" si="3"/>
        <v>4655432</v>
      </c>
      <c r="E77" s="17">
        <f>SUM('1:57'!E77)</f>
        <v>13283741</v>
      </c>
      <c r="F77" s="21">
        <f>ROUND(MEDIAN('1:57'!F77),2)</f>
        <v>2.93</v>
      </c>
    </row>
    <row r="78" spans="1:6" x14ac:dyDescent="0.2">
      <c r="A78" s="19">
        <v>12</v>
      </c>
      <c r="B78" s="143" t="s">
        <v>11</v>
      </c>
      <c r="C78" s="144"/>
      <c r="D78" s="14">
        <f t="shared" si="3"/>
        <v>31461433</v>
      </c>
      <c r="E78" s="17">
        <f>SUM('1:57'!E78)</f>
        <v>77378045</v>
      </c>
      <c r="F78" s="21">
        <f>ROUND(MEDIAN('1:57'!F78),2)</f>
        <v>2.4300000000000002</v>
      </c>
    </row>
    <row r="79" spans="1:6" x14ac:dyDescent="0.2">
      <c r="A79" s="19">
        <v>13</v>
      </c>
      <c r="B79" s="143" t="s">
        <v>12</v>
      </c>
      <c r="C79" s="144"/>
      <c r="D79" s="14">
        <f t="shared" si="3"/>
        <v>3611853</v>
      </c>
      <c r="E79" s="17">
        <f>SUM('1:57'!E79)</f>
        <v>10008029</v>
      </c>
      <c r="F79" s="21">
        <f>ROUND(MEDIAN('1:57'!F79),2)</f>
        <v>2.87</v>
      </c>
    </row>
    <row r="80" spans="1:6" x14ac:dyDescent="0.2">
      <c r="A80" s="19">
        <v>14</v>
      </c>
      <c r="B80" s="143" t="s">
        <v>464</v>
      </c>
      <c r="C80" s="144"/>
      <c r="D80" s="14">
        <f t="shared" si="3"/>
        <v>4585973</v>
      </c>
      <c r="E80" s="17">
        <f>SUM('1:57'!E80)</f>
        <v>26087772</v>
      </c>
      <c r="F80" s="21">
        <f>ROUND(MEDIAN('1:57'!F80),2)</f>
        <v>5.58</v>
      </c>
    </row>
    <row r="81" spans="1:6" x14ac:dyDescent="0.2">
      <c r="A81" s="19">
        <v>15</v>
      </c>
      <c r="B81" s="143" t="s">
        <v>13</v>
      </c>
      <c r="C81" s="144"/>
      <c r="D81" s="14">
        <f t="shared" si="3"/>
        <v>312619</v>
      </c>
      <c r="E81" s="17">
        <f>SUM('1:57'!E81)</f>
        <v>2128445</v>
      </c>
      <c r="F81" s="21">
        <f>ROUND(MEDIAN('1:57'!F81),2)</f>
        <v>6.36</v>
      </c>
    </row>
    <row r="82" spans="1:6" x14ac:dyDescent="0.2">
      <c r="A82" s="19">
        <v>16</v>
      </c>
      <c r="B82" s="143" t="s">
        <v>14</v>
      </c>
      <c r="C82" s="144"/>
      <c r="D82" s="14">
        <f t="shared" si="3"/>
        <v>7032728</v>
      </c>
      <c r="E82" s="17">
        <f>SUM('1:57'!E82)</f>
        <v>24127601</v>
      </c>
      <c r="F82" s="21">
        <f>ROUND(MEDIAN('1:57'!F82),2)</f>
        <v>3.1</v>
      </c>
    </row>
    <row r="83" spans="1:6" x14ac:dyDescent="0.2">
      <c r="A83" s="19">
        <v>17</v>
      </c>
      <c r="B83" s="143" t="s">
        <v>15</v>
      </c>
      <c r="C83" s="144"/>
      <c r="D83" s="14">
        <f t="shared" si="3"/>
        <v>637750</v>
      </c>
      <c r="E83" s="17">
        <f>SUM('1:57'!E83)</f>
        <v>3648772</v>
      </c>
      <c r="F83" s="21">
        <f>ROUND(MEDIAN('1:57'!F83),2)</f>
        <v>5.29</v>
      </c>
    </row>
    <row r="84" spans="1:6" x14ac:dyDescent="0.2">
      <c r="A84" s="19">
        <v>18</v>
      </c>
      <c r="B84" s="143" t="s">
        <v>16</v>
      </c>
      <c r="C84" s="144"/>
      <c r="D84" s="14">
        <f t="shared" si="3"/>
        <v>4890778</v>
      </c>
      <c r="E84" s="17">
        <f>SUM('1:57'!E84)</f>
        <v>13943570</v>
      </c>
      <c r="F84" s="21">
        <f>ROUND(MEDIAN('1:57'!F84),2)</f>
        <v>2.67</v>
      </c>
    </row>
    <row r="85" spans="1:6" x14ac:dyDescent="0.2">
      <c r="A85" s="19">
        <v>19</v>
      </c>
      <c r="B85" s="143" t="s">
        <v>17</v>
      </c>
      <c r="C85" s="144"/>
      <c r="D85" s="14">
        <f t="shared" si="3"/>
        <v>21685306</v>
      </c>
      <c r="E85" s="17">
        <f>SUM('1:57'!E85)</f>
        <v>49199433</v>
      </c>
      <c r="F85" s="21">
        <f>ROUND(MEDIAN('1:57'!F85),2)</f>
        <v>2.19</v>
      </c>
    </row>
    <row r="86" spans="1:6" x14ac:dyDescent="0.2">
      <c r="A86" s="19">
        <v>20</v>
      </c>
      <c r="B86" s="143" t="s">
        <v>18</v>
      </c>
      <c r="C86" s="144"/>
      <c r="D86" s="14">
        <f t="shared" si="3"/>
        <v>2887036</v>
      </c>
      <c r="E86" s="17">
        <f>SUM('1:57'!E86)</f>
        <v>10252725</v>
      </c>
      <c r="F86" s="21">
        <f>ROUND(MEDIAN('1:57'!F86),2)</f>
        <v>3.09</v>
      </c>
    </row>
    <row r="87" spans="1:6" x14ac:dyDescent="0.2">
      <c r="A87" s="19">
        <v>21</v>
      </c>
      <c r="B87" s="143" t="s">
        <v>461</v>
      </c>
      <c r="C87" s="144"/>
      <c r="D87" s="14">
        <f t="shared" si="3"/>
        <v>2213124</v>
      </c>
      <c r="E87" s="17">
        <f>SUM('1:57'!E87)</f>
        <v>8280253</v>
      </c>
      <c r="F87" s="21">
        <f>ROUND(MEDIAN('1:57'!F87),2)</f>
        <v>3.3</v>
      </c>
    </row>
    <row r="88" spans="1:6" x14ac:dyDescent="0.2">
      <c r="A88" s="19">
        <v>22</v>
      </c>
      <c r="B88" s="143" t="s">
        <v>19</v>
      </c>
      <c r="C88" s="144"/>
      <c r="D88" s="14">
        <f t="shared" si="3"/>
        <v>1911427</v>
      </c>
      <c r="E88" s="17">
        <f>SUM('1:57'!E88)</f>
        <v>6392540</v>
      </c>
      <c r="F88" s="21">
        <f>ROUND(MEDIAN('1:57'!F88),2)</f>
        <v>3.1</v>
      </c>
    </row>
    <row r="89" spans="1:6" x14ac:dyDescent="0.2">
      <c r="A89" s="19">
        <v>23</v>
      </c>
      <c r="B89" s="143" t="s">
        <v>20</v>
      </c>
      <c r="C89" s="144"/>
      <c r="D89" s="14">
        <f t="shared" si="3"/>
        <v>4704180</v>
      </c>
      <c r="E89" s="17">
        <f>SUM('1:57'!E89)</f>
        <v>16832147</v>
      </c>
      <c r="F89" s="21">
        <f>ROUND(MEDIAN('1:57'!F89),2)</f>
        <v>3.18</v>
      </c>
    </row>
    <row r="90" spans="1:6" x14ac:dyDescent="0.2">
      <c r="A90" s="19">
        <v>24</v>
      </c>
      <c r="B90" s="143" t="s">
        <v>21</v>
      </c>
      <c r="C90" s="144"/>
      <c r="D90" s="14">
        <f t="shared" si="3"/>
        <v>5310808</v>
      </c>
      <c r="E90" s="17">
        <f>SUM('1:57'!E90)</f>
        <v>10082873</v>
      </c>
      <c r="F90" s="21">
        <f>ROUND(MEDIAN('1:57'!F90),2)</f>
        <v>1.93</v>
      </c>
    </row>
    <row r="91" spans="1:6" x14ac:dyDescent="0.2">
      <c r="A91" s="19">
        <v>25</v>
      </c>
      <c r="B91" s="143" t="s">
        <v>22</v>
      </c>
      <c r="C91" s="144"/>
      <c r="D91" s="14">
        <f t="shared" si="3"/>
        <v>27625573</v>
      </c>
      <c r="E91" s="17">
        <f>SUM('1:57'!E91)</f>
        <v>65488193</v>
      </c>
      <c r="F91" s="21">
        <f>ROUND(MEDIAN('1:57'!F91),2)</f>
        <v>2.25</v>
      </c>
    </row>
    <row r="92" spans="1:6" x14ac:dyDescent="0.2">
      <c r="A92" s="19">
        <v>26</v>
      </c>
      <c r="B92" s="143" t="s">
        <v>23</v>
      </c>
      <c r="C92" s="144"/>
      <c r="D92" s="14">
        <f t="shared" si="3"/>
        <v>7572223</v>
      </c>
      <c r="E92" s="17">
        <f>SUM('1:57'!E92)</f>
        <v>29372475</v>
      </c>
      <c r="F92" s="21">
        <f>ROUND(MEDIAN('1:57'!F92),2)</f>
        <v>3.82</v>
      </c>
    </row>
    <row r="93" spans="1:6" x14ac:dyDescent="0.2">
      <c r="A93" s="19">
        <v>28</v>
      </c>
      <c r="B93" s="143" t="s">
        <v>24</v>
      </c>
      <c r="C93" s="144"/>
      <c r="D93" s="14">
        <f t="shared" si="3"/>
        <v>0</v>
      </c>
      <c r="E93" s="17">
        <f>SUM('1:57'!E93)</f>
        <v>0</v>
      </c>
      <c r="F93" s="21"/>
    </row>
    <row r="94" spans="1:6" ht="15.75" customHeight="1" thickBot="1" x14ac:dyDescent="0.25">
      <c r="A94" s="22">
        <v>29</v>
      </c>
      <c r="B94" s="147" t="s">
        <v>25</v>
      </c>
      <c r="C94" s="148"/>
      <c r="D94" s="23">
        <f t="shared" si="3"/>
        <v>0</v>
      </c>
      <c r="E94" s="24">
        <f>SUM('1:57'!E94)</f>
        <v>0</v>
      </c>
      <c r="F94" s="25"/>
    </row>
    <row r="95" spans="1:6" x14ac:dyDescent="0.2">
      <c r="C95" s="13" t="s">
        <v>35</v>
      </c>
      <c r="D95" s="61">
        <f>SUM(D67:D94)</f>
        <v>192706184</v>
      </c>
      <c r="E95" s="4">
        <f>SUM(E67:E94)</f>
        <v>524474824</v>
      </c>
      <c r="F95" s="8">
        <f>ROUND(MEDIAN('1:57'!F95),2)</f>
        <v>2.58</v>
      </c>
    </row>
    <row r="96" spans="1:6" ht="15" thickBot="1" x14ac:dyDescent="0.25"/>
    <row r="97" spans="2:6" ht="29.25" customHeight="1" x14ac:dyDescent="0.2">
      <c r="B97" s="151" t="s">
        <v>468</v>
      </c>
      <c r="C97" s="152"/>
      <c r="D97" s="28" t="s">
        <v>27</v>
      </c>
      <c r="E97" s="33" t="s">
        <v>462</v>
      </c>
      <c r="F97" s="29" t="s">
        <v>463</v>
      </c>
    </row>
    <row r="98" spans="2:6" x14ac:dyDescent="0.2">
      <c r="B98" s="153" t="s">
        <v>30</v>
      </c>
      <c r="C98" s="154"/>
      <c r="D98" s="35"/>
      <c r="E98" s="15">
        <f>SUM('1:57'!E98)</f>
        <v>232104083</v>
      </c>
      <c r="F98" s="20">
        <f>ROUND(MEDIAN('1:57'!F98),2)</f>
        <v>1.1299999999999999</v>
      </c>
    </row>
    <row r="99" spans="2:6" x14ac:dyDescent="0.2">
      <c r="B99" s="153" t="s">
        <v>31</v>
      </c>
      <c r="C99" s="154"/>
      <c r="D99" s="36"/>
      <c r="E99" s="17">
        <f>SUM('1:57'!E99)</f>
        <v>111456875</v>
      </c>
      <c r="F99" s="21">
        <f>ROUND(MEDIAN('1:57'!F99),2)</f>
        <v>0.51</v>
      </c>
    </row>
    <row r="100" spans="2:6" x14ac:dyDescent="0.2">
      <c r="B100" s="153" t="s">
        <v>1078</v>
      </c>
      <c r="C100" s="154"/>
      <c r="D100" s="36"/>
      <c r="E100" s="17">
        <f>SUM('1:57'!E100)</f>
        <v>52661803</v>
      </c>
      <c r="F100" s="21">
        <f>ROUND(MEDIAN('1:57'!F100),2)</f>
        <v>0.23</v>
      </c>
    </row>
    <row r="101" spans="2:6" x14ac:dyDescent="0.2">
      <c r="B101" s="153" t="s">
        <v>1079</v>
      </c>
      <c r="C101" s="154"/>
      <c r="D101" s="36"/>
      <c r="E101" s="17">
        <f>SUM('1:57'!E101)</f>
        <v>73798533</v>
      </c>
      <c r="F101" s="21">
        <f>ROUND(MEDIAN('1:57'!F101),2)</f>
        <v>0.31</v>
      </c>
    </row>
    <row r="102" spans="2:6" x14ac:dyDescent="0.2">
      <c r="B102" s="153" t="s">
        <v>1080</v>
      </c>
      <c r="C102" s="154"/>
      <c r="D102" s="36"/>
      <c r="E102" s="17">
        <f>SUM('1:57'!E102)</f>
        <v>3457685</v>
      </c>
      <c r="F102" s="21">
        <f>ROUND(MEDIAN('1:57'!F102),2)</f>
        <v>0.06</v>
      </c>
    </row>
    <row r="103" spans="2:6" x14ac:dyDescent="0.2">
      <c r="B103" s="155" t="s">
        <v>34</v>
      </c>
      <c r="C103" s="156"/>
      <c r="D103" s="36"/>
      <c r="E103" s="17">
        <f>SUM('1:57'!E103)</f>
        <v>9.9999999999999995E-7</v>
      </c>
      <c r="F103" s="21">
        <f>ROUND(MEDIAN('1:57'!F103),2)</f>
        <v>0</v>
      </c>
    </row>
    <row r="104" spans="2:6" ht="15.75" customHeight="1" thickBot="1" x14ac:dyDescent="0.25">
      <c r="B104" s="149" t="s">
        <v>29</v>
      </c>
      <c r="C104" s="150"/>
      <c r="D104" s="37"/>
      <c r="E104" s="24">
        <f>SUM('1:57'!E104)</f>
        <v>73108196</v>
      </c>
      <c r="F104" s="25">
        <f>ROUND(MEDIAN('1:57'!F104),2)</f>
        <v>0.33</v>
      </c>
    </row>
    <row r="105" spans="2:6" x14ac:dyDescent="0.2">
      <c r="C105" s="13" t="s">
        <v>35</v>
      </c>
      <c r="D105" s="12">
        <f>D95</f>
        <v>192706184</v>
      </c>
      <c r="E105" s="4">
        <f>SUM(E98:E104)</f>
        <v>546587175.00000095</v>
      </c>
      <c r="F105" s="8">
        <f>SUM(F98:F104)</f>
        <v>2.57</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SUM('1:57'!C109)</f>
        <v>524474824</v>
      </c>
      <c r="D109" s="15">
        <f>SUM('1:57'!D109)</f>
        <v>0</v>
      </c>
      <c r="E109" s="15">
        <f>SUM('1:57'!E109)</f>
        <v>0</v>
      </c>
      <c r="F109" s="47">
        <f>SUM('1:57'!F109)</f>
        <v>524474824</v>
      </c>
    </row>
    <row r="110" spans="2:6" x14ac:dyDescent="0.2">
      <c r="B110" s="42" t="s">
        <v>28</v>
      </c>
      <c r="C110" s="50">
        <f>SUM('1:57'!C110)</f>
        <v>0</v>
      </c>
      <c r="D110" s="51">
        <f>SUM('1:57'!D110)</f>
        <v>0</v>
      </c>
      <c r="E110" s="50">
        <f>SUM('1:57'!E110)</f>
        <v>0</v>
      </c>
      <c r="F110" s="48">
        <f>SUM('1:57'!F110)</f>
        <v>0</v>
      </c>
    </row>
    <row r="111" spans="2:6" x14ac:dyDescent="0.2">
      <c r="B111" s="42" t="s">
        <v>928</v>
      </c>
      <c r="C111" s="50">
        <f>SUM('1:57'!C111)</f>
        <v>0</v>
      </c>
      <c r="D111" s="51">
        <f>SUM('1:57'!D111)</f>
        <v>0</v>
      </c>
      <c r="E111" s="50">
        <f>SUM('1:57'!E111)</f>
        <v>0</v>
      </c>
      <c r="F111" s="48">
        <f>SUM('1:57'!F111)</f>
        <v>0</v>
      </c>
    </row>
    <row r="112" spans="2:6" x14ac:dyDescent="0.2">
      <c r="B112" s="42" t="s">
        <v>32</v>
      </c>
      <c r="C112" s="50">
        <f>SUM('1:57'!C112)</f>
        <v>0</v>
      </c>
      <c r="D112" s="51">
        <f>SUM('1:57'!D112)</f>
        <v>0</v>
      </c>
      <c r="E112" s="50">
        <f>SUM('1:57'!E112)</f>
        <v>0</v>
      </c>
      <c r="F112" s="48">
        <f>SUM('1:57'!F112)</f>
        <v>0</v>
      </c>
    </row>
    <row r="113" spans="1:6" x14ac:dyDescent="0.2">
      <c r="B113" s="42" t="s">
        <v>31</v>
      </c>
      <c r="C113" s="50">
        <f>SUM('1:57'!C113)</f>
        <v>0</v>
      </c>
      <c r="D113" s="51">
        <f>SUM('1:57'!D113)</f>
        <v>0</v>
      </c>
      <c r="E113" s="50">
        <f>SUM('1:57'!E113)</f>
        <v>0</v>
      </c>
      <c r="F113" s="48">
        <f>SUM('1:57'!F113)</f>
        <v>0</v>
      </c>
    </row>
    <row r="114" spans="1:6" x14ac:dyDescent="0.2">
      <c r="B114" s="42" t="s">
        <v>1009</v>
      </c>
      <c r="C114" s="50">
        <f>SUM('1:57'!C114)</f>
        <v>0</v>
      </c>
      <c r="D114" s="51">
        <f>SUM('1:57'!D114)</f>
        <v>0</v>
      </c>
      <c r="E114" s="50">
        <f>SUM('1:57'!E114)</f>
        <v>0</v>
      </c>
      <c r="F114" s="48">
        <f>SUM('1:57'!F114)</f>
        <v>0</v>
      </c>
    </row>
    <row r="115" spans="1:6" x14ac:dyDescent="0.2">
      <c r="B115" s="42" t="s">
        <v>929</v>
      </c>
      <c r="C115" s="50">
        <f>SUM('1:57'!C115)</f>
        <v>0</v>
      </c>
      <c r="D115" s="50">
        <f>SUM('1:57'!D115)</f>
        <v>0</v>
      </c>
      <c r="E115" s="50">
        <f>SUM('1:57'!E115)</f>
        <v>0</v>
      </c>
      <c r="F115" s="48">
        <f>SUM('1:57'!F115)</f>
        <v>0</v>
      </c>
    </row>
    <row r="116" spans="1:6" x14ac:dyDescent="0.2">
      <c r="B116" s="42" t="s">
        <v>33</v>
      </c>
      <c r="C116" s="50">
        <f>SUM('1:57'!C116)</f>
        <v>0</v>
      </c>
      <c r="D116" s="50">
        <f>SUM('1:57'!D116)</f>
        <v>0</v>
      </c>
      <c r="E116" s="50">
        <f>SUM('1:57'!E116)</f>
        <v>3457685</v>
      </c>
      <c r="F116" s="48">
        <f>SUM('1:57'!F116)</f>
        <v>3457685</v>
      </c>
    </row>
    <row r="117" spans="1:6" ht="15" thickBot="1" x14ac:dyDescent="0.25">
      <c r="B117" s="43" t="s">
        <v>933</v>
      </c>
      <c r="C117" s="52">
        <f>SUM('1:57'!C117)</f>
        <v>0</v>
      </c>
      <c r="D117" s="52">
        <f>SUM('1:57'!D117)</f>
        <v>73108196</v>
      </c>
      <c r="E117" s="52">
        <f>SUM('1:57'!E117)</f>
        <v>0</v>
      </c>
      <c r="F117" s="49">
        <f>SUM('1:57'!F117)</f>
        <v>73108196</v>
      </c>
    </row>
    <row r="118" spans="1:6" x14ac:dyDescent="0.2">
      <c r="B118" s="13" t="s">
        <v>35</v>
      </c>
      <c r="C118" s="4">
        <f>SUM(C109:C116)</f>
        <v>524474824</v>
      </c>
      <c r="D118" s="4">
        <f>SUM(D109:D116)</f>
        <v>0</v>
      </c>
      <c r="E118" s="4">
        <f>SUM(E109:E116)</f>
        <v>3457685</v>
      </c>
      <c r="F118" s="4">
        <f>SUM(F109:F116)</f>
        <v>527932509</v>
      </c>
    </row>
    <row r="119" spans="1:6" ht="15" thickBot="1" x14ac:dyDescent="0.25"/>
    <row r="120" spans="1:6" ht="15" thickBot="1" x14ac:dyDescent="0.25">
      <c r="B120" s="55" t="s">
        <v>934</v>
      </c>
      <c r="C120" s="53">
        <f>SUM('1:57'!C120)</f>
        <v>0</v>
      </c>
      <c r="D120" s="53">
        <f>SUM('1:57'!D120)</f>
        <v>0</v>
      </c>
      <c r="E120" s="53">
        <f>SUM('1:57'!E120)</f>
        <v>9.9999999999999995E-7</v>
      </c>
      <c r="F120" s="54">
        <f>SUM('1:57'!F120)</f>
        <v>9.9999999999999995E-7</v>
      </c>
    </row>
    <row r="122" spans="1:6" s="57" customFormat="1" ht="113.25" customHeight="1" x14ac:dyDescent="0.2">
      <c r="A122" s="142" t="s">
        <v>935</v>
      </c>
      <c r="B122" s="142"/>
      <c r="C122" s="142"/>
      <c r="D122" s="142"/>
      <c r="E122" s="142"/>
      <c r="F122" s="142"/>
    </row>
  </sheetData>
  <mergeCells count="96">
    <mergeCell ref="B104:C104"/>
    <mergeCell ref="B91:C91"/>
    <mergeCell ref="B92:C92"/>
    <mergeCell ref="B93:C93"/>
    <mergeCell ref="B94:C94"/>
    <mergeCell ref="B97:C97"/>
    <mergeCell ref="B98:C98"/>
    <mergeCell ref="B99:C99"/>
    <mergeCell ref="B100:C100"/>
    <mergeCell ref="B101:C101"/>
    <mergeCell ref="B102:C102"/>
    <mergeCell ref="B103:C103"/>
    <mergeCell ref="B90:C90"/>
    <mergeCell ref="B79:C79"/>
    <mergeCell ref="B80:C80"/>
    <mergeCell ref="B81:C81"/>
    <mergeCell ref="B82:C82"/>
    <mergeCell ref="B83:C83"/>
    <mergeCell ref="B84:C84"/>
    <mergeCell ref="B85:C85"/>
    <mergeCell ref="B86:C86"/>
    <mergeCell ref="B87:C87"/>
    <mergeCell ref="B88:C88"/>
    <mergeCell ref="B89:C89"/>
    <mergeCell ref="B78:C78"/>
    <mergeCell ref="B67:C67"/>
    <mergeCell ref="B68:C68"/>
    <mergeCell ref="B69:C69"/>
    <mergeCell ref="B70:C70"/>
    <mergeCell ref="B71:C71"/>
    <mergeCell ref="B72:C72"/>
    <mergeCell ref="B73:C73"/>
    <mergeCell ref="B74:C74"/>
    <mergeCell ref="B75:C75"/>
    <mergeCell ref="B76:C76"/>
    <mergeCell ref="B77:C77"/>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18:C18"/>
    <mergeCell ref="B19:C19"/>
    <mergeCell ref="B20:C20"/>
    <mergeCell ref="B21:C21"/>
    <mergeCell ref="B22:C22"/>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showGridLines="0" zoomScale="70" zoomScaleNormal="70" workbookViewId="0"/>
  </sheetViews>
  <sheetFormatPr defaultRowHeight="14.25" x14ac:dyDescent="0.2"/>
  <cols>
    <col min="1" max="1" width="6.5703125" style="66" customWidth="1"/>
    <col min="2" max="2" width="43.5703125" style="66" customWidth="1"/>
    <col min="3" max="3" width="8.140625" style="66" customWidth="1"/>
    <col min="4" max="4" width="2.85546875" style="66" customWidth="1"/>
    <col min="5" max="19" width="9.140625" style="66"/>
    <col min="20" max="20" width="17.85546875" style="66" bestFit="1" customWidth="1"/>
    <col min="21" max="23" width="9.140625" style="66"/>
    <col min="24" max="24" width="17.85546875" style="66" bestFit="1" customWidth="1"/>
    <col min="25" max="16384" width="9.140625" style="66"/>
  </cols>
  <sheetData>
    <row r="1" spans="1:3" x14ac:dyDescent="0.2">
      <c r="A1" s="38" t="str">
        <f>Summary!A1</f>
        <v>Community and Technical Colleges, Report of Fundable Operating Expenses, Fiscal Year (FY) 1999</v>
      </c>
      <c r="B1" s="38"/>
      <c r="C1" s="38"/>
    </row>
    <row r="2" spans="1:3" ht="15" thickBot="1" x14ac:dyDescent="0.25">
      <c r="A2" s="5" t="s">
        <v>1083</v>
      </c>
    </row>
    <row r="3" spans="1:3" ht="29.25" customHeight="1" x14ac:dyDescent="0.2">
      <c r="A3" s="140" t="s">
        <v>26</v>
      </c>
      <c r="B3" s="139" t="s">
        <v>1084</v>
      </c>
      <c r="C3" s="172">
        <v>1999</v>
      </c>
    </row>
    <row r="4" spans="1:3" x14ac:dyDescent="0.2">
      <c r="A4" s="19">
        <v>1</v>
      </c>
      <c r="B4" s="137" t="s">
        <v>0</v>
      </c>
      <c r="C4" s="20">
        <f>Summary!F5</f>
        <v>6.8100000000000005</v>
      </c>
    </row>
    <row r="5" spans="1:3" ht="28.5" x14ac:dyDescent="0.2">
      <c r="A5" s="19">
        <v>2</v>
      </c>
      <c r="B5" s="137" t="s">
        <v>1</v>
      </c>
      <c r="C5" s="21">
        <f>Summary!F6</f>
        <v>6.6400000000000006</v>
      </c>
    </row>
    <row r="6" spans="1:3" ht="28.5" x14ac:dyDescent="0.2">
      <c r="A6" s="19">
        <v>3</v>
      </c>
      <c r="B6" s="137" t="s">
        <v>2</v>
      </c>
      <c r="C6" s="21">
        <f>Summary!F7</f>
        <v>5.51</v>
      </c>
    </row>
    <row r="7" spans="1:3" ht="28.5" x14ac:dyDescent="0.2">
      <c r="A7" s="19">
        <v>4</v>
      </c>
      <c r="B7" s="137" t="s">
        <v>3</v>
      </c>
      <c r="C7" s="21">
        <f>Summary!F8</f>
        <v>6.22</v>
      </c>
    </row>
    <row r="8" spans="1:3" x14ac:dyDescent="0.2">
      <c r="A8" s="19">
        <v>5</v>
      </c>
      <c r="B8" s="137" t="s">
        <v>4</v>
      </c>
      <c r="C8" s="21">
        <f>Summary!F9</f>
        <v>18.690000000000001</v>
      </c>
    </row>
    <row r="9" spans="1:3" x14ac:dyDescent="0.2">
      <c r="A9" s="19">
        <v>6</v>
      </c>
      <c r="B9" s="137" t="s">
        <v>5</v>
      </c>
      <c r="C9" s="21">
        <f>Summary!F10</f>
        <v>8.2100000000000009</v>
      </c>
    </row>
    <row r="10" spans="1:3" x14ac:dyDescent="0.2">
      <c r="A10" s="19">
        <v>7</v>
      </c>
      <c r="B10" s="137" t="s">
        <v>6</v>
      </c>
      <c r="C10" s="21">
        <f>Summary!F11</f>
        <v>5.4399999999999995</v>
      </c>
    </row>
    <row r="11" spans="1:3" x14ac:dyDescent="0.2">
      <c r="A11" s="19">
        <v>8</v>
      </c>
      <c r="B11" s="137" t="s">
        <v>7</v>
      </c>
      <c r="C11" s="21">
        <f>Summary!F12</f>
        <v>5.99</v>
      </c>
    </row>
    <row r="12" spans="1:3" x14ac:dyDescent="0.2">
      <c r="A12" s="19">
        <v>9</v>
      </c>
      <c r="B12" s="137" t="s">
        <v>8</v>
      </c>
      <c r="C12" s="21">
        <f>Summary!F13</f>
        <v>5.35</v>
      </c>
    </row>
    <row r="13" spans="1:3" x14ac:dyDescent="0.2">
      <c r="A13" s="19">
        <v>10</v>
      </c>
      <c r="B13" s="137" t="s">
        <v>9</v>
      </c>
      <c r="C13" s="21">
        <f>Summary!F14</f>
        <v>7.6400000000000006</v>
      </c>
    </row>
    <row r="14" spans="1:3" x14ac:dyDescent="0.2">
      <c r="A14" s="19">
        <v>11</v>
      </c>
      <c r="B14" s="137" t="s">
        <v>10</v>
      </c>
      <c r="C14" s="21">
        <f>Summary!F15</f>
        <v>6.42</v>
      </c>
    </row>
    <row r="15" spans="1:3" ht="28.5" x14ac:dyDescent="0.2">
      <c r="A15" s="19">
        <v>12</v>
      </c>
      <c r="B15" s="137" t="s">
        <v>11</v>
      </c>
      <c r="C15" s="21">
        <f>Summary!F16</f>
        <v>5.26</v>
      </c>
    </row>
    <row r="16" spans="1:3" x14ac:dyDescent="0.2">
      <c r="A16" s="19">
        <v>13</v>
      </c>
      <c r="B16" s="137" t="s">
        <v>12</v>
      </c>
      <c r="C16" s="21">
        <f>Summary!F17</f>
        <v>5.6999999999999993</v>
      </c>
    </row>
    <row r="17" spans="1:3" ht="28.5" x14ac:dyDescent="0.2">
      <c r="A17" s="19">
        <v>14</v>
      </c>
      <c r="B17" s="137" t="s">
        <v>464</v>
      </c>
      <c r="C17" s="21">
        <f>Summary!F18</f>
        <v>9.0399999999999991</v>
      </c>
    </row>
    <row r="18" spans="1:3" x14ac:dyDescent="0.2">
      <c r="A18" s="19">
        <v>15</v>
      </c>
      <c r="B18" s="137" t="s">
        <v>13</v>
      </c>
      <c r="C18" s="21">
        <f>Summary!F19</f>
        <v>11.21</v>
      </c>
    </row>
    <row r="19" spans="1:3" x14ac:dyDescent="0.2">
      <c r="A19" s="19">
        <v>16</v>
      </c>
      <c r="B19" s="137" t="s">
        <v>14</v>
      </c>
      <c r="C19" s="21">
        <f>Summary!F20</f>
        <v>6.51</v>
      </c>
    </row>
    <row r="20" spans="1:3" x14ac:dyDescent="0.2">
      <c r="A20" s="19">
        <v>17</v>
      </c>
      <c r="B20" s="137" t="s">
        <v>15</v>
      </c>
      <c r="C20" s="21">
        <f>Summary!F21</f>
        <v>8.64</v>
      </c>
    </row>
    <row r="21" spans="1:3" x14ac:dyDescent="0.2">
      <c r="A21" s="19">
        <v>18</v>
      </c>
      <c r="B21" s="137" t="s">
        <v>16</v>
      </c>
      <c r="C21" s="21">
        <f>Summary!F22</f>
        <v>5.76</v>
      </c>
    </row>
    <row r="22" spans="1:3" x14ac:dyDescent="0.2">
      <c r="A22" s="19">
        <v>19</v>
      </c>
      <c r="B22" s="137" t="s">
        <v>17</v>
      </c>
      <c r="C22" s="21">
        <f>Summary!F23</f>
        <v>4.96</v>
      </c>
    </row>
    <row r="23" spans="1:3" x14ac:dyDescent="0.2">
      <c r="A23" s="19">
        <v>20</v>
      </c>
      <c r="B23" s="137" t="s">
        <v>18</v>
      </c>
      <c r="C23" s="21">
        <f>Summary!F24</f>
        <v>6.49</v>
      </c>
    </row>
    <row r="24" spans="1:3" ht="28.5" x14ac:dyDescent="0.2">
      <c r="A24" s="19">
        <v>21</v>
      </c>
      <c r="B24" s="137" t="s">
        <v>461</v>
      </c>
      <c r="C24" s="21">
        <f>Summary!F25</f>
        <v>7.32</v>
      </c>
    </row>
    <row r="25" spans="1:3" x14ac:dyDescent="0.2">
      <c r="A25" s="19">
        <v>22</v>
      </c>
      <c r="B25" s="137" t="s">
        <v>19</v>
      </c>
      <c r="C25" s="21">
        <f>Summary!F26</f>
        <v>6.4700000000000006</v>
      </c>
    </row>
    <row r="26" spans="1:3" x14ac:dyDescent="0.2">
      <c r="A26" s="19">
        <v>23</v>
      </c>
      <c r="B26" s="137" t="s">
        <v>20</v>
      </c>
      <c r="C26" s="21">
        <f>Summary!F27</f>
        <v>6.21</v>
      </c>
    </row>
    <row r="27" spans="1:3" x14ac:dyDescent="0.2">
      <c r="A27" s="19">
        <v>24</v>
      </c>
      <c r="B27" s="137" t="s">
        <v>21</v>
      </c>
      <c r="C27" s="21">
        <f>Summary!F28</f>
        <v>4.9399999999999995</v>
      </c>
    </row>
    <row r="28" spans="1:3" x14ac:dyDescent="0.2">
      <c r="A28" s="19">
        <v>25</v>
      </c>
      <c r="B28" s="137" t="s">
        <v>22</v>
      </c>
      <c r="C28" s="21">
        <f>Summary!F29</f>
        <v>4.97</v>
      </c>
    </row>
    <row r="29" spans="1:3" x14ac:dyDescent="0.2">
      <c r="A29" s="19">
        <v>26</v>
      </c>
      <c r="B29" s="137" t="s">
        <v>23</v>
      </c>
      <c r="C29" s="21">
        <f>Summary!F30</f>
        <v>7.33</v>
      </c>
    </row>
    <row r="30" spans="1:3" x14ac:dyDescent="0.2">
      <c r="A30" s="19">
        <v>28</v>
      </c>
      <c r="B30" s="137" t="s">
        <v>24</v>
      </c>
      <c r="C30" s="21">
        <f>Summary!F31</f>
        <v>0</v>
      </c>
    </row>
    <row r="31" spans="1:3" ht="15" thickBot="1" x14ac:dyDescent="0.25">
      <c r="A31" s="22">
        <v>29</v>
      </c>
      <c r="B31" s="138" t="s">
        <v>25</v>
      </c>
      <c r="C31" s="25">
        <f>Summary!F32</f>
        <v>0</v>
      </c>
    </row>
    <row r="32" spans="1:3" x14ac:dyDescent="0.2">
      <c r="B32" s="13" t="s">
        <v>1085</v>
      </c>
      <c r="C32" s="173">
        <f t="shared" ref="C32" si="0">AVERAGE(C4:C31)</f>
        <v>6.5617857142857163</v>
      </c>
    </row>
    <row r="33" spans="2:3" x14ac:dyDescent="0.2">
      <c r="B33" s="13" t="s">
        <v>1086</v>
      </c>
      <c r="C33" s="141">
        <f t="shared" ref="C33" si="1">MEDIAN(C4:C31)</f>
        <v>6.32</v>
      </c>
    </row>
    <row r="34" spans="2:3" x14ac:dyDescent="0.2">
      <c r="B34" s="13" t="s">
        <v>1087</v>
      </c>
      <c r="C34" s="173">
        <f t="shared" ref="C34" si="2">STDEV(C4:C31)</f>
        <v>3.252536393250347</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7"/>
  <sheetViews>
    <sheetView showGridLines="0" zoomScale="70" zoomScaleNormal="70" workbookViewId="0">
      <pane xSplit="1" ySplit="3" topLeftCell="B4" activePane="bottomRight" state="frozen"/>
      <selection pane="topRight" activeCell="B1" sqref="B1"/>
      <selection pane="bottomLeft" activeCell="A5" sqref="A5"/>
      <selection pane="bottomRight" activeCell="B4" sqref="B4"/>
    </sheetView>
  </sheetViews>
  <sheetFormatPr defaultRowHeight="15" x14ac:dyDescent="0.25"/>
  <cols>
    <col min="1" max="1" width="37.5703125" customWidth="1"/>
    <col min="2" max="2" width="22.7109375" style="65" customWidth="1"/>
    <col min="3" max="3" width="12.5703125" bestFit="1" customWidth="1"/>
    <col min="4" max="4" width="19.28515625" customWidth="1"/>
    <col min="5" max="5" width="25.5703125" customWidth="1"/>
    <col min="8" max="8" width="10" bestFit="1" customWidth="1"/>
  </cols>
  <sheetData>
    <row r="1" spans="1:9" x14ac:dyDescent="0.25">
      <c r="A1" s="106" t="str">
        <f>Summary!A1</f>
        <v>Community and Technical Colleges, Report of Fundable Operating Expenses, Fiscal Year (FY) 1999</v>
      </c>
      <c r="B1" s="106"/>
      <c r="C1" s="105"/>
      <c r="D1" s="104"/>
      <c r="E1" s="104"/>
    </row>
    <row r="2" spans="1:9" ht="15.75" thickBot="1" x14ac:dyDescent="0.3">
      <c r="A2" s="107" t="s">
        <v>1016</v>
      </c>
      <c r="B2" s="107"/>
      <c r="C2" s="104"/>
      <c r="D2" s="104"/>
      <c r="E2" s="104"/>
    </row>
    <row r="3" spans="1:9" ht="44.25" thickBot="1" x14ac:dyDescent="0.3">
      <c r="A3" s="100" t="s">
        <v>944</v>
      </c>
      <c r="B3" s="103" t="s">
        <v>1018</v>
      </c>
      <c r="C3" s="103" t="s">
        <v>1011</v>
      </c>
      <c r="D3" s="103" t="s">
        <v>1012</v>
      </c>
      <c r="E3" s="102" t="s">
        <v>1013</v>
      </c>
    </row>
    <row r="4" spans="1:9" x14ac:dyDescent="0.25">
      <c r="A4" s="101" t="s">
        <v>1065</v>
      </c>
      <c r="B4" s="98">
        <f>(161+3898+11775+4803)*30</f>
        <v>619110</v>
      </c>
      <c r="C4" s="108">
        <f>B4/30</f>
        <v>20637</v>
      </c>
      <c r="D4" s="109">
        <f>'1'!$E$33</f>
        <v>110171960.000001</v>
      </c>
      <c r="E4" s="110">
        <f>IFERROR(D4/C4,"")</f>
        <v>5338.5647138634977</v>
      </c>
    </row>
    <row r="5" spans="1:9" x14ac:dyDescent="0.25">
      <c r="A5" s="92" t="s">
        <v>1019</v>
      </c>
      <c r="B5" s="97">
        <f>2047*30</f>
        <v>61410</v>
      </c>
      <c r="C5" s="111">
        <f t="shared" ref="C5:C60" si="0">B5/30</f>
        <v>2047</v>
      </c>
      <c r="D5" s="111">
        <f>'2'!$E$33</f>
        <v>12071182</v>
      </c>
      <c r="E5" s="112">
        <f t="shared" ref="E5:E61" si="1">IFERROR(D5/C5,"")</f>
        <v>5897.0112359550558</v>
      </c>
      <c r="F5" s="133"/>
      <c r="H5" s="133"/>
      <c r="I5" s="133"/>
    </row>
    <row r="6" spans="1:9" x14ac:dyDescent="0.25">
      <c r="A6" s="92" t="s">
        <v>1029</v>
      </c>
      <c r="B6" s="97">
        <f>4129*30</f>
        <v>123870</v>
      </c>
      <c r="C6" s="111">
        <f t="shared" si="0"/>
        <v>4129</v>
      </c>
      <c r="D6" s="111">
        <f>'3'!$E$33</f>
        <v>25602472.000000007</v>
      </c>
      <c r="E6" s="112">
        <f t="shared" si="1"/>
        <v>6200.647130055705</v>
      </c>
      <c r="F6" s="133"/>
      <c r="H6" s="133"/>
      <c r="I6" s="133"/>
    </row>
    <row r="7" spans="1:9" x14ac:dyDescent="0.25">
      <c r="A7" s="92" t="s">
        <v>1030</v>
      </c>
      <c r="B7" s="97">
        <f>2579*30</f>
        <v>77370</v>
      </c>
      <c r="C7" s="111">
        <f t="shared" si="0"/>
        <v>2579</v>
      </c>
      <c r="D7" s="111">
        <f>'4'!$E$33</f>
        <v>9238820</v>
      </c>
      <c r="E7" s="112">
        <f t="shared" si="1"/>
        <v>3582.3264831329975</v>
      </c>
      <c r="F7" s="133"/>
      <c r="H7" s="133"/>
      <c r="I7" s="133"/>
    </row>
    <row r="8" spans="1:9" x14ac:dyDescent="0.25">
      <c r="A8" s="92" t="s">
        <v>1020</v>
      </c>
      <c r="B8" s="97">
        <f>13182*30</f>
        <v>395460</v>
      </c>
      <c r="C8" s="111">
        <f t="shared" si="0"/>
        <v>13182</v>
      </c>
      <c r="D8" s="111">
        <f>'5'!$E$33</f>
        <v>67025182</v>
      </c>
      <c r="E8" s="112">
        <f t="shared" si="1"/>
        <v>5084.5988469124568</v>
      </c>
      <c r="F8" s="133"/>
      <c r="H8" s="133"/>
      <c r="I8" s="133"/>
    </row>
    <row r="9" spans="1:9" x14ac:dyDescent="0.25">
      <c r="A9" s="92" t="s">
        <v>1031</v>
      </c>
      <c r="B9" s="97">
        <f>7374*30</f>
        <v>221220</v>
      </c>
      <c r="C9" s="111">
        <f t="shared" si="0"/>
        <v>7374</v>
      </c>
      <c r="D9" s="113">
        <f>'6'!$E$33</f>
        <v>21396825.000000004</v>
      </c>
      <c r="E9" s="114">
        <f t="shared" si="1"/>
        <v>2901.657851912124</v>
      </c>
      <c r="F9" s="133"/>
      <c r="H9" s="133"/>
      <c r="I9" s="133"/>
    </row>
    <row r="10" spans="1:9" x14ac:dyDescent="0.25">
      <c r="A10" s="92" t="s">
        <v>1032</v>
      </c>
      <c r="B10" s="97">
        <f>1772*30</f>
        <v>53160</v>
      </c>
      <c r="C10" s="111">
        <f t="shared" si="0"/>
        <v>1772</v>
      </c>
      <c r="D10" s="113">
        <f>'7'!$E$33</f>
        <v>9361650.0000000019</v>
      </c>
      <c r="E10" s="114">
        <f t="shared" si="1"/>
        <v>5283.0981941309265</v>
      </c>
      <c r="F10" s="133"/>
      <c r="H10" s="133"/>
      <c r="I10" s="133"/>
    </row>
    <row r="11" spans="1:9" x14ac:dyDescent="0.25">
      <c r="A11" s="92" t="s">
        <v>1066</v>
      </c>
      <c r="B11" s="97">
        <f>4163*30</f>
        <v>124890</v>
      </c>
      <c r="C11" s="111">
        <f t="shared" si="0"/>
        <v>4163</v>
      </c>
      <c r="D11" s="111">
        <f>'8'!$E$33</f>
        <v>20575441.000000007</v>
      </c>
      <c r="E11" s="112">
        <f t="shared" si="1"/>
        <v>4942.455200576509</v>
      </c>
      <c r="F11" s="133"/>
      <c r="H11" s="133"/>
      <c r="I11" s="133"/>
    </row>
    <row r="12" spans="1:9" x14ac:dyDescent="0.25">
      <c r="A12" s="92" t="s">
        <v>1023</v>
      </c>
      <c r="B12" s="97">
        <f>1780*30</f>
        <v>53400</v>
      </c>
      <c r="C12" s="111">
        <f t="shared" si="0"/>
        <v>1780</v>
      </c>
      <c r="D12" s="113">
        <f>'9'!$E$33</f>
        <v>5009954</v>
      </c>
      <c r="E12" s="114">
        <f t="shared" si="1"/>
        <v>2814.5808988764047</v>
      </c>
      <c r="F12" s="133"/>
      <c r="H12" s="133"/>
      <c r="I12" s="133"/>
    </row>
    <row r="13" spans="1:9" x14ac:dyDescent="0.25">
      <c r="A13" s="92" t="s">
        <v>1033</v>
      </c>
      <c r="B13" s="97">
        <f>527*30</f>
        <v>15810</v>
      </c>
      <c r="C13" s="111">
        <f t="shared" si="0"/>
        <v>527</v>
      </c>
      <c r="D13" s="111">
        <f>'10'!$E$33</f>
        <v>2796292.0000000005</v>
      </c>
      <c r="E13" s="112">
        <f t="shared" si="1"/>
        <v>5306.0569259962058</v>
      </c>
      <c r="F13" s="133"/>
      <c r="H13" s="133"/>
      <c r="I13" s="133"/>
    </row>
    <row r="14" spans="1:9" x14ac:dyDescent="0.25">
      <c r="A14" s="92" t="s">
        <v>1034</v>
      </c>
      <c r="B14" s="97">
        <f>1874*30</f>
        <v>56220</v>
      </c>
      <c r="C14" s="111">
        <f t="shared" si="0"/>
        <v>1874</v>
      </c>
      <c r="D14" s="111">
        <f>'11'!$E$33</f>
        <v>9107206</v>
      </c>
      <c r="E14" s="112">
        <f t="shared" si="1"/>
        <v>4859.76840981857</v>
      </c>
      <c r="F14" s="133"/>
      <c r="H14" s="133"/>
      <c r="I14" s="133"/>
    </row>
    <row r="15" spans="1:9" x14ac:dyDescent="0.25">
      <c r="A15" s="92" t="s">
        <v>936</v>
      </c>
      <c r="B15" s="96">
        <f>1962*30</f>
        <v>58860</v>
      </c>
      <c r="C15" s="111">
        <f t="shared" si="0"/>
        <v>1962</v>
      </c>
      <c r="D15" s="113">
        <f>'12'!$E$33</f>
        <v>13101401</v>
      </c>
      <c r="E15" s="114">
        <f t="shared" si="1"/>
        <v>6677.5744138634045</v>
      </c>
      <c r="F15" s="133"/>
      <c r="H15" s="133"/>
      <c r="I15" s="133"/>
    </row>
    <row r="16" spans="1:9" x14ac:dyDescent="0.25">
      <c r="A16" s="92" t="s">
        <v>1057</v>
      </c>
      <c r="B16" s="96">
        <f>6003*30</f>
        <v>180090</v>
      </c>
      <c r="C16" s="111">
        <f t="shared" si="0"/>
        <v>6003</v>
      </c>
      <c r="D16" s="113">
        <f>'13'!$E$33</f>
        <v>33833767</v>
      </c>
      <c r="E16" s="114">
        <f t="shared" si="1"/>
        <v>5636.1430951191069</v>
      </c>
      <c r="F16" s="133"/>
      <c r="H16" s="133"/>
      <c r="I16" s="133"/>
    </row>
    <row r="17" spans="1:9" x14ac:dyDescent="0.25">
      <c r="A17" s="92" t="s">
        <v>1058</v>
      </c>
      <c r="B17" s="97">
        <f>+(4194+1465+4658+2342+2713+3055+6601)*30</f>
        <v>750840</v>
      </c>
      <c r="C17" s="111">
        <f t="shared" si="0"/>
        <v>25028</v>
      </c>
      <c r="D17" s="113">
        <f>'14'!$E$33</f>
        <v>134413752</v>
      </c>
      <c r="E17" s="114">
        <f t="shared" si="1"/>
        <v>5370.5350807096056</v>
      </c>
      <c r="F17" s="133"/>
      <c r="H17" s="133"/>
      <c r="I17" s="133"/>
    </row>
    <row r="18" spans="1:9" x14ac:dyDescent="0.25">
      <c r="A18" s="92" t="s">
        <v>1035</v>
      </c>
      <c r="B18" s="97">
        <f>5744*30</f>
        <v>172320</v>
      </c>
      <c r="C18" s="111">
        <f t="shared" si="0"/>
        <v>5744</v>
      </c>
      <c r="D18" s="111">
        <f>'15'!$E$33</f>
        <v>0</v>
      </c>
      <c r="E18" s="112">
        <f t="shared" si="1"/>
        <v>0</v>
      </c>
      <c r="F18" s="133"/>
      <c r="H18" s="133"/>
      <c r="I18" s="133"/>
    </row>
    <row r="19" spans="1:9" x14ac:dyDescent="0.25">
      <c r="A19" s="91" t="s">
        <v>1059</v>
      </c>
      <c r="B19" s="97">
        <f>12805*30</f>
        <v>384150</v>
      </c>
      <c r="C19" s="111">
        <f t="shared" si="0"/>
        <v>12805</v>
      </c>
      <c r="D19" s="111">
        <f>'16'!$E$33</f>
        <v>55011518.000000007</v>
      </c>
      <c r="E19" s="112">
        <f t="shared" si="1"/>
        <v>4296.0966809839911</v>
      </c>
      <c r="F19" s="133"/>
      <c r="H19" s="133"/>
      <c r="I19" s="133"/>
    </row>
    <row r="20" spans="1:9" x14ac:dyDescent="0.25">
      <c r="A20" s="92" t="s">
        <v>1036</v>
      </c>
      <c r="B20" s="97">
        <f>701*30</f>
        <v>21030</v>
      </c>
      <c r="C20" s="111">
        <f t="shared" si="0"/>
        <v>701</v>
      </c>
      <c r="D20" s="111">
        <f>'17'!$E$33</f>
        <v>3485837</v>
      </c>
      <c r="E20" s="112">
        <f t="shared" si="1"/>
        <v>4972.663338088445</v>
      </c>
      <c r="F20" s="133"/>
      <c r="H20" s="133"/>
      <c r="I20" s="133"/>
    </row>
    <row r="21" spans="1:9" x14ac:dyDescent="0.25">
      <c r="A21" s="92" t="s">
        <v>1037</v>
      </c>
      <c r="B21" s="97">
        <f>1124*30</f>
        <v>33720</v>
      </c>
      <c r="C21" s="111">
        <f t="shared" si="0"/>
        <v>1124</v>
      </c>
      <c r="D21" s="111">
        <f>'18'!$E$33</f>
        <v>8461037</v>
      </c>
      <c r="E21" s="112">
        <f t="shared" si="1"/>
        <v>7527.6129893238431</v>
      </c>
      <c r="F21" s="133"/>
      <c r="H21" s="133"/>
      <c r="I21" s="133"/>
    </row>
    <row r="22" spans="1:9" x14ac:dyDescent="0.25">
      <c r="A22" s="92" t="s">
        <v>1067</v>
      </c>
      <c r="B22" s="97">
        <f>2087*30</f>
        <v>62610</v>
      </c>
      <c r="C22" s="111">
        <f t="shared" si="0"/>
        <v>2087</v>
      </c>
      <c r="D22" s="111">
        <f>'19'!$E$33</f>
        <v>9022087</v>
      </c>
      <c r="E22" s="112">
        <f t="shared" si="1"/>
        <v>4322.9932918064205</v>
      </c>
      <c r="F22" s="133"/>
      <c r="H22" s="133"/>
      <c r="I22" s="133"/>
    </row>
    <row r="23" spans="1:9" x14ac:dyDescent="0.25">
      <c r="A23" s="92" t="s">
        <v>1038</v>
      </c>
      <c r="B23" s="97">
        <f>1470*30</f>
        <v>44100</v>
      </c>
      <c r="C23" s="111">
        <f t="shared" si="0"/>
        <v>1470</v>
      </c>
      <c r="D23" s="111">
        <f>'20'!$E$33</f>
        <v>6266759.9999999991</v>
      </c>
      <c r="E23" s="112">
        <f t="shared" si="1"/>
        <v>4263.1020408163258</v>
      </c>
      <c r="F23" s="133"/>
      <c r="H23" s="133"/>
      <c r="I23" s="133"/>
    </row>
    <row r="24" spans="1:9" x14ac:dyDescent="0.25">
      <c r="A24" s="92" t="s">
        <v>1060</v>
      </c>
      <c r="B24" s="97">
        <f>17117*30</f>
        <v>513510</v>
      </c>
      <c r="C24" s="111">
        <f t="shared" si="0"/>
        <v>17117</v>
      </c>
      <c r="D24" s="111">
        <f>'21'!$E$33</f>
        <v>109213361</v>
      </c>
      <c r="E24" s="112">
        <f t="shared" si="1"/>
        <v>6380.4031664427175</v>
      </c>
      <c r="F24" s="133"/>
      <c r="H24" s="133"/>
      <c r="I24" s="133"/>
    </row>
    <row r="25" spans="1:9" x14ac:dyDescent="0.25">
      <c r="A25" s="92" t="s">
        <v>1039</v>
      </c>
      <c r="B25" s="97">
        <f>(1274+79)*30</f>
        <v>40590</v>
      </c>
      <c r="C25" s="111">
        <f t="shared" si="0"/>
        <v>1353</v>
      </c>
      <c r="D25" s="113">
        <f>'22'!$E$33</f>
        <v>8125967.0000000009</v>
      </c>
      <c r="E25" s="114">
        <f t="shared" si="1"/>
        <v>6005.8883961566899</v>
      </c>
      <c r="F25" s="133"/>
      <c r="H25" s="133"/>
      <c r="I25" s="133"/>
    </row>
    <row r="26" spans="1:9" x14ac:dyDescent="0.25">
      <c r="A26" s="92" t="s">
        <v>1040</v>
      </c>
      <c r="B26" s="97">
        <f>2826*30</f>
        <v>84780</v>
      </c>
      <c r="C26" s="111">
        <f t="shared" si="0"/>
        <v>2826</v>
      </c>
      <c r="D26" s="113">
        <f>'23'!$E$33</f>
        <v>0</v>
      </c>
      <c r="E26" s="114">
        <f t="shared" si="1"/>
        <v>0</v>
      </c>
      <c r="F26" s="133"/>
      <c r="H26" s="133"/>
      <c r="I26" s="133"/>
    </row>
    <row r="27" spans="1:9" x14ac:dyDescent="0.25">
      <c r="A27" s="92" t="s">
        <v>1024</v>
      </c>
      <c r="B27" s="97">
        <f>4700*30</f>
        <v>141000</v>
      </c>
      <c r="C27" s="111">
        <f t="shared" si="0"/>
        <v>4700</v>
      </c>
      <c r="D27" s="111">
        <f>'24'!$E$33</f>
        <v>21519870.999999996</v>
      </c>
      <c r="E27" s="112">
        <f t="shared" si="1"/>
        <v>4578.6959574468074</v>
      </c>
      <c r="F27" s="133"/>
      <c r="H27" s="133"/>
      <c r="I27" s="133"/>
    </row>
    <row r="28" spans="1:9" x14ac:dyDescent="0.25">
      <c r="A28" s="92" t="s">
        <v>1041</v>
      </c>
      <c r="B28" s="97">
        <f>3063*30</f>
        <v>91890</v>
      </c>
      <c r="C28" s="111">
        <f t="shared" si="0"/>
        <v>3063</v>
      </c>
      <c r="D28" s="113">
        <f>'25'!$E$33</f>
        <v>22425942.000000004</v>
      </c>
      <c r="E28" s="114">
        <f t="shared" si="1"/>
        <v>7321.561214495594</v>
      </c>
      <c r="F28" s="133"/>
      <c r="H28" s="133"/>
      <c r="I28" s="133"/>
    </row>
    <row r="29" spans="1:9" x14ac:dyDescent="0.25">
      <c r="A29" s="91" t="s">
        <v>1042</v>
      </c>
      <c r="B29" s="96">
        <f>(2033+2554+4755+2525)*30</f>
        <v>356010</v>
      </c>
      <c r="C29" s="111">
        <f t="shared" si="0"/>
        <v>11867</v>
      </c>
      <c r="D29" s="113">
        <f>'26'!$E$33</f>
        <v>62042788</v>
      </c>
      <c r="E29" s="114">
        <f t="shared" si="1"/>
        <v>5228.1779725288616</v>
      </c>
      <c r="F29" s="133"/>
      <c r="H29" s="133"/>
      <c r="I29" s="133"/>
    </row>
    <row r="30" spans="1:9" x14ac:dyDescent="0.25">
      <c r="A30" s="92" t="s">
        <v>1021</v>
      </c>
      <c r="B30" s="97">
        <f>3623*30</f>
        <v>108690</v>
      </c>
      <c r="C30" s="111">
        <f t="shared" si="0"/>
        <v>3623</v>
      </c>
      <c r="D30" s="113">
        <f>'27'!$E$33</f>
        <v>17848119</v>
      </c>
      <c r="E30" s="114">
        <f t="shared" si="1"/>
        <v>4926.3370135247033</v>
      </c>
      <c r="F30" s="133"/>
      <c r="H30" s="133"/>
      <c r="I30" s="133"/>
    </row>
    <row r="31" spans="1:9" x14ac:dyDescent="0.25">
      <c r="A31" s="92" t="s">
        <v>1043</v>
      </c>
      <c r="B31" s="97">
        <f>2601*30</f>
        <v>78030</v>
      </c>
      <c r="C31" s="111">
        <f t="shared" si="0"/>
        <v>2601</v>
      </c>
      <c r="D31" s="113">
        <f>'28'!$E$33</f>
        <v>14172389</v>
      </c>
      <c r="E31" s="114">
        <f t="shared" si="1"/>
        <v>5448.8231449442519</v>
      </c>
      <c r="F31" s="133"/>
      <c r="H31" s="133"/>
      <c r="I31" s="133"/>
    </row>
    <row r="32" spans="1:9" x14ac:dyDescent="0.25">
      <c r="A32" s="92" t="s">
        <v>1044</v>
      </c>
      <c r="B32" s="97">
        <f>2512*30</f>
        <v>75360</v>
      </c>
      <c r="C32" s="111">
        <f t="shared" si="0"/>
        <v>2512</v>
      </c>
      <c r="D32" s="113">
        <f>'29'!$E$33</f>
        <v>10082860</v>
      </c>
      <c r="E32" s="114">
        <f t="shared" si="1"/>
        <v>4013.877388535032</v>
      </c>
      <c r="F32" s="133"/>
      <c r="H32" s="133"/>
      <c r="I32" s="133"/>
    </row>
    <row r="33" spans="1:9" x14ac:dyDescent="0.25">
      <c r="A33" s="92" t="s">
        <v>1045</v>
      </c>
      <c r="B33" s="97">
        <f>2404*30</f>
        <v>72120</v>
      </c>
      <c r="C33" s="111">
        <f t="shared" si="0"/>
        <v>2404</v>
      </c>
      <c r="D33" s="111">
        <f>'30'!$E$33</f>
        <v>8053602</v>
      </c>
      <c r="E33" s="112">
        <f t="shared" si="1"/>
        <v>3350.0840266222963</v>
      </c>
      <c r="F33" s="133"/>
      <c r="H33" s="133"/>
      <c r="I33" s="133"/>
    </row>
    <row r="34" spans="1:9" x14ac:dyDescent="0.25">
      <c r="A34" s="92" t="s">
        <v>1022</v>
      </c>
      <c r="B34" s="97">
        <f>1346*30</f>
        <v>40380</v>
      </c>
      <c r="C34" s="111">
        <f t="shared" si="0"/>
        <v>1346</v>
      </c>
      <c r="D34" s="111">
        <f>'31'!$E$33</f>
        <v>6397563.9999999991</v>
      </c>
      <c r="E34" s="112">
        <f t="shared" si="1"/>
        <v>4753.0193164933125</v>
      </c>
      <c r="F34" s="133"/>
      <c r="H34" s="133"/>
      <c r="I34" s="133"/>
    </row>
    <row r="35" spans="1:9" x14ac:dyDescent="0.25">
      <c r="A35" s="92" t="s">
        <v>1046</v>
      </c>
      <c r="B35" s="96">
        <f>2738*30</f>
        <v>82140</v>
      </c>
      <c r="C35" s="111">
        <f t="shared" si="0"/>
        <v>2738</v>
      </c>
      <c r="D35" s="111">
        <f>'32'!$E$33</f>
        <v>15350415.999999998</v>
      </c>
      <c r="E35" s="112">
        <f t="shared" si="1"/>
        <v>5606.4338933528115</v>
      </c>
      <c r="F35" s="133"/>
      <c r="H35" s="133"/>
      <c r="I35" s="133"/>
    </row>
    <row r="36" spans="1:9" x14ac:dyDescent="0.25">
      <c r="A36" s="92" t="s">
        <v>1047</v>
      </c>
      <c r="B36" s="97">
        <f>1129*30</f>
        <v>33870</v>
      </c>
      <c r="C36" s="111">
        <f t="shared" si="0"/>
        <v>1129</v>
      </c>
      <c r="D36" s="111">
        <f>'33'!$E$33</f>
        <v>6580556.9999999991</v>
      </c>
      <c r="E36" s="112">
        <f t="shared" si="1"/>
        <v>5828.6598759964563</v>
      </c>
      <c r="F36" s="133"/>
      <c r="H36" s="133"/>
      <c r="I36" s="133"/>
    </row>
    <row r="37" spans="1:9" x14ac:dyDescent="0.25">
      <c r="A37" s="92" t="s">
        <v>1025</v>
      </c>
      <c r="B37" s="96">
        <f>1923*30</f>
        <v>57690</v>
      </c>
      <c r="C37" s="111">
        <f t="shared" si="0"/>
        <v>1923</v>
      </c>
      <c r="D37" s="111">
        <f>'34'!$E$33</f>
        <v>8390678.9999999981</v>
      </c>
      <c r="E37" s="112">
        <f t="shared" si="1"/>
        <v>4363.3276131045232</v>
      </c>
      <c r="F37" s="133"/>
      <c r="H37" s="133"/>
      <c r="I37" s="133"/>
    </row>
    <row r="38" spans="1:9" x14ac:dyDescent="0.25">
      <c r="A38" s="92" t="s">
        <v>1048</v>
      </c>
      <c r="B38" s="96">
        <f>628*30</f>
        <v>18840</v>
      </c>
      <c r="C38" s="111">
        <f t="shared" si="0"/>
        <v>628</v>
      </c>
      <c r="D38" s="111">
        <f>'35'!$E$33</f>
        <v>2269241</v>
      </c>
      <c r="E38" s="112">
        <f t="shared" si="1"/>
        <v>3613.441082802548</v>
      </c>
      <c r="F38" s="133"/>
      <c r="H38" s="133"/>
      <c r="I38" s="133"/>
    </row>
    <row r="39" spans="1:9" x14ac:dyDescent="0.25">
      <c r="A39" s="92" t="s">
        <v>1061</v>
      </c>
      <c r="B39" s="97">
        <f>(5723+2339+2873)*30</f>
        <v>328050</v>
      </c>
      <c r="C39" s="111">
        <f t="shared" si="0"/>
        <v>10935</v>
      </c>
      <c r="D39" s="111">
        <f>'36'!$E$33</f>
        <v>55578066</v>
      </c>
      <c r="E39" s="112">
        <f t="shared" si="1"/>
        <v>5082.5849108367629</v>
      </c>
      <c r="F39" s="133"/>
      <c r="H39" s="133"/>
      <c r="I39" s="133"/>
    </row>
    <row r="40" spans="1:9" x14ac:dyDescent="0.25">
      <c r="A40" s="92" t="s">
        <v>1049</v>
      </c>
      <c r="B40" s="96">
        <f>4483*30</f>
        <v>134490</v>
      </c>
      <c r="C40" s="111">
        <f t="shared" si="0"/>
        <v>4483</v>
      </c>
      <c r="D40" s="113">
        <f>'37'!$E$33</f>
        <v>17958309</v>
      </c>
      <c r="E40" s="114">
        <f t="shared" si="1"/>
        <v>4005.8686147668973</v>
      </c>
      <c r="F40" s="133"/>
      <c r="H40" s="133"/>
      <c r="I40" s="133"/>
    </row>
    <row r="41" spans="1:9" x14ac:dyDescent="0.25">
      <c r="A41" s="92" t="s">
        <v>1050</v>
      </c>
      <c r="B41" s="96">
        <f>5442*30</f>
        <v>163260</v>
      </c>
      <c r="C41" s="111">
        <f t="shared" si="0"/>
        <v>5442</v>
      </c>
      <c r="D41" s="113">
        <f>'38'!$E$33</f>
        <v>22887502.000000004</v>
      </c>
      <c r="E41" s="114">
        <f t="shared" si="1"/>
        <v>4205.7151782432938</v>
      </c>
      <c r="F41" s="133"/>
      <c r="H41" s="133"/>
      <c r="I41" s="133"/>
    </row>
    <row r="42" spans="1:9" x14ac:dyDescent="0.25">
      <c r="A42" s="92" t="s">
        <v>1026</v>
      </c>
      <c r="B42" s="96">
        <f>2349*30</f>
        <v>70470</v>
      </c>
      <c r="C42" s="111">
        <f t="shared" si="0"/>
        <v>2349</v>
      </c>
      <c r="D42" s="113">
        <f>'39'!$E$33</f>
        <v>8827225</v>
      </c>
      <c r="E42" s="114">
        <f t="shared" si="1"/>
        <v>3757.8650489570032</v>
      </c>
      <c r="F42" s="133"/>
      <c r="H42" s="133"/>
      <c r="I42" s="133"/>
    </row>
    <row r="43" spans="1:9" x14ac:dyDescent="0.25">
      <c r="A43" s="92" t="s">
        <v>1062</v>
      </c>
      <c r="B43" s="96">
        <f>(5044+2166+3922+3659)*30</f>
        <v>443730</v>
      </c>
      <c r="C43" s="111">
        <f t="shared" si="0"/>
        <v>14791</v>
      </c>
      <c r="D43" s="113">
        <f>'40'!$E$33</f>
        <v>66018614</v>
      </c>
      <c r="E43" s="114">
        <f t="shared" si="1"/>
        <v>4463.4314109931711</v>
      </c>
      <c r="F43" s="133"/>
      <c r="H43" s="133"/>
      <c r="I43" s="133"/>
    </row>
    <row r="44" spans="1:9" x14ac:dyDescent="0.25">
      <c r="A44" s="92" t="s">
        <v>1027</v>
      </c>
      <c r="B44" s="96">
        <f>1834*30</f>
        <v>55020</v>
      </c>
      <c r="C44" s="111">
        <f t="shared" si="0"/>
        <v>1834</v>
      </c>
      <c r="D44" s="113">
        <f>'41'!$E$33</f>
        <v>8807431.9999999981</v>
      </c>
      <c r="E44" s="114">
        <f t="shared" si="1"/>
        <v>4802.3075245365308</v>
      </c>
      <c r="F44" s="133"/>
      <c r="H44" s="133"/>
      <c r="I44" s="133"/>
    </row>
    <row r="45" spans="1:9" x14ac:dyDescent="0.25">
      <c r="A45" s="92" t="s">
        <v>1051</v>
      </c>
      <c r="B45" s="96">
        <f>2342*30</f>
        <v>70260</v>
      </c>
      <c r="C45" s="111">
        <f t="shared" si="0"/>
        <v>2342</v>
      </c>
      <c r="D45" s="113">
        <f>'42'!$E$33</f>
        <v>9716448.0000000037</v>
      </c>
      <c r="E45" s="114">
        <f t="shared" si="1"/>
        <v>4148.7822374039297</v>
      </c>
      <c r="F45" s="133"/>
      <c r="H45" s="133"/>
      <c r="I45" s="133"/>
    </row>
    <row r="46" spans="1:9" x14ac:dyDescent="0.25">
      <c r="A46" s="92" t="s">
        <v>1052</v>
      </c>
      <c r="B46" s="96">
        <f>4003*30</f>
        <v>120090</v>
      </c>
      <c r="C46" s="111">
        <f t="shared" si="0"/>
        <v>4003</v>
      </c>
      <c r="D46" s="113">
        <f>'43'!$E$33</f>
        <v>19695405</v>
      </c>
      <c r="E46" s="114">
        <f t="shared" si="1"/>
        <v>4920.1611291531353</v>
      </c>
      <c r="F46" s="133"/>
      <c r="H46" s="133"/>
      <c r="I46" s="133"/>
    </row>
    <row r="47" spans="1:9" x14ac:dyDescent="0.25">
      <c r="A47" s="92" t="s">
        <v>1063</v>
      </c>
      <c r="B47" s="96">
        <f>2846*30</f>
        <v>85380</v>
      </c>
      <c r="C47" s="111">
        <f t="shared" si="0"/>
        <v>2846</v>
      </c>
      <c r="D47" s="113">
        <f>'44'!$E$33</f>
        <v>12338592.999999996</v>
      </c>
      <c r="E47" s="114">
        <f t="shared" si="1"/>
        <v>4335.4156711173564</v>
      </c>
      <c r="F47" s="133"/>
      <c r="H47" s="133"/>
      <c r="I47" s="133"/>
    </row>
    <row r="48" spans="1:9" x14ac:dyDescent="0.25">
      <c r="A48" s="92" t="s">
        <v>1028</v>
      </c>
      <c r="B48" s="96">
        <f>5564*30</f>
        <v>166920</v>
      </c>
      <c r="C48" s="111">
        <f t="shared" si="0"/>
        <v>5564</v>
      </c>
      <c r="D48" s="113">
        <f>'45'!$E$33</f>
        <v>21563645.999999996</v>
      </c>
      <c r="E48" s="114">
        <f t="shared" si="1"/>
        <v>3875.565420560747</v>
      </c>
      <c r="F48" s="133"/>
      <c r="H48" s="133"/>
      <c r="I48" s="133"/>
    </row>
    <row r="49" spans="1:9" x14ac:dyDescent="0.25">
      <c r="A49" s="92" t="s">
        <v>1053</v>
      </c>
      <c r="B49" s="96">
        <f>1085*30</f>
        <v>32550</v>
      </c>
      <c r="C49" s="111">
        <f t="shared" si="0"/>
        <v>1085</v>
      </c>
      <c r="D49" s="113">
        <f>'46'!$E$33</f>
        <v>6484660.9999999991</v>
      </c>
      <c r="E49" s="114">
        <f t="shared" si="1"/>
        <v>5976.646082949308</v>
      </c>
      <c r="F49" s="133"/>
      <c r="H49" s="133"/>
      <c r="I49" s="133"/>
    </row>
    <row r="50" spans="1:9" x14ac:dyDescent="0.25">
      <c r="A50" s="92" t="s">
        <v>1054</v>
      </c>
      <c r="B50" s="96">
        <f>2435*30</f>
        <v>73050</v>
      </c>
      <c r="C50" s="111">
        <f t="shared" si="0"/>
        <v>2435</v>
      </c>
      <c r="D50" s="113">
        <f>'47'!$E$33</f>
        <v>11602282</v>
      </c>
      <c r="E50" s="114">
        <f t="shared" si="1"/>
        <v>4764.7975359342918</v>
      </c>
      <c r="F50" s="133"/>
      <c r="H50" s="133"/>
      <c r="I50" s="133"/>
    </row>
    <row r="51" spans="1:9" x14ac:dyDescent="0.25">
      <c r="A51" s="92" t="s">
        <v>1055</v>
      </c>
      <c r="B51" s="96">
        <f>1854*30</f>
        <v>55620</v>
      </c>
      <c r="C51" s="111">
        <f t="shared" si="0"/>
        <v>1854</v>
      </c>
      <c r="D51" s="113">
        <f>'48'!$E$33</f>
        <v>7536289.0000000009</v>
      </c>
      <c r="E51" s="114">
        <f t="shared" si="1"/>
        <v>4064.8807982740027</v>
      </c>
      <c r="F51" s="133"/>
      <c r="H51" s="133"/>
      <c r="I51" s="133"/>
    </row>
    <row r="52" spans="1:9" x14ac:dyDescent="0.25">
      <c r="A52" s="92" t="s">
        <v>1056</v>
      </c>
      <c r="B52" s="96">
        <f>727*30</f>
        <v>21810</v>
      </c>
      <c r="C52" s="111">
        <f t="shared" si="0"/>
        <v>727</v>
      </c>
      <c r="D52" s="113">
        <f>'49'!$E$33</f>
        <v>4311614</v>
      </c>
      <c r="E52" s="114">
        <f t="shared" si="1"/>
        <v>5930.6932599724896</v>
      </c>
      <c r="F52" s="133"/>
      <c r="H52" s="133"/>
      <c r="I52" s="133"/>
    </row>
    <row r="53" spans="1:9" x14ac:dyDescent="0.25">
      <c r="A53" s="92" t="s">
        <v>1064</v>
      </c>
      <c r="B53" s="96">
        <f>2886*30</f>
        <v>86580</v>
      </c>
      <c r="C53" s="111">
        <f t="shared" si="0"/>
        <v>2886</v>
      </c>
      <c r="D53" s="113">
        <f>'50'!$E$33</f>
        <v>11686941</v>
      </c>
      <c r="E53" s="114">
        <f t="shared" si="1"/>
        <v>4049.5291060291061</v>
      </c>
      <c r="F53" s="133"/>
      <c r="H53" s="133"/>
      <c r="I53" s="133"/>
    </row>
    <row r="54" spans="1:9" x14ac:dyDescent="0.25">
      <c r="A54" s="90" t="s">
        <v>937</v>
      </c>
      <c r="B54" s="96">
        <f>2018*30</f>
        <v>60540</v>
      </c>
      <c r="C54" s="111">
        <f t="shared" si="0"/>
        <v>2018</v>
      </c>
      <c r="D54" s="113">
        <f>'51'!$E$33</f>
        <v>13101592</v>
      </c>
      <c r="E54" s="114">
        <f t="shared" si="1"/>
        <v>6492.3647175421211</v>
      </c>
      <c r="F54" s="133"/>
      <c r="H54" s="133"/>
      <c r="I54" s="133"/>
    </row>
    <row r="55" spans="1:9" x14ac:dyDescent="0.25">
      <c r="A55" s="90" t="s">
        <v>938</v>
      </c>
      <c r="B55" s="96">
        <f>779*30</f>
        <v>23370</v>
      </c>
      <c r="C55" s="111">
        <f t="shared" si="0"/>
        <v>779</v>
      </c>
      <c r="D55" s="113">
        <f>'52'!$E$33</f>
        <v>7170831</v>
      </c>
      <c r="E55" s="114">
        <f t="shared" si="1"/>
        <v>9205.1745827984596</v>
      </c>
      <c r="F55" s="133"/>
      <c r="H55" s="133"/>
      <c r="I55" s="133"/>
    </row>
    <row r="56" spans="1:9" x14ac:dyDescent="0.25">
      <c r="A56" s="90" t="s">
        <v>939</v>
      </c>
      <c r="B56" s="96">
        <v>0</v>
      </c>
      <c r="C56" s="111">
        <f t="shared" si="0"/>
        <v>0</v>
      </c>
      <c r="D56" s="113">
        <f>'53'!$E$33</f>
        <v>0</v>
      </c>
      <c r="E56" s="114" t="str">
        <f t="shared" si="1"/>
        <v/>
      </c>
      <c r="F56" s="133"/>
      <c r="H56" s="133"/>
      <c r="I56" s="133"/>
    </row>
    <row r="57" spans="1:9" x14ac:dyDescent="0.25">
      <c r="A57" s="90" t="s">
        <v>940</v>
      </c>
      <c r="B57" s="96">
        <f>2920*30</f>
        <v>87600</v>
      </c>
      <c r="C57" s="111">
        <f t="shared" si="0"/>
        <v>2920</v>
      </c>
      <c r="D57" s="113">
        <f>'54'!$E$33</f>
        <v>21781069</v>
      </c>
      <c r="E57" s="114">
        <f t="shared" si="1"/>
        <v>7459.2702054794518</v>
      </c>
      <c r="F57" s="133"/>
      <c r="H57" s="133"/>
      <c r="I57" s="133"/>
    </row>
    <row r="58" spans="1:9" x14ac:dyDescent="0.25">
      <c r="A58" s="90" t="s">
        <v>941</v>
      </c>
      <c r="B58" s="96">
        <f>1398*30</f>
        <v>41940</v>
      </c>
      <c r="C58" s="111">
        <f t="shared" si="0"/>
        <v>1398</v>
      </c>
      <c r="D58" s="113">
        <f>'55'!$E$33</f>
        <v>0</v>
      </c>
      <c r="E58" s="114">
        <f t="shared" si="1"/>
        <v>0</v>
      </c>
      <c r="F58" s="133"/>
      <c r="H58" s="133"/>
      <c r="I58" s="133"/>
    </row>
    <row r="59" spans="1:9" x14ac:dyDescent="0.25">
      <c r="A59" s="90" t="s">
        <v>942</v>
      </c>
      <c r="B59" s="96">
        <f>904*30</f>
        <v>27120</v>
      </c>
      <c r="C59" s="111">
        <f t="shared" si="0"/>
        <v>904</v>
      </c>
      <c r="D59" s="113">
        <f>'56'!$E$33</f>
        <v>4356777</v>
      </c>
      <c r="E59" s="114">
        <f t="shared" si="1"/>
        <v>4819.4435840707965</v>
      </c>
      <c r="F59" s="133"/>
      <c r="H59" s="133"/>
      <c r="I59" s="133"/>
    </row>
    <row r="60" spans="1:9" x14ac:dyDescent="0.25">
      <c r="A60" s="71" t="s">
        <v>943</v>
      </c>
      <c r="B60" s="96">
        <f>1490*30</f>
        <v>44700</v>
      </c>
      <c r="C60" s="111">
        <f t="shared" si="0"/>
        <v>1490</v>
      </c>
      <c r="D60" s="113">
        <f>'57'!$E$33</f>
        <v>7255748</v>
      </c>
      <c r="E60" s="114">
        <f t="shared" si="1"/>
        <v>4869.6295302013423</v>
      </c>
      <c r="F60" s="133"/>
      <c r="H60" s="133"/>
      <c r="I60" s="133"/>
    </row>
    <row r="61" spans="1:9" ht="30" thickBot="1" x14ac:dyDescent="0.3">
      <c r="A61" s="80" t="s">
        <v>1014</v>
      </c>
      <c r="B61" s="115">
        <f>SUMIF(D4:D60,"&gt;0",B4:B60)</f>
        <v>7198050</v>
      </c>
      <c r="C61" s="115">
        <f>B61/30</f>
        <v>239935</v>
      </c>
      <c r="D61" s="116">
        <f>SUM(D4:D60)</f>
        <v>1207105543.000001</v>
      </c>
      <c r="E61" s="117">
        <f t="shared" si="1"/>
        <v>5030.9689832663053</v>
      </c>
      <c r="F61" s="133"/>
      <c r="H61" s="133"/>
      <c r="I61" s="133"/>
    </row>
    <row r="62" spans="1:9" x14ac:dyDescent="0.25">
      <c r="F62" s="133"/>
      <c r="H62" s="133"/>
      <c r="I62" s="133"/>
    </row>
    <row r="63" spans="1:9" x14ac:dyDescent="0.25">
      <c r="C63">
        <v>249903</v>
      </c>
      <c r="D63" s="99"/>
      <c r="F63" s="133"/>
      <c r="H63" s="133"/>
      <c r="I63" s="133"/>
    </row>
    <row r="64" spans="1:9" x14ac:dyDescent="0.25">
      <c r="C64" s="174">
        <f>C61-C63</f>
        <v>-9968</v>
      </c>
      <c r="F64" s="133"/>
      <c r="H64" s="133"/>
      <c r="I64" s="133"/>
    </row>
    <row r="65" spans="6:9" x14ac:dyDescent="0.25">
      <c r="F65" s="133"/>
      <c r="H65" s="133"/>
      <c r="I65" s="133"/>
    </row>
    <row r="66" spans="6:9" x14ac:dyDescent="0.25">
      <c r="F66" s="133"/>
      <c r="H66" s="133"/>
      <c r="I66" s="133"/>
    </row>
    <row r="67" spans="6:9" x14ac:dyDescent="0.25">
      <c r="F67" s="133"/>
      <c r="H67" s="133"/>
      <c r="I67" s="133"/>
    </row>
    <row r="68" spans="6:9" x14ac:dyDescent="0.25">
      <c r="F68" s="133"/>
      <c r="H68" s="133"/>
      <c r="I68" s="133"/>
    </row>
    <row r="69" spans="6:9" x14ac:dyDescent="0.25">
      <c r="F69" s="133"/>
      <c r="H69" s="133"/>
      <c r="I69" s="133"/>
    </row>
    <row r="70" spans="6:9" x14ac:dyDescent="0.25">
      <c r="F70" s="133"/>
      <c r="H70" s="133"/>
      <c r="I70" s="133"/>
    </row>
    <row r="71" spans="6:9" x14ac:dyDescent="0.25">
      <c r="F71" s="133"/>
      <c r="H71" s="133"/>
      <c r="I71" s="133"/>
    </row>
    <row r="72" spans="6:9" x14ac:dyDescent="0.25">
      <c r="F72" s="133"/>
      <c r="H72" s="133"/>
      <c r="I72" s="133"/>
    </row>
    <row r="73" spans="6:9" x14ac:dyDescent="0.25">
      <c r="F73" s="133"/>
      <c r="H73" s="133"/>
      <c r="I73" s="133"/>
    </row>
    <row r="74" spans="6:9" x14ac:dyDescent="0.25">
      <c r="F74" s="133"/>
      <c r="H74" s="133"/>
      <c r="I74" s="133"/>
    </row>
    <row r="75" spans="6:9" x14ac:dyDescent="0.25">
      <c r="F75" s="133"/>
      <c r="H75" s="133"/>
      <c r="I75" s="133"/>
    </row>
    <row r="76" spans="6:9" x14ac:dyDescent="0.25">
      <c r="F76" s="133"/>
      <c r="H76" s="133"/>
      <c r="I76" s="133"/>
    </row>
    <row r="77" spans="6:9" x14ac:dyDescent="0.25">
      <c r="F77" s="133"/>
      <c r="H77" s="133"/>
      <c r="I77" s="133"/>
    </row>
    <row r="78" spans="6:9" x14ac:dyDescent="0.25">
      <c r="H78" s="133"/>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activeCell="A49" sqref="A49"/>
      <selection pane="topRight" activeCell="A49" sqref="A49"/>
      <selection pane="bottomLeft" activeCell="A49" sqref="A49"/>
      <selection pane="bottomRight" activeCell="B4" sqref="B4"/>
    </sheetView>
  </sheetViews>
  <sheetFormatPr defaultRowHeight="14.25" x14ac:dyDescent="0.2"/>
  <cols>
    <col min="1" max="1" width="31.5703125" style="60" customWidth="1"/>
    <col min="2" max="5" width="9.28515625" style="60" bestFit="1" customWidth="1"/>
    <col min="6" max="6" width="11.42578125" style="60" bestFit="1" customWidth="1"/>
    <col min="7" max="9" width="12.5703125" style="60" bestFit="1" customWidth="1"/>
    <col min="10" max="10" width="9.28515625" style="60" bestFit="1" customWidth="1"/>
    <col min="11" max="11" width="9.140625" style="60" bestFit="1" customWidth="1"/>
    <col min="12" max="12" width="12.5703125" style="60" bestFit="1" customWidth="1"/>
    <col min="13" max="13" width="9.28515625" style="60" bestFit="1" customWidth="1"/>
    <col min="14" max="14" width="10.28515625" style="60" bestFit="1" customWidth="1"/>
    <col min="15" max="16" width="9.140625" style="60" bestFit="1" customWidth="1"/>
    <col min="17" max="17" width="9.28515625" style="60" bestFit="1" customWidth="1"/>
    <col min="18" max="18" width="9.140625" style="60" bestFit="1" customWidth="1"/>
    <col min="19" max="19" width="11.140625" style="60" bestFit="1" customWidth="1"/>
    <col min="20" max="20" width="9.28515625" style="60" bestFit="1" customWidth="1"/>
    <col min="21" max="21" width="8.28515625" style="60" bestFit="1" customWidth="1"/>
    <col min="22" max="22" width="12.5703125" style="60" bestFit="1" customWidth="1"/>
    <col min="23" max="23" width="11.140625" style="60" bestFit="1" customWidth="1"/>
    <col min="24" max="24" width="9.28515625" style="60" bestFit="1" customWidth="1"/>
    <col min="25" max="25" width="11.140625" style="60" bestFit="1" customWidth="1"/>
    <col min="26" max="27" width="9.28515625" style="60" bestFit="1" customWidth="1"/>
    <col min="28" max="29" width="8.7109375" style="60" bestFit="1" customWidth="1"/>
    <col min="30" max="30" width="9.28515625" style="60" bestFit="1" customWidth="1"/>
    <col min="31" max="31" width="8.140625" style="60" bestFit="1" customWidth="1"/>
    <col min="32" max="37" width="9.140625" style="60"/>
    <col min="38" max="38" width="17.85546875" style="60" bestFit="1" customWidth="1"/>
    <col min="39" max="41" width="9.140625" style="60"/>
    <col min="42" max="42" width="17.85546875" style="60" bestFit="1" customWidth="1"/>
    <col min="43" max="16384" width="9.140625" style="60"/>
  </cols>
  <sheetData>
    <row r="1" spans="1:30" x14ac:dyDescent="0.2">
      <c r="A1" s="38" t="str">
        <f>Summary!A1</f>
        <v>Community and Technical Colleges, Report of Fundable Operating Expenses, Fiscal Year (FY) 1999</v>
      </c>
      <c r="B1" s="38"/>
      <c r="C1" s="38"/>
      <c r="E1" s="38"/>
      <c r="F1" s="38"/>
      <c r="G1" s="38"/>
      <c r="H1" s="38"/>
      <c r="J1" s="38"/>
      <c r="K1" s="39"/>
      <c r="L1" s="38"/>
    </row>
    <row r="2" spans="1:30" ht="15" thickBot="1" x14ac:dyDescent="0.25">
      <c r="A2" s="62" t="s">
        <v>951</v>
      </c>
    </row>
    <row r="3" spans="1:30" s="66" customFormat="1" x14ac:dyDescent="0.2">
      <c r="A3" s="26" t="s">
        <v>944</v>
      </c>
      <c r="B3" s="33" t="s">
        <v>952</v>
      </c>
      <c r="C3" s="33" t="s">
        <v>953</v>
      </c>
      <c r="D3" s="33" t="s">
        <v>982</v>
      </c>
      <c r="E3" s="33" t="s">
        <v>983</v>
      </c>
      <c r="F3" s="33" t="s">
        <v>984</v>
      </c>
      <c r="G3" s="33" t="s">
        <v>985</v>
      </c>
      <c r="H3" s="33" t="s">
        <v>986</v>
      </c>
      <c r="I3" s="33" t="s">
        <v>987</v>
      </c>
      <c r="J3" s="33" t="s">
        <v>988</v>
      </c>
      <c r="K3" s="33" t="s">
        <v>989</v>
      </c>
      <c r="L3" s="33" t="s">
        <v>991</v>
      </c>
      <c r="M3" s="33" t="s">
        <v>992</v>
      </c>
      <c r="N3" s="33" t="s">
        <v>993</v>
      </c>
      <c r="O3" s="33" t="s">
        <v>994</v>
      </c>
      <c r="P3" s="33" t="s">
        <v>995</v>
      </c>
      <c r="Q3" s="33" t="s">
        <v>996</v>
      </c>
      <c r="R3" s="33" t="s">
        <v>997</v>
      </c>
      <c r="S3" s="33" t="s">
        <v>998</v>
      </c>
      <c r="T3" s="33" t="s">
        <v>999</v>
      </c>
      <c r="U3" s="33" t="s">
        <v>1000</v>
      </c>
      <c r="V3" s="33" t="s">
        <v>1001</v>
      </c>
      <c r="W3" s="33" t="s">
        <v>1002</v>
      </c>
      <c r="X3" s="33" t="s">
        <v>1003</v>
      </c>
      <c r="Y3" s="33" t="s">
        <v>1004</v>
      </c>
      <c r="Z3" s="33" t="s">
        <v>1005</v>
      </c>
      <c r="AA3" s="33" t="s">
        <v>1006</v>
      </c>
      <c r="AB3" s="33" t="s">
        <v>1007</v>
      </c>
      <c r="AC3" s="33" t="s">
        <v>1008</v>
      </c>
      <c r="AD3" s="44" t="s">
        <v>35</v>
      </c>
    </row>
    <row r="4" spans="1:30" x14ac:dyDescent="0.2">
      <c r="A4" s="92" t="s">
        <v>1065</v>
      </c>
      <c r="B4" s="73">
        <f>'1'!$F$5</f>
        <v>6.35</v>
      </c>
      <c r="C4" s="73">
        <f>'1'!$F$6</f>
        <v>8.93</v>
      </c>
      <c r="D4" s="73">
        <f>'1'!$F$7</f>
        <v>7.15</v>
      </c>
      <c r="E4" s="73">
        <f>'1'!$F$8</f>
        <v>8.81</v>
      </c>
      <c r="F4" s="73">
        <f>'1'!$F$9</f>
        <v>24.55</v>
      </c>
      <c r="G4" s="73">
        <f>'1'!$F$10</f>
        <v>13.15</v>
      </c>
      <c r="H4" s="73">
        <f>'1'!$F$11</f>
        <v>6.27</v>
      </c>
      <c r="I4" s="73" t="str">
        <f>'1'!$F$12</f>
        <v/>
      </c>
      <c r="J4" s="73">
        <f>'1'!$F$13</f>
        <v>9.4499999999999993</v>
      </c>
      <c r="K4" s="73">
        <f>'1'!$F$14</f>
        <v>18.170000000000002</v>
      </c>
      <c r="L4" s="73">
        <f>'1'!$F$15</f>
        <v>8.7899999999999991</v>
      </c>
      <c r="M4" s="73">
        <f>'1'!$F$16</f>
        <v>6.38</v>
      </c>
      <c r="N4" s="73">
        <f>'1'!$F$17</f>
        <v>6.82</v>
      </c>
      <c r="O4" s="73">
        <f>'1'!$F$18</f>
        <v>11.63</v>
      </c>
      <c r="P4" s="73" t="str">
        <f>'1'!$F$19</f>
        <v/>
      </c>
      <c r="Q4" s="73">
        <f>'1'!$F$20</f>
        <v>6.79</v>
      </c>
      <c r="R4" s="73">
        <f>'1'!$F$21</f>
        <v>10.18</v>
      </c>
      <c r="S4" s="73">
        <f>'1'!$F$22</f>
        <v>7.91</v>
      </c>
      <c r="T4" s="73">
        <f>'1'!$F$23</f>
        <v>6.48</v>
      </c>
      <c r="U4" s="73">
        <f>'1'!$F$24</f>
        <v>9.01</v>
      </c>
      <c r="V4" s="73">
        <f>'1'!$F$25</f>
        <v>8.85</v>
      </c>
      <c r="W4" s="73">
        <f>'1'!$F$26</f>
        <v>7.23</v>
      </c>
      <c r="X4" s="73">
        <f>'1'!$F$27</f>
        <v>7.64</v>
      </c>
      <c r="Y4" s="73">
        <f>'1'!$F$28</f>
        <v>6.04</v>
      </c>
      <c r="Z4" s="73">
        <f>'1'!$F$29</f>
        <v>7.44</v>
      </c>
      <c r="AA4" s="73">
        <f>'1'!$F$30</f>
        <v>9.24</v>
      </c>
      <c r="AB4" s="73" t="str">
        <f>'1'!$F$31</f>
        <v/>
      </c>
      <c r="AC4" s="73" t="str">
        <f>'1'!$F$32</f>
        <v/>
      </c>
      <c r="AD4" s="94">
        <f>'1'!$F$33</f>
        <v>7.45</v>
      </c>
    </row>
    <row r="5" spans="1:30" x14ac:dyDescent="0.2">
      <c r="A5" s="92" t="s">
        <v>1019</v>
      </c>
      <c r="B5" s="72">
        <f>'2'!$F$5</f>
        <v>4.92</v>
      </c>
      <c r="C5" s="72">
        <f>'2'!$F$6</f>
        <v>5.34</v>
      </c>
      <c r="D5" s="72">
        <f>'2'!$F$7</f>
        <v>6.02</v>
      </c>
      <c r="E5" s="72">
        <f>'2'!$F$8</f>
        <v>6.13</v>
      </c>
      <c r="F5" s="72" t="str">
        <f>'2'!$F$9</f>
        <v/>
      </c>
      <c r="G5" s="72">
        <f>'2'!$F$10</f>
        <v>5.14</v>
      </c>
      <c r="H5" s="72">
        <f>'2'!$F$11</f>
        <v>5.46</v>
      </c>
      <c r="I5" s="72" t="str">
        <f>'2'!$F$12</f>
        <v/>
      </c>
      <c r="J5" s="72">
        <f>'2'!$F$13</f>
        <v>7.05</v>
      </c>
      <c r="K5" s="72" t="str">
        <f>'2'!$F$14</f>
        <v/>
      </c>
      <c r="L5" s="72">
        <f>'2'!$F$15</f>
        <v>4.3600000000000003</v>
      </c>
      <c r="M5" s="72">
        <f>'2'!$F$16</f>
        <v>4.9000000000000004</v>
      </c>
      <c r="N5" s="72">
        <f>'2'!$F$17</f>
        <v>5.66</v>
      </c>
      <c r="O5" s="72">
        <f>'2'!$F$18</f>
        <v>7.9</v>
      </c>
      <c r="P5" s="72" t="str">
        <f>'2'!$F$19</f>
        <v/>
      </c>
      <c r="Q5" s="72">
        <f>'2'!$F$20</f>
        <v>7.59</v>
      </c>
      <c r="R5" s="72">
        <f>'2'!$F$21</f>
        <v>12.68</v>
      </c>
      <c r="S5" s="72">
        <f>'2'!$F$22</f>
        <v>12.34</v>
      </c>
      <c r="T5" s="72">
        <f>'2'!$F$23</f>
        <v>9.25</v>
      </c>
      <c r="U5" s="72">
        <f>'2'!$F$24</f>
        <v>5.1100000000000003</v>
      </c>
      <c r="V5" s="72" t="str">
        <f>'2'!$F$25</f>
        <v/>
      </c>
      <c r="W5" s="72" t="str">
        <f>'2'!$F$26</f>
        <v/>
      </c>
      <c r="X5" s="72">
        <f>'2'!$F$27</f>
        <v>7.48</v>
      </c>
      <c r="Y5" s="72">
        <f>'2'!$F$28</f>
        <v>5.18</v>
      </c>
      <c r="Z5" s="72">
        <f>'2'!$F$29</f>
        <v>4.84</v>
      </c>
      <c r="AA5" s="72">
        <f>'2'!$F$30</f>
        <v>7.77</v>
      </c>
      <c r="AB5" s="72" t="str">
        <f>'2'!$F$31</f>
        <v/>
      </c>
      <c r="AC5" s="72" t="str">
        <f>'2'!$F$32</f>
        <v/>
      </c>
      <c r="AD5" s="93">
        <f>'2'!$F$33</f>
        <v>5.92</v>
      </c>
    </row>
    <row r="6" spans="1:30" x14ac:dyDescent="0.2">
      <c r="A6" s="92" t="s">
        <v>1029</v>
      </c>
      <c r="B6" s="72">
        <f>'3'!$F$5</f>
        <v>11.1</v>
      </c>
      <c r="C6" s="72">
        <f>'3'!$F$6</f>
        <v>7.69</v>
      </c>
      <c r="D6" s="72">
        <f>'3'!$F$7</f>
        <v>5.49</v>
      </c>
      <c r="E6" s="72">
        <f>'3'!$F$8</f>
        <v>6.46</v>
      </c>
      <c r="F6" s="72" t="str">
        <f>'3'!$F$9</f>
        <v/>
      </c>
      <c r="G6" s="72">
        <f>'3'!$F$10</f>
        <v>9.4</v>
      </c>
      <c r="H6" s="72">
        <f>'3'!$F$11</f>
        <v>5.51</v>
      </c>
      <c r="I6" s="72">
        <f>'3'!$F$12</f>
        <v>4.3099999999999996</v>
      </c>
      <c r="J6" s="72">
        <f>'3'!$F$13</f>
        <v>5.48</v>
      </c>
      <c r="K6" s="72">
        <f>'3'!$F$14</f>
        <v>7.28</v>
      </c>
      <c r="L6" s="72">
        <f>'3'!$F$15</f>
        <v>7.97</v>
      </c>
      <c r="M6" s="72">
        <f>'3'!$F$16</f>
        <v>5.82</v>
      </c>
      <c r="N6" s="72">
        <f>'3'!$F$17</f>
        <v>7.58</v>
      </c>
      <c r="O6" s="72">
        <f>'3'!$F$18</f>
        <v>7.91</v>
      </c>
      <c r="P6" s="72">
        <f>'3'!$F$19</f>
        <v>9.84</v>
      </c>
      <c r="Q6" s="72">
        <f>'3'!$F$20</f>
        <v>5.96</v>
      </c>
      <c r="R6" s="72">
        <f>'3'!$F$21</f>
        <v>8.4600000000000009</v>
      </c>
      <c r="S6" s="72">
        <f>'3'!$F$22</f>
        <v>6.03</v>
      </c>
      <c r="T6" s="72">
        <f>'3'!$F$23</f>
        <v>5.18</v>
      </c>
      <c r="U6" s="72">
        <f>'3'!$F$24</f>
        <v>8.2200000000000006</v>
      </c>
      <c r="V6" s="72">
        <f>'3'!$F$25</f>
        <v>6.78</v>
      </c>
      <c r="W6" s="72">
        <f>'3'!$F$26</f>
        <v>7.89</v>
      </c>
      <c r="X6" s="72">
        <f>'3'!$F$27</f>
        <v>5.63</v>
      </c>
      <c r="Y6" s="72">
        <f>'3'!$F$28</f>
        <v>5.57</v>
      </c>
      <c r="Z6" s="72">
        <f>'3'!$F$29</f>
        <v>5.47</v>
      </c>
      <c r="AA6" s="72">
        <f>'3'!$F$30</f>
        <v>9.25</v>
      </c>
      <c r="AB6" s="72" t="str">
        <f>'3'!$F$31</f>
        <v/>
      </c>
      <c r="AC6" s="72" t="str">
        <f>'3'!$F$32</f>
        <v/>
      </c>
      <c r="AD6" s="93">
        <f>'3'!$F$33</f>
        <v>6.26</v>
      </c>
    </row>
    <row r="7" spans="1:30" x14ac:dyDescent="0.2">
      <c r="A7" s="92" t="s">
        <v>1030</v>
      </c>
      <c r="B7" s="72">
        <f>'4'!$F$5</f>
        <v>5.94</v>
      </c>
      <c r="C7" s="72">
        <f>'4'!$F$6</f>
        <v>4.18</v>
      </c>
      <c r="D7" s="72">
        <f>'4'!$F$7</f>
        <v>3.99</v>
      </c>
      <c r="E7" s="72">
        <f>'4'!$F$8</f>
        <v>5.84</v>
      </c>
      <c r="F7" s="72" t="str">
        <f>'4'!$F$9</f>
        <v/>
      </c>
      <c r="G7" s="72">
        <f>'4'!$F$10</f>
        <v>6.22</v>
      </c>
      <c r="H7" s="72">
        <f>'4'!$F$11</f>
        <v>6.21</v>
      </c>
      <c r="I7" s="72">
        <f>'4'!$F$12</f>
        <v>5.89</v>
      </c>
      <c r="J7" s="72">
        <f>'4'!$F$13</f>
        <v>4.78</v>
      </c>
      <c r="K7" s="72">
        <f>'4'!$F$14</f>
        <v>10.82</v>
      </c>
      <c r="L7" s="72">
        <f>'4'!$F$15</f>
        <v>3.53</v>
      </c>
      <c r="M7" s="72">
        <f>'4'!$F$16</f>
        <v>3.89</v>
      </c>
      <c r="N7" s="72">
        <f>'4'!$F$17</f>
        <v>5.1100000000000003</v>
      </c>
      <c r="O7" s="72">
        <f>'4'!$F$18</f>
        <v>6.73</v>
      </c>
      <c r="P7" s="72" t="str">
        <f>'4'!$F$19</f>
        <v/>
      </c>
      <c r="Q7" s="72">
        <f>'4'!$F$20</f>
        <v>6.54</v>
      </c>
      <c r="R7" s="72">
        <f>'4'!$F$21</f>
        <v>6.39</v>
      </c>
      <c r="S7" s="72">
        <f>'4'!$F$22</f>
        <v>6.17</v>
      </c>
      <c r="T7" s="72">
        <f>'4'!$F$23</f>
        <v>3.89</v>
      </c>
      <c r="U7" s="72">
        <f>'4'!$F$24</f>
        <v>5.59</v>
      </c>
      <c r="V7" s="72">
        <f>'4'!$F$25</f>
        <v>6.15</v>
      </c>
      <c r="W7" s="72">
        <f>'4'!$F$26</f>
        <v>5.53</v>
      </c>
      <c r="X7" s="72">
        <f>'4'!$F$27</f>
        <v>4.5999999999999996</v>
      </c>
      <c r="Y7" s="72">
        <f>'4'!$F$28</f>
        <v>4.66</v>
      </c>
      <c r="Z7" s="72">
        <f>'4'!$F$29</f>
        <v>3.68</v>
      </c>
      <c r="AA7" s="72">
        <f>'4'!$F$30</f>
        <v>5.87</v>
      </c>
      <c r="AB7" s="72" t="str">
        <f>'4'!$F$31</f>
        <v/>
      </c>
      <c r="AC7" s="72" t="str">
        <f>'4'!$F$32</f>
        <v/>
      </c>
      <c r="AD7" s="93">
        <f>'4'!$F$33</f>
        <v>4.75</v>
      </c>
    </row>
    <row r="8" spans="1:30" x14ac:dyDescent="0.2">
      <c r="A8" s="92" t="s">
        <v>1020</v>
      </c>
      <c r="B8" s="72" t="str">
        <f>'5'!$F$5</f>
        <v/>
      </c>
      <c r="C8" s="72">
        <f>'5'!$F$6</f>
        <v>9.5500000000000007</v>
      </c>
      <c r="D8" s="72">
        <f>'5'!$F$7</f>
        <v>7</v>
      </c>
      <c r="E8" s="72">
        <f>'5'!$F$8</f>
        <v>7.78</v>
      </c>
      <c r="F8" s="72" t="str">
        <f>'5'!$F$9</f>
        <v/>
      </c>
      <c r="G8" s="72">
        <f>'5'!$F$10</f>
        <v>7.3</v>
      </c>
      <c r="H8" s="72">
        <f>'5'!$F$11</f>
        <v>6.99</v>
      </c>
      <c r="I8" s="72">
        <f>'5'!$F$12</f>
        <v>10.73</v>
      </c>
      <c r="J8" s="72">
        <f>'5'!$F$13</f>
        <v>7.59</v>
      </c>
      <c r="K8" s="72">
        <f>'5'!$F$14</f>
        <v>12.19</v>
      </c>
      <c r="L8" s="72">
        <f>'5'!$F$15</f>
        <v>9.8000000000000007</v>
      </c>
      <c r="M8" s="72">
        <f>'5'!$F$16</f>
        <v>6.61</v>
      </c>
      <c r="N8" s="72">
        <f>'5'!$F$17</f>
        <v>5.99</v>
      </c>
      <c r="O8" s="72">
        <f>'5'!$F$18</f>
        <v>13.68</v>
      </c>
      <c r="P8" s="72" t="str">
        <f>'5'!$F$19</f>
        <v/>
      </c>
      <c r="Q8" s="72">
        <f>'5'!$F$20</f>
        <v>9.0299999999999994</v>
      </c>
      <c r="R8" s="72" t="str">
        <f>'5'!$F$21</f>
        <v/>
      </c>
      <c r="S8" s="72">
        <f>'5'!$F$22</f>
        <v>11.43</v>
      </c>
      <c r="T8" s="72">
        <f>'5'!$F$23</f>
        <v>6.08</v>
      </c>
      <c r="U8" s="72">
        <f>'5'!$F$24</f>
        <v>13.12</v>
      </c>
      <c r="V8" s="72" t="str">
        <f>'5'!$F$25</f>
        <v/>
      </c>
      <c r="W8" s="72">
        <f>'5'!$F$26</f>
        <v>9.4700000000000006</v>
      </c>
      <c r="X8" s="72">
        <f>'5'!$F$27</f>
        <v>8.58</v>
      </c>
      <c r="Y8" s="72">
        <f>'5'!$F$28</f>
        <v>7.8</v>
      </c>
      <c r="Z8" s="72">
        <f>'5'!$F$29</f>
        <v>5.51</v>
      </c>
      <c r="AA8" s="72">
        <f>'5'!$F$30</f>
        <v>7.76</v>
      </c>
      <c r="AB8" s="72" t="str">
        <f>'5'!$F$31</f>
        <v/>
      </c>
      <c r="AC8" s="72" t="str">
        <f>'5'!$F$32</f>
        <v/>
      </c>
      <c r="AD8" s="93">
        <f>'5'!$F$33</f>
        <v>6.97</v>
      </c>
    </row>
    <row r="9" spans="1:30" x14ac:dyDescent="0.2">
      <c r="A9" s="92" t="s">
        <v>1031</v>
      </c>
      <c r="B9" s="72">
        <f>'6'!$F$5</f>
        <v>7.82</v>
      </c>
      <c r="C9" s="72">
        <f>'6'!$F$6</f>
        <v>5.12</v>
      </c>
      <c r="D9" s="72">
        <f>'6'!$F$7</f>
        <v>3.38</v>
      </c>
      <c r="E9" s="72">
        <f>'6'!$F$8</f>
        <v>4.41</v>
      </c>
      <c r="F9" s="72" t="str">
        <f>'6'!$F$9</f>
        <v/>
      </c>
      <c r="G9" s="72">
        <f>'6'!$F$10</f>
        <v>4.96</v>
      </c>
      <c r="H9" s="72">
        <f>'6'!$F$11</f>
        <v>7.84</v>
      </c>
      <c r="I9" s="72" t="str">
        <f>'6'!$F$12</f>
        <v/>
      </c>
      <c r="J9" s="72">
        <f>'6'!$F$13</f>
        <v>4.6500000000000004</v>
      </c>
      <c r="K9" s="72" t="str">
        <f>'6'!$F$14</f>
        <v/>
      </c>
      <c r="L9" s="72">
        <f>'6'!$F$15</f>
        <v>2.35</v>
      </c>
      <c r="M9" s="72">
        <f>'6'!$F$16</f>
        <v>4.4000000000000004</v>
      </c>
      <c r="N9" s="72">
        <f>'6'!$F$17</f>
        <v>3.96</v>
      </c>
      <c r="O9" s="72">
        <f>'6'!$F$18</f>
        <v>9.2799999999999994</v>
      </c>
      <c r="P9" s="72">
        <f>'6'!$F$19</f>
        <v>10.14</v>
      </c>
      <c r="Q9" s="72">
        <f>'6'!$F$20</f>
        <v>5.62</v>
      </c>
      <c r="R9" s="72" t="str">
        <f>'6'!$F$21</f>
        <v/>
      </c>
      <c r="S9" s="72">
        <f>'6'!$F$22</f>
        <v>5</v>
      </c>
      <c r="T9" s="72">
        <f>'6'!$F$23</f>
        <v>3.83</v>
      </c>
      <c r="U9" s="72" t="str">
        <f>'6'!$F$24</f>
        <v/>
      </c>
      <c r="V9" s="72" t="str">
        <f>'6'!$F$25</f>
        <v/>
      </c>
      <c r="W9" s="72" t="str">
        <f>'6'!$F$26</f>
        <v/>
      </c>
      <c r="X9" s="72">
        <f>'6'!$F$27</f>
        <v>3.8</v>
      </c>
      <c r="Y9" s="72">
        <f>'6'!$F$28</f>
        <v>3.83</v>
      </c>
      <c r="Z9" s="72">
        <f>'6'!$F$29</f>
        <v>3.63</v>
      </c>
      <c r="AA9" s="72">
        <f>'6'!$F$30</f>
        <v>6.62</v>
      </c>
      <c r="AB9" s="72" t="str">
        <f>'6'!$F$31</f>
        <v/>
      </c>
      <c r="AC9" s="72" t="str">
        <f>'6'!$F$32</f>
        <v/>
      </c>
      <c r="AD9" s="93">
        <f>'6'!$F$33</f>
        <v>4.21</v>
      </c>
    </row>
    <row r="10" spans="1:30" x14ac:dyDescent="0.2">
      <c r="A10" s="92" t="s">
        <v>1032</v>
      </c>
      <c r="B10" s="72" t="str">
        <f>'7'!$F$5</f>
        <v/>
      </c>
      <c r="C10" s="72">
        <f>'7'!$F$6</f>
        <v>5.98</v>
      </c>
      <c r="D10" s="72">
        <f>'7'!$F$7</f>
        <v>7.14</v>
      </c>
      <c r="E10" s="72">
        <f>'7'!$F$8</f>
        <v>6.35</v>
      </c>
      <c r="F10" s="72" t="str">
        <f>'7'!$F$9</f>
        <v/>
      </c>
      <c r="G10" s="72">
        <f>'7'!$F$10</f>
        <v>6.92</v>
      </c>
      <c r="H10" s="72">
        <f>'7'!$F$11</f>
        <v>6.41</v>
      </c>
      <c r="I10" s="72">
        <f>'7'!$F$12</f>
        <v>5.27</v>
      </c>
      <c r="J10" s="72">
        <f>'7'!$F$13</f>
        <v>5.05</v>
      </c>
      <c r="K10" s="72" t="str">
        <f>'7'!$F$14</f>
        <v/>
      </c>
      <c r="L10" s="72">
        <f>'7'!$F$15</f>
        <v>5.81</v>
      </c>
      <c r="M10" s="72">
        <f>'7'!$F$16</f>
        <v>6.51</v>
      </c>
      <c r="N10" s="72">
        <f>'7'!$F$17</f>
        <v>7.86</v>
      </c>
      <c r="O10" s="72">
        <f>'7'!$F$18</f>
        <v>14.95</v>
      </c>
      <c r="P10" s="72" t="str">
        <f>'7'!$F$19</f>
        <v/>
      </c>
      <c r="Q10" s="72">
        <f>'7'!$F$20</f>
        <v>4.8</v>
      </c>
      <c r="R10" s="72" t="str">
        <f>'7'!$F$21</f>
        <v/>
      </c>
      <c r="S10" s="72" t="str">
        <f>'7'!$F$22</f>
        <v/>
      </c>
      <c r="T10" s="72">
        <f>'7'!$F$23</f>
        <v>5.69</v>
      </c>
      <c r="U10" s="72">
        <f>'7'!$F$24</f>
        <v>16.37</v>
      </c>
      <c r="V10" s="72">
        <f>'7'!$F$25</f>
        <v>4.47</v>
      </c>
      <c r="W10" s="72">
        <f>'7'!$F$26</f>
        <v>6.16</v>
      </c>
      <c r="X10" s="72">
        <f>'7'!$F$27</f>
        <v>7.59</v>
      </c>
      <c r="Y10" s="72">
        <f>'7'!$F$28</f>
        <v>4.82</v>
      </c>
      <c r="Z10" s="72">
        <f>'7'!$F$29</f>
        <v>5.82</v>
      </c>
      <c r="AA10" s="72">
        <f>'7'!$F$30</f>
        <v>9.19</v>
      </c>
      <c r="AB10" s="72" t="str">
        <f>'7'!$F$31</f>
        <v/>
      </c>
      <c r="AC10" s="72" t="str">
        <f>'7'!$F$32</f>
        <v/>
      </c>
      <c r="AD10" s="93">
        <f>'7'!$F$33</f>
        <v>6.21</v>
      </c>
    </row>
    <row r="11" spans="1:30" x14ac:dyDescent="0.2">
      <c r="A11" s="92" t="s">
        <v>1066</v>
      </c>
      <c r="B11" s="72">
        <f>'8'!$F$5</f>
        <v>9.43</v>
      </c>
      <c r="C11" s="72">
        <f>'8'!$F$6</f>
        <v>5.09</v>
      </c>
      <c r="D11" s="72">
        <f>'8'!$F$7</f>
        <v>6.1</v>
      </c>
      <c r="E11" s="72">
        <f>'8'!$F$8</f>
        <v>4.59</v>
      </c>
      <c r="F11" s="72">
        <f>'8'!$F$9</f>
        <v>28.12</v>
      </c>
      <c r="G11" s="72" t="str">
        <f>'8'!$F$10</f>
        <v/>
      </c>
      <c r="H11" s="72">
        <f>'8'!$F$11</f>
        <v>3.85</v>
      </c>
      <c r="I11" s="72">
        <f>'8'!$F$12</f>
        <v>5.29</v>
      </c>
      <c r="J11" s="72">
        <f>'8'!$F$13</f>
        <v>4.2300000000000004</v>
      </c>
      <c r="K11" s="72">
        <f>'8'!$F$14</f>
        <v>5.68</v>
      </c>
      <c r="L11" s="72">
        <f>'8'!$F$15</f>
        <v>3.28</v>
      </c>
      <c r="M11" s="72">
        <f>'8'!$F$16</f>
        <v>4.3099999999999996</v>
      </c>
      <c r="N11" s="72">
        <f>'8'!$F$17</f>
        <v>4.41</v>
      </c>
      <c r="O11" s="72">
        <f>'8'!$F$18</f>
        <v>8.69</v>
      </c>
      <c r="P11" s="72" t="str">
        <f>'8'!$F$19</f>
        <v/>
      </c>
      <c r="Q11" s="72">
        <f>'8'!$F$20</f>
        <v>5.93</v>
      </c>
      <c r="R11" s="72" t="str">
        <f>'8'!$F$21</f>
        <v/>
      </c>
      <c r="S11" s="72">
        <f>'8'!$F$22</f>
        <v>4.79</v>
      </c>
      <c r="T11" s="72">
        <f>'8'!$F$23</f>
        <v>3.63</v>
      </c>
      <c r="U11" s="72">
        <f>'8'!$F$24</f>
        <v>5.47</v>
      </c>
      <c r="V11" s="72">
        <f>'8'!$F$25</f>
        <v>11.21</v>
      </c>
      <c r="W11" s="72">
        <f>'8'!$F$26</f>
        <v>4.99</v>
      </c>
      <c r="X11" s="72">
        <f>'8'!$F$27</f>
        <v>4.84</v>
      </c>
      <c r="Y11" s="72">
        <f>'8'!$F$28</f>
        <v>3.8</v>
      </c>
      <c r="Z11" s="72">
        <f>'8'!$F$29</f>
        <v>3.73</v>
      </c>
      <c r="AA11" s="72">
        <f>'8'!$F$30</f>
        <v>6.02</v>
      </c>
      <c r="AB11" s="72" t="str">
        <f>'8'!$F$31</f>
        <v/>
      </c>
      <c r="AC11" s="72" t="str">
        <f>'8'!$F$32</f>
        <v/>
      </c>
      <c r="AD11" s="93">
        <f>'8'!$F$33</f>
        <v>4.66</v>
      </c>
    </row>
    <row r="12" spans="1:30" x14ac:dyDescent="0.2">
      <c r="A12" s="92" t="s">
        <v>1023</v>
      </c>
      <c r="B12" s="72">
        <f>'9'!$F$5</f>
        <v>6.71</v>
      </c>
      <c r="C12" s="72">
        <f>'9'!$F$6</f>
        <v>3.36</v>
      </c>
      <c r="D12" s="72">
        <f>'9'!$F$7</f>
        <v>3.46</v>
      </c>
      <c r="E12" s="72">
        <f>'9'!$F$8</f>
        <v>4.7</v>
      </c>
      <c r="F12" s="72" t="str">
        <f>'9'!$F$9</f>
        <v/>
      </c>
      <c r="G12" s="72" t="str">
        <f>'9'!$F$10</f>
        <v/>
      </c>
      <c r="H12" s="72">
        <f>'9'!$F$11</f>
        <v>4.3600000000000003</v>
      </c>
      <c r="I12" s="72" t="str">
        <f>'9'!$F$12</f>
        <v/>
      </c>
      <c r="J12" s="72">
        <f>'9'!$F$13</f>
        <v>3.48</v>
      </c>
      <c r="K12" s="72" t="str">
        <f>'9'!$F$14</f>
        <v/>
      </c>
      <c r="L12" s="72">
        <f>'9'!$F$15</f>
        <v>3.35</v>
      </c>
      <c r="M12" s="72">
        <f>'9'!$F$16</f>
        <v>3.68</v>
      </c>
      <c r="N12" s="72">
        <f>'9'!$F$17</f>
        <v>6.03</v>
      </c>
      <c r="O12" s="72">
        <f>'9'!$F$18</f>
        <v>5.4</v>
      </c>
      <c r="P12" s="72" t="str">
        <f>'9'!$F$19</f>
        <v/>
      </c>
      <c r="Q12" s="72">
        <f>'9'!$F$20</f>
        <v>4.43</v>
      </c>
      <c r="R12" s="72" t="str">
        <f>'9'!$F$21</f>
        <v/>
      </c>
      <c r="S12" s="72">
        <f>'9'!$F$22</f>
        <v>4.0599999999999996</v>
      </c>
      <c r="T12" s="72">
        <f>'9'!$F$23</f>
        <v>3.7</v>
      </c>
      <c r="U12" s="72">
        <f>'9'!$F$24</f>
        <v>5.23</v>
      </c>
      <c r="V12" s="72" t="str">
        <f>'9'!$F$25</f>
        <v/>
      </c>
      <c r="W12" s="72">
        <f>'9'!$F$26</f>
        <v>6.09</v>
      </c>
      <c r="X12" s="72">
        <f>'9'!$F$27</f>
        <v>7</v>
      </c>
      <c r="Y12" s="72">
        <f>'9'!$F$28</f>
        <v>4.8099999999999996</v>
      </c>
      <c r="Z12" s="72">
        <f>'9'!$F$29</f>
        <v>3.32</v>
      </c>
      <c r="AA12" s="72">
        <f>'9'!$F$30</f>
        <v>6.12</v>
      </c>
      <c r="AB12" s="72" t="str">
        <f>'9'!$F$31</f>
        <v/>
      </c>
      <c r="AC12" s="72" t="str">
        <f>'9'!$F$32</f>
        <v/>
      </c>
      <c r="AD12" s="93">
        <f>'9'!$F$33</f>
        <v>4.1399999999999997</v>
      </c>
    </row>
    <row r="13" spans="1:30" x14ac:dyDescent="0.2">
      <c r="A13" s="92" t="s">
        <v>1033</v>
      </c>
      <c r="B13" s="72">
        <f>'10'!$F$5</f>
        <v>9.4499999999999993</v>
      </c>
      <c r="C13" s="72" t="str">
        <f>'10'!$F$6</f>
        <v/>
      </c>
      <c r="D13" s="72">
        <f>'10'!$F$7</f>
        <v>6.43</v>
      </c>
      <c r="E13" s="72">
        <f>'10'!$F$8</f>
        <v>8.9</v>
      </c>
      <c r="F13" s="72" t="str">
        <f>'10'!$F$9</f>
        <v/>
      </c>
      <c r="G13" s="72" t="str">
        <f>'10'!$F$10</f>
        <v/>
      </c>
      <c r="H13" s="72">
        <f>'10'!$F$11</f>
        <v>7.1</v>
      </c>
      <c r="I13" s="72" t="str">
        <f>'10'!$F$12</f>
        <v/>
      </c>
      <c r="J13" s="72">
        <f>'10'!$F$13</f>
        <v>4.2</v>
      </c>
      <c r="K13" s="72" t="str">
        <f>'10'!$F$14</f>
        <v/>
      </c>
      <c r="L13" s="72">
        <f>'10'!$F$15</f>
        <v>8.49</v>
      </c>
      <c r="M13" s="72">
        <f>'10'!$F$16</f>
        <v>6.2</v>
      </c>
      <c r="N13" s="72">
        <f>'10'!$F$17</f>
        <v>4.78</v>
      </c>
      <c r="O13" s="72" t="str">
        <f>'10'!$F$18</f>
        <v/>
      </c>
      <c r="P13" s="72" t="str">
        <f>'10'!$F$19</f>
        <v/>
      </c>
      <c r="Q13" s="72">
        <f>'10'!$F$20</f>
        <v>4.07</v>
      </c>
      <c r="R13" s="72" t="str">
        <f>'10'!$F$21</f>
        <v/>
      </c>
      <c r="S13" s="72">
        <f>'10'!$F$22</f>
        <v>8.15</v>
      </c>
      <c r="T13" s="72">
        <f>'10'!$F$23</f>
        <v>4.67</v>
      </c>
      <c r="U13" s="72" t="str">
        <f>'10'!$F$24</f>
        <v/>
      </c>
      <c r="V13" s="72" t="str">
        <f>'10'!$F$25</f>
        <v/>
      </c>
      <c r="W13" s="72" t="str">
        <f>'10'!$F$26</f>
        <v/>
      </c>
      <c r="X13" s="72">
        <f>'10'!$F$27</f>
        <v>9.6999999999999993</v>
      </c>
      <c r="Y13" s="72" t="str">
        <f>'10'!$F$28</f>
        <v/>
      </c>
      <c r="Z13" s="72">
        <f>'10'!$F$29</f>
        <v>6.13</v>
      </c>
      <c r="AA13" s="72">
        <f>'10'!$F$30</f>
        <v>14.93</v>
      </c>
      <c r="AB13" s="72" t="str">
        <f>'10'!$F$31</f>
        <v/>
      </c>
      <c r="AC13" s="72" t="str">
        <f>'10'!$F$32</f>
        <v/>
      </c>
      <c r="AD13" s="93">
        <f>'10'!$F$33</f>
        <v>7.01</v>
      </c>
    </row>
    <row r="14" spans="1:30" x14ac:dyDescent="0.2">
      <c r="A14" s="92" t="s">
        <v>1034</v>
      </c>
      <c r="B14" s="72">
        <f>'11'!$F$5</f>
        <v>3.59</v>
      </c>
      <c r="C14" s="72">
        <f>'11'!$F$6</f>
        <v>7.69</v>
      </c>
      <c r="D14" s="72">
        <f>'11'!$F$7</f>
        <v>3.94</v>
      </c>
      <c r="E14" s="72">
        <f>'11'!$F$8</f>
        <v>5.2</v>
      </c>
      <c r="F14" s="72" t="str">
        <f>'11'!$F$9</f>
        <v/>
      </c>
      <c r="G14" s="72" t="str">
        <f>'11'!$F$10</f>
        <v/>
      </c>
      <c r="H14" s="72">
        <f>'11'!$F$11</f>
        <v>3.82</v>
      </c>
      <c r="I14" s="72">
        <f>'11'!$F$12</f>
        <v>3.77</v>
      </c>
      <c r="J14" s="72">
        <f>'11'!$F$13</f>
        <v>5.12</v>
      </c>
      <c r="K14" s="72">
        <f>'11'!$F$14</f>
        <v>4.2699999999999996</v>
      </c>
      <c r="L14" s="72" t="str">
        <f>'11'!$F$15</f>
        <v/>
      </c>
      <c r="M14" s="72">
        <f>'11'!$F$16</f>
        <v>4.4000000000000004</v>
      </c>
      <c r="N14" s="72">
        <f>'11'!$F$17</f>
        <v>11.59</v>
      </c>
      <c r="O14" s="72" t="str">
        <f>'11'!$F$18</f>
        <v/>
      </c>
      <c r="P14" s="72">
        <f>'11'!$F$19</f>
        <v>7.32</v>
      </c>
      <c r="Q14" s="72">
        <f>'11'!$F$20</f>
        <v>4.71</v>
      </c>
      <c r="R14" s="72" t="str">
        <f>'11'!$F$21</f>
        <v/>
      </c>
      <c r="S14" s="72">
        <f>'11'!$F$22</f>
        <v>3.78</v>
      </c>
      <c r="T14" s="72">
        <f>'11'!$F$23</f>
        <v>4.4400000000000004</v>
      </c>
      <c r="U14" s="72">
        <f>'11'!$F$24</f>
        <v>5.77</v>
      </c>
      <c r="V14" s="72" t="str">
        <f>'11'!$F$25</f>
        <v/>
      </c>
      <c r="W14" s="72">
        <f>'11'!$F$26</f>
        <v>10.1</v>
      </c>
      <c r="X14" s="72">
        <f>'11'!$F$27</f>
        <v>5.56</v>
      </c>
      <c r="Y14" s="72">
        <f>'11'!$F$28</f>
        <v>4.8600000000000003</v>
      </c>
      <c r="Z14" s="72">
        <f>'11'!$F$29</f>
        <v>4.3899999999999997</v>
      </c>
      <c r="AA14" s="72">
        <f>'11'!$F$30</f>
        <v>8.76</v>
      </c>
      <c r="AB14" s="72" t="str">
        <f>'11'!$F$31</f>
        <v/>
      </c>
      <c r="AC14" s="72" t="str">
        <f>'11'!$F$32</f>
        <v/>
      </c>
      <c r="AD14" s="93">
        <f>'11'!$F$33</f>
        <v>4.88</v>
      </c>
    </row>
    <row r="15" spans="1:30" x14ac:dyDescent="0.2">
      <c r="A15" s="92" t="s">
        <v>936</v>
      </c>
      <c r="B15" s="72" t="str">
        <f>'12'!$F$5</f>
        <v/>
      </c>
      <c r="C15" s="72" t="str">
        <f>'12'!$F$6</f>
        <v/>
      </c>
      <c r="D15" s="72">
        <f>'12'!$F$7</f>
        <v>7.7</v>
      </c>
      <c r="E15" s="72">
        <f>'12'!$F$8</f>
        <v>10.4</v>
      </c>
      <c r="F15" s="72" t="str">
        <f>'12'!$F$9</f>
        <v/>
      </c>
      <c r="G15" s="72">
        <f>'12'!$F$10</f>
        <v>30.94</v>
      </c>
      <c r="H15" s="72" t="str">
        <f>'12'!$F$11</f>
        <v/>
      </c>
      <c r="I15" s="72" t="str">
        <f>'12'!$F$12</f>
        <v/>
      </c>
      <c r="J15" s="72">
        <f>'12'!$F$13</f>
        <v>10.39</v>
      </c>
      <c r="K15" s="72" t="str">
        <f>'12'!$F$14</f>
        <v/>
      </c>
      <c r="L15" s="72" t="str">
        <f>'12'!$F$15</f>
        <v/>
      </c>
      <c r="M15" s="72">
        <f>'12'!$F$16</f>
        <v>9.5299999999999994</v>
      </c>
      <c r="N15" s="72" t="str">
        <f>'12'!$F$17</f>
        <v/>
      </c>
      <c r="O15" s="72">
        <f>'12'!$F$18</f>
        <v>10.029999999999999</v>
      </c>
      <c r="P15" s="72" t="str">
        <f>'12'!$F$19</f>
        <v/>
      </c>
      <c r="Q15" s="72" t="str">
        <f>'12'!$F$20</f>
        <v/>
      </c>
      <c r="R15" s="72" t="str">
        <f>'12'!$F$21</f>
        <v/>
      </c>
      <c r="S15" s="72" t="str">
        <f>'12'!$F$22</f>
        <v/>
      </c>
      <c r="T15" s="72">
        <f>'12'!$F$23</f>
        <v>7.09</v>
      </c>
      <c r="U15" s="72" t="str">
        <f>'12'!$F$24</f>
        <v/>
      </c>
      <c r="V15" s="72">
        <f>'12'!$F$25</f>
        <v>12.87</v>
      </c>
      <c r="W15" s="72">
        <f>'12'!$F$26</f>
        <v>8.77</v>
      </c>
      <c r="X15" s="72">
        <f>'12'!$F$27</f>
        <v>9.11</v>
      </c>
      <c r="Y15" s="72">
        <f>'12'!$F$28</f>
        <v>7.48</v>
      </c>
      <c r="Z15" s="72">
        <f>'12'!$F$29</f>
        <v>7.17</v>
      </c>
      <c r="AA15" s="72">
        <f>'12'!$F$30</f>
        <v>11.05</v>
      </c>
      <c r="AB15" s="72" t="str">
        <f>'12'!$F$31</f>
        <v/>
      </c>
      <c r="AC15" s="72" t="str">
        <f>'12'!$F$32</f>
        <v/>
      </c>
      <c r="AD15" s="93">
        <f>'12'!$F$33</f>
        <v>8.8000000000000007</v>
      </c>
    </row>
    <row r="16" spans="1:30" x14ac:dyDescent="0.2">
      <c r="A16" s="92" t="s">
        <v>1057</v>
      </c>
      <c r="B16" s="72">
        <f>'13'!$F$5</f>
        <v>11.07</v>
      </c>
      <c r="C16" s="72">
        <f>'13'!$F$6</f>
        <v>7.91</v>
      </c>
      <c r="D16" s="72">
        <f>'13'!$F$7</f>
        <v>6.41</v>
      </c>
      <c r="E16" s="72">
        <f>'13'!$F$8</f>
        <v>8.19</v>
      </c>
      <c r="F16" s="72">
        <f>'13'!$F$9</f>
        <v>7.37</v>
      </c>
      <c r="G16" s="72">
        <f>'13'!$F$10</f>
        <v>4.3499999999999996</v>
      </c>
      <c r="H16" s="72">
        <f>'13'!$F$11</f>
        <v>6.31</v>
      </c>
      <c r="I16" s="72" t="str">
        <f>'13'!$F$12</f>
        <v/>
      </c>
      <c r="J16" s="72">
        <f>'13'!$F$13</f>
        <v>8.7100000000000009</v>
      </c>
      <c r="K16" s="72">
        <f>'13'!$F$14</f>
        <v>5.36</v>
      </c>
      <c r="L16" s="72">
        <f>'13'!$F$15</f>
        <v>7.42</v>
      </c>
      <c r="M16" s="72">
        <f>'13'!$F$16</f>
        <v>6.38</v>
      </c>
      <c r="N16" s="72">
        <f>'13'!$F$17</f>
        <v>7.24</v>
      </c>
      <c r="O16" s="72">
        <f>'13'!$F$18</f>
        <v>13.82</v>
      </c>
      <c r="P16" s="72">
        <f>'13'!$F$19</f>
        <v>16.09</v>
      </c>
      <c r="Q16" s="72">
        <f>'13'!$F$20</f>
        <v>7.36</v>
      </c>
      <c r="R16" s="72">
        <f>'13'!$F$21</f>
        <v>8.8800000000000008</v>
      </c>
      <c r="S16" s="72">
        <f>'13'!$F$22</f>
        <v>9.39</v>
      </c>
      <c r="T16" s="72">
        <f>'13'!$F$23</f>
        <v>5.5</v>
      </c>
      <c r="U16" s="72" t="str">
        <f>'13'!$F$24</f>
        <v/>
      </c>
      <c r="V16" s="72" t="str">
        <f>'13'!$F$25</f>
        <v/>
      </c>
      <c r="W16" s="72">
        <f>'13'!$F$26</f>
        <v>10.43</v>
      </c>
      <c r="X16" s="72">
        <f>'13'!$F$27</f>
        <v>10.050000000000001</v>
      </c>
      <c r="Y16" s="72">
        <f>'13'!$F$28</f>
        <v>8.0299999999999994</v>
      </c>
      <c r="Z16" s="72">
        <f>'13'!$F$29</f>
        <v>6.21</v>
      </c>
      <c r="AA16" s="72">
        <f>'13'!$F$30</f>
        <v>9.41</v>
      </c>
      <c r="AB16" s="72" t="str">
        <f>'13'!$F$31</f>
        <v/>
      </c>
      <c r="AC16" s="72" t="str">
        <f>'13'!$F$32</f>
        <v/>
      </c>
      <c r="AD16" s="93">
        <f>'13'!$F$33</f>
        <v>6.97</v>
      </c>
    </row>
    <row r="17" spans="1:30" x14ac:dyDescent="0.2">
      <c r="A17" s="92" t="s">
        <v>1058</v>
      </c>
      <c r="B17" s="72">
        <f>'14'!$F$5</f>
        <v>12.63</v>
      </c>
      <c r="C17" s="72">
        <f>'14'!$F$6</f>
        <v>4.82</v>
      </c>
      <c r="D17" s="72">
        <f>'14'!$F$7</f>
        <v>6.52</v>
      </c>
      <c r="E17" s="72">
        <f>'14'!$F$8</f>
        <v>6.66</v>
      </c>
      <c r="F17" s="72">
        <f>'14'!$F$9</f>
        <v>22.92</v>
      </c>
      <c r="G17" s="72">
        <f>'14'!$F$10</f>
        <v>9.6</v>
      </c>
      <c r="H17" s="72">
        <f>'14'!$F$11</f>
        <v>6.86</v>
      </c>
      <c r="I17" s="72">
        <f>'14'!$F$12</f>
        <v>12.21</v>
      </c>
      <c r="J17" s="72">
        <f>'14'!$F$13</f>
        <v>4.3099999999999996</v>
      </c>
      <c r="K17" s="72">
        <f>'14'!$F$14</f>
        <v>6.91</v>
      </c>
      <c r="L17" s="72">
        <f>'14'!$F$15</f>
        <v>3.83</v>
      </c>
      <c r="M17" s="72">
        <f>'14'!$F$16</f>
        <v>6.08</v>
      </c>
      <c r="N17" s="72">
        <f>'14'!$F$17</f>
        <v>6.06</v>
      </c>
      <c r="O17" s="72">
        <f>'14'!$F$18</f>
        <v>11.34</v>
      </c>
      <c r="P17" s="72" t="str">
        <f>'14'!$F$19</f>
        <v/>
      </c>
      <c r="Q17" s="72">
        <f>'14'!$F$20</f>
        <v>6.43</v>
      </c>
      <c r="R17" s="72">
        <f>'14'!$F$21</f>
        <v>12.99</v>
      </c>
      <c r="S17" s="72">
        <f>'14'!$F$22</f>
        <v>8.1300000000000008</v>
      </c>
      <c r="T17" s="72">
        <f>'14'!$F$23</f>
        <v>5.68</v>
      </c>
      <c r="U17" s="72">
        <f>'14'!$F$24</f>
        <v>7.01</v>
      </c>
      <c r="V17" s="72">
        <f>'14'!$F$25</f>
        <v>3.47</v>
      </c>
      <c r="W17" s="72">
        <f>'14'!$F$26</f>
        <v>16.38</v>
      </c>
      <c r="X17" s="72">
        <f>'14'!$F$27</f>
        <v>7.99</v>
      </c>
      <c r="Y17" s="72">
        <f>'14'!$F$28</f>
        <v>4.53</v>
      </c>
      <c r="Z17" s="72">
        <f>'14'!$F$29</f>
        <v>5.89</v>
      </c>
      <c r="AA17" s="72">
        <f>'14'!$F$30</f>
        <v>8.85</v>
      </c>
      <c r="AB17" s="72" t="str">
        <f>'14'!$F$31</f>
        <v/>
      </c>
      <c r="AC17" s="72" t="str">
        <f>'14'!$F$32</f>
        <v/>
      </c>
      <c r="AD17" s="93">
        <f>'14'!$F$33</f>
        <v>6.42</v>
      </c>
    </row>
    <row r="18" spans="1:30" x14ac:dyDescent="0.2">
      <c r="A18" s="92" t="s">
        <v>1035</v>
      </c>
      <c r="B18" s="72" t="str">
        <f>'15'!$F$5</f>
        <v/>
      </c>
      <c r="C18" s="72" t="str">
        <f>'15'!$F$6</f>
        <v/>
      </c>
      <c r="D18" s="72" t="str">
        <f>'15'!$F$7</f>
        <v/>
      </c>
      <c r="E18" s="72" t="str">
        <f>'15'!$F$8</f>
        <v/>
      </c>
      <c r="F18" s="72" t="str">
        <f>'15'!$F$9</f>
        <v/>
      </c>
      <c r="G18" s="72" t="str">
        <f>'15'!$F$10</f>
        <v/>
      </c>
      <c r="H18" s="72" t="str">
        <f>'15'!$F$11</f>
        <v/>
      </c>
      <c r="I18" s="72" t="str">
        <f>'15'!$F$12</f>
        <v/>
      </c>
      <c r="J18" s="72" t="str">
        <f>'15'!$F$13</f>
        <v/>
      </c>
      <c r="K18" s="72" t="str">
        <f>'15'!$F$14</f>
        <v/>
      </c>
      <c r="L18" s="72" t="str">
        <f>'15'!$F$15</f>
        <v/>
      </c>
      <c r="M18" s="72" t="str">
        <f>'15'!$F$16</f>
        <v/>
      </c>
      <c r="N18" s="72" t="str">
        <f>'15'!$F$17</f>
        <v/>
      </c>
      <c r="O18" s="72" t="str">
        <f>'15'!$F$18</f>
        <v/>
      </c>
      <c r="P18" s="72" t="str">
        <f>'15'!$F$19</f>
        <v/>
      </c>
      <c r="Q18" s="72" t="str">
        <f>'15'!$F$20</f>
        <v/>
      </c>
      <c r="R18" s="72" t="str">
        <f>'15'!$F$21</f>
        <v/>
      </c>
      <c r="S18" s="72" t="str">
        <f>'15'!$F$22</f>
        <v/>
      </c>
      <c r="T18" s="72" t="str">
        <f>'15'!$F$23</f>
        <v/>
      </c>
      <c r="U18" s="72" t="str">
        <f>'15'!$F$24</f>
        <v/>
      </c>
      <c r="V18" s="72" t="str">
        <f>'15'!$F$25</f>
        <v/>
      </c>
      <c r="W18" s="72" t="str">
        <f>'15'!$F$26</f>
        <v/>
      </c>
      <c r="X18" s="72" t="str">
        <f>'15'!$F$27</f>
        <v/>
      </c>
      <c r="Y18" s="72" t="str">
        <f>'15'!$F$28</f>
        <v/>
      </c>
      <c r="Z18" s="72" t="str">
        <f>'15'!$F$29</f>
        <v/>
      </c>
      <c r="AA18" s="72" t="str">
        <f>'15'!$F$30</f>
        <v/>
      </c>
      <c r="AB18" s="72" t="str">
        <f>'15'!$F$31</f>
        <v/>
      </c>
      <c r="AC18" s="72" t="str">
        <f>'15'!$F$32</f>
        <v/>
      </c>
      <c r="AD18" s="93" t="str">
        <f>'15'!$F$33</f>
        <v/>
      </c>
    </row>
    <row r="19" spans="1:30" x14ac:dyDescent="0.2">
      <c r="A19" s="91" t="s">
        <v>1059</v>
      </c>
      <c r="B19" s="72" t="str">
        <f>'16'!$F$5</f>
        <v/>
      </c>
      <c r="C19" s="72">
        <f>'16'!$F$6</f>
        <v>8.85</v>
      </c>
      <c r="D19" s="72">
        <f>'16'!$F$7</f>
        <v>5.74</v>
      </c>
      <c r="E19" s="72">
        <f>'16'!$F$8</f>
        <v>17.52</v>
      </c>
      <c r="F19" s="72" t="str">
        <f>'16'!$F$9</f>
        <v/>
      </c>
      <c r="G19" s="72">
        <f>'16'!$F$10</f>
        <v>12.78</v>
      </c>
      <c r="H19" s="72">
        <f>'16'!$F$11</f>
        <v>6.47</v>
      </c>
      <c r="I19" s="72" t="str">
        <f>'16'!$F$12</f>
        <v/>
      </c>
      <c r="J19" s="72">
        <f>'16'!$F$13</f>
        <v>7.13</v>
      </c>
      <c r="K19" s="72">
        <f>'16'!$F$14</f>
        <v>9.36</v>
      </c>
      <c r="L19" s="72">
        <f>'16'!$F$15</f>
        <v>6.03</v>
      </c>
      <c r="M19" s="72">
        <f>'16'!$F$16</f>
        <v>6.31</v>
      </c>
      <c r="N19" s="72">
        <f>'16'!$F$17</f>
        <v>6.72</v>
      </c>
      <c r="O19" s="72">
        <f>'16'!$F$18</f>
        <v>10.16</v>
      </c>
      <c r="P19" s="72">
        <f>'16'!$F$19</f>
        <v>17.760000000000002</v>
      </c>
      <c r="Q19" s="72">
        <f>'16'!$F$20</f>
        <v>10.56</v>
      </c>
      <c r="R19" s="72">
        <f>'16'!$F$21</f>
        <v>11.9</v>
      </c>
      <c r="S19" s="72" t="str">
        <f>'16'!$F$22</f>
        <v/>
      </c>
      <c r="T19" s="72">
        <f>'16'!$F$23</f>
        <v>5.83</v>
      </c>
      <c r="U19" s="72">
        <f>'16'!$F$24</f>
        <v>6.92</v>
      </c>
      <c r="V19" s="72" t="str">
        <f>'16'!$F$25</f>
        <v/>
      </c>
      <c r="W19" s="72">
        <f>'16'!$F$26</f>
        <v>9.57</v>
      </c>
      <c r="X19" s="72">
        <f>'16'!$F$27</f>
        <v>7.29</v>
      </c>
      <c r="Y19" s="72">
        <f>'16'!$F$28</f>
        <v>6.85</v>
      </c>
      <c r="Z19" s="72">
        <f>'16'!$F$29</f>
        <v>6.03</v>
      </c>
      <c r="AA19" s="72">
        <f>'16'!$F$30</f>
        <v>7.03</v>
      </c>
      <c r="AB19" s="72" t="str">
        <f>'16'!$F$31</f>
        <v/>
      </c>
      <c r="AC19" s="72" t="str">
        <f>'16'!$F$32</f>
        <v/>
      </c>
      <c r="AD19" s="93">
        <f>'16'!$F$33</f>
        <v>7.09</v>
      </c>
    </row>
    <row r="20" spans="1:30" x14ac:dyDescent="0.2">
      <c r="A20" s="92" t="s">
        <v>1036</v>
      </c>
      <c r="B20" s="72">
        <f>'17'!$F$5</f>
        <v>8.2200000000000006</v>
      </c>
      <c r="C20" s="72">
        <f>'17'!$F$6</f>
        <v>4.8499999999999996</v>
      </c>
      <c r="D20" s="72">
        <f>'17'!$F$7</f>
        <v>6.34</v>
      </c>
      <c r="E20" s="72">
        <f>'17'!$F$8</f>
        <v>6.87</v>
      </c>
      <c r="F20" s="72" t="str">
        <f>'17'!$F$9</f>
        <v/>
      </c>
      <c r="G20" s="72">
        <f>'17'!$F$10</f>
        <v>10.35</v>
      </c>
      <c r="H20" s="72">
        <f>'17'!$F$11</f>
        <v>4.22</v>
      </c>
      <c r="I20" s="72">
        <f>'17'!$F$12</f>
        <v>5.66</v>
      </c>
      <c r="J20" s="72">
        <f>'17'!$F$13</f>
        <v>4.6399999999999997</v>
      </c>
      <c r="K20" s="72" t="str">
        <f>'17'!$F$14</f>
        <v/>
      </c>
      <c r="L20" s="72">
        <f>'17'!$F$15</f>
        <v>4.45</v>
      </c>
      <c r="M20" s="72">
        <f>'17'!$F$16</f>
        <v>4.5199999999999996</v>
      </c>
      <c r="N20" s="72">
        <f>'17'!$F$17</f>
        <v>5.01</v>
      </c>
      <c r="O20" s="72">
        <f>'17'!$F$18</f>
        <v>6.55</v>
      </c>
      <c r="P20" s="72" t="str">
        <f>'17'!$F$19</f>
        <v/>
      </c>
      <c r="Q20" s="72">
        <f>'17'!$F$20</f>
        <v>5.53</v>
      </c>
      <c r="R20" s="72" t="str">
        <f>'17'!$F$21</f>
        <v/>
      </c>
      <c r="S20" s="72">
        <f>'17'!$F$22</f>
        <v>5.19</v>
      </c>
      <c r="T20" s="72">
        <f>'17'!$F$23</f>
        <v>4.75</v>
      </c>
      <c r="U20" s="72" t="str">
        <f>'17'!$F$24</f>
        <v/>
      </c>
      <c r="V20" s="72" t="str">
        <f>'17'!$F$25</f>
        <v/>
      </c>
      <c r="W20" s="72">
        <f>'17'!$F$26</f>
        <v>4.04</v>
      </c>
      <c r="X20" s="72">
        <f>'17'!$F$27</f>
        <v>7.68</v>
      </c>
      <c r="Y20" s="72">
        <f>'17'!$F$28</f>
        <v>5.64</v>
      </c>
      <c r="Z20" s="72">
        <f>'17'!$F$29</f>
        <v>5.25</v>
      </c>
      <c r="AA20" s="72">
        <f>'17'!$F$30</f>
        <v>8.35</v>
      </c>
      <c r="AB20" s="72" t="str">
        <f>'17'!$F$31</f>
        <v/>
      </c>
      <c r="AC20" s="72" t="str">
        <f>'17'!$F$32</f>
        <v/>
      </c>
      <c r="AD20" s="93">
        <f>'17'!$F$33</f>
        <v>5.44</v>
      </c>
    </row>
    <row r="21" spans="1:30" x14ac:dyDescent="0.2">
      <c r="A21" s="92" t="s">
        <v>1037</v>
      </c>
      <c r="B21" s="72" t="str">
        <f>'18'!$F$5</f>
        <v/>
      </c>
      <c r="C21" s="72">
        <f>'18'!$F$6</f>
        <v>5.46</v>
      </c>
      <c r="D21" s="72">
        <f>'18'!$F$7</f>
        <v>7.89</v>
      </c>
      <c r="E21" s="72">
        <f>'18'!$F$8</f>
        <v>6.64</v>
      </c>
      <c r="F21" s="72" t="str">
        <f>'18'!$F$9</f>
        <v/>
      </c>
      <c r="G21" s="72" t="str">
        <f>'18'!$F$10</f>
        <v/>
      </c>
      <c r="H21" s="72">
        <f>'18'!$F$11</f>
        <v>7.35</v>
      </c>
      <c r="I21" s="72">
        <f>'18'!$F$12</f>
        <v>7.16</v>
      </c>
      <c r="J21" s="72">
        <f>'18'!$F$13</f>
        <v>6.43</v>
      </c>
      <c r="K21" s="72" t="str">
        <f>'18'!$F$14</f>
        <v/>
      </c>
      <c r="L21" s="72">
        <f>'18'!$F$15</f>
        <v>6.36</v>
      </c>
      <c r="M21" s="72">
        <f>'18'!$F$16</f>
        <v>6.63</v>
      </c>
      <c r="N21" s="72">
        <f>'18'!$F$17</f>
        <v>5.57</v>
      </c>
      <c r="O21" s="72">
        <f>'18'!$F$18</f>
        <v>10.47</v>
      </c>
      <c r="P21" s="72" t="str">
        <f>'18'!$F$19</f>
        <v/>
      </c>
      <c r="Q21" s="72">
        <f>'18'!$F$20</f>
        <v>8.23</v>
      </c>
      <c r="R21" s="72" t="str">
        <f>'18'!$F$21</f>
        <v/>
      </c>
      <c r="S21" s="72">
        <f>'18'!$F$22</f>
        <v>6.93</v>
      </c>
      <c r="T21" s="72">
        <f>'18'!$F$23</f>
        <v>6.16</v>
      </c>
      <c r="U21" s="72" t="str">
        <f>'18'!$F$24</f>
        <v/>
      </c>
      <c r="V21" s="72" t="str">
        <f>'18'!$F$25</f>
        <v/>
      </c>
      <c r="W21" s="72" t="str">
        <f>'18'!$F$26</f>
        <v/>
      </c>
      <c r="X21" s="72">
        <f>'18'!$F$27</f>
        <v>8.24</v>
      </c>
      <c r="Y21" s="72">
        <f>'18'!$F$28</f>
        <v>6.17</v>
      </c>
      <c r="Z21" s="72">
        <f>'18'!$F$29</f>
        <v>7.54</v>
      </c>
      <c r="AA21" s="72">
        <f>'18'!$F$30</f>
        <v>8.99</v>
      </c>
      <c r="AB21" s="72" t="str">
        <f>'18'!$F$31</f>
        <v/>
      </c>
      <c r="AC21" s="72" t="str">
        <f>'18'!$F$32</f>
        <v/>
      </c>
      <c r="AD21" s="93">
        <f>'18'!$F$33</f>
        <v>7.33</v>
      </c>
    </row>
    <row r="22" spans="1:30" x14ac:dyDescent="0.2">
      <c r="A22" s="92" t="s">
        <v>1067</v>
      </c>
      <c r="B22" s="72">
        <f>'19'!$F$5</f>
        <v>6.31</v>
      </c>
      <c r="C22" s="72">
        <f>'19'!$F$6</f>
        <v>8.0399999999999991</v>
      </c>
      <c r="D22" s="72">
        <f>'19'!$F$7</f>
        <v>5.23</v>
      </c>
      <c r="E22" s="72">
        <f>'19'!$F$8</f>
        <v>5.69</v>
      </c>
      <c r="F22" s="72" t="str">
        <f>'19'!$F$9</f>
        <v/>
      </c>
      <c r="G22" s="72" t="str">
        <f>'19'!$F$10</f>
        <v/>
      </c>
      <c r="H22" s="72">
        <f>'19'!$F$11</f>
        <v>6.53</v>
      </c>
      <c r="I22" s="72">
        <f>'19'!$F$12</f>
        <v>2.91</v>
      </c>
      <c r="J22" s="72">
        <f>'19'!$F$13</f>
        <v>5.32</v>
      </c>
      <c r="K22" s="72">
        <f>'19'!$F$14</f>
        <v>6.88</v>
      </c>
      <c r="L22" s="72">
        <f>'19'!$F$15</f>
        <v>5.32</v>
      </c>
      <c r="M22" s="72">
        <f>'19'!$F$16</f>
        <v>5.15</v>
      </c>
      <c r="N22" s="72">
        <f>'19'!$F$17</f>
        <v>5.16</v>
      </c>
      <c r="O22" s="72">
        <f>'19'!$F$18</f>
        <v>8.23</v>
      </c>
      <c r="P22" s="72" t="str">
        <f>'19'!$F$19</f>
        <v/>
      </c>
      <c r="Q22" s="72">
        <f>'19'!$F$20</f>
        <v>6.72</v>
      </c>
      <c r="R22" s="72" t="str">
        <f>'19'!$F$21</f>
        <v/>
      </c>
      <c r="S22" s="72">
        <f>'19'!$F$22</f>
        <v>4.5199999999999996</v>
      </c>
      <c r="T22" s="72">
        <f>'19'!$F$23</f>
        <v>4.37</v>
      </c>
      <c r="U22" s="72">
        <f>'19'!$F$24</f>
        <v>7.43</v>
      </c>
      <c r="V22" s="72">
        <f>'19'!$F$25</f>
        <v>2.4300000000000002</v>
      </c>
      <c r="W22" s="72">
        <f>'19'!$F$26</f>
        <v>7.63</v>
      </c>
      <c r="X22" s="72">
        <f>'19'!$F$27</f>
        <v>6.39</v>
      </c>
      <c r="Y22" s="72">
        <f>'19'!$F$28</f>
        <v>5.66</v>
      </c>
      <c r="Z22" s="72">
        <f>'19'!$F$29</f>
        <v>4.6500000000000004</v>
      </c>
      <c r="AA22" s="72">
        <f>'19'!$F$30</f>
        <v>6.75</v>
      </c>
      <c r="AB22" s="72" t="str">
        <f>'19'!$F$31</f>
        <v/>
      </c>
      <c r="AC22" s="72" t="str">
        <f>'19'!$F$32</f>
        <v/>
      </c>
      <c r="AD22" s="93">
        <f>'19'!$F$33</f>
        <v>5.7</v>
      </c>
    </row>
    <row r="23" spans="1:30" x14ac:dyDescent="0.2">
      <c r="A23" s="92" t="s">
        <v>1038</v>
      </c>
      <c r="B23" s="72">
        <f>'20'!$F$5</f>
        <v>7.28</v>
      </c>
      <c r="C23" s="72">
        <f>'20'!$F$6</f>
        <v>7.53</v>
      </c>
      <c r="D23" s="72">
        <f>'20'!$F$7</f>
        <v>5.37</v>
      </c>
      <c r="E23" s="72">
        <f>'20'!$F$8</f>
        <v>2.98</v>
      </c>
      <c r="F23" s="72" t="str">
        <f>'20'!$F$9</f>
        <v/>
      </c>
      <c r="G23" s="72" t="str">
        <f>'20'!$F$10</f>
        <v/>
      </c>
      <c r="H23" s="72">
        <f>'20'!$F$11</f>
        <v>5.66</v>
      </c>
      <c r="I23" s="72" t="str">
        <f>'20'!$F$12</f>
        <v/>
      </c>
      <c r="J23" s="72">
        <f>'20'!$F$13</f>
        <v>4.26</v>
      </c>
      <c r="K23" s="72" t="str">
        <f>'20'!$F$14</f>
        <v/>
      </c>
      <c r="L23" s="72">
        <f>'20'!$F$15</f>
        <v>6.96</v>
      </c>
      <c r="M23" s="72">
        <f>'20'!$F$16</f>
        <v>4.28</v>
      </c>
      <c r="N23" s="72">
        <f>'20'!$F$17</f>
        <v>4.84</v>
      </c>
      <c r="O23" s="72" t="str">
        <f>'20'!$F$18</f>
        <v/>
      </c>
      <c r="P23" s="72" t="str">
        <f>'20'!$F$19</f>
        <v/>
      </c>
      <c r="Q23" s="72">
        <f>'20'!$F$20</f>
        <v>4.28</v>
      </c>
      <c r="R23" s="72" t="str">
        <f>'20'!$F$21</f>
        <v/>
      </c>
      <c r="S23" s="72">
        <f>'20'!$F$22</f>
        <v>6.11</v>
      </c>
      <c r="T23" s="72">
        <f>'20'!$F$23</f>
        <v>4.03</v>
      </c>
      <c r="U23" s="72">
        <f>'20'!$F$24</f>
        <v>6.09</v>
      </c>
      <c r="V23" s="72" t="str">
        <f>'20'!$F$25</f>
        <v/>
      </c>
      <c r="W23" s="72">
        <f>'20'!$F$26</f>
        <v>7.4</v>
      </c>
      <c r="X23" s="72">
        <f>'20'!$F$27</f>
        <v>5.95</v>
      </c>
      <c r="Y23" s="72">
        <f>'20'!$F$28</f>
        <v>5.47</v>
      </c>
      <c r="Z23" s="72">
        <f>'20'!$F$29</f>
        <v>5.48</v>
      </c>
      <c r="AA23" s="72">
        <f>'20'!$F$30</f>
        <v>5.38</v>
      </c>
      <c r="AB23" s="72" t="str">
        <f>'20'!$F$31</f>
        <v/>
      </c>
      <c r="AC23" s="72" t="str">
        <f>'20'!$F$32</f>
        <v/>
      </c>
      <c r="AD23" s="93">
        <f>'20'!$F$33</f>
        <v>5.12</v>
      </c>
    </row>
    <row r="24" spans="1:30" x14ac:dyDescent="0.2">
      <c r="A24" s="92" t="s">
        <v>1060</v>
      </c>
      <c r="B24" s="72">
        <f>'21'!$F$5</f>
        <v>5.78</v>
      </c>
      <c r="C24" s="72">
        <f>'21'!$F$6</f>
        <v>5.4</v>
      </c>
      <c r="D24" s="72">
        <f>'21'!$F$7</f>
        <v>5.95</v>
      </c>
      <c r="E24" s="72">
        <f>'21'!$F$8</f>
        <v>7.04</v>
      </c>
      <c r="F24" s="72" t="str">
        <f>'21'!$F$9</f>
        <v/>
      </c>
      <c r="G24" s="72">
        <f>'21'!$F$10</f>
        <v>8.27</v>
      </c>
      <c r="H24" s="72">
        <f>'21'!$F$11</f>
        <v>7.55</v>
      </c>
      <c r="I24" s="72">
        <f>'21'!$F$12</f>
        <v>6.67</v>
      </c>
      <c r="J24" s="72">
        <f>'21'!$F$13</f>
        <v>6.62</v>
      </c>
      <c r="K24" s="72">
        <f>'21'!$F$14</f>
        <v>7.4</v>
      </c>
      <c r="L24" s="72">
        <f>'21'!$F$15</f>
        <v>7.46</v>
      </c>
      <c r="M24" s="72">
        <f>'21'!$F$16</f>
        <v>6.14</v>
      </c>
      <c r="N24" s="72">
        <f>'21'!$F$17</f>
        <v>6.84</v>
      </c>
      <c r="O24" s="72">
        <f>'21'!$F$18</f>
        <v>11.6</v>
      </c>
      <c r="P24" s="72" t="str">
        <f>'21'!$F$19</f>
        <v/>
      </c>
      <c r="Q24" s="72">
        <f>'21'!$F$20</f>
        <v>8.77</v>
      </c>
      <c r="R24" s="72">
        <f>'21'!$F$21</f>
        <v>11.42</v>
      </c>
      <c r="S24" s="72">
        <f>'21'!$F$22</f>
        <v>8.2799999999999994</v>
      </c>
      <c r="T24" s="72">
        <f>'21'!$F$23</f>
        <v>5.82</v>
      </c>
      <c r="U24" s="72">
        <f>'21'!$F$24</f>
        <v>11.11</v>
      </c>
      <c r="V24" s="72">
        <f>'21'!$F$25</f>
        <v>10.23</v>
      </c>
      <c r="W24" s="72">
        <f>'21'!$F$26</f>
        <v>4.54</v>
      </c>
      <c r="X24" s="72">
        <f>'21'!$F$27</f>
        <v>5.76</v>
      </c>
      <c r="Y24" s="72">
        <f>'21'!$F$28</f>
        <v>6.59</v>
      </c>
      <c r="Z24" s="72">
        <f>'21'!$F$29</f>
        <v>5.9</v>
      </c>
      <c r="AA24" s="72">
        <f>'21'!$F$30</f>
        <v>7.95</v>
      </c>
      <c r="AB24" s="72" t="str">
        <f>'21'!$F$31</f>
        <v/>
      </c>
      <c r="AC24" s="72" t="str">
        <f>'21'!$F$32</f>
        <v/>
      </c>
      <c r="AD24" s="93">
        <f>'21'!$F$33</f>
        <v>6.71</v>
      </c>
    </row>
    <row r="25" spans="1:30" x14ac:dyDescent="0.2">
      <c r="A25" s="92" t="s">
        <v>1039</v>
      </c>
      <c r="B25" s="72">
        <f>'22'!$F$5</f>
        <v>4.76</v>
      </c>
      <c r="C25" s="72">
        <f>'22'!$F$6</f>
        <v>4.96</v>
      </c>
      <c r="D25" s="72">
        <f>'22'!$F$7</f>
        <v>4.9800000000000004</v>
      </c>
      <c r="E25" s="72">
        <f>'22'!$F$8</f>
        <v>4.01</v>
      </c>
      <c r="F25" s="72">
        <f>'22'!$F$9</f>
        <v>3.26</v>
      </c>
      <c r="G25" s="72">
        <f>'22'!$F$10</f>
        <v>3.88</v>
      </c>
      <c r="H25" s="72">
        <f>'22'!$F$11</f>
        <v>7.44</v>
      </c>
      <c r="I25" s="72">
        <f>'22'!$F$12</f>
        <v>3.28</v>
      </c>
      <c r="J25" s="72">
        <f>'22'!$F$13</f>
        <v>3.52</v>
      </c>
      <c r="K25" s="72" t="str">
        <f>'22'!$F$14</f>
        <v/>
      </c>
      <c r="L25" s="72">
        <f>'22'!$F$15</f>
        <v>6.67</v>
      </c>
      <c r="M25" s="72">
        <f>'22'!$F$16</f>
        <v>3.85</v>
      </c>
      <c r="N25" s="72">
        <f>'22'!$F$17</f>
        <v>2.4300000000000002</v>
      </c>
      <c r="O25" s="72">
        <f>'22'!$F$18</f>
        <v>5.39</v>
      </c>
      <c r="P25" s="72">
        <f>'22'!$F$19</f>
        <v>12.05</v>
      </c>
      <c r="Q25" s="72">
        <f>'22'!$F$20</f>
        <v>4.79</v>
      </c>
      <c r="R25" s="72">
        <f>'22'!$F$21</f>
        <v>6.88</v>
      </c>
      <c r="S25" s="72">
        <f>'22'!$F$22</f>
        <v>11.84</v>
      </c>
      <c r="T25" s="72">
        <f>'22'!$F$23</f>
        <v>4.3099999999999996</v>
      </c>
      <c r="U25" s="72">
        <f>'22'!$F$24</f>
        <v>2.25</v>
      </c>
      <c r="V25" s="72">
        <f>'22'!$F$25</f>
        <v>2.77</v>
      </c>
      <c r="W25" s="72">
        <f>'22'!$F$26</f>
        <v>3.95</v>
      </c>
      <c r="X25" s="72">
        <f>'22'!$F$27</f>
        <v>9.74</v>
      </c>
      <c r="Y25" s="72">
        <f>'22'!$F$28</f>
        <v>2.79</v>
      </c>
      <c r="Z25" s="72">
        <f>'22'!$F$29</f>
        <v>4.83</v>
      </c>
      <c r="AA25" s="72">
        <f>'22'!$F$30</f>
        <v>7.9</v>
      </c>
      <c r="AB25" s="72" t="str">
        <f>'22'!$F$31</f>
        <v/>
      </c>
      <c r="AC25" s="72" t="str">
        <f>'22'!$F$32</f>
        <v/>
      </c>
      <c r="AD25" s="93">
        <f>'22'!$F$33</f>
        <v>4.6500000000000004</v>
      </c>
    </row>
    <row r="26" spans="1:30" x14ac:dyDescent="0.2">
      <c r="A26" s="92" t="s">
        <v>1040</v>
      </c>
      <c r="B26" s="72" t="str">
        <f>'23'!$F$5</f>
        <v/>
      </c>
      <c r="C26" s="72" t="str">
        <f>'23'!$F$6</f>
        <v/>
      </c>
      <c r="D26" s="72" t="str">
        <f>'23'!$F$7</f>
        <v/>
      </c>
      <c r="E26" s="72" t="str">
        <f>'23'!$F$8</f>
        <v/>
      </c>
      <c r="F26" s="72" t="str">
        <f>'23'!$F$9</f>
        <v/>
      </c>
      <c r="G26" s="72" t="str">
        <f>'23'!$F$10</f>
        <v/>
      </c>
      <c r="H26" s="72" t="str">
        <f>'23'!$F$11</f>
        <v/>
      </c>
      <c r="I26" s="72" t="str">
        <f>'23'!$F$12</f>
        <v/>
      </c>
      <c r="J26" s="72" t="str">
        <f>'23'!$F$13</f>
        <v/>
      </c>
      <c r="K26" s="72" t="str">
        <f>'23'!$F$14</f>
        <v/>
      </c>
      <c r="L26" s="72" t="str">
        <f>'23'!$F$15</f>
        <v/>
      </c>
      <c r="M26" s="72" t="str">
        <f>'23'!$F$16</f>
        <v/>
      </c>
      <c r="N26" s="72" t="str">
        <f>'23'!$F$17</f>
        <v/>
      </c>
      <c r="O26" s="72" t="str">
        <f>'23'!$F$18</f>
        <v/>
      </c>
      <c r="P26" s="72" t="str">
        <f>'23'!$F$19</f>
        <v/>
      </c>
      <c r="Q26" s="72" t="str">
        <f>'23'!$F$20</f>
        <v/>
      </c>
      <c r="R26" s="72" t="str">
        <f>'23'!$F$21</f>
        <v/>
      </c>
      <c r="S26" s="72" t="str">
        <f>'23'!$F$22</f>
        <v/>
      </c>
      <c r="T26" s="72" t="str">
        <f>'23'!$F$23</f>
        <v/>
      </c>
      <c r="U26" s="72" t="str">
        <f>'23'!$F$24</f>
        <v/>
      </c>
      <c r="V26" s="72" t="str">
        <f>'23'!$F$25</f>
        <v/>
      </c>
      <c r="W26" s="72" t="str">
        <f>'23'!$F$26</f>
        <v/>
      </c>
      <c r="X26" s="72" t="str">
        <f>'23'!$F$27</f>
        <v/>
      </c>
      <c r="Y26" s="72" t="str">
        <f>'23'!$F$28</f>
        <v/>
      </c>
      <c r="Z26" s="72" t="str">
        <f>'23'!$F$29</f>
        <v/>
      </c>
      <c r="AA26" s="72" t="str">
        <f>'23'!$F$30</f>
        <v/>
      </c>
      <c r="AB26" s="72" t="str">
        <f>'23'!$F$31</f>
        <v/>
      </c>
      <c r="AC26" s="72" t="str">
        <f>'23'!$F$32</f>
        <v/>
      </c>
      <c r="AD26" s="93" t="str">
        <f>'23'!$F$33</f>
        <v/>
      </c>
    </row>
    <row r="27" spans="1:30" x14ac:dyDescent="0.2">
      <c r="A27" s="92" t="s">
        <v>1024</v>
      </c>
      <c r="B27" s="72" t="str">
        <f>'24'!$F$5</f>
        <v/>
      </c>
      <c r="C27" s="72">
        <f>'24'!$F$6</f>
        <v>6.76</v>
      </c>
      <c r="D27" s="72">
        <f>'24'!$F$7</f>
        <v>7.01</v>
      </c>
      <c r="E27" s="72">
        <f>'24'!$F$8</f>
        <v>6.79</v>
      </c>
      <c r="F27" s="72" t="str">
        <f>'24'!$F$9</f>
        <v/>
      </c>
      <c r="G27" s="72" t="str">
        <f>'24'!$F$10</f>
        <v/>
      </c>
      <c r="H27" s="72">
        <f>'24'!$F$11</f>
        <v>6.05</v>
      </c>
      <c r="I27" s="72">
        <f>'24'!$F$12</f>
        <v>11.22</v>
      </c>
      <c r="J27" s="72">
        <f>'24'!$F$13</f>
        <v>6.3</v>
      </c>
      <c r="K27" s="72" t="str">
        <f>'24'!$F$14</f>
        <v/>
      </c>
      <c r="L27" s="72">
        <f>'24'!$F$15</f>
        <v>5.27</v>
      </c>
      <c r="M27" s="72">
        <f>'24'!$F$16</f>
        <v>6.08</v>
      </c>
      <c r="N27" s="72">
        <f>'24'!$F$17</f>
        <v>21.97</v>
      </c>
      <c r="O27" s="72">
        <f>'24'!$F$18</f>
        <v>12.94</v>
      </c>
      <c r="P27" s="72" t="str">
        <f>'24'!$F$19</f>
        <v/>
      </c>
      <c r="Q27" s="72">
        <f>'24'!$F$20</f>
        <v>6.16</v>
      </c>
      <c r="R27" s="72" t="str">
        <f>'24'!$F$21</f>
        <v/>
      </c>
      <c r="S27" s="72">
        <f>'24'!$F$22</f>
        <v>10.07</v>
      </c>
      <c r="T27" s="72">
        <f>'24'!$F$23</f>
        <v>5.5</v>
      </c>
      <c r="U27" s="72">
        <f>'24'!$F$24</f>
        <v>11.94</v>
      </c>
      <c r="V27" s="72" t="str">
        <f>'24'!$F$25</f>
        <v/>
      </c>
      <c r="W27" s="72">
        <f>'24'!$F$26</f>
        <v>7.85</v>
      </c>
      <c r="X27" s="72">
        <f>'24'!$F$27</f>
        <v>5.69</v>
      </c>
      <c r="Y27" s="72">
        <f>'24'!$F$28</f>
        <v>4.8</v>
      </c>
      <c r="Z27" s="72">
        <f>'24'!$F$29</f>
        <v>5.34</v>
      </c>
      <c r="AA27" s="72">
        <f>'24'!$F$30</f>
        <v>8.58</v>
      </c>
      <c r="AB27" s="72" t="str">
        <f>'24'!$F$31</f>
        <v/>
      </c>
      <c r="AC27" s="72" t="str">
        <f>'24'!$F$32</f>
        <v/>
      </c>
      <c r="AD27" s="93">
        <f>'24'!$F$33</f>
        <v>6.46</v>
      </c>
    </row>
    <row r="28" spans="1:30" x14ac:dyDescent="0.2">
      <c r="A28" s="92" t="s">
        <v>1041</v>
      </c>
      <c r="B28" s="72">
        <f>'25'!$F$5</f>
        <v>6.03</v>
      </c>
      <c r="C28" s="72">
        <f>'25'!$F$6</f>
        <v>6.23</v>
      </c>
      <c r="D28" s="72">
        <f>'25'!$F$7</f>
        <v>9.4700000000000006</v>
      </c>
      <c r="E28" s="72">
        <f>'25'!$F$8</f>
        <v>8.18</v>
      </c>
      <c r="F28" s="72">
        <f>'25'!$F$9</f>
        <v>11.08</v>
      </c>
      <c r="G28" s="72">
        <f>'25'!$F$10</f>
        <v>19.8</v>
      </c>
      <c r="H28" s="72">
        <f>'25'!$F$11</f>
        <v>7.07</v>
      </c>
      <c r="I28" s="72">
        <f>'25'!$F$12</f>
        <v>6.53</v>
      </c>
      <c r="J28" s="72">
        <f>'25'!$F$13</f>
        <v>6.98</v>
      </c>
      <c r="K28" s="72" t="str">
        <f>'25'!$F$14</f>
        <v/>
      </c>
      <c r="L28" s="72">
        <f>'25'!$F$15</f>
        <v>6.76</v>
      </c>
      <c r="M28" s="72">
        <f>'25'!$F$16</f>
        <v>8.91</v>
      </c>
      <c r="N28" s="72">
        <f>'25'!$F$17</f>
        <v>8.43</v>
      </c>
      <c r="O28" s="72">
        <f>'25'!$F$18</f>
        <v>12.68</v>
      </c>
      <c r="P28" s="72" t="str">
        <f>'25'!$F$19</f>
        <v/>
      </c>
      <c r="Q28" s="72">
        <f>'25'!$F$20</f>
        <v>7.28</v>
      </c>
      <c r="R28" s="72" t="str">
        <f>'25'!$F$21</f>
        <v/>
      </c>
      <c r="S28" s="72">
        <f>'25'!$F$22</f>
        <v>8.02</v>
      </c>
      <c r="T28" s="72">
        <f>'25'!$F$23</f>
        <v>7.33</v>
      </c>
      <c r="U28" s="72">
        <f>'25'!$F$24</f>
        <v>6.06</v>
      </c>
      <c r="V28" s="72">
        <f>'25'!$F$25</f>
        <v>11</v>
      </c>
      <c r="W28" s="72">
        <f>'25'!$F$26</f>
        <v>8.68</v>
      </c>
      <c r="X28" s="72">
        <f>'25'!$F$27</f>
        <v>8.2799999999999994</v>
      </c>
      <c r="Y28" s="72">
        <f>'25'!$F$28</f>
        <v>7.48</v>
      </c>
      <c r="Z28" s="72">
        <f>'25'!$F$29</f>
        <v>8.2799999999999994</v>
      </c>
      <c r="AA28" s="72">
        <f>'25'!$F$30</f>
        <v>19.850000000000001</v>
      </c>
      <c r="AB28" s="72" t="str">
        <f>'25'!$F$31</f>
        <v/>
      </c>
      <c r="AC28" s="72" t="str">
        <f>'25'!$F$32</f>
        <v/>
      </c>
      <c r="AD28" s="93">
        <f>'25'!$F$33</f>
        <v>8.02</v>
      </c>
    </row>
    <row r="29" spans="1:30" x14ac:dyDescent="0.2">
      <c r="A29" s="91" t="s">
        <v>1042</v>
      </c>
      <c r="B29" s="72">
        <f>'26'!$F$5</f>
        <v>11.2</v>
      </c>
      <c r="C29" s="72">
        <f>'26'!$F$6</f>
        <v>7.34</v>
      </c>
      <c r="D29" s="72">
        <f>'26'!$F$7</f>
        <v>6.75</v>
      </c>
      <c r="E29" s="72">
        <f>'26'!$F$8</f>
        <v>6.92</v>
      </c>
      <c r="F29" s="72">
        <f>'26'!$F$9</f>
        <v>17.3</v>
      </c>
      <c r="G29" s="72">
        <f>'26'!$F$10</f>
        <v>10.1</v>
      </c>
      <c r="H29" s="72">
        <f>'26'!$F$11</f>
        <v>7.06</v>
      </c>
      <c r="I29" s="72">
        <f>'26'!$F$12</f>
        <v>7.89</v>
      </c>
      <c r="J29" s="72">
        <f>'26'!$F$13</f>
        <v>6.88</v>
      </c>
      <c r="K29" s="72">
        <f>'26'!$F$14</f>
        <v>8.8000000000000007</v>
      </c>
      <c r="L29" s="72">
        <f>'26'!$F$15</f>
        <v>7.83</v>
      </c>
      <c r="M29" s="72">
        <f>'26'!$F$16</f>
        <v>6.63</v>
      </c>
      <c r="N29" s="72">
        <f>'26'!$F$17</f>
        <v>6.3</v>
      </c>
      <c r="O29" s="72">
        <f>'26'!$F$18</f>
        <v>9.64</v>
      </c>
      <c r="P29" s="72" t="str">
        <f>'26'!$F$19</f>
        <v/>
      </c>
      <c r="Q29" s="72">
        <f>'26'!$F$20</f>
        <v>7.38</v>
      </c>
      <c r="R29" s="72">
        <f>'26'!$F$21</f>
        <v>8.81</v>
      </c>
      <c r="S29" s="72">
        <f>'26'!$F$22</f>
        <v>6.97</v>
      </c>
      <c r="T29" s="72">
        <f>'26'!$F$23</f>
        <v>6.07</v>
      </c>
      <c r="U29" s="72">
        <f>'26'!$F$24</f>
        <v>8.27</v>
      </c>
      <c r="V29" s="72" t="str">
        <f>'26'!$F$25</f>
        <v/>
      </c>
      <c r="W29" s="72">
        <f>'26'!$F$26</f>
        <v>8.73</v>
      </c>
      <c r="X29" s="72">
        <f>'26'!$F$27</f>
        <v>7.22</v>
      </c>
      <c r="Y29" s="72">
        <f>'26'!$F$28</f>
        <v>5.7</v>
      </c>
      <c r="Z29" s="72">
        <f>'26'!$F$29</f>
        <v>6.36</v>
      </c>
      <c r="AA29" s="72">
        <f>'26'!$F$30</f>
        <v>8.4700000000000006</v>
      </c>
      <c r="AB29" s="72" t="str">
        <f>'26'!$F$31</f>
        <v/>
      </c>
      <c r="AC29" s="72" t="str">
        <f>'26'!$F$32</f>
        <v/>
      </c>
      <c r="AD29" s="93">
        <f>'26'!$F$33</f>
        <v>6.82</v>
      </c>
    </row>
    <row r="30" spans="1:30" x14ac:dyDescent="0.2">
      <c r="A30" s="92" t="s">
        <v>1021</v>
      </c>
      <c r="B30" s="72" t="str">
        <f>'27'!$F$5</f>
        <v/>
      </c>
      <c r="C30" s="72">
        <f>'27'!$F$6</f>
        <v>10.61</v>
      </c>
      <c r="D30" s="72">
        <f>'27'!$F$7</f>
        <v>4.92</v>
      </c>
      <c r="E30" s="72">
        <f>'27'!$F$8</f>
        <v>5.34</v>
      </c>
      <c r="F30" s="72" t="str">
        <f>'27'!$F$9</f>
        <v/>
      </c>
      <c r="G30" s="72">
        <f>'27'!$F$10</f>
        <v>7.36</v>
      </c>
      <c r="H30" s="72">
        <f>'27'!$F$11</f>
        <v>7.29</v>
      </c>
      <c r="I30" s="72">
        <f>'27'!$F$12</f>
        <v>10.33</v>
      </c>
      <c r="J30" s="72">
        <f>'27'!$F$13</f>
        <v>9.33</v>
      </c>
      <c r="K30" s="72">
        <f>'27'!$F$14</f>
        <v>11.69</v>
      </c>
      <c r="L30" s="72">
        <f>'27'!$F$15</f>
        <v>3.82</v>
      </c>
      <c r="M30" s="72">
        <f>'27'!$F$16</f>
        <v>5.53</v>
      </c>
      <c r="N30" s="72">
        <f>'27'!$F$17</f>
        <v>4.58</v>
      </c>
      <c r="O30" s="72">
        <f>'27'!$F$18</f>
        <v>9.5399999999999991</v>
      </c>
      <c r="P30" s="72" t="str">
        <f>'27'!$F$19</f>
        <v/>
      </c>
      <c r="Q30" s="72">
        <f>'27'!$F$20</f>
        <v>7.42</v>
      </c>
      <c r="R30" s="72">
        <f>'27'!$F$21</f>
        <v>8.68</v>
      </c>
      <c r="S30" s="72">
        <f>'27'!$F$22</f>
        <v>4.3600000000000003</v>
      </c>
      <c r="T30" s="72">
        <f>'27'!$F$23</f>
        <v>5.17</v>
      </c>
      <c r="U30" s="72" t="str">
        <f>'27'!$F$24</f>
        <v/>
      </c>
      <c r="V30" s="72" t="str">
        <f>'27'!$F$25</f>
        <v/>
      </c>
      <c r="W30" s="72" t="str">
        <f>'27'!$F$26</f>
        <v/>
      </c>
      <c r="X30" s="72">
        <f>'27'!$F$27</f>
        <v>7.11</v>
      </c>
      <c r="Y30" s="72">
        <f>'27'!$F$28</f>
        <v>5.5</v>
      </c>
      <c r="Z30" s="72">
        <f>'27'!$F$29</f>
        <v>3.83</v>
      </c>
      <c r="AA30" s="72">
        <f>'27'!$F$30</f>
        <v>8.66</v>
      </c>
      <c r="AB30" s="72" t="str">
        <f>'27'!$F$31</f>
        <v/>
      </c>
      <c r="AC30" s="72" t="str">
        <f>'27'!$F$32</f>
        <v/>
      </c>
      <c r="AD30" s="93">
        <f>'27'!$F$33</f>
        <v>6.12</v>
      </c>
    </row>
    <row r="31" spans="1:30" x14ac:dyDescent="0.2">
      <c r="A31" s="92" t="s">
        <v>1043</v>
      </c>
      <c r="B31" s="72">
        <f>'28'!$F$5</f>
        <v>15.88</v>
      </c>
      <c r="C31" s="72">
        <f>'28'!$F$6</f>
        <v>6.81</v>
      </c>
      <c r="D31" s="72">
        <f>'28'!$F$7</f>
        <v>5.61</v>
      </c>
      <c r="E31" s="72">
        <f>'28'!$F$8</f>
        <v>5.42</v>
      </c>
      <c r="F31" s="72" t="str">
        <f>'28'!$F$9</f>
        <v/>
      </c>
      <c r="G31" s="72">
        <f>'28'!$F$10</f>
        <v>9.67</v>
      </c>
      <c r="H31" s="72">
        <f>'28'!$F$11</f>
        <v>5.23</v>
      </c>
      <c r="I31" s="72">
        <f>'28'!$F$12</f>
        <v>6.38</v>
      </c>
      <c r="J31" s="72">
        <f>'28'!$F$13</f>
        <v>6.22</v>
      </c>
      <c r="K31" s="72" t="str">
        <f>'28'!$F$14</f>
        <v/>
      </c>
      <c r="L31" s="72">
        <f>'28'!$F$15</f>
        <v>10.94</v>
      </c>
      <c r="M31" s="72">
        <f>'28'!$F$16</f>
        <v>6.98</v>
      </c>
      <c r="N31" s="72">
        <f>'28'!$F$17</f>
        <v>5.28</v>
      </c>
      <c r="O31" s="72">
        <f>'28'!$F$18</f>
        <v>9.5500000000000007</v>
      </c>
      <c r="P31" s="72" t="str">
        <f>'28'!$F$19</f>
        <v/>
      </c>
      <c r="Q31" s="72">
        <f>'28'!$F$20</f>
        <v>7.76</v>
      </c>
      <c r="R31" s="72">
        <f>'28'!$F$21</f>
        <v>10.16</v>
      </c>
      <c r="S31" s="72">
        <f>'28'!$F$22</f>
        <v>13.67</v>
      </c>
      <c r="T31" s="72">
        <f>'28'!$F$23</f>
        <v>5.42</v>
      </c>
      <c r="U31" s="72">
        <f>'28'!$F$24</f>
        <v>7.57</v>
      </c>
      <c r="V31" s="72">
        <f>'28'!$F$25</f>
        <v>10.56</v>
      </c>
      <c r="W31" s="72" t="str">
        <f>'28'!$F$26</f>
        <v/>
      </c>
      <c r="X31" s="72">
        <f>'28'!$F$27</f>
        <v>8.64</v>
      </c>
      <c r="Y31" s="72">
        <f>'28'!$F$28</f>
        <v>7.04</v>
      </c>
      <c r="Z31" s="72">
        <f>'28'!$F$29</f>
        <v>5.84</v>
      </c>
      <c r="AA31" s="72">
        <f>'28'!$F$30</f>
        <v>8.4600000000000009</v>
      </c>
      <c r="AB31" s="72" t="str">
        <f>'28'!$F$31</f>
        <v/>
      </c>
      <c r="AC31" s="72" t="str">
        <f>'28'!$F$32</f>
        <v/>
      </c>
      <c r="AD31" s="93">
        <f>'28'!$F$33</f>
        <v>6.77</v>
      </c>
    </row>
    <row r="32" spans="1:30" x14ac:dyDescent="0.2">
      <c r="A32" s="92" t="s">
        <v>1044</v>
      </c>
      <c r="B32" s="72">
        <f>'29'!$F$5</f>
        <v>3.26</v>
      </c>
      <c r="C32" s="72" t="str">
        <f>'29'!$F$6</f>
        <v/>
      </c>
      <c r="D32" s="72">
        <f>'29'!$F$7</f>
        <v>4.63</v>
      </c>
      <c r="E32" s="72">
        <f>'29'!$F$8</f>
        <v>6.39</v>
      </c>
      <c r="F32" s="72">
        <f>'29'!$F$9</f>
        <v>30.55</v>
      </c>
      <c r="G32" s="72">
        <f>'29'!$F$10</f>
        <v>31.35</v>
      </c>
      <c r="H32" s="72">
        <f>'29'!$F$11</f>
        <v>4.38</v>
      </c>
      <c r="I32" s="72" t="str">
        <f>'29'!$F$12</f>
        <v/>
      </c>
      <c r="J32" s="72">
        <f>'29'!$F$13</f>
        <v>3.81</v>
      </c>
      <c r="K32" s="72">
        <f>'29'!$F$14</f>
        <v>4.25</v>
      </c>
      <c r="L32" s="72">
        <f>'29'!$F$15</f>
        <v>6.15</v>
      </c>
      <c r="M32" s="72">
        <f>'29'!$F$16</f>
        <v>4.5</v>
      </c>
      <c r="N32" s="72">
        <f>'29'!$F$17</f>
        <v>3.71</v>
      </c>
      <c r="O32" s="72">
        <f>'29'!$F$18</f>
        <v>13.21</v>
      </c>
      <c r="P32" s="72" t="str">
        <f>'29'!$F$19</f>
        <v/>
      </c>
      <c r="Q32" s="72">
        <f>'29'!$F$20</f>
        <v>5.0199999999999996</v>
      </c>
      <c r="R32" s="72" t="str">
        <f>'29'!$F$21</f>
        <v/>
      </c>
      <c r="S32" s="72">
        <f>'29'!$F$22</f>
        <v>4.71</v>
      </c>
      <c r="T32" s="72">
        <f>'29'!$F$23</f>
        <v>4.54</v>
      </c>
      <c r="U32" s="72" t="str">
        <f>'29'!$F$24</f>
        <v/>
      </c>
      <c r="V32" s="72">
        <f>'29'!$F$25</f>
        <v>16.579999999999998</v>
      </c>
      <c r="W32" s="72">
        <f>'29'!$F$26</f>
        <v>2.84</v>
      </c>
      <c r="X32" s="72">
        <f>'29'!$F$27</f>
        <v>5.64</v>
      </c>
      <c r="Y32" s="72">
        <f>'29'!$F$28</f>
        <v>4.1100000000000003</v>
      </c>
      <c r="Z32" s="72">
        <f>'29'!$F$29</f>
        <v>3.94</v>
      </c>
      <c r="AA32" s="72">
        <f>'29'!$F$30</f>
        <v>6.09</v>
      </c>
      <c r="AB32" s="72" t="str">
        <f>'29'!$F$31</f>
        <v/>
      </c>
      <c r="AC32" s="72" t="str">
        <f>'29'!$F$32</f>
        <v/>
      </c>
      <c r="AD32" s="93">
        <f>'29'!$F$33</f>
        <v>5.17</v>
      </c>
    </row>
    <row r="33" spans="1:30" x14ac:dyDescent="0.2">
      <c r="A33" s="92" t="s">
        <v>1045</v>
      </c>
      <c r="B33" s="72">
        <f>'30'!$F$5</f>
        <v>8.06</v>
      </c>
      <c r="C33" s="72">
        <f>'30'!$F$6</f>
        <v>6.6</v>
      </c>
      <c r="D33" s="72">
        <f>'30'!$F$7</f>
        <v>4.4400000000000004</v>
      </c>
      <c r="E33" s="72">
        <f>'30'!$F$8</f>
        <v>5.12</v>
      </c>
      <c r="F33" s="72" t="str">
        <f>'30'!$F$9</f>
        <v/>
      </c>
      <c r="G33" s="72">
        <f>'30'!$F$10</f>
        <v>5.38</v>
      </c>
      <c r="H33" s="72">
        <f>'30'!$F$11</f>
        <v>6.4</v>
      </c>
      <c r="I33" s="72" t="str">
        <f>'30'!$F$12</f>
        <v/>
      </c>
      <c r="J33" s="72">
        <f>'30'!$F$13</f>
        <v>3.72</v>
      </c>
      <c r="K33" s="72" t="str">
        <f>'30'!$F$14</f>
        <v/>
      </c>
      <c r="L33" s="72">
        <f>'30'!$F$15</f>
        <v>20.73</v>
      </c>
      <c r="M33" s="72">
        <f>'30'!$F$16</f>
        <v>4.41</v>
      </c>
      <c r="N33" s="72">
        <f>'30'!$F$17</f>
        <v>4.7300000000000004</v>
      </c>
      <c r="O33" s="72">
        <f>'30'!$F$18</f>
        <v>6.65</v>
      </c>
      <c r="P33" s="72" t="str">
        <f>'30'!$F$19</f>
        <v/>
      </c>
      <c r="Q33" s="72">
        <f>'30'!$F$20</f>
        <v>8.6300000000000008</v>
      </c>
      <c r="R33" s="72" t="str">
        <f>'30'!$F$21</f>
        <v/>
      </c>
      <c r="S33" s="72">
        <f>'30'!$F$22</f>
        <v>5.66</v>
      </c>
      <c r="T33" s="72">
        <f>'30'!$F$23</f>
        <v>3.52</v>
      </c>
      <c r="U33" s="72" t="str">
        <f>'30'!$F$24</f>
        <v/>
      </c>
      <c r="V33" s="72" t="str">
        <f>'30'!$F$25</f>
        <v/>
      </c>
      <c r="W33" s="72">
        <f>'30'!$F$26</f>
        <v>6.34</v>
      </c>
      <c r="X33" s="72">
        <f>'30'!$F$27</f>
        <v>5.4</v>
      </c>
      <c r="Y33" s="72">
        <f>'30'!$F$28</f>
        <v>4.71</v>
      </c>
      <c r="Z33" s="72">
        <f>'30'!$F$29</f>
        <v>3.76</v>
      </c>
      <c r="AA33" s="72">
        <f>'30'!$F$30</f>
        <v>5.84</v>
      </c>
      <c r="AB33" s="72" t="str">
        <f>'30'!$F$31</f>
        <v/>
      </c>
      <c r="AC33" s="72" t="str">
        <f>'30'!$F$32</f>
        <v/>
      </c>
      <c r="AD33" s="93">
        <f>'30'!$F$33</f>
        <v>5.05</v>
      </c>
    </row>
    <row r="34" spans="1:30" x14ac:dyDescent="0.2">
      <c r="A34" s="92" t="s">
        <v>1022</v>
      </c>
      <c r="B34" s="72">
        <f>'31'!$F$5</f>
        <v>6.62</v>
      </c>
      <c r="C34" s="72">
        <f>'31'!$F$6</f>
        <v>6.07</v>
      </c>
      <c r="D34" s="72">
        <f>'31'!$F$7</f>
        <v>6.45</v>
      </c>
      <c r="E34" s="72">
        <f>'31'!$F$8</f>
        <v>7.07</v>
      </c>
      <c r="F34" s="72" t="str">
        <f>'31'!$F$9</f>
        <v/>
      </c>
      <c r="G34" s="72">
        <f>'31'!$F$10</f>
        <v>9.85</v>
      </c>
      <c r="H34" s="72">
        <f>'31'!$F$11</f>
        <v>6.18</v>
      </c>
      <c r="I34" s="72" t="str">
        <f>'31'!$F$12</f>
        <v/>
      </c>
      <c r="J34" s="72">
        <f>'31'!$F$13</f>
        <v>4.97</v>
      </c>
      <c r="K34" s="72" t="str">
        <f>'31'!$F$14</f>
        <v/>
      </c>
      <c r="L34" s="72" t="str">
        <f>'31'!$F$15</f>
        <v/>
      </c>
      <c r="M34" s="72">
        <f>'31'!$F$16</f>
        <v>5.08</v>
      </c>
      <c r="N34" s="72">
        <f>'31'!$F$17</f>
        <v>8.23</v>
      </c>
      <c r="O34" s="72">
        <f>'31'!$F$18</f>
        <v>10.71</v>
      </c>
      <c r="P34" s="72">
        <f>'31'!$F$19</f>
        <v>12.1</v>
      </c>
      <c r="Q34" s="72">
        <f>'31'!$F$20</f>
        <v>10.44</v>
      </c>
      <c r="R34" s="72" t="str">
        <f>'31'!$F$21</f>
        <v/>
      </c>
      <c r="S34" s="72">
        <f>'31'!$F$22</f>
        <v>5.1100000000000003</v>
      </c>
      <c r="T34" s="72">
        <f>'31'!$F$23</f>
        <v>6.24</v>
      </c>
      <c r="U34" s="72">
        <f>'31'!$F$24</f>
        <v>10.98</v>
      </c>
      <c r="V34" s="72">
        <f>'31'!$F$25</f>
        <v>6.21</v>
      </c>
      <c r="W34" s="72" t="str">
        <f>'31'!$F$26</f>
        <v/>
      </c>
      <c r="X34" s="72">
        <f>'31'!$F$27</f>
        <v>5.85</v>
      </c>
      <c r="Y34" s="72">
        <f>'31'!$F$28</f>
        <v>6.31</v>
      </c>
      <c r="Z34" s="72">
        <f>'31'!$F$29</f>
        <v>5.43</v>
      </c>
      <c r="AA34" s="72">
        <f>'31'!$F$30</f>
        <v>9.27</v>
      </c>
      <c r="AB34" s="72" t="str">
        <f>'31'!$F$31</f>
        <v/>
      </c>
      <c r="AC34" s="72" t="str">
        <f>'31'!$F$32</f>
        <v/>
      </c>
      <c r="AD34" s="93">
        <f>'31'!$F$33</f>
        <v>6.26</v>
      </c>
    </row>
    <row r="35" spans="1:30" x14ac:dyDescent="0.2">
      <c r="A35" s="92" t="s">
        <v>1046</v>
      </c>
      <c r="B35" s="72">
        <f>'32'!$F$5</f>
        <v>5.32</v>
      </c>
      <c r="C35" s="72">
        <f>'32'!$F$6</f>
        <v>8.27</v>
      </c>
      <c r="D35" s="72">
        <f>'32'!$F$7</f>
        <v>6.13</v>
      </c>
      <c r="E35" s="72">
        <f>'32'!$F$8</f>
        <v>7.36</v>
      </c>
      <c r="F35" s="72" t="str">
        <f>'32'!$F$9</f>
        <v/>
      </c>
      <c r="G35" s="72">
        <f>'32'!$F$10</f>
        <v>8.8000000000000007</v>
      </c>
      <c r="H35" s="72">
        <f>'32'!$F$11</f>
        <v>7.32</v>
      </c>
      <c r="I35" s="72">
        <f>'32'!$F$12</f>
        <v>5.35</v>
      </c>
      <c r="J35" s="72">
        <f>'32'!$F$13</f>
        <v>6.38</v>
      </c>
      <c r="K35" s="72" t="str">
        <f>'32'!$F$14</f>
        <v/>
      </c>
      <c r="L35" s="72">
        <f>'32'!$F$15</f>
        <v>9.11</v>
      </c>
      <c r="M35" s="72">
        <f>'32'!$F$16</f>
        <v>6.05</v>
      </c>
      <c r="N35" s="72">
        <f>'32'!$F$17</f>
        <v>6.26</v>
      </c>
      <c r="O35" s="72">
        <f>'32'!$F$18</f>
        <v>11.12</v>
      </c>
      <c r="P35" s="72" t="str">
        <f>'32'!$F$19</f>
        <v/>
      </c>
      <c r="Q35" s="72">
        <f>'32'!$F$20</f>
        <v>7.25</v>
      </c>
      <c r="R35" s="72">
        <f>'32'!$F$21</f>
        <v>8.0299999999999994</v>
      </c>
      <c r="S35" s="72">
        <f>'32'!$F$22</f>
        <v>6.06</v>
      </c>
      <c r="T35" s="72">
        <f>'32'!$F$23</f>
        <v>5.54</v>
      </c>
      <c r="U35" s="72">
        <f>'32'!$F$24</f>
        <v>5.75</v>
      </c>
      <c r="V35" s="72">
        <f>'32'!$F$25</f>
        <v>13.95</v>
      </c>
      <c r="W35" s="72">
        <f>'32'!$F$26</f>
        <v>6.42</v>
      </c>
      <c r="X35" s="72">
        <f>'32'!$F$27</f>
        <v>6.19</v>
      </c>
      <c r="Y35" s="72">
        <f>'32'!$F$28</f>
        <v>6.88</v>
      </c>
      <c r="Z35" s="72">
        <f>'32'!$F$29</f>
        <v>5.88</v>
      </c>
      <c r="AA35" s="72">
        <f>'32'!$F$30</f>
        <v>10.02</v>
      </c>
      <c r="AB35" s="72" t="str">
        <f>'32'!$F$31</f>
        <v/>
      </c>
      <c r="AC35" s="72" t="str">
        <f>'32'!$F$32</f>
        <v/>
      </c>
      <c r="AD35" s="93">
        <f>'32'!$F$33</f>
        <v>6.88</v>
      </c>
    </row>
    <row r="36" spans="1:30" x14ac:dyDescent="0.2">
      <c r="A36" s="92" t="s">
        <v>1047</v>
      </c>
      <c r="B36" s="72">
        <f>'33'!$F$5</f>
        <v>8.4600000000000009</v>
      </c>
      <c r="C36" s="72">
        <f>'33'!$F$6</f>
        <v>7.12</v>
      </c>
      <c r="D36" s="72">
        <f>'33'!$F$7</f>
        <v>6.76</v>
      </c>
      <c r="E36" s="72">
        <f>'33'!$F$8</f>
        <v>8.9</v>
      </c>
      <c r="F36" s="72" t="str">
        <f>'33'!$F$9</f>
        <v/>
      </c>
      <c r="G36" s="72">
        <f>'33'!$F$10</f>
        <v>19.850000000000001</v>
      </c>
      <c r="H36" s="72">
        <f>'33'!$F$11</f>
        <v>6.65</v>
      </c>
      <c r="I36" s="72" t="str">
        <f>'33'!$F$12</f>
        <v/>
      </c>
      <c r="J36" s="72">
        <f>'33'!$F$13</f>
        <v>5.36</v>
      </c>
      <c r="K36" s="72">
        <f>'33'!$F$14</f>
        <v>7.56</v>
      </c>
      <c r="L36" s="72">
        <f>'33'!$F$15</f>
        <v>6</v>
      </c>
      <c r="M36" s="72">
        <f>'33'!$F$16</f>
        <v>5.88</v>
      </c>
      <c r="N36" s="72">
        <f>'33'!$F$17</f>
        <v>12.84</v>
      </c>
      <c r="O36" s="72">
        <f>'33'!$F$18</f>
        <v>14.64</v>
      </c>
      <c r="P36" s="72" t="str">
        <f>'33'!$F$19</f>
        <v/>
      </c>
      <c r="Q36" s="72">
        <f>'33'!$F$20</f>
        <v>7.98</v>
      </c>
      <c r="R36" s="72" t="str">
        <f>'33'!$F$21</f>
        <v/>
      </c>
      <c r="S36" s="72">
        <f>'33'!$F$22</f>
        <v>6.06</v>
      </c>
      <c r="T36" s="72">
        <f>'33'!$F$23</f>
        <v>5.86</v>
      </c>
      <c r="U36" s="72" t="str">
        <f>'33'!$F$24</f>
        <v/>
      </c>
      <c r="V36" s="72" t="str">
        <f>'33'!$F$25</f>
        <v/>
      </c>
      <c r="W36" s="72" t="str">
        <f>'33'!$F$26</f>
        <v/>
      </c>
      <c r="X36" s="72">
        <f>'33'!$F$27</f>
        <v>6.22</v>
      </c>
      <c r="Y36" s="72" t="str">
        <f>'33'!$F$28</f>
        <v/>
      </c>
      <c r="Z36" s="72">
        <f>'33'!$F$29</f>
        <v>5.89</v>
      </c>
      <c r="AA36" s="72">
        <f>'33'!$F$30</f>
        <v>9.48</v>
      </c>
      <c r="AB36" s="72" t="str">
        <f>'33'!$F$31</f>
        <v/>
      </c>
      <c r="AC36" s="72" t="str">
        <f>'33'!$F$32</f>
        <v/>
      </c>
      <c r="AD36" s="93">
        <f>'33'!$F$33</f>
        <v>7.05</v>
      </c>
    </row>
    <row r="37" spans="1:30" x14ac:dyDescent="0.2">
      <c r="A37" s="92" t="s">
        <v>1025</v>
      </c>
      <c r="B37" s="72">
        <f>'34'!$F$5</f>
        <v>9.35</v>
      </c>
      <c r="C37" s="72">
        <f>'34'!$F$6</f>
        <v>7.43</v>
      </c>
      <c r="D37" s="72">
        <f>'34'!$F$7</f>
        <v>4.4000000000000004</v>
      </c>
      <c r="E37" s="72">
        <f>'34'!$F$8</f>
        <v>5.52</v>
      </c>
      <c r="F37" s="72" t="str">
        <f>'34'!$F$9</f>
        <v/>
      </c>
      <c r="G37" s="72">
        <f>'34'!$F$10</f>
        <v>12.67</v>
      </c>
      <c r="H37" s="72">
        <f>'34'!$F$11</f>
        <v>4.54</v>
      </c>
      <c r="I37" s="72" t="str">
        <f>'34'!$F$12</f>
        <v/>
      </c>
      <c r="J37" s="72">
        <f>'34'!$F$13</f>
        <v>3.33</v>
      </c>
      <c r="K37" s="72">
        <f>'34'!$F$14</f>
        <v>29.94</v>
      </c>
      <c r="L37" s="72">
        <f>'34'!$F$15</f>
        <v>5.59</v>
      </c>
      <c r="M37" s="72">
        <f>'34'!$F$16</f>
        <v>4.34</v>
      </c>
      <c r="N37" s="72">
        <f>'34'!$F$17</f>
        <v>5.2</v>
      </c>
      <c r="O37" s="72">
        <f>'34'!$F$18</f>
        <v>14.51</v>
      </c>
      <c r="P37" s="72" t="str">
        <f>'34'!$F$19</f>
        <v/>
      </c>
      <c r="Q37" s="72">
        <f>'34'!$F$20</f>
        <v>2.16</v>
      </c>
      <c r="R37" s="72" t="str">
        <f>'34'!$F$21</f>
        <v/>
      </c>
      <c r="S37" s="72">
        <f>'34'!$F$22</f>
        <v>7.13</v>
      </c>
      <c r="T37" s="72">
        <f>'34'!$F$23</f>
        <v>3.44</v>
      </c>
      <c r="U37" s="72" t="str">
        <f>'34'!$F$24</f>
        <v/>
      </c>
      <c r="V37" s="72" t="str">
        <f>'34'!$F$25</f>
        <v/>
      </c>
      <c r="W37" s="72">
        <f>'34'!$F$26</f>
        <v>4.8499999999999996</v>
      </c>
      <c r="X37" s="72">
        <f>'34'!$F$27</f>
        <v>4.9000000000000004</v>
      </c>
      <c r="Y37" s="72">
        <f>'34'!$F$28</f>
        <v>2.16</v>
      </c>
      <c r="Z37" s="72">
        <f>'34'!$F$29</f>
        <v>4.0199999999999996</v>
      </c>
      <c r="AA37" s="72">
        <f>'34'!$F$30</f>
        <v>9.56</v>
      </c>
      <c r="AB37" s="72" t="str">
        <f>'34'!$F$31</f>
        <v/>
      </c>
      <c r="AC37" s="72" t="str">
        <f>'34'!$F$32</f>
        <v/>
      </c>
      <c r="AD37" s="93">
        <f>'34'!$F$33</f>
        <v>4.99</v>
      </c>
    </row>
    <row r="38" spans="1:30" x14ac:dyDescent="0.2">
      <c r="A38" s="92" t="s">
        <v>1048</v>
      </c>
      <c r="B38" s="72">
        <f>'35'!$F$5</f>
        <v>3.54</v>
      </c>
      <c r="C38" s="72">
        <f>'35'!$F$6</f>
        <v>6.57</v>
      </c>
      <c r="D38" s="72">
        <f>'35'!$F$7</f>
        <v>4.37</v>
      </c>
      <c r="E38" s="72">
        <f>'35'!$F$8</f>
        <v>4.6500000000000004</v>
      </c>
      <c r="F38" s="72" t="str">
        <f>'35'!$F$9</f>
        <v/>
      </c>
      <c r="G38" s="72">
        <f>'35'!$F$10</f>
        <v>3.78</v>
      </c>
      <c r="H38" s="72">
        <f>'35'!$F$11</f>
        <v>4.82</v>
      </c>
      <c r="I38" s="72" t="str">
        <f>'35'!$F$12</f>
        <v/>
      </c>
      <c r="J38" s="72">
        <f>'35'!$F$13</f>
        <v>4.57</v>
      </c>
      <c r="K38" s="72" t="str">
        <f>'35'!$F$14</f>
        <v/>
      </c>
      <c r="L38" s="72" t="str">
        <f>'35'!$F$15</f>
        <v/>
      </c>
      <c r="M38" s="72">
        <f>'35'!$F$16</f>
        <v>4.42</v>
      </c>
      <c r="N38" s="72">
        <f>'35'!$F$17</f>
        <v>3.26</v>
      </c>
      <c r="O38" s="72" t="str">
        <f>'35'!$F$18</f>
        <v/>
      </c>
      <c r="P38" s="72" t="str">
        <f>'35'!$F$19</f>
        <v/>
      </c>
      <c r="Q38" s="72" t="str">
        <f>'35'!$F$20</f>
        <v/>
      </c>
      <c r="R38" s="72" t="str">
        <f>'35'!$F$21</f>
        <v/>
      </c>
      <c r="S38" s="72">
        <f>'35'!$F$22</f>
        <v>4.1399999999999997</v>
      </c>
      <c r="T38" s="72">
        <f>'35'!$F$23</f>
        <v>4.3499999999999996</v>
      </c>
      <c r="U38" s="72">
        <f>'35'!$F$24</f>
        <v>7.86</v>
      </c>
      <c r="V38" s="72" t="str">
        <f>'35'!$F$25</f>
        <v/>
      </c>
      <c r="W38" s="72" t="str">
        <f>'35'!$F$26</f>
        <v/>
      </c>
      <c r="X38" s="72">
        <f>'35'!$F$27</f>
        <v>10.18</v>
      </c>
      <c r="Y38" s="72">
        <f>'35'!$F$28</f>
        <v>2.4</v>
      </c>
      <c r="Z38" s="72">
        <f>'35'!$F$29</f>
        <v>4.0199999999999996</v>
      </c>
      <c r="AA38" s="72">
        <f>'35'!$F$30</f>
        <v>5.45</v>
      </c>
      <c r="AB38" s="72" t="str">
        <f>'35'!$F$31</f>
        <v/>
      </c>
      <c r="AC38" s="72" t="str">
        <f>'35'!$F$32</f>
        <v/>
      </c>
      <c r="AD38" s="93">
        <f>'35'!$F$33</f>
        <v>4.97</v>
      </c>
    </row>
    <row r="39" spans="1:30" x14ac:dyDescent="0.2">
      <c r="A39" s="92" t="s">
        <v>1061</v>
      </c>
      <c r="B39" s="72">
        <f>'36'!$F$5</f>
        <v>3.87</v>
      </c>
      <c r="C39" s="72">
        <f>'36'!$F$6</f>
        <v>5.89</v>
      </c>
      <c r="D39" s="72">
        <f>'36'!$F$7</f>
        <v>4.66</v>
      </c>
      <c r="E39" s="72">
        <f>'36'!$F$8</f>
        <v>6.83</v>
      </c>
      <c r="F39" s="72">
        <f>'36'!$F$9</f>
        <v>10.77</v>
      </c>
      <c r="G39" s="72">
        <f>'36'!$F$10</f>
        <v>10.01</v>
      </c>
      <c r="H39" s="72">
        <f>'36'!$F$11</f>
        <v>6.43</v>
      </c>
      <c r="I39" s="72">
        <f>'36'!$F$12</f>
        <v>4.57</v>
      </c>
      <c r="J39" s="72">
        <f>'36'!$F$13</f>
        <v>7.15</v>
      </c>
      <c r="K39" s="72">
        <f>'36'!$F$14</f>
        <v>381.63</v>
      </c>
      <c r="L39" s="72">
        <f>'36'!$F$15</f>
        <v>8.27</v>
      </c>
      <c r="M39" s="72">
        <f>'36'!$F$16</f>
        <v>4.63</v>
      </c>
      <c r="N39" s="72">
        <f>'36'!$F$17</f>
        <v>6.56</v>
      </c>
      <c r="O39" s="72">
        <f>'36'!$F$18</f>
        <v>6.85</v>
      </c>
      <c r="P39" s="72" t="str">
        <f>'36'!$F$19</f>
        <v/>
      </c>
      <c r="Q39" s="72">
        <f>'36'!$F$20</f>
        <v>8.69</v>
      </c>
      <c r="R39" s="72">
        <f>'36'!$F$21</f>
        <v>9.2799999999999994</v>
      </c>
      <c r="S39" s="72">
        <f>'36'!$F$22</f>
        <v>8.7799999999999994</v>
      </c>
      <c r="T39" s="72">
        <f>'36'!$F$23</f>
        <v>6.54</v>
      </c>
      <c r="U39" s="72">
        <f>'36'!$F$24</f>
        <v>9.41</v>
      </c>
      <c r="V39" s="72">
        <f>'36'!$F$25</f>
        <v>12.41</v>
      </c>
      <c r="W39" s="72">
        <f>'36'!$F$26</f>
        <v>8.91</v>
      </c>
      <c r="X39" s="72">
        <f>'36'!$F$27</f>
        <v>80.069999999999993</v>
      </c>
      <c r="Y39" s="72">
        <f>'36'!$F$28</f>
        <v>6.01</v>
      </c>
      <c r="Z39" s="72">
        <f>'36'!$F$29</f>
        <v>5.33</v>
      </c>
      <c r="AA39" s="72">
        <f>'36'!$F$30</f>
        <v>7.39</v>
      </c>
      <c r="AB39" s="72" t="str">
        <f>'36'!$F$31</f>
        <v/>
      </c>
      <c r="AC39" s="72" t="str">
        <f>'36'!$F$32</f>
        <v/>
      </c>
      <c r="AD39" s="93">
        <f>'36'!$F$33</f>
        <v>6.64</v>
      </c>
    </row>
    <row r="40" spans="1:30" x14ac:dyDescent="0.2">
      <c r="A40" s="92" t="s">
        <v>1049</v>
      </c>
      <c r="B40" s="72">
        <f>'37'!$F$5</f>
        <v>8.1199999999999992</v>
      </c>
      <c r="C40" s="72">
        <f>'37'!$F$6</f>
        <v>8.6999999999999993</v>
      </c>
      <c r="D40" s="72">
        <f>'37'!$F$7</f>
        <v>5.03</v>
      </c>
      <c r="E40" s="72">
        <f>'37'!$F$8</f>
        <v>6.97</v>
      </c>
      <c r="F40" s="72" t="str">
        <f>'37'!$F$9</f>
        <v/>
      </c>
      <c r="G40" s="72">
        <f>'37'!$F$10</f>
        <v>8.15</v>
      </c>
      <c r="H40" s="72">
        <f>'37'!$F$11</f>
        <v>5.57</v>
      </c>
      <c r="I40" s="72">
        <f>'37'!$F$12</f>
        <v>15.4</v>
      </c>
      <c r="J40" s="72">
        <f>'37'!$F$13</f>
        <v>4.71</v>
      </c>
      <c r="K40" s="72">
        <f>'37'!$F$14</f>
        <v>18.95</v>
      </c>
      <c r="L40" s="72">
        <f>'37'!$F$15</f>
        <v>7.04</v>
      </c>
      <c r="M40" s="72">
        <f>'37'!$F$16</f>
        <v>5.39</v>
      </c>
      <c r="N40" s="72">
        <f>'37'!$F$17</f>
        <v>5.44</v>
      </c>
      <c r="O40" s="72">
        <f>'37'!$F$18</f>
        <v>6.77</v>
      </c>
      <c r="P40" s="72" t="str">
        <f>'37'!$F$19</f>
        <v/>
      </c>
      <c r="Q40" s="72">
        <f>'37'!$F$20</f>
        <v>4.2</v>
      </c>
      <c r="R40" s="72">
        <f>'37'!$F$21</f>
        <v>7.77</v>
      </c>
      <c r="S40" s="72">
        <f>'37'!$F$22</f>
        <v>3.55</v>
      </c>
      <c r="T40" s="72">
        <f>'37'!$F$23</f>
        <v>4.57</v>
      </c>
      <c r="U40" s="72">
        <f>'37'!$F$24</f>
        <v>6.07</v>
      </c>
      <c r="V40" s="72">
        <f>'37'!$F$25</f>
        <v>7.03</v>
      </c>
      <c r="W40" s="72">
        <f>'37'!$F$26</f>
        <v>5.75</v>
      </c>
      <c r="X40" s="72">
        <f>'37'!$F$27</f>
        <v>10.039999999999999</v>
      </c>
      <c r="Y40" s="72">
        <f>'37'!$F$28</f>
        <v>6.59</v>
      </c>
      <c r="Z40" s="72">
        <f>'37'!$F$29</f>
        <v>5.15</v>
      </c>
      <c r="AA40" s="72">
        <f>'37'!$F$30</f>
        <v>9.3699999999999992</v>
      </c>
      <c r="AB40" s="72" t="str">
        <f>'37'!$F$31</f>
        <v/>
      </c>
      <c r="AC40" s="72" t="str">
        <f>'37'!$F$32</f>
        <v/>
      </c>
      <c r="AD40" s="93">
        <f>'37'!$F$33</f>
        <v>5.67</v>
      </c>
    </row>
    <row r="41" spans="1:30" x14ac:dyDescent="0.2">
      <c r="A41" s="92" t="s">
        <v>1050</v>
      </c>
      <c r="B41" s="72" t="str">
        <f>'38'!$F$5</f>
        <v/>
      </c>
      <c r="C41" s="72">
        <f>'38'!$F$6</f>
        <v>10.73</v>
      </c>
      <c r="D41" s="72">
        <f>'38'!$F$7</f>
        <v>4.74</v>
      </c>
      <c r="E41" s="72">
        <f>'38'!$F$8</f>
        <v>12.41</v>
      </c>
      <c r="F41" s="72" t="str">
        <f>'38'!$F$9</f>
        <v/>
      </c>
      <c r="G41" s="72" t="str">
        <f>'38'!$F$10</f>
        <v/>
      </c>
      <c r="H41" s="72">
        <f>'38'!$F$11</f>
        <v>5.05</v>
      </c>
      <c r="I41" s="72" t="str">
        <f>'38'!$F$12</f>
        <v/>
      </c>
      <c r="J41" s="72">
        <f>'38'!$F$13</f>
        <v>6.8</v>
      </c>
      <c r="K41" s="72">
        <f>'38'!$F$14</f>
        <v>6.81</v>
      </c>
      <c r="L41" s="72">
        <f>'38'!$F$15</f>
        <v>22.8</v>
      </c>
      <c r="M41" s="72">
        <f>'38'!$F$16</f>
        <v>4.83</v>
      </c>
      <c r="N41" s="72">
        <f>'38'!$F$17</f>
        <v>4.71</v>
      </c>
      <c r="O41" s="72">
        <f>'38'!$F$18</f>
        <v>16.600000000000001</v>
      </c>
      <c r="P41" s="72" t="str">
        <f>'38'!$F$19</f>
        <v/>
      </c>
      <c r="Q41" s="72">
        <f>'38'!$F$20</f>
        <v>15.47</v>
      </c>
      <c r="R41" s="72" t="str">
        <f>'38'!$F$21</f>
        <v/>
      </c>
      <c r="S41" s="72">
        <f>'38'!$F$22</f>
        <v>5.44</v>
      </c>
      <c r="T41" s="72">
        <f>'38'!$F$23</f>
        <v>4.3899999999999997</v>
      </c>
      <c r="U41" s="72">
        <f>'38'!$F$24</f>
        <v>6.83</v>
      </c>
      <c r="V41" s="72">
        <f>'38'!$F$25</f>
        <v>3.75</v>
      </c>
      <c r="W41" s="72">
        <f>'38'!$F$26</f>
        <v>5.6</v>
      </c>
      <c r="X41" s="72">
        <f>'38'!$F$27</f>
        <v>6.05</v>
      </c>
      <c r="Y41" s="72">
        <f>'38'!$F$28</f>
        <v>2.77</v>
      </c>
      <c r="Z41" s="72">
        <f>'38'!$F$29</f>
        <v>4.46</v>
      </c>
      <c r="AA41" s="72">
        <f>'38'!$F$30</f>
        <v>4.3499999999999996</v>
      </c>
      <c r="AB41" s="72" t="str">
        <f>'38'!$F$31</f>
        <v/>
      </c>
      <c r="AC41" s="72" t="str">
        <f>'38'!$F$32</f>
        <v/>
      </c>
      <c r="AD41" s="93">
        <f>'38'!$F$33</f>
        <v>5.13</v>
      </c>
    </row>
    <row r="42" spans="1:30" x14ac:dyDescent="0.2">
      <c r="A42" s="92" t="s">
        <v>1026</v>
      </c>
      <c r="B42" s="72">
        <f>'39'!$F$5</f>
        <v>9.6300000000000008</v>
      </c>
      <c r="C42" s="72" t="str">
        <f>'39'!$F$6</f>
        <v/>
      </c>
      <c r="D42" s="72">
        <f>'39'!$F$7</f>
        <v>4.7</v>
      </c>
      <c r="E42" s="72">
        <f>'39'!$F$8</f>
        <v>4.79</v>
      </c>
      <c r="F42" s="72">
        <f>'39'!$F$9</f>
        <v>25.04</v>
      </c>
      <c r="G42" s="72">
        <f>'39'!$F$10</f>
        <v>8.75</v>
      </c>
      <c r="H42" s="72">
        <f>'39'!$F$11</f>
        <v>6.6</v>
      </c>
      <c r="I42" s="72">
        <f>'39'!$F$12</f>
        <v>6.36</v>
      </c>
      <c r="J42" s="72">
        <f>'39'!$F$13</f>
        <v>4.3899999999999997</v>
      </c>
      <c r="K42" s="72" t="str">
        <f>'39'!$F$14</f>
        <v/>
      </c>
      <c r="L42" s="72" t="str">
        <f>'39'!$F$15</f>
        <v/>
      </c>
      <c r="M42" s="72">
        <f>'39'!$F$16</f>
        <v>5.53</v>
      </c>
      <c r="N42" s="72">
        <f>'39'!$F$17</f>
        <v>5.03</v>
      </c>
      <c r="O42" s="72" t="str">
        <f>'39'!$F$18</f>
        <v/>
      </c>
      <c r="P42" s="72" t="str">
        <f>'39'!$F$19</f>
        <v/>
      </c>
      <c r="Q42" s="72" t="str">
        <f>'39'!$F$20</f>
        <v/>
      </c>
      <c r="R42" s="72" t="str">
        <f>'39'!$F$21</f>
        <v/>
      </c>
      <c r="S42" s="72">
        <f>'39'!$F$22</f>
        <v>5.56</v>
      </c>
      <c r="T42" s="72">
        <f>'39'!$F$23</f>
        <v>5.34</v>
      </c>
      <c r="U42" s="72">
        <f>'39'!$F$24</f>
        <v>6.06</v>
      </c>
      <c r="V42" s="72">
        <f>'39'!$F$25</f>
        <v>6.48</v>
      </c>
      <c r="W42" s="72">
        <f>'39'!$F$26</f>
        <v>2.52</v>
      </c>
      <c r="X42" s="72">
        <f>'39'!$F$27</f>
        <v>5.44</v>
      </c>
      <c r="Y42" s="72">
        <f>'39'!$F$28</f>
        <v>4.2300000000000004</v>
      </c>
      <c r="Z42" s="72">
        <f>'39'!$F$29</f>
        <v>4.92</v>
      </c>
      <c r="AA42" s="72">
        <f>'39'!$F$30</f>
        <v>4.97</v>
      </c>
      <c r="AB42" s="72" t="str">
        <f>'39'!$F$31</f>
        <v/>
      </c>
      <c r="AC42" s="72" t="str">
        <f>'39'!$F$32</f>
        <v/>
      </c>
      <c r="AD42" s="93">
        <f>'39'!$F$33</f>
        <v>5.25</v>
      </c>
    </row>
    <row r="43" spans="1:30" x14ac:dyDescent="0.2">
      <c r="A43" s="92" t="s">
        <v>1062</v>
      </c>
      <c r="B43" s="72">
        <f>'40'!$F$5</f>
        <v>7.91</v>
      </c>
      <c r="C43" s="72">
        <f>'40'!$F$6</f>
        <v>9.8800000000000008</v>
      </c>
      <c r="D43" s="72">
        <f>'40'!$F$7</f>
        <v>6.54</v>
      </c>
      <c r="E43" s="72">
        <f>'40'!$F$8</f>
        <v>7.19</v>
      </c>
      <c r="F43" s="72" t="str">
        <f>'40'!$F$9</f>
        <v/>
      </c>
      <c r="G43" s="72">
        <f>'40'!$F$10</f>
        <v>11.09</v>
      </c>
      <c r="H43" s="72">
        <f>'40'!$F$11</f>
        <v>5.05</v>
      </c>
      <c r="I43" s="72">
        <f>'40'!$F$12</f>
        <v>21.93</v>
      </c>
      <c r="J43" s="72">
        <f>'40'!$F$13</f>
        <v>8.74</v>
      </c>
      <c r="K43" s="72">
        <f>'40'!$F$14</f>
        <v>8.82</v>
      </c>
      <c r="L43" s="72">
        <f>'40'!$F$15</f>
        <v>10.61</v>
      </c>
      <c r="M43" s="72">
        <f>'40'!$F$16</f>
        <v>5.79</v>
      </c>
      <c r="N43" s="72">
        <f>'40'!$F$17</f>
        <v>5.6</v>
      </c>
      <c r="O43" s="72">
        <f>'40'!$F$18</f>
        <v>10.48</v>
      </c>
      <c r="P43" s="72">
        <f>'40'!$F$19</f>
        <v>10.5</v>
      </c>
      <c r="Q43" s="72">
        <f>'40'!$F$20</f>
        <v>6.87</v>
      </c>
      <c r="R43" s="72">
        <f>'40'!$F$21</f>
        <v>10.34</v>
      </c>
      <c r="S43" s="72">
        <f>'40'!$F$22</f>
        <v>4.47</v>
      </c>
      <c r="T43" s="72">
        <f>'40'!$F$23</f>
        <v>5.44</v>
      </c>
      <c r="U43" s="72">
        <f>'40'!$F$24</f>
        <v>8.56</v>
      </c>
      <c r="V43" s="72">
        <f>'40'!$F$25</f>
        <v>9.56</v>
      </c>
      <c r="W43" s="72">
        <f>'40'!$F$26</f>
        <v>6.1</v>
      </c>
      <c r="X43" s="72">
        <f>'40'!$F$27</f>
        <v>7.11</v>
      </c>
      <c r="Y43" s="72">
        <f>'40'!$F$28</f>
        <v>7.92</v>
      </c>
      <c r="Z43" s="72">
        <f>'40'!$F$29</f>
        <v>5.49</v>
      </c>
      <c r="AA43" s="72">
        <f>'40'!$F$30</f>
        <v>7.52</v>
      </c>
      <c r="AB43" s="72" t="str">
        <f>'40'!$F$31</f>
        <v/>
      </c>
      <c r="AC43" s="72" t="str">
        <f>'40'!$F$32</f>
        <v/>
      </c>
      <c r="AD43" s="93">
        <f>'40'!$F$33</f>
        <v>6.37</v>
      </c>
    </row>
    <row r="44" spans="1:30" x14ac:dyDescent="0.2">
      <c r="A44" s="92" t="s">
        <v>1027</v>
      </c>
      <c r="B44" s="72" t="str">
        <f>'41'!$F$5</f>
        <v/>
      </c>
      <c r="C44" s="72" t="str">
        <f>'41'!$F$6</f>
        <v/>
      </c>
      <c r="D44" s="72">
        <f>'41'!$F$7</f>
        <v>5.92</v>
      </c>
      <c r="E44" s="72">
        <f>'41'!$F$8</f>
        <v>4.8899999999999997</v>
      </c>
      <c r="F44" s="72" t="str">
        <f>'41'!$F$9</f>
        <v/>
      </c>
      <c r="G44" s="72" t="str">
        <f>'41'!$F$10</f>
        <v/>
      </c>
      <c r="H44" s="72">
        <f>'41'!$F$11</f>
        <v>5.64</v>
      </c>
      <c r="I44" s="72">
        <f>'41'!$F$12</f>
        <v>33.380000000000003</v>
      </c>
      <c r="J44" s="72">
        <f>'41'!$F$13</f>
        <v>29.82</v>
      </c>
      <c r="K44" s="72">
        <f>'41'!$F$14</f>
        <v>6.49</v>
      </c>
      <c r="L44" s="72">
        <f>'41'!$F$15</f>
        <v>8.5399999999999991</v>
      </c>
      <c r="M44" s="72">
        <f>'41'!$F$16</f>
        <v>5.23</v>
      </c>
      <c r="N44" s="72">
        <f>'41'!$F$17</f>
        <v>6.69</v>
      </c>
      <c r="O44" s="72">
        <f>'41'!$F$18</f>
        <v>8.49</v>
      </c>
      <c r="P44" s="72">
        <f>'41'!$F$19</f>
        <v>17.309999999999999</v>
      </c>
      <c r="Q44" s="72">
        <f>'41'!$F$20</f>
        <v>6.91</v>
      </c>
      <c r="R44" s="72">
        <f>'41'!$F$21</f>
        <v>6.77</v>
      </c>
      <c r="S44" s="72">
        <f>'41'!$F$22</f>
        <v>6.09</v>
      </c>
      <c r="T44" s="72">
        <f>'41'!$F$23</f>
        <v>5.69</v>
      </c>
      <c r="U44" s="72">
        <f>'41'!$F$24</f>
        <v>9.33</v>
      </c>
      <c r="V44" s="72" t="str">
        <f>'41'!$F$25</f>
        <v/>
      </c>
      <c r="W44" s="72">
        <f>'41'!$F$26</f>
        <v>2.85</v>
      </c>
      <c r="X44" s="72">
        <f>'41'!$F$27</f>
        <v>5.47</v>
      </c>
      <c r="Y44" s="72">
        <f>'41'!$F$28</f>
        <v>4.03</v>
      </c>
      <c r="Z44" s="72">
        <f>'41'!$F$29</f>
        <v>4.99</v>
      </c>
      <c r="AA44" s="72">
        <f>'41'!$F$30</f>
        <v>9.2100000000000009</v>
      </c>
      <c r="AB44" s="72" t="str">
        <f>'41'!$F$31</f>
        <v/>
      </c>
      <c r="AC44" s="72" t="str">
        <f>'41'!$F$32</f>
        <v/>
      </c>
      <c r="AD44" s="93">
        <f>'41'!$F$33</f>
        <v>6.18</v>
      </c>
    </row>
    <row r="45" spans="1:30" x14ac:dyDescent="0.2">
      <c r="A45" s="92" t="s">
        <v>1051</v>
      </c>
      <c r="B45" s="72">
        <f>'42'!$F$5</f>
        <v>5.47</v>
      </c>
      <c r="C45" s="72">
        <f>'42'!$F$6</f>
        <v>3.76</v>
      </c>
      <c r="D45" s="72">
        <f>'42'!$F$7</f>
        <v>4.8099999999999996</v>
      </c>
      <c r="E45" s="72">
        <f>'42'!$F$8</f>
        <v>4.96</v>
      </c>
      <c r="F45" s="72" t="str">
        <f>'42'!$F$9</f>
        <v/>
      </c>
      <c r="G45" s="72">
        <f>'42'!$F$10</f>
        <v>5.38</v>
      </c>
      <c r="H45" s="72">
        <f>'42'!$F$11</f>
        <v>3.2</v>
      </c>
      <c r="I45" s="72">
        <f>'42'!$F$12</f>
        <v>3.4</v>
      </c>
      <c r="J45" s="72">
        <f>'42'!$F$13</f>
        <v>3.1</v>
      </c>
      <c r="K45" s="72">
        <f>'42'!$F$14</f>
        <v>7.18</v>
      </c>
      <c r="L45" s="72" t="str">
        <f>'42'!$F$15</f>
        <v/>
      </c>
      <c r="M45" s="72">
        <f>'42'!$F$16</f>
        <v>4.1399999999999997</v>
      </c>
      <c r="N45" s="72">
        <f>'42'!$F$17</f>
        <v>5.0999999999999996</v>
      </c>
      <c r="O45" s="72">
        <f>'42'!$F$18</f>
        <v>8.15</v>
      </c>
      <c r="P45" s="72">
        <f>'42'!$F$19</f>
        <v>8.1</v>
      </c>
      <c r="Q45" s="72">
        <f>'42'!$F$20</f>
        <v>5.19</v>
      </c>
      <c r="R45" s="72" t="str">
        <f>'42'!$F$21</f>
        <v/>
      </c>
      <c r="S45" s="72">
        <f>'42'!$F$22</f>
        <v>4.07</v>
      </c>
      <c r="T45" s="72">
        <f>'42'!$F$23</f>
        <v>3.77</v>
      </c>
      <c r="U45" s="72">
        <f>'42'!$F$24</f>
        <v>4.71</v>
      </c>
      <c r="V45" s="72">
        <f>'42'!$F$25</f>
        <v>3.79</v>
      </c>
      <c r="W45" s="72">
        <f>'42'!$F$26</f>
        <v>3.91</v>
      </c>
      <c r="X45" s="72">
        <f>'42'!$F$27</f>
        <v>4.71</v>
      </c>
      <c r="Y45" s="72">
        <f>'42'!$F$28</f>
        <v>3.91</v>
      </c>
      <c r="Z45" s="72">
        <f>'42'!$F$29</f>
        <v>3.81</v>
      </c>
      <c r="AA45" s="72">
        <f>'42'!$F$30</f>
        <v>4.45</v>
      </c>
      <c r="AB45" s="72" t="str">
        <f>'42'!$F$31</f>
        <v/>
      </c>
      <c r="AC45" s="72" t="str">
        <f>'42'!$F$32</f>
        <v/>
      </c>
      <c r="AD45" s="93">
        <f>'42'!$F$33</f>
        <v>4.47</v>
      </c>
    </row>
    <row r="46" spans="1:30" x14ac:dyDescent="0.2">
      <c r="A46" s="92" t="s">
        <v>1052</v>
      </c>
      <c r="B46" s="72" t="str">
        <f>'43'!$F$5</f>
        <v/>
      </c>
      <c r="C46" s="72">
        <f>'43'!$F$6</f>
        <v>10.75</v>
      </c>
      <c r="D46" s="72">
        <f>'43'!$F$7</f>
        <v>5.79</v>
      </c>
      <c r="E46" s="72">
        <f>'43'!$F$8</f>
        <v>8.31</v>
      </c>
      <c r="F46" s="72" t="str">
        <f>'43'!$F$9</f>
        <v/>
      </c>
      <c r="G46" s="72">
        <f>'43'!$F$10</f>
        <v>15.02</v>
      </c>
      <c r="H46" s="72">
        <f>'43'!$F$11</f>
        <v>6.38</v>
      </c>
      <c r="I46" s="72">
        <f>'43'!$F$12</f>
        <v>5.5</v>
      </c>
      <c r="J46" s="72">
        <f>'43'!$F$13</f>
        <v>22.08</v>
      </c>
      <c r="K46" s="72" t="str">
        <f>'43'!$F$14</f>
        <v/>
      </c>
      <c r="L46" s="72">
        <f>'43'!$F$15</f>
        <v>4.63</v>
      </c>
      <c r="M46" s="72">
        <f>'43'!$F$16</f>
        <v>5.19</v>
      </c>
      <c r="N46" s="72">
        <f>'43'!$F$17</f>
        <v>7.06</v>
      </c>
      <c r="O46" s="72">
        <f>'43'!$F$18</f>
        <v>7.81</v>
      </c>
      <c r="P46" s="72" t="str">
        <f>'43'!$F$19</f>
        <v/>
      </c>
      <c r="Q46" s="72">
        <f>'43'!$F$20</f>
        <v>7.34</v>
      </c>
      <c r="R46" s="72">
        <f>'43'!$F$21</f>
        <v>9.1999999999999993</v>
      </c>
      <c r="S46" s="72">
        <f>'43'!$F$22</f>
        <v>8.07</v>
      </c>
      <c r="T46" s="72">
        <f>'43'!$F$23</f>
        <v>5.85</v>
      </c>
      <c r="U46" s="72">
        <f>'43'!$F$24</f>
        <v>4.08</v>
      </c>
      <c r="V46" s="72">
        <f>'43'!$F$25</f>
        <v>12.08</v>
      </c>
      <c r="W46" s="72">
        <f>'43'!$F$26</f>
        <v>12.92</v>
      </c>
      <c r="X46" s="72">
        <f>'43'!$F$27</f>
        <v>5.47</v>
      </c>
      <c r="Y46" s="72">
        <f>'43'!$F$28</f>
        <v>4.5599999999999996</v>
      </c>
      <c r="Z46" s="72">
        <f>'43'!$F$29</f>
        <v>6.23</v>
      </c>
      <c r="AA46" s="72">
        <f>'43'!$F$30</f>
        <v>7.1</v>
      </c>
      <c r="AB46" s="72" t="str">
        <f>'43'!$F$31</f>
        <v/>
      </c>
      <c r="AC46" s="72" t="str">
        <f>'43'!$F$32</f>
        <v/>
      </c>
      <c r="AD46" s="93">
        <f>'43'!$F$33</f>
        <v>6.43</v>
      </c>
    </row>
    <row r="47" spans="1:30" x14ac:dyDescent="0.2">
      <c r="A47" s="92" t="s">
        <v>1063</v>
      </c>
      <c r="B47" s="72">
        <f>'44'!$F$5</f>
        <v>6.69</v>
      </c>
      <c r="C47" s="72">
        <f>'44'!$F$6</f>
        <v>4.37</v>
      </c>
      <c r="D47" s="72">
        <f>'44'!$F$7</f>
        <v>5.27</v>
      </c>
      <c r="E47" s="72">
        <f>'44'!$F$8</f>
        <v>6.04</v>
      </c>
      <c r="F47" s="72" t="str">
        <f>'44'!$F$9</f>
        <v/>
      </c>
      <c r="G47" s="72">
        <f>'44'!$F$10</f>
        <v>19.5</v>
      </c>
      <c r="H47" s="72">
        <f>'44'!$F$11</f>
        <v>4.05</v>
      </c>
      <c r="I47" s="72">
        <f>'44'!$F$12</f>
        <v>5.67</v>
      </c>
      <c r="J47" s="72">
        <f>'44'!$F$13</f>
        <v>4.16</v>
      </c>
      <c r="K47" s="72" t="str">
        <f>'44'!$F$14</f>
        <v/>
      </c>
      <c r="L47" s="72">
        <f>'44'!$F$15</f>
        <v>3.85</v>
      </c>
      <c r="M47" s="72">
        <f>'44'!$F$16</f>
        <v>5.25</v>
      </c>
      <c r="N47" s="72">
        <f>'44'!$F$17</f>
        <v>5.17</v>
      </c>
      <c r="O47" s="72">
        <f>'44'!$F$18</f>
        <v>6.44</v>
      </c>
      <c r="P47" s="72" t="str">
        <f>'44'!$F$19</f>
        <v/>
      </c>
      <c r="Q47" s="72">
        <f>'44'!$F$20</f>
        <v>6.65</v>
      </c>
      <c r="R47" s="72" t="str">
        <f>'44'!$F$21</f>
        <v/>
      </c>
      <c r="S47" s="72">
        <f>'44'!$F$22</f>
        <v>4.3</v>
      </c>
      <c r="T47" s="72">
        <f>'44'!$F$23</f>
        <v>4.91</v>
      </c>
      <c r="U47" s="72">
        <f>'44'!$F$24</f>
        <v>4.7</v>
      </c>
      <c r="V47" s="72" t="str">
        <f>'44'!$F$25</f>
        <v/>
      </c>
      <c r="W47" s="72" t="str">
        <f>'44'!$F$26</f>
        <v/>
      </c>
      <c r="X47" s="72">
        <f>'44'!$F$27</f>
        <v>5.26</v>
      </c>
      <c r="Y47" s="72">
        <f>'44'!$F$28</f>
        <v>4.3099999999999996</v>
      </c>
      <c r="Z47" s="72">
        <f>'44'!$F$29</f>
        <v>4.84</v>
      </c>
      <c r="AA47" s="72">
        <f>'44'!$F$30</f>
        <v>5.46</v>
      </c>
      <c r="AB47" s="72" t="str">
        <f>'44'!$F$31</f>
        <v/>
      </c>
      <c r="AC47" s="72" t="str">
        <f>'44'!$F$32</f>
        <v/>
      </c>
      <c r="AD47" s="93">
        <f>'44'!$F$33</f>
        <v>5</v>
      </c>
    </row>
    <row r="48" spans="1:30" x14ac:dyDescent="0.2">
      <c r="A48" s="92" t="s">
        <v>1028</v>
      </c>
      <c r="B48" s="72">
        <f>'45'!$F$5</f>
        <v>8.14</v>
      </c>
      <c r="C48" s="72">
        <f>'45'!$F$6</f>
        <v>9.9499999999999993</v>
      </c>
      <c r="D48" s="72">
        <f>'45'!$F$7</f>
        <v>5.42</v>
      </c>
      <c r="E48" s="72">
        <f>'45'!$F$8</f>
        <v>4.82</v>
      </c>
      <c r="F48" s="72" t="str">
        <f>'45'!$F$9</f>
        <v/>
      </c>
      <c r="G48" s="72">
        <f>'45'!$F$10</f>
        <v>8.08</v>
      </c>
      <c r="H48" s="72">
        <f>'45'!$F$11</f>
        <v>4.68</v>
      </c>
      <c r="I48" s="72">
        <f>'45'!$F$12</f>
        <v>7.65</v>
      </c>
      <c r="J48" s="72">
        <f>'45'!$F$13</f>
        <v>3.18</v>
      </c>
      <c r="K48" s="72" t="str">
        <f>'45'!$F$14</f>
        <v/>
      </c>
      <c r="L48" s="72">
        <f>'45'!$F$15</f>
        <v>4.7</v>
      </c>
      <c r="M48" s="72">
        <f>'45'!$F$16</f>
        <v>4.9800000000000004</v>
      </c>
      <c r="N48" s="72">
        <f>'45'!$F$17</f>
        <v>6.03</v>
      </c>
      <c r="O48" s="72">
        <f>'45'!$F$18</f>
        <v>10.039999999999999</v>
      </c>
      <c r="P48" s="72">
        <f>'45'!$F$19</f>
        <v>10.99</v>
      </c>
      <c r="Q48" s="72">
        <f>'45'!$F$20</f>
        <v>6.65</v>
      </c>
      <c r="R48" s="72">
        <f>'45'!$F$21</f>
        <v>8.08</v>
      </c>
      <c r="S48" s="72">
        <f>'45'!$F$22</f>
        <v>5.69</v>
      </c>
      <c r="T48" s="72">
        <f>'45'!$F$23</f>
        <v>4.9000000000000004</v>
      </c>
      <c r="U48" s="72" t="str">
        <f>'45'!$F$24</f>
        <v/>
      </c>
      <c r="V48" s="72" t="str">
        <f>'45'!$F$25</f>
        <v/>
      </c>
      <c r="W48" s="72" t="str">
        <f>'45'!$F$26</f>
        <v/>
      </c>
      <c r="X48" s="72">
        <f>'45'!$F$27</f>
        <v>33.68</v>
      </c>
      <c r="Y48" s="72">
        <f>'45'!$F$28</f>
        <v>4.5599999999999996</v>
      </c>
      <c r="Z48" s="72">
        <f>'45'!$F$29</f>
        <v>4.83</v>
      </c>
      <c r="AA48" s="72">
        <f>'45'!$F$30</f>
        <v>7.09</v>
      </c>
      <c r="AB48" s="72" t="str">
        <f>'45'!$F$31</f>
        <v/>
      </c>
      <c r="AC48" s="72" t="str">
        <f>'45'!$F$32</f>
        <v/>
      </c>
      <c r="AD48" s="93">
        <f>'45'!$F$33</f>
        <v>5.58</v>
      </c>
    </row>
    <row r="49" spans="1:30" x14ac:dyDescent="0.2">
      <c r="A49" s="92" t="s">
        <v>1053</v>
      </c>
      <c r="B49" s="72">
        <f>'46'!$F$5</f>
        <v>6.67</v>
      </c>
      <c r="C49" s="72">
        <f>'46'!$F$6</f>
        <v>6.63</v>
      </c>
      <c r="D49" s="72">
        <f>'46'!$F$7</f>
        <v>5.38</v>
      </c>
      <c r="E49" s="72">
        <f>'46'!$F$8</f>
        <v>5.95</v>
      </c>
      <c r="F49" s="72" t="str">
        <f>'46'!$F$9</f>
        <v/>
      </c>
      <c r="G49" s="72" t="str">
        <f>'46'!$F$10</f>
        <v/>
      </c>
      <c r="H49" s="72">
        <f>'46'!$F$11</f>
        <v>5.3</v>
      </c>
      <c r="I49" s="72" t="str">
        <f>'46'!$F$12</f>
        <v/>
      </c>
      <c r="J49" s="72">
        <f>'46'!$F$13</f>
        <v>4.66</v>
      </c>
      <c r="K49" s="72" t="str">
        <f>'46'!$F$14</f>
        <v/>
      </c>
      <c r="L49" s="72">
        <f>'46'!$F$15</f>
        <v>3.39</v>
      </c>
      <c r="M49" s="72">
        <f>'46'!$F$16</f>
        <v>5.69</v>
      </c>
      <c r="N49" s="72">
        <f>'46'!$F$17</f>
        <v>6.09</v>
      </c>
      <c r="O49" s="72">
        <f>'46'!$F$18</f>
        <v>6.63</v>
      </c>
      <c r="P49" s="72" t="str">
        <f>'46'!$F$19</f>
        <v/>
      </c>
      <c r="Q49" s="72">
        <f>'46'!$F$20</f>
        <v>5.35</v>
      </c>
      <c r="R49" s="72" t="str">
        <f>'46'!$F$21</f>
        <v/>
      </c>
      <c r="S49" s="72">
        <f>'46'!$F$22</f>
        <v>4.9400000000000004</v>
      </c>
      <c r="T49" s="72">
        <f>'46'!$F$23</f>
        <v>5.49</v>
      </c>
      <c r="U49" s="72">
        <f>'46'!$F$24</f>
        <v>5.55</v>
      </c>
      <c r="V49" s="72" t="str">
        <f>'46'!$F$25</f>
        <v/>
      </c>
      <c r="W49" s="72">
        <f>'46'!$F$26</f>
        <v>6.13</v>
      </c>
      <c r="X49" s="72">
        <f>'46'!$F$27</f>
        <v>4.43</v>
      </c>
      <c r="Y49" s="72">
        <f>'46'!$F$28</f>
        <v>6.23</v>
      </c>
      <c r="Z49" s="72">
        <f>'46'!$F$29</f>
        <v>4.46</v>
      </c>
      <c r="AA49" s="72">
        <f>'46'!$F$30</f>
        <v>5.59</v>
      </c>
      <c r="AB49" s="72" t="str">
        <f>'46'!$F$31</f>
        <v/>
      </c>
      <c r="AC49" s="72" t="str">
        <f>'46'!$F$32</f>
        <v/>
      </c>
      <c r="AD49" s="93">
        <f>'46'!$F$33</f>
        <v>5.42</v>
      </c>
    </row>
    <row r="50" spans="1:30" x14ac:dyDescent="0.2">
      <c r="A50" s="92" t="s">
        <v>1054</v>
      </c>
      <c r="B50" s="72">
        <f>'47'!$F$5</f>
        <v>5.38</v>
      </c>
      <c r="C50" s="72">
        <f>'47'!$F$6</f>
        <v>10.17</v>
      </c>
      <c r="D50" s="72">
        <f>'47'!$F$7</f>
        <v>7</v>
      </c>
      <c r="E50" s="72">
        <f>'47'!$F$8</f>
        <v>5.4</v>
      </c>
      <c r="F50" s="72" t="str">
        <f>'47'!$F$9</f>
        <v/>
      </c>
      <c r="G50" s="72" t="str">
        <f>'47'!$F$10</f>
        <v/>
      </c>
      <c r="H50" s="72">
        <f>'47'!$F$11</f>
        <v>7.46</v>
      </c>
      <c r="I50" s="72" t="str">
        <f>'47'!$F$12</f>
        <v/>
      </c>
      <c r="J50" s="72">
        <f>'47'!$F$13</f>
        <v>5.42</v>
      </c>
      <c r="K50" s="72" t="str">
        <f>'47'!$F$14</f>
        <v/>
      </c>
      <c r="L50" s="72">
        <f>'47'!$F$15</f>
        <v>7.81</v>
      </c>
      <c r="M50" s="72">
        <f>'47'!$F$16</f>
        <v>6.09</v>
      </c>
      <c r="N50" s="72">
        <f>'47'!$F$17</f>
        <v>6.69</v>
      </c>
      <c r="O50" s="72">
        <f>'47'!$F$18</f>
        <v>12.53</v>
      </c>
      <c r="P50" s="72" t="str">
        <f>'47'!$F$19</f>
        <v/>
      </c>
      <c r="Q50" s="72">
        <f>'47'!$F$20</f>
        <v>8.59</v>
      </c>
      <c r="R50" s="72">
        <f>'47'!$F$21</f>
        <v>8.58</v>
      </c>
      <c r="S50" s="72">
        <f>'47'!$F$22</f>
        <v>5.83</v>
      </c>
      <c r="T50" s="72">
        <f>'47'!$F$23</f>
        <v>5.56</v>
      </c>
      <c r="U50" s="72" t="str">
        <f>'47'!$F$24</f>
        <v/>
      </c>
      <c r="V50" s="72" t="str">
        <f>'47'!$F$25</f>
        <v/>
      </c>
      <c r="W50" s="72" t="str">
        <f>'47'!$F$26</f>
        <v/>
      </c>
      <c r="X50" s="72">
        <f>'47'!$F$27</f>
        <v>6.81</v>
      </c>
      <c r="Y50" s="72">
        <f>'47'!$F$28</f>
        <v>10.92</v>
      </c>
      <c r="Z50" s="72">
        <f>'47'!$F$29</f>
        <v>5.43</v>
      </c>
      <c r="AA50" s="72">
        <f>'47'!$F$30</f>
        <v>7.13</v>
      </c>
      <c r="AB50" s="72" t="str">
        <f>'47'!$F$31</f>
        <v/>
      </c>
      <c r="AC50" s="72" t="str">
        <f>'47'!$F$32</f>
        <v/>
      </c>
      <c r="AD50" s="93">
        <f>'47'!$F$33</f>
        <v>6.77</v>
      </c>
    </row>
    <row r="51" spans="1:30" x14ac:dyDescent="0.2">
      <c r="A51" s="92" t="s">
        <v>1055</v>
      </c>
      <c r="B51" s="72">
        <f>'48'!$F$5</f>
        <v>7.62</v>
      </c>
      <c r="C51" s="72">
        <f>'48'!$F$6</f>
        <v>3.27</v>
      </c>
      <c r="D51" s="72">
        <f>'48'!$F$7</f>
        <v>4.3600000000000003</v>
      </c>
      <c r="E51" s="72">
        <f>'48'!$F$8</f>
        <v>5.69</v>
      </c>
      <c r="F51" s="72" t="str">
        <f>'48'!$F$9</f>
        <v/>
      </c>
      <c r="G51" s="72">
        <f>'48'!$F$10</f>
        <v>5.45</v>
      </c>
      <c r="H51" s="72">
        <f>'48'!$F$11</f>
        <v>5.8</v>
      </c>
      <c r="I51" s="72" t="str">
        <f>'48'!$F$12</f>
        <v/>
      </c>
      <c r="J51" s="72">
        <f>'48'!$F$13</f>
        <v>5.24</v>
      </c>
      <c r="K51" s="72">
        <f>'48'!$F$14</f>
        <v>10.02</v>
      </c>
      <c r="L51" s="72">
        <f>'48'!$F$15</f>
        <v>11.78</v>
      </c>
      <c r="M51" s="72">
        <f>'48'!$F$16</f>
        <v>4.62</v>
      </c>
      <c r="N51" s="72">
        <f>'48'!$F$17</f>
        <v>4.6500000000000004</v>
      </c>
      <c r="O51" s="72">
        <f>'48'!$F$18</f>
        <v>7.61</v>
      </c>
      <c r="P51" s="72" t="str">
        <f>'48'!$F$19</f>
        <v/>
      </c>
      <c r="Q51" s="72">
        <f>'48'!$F$20</f>
        <v>5.33</v>
      </c>
      <c r="R51" s="72">
        <f>'48'!$F$21</f>
        <v>10.34</v>
      </c>
      <c r="S51" s="72">
        <f>'48'!$F$22</f>
        <v>6.87</v>
      </c>
      <c r="T51" s="72">
        <f>'48'!$F$23</f>
        <v>4.5599999999999996</v>
      </c>
      <c r="U51" s="72">
        <f>'48'!$F$24</f>
        <v>5.0599999999999996</v>
      </c>
      <c r="V51" s="72">
        <f>'48'!$F$25</f>
        <v>9.0500000000000007</v>
      </c>
      <c r="W51" s="72" t="str">
        <f>'48'!$F$26</f>
        <v/>
      </c>
      <c r="X51" s="72">
        <f>'48'!$F$27</f>
        <v>6.01</v>
      </c>
      <c r="Y51" s="72">
        <f>'48'!$F$28</f>
        <v>8.51</v>
      </c>
      <c r="Z51" s="72">
        <f>'48'!$F$29</f>
        <v>3.93</v>
      </c>
      <c r="AA51" s="72">
        <f>'48'!$F$30</f>
        <v>9.48</v>
      </c>
      <c r="AB51" s="72" t="str">
        <f>'48'!$F$31</f>
        <v/>
      </c>
      <c r="AC51" s="72" t="str">
        <f>'48'!$F$32</f>
        <v/>
      </c>
      <c r="AD51" s="93">
        <f>'48'!$F$33</f>
        <v>5.66</v>
      </c>
    </row>
    <row r="52" spans="1:30" x14ac:dyDescent="0.2">
      <c r="A52" s="92" t="s">
        <v>1056</v>
      </c>
      <c r="B52" s="72">
        <f>'49'!$F$5</f>
        <v>6.38</v>
      </c>
      <c r="C52" s="72">
        <f>'49'!$F$6</f>
        <v>8.9</v>
      </c>
      <c r="D52" s="72">
        <f>'49'!$F$7</f>
        <v>5.81</v>
      </c>
      <c r="E52" s="72">
        <f>'49'!$F$8</f>
        <v>8.9</v>
      </c>
      <c r="F52" s="72" t="str">
        <f>'49'!$F$9</f>
        <v/>
      </c>
      <c r="G52" s="72">
        <f>'49'!$F$10</f>
        <v>11.84</v>
      </c>
      <c r="H52" s="72">
        <f>'49'!$F$11</f>
        <v>4.75</v>
      </c>
      <c r="I52" s="72">
        <f>'49'!$F$12</f>
        <v>6.09</v>
      </c>
      <c r="J52" s="72">
        <f>'49'!$F$13</f>
        <v>8.1300000000000008</v>
      </c>
      <c r="K52" s="72" t="str">
        <f>'49'!$F$14</f>
        <v/>
      </c>
      <c r="L52" s="72">
        <f>'49'!$F$15</f>
        <v>5.19</v>
      </c>
      <c r="M52" s="72">
        <f>'49'!$F$16</f>
        <v>6.17</v>
      </c>
      <c r="N52" s="72">
        <f>'49'!$F$17</f>
        <v>7.88</v>
      </c>
      <c r="O52" s="72">
        <f>'49'!$F$18</f>
        <v>6.49</v>
      </c>
      <c r="P52" s="72" t="str">
        <f>'49'!$F$19</f>
        <v/>
      </c>
      <c r="Q52" s="72">
        <f>'49'!$F$20</f>
        <v>6.98</v>
      </c>
      <c r="R52" s="72" t="str">
        <f>'49'!$F$21</f>
        <v/>
      </c>
      <c r="S52" s="72">
        <f>'49'!$F$22</f>
        <v>5.45</v>
      </c>
      <c r="T52" s="72">
        <f>'49'!$F$23</f>
        <v>4.76</v>
      </c>
      <c r="U52" s="72">
        <f>'49'!$F$24</f>
        <v>7.17</v>
      </c>
      <c r="V52" s="72">
        <f>'49'!$F$25</f>
        <v>13.24</v>
      </c>
      <c r="W52" s="72">
        <f>'49'!$F$26</f>
        <v>11.85</v>
      </c>
      <c r="X52" s="72">
        <f>'49'!$F$27</f>
        <v>10.01</v>
      </c>
      <c r="Y52" s="72">
        <f>'49'!$F$28</f>
        <v>6.15</v>
      </c>
      <c r="Z52" s="72">
        <f>'49'!$F$29</f>
        <v>5.62</v>
      </c>
      <c r="AA52" s="72">
        <f>'49'!$F$30</f>
        <v>8.01</v>
      </c>
      <c r="AB52" s="72" t="str">
        <f>'49'!$F$31</f>
        <v/>
      </c>
      <c r="AC52" s="72" t="str">
        <f>'49'!$F$32</f>
        <v/>
      </c>
      <c r="AD52" s="93">
        <f>'49'!$F$33</f>
        <v>6.28</v>
      </c>
    </row>
    <row r="53" spans="1:30" x14ac:dyDescent="0.2">
      <c r="A53" s="92" t="s">
        <v>1064</v>
      </c>
      <c r="B53" s="72">
        <f>'50'!$F$5</f>
        <v>5.73</v>
      </c>
      <c r="C53" s="72">
        <f>'50'!$F$6</f>
        <v>5.75</v>
      </c>
      <c r="D53" s="72">
        <f>'50'!$F$7</f>
        <v>5.74</v>
      </c>
      <c r="E53" s="72">
        <f>'50'!$F$8</f>
        <v>5.55</v>
      </c>
      <c r="F53" s="72" t="str">
        <f>'50'!$F$9</f>
        <v/>
      </c>
      <c r="G53" s="72" t="str">
        <f>'50'!$F$10</f>
        <v/>
      </c>
      <c r="H53" s="72">
        <f>'50'!$F$11</f>
        <v>5.39</v>
      </c>
      <c r="I53" s="72">
        <f>'50'!$F$12</f>
        <v>3.85</v>
      </c>
      <c r="J53" s="72">
        <f>'50'!$F$13</f>
        <v>5.67</v>
      </c>
      <c r="K53" s="72">
        <f>'50'!$F$14</f>
        <v>5.74</v>
      </c>
      <c r="L53" s="72">
        <f>'50'!$F$15</f>
        <v>5.56</v>
      </c>
      <c r="M53" s="72">
        <f>'50'!$F$16</f>
        <v>5.75</v>
      </c>
      <c r="N53" s="72">
        <f>'50'!$F$17</f>
        <v>5.45</v>
      </c>
      <c r="O53" s="72">
        <f>'50'!$F$18</f>
        <v>5.35</v>
      </c>
      <c r="P53" s="72">
        <f>'50'!$F$19</f>
        <v>5.75</v>
      </c>
      <c r="Q53" s="72">
        <f>'50'!$F$20</f>
        <v>5.08</v>
      </c>
      <c r="R53" s="72" t="str">
        <f>'50'!$F$21</f>
        <v/>
      </c>
      <c r="S53" s="72">
        <f>'50'!$F$22</f>
        <v>5.68</v>
      </c>
      <c r="T53" s="72">
        <f>'50'!$F$23</f>
        <v>5.75</v>
      </c>
      <c r="U53" s="72">
        <f>'50'!$F$24</f>
        <v>5.75</v>
      </c>
      <c r="V53" s="72" t="str">
        <f>'50'!$F$25</f>
        <v/>
      </c>
      <c r="W53" s="72">
        <f>'50'!$F$26</f>
        <v>5.75</v>
      </c>
      <c r="X53" s="72">
        <f>'50'!$F$27</f>
        <v>5.75</v>
      </c>
      <c r="Y53" s="72">
        <f>'50'!$F$28</f>
        <v>5.13</v>
      </c>
      <c r="Z53" s="72">
        <f>'50'!$F$29</f>
        <v>5.75</v>
      </c>
      <c r="AA53" s="72">
        <f>'50'!$F$30</f>
        <v>5.75</v>
      </c>
      <c r="AB53" s="72" t="str">
        <f>'50'!$F$31</f>
        <v/>
      </c>
      <c r="AC53" s="72" t="str">
        <f>'50'!$F$32</f>
        <v/>
      </c>
      <c r="AD53" s="93">
        <f>'50'!$F$33</f>
        <v>5.62</v>
      </c>
    </row>
    <row r="54" spans="1:30" x14ac:dyDescent="0.2">
      <c r="A54" s="90" t="s">
        <v>937</v>
      </c>
      <c r="B54" s="72">
        <f>'51'!$F$5</f>
        <v>9.06</v>
      </c>
      <c r="C54" s="72">
        <f>'51'!$F$6</f>
        <v>8.18</v>
      </c>
      <c r="D54" s="72">
        <f>'51'!$F$7</f>
        <v>4.33</v>
      </c>
      <c r="E54" s="72">
        <f>'51'!$F$8</f>
        <v>4.41</v>
      </c>
      <c r="F54" s="72" t="str">
        <f>'51'!$F$9</f>
        <v/>
      </c>
      <c r="G54" s="72" t="str">
        <f>'51'!$F$10</f>
        <v/>
      </c>
      <c r="H54" s="72">
        <f>'51'!$F$11</f>
        <v>5.04</v>
      </c>
      <c r="I54" s="72">
        <f>'51'!$F$12</f>
        <v>11.97</v>
      </c>
      <c r="J54" s="72">
        <f>'51'!$F$13</f>
        <v>5.57</v>
      </c>
      <c r="K54" s="72" t="str">
        <f>'51'!$F$14</f>
        <v/>
      </c>
      <c r="L54" s="72">
        <f>'51'!$F$15</f>
        <v>5.48</v>
      </c>
      <c r="M54" s="72">
        <f>'51'!$F$16</f>
        <v>4.2</v>
      </c>
      <c r="N54" s="72">
        <f>'51'!$F$17</f>
        <v>3.51</v>
      </c>
      <c r="O54" s="72">
        <f>'51'!$F$18</f>
        <v>9.4600000000000009</v>
      </c>
      <c r="P54" s="72">
        <f>'51'!$F$19</f>
        <v>19.57</v>
      </c>
      <c r="Q54" s="72">
        <f>'51'!$F$20</f>
        <v>7.18</v>
      </c>
      <c r="R54" s="72" t="str">
        <f>'51'!$F$21</f>
        <v/>
      </c>
      <c r="S54" s="72" t="str">
        <f>'51'!$F$22</f>
        <v/>
      </c>
      <c r="T54" s="72">
        <f>'51'!$F$23</f>
        <v>3.49</v>
      </c>
      <c r="U54" s="72">
        <f>'51'!$F$24</f>
        <v>7.23</v>
      </c>
      <c r="V54" s="72">
        <f>'51'!$F$25</f>
        <v>9.89</v>
      </c>
      <c r="W54" s="72">
        <f>'51'!$F$26</f>
        <v>4.0199999999999996</v>
      </c>
      <c r="X54" s="72" t="str">
        <f>'51'!$F$27</f>
        <v/>
      </c>
      <c r="Y54" s="72">
        <f>'51'!$F$28</f>
        <v>4.38</v>
      </c>
      <c r="Z54" s="72">
        <f>'51'!$F$29</f>
        <v>3.48</v>
      </c>
      <c r="AA54" s="72">
        <f>'51'!$F$30</f>
        <v>2.92</v>
      </c>
      <c r="AB54" s="72" t="str">
        <f>'51'!$F$31</f>
        <v/>
      </c>
      <c r="AC54" s="72" t="str">
        <f>'51'!$F$32</f>
        <v/>
      </c>
      <c r="AD54" s="93">
        <f>'51'!$F$33</f>
        <v>4.8600000000000003</v>
      </c>
    </row>
    <row r="55" spans="1:30" x14ac:dyDescent="0.2">
      <c r="A55" s="90" t="s">
        <v>938</v>
      </c>
      <c r="B55" s="72">
        <f>'52'!$F$5</f>
        <v>6.19</v>
      </c>
      <c r="C55" s="72">
        <f>'52'!$F$6</f>
        <v>5.43</v>
      </c>
      <c r="D55" s="72">
        <f>'52'!$F$7</f>
        <v>5.49</v>
      </c>
      <c r="E55" s="72">
        <f>'52'!$F$8</f>
        <v>6.36</v>
      </c>
      <c r="F55" s="72" t="str">
        <f>'52'!$F$9</f>
        <v/>
      </c>
      <c r="G55" s="72" t="str">
        <f>'52'!$F$10</f>
        <v/>
      </c>
      <c r="H55" s="72">
        <f>'52'!$F$11</f>
        <v>4.93</v>
      </c>
      <c r="I55" s="72">
        <f>'52'!$F$12</f>
        <v>8.6</v>
      </c>
      <c r="J55" s="72" t="str">
        <f>'52'!$F$13</f>
        <v/>
      </c>
      <c r="K55" s="72" t="str">
        <f>'52'!$F$14</f>
        <v/>
      </c>
      <c r="L55" s="72">
        <f>'52'!$F$15</f>
        <v>7.55</v>
      </c>
      <c r="M55" s="72">
        <f>'52'!$F$16</f>
        <v>7.04</v>
      </c>
      <c r="N55" s="72" t="str">
        <f>'52'!$F$17</f>
        <v/>
      </c>
      <c r="O55" s="72" t="str">
        <f>'52'!$F$18</f>
        <v/>
      </c>
      <c r="P55" s="72" t="str">
        <f>'52'!$F$19</f>
        <v/>
      </c>
      <c r="Q55" s="72">
        <f>'52'!$F$20</f>
        <v>7</v>
      </c>
      <c r="R55" s="72" t="str">
        <f>'52'!$F$21</f>
        <v/>
      </c>
      <c r="S55" s="72">
        <f>'52'!$F$22</f>
        <v>4.71</v>
      </c>
      <c r="T55" s="72">
        <f>'52'!$F$23</f>
        <v>5.56</v>
      </c>
      <c r="U55" s="72">
        <f>'52'!$F$24</f>
        <v>4.91</v>
      </c>
      <c r="V55" s="72">
        <f>'52'!$F$25</f>
        <v>6.34</v>
      </c>
      <c r="W55" s="72">
        <f>'52'!$F$26</f>
        <v>6.89</v>
      </c>
      <c r="X55" s="72" t="str">
        <f>'52'!$F$27</f>
        <v/>
      </c>
      <c r="Y55" s="72">
        <f>'52'!$F$28</f>
        <v>3.56</v>
      </c>
      <c r="Z55" s="72">
        <f>'52'!$F$29</f>
        <v>5.18</v>
      </c>
      <c r="AA55" s="72">
        <f>'52'!$F$30</f>
        <v>8.6</v>
      </c>
      <c r="AB55" s="72" t="str">
        <f>'52'!$F$31</f>
        <v/>
      </c>
      <c r="AC55" s="72" t="str">
        <f>'52'!$F$32</f>
        <v/>
      </c>
      <c r="AD55" s="93">
        <f>'52'!$F$33</f>
        <v>5.67</v>
      </c>
    </row>
    <row r="56" spans="1:30" x14ac:dyDescent="0.2">
      <c r="A56" s="90" t="s">
        <v>939</v>
      </c>
      <c r="B56" s="72" t="str">
        <f>'53'!$F$5</f>
        <v/>
      </c>
      <c r="C56" s="72" t="str">
        <f>'53'!$F$6</f>
        <v/>
      </c>
      <c r="D56" s="72" t="str">
        <f>'53'!$F$7</f>
        <v/>
      </c>
      <c r="E56" s="72" t="str">
        <f>'53'!$F$8</f>
        <v/>
      </c>
      <c r="F56" s="72" t="str">
        <f>'53'!$F$9</f>
        <v/>
      </c>
      <c r="G56" s="72" t="str">
        <f>'53'!$F$10</f>
        <v/>
      </c>
      <c r="H56" s="72" t="str">
        <f>'53'!$F$11</f>
        <v/>
      </c>
      <c r="I56" s="72" t="str">
        <f>'53'!$F$12</f>
        <v/>
      </c>
      <c r="J56" s="72" t="str">
        <f>'53'!$F$13</f>
        <v/>
      </c>
      <c r="K56" s="72" t="str">
        <f>'53'!$F$14</f>
        <v/>
      </c>
      <c r="L56" s="72" t="str">
        <f>'53'!$F$15</f>
        <v/>
      </c>
      <c r="M56" s="72" t="str">
        <f>'53'!$F$16</f>
        <v/>
      </c>
      <c r="N56" s="72" t="str">
        <f>'53'!$F$17</f>
        <v/>
      </c>
      <c r="O56" s="72" t="str">
        <f>'53'!$F$18</f>
        <v/>
      </c>
      <c r="P56" s="72" t="str">
        <f>'53'!$F$19</f>
        <v/>
      </c>
      <c r="Q56" s="72" t="str">
        <f>'53'!$F$20</f>
        <v/>
      </c>
      <c r="R56" s="72" t="str">
        <f>'53'!$F$21</f>
        <v/>
      </c>
      <c r="S56" s="72" t="str">
        <f>'53'!$F$22</f>
        <v/>
      </c>
      <c r="T56" s="72" t="str">
        <f>'53'!$F$23</f>
        <v/>
      </c>
      <c r="U56" s="72" t="str">
        <f>'53'!$F$24</f>
        <v/>
      </c>
      <c r="V56" s="72" t="str">
        <f>'53'!$F$25</f>
        <v/>
      </c>
      <c r="W56" s="72" t="str">
        <f>'53'!$F$26</f>
        <v/>
      </c>
      <c r="X56" s="72" t="str">
        <f>'53'!$F$27</f>
        <v/>
      </c>
      <c r="Y56" s="72" t="str">
        <f>'53'!$F$28</f>
        <v/>
      </c>
      <c r="Z56" s="72" t="str">
        <f>'53'!$F$29</f>
        <v/>
      </c>
      <c r="AA56" s="72" t="str">
        <f>'53'!$F$30</f>
        <v/>
      </c>
      <c r="AB56" s="72" t="str">
        <f>'53'!$F$31</f>
        <v/>
      </c>
      <c r="AC56" s="72" t="str">
        <f>'53'!$F$32</f>
        <v/>
      </c>
      <c r="AD56" s="93" t="str">
        <f>'53'!$F$33</f>
        <v/>
      </c>
    </row>
    <row r="57" spans="1:30" x14ac:dyDescent="0.2">
      <c r="A57" s="90" t="s">
        <v>940</v>
      </c>
      <c r="B57" s="72">
        <f>'54'!$F$5</f>
        <v>8.27</v>
      </c>
      <c r="C57" s="72">
        <f>'54'!$F$6</f>
        <v>5.54</v>
      </c>
      <c r="D57" s="72">
        <f>'54'!$F$7</f>
        <v>5.1100000000000003</v>
      </c>
      <c r="E57" s="72">
        <f>'54'!$F$8</f>
        <v>2.68</v>
      </c>
      <c r="F57" s="72">
        <f>'54'!$F$9</f>
        <v>14.35</v>
      </c>
      <c r="G57" s="72">
        <f>'54'!$F$10</f>
        <v>5.61</v>
      </c>
      <c r="H57" s="72">
        <f>'54'!$F$11</f>
        <v>4.0199999999999996</v>
      </c>
      <c r="I57" s="72">
        <f>'54'!$F$12</f>
        <v>2.2799999999999998</v>
      </c>
      <c r="J57" s="72">
        <f>'54'!$F$13</f>
        <v>5.68</v>
      </c>
      <c r="K57" s="72" t="str">
        <f>'54'!$F$14</f>
        <v/>
      </c>
      <c r="L57" s="72">
        <f>'54'!$F$15</f>
        <v>6.14</v>
      </c>
      <c r="M57" s="72">
        <f>'54'!$F$16</f>
        <v>4.24</v>
      </c>
      <c r="N57" s="72" t="str">
        <f>'54'!$F$17</f>
        <v/>
      </c>
      <c r="O57" s="72">
        <f>'54'!$F$18</f>
        <v>3.36</v>
      </c>
      <c r="P57" s="72" t="str">
        <f>'54'!$F$19</f>
        <v/>
      </c>
      <c r="Q57" s="72">
        <f>'54'!$F$20</f>
        <v>6.24</v>
      </c>
      <c r="R57" s="72" t="str">
        <f>'54'!$F$21</f>
        <v/>
      </c>
      <c r="S57" s="72" t="str">
        <f>'54'!$F$22</f>
        <v/>
      </c>
      <c r="T57" s="72">
        <f>'54'!$F$23</f>
        <v>4.41</v>
      </c>
      <c r="U57" s="72">
        <f>'54'!$F$24</f>
        <v>6.3</v>
      </c>
      <c r="V57" s="72">
        <f>'54'!$F$25</f>
        <v>4.82</v>
      </c>
      <c r="W57" s="72">
        <f>'54'!$F$26</f>
        <v>7.64</v>
      </c>
      <c r="X57" s="72" t="str">
        <f>'54'!$F$27</f>
        <v/>
      </c>
      <c r="Y57" s="72" t="str">
        <f>'54'!$F$28</f>
        <v/>
      </c>
      <c r="Z57" s="72">
        <f>'54'!$F$29</f>
        <v>3.18</v>
      </c>
      <c r="AA57" s="72">
        <f>'54'!$F$30</f>
        <v>4.6500000000000004</v>
      </c>
      <c r="AB57" s="72" t="str">
        <f>'54'!$F$31</f>
        <v/>
      </c>
      <c r="AC57" s="72" t="str">
        <f>'54'!$F$32</f>
        <v/>
      </c>
      <c r="AD57" s="93">
        <f>'54'!$F$33</f>
        <v>5.14</v>
      </c>
    </row>
    <row r="58" spans="1:30" x14ac:dyDescent="0.2">
      <c r="A58" s="90" t="s">
        <v>941</v>
      </c>
      <c r="B58" s="72" t="str">
        <f>'55'!$F$5</f>
        <v/>
      </c>
      <c r="C58" s="72" t="str">
        <f>'55'!$F$6</f>
        <v/>
      </c>
      <c r="D58" s="72" t="str">
        <f>'55'!$F$7</f>
        <v/>
      </c>
      <c r="E58" s="72" t="str">
        <f>'55'!$F$8</f>
        <v/>
      </c>
      <c r="F58" s="72" t="str">
        <f>'55'!$F$9</f>
        <v/>
      </c>
      <c r="G58" s="72" t="str">
        <f>'55'!$F$10</f>
        <v/>
      </c>
      <c r="H58" s="72" t="str">
        <f>'55'!$F$11</f>
        <v/>
      </c>
      <c r="I58" s="72" t="str">
        <f>'55'!$F$12</f>
        <v/>
      </c>
      <c r="J58" s="72" t="str">
        <f>'55'!$F$13</f>
        <v/>
      </c>
      <c r="K58" s="72" t="str">
        <f>'55'!$F$14</f>
        <v/>
      </c>
      <c r="L58" s="72" t="str">
        <f>'55'!$F$15</f>
        <v/>
      </c>
      <c r="M58" s="72" t="str">
        <f>'55'!$F$16</f>
        <v/>
      </c>
      <c r="N58" s="72" t="str">
        <f>'55'!$F$17</f>
        <v/>
      </c>
      <c r="O58" s="72" t="str">
        <f>'55'!$F$18</f>
        <v/>
      </c>
      <c r="P58" s="72" t="str">
        <f>'55'!$F$19</f>
        <v/>
      </c>
      <c r="Q58" s="72" t="str">
        <f>'55'!$F$20</f>
        <v/>
      </c>
      <c r="R58" s="72" t="str">
        <f>'55'!$F$21</f>
        <v/>
      </c>
      <c r="S58" s="72" t="str">
        <f>'55'!$F$22</f>
        <v/>
      </c>
      <c r="T58" s="72" t="str">
        <f>'55'!$F$23</f>
        <v/>
      </c>
      <c r="U58" s="72" t="str">
        <f>'55'!$F$24</f>
        <v/>
      </c>
      <c r="V58" s="72" t="str">
        <f>'55'!$F$25</f>
        <v/>
      </c>
      <c r="W58" s="72" t="str">
        <f>'55'!$F$26</f>
        <v/>
      </c>
      <c r="X58" s="72" t="str">
        <f>'55'!$F$27</f>
        <v/>
      </c>
      <c r="Y58" s="72" t="str">
        <f>'55'!$F$28</f>
        <v/>
      </c>
      <c r="Z58" s="72" t="str">
        <f>'55'!$F$29</f>
        <v/>
      </c>
      <c r="AA58" s="72" t="str">
        <f>'55'!$F$30</f>
        <v/>
      </c>
      <c r="AB58" s="72" t="str">
        <f>'55'!$F$31</f>
        <v/>
      </c>
      <c r="AC58" s="72" t="str">
        <f>'55'!$F$32</f>
        <v/>
      </c>
      <c r="AD58" s="93" t="str">
        <f>'55'!$F$33</f>
        <v/>
      </c>
    </row>
    <row r="59" spans="1:30" x14ac:dyDescent="0.2">
      <c r="A59" s="90" t="s">
        <v>942</v>
      </c>
      <c r="B59" s="72">
        <f>'56'!$F$5</f>
        <v>6.74</v>
      </c>
      <c r="C59" s="72" t="str">
        <f>'56'!$F$6</f>
        <v/>
      </c>
      <c r="D59" s="72">
        <f>'56'!$F$7</f>
        <v>6.74</v>
      </c>
      <c r="E59" s="72">
        <f>'56'!$F$8</f>
        <v>6.74</v>
      </c>
      <c r="F59" s="72" t="str">
        <f>'56'!$F$9</f>
        <v/>
      </c>
      <c r="G59" s="72">
        <f>'56'!$F$10</f>
        <v>6.74</v>
      </c>
      <c r="H59" s="72">
        <f>'56'!$F$11</f>
        <v>6.74</v>
      </c>
      <c r="I59" s="72" t="str">
        <f>'56'!$F$12</f>
        <v/>
      </c>
      <c r="J59" s="72">
        <f>'56'!$F$13</f>
        <v>6.74</v>
      </c>
      <c r="K59" s="72" t="str">
        <f>'56'!$F$14</f>
        <v/>
      </c>
      <c r="L59" s="72">
        <f>'56'!$F$15</f>
        <v>6.74</v>
      </c>
      <c r="M59" s="72">
        <f>'56'!$F$16</f>
        <v>6.74</v>
      </c>
      <c r="N59" s="72">
        <f>'56'!$F$17</f>
        <v>6.74</v>
      </c>
      <c r="O59" s="72">
        <f>'56'!$F$18</f>
        <v>6.74</v>
      </c>
      <c r="P59" s="72" t="str">
        <f>'56'!$F$19</f>
        <v/>
      </c>
      <c r="Q59" s="72">
        <f>'56'!$F$20</f>
        <v>6.74</v>
      </c>
      <c r="R59" s="72" t="str">
        <f>'56'!$F$21</f>
        <v/>
      </c>
      <c r="S59" s="72">
        <f>'56'!$F$22</f>
        <v>6.74</v>
      </c>
      <c r="T59" s="72">
        <f>'56'!$F$23</f>
        <v>6.74</v>
      </c>
      <c r="U59" s="72" t="str">
        <f>'56'!$F$24</f>
        <v/>
      </c>
      <c r="V59" s="72" t="str">
        <f>'56'!$F$25</f>
        <v/>
      </c>
      <c r="W59" s="72">
        <f>'56'!$F$26</f>
        <v>6.74</v>
      </c>
      <c r="X59" s="72">
        <f>'56'!$F$27</f>
        <v>6.74</v>
      </c>
      <c r="Y59" s="72">
        <f>'56'!$F$28</f>
        <v>6.74</v>
      </c>
      <c r="Z59" s="72">
        <f>'56'!$F$29</f>
        <v>6.74</v>
      </c>
      <c r="AA59" s="72">
        <f>'56'!$F$30</f>
        <v>6.74</v>
      </c>
      <c r="AB59" s="72" t="str">
        <f>'56'!$F$31</f>
        <v/>
      </c>
      <c r="AC59" s="72" t="str">
        <f>'56'!$F$32</f>
        <v/>
      </c>
      <c r="AD59" s="93">
        <f>'56'!$F$33</f>
        <v>6.74</v>
      </c>
    </row>
    <row r="60" spans="1:30" ht="15" thickBot="1" x14ac:dyDescent="0.25">
      <c r="A60" s="71" t="s">
        <v>943</v>
      </c>
      <c r="B60" s="69" t="str">
        <f>'57'!$F$5</f>
        <v/>
      </c>
      <c r="C60" s="69" t="str">
        <f>'57'!$F$6</f>
        <v/>
      </c>
      <c r="D60" s="69">
        <f>'57'!$F$7</f>
        <v>6.44</v>
      </c>
      <c r="E60" s="69">
        <f>'57'!$F$8</f>
        <v>6.45</v>
      </c>
      <c r="F60" s="69" t="str">
        <f>'57'!$F$9</f>
        <v/>
      </c>
      <c r="G60" s="69" t="str">
        <f>'57'!$F$10</f>
        <v/>
      </c>
      <c r="H60" s="69">
        <f>'57'!$F$11</f>
        <v>6.44</v>
      </c>
      <c r="I60" s="69">
        <f>'57'!$F$12</f>
        <v>6.46</v>
      </c>
      <c r="J60" s="69">
        <f>'57'!$F$13</f>
        <v>6.45</v>
      </c>
      <c r="K60" s="69" t="str">
        <f>'57'!$F$14</f>
        <v/>
      </c>
      <c r="L60" s="69" t="str">
        <f>'57'!$F$15</f>
        <v/>
      </c>
      <c r="M60" s="69">
        <f>'57'!$F$16</f>
        <v>6.44</v>
      </c>
      <c r="N60" s="69">
        <f>'57'!$F$17</f>
        <v>6.44</v>
      </c>
      <c r="O60" s="69">
        <f>'57'!$F$18</f>
        <v>6.46</v>
      </c>
      <c r="P60" s="69" t="str">
        <f>'57'!$F$19</f>
        <v/>
      </c>
      <c r="Q60" s="69">
        <f>'57'!$F$20</f>
        <v>6.46</v>
      </c>
      <c r="R60" s="69" t="str">
        <f>'57'!$F$21</f>
        <v/>
      </c>
      <c r="S60" s="69">
        <f>'57'!$F$22</f>
        <v>6.46</v>
      </c>
      <c r="T60" s="69">
        <f>'57'!$F$23</f>
        <v>6.44</v>
      </c>
      <c r="U60" s="69">
        <f>'57'!$F$24</f>
        <v>6.46</v>
      </c>
      <c r="V60" s="69" t="str">
        <f>'57'!$F$25</f>
        <v/>
      </c>
      <c r="W60" s="69">
        <f>'57'!$F$26</f>
        <v>6.46</v>
      </c>
      <c r="X60" s="69" t="str">
        <f>'57'!$F$27</f>
        <v/>
      </c>
      <c r="Y60" s="69" t="str">
        <f>'57'!$F$28</f>
        <v/>
      </c>
      <c r="Z60" s="69">
        <f>'57'!$F$29</f>
        <v>6.44</v>
      </c>
      <c r="AA60" s="69" t="str">
        <f>'57'!$F$30</f>
        <v/>
      </c>
      <c r="AB60" s="69" t="str">
        <f>'57'!$F$31</f>
        <v/>
      </c>
      <c r="AC60" s="69" t="str">
        <f>'57'!$F$32</f>
        <v/>
      </c>
      <c r="AD60" s="70">
        <f>'57'!$F$33</f>
        <v>6.45</v>
      </c>
    </row>
    <row r="61" spans="1:30" s="66" customFormat="1" x14ac:dyDescent="0.2">
      <c r="A61" s="88" t="s">
        <v>35</v>
      </c>
      <c r="B61" s="118">
        <f>Summary!$F$5</f>
        <v>6.8100000000000005</v>
      </c>
      <c r="C61" s="118">
        <f>Summary!$F$6</f>
        <v>6.6400000000000006</v>
      </c>
      <c r="D61" s="118">
        <f>Summary!$F$7</f>
        <v>5.51</v>
      </c>
      <c r="E61" s="118">
        <f>Summary!$F$8</f>
        <v>6.22</v>
      </c>
      <c r="F61" s="118">
        <f>Summary!$F$9</f>
        <v>18.690000000000001</v>
      </c>
      <c r="G61" s="118">
        <f>Summary!$F$10</f>
        <v>8.2100000000000009</v>
      </c>
      <c r="H61" s="118">
        <f>Summary!$F$11</f>
        <v>5.4399999999999995</v>
      </c>
      <c r="I61" s="118">
        <f>Summary!$F$12</f>
        <v>5.99</v>
      </c>
      <c r="J61" s="118">
        <f>Summary!$F$13</f>
        <v>5.35</v>
      </c>
      <c r="K61" s="118">
        <f>Summary!$F$14</f>
        <v>7.6400000000000006</v>
      </c>
      <c r="L61" s="118">
        <f>Summary!$F$15</f>
        <v>6.42</v>
      </c>
      <c r="M61" s="118">
        <f>Summary!$F$16</f>
        <v>5.26</v>
      </c>
      <c r="N61" s="118">
        <f>Summary!$F$17</f>
        <v>5.6999999999999993</v>
      </c>
      <c r="O61" s="118">
        <f>Summary!$F$18</f>
        <v>9.0399999999999991</v>
      </c>
      <c r="P61" s="118">
        <f>Summary!$F$19</f>
        <v>11.21</v>
      </c>
      <c r="Q61" s="118">
        <f>Summary!$F$20</f>
        <v>6.51</v>
      </c>
      <c r="R61" s="118">
        <f>Summary!$F$21</f>
        <v>8.64</v>
      </c>
      <c r="S61" s="118">
        <f>Summary!$F$22</f>
        <v>5.76</v>
      </c>
      <c r="T61" s="118">
        <f>Summary!$F$23</f>
        <v>4.96</v>
      </c>
      <c r="U61" s="118">
        <f>Summary!$F$24</f>
        <v>6.49</v>
      </c>
      <c r="V61" s="118">
        <f>Summary!$F$25</f>
        <v>7.32</v>
      </c>
      <c r="W61" s="118">
        <f>Summary!$F$26</f>
        <v>6.4700000000000006</v>
      </c>
      <c r="X61" s="118">
        <f>Summary!$F$27</f>
        <v>6.21</v>
      </c>
      <c r="Y61" s="118">
        <f>Summary!$F$28</f>
        <v>4.9399999999999995</v>
      </c>
      <c r="Z61" s="118">
        <f>Summary!$F$29</f>
        <v>4.97</v>
      </c>
      <c r="AA61" s="118">
        <f>Summary!$F$30</f>
        <v>7.33</v>
      </c>
      <c r="AB61" s="118"/>
      <c r="AC61" s="118"/>
      <c r="AD61" s="119">
        <f>Summary!$F$33</f>
        <v>5.77</v>
      </c>
    </row>
    <row r="62" spans="1:30" s="66" customFormat="1" x14ac:dyDescent="0.2">
      <c r="A62" s="95" t="s">
        <v>947</v>
      </c>
      <c r="B62" s="18">
        <f>AVERAGE(B$4:B$60)</f>
        <v>7.4035714285714285</v>
      </c>
      <c r="C62" s="18">
        <f t="shared" ref="C62:AD62" si="0">AVERAGE(C$4:C$60)</f>
        <v>6.923043478260869</v>
      </c>
      <c r="D62" s="18">
        <f t="shared" si="0"/>
        <v>5.7066037735849058</v>
      </c>
      <c r="E62" s="18">
        <f t="shared" si="0"/>
        <v>6.5692452830188675</v>
      </c>
      <c r="F62" s="18">
        <f t="shared" si="0"/>
        <v>17.755454545454544</v>
      </c>
      <c r="G62" s="18">
        <f t="shared" si="0"/>
        <v>10.472702702702698</v>
      </c>
      <c r="H62" s="18">
        <f t="shared" si="0"/>
        <v>5.8407692307692303</v>
      </c>
      <c r="I62" s="18">
        <f t="shared" si="0"/>
        <v>7.9987878787878781</v>
      </c>
      <c r="J62" s="18">
        <f t="shared" si="0"/>
        <v>6.4990384615384631</v>
      </c>
      <c r="K62" s="18">
        <f t="shared" si="0"/>
        <v>25.091666666666669</v>
      </c>
      <c r="L62" s="18">
        <f t="shared" si="0"/>
        <v>7.0545652173913043</v>
      </c>
      <c r="M62" s="18">
        <f t="shared" si="0"/>
        <v>5.5230188679245273</v>
      </c>
      <c r="N62" s="18">
        <f t="shared" si="0"/>
        <v>6.3057999999999979</v>
      </c>
      <c r="O62" s="18">
        <f t="shared" si="0"/>
        <v>9.4725531914893626</v>
      </c>
      <c r="P62" s="18">
        <f t="shared" si="0"/>
        <v>12.116923076923076</v>
      </c>
      <c r="Q62" s="18">
        <f t="shared" si="0"/>
        <v>6.7707999999999968</v>
      </c>
      <c r="R62" s="18">
        <f t="shared" si="0"/>
        <v>9.3247619047619068</v>
      </c>
      <c r="S62" s="18">
        <f t="shared" si="0"/>
        <v>6.5564583333333326</v>
      </c>
      <c r="T62" s="18">
        <f t="shared" si="0"/>
        <v>5.2362264150943405</v>
      </c>
      <c r="U62" s="18">
        <f t="shared" si="0"/>
        <v>7.2130769230769243</v>
      </c>
      <c r="V62" s="18">
        <f t="shared" si="0"/>
        <v>8.369259259259259</v>
      </c>
      <c r="W62" s="18">
        <f t="shared" si="0"/>
        <v>6.9979999999999976</v>
      </c>
      <c r="X62" s="18">
        <f t="shared" si="0"/>
        <v>8.8773469387755117</v>
      </c>
      <c r="Y62" s="18">
        <f t="shared" si="0"/>
        <v>5.473061224489796</v>
      </c>
      <c r="Z62" s="18">
        <f t="shared" si="0"/>
        <v>5.2030188679245306</v>
      </c>
      <c r="AA62" s="18">
        <f t="shared" si="0"/>
        <v>7.8596153846153847</v>
      </c>
      <c r="AB62" s="18"/>
      <c r="AC62" s="18"/>
      <c r="AD62" s="21">
        <f t="shared" si="0"/>
        <v>5.9732075471698121</v>
      </c>
    </row>
    <row r="63" spans="1:30" s="66" customFormat="1" x14ac:dyDescent="0.2">
      <c r="A63" s="95" t="s">
        <v>948</v>
      </c>
      <c r="B63" s="18">
        <f>MAX(B$4:B$60)</f>
        <v>15.88</v>
      </c>
      <c r="C63" s="18">
        <f t="shared" ref="C63:AD63" si="1">MAX(C$4:C$60)</f>
        <v>10.75</v>
      </c>
      <c r="D63" s="18">
        <f t="shared" si="1"/>
        <v>9.4700000000000006</v>
      </c>
      <c r="E63" s="18">
        <f t="shared" si="1"/>
        <v>17.52</v>
      </c>
      <c r="F63" s="18">
        <f t="shared" si="1"/>
        <v>30.55</v>
      </c>
      <c r="G63" s="18">
        <f t="shared" si="1"/>
        <v>31.35</v>
      </c>
      <c r="H63" s="18">
        <f t="shared" si="1"/>
        <v>7.84</v>
      </c>
      <c r="I63" s="18">
        <f t="shared" si="1"/>
        <v>33.380000000000003</v>
      </c>
      <c r="J63" s="18">
        <f t="shared" si="1"/>
        <v>29.82</v>
      </c>
      <c r="K63" s="18">
        <f t="shared" si="1"/>
        <v>381.63</v>
      </c>
      <c r="L63" s="18">
        <f t="shared" si="1"/>
        <v>22.8</v>
      </c>
      <c r="M63" s="18">
        <f t="shared" si="1"/>
        <v>9.5299999999999994</v>
      </c>
      <c r="N63" s="18">
        <f t="shared" si="1"/>
        <v>21.97</v>
      </c>
      <c r="O63" s="18">
        <f t="shared" si="1"/>
        <v>16.600000000000001</v>
      </c>
      <c r="P63" s="18">
        <f t="shared" si="1"/>
        <v>19.57</v>
      </c>
      <c r="Q63" s="18">
        <f t="shared" si="1"/>
        <v>15.47</v>
      </c>
      <c r="R63" s="18">
        <f t="shared" si="1"/>
        <v>12.99</v>
      </c>
      <c r="S63" s="18">
        <f t="shared" si="1"/>
        <v>13.67</v>
      </c>
      <c r="T63" s="18">
        <f t="shared" si="1"/>
        <v>9.25</v>
      </c>
      <c r="U63" s="18">
        <f t="shared" si="1"/>
        <v>16.37</v>
      </c>
      <c r="V63" s="18">
        <f t="shared" si="1"/>
        <v>16.579999999999998</v>
      </c>
      <c r="W63" s="18">
        <f t="shared" si="1"/>
        <v>16.38</v>
      </c>
      <c r="X63" s="18">
        <f t="shared" si="1"/>
        <v>80.069999999999993</v>
      </c>
      <c r="Y63" s="18">
        <f t="shared" si="1"/>
        <v>10.92</v>
      </c>
      <c r="Z63" s="18">
        <f t="shared" si="1"/>
        <v>8.2799999999999994</v>
      </c>
      <c r="AA63" s="18">
        <f t="shared" si="1"/>
        <v>19.850000000000001</v>
      </c>
      <c r="AB63" s="18"/>
      <c r="AC63" s="18"/>
      <c r="AD63" s="21">
        <f t="shared" si="1"/>
        <v>8.8000000000000007</v>
      </c>
    </row>
    <row r="64" spans="1:30" s="66" customFormat="1" x14ac:dyDescent="0.2">
      <c r="A64" s="95" t="s">
        <v>949</v>
      </c>
      <c r="B64" s="18">
        <f>MIN(B$4:B$60)</f>
        <v>3.26</v>
      </c>
      <c r="C64" s="18">
        <f t="shared" ref="C64:AD64" si="2">MIN(C$4:C$60)</f>
        <v>3.27</v>
      </c>
      <c r="D64" s="18">
        <f t="shared" si="2"/>
        <v>3.38</v>
      </c>
      <c r="E64" s="18">
        <f t="shared" si="2"/>
        <v>2.68</v>
      </c>
      <c r="F64" s="18">
        <f t="shared" si="2"/>
        <v>3.26</v>
      </c>
      <c r="G64" s="18">
        <f t="shared" si="2"/>
        <v>3.78</v>
      </c>
      <c r="H64" s="18">
        <f t="shared" si="2"/>
        <v>3.2</v>
      </c>
      <c r="I64" s="18">
        <f t="shared" si="2"/>
        <v>2.2799999999999998</v>
      </c>
      <c r="J64" s="18">
        <f t="shared" si="2"/>
        <v>3.1</v>
      </c>
      <c r="K64" s="18">
        <f t="shared" si="2"/>
        <v>4.25</v>
      </c>
      <c r="L64" s="18">
        <f t="shared" si="2"/>
        <v>2.35</v>
      </c>
      <c r="M64" s="18">
        <f t="shared" si="2"/>
        <v>3.68</v>
      </c>
      <c r="N64" s="18">
        <f t="shared" si="2"/>
        <v>2.4300000000000002</v>
      </c>
      <c r="O64" s="18">
        <f t="shared" si="2"/>
        <v>3.36</v>
      </c>
      <c r="P64" s="18">
        <f t="shared" si="2"/>
        <v>5.75</v>
      </c>
      <c r="Q64" s="18">
        <f t="shared" si="2"/>
        <v>2.16</v>
      </c>
      <c r="R64" s="18">
        <f t="shared" si="2"/>
        <v>6.39</v>
      </c>
      <c r="S64" s="18">
        <f t="shared" si="2"/>
        <v>3.55</v>
      </c>
      <c r="T64" s="18">
        <f t="shared" si="2"/>
        <v>3.44</v>
      </c>
      <c r="U64" s="18">
        <f t="shared" si="2"/>
        <v>2.25</v>
      </c>
      <c r="V64" s="18">
        <f t="shared" si="2"/>
        <v>2.4300000000000002</v>
      </c>
      <c r="W64" s="18">
        <f t="shared" si="2"/>
        <v>2.52</v>
      </c>
      <c r="X64" s="18">
        <f t="shared" si="2"/>
        <v>3.8</v>
      </c>
      <c r="Y64" s="18">
        <f t="shared" si="2"/>
        <v>2.16</v>
      </c>
      <c r="Z64" s="18">
        <f t="shared" si="2"/>
        <v>3.18</v>
      </c>
      <c r="AA64" s="18">
        <f t="shared" si="2"/>
        <v>2.92</v>
      </c>
      <c r="AB64" s="18"/>
      <c r="AC64" s="18"/>
      <c r="AD64" s="21">
        <f t="shared" si="2"/>
        <v>4.1399999999999997</v>
      </c>
    </row>
    <row r="65" spans="1:30" s="66" customFormat="1" ht="15" thickBot="1" x14ac:dyDescent="0.25">
      <c r="A65" s="89" t="s">
        <v>950</v>
      </c>
      <c r="B65" s="64">
        <f>MEDIAN(B$4:B$60)</f>
        <v>6.7249999999999996</v>
      </c>
      <c r="C65" s="64">
        <f t="shared" ref="C65:AD65" si="3">MEDIAN(C$4:C$60)</f>
        <v>6.6950000000000003</v>
      </c>
      <c r="D65" s="64">
        <f t="shared" si="3"/>
        <v>5.74</v>
      </c>
      <c r="E65" s="64">
        <f t="shared" si="3"/>
        <v>6.36</v>
      </c>
      <c r="F65" s="64">
        <f t="shared" si="3"/>
        <v>17.3</v>
      </c>
      <c r="G65" s="64">
        <f t="shared" si="3"/>
        <v>8.8000000000000007</v>
      </c>
      <c r="H65" s="64">
        <f t="shared" si="3"/>
        <v>6.1150000000000002</v>
      </c>
      <c r="I65" s="64">
        <f t="shared" si="3"/>
        <v>6.36</v>
      </c>
      <c r="J65" s="64">
        <f t="shared" si="3"/>
        <v>5.45</v>
      </c>
      <c r="K65" s="64">
        <f t="shared" si="3"/>
        <v>7.48</v>
      </c>
      <c r="L65" s="64">
        <f t="shared" si="3"/>
        <v>6.2550000000000008</v>
      </c>
      <c r="M65" s="64">
        <f t="shared" si="3"/>
        <v>5.53</v>
      </c>
      <c r="N65" s="64">
        <f t="shared" si="3"/>
        <v>5.8250000000000002</v>
      </c>
      <c r="O65" s="64">
        <f t="shared" si="3"/>
        <v>9.4600000000000009</v>
      </c>
      <c r="P65" s="64">
        <f t="shared" si="3"/>
        <v>10.99</v>
      </c>
      <c r="Q65" s="64">
        <f t="shared" si="3"/>
        <v>6.73</v>
      </c>
      <c r="R65" s="64">
        <f t="shared" si="3"/>
        <v>8.8800000000000008</v>
      </c>
      <c r="S65" s="64">
        <f t="shared" si="3"/>
        <v>6.0449999999999999</v>
      </c>
      <c r="T65" s="64">
        <f t="shared" si="3"/>
        <v>5.42</v>
      </c>
      <c r="U65" s="64">
        <f t="shared" si="3"/>
        <v>6.46</v>
      </c>
      <c r="V65" s="64">
        <f t="shared" si="3"/>
        <v>8.85</v>
      </c>
      <c r="W65" s="64">
        <f t="shared" si="3"/>
        <v>6.4399999999999995</v>
      </c>
      <c r="X65" s="64">
        <f t="shared" si="3"/>
        <v>6.74</v>
      </c>
      <c r="Y65" s="64">
        <f t="shared" si="3"/>
        <v>5.47</v>
      </c>
      <c r="Z65" s="64">
        <f t="shared" si="3"/>
        <v>5.33</v>
      </c>
      <c r="AA65" s="64">
        <f t="shared" si="3"/>
        <v>7.835</v>
      </c>
      <c r="AB65" s="64"/>
      <c r="AC65" s="64"/>
      <c r="AD65" s="25">
        <f t="shared" si="3"/>
        <v>6.12</v>
      </c>
    </row>
    <row r="66" spans="1:30" ht="15" thickBot="1" x14ac:dyDescent="0.25">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 customHeight="1" x14ac:dyDescent="0.2">
      <c r="B67" s="157" t="s">
        <v>945</v>
      </c>
      <c r="C67" s="158"/>
      <c r="D67" s="158"/>
      <c r="E67" s="158"/>
      <c r="F67" s="158"/>
      <c r="G67" s="158"/>
      <c r="H67" s="158"/>
      <c r="I67" s="158"/>
      <c r="J67" s="158"/>
      <c r="K67" s="159"/>
      <c r="L67" s="157" t="s">
        <v>945</v>
      </c>
      <c r="M67" s="158"/>
      <c r="N67" s="158"/>
      <c r="O67" s="158"/>
      <c r="P67" s="158"/>
      <c r="Q67" s="158"/>
      <c r="R67" s="158"/>
      <c r="S67" s="158"/>
      <c r="T67" s="158"/>
      <c r="U67" s="159"/>
      <c r="V67" s="157" t="s">
        <v>945</v>
      </c>
      <c r="W67" s="158"/>
      <c r="X67" s="158"/>
      <c r="Y67" s="158"/>
      <c r="Z67" s="158"/>
      <c r="AA67" s="158"/>
      <c r="AB67" s="158"/>
      <c r="AC67" s="158"/>
      <c r="AD67" s="159"/>
    </row>
    <row r="68" spans="1:30" x14ac:dyDescent="0.2">
      <c r="B68" s="160" t="s">
        <v>954</v>
      </c>
      <c r="C68" s="161"/>
      <c r="D68" s="161"/>
      <c r="E68" s="161"/>
      <c r="F68" s="161"/>
      <c r="G68" s="161"/>
      <c r="H68" s="161"/>
      <c r="I68" s="161"/>
      <c r="J68" s="161"/>
      <c r="K68" s="162"/>
      <c r="L68" s="160" t="s">
        <v>990</v>
      </c>
      <c r="M68" s="161"/>
      <c r="N68" s="161"/>
      <c r="O68" s="161"/>
      <c r="P68" s="161"/>
      <c r="Q68" s="161"/>
      <c r="R68" s="161"/>
      <c r="S68" s="161"/>
      <c r="T68" s="161"/>
      <c r="U68" s="162"/>
      <c r="V68" s="160" t="s">
        <v>973</v>
      </c>
      <c r="W68" s="161"/>
      <c r="X68" s="161"/>
      <c r="Y68" s="161"/>
      <c r="Z68" s="161"/>
      <c r="AA68" s="161"/>
      <c r="AB68" s="161"/>
      <c r="AC68" s="161"/>
      <c r="AD68" s="162"/>
    </row>
    <row r="69" spans="1:30" x14ac:dyDescent="0.2">
      <c r="B69" s="160" t="s">
        <v>955</v>
      </c>
      <c r="C69" s="161"/>
      <c r="D69" s="161"/>
      <c r="E69" s="161"/>
      <c r="F69" s="161"/>
      <c r="G69" s="161"/>
      <c r="H69" s="161"/>
      <c r="I69" s="161"/>
      <c r="J69" s="161"/>
      <c r="K69" s="162"/>
      <c r="L69" s="160" t="s">
        <v>964</v>
      </c>
      <c r="M69" s="161"/>
      <c r="N69" s="161"/>
      <c r="O69" s="161"/>
      <c r="P69" s="161"/>
      <c r="Q69" s="161"/>
      <c r="R69" s="161"/>
      <c r="S69" s="161"/>
      <c r="T69" s="161"/>
      <c r="U69" s="162"/>
      <c r="V69" s="160" t="s">
        <v>974</v>
      </c>
      <c r="W69" s="161"/>
      <c r="X69" s="161"/>
      <c r="Y69" s="161"/>
      <c r="Z69" s="161"/>
      <c r="AA69" s="161"/>
      <c r="AB69" s="161"/>
      <c r="AC69" s="161"/>
      <c r="AD69" s="162"/>
    </row>
    <row r="70" spans="1:30" x14ac:dyDescent="0.2">
      <c r="B70" s="160" t="s">
        <v>957</v>
      </c>
      <c r="C70" s="161"/>
      <c r="D70" s="161"/>
      <c r="E70" s="161"/>
      <c r="F70" s="161"/>
      <c r="G70" s="161"/>
      <c r="H70" s="161"/>
      <c r="I70" s="161"/>
      <c r="J70" s="161"/>
      <c r="K70" s="162"/>
      <c r="L70" s="160" t="s">
        <v>965</v>
      </c>
      <c r="M70" s="161"/>
      <c r="N70" s="161"/>
      <c r="O70" s="161"/>
      <c r="P70" s="161"/>
      <c r="Q70" s="161"/>
      <c r="R70" s="161"/>
      <c r="S70" s="161"/>
      <c r="T70" s="161"/>
      <c r="U70" s="162"/>
      <c r="V70" s="160" t="s">
        <v>975</v>
      </c>
      <c r="W70" s="161"/>
      <c r="X70" s="161"/>
      <c r="Y70" s="161"/>
      <c r="Z70" s="161"/>
      <c r="AA70" s="161"/>
      <c r="AB70" s="161"/>
      <c r="AC70" s="161"/>
      <c r="AD70" s="162"/>
    </row>
    <row r="71" spans="1:30" x14ac:dyDescent="0.2">
      <c r="B71" s="160" t="s">
        <v>956</v>
      </c>
      <c r="C71" s="161"/>
      <c r="D71" s="161"/>
      <c r="E71" s="161"/>
      <c r="F71" s="161"/>
      <c r="G71" s="161"/>
      <c r="H71" s="161"/>
      <c r="I71" s="161"/>
      <c r="J71" s="161"/>
      <c r="K71" s="162"/>
      <c r="L71" s="160" t="s">
        <v>966</v>
      </c>
      <c r="M71" s="161"/>
      <c r="N71" s="161"/>
      <c r="O71" s="161"/>
      <c r="P71" s="161"/>
      <c r="Q71" s="161"/>
      <c r="R71" s="161"/>
      <c r="S71" s="161"/>
      <c r="T71" s="161"/>
      <c r="U71" s="162"/>
      <c r="V71" s="160" t="s">
        <v>976</v>
      </c>
      <c r="W71" s="161"/>
      <c r="X71" s="161"/>
      <c r="Y71" s="161"/>
      <c r="Z71" s="161"/>
      <c r="AA71" s="161"/>
      <c r="AB71" s="161"/>
      <c r="AC71" s="161"/>
      <c r="AD71" s="162"/>
    </row>
    <row r="72" spans="1:30" x14ac:dyDescent="0.2">
      <c r="B72" s="160" t="s">
        <v>958</v>
      </c>
      <c r="C72" s="161"/>
      <c r="D72" s="161"/>
      <c r="E72" s="161"/>
      <c r="F72" s="161"/>
      <c r="G72" s="161"/>
      <c r="H72" s="161"/>
      <c r="I72" s="161"/>
      <c r="J72" s="161"/>
      <c r="K72" s="162"/>
      <c r="L72" s="160" t="s">
        <v>967</v>
      </c>
      <c r="M72" s="161"/>
      <c r="N72" s="161"/>
      <c r="O72" s="161"/>
      <c r="P72" s="161"/>
      <c r="Q72" s="161"/>
      <c r="R72" s="161"/>
      <c r="S72" s="161"/>
      <c r="T72" s="161"/>
      <c r="U72" s="162"/>
      <c r="V72" s="160" t="s">
        <v>977</v>
      </c>
      <c r="W72" s="161"/>
      <c r="X72" s="161"/>
      <c r="Y72" s="161"/>
      <c r="Z72" s="161"/>
      <c r="AA72" s="161"/>
      <c r="AB72" s="161"/>
      <c r="AC72" s="161"/>
      <c r="AD72" s="162"/>
    </row>
    <row r="73" spans="1:30" x14ac:dyDescent="0.2">
      <c r="B73" s="160" t="s">
        <v>959</v>
      </c>
      <c r="C73" s="161"/>
      <c r="D73" s="161"/>
      <c r="E73" s="161"/>
      <c r="F73" s="161"/>
      <c r="G73" s="161"/>
      <c r="H73" s="161"/>
      <c r="I73" s="161"/>
      <c r="J73" s="161"/>
      <c r="K73" s="162"/>
      <c r="L73" s="160" t="s">
        <v>968</v>
      </c>
      <c r="M73" s="161"/>
      <c r="N73" s="161"/>
      <c r="O73" s="161"/>
      <c r="P73" s="161"/>
      <c r="Q73" s="161"/>
      <c r="R73" s="161"/>
      <c r="S73" s="161"/>
      <c r="T73" s="161"/>
      <c r="U73" s="162"/>
      <c r="V73" s="160" t="s">
        <v>978</v>
      </c>
      <c r="W73" s="161"/>
      <c r="X73" s="161"/>
      <c r="Y73" s="161"/>
      <c r="Z73" s="161"/>
      <c r="AA73" s="161"/>
      <c r="AB73" s="161"/>
      <c r="AC73" s="161"/>
      <c r="AD73" s="162"/>
    </row>
    <row r="74" spans="1:30" x14ac:dyDescent="0.2">
      <c r="B74" s="160" t="s">
        <v>960</v>
      </c>
      <c r="C74" s="161"/>
      <c r="D74" s="161"/>
      <c r="E74" s="161"/>
      <c r="F74" s="161"/>
      <c r="G74" s="161"/>
      <c r="H74" s="161"/>
      <c r="I74" s="161"/>
      <c r="J74" s="161"/>
      <c r="K74" s="162"/>
      <c r="L74" s="160" t="s">
        <v>969</v>
      </c>
      <c r="M74" s="161"/>
      <c r="N74" s="161"/>
      <c r="O74" s="161"/>
      <c r="P74" s="161"/>
      <c r="Q74" s="161"/>
      <c r="R74" s="161"/>
      <c r="S74" s="161"/>
      <c r="T74" s="161"/>
      <c r="U74" s="162"/>
      <c r="V74" s="166"/>
      <c r="W74" s="167"/>
      <c r="X74" s="167"/>
      <c r="Y74" s="167"/>
      <c r="Z74" s="167"/>
      <c r="AA74" s="167"/>
      <c r="AB74" s="167"/>
      <c r="AC74" s="167"/>
      <c r="AD74" s="168"/>
    </row>
    <row r="75" spans="1:30" x14ac:dyDescent="0.2">
      <c r="B75" s="160" t="s">
        <v>961</v>
      </c>
      <c r="C75" s="161"/>
      <c r="D75" s="161"/>
      <c r="E75" s="161"/>
      <c r="F75" s="161"/>
      <c r="G75" s="161"/>
      <c r="H75" s="161"/>
      <c r="I75" s="161"/>
      <c r="J75" s="161"/>
      <c r="K75" s="162"/>
      <c r="L75" s="160" t="s">
        <v>970</v>
      </c>
      <c r="M75" s="161"/>
      <c r="N75" s="161"/>
      <c r="O75" s="161"/>
      <c r="P75" s="161"/>
      <c r="Q75" s="161"/>
      <c r="R75" s="161"/>
      <c r="S75" s="161"/>
      <c r="T75" s="161"/>
      <c r="U75" s="162"/>
      <c r="V75" s="160" t="s">
        <v>979</v>
      </c>
      <c r="W75" s="161"/>
      <c r="X75" s="161"/>
      <c r="Y75" s="161"/>
      <c r="Z75" s="161"/>
      <c r="AA75" s="161"/>
      <c r="AB75" s="161"/>
      <c r="AC75" s="161"/>
      <c r="AD75" s="162"/>
    </row>
    <row r="76" spans="1:30" x14ac:dyDescent="0.2">
      <c r="B76" s="160" t="s">
        <v>962</v>
      </c>
      <c r="C76" s="161"/>
      <c r="D76" s="161"/>
      <c r="E76" s="161"/>
      <c r="F76" s="161"/>
      <c r="G76" s="161"/>
      <c r="H76" s="161"/>
      <c r="I76" s="161"/>
      <c r="J76" s="161"/>
      <c r="K76" s="162"/>
      <c r="L76" s="160" t="s">
        <v>971</v>
      </c>
      <c r="M76" s="161"/>
      <c r="N76" s="161"/>
      <c r="O76" s="161"/>
      <c r="P76" s="161"/>
      <c r="Q76" s="161"/>
      <c r="R76" s="161"/>
      <c r="S76" s="161"/>
      <c r="T76" s="161"/>
      <c r="U76" s="162"/>
      <c r="V76" s="160" t="s">
        <v>980</v>
      </c>
      <c r="W76" s="161"/>
      <c r="X76" s="161"/>
      <c r="Y76" s="161"/>
      <c r="Z76" s="161"/>
      <c r="AA76" s="161"/>
      <c r="AB76" s="161"/>
      <c r="AC76" s="161"/>
      <c r="AD76" s="162"/>
    </row>
    <row r="77" spans="1:30" ht="15" thickBot="1" x14ac:dyDescent="0.25">
      <c r="B77" s="163" t="s">
        <v>963</v>
      </c>
      <c r="C77" s="164"/>
      <c r="D77" s="164"/>
      <c r="E77" s="164"/>
      <c r="F77" s="164"/>
      <c r="G77" s="164"/>
      <c r="H77" s="164"/>
      <c r="I77" s="164"/>
      <c r="J77" s="164"/>
      <c r="K77" s="165"/>
      <c r="L77" s="163" t="s">
        <v>972</v>
      </c>
      <c r="M77" s="164"/>
      <c r="N77" s="164"/>
      <c r="O77" s="164"/>
      <c r="P77" s="164"/>
      <c r="Q77" s="164"/>
      <c r="R77" s="164"/>
      <c r="S77" s="164"/>
      <c r="T77" s="164"/>
      <c r="U77" s="165"/>
      <c r="V77" s="163" t="s">
        <v>981</v>
      </c>
      <c r="W77" s="164"/>
      <c r="X77" s="164"/>
      <c r="Y77" s="164"/>
      <c r="Z77" s="164"/>
      <c r="AA77" s="164"/>
      <c r="AB77" s="164"/>
      <c r="AC77" s="164"/>
      <c r="AD77" s="165"/>
    </row>
    <row r="95" s="66" customFormat="1" x14ac:dyDescent="0.2"/>
    <row r="96" s="66" customFormat="1" x14ac:dyDescent="0.2"/>
  </sheetData>
  <mergeCells count="33">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 ref="V73:AD73"/>
    <mergeCell ref="V75:AD75"/>
    <mergeCell ref="V76:AD76"/>
    <mergeCell ref="V68:AD68"/>
    <mergeCell ref="V69:AD69"/>
    <mergeCell ref="V70:AD70"/>
    <mergeCell ref="B77:K77"/>
    <mergeCell ref="B68:K68"/>
    <mergeCell ref="B69:K69"/>
    <mergeCell ref="B70:K70"/>
    <mergeCell ref="B71:K71"/>
    <mergeCell ref="B72:K72"/>
    <mergeCell ref="B67:K67"/>
    <mergeCell ref="B73:K73"/>
    <mergeCell ref="B74:K74"/>
    <mergeCell ref="B75:K75"/>
    <mergeCell ref="B76:K76"/>
  </mergeCells>
  <conditionalFormatting sqref="B4:AC60">
    <cfRule type="top10" dxfId="0"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0"/>
  <sheetViews>
    <sheetView showGridLines="0" zoomScale="70" zoomScaleNormal="70"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27.140625" style="66" customWidth="1"/>
    <col min="2" max="2" width="14.5703125" style="66" bestFit="1" customWidth="1"/>
    <col min="3" max="3" width="17.7109375" style="66" bestFit="1" customWidth="1"/>
    <col min="4" max="4" width="13.140625" style="66" bestFit="1" customWidth="1"/>
    <col min="5" max="5" width="15.7109375" style="66" bestFit="1" customWidth="1"/>
    <col min="6" max="6" width="11.42578125" style="66" bestFit="1" customWidth="1"/>
    <col min="7" max="7" width="15.7109375" style="66" bestFit="1" customWidth="1"/>
    <col min="8" max="8" width="11.42578125" style="66" bestFit="1" customWidth="1"/>
    <col min="9" max="9" width="15.7109375" style="66" bestFit="1" customWidth="1"/>
    <col min="10" max="10" width="11.42578125" style="66" bestFit="1" customWidth="1"/>
    <col min="11" max="11" width="15.7109375" style="66" bestFit="1" customWidth="1"/>
    <col min="12" max="12" width="11.42578125" style="66" bestFit="1" customWidth="1"/>
    <col min="13" max="13" width="15.7109375" style="66" bestFit="1" customWidth="1"/>
    <col min="14" max="14" width="11.42578125" style="66" bestFit="1" customWidth="1"/>
    <col min="15" max="15" width="14.85546875" style="66" bestFit="1" customWidth="1"/>
    <col min="16" max="16" width="11.42578125" style="66" bestFit="1" customWidth="1"/>
    <col min="17" max="17" width="15.7109375" style="66" bestFit="1" customWidth="1"/>
    <col min="18" max="18" width="11.42578125" style="66" bestFit="1" customWidth="1"/>
    <col min="19" max="19" width="14.85546875" style="66" bestFit="1" customWidth="1"/>
    <col min="20" max="20" width="11.42578125" style="66" bestFit="1" customWidth="1"/>
    <col min="21" max="21" width="14.5703125" style="66" bestFit="1" customWidth="1"/>
    <col min="22" max="22" width="11.42578125" style="66" bestFit="1" customWidth="1"/>
    <col min="23" max="23" width="13.140625" style="66" customWidth="1"/>
    <col min="24" max="24" width="13.140625" style="66" hidden="1" customWidth="1"/>
    <col min="25" max="25" width="13.140625" style="66" customWidth="1"/>
    <col min="26" max="26" width="9.140625" style="66"/>
    <col min="27" max="27" width="17.85546875" style="66" bestFit="1" customWidth="1"/>
    <col min="28" max="30" width="9.140625" style="66"/>
    <col min="31" max="31" width="17.85546875" style="66" bestFit="1" customWidth="1"/>
    <col min="32" max="16384" width="9.140625" style="66"/>
  </cols>
  <sheetData>
    <row r="1" spans="1:24" x14ac:dyDescent="0.2">
      <c r="A1" s="38" t="str">
        <f>Summary!A1</f>
        <v>Community and Technical Colleges, Report of Fundable Operating Expenses, Fiscal Year (FY) 1999</v>
      </c>
      <c r="B1" s="38"/>
      <c r="D1" s="38"/>
      <c r="E1" s="38"/>
      <c r="F1" s="38"/>
      <c r="G1" s="38"/>
      <c r="I1" s="38"/>
      <c r="J1" s="39"/>
      <c r="K1" s="38"/>
    </row>
    <row r="2" spans="1:24" x14ac:dyDescent="0.2">
      <c r="A2" s="68" t="s">
        <v>1017</v>
      </c>
      <c r="B2" s="68"/>
      <c r="X2" s="87" t="s">
        <v>945</v>
      </c>
    </row>
    <row r="3" spans="1:24" x14ac:dyDescent="0.2">
      <c r="A3" s="3">
        <v>1</v>
      </c>
      <c r="X3" s="74" t="s">
        <v>0</v>
      </c>
    </row>
    <row r="4" spans="1:24" ht="15" thickBot="1" x14ac:dyDescent="0.25">
      <c r="X4" s="74" t="s">
        <v>1</v>
      </c>
    </row>
    <row r="5" spans="1:24" s="82" customFormat="1" ht="56.25" customHeight="1" x14ac:dyDescent="0.2">
      <c r="A5" s="45" t="s">
        <v>944</v>
      </c>
      <c r="B5" s="170" t="s">
        <v>27</v>
      </c>
      <c r="C5" s="145" t="s">
        <v>35</v>
      </c>
      <c r="D5" s="146"/>
      <c r="E5" s="145" t="s">
        <v>459</v>
      </c>
      <c r="F5" s="146"/>
      <c r="G5" s="145" t="s">
        <v>1078</v>
      </c>
      <c r="H5" s="146"/>
      <c r="I5" s="145" t="s">
        <v>30</v>
      </c>
      <c r="J5" s="146"/>
      <c r="K5" s="145" t="s">
        <v>31</v>
      </c>
      <c r="L5" s="146"/>
      <c r="M5" s="145" t="s">
        <v>460</v>
      </c>
      <c r="N5" s="146"/>
      <c r="O5" s="145" t="s">
        <v>1079</v>
      </c>
      <c r="P5" s="146"/>
      <c r="Q5" s="145" t="s">
        <v>1080</v>
      </c>
      <c r="R5" s="146"/>
      <c r="S5" s="145" t="s">
        <v>34</v>
      </c>
      <c r="T5" s="146"/>
      <c r="U5" s="145" t="s">
        <v>29</v>
      </c>
      <c r="V5" s="169"/>
      <c r="X5" s="74" t="s">
        <v>2</v>
      </c>
    </row>
    <row r="6" spans="1:24" s="82" customFormat="1" x14ac:dyDescent="0.2">
      <c r="A6" s="120"/>
      <c r="B6" s="171"/>
      <c r="C6" s="121" t="s">
        <v>462</v>
      </c>
      <c r="D6" s="121" t="s">
        <v>1068</v>
      </c>
      <c r="E6" s="121" t="s">
        <v>462</v>
      </c>
      <c r="F6" s="121" t="s">
        <v>1068</v>
      </c>
      <c r="G6" s="121" t="s">
        <v>462</v>
      </c>
      <c r="H6" s="121" t="s">
        <v>1068</v>
      </c>
      <c r="I6" s="121" t="s">
        <v>462</v>
      </c>
      <c r="J6" s="121" t="s">
        <v>1068</v>
      </c>
      <c r="K6" s="121" t="s">
        <v>462</v>
      </c>
      <c r="L6" s="121" t="s">
        <v>1068</v>
      </c>
      <c r="M6" s="121" t="s">
        <v>462</v>
      </c>
      <c r="N6" s="121" t="s">
        <v>1068</v>
      </c>
      <c r="O6" s="121" t="s">
        <v>462</v>
      </c>
      <c r="P6" s="121" t="s">
        <v>1068</v>
      </c>
      <c r="Q6" s="121" t="s">
        <v>462</v>
      </c>
      <c r="R6" s="121" t="s">
        <v>1068</v>
      </c>
      <c r="S6" s="121" t="s">
        <v>462</v>
      </c>
      <c r="T6" s="121" t="s">
        <v>1068</v>
      </c>
      <c r="U6" s="121" t="s">
        <v>462</v>
      </c>
      <c r="V6" s="125" t="s">
        <v>1068</v>
      </c>
      <c r="X6" s="74" t="s">
        <v>3</v>
      </c>
    </row>
    <row r="7" spans="1:24" x14ac:dyDescent="0.2">
      <c r="A7" s="92" t="s">
        <v>1065</v>
      </c>
      <c r="B7" s="83">
        <f ca="1">OFFSET('1'!$D$4,$A$3,0)</f>
        <v>22080</v>
      </c>
      <c r="C7" s="81">
        <f ca="1">OFFSET('1'!$E$4,$A$3,0)</f>
        <v>140133.36780190322</v>
      </c>
      <c r="D7" s="123">
        <f ca="1">OFFSET('1'!$F$4,$A$3,0)</f>
        <v>6.35</v>
      </c>
      <c r="E7" s="81">
        <f ca="1">OFFSET('1'!$E$66,$A$3,0)</f>
        <v>57648</v>
      </c>
      <c r="F7" s="123">
        <f ca="1">OFFSET('1'!$F$66,$A$3,0)</f>
        <v>2.61</v>
      </c>
      <c r="G7" s="81">
        <f ca="1">IFERROR('1'!$F$100*'Discipline Analysis'!$B7,"")</f>
        <v>6844.8</v>
      </c>
      <c r="H7" s="123">
        <f>'1'!$F$100</f>
        <v>0.31</v>
      </c>
      <c r="I7" s="81">
        <f ca="1">IFERROR('1'!$F$98*'Discipline Analysis'!$B7,"")</f>
        <v>28262.400000000001</v>
      </c>
      <c r="J7" s="123">
        <f>'1'!$F$98</f>
        <v>1.28</v>
      </c>
      <c r="K7" s="81">
        <f ca="1">IFERROR('1'!$F$99*'Discipline Analysis'!$B7,"")</f>
        <v>16780.8</v>
      </c>
      <c r="L7" s="123">
        <f>'1'!$F$99</f>
        <v>0.76</v>
      </c>
      <c r="M7" s="81">
        <f ca="1">OFFSET('1'!$E$35,$A$3,0)</f>
        <v>2068</v>
      </c>
      <c r="N7" s="123">
        <f ca="1">OFFSET('1'!$F$35,$A$3,0)</f>
        <v>0.09</v>
      </c>
      <c r="O7" s="81">
        <f ca="1">IFERROR('1'!$F$101*'Discipline Analysis'!$B7,"")</f>
        <v>11481.6</v>
      </c>
      <c r="P7" s="123">
        <f>'1'!$F$101</f>
        <v>0.52</v>
      </c>
      <c r="Q7" s="81">
        <f ca="1">IFERROR('1'!$F$102*'Discipline Analysis'!$B7,"")</f>
        <v>220.8</v>
      </c>
      <c r="R7" s="123">
        <f>'1'!$F$102</f>
        <v>0.01</v>
      </c>
      <c r="S7" s="81">
        <f ca="1">IFERROR('1'!$F$103*'Discipline Analysis'!$B7,"")</f>
        <v>0</v>
      </c>
      <c r="T7" s="123">
        <f>'1'!$F$103</f>
        <v>0</v>
      </c>
      <c r="U7" s="79">
        <f ca="1">IFERROR('1'!$F$104*'Discipline Analysis'!$B7,"")</f>
        <v>16780.8</v>
      </c>
      <c r="V7" s="126">
        <f>'1'!$F$104</f>
        <v>0.76</v>
      </c>
      <c r="X7" s="74" t="s">
        <v>4</v>
      </c>
    </row>
    <row r="8" spans="1:24" x14ac:dyDescent="0.2">
      <c r="A8" s="92" t="s">
        <v>1019</v>
      </c>
      <c r="B8" s="83">
        <f ca="1">OFFSET('2'!$D$4,$A$3,0)</f>
        <v>28654</v>
      </c>
      <c r="C8" s="75">
        <f ca="1">OFFSET('2'!$E$4,$A$3,0)</f>
        <v>141037.40836424776</v>
      </c>
      <c r="D8" s="122">
        <f ca="1">OFFSET('2'!$F$4,$A$3,0)</f>
        <v>4.92</v>
      </c>
      <c r="E8" s="75">
        <f ca="1">OFFSET('2'!$E$66,$A$3,0)</f>
        <v>58178</v>
      </c>
      <c r="F8" s="122">
        <f ca="1">OFFSET('2'!$F$66,$A$3,0)</f>
        <v>2.0299999999999998</v>
      </c>
      <c r="G8" s="75">
        <f ca="1">IFERROR('2'!$F$100*'Discipline Analysis'!$B8,"")</f>
        <v>7450.04</v>
      </c>
      <c r="H8" s="122">
        <f>'2'!$F$100</f>
        <v>0.26</v>
      </c>
      <c r="I8" s="75">
        <f ca="1">IFERROR('2'!$F$98*'Discipline Analysis'!$B8,"")</f>
        <v>27507.84</v>
      </c>
      <c r="J8" s="122">
        <f>'2'!$F$98</f>
        <v>0.96</v>
      </c>
      <c r="K8" s="75">
        <f ca="1">IFERROR('2'!$F$99*'Discipline Analysis'!$B8,"")</f>
        <v>17192.399999999998</v>
      </c>
      <c r="L8" s="122">
        <f>'2'!$F$99</f>
        <v>0.6</v>
      </c>
      <c r="M8" s="75">
        <f ca="1">OFFSET('2'!$E$35,$A$3,0)</f>
        <v>13379</v>
      </c>
      <c r="N8" s="122">
        <f ca="1">OFFSET('2'!$F$35,$A$3,0)</f>
        <v>0.47</v>
      </c>
      <c r="O8" s="75">
        <f ca="1">IFERROR('2'!$F$101*'Discipline Analysis'!$B8,"")</f>
        <v>10028.9</v>
      </c>
      <c r="P8" s="122">
        <f>'2'!$F$101</f>
        <v>0.35</v>
      </c>
      <c r="Q8" s="75" t="str">
        <f ca="1">IFERROR('2'!$F$102*'Discipline Analysis'!$B8,"")</f>
        <v/>
      </c>
      <c r="R8" s="122" t="str">
        <f>'2'!$F$102</f>
        <v/>
      </c>
      <c r="S8" s="75" t="str">
        <f ca="1">IFERROR('2'!$F$103*'Discipline Analysis'!$B8,"")</f>
        <v/>
      </c>
      <c r="T8" s="122" t="str">
        <f>'2'!$F$103</f>
        <v/>
      </c>
      <c r="U8" s="75">
        <f ca="1">IFERROR('2'!$F$104*'Discipline Analysis'!$B8,"")</f>
        <v>7450.04</v>
      </c>
      <c r="V8" s="127">
        <f>'2'!$F$104</f>
        <v>0.26</v>
      </c>
      <c r="X8" s="74" t="s">
        <v>5</v>
      </c>
    </row>
    <row r="9" spans="1:24" x14ac:dyDescent="0.2">
      <c r="A9" s="92" t="s">
        <v>1029</v>
      </c>
      <c r="B9" s="83">
        <f ca="1">OFFSET('3'!$D$4,$A$3,0)</f>
        <v>2552</v>
      </c>
      <c r="C9" s="75">
        <f ca="1">OFFSET('3'!$E$4,$A$3,0)</f>
        <v>28324.802758709731</v>
      </c>
      <c r="D9" s="122">
        <f ca="1">OFFSET('3'!$F$4,$A$3,0)</f>
        <v>11.1</v>
      </c>
      <c r="E9" s="75">
        <f ca="1">OFFSET('3'!$E$66,$A$3,0)</f>
        <v>16833</v>
      </c>
      <c r="F9" s="122">
        <f ca="1">OFFSET('3'!$F$66,$A$3,0)</f>
        <v>6.6</v>
      </c>
      <c r="G9" s="75">
        <f ca="1">IFERROR('3'!$F$100*'Discipline Analysis'!$B9,"")</f>
        <v>535.91999999999996</v>
      </c>
      <c r="H9" s="122">
        <f>'3'!$F$100</f>
        <v>0.21</v>
      </c>
      <c r="I9" s="75">
        <f ca="1">IFERROR('3'!$F$98*'Discipline Analysis'!$B9,"")</f>
        <v>3496.2400000000002</v>
      </c>
      <c r="J9" s="122">
        <f>'3'!$F$98</f>
        <v>1.37</v>
      </c>
      <c r="K9" s="75">
        <f ca="1">IFERROR('3'!$F$99*'Discipline Analysis'!$B9,"")</f>
        <v>1352.5600000000002</v>
      </c>
      <c r="L9" s="122">
        <f>'3'!$F$99</f>
        <v>0.53</v>
      </c>
      <c r="M9" s="75">
        <f ca="1">OFFSET('3'!$E$35,$A$3,0)</f>
        <v>3905</v>
      </c>
      <c r="N9" s="122">
        <f ca="1">OFFSET('3'!$F$35,$A$3,0)</f>
        <v>1.53</v>
      </c>
      <c r="O9" s="75">
        <f ca="1">IFERROR('3'!$F$101*'Discipline Analysis'!$B9,"")</f>
        <v>791.12</v>
      </c>
      <c r="P9" s="122">
        <f>'3'!$F$101</f>
        <v>0.31</v>
      </c>
      <c r="Q9" s="75">
        <f ca="1">IFERROR('3'!$F$102*'Discipline Analysis'!$B9,"")</f>
        <v>178.64000000000001</v>
      </c>
      <c r="R9" s="122">
        <f>'3'!$F$102</f>
        <v>7.0000000000000007E-2</v>
      </c>
      <c r="S9" s="75" t="str">
        <f ca="1">IFERROR('3'!$F$103*'Discipline Analysis'!$B9,"")</f>
        <v/>
      </c>
      <c r="T9" s="122" t="str">
        <f>'3'!$F$103</f>
        <v/>
      </c>
      <c r="U9" s="75">
        <f ca="1">IFERROR('3'!$F$104*'Discipline Analysis'!$B9,"")</f>
        <v>1250.48</v>
      </c>
      <c r="V9" s="127">
        <f>'3'!$F$104</f>
        <v>0.49</v>
      </c>
      <c r="X9" s="74" t="s">
        <v>6</v>
      </c>
    </row>
    <row r="10" spans="1:24" x14ac:dyDescent="0.2">
      <c r="A10" s="92" t="s">
        <v>1030</v>
      </c>
      <c r="B10" s="83">
        <f ca="1">OFFSET('4'!$D$4,$A$3,0)</f>
        <v>120</v>
      </c>
      <c r="C10" s="75">
        <f ca="1">OFFSET('4'!$E$4,$A$3,0)</f>
        <v>713.38160894940029</v>
      </c>
      <c r="D10" s="122">
        <f ca="1">OFFSET('4'!$F$4,$A$3,0)</f>
        <v>5.94</v>
      </c>
      <c r="E10" s="75">
        <f ca="1">OFFSET('4'!$E$66,$A$3,0)</f>
        <v>105</v>
      </c>
      <c r="F10" s="122">
        <f ca="1">OFFSET('4'!$F$66,$A$3,0)</f>
        <v>0.88</v>
      </c>
      <c r="G10" s="75">
        <f ca="1">IFERROR('4'!$F$100*'Discipline Analysis'!$B10,"")</f>
        <v>16.8</v>
      </c>
      <c r="H10" s="122">
        <f>'4'!$F$100</f>
        <v>0.14000000000000001</v>
      </c>
      <c r="I10" s="75">
        <f ca="1">IFERROR('4'!$F$98*'Discipline Analysis'!$B10,"")</f>
        <v>63.6</v>
      </c>
      <c r="J10" s="122">
        <f>'4'!$F$98</f>
        <v>0.53</v>
      </c>
      <c r="K10" s="75">
        <f ca="1">IFERROR('4'!$F$99*'Discipline Analysis'!$B10,"")</f>
        <v>42</v>
      </c>
      <c r="L10" s="122">
        <f>'4'!$F$99</f>
        <v>0.35</v>
      </c>
      <c r="M10" s="75">
        <f ca="1">OFFSET('4'!$E$35,$A$3,0)</f>
        <v>431</v>
      </c>
      <c r="N10" s="122">
        <f ca="1">OFFSET('4'!$F$35,$A$3,0)</f>
        <v>3.59</v>
      </c>
      <c r="O10" s="75">
        <f ca="1">IFERROR('4'!$F$101*'Discipline Analysis'!$B10,"")</f>
        <v>38.4</v>
      </c>
      <c r="P10" s="122">
        <f>'4'!$F$101</f>
        <v>0.32</v>
      </c>
      <c r="Q10" s="75" t="str">
        <f ca="1">IFERROR('4'!$F$102*'Discipline Analysis'!$B10,"")</f>
        <v/>
      </c>
      <c r="R10" s="122" t="str">
        <f>'4'!$F$102</f>
        <v/>
      </c>
      <c r="S10" s="75" t="str">
        <f ca="1">IFERROR('4'!$F$103*'Discipline Analysis'!$B10,"")</f>
        <v/>
      </c>
      <c r="T10" s="122" t="str">
        <f>'4'!$F$103</f>
        <v/>
      </c>
      <c r="U10" s="75">
        <f ca="1">IFERROR('4'!$F$104*'Discipline Analysis'!$B10,"")</f>
        <v>15.600000000000001</v>
      </c>
      <c r="V10" s="127">
        <f>'4'!$F$104</f>
        <v>0.13</v>
      </c>
      <c r="X10" s="74" t="s">
        <v>7</v>
      </c>
    </row>
    <row r="11" spans="1:24" x14ac:dyDescent="0.2">
      <c r="A11" s="92" t="s">
        <v>1020</v>
      </c>
      <c r="B11" s="83">
        <f ca="1">OFFSET('5'!$D$4,$A$3,0)</f>
        <v>0</v>
      </c>
      <c r="C11" s="75">
        <f ca="1">OFFSET('5'!$E$4,$A$3,0)</f>
        <v>0</v>
      </c>
      <c r="D11" s="122" t="str">
        <f ca="1">OFFSET('5'!$F$4,$A$3,0)</f>
        <v/>
      </c>
      <c r="E11" s="75">
        <f ca="1">OFFSET('5'!$E$66,$A$3,0)</f>
        <v>0</v>
      </c>
      <c r="F11" s="122" t="str">
        <f ca="1">OFFSET('5'!$F$66,$A$3,0)</f>
        <v/>
      </c>
      <c r="G11" s="75">
        <f ca="1">IFERROR('5'!$F$100*'Discipline Analysis'!$B11,"")</f>
        <v>0</v>
      </c>
      <c r="H11" s="122">
        <f>'5'!$F$100</f>
        <v>0.35</v>
      </c>
      <c r="I11" s="75">
        <f ca="1">IFERROR('5'!$F$98*'Discipline Analysis'!$B11,"")</f>
        <v>0</v>
      </c>
      <c r="J11" s="122">
        <f>'5'!$F$98</f>
        <v>1.38</v>
      </c>
      <c r="K11" s="75">
        <f ca="1">IFERROR('5'!$F$99*'Discipline Analysis'!$B11,"")</f>
        <v>0</v>
      </c>
      <c r="L11" s="122">
        <f>'5'!$F$99</f>
        <v>0.64</v>
      </c>
      <c r="M11" s="75">
        <f ca="1">OFFSET('5'!$E$35,$A$3,0)</f>
        <v>0</v>
      </c>
      <c r="N11" s="122" t="str">
        <f ca="1">OFFSET('5'!$F$35,$A$3,0)</f>
        <v/>
      </c>
      <c r="O11" s="75">
        <f ca="1">IFERROR('5'!$F$101*'Discipline Analysis'!$B11,"")</f>
        <v>0</v>
      </c>
      <c r="P11" s="122">
        <f>'5'!$F$101</f>
        <v>0.74</v>
      </c>
      <c r="Q11" s="75" t="str">
        <f ca="1">IFERROR('5'!$F$102*'Discipline Analysis'!$B11,"")</f>
        <v/>
      </c>
      <c r="R11" s="122" t="str">
        <f>'5'!$F$102</f>
        <v/>
      </c>
      <c r="S11" s="75" t="str">
        <f ca="1">IFERROR('5'!$F$103*'Discipline Analysis'!$B11,"")</f>
        <v/>
      </c>
      <c r="T11" s="122" t="str">
        <f>'5'!$F$103</f>
        <v/>
      </c>
      <c r="U11" s="75">
        <f ca="1">IFERROR('5'!$F$104*'Discipline Analysis'!$B11,"")</f>
        <v>0</v>
      </c>
      <c r="V11" s="127">
        <f>'5'!$F$104</f>
        <v>0.24</v>
      </c>
      <c r="X11" s="74" t="s">
        <v>8</v>
      </c>
    </row>
    <row r="12" spans="1:24" x14ac:dyDescent="0.2">
      <c r="A12" s="92" t="s">
        <v>1031</v>
      </c>
      <c r="B12" s="83">
        <f ca="1">OFFSET('6'!$D$4,$A$3,0)</f>
        <v>17856</v>
      </c>
      <c r="C12" s="75">
        <f ca="1">OFFSET('6'!$E$4,$A$3,0)</f>
        <v>139615.11176134748</v>
      </c>
      <c r="D12" s="122">
        <f ca="1">OFFSET('6'!$F$4,$A$3,0)</f>
        <v>7.82</v>
      </c>
      <c r="E12" s="75">
        <f ca="1">OFFSET('6'!$E$66,$A$3,0)</f>
        <v>95600</v>
      </c>
      <c r="F12" s="122">
        <f ca="1">OFFSET('6'!$F$66,$A$3,0)</f>
        <v>5.35</v>
      </c>
      <c r="G12" s="75">
        <f ca="1">IFERROR('6'!$F$100*'Discipline Analysis'!$B12,"")</f>
        <v>3035.5200000000004</v>
      </c>
      <c r="H12" s="122">
        <f>'6'!$F$100</f>
        <v>0.17</v>
      </c>
      <c r="I12" s="75">
        <f ca="1">IFERROR('6'!$F$98*'Discipline Analysis'!$B12,"")</f>
        <v>8392.32</v>
      </c>
      <c r="J12" s="122">
        <f>'6'!$F$98</f>
        <v>0.47</v>
      </c>
      <c r="K12" s="75">
        <f ca="1">IFERROR('6'!$F$99*'Discipline Analysis'!$B12,"")</f>
        <v>6963.84</v>
      </c>
      <c r="L12" s="122">
        <f>'6'!$F$99</f>
        <v>0.39</v>
      </c>
      <c r="M12" s="75">
        <f ca="1">OFFSET('6'!$E$35,$A$3,0)</f>
        <v>16173</v>
      </c>
      <c r="N12" s="122">
        <f ca="1">OFFSET('6'!$F$35,$A$3,0)</f>
        <v>0.91</v>
      </c>
      <c r="O12" s="75">
        <f ca="1">IFERROR('6'!$F$101*'Discipline Analysis'!$B12,"")</f>
        <v>3392.64</v>
      </c>
      <c r="P12" s="122">
        <f>'6'!$F$101</f>
        <v>0.19</v>
      </c>
      <c r="Q12" s="75" t="str">
        <f ca="1">IFERROR('6'!$F$102*'Discipline Analysis'!$B12,"")</f>
        <v/>
      </c>
      <c r="R12" s="122" t="str">
        <f>'6'!$F$102</f>
        <v/>
      </c>
      <c r="S12" s="75" t="str">
        <f ca="1">IFERROR('6'!$F$103*'Discipline Analysis'!$B12,"")</f>
        <v/>
      </c>
      <c r="T12" s="122" t="str">
        <f>'6'!$F$103</f>
        <v/>
      </c>
      <c r="U12" s="75">
        <f ca="1">IFERROR('6'!$F$104*'Discipline Analysis'!$B12,"")</f>
        <v>6249.5999999999995</v>
      </c>
      <c r="V12" s="127">
        <f>'6'!$F$104</f>
        <v>0.35</v>
      </c>
      <c r="X12" s="74" t="s">
        <v>9</v>
      </c>
    </row>
    <row r="13" spans="1:24" x14ac:dyDescent="0.2">
      <c r="A13" s="92" t="s">
        <v>1032</v>
      </c>
      <c r="B13" s="83">
        <f ca="1">OFFSET('7'!$D$4,$A$3,0)</f>
        <v>0</v>
      </c>
      <c r="C13" s="75">
        <f ca="1">OFFSET('7'!$E$4,$A$3,0)</f>
        <v>0</v>
      </c>
      <c r="D13" s="122" t="str">
        <f ca="1">OFFSET('7'!$F$4,$A$3,0)</f>
        <v/>
      </c>
      <c r="E13" s="75">
        <f ca="1">OFFSET('7'!$E$66,$A$3,0)</f>
        <v>0</v>
      </c>
      <c r="F13" s="122" t="str">
        <f ca="1">OFFSET('7'!$F$66,$A$3,0)</f>
        <v/>
      </c>
      <c r="G13" s="75">
        <f ca="1">IFERROR('7'!$F$100*'Discipline Analysis'!$B13,"")</f>
        <v>0</v>
      </c>
      <c r="H13" s="122">
        <f>'7'!$F$100</f>
        <v>0.23</v>
      </c>
      <c r="I13" s="75">
        <f ca="1">IFERROR('7'!$F$98*'Discipline Analysis'!$B13,"")</f>
        <v>0</v>
      </c>
      <c r="J13" s="122">
        <f>'7'!$F$98</f>
        <v>1.51</v>
      </c>
      <c r="K13" s="75">
        <f ca="1">IFERROR('7'!$F$99*'Discipline Analysis'!$B13,"")</f>
        <v>0</v>
      </c>
      <c r="L13" s="122">
        <f>'7'!$F$99</f>
        <v>0.51</v>
      </c>
      <c r="M13" s="75">
        <f ca="1">OFFSET('7'!$E$35,$A$3,0)</f>
        <v>0</v>
      </c>
      <c r="N13" s="122" t="str">
        <f ca="1">OFFSET('7'!$F$35,$A$3,0)</f>
        <v/>
      </c>
      <c r="O13" s="75">
        <f ca="1">IFERROR('7'!$F$101*'Discipline Analysis'!$B13,"")</f>
        <v>0</v>
      </c>
      <c r="P13" s="122">
        <f>'7'!$F$101</f>
        <v>0.23</v>
      </c>
      <c r="Q13" s="75">
        <f ca="1">IFERROR('7'!$F$102*'Discipline Analysis'!$B13,"")</f>
        <v>0</v>
      </c>
      <c r="R13" s="122">
        <f>'7'!$F$102</f>
        <v>0.2</v>
      </c>
      <c r="S13" s="75" t="str">
        <f ca="1">IFERROR('7'!$F$103*'Discipline Analysis'!$B13,"")</f>
        <v/>
      </c>
      <c r="T13" s="122" t="str">
        <f>'7'!$F$103</f>
        <v/>
      </c>
      <c r="U13" s="75">
        <f ca="1">IFERROR('7'!$F$104*'Discipline Analysis'!$B13,"")</f>
        <v>0</v>
      </c>
      <c r="V13" s="127">
        <f>'7'!$F$104</f>
        <v>0.79</v>
      </c>
      <c r="X13" s="74" t="s">
        <v>10</v>
      </c>
    </row>
    <row r="14" spans="1:24" x14ac:dyDescent="0.2">
      <c r="A14" s="92" t="s">
        <v>1066</v>
      </c>
      <c r="B14" s="83">
        <f ca="1">OFFSET('8'!$D$4,$A$3,0)</f>
        <v>11440</v>
      </c>
      <c r="C14" s="75">
        <f ca="1">OFFSET('8'!$E$4,$A$3,0)</f>
        <v>107910.11990692123</v>
      </c>
      <c r="D14" s="122">
        <f ca="1">OFFSET('8'!$F$4,$A$3,0)</f>
        <v>9.43</v>
      </c>
      <c r="E14" s="75">
        <f ca="1">OFFSET('8'!$E$66,$A$3,0)</f>
        <v>50760</v>
      </c>
      <c r="F14" s="122">
        <f ca="1">OFFSET('8'!$F$66,$A$3,0)</f>
        <v>4.4400000000000004</v>
      </c>
      <c r="G14" s="75">
        <f ca="1">IFERROR('8'!$F$100*'Discipline Analysis'!$B14,"")</f>
        <v>2059.1999999999998</v>
      </c>
      <c r="H14" s="122">
        <f>'8'!$F$100</f>
        <v>0.18</v>
      </c>
      <c r="I14" s="75">
        <f ca="1">IFERROR('8'!$F$98*'Discipline Analysis'!$B14,"")</f>
        <v>9609.6</v>
      </c>
      <c r="J14" s="122">
        <f>'8'!$F$98</f>
        <v>0.84</v>
      </c>
      <c r="K14" s="75">
        <f ca="1">IFERROR('8'!$F$99*'Discipline Analysis'!$B14,"")</f>
        <v>5605.5999999999995</v>
      </c>
      <c r="L14" s="122">
        <f>'8'!$F$99</f>
        <v>0.49</v>
      </c>
      <c r="M14" s="75">
        <f ca="1">OFFSET('8'!$E$35,$A$3,0)</f>
        <v>37342</v>
      </c>
      <c r="N14" s="122">
        <f ca="1">OFFSET('8'!$F$35,$A$3,0)</f>
        <v>3.26</v>
      </c>
      <c r="O14" s="75">
        <f ca="1">IFERROR('8'!$F$101*'Discipline Analysis'!$B14,"")</f>
        <v>1944.8000000000002</v>
      </c>
      <c r="P14" s="122">
        <f>'8'!$F$101</f>
        <v>0.17</v>
      </c>
      <c r="Q14" s="75">
        <f ca="1">IFERROR('8'!$F$102*'Discipline Analysis'!$B14,"")</f>
        <v>457.6</v>
      </c>
      <c r="R14" s="122">
        <f>'8'!$F$102</f>
        <v>0.04</v>
      </c>
      <c r="S14" s="75" t="str">
        <f ca="1">IFERROR('8'!$F$103*'Discipline Analysis'!$B14,"")</f>
        <v/>
      </c>
      <c r="T14" s="122" t="str">
        <f>'8'!$F$103</f>
        <v/>
      </c>
      <c r="U14" s="75" t="str">
        <f ca="1">IFERROR('8'!$F$104*'Discipline Analysis'!$B14,"")</f>
        <v/>
      </c>
      <c r="V14" s="127" t="str">
        <f>'8'!$F$104</f>
        <v/>
      </c>
      <c r="X14" s="74" t="s">
        <v>11</v>
      </c>
    </row>
    <row r="15" spans="1:24" x14ac:dyDescent="0.2">
      <c r="A15" s="92" t="s">
        <v>1023</v>
      </c>
      <c r="B15" s="83">
        <f ca="1">OFFSET('9'!$D$4,$A$3,0)</f>
        <v>10032</v>
      </c>
      <c r="C15" s="75">
        <f ca="1">OFFSET('9'!$E$4,$A$3,0)</f>
        <v>67298.012710277893</v>
      </c>
      <c r="D15" s="122">
        <f ca="1">OFFSET('9'!$F$4,$A$3,0)</f>
        <v>6.71</v>
      </c>
      <c r="E15" s="75">
        <f ca="1">OFFSET('9'!$E$66,$A$3,0)</f>
        <v>44101</v>
      </c>
      <c r="F15" s="122">
        <f ca="1">OFFSET('9'!$F$66,$A$3,0)</f>
        <v>4.4000000000000004</v>
      </c>
      <c r="G15" s="75">
        <f ca="1">IFERROR('9'!$F$100*'Discipline Analysis'!$B15,"")</f>
        <v>1003.2</v>
      </c>
      <c r="H15" s="122">
        <f>'9'!$F$100</f>
        <v>0.1</v>
      </c>
      <c r="I15" s="75">
        <f ca="1">IFERROR('9'!$F$98*'Discipline Analysis'!$B15,"")</f>
        <v>6821.76</v>
      </c>
      <c r="J15" s="122">
        <f>'9'!$F$98</f>
        <v>0.68</v>
      </c>
      <c r="K15" s="75">
        <f ca="1">IFERROR('9'!$F$99*'Discipline Analysis'!$B15,"")</f>
        <v>6621.12</v>
      </c>
      <c r="L15" s="122">
        <f>'9'!$F$99</f>
        <v>0.66</v>
      </c>
      <c r="M15" s="75">
        <f ca="1">OFFSET('9'!$E$35,$A$3,0)</f>
        <v>5707</v>
      </c>
      <c r="N15" s="122">
        <f ca="1">OFFSET('9'!$F$35,$A$3,0)</f>
        <v>0.56999999999999995</v>
      </c>
      <c r="O15" s="75">
        <f ca="1">IFERROR('9'!$F$101*'Discipline Analysis'!$B15,"")</f>
        <v>1605.1200000000001</v>
      </c>
      <c r="P15" s="122">
        <f>'9'!$F$101</f>
        <v>0.16</v>
      </c>
      <c r="Q15" s="75" t="str">
        <f ca="1">IFERROR('9'!$F$102*'Discipline Analysis'!$B15,"")</f>
        <v/>
      </c>
      <c r="R15" s="122" t="str">
        <f>'9'!$F$102</f>
        <v/>
      </c>
      <c r="S15" s="75" t="str">
        <f ca="1">IFERROR('9'!$F$103*'Discipline Analysis'!$B15,"")</f>
        <v/>
      </c>
      <c r="T15" s="122" t="str">
        <f>'9'!$F$103</f>
        <v/>
      </c>
      <c r="U15" s="75">
        <f ca="1">IFERROR('9'!$F$104*'Discipline Analysis'!$B15,"")</f>
        <v>1404.4800000000002</v>
      </c>
      <c r="V15" s="127">
        <f>'9'!$F$104</f>
        <v>0.14000000000000001</v>
      </c>
      <c r="X15" s="74" t="s">
        <v>12</v>
      </c>
    </row>
    <row r="16" spans="1:24" x14ac:dyDescent="0.2">
      <c r="A16" s="92" t="s">
        <v>1033</v>
      </c>
      <c r="B16" s="83">
        <f ca="1">OFFSET('10'!$D$4,$A$3,0)</f>
        <v>35120</v>
      </c>
      <c r="C16" s="75">
        <f ca="1">OFFSET('10'!$E$4,$A$3,0)</f>
        <v>331938.41810301587</v>
      </c>
      <c r="D16" s="122">
        <f ca="1">OFFSET('10'!$F$4,$A$3,0)</f>
        <v>9.4499999999999993</v>
      </c>
      <c r="E16" s="75">
        <f ca="1">OFFSET('10'!$E$66,$A$3,0)</f>
        <v>151895</v>
      </c>
      <c r="F16" s="122">
        <f ca="1">OFFSET('10'!$F$66,$A$3,0)</f>
        <v>4.33</v>
      </c>
      <c r="G16" s="75">
        <f ca="1">IFERROR('10'!$F$100*'Discipline Analysis'!$B16,"")</f>
        <v>5619.2</v>
      </c>
      <c r="H16" s="122">
        <f>'10'!$F$100</f>
        <v>0.16</v>
      </c>
      <c r="I16" s="75">
        <f ca="1">IFERROR('10'!$F$98*'Discipline Analysis'!$B16,"")</f>
        <v>57596.799999999996</v>
      </c>
      <c r="J16" s="122">
        <f>'10'!$F$98</f>
        <v>1.64</v>
      </c>
      <c r="K16" s="75">
        <f ca="1">IFERROR('10'!$F$99*'Discipline Analysis'!$B16,"")</f>
        <v>24935.199999999997</v>
      </c>
      <c r="L16" s="122">
        <f>'10'!$F$99</f>
        <v>0.71</v>
      </c>
      <c r="M16" s="75">
        <f ca="1">OFFSET('10'!$E$35,$A$3,0)</f>
        <v>71504</v>
      </c>
      <c r="N16" s="122">
        <f ca="1">OFFSET('10'!$F$35,$A$3,0)</f>
        <v>2.04</v>
      </c>
      <c r="O16" s="75">
        <f ca="1">IFERROR('10'!$F$101*'Discipline Analysis'!$B16,"")</f>
        <v>14048</v>
      </c>
      <c r="P16" s="122">
        <f>'10'!$F$101</f>
        <v>0.4</v>
      </c>
      <c r="Q16" s="75" t="str">
        <f ca="1">IFERROR('10'!$F$102*'Discipline Analysis'!$B16,"")</f>
        <v/>
      </c>
      <c r="R16" s="122" t="str">
        <f>'10'!$F$102</f>
        <v/>
      </c>
      <c r="S16" s="75" t="str">
        <f ca="1">IFERROR('10'!$F$103*'Discipline Analysis'!$B16,"")</f>
        <v/>
      </c>
      <c r="T16" s="122" t="str">
        <f>'10'!$F$103</f>
        <v/>
      </c>
      <c r="U16" s="75">
        <f ca="1">IFERROR('10'!$F$104*'Discipline Analysis'!$B16,"")</f>
        <v>6321.5999999999995</v>
      </c>
      <c r="V16" s="127">
        <f>'10'!$F$104</f>
        <v>0.18</v>
      </c>
      <c r="X16" s="74" t="s">
        <v>464</v>
      </c>
    </row>
    <row r="17" spans="1:24" x14ac:dyDescent="0.2">
      <c r="A17" s="92" t="s">
        <v>1034</v>
      </c>
      <c r="B17" s="83">
        <f ca="1">OFFSET('11'!$D$4,$A$3,0)</f>
        <v>32264</v>
      </c>
      <c r="C17" s="75">
        <f ca="1">OFFSET('11'!$E$4,$A$3,0)</f>
        <v>115846.44033824276</v>
      </c>
      <c r="D17" s="122">
        <f ca="1">OFFSET('11'!$F$4,$A$3,0)</f>
        <v>3.59</v>
      </c>
      <c r="E17" s="75">
        <f ca="1">OFFSET('11'!$E$66,$A$3,0)</f>
        <v>42518</v>
      </c>
      <c r="F17" s="122">
        <f ca="1">OFFSET('11'!$F$66,$A$3,0)</f>
        <v>1.32</v>
      </c>
      <c r="G17" s="75">
        <f ca="1">IFERROR('11'!$F$100*'Discipline Analysis'!$B17,"")</f>
        <v>8711.2800000000007</v>
      </c>
      <c r="H17" s="131">
        <f>'11'!$F$100</f>
        <v>0.27</v>
      </c>
      <c r="I17" s="75">
        <f ca="1">IFERROR('11'!$F$98*'Discipline Analysis'!$B17,"")</f>
        <v>31941.360000000001</v>
      </c>
      <c r="J17" s="122">
        <f>'11'!$F$98</f>
        <v>0.99</v>
      </c>
      <c r="K17" s="75">
        <f ca="1">IFERROR('11'!$F$99*'Discipline Analysis'!$B17,"")</f>
        <v>10001.84</v>
      </c>
      <c r="L17" s="122">
        <f>'11'!$F$99</f>
        <v>0.31</v>
      </c>
      <c r="M17" s="75">
        <f ca="1">OFFSET('11'!$E$35,$A$3,0)</f>
        <v>2545</v>
      </c>
      <c r="N17" s="122">
        <f ca="1">OFFSET('11'!$F$35,$A$3,0)</f>
        <v>0.08</v>
      </c>
      <c r="O17" s="75">
        <f ca="1">IFERROR('11'!$F$101*'Discipline Analysis'!$B17,"")</f>
        <v>14518.800000000001</v>
      </c>
      <c r="P17" s="122">
        <f>'11'!$F$101</f>
        <v>0.45</v>
      </c>
      <c r="Q17" s="75" t="str">
        <f ca="1">IFERROR('11'!$F$102*'Discipline Analysis'!$B17,"")</f>
        <v/>
      </c>
      <c r="R17" s="122" t="str">
        <f>'11'!$F$102</f>
        <v/>
      </c>
      <c r="S17" s="75" t="str">
        <f ca="1">IFERROR('11'!$F$103*'Discipline Analysis'!$B17,"")</f>
        <v/>
      </c>
      <c r="T17" s="122" t="str">
        <f>'11'!$F$103</f>
        <v/>
      </c>
      <c r="U17" s="75">
        <f ca="1">IFERROR('11'!$F$104*'Discipline Analysis'!$B17,"")</f>
        <v>5807.5199999999995</v>
      </c>
      <c r="V17" s="127">
        <f>'11'!$F$104</f>
        <v>0.18</v>
      </c>
      <c r="X17" s="74" t="s">
        <v>13</v>
      </c>
    </row>
    <row r="18" spans="1:24" x14ac:dyDescent="0.2">
      <c r="A18" s="92" t="s">
        <v>936</v>
      </c>
      <c r="B18" s="83">
        <f ca="1">OFFSET('12'!$D$4,$A$3,0)</f>
        <v>0</v>
      </c>
      <c r="C18" s="75">
        <f ca="1">OFFSET('12'!$E$4,$A$3,0)</f>
        <v>0</v>
      </c>
      <c r="D18" s="122" t="str">
        <f ca="1">OFFSET('12'!$F$4,$A$3,0)</f>
        <v/>
      </c>
      <c r="E18" s="75">
        <f ca="1">OFFSET('12'!$E$66,$A$3,0)</f>
        <v>0</v>
      </c>
      <c r="F18" s="122" t="str">
        <f ca="1">OFFSET('12'!$F$66,$A$3,0)</f>
        <v/>
      </c>
      <c r="G18" s="75">
        <f ca="1">IFERROR('12'!$F$100*'Discipline Analysis'!$B18,"")</f>
        <v>0</v>
      </c>
      <c r="H18" s="122">
        <f>'12'!$F$100</f>
        <v>0.47</v>
      </c>
      <c r="I18" s="75">
        <f ca="1">IFERROR('12'!$F$98*'Discipline Analysis'!$B18,"")</f>
        <v>0</v>
      </c>
      <c r="J18" s="122">
        <f>'12'!$F$98</f>
        <v>1.89</v>
      </c>
      <c r="K18" s="75">
        <f ca="1">IFERROR('12'!$F$99*'Discipline Analysis'!$B18,"")</f>
        <v>0</v>
      </c>
      <c r="L18" s="122">
        <f>'12'!$F$99</f>
        <v>0.69</v>
      </c>
      <c r="M18" s="75">
        <f ca="1">OFFSET('12'!$E$35,$A$3,0)</f>
        <v>0</v>
      </c>
      <c r="N18" s="122" t="str">
        <f ca="1">OFFSET('12'!$F$35,$A$3,0)</f>
        <v/>
      </c>
      <c r="O18" s="75" t="str">
        <f ca="1">IFERROR('12'!$F$101*'Discipline Analysis'!$B18,"")</f>
        <v/>
      </c>
      <c r="P18" s="122" t="str">
        <f>'12'!$F$101</f>
        <v/>
      </c>
      <c r="Q18" s="75" t="str">
        <f ca="1">IFERROR('12'!$F$102*'Discipline Analysis'!$B18,"")</f>
        <v/>
      </c>
      <c r="R18" s="122" t="str">
        <f>'12'!$F$102</f>
        <v/>
      </c>
      <c r="S18" s="75" t="str">
        <f ca="1">IFERROR('12'!$F$103*'Discipline Analysis'!$B18,"")</f>
        <v/>
      </c>
      <c r="T18" s="122" t="str">
        <f>'12'!$F$103</f>
        <v/>
      </c>
      <c r="U18" s="75">
        <f ca="1">IFERROR('12'!$F$104*'Discipline Analysis'!$B18,"")</f>
        <v>0</v>
      </c>
      <c r="V18" s="127">
        <f>'12'!$F$104</f>
        <v>1.1599999999999999</v>
      </c>
      <c r="X18" s="74" t="s">
        <v>14</v>
      </c>
    </row>
    <row r="19" spans="1:24" x14ac:dyDescent="0.2">
      <c r="A19" s="92" t="s">
        <v>1057</v>
      </c>
      <c r="B19" s="83">
        <f ca="1">OFFSET('13'!$D$4,$A$3,0)</f>
        <v>9036</v>
      </c>
      <c r="C19" s="75">
        <f ca="1">OFFSET('13'!$E$4,$A$3,0)</f>
        <v>100017.98091373102</v>
      </c>
      <c r="D19" s="122">
        <f ca="1">OFFSET('13'!$F$4,$A$3,0)</f>
        <v>11.07</v>
      </c>
      <c r="E19" s="75">
        <f ca="1">OFFSET('13'!$E$66,$A$3,0)</f>
        <v>57491</v>
      </c>
      <c r="F19" s="122">
        <f ca="1">OFFSET('13'!$F$66,$A$3,0)</f>
        <v>6.36</v>
      </c>
      <c r="G19" s="75">
        <f ca="1">IFERROR('13'!$F$100*'Discipline Analysis'!$B19,"")</f>
        <v>4156.5600000000004</v>
      </c>
      <c r="H19" s="122">
        <f>'13'!$F$100</f>
        <v>0.46</v>
      </c>
      <c r="I19" s="75">
        <f ca="1">IFERROR('13'!$F$98*'Discipline Analysis'!$B19,"")</f>
        <v>10752.84</v>
      </c>
      <c r="J19" s="122">
        <f>'13'!$F$98</f>
        <v>1.19</v>
      </c>
      <c r="K19" s="75">
        <f ca="1">IFERROR('13'!$F$99*'Discipline Analysis'!$B19,"")</f>
        <v>7499.8799999999992</v>
      </c>
      <c r="L19" s="122">
        <f>'13'!$F$99</f>
        <v>0.83</v>
      </c>
      <c r="M19" s="75">
        <f ca="1">OFFSET('13'!$E$35,$A$3,0)</f>
        <v>12724</v>
      </c>
      <c r="N19" s="122">
        <f ca="1">OFFSET('13'!$F$35,$A$3,0)</f>
        <v>1.41</v>
      </c>
      <c r="O19" s="75">
        <f ca="1">IFERROR('13'!$F$101*'Discipline Analysis'!$B19,"")</f>
        <v>4337.28</v>
      </c>
      <c r="P19" s="122">
        <f>'13'!$F$101</f>
        <v>0.48</v>
      </c>
      <c r="Q19" s="75" t="str">
        <f ca="1">IFERROR('13'!$F$102*'Discipline Analysis'!$B19,"")</f>
        <v/>
      </c>
      <c r="R19" s="122" t="str">
        <f>'13'!$F$102</f>
        <v/>
      </c>
      <c r="S19" s="75" t="str">
        <f ca="1">IFERROR('13'!$F$103*'Discipline Analysis'!$B19,"")</f>
        <v/>
      </c>
      <c r="T19" s="122" t="str">
        <f>'13'!$F$103</f>
        <v/>
      </c>
      <c r="U19" s="75">
        <f ca="1">IFERROR('13'!$F$104*'Discipline Analysis'!$B19,"")</f>
        <v>3072.2400000000002</v>
      </c>
      <c r="V19" s="127">
        <f>'13'!$F$104</f>
        <v>0.34</v>
      </c>
      <c r="X19" s="74" t="s">
        <v>15</v>
      </c>
    </row>
    <row r="20" spans="1:24" x14ac:dyDescent="0.2">
      <c r="A20" s="92" t="s">
        <v>1058</v>
      </c>
      <c r="B20" s="83">
        <f ca="1">OFFSET('14'!$D$4,$A$3,0)</f>
        <v>78084</v>
      </c>
      <c r="C20" s="75">
        <f ca="1">OFFSET('14'!$E$4,$A$3,0)</f>
        <v>986188.4184205893</v>
      </c>
      <c r="D20" s="122">
        <f ca="1">OFFSET('14'!$F$4,$A$3,0)</f>
        <v>12.63</v>
      </c>
      <c r="E20" s="75">
        <f ca="1">OFFSET('14'!$E$66,$A$3,0)</f>
        <v>380468</v>
      </c>
      <c r="F20" s="122">
        <f ca="1">OFFSET('14'!$F$66,$A$3,0)</f>
        <v>4.87</v>
      </c>
      <c r="G20" s="75">
        <f ca="1">IFERROR('14'!$F$100*'Discipline Analysis'!$B20,"")</f>
        <v>24986.880000000001</v>
      </c>
      <c r="H20" s="122">
        <f>'14'!$F$100</f>
        <v>0.32</v>
      </c>
      <c r="I20" s="75">
        <f ca="1">IFERROR('14'!$F$98*'Discipline Analysis'!$B20,"")</f>
        <v>97605</v>
      </c>
      <c r="J20" s="122">
        <f>'14'!$F$98</f>
        <v>1.25</v>
      </c>
      <c r="K20" s="75">
        <f ca="1">IFERROR('14'!$F$99*'Discipline Analysis'!$B20,"")</f>
        <v>49973.760000000002</v>
      </c>
      <c r="L20" s="122">
        <f>'14'!$F$99</f>
        <v>0.64</v>
      </c>
      <c r="M20" s="75">
        <f ca="1">OFFSET('14'!$E$35,$A$3,0)</f>
        <v>396609</v>
      </c>
      <c r="N20" s="122">
        <f ca="1">OFFSET('14'!$F$35,$A$3,0)</f>
        <v>5.08</v>
      </c>
      <c r="O20" s="75">
        <f ca="1">IFERROR('14'!$F$101*'Discipline Analysis'!$B20,"")</f>
        <v>17959.32</v>
      </c>
      <c r="P20" s="122">
        <f>'14'!$F$101</f>
        <v>0.23</v>
      </c>
      <c r="Q20" s="75">
        <f ca="1">IFERROR('14'!$F$102*'Discipline Analysis'!$B20,"")</f>
        <v>2342.52</v>
      </c>
      <c r="R20" s="122">
        <f>'14'!$F$102</f>
        <v>0.03</v>
      </c>
      <c r="S20" s="75" t="str">
        <f ca="1">IFERROR('14'!$F$103*'Discipline Analysis'!$B20,"")</f>
        <v/>
      </c>
      <c r="T20" s="122" t="str">
        <f>'14'!$F$103</f>
        <v/>
      </c>
      <c r="U20" s="75">
        <f ca="1">IFERROR('14'!$F$104*'Discipline Analysis'!$B20,"")</f>
        <v>17178.48</v>
      </c>
      <c r="V20" s="127">
        <f>'14'!$F$104</f>
        <v>0.22</v>
      </c>
      <c r="X20" s="74" t="s">
        <v>16</v>
      </c>
    </row>
    <row r="21" spans="1:24" x14ac:dyDescent="0.2">
      <c r="A21" s="92" t="s">
        <v>1035</v>
      </c>
      <c r="B21" s="83">
        <f ca="1">OFFSET('15'!$D$4,$A$3,0)</f>
        <v>0</v>
      </c>
      <c r="C21" s="75">
        <f ca="1">OFFSET('15'!$E$4,$A$3,0)</f>
        <v>0</v>
      </c>
      <c r="D21" s="122" t="str">
        <f ca="1">OFFSET('15'!$F$4,$A$3,0)</f>
        <v/>
      </c>
      <c r="E21" s="75">
        <f ca="1">OFFSET('15'!$E$66,$A$3,0)</f>
        <v>0</v>
      </c>
      <c r="F21" s="122" t="str">
        <f ca="1">OFFSET('15'!$F$66,$A$3,0)</f>
        <v/>
      </c>
      <c r="G21" s="75" t="str">
        <f ca="1">IFERROR('15'!$F$100*'Discipline Analysis'!$B21,"")</f>
        <v/>
      </c>
      <c r="H21" s="122" t="str">
        <f>'15'!$F$100</f>
        <v/>
      </c>
      <c r="I21" s="75" t="str">
        <f ca="1">IFERROR('15'!$F$98*'Discipline Analysis'!$B21,"")</f>
        <v/>
      </c>
      <c r="J21" s="122" t="str">
        <f>'15'!$F$98</f>
        <v/>
      </c>
      <c r="K21" s="75" t="str">
        <f ca="1">IFERROR('15'!$F$99*'Discipline Analysis'!$B21,"")</f>
        <v/>
      </c>
      <c r="L21" s="122" t="str">
        <f>'15'!$F$99</f>
        <v/>
      </c>
      <c r="M21" s="75">
        <f ca="1">OFFSET('15'!$E$35,$A$3,0)</f>
        <v>0</v>
      </c>
      <c r="N21" s="122" t="str">
        <f ca="1">OFFSET('15'!$F$35,$A$3,0)</f>
        <v/>
      </c>
      <c r="O21" s="75" t="str">
        <f ca="1">IFERROR('15'!$F$101*'Discipline Analysis'!$B21,"")</f>
        <v/>
      </c>
      <c r="P21" s="122" t="str">
        <f>'15'!$F$101</f>
        <v/>
      </c>
      <c r="Q21" s="75" t="str">
        <f ca="1">IFERROR('15'!$F$102*'Discipline Analysis'!$B21,"")</f>
        <v/>
      </c>
      <c r="R21" s="122" t="str">
        <f>'15'!$F$102</f>
        <v/>
      </c>
      <c r="S21" s="75" t="str">
        <f ca="1">IFERROR('15'!$F$103*'Discipline Analysis'!$B21,"")</f>
        <v/>
      </c>
      <c r="T21" s="122" t="str">
        <f>'15'!$F$103</f>
        <v/>
      </c>
      <c r="U21" s="75" t="str">
        <f ca="1">IFERROR('15'!$F$104*'Discipline Analysis'!$B21,"")</f>
        <v/>
      </c>
      <c r="V21" s="127" t="str">
        <f>'15'!$F$104</f>
        <v/>
      </c>
      <c r="X21" s="74" t="s">
        <v>17</v>
      </c>
    </row>
    <row r="22" spans="1:24" x14ac:dyDescent="0.2">
      <c r="A22" s="91" t="s">
        <v>1059</v>
      </c>
      <c r="B22" s="83">
        <f ca="1">OFFSET('16'!$D$4,$A$3,0)</f>
        <v>0</v>
      </c>
      <c r="C22" s="75">
        <f ca="1">OFFSET('16'!$E$4,$A$3,0)</f>
        <v>0</v>
      </c>
      <c r="D22" s="122" t="str">
        <f ca="1">OFFSET('16'!$F$4,$A$3,0)</f>
        <v/>
      </c>
      <c r="E22" s="75">
        <f ca="1">OFFSET('16'!$E$66,$A$3,0)</f>
        <v>0</v>
      </c>
      <c r="F22" s="122" t="str">
        <f ca="1">OFFSET('16'!$F$66,$A$3,0)</f>
        <v/>
      </c>
      <c r="G22" s="75">
        <f ca="1">IFERROR('16'!$F$100*'Discipline Analysis'!$B22,"")</f>
        <v>0</v>
      </c>
      <c r="H22" s="122">
        <f>'16'!$F$100</f>
        <v>0.37</v>
      </c>
      <c r="I22" s="75">
        <f ca="1">IFERROR('16'!$F$98*'Discipline Analysis'!$B22,"")</f>
        <v>0</v>
      </c>
      <c r="J22" s="122">
        <f>'16'!$F$98</f>
        <v>1.52</v>
      </c>
      <c r="K22" s="75">
        <f ca="1">IFERROR('16'!$F$99*'Discipline Analysis'!$B22,"")</f>
        <v>0</v>
      </c>
      <c r="L22" s="122">
        <f>'16'!$F$99</f>
        <v>0.71</v>
      </c>
      <c r="M22" s="75">
        <f ca="1">OFFSET('16'!$E$35,$A$3,0)</f>
        <v>0</v>
      </c>
      <c r="N22" s="122" t="str">
        <f ca="1">OFFSET('16'!$F$35,$A$3,0)</f>
        <v/>
      </c>
      <c r="O22" s="75">
        <f ca="1">IFERROR('16'!$F$101*'Discipline Analysis'!$B22,"")</f>
        <v>0</v>
      </c>
      <c r="P22" s="122">
        <f>'16'!$F$101</f>
        <v>0.66</v>
      </c>
      <c r="Q22" s="75">
        <f ca="1">IFERROR('16'!$F$102*'Discipline Analysis'!$B22,"")</f>
        <v>0</v>
      </c>
      <c r="R22" s="122">
        <f>'16'!$F$102</f>
        <v>0.01</v>
      </c>
      <c r="S22" s="75" t="str">
        <f ca="1">IFERROR('16'!$F$103*'Discipline Analysis'!$B22,"")</f>
        <v/>
      </c>
      <c r="T22" s="122" t="str">
        <f>'16'!$F$103</f>
        <v/>
      </c>
      <c r="U22" s="75">
        <f ca="1">IFERROR('16'!$F$104*'Discipline Analysis'!$B22,"")</f>
        <v>0</v>
      </c>
      <c r="V22" s="127">
        <f>'16'!$F$104</f>
        <v>0.37</v>
      </c>
      <c r="X22" s="74" t="s">
        <v>18</v>
      </c>
    </row>
    <row r="23" spans="1:24" x14ac:dyDescent="0.2">
      <c r="A23" s="92" t="s">
        <v>1036</v>
      </c>
      <c r="B23" s="83">
        <f ca="1">OFFSET('17'!$D$4,$A$3,0)</f>
        <v>22176</v>
      </c>
      <c r="C23" s="75">
        <f ca="1">OFFSET('17'!$E$4,$A$3,0)</f>
        <v>182221.03453384308</v>
      </c>
      <c r="D23" s="122">
        <f ca="1">OFFSET('17'!$F$4,$A$3,0)</f>
        <v>8.2200000000000006</v>
      </c>
      <c r="E23" s="75">
        <f ca="1">OFFSET('17'!$E$66,$A$3,0)</f>
        <v>105321</v>
      </c>
      <c r="F23" s="122">
        <f ca="1">OFFSET('17'!$F$66,$A$3,0)</f>
        <v>4.75</v>
      </c>
      <c r="G23" s="75">
        <f ca="1">IFERROR('17'!$F$100*'Discipline Analysis'!$B23,"")</f>
        <v>4435.2</v>
      </c>
      <c r="H23" s="122">
        <f>'17'!$F$100</f>
        <v>0.2</v>
      </c>
      <c r="I23" s="75">
        <f ca="1">IFERROR('17'!$F$98*'Discipline Analysis'!$B23,"")</f>
        <v>25058.879999999997</v>
      </c>
      <c r="J23" s="122">
        <f>'17'!$F$98</f>
        <v>1.1299999999999999</v>
      </c>
      <c r="K23" s="75">
        <f ca="1">IFERROR('17'!$F$99*'Discipline Analysis'!$B23,"")</f>
        <v>11088</v>
      </c>
      <c r="L23" s="122">
        <f>'17'!$F$99</f>
        <v>0.5</v>
      </c>
      <c r="M23" s="75">
        <f ca="1">OFFSET('17'!$E$35,$A$3,0)</f>
        <v>12982</v>
      </c>
      <c r="N23" s="122">
        <f ca="1">OFFSET('17'!$F$35,$A$3,0)</f>
        <v>0.59</v>
      </c>
      <c r="O23" s="75">
        <f ca="1">IFERROR('17'!$F$101*'Discipline Analysis'!$B23,"")</f>
        <v>16410.240000000002</v>
      </c>
      <c r="P23" s="122">
        <f>'17'!$F$101</f>
        <v>0.74</v>
      </c>
      <c r="Q23" s="75">
        <f ca="1">IFERROR('17'!$F$102*'Discipline Analysis'!$B23,"")</f>
        <v>1330.56</v>
      </c>
      <c r="R23" s="122">
        <f>'17'!$F$102</f>
        <v>0.06</v>
      </c>
      <c r="S23" s="75" t="str">
        <f ca="1">IFERROR('17'!$F$103*'Discipline Analysis'!$B23,"")</f>
        <v/>
      </c>
      <c r="T23" s="122" t="str">
        <f>'17'!$F$103</f>
        <v/>
      </c>
      <c r="U23" s="75">
        <f ca="1">IFERROR('17'!$F$104*'Discipline Analysis'!$B23,"")</f>
        <v>5322.24</v>
      </c>
      <c r="V23" s="127">
        <f>'17'!$F$104</f>
        <v>0.24</v>
      </c>
      <c r="X23" s="74" t="s">
        <v>461</v>
      </c>
    </row>
    <row r="24" spans="1:24" x14ac:dyDescent="0.2">
      <c r="A24" s="92" t="s">
        <v>1037</v>
      </c>
      <c r="B24" s="83">
        <f ca="1">OFFSET('18'!$D$4,$A$3,0)</f>
        <v>0</v>
      </c>
      <c r="C24" s="75">
        <f ca="1">OFFSET('18'!$E$4,$A$3,0)</f>
        <v>0</v>
      </c>
      <c r="D24" s="122" t="str">
        <f ca="1">OFFSET('18'!$F$4,$A$3,0)</f>
        <v/>
      </c>
      <c r="E24" s="75">
        <f ca="1">OFFSET('18'!$E$66,$A$3,0)</f>
        <v>0</v>
      </c>
      <c r="F24" s="122" t="str">
        <f ca="1">OFFSET('18'!$F$66,$A$3,0)</f>
        <v/>
      </c>
      <c r="G24" s="75">
        <f ca="1">IFERROR('18'!$F$100*'Discipline Analysis'!$B24,"")</f>
        <v>0</v>
      </c>
      <c r="H24" s="122">
        <f>'18'!$F$100</f>
        <v>0.27</v>
      </c>
      <c r="I24" s="75">
        <f ca="1">IFERROR('18'!$F$98*'Discipline Analysis'!$B24,"")</f>
        <v>0</v>
      </c>
      <c r="J24" s="122">
        <f>'18'!$F$98</f>
        <v>1.62</v>
      </c>
      <c r="K24" s="75">
        <f ca="1">IFERROR('18'!$F$99*'Discipline Analysis'!$B24,"")</f>
        <v>0</v>
      </c>
      <c r="L24" s="122">
        <f>'18'!$F$99</f>
        <v>0.42</v>
      </c>
      <c r="M24" s="75">
        <f ca="1">OFFSET('18'!$E$35,$A$3,0)</f>
        <v>0</v>
      </c>
      <c r="N24" s="122" t="str">
        <f ca="1">OFFSET('18'!$F$35,$A$3,0)</f>
        <v/>
      </c>
      <c r="O24" s="75">
        <f ca="1">IFERROR('18'!$F$101*'Discipline Analysis'!$B24,"")</f>
        <v>0</v>
      </c>
      <c r="P24" s="122">
        <f>'18'!$F$101</f>
        <v>0.84</v>
      </c>
      <c r="Q24" s="75">
        <f ca="1">IFERROR('18'!$F$102*'Discipline Analysis'!$B24,"")</f>
        <v>0</v>
      </c>
      <c r="R24" s="122">
        <f>'18'!$F$102</f>
        <v>0.14000000000000001</v>
      </c>
      <c r="S24" s="75" t="str">
        <f ca="1">IFERROR('18'!$F$103*'Discipline Analysis'!$B24,"")</f>
        <v/>
      </c>
      <c r="T24" s="122" t="str">
        <f>'18'!$F$103</f>
        <v/>
      </c>
      <c r="U24" s="75">
        <f ca="1">IFERROR('18'!$F$104*'Discipline Analysis'!$B24,"")</f>
        <v>0</v>
      </c>
      <c r="V24" s="127">
        <f>'18'!$F$104</f>
        <v>0.71</v>
      </c>
      <c r="X24" s="74" t="s">
        <v>19</v>
      </c>
    </row>
    <row r="25" spans="1:24" x14ac:dyDescent="0.2">
      <c r="A25" s="92" t="s">
        <v>1067</v>
      </c>
      <c r="B25" s="83">
        <f ca="1">OFFSET('19'!$D$4,$A$3,0)</f>
        <v>15912</v>
      </c>
      <c r="C25" s="75">
        <f ca="1">OFFSET('19'!$E$4,$A$3,0)</f>
        <v>100368.88675070797</v>
      </c>
      <c r="D25" s="122">
        <f ca="1">OFFSET('19'!$F$4,$A$3,0)</f>
        <v>6.31</v>
      </c>
      <c r="E25" s="75">
        <f ca="1">OFFSET('19'!$E$66,$A$3,0)</f>
        <v>48212</v>
      </c>
      <c r="F25" s="122">
        <f ca="1">OFFSET('19'!$F$66,$A$3,0)</f>
        <v>3.03</v>
      </c>
      <c r="G25" s="75">
        <f ca="1">IFERROR('19'!$F$100*'Discipline Analysis'!$B25,"")</f>
        <v>2545.92</v>
      </c>
      <c r="H25" s="122">
        <f>'19'!$F$100</f>
        <v>0.16</v>
      </c>
      <c r="I25" s="75">
        <f ca="1">IFERROR('19'!$F$98*'Discipline Analysis'!$B25,"")</f>
        <v>15593.76</v>
      </c>
      <c r="J25" s="122">
        <f>'19'!$F$98</f>
        <v>0.98</v>
      </c>
      <c r="K25" s="75">
        <f ca="1">IFERROR('19'!$F$99*'Discipline Analysis'!$B25,"")</f>
        <v>8433.36</v>
      </c>
      <c r="L25" s="122">
        <f>'19'!$F$99</f>
        <v>0.53</v>
      </c>
      <c r="M25" s="75">
        <f ca="1">OFFSET('19'!$E$35,$A$3,0)</f>
        <v>14671</v>
      </c>
      <c r="N25" s="122">
        <f ca="1">OFFSET('19'!$F$35,$A$3,0)</f>
        <v>0.92</v>
      </c>
      <c r="O25" s="75">
        <f ca="1">IFERROR('19'!$F$101*'Discipline Analysis'!$B25,"")</f>
        <v>3341.52</v>
      </c>
      <c r="P25" s="122">
        <f>'19'!$F$101</f>
        <v>0.21</v>
      </c>
      <c r="Q25" s="75">
        <f ca="1">IFERROR('19'!$F$102*'Discipline Analysis'!$B25,"")</f>
        <v>477.35999999999996</v>
      </c>
      <c r="R25" s="122">
        <f>'19'!$F$102</f>
        <v>0.03</v>
      </c>
      <c r="S25" s="75" t="str">
        <f ca="1">IFERROR('19'!$F$103*'Discipline Analysis'!$B25,"")</f>
        <v/>
      </c>
      <c r="T25" s="122" t="str">
        <f>'19'!$F$103</f>
        <v/>
      </c>
      <c r="U25" s="75">
        <f ca="1">IFERROR('19'!$F$104*'Discipline Analysis'!$B25,"")</f>
        <v>7160.4000000000005</v>
      </c>
      <c r="V25" s="127">
        <f>'19'!$F$104</f>
        <v>0.45</v>
      </c>
      <c r="X25" s="74" t="s">
        <v>20</v>
      </c>
    </row>
    <row r="26" spans="1:24" x14ac:dyDescent="0.2">
      <c r="A26" s="92" t="s">
        <v>1038</v>
      </c>
      <c r="B26" s="83">
        <f ca="1">OFFSET('20'!$D$4,$A$3,0)</f>
        <v>10200</v>
      </c>
      <c r="C26" s="75">
        <f ca="1">OFFSET('20'!$E$4,$A$3,0)</f>
        <v>74205.989423492021</v>
      </c>
      <c r="D26" s="122">
        <f ca="1">OFFSET('20'!$F$4,$A$3,0)</f>
        <v>7.28</v>
      </c>
      <c r="E26" s="75">
        <f ca="1">OFFSET('20'!$E$66,$A$3,0)</f>
        <v>40034</v>
      </c>
      <c r="F26" s="122">
        <f ca="1">OFFSET('20'!$F$66,$A$3,0)</f>
        <v>3.92</v>
      </c>
      <c r="G26" s="75">
        <f ca="1">IFERROR('20'!$F$100*'Discipline Analysis'!$B26,"")</f>
        <v>5916</v>
      </c>
      <c r="H26" s="122">
        <f>'20'!$F$100</f>
        <v>0.57999999999999996</v>
      </c>
      <c r="I26" s="75">
        <f ca="1">IFERROR('20'!$F$98*'Discipline Analysis'!$B26,"")</f>
        <v>9384</v>
      </c>
      <c r="J26" s="122">
        <f>'20'!$F$98</f>
        <v>0.92</v>
      </c>
      <c r="K26" s="75">
        <f ca="1">IFERROR('20'!$F$99*'Discipline Analysis'!$B26,"")</f>
        <v>4998</v>
      </c>
      <c r="L26" s="122">
        <f>'20'!$F$99</f>
        <v>0.49</v>
      </c>
      <c r="M26" s="75">
        <f ca="1">OFFSET('20'!$E$35,$A$3,0)</f>
        <v>9525</v>
      </c>
      <c r="N26" s="122">
        <f ca="1">OFFSET('20'!$F$35,$A$3,0)</f>
        <v>0.93</v>
      </c>
      <c r="O26" s="75">
        <f ca="1">IFERROR('20'!$F$101*'Discipline Analysis'!$B26,"")</f>
        <v>2958</v>
      </c>
      <c r="P26" s="122">
        <f>'20'!$F$101</f>
        <v>0.28999999999999998</v>
      </c>
      <c r="Q26" s="75" t="str">
        <f ca="1">IFERROR('20'!$F$102*'Discipline Analysis'!$B26,"")</f>
        <v/>
      </c>
      <c r="R26" s="122" t="str">
        <f>'20'!$F$102</f>
        <v/>
      </c>
      <c r="S26" s="75" t="str">
        <f ca="1">IFERROR('20'!$F$103*'Discipline Analysis'!$B26,"")</f>
        <v/>
      </c>
      <c r="T26" s="122" t="str">
        <f>'20'!$F$103</f>
        <v/>
      </c>
      <c r="U26" s="75">
        <f ca="1">IFERROR('20'!$F$104*'Discipline Analysis'!$B26,"")</f>
        <v>1326</v>
      </c>
      <c r="V26" s="127">
        <f>'20'!$F$104</f>
        <v>0.13</v>
      </c>
      <c r="X26" s="74" t="s">
        <v>21</v>
      </c>
    </row>
    <row r="27" spans="1:24" x14ac:dyDescent="0.2">
      <c r="A27" s="92" t="s">
        <v>1060</v>
      </c>
      <c r="B27" s="83">
        <f ca="1">OFFSET('21'!$D$4,$A$3,0)</f>
        <v>129567</v>
      </c>
      <c r="C27" s="75">
        <f ca="1">OFFSET('21'!$E$4,$A$3,0)</f>
        <v>749535.28790987819</v>
      </c>
      <c r="D27" s="122">
        <f ca="1">OFFSET('21'!$F$4,$A$3,0)</f>
        <v>5.78</v>
      </c>
      <c r="E27" s="75">
        <f ca="1">OFFSET('21'!$E$66,$A$3,0)</f>
        <v>188055</v>
      </c>
      <c r="F27" s="122">
        <f ca="1">OFFSET('21'!$F$66,$A$3,0)</f>
        <v>1.45</v>
      </c>
      <c r="G27" s="75">
        <f ca="1">IFERROR('21'!$F$100*'Discipline Analysis'!$B27,"")</f>
        <v>23322.059999999998</v>
      </c>
      <c r="H27" s="122">
        <f>'21'!$F$100</f>
        <v>0.18</v>
      </c>
      <c r="I27" s="75">
        <f ca="1">IFERROR('21'!$F$98*'Discipline Analysis'!$B27,"")</f>
        <v>270795.02999999997</v>
      </c>
      <c r="J27" s="122">
        <f>'21'!$F$98</f>
        <v>2.09</v>
      </c>
      <c r="K27" s="75">
        <f ca="1">IFERROR('21'!$F$99*'Discipline Analysis'!$B27,"")</f>
        <v>82922.880000000005</v>
      </c>
      <c r="L27" s="122">
        <f>'21'!$F$99</f>
        <v>0.64</v>
      </c>
      <c r="M27" s="75">
        <f ca="1">OFFSET('21'!$E$35,$A$3,0)</f>
        <v>95665</v>
      </c>
      <c r="N27" s="122">
        <f ca="1">OFFSET('21'!$F$35,$A$3,0)</f>
        <v>0.74</v>
      </c>
      <c r="O27" s="75">
        <f ca="1">IFERROR('21'!$F$101*'Discipline Analysis'!$B27,"")</f>
        <v>67374.84</v>
      </c>
      <c r="P27" s="122">
        <f>'21'!$F$101</f>
        <v>0.52</v>
      </c>
      <c r="Q27" s="75">
        <f ca="1">IFERROR('21'!$F$102*'Discipline Analysis'!$B27,"")</f>
        <v>1295.67</v>
      </c>
      <c r="R27" s="122">
        <f>'21'!$F$102</f>
        <v>0.01</v>
      </c>
      <c r="S27" s="75" t="str">
        <f ca="1">IFERROR('21'!$F$103*'Discipline Analysis'!$B27,"")</f>
        <v/>
      </c>
      <c r="T27" s="122" t="str">
        <f>'21'!$F$103</f>
        <v/>
      </c>
      <c r="U27" s="75">
        <f ca="1">IFERROR('21'!$F$104*'Discipline Analysis'!$B27,"")</f>
        <v>22026.390000000003</v>
      </c>
      <c r="V27" s="127">
        <f>'21'!$F$104</f>
        <v>0.17</v>
      </c>
      <c r="X27" s="74" t="s">
        <v>22</v>
      </c>
    </row>
    <row r="28" spans="1:24" x14ac:dyDescent="0.2">
      <c r="A28" s="92" t="s">
        <v>1039</v>
      </c>
      <c r="B28" s="83">
        <f ca="1">OFFSET('22'!$D$4,$A$3,0)</f>
        <v>63769</v>
      </c>
      <c r="C28" s="75">
        <f ca="1">OFFSET('22'!$E$4,$A$3,0)</f>
        <v>303356.88017072884</v>
      </c>
      <c r="D28" s="122">
        <f ca="1">OFFSET('22'!$F$4,$A$3,0)</f>
        <v>4.76</v>
      </c>
      <c r="E28" s="75">
        <f ca="1">OFFSET('22'!$E$66,$A$3,0)</f>
        <v>154984</v>
      </c>
      <c r="F28" s="122">
        <f ca="1">OFFSET('22'!$F$66,$A$3,0)</f>
        <v>2.4300000000000002</v>
      </c>
      <c r="G28" s="75">
        <f ca="1">IFERROR('22'!$F$100*'Discipline Analysis'!$B28,"")</f>
        <v>7014.59</v>
      </c>
      <c r="H28" s="122">
        <f>'22'!$F$100</f>
        <v>0.11</v>
      </c>
      <c r="I28" s="75">
        <f ca="1">IFERROR('22'!$F$98*'Discipline Analysis'!$B28,"")</f>
        <v>47189.06</v>
      </c>
      <c r="J28" s="122">
        <f>'22'!$F$98</f>
        <v>0.74</v>
      </c>
      <c r="K28" s="75">
        <f ca="1">IFERROR('22'!$F$99*'Discipline Analysis'!$B28,"")</f>
        <v>26145.289999999997</v>
      </c>
      <c r="L28" s="122">
        <f>'22'!$F$99</f>
        <v>0.41</v>
      </c>
      <c r="M28" s="75">
        <f ca="1">OFFSET('22'!$E$35,$A$3,0)</f>
        <v>30404</v>
      </c>
      <c r="N28" s="122">
        <f ca="1">OFFSET('22'!$F$35,$A$3,0)</f>
        <v>0.48</v>
      </c>
      <c r="O28" s="75">
        <f ca="1">IFERROR('22'!$F$101*'Discipline Analysis'!$B28,"")</f>
        <v>17855.320000000003</v>
      </c>
      <c r="P28" s="122">
        <f>'22'!$F$101</f>
        <v>0.28000000000000003</v>
      </c>
      <c r="Q28" s="75" t="str">
        <f ca="1">IFERROR('22'!$F$102*'Discipline Analysis'!$B28,"")</f>
        <v/>
      </c>
      <c r="R28" s="122" t="str">
        <f>'22'!$F$102</f>
        <v/>
      </c>
      <c r="S28" s="75" t="str">
        <f ca="1">IFERROR('22'!$F$103*'Discipline Analysis'!$B28,"")</f>
        <v/>
      </c>
      <c r="T28" s="122" t="str">
        <f>'22'!$F$103</f>
        <v/>
      </c>
      <c r="U28" s="75">
        <f ca="1">IFERROR('22'!$F$104*'Discipline Analysis'!$B28,"")</f>
        <v>20406.080000000002</v>
      </c>
      <c r="V28" s="127">
        <f>'22'!$F$104</f>
        <v>0.32</v>
      </c>
      <c r="X28" s="74" t="s">
        <v>23</v>
      </c>
    </row>
    <row r="29" spans="1:24" x14ac:dyDescent="0.2">
      <c r="A29" s="92" t="s">
        <v>1040</v>
      </c>
      <c r="B29" s="83">
        <f ca="1">OFFSET('23'!$D$4,$A$3,0)</f>
        <v>0</v>
      </c>
      <c r="C29" s="75">
        <f ca="1">OFFSET('23'!$E$4,$A$3,0)</f>
        <v>0</v>
      </c>
      <c r="D29" s="122" t="str">
        <f ca="1">OFFSET('23'!$F$4,$A$3,0)</f>
        <v/>
      </c>
      <c r="E29" s="75">
        <f ca="1">OFFSET('23'!$E$66,$A$3,0)</f>
        <v>0</v>
      </c>
      <c r="F29" s="122" t="str">
        <f ca="1">OFFSET('23'!$F$66,$A$3,0)</f>
        <v/>
      </c>
      <c r="G29" s="75" t="str">
        <f ca="1">IFERROR('23'!$F$100*'Discipline Analysis'!$B29,"")</f>
        <v/>
      </c>
      <c r="H29" s="122" t="str">
        <f>'23'!$F$100</f>
        <v/>
      </c>
      <c r="I29" s="75" t="str">
        <f ca="1">IFERROR('23'!$F$98*'Discipline Analysis'!$B29,"")</f>
        <v/>
      </c>
      <c r="J29" s="122" t="str">
        <f>'23'!$F$98</f>
        <v/>
      </c>
      <c r="K29" s="75" t="str">
        <f ca="1">IFERROR('23'!$F$99*'Discipline Analysis'!$B29,"")</f>
        <v/>
      </c>
      <c r="L29" s="122" t="str">
        <f>'23'!$F$99</f>
        <v/>
      </c>
      <c r="M29" s="75">
        <f ca="1">OFFSET('23'!$E$35,$A$3,0)</f>
        <v>0</v>
      </c>
      <c r="N29" s="122" t="str">
        <f ca="1">OFFSET('23'!$F$35,$A$3,0)</f>
        <v/>
      </c>
      <c r="O29" s="75" t="str">
        <f ca="1">IFERROR('23'!$F$101*'Discipline Analysis'!$B29,"")</f>
        <v/>
      </c>
      <c r="P29" s="122" t="str">
        <f>'23'!$F$101</f>
        <v/>
      </c>
      <c r="Q29" s="75" t="str">
        <f ca="1">IFERROR('23'!$F$102*'Discipline Analysis'!$B29,"")</f>
        <v/>
      </c>
      <c r="R29" s="122" t="str">
        <f>'23'!$F$102</f>
        <v/>
      </c>
      <c r="S29" s="75" t="str">
        <f ca="1">IFERROR('23'!$F$103*'Discipline Analysis'!$B29,"")</f>
        <v/>
      </c>
      <c r="T29" s="122" t="str">
        <f>'23'!$F$103</f>
        <v/>
      </c>
      <c r="U29" s="75" t="str">
        <f ca="1">IFERROR('23'!$F$104*'Discipline Analysis'!$B29,"")</f>
        <v/>
      </c>
      <c r="V29" s="127" t="str">
        <f>'23'!$F$104</f>
        <v/>
      </c>
      <c r="X29" s="74" t="s">
        <v>24</v>
      </c>
    </row>
    <row r="30" spans="1:24" x14ac:dyDescent="0.2">
      <c r="A30" s="92" t="s">
        <v>1024</v>
      </c>
      <c r="B30" s="83">
        <f ca="1">OFFSET('24'!$D$4,$A$3,0)</f>
        <v>0</v>
      </c>
      <c r="C30" s="75">
        <f ca="1">OFFSET('24'!$E$4,$A$3,0)</f>
        <v>0</v>
      </c>
      <c r="D30" s="122" t="str">
        <f ca="1">OFFSET('24'!$F$4,$A$3,0)</f>
        <v/>
      </c>
      <c r="E30" s="75">
        <f ca="1">OFFSET('24'!$E$66,$A$3,0)</f>
        <v>0</v>
      </c>
      <c r="F30" s="122" t="str">
        <f ca="1">OFFSET('24'!$F$66,$A$3,0)</f>
        <v/>
      </c>
      <c r="G30" s="75">
        <f ca="1">IFERROR('24'!$F$100*'Discipline Analysis'!$B30,"")</f>
        <v>0</v>
      </c>
      <c r="H30" s="122">
        <f>'24'!$F$100</f>
        <v>0.33</v>
      </c>
      <c r="I30" s="75">
        <f ca="1">IFERROR('24'!$F$98*'Discipline Analysis'!$B30,"")</f>
        <v>0</v>
      </c>
      <c r="J30" s="122">
        <f>'24'!$F$98</f>
        <v>1.24</v>
      </c>
      <c r="K30" s="75">
        <f ca="1">IFERROR('24'!$F$99*'Discipline Analysis'!$B30,"")</f>
        <v>0</v>
      </c>
      <c r="L30" s="122">
        <f>'24'!$F$99</f>
        <v>0.65</v>
      </c>
      <c r="M30" s="75">
        <f ca="1">OFFSET('24'!$E$35,$A$3,0)</f>
        <v>0</v>
      </c>
      <c r="N30" s="122" t="str">
        <f ca="1">OFFSET('24'!$F$35,$A$3,0)</f>
        <v/>
      </c>
      <c r="O30" s="75">
        <f ca="1">IFERROR('24'!$F$101*'Discipline Analysis'!$B30,"")</f>
        <v>0</v>
      </c>
      <c r="P30" s="122">
        <f>'24'!$F$101</f>
        <v>0.15</v>
      </c>
      <c r="Q30" s="75" t="str">
        <f ca="1">IFERROR('24'!$F$102*'Discipline Analysis'!$B30,"")</f>
        <v/>
      </c>
      <c r="R30" s="122" t="str">
        <f>'24'!$F$102</f>
        <v/>
      </c>
      <c r="S30" s="75" t="str">
        <f ca="1">IFERROR('24'!$F$103*'Discipline Analysis'!$B30,"")</f>
        <v/>
      </c>
      <c r="T30" s="122" t="str">
        <f>'24'!$F$103</f>
        <v/>
      </c>
      <c r="U30" s="75">
        <f ca="1">IFERROR('24'!$F$104*'Discipline Analysis'!$B30,"")</f>
        <v>0</v>
      </c>
      <c r="V30" s="127">
        <f>'24'!$F$104</f>
        <v>0.66</v>
      </c>
      <c r="X30" s="74" t="s">
        <v>25</v>
      </c>
    </row>
    <row r="31" spans="1:24" x14ac:dyDescent="0.2">
      <c r="A31" s="92" t="s">
        <v>1041</v>
      </c>
      <c r="B31" s="83">
        <f ca="1">OFFSET('25'!$D$4,$A$3,0)</f>
        <v>64800</v>
      </c>
      <c r="C31" s="75">
        <f ca="1">OFFSET('25'!$E$4,$A$3,0)</f>
        <v>390646.00179362961</v>
      </c>
      <c r="D31" s="122">
        <f ca="1">OFFSET('25'!$F$4,$A$3,0)</f>
        <v>6.03</v>
      </c>
      <c r="E31" s="75">
        <f ca="1">OFFSET('25'!$E$66,$A$3,0)</f>
        <v>114356</v>
      </c>
      <c r="F31" s="122">
        <f ca="1">OFFSET('25'!$F$66,$A$3,0)</f>
        <v>1.76</v>
      </c>
      <c r="G31" s="75">
        <f ca="1">IFERROR('25'!$F$100*'Discipline Analysis'!$B31,"")</f>
        <v>15552</v>
      </c>
      <c r="H31" s="122">
        <f>'25'!$F$100</f>
        <v>0.24</v>
      </c>
      <c r="I31" s="75">
        <f ca="1">IFERROR('25'!$F$98*'Discipline Analysis'!$B31,"")</f>
        <v>115992</v>
      </c>
      <c r="J31" s="122">
        <f>'25'!$F$98</f>
        <v>1.79</v>
      </c>
      <c r="K31" s="75">
        <f ca="1">IFERROR('25'!$F$99*'Discipline Analysis'!$B31,"")</f>
        <v>29160</v>
      </c>
      <c r="L31" s="122">
        <f>'25'!$F$99</f>
        <v>0.45</v>
      </c>
      <c r="M31" s="75">
        <f ca="1">OFFSET('25'!$E$35,$A$3,0)</f>
        <v>37032</v>
      </c>
      <c r="N31" s="122">
        <f ca="1">OFFSET('25'!$F$35,$A$3,0)</f>
        <v>0.56999999999999995</v>
      </c>
      <c r="O31" s="75">
        <f ca="1">IFERROR('25'!$F$101*'Discipline Analysis'!$B31,"")</f>
        <v>38232</v>
      </c>
      <c r="P31" s="122">
        <f>'25'!$F$101</f>
        <v>0.59</v>
      </c>
      <c r="Q31" s="75" t="str">
        <f ca="1">IFERROR('25'!$F$102*'Discipline Analysis'!$B31,"")</f>
        <v/>
      </c>
      <c r="R31" s="122" t="str">
        <f>'25'!$F$102</f>
        <v/>
      </c>
      <c r="S31" s="75" t="str">
        <f ca="1">IFERROR('25'!$F$103*'Discipline Analysis'!$B31,"")</f>
        <v/>
      </c>
      <c r="T31" s="122" t="str">
        <f>'25'!$F$103</f>
        <v/>
      </c>
      <c r="U31" s="75">
        <f ca="1">IFERROR('25'!$F$104*'Discipline Analysis'!$B31,"")</f>
        <v>40176</v>
      </c>
      <c r="V31" s="127">
        <f>'25'!$F$104</f>
        <v>0.62</v>
      </c>
      <c r="X31" s="74" t="s">
        <v>946</v>
      </c>
    </row>
    <row r="32" spans="1:24" x14ac:dyDescent="0.2">
      <c r="A32" s="91" t="s">
        <v>1042</v>
      </c>
      <c r="B32" s="83">
        <f ca="1">OFFSET('26'!$D$4,$A$3,0)</f>
        <v>30084</v>
      </c>
      <c r="C32" s="75">
        <f ca="1">OFFSET('26'!$E$4,$A$3,0)</f>
        <v>337089.94944350951</v>
      </c>
      <c r="D32" s="122">
        <f ca="1">OFFSET('26'!$F$4,$A$3,0)</f>
        <v>11.2</v>
      </c>
      <c r="E32" s="75">
        <f ca="1">OFFSET('26'!$E$66,$A$3,0)</f>
        <v>132065</v>
      </c>
      <c r="F32" s="122">
        <f ca="1">OFFSET('26'!$F$66,$A$3,0)</f>
        <v>4.3899999999999997</v>
      </c>
      <c r="G32" s="75">
        <f ca="1">IFERROR('26'!$F$100*'Discipline Analysis'!$B32,"")</f>
        <v>12033.6</v>
      </c>
      <c r="H32" s="122">
        <f>'26'!$F$100</f>
        <v>0.4</v>
      </c>
      <c r="I32" s="75">
        <f ca="1">IFERROR('26'!$F$98*'Discipline Analysis'!$B32,"")</f>
        <v>32490.720000000001</v>
      </c>
      <c r="J32" s="122">
        <f>'26'!$F$98</f>
        <v>1.08</v>
      </c>
      <c r="K32" s="75">
        <f ca="1">IFERROR('26'!$F$99*'Discipline Analysis'!$B32,"")</f>
        <v>20757.96</v>
      </c>
      <c r="L32" s="122">
        <f>'26'!$F$99</f>
        <v>0.69</v>
      </c>
      <c r="M32" s="75">
        <f ca="1">OFFSET('26'!$E$35,$A$3,0)</f>
        <v>104601</v>
      </c>
      <c r="N32" s="122">
        <f ca="1">OFFSET('26'!$F$35,$A$3,0)</f>
        <v>3.48</v>
      </c>
      <c r="O32" s="75">
        <f ca="1">IFERROR('26'!$F$101*'Discipline Analysis'!$B32,"")</f>
        <v>26774.760000000002</v>
      </c>
      <c r="P32" s="122">
        <f>'26'!$F$101</f>
        <v>0.89</v>
      </c>
      <c r="Q32" s="75">
        <f ca="1">IFERROR('26'!$F$102*'Discipline Analysis'!$B32,"")</f>
        <v>0</v>
      </c>
      <c r="R32" s="122">
        <f>'26'!$F$102</f>
        <v>0</v>
      </c>
      <c r="S32" s="75" t="str">
        <f ca="1">IFERROR('26'!$F$103*'Discipline Analysis'!$B32,"")</f>
        <v/>
      </c>
      <c r="T32" s="122" t="str">
        <f>'26'!$F$103</f>
        <v/>
      </c>
      <c r="U32" s="75">
        <f ca="1">IFERROR('26'!$F$104*'Discipline Analysis'!$B32,"")</f>
        <v>8423.52</v>
      </c>
      <c r="V32" s="127">
        <f>'26'!$F$104</f>
        <v>0.28000000000000003</v>
      </c>
    </row>
    <row r="33" spans="1:22" x14ac:dyDescent="0.2">
      <c r="A33" s="92" t="s">
        <v>1021</v>
      </c>
      <c r="B33" s="83">
        <f ca="1">OFFSET('27'!$D$4,$A$3,0)</f>
        <v>0</v>
      </c>
      <c r="C33" s="75">
        <f ca="1">OFFSET('27'!$E$4,$A$3,0)</f>
        <v>0</v>
      </c>
      <c r="D33" s="122" t="str">
        <f ca="1">OFFSET('27'!$F$4,$A$3,0)</f>
        <v/>
      </c>
      <c r="E33" s="75">
        <f ca="1">OFFSET('27'!$E$66,$A$3,0)</f>
        <v>0</v>
      </c>
      <c r="F33" s="122" t="str">
        <f ca="1">OFFSET('27'!$F$66,$A$3,0)</f>
        <v/>
      </c>
      <c r="G33" s="75">
        <f ca="1">IFERROR('27'!$F$100*'Discipline Analysis'!$B33,"")</f>
        <v>0</v>
      </c>
      <c r="H33" s="122">
        <f>'27'!$F$100</f>
        <v>0.43</v>
      </c>
      <c r="I33" s="75">
        <f ca="1">IFERROR('27'!$F$98*'Discipline Analysis'!$B33,"")</f>
        <v>0</v>
      </c>
      <c r="J33" s="122">
        <f>'27'!$F$98</f>
        <v>1.21</v>
      </c>
      <c r="K33" s="75">
        <f ca="1">IFERROR('27'!$F$99*'Discipline Analysis'!$B33,"")</f>
        <v>0</v>
      </c>
      <c r="L33" s="122">
        <f>'27'!$F$99</f>
        <v>0.44</v>
      </c>
      <c r="M33" s="75">
        <f ca="1">OFFSET('27'!$E$35,$A$3,0)</f>
        <v>0</v>
      </c>
      <c r="N33" s="122" t="str">
        <f ca="1">OFFSET('27'!$F$35,$A$3,0)</f>
        <v/>
      </c>
      <c r="O33" s="75">
        <f ca="1">IFERROR('27'!$F$101*'Discipline Analysis'!$B33,"")</f>
        <v>0</v>
      </c>
      <c r="P33" s="122">
        <f>'27'!$F$101</f>
        <v>0.03</v>
      </c>
      <c r="Q33" s="75">
        <f ca="1">IFERROR('27'!$F$102*'Discipline Analysis'!$B33,"")</f>
        <v>0</v>
      </c>
      <c r="R33" s="122">
        <f>'27'!$F$102</f>
        <v>0.11</v>
      </c>
      <c r="S33" s="75" t="str">
        <f ca="1">IFERROR('27'!$F$103*'Discipline Analysis'!$B33,"")</f>
        <v/>
      </c>
      <c r="T33" s="122" t="str">
        <f>'27'!$F$103</f>
        <v/>
      </c>
      <c r="U33" s="75" t="str">
        <f ca="1">IFERROR('27'!$F$104*'Discipline Analysis'!$B33,"")</f>
        <v/>
      </c>
      <c r="V33" s="127" t="str">
        <f>'27'!$F$104</f>
        <v/>
      </c>
    </row>
    <row r="34" spans="1:22" x14ac:dyDescent="0.2">
      <c r="A34" s="92" t="s">
        <v>1043</v>
      </c>
      <c r="B34" s="83">
        <f ca="1">OFFSET('28'!$D$4,$A$3,0)</f>
        <v>11184</v>
      </c>
      <c r="C34" s="75">
        <f ca="1">OFFSET('28'!$E$4,$A$3,0)</f>
        <v>177555.22058184727</v>
      </c>
      <c r="D34" s="122">
        <f ca="1">OFFSET('28'!$F$4,$A$3,0)</f>
        <v>15.88</v>
      </c>
      <c r="E34" s="75">
        <f ca="1">OFFSET('28'!$E$66,$A$3,0)</f>
        <v>70223</v>
      </c>
      <c r="F34" s="122">
        <f ca="1">OFFSET('28'!$F$66,$A$3,0)</f>
        <v>6.28</v>
      </c>
      <c r="G34" s="75">
        <f ca="1">IFERROR('28'!$F$100*'Discipline Analysis'!$B34,"")</f>
        <v>2572.3200000000002</v>
      </c>
      <c r="H34" s="122">
        <f>'28'!$F$100</f>
        <v>0.23</v>
      </c>
      <c r="I34" s="75">
        <f ca="1">IFERROR('28'!$F$98*'Discipline Analysis'!$B34,"")</f>
        <v>9953.76</v>
      </c>
      <c r="J34" s="122">
        <f>'28'!$F$98</f>
        <v>0.89</v>
      </c>
      <c r="K34" s="75">
        <f ca="1">IFERROR('28'!$F$99*'Discipline Analysis'!$B34,"")</f>
        <v>6598.5599999999995</v>
      </c>
      <c r="L34" s="122">
        <f>'28'!$F$99</f>
        <v>0.59</v>
      </c>
      <c r="M34" s="75">
        <f ca="1">OFFSET('28'!$E$35,$A$3,0)</f>
        <v>72732</v>
      </c>
      <c r="N34" s="122">
        <f ca="1">OFFSET('28'!$F$35,$A$3,0)</f>
        <v>6.5</v>
      </c>
      <c r="O34" s="75">
        <f ca="1">IFERROR('28'!$F$101*'Discipline Analysis'!$B34,"")</f>
        <v>7381.4400000000005</v>
      </c>
      <c r="P34" s="122">
        <f>'28'!$F$101</f>
        <v>0.66</v>
      </c>
      <c r="Q34" s="75">
        <f ca="1">IFERROR('28'!$F$102*'Discipline Analysis'!$B34,"")</f>
        <v>894.72</v>
      </c>
      <c r="R34" s="122">
        <f>'28'!$F$102</f>
        <v>0.08</v>
      </c>
      <c r="S34" s="75" t="str">
        <f ca="1">IFERROR('28'!$F$103*'Discipline Analysis'!$B34,"")</f>
        <v/>
      </c>
      <c r="T34" s="122" t="str">
        <f>'28'!$F$103</f>
        <v/>
      </c>
      <c r="U34" s="75">
        <f ca="1">IFERROR('28'!$F$104*'Discipline Analysis'!$B34,"")</f>
        <v>7157.76</v>
      </c>
      <c r="V34" s="127">
        <f>'28'!$F$104</f>
        <v>0.64</v>
      </c>
    </row>
    <row r="35" spans="1:22" x14ac:dyDescent="0.2">
      <c r="A35" s="92" t="s">
        <v>1044</v>
      </c>
      <c r="B35" s="83">
        <f ca="1">OFFSET('29'!$D$4,$A$3,0)</f>
        <v>2832</v>
      </c>
      <c r="C35" s="75">
        <f ca="1">OFFSET('29'!$E$4,$A$3,0)</f>
        <v>9226.821682873262</v>
      </c>
      <c r="D35" s="122">
        <f ca="1">OFFSET('29'!$F$4,$A$3,0)</f>
        <v>3.26</v>
      </c>
      <c r="E35" s="75">
        <f ca="1">OFFSET('29'!$E$66,$A$3,0)</f>
        <v>1600</v>
      </c>
      <c r="F35" s="122">
        <f ca="1">OFFSET('29'!$F$66,$A$3,0)</f>
        <v>0.56000000000000005</v>
      </c>
      <c r="G35" s="75">
        <f ca="1">IFERROR('29'!$F$100*'Discipline Analysis'!$B35,"")</f>
        <v>764.6400000000001</v>
      </c>
      <c r="H35" s="122">
        <f>'29'!$F$100</f>
        <v>0.27</v>
      </c>
      <c r="I35" s="75">
        <f ca="1">IFERROR('29'!$F$98*'Discipline Analysis'!$B35,"")</f>
        <v>2520.48</v>
      </c>
      <c r="J35" s="122">
        <f>'29'!$F$98</f>
        <v>0.89</v>
      </c>
      <c r="K35" s="75">
        <f ca="1">IFERROR('29'!$F$99*'Discipline Analysis'!$B35,"")</f>
        <v>1246.08</v>
      </c>
      <c r="L35" s="122">
        <f>'29'!$F$99</f>
        <v>0.44</v>
      </c>
      <c r="M35" s="75">
        <f ca="1">OFFSET('29'!$E$35,$A$3,0)</f>
        <v>819</v>
      </c>
      <c r="N35" s="122">
        <f ca="1">OFFSET('29'!$F$35,$A$3,0)</f>
        <v>0.28999999999999998</v>
      </c>
      <c r="O35" s="75">
        <f ca="1">IFERROR('29'!$F$101*'Discipline Analysis'!$B35,"")</f>
        <v>877.92</v>
      </c>
      <c r="P35" s="122">
        <f>'29'!$F$101</f>
        <v>0.31</v>
      </c>
      <c r="Q35" s="75" t="str">
        <f ca="1">IFERROR('29'!$F$102*'Discipline Analysis'!$B35,"")</f>
        <v/>
      </c>
      <c r="R35" s="122" t="str">
        <f>'29'!$F$102</f>
        <v/>
      </c>
      <c r="S35" s="75" t="str">
        <f ca="1">IFERROR('29'!$F$103*'Discipline Analysis'!$B35,"")</f>
        <v/>
      </c>
      <c r="T35" s="122" t="str">
        <f>'29'!$F$103</f>
        <v/>
      </c>
      <c r="U35" s="75">
        <f ca="1">IFERROR('29'!$F$104*'Discipline Analysis'!$B35,"")</f>
        <v>1387.68</v>
      </c>
      <c r="V35" s="127">
        <f>'29'!$F$104</f>
        <v>0.49</v>
      </c>
    </row>
    <row r="36" spans="1:22" x14ac:dyDescent="0.2">
      <c r="A36" s="92" t="s">
        <v>1045</v>
      </c>
      <c r="B36" s="83">
        <f ca="1">OFFSET('30'!$D$4,$A$3,0)</f>
        <v>43972</v>
      </c>
      <c r="C36" s="75">
        <f ca="1">OFFSET('30'!$E$4,$A$3,0)</f>
        <v>354452.14295319357</v>
      </c>
      <c r="D36" s="122">
        <f ca="1">OFFSET('30'!$F$4,$A$3,0)</f>
        <v>8.06</v>
      </c>
      <c r="E36" s="75">
        <f ca="1">OFFSET('30'!$E$66,$A$3,0)</f>
        <v>157757</v>
      </c>
      <c r="F36" s="122">
        <f ca="1">OFFSET('30'!$F$66,$A$3,0)</f>
        <v>3.59</v>
      </c>
      <c r="G36" s="75">
        <f ca="1">IFERROR('30'!$F$100*'Discipline Analysis'!$B36,"")</f>
        <v>6156.0800000000008</v>
      </c>
      <c r="H36" s="122">
        <f>'30'!$F$100</f>
        <v>0.14000000000000001</v>
      </c>
      <c r="I36" s="75">
        <f ca="1">IFERROR('30'!$F$98*'Discipline Analysis'!$B36,"")</f>
        <v>34737.880000000005</v>
      </c>
      <c r="J36" s="122">
        <f>'30'!$F$98</f>
        <v>0.79</v>
      </c>
      <c r="K36" s="75">
        <f ca="1">IFERROR('30'!$F$99*'Discipline Analysis'!$B36,"")</f>
        <v>14950.480000000001</v>
      </c>
      <c r="L36" s="122">
        <f>'30'!$F$99</f>
        <v>0.34</v>
      </c>
      <c r="M36" s="75">
        <f ca="1">OFFSET('30'!$E$35,$A$3,0)</f>
        <v>114227</v>
      </c>
      <c r="N36" s="122">
        <f ca="1">OFFSET('30'!$F$35,$A$3,0)</f>
        <v>2.6</v>
      </c>
      <c r="O36" s="75">
        <f ca="1">IFERROR('30'!$F$101*'Discipline Analysis'!$B36,"")</f>
        <v>17149.080000000002</v>
      </c>
      <c r="P36" s="122">
        <f>'30'!$F$101</f>
        <v>0.39</v>
      </c>
      <c r="Q36" s="75" t="str">
        <f ca="1">IFERROR('30'!$F$102*'Discipline Analysis'!$B36,"")</f>
        <v/>
      </c>
      <c r="R36" s="122" t="str">
        <f>'30'!$F$102</f>
        <v/>
      </c>
      <c r="S36" s="75" t="str">
        <f ca="1">IFERROR('30'!$F$103*'Discipline Analysis'!$B36,"")</f>
        <v/>
      </c>
      <c r="T36" s="122" t="str">
        <f>'30'!$F$103</f>
        <v/>
      </c>
      <c r="U36" s="75">
        <f ca="1">IFERROR('30'!$F$104*'Discipline Analysis'!$B36,"")</f>
        <v>9673.84</v>
      </c>
      <c r="V36" s="127">
        <f>'30'!$F$104</f>
        <v>0.22</v>
      </c>
    </row>
    <row r="37" spans="1:22" x14ac:dyDescent="0.2">
      <c r="A37" s="92" t="s">
        <v>1022</v>
      </c>
      <c r="B37" s="83">
        <f ca="1">OFFSET('31'!$D$4,$A$3,0)</f>
        <v>14432</v>
      </c>
      <c r="C37" s="75">
        <f ca="1">OFFSET('31'!$E$4,$A$3,0)</f>
        <v>95580.197675249772</v>
      </c>
      <c r="D37" s="122">
        <f ca="1">OFFSET('31'!$F$4,$A$3,0)</f>
        <v>6.62</v>
      </c>
      <c r="E37" s="75">
        <f ca="1">OFFSET('31'!$E$66,$A$3,0)</f>
        <v>42831</v>
      </c>
      <c r="F37" s="122">
        <f ca="1">OFFSET('31'!$F$66,$A$3,0)</f>
        <v>2.97</v>
      </c>
      <c r="G37" s="75">
        <f ca="1">IFERROR('31'!$F$100*'Discipline Analysis'!$B37,"")</f>
        <v>3463.68</v>
      </c>
      <c r="H37" s="122">
        <f>'31'!$F$100</f>
        <v>0.24</v>
      </c>
      <c r="I37" s="75">
        <f ca="1">IFERROR('31'!$F$98*'Discipline Analysis'!$B37,"")</f>
        <v>24534.399999999998</v>
      </c>
      <c r="J37" s="122">
        <f>'31'!$F$98</f>
        <v>1.7</v>
      </c>
      <c r="K37" s="75">
        <f ca="1">IFERROR('31'!$F$99*'Discipline Analysis'!$B37,"")</f>
        <v>6061.44</v>
      </c>
      <c r="L37" s="122">
        <f>'31'!$F$99</f>
        <v>0.42</v>
      </c>
      <c r="M37" s="75">
        <f ca="1">OFFSET('31'!$E$35,$A$3,0)</f>
        <v>5269</v>
      </c>
      <c r="N37" s="122">
        <f ca="1">OFFSET('31'!$F$35,$A$3,0)</f>
        <v>0.37</v>
      </c>
      <c r="O37" s="75">
        <f ca="1">IFERROR('31'!$F$101*'Discipline Analysis'!$B37,"")</f>
        <v>7937.6</v>
      </c>
      <c r="P37" s="122">
        <f>'31'!$F$101</f>
        <v>0.55000000000000004</v>
      </c>
      <c r="Q37" s="75">
        <f ca="1">IFERROR('31'!$F$102*'Discipline Analysis'!$B37,"")</f>
        <v>1298.8799999999999</v>
      </c>
      <c r="R37" s="122">
        <f>'31'!$F$102</f>
        <v>0.09</v>
      </c>
      <c r="S37" s="75" t="str">
        <f ca="1">IFERROR('31'!$F$103*'Discipline Analysis'!$B37,"")</f>
        <v/>
      </c>
      <c r="T37" s="122" t="str">
        <f>'31'!$F$103</f>
        <v/>
      </c>
      <c r="U37" s="75">
        <f ca="1">IFERROR('31'!$F$104*'Discipline Analysis'!$B37,"")</f>
        <v>4185.28</v>
      </c>
      <c r="V37" s="127">
        <f>'31'!$F$104</f>
        <v>0.28999999999999998</v>
      </c>
    </row>
    <row r="38" spans="1:22" x14ac:dyDescent="0.2">
      <c r="A38" s="92" t="s">
        <v>1046</v>
      </c>
      <c r="B38" s="83">
        <f ca="1">OFFSET('32'!$D$4,$A$3,0)</f>
        <v>9472</v>
      </c>
      <c r="C38" s="75">
        <f ca="1">OFFSET('32'!$E$4,$A$3,0)</f>
        <v>50393.321798851961</v>
      </c>
      <c r="D38" s="122">
        <f ca="1">OFFSET('32'!$F$4,$A$3,0)</f>
        <v>5.32</v>
      </c>
      <c r="E38" s="75">
        <f ca="1">OFFSET('32'!$E$66,$A$3,0)</f>
        <v>14019</v>
      </c>
      <c r="F38" s="122">
        <f ca="1">OFFSET('32'!$F$66,$A$3,0)</f>
        <v>1.48</v>
      </c>
      <c r="G38" s="75">
        <f ca="1">IFERROR('32'!$F$100*'Discipline Analysis'!$B38,"")</f>
        <v>2368</v>
      </c>
      <c r="H38" s="122">
        <f>'32'!$F$100</f>
        <v>0.25</v>
      </c>
      <c r="I38" s="75">
        <f ca="1">IFERROR('32'!$F$98*'Discipline Analysis'!$B38,"")</f>
        <v>11082.24</v>
      </c>
      <c r="J38" s="122">
        <f>'32'!$F$98</f>
        <v>1.17</v>
      </c>
      <c r="K38" s="75">
        <f ca="1">IFERROR('32'!$F$99*'Discipline Analysis'!$B38,"")</f>
        <v>6062.08</v>
      </c>
      <c r="L38" s="122">
        <f>'32'!$F$99</f>
        <v>0.64</v>
      </c>
      <c r="M38" s="75">
        <f ca="1">OFFSET('32'!$E$35,$A$3,0)</f>
        <v>6554</v>
      </c>
      <c r="N38" s="122">
        <f ca="1">OFFSET('32'!$F$35,$A$3,0)</f>
        <v>0.69</v>
      </c>
      <c r="O38" s="75">
        <f ca="1">IFERROR('32'!$F$101*'Discipline Analysis'!$B38,"")</f>
        <v>3788.8</v>
      </c>
      <c r="P38" s="122">
        <f>'32'!$F$101</f>
        <v>0.4</v>
      </c>
      <c r="Q38" s="75">
        <f ca="1">IFERROR('32'!$F$102*'Discipline Analysis'!$B38,"")</f>
        <v>1799.68</v>
      </c>
      <c r="R38" s="122">
        <f>'32'!$F$102</f>
        <v>0.19</v>
      </c>
      <c r="S38" s="75" t="str">
        <f ca="1">IFERROR('32'!$F$103*'Discipline Analysis'!$B38,"")</f>
        <v/>
      </c>
      <c r="T38" s="122" t="str">
        <f>'32'!$F$103</f>
        <v/>
      </c>
      <c r="U38" s="75">
        <f ca="1">IFERROR('32'!$F$104*'Discipline Analysis'!$B38,"")</f>
        <v>4736</v>
      </c>
      <c r="V38" s="127">
        <f>'32'!$F$104</f>
        <v>0.5</v>
      </c>
    </row>
    <row r="39" spans="1:22" x14ac:dyDescent="0.2">
      <c r="A39" s="92" t="s">
        <v>1047</v>
      </c>
      <c r="B39" s="83">
        <f ca="1">OFFSET('33'!$D$4,$A$3,0)</f>
        <v>33395</v>
      </c>
      <c r="C39" s="75">
        <f ca="1">OFFSET('33'!$E$4,$A$3,0)</f>
        <v>282663.59551573638</v>
      </c>
      <c r="D39" s="122">
        <f ca="1">OFFSET('33'!$F$4,$A$3,0)</f>
        <v>8.4600000000000009</v>
      </c>
      <c r="E39" s="75">
        <f ca="1">OFFSET('33'!$E$66,$A$3,0)</f>
        <v>174179</v>
      </c>
      <c r="F39" s="122">
        <f ca="1">OFFSET('33'!$F$66,$A$3,0)</f>
        <v>5.22</v>
      </c>
      <c r="G39" s="75">
        <f ca="1">IFERROR('33'!$F$100*'Discipline Analysis'!$B39,"")</f>
        <v>10686.4</v>
      </c>
      <c r="H39" s="122">
        <f>'33'!$F$100</f>
        <v>0.32</v>
      </c>
      <c r="I39" s="75">
        <f ca="1">IFERROR('33'!$F$98*'Discipline Analysis'!$B39,"")</f>
        <v>43413.5</v>
      </c>
      <c r="J39" s="122">
        <f>'33'!$F$98</f>
        <v>1.3</v>
      </c>
      <c r="K39" s="75">
        <f ca="1">IFERROR('33'!$F$99*'Discipline Analysis'!$B39,"")</f>
        <v>19035.149999999998</v>
      </c>
      <c r="L39" s="122">
        <f>'33'!$F$99</f>
        <v>0.56999999999999995</v>
      </c>
      <c r="M39" s="75">
        <f ca="1">OFFSET('33'!$E$35,$A$3,0)</f>
        <v>12469</v>
      </c>
      <c r="N39" s="122">
        <f ca="1">OFFSET('33'!$F$35,$A$3,0)</f>
        <v>0.37</v>
      </c>
      <c r="O39" s="75">
        <f ca="1">IFERROR('33'!$F$101*'Discipline Analysis'!$B39,"")</f>
        <v>22708.600000000002</v>
      </c>
      <c r="P39" s="122">
        <f>'33'!$F$101</f>
        <v>0.68</v>
      </c>
      <c r="Q39" s="75" t="str">
        <f ca="1">IFERROR('33'!$F$102*'Discipline Analysis'!$B39,"")</f>
        <v/>
      </c>
      <c r="R39" s="122" t="str">
        <f>'33'!$F$102</f>
        <v/>
      </c>
      <c r="S39" s="75" t="str">
        <f ca="1">IFERROR('33'!$F$103*'Discipline Analysis'!$B39,"")</f>
        <v/>
      </c>
      <c r="T39" s="122" t="str">
        <f>'33'!$F$103</f>
        <v/>
      </c>
      <c r="U39" s="75" t="str">
        <f ca="1">IFERROR('33'!$F$104*'Discipline Analysis'!$B39,"")</f>
        <v/>
      </c>
      <c r="V39" s="127" t="str">
        <f>'33'!$F$104</f>
        <v/>
      </c>
    </row>
    <row r="40" spans="1:22" x14ac:dyDescent="0.2">
      <c r="A40" s="92" t="s">
        <v>1025</v>
      </c>
      <c r="B40" s="83">
        <f ca="1">OFFSET('34'!$D$4,$A$3,0)</f>
        <v>6624</v>
      </c>
      <c r="C40" s="75">
        <f ca="1">OFFSET('34'!$E$4,$A$3,0)</f>
        <v>61931.497136609032</v>
      </c>
      <c r="D40" s="122">
        <f ca="1">OFFSET('34'!$F$4,$A$3,0)</f>
        <v>9.35</v>
      </c>
      <c r="E40" s="75">
        <f ca="1">OFFSET('34'!$E$66,$A$3,0)</f>
        <v>32606</v>
      </c>
      <c r="F40" s="122">
        <f ca="1">OFFSET('34'!$F$66,$A$3,0)</f>
        <v>4.92</v>
      </c>
      <c r="G40" s="75">
        <f ca="1">IFERROR('34'!$F$100*'Discipline Analysis'!$B40,"")</f>
        <v>1258.56</v>
      </c>
      <c r="H40" s="122">
        <f>'34'!$F$100</f>
        <v>0.19</v>
      </c>
      <c r="I40" s="75">
        <f ca="1">IFERROR('34'!$F$98*'Discipline Analysis'!$B40,"")</f>
        <v>6491.5199999999995</v>
      </c>
      <c r="J40" s="122">
        <f>'34'!$F$98</f>
        <v>0.98</v>
      </c>
      <c r="K40" s="75">
        <f ca="1">IFERROR('34'!$F$99*'Discipline Analysis'!$B40,"")</f>
        <v>2252.1600000000003</v>
      </c>
      <c r="L40" s="122">
        <f>'34'!$F$99</f>
        <v>0.34</v>
      </c>
      <c r="M40" s="75">
        <f ca="1">OFFSET('34'!$E$35,$A$3,0)</f>
        <v>14998</v>
      </c>
      <c r="N40" s="122">
        <f ca="1">OFFSET('34'!$F$35,$A$3,0)</f>
        <v>2.2599999999999998</v>
      </c>
      <c r="O40" s="75">
        <f ca="1">IFERROR('34'!$F$101*'Discipline Analysis'!$B40,"")</f>
        <v>1722.24</v>
      </c>
      <c r="P40" s="122">
        <f>'34'!$F$101</f>
        <v>0.26</v>
      </c>
      <c r="Q40" s="75">
        <f ca="1">IFERROR('34'!$F$102*'Discipline Analysis'!$B40,"")</f>
        <v>66.239999999999995</v>
      </c>
      <c r="R40" s="122">
        <f>'34'!$F$102</f>
        <v>0.01</v>
      </c>
      <c r="S40" s="75" t="str">
        <f ca="1">IFERROR('34'!$F$103*'Discipline Analysis'!$B40,"")</f>
        <v/>
      </c>
      <c r="T40" s="122" t="str">
        <f>'34'!$F$103</f>
        <v/>
      </c>
      <c r="U40" s="75">
        <f ca="1">IFERROR('34'!$F$104*'Discipline Analysis'!$B40,"")</f>
        <v>2583.36</v>
      </c>
      <c r="V40" s="127">
        <f>'34'!$F$104</f>
        <v>0.39</v>
      </c>
    </row>
    <row r="41" spans="1:22" x14ac:dyDescent="0.2">
      <c r="A41" s="92" t="s">
        <v>1048</v>
      </c>
      <c r="B41" s="83">
        <f ca="1">OFFSET('35'!$D$4,$A$3,0)</f>
        <v>1824</v>
      </c>
      <c r="C41" s="75">
        <f ca="1">OFFSET('35'!$E$4,$A$3,0)</f>
        <v>6453.2766449442925</v>
      </c>
      <c r="D41" s="122">
        <f ca="1">OFFSET('35'!$F$4,$A$3,0)</f>
        <v>3.54</v>
      </c>
      <c r="E41" s="75">
        <f ca="1">OFFSET('35'!$E$66,$A$3,0)</f>
        <v>1950</v>
      </c>
      <c r="F41" s="122">
        <f ca="1">OFFSET('35'!$F$66,$A$3,0)</f>
        <v>1.07</v>
      </c>
      <c r="G41" s="75">
        <f ca="1">IFERROR('35'!$F$100*'Discipline Analysis'!$B41,"")</f>
        <v>346.56</v>
      </c>
      <c r="H41" s="122">
        <f>'35'!$F$100</f>
        <v>0.19</v>
      </c>
      <c r="I41" s="75">
        <f ca="1">IFERROR('35'!$F$98*'Discipline Analysis'!$B41,"")</f>
        <v>2225.2799999999997</v>
      </c>
      <c r="J41" s="122">
        <f>'35'!$F$98</f>
        <v>1.22</v>
      </c>
      <c r="K41" s="75">
        <f ca="1">IFERROR('35'!$F$99*'Discipline Analysis'!$B41,"")</f>
        <v>984.96</v>
      </c>
      <c r="L41" s="122">
        <f>'35'!$F$99</f>
        <v>0.54</v>
      </c>
      <c r="M41" s="75">
        <f ca="1">OFFSET('35'!$E$35,$A$3,0)</f>
        <v>131</v>
      </c>
      <c r="N41" s="122">
        <f ca="1">OFFSET('35'!$F$35,$A$3,0)</f>
        <v>7.0000000000000007E-2</v>
      </c>
      <c r="O41" s="75">
        <f ca="1">IFERROR('35'!$F$101*'Discipline Analysis'!$B41,"")</f>
        <v>492.48</v>
      </c>
      <c r="P41" s="122">
        <f>'35'!$F$101</f>
        <v>0.27</v>
      </c>
      <c r="Q41" s="75" t="str">
        <f ca="1">IFERROR('35'!$F$102*'Discipline Analysis'!$B41,"")</f>
        <v/>
      </c>
      <c r="R41" s="122" t="str">
        <f>'35'!$F$102</f>
        <v/>
      </c>
      <c r="S41" s="75" t="str">
        <f ca="1">IFERROR('35'!$F$103*'Discipline Analysis'!$B41,"")</f>
        <v/>
      </c>
      <c r="T41" s="122" t="str">
        <f>'35'!$F$103</f>
        <v/>
      </c>
      <c r="U41" s="75">
        <f ca="1">IFERROR('35'!$F$104*'Discipline Analysis'!$B41,"")</f>
        <v>328.32</v>
      </c>
      <c r="V41" s="127">
        <f>'35'!$F$104</f>
        <v>0.18</v>
      </c>
    </row>
    <row r="42" spans="1:22" x14ac:dyDescent="0.2">
      <c r="A42" s="92" t="s">
        <v>1061</v>
      </c>
      <c r="B42" s="83">
        <f ca="1">OFFSET('36'!$D$4,$A$3,0)</f>
        <v>2976</v>
      </c>
      <c r="C42" s="75">
        <f ca="1">OFFSET('36'!$E$4,$A$3,0)</f>
        <v>11524.09720787271</v>
      </c>
      <c r="D42" s="122">
        <f ca="1">OFFSET('36'!$F$4,$A$3,0)</f>
        <v>3.87</v>
      </c>
      <c r="E42" s="75">
        <f ca="1">OFFSET('36'!$E$66,$A$3,0)</f>
        <v>3482</v>
      </c>
      <c r="F42" s="122">
        <f ca="1">OFFSET('36'!$F$66,$A$3,0)</f>
        <v>1.17</v>
      </c>
      <c r="G42" s="75">
        <f ca="1">IFERROR('36'!$F$100*'Discipline Analysis'!$B42,"")</f>
        <v>624.95999999999992</v>
      </c>
      <c r="H42" s="122">
        <f>'36'!$F$100</f>
        <v>0.21</v>
      </c>
      <c r="I42" s="75">
        <f ca="1">IFERROR('36'!$F$98*'Discipline Analysis'!$B42,"")</f>
        <v>3333.1200000000003</v>
      </c>
      <c r="J42" s="122">
        <f>'36'!$F$98</f>
        <v>1.1200000000000001</v>
      </c>
      <c r="K42" s="75">
        <f ca="1">IFERROR('36'!$F$99*'Discipline Analysis'!$B42,"")</f>
        <v>1815.36</v>
      </c>
      <c r="L42" s="122">
        <f>'36'!$F$99</f>
        <v>0.61</v>
      </c>
      <c r="M42" s="75">
        <f ca="1">OFFSET('36'!$E$35,$A$3,0)</f>
        <v>0</v>
      </c>
      <c r="N42" s="122" t="str">
        <f ca="1">OFFSET('36'!$F$35,$A$3,0)</f>
        <v/>
      </c>
      <c r="O42" s="75">
        <f ca="1">IFERROR('36'!$F$101*'Discipline Analysis'!$B42,"")</f>
        <v>1160.6400000000001</v>
      </c>
      <c r="P42" s="122">
        <f>'36'!$F$101</f>
        <v>0.39</v>
      </c>
      <c r="Q42" s="75" t="str">
        <f ca="1">IFERROR('36'!$F$102*'Discipline Analysis'!$B42,"")</f>
        <v/>
      </c>
      <c r="R42" s="122" t="str">
        <f>'36'!$F$102</f>
        <v/>
      </c>
      <c r="S42" s="75" t="str">
        <f ca="1">IFERROR('36'!$F$103*'Discipline Analysis'!$B42,"")</f>
        <v/>
      </c>
      <c r="T42" s="122" t="str">
        <f>'36'!$F$103</f>
        <v/>
      </c>
      <c r="U42" s="75">
        <f ca="1">IFERROR('36'!$F$104*'Discipline Analysis'!$B42,"")</f>
        <v>1071.3599999999999</v>
      </c>
      <c r="V42" s="127">
        <f>'36'!$F$104</f>
        <v>0.36</v>
      </c>
    </row>
    <row r="43" spans="1:22" x14ac:dyDescent="0.2">
      <c r="A43" s="92" t="s">
        <v>1049</v>
      </c>
      <c r="B43" s="83">
        <f ca="1">OFFSET('37'!$D$4,$A$3,0)</f>
        <v>27040</v>
      </c>
      <c r="C43" s="75">
        <f ca="1">OFFSET('37'!$E$4,$A$3,0)</f>
        <v>219644.06252077117</v>
      </c>
      <c r="D43" s="122">
        <f ca="1">OFFSET('37'!$F$4,$A$3,0)</f>
        <v>8.1199999999999992</v>
      </c>
      <c r="E43" s="75">
        <f ca="1">OFFSET('37'!$E$66,$A$3,0)</f>
        <v>109585</v>
      </c>
      <c r="F43" s="122">
        <f ca="1">OFFSET('37'!$F$66,$A$3,0)</f>
        <v>4.05</v>
      </c>
      <c r="G43" s="75">
        <f ca="1">IFERROR('37'!$F$100*'Discipline Analysis'!$B43,"")</f>
        <v>4596.8</v>
      </c>
      <c r="H43" s="122">
        <f>'37'!$F$100</f>
        <v>0.17</v>
      </c>
      <c r="I43" s="75">
        <f ca="1">IFERROR('37'!$F$98*'Discipline Analysis'!$B43,"")</f>
        <v>21632</v>
      </c>
      <c r="J43" s="122">
        <f>'37'!$F$98</f>
        <v>0.8</v>
      </c>
      <c r="K43" s="75">
        <f ca="1">IFERROR('37'!$F$99*'Discipline Analysis'!$B43,"")</f>
        <v>11897.6</v>
      </c>
      <c r="L43" s="122">
        <f>'37'!$F$99</f>
        <v>0.44</v>
      </c>
      <c r="M43" s="75">
        <f ca="1">OFFSET('37'!$E$35,$A$3,0)</f>
        <v>46533</v>
      </c>
      <c r="N43" s="122">
        <f ca="1">OFFSET('37'!$F$35,$A$3,0)</f>
        <v>1.72</v>
      </c>
      <c r="O43" s="75">
        <f ca="1">IFERROR('37'!$F$101*'Discipline Analysis'!$B43,"")</f>
        <v>2163.1999999999998</v>
      </c>
      <c r="P43" s="122">
        <f>'37'!$F$101</f>
        <v>0.08</v>
      </c>
      <c r="Q43" s="75">
        <f ca="1">IFERROR('37'!$F$102*'Discipline Analysis'!$B43,"")</f>
        <v>2433.6</v>
      </c>
      <c r="R43" s="122">
        <f>'37'!$F$102</f>
        <v>0.09</v>
      </c>
      <c r="S43" s="75" t="str">
        <f ca="1">IFERROR('37'!$F$103*'Discipline Analysis'!$B43,"")</f>
        <v/>
      </c>
      <c r="T43" s="122" t="str">
        <f>'37'!$F$103</f>
        <v/>
      </c>
      <c r="U43" s="75">
        <f ca="1">IFERROR('37'!$F$104*'Discipline Analysis'!$B43,"")</f>
        <v>20820.8</v>
      </c>
      <c r="V43" s="127">
        <f>'37'!$F$104</f>
        <v>0.77</v>
      </c>
    </row>
    <row r="44" spans="1:22" x14ac:dyDescent="0.2">
      <c r="A44" s="92" t="s">
        <v>1050</v>
      </c>
      <c r="B44" s="83">
        <f ca="1">OFFSET('38'!$D$4,$A$3,0)</f>
        <v>0</v>
      </c>
      <c r="C44" s="75">
        <f ca="1">OFFSET('38'!$E$4,$A$3,0)</f>
        <v>0</v>
      </c>
      <c r="D44" s="122" t="str">
        <f ca="1">OFFSET('38'!$F$4,$A$3,0)</f>
        <v/>
      </c>
      <c r="E44" s="75">
        <f ca="1">OFFSET('38'!$E$66,$A$3,0)</f>
        <v>0</v>
      </c>
      <c r="F44" s="122" t="str">
        <f ca="1">OFFSET('38'!$F$66,$A$3,0)</f>
        <v/>
      </c>
      <c r="G44" s="75">
        <f ca="1">IFERROR('38'!$F$100*'Discipline Analysis'!$B44,"")</f>
        <v>0</v>
      </c>
      <c r="H44" s="122">
        <f>'38'!$F$100</f>
        <v>0.11</v>
      </c>
      <c r="I44" s="75">
        <f ca="1">IFERROR('38'!$F$98*'Discipline Analysis'!$B44,"")</f>
        <v>0</v>
      </c>
      <c r="J44" s="122">
        <f>'38'!$F$98</f>
        <v>1.18</v>
      </c>
      <c r="K44" s="75">
        <f ca="1">IFERROR('38'!$F$99*'Discipline Analysis'!$B44,"")</f>
        <v>0</v>
      </c>
      <c r="L44" s="122">
        <f>'38'!$F$99</f>
        <v>0.51</v>
      </c>
      <c r="M44" s="75">
        <f ca="1">OFFSET('38'!$E$35,$A$3,0)</f>
        <v>0</v>
      </c>
      <c r="N44" s="122" t="str">
        <f ca="1">OFFSET('38'!$F$35,$A$3,0)</f>
        <v/>
      </c>
      <c r="O44" s="75">
        <f ca="1">IFERROR('38'!$F$101*'Discipline Analysis'!$B44,"")</f>
        <v>0</v>
      </c>
      <c r="P44" s="122">
        <f>'38'!$F$101</f>
        <v>0.33</v>
      </c>
      <c r="Q44" s="75" t="str">
        <f ca="1">IFERROR('38'!$F$102*'Discipline Analysis'!$B44,"")</f>
        <v/>
      </c>
      <c r="R44" s="122" t="str">
        <f>'38'!$F$102</f>
        <v/>
      </c>
      <c r="S44" s="75" t="str">
        <f ca="1">IFERROR('38'!$F$103*'Discipline Analysis'!$B44,"")</f>
        <v/>
      </c>
      <c r="T44" s="122" t="str">
        <f>'38'!$F$103</f>
        <v/>
      </c>
      <c r="U44" s="75">
        <f ca="1">IFERROR('38'!$F$104*'Discipline Analysis'!$B44,"")</f>
        <v>0</v>
      </c>
      <c r="V44" s="127">
        <f>'38'!$F$104</f>
        <v>0.5</v>
      </c>
    </row>
    <row r="45" spans="1:22" x14ac:dyDescent="0.2">
      <c r="A45" s="92" t="s">
        <v>1026</v>
      </c>
      <c r="B45" s="83">
        <f ca="1">OFFSET('39'!$D$4,$A$3,0)</f>
        <v>23712</v>
      </c>
      <c r="C45" s="75">
        <f ca="1">OFFSET('39'!$E$4,$A$3,0)</f>
        <v>228442.50548131342</v>
      </c>
      <c r="D45" s="122">
        <f ca="1">OFFSET('39'!$F$4,$A$3,0)</f>
        <v>9.6300000000000008</v>
      </c>
      <c r="E45" s="75">
        <f ca="1">OFFSET('39'!$E$66,$A$3,0)</f>
        <v>146984</v>
      </c>
      <c r="F45" s="122">
        <f ca="1">OFFSET('39'!$F$66,$A$3,0)</f>
        <v>6.2</v>
      </c>
      <c r="G45" s="75">
        <f ca="1">IFERROR('39'!$F$100*'Discipline Analysis'!$B45,"")</f>
        <v>6165.12</v>
      </c>
      <c r="H45" s="122">
        <f>'39'!$F$100</f>
        <v>0.26</v>
      </c>
      <c r="I45" s="75">
        <f ca="1">IFERROR('39'!$F$98*'Discipline Analysis'!$B45,"")</f>
        <v>27743.039999999997</v>
      </c>
      <c r="J45" s="122">
        <f>'39'!$F$98</f>
        <v>1.17</v>
      </c>
      <c r="K45" s="75">
        <f ca="1">IFERROR('39'!$F$99*'Discipline Analysis'!$B45,"")</f>
        <v>9959.0399999999991</v>
      </c>
      <c r="L45" s="122">
        <f>'39'!$F$99</f>
        <v>0.42</v>
      </c>
      <c r="M45" s="75">
        <f ca="1">OFFSET('39'!$E$35,$A$3,0)</f>
        <v>21707</v>
      </c>
      <c r="N45" s="122">
        <f ca="1">OFFSET('39'!$F$35,$A$3,0)</f>
        <v>0.92</v>
      </c>
      <c r="O45" s="75">
        <f ca="1">IFERROR('39'!$F$101*'Discipline Analysis'!$B45,"")</f>
        <v>10196.16</v>
      </c>
      <c r="P45" s="122">
        <f>'39'!$F$101</f>
        <v>0.43</v>
      </c>
      <c r="Q45" s="75" t="str">
        <f ca="1">IFERROR('39'!$F$102*'Discipline Analysis'!$B45,"")</f>
        <v/>
      </c>
      <c r="R45" s="122" t="str">
        <f>'39'!$F$102</f>
        <v/>
      </c>
      <c r="S45" s="75" t="str">
        <f ca="1">IFERROR('39'!$F$103*'Discipline Analysis'!$B45,"")</f>
        <v/>
      </c>
      <c r="T45" s="122" t="str">
        <f>'39'!$F$103</f>
        <v/>
      </c>
      <c r="U45" s="75">
        <f ca="1">IFERROR('39'!$F$104*'Discipline Analysis'!$B45,"")</f>
        <v>5690.88</v>
      </c>
      <c r="V45" s="127">
        <f>'39'!$F$104</f>
        <v>0.24</v>
      </c>
    </row>
    <row r="46" spans="1:22" x14ac:dyDescent="0.2">
      <c r="A46" s="92" t="s">
        <v>1062</v>
      </c>
      <c r="B46" s="83">
        <f ca="1">OFFSET('40'!$D$4,$A$3,0)</f>
        <v>20708</v>
      </c>
      <c r="C46" s="75">
        <f ca="1">OFFSET('40'!$E$4,$A$3,0)</f>
        <v>163789.24875227062</v>
      </c>
      <c r="D46" s="122">
        <f ca="1">OFFSET('40'!$F$4,$A$3,0)</f>
        <v>7.91</v>
      </c>
      <c r="E46" s="75">
        <f ca="1">OFFSET('40'!$E$66,$A$3,0)</f>
        <v>69921</v>
      </c>
      <c r="F46" s="122">
        <f ca="1">OFFSET('40'!$F$66,$A$3,0)</f>
        <v>3.38</v>
      </c>
      <c r="G46" s="75">
        <f ca="1">IFERROR('40'!$F$100*'Discipline Analysis'!$B46,"")</f>
        <v>7661.96</v>
      </c>
      <c r="H46" s="122">
        <f>'40'!$F$100</f>
        <v>0.37</v>
      </c>
      <c r="I46" s="75">
        <f ca="1">IFERROR('40'!$F$98*'Discipline Analysis'!$B46,"")</f>
        <v>20293.84</v>
      </c>
      <c r="J46" s="122">
        <f>'40'!$F$98</f>
        <v>0.98</v>
      </c>
      <c r="K46" s="75">
        <f ca="1">IFERROR('40'!$F$99*'Discipline Analysis'!$B46,"")</f>
        <v>12838.96</v>
      </c>
      <c r="L46" s="122">
        <f>'40'!$F$99</f>
        <v>0.62</v>
      </c>
      <c r="M46" s="75">
        <f ca="1">OFFSET('40'!$E$35,$A$3,0)</f>
        <v>36143</v>
      </c>
      <c r="N46" s="122">
        <f ca="1">OFFSET('40'!$F$35,$A$3,0)</f>
        <v>1.75</v>
      </c>
      <c r="O46" s="75">
        <f ca="1">IFERROR('40'!$F$101*'Discipline Analysis'!$B46,"")</f>
        <v>3934.52</v>
      </c>
      <c r="P46" s="122">
        <f>'40'!$F$101</f>
        <v>0.19</v>
      </c>
      <c r="Q46" s="75" t="str">
        <f ca="1">IFERROR('40'!$F$102*'Discipline Analysis'!$B46,"")</f>
        <v/>
      </c>
      <c r="R46" s="122" t="str">
        <f>'40'!$F$102</f>
        <v/>
      </c>
      <c r="S46" s="75" t="str">
        <f ca="1">IFERROR('40'!$F$103*'Discipline Analysis'!$B46,"")</f>
        <v/>
      </c>
      <c r="T46" s="122" t="str">
        <f>'40'!$F$103</f>
        <v/>
      </c>
      <c r="U46" s="75">
        <f ca="1">IFERROR('40'!$F$104*'Discipline Analysis'!$B46,"")</f>
        <v>13046.04</v>
      </c>
      <c r="V46" s="127">
        <f>'40'!$F$104</f>
        <v>0.63</v>
      </c>
    </row>
    <row r="47" spans="1:22" x14ac:dyDescent="0.2">
      <c r="A47" s="92" t="s">
        <v>1027</v>
      </c>
      <c r="B47" s="83">
        <f ca="1">OFFSET('41'!$D$4,$A$3,0)</f>
        <v>0</v>
      </c>
      <c r="C47" s="75">
        <f ca="1">OFFSET('41'!$E$4,$A$3,0)</f>
        <v>0</v>
      </c>
      <c r="D47" s="122" t="str">
        <f ca="1">OFFSET('41'!$F$4,$A$3,0)</f>
        <v/>
      </c>
      <c r="E47" s="75">
        <f ca="1">OFFSET('41'!$E$66,$A$3,0)</f>
        <v>0</v>
      </c>
      <c r="F47" s="122" t="str">
        <f ca="1">OFFSET('41'!$F$66,$A$3,0)</f>
        <v/>
      </c>
      <c r="G47" s="75">
        <f ca="1">IFERROR('41'!$F$100*'Discipline Analysis'!$B47,"")</f>
        <v>0</v>
      </c>
      <c r="H47" s="122">
        <f>'41'!$F$100</f>
        <v>0.36</v>
      </c>
      <c r="I47" s="75">
        <f ca="1">IFERROR('41'!$F$98*'Discipline Analysis'!$B47,"")</f>
        <v>0</v>
      </c>
      <c r="J47" s="122">
        <f>'41'!$F$98</f>
        <v>0.92</v>
      </c>
      <c r="K47" s="75">
        <f ca="1">IFERROR('41'!$F$99*'Discipline Analysis'!$B47,"")</f>
        <v>0</v>
      </c>
      <c r="L47" s="122">
        <f>'41'!$F$99</f>
        <v>0.54</v>
      </c>
      <c r="M47" s="75">
        <f ca="1">OFFSET('41'!$E$35,$A$3,0)</f>
        <v>0</v>
      </c>
      <c r="N47" s="122" t="str">
        <f ca="1">OFFSET('41'!$F$35,$A$3,0)</f>
        <v/>
      </c>
      <c r="O47" s="75">
        <f ca="1">IFERROR('41'!$F$101*'Discipline Analysis'!$B47,"")</f>
        <v>0</v>
      </c>
      <c r="P47" s="122">
        <f>'41'!$F$101</f>
        <v>0.11</v>
      </c>
      <c r="Q47" s="75" t="str">
        <f ca="1">IFERROR('41'!$F$102*'Discipline Analysis'!$B47,"")</f>
        <v/>
      </c>
      <c r="R47" s="122" t="str">
        <f>'41'!$F$102</f>
        <v/>
      </c>
      <c r="S47" s="75" t="str">
        <f ca="1">IFERROR('41'!$F$103*'Discipline Analysis'!$B47,"")</f>
        <v/>
      </c>
      <c r="T47" s="122" t="str">
        <f>'41'!$F$103</f>
        <v/>
      </c>
      <c r="U47" s="75">
        <f ca="1">IFERROR('41'!$F$104*'Discipline Analysis'!$B47,"")</f>
        <v>0</v>
      </c>
      <c r="V47" s="127">
        <f>'41'!$F$104</f>
        <v>0.54</v>
      </c>
    </row>
    <row r="48" spans="1:22" x14ac:dyDescent="0.2">
      <c r="A48" s="92" t="s">
        <v>1051</v>
      </c>
      <c r="B48" s="83">
        <f ca="1">OFFSET('42'!$D$4,$A$3,0)</f>
        <v>36649</v>
      </c>
      <c r="C48" s="75">
        <f ca="1">OFFSET('42'!$E$4,$A$3,0)</f>
        <v>200411.36865222236</v>
      </c>
      <c r="D48" s="122">
        <f ca="1">OFFSET('42'!$F$4,$A$3,0)</f>
        <v>5.47</v>
      </c>
      <c r="E48" s="75">
        <f ca="1">OFFSET('42'!$E$66,$A$3,0)</f>
        <v>102268</v>
      </c>
      <c r="F48" s="122">
        <f ca="1">OFFSET('42'!$F$66,$A$3,0)</f>
        <v>2.79</v>
      </c>
      <c r="G48" s="75">
        <f ca="1">IFERROR('42'!$F$100*'Discipline Analysis'!$B48,"")</f>
        <v>8062.78</v>
      </c>
      <c r="H48" s="122">
        <f>'42'!$F$100</f>
        <v>0.22</v>
      </c>
      <c r="I48" s="75">
        <f ca="1">IFERROR('42'!$F$98*'Discipline Analysis'!$B48,"")</f>
        <v>22722.38</v>
      </c>
      <c r="J48" s="122">
        <f>'42'!$F$98</f>
        <v>0.62</v>
      </c>
      <c r="K48" s="75">
        <f ca="1">IFERROR('42'!$F$99*'Discipline Analysis'!$B48,"")</f>
        <v>9162.25</v>
      </c>
      <c r="L48" s="122">
        <f>'42'!$F$99</f>
        <v>0.25</v>
      </c>
      <c r="M48" s="75">
        <f ca="1">OFFSET('42'!$E$35,$A$3,0)</f>
        <v>40662</v>
      </c>
      <c r="N48" s="122">
        <f ca="1">OFFSET('42'!$F$35,$A$3,0)</f>
        <v>1.1100000000000001</v>
      </c>
      <c r="O48" s="75">
        <f ca="1">IFERROR('42'!$F$101*'Discipline Analysis'!$B48,"")</f>
        <v>3298.41</v>
      </c>
      <c r="P48" s="122">
        <f>'42'!$F$101</f>
        <v>0.09</v>
      </c>
      <c r="Q48" s="75" t="str">
        <f ca="1">IFERROR('42'!$F$102*'Discipline Analysis'!$B48,"")</f>
        <v/>
      </c>
      <c r="R48" s="122" t="str">
        <f>'42'!$F$102</f>
        <v/>
      </c>
      <c r="S48" s="75" t="str">
        <f ca="1">IFERROR('42'!$F$103*'Discipline Analysis'!$B48,"")</f>
        <v/>
      </c>
      <c r="T48" s="122" t="str">
        <f>'42'!$F$103</f>
        <v/>
      </c>
      <c r="U48" s="75">
        <f ca="1">IFERROR('42'!$F$104*'Discipline Analysis'!$B48,"")</f>
        <v>14293.11</v>
      </c>
      <c r="V48" s="127">
        <f>'42'!$F$104</f>
        <v>0.39</v>
      </c>
    </row>
    <row r="49" spans="1:25" x14ac:dyDescent="0.2">
      <c r="A49" s="92" t="s">
        <v>1052</v>
      </c>
      <c r="B49" s="83">
        <f ca="1">OFFSET('43'!$D$4,$A$3,0)</f>
        <v>0</v>
      </c>
      <c r="C49" s="75">
        <f ca="1">OFFSET('43'!$E$4,$A$3,0)</f>
        <v>0</v>
      </c>
      <c r="D49" s="122" t="str">
        <f ca="1">OFFSET('43'!$F$4,$A$3,0)</f>
        <v/>
      </c>
      <c r="E49" s="75">
        <f ca="1">OFFSET('43'!$E$66,$A$3,0)</f>
        <v>0</v>
      </c>
      <c r="F49" s="122" t="str">
        <f ca="1">OFFSET('43'!$F$66,$A$3,0)</f>
        <v/>
      </c>
      <c r="G49" s="75">
        <f ca="1">IFERROR('43'!$F$100*'Discipline Analysis'!$B49,"")</f>
        <v>0</v>
      </c>
      <c r="H49" s="122">
        <f>'43'!$F$100</f>
        <v>0.36</v>
      </c>
      <c r="I49" s="75">
        <f ca="1">IFERROR('43'!$F$98*'Discipline Analysis'!$B49,"")</f>
        <v>0</v>
      </c>
      <c r="J49" s="122">
        <f>'43'!$F$98</f>
        <v>0.87</v>
      </c>
      <c r="K49" s="75">
        <f ca="1">IFERROR('43'!$F$99*'Discipline Analysis'!$B49,"")</f>
        <v>0</v>
      </c>
      <c r="L49" s="122">
        <f>'43'!$F$99</f>
        <v>0.62</v>
      </c>
      <c r="M49" s="75">
        <f ca="1">OFFSET('43'!$E$35,$A$3,0)</f>
        <v>0</v>
      </c>
      <c r="N49" s="122" t="str">
        <f ca="1">OFFSET('43'!$F$35,$A$3,0)</f>
        <v/>
      </c>
      <c r="O49" s="75">
        <f ca="1">IFERROR('43'!$F$101*'Discipline Analysis'!$B49,"")</f>
        <v>0</v>
      </c>
      <c r="P49" s="122">
        <f>'43'!$F$101</f>
        <v>0.21</v>
      </c>
      <c r="Q49" s="75" t="str">
        <f ca="1">IFERROR('43'!$F$102*'Discipline Analysis'!$B49,"")</f>
        <v/>
      </c>
      <c r="R49" s="122" t="str">
        <f>'43'!$F$102</f>
        <v/>
      </c>
      <c r="S49" s="75" t="str">
        <f ca="1">IFERROR('43'!$F$103*'Discipline Analysis'!$B49,"")</f>
        <v/>
      </c>
      <c r="T49" s="122" t="str">
        <f>'43'!$F$103</f>
        <v/>
      </c>
      <c r="U49" s="75">
        <f ca="1">IFERROR('43'!$F$104*'Discipline Analysis'!$B49,"")</f>
        <v>0</v>
      </c>
      <c r="V49" s="127">
        <f>'43'!$F$104</f>
        <v>1</v>
      </c>
    </row>
    <row r="50" spans="1:25" x14ac:dyDescent="0.2">
      <c r="A50" s="92" t="s">
        <v>1063</v>
      </c>
      <c r="B50" s="83">
        <f ca="1">OFFSET('44'!$D$4,$A$3,0)</f>
        <v>63838</v>
      </c>
      <c r="C50" s="75">
        <f ca="1">OFFSET('44'!$E$4,$A$3,0)</f>
        <v>427073.06105953775</v>
      </c>
      <c r="D50" s="122">
        <f ca="1">OFFSET('44'!$F$4,$A$3,0)</f>
        <v>6.69</v>
      </c>
      <c r="E50" s="75">
        <f ca="1">OFFSET('44'!$E$66,$A$3,0)</f>
        <v>217885</v>
      </c>
      <c r="F50" s="122">
        <f ca="1">OFFSET('44'!$F$66,$A$3,0)</f>
        <v>3.41</v>
      </c>
      <c r="G50" s="75">
        <f ca="1">IFERROR('44'!$F$100*'Discipline Analysis'!$B50,"")</f>
        <v>17236.260000000002</v>
      </c>
      <c r="H50" s="122">
        <f>'44'!$F$100</f>
        <v>0.27</v>
      </c>
      <c r="I50" s="75">
        <f ca="1">IFERROR('44'!$F$98*'Discipline Analysis'!$B50,"")</f>
        <v>38302.799999999996</v>
      </c>
      <c r="J50" s="122">
        <f>'44'!$F$98</f>
        <v>0.6</v>
      </c>
      <c r="K50" s="75">
        <f ca="1">IFERROR('44'!$F$99*'Discipline Analysis'!$B50,"")</f>
        <v>28088.720000000001</v>
      </c>
      <c r="L50" s="122">
        <f>'44'!$F$99</f>
        <v>0.44</v>
      </c>
      <c r="M50" s="75">
        <f ca="1">OFFSET('44'!$E$35,$A$3,0)</f>
        <v>68846</v>
      </c>
      <c r="N50" s="122">
        <f ca="1">OFFSET('44'!$F$35,$A$3,0)</f>
        <v>1.08</v>
      </c>
      <c r="O50" s="75">
        <f ca="1">IFERROR('44'!$F$101*'Discipline Analysis'!$B50,"")</f>
        <v>14682.74</v>
      </c>
      <c r="P50" s="122">
        <f>'44'!$F$101</f>
        <v>0.23</v>
      </c>
      <c r="Q50" s="75">
        <f ca="1">IFERROR('44'!$F$102*'Discipline Analysis'!$B50,"")</f>
        <v>5745.42</v>
      </c>
      <c r="R50" s="122">
        <f>'44'!$F$102</f>
        <v>0.09</v>
      </c>
      <c r="S50" s="75" t="str">
        <f ca="1">IFERROR('44'!$F$103*'Discipline Analysis'!$B50,"")</f>
        <v/>
      </c>
      <c r="T50" s="122" t="str">
        <f>'44'!$F$103</f>
        <v/>
      </c>
      <c r="U50" s="75">
        <f ca="1">IFERROR('44'!$F$104*'Discipline Analysis'!$B50,"")</f>
        <v>35749.280000000006</v>
      </c>
      <c r="V50" s="127">
        <f>'44'!$F$104</f>
        <v>0.56000000000000005</v>
      </c>
    </row>
    <row r="51" spans="1:25" x14ac:dyDescent="0.2">
      <c r="A51" s="92" t="s">
        <v>1028</v>
      </c>
      <c r="B51" s="83">
        <f ca="1">OFFSET('45'!$D$4,$A$3,0)</f>
        <v>15856</v>
      </c>
      <c r="C51" s="75">
        <f ca="1">OFFSET('45'!$E$4,$A$3,0)</f>
        <v>129035.29622328162</v>
      </c>
      <c r="D51" s="122">
        <f ca="1">OFFSET('45'!$F$4,$A$3,0)</f>
        <v>8.14</v>
      </c>
      <c r="E51" s="75">
        <f ca="1">OFFSET('45'!$E$66,$A$3,0)</f>
        <v>77519</v>
      </c>
      <c r="F51" s="122">
        <f ca="1">OFFSET('45'!$F$66,$A$3,0)</f>
        <v>4.8899999999999997</v>
      </c>
      <c r="G51" s="75">
        <f ca="1">IFERROR('45'!$F$100*'Discipline Analysis'!$B51,"")</f>
        <v>3488.32</v>
      </c>
      <c r="H51" s="122">
        <f>'45'!$F$100</f>
        <v>0.22</v>
      </c>
      <c r="I51" s="75">
        <f ca="1">IFERROR('45'!$F$98*'Discipline Analysis'!$B51,"")</f>
        <v>15063.199999999999</v>
      </c>
      <c r="J51" s="122">
        <f>'45'!$F$98</f>
        <v>0.95</v>
      </c>
      <c r="K51" s="75">
        <f ca="1">IFERROR('45'!$F$99*'Discipline Analysis'!$B51,"")</f>
        <v>11574.88</v>
      </c>
      <c r="L51" s="122">
        <f>'45'!$F$99</f>
        <v>0.73</v>
      </c>
      <c r="M51" s="75">
        <f ca="1">OFFSET('45'!$E$35,$A$3,0)</f>
        <v>14095</v>
      </c>
      <c r="N51" s="122">
        <f ca="1">OFFSET('45'!$F$35,$A$3,0)</f>
        <v>0.89</v>
      </c>
      <c r="O51" s="75">
        <f ca="1">IFERROR('45'!$F$101*'Discipline Analysis'!$B51,"")</f>
        <v>3805.44</v>
      </c>
      <c r="P51" s="122">
        <f>'45'!$F$101</f>
        <v>0.24</v>
      </c>
      <c r="Q51" s="75" t="str">
        <f ca="1">IFERROR('45'!$F$102*'Discipline Analysis'!$B51,"")</f>
        <v/>
      </c>
      <c r="R51" s="122" t="str">
        <f>'45'!$F$102</f>
        <v/>
      </c>
      <c r="S51" s="75" t="str">
        <f ca="1">IFERROR('45'!$F$103*'Discipline Analysis'!$B51,"")</f>
        <v/>
      </c>
      <c r="T51" s="122" t="str">
        <f>'45'!$F$103</f>
        <v/>
      </c>
      <c r="U51" s="75">
        <f ca="1">IFERROR('45'!$F$104*'Discipline Analysis'!$B51,"")</f>
        <v>3646.88</v>
      </c>
      <c r="V51" s="127">
        <f>'45'!$F$104</f>
        <v>0.23</v>
      </c>
    </row>
    <row r="52" spans="1:25" x14ac:dyDescent="0.2">
      <c r="A52" s="92" t="s">
        <v>1053</v>
      </c>
      <c r="B52" s="83">
        <f ca="1">OFFSET('46'!$D$4,$A$3,0)</f>
        <v>12976</v>
      </c>
      <c r="C52" s="75">
        <f ca="1">OFFSET('46'!$E$4,$A$3,0)</f>
        <v>86609.219151983503</v>
      </c>
      <c r="D52" s="122">
        <f ca="1">OFFSET('46'!$F$4,$A$3,0)</f>
        <v>6.67</v>
      </c>
      <c r="E52" s="75">
        <f ca="1">OFFSET('46'!$E$66,$A$3,0)</f>
        <v>40628</v>
      </c>
      <c r="F52" s="122">
        <f ca="1">OFFSET('46'!$F$66,$A$3,0)</f>
        <v>3.13</v>
      </c>
      <c r="G52" s="75">
        <f ca="1">IFERROR('46'!$F$100*'Discipline Analysis'!$B52,"")</f>
        <v>2465.44</v>
      </c>
      <c r="H52" s="122">
        <f>'46'!$F$100</f>
        <v>0.19</v>
      </c>
      <c r="I52" s="75">
        <f ca="1">IFERROR('46'!$F$98*'Discipline Analysis'!$B52,"")</f>
        <v>13754.560000000001</v>
      </c>
      <c r="J52" s="122">
        <f>'46'!$F$98</f>
        <v>1.06</v>
      </c>
      <c r="K52" s="75">
        <f ca="1">IFERROR('46'!$F$99*'Discipline Analysis'!$B52,"")</f>
        <v>7007.0400000000009</v>
      </c>
      <c r="L52" s="122">
        <f>'46'!$F$99</f>
        <v>0.54</v>
      </c>
      <c r="M52" s="75">
        <f ca="1">OFFSET('46'!$E$35,$A$3,0)</f>
        <v>9937</v>
      </c>
      <c r="N52" s="122">
        <f ca="1">OFFSET('46'!$F$35,$A$3,0)</f>
        <v>0.77</v>
      </c>
      <c r="O52" s="75">
        <f ca="1">IFERROR('46'!$F$101*'Discipline Analysis'!$B52,"")</f>
        <v>8434.4</v>
      </c>
      <c r="P52" s="122">
        <f>'46'!$F$101</f>
        <v>0.65</v>
      </c>
      <c r="Q52" s="75">
        <f ca="1">IFERROR('46'!$F$102*'Discipline Analysis'!$B52,"")</f>
        <v>389.28</v>
      </c>
      <c r="R52" s="122">
        <f>'46'!$F$102</f>
        <v>0.03</v>
      </c>
      <c r="S52" s="75" t="str">
        <f ca="1">IFERROR('46'!$F$103*'Discipline Analysis'!$B52,"")</f>
        <v/>
      </c>
      <c r="T52" s="122" t="str">
        <f>'46'!$F$103</f>
        <v/>
      </c>
      <c r="U52" s="75">
        <f ca="1">IFERROR('46'!$F$104*'Discipline Analysis'!$B52,"")</f>
        <v>4022.56</v>
      </c>
      <c r="V52" s="127">
        <f>'46'!$F$104</f>
        <v>0.31</v>
      </c>
    </row>
    <row r="53" spans="1:25" x14ac:dyDescent="0.2">
      <c r="A53" s="92" t="s">
        <v>1054</v>
      </c>
      <c r="B53" s="83">
        <f ca="1">OFFSET('47'!$D$4,$A$3,0)</f>
        <v>2256</v>
      </c>
      <c r="C53" s="75">
        <f ca="1">OFFSET('47'!$E$4,$A$3,0)</f>
        <v>12130.586965650458</v>
      </c>
      <c r="D53" s="122">
        <f ca="1">OFFSET('47'!$F$4,$A$3,0)</f>
        <v>5.38</v>
      </c>
      <c r="E53" s="75">
        <f ca="1">OFFSET('47'!$E$66,$A$3,0)</f>
        <v>6354</v>
      </c>
      <c r="F53" s="122">
        <f ca="1">OFFSET('47'!$F$66,$A$3,0)</f>
        <v>2.82</v>
      </c>
      <c r="G53" s="75">
        <f ca="1">IFERROR('47'!$F$100*'Discipline Analysis'!$B53,"")</f>
        <v>631.68000000000006</v>
      </c>
      <c r="H53" s="122">
        <f>'47'!$F$100</f>
        <v>0.28000000000000003</v>
      </c>
      <c r="I53" s="75">
        <f ca="1">IFERROR('47'!$F$98*'Discipline Analysis'!$B53,"")</f>
        <v>2098.08</v>
      </c>
      <c r="J53" s="122">
        <f>'47'!$F$98</f>
        <v>0.93</v>
      </c>
      <c r="K53" s="75">
        <f ca="1">IFERROR('47'!$F$99*'Discipline Analysis'!$B53,"")</f>
        <v>1218.24</v>
      </c>
      <c r="L53" s="122">
        <f>'47'!$F$99</f>
        <v>0.54</v>
      </c>
      <c r="M53" s="75">
        <f ca="1">OFFSET('47'!$E$35,$A$3,0)</f>
        <v>0</v>
      </c>
      <c r="N53" s="122" t="str">
        <f ca="1">OFFSET('47'!$F$35,$A$3,0)</f>
        <v/>
      </c>
      <c r="O53" s="75">
        <f ca="1">IFERROR('47'!$F$101*'Discipline Analysis'!$B53,"")</f>
        <v>518.88</v>
      </c>
      <c r="P53" s="122">
        <f>'47'!$F$101</f>
        <v>0.23</v>
      </c>
      <c r="Q53" s="75" t="str">
        <f ca="1">IFERROR('47'!$F$102*'Discipline Analysis'!$B53,"")</f>
        <v/>
      </c>
      <c r="R53" s="122" t="str">
        <f>'47'!$F$102</f>
        <v/>
      </c>
      <c r="S53" s="75" t="str">
        <f ca="1">IFERROR('47'!$F$103*'Discipline Analysis'!$B53,"")</f>
        <v/>
      </c>
      <c r="T53" s="122" t="str">
        <f>'47'!$F$103</f>
        <v/>
      </c>
      <c r="U53" s="75">
        <f ca="1">IFERROR('47'!$F$104*'Discipline Analysis'!$B53,"")</f>
        <v>1331.04</v>
      </c>
      <c r="V53" s="127">
        <f>'47'!$F$104</f>
        <v>0.59</v>
      </c>
    </row>
    <row r="54" spans="1:25" x14ac:dyDescent="0.2">
      <c r="A54" s="92" t="s">
        <v>1055</v>
      </c>
      <c r="B54" s="83">
        <f ca="1">OFFSET('48'!$D$4,$A$3,0)</f>
        <v>26808</v>
      </c>
      <c r="C54" s="75">
        <f ca="1">OFFSET('48'!$E$4,$A$3,0)</f>
        <v>204324.9650125138</v>
      </c>
      <c r="D54" s="122">
        <f ca="1">OFFSET('48'!$F$4,$A$3,0)</f>
        <v>7.62</v>
      </c>
      <c r="E54" s="75">
        <f ca="1">OFFSET('48'!$E$66,$A$3,0)</f>
        <v>92876</v>
      </c>
      <c r="F54" s="122">
        <f ca="1">OFFSET('48'!$F$66,$A$3,0)</f>
        <v>3.46</v>
      </c>
      <c r="G54" s="75">
        <f ca="1">IFERROR('48'!$F$100*'Discipline Analysis'!$B54,"")</f>
        <v>6165.84</v>
      </c>
      <c r="H54" s="122">
        <f>'48'!$F$100</f>
        <v>0.23</v>
      </c>
      <c r="I54" s="75">
        <f ca="1">IFERROR('48'!$F$98*'Discipline Analysis'!$B54,"")</f>
        <v>34314.239999999998</v>
      </c>
      <c r="J54" s="122">
        <f>'48'!$F$98</f>
        <v>1.28</v>
      </c>
      <c r="K54" s="75">
        <f ca="1">IFERROR('48'!$F$99*'Discipline Analysis'!$B54,"")</f>
        <v>10991.279999999999</v>
      </c>
      <c r="L54" s="122">
        <f>'48'!$F$99</f>
        <v>0.41</v>
      </c>
      <c r="M54" s="75">
        <f ca="1">OFFSET('48'!$E$35,$A$3,0)</f>
        <v>55043</v>
      </c>
      <c r="N54" s="122">
        <f ca="1">OFFSET('48'!$F$35,$A$3,0)</f>
        <v>2.0499999999999998</v>
      </c>
      <c r="O54" s="75">
        <f ca="1">IFERROR('48'!$F$101*'Discipline Analysis'!$B54,"")</f>
        <v>3485.04</v>
      </c>
      <c r="P54" s="122">
        <f>'48'!$F$101</f>
        <v>0.13</v>
      </c>
      <c r="Q54" s="75" t="str">
        <f ca="1">IFERROR('48'!$F$102*'Discipline Analysis'!$B54,"")</f>
        <v/>
      </c>
      <c r="R54" s="122" t="str">
        <f>'48'!$F$102</f>
        <v/>
      </c>
      <c r="S54" s="75" t="str">
        <f ca="1">IFERROR('48'!$F$103*'Discipline Analysis'!$B54,"")</f>
        <v/>
      </c>
      <c r="T54" s="122" t="str">
        <f>'48'!$F$103</f>
        <v/>
      </c>
      <c r="U54" s="75">
        <f ca="1">IFERROR('48'!$F$104*'Discipline Analysis'!$B54,"")</f>
        <v>1340.4</v>
      </c>
      <c r="V54" s="127">
        <f>'48'!$F$104</f>
        <v>0.05</v>
      </c>
    </row>
    <row r="55" spans="1:25" x14ac:dyDescent="0.2">
      <c r="A55" s="92" t="s">
        <v>1056</v>
      </c>
      <c r="B55" s="83">
        <f ca="1">OFFSET('49'!$D$4,$A$3,0)</f>
        <v>93440</v>
      </c>
      <c r="C55" s="75">
        <f ca="1">OFFSET('49'!$E$4,$A$3,0)</f>
        <v>595884.67439691257</v>
      </c>
      <c r="D55" s="122">
        <f ca="1">OFFSET('49'!$F$4,$A$3,0)</f>
        <v>6.38</v>
      </c>
      <c r="E55" s="75">
        <f ca="1">OFFSET('49'!$E$66,$A$3,0)</f>
        <v>236231</v>
      </c>
      <c r="F55" s="122">
        <f ca="1">OFFSET('49'!$F$66,$A$3,0)</f>
        <v>2.5299999999999998</v>
      </c>
      <c r="G55" s="75">
        <f ca="1">IFERROR('49'!$F$100*'Discipline Analysis'!$B55,"")</f>
        <v>17753.599999999999</v>
      </c>
      <c r="H55" s="122">
        <f>'49'!$F$100</f>
        <v>0.19</v>
      </c>
      <c r="I55" s="75">
        <f ca="1">IFERROR('49'!$F$98*'Discipline Analysis'!$B55,"")</f>
        <v>149504</v>
      </c>
      <c r="J55" s="122">
        <f>'49'!$F$98</f>
        <v>1.6</v>
      </c>
      <c r="K55" s="75">
        <f ca="1">IFERROR('49'!$F$99*'Discipline Analysis'!$B55,"")</f>
        <v>44851.199999999997</v>
      </c>
      <c r="L55" s="122">
        <f>'49'!$F$99</f>
        <v>0.48</v>
      </c>
      <c r="M55" s="75">
        <f ca="1">OFFSET('49'!$E$35,$A$3,0)</f>
        <v>85836</v>
      </c>
      <c r="N55" s="122">
        <f ca="1">OFFSET('49'!$F$35,$A$3,0)</f>
        <v>0.92</v>
      </c>
      <c r="O55" s="75">
        <f ca="1">IFERROR('49'!$F$101*'Discipline Analysis'!$B55,"")</f>
        <v>57932.800000000003</v>
      </c>
      <c r="P55" s="122">
        <f>'49'!$F$101</f>
        <v>0.62</v>
      </c>
      <c r="Q55" s="75" t="str">
        <f ca="1">IFERROR('49'!$F$102*'Discipline Analysis'!$B55,"")</f>
        <v/>
      </c>
      <c r="R55" s="122" t="str">
        <f>'49'!$F$102</f>
        <v/>
      </c>
      <c r="S55" s="75" t="str">
        <f ca="1">IFERROR('49'!$F$103*'Discipline Analysis'!$B55,"")</f>
        <v/>
      </c>
      <c r="T55" s="122" t="str">
        <f>'49'!$F$103</f>
        <v/>
      </c>
      <c r="U55" s="75">
        <f ca="1">IFERROR('49'!$F$104*'Discipline Analysis'!$B55,"")</f>
        <v>3737.6</v>
      </c>
      <c r="V55" s="127">
        <f>'49'!$F$104</f>
        <v>0.04</v>
      </c>
    </row>
    <row r="56" spans="1:25" x14ac:dyDescent="0.2">
      <c r="A56" s="92" t="s">
        <v>1064</v>
      </c>
      <c r="B56" s="83">
        <f ca="1">OFFSET('50'!$D$4,$A$3,0)</f>
        <v>20754</v>
      </c>
      <c r="C56" s="75">
        <f ca="1">OFFSET('50'!$E$4,$A$3,0)</f>
        <v>118937.28755220439</v>
      </c>
      <c r="D56" s="122">
        <f ca="1">OFFSET('50'!$F$4,$A$3,0)</f>
        <v>5.73</v>
      </c>
      <c r="E56" s="75">
        <f ca="1">OFFSET('50'!$E$66,$A$3,0)</f>
        <v>52049</v>
      </c>
      <c r="F56" s="122">
        <f ca="1">OFFSET('50'!$F$66,$A$3,0)</f>
        <v>2.5099999999999998</v>
      </c>
      <c r="G56" s="75">
        <f ca="1">IFERROR('50'!$F$100*'Discipline Analysis'!$B56,"")</f>
        <v>4565.88</v>
      </c>
      <c r="H56" s="122">
        <f>'50'!$F$100</f>
        <v>0.22</v>
      </c>
      <c r="I56" s="75">
        <f ca="1">IFERROR('50'!$F$98*'Discipline Analysis'!$B56,"")</f>
        <v>30923.46</v>
      </c>
      <c r="J56" s="122">
        <f>'50'!$F$98</f>
        <v>1.49</v>
      </c>
      <c r="K56" s="75">
        <f ca="1">IFERROR('50'!$F$99*'Discipline Analysis'!$B56,"")</f>
        <v>8924.2199999999993</v>
      </c>
      <c r="L56" s="122">
        <f>'50'!$F$99</f>
        <v>0.43</v>
      </c>
      <c r="M56" s="75">
        <f ca="1">OFFSET('50'!$E$35,$A$3,0)</f>
        <v>2377</v>
      </c>
      <c r="N56" s="122">
        <f ca="1">OFFSET('50'!$F$35,$A$3,0)</f>
        <v>0.11</v>
      </c>
      <c r="O56" s="75">
        <f ca="1">IFERROR('50'!$F$101*'Discipline Analysis'!$B56,"")</f>
        <v>10584.54</v>
      </c>
      <c r="P56" s="122">
        <f>'50'!$F$101</f>
        <v>0.51</v>
      </c>
      <c r="Q56" s="75" t="str">
        <f ca="1">IFERROR('50'!$F$102*'Discipline Analysis'!$B56,"")</f>
        <v/>
      </c>
      <c r="R56" s="122" t="str">
        <f>'50'!$F$102</f>
        <v/>
      </c>
      <c r="S56" s="75" t="str">
        <f ca="1">IFERROR('50'!$F$103*'Discipline Analysis'!$B56,"")</f>
        <v/>
      </c>
      <c r="T56" s="122" t="str">
        <f>'50'!$F$103</f>
        <v/>
      </c>
      <c r="U56" s="75">
        <f ca="1">IFERROR('50'!$F$104*'Discipline Analysis'!$B56,"")</f>
        <v>9339.3000000000011</v>
      </c>
      <c r="V56" s="127">
        <f>'50'!$F$104</f>
        <v>0.45</v>
      </c>
    </row>
    <row r="57" spans="1:25" x14ac:dyDescent="0.2">
      <c r="A57" s="90" t="s">
        <v>937</v>
      </c>
      <c r="B57" s="83">
        <f ca="1">OFFSET('51'!$D$4,$A$3,0)</f>
        <v>18564</v>
      </c>
      <c r="C57" s="75">
        <f ca="1">OFFSET('51'!$E$4,$A$3,0)</f>
        <v>168223.23292934004</v>
      </c>
      <c r="D57" s="122">
        <f ca="1">OFFSET('51'!$F$4,$A$3,0)</f>
        <v>9.06</v>
      </c>
      <c r="E57" s="75">
        <f ca="1">OFFSET('51'!$E$66,$A$3,0)</f>
        <v>44305</v>
      </c>
      <c r="F57" s="122">
        <f ca="1">OFFSET('51'!$F$66,$A$3,0)</f>
        <v>2.39</v>
      </c>
      <c r="G57" s="75">
        <f ca="1">IFERROR('51'!$F$100*'Discipline Analysis'!$B57,"")</f>
        <v>2784.6</v>
      </c>
      <c r="H57" s="122">
        <f>'51'!$F$100</f>
        <v>0.15</v>
      </c>
      <c r="I57" s="75">
        <f ca="1">IFERROR('51'!$F$98*'Discipline Analysis'!$B57,"")</f>
        <v>14665.560000000001</v>
      </c>
      <c r="J57" s="122">
        <f>'51'!$F$98</f>
        <v>0.79</v>
      </c>
      <c r="K57" s="75">
        <f ca="1">IFERROR('51'!$F$99*'Discipline Analysis'!$B57,"")</f>
        <v>4084.08</v>
      </c>
      <c r="L57" s="122">
        <f>'51'!$F$99</f>
        <v>0.22</v>
      </c>
      <c r="M57" s="75">
        <f ca="1">OFFSET('51'!$E$35,$A$3,0)</f>
        <v>96377</v>
      </c>
      <c r="N57" s="122">
        <f ca="1">OFFSET('51'!$F$35,$A$3,0)</f>
        <v>5.19</v>
      </c>
      <c r="O57" s="75">
        <f ca="1">IFERROR('51'!$F$101*'Discipline Analysis'!$B57,"")</f>
        <v>2598.96</v>
      </c>
      <c r="P57" s="122">
        <f>'51'!$F$101</f>
        <v>0.14000000000000001</v>
      </c>
      <c r="Q57" s="75" t="str">
        <f ca="1">IFERROR('51'!$F$102*'Discipline Analysis'!$B57,"")</f>
        <v/>
      </c>
      <c r="R57" s="122" t="str">
        <f>'51'!$F$102</f>
        <v/>
      </c>
      <c r="S57" s="75" t="str">
        <f ca="1">IFERROR('51'!$F$103*'Discipline Analysis'!$B57,"")</f>
        <v/>
      </c>
      <c r="T57" s="122" t="str">
        <f>'51'!$F$103</f>
        <v/>
      </c>
      <c r="U57" s="75">
        <f ca="1">IFERROR('51'!$F$104*'Discipline Analysis'!$B57,"")</f>
        <v>3527.16</v>
      </c>
      <c r="V57" s="127">
        <f>'51'!$F$104</f>
        <v>0.19</v>
      </c>
    </row>
    <row r="58" spans="1:25" x14ac:dyDescent="0.2">
      <c r="A58" s="90" t="s">
        <v>938</v>
      </c>
      <c r="B58" s="83">
        <f ca="1">OFFSET('52'!$D$4,$A$3,0)</f>
        <v>2304</v>
      </c>
      <c r="C58" s="75">
        <f ca="1">OFFSET('52'!$E$4,$A$3,0)</f>
        <v>14261.641323692023</v>
      </c>
      <c r="D58" s="122">
        <f ca="1">OFFSET('52'!$F$4,$A$3,0)</f>
        <v>6.19</v>
      </c>
      <c r="E58" s="75">
        <f ca="1">OFFSET('52'!$E$66,$A$3,0)</f>
        <v>7500</v>
      </c>
      <c r="F58" s="122">
        <f ca="1">OFFSET('52'!$F$66,$A$3,0)</f>
        <v>3.26</v>
      </c>
      <c r="G58" s="75">
        <f ca="1">IFERROR('52'!$F$100*'Discipline Analysis'!$B58,"")</f>
        <v>276.48</v>
      </c>
      <c r="H58" s="122">
        <f>'52'!$F$100</f>
        <v>0.12</v>
      </c>
      <c r="I58" s="75">
        <f ca="1">IFERROR('52'!$F$98*'Discipline Analysis'!$B58,"")</f>
        <v>2741.7599999999998</v>
      </c>
      <c r="J58" s="122">
        <f>'52'!$F$98</f>
        <v>1.19</v>
      </c>
      <c r="K58" s="75">
        <f ca="1">IFERROR('52'!$F$99*'Discipline Analysis'!$B58,"")</f>
        <v>1059.8400000000001</v>
      </c>
      <c r="L58" s="122">
        <f>'52'!$F$99</f>
        <v>0.46</v>
      </c>
      <c r="M58" s="75">
        <f ca="1">OFFSET('52'!$E$35,$A$3,0)</f>
        <v>2052</v>
      </c>
      <c r="N58" s="122">
        <f ca="1">OFFSET('52'!$F$35,$A$3,0)</f>
        <v>0.89</v>
      </c>
      <c r="O58" s="75">
        <f ca="1">IFERROR('52'!$F$101*'Discipline Analysis'!$B58,"")</f>
        <v>161.28000000000003</v>
      </c>
      <c r="P58" s="122">
        <f>'52'!$F$101</f>
        <v>7.0000000000000007E-2</v>
      </c>
      <c r="Q58" s="75" t="str">
        <f ca="1">IFERROR('52'!$F$102*'Discipline Analysis'!$B58,"")</f>
        <v/>
      </c>
      <c r="R58" s="122" t="str">
        <f>'52'!$F$102</f>
        <v/>
      </c>
      <c r="S58" s="75" t="str">
        <f ca="1">IFERROR('52'!$F$103*'Discipline Analysis'!$B58,"")</f>
        <v/>
      </c>
      <c r="T58" s="122" t="str">
        <f>'52'!$F$103</f>
        <v/>
      </c>
      <c r="U58" s="75">
        <f ca="1">IFERROR('52'!$F$104*'Discipline Analysis'!$B58,"")</f>
        <v>460.8</v>
      </c>
      <c r="V58" s="127">
        <f>'52'!$F$104</f>
        <v>0.2</v>
      </c>
    </row>
    <row r="59" spans="1:25" x14ac:dyDescent="0.2">
      <c r="A59" s="90" t="s">
        <v>939</v>
      </c>
      <c r="B59" s="83">
        <f ca="1">OFFSET('53'!$D$4,$A$3,0)</f>
        <v>0</v>
      </c>
      <c r="C59" s="75">
        <f ca="1">OFFSET('53'!$E$4,$A$3,0)</f>
        <v>0</v>
      </c>
      <c r="D59" s="122" t="str">
        <f ca="1">OFFSET('53'!$F$4,$A$3,0)</f>
        <v/>
      </c>
      <c r="E59" s="75">
        <f ca="1">OFFSET('53'!$E$66,$A$3,0)</f>
        <v>0</v>
      </c>
      <c r="F59" s="122" t="str">
        <f ca="1">OFFSET('53'!$F$66,$A$3,0)</f>
        <v/>
      </c>
      <c r="G59" s="75" t="str">
        <f ca="1">IFERROR('53'!$F$100*'Discipline Analysis'!$B59,"")</f>
        <v/>
      </c>
      <c r="H59" s="122" t="str">
        <f>'53'!$F$100</f>
        <v/>
      </c>
      <c r="I59" s="75" t="str">
        <f ca="1">IFERROR('53'!$F$98*'Discipline Analysis'!$B59,"")</f>
        <v/>
      </c>
      <c r="J59" s="122" t="str">
        <f>'53'!$F$98</f>
        <v/>
      </c>
      <c r="K59" s="75" t="str">
        <f ca="1">IFERROR('53'!$F$99*'Discipline Analysis'!$B59,"")</f>
        <v/>
      </c>
      <c r="L59" s="122" t="str">
        <f>'53'!$F$99</f>
        <v/>
      </c>
      <c r="M59" s="75">
        <f ca="1">OFFSET('53'!$E$35,$A$3,0)</f>
        <v>0</v>
      </c>
      <c r="N59" s="122" t="str">
        <f ca="1">OFFSET('53'!$F$35,$A$3,0)</f>
        <v/>
      </c>
      <c r="O59" s="75" t="str">
        <f ca="1">IFERROR('53'!$F$101*'Discipline Analysis'!$B59,"")</f>
        <v/>
      </c>
      <c r="P59" s="122" t="str">
        <f>'53'!$F$101</f>
        <v/>
      </c>
      <c r="Q59" s="75" t="str">
        <f ca="1">IFERROR('53'!$F$102*'Discipline Analysis'!$B59,"")</f>
        <v/>
      </c>
      <c r="R59" s="122" t="str">
        <f>'53'!$F$102</f>
        <v/>
      </c>
      <c r="S59" s="75" t="str">
        <f ca="1">IFERROR('53'!$F$103*'Discipline Analysis'!$B59,"")</f>
        <v/>
      </c>
      <c r="T59" s="122" t="str">
        <f>'53'!$F$103</f>
        <v/>
      </c>
      <c r="U59" s="75" t="str">
        <f ca="1">IFERROR('53'!$F$104*'Discipline Analysis'!$B59,"")</f>
        <v/>
      </c>
      <c r="V59" s="127" t="str">
        <f>'53'!$F$104</f>
        <v/>
      </c>
      <c r="Y59" s="129"/>
    </row>
    <row r="60" spans="1:25" x14ac:dyDescent="0.2">
      <c r="A60" s="90" t="s">
        <v>940</v>
      </c>
      <c r="B60" s="83">
        <f ca="1">OFFSET('54'!$D$4,$A$3,0)</f>
        <v>79872</v>
      </c>
      <c r="C60" s="75">
        <f ca="1">OFFSET('54'!$E$4,$A$3,0)</f>
        <v>660182.74526015983</v>
      </c>
      <c r="D60" s="122">
        <f ca="1">OFFSET('54'!$F$4,$A$3,0)</f>
        <v>8.27</v>
      </c>
      <c r="E60" s="75">
        <f ca="1">OFFSET('54'!$E$66,$A$3,0)</f>
        <v>349257</v>
      </c>
      <c r="F60" s="122">
        <f ca="1">OFFSET('54'!$F$66,$A$3,0)</f>
        <v>4.37</v>
      </c>
      <c r="G60" s="75">
        <f ca="1">IFERROR('54'!$F$100*'Discipline Analysis'!$B60,"")</f>
        <v>7987.2000000000007</v>
      </c>
      <c r="H60" s="122">
        <f>'54'!$F$100</f>
        <v>0.1</v>
      </c>
      <c r="I60" s="75">
        <f ca="1">IFERROR('54'!$F$98*'Discipline Analysis'!$B60,"")</f>
        <v>51916.800000000003</v>
      </c>
      <c r="J60" s="122">
        <f>'54'!$F$98</f>
        <v>0.65</v>
      </c>
      <c r="K60" s="75">
        <f ca="1">IFERROR('54'!$F$99*'Discipline Analysis'!$B60,"")</f>
        <v>19169.28</v>
      </c>
      <c r="L60" s="122">
        <f>'54'!$F$99</f>
        <v>0.24</v>
      </c>
      <c r="M60" s="75">
        <f ca="1">OFFSET('54'!$E$35,$A$3,0)</f>
        <v>209816</v>
      </c>
      <c r="N60" s="122">
        <f ca="1">OFFSET('54'!$F$35,$A$3,0)</f>
        <v>2.63</v>
      </c>
      <c r="O60" s="75">
        <f ca="1">IFERROR('54'!$F$101*'Discipline Analysis'!$B60,"")</f>
        <v>7188.48</v>
      </c>
      <c r="P60" s="122">
        <f>'54'!$F$101</f>
        <v>0.09</v>
      </c>
      <c r="Q60" s="75" t="str">
        <f ca="1">IFERROR('54'!$F$102*'Discipline Analysis'!$B60,"")</f>
        <v/>
      </c>
      <c r="R60" s="122" t="str">
        <f>'54'!$F$102</f>
        <v/>
      </c>
      <c r="S60" s="75" t="str">
        <f ca="1">IFERROR('54'!$F$103*'Discipline Analysis'!$B60,"")</f>
        <v/>
      </c>
      <c r="T60" s="122" t="str">
        <f>'54'!$F$103</f>
        <v/>
      </c>
      <c r="U60" s="75">
        <f ca="1">IFERROR('54'!$F$104*'Discipline Analysis'!$B60,"")</f>
        <v>14376.96</v>
      </c>
      <c r="V60" s="127">
        <f>'54'!$F$104</f>
        <v>0.18</v>
      </c>
      <c r="Y60" s="129"/>
    </row>
    <row r="61" spans="1:25" x14ac:dyDescent="0.2">
      <c r="A61" s="90" t="s">
        <v>941</v>
      </c>
      <c r="B61" s="83">
        <f ca="1">OFFSET('55'!$D$4,$A$3,0)</f>
        <v>0</v>
      </c>
      <c r="C61" s="75">
        <f ca="1">OFFSET('55'!$E$4,$A$3,0)</f>
        <v>0</v>
      </c>
      <c r="D61" s="122" t="str">
        <f ca="1">OFFSET('55'!$F$4,$A$3,0)</f>
        <v/>
      </c>
      <c r="E61" s="75">
        <f ca="1">OFFSET('55'!$E$66,$A$3,0)</f>
        <v>0</v>
      </c>
      <c r="F61" s="122" t="str">
        <f ca="1">OFFSET('55'!$F$66,$A$3,0)</f>
        <v/>
      </c>
      <c r="G61" s="75" t="str">
        <f ca="1">IFERROR('55'!$F$100*'Discipline Analysis'!$B61,"")</f>
        <v/>
      </c>
      <c r="H61" s="122" t="str">
        <f>'55'!$F$100</f>
        <v/>
      </c>
      <c r="I61" s="75" t="str">
        <f ca="1">IFERROR('55'!$F$98*'Discipline Analysis'!$B61,"")</f>
        <v/>
      </c>
      <c r="J61" s="122" t="str">
        <f>'55'!$F$98</f>
        <v/>
      </c>
      <c r="K61" s="75" t="str">
        <f ca="1">IFERROR('55'!$F$99*'Discipline Analysis'!$B61,"")</f>
        <v/>
      </c>
      <c r="L61" s="122" t="str">
        <f>'55'!$F$99</f>
        <v/>
      </c>
      <c r="M61" s="75">
        <f ca="1">OFFSET('55'!$E$35,$A$3,0)</f>
        <v>0</v>
      </c>
      <c r="N61" s="122" t="str">
        <f ca="1">OFFSET('55'!$F$35,$A$3,0)</f>
        <v/>
      </c>
      <c r="O61" s="75" t="str">
        <f ca="1">IFERROR('55'!$F$101*'Discipline Analysis'!$B61,"")</f>
        <v/>
      </c>
      <c r="P61" s="122" t="str">
        <f>'55'!$F$101</f>
        <v/>
      </c>
      <c r="Q61" s="75" t="str">
        <f ca="1">IFERROR('55'!$F$102*'Discipline Analysis'!$B61,"")</f>
        <v/>
      </c>
      <c r="R61" s="122" t="str">
        <f>'55'!$F$102</f>
        <v/>
      </c>
      <c r="S61" s="75" t="str">
        <f ca="1">IFERROR('55'!$F$103*'Discipline Analysis'!$B61,"")</f>
        <v/>
      </c>
      <c r="T61" s="122" t="str">
        <f>'55'!$F$103</f>
        <v/>
      </c>
      <c r="U61" s="75" t="str">
        <f ca="1">IFERROR('55'!$F$104*'Discipline Analysis'!$B61,"")</f>
        <v/>
      </c>
      <c r="V61" s="127" t="str">
        <f>'55'!$F$104</f>
        <v/>
      </c>
      <c r="Y61" s="129"/>
    </row>
    <row r="62" spans="1:25" x14ac:dyDescent="0.2">
      <c r="A62" s="90" t="s">
        <v>942</v>
      </c>
      <c r="B62" s="83">
        <f ca="1">OFFSET('56'!$D$4,$A$3,0)</f>
        <v>1072</v>
      </c>
      <c r="C62" s="75">
        <f ca="1">OFFSET('56'!$E$4,$A$3,0)</f>
        <v>7224.416854349709</v>
      </c>
      <c r="D62" s="122">
        <f ca="1">OFFSET('56'!$F$4,$A$3,0)</f>
        <v>6.74</v>
      </c>
      <c r="E62" s="75">
        <f ca="1">OFFSET('56'!$E$66,$A$3,0)</f>
        <v>3323</v>
      </c>
      <c r="F62" s="122">
        <f ca="1">OFFSET('56'!$F$66,$A$3,0)</f>
        <v>3.1</v>
      </c>
      <c r="G62" s="75">
        <f ca="1">IFERROR('56'!$F$100*'Discipline Analysis'!$B62,"")</f>
        <v>536</v>
      </c>
      <c r="H62" s="122">
        <f>'56'!$F$100</f>
        <v>0.5</v>
      </c>
      <c r="I62" s="75">
        <f ca="1">IFERROR('56'!$F$98*'Discipline Analysis'!$B62,"")</f>
        <v>1340</v>
      </c>
      <c r="J62" s="122">
        <f>'56'!$F$98</f>
        <v>1.25</v>
      </c>
      <c r="K62" s="75">
        <f ca="1">IFERROR('56'!$F$99*'Discipline Analysis'!$B62,"")</f>
        <v>868.32</v>
      </c>
      <c r="L62" s="122">
        <f>'56'!$F$99</f>
        <v>0.81</v>
      </c>
      <c r="M62" s="75">
        <f ca="1">OFFSET('56'!$E$35,$A$3,0)</f>
        <v>457</v>
      </c>
      <c r="N62" s="122">
        <f ca="1">OFFSET('56'!$F$35,$A$3,0)</f>
        <v>0.43</v>
      </c>
      <c r="O62" s="75">
        <f ca="1">IFERROR('56'!$F$101*'Discipline Analysis'!$B62,"")</f>
        <v>364.48</v>
      </c>
      <c r="P62" s="122">
        <f>'56'!$F$101</f>
        <v>0.34</v>
      </c>
      <c r="Q62" s="75" t="str">
        <f ca="1">IFERROR('56'!$F$102*'Discipline Analysis'!$B62,"")</f>
        <v/>
      </c>
      <c r="R62" s="122" t="str">
        <f>'56'!$F$102</f>
        <v/>
      </c>
      <c r="S62" s="75" t="str">
        <f ca="1">IFERROR('56'!$F$103*'Discipline Analysis'!$B62,"")</f>
        <v/>
      </c>
      <c r="T62" s="122" t="str">
        <f>'56'!$F$103</f>
        <v/>
      </c>
      <c r="U62" s="75">
        <f ca="1">IFERROR('56'!$F$104*'Discipline Analysis'!$B62,"")</f>
        <v>321.59999999999997</v>
      </c>
      <c r="V62" s="127">
        <f>'56'!$F$104</f>
        <v>0.3</v>
      </c>
    </row>
    <row r="63" spans="1:25" x14ac:dyDescent="0.2">
      <c r="A63" s="71" t="s">
        <v>943</v>
      </c>
      <c r="B63" s="83">
        <f ca="1">OFFSET('57'!$D$4,$A$3,0)</f>
        <v>0</v>
      </c>
      <c r="C63" s="75">
        <f ca="1">OFFSET('57'!$E$4,$A$3,0)</f>
        <v>0</v>
      </c>
      <c r="D63" s="122" t="str">
        <f ca="1">OFFSET('57'!$F$4,$A$3,0)</f>
        <v/>
      </c>
      <c r="E63" s="75">
        <f ca="1">OFFSET('57'!$E$66,$A$3,0)</f>
        <v>0</v>
      </c>
      <c r="F63" s="122" t="str">
        <f ca="1">OFFSET('57'!$F$66,$A$3,0)</f>
        <v/>
      </c>
      <c r="G63" s="75">
        <f ca="1">IFERROR('57'!$F$100*'Discipline Analysis'!$B63,"")</f>
        <v>0</v>
      </c>
      <c r="H63" s="122">
        <f>'57'!$F$100</f>
        <v>0.36</v>
      </c>
      <c r="I63" s="75">
        <f ca="1">IFERROR('57'!$F$98*'Discipline Analysis'!$B63,"")</f>
        <v>0</v>
      </c>
      <c r="J63" s="122">
        <f>'57'!$F$98</f>
        <v>1.34</v>
      </c>
      <c r="K63" s="75">
        <f ca="1">IFERROR('57'!$F$99*'Discipline Analysis'!$B63,"")</f>
        <v>0</v>
      </c>
      <c r="L63" s="122">
        <f>'57'!$F$99</f>
        <v>0.42</v>
      </c>
      <c r="M63" s="75">
        <f ca="1">OFFSET('57'!$E$35,$A$3,0)</f>
        <v>0</v>
      </c>
      <c r="N63" s="122" t="str">
        <f ca="1">OFFSET('57'!$F$35,$A$3,0)</f>
        <v/>
      </c>
      <c r="O63" s="75">
        <f ca="1">IFERROR('57'!$F$101*'Discipline Analysis'!$B63,"")</f>
        <v>0</v>
      </c>
      <c r="P63" s="122">
        <f>'57'!$F$101</f>
        <v>0.13</v>
      </c>
      <c r="Q63" s="75" t="str">
        <f ca="1">IFERROR('57'!$F$102*'Discipline Analysis'!$B63,"")</f>
        <v/>
      </c>
      <c r="R63" s="122" t="str">
        <f>'57'!$F$102</f>
        <v/>
      </c>
      <c r="S63" s="75" t="str">
        <f ca="1">IFERROR('57'!$F$103*'Discipline Analysis'!$B63,"")</f>
        <v/>
      </c>
      <c r="T63" s="122" t="str">
        <f>'57'!$F$103</f>
        <v/>
      </c>
      <c r="U63" s="75">
        <f ca="1">IFERROR('57'!$F$104*'Discipline Analysis'!$B63,"")</f>
        <v>0</v>
      </c>
      <c r="V63" s="127">
        <f>'57'!$F$104</f>
        <v>0.31</v>
      </c>
      <c r="Y63" s="129"/>
    </row>
    <row r="64" spans="1:25" ht="15" thickBot="1" x14ac:dyDescent="0.25">
      <c r="A64" s="80" t="s">
        <v>35</v>
      </c>
      <c r="B64" s="78">
        <f ca="1">OFFSET(Summary!$D$4,$A$3,0)</f>
        <v>1156306</v>
      </c>
      <c r="C64" s="77">
        <f ca="1">OFFSET(Summary!$E$4,$A$3,0)</f>
        <v>8858021.4649536274</v>
      </c>
      <c r="D64" s="124">
        <f ca="1">MEDIAN(D7:D63)</f>
        <v>6.7249999999999996</v>
      </c>
      <c r="E64" s="77">
        <f ca="1">OFFSET(Summary!$E$66,$A$3,0)</f>
        <v>3793956</v>
      </c>
      <c r="F64" s="124">
        <f ca="1">MEDIAN(F7:F63)</f>
        <v>3.32</v>
      </c>
      <c r="G64" s="77">
        <f ca="1">Summary!$F$100*B64</f>
        <v>265950.38</v>
      </c>
      <c r="H64" s="124">
        <f>MEDIAN(H7:H63)</f>
        <v>0.23</v>
      </c>
      <c r="I64" s="77">
        <f ca="1">Summary!$F$98*'Discipline Analysis'!B64</f>
        <v>1306625.7799999998</v>
      </c>
      <c r="J64" s="124">
        <f>MEDIAN(J7:J63)</f>
        <v>1.1299999999999999</v>
      </c>
      <c r="K64" s="77">
        <f ca="1">Summary!$F$99*'Discipline Analysis'!B64</f>
        <v>589716.06000000006</v>
      </c>
      <c r="L64" s="124">
        <f>MEDIAN(L7:L63)</f>
        <v>0.51</v>
      </c>
      <c r="M64" s="77">
        <f ca="1">OFFSET(Summary!$E$35,$A$3,0)</f>
        <v>1784347</v>
      </c>
      <c r="N64" s="124">
        <f ca="1">MEDIAN(N7:N63)</f>
        <v>0.92</v>
      </c>
      <c r="O64" s="77">
        <f ca="1">IFERROR(Summary!$F$101*'Discipline Analysis'!B64,"")</f>
        <v>358454.86</v>
      </c>
      <c r="P64" s="124">
        <f>MEDIAN(P7:P63)</f>
        <v>0.31</v>
      </c>
      <c r="Q64" s="77">
        <f ca="1">Summary!$F$102*'Discipline Analysis'!B64</f>
        <v>69378.36</v>
      </c>
      <c r="R64" s="124">
        <f>MEDIAN(R7:R63)</f>
        <v>0.06</v>
      </c>
      <c r="S64" s="77">
        <f ca="1">Summary!$F$103*'Discipline Analysis'!B64</f>
        <v>0</v>
      </c>
      <c r="T64" s="124">
        <f>MEDIAN(T7:T63)</f>
        <v>0</v>
      </c>
      <c r="U64" s="76">
        <f ca="1">Summary!$F$104*'Discipline Analysis'!B64</f>
        <v>381580.98000000004</v>
      </c>
      <c r="V64" s="128">
        <f>MEDIAN(V7:V63)</f>
        <v>0.33</v>
      </c>
    </row>
    <row r="65" spans="2:22" x14ac:dyDescent="0.2">
      <c r="C65" s="2"/>
      <c r="D65" s="2"/>
      <c r="E65" s="2"/>
      <c r="F65" s="2"/>
      <c r="G65" s="2"/>
      <c r="H65" s="2"/>
      <c r="I65" s="2"/>
      <c r="J65" s="2"/>
      <c r="K65" s="2"/>
      <c r="L65" s="2"/>
      <c r="M65" s="2"/>
      <c r="N65" s="2"/>
      <c r="O65" s="2"/>
      <c r="P65" s="2"/>
      <c r="Q65" s="2"/>
      <c r="R65" s="2"/>
      <c r="S65" s="2"/>
      <c r="T65" s="2"/>
      <c r="U65" s="2"/>
      <c r="V65" s="2"/>
    </row>
    <row r="66" spans="2:22" ht="15" customHeight="1" x14ac:dyDescent="0.2">
      <c r="C66" s="63"/>
      <c r="G66" s="63"/>
      <c r="I66" s="63"/>
      <c r="K66" s="63"/>
      <c r="M66" s="63"/>
      <c r="O66" s="63"/>
      <c r="Q66" s="63"/>
      <c r="S66" s="63"/>
      <c r="U66" s="63"/>
    </row>
    <row r="80" spans="2:22" x14ac:dyDescent="0.2">
      <c r="B80" s="85"/>
      <c r="C80" s="85"/>
      <c r="D80" s="85"/>
      <c r="E80" s="85"/>
      <c r="F80" s="85"/>
      <c r="G80" s="85"/>
      <c r="H80" s="85"/>
      <c r="I80" s="85"/>
      <c r="J80" s="85"/>
      <c r="K80" s="85"/>
      <c r="L80" s="85"/>
      <c r="M80" s="85"/>
      <c r="N80" s="85"/>
      <c r="O80" s="85"/>
      <c r="P80" s="85"/>
      <c r="Q80" s="85"/>
      <c r="R80" s="85"/>
      <c r="S80" s="85"/>
      <c r="T80" s="85"/>
      <c r="U80" s="85"/>
      <c r="V80" s="85"/>
    </row>
    <row r="81" spans="2:21" x14ac:dyDescent="0.2">
      <c r="B81" s="86"/>
      <c r="C81" s="86"/>
      <c r="D81" s="86"/>
      <c r="E81" s="86"/>
      <c r="F81" s="86"/>
      <c r="G81" s="86"/>
      <c r="H81" s="86"/>
      <c r="I81" s="86"/>
      <c r="K81" s="86"/>
      <c r="L81" s="86"/>
      <c r="M81" s="86"/>
      <c r="N81" s="86"/>
      <c r="O81" s="86"/>
      <c r="P81" s="86"/>
      <c r="Q81" s="86"/>
      <c r="R81" s="86"/>
      <c r="S81" s="86"/>
      <c r="U81" s="86"/>
    </row>
    <row r="82" spans="2:21" x14ac:dyDescent="0.2">
      <c r="B82" s="86"/>
      <c r="C82" s="86"/>
      <c r="D82" s="86"/>
      <c r="E82" s="86"/>
      <c r="F82" s="86"/>
      <c r="G82" s="86"/>
      <c r="H82" s="86"/>
      <c r="I82" s="86"/>
      <c r="K82" s="86"/>
      <c r="L82" s="86"/>
      <c r="M82" s="86"/>
      <c r="N82" s="86"/>
      <c r="O82" s="86"/>
      <c r="P82" s="86"/>
      <c r="Q82" s="86"/>
      <c r="R82" s="86"/>
      <c r="S82" s="86"/>
      <c r="U82" s="86"/>
    </row>
    <row r="83" spans="2:21" x14ac:dyDescent="0.2">
      <c r="B83" s="86"/>
      <c r="C83" s="86"/>
      <c r="D83" s="86"/>
      <c r="E83" s="86"/>
      <c r="F83" s="86"/>
      <c r="G83" s="86"/>
      <c r="H83" s="86"/>
      <c r="I83" s="86"/>
      <c r="K83" s="86"/>
      <c r="L83" s="86"/>
      <c r="M83" s="86"/>
      <c r="N83" s="86"/>
      <c r="O83" s="86"/>
      <c r="P83" s="86"/>
      <c r="Q83" s="86"/>
      <c r="R83" s="86"/>
      <c r="S83" s="86"/>
      <c r="U83" s="86"/>
    </row>
    <row r="84" spans="2:21" x14ac:dyDescent="0.2">
      <c r="B84" s="86"/>
      <c r="C84" s="86"/>
      <c r="D84" s="86"/>
      <c r="E84" s="86"/>
      <c r="F84" s="86"/>
      <c r="G84" s="86"/>
      <c r="H84" s="86"/>
      <c r="I84" s="86"/>
      <c r="K84" s="86"/>
      <c r="L84" s="86"/>
      <c r="M84" s="86"/>
      <c r="N84" s="86"/>
      <c r="O84" s="86"/>
      <c r="P84" s="86"/>
      <c r="Q84" s="86"/>
      <c r="R84" s="86"/>
      <c r="S84" s="86"/>
      <c r="U84" s="86"/>
    </row>
    <row r="85" spans="2:21" x14ac:dyDescent="0.2">
      <c r="B85" s="86"/>
      <c r="C85" s="86"/>
      <c r="D85" s="86"/>
      <c r="E85" s="86"/>
      <c r="F85" s="86"/>
      <c r="G85" s="86"/>
      <c r="H85" s="86"/>
      <c r="I85" s="86"/>
      <c r="K85" s="86"/>
      <c r="L85" s="86"/>
      <c r="M85" s="86"/>
      <c r="N85" s="86"/>
      <c r="O85" s="86"/>
      <c r="P85" s="86"/>
      <c r="Q85" s="86"/>
      <c r="R85" s="86"/>
      <c r="S85" s="86"/>
      <c r="U85" s="86"/>
    </row>
    <row r="86" spans="2:21" x14ac:dyDescent="0.2">
      <c r="B86" s="86"/>
      <c r="C86" s="86"/>
      <c r="D86" s="86"/>
      <c r="E86" s="86"/>
      <c r="F86" s="86"/>
      <c r="G86" s="86"/>
      <c r="H86" s="86"/>
      <c r="I86" s="86"/>
      <c r="K86" s="86"/>
      <c r="L86" s="86"/>
      <c r="M86" s="86"/>
      <c r="N86" s="86"/>
      <c r="O86" s="86"/>
      <c r="P86" s="86"/>
      <c r="Q86" s="86"/>
      <c r="R86" s="86"/>
      <c r="S86" s="86"/>
      <c r="U86" s="86"/>
    </row>
    <row r="87" spans="2:21" x14ac:dyDescent="0.2">
      <c r="B87" s="86"/>
      <c r="C87" s="86"/>
      <c r="D87" s="86"/>
      <c r="E87" s="86"/>
      <c r="F87" s="86"/>
      <c r="G87" s="86"/>
      <c r="H87" s="86"/>
      <c r="I87" s="86"/>
      <c r="K87" s="86"/>
      <c r="L87" s="86"/>
      <c r="M87" s="86"/>
      <c r="N87" s="86"/>
      <c r="O87" s="86"/>
      <c r="P87" s="86"/>
      <c r="Q87" s="86"/>
      <c r="R87" s="86"/>
      <c r="S87" s="86"/>
      <c r="U87" s="84"/>
    </row>
    <row r="88" spans="2:21" x14ac:dyDescent="0.2">
      <c r="B88" s="86"/>
      <c r="C88" s="86"/>
      <c r="D88" s="86"/>
      <c r="E88" s="86"/>
      <c r="F88" s="86"/>
      <c r="G88" s="86"/>
      <c r="H88" s="86"/>
      <c r="I88" s="86"/>
      <c r="K88" s="86"/>
      <c r="L88" s="86"/>
      <c r="M88" s="86"/>
      <c r="N88" s="86"/>
      <c r="O88" s="86"/>
      <c r="P88" s="86"/>
      <c r="Q88" s="86"/>
      <c r="R88" s="86"/>
      <c r="S88" s="86"/>
      <c r="U88" s="86"/>
    </row>
    <row r="89" spans="2:21" x14ac:dyDescent="0.2">
      <c r="B89" s="86"/>
      <c r="C89" s="86"/>
      <c r="D89" s="86"/>
      <c r="E89" s="86"/>
      <c r="F89" s="86"/>
      <c r="G89" s="86"/>
      <c r="H89" s="86"/>
      <c r="I89" s="86"/>
      <c r="K89" s="86"/>
      <c r="L89" s="86"/>
      <c r="M89" s="86"/>
      <c r="N89" s="86"/>
      <c r="O89" s="86"/>
      <c r="P89" s="86"/>
      <c r="Q89" s="86"/>
      <c r="R89" s="86"/>
      <c r="S89" s="86"/>
      <c r="U89" s="86"/>
    </row>
    <row r="90" spans="2:21" x14ac:dyDescent="0.2">
      <c r="B90" s="86"/>
      <c r="C90" s="86"/>
      <c r="D90" s="86"/>
      <c r="E90" s="86"/>
      <c r="F90" s="86"/>
      <c r="G90" s="86"/>
      <c r="H90" s="86"/>
      <c r="I90" s="86"/>
      <c r="K90" s="86"/>
      <c r="L90" s="86"/>
      <c r="M90" s="86"/>
      <c r="N90" s="86"/>
      <c r="O90" s="86"/>
      <c r="P90" s="86"/>
      <c r="Q90" s="86"/>
      <c r="R90" s="86"/>
      <c r="S90" s="86"/>
      <c r="U90" s="86"/>
    </row>
  </sheetData>
  <mergeCells count="11">
    <mergeCell ref="O5:P5"/>
    <mergeCell ref="Q5:R5"/>
    <mergeCell ref="S5:T5"/>
    <mergeCell ref="U5:V5"/>
    <mergeCell ref="B5:B6"/>
    <mergeCell ref="C5:D5"/>
    <mergeCell ref="E5:F5"/>
    <mergeCell ref="G5:H5"/>
    <mergeCell ref="I5:J5"/>
    <mergeCell ref="K5:L5"/>
    <mergeCell ref="M5:N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heetViews>
  <sheetFormatPr defaultRowHeight="14.25" x14ac:dyDescent="0.2"/>
  <cols>
    <col min="1" max="1" width="9.42578125" style="10" customWidth="1"/>
    <col min="2" max="2" width="46.5703125" style="10" customWidth="1"/>
    <col min="3" max="3" width="18.28515625" style="10" customWidth="1"/>
    <col min="4" max="4" width="18.7109375" style="10" bestFit="1" customWidth="1"/>
    <col min="5" max="5" width="18.42578125" style="10" customWidth="1"/>
    <col min="6" max="6" width="17.28515625" style="10" customWidth="1"/>
    <col min="7" max="7" width="2.85546875" style="10" customWidth="1"/>
    <col min="8" max="9" width="10.5703125" style="61" bestFit="1" customWidth="1"/>
    <col min="10" max="10" width="12.42578125" style="61" bestFit="1" customWidth="1"/>
    <col min="11" max="11" width="17.85546875" style="10" bestFit="1" customWidth="1"/>
    <col min="12" max="14" width="9.140625" style="10"/>
    <col min="15" max="15" width="17.85546875" style="10" bestFit="1" customWidth="1"/>
    <col min="16"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394</v>
      </c>
      <c r="B2" s="11" t="str">
        <f>VLOOKUP(A2,Data!A:G,7,0)</f>
        <v>Alamo Community College District</v>
      </c>
      <c r="C2" s="11"/>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22080</v>
      </c>
      <c r="E5" s="15">
        <f>E36+E67+IFERROR($E$105/$D$105*D5,0)</f>
        <v>140133.36780190322</v>
      </c>
      <c r="F5" s="20">
        <f>IF(OR(D5=0,E5=0),"",ROUND(E5/D5,2))</f>
        <v>6.35</v>
      </c>
    </row>
    <row r="6" spans="1:6" x14ac:dyDescent="0.2">
      <c r="A6" s="19">
        <v>2</v>
      </c>
      <c r="B6" s="143" t="s">
        <v>1</v>
      </c>
      <c r="C6" s="144"/>
      <c r="D6" s="14">
        <f t="shared" ref="D6:D32" si="0">D37</f>
        <v>177333</v>
      </c>
      <c r="E6" s="17">
        <f t="shared" ref="E6:E32" si="1">E37+E68+IFERROR($E$105/$D$105*D6,0)</f>
        <v>1583729.9114318343</v>
      </c>
      <c r="F6" s="21">
        <f t="shared" ref="F6:F33" si="2">IF(OR(D6=0,E6=0),"",ROUND(E6/D6,2))</f>
        <v>8.93</v>
      </c>
    </row>
    <row r="7" spans="1:6" x14ac:dyDescent="0.2">
      <c r="A7" s="19">
        <v>3</v>
      </c>
      <c r="B7" s="143" t="s">
        <v>2</v>
      </c>
      <c r="C7" s="144"/>
      <c r="D7" s="14">
        <f t="shared" si="0"/>
        <v>1476192</v>
      </c>
      <c r="E7" s="17">
        <f t="shared" si="1"/>
        <v>10549635.49865159</v>
      </c>
      <c r="F7" s="21">
        <f t="shared" si="2"/>
        <v>7.15</v>
      </c>
    </row>
    <row r="8" spans="1:6" x14ac:dyDescent="0.2">
      <c r="A8" s="19">
        <v>4</v>
      </c>
      <c r="B8" s="143" t="s">
        <v>3</v>
      </c>
      <c r="C8" s="144"/>
      <c r="D8" s="14">
        <f t="shared" si="0"/>
        <v>1411904</v>
      </c>
      <c r="E8" s="17">
        <f t="shared" si="1"/>
        <v>12443470.756747209</v>
      </c>
      <c r="F8" s="21">
        <f t="shared" si="2"/>
        <v>8.81</v>
      </c>
    </row>
    <row r="9" spans="1:6" x14ac:dyDescent="0.2">
      <c r="A9" s="19">
        <v>5</v>
      </c>
      <c r="B9" s="143" t="s">
        <v>4</v>
      </c>
      <c r="C9" s="144"/>
      <c r="D9" s="14">
        <f t="shared" si="0"/>
        <v>14144</v>
      </c>
      <c r="E9" s="17">
        <f t="shared" si="1"/>
        <v>347294.73415716121</v>
      </c>
      <c r="F9" s="21">
        <f t="shared" si="2"/>
        <v>24.55</v>
      </c>
    </row>
    <row r="10" spans="1:6" x14ac:dyDescent="0.2">
      <c r="A10" s="19">
        <v>6</v>
      </c>
      <c r="B10" s="143" t="s">
        <v>5</v>
      </c>
      <c r="C10" s="144"/>
      <c r="D10" s="14">
        <f t="shared" si="0"/>
        <v>49760</v>
      </c>
      <c r="E10" s="17">
        <f t="shared" si="1"/>
        <v>654184.44482892682</v>
      </c>
      <c r="F10" s="21">
        <f t="shared" si="2"/>
        <v>13.15</v>
      </c>
    </row>
    <row r="11" spans="1:6" x14ac:dyDescent="0.2">
      <c r="A11" s="19">
        <v>7</v>
      </c>
      <c r="B11" s="143" t="s">
        <v>6</v>
      </c>
      <c r="C11" s="144"/>
      <c r="D11" s="14">
        <f t="shared" si="0"/>
        <v>254880</v>
      </c>
      <c r="E11" s="17">
        <f t="shared" si="1"/>
        <v>1597259.1370176219</v>
      </c>
      <c r="F11" s="21">
        <f t="shared" si="2"/>
        <v>6.27</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284471</v>
      </c>
      <c r="E13" s="17">
        <f t="shared" si="1"/>
        <v>2687936.2498177178</v>
      </c>
      <c r="F13" s="21">
        <f t="shared" si="2"/>
        <v>9.4499999999999993</v>
      </c>
    </row>
    <row r="14" spans="1:6" x14ac:dyDescent="0.2">
      <c r="A14" s="19">
        <v>10</v>
      </c>
      <c r="B14" s="143" t="s">
        <v>9</v>
      </c>
      <c r="C14" s="144"/>
      <c r="D14" s="14">
        <f t="shared" si="0"/>
        <v>31328</v>
      </c>
      <c r="E14" s="17">
        <f t="shared" si="1"/>
        <v>569119.42475081631</v>
      </c>
      <c r="F14" s="21">
        <f t="shared" si="2"/>
        <v>18.170000000000002</v>
      </c>
    </row>
    <row r="15" spans="1:6" x14ac:dyDescent="0.2">
      <c r="A15" s="19">
        <v>11</v>
      </c>
      <c r="B15" s="143" t="s">
        <v>10</v>
      </c>
      <c r="C15" s="144"/>
      <c r="D15" s="14">
        <f t="shared" si="0"/>
        <v>284950</v>
      </c>
      <c r="E15" s="17">
        <f t="shared" si="1"/>
        <v>2505698.8113746522</v>
      </c>
      <c r="F15" s="21">
        <f t="shared" si="2"/>
        <v>8.7899999999999991</v>
      </c>
    </row>
    <row r="16" spans="1:6" x14ac:dyDescent="0.2">
      <c r="A16" s="19">
        <v>12</v>
      </c>
      <c r="B16" s="143" t="s">
        <v>11</v>
      </c>
      <c r="C16" s="144"/>
      <c r="D16" s="14">
        <f t="shared" si="0"/>
        <v>2830491</v>
      </c>
      <c r="E16" s="17">
        <f t="shared" si="1"/>
        <v>18061723.607200038</v>
      </c>
      <c r="F16" s="21">
        <f t="shared" si="2"/>
        <v>6.38</v>
      </c>
    </row>
    <row r="17" spans="1:6" x14ac:dyDescent="0.2">
      <c r="A17" s="19">
        <v>13</v>
      </c>
      <c r="B17" s="143" t="s">
        <v>12</v>
      </c>
      <c r="C17" s="144"/>
      <c r="D17" s="14">
        <f t="shared" si="0"/>
        <v>461118</v>
      </c>
      <c r="E17" s="17">
        <f t="shared" si="1"/>
        <v>3143211.6868694751</v>
      </c>
      <c r="F17" s="21">
        <f t="shared" si="2"/>
        <v>6.82</v>
      </c>
    </row>
    <row r="18" spans="1:6" x14ac:dyDescent="0.2">
      <c r="A18" s="19">
        <v>14</v>
      </c>
      <c r="B18" s="143" t="s">
        <v>464</v>
      </c>
      <c r="C18" s="144"/>
      <c r="D18" s="14">
        <f t="shared" si="0"/>
        <v>336088</v>
      </c>
      <c r="E18" s="17">
        <f t="shared" si="1"/>
        <v>3909626.057509332</v>
      </c>
      <c r="F18" s="21">
        <f t="shared" si="2"/>
        <v>11.63</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554059</v>
      </c>
      <c r="E20" s="17">
        <f t="shared" si="1"/>
        <v>3762470.2602787451</v>
      </c>
      <c r="F20" s="21">
        <f t="shared" si="2"/>
        <v>6.79</v>
      </c>
    </row>
    <row r="21" spans="1:6" x14ac:dyDescent="0.2">
      <c r="A21" s="19">
        <v>17</v>
      </c>
      <c r="B21" s="143" t="s">
        <v>15</v>
      </c>
      <c r="C21" s="144"/>
      <c r="D21" s="14">
        <f t="shared" si="0"/>
        <v>44832</v>
      </c>
      <c r="E21" s="17">
        <f t="shared" si="1"/>
        <v>456232.22071082087</v>
      </c>
      <c r="F21" s="21">
        <f t="shared" si="2"/>
        <v>10.18</v>
      </c>
    </row>
    <row r="22" spans="1:6" x14ac:dyDescent="0.2">
      <c r="A22" s="19">
        <v>18</v>
      </c>
      <c r="B22" s="143" t="s">
        <v>16</v>
      </c>
      <c r="C22" s="144"/>
      <c r="D22" s="14">
        <f t="shared" si="0"/>
        <v>282023</v>
      </c>
      <c r="E22" s="17">
        <f t="shared" si="1"/>
        <v>2230240.4112135936</v>
      </c>
      <c r="F22" s="21">
        <f t="shared" si="2"/>
        <v>7.91</v>
      </c>
    </row>
    <row r="23" spans="1:6" x14ac:dyDescent="0.2">
      <c r="A23" s="19">
        <v>19</v>
      </c>
      <c r="B23" s="143" t="s">
        <v>17</v>
      </c>
      <c r="C23" s="144"/>
      <c r="D23" s="14">
        <f t="shared" si="0"/>
        <v>2235380</v>
      </c>
      <c r="E23" s="17">
        <f t="shared" si="1"/>
        <v>14483882.229937427</v>
      </c>
      <c r="F23" s="21">
        <f t="shared" si="2"/>
        <v>6.48</v>
      </c>
    </row>
    <row r="24" spans="1:6" x14ac:dyDescent="0.2">
      <c r="A24" s="19">
        <v>20</v>
      </c>
      <c r="B24" s="143" t="s">
        <v>18</v>
      </c>
      <c r="C24" s="144"/>
      <c r="D24" s="14">
        <f t="shared" si="0"/>
        <v>203800</v>
      </c>
      <c r="E24" s="17">
        <f t="shared" si="1"/>
        <v>1837183.1321570594</v>
      </c>
      <c r="F24" s="21">
        <f t="shared" si="2"/>
        <v>9.01</v>
      </c>
    </row>
    <row r="25" spans="1:6" x14ac:dyDescent="0.2">
      <c r="A25" s="19">
        <v>21</v>
      </c>
      <c r="B25" s="143" t="s">
        <v>461</v>
      </c>
      <c r="C25" s="144"/>
      <c r="D25" s="14">
        <f t="shared" si="0"/>
        <v>57984</v>
      </c>
      <c r="E25" s="17">
        <f t="shared" si="1"/>
        <v>513326.00066238933</v>
      </c>
      <c r="F25" s="21">
        <f t="shared" si="2"/>
        <v>8.85</v>
      </c>
    </row>
    <row r="26" spans="1:6" x14ac:dyDescent="0.2">
      <c r="A26" s="19">
        <v>22</v>
      </c>
      <c r="B26" s="143" t="s">
        <v>19</v>
      </c>
      <c r="C26" s="144"/>
      <c r="D26" s="14">
        <f t="shared" si="0"/>
        <v>199537</v>
      </c>
      <c r="E26" s="17">
        <f t="shared" si="1"/>
        <v>1442512.8985094368</v>
      </c>
      <c r="F26" s="21">
        <f t="shared" si="2"/>
        <v>7.23</v>
      </c>
    </row>
    <row r="27" spans="1:6" x14ac:dyDescent="0.2">
      <c r="A27" s="19">
        <v>23</v>
      </c>
      <c r="B27" s="143" t="s">
        <v>20</v>
      </c>
      <c r="C27" s="144"/>
      <c r="D27" s="14">
        <f t="shared" si="0"/>
        <v>339792</v>
      </c>
      <c r="E27" s="17">
        <f t="shared" si="1"/>
        <v>2595340.3623253759</v>
      </c>
      <c r="F27" s="21">
        <f t="shared" si="2"/>
        <v>7.64</v>
      </c>
    </row>
    <row r="28" spans="1:6" x14ac:dyDescent="0.2">
      <c r="A28" s="19">
        <v>24</v>
      </c>
      <c r="B28" s="143" t="s">
        <v>21</v>
      </c>
      <c r="C28" s="144"/>
      <c r="D28" s="14">
        <f t="shared" si="0"/>
        <v>347296</v>
      </c>
      <c r="E28" s="17">
        <f t="shared" si="1"/>
        <v>2099082.6126870373</v>
      </c>
      <c r="F28" s="21">
        <f t="shared" si="2"/>
        <v>6.04</v>
      </c>
    </row>
    <row r="29" spans="1:6" x14ac:dyDescent="0.2">
      <c r="A29" s="19">
        <v>25</v>
      </c>
      <c r="B29" s="143" t="s">
        <v>22</v>
      </c>
      <c r="C29" s="144"/>
      <c r="D29" s="14">
        <f t="shared" si="0"/>
        <v>2280640</v>
      </c>
      <c r="E29" s="17">
        <f t="shared" si="1"/>
        <v>16961781.265567597</v>
      </c>
      <c r="F29" s="21">
        <f t="shared" si="2"/>
        <v>7.44</v>
      </c>
    </row>
    <row r="30" spans="1:6" x14ac:dyDescent="0.2">
      <c r="A30" s="19">
        <v>26</v>
      </c>
      <c r="B30" s="143" t="s">
        <v>23</v>
      </c>
      <c r="C30" s="144"/>
      <c r="D30" s="14">
        <f t="shared" si="0"/>
        <v>605872</v>
      </c>
      <c r="E30" s="17">
        <f t="shared" si="1"/>
        <v>5596884.9177932385</v>
      </c>
      <c r="F30" s="21">
        <f t="shared" si="2"/>
        <v>9.24</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C33" s="13" t="s">
        <v>35</v>
      </c>
      <c r="D33" s="61">
        <f>SUM(D5:D32)</f>
        <v>14785954</v>
      </c>
      <c r="E33" s="4">
        <f>SUM(E5:E32)</f>
        <v>110171960.000001</v>
      </c>
      <c r="F33" s="32">
        <f t="shared" si="2"/>
        <v>7.45</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IF(F3="1",SUMIF(Data!A:A,$A$2,Data!CU:CU),0)</f>
        <v>22080</v>
      </c>
      <c r="E36" s="15">
        <f>IF(F3="1",SUMIF(Data!$A:$A,$A$2,Data!IO:IO),0)</f>
        <v>2068</v>
      </c>
      <c r="F36" s="20">
        <f t="shared" ref="F36:F64" si="3">IF(OR(D36=0,E36=0),"",ROUND(E36/D36,2))</f>
        <v>0.09</v>
      </c>
    </row>
    <row r="37" spans="1:6" x14ac:dyDescent="0.2">
      <c r="A37" s="19">
        <v>2</v>
      </c>
      <c r="B37" s="143" t="s">
        <v>1</v>
      </c>
      <c r="C37" s="144"/>
      <c r="D37" s="14">
        <f>IF(F3="1",SUMIF(Data!A:A,$A$2,Data!CV:CV),0)</f>
        <v>177333</v>
      </c>
      <c r="E37" s="17">
        <f>IF(F3="1",SUMIF(Data!$A:$A,$A$2,Data!IP:IP),0)</f>
        <v>106314</v>
      </c>
      <c r="F37" s="21">
        <f t="shared" si="3"/>
        <v>0.6</v>
      </c>
    </row>
    <row r="38" spans="1:6" x14ac:dyDescent="0.2">
      <c r="A38" s="19">
        <v>3</v>
      </c>
      <c r="B38" s="143" t="s">
        <v>2</v>
      </c>
      <c r="C38" s="144"/>
      <c r="D38" s="14">
        <f>IF(F3="1",SUMIF(Data!A:A,$A$2,Data!CW:CW),0)</f>
        <v>1476192</v>
      </c>
      <c r="E38" s="17">
        <f>IF($F$3="1",SUMIF(Data!$A:$A,$A$2,Data!IQ:IQ),0)</f>
        <v>731542</v>
      </c>
      <c r="F38" s="21">
        <f t="shared" si="3"/>
        <v>0.5</v>
      </c>
    </row>
    <row r="39" spans="1:6" x14ac:dyDescent="0.2">
      <c r="A39" s="19">
        <v>4</v>
      </c>
      <c r="B39" s="143" t="s">
        <v>3</v>
      </c>
      <c r="C39" s="144"/>
      <c r="D39" s="14">
        <f>IF(F3="1",SUMIF(Data!A:A,$A$2,Data!CX:CX),0)</f>
        <v>1411904</v>
      </c>
      <c r="E39" s="17">
        <f>IF($F$3="1",SUMIF(Data!$A:$A,$A$2,Data!IR:IR),0)</f>
        <v>1482154</v>
      </c>
      <c r="F39" s="21">
        <f t="shared" si="3"/>
        <v>1.05</v>
      </c>
    </row>
    <row r="40" spans="1:6" x14ac:dyDescent="0.2">
      <c r="A40" s="19">
        <v>5</v>
      </c>
      <c r="B40" s="143" t="s">
        <v>4</v>
      </c>
      <c r="C40" s="144"/>
      <c r="D40" s="14">
        <f>IF(F3="1",SUMIF(Data!A:A,$A$2,Data!CY:CY),0)</f>
        <v>14144</v>
      </c>
      <c r="E40" s="17">
        <f>IF($F$3="1",SUMIF(Data!$A:$A,$A$2,Data!IS:IS),0)</f>
        <v>212915</v>
      </c>
      <c r="F40" s="21">
        <f t="shared" si="3"/>
        <v>15.05</v>
      </c>
    </row>
    <row r="41" spans="1:6" x14ac:dyDescent="0.2">
      <c r="A41" s="19">
        <v>6</v>
      </c>
      <c r="B41" s="143" t="s">
        <v>5</v>
      </c>
      <c r="C41" s="144"/>
      <c r="D41" s="14">
        <f>IF(F3="1",SUMIF(Data!A:A,$A$2,Data!CZ:CZ),0)</f>
        <v>49760</v>
      </c>
      <c r="E41" s="17">
        <f>IF($F$3="1",SUMIF(Data!$A:$A,$A$2,Data!IT:IT),0)</f>
        <v>149324</v>
      </c>
      <c r="F41" s="21">
        <f t="shared" si="3"/>
        <v>3</v>
      </c>
    </row>
    <row r="42" spans="1:6" x14ac:dyDescent="0.2">
      <c r="A42" s="19">
        <v>7</v>
      </c>
      <c r="B42" s="143" t="s">
        <v>6</v>
      </c>
      <c r="C42" s="144"/>
      <c r="D42" s="14">
        <f>IF(F3="1",SUMIF(Data!A:A,$A$2,Data!DA:DA),0)</f>
        <v>254880</v>
      </c>
      <c r="E42" s="17">
        <f>IF($F$3="1",SUMIF(Data!$A:$A,$A$2,Data!IU:IU),0)</f>
        <v>215077</v>
      </c>
      <c r="F42" s="21">
        <f t="shared" si="3"/>
        <v>0.84</v>
      </c>
    </row>
    <row r="43" spans="1:6" x14ac:dyDescent="0.2">
      <c r="A43" s="19">
        <v>8</v>
      </c>
      <c r="B43" s="143" t="s">
        <v>7</v>
      </c>
      <c r="C43" s="144"/>
      <c r="D43" s="14">
        <f>IF(F3="1",SUMIF(Data!A:A,$A$2,Data!DB:DB),0)</f>
        <v>0</v>
      </c>
      <c r="E43" s="17">
        <f>IF($F$3="1",SUMIF(Data!$A:$A,$A$2,Data!IV:IV),0)</f>
        <v>0</v>
      </c>
      <c r="F43" s="21" t="str">
        <f t="shared" si="3"/>
        <v/>
      </c>
    </row>
    <row r="44" spans="1:6" x14ac:dyDescent="0.2">
      <c r="A44" s="19">
        <v>9</v>
      </c>
      <c r="B44" s="143" t="s">
        <v>8</v>
      </c>
      <c r="C44" s="144"/>
      <c r="D44" s="14">
        <f>IF(F3="1",SUMIF(Data!A:A,$A$2,Data!DC:DC),0)</f>
        <v>284471</v>
      </c>
      <c r="E44" s="17">
        <f>IF($F$3="1",SUMIF(Data!$A:$A,$A$2,Data!IW:IW),0)</f>
        <v>399941</v>
      </c>
      <c r="F44" s="21">
        <f t="shared" si="3"/>
        <v>1.41</v>
      </c>
    </row>
    <row r="45" spans="1:6" x14ac:dyDescent="0.2">
      <c r="A45" s="19">
        <v>10</v>
      </c>
      <c r="B45" s="143" t="s">
        <v>9</v>
      </c>
      <c r="C45" s="144"/>
      <c r="D45" s="14">
        <f>IF(F3="1",SUMIF(Data!A:A,$A$2,Data!DD:DD),0)</f>
        <v>31328</v>
      </c>
      <c r="E45" s="17">
        <f>IF($F$3="1",SUMIF(Data!$A:$A,$A$2,Data!IX:IX),0)</f>
        <v>320060</v>
      </c>
      <c r="F45" s="21">
        <f t="shared" si="3"/>
        <v>10.220000000000001</v>
      </c>
    </row>
    <row r="46" spans="1:6" x14ac:dyDescent="0.2">
      <c r="A46" s="19">
        <v>11</v>
      </c>
      <c r="B46" s="143" t="s">
        <v>10</v>
      </c>
      <c r="C46" s="144"/>
      <c r="D46" s="14">
        <f>IF(F3="1",SUMIF(Data!A:A,$A$2,Data!DE:DE),0)</f>
        <v>284950</v>
      </c>
      <c r="E46" s="17">
        <f>IF($F$3="1",SUMIF(Data!$A:$A,$A$2,Data!IY:IY),0)</f>
        <v>197391</v>
      </c>
      <c r="F46" s="21">
        <f t="shared" si="3"/>
        <v>0.69</v>
      </c>
    </row>
    <row r="47" spans="1:6" x14ac:dyDescent="0.2">
      <c r="A47" s="19">
        <v>12</v>
      </c>
      <c r="B47" s="143" t="s">
        <v>11</v>
      </c>
      <c r="C47" s="144"/>
      <c r="D47" s="14">
        <f>IF(F3="1",SUMIF(Data!A:A,$A$2,Data!DF:DF),0)</f>
        <v>2830491</v>
      </c>
      <c r="E47" s="17">
        <f>IF($F$3="1",SUMIF(Data!$A:$A,$A$2,Data!IZ:IZ),0)</f>
        <v>972106</v>
      </c>
      <c r="F47" s="21">
        <f t="shared" si="3"/>
        <v>0.34</v>
      </c>
    </row>
    <row r="48" spans="1:6" x14ac:dyDescent="0.2">
      <c r="A48" s="19">
        <v>13</v>
      </c>
      <c r="B48" s="143" t="s">
        <v>12</v>
      </c>
      <c r="C48" s="144"/>
      <c r="D48" s="14">
        <f>IF(F3="1",SUMIF(Data!A:A,$A$2,Data!DG:DG),0)</f>
        <v>461118</v>
      </c>
      <c r="E48" s="17">
        <f>IF($F$3="1",SUMIF(Data!$A:$A,$A$2,Data!JA:JA),0)</f>
        <v>133442</v>
      </c>
      <c r="F48" s="21">
        <f t="shared" si="3"/>
        <v>0.28999999999999998</v>
      </c>
    </row>
    <row r="49" spans="1:14" x14ac:dyDescent="0.2">
      <c r="A49" s="19">
        <v>14</v>
      </c>
      <c r="B49" s="143" t="s">
        <v>464</v>
      </c>
      <c r="C49" s="144"/>
      <c r="D49" s="14">
        <f>IF(F3="1",SUMIF(Data!A:A,$A$2,Data!DH:DH),0)</f>
        <v>336088</v>
      </c>
      <c r="E49" s="17">
        <f>IF($F$3="1",SUMIF(Data!$A:$A,$A$2,Data!JB:JB),0)</f>
        <v>195690</v>
      </c>
      <c r="F49" s="21">
        <f t="shared" si="3"/>
        <v>0.57999999999999996</v>
      </c>
    </row>
    <row r="50" spans="1:14" x14ac:dyDescent="0.2">
      <c r="A50" s="19">
        <v>15</v>
      </c>
      <c r="B50" s="143" t="s">
        <v>13</v>
      </c>
      <c r="C50" s="144"/>
      <c r="D50" s="14">
        <f>IF(F3="1",SUMIF(Data!A:A,$A$2,Data!DI:DI),0)</f>
        <v>0</v>
      </c>
      <c r="E50" s="17">
        <f>IF($F$3="1",SUMIF(Data!$A:$A,$A$2,Data!JC:JC),0)</f>
        <v>0</v>
      </c>
      <c r="F50" s="21" t="str">
        <f t="shared" si="3"/>
        <v/>
      </c>
    </row>
    <row r="51" spans="1:14" x14ac:dyDescent="0.2">
      <c r="A51" s="19">
        <v>16</v>
      </c>
      <c r="B51" s="143" t="s">
        <v>14</v>
      </c>
      <c r="C51" s="144"/>
      <c r="D51" s="14">
        <f>IF(F3="1",SUMIF(Data!A:A,$A$2,Data!DJ:DJ),0)</f>
        <v>554059</v>
      </c>
      <c r="E51" s="17">
        <f>IF($F$3="1",SUMIF(Data!$A:$A,$A$2,Data!JD:JD),0)</f>
        <v>213060</v>
      </c>
      <c r="F51" s="21">
        <f t="shared" si="3"/>
        <v>0.38</v>
      </c>
    </row>
    <row r="52" spans="1:14" x14ac:dyDescent="0.2">
      <c r="A52" s="19">
        <v>17</v>
      </c>
      <c r="B52" s="143" t="s">
        <v>15</v>
      </c>
      <c r="C52" s="144"/>
      <c r="D52" s="14">
        <f>IF(F3="1",SUMIF(Data!A:A,$A$2,Data!DK:DK),0)</f>
        <v>44832</v>
      </c>
      <c r="E52" s="17">
        <f>IF($F$3="1",SUMIF(Data!$A:$A,$A$2,Data!JE:JE),0)</f>
        <v>12598</v>
      </c>
      <c r="F52" s="21">
        <f t="shared" si="3"/>
        <v>0.28000000000000003</v>
      </c>
    </row>
    <row r="53" spans="1:14" x14ac:dyDescent="0.2">
      <c r="A53" s="19">
        <v>18</v>
      </c>
      <c r="B53" s="143" t="s">
        <v>16</v>
      </c>
      <c r="C53" s="144"/>
      <c r="D53" s="14">
        <f>IF(F3="1",SUMIF(Data!A:A,$A$2,Data!DL:DL),0)</f>
        <v>282023</v>
      </c>
      <c r="E53" s="17">
        <f>IF($F$3="1",SUMIF(Data!$A:$A,$A$2,Data!JF:JF),0)</f>
        <v>143716</v>
      </c>
      <c r="F53" s="21">
        <f t="shared" si="3"/>
        <v>0.51</v>
      </c>
    </row>
    <row r="54" spans="1:14" x14ac:dyDescent="0.2">
      <c r="A54" s="19">
        <v>19</v>
      </c>
      <c r="B54" s="143" t="s">
        <v>17</v>
      </c>
      <c r="C54" s="144"/>
      <c r="D54" s="14">
        <f>IF(F3="1",SUMIF(Data!A:A,$A$2,Data!DM:DM),0)</f>
        <v>2235380</v>
      </c>
      <c r="E54" s="17">
        <f>IF($F$3="1",SUMIF(Data!$A:$A,$A$2,Data!JG:JG),0)</f>
        <v>551230</v>
      </c>
      <c r="F54" s="21">
        <f t="shared" si="3"/>
        <v>0.25</v>
      </c>
    </row>
    <row r="55" spans="1:14" x14ac:dyDescent="0.2">
      <c r="A55" s="19">
        <v>20</v>
      </c>
      <c r="B55" s="143" t="s">
        <v>18</v>
      </c>
      <c r="C55" s="144"/>
      <c r="D55" s="14">
        <f>IF(F3="1",SUMIF(Data!A:A,$A$2,Data!DN:DN),0)</f>
        <v>203800</v>
      </c>
      <c r="E55" s="17">
        <f>IF($F$3="1",SUMIF(Data!$A:$A,$A$2,Data!JH:JH),0)</f>
        <v>444592</v>
      </c>
      <c r="F55" s="21">
        <f t="shared" si="3"/>
        <v>2.1800000000000002</v>
      </c>
    </row>
    <row r="56" spans="1:14" ht="14.25" customHeight="1" x14ac:dyDescent="0.2">
      <c r="A56" s="19">
        <v>21</v>
      </c>
      <c r="B56" s="143" t="s">
        <v>461</v>
      </c>
      <c r="C56" s="144"/>
      <c r="D56" s="14">
        <f>IF(F3="1",SUMIF(Data!A:A,$A$2,Data!DO:DO),0)</f>
        <v>57984</v>
      </c>
      <c r="E56" s="17">
        <f>IF($F$3="1",SUMIF(Data!$A:$A,$A$2,Data!JI:JI),0)</f>
        <v>35563</v>
      </c>
      <c r="F56" s="21">
        <f t="shared" si="3"/>
        <v>0.61</v>
      </c>
    </row>
    <row r="57" spans="1:14" x14ac:dyDescent="0.2">
      <c r="A57" s="19">
        <v>22</v>
      </c>
      <c r="B57" s="143" t="s">
        <v>19</v>
      </c>
      <c r="C57" s="144"/>
      <c r="D57" s="14">
        <f>IF(F3="1",SUMIF(Data!A:A,$A$2,Data!DP:DP),0)</f>
        <v>199537</v>
      </c>
      <c r="E57" s="17">
        <f>IF($F$3="1",SUMIF(Data!$A:$A,$A$2,Data!JJ:JJ),0)</f>
        <v>155886</v>
      </c>
      <c r="F57" s="21">
        <f t="shared" si="3"/>
        <v>0.78</v>
      </c>
    </row>
    <row r="58" spans="1:14" x14ac:dyDescent="0.2">
      <c r="A58" s="19">
        <v>23</v>
      </c>
      <c r="B58" s="143" t="s">
        <v>20</v>
      </c>
      <c r="C58" s="144"/>
      <c r="D58" s="14">
        <f>IF(F3="1",SUMIF(Data!A:A,$A$2,Data!DQ:DQ),0)</f>
        <v>339792</v>
      </c>
      <c r="E58" s="17">
        <f>IF($F$3="1",SUMIF(Data!$A:$A,$A$2,Data!JK:JK),0)</f>
        <v>134806</v>
      </c>
      <c r="F58" s="21">
        <f t="shared" si="3"/>
        <v>0.4</v>
      </c>
      <c r="K58" s="61"/>
      <c r="L58" s="61"/>
      <c r="M58" s="61"/>
      <c r="N58" s="61"/>
    </row>
    <row r="59" spans="1:14" x14ac:dyDescent="0.2">
      <c r="A59" s="19">
        <v>24</v>
      </c>
      <c r="B59" s="143" t="s">
        <v>21</v>
      </c>
      <c r="C59" s="144"/>
      <c r="D59" s="14">
        <f>IF(F3="1",SUMIF(Data!A:A,$A$2,Data!DR:DR),0)</f>
        <v>347296</v>
      </c>
      <c r="E59" s="17">
        <f>IF($F$3="1",SUMIF(Data!$A:$A,$A$2,Data!JL:JL),0)</f>
        <v>79738</v>
      </c>
      <c r="F59" s="21">
        <f t="shared" si="3"/>
        <v>0.23</v>
      </c>
    </row>
    <row r="60" spans="1:14" x14ac:dyDescent="0.2">
      <c r="A60" s="19">
        <v>25</v>
      </c>
      <c r="B60" s="143" t="s">
        <v>22</v>
      </c>
      <c r="C60" s="144"/>
      <c r="D60" s="14">
        <f>IF(F3="1",SUMIF(Data!A:A,$A$2,Data!DS:DS),0)</f>
        <v>2280640</v>
      </c>
      <c r="E60" s="17">
        <f>IF($F$3="1",SUMIF(Data!$A:$A,$A$2,Data!JM:JM),0)</f>
        <v>662866</v>
      </c>
      <c r="F60" s="21">
        <f t="shared" si="3"/>
        <v>0.28999999999999998</v>
      </c>
    </row>
    <row r="61" spans="1:14" x14ac:dyDescent="0.2">
      <c r="A61" s="19">
        <v>26</v>
      </c>
      <c r="B61" s="143" t="s">
        <v>23</v>
      </c>
      <c r="C61" s="144"/>
      <c r="D61" s="14">
        <f>IF(F3="1",SUMIF(Data!A:A,$A$2,Data!DT:DT),0)</f>
        <v>605872</v>
      </c>
      <c r="E61" s="17">
        <f>IF($F$3="1",SUMIF(Data!$A:$A,$A$2,Data!JN:JN),0)</f>
        <v>571539</v>
      </c>
      <c r="F61" s="21">
        <f t="shared" si="3"/>
        <v>0.94</v>
      </c>
    </row>
    <row r="62" spans="1:14" x14ac:dyDescent="0.2">
      <c r="A62" s="19">
        <v>28</v>
      </c>
      <c r="B62" s="143" t="s">
        <v>24</v>
      </c>
      <c r="C62" s="144"/>
      <c r="D62" s="14">
        <f>IF(F3="1",SUMIF(Data!A:A,$A$2,Data!DV:DV),0)</f>
        <v>0</v>
      </c>
      <c r="E62" s="17">
        <f>IF($F$3="1",SUMIF(Data!$A:$A,$A$2,Data!JP:JP),0)</f>
        <v>0</v>
      </c>
      <c r="F62" s="21" t="str">
        <f t="shared" si="3"/>
        <v/>
      </c>
    </row>
    <row r="63" spans="1:14" ht="15.75" customHeight="1" thickBot="1" x14ac:dyDescent="0.25">
      <c r="A63" s="22">
        <v>29</v>
      </c>
      <c r="B63" s="147" t="s">
        <v>25</v>
      </c>
      <c r="C63" s="148"/>
      <c r="D63" s="23">
        <f>IF(F3="1",SUMIF(Data!A:A,$A$2,Data!DW:DW),0)</f>
        <v>0</v>
      </c>
      <c r="E63" s="24">
        <f>IF($F$3="1",SUMIF(Data!$A:$A,$A$2,Data!JQ:JQ),0)</f>
        <v>0</v>
      </c>
      <c r="F63" s="25" t="str">
        <f t="shared" si="3"/>
        <v/>
      </c>
    </row>
    <row r="64" spans="1:14" x14ac:dyDescent="0.2">
      <c r="C64" s="13" t="s">
        <v>35</v>
      </c>
      <c r="D64" s="61">
        <f>SUM(D36:D63)</f>
        <v>14785954</v>
      </c>
      <c r="E64" s="4">
        <f>SUM(E36:E63)</f>
        <v>8123618</v>
      </c>
      <c r="F64" s="32">
        <f t="shared" si="3"/>
        <v>0.55000000000000004</v>
      </c>
      <c r="G64" s="60"/>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22080</v>
      </c>
      <c r="E67" s="15">
        <f>IF(F3="1",SUMIF(Data!A:A,$A$2,Data!DY:DY),0)</f>
        <v>57648</v>
      </c>
      <c r="F67" s="20">
        <f>IF(OR(D67=0,E67=0),"",ROUND(E67/D67,2))</f>
        <v>2.61</v>
      </c>
    </row>
    <row r="68" spans="1:6" x14ac:dyDescent="0.2">
      <c r="A68" s="19">
        <v>2</v>
      </c>
      <c r="B68" s="143" t="s">
        <v>1</v>
      </c>
      <c r="C68" s="144"/>
      <c r="D68" s="14">
        <f t="shared" ref="D68:D94" si="4">D37</f>
        <v>177333</v>
      </c>
      <c r="E68" s="17">
        <f>IF(F3="1",SUMIF(Data!A:A,$A$2,Data!DZ:DZ),0)</f>
        <v>831553</v>
      </c>
      <c r="F68" s="21">
        <f t="shared" ref="F68:F94" si="5">IF(OR(D68=0,E68=0),"",ROUND(E68/D68,2))</f>
        <v>4.6900000000000004</v>
      </c>
    </row>
    <row r="69" spans="1:6" x14ac:dyDescent="0.2">
      <c r="A69" s="19">
        <v>3</v>
      </c>
      <c r="B69" s="143" t="s">
        <v>2</v>
      </c>
      <c r="C69" s="144"/>
      <c r="D69" s="14">
        <f t="shared" si="4"/>
        <v>1476192</v>
      </c>
      <c r="E69" s="17">
        <f>IF(F3="1",SUMIF(Data!A:A,$A$2,Data!EA:EA),0)</f>
        <v>4441668</v>
      </c>
      <c r="F69" s="21">
        <f t="shared" si="5"/>
        <v>3.01</v>
      </c>
    </row>
    <row r="70" spans="1:6" x14ac:dyDescent="0.2">
      <c r="A70" s="19">
        <v>4</v>
      </c>
      <c r="B70" s="143" t="s">
        <v>3</v>
      </c>
      <c r="C70" s="144"/>
      <c r="D70" s="14">
        <f t="shared" si="4"/>
        <v>1411904</v>
      </c>
      <c r="E70" s="17">
        <f>IF(F3="1",SUMIF(Data!A:A,$A$2,Data!EB:EB),0)</f>
        <v>5819034</v>
      </c>
      <c r="F70" s="21">
        <f t="shared" si="5"/>
        <v>4.12</v>
      </c>
    </row>
    <row r="71" spans="1:6" x14ac:dyDescent="0.2">
      <c r="A71" s="19">
        <v>5</v>
      </c>
      <c r="B71" s="143" t="s">
        <v>4</v>
      </c>
      <c r="C71" s="144"/>
      <c r="D71" s="14">
        <f t="shared" si="4"/>
        <v>14144</v>
      </c>
      <c r="E71" s="17">
        <f>IF(F3="1",SUMIF(Data!A:A,$A$2,Data!EC:EC),0)</f>
        <v>82866</v>
      </c>
      <c r="F71" s="21">
        <f t="shared" si="5"/>
        <v>5.86</v>
      </c>
    </row>
    <row r="72" spans="1:6" x14ac:dyDescent="0.2">
      <c r="A72" s="19">
        <v>6</v>
      </c>
      <c r="B72" s="143" t="s">
        <v>5</v>
      </c>
      <c r="C72" s="144"/>
      <c r="D72" s="14">
        <f t="shared" si="4"/>
        <v>49760</v>
      </c>
      <c r="E72" s="17">
        <f>IF(F3="1",SUMIF(Data!A:A,$A$2,Data!ED:ED),0)</f>
        <v>323630</v>
      </c>
      <c r="F72" s="21">
        <f t="shared" si="5"/>
        <v>6.5</v>
      </c>
    </row>
    <row r="73" spans="1:6" x14ac:dyDescent="0.2">
      <c r="A73" s="19">
        <v>7</v>
      </c>
      <c r="B73" s="143" t="s">
        <v>6</v>
      </c>
      <c r="C73" s="144"/>
      <c r="D73" s="14">
        <f t="shared" si="4"/>
        <v>254880</v>
      </c>
      <c r="E73" s="17">
        <f>IF(F3="1",SUMIF(Data!A:A,$A$2,Data!EE:EE),0)</f>
        <v>453886</v>
      </c>
      <c r="F73" s="21">
        <f t="shared" si="5"/>
        <v>1.78</v>
      </c>
    </row>
    <row r="74" spans="1:6" x14ac:dyDescent="0.2">
      <c r="A74" s="19">
        <v>8</v>
      </c>
      <c r="B74" s="143" t="s">
        <v>7</v>
      </c>
      <c r="C74" s="144"/>
      <c r="D74" s="14">
        <f t="shared" si="4"/>
        <v>0</v>
      </c>
      <c r="E74" s="17">
        <f>IF(F3="1",SUMIF(Data!A:A,$A$2,Data!EF:EF),0)</f>
        <v>0</v>
      </c>
      <c r="F74" s="21" t="str">
        <f t="shared" si="5"/>
        <v/>
      </c>
    </row>
    <row r="75" spans="1:6" x14ac:dyDescent="0.2">
      <c r="A75" s="19">
        <v>9</v>
      </c>
      <c r="B75" s="143" t="s">
        <v>8</v>
      </c>
      <c r="C75" s="144"/>
      <c r="D75" s="14">
        <f t="shared" si="4"/>
        <v>284471</v>
      </c>
      <c r="E75" s="17">
        <f>IF(F3="1",SUMIF(Data!A:A,$A$2,Data!EG:EG),0)</f>
        <v>1251926</v>
      </c>
      <c r="F75" s="21">
        <f t="shared" si="5"/>
        <v>4.4000000000000004</v>
      </c>
    </row>
    <row r="76" spans="1:6" x14ac:dyDescent="0.2">
      <c r="A76" s="19">
        <v>10</v>
      </c>
      <c r="B76" s="143" t="s">
        <v>9</v>
      </c>
      <c r="C76" s="144"/>
      <c r="D76" s="14">
        <f t="shared" si="4"/>
        <v>31328</v>
      </c>
      <c r="E76" s="17">
        <f>IF(F3="1",SUMIF(Data!A:A,$A$2,Data!EH:EH),0)</f>
        <v>134960</v>
      </c>
      <c r="F76" s="21">
        <f t="shared" si="5"/>
        <v>4.3099999999999996</v>
      </c>
    </row>
    <row r="77" spans="1:6" x14ac:dyDescent="0.2">
      <c r="A77" s="19">
        <v>11</v>
      </c>
      <c r="B77" s="143" t="s">
        <v>10</v>
      </c>
      <c r="C77" s="144"/>
      <c r="D77" s="14">
        <f t="shared" si="4"/>
        <v>284950</v>
      </c>
      <c r="E77" s="17">
        <f>IF(F3="1",SUMIF(Data!A:A,$A$2,Data!EI:EI),0)</f>
        <v>1270494</v>
      </c>
      <c r="F77" s="21">
        <f t="shared" si="5"/>
        <v>4.46</v>
      </c>
    </row>
    <row r="78" spans="1:6" x14ac:dyDescent="0.2">
      <c r="A78" s="19">
        <v>12</v>
      </c>
      <c r="B78" s="143" t="s">
        <v>11</v>
      </c>
      <c r="C78" s="144"/>
      <c r="D78" s="14">
        <f t="shared" si="4"/>
        <v>2830491</v>
      </c>
      <c r="E78" s="17">
        <f>IF(F3="1",SUMIF(Data!A:A,$A$2,Data!EJ:EJ),0)</f>
        <v>6780712</v>
      </c>
      <c r="F78" s="21">
        <f t="shared" si="5"/>
        <v>2.4</v>
      </c>
    </row>
    <row r="79" spans="1:6" x14ac:dyDescent="0.2">
      <c r="A79" s="19">
        <v>13</v>
      </c>
      <c r="B79" s="143" t="s">
        <v>12</v>
      </c>
      <c r="C79" s="144"/>
      <c r="D79" s="14">
        <f t="shared" si="4"/>
        <v>461118</v>
      </c>
      <c r="E79" s="17">
        <f>IF(F3="1",SUMIF(Data!A:A,$A$2,Data!EK:EK),0)</f>
        <v>1330336</v>
      </c>
      <c r="F79" s="21">
        <f t="shared" si="5"/>
        <v>2.89</v>
      </c>
    </row>
    <row r="80" spans="1:6" x14ac:dyDescent="0.2">
      <c r="A80" s="19">
        <v>14</v>
      </c>
      <c r="B80" s="143" t="s">
        <v>464</v>
      </c>
      <c r="C80" s="144"/>
      <c r="D80" s="14">
        <f t="shared" si="4"/>
        <v>336088</v>
      </c>
      <c r="E80" s="17">
        <f>IF(F3="1",SUMIF(Data!A:A,$A$2,Data!EL:EL),0)</f>
        <v>2489873</v>
      </c>
      <c r="F80" s="21">
        <f t="shared" si="5"/>
        <v>7.41</v>
      </c>
    </row>
    <row r="81" spans="1:6" x14ac:dyDescent="0.2">
      <c r="A81" s="19">
        <v>15</v>
      </c>
      <c r="B81" s="143" t="s">
        <v>13</v>
      </c>
      <c r="C81" s="144"/>
      <c r="D81" s="14">
        <f t="shared" si="4"/>
        <v>0</v>
      </c>
      <c r="E81" s="17">
        <f>IF(F3="1",SUMIF(Data!A:A,$A$2,Data!EM:EM),0)</f>
        <v>0</v>
      </c>
      <c r="F81" s="21" t="str">
        <f t="shared" si="5"/>
        <v/>
      </c>
    </row>
    <row r="82" spans="1:6" x14ac:dyDescent="0.2">
      <c r="A82" s="19">
        <v>16</v>
      </c>
      <c r="B82" s="143" t="s">
        <v>14</v>
      </c>
      <c r="C82" s="144"/>
      <c r="D82" s="14">
        <f t="shared" si="4"/>
        <v>554059</v>
      </c>
      <c r="E82" s="17">
        <f>IF(F3="1",SUMIF(Data!A:A,$A$2,Data!EN:EN),0)</f>
        <v>1531477</v>
      </c>
      <c r="F82" s="21">
        <f t="shared" si="5"/>
        <v>2.76</v>
      </c>
    </row>
    <row r="83" spans="1:6" x14ac:dyDescent="0.2">
      <c r="A83" s="19">
        <v>17</v>
      </c>
      <c r="B83" s="143" t="s">
        <v>15</v>
      </c>
      <c r="C83" s="144"/>
      <c r="D83" s="14">
        <f t="shared" si="4"/>
        <v>44832</v>
      </c>
      <c r="E83" s="17">
        <f>IF(F3="1",SUMIF(Data!A:A,$A$2,Data!EO:EO),0)</f>
        <v>280352</v>
      </c>
      <c r="F83" s="21">
        <f t="shared" si="5"/>
        <v>6.25</v>
      </c>
    </row>
    <row r="84" spans="1:6" x14ac:dyDescent="0.2">
      <c r="A84" s="19">
        <v>18</v>
      </c>
      <c r="B84" s="143" t="s">
        <v>16</v>
      </c>
      <c r="C84" s="144"/>
      <c r="D84" s="14">
        <f t="shared" si="4"/>
        <v>282023</v>
      </c>
      <c r="E84" s="17">
        <f>IF(F3="1",SUMIF(Data!A:A,$A$2,Data!EP:EP),0)</f>
        <v>1059371</v>
      </c>
      <c r="F84" s="21">
        <f t="shared" si="5"/>
        <v>3.76</v>
      </c>
    </row>
    <row r="85" spans="1:6" x14ac:dyDescent="0.2">
      <c r="A85" s="19">
        <v>19</v>
      </c>
      <c r="B85" s="143" t="s">
        <v>17</v>
      </c>
      <c r="C85" s="144"/>
      <c r="D85" s="14">
        <f t="shared" si="4"/>
        <v>2235380</v>
      </c>
      <c r="E85" s="17">
        <f>IF(F3="1",SUMIF(Data!A:A,$A$2,Data!EQ:EQ),0)</f>
        <v>5791195</v>
      </c>
      <c r="F85" s="21">
        <f t="shared" si="5"/>
        <v>2.59</v>
      </c>
    </row>
    <row r="86" spans="1:6" x14ac:dyDescent="0.2">
      <c r="A86" s="19">
        <v>20</v>
      </c>
      <c r="B86" s="143" t="s">
        <v>18</v>
      </c>
      <c r="C86" s="144"/>
      <c r="D86" s="14">
        <f t="shared" si="4"/>
        <v>203800</v>
      </c>
      <c r="E86" s="17">
        <f>IF(F3="1",SUMIF(Data!A:A,$A$2,Data!ER:ER),0)</f>
        <v>650333</v>
      </c>
      <c r="F86" s="21">
        <f t="shared" si="5"/>
        <v>3.19</v>
      </c>
    </row>
    <row r="87" spans="1:6" x14ac:dyDescent="0.2">
      <c r="A87" s="19">
        <v>21</v>
      </c>
      <c r="B87" s="143" t="s">
        <v>461</v>
      </c>
      <c r="C87" s="144"/>
      <c r="D87" s="14">
        <f t="shared" si="4"/>
        <v>57984</v>
      </c>
      <c r="E87" s="17">
        <f>IF(F3="1",SUMIF(Data!A:A,$A$2,Data!ES:ES),0)</f>
        <v>266580</v>
      </c>
      <c r="F87" s="21">
        <f t="shared" si="5"/>
        <v>4.5999999999999996</v>
      </c>
    </row>
    <row r="88" spans="1:6" x14ac:dyDescent="0.2">
      <c r="A88" s="19">
        <v>22</v>
      </c>
      <c r="B88" s="143" t="s">
        <v>19</v>
      </c>
      <c r="C88" s="144"/>
      <c r="D88" s="14">
        <f t="shared" si="4"/>
        <v>199537</v>
      </c>
      <c r="E88" s="17">
        <f>IF(F3="1",SUMIF(Data!A:A,$A$2,Data!ET:ET),0)</f>
        <v>559895</v>
      </c>
      <c r="F88" s="21">
        <f t="shared" si="5"/>
        <v>2.81</v>
      </c>
    </row>
    <row r="89" spans="1:6" x14ac:dyDescent="0.2">
      <c r="A89" s="19">
        <v>23</v>
      </c>
      <c r="B89" s="143" t="s">
        <v>20</v>
      </c>
      <c r="C89" s="144"/>
      <c r="D89" s="14">
        <f t="shared" si="4"/>
        <v>339792</v>
      </c>
      <c r="E89" s="17">
        <f>IF(F3="1",SUMIF(Data!A:A,$A$2,Data!EU:EU),0)</f>
        <v>1222981</v>
      </c>
      <c r="F89" s="21">
        <f t="shared" si="5"/>
        <v>3.6</v>
      </c>
    </row>
    <row r="90" spans="1:6" x14ac:dyDescent="0.2">
      <c r="A90" s="19">
        <v>24</v>
      </c>
      <c r="B90" s="143" t="s">
        <v>21</v>
      </c>
      <c r="C90" s="144"/>
      <c r="D90" s="14">
        <f t="shared" si="4"/>
        <v>347296</v>
      </c>
      <c r="E90" s="17">
        <f>IF(F3="1",SUMIF(Data!A:A,$A$2,Data!EV:EV),0)</f>
        <v>754461</v>
      </c>
      <c r="F90" s="21">
        <f t="shared" si="5"/>
        <v>2.17</v>
      </c>
    </row>
    <row r="91" spans="1:6" x14ac:dyDescent="0.2">
      <c r="A91" s="19">
        <v>25</v>
      </c>
      <c r="B91" s="143" t="s">
        <v>22</v>
      </c>
      <c r="C91" s="144"/>
      <c r="D91" s="14">
        <f t="shared" si="4"/>
        <v>2280640</v>
      </c>
      <c r="E91" s="17">
        <f>IF(F3="1",SUMIF(Data!A:A,$A$2,Data!EW:EW),0)</f>
        <v>7992617</v>
      </c>
      <c r="F91" s="21">
        <f t="shared" si="5"/>
        <v>3.5</v>
      </c>
    </row>
    <row r="92" spans="1:6" x14ac:dyDescent="0.2">
      <c r="A92" s="19">
        <v>26</v>
      </c>
      <c r="B92" s="143" t="s">
        <v>23</v>
      </c>
      <c r="C92" s="144"/>
      <c r="D92" s="14">
        <f t="shared" si="4"/>
        <v>605872</v>
      </c>
      <c r="E92" s="17">
        <f>IF(F3="1",SUMIF(Data!A:A,$A$2,Data!EX:EX),0)</f>
        <v>2818705</v>
      </c>
      <c r="F92" s="21">
        <f t="shared" si="5"/>
        <v>4.6500000000000004</v>
      </c>
    </row>
    <row r="93" spans="1:6" x14ac:dyDescent="0.2">
      <c r="A93" s="19">
        <v>28</v>
      </c>
      <c r="B93" s="143" t="s">
        <v>24</v>
      </c>
      <c r="C93" s="144"/>
      <c r="D93" s="14">
        <f t="shared" si="4"/>
        <v>0</v>
      </c>
      <c r="E93" s="17">
        <f>IF(F3="1",SUMIF(Data!A:A,$A$2,Data!EZ:EZ),0)</f>
        <v>0</v>
      </c>
      <c r="F93" s="21" t="str">
        <f t="shared" si="5"/>
        <v/>
      </c>
    </row>
    <row r="94" spans="1:6" ht="15.75" customHeight="1" thickBot="1" x14ac:dyDescent="0.25">
      <c r="A94" s="22">
        <v>29</v>
      </c>
      <c r="B94" s="147" t="s">
        <v>25</v>
      </c>
      <c r="C94" s="148"/>
      <c r="D94" s="23">
        <f t="shared" si="4"/>
        <v>0</v>
      </c>
      <c r="E94" s="24">
        <f>IF(F3="1",SUMIF(Data!A:A,$A$2,Data!FA:FA),0)</f>
        <v>0</v>
      </c>
      <c r="F94" s="25" t="str">
        <f t="shared" si="5"/>
        <v/>
      </c>
    </row>
    <row r="95" spans="1:6" x14ac:dyDescent="0.2">
      <c r="C95" s="13" t="s">
        <v>35</v>
      </c>
      <c r="D95" s="61">
        <f>SUM(D67:D94)</f>
        <v>14785954</v>
      </c>
      <c r="E95" s="4">
        <f>SUM(E67:E94)</f>
        <v>48196553</v>
      </c>
      <c r="F95" s="32">
        <f>IF(OR(D95=0,E95=0),"",ROUND(E95/D95,2))</f>
        <v>3.26</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IF(F3="1",SUMIF(Data!A:A,$A$2,Data!AH:AH),0)</f>
        <v>18997448</v>
      </c>
      <c r="F98" s="20">
        <f>IF(OR(E98=0,E98=0),"",ROUND(E98/$D$105,2))</f>
        <v>1.28</v>
      </c>
    </row>
    <row r="99" spans="2:6" x14ac:dyDescent="0.2">
      <c r="B99" s="153" t="s">
        <v>31</v>
      </c>
      <c r="C99" s="154"/>
      <c r="D99" s="36"/>
      <c r="E99" s="17">
        <f>IF(F3="1",SUMIF(Data!A:A,$A$2,Data!AI:AI),0)</f>
        <v>11184014</v>
      </c>
      <c r="F99" s="21">
        <f t="shared" ref="F99:F104" si="6">IF(OR(E99=0,E99=0),"",ROUND(E99/$D$105,2))</f>
        <v>0.76</v>
      </c>
    </row>
    <row r="100" spans="2:6" x14ac:dyDescent="0.2">
      <c r="B100" s="153" t="s">
        <v>1078</v>
      </c>
      <c r="C100" s="154"/>
      <c r="D100" s="36"/>
      <c r="E100" s="17">
        <f>IF(F3="1",SUMIF(Data!A:A,$A$2,Data!AJ:AJ),0)</f>
        <v>4620192</v>
      </c>
      <c r="F100" s="21">
        <f t="shared" si="6"/>
        <v>0.31</v>
      </c>
    </row>
    <row r="101" spans="2:6" x14ac:dyDescent="0.2">
      <c r="B101" s="153" t="s">
        <v>1079</v>
      </c>
      <c r="C101" s="154"/>
      <c r="D101" s="36"/>
      <c r="E101" s="17">
        <f>IF(F3="1",SUMIF(Data!A:A,$A$2,Data!AK:AK),0)</f>
        <v>7702348</v>
      </c>
      <c r="F101" s="21">
        <f t="shared" si="6"/>
        <v>0.52</v>
      </c>
    </row>
    <row r="102" spans="2:6" x14ac:dyDescent="0.2">
      <c r="B102" s="153" t="s">
        <v>1080</v>
      </c>
      <c r="C102" s="154"/>
      <c r="D102" s="36"/>
      <c r="E102" s="17">
        <f>IF(F3="1",SUMIF(Data!A:A,$A$2,Data!AL:AL),0)</f>
        <v>163560</v>
      </c>
      <c r="F102" s="21">
        <f t="shared" si="6"/>
        <v>0.01</v>
      </c>
    </row>
    <row r="103" spans="2:6" x14ac:dyDescent="0.2">
      <c r="B103" s="155" t="s">
        <v>34</v>
      </c>
      <c r="C103" s="156"/>
      <c r="D103" s="36"/>
      <c r="E103" s="17">
        <f>IF(F3="1",SUMIF(Data!A:A,$A$2,Data!AM:AM),0)</f>
        <v>9.9999999999999995E-7</v>
      </c>
      <c r="F103" s="21">
        <f t="shared" si="6"/>
        <v>0</v>
      </c>
    </row>
    <row r="104" spans="2:6" ht="15.75" customHeight="1" thickBot="1" x14ac:dyDescent="0.25">
      <c r="B104" s="149" t="s">
        <v>29</v>
      </c>
      <c r="C104" s="150"/>
      <c r="D104" s="37"/>
      <c r="E104" s="24">
        <f>IF(F3="1",SUMIF(Data!A:A,$A$2,Data!Q:Q),0)</f>
        <v>11184227</v>
      </c>
      <c r="F104" s="25">
        <f t="shared" si="6"/>
        <v>0.76</v>
      </c>
    </row>
    <row r="105" spans="2:6" x14ac:dyDescent="0.2">
      <c r="C105" s="13" t="s">
        <v>35</v>
      </c>
      <c r="D105" s="12">
        <f>D95</f>
        <v>14785954</v>
      </c>
      <c r="E105" s="4">
        <f>SUM(E98:E104)</f>
        <v>53851789.000000998</v>
      </c>
      <c r="F105" s="32">
        <f>IF($D$105=0,"",ROUND(E105/$D$105,2))</f>
        <v>3.64</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E95+IF(F3="1",SUMIF(Data!$A:$A,$A$2,Data!GF:GF),0)</f>
        <v>48196553</v>
      </c>
      <c r="D109" s="15">
        <f>IF(F3="1",SUMIF(Data!$A:$A,$A$2,Data!HJ:HJ),0)</f>
        <v>0</v>
      </c>
      <c r="E109" s="15">
        <f>IF(F3="1",SUMIF(Data!$A:$A,$A$2,Data!IN:IN),0)</f>
        <v>0</v>
      </c>
      <c r="F109" s="47">
        <f>SUM(C109:E109)</f>
        <v>48196553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10" x14ac:dyDescent="0.2">
      <c r="B113" s="42" t="s">
        <v>31</v>
      </c>
      <c r="C113" s="50">
        <f>IF(F3="1",SUMIF(Data!A:A,$A$2,Data!U:U),0)</f>
        <v>0</v>
      </c>
      <c r="D113" s="51"/>
      <c r="E113" s="50">
        <f>IF(F3="1",SUMIF(Data!A:A,$A$2,Data!AB:AB),0)</f>
        <v>0</v>
      </c>
      <c r="F113" s="48">
        <f t="shared" si="7"/>
        <v>0</v>
      </c>
    </row>
    <row r="114" spans="1:10" x14ac:dyDescent="0.2">
      <c r="B114" s="42" t="s">
        <v>1009</v>
      </c>
      <c r="C114" s="50">
        <f>IF(F3="1",SUMIF(Data!A:A,$A$2,Data!T:T),0)</f>
        <v>0</v>
      </c>
      <c r="D114" s="51"/>
      <c r="E114" s="50">
        <f>IF(F3="1",SUMIF(Data!A:A,$A$2,Data!AA:AA),0)</f>
        <v>0</v>
      </c>
      <c r="F114" s="48">
        <f t="shared" si="7"/>
        <v>0</v>
      </c>
    </row>
    <row r="115" spans="1:10" x14ac:dyDescent="0.2">
      <c r="B115" s="42" t="s">
        <v>929</v>
      </c>
      <c r="C115" s="50">
        <f>IF(F3="1",SUMIF(Data!A:A,$A$2,Data!BI:BI),0)</f>
        <v>0</v>
      </c>
      <c r="D115" s="50">
        <f>IF(F3="1",SUMIF(Data!A:A,$A$2,Data!BL:BL),0)</f>
        <v>0</v>
      </c>
      <c r="E115" s="50">
        <f>IF(F3="1",SUMIF(Data!A:A,$A$2,Data!BU:BU),0)</f>
        <v>0</v>
      </c>
      <c r="F115" s="48">
        <f t="shared" si="7"/>
        <v>0</v>
      </c>
    </row>
    <row r="116" spans="1:10" x14ac:dyDescent="0.2">
      <c r="B116" s="42" t="s">
        <v>33</v>
      </c>
      <c r="C116" s="50">
        <f>IF(F3="1",SUMIF(Data!A:A,$A$2,Data!X:X),0)</f>
        <v>0</v>
      </c>
      <c r="D116" s="50"/>
      <c r="E116" s="50">
        <f>E102</f>
        <v>163560</v>
      </c>
      <c r="F116" s="48">
        <f t="shared" si="7"/>
        <v>163560</v>
      </c>
    </row>
    <row r="117" spans="1:10" ht="15" thickBot="1" x14ac:dyDescent="0.25">
      <c r="B117" s="43" t="s">
        <v>933</v>
      </c>
      <c r="C117" s="52"/>
      <c r="D117" s="52">
        <f>IF(F3="1",SUMIF(Data!A:A,$A$2,Data!Q:Q),0)</f>
        <v>11184227</v>
      </c>
      <c r="E117" s="52"/>
      <c r="F117" s="49">
        <f>SUM(C117:E117)</f>
        <v>11184227</v>
      </c>
    </row>
    <row r="118" spans="1:10" x14ac:dyDescent="0.2">
      <c r="B118" s="13" t="s">
        <v>35</v>
      </c>
      <c r="C118" s="4">
        <f>SUM(C109:C116)</f>
        <v>48196553</v>
      </c>
      <c r="D118" s="4">
        <f>SUM(D109:D116)</f>
        <v>0</v>
      </c>
      <c r="E118" s="4">
        <f>SUM(E109:E116)</f>
        <v>163560</v>
      </c>
      <c r="F118" s="4">
        <f>SUM(F109:F116)</f>
        <v>48360113</v>
      </c>
    </row>
    <row r="119" spans="1:10" ht="15" thickBot="1" x14ac:dyDescent="0.25"/>
    <row r="120" spans="1:10" ht="15" thickBot="1" x14ac:dyDescent="0.25">
      <c r="B120" s="55" t="s">
        <v>934</v>
      </c>
      <c r="C120" s="53"/>
      <c r="D120" s="53"/>
      <c r="E120" s="53">
        <f>IF(F3="1",SUMIF(Data!A:A,$A$2,Data!AM:AM),0)</f>
        <v>9.9999999999999995E-7</v>
      </c>
      <c r="F120" s="54">
        <f>SUM(C120:E120)</f>
        <v>9.9999999999999995E-7</v>
      </c>
    </row>
    <row r="122" spans="1:10" s="60" customFormat="1" ht="101.25" customHeight="1" x14ac:dyDescent="0.2">
      <c r="A122" s="142" t="s">
        <v>935</v>
      </c>
      <c r="B122" s="142"/>
      <c r="C122" s="142"/>
      <c r="D122" s="142"/>
      <c r="E122" s="142"/>
      <c r="F122" s="142"/>
      <c r="H122" s="61"/>
      <c r="I122" s="61"/>
      <c r="J122" s="6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350</v>
      </c>
      <c r="B2" s="58" t="str">
        <f>VLOOKUP(A2,Data!A:G,7,0)</f>
        <v>Alvin Community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28654</v>
      </c>
      <c r="E5" s="15">
        <f>E36+E67+IFERROR($E$105/$D$105*D5,0)</f>
        <v>141037.40836424776</v>
      </c>
      <c r="F5" s="20">
        <f>IF(OR(D5=0,E5=0),"",ROUND(E5/D5,2))</f>
        <v>4.92</v>
      </c>
    </row>
    <row r="6" spans="1:6" x14ac:dyDescent="0.2">
      <c r="A6" s="19">
        <v>2</v>
      </c>
      <c r="B6" s="143" t="s">
        <v>1</v>
      </c>
      <c r="C6" s="144"/>
      <c r="D6" s="14">
        <f t="shared" ref="D6:D32" si="0">D37</f>
        <v>80960</v>
      </c>
      <c r="E6" s="17">
        <f t="shared" ref="E6:E32" si="1">E37+E68+IFERROR($E$105/$D$105*D6,0)</f>
        <v>432074.34247119079</v>
      </c>
      <c r="F6" s="21">
        <f t="shared" ref="F6:F33" si="2">IF(OR(D6=0,E6=0),"",ROUND(E6/D6,2))</f>
        <v>5.34</v>
      </c>
    </row>
    <row r="7" spans="1:6" ht="14.25" customHeight="1" x14ac:dyDescent="0.2">
      <c r="A7" s="19">
        <v>3</v>
      </c>
      <c r="B7" s="143" t="s">
        <v>2</v>
      </c>
      <c r="C7" s="144"/>
      <c r="D7" s="14">
        <f t="shared" si="0"/>
        <v>166976</v>
      </c>
      <c r="E7" s="17">
        <f t="shared" si="1"/>
        <v>1004595.5071204243</v>
      </c>
      <c r="F7" s="21">
        <f t="shared" si="2"/>
        <v>6.02</v>
      </c>
    </row>
    <row r="8" spans="1:6" ht="14.25" customHeight="1" x14ac:dyDescent="0.2">
      <c r="A8" s="19">
        <v>4</v>
      </c>
      <c r="B8" s="143" t="s">
        <v>3</v>
      </c>
      <c r="C8" s="144"/>
      <c r="D8" s="14">
        <f t="shared" si="0"/>
        <v>224218</v>
      </c>
      <c r="E8" s="17">
        <f t="shared" si="1"/>
        <v>1374681.2866132096</v>
      </c>
      <c r="F8" s="21">
        <f t="shared" si="2"/>
        <v>6.13</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61872</v>
      </c>
      <c r="E10" s="17">
        <f t="shared" si="1"/>
        <v>317822.63405851676</v>
      </c>
      <c r="F10" s="21">
        <f t="shared" si="2"/>
        <v>5.14</v>
      </c>
    </row>
    <row r="11" spans="1:6" x14ac:dyDescent="0.2">
      <c r="A11" s="19">
        <v>7</v>
      </c>
      <c r="B11" s="143" t="s">
        <v>6</v>
      </c>
      <c r="C11" s="144"/>
      <c r="D11" s="14">
        <f t="shared" si="0"/>
        <v>190157</v>
      </c>
      <c r="E11" s="17">
        <f t="shared" si="1"/>
        <v>1037608.9489537331</v>
      </c>
      <c r="F11" s="21">
        <f t="shared" si="2"/>
        <v>5.46</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34024</v>
      </c>
      <c r="E13" s="17">
        <f t="shared" si="1"/>
        <v>239915.61981521486</v>
      </c>
      <c r="F13" s="21">
        <f t="shared" si="2"/>
        <v>7.05</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38820</v>
      </c>
      <c r="E15" s="17">
        <f t="shared" si="1"/>
        <v>169167.99227682344</v>
      </c>
      <c r="F15" s="21">
        <f t="shared" si="2"/>
        <v>4.3600000000000003</v>
      </c>
    </row>
    <row r="16" spans="1:6" ht="14.25" customHeight="1" x14ac:dyDescent="0.2">
      <c r="A16" s="19">
        <v>12</v>
      </c>
      <c r="B16" s="143" t="s">
        <v>11</v>
      </c>
      <c r="C16" s="144"/>
      <c r="D16" s="14">
        <f t="shared" si="0"/>
        <v>342352</v>
      </c>
      <c r="E16" s="17">
        <f t="shared" si="1"/>
        <v>1676621.3896948753</v>
      </c>
      <c r="F16" s="21">
        <f t="shared" si="2"/>
        <v>4.9000000000000004</v>
      </c>
    </row>
    <row r="17" spans="1:6" x14ac:dyDescent="0.2">
      <c r="A17" s="19">
        <v>13</v>
      </c>
      <c r="B17" s="143" t="s">
        <v>12</v>
      </c>
      <c r="C17" s="144"/>
      <c r="D17" s="14">
        <f t="shared" si="0"/>
        <v>19792</v>
      </c>
      <c r="E17" s="17">
        <f t="shared" si="1"/>
        <v>112083.77226024961</v>
      </c>
      <c r="F17" s="21">
        <f t="shared" si="2"/>
        <v>5.66</v>
      </c>
    </row>
    <row r="18" spans="1:6" ht="14.25" customHeight="1" x14ac:dyDescent="0.2">
      <c r="A18" s="19">
        <v>14</v>
      </c>
      <c r="B18" s="143" t="s">
        <v>464</v>
      </c>
      <c r="C18" s="144"/>
      <c r="D18" s="14">
        <f t="shared" si="0"/>
        <v>99463</v>
      </c>
      <c r="E18" s="17">
        <f t="shared" si="1"/>
        <v>785996.53902188793</v>
      </c>
      <c r="F18" s="21">
        <f t="shared" si="2"/>
        <v>7.9</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63863</v>
      </c>
      <c r="E20" s="17">
        <f t="shared" si="1"/>
        <v>484904.4240024414</v>
      </c>
      <c r="F20" s="21">
        <f t="shared" si="2"/>
        <v>7.59</v>
      </c>
    </row>
    <row r="21" spans="1:6" x14ac:dyDescent="0.2">
      <c r="A21" s="19">
        <v>17</v>
      </c>
      <c r="B21" s="143" t="s">
        <v>15</v>
      </c>
      <c r="C21" s="144"/>
      <c r="D21" s="14">
        <f t="shared" si="0"/>
        <v>16656</v>
      </c>
      <c r="E21" s="17">
        <f t="shared" si="1"/>
        <v>211184.57875741296</v>
      </c>
      <c r="F21" s="21">
        <f t="shared" si="2"/>
        <v>12.68</v>
      </c>
    </row>
    <row r="22" spans="1:6" x14ac:dyDescent="0.2">
      <c r="A22" s="19">
        <v>18</v>
      </c>
      <c r="B22" s="143" t="s">
        <v>16</v>
      </c>
      <c r="C22" s="144"/>
      <c r="D22" s="14">
        <f t="shared" si="0"/>
        <v>12311</v>
      </c>
      <c r="E22" s="17">
        <f t="shared" si="1"/>
        <v>151956.79407315748</v>
      </c>
      <c r="F22" s="21">
        <f t="shared" si="2"/>
        <v>12.34</v>
      </c>
    </row>
    <row r="23" spans="1:6" x14ac:dyDescent="0.2">
      <c r="A23" s="19">
        <v>19</v>
      </c>
      <c r="B23" s="143" t="s">
        <v>17</v>
      </c>
      <c r="C23" s="144"/>
      <c r="D23" s="14">
        <f t="shared" si="0"/>
        <v>73654</v>
      </c>
      <c r="E23" s="17">
        <f t="shared" si="1"/>
        <v>681216.70543939085</v>
      </c>
      <c r="F23" s="21">
        <f t="shared" si="2"/>
        <v>9.25</v>
      </c>
    </row>
    <row r="24" spans="1:6" x14ac:dyDescent="0.2">
      <c r="A24" s="19">
        <v>20</v>
      </c>
      <c r="B24" s="143" t="s">
        <v>18</v>
      </c>
      <c r="C24" s="144"/>
      <c r="D24" s="14">
        <f t="shared" si="0"/>
        <v>40517</v>
      </c>
      <c r="E24" s="17">
        <f t="shared" si="1"/>
        <v>206875.88907985718</v>
      </c>
      <c r="F24" s="21">
        <f t="shared" si="2"/>
        <v>5.1100000000000003</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64128</v>
      </c>
      <c r="E27" s="17">
        <f t="shared" si="1"/>
        <v>479870.99775188393</v>
      </c>
      <c r="F27" s="21">
        <f t="shared" si="2"/>
        <v>7.48</v>
      </c>
    </row>
    <row r="28" spans="1:6" x14ac:dyDescent="0.2">
      <c r="A28" s="19">
        <v>24</v>
      </c>
      <c r="B28" s="143" t="s">
        <v>21</v>
      </c>
      <c r="C28" s="144"/>
      <c r="D28" s="14">
        <f t="shared" si="0"/>
        <v>118998</v>
      </c>
      <c r="E28" s="17">
        <f t="shared" si="1"/>
        <v>616389.13598550833</v>
      </c>
      <c r="F28" s="21">
        <f t="shared" si="2"/>
        <v>5.18</v>
      </c>
    </row>
    <row r="29" spans="1:6" x14ac:dyDescent="0.2">
      <c r="A29" s="19">
        <v>25</v>
      </c>
      <c r="B29" s="143" t="s">
        <v>22</v>
      </c>
      <c r="C29" s="144"/>
      <c r="D29" s="14">
        <f t="shared" si="0"/>
        <v>291984</v>
      </c>
      <c r="E29" s="17">
        <f t="shared" si="1"/>
        <v>1412998.7307819685</v>
      </c>
      <c r="F29" s="21">
        <f t="shared" si="2"/>
        <v>4.84</v>
      </c>
    </row>
    <row r="30" spans="1:6" x14ac:dyDescent="0.2">
      <c r="A30" s="19">
        <v>26</v>
      </c>
      <c r="B30" s="143" t="s">
        <v>23</v>
      </c>
      <c r="C30" s="144"/>
      <c r="D30" s="14">
        <f t="shared" si="0"/>
        <v>68752</v>
      </c>
      <c r="E30" s="17">
        <f t="shared" si="1"/>
        <v>534179.30347800534</v>
      </c>
      <c r="F30" s="21">
        <f t="shared" si="2"/>
        <v>7.77</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2038151</v>
      </c>
      <c r="E33" s="31">
        <f>SUM(E5:E32)</f>
        <v>12071182</v>
      </c>
      <c r="F33" s="32">
        <f t="shared" si="2"/>
        <v>5.92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IF(F3="1",SUMIF(Data!A:A,'2'!$A$2,Data!CU:CU),0)</f>
        <v>28654</v>
      </c>
      <c r="E36" s="15">
        <f>IF(F3="1",SUMIF(Data!$A:$A,$A$2,Data!IO:IO),0)</f>
        <v>13379</v>
      </c>
      <c r="F36" s="20">
        <f t="shared" ref="F36:F64" si="3">IF(OR(D36=0,E36=0),"",ROUND(E36/D36,2))</f>
        <v>0.47</v>
      </c>
    </row>
    <row r="37" spans="1:6" x14ac:dyDescent="0.2">
      <c r="A37" s="19">
        <v>2</v>
      </c>
      <c r="B37" s="143" t="s">
        <v>1</v>
      </c>
      <c r="C37" s="144"/>
      <c r="D37" s="14">
        <f>IF(F3="1",SUMIF(Data!A:A,'2'!$A$2,Data!CV:CV),0)</f>
        <v>80960</v>
      </c>
      <c r="E37" s="17">
        <f>IF(F3="1",SUMIF(Data!$A:$A,$A$2,Data!IP:IP),0)</f>
        <v>46179</v>
      </c>
      <c r="F37" s="21">
        <f t="shared" si="3"/>
        <v>0.56999999999999995</v>
      </c>
    </row>
    <row r="38" spans="1:6" ht="14.25" customHeight="1" x14ac:dyDescent="0.2">
      <c r="A38" s="19">
        <v>3</v>
      </c>
      <c r="B38" s="143" t="s">
        <v>2</v>
      </c>
      <c r="C38" s="144"/>
      <c r="D38" s="14">
        <f>IF(F3="1",SUMIF(Data!A:A,'2'!$A$2,Data!CW:CW),0)</f>
        <v>166976</v>
      </c>
      <c r="E38" s="17">
        <f>IF($F$3="1",SUMIF(Data!$A:$A,$A$2,Data!IQ:IQ),0)</f>
        <v>78330</v>
      </c>
      <c r="F38" s="21">
        <f t="shared" si="3"/>
        <v>0.47</v>
      </c>
    </row>
    <row r="39" spans="1:6" ht="14.25" customHeight="1" x14ac:dyDescent="0.2">
      <c r="A39" s="19">
        <v>4</v>
      </c>
      <c r="B39" s="143" t="s">
        <v>3</v>
      </c>
      <c r="C39" s="144"/>
      <c r="D39" s="14">
        <f>IF(F3="1",SUMIF(Data!A:A,'2'!$A$2,Data!CX:CX),0)</f>
        <v>224218</v>
      </c>
      <c r="E39" s="17">
        <f>IF($F$3="1",SUMIF(Data!$A:$A,$A$2,Data!IR:IR),0)</f>
        <v>98780</v>
      </c>
      <c r="F39" s="21">
        <f t="shared" si="3"/>
        <v>0.44</v>
      </c>
    </row>
    <row r="40" spans="1:6" x14ac:dyDescent="0.2">
      <c r="A40" s="19">
        <v>5</v>
      </c>
      <c r="B40" s="143" t="s">
        <v>4</v>
      </c>
      <c r="C40" s="144"/>
      <c r="D40" s="14">
        <f>IF(F3="1",SUMIF(Data!A:A,'2'!$A$2,Data!CY:CY),0)</f>
        <v>0</v>
      </c>
      <c r="E40" s="17">
        <f>IF($F$3="1",SUMIF(Data!$A:$A,$A$2,Data!IS:IS),0)</f>
        <v>0</v>
      </c>
      <c r="F40" s="21" t="str">
        <f t="shared" si="3"/>
        <v/>
      </c>
    </row>
    <row r="41" spans="1:6" x14ac:dyDescent="0.2">
      <c r="A41" s="19">
        <v>6</v>
      </c>
      <c r="B41" s="143" t="s">
        <v>5</v>
      </c>
      <c r="C41" s="144"/>
      <c r="D41" s="14">
        <f>IF(F3="1",SUMIF(Data!A:A,'2'!$A$2,Data!CZ:CZ),0)</f>
        <v>61872</v>
      </c>
      <c r="E41" s="17">
        <f>IF($F$3="1",SUMIF(Data!$A:$A,$A$2,Data!IT:IT),0)</f>
        <v>37386</v>
      </c>
      <c r="F41" s="21">
        <f t="shared" si="3"/>
        <v>0.6</v>
      </c>
    </row>
    <row r="42" spans="1:6" x14ac:dyDescent="0.2">
      <c r="A42" s="19">
        <v>7</v>
      </c>
      <c r="B42" s="143" t="s">
        <v>6</v>
      </c>
      <c r="C42" s="144"/>
      <c r="D42" s="14">
        <f>IF(F3="1",SUMIF(Data!A:A,'2'!$A$2,Data!DA:DA),0)</f>
        <v>190157</v>
      </c>
      <c r="E42" s="17">
        <f>IF($F$3="1",SUMIF(Data!$A:$A,$A$2,Data!IU:IU),0)</f>
        <v>126199</v>
      </c>
      <c r="F42" s="21">
        <f t="shared" si="3"/>
        <v>0.66</v>
      </c>
    </row>
    <row r="43" spans="1:6" x14ac:dyDescent="0.2">
      <c r="A43" s="19">
        <v>8</v>
      </c>
      <c r="B43" s="143" t="s">
        <v>7</v>
      </c>
      <c r="C43" s="144"/>
      <c r="D43" s="14">
        <f>IF(F3="1",SUMIF(Data!A:A,'2'!$A$2,Data!DB:DB),0)</f>
        <v>0</v>
      </c>
      <c r="E43" s="17">
        <f>IF($F$3="1",SUMIF(Data!$A:$A,$A$2,Data!IV:IV),0)</f>
        <v>0</v>
      </c>
      <c r="F43" s="21" t="str">
        <f t="shared" si="3"/>
        <v/>
      </c>
    </row>
    <row r="44" spans="1:6" x14ac:dyDescent="0.2">
      <c r="A44" s="19">
        <v>9</v>
      </c>
      <c r="B44" s="143" t="s">
        <v>8</v>
      </c>
      <c r="C44" s="144"/>
      <c r="D44" s="14">
        <f>IF(F3="1",SUMIF(Data!A:A,'2'!$A$2,Data!DC:DC),0)</f>
        <v>34024</v>
      </c>
      <c r="E44" s="17">
        <f>IF($F$3="1",SUMIF(Data!$A:$A,$A$2,Data!IW:IW),0)</f>
        <v>44834</v>
      </c>
      <c r="F44" s="21">
        <f t="shared" si="3"/>
        <v>1.32</v>
      </c>
    </row>
    <row r="45" spans="1:6" x14ac:dyDescent="0.2">
      <c r="A45" s="19">
        <v>10</v>
      </c>
      <c r="B45" s="143" t="s">
        <v>9</v>
      </c>
      <c r="C45" s="144"/>
      <c r="D45" s="14">
        <f>IF(F3="1",SUMIF(Data!A:A,'2'!$A$2,Data!DD:DD),0)</f>
        <v>0</v>
      </c>
      <c r="E45" s="17">
        <f>IF($F$3="1",SUMIF(Data!$A:$A,$A$2,Data!IX:IX),0)</f>
        <v>0</v>
      </c>
      <c r="F45" s="21" t="str">
        <f t="shared" si="3"/>
        <v/>
      </c>
    </row>
    <row r="46" spans="1:6" x14ac:dyDescent="0.2">
      <c r="A46" s="19">
        <v>11</v>
      </c>
      <c r="B46" s="143" t="s">
        <v>10</v>
      </c>
      <c r="C46" s="144"/>
      <c r="D46" s="14">
        <f>IF(F3="1",SUMIF(Data!A:A,'2'!$A$2,Data!DE:DE),0)</f>
        <v>38820</v>
      </c>
      <c r="E46" s="17">
        <f>IF($F$3="1",SUMIF(Data!$A:$A,$A$2,Data!IY:IY),0)</f>
        <v>31405</v>
      </c>
      <c r="F46" s="21">
        <f t="shared" si="3"/>
        <v>0.81</v>
      </c>
    </row>
    <row r="47" spans="1:6" ht="14.25" customHeight="1" x14ac:dyDescent="0.2">
      <c r="A47" s="19">
        <v>12</v>
      </c>
      <c r="B47" s="143" t="s">
        <v>11</v>
      </c>
      <c r="C47" s="144"/>
      <c r="D47" s="14">
        <f>IF(F3="1",SUMIF(Data!A:A,'2'!$A$2,Data!DF:DF),0)</f>
        <v>342352</v>
      </c>
      <c r="E47" s="17">
        <f>IF($F$3="1",SUMIF(Data!$A:$A,$A$2,Data!IZ:IZ),0)</f>
        <v>77722</v>
      </c>
      <c r="F47" s="21">
        <f t="shared" si="3"/>
        <v>0.23</v>
      </c>
    </row>
    <row r="48" spans="1:6" x14ac:dyDescent="0.2">
      <c r="A48" s="19">
        <v>13</v>
      </c>
      <c r="B48" s="143" t="s">
        <v>12</v>
      </c>
      <c r="C48" s="144"/>
      <c r="D48" s="14">
        <f>IF(F3="1",SUMIF(Data!A:A,'2'!$A$2,Data!DG:DG),0)</f>
        <v>19792</v>
      </c>
      <c r="E48" s="17">
        <f>IF($F$3="1",SUMIF(Data!$A:$A,$A$2,Data!JA:JA),0)</f>
        <v>7307</v>
      </c>
      <c r="F48" s="21">
        <f t="shared" si="3"/>
        <v>0.37</v>
      </c>
    </row>
    <row r="49" spans="1:6" ht="14.25" customHeight="1" x14ac:dyDescent="0.2">
      <c r="A49" s="19">
        <v>14</v>
      </c>
      <c r="B49" s="143" t="s">
        <v>464</v>
      </c>
      <c r="C49" s="144"/>
      <c r="D49" s="14">
        <f>IF(F3="1",SUMIF(Data!A:A,'2'!$A$2,Data!DH:DH),0)</f>
        <v>99463</v>
      </c>
      <c r="E49" s="17">
        <f>IF($F$3="1",SUMIF(Data!$A:$A,$A$2,Data!JB:JB),0)</f>
        <v>136663</v>
      </c>
      <c r="F49" s="21">
        <f t="shared" si="3"/>
        <v>1.37</v>
      </c>
    </row>
    <row r="50" spans="1:6" x14ac:dyDescent="0.2">
      <c r="A50" s="19">
        <v>15</v>
      </c>
      <c r="B50" s="143" t="s">
        <v>13</v>
      </c>
      <c r="C50" s="144"/>
      <c r="D50" s="14">
        <f>IF(F3="1",SUMIF(Data!A:A,'2'!$A$2,Data!DI:DI),0)</f>
        <v>0</v>
      </c>
      <c r="E50" s="17">
        <f>IF($F$3="1",SUMIF(Data!$A:$A,$A$2,Data!JC:JC),0)</f>
        <v>0</v>
      </c>
      <c r="F50" s="21" t="str">
        <f t="shared" si="3"/>
        <v/>
      </c>
    </row>
    <row r="51" spans="1:6" x14ac:dyDescent="0.2">
      <c r="A51" s="19">
        <v>16</v>
      </c>
      <c r="B51" s="143" t="s">
        <v>14</v>
      </c>
      <c r="C51" s="144"/>
      <c r="D51" s="14">
        <f>IF(F3="1",SUMIF(Data!A:A,'2'!$A$2,Data!DJ:DJ),0)</f>
        <v>63863</v>
      </c>
      <c r="E51" s="17">
        <f>IF($F$3="1",SUMIF(Data!$A:$A,$A$2,Data!JD:JD),0)</f>
        <v>46850</v>
      </c>
      <c r="F51" s="21">
        <f t="shared" si="3"/>
        <v>0.73</v>
      </c>
    </row>
    <row r="52" spans="1:6" x14ac:dyDescent="0.2">
      <c r="A52" s="19">
        <v>17</v>
      </c>
      <c r="B52" s="143" t="s">
        <v>15</v>
      </c>
      <c r="C52" s="144"/>
      <c r="D52" s="14">
        <f>IF(F3="1",SUMIF(Data!A:A,'2'!$A$2,Data!DK:DK),0)</f>
        <v>16656</v>
      </c>
      <c r="E52" s="17">
        <f>IF($F$3="1",SUMIF(Data!$A:$A,$A$2,Data!JE:JE),0)</f>
        <v>17419</v>
      </c>
      <c r="F52" s="21">
        <f t="shared" si="3"/>
        <v>1.05</v>
      </c>
    </row>
    <row r="53" spans="1:6" x14ac:dyDescent="0.2">
      <c r="A53" s="19">
        <v>18</v>
      </c>
      <c r="B53" s="143" t="s">
        <v>16</v>
      </c>
      <c r="C53" s="144"/>
      <c r="D53" s="14">
        <f>IF(F3="1",SUMIF(Data!A:A,'2'!$A$2,Data!DL:DL),0)</f>
        <v>12311</v>
      </c>
      <c r="E53" s="17">
        <f>IF($F$3="1",SUMIF(Data!$A:$A,$A$2,Data!JF:JF),0)</f>
        <v>9264</v>
      </c>
      <c r="F53" s="21">
        <f t="shared" si="3"/>
        <v>0.75</v>
      </c>
    </row>
    <row r="54" spans="1:6" x14ac:dyDescent="0.2">
      <c r="A54" s="19">
        <v>19</v>
      </c>
      <c r="B54" s="143" t="s">
        <v>17</v>
      </c>
      <c r="C54" s="144"/>
      <c r="D54" s="14">
        <f>IF(F3="1",SUMIF(Data!A:A,'2'!$A$2,Data!DM:DM),0)</f>
        <v>73654</v>
      </c>
      <c r="E54" s="17">
        <f>IF($F$3="1",SUMIF(Data!$A:$A,$A$2,Data!JG:JG),0)</f>
        <v>23059</v>
      </c>
      <c r="F54" s="21">
        <f t="shared" si="3"/>
        <v>0.31</v>
      </c>
    </row>
    <row r="55" spans="1:6" x14ac:dyDescent="0.2">
      <c r="A55" s="19">
        <v>20</v>
      </c>
      <c r="B55" s="143" t="s">
        <v>18</v>
      </c>
      <c r="C55" s="144"/>
      <c r="D55" s="14">
        <f>IF(F3="1",SUMIF(Data!A:A,'2'!$A$2,Data!DN:DN),0)</f>
        <v>40517</v>
      </c>
      <c r="E55" s="17">
        <f>IF($F$3="1",SUMIF(Data!$A:$A,$A$2,Data!JH:JH),0)</f>
        <v>11062</v>
      </c>
      <c r="F55" s="21">
        <f t="shared" si="3"/>
        <v>0.27</v>
      </c>
    </row>
    <row r="56" spans="1:6" ht="14.25" customHeight="1" x14ac:dyDescent="0.2">
      <c r="A56" s="19">
        <v>21</v>
      </c>
      <c r="B56" s="143" t="s">
        <v>461</v>
      </c>
      <c r="C56" s="144"/>
      <c r="D56" s="14">
        <f>IF(F3="1",SUMIF(Data!A:A,'2'!$A$2,Data!DO:DO),0)</f>
        <v>0</v>
      </c>
      <c r="E56" s="17">
        <f>IF($F$3="1",SUMIF(Data!$A:$A,$A$2,Data!JI:JI),0)</f>
        <v>0</v>
      </c>
      <c r="F56" s="21" t="str">
        <f t="shared" si="3"/>
        <v/>
      </c>
    </row>
    <row r="57" spans="1:6" x14ac:dyDescent="0.2">
      <c r="A57" s="19">
        <v>22</v>
      </c>
      <c r="B57" s="143" t="s">
        <v>19</v>
      </c>
      <c r="C57" s="144"/>
      <c r="D57" s="14">
        <f>IF(F3="1",SUMIF(Data!A:A,'2'!$A$2,Data!DP:DP),0)</f>
        <v>0</v>
      </c>
      <c r="E57" s="17">
        <f>IF($F$3="1",SUMIF(Data!$A:$A,$A$2,Data!JJ:JJ),0)</f>
        <v>0</v>
      </c>
      <c r="F57" s="21" t="str">
        <f t="shared" si="3"/>
        <v/>
      </c>
    </row>
    <row r="58" spans="1:6" x14ac:dyDescent="0.2">
      <c r="A58" s="19">
        <v>23</v>
      </c>
      <c r="B58" s="143" t="s">
        <v>20</v>
      </c>
      <c r="C58" s="144"/>
      <c r="D58" s="14">
        <f>IF(F3="1",SUMIF(Data!A:A,'2'!$A$2,Data!DQ:DQ),0)</f>
        <v>64128</v>
      </c>
      <c r="E58" s="17">
        <f>IF($F$3="1",SUMIF(Data!$A:$A,$A$2,Data!JK:JK),0)</f>
        <v>43425</v>
      </c>
      <c r="F58" s="21">
        <f t="shared" si="3"/>
        <v>0.68</v>
      </c>
    </row>
    <row r="59" spans="1:6" x14ac:dyDescent="0.2">
      <c r="A59" s="19">
        <v>24</v>
      </c>
      <c r="B59" s="143" t="s">
        <v>21</v>
      </c>
      <c r="C59" s="144"/>
      <c r="D59" s="14">
        <f>IF(F3="1",SUMIF(Data!A:A,'2'!$A$2,Data!DR:DR),0)</f>
        <v>118998</v>
      </c>
      <c r="E59" s="17">
        <f>IF($F$3="1",SUMIF(Data!$A:$A,$A$2,Data!JL:JL),0)</f>
        <v>55832</v>
      </c>
      <c r="F59" s="21">
        <f t="shared" si="3"/>
        <v>0.47</v>
      </c>
    </row>
    <row r="60" spans="1:6" x14ac:dyDescent="0.2">
      <c r="A60" s="19">
        <v>25</v>
      </c>
      <c r="B60" s="143" t="s">
        <v>22</v>
      </c>
      <c r="C60" s="144"/>
      <c r="D60" s="14">
        <f>IF(F3="1",SUMIF(Data!A:A,'2'!$A$2,Data!DS:DS),0)</f>
        <v>291984</v>
      </c>
      <c r="E60" s="17">
        <f>IF($F$3="1",SUMIF(Data!$A:$A,$A$2,Data!JM:JM),0)</f>
        <v>60968</v>
      </c>
      <c r="F60" s="21">
        <f t="shared" si="3"/>
        <v>0.21</v>
      </c>
    </row>
    <row r="61" spans="1:6" x14ac:dyDescent="0.2">
      <c r="A61" s="19">
        <v>26</v>
      </c>
      <c r="B61" s="143" t="s">
        <v>23</v>
      </c>
      <c r="C61" s="144"/>
      <c r="D61" s="14">
        <f>IF(F3="1",SUMIF(Data!A:A,'2'!$A$2,Data!DT:DT),0)</f>
        <v>68752</v>
      </c>
      <c r="E61" s="17">
        <f>IF($F$3="1",SUMIF(Data!$A:$A,$A$2,Data!JN:JN),0)</f>
        <v>98015</v>
      </c>
      <c r="F61" s="21">
        <f t="shared" si="3"/>
        <v>1.43</v>
      </c>
    </row>
    <row r="62" spans="1:6" x14ac:dyDescent="0.2">
      <c r="A62" s="19">
        <v>28</v>
      </c>
      <c r="B62" s="143" t="s">
        <v>24</v>
      </c>
      <c r="C62" s="144"/>
      <c r="D62" s="14">
        <f>IF(F3="1",SUMIF(Data!A:A,'2'!$A$2,Data!DV:DV),0)</f>
        <v>0</v>
      </c>
      <c r="E62" s="17">
        <f>IF($F$3="1",SUMIF(Data!$A:$A,$A$2,Data!JP:JP),0)</f>
        <v>0</v>
      </c>
      <c r="F62" s="21" t="str">
        <f t="shared" si="3"/>
        <v/>
      </c>
    </row>
    <row r="63" spans="1:6" ht="15.75" customHeight="1" thickBot="1" x14ac:dyDescent="0.25">
      <c r="A63" s="22">
        <v>29</v>
      </c>
      <c r="B63" s="147" t="s">
        <v>25</v>
      </c>
      <c r="C63" s="148"/>
      <c r="D63" s="23">
        <f>IF(F3="1",SUMIF(Data!A:A,'2'!$A$2,Data!DW:DW),0)</f>
        <v>0</v>
      </c>
      <c r="E63" s="24">
        <f>IF($F$3="1",SUMIF(Data!$A:$A,$A$2,Data!JQ:JQ),0)</f>
        <v>0</v>
      </c>
      <c r="F63" s="25" t="str">
        <f t="shared" si="3"/>
        <v/>
      </c>
    </row>
    <row r="64" spans="1:6" x14ac:dyDescent="0.2">
      <c r="B64" s="30" t="s">
        <v>35</v>
      </c>
      <c r="C64" s="30"/>
      <c r="D64" s="59">
        <f>SUM(D36:D63)</f>
        <v>2038151</v>
      </c>
      <c r="E64" s="31">
        <f>SUM(E36:E63)</f>
        <v>1064078</v>
      </c>
      <c r="F64" s="32">
        <f t="shared" si="3"/>
        <v>0.52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28654</v>
      </c>
      <c r="E67" s="15">
        <f>IF(F3="1",SUMIF(Data!A:A,'2'!$A$2,Data!DY:DY),0)</f>
        <v>58178</v>
      </c>
      <c r="F67" s="20">
        <f t="shared" ref="F67:F95" si="4">IF(OR(D67=0,E67=0),"",ROUND(E67/D67,2))</f>
        <v>2.0299999999999998</v>
      </c>
    </row>
    <row r="68" spans="1:6" x14ac:dyDescent="0.2">
      <c r="A68" s="19">
        <v>2</v>
      </c>
      <c r="B68" s="143" t="s">
        <v>1</v>
      </c>
      <c r="C68" s="144"/>
      <c r="D68" s="14">
        <f t="shared" ref="D68:D94" si="5">D37</f>
        <v>80960</v>
      </c>
      <c r="E68" s="17">
        <f>IF(F3="1",SUMIF(Data!A:A,'2'!$A$2,Data!DZ:DZ),0)</f>
        <v>189583</v>
      </c>
      <c r="F68" s="21">
        <f t="shared" si="4"/>
        <v>2.34</v>
      </c>
    </row>
    <row r="69" spans="1:6" ht="14.25" customHeight="1" x14ac:dyDescent="0.2">
      <c r="A69" s="19">
        <v>3</v>
      </c>
      <c r="B69" s="143" t="s">
        <v>2</v>
      </c>
      <c r="C69" s="144"/>
      <c r="D69" s="14">
        <f t="shared" si="5"/>
        <v>166976</v>
      </c>
      <c r="E69" s="17">
        <f>IF(F3="1",SUMIF(Data!A:A,'2'!$A$2,Data!EA:EA),0)</f>
        <v>521381</v>
      </c>
      <c r="F69" s="21">
        <f t="shared" si="4"/>
        <v>3.12</v>
      </c>
    </row>
    <row r="70" spans="1:6" ht="14.25" customHeight="1" x14ac:dyDescent="0.2">
      <c r="A70" s="19">
        <v>4</v>
      </c>
      <c r="B70" s="143" t="s">
        <v>3</v>
      </c>
      <c r="C70" s="144"/>
      <c r="D70" s="14">
        <f t="shared" si="5"/>
        <v>224218</v>
      </c>
      <c r="E70" s="17">
        <f>IF(F3="1",SUMIF(Data!A:A,'2'!$A$2,Data!EB:EB),0)</f>
        <v>732216</v>
      </c>
      <c r="F70" s="21">
        <f t="shared" si="4"/>
        <v>3.27</v>
      </c>
    </row>
    <row r="71" spans="1:6" x14ac:dyDescent="0.2">
      <c r="A71" s="19">
        <v>5</v>
      </c>
      <c r="B71" s="143" t="s">
        <v>4</v>
      </c>
      <c r="C71" s="144"/>
      <c r="D71" s="14">
        <f t="shared" si="5"/>
        <v>0</v>
      </c>
      <c r="E71" s="17">
        <f>IF(F3="1",SUMIF(Data!A:A,'2'!$A$2,Data!EC:EC),0)</f>
        <v>0</v>
      </c>
      <c r="F71" s="21" t="str">
        <f t="shared" si="4"/>
        <v/>
      </c>
    </row>
    <row r="72" spans="1:6" x14ac:dyDescent="0.2">
      <c r="A72" s="19">
        <v>6</v>
      </c>
      <c r="B72" s="143" t="s">
        <v>5</v>
      </c>
      <c r="C72" s="144"/>
      <c r="D72" s="14">
        <f t="shared" si="5"/>
        <v>61872</v>
      </c>
      <c r="E72" s="17">
        <f>IF(F3="1",SUMIF(Data!A:A,'2'!$A$2,Data!ED:ED),0)</f>
        <v>130409</v>
      </c>
      <c r="F72" s="21">
        <f t="shared" si="4"/>
        <v>2.11</v>
      </c>
    </row>
    <row r="73" spans="1:6" x14ac:dyDescent="0.2">
      <c r="A73" s="19">
        <v>7</v>
      </c>
      <c r="B73" s="143" t="s">
        <v>6</v>
      </c>
      <c r="C73" s="144"/>
      <c r="D73" s="14">
        <f t="shared" si="5"/>
        <v>190157</v>
      </c>
      <c r="E73" s="17">
        <f>IF(F3="1",SUMIF(Data!A:A,'2'!$A$2,Data!EE:EE),0)</f>
        <v>450316</v>
      </c>
      <c r="F73" s="21">
        <f t="shared" si="4"/>
        <v>2.37</v>
      </c>
    </row>
    <row r="74" spans="1:6" x14ac:dyDescent="0.2">
      <c r="A74" s="19">
        <v>8</v>
      </c>
      <c r="B74" s="143" t="s">
        <v>7</v>
      </c>
      <c r="C74" s="144"/>
      <c r="D74" s="14">
        <f t="shared" si="5"/>
        <v>0</v>
      </c>
      <c r="E74" s="17">
        <f>IF(F3="1",SUMIF(Data!A:A,'2'!$A$2,Data!EF:EF),0)</f>
        <v>0</v>
      </c>
      <c r="F74" s="21" t="str">
        <f t="shared" si="4"/>
        <v/>
      </c>
    </row>
    <row r="75" spans="1:6" x14ac:dyDescent="0.2">
      <c r="A75" s="19">
        <v>9</v>
      </c>
      <c r="B75" s="143" t="s">
        <v>8</v>
      </c>
      <c r="C75" s="144"/>
      <c r="D75" s="14">
        <f t="shared" si="5"/>
        <v>34024</v>
      </c>
      <c r="E75" s="17">
        <f>IF(F3="1",SUMIF(Data!A:A,'2'!$A$2,Data!EG:EG),0)</f>
        <v>112580</v>
      </c>
      <c r="F75" s="21">
        <f t="shared" si="4"/>
        <v>3.31</v>
      </c>
    </row>
    <row r="76" spans="1:6" x14ac:dyDescent="0.2">
      <c r="A76" s="19">
        <v>10</v>
      </c>
      <c r="B76" s="143" t="s">
        <v>9</v>
      </c>
      <c r="C76" s="144"/>
      <c r="D76" s="14">
        <f t="shared" si="5"/>
        <v>0</v>
      </c>
      <c r="E76" s="17">
        <f>IF(F3="1",SUMIF(Data!A:A,'2'!$A$2,Data!EH:EH),0)</f>
        <v>0</v>
      </c>
      <c r="F76" s="21" t="str">
        <f t="shared" si="4"/>
        <v/>
      </c>
    </row>
    <row r="77" spans="1:6" x14ac:dyDescent="0.2">
      <c r="A77" s="19">
        <v>11</v>
      </c>
      <c r="B77" s="143" t="s">
        <v>10</v>
      </c>
      <c r="C77" s="144"/>
      <c r="D77" s="14">
        <f t="shared" si="5"/>
        <v>38820</v>
      </c>
      <c r="E77" s="17">
        <f>IF(F3="1",SUMIF(Data!A:A,'2'!$A$2,Data!EI:EI),0)</f>
        <v>43632</v>
      </c>
      <c r="F77" s="21">
        <f t="shared" si="4"/>
        <v>1.1200000000000001</v>
      </c>
    </row>
    <row r="78" spans="1:6" ht="14.25" customHeight="1" x14ac:dyDescent="0.2">
      <c r="A78" s="19">
        <v>12</v>
      </c>
      <c r="B78" s="143" t="s">
        <v>11</v>
      </c>
      <c r="C78" s="144"/>
      <c r="D78" s="14">
        <f t="shared" si="5"/>
        <v>342352</v>
      </c>
      <c r="E78" s="17">
        <f>IF(F3="1",SUMIF(Data!A:A,'2'!$A$2,Data!EJ:EJ),0)</f>
        <v>768762</v>
      </c>
      <c r="F78" s="21">
        <f t="shared" si="4"/>
        <v>2.25</v>
      </c>
    </row>
    <row r="79" spans="1:6" x14ac:dyDescent="0.2">
      <c r="A79" s="19">
        <v>13</v>
      </c>
      <c r="B79" s="143" t="s">
        <v>12</v>
      </c>
      <c r="C79" s="144"/>
      <c r="D79" s="14">
        <f t="shared" si="5"/>
        <v>19792</v>
      </c>
      <c r="E79" s="17">
        <f>IF(F3="1",SUMIF(Data!A:A,'2'!$A$2,Data!EK:EK),0)</f>
        <v>56785</v>
      </c>
      <c r="F79" s="21">
        <f t="shared" si="4"/>
        <v>2.87</v>
      </c>
    </row>
    <row r="80" spans="1:6" ht="14.25" customHeight="1" x14ac:dyDescent="0.2">
      <c r="A80" s="19">
        <v>14</v>
      </c>
      <c r="B80" s="143" t="s">
        <v>464</v>
      </c>
      <c r="C80" s="144"/>
      <c r="D80" s="14">
        <f t="shared" si="5"/>
        <v>99463</v>
      </c>
      <c r="E80" s="17">
        <f>IF(F3="1",SUMIF(Data!A:A,'2'!$A$2,Data!EL:EL),0)</f>
        <v>408155</v>
      </c>
      <c r="F80" s="21">
        <f t="shared" si="4"/>
        <v>4.0999999999999996</v>
      </c>
    </row>
    <row r="81" spans="1:6" x14ac:dyDescent="0.2">
      <c r="A81" s="19">
        <v>15</v>
      </c>
      <c r="B81" s="143" t="s">
        <v>13</v>
      </c>
      <c r="C81" s="144"/>
      <c r="D81" s="14">
        <f t="shared" si="5"/>
        <v>0</v>
      </c>
      <c r="E81" s="17">
        <f>IF(F3="1",SUMIF(Data!A:A,'2'!$A$2,Data!EM:EM),0)</f>
        <v>0</v>
      </c>
      <c r="F81" s="21" t="str">
        <f t="shared" si="4"/>
        <v/>
      </c>
    </row>
    <row r="82" spans="1:6" x14ac:dyDescent="0.2">
      <c r="A82" s="19">
        <v>16</v>
      </c>
      <c r="B82" s="143" t="s">
        <v>14</v>
      </c>
      <c r="C82" s="144"/>
      <c r="D82" s="14">
        <f t="shared" si="5"/>
        <v>63863</v>
      </c>
      <c r="E82" s="17">
        <f>IF(F3="1",SUMIF(Data!A:A,'2'!$A$2,Data!EN:EN),0)</f>
        <v>283199</v>
      </c>
      <c r="F82" s="21">
        <f t="shared" si="4"/>
        <v>4.43</v>
      </c>
    </row>
    <row r="83" spans="1:6" x14ac:dyDescent="0.2">
      <c r="A83" s="19">
        <v>17</v>
      </c>
      <c r="B83" s="143" t="s">
        <v>15</v>
      </c>
      <c r="C83" s="144"/>
      <c r="D83" s="14">
        <f t="shared" si="5"/>
        <v>16656</v>
      </c>
      <c r="E83" s="17">
        <f>IF(F3="1",SUMIF(Data!A:A,'2'!$A$2,Data!EO:EO),0)</f>
        <v>153378</v>
      </c>
      <c r="F83" s="21">
        <f t="shared" si="4"/>
        <v>9.2100000000000009</v>
      </c>
    </row>
    <row r="84" spans="1:6" x14ac:dyDescent="0.2">
      <c r="A84" s="19">
        <v>18</v>
      </c>
      <c r="B84" s="143" t="s">
        <v>16</v>
      </c>
      <c r="C84" s="144"/>
      <c r="D84" s="14">
        <f t="shared" si="5"/>
        <v>12311</v>
      </c>
      <c r="E84" s="17">
        <f>IF(F3="1",SUMIF(Data!A:A,'2'!$A$2,Data!EP:EP),0)</f>
        <v>112841</v>
      </c>
      <c r="F84" s="21">
        <f t="shared" si="4"/>
        <v>9.17</v>
      </c>
    </row>
    <row r="85" spans="1:6" x14ac:dyDescent="0.2">
      <c r="A85" s="19">
        <v>19</v>
      </c>
      <c r="B85" s="143" t="s">
        <v>17</v>
      </c>
      <c r="C85" s="144"/>
      <c r="D85" s="14">
        <f t="shared" si="5"/>
        <v>73654</v>
      </c>
      <c r="E85" s="17">
        <f>IF(F3="1",SUMIF(Data!A:A,'2'!$A$2,Data!EQ:EQ),0)</f>
        <v>479561</v>
      </c>
      <c r="F85" s="21">
        <f t="shared" si="4"/>
        <v>6.51</v>
      </c>
    </row>
    <row r="86" spans="1:6" x14ac:dyDescent="0.2">
      <c r="A86" s="19">
        <v>20</v>
      </c>
      <c r="B86" s="143" t="s">
        <v>18</v>
      </c>
      <c r="C86" s="144"/>
      <c r="D86" s="14">
        <f t="shared" si="5"/>
        <v>40517</v>
      </c>
      <c r="E86" s="17">
        <f>IF(F3="1",SUMIF(Data!A:A,'2'!$A$2,Data!ER:ER),0)</f>
        <v>97568</v>
      </c>
      <c r="F86" s="21">
        <f t="shared" si="4"/>
        <v>2.41</v>
      </c>
    </row>
    <row r="87" spans="1:6" ht="14.25" customHeight="1" x14ac:dyDescent="0.2">
      <c r="A87" s="19">
        <v>21</v>
      </c>
      <c r="B87" s="143" t="s">
        <v>461</v>
      </c>
      <c r="C87" s="144"/>
      <c r="D87" s="14">
        <f t="shared" si="5"/>
        <v>0</v>
      </c>
      <c r="E87" s="17">
        <f>IF(F3="1",SUMIF(Data!A:A,'2'!$A$2,Data!ES:ES),0)</f>
        <v>0</v>
      </c>
      <c r="F87" s="21" t="str">
        <f t="shared" si="4"/>
        <v/>
      </c>
    </row>
    <row r="88" spans="1:6" x14ac:dyDescent="0.2">
      <c r="A88" s="19">
        <v>22</v>
      </c>
      <c r="B88" s="143" t="s">
        <v>19</v>
      </c>
      <c r="C88" s="144"/>
      <c r="D88" s="14">
        <f t="shared" si="5"/>
        <v>0</v>
      </c>
      <c r="E88" s="17">
        <f>IF(F3="1",SUMIF(Data!A:A,'2'!$A$2,Data!ET:ET),0)</f>
        <v>0</v>
      </c>
      <c r="F88" s="21" t="str">
        <f t="shared" si="4"/>
        <v/>
      </c>
    </row>
    <row r="89" spans="1:6" x14ac:dyDescent="0.2">
      <c r="A89" s="19">
        <v>23</v>
      </c>
      <c r="B89" s="143" t="s">
        <v>20</v>
      </c>
      <c r="C89" s="144"/>
      <c r="D89" s="14">
        <f t="shared" si="5"/>
        <v>64128</v>
      </c>
      <c r="E89" s="17">
        <f>IF(F3="1",SUMIF(Data!A:A,'2'!$A$2,Data!EU:EU),0)</f>
        <v>280948</v>
      </c>
      <c r="F89" s="21">
        <f t="shared" si="4"/>
        <v>4.38</v>
      </c>
    </row>
    <row r="90" spans="1:6" x14ac:dyDescent="0.2">
      <c r="A90" s="19">
        <v>24</v>
      </c>
      <c r="B90" s="143" t="s">
        <v>21</v>
      </c>
      <c r="C90" s="144"/>
      <c r="D90" s="14">
        <f t="shared" si="5"/>
        <v>118998</v>
      </c>
      <c r="E90" s="17">
        <f>IF(F3="1",SUMIF(Data!A:A,'2'!$A$2,Data!EV:EV),0)</f>
        <v>272010</v>
      </c>
      <c r="F90" s="21">
        <f t="shared" si="4"/>
        <v>2.29</v>
      </c>
    </row>
    <row r="91" spans="1:6" x14ac:dyDescent="0.2">
      <c r="A91" s="19">
        <v>25</v>
      </c>
      <c r="B91" s="143" t="s">
        <v>22</v>
      </c>
      <c r="C91" s="144"/>
      <c r="D91" s="14">
        <f t="shared" si="5"/>
        <v>291984</v>
      </c>
      <c r="E91" s="17">
        <f>IF(F3="1",SUMIF(Data!A:A,'2'!$A$2,Data!EW:EW),0)</f>
        <v>644026</v>
      </c>
      <c r="F91" s="21">
        <f t="shared" si="4"/>
        <v>2.21</v>
      </c>
    </row>
    <row r="92" spans="1:6" x14ac:dyDescent="0.2">
      <c r="A92" s="19">
        <v>26</v>
      </c>
      <c r="B92" s="143" t="s">
        <v>23</v>
      </c>
      <c r="C92" s="144"/>
      <c r="D92" s="14">
        <f t="shared" si="5"/>
        <v>68752</v>
      </c>
      <c r="E92" s="17">
        <f>IF(F3="1",SUMIF(Data!A:A,'2'!$A$2,Data!EX:EX),0)</f>
        <v>269454</v>
      </c>
      <c r="F92" s="21">
        <f t="shared" si="4"/>
        <v>3.92</v>
      </c>
    </row>
    <row r="93" spans="1:6" x14ac:dyDescent="0.2">
      <c r="A93" s="19">
        <v>28</v>
      </c>
      <c r="B93" s="143" t="s">
        <v>24</v>
      </c>
      <c r="C93" s="144"/>
      <c r="D93" s="14">
        <f t="shared" si="5"/>
        <v>0</v>
      </c>
      <c r="E93" s="17">
        <f>IF(F3="1",SUMIF(Data!A:A,'2'!$A$2,Data!EZ:EZ),0)</f>
        <v>0</v>
      </c>
      <c r="F93" s="21" t="str">
        <f t="shared" si="4"/>
        <v/>
      </c>
    </row>
    <row r="94" spans="1:6" ht="15.75" customHeight="1" thickBot="1" x14ac:dyDescent="0.25">
      <c r="A94" s="22">
        <v>29</v>
      </c>
      <c r="B94" s="147" t="s">
        <v>25</v>
      </c>
      <c r="C94" s="148"/>
      <c r="D94" s="23">
        <f t="shared" si="5"/>
        <v>0</v>
      </c>
      <c r="E94" s="24">
        <f>IF(F3="1",SUMIF(Data!A:A,'2'!$A$2,Data!FA:FA),0)</f>
        <v>0</v>
      </c>
      <c r="F94" s="25" t="str">
        <f t="shared" si="4"/>
        <v/>
      </c>
    </row>
    <row r="95" spans="1:6" x14ac:dyDescent="0.2">
      <c r="B95" s="30" t="s">
        <v>35</v>
      </c>
      <c r="C95" s="30"/>
      <c r="D95" s="59">
        <f>SUM(D67:D94)</f>
        <v>2038151</v>
      </c>
      <c r="E95" s="31">
        <f>SUM(E67:E94)</f>
        <v>6064982</v>
      </c>
      <c r="F95" s="32">
        <f t="shared" si="4"/>
        <v>2.98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IF(F3="1",SUMIF(Data!A:A,'2'!$A$2,Data!AH:AH),0)</f>
        <v>1948504</v>
      </c>
      <c r="F98" s="20">
        <f>IF(OR(E98=0,E98=0),"",ROUND(E98/$D$105,2))</f>
        <v>0.96</v>
      </c>
    </row>
    <row r="99" spans="2:6" x14ac:dyDescent="0.2">
      <c r="B99" s="153" t="s">
        <v>31</v>
      </c>
      <c r="C99" s="154"/>
      <c r="D99" s="36"/>
      <c r="E99" s="17">
        <f>IF(F3="1",SUMIF(Data!A:A,'2'!$A$2,Data!AI:AI),0)</f>
        <v>1225919</v>
      </c>
      <c r="F99" s="21">
        <f t="shared" ref="F99:F104" si="6">IF(OR(E99=0,E99=0),"",ROUND(E99/$D$105,2))</f>
        <v>0.6</v>
      </c>
    </row>
    <row r="100" spans="2:6" x14ac:dyDescent="0.2">
      <c r="B100" s="153" t="s">
        <v>1078</v>
      </c>
      <c r="C100" s="154"/>
      <c r="D100" s="36"/>
      <c r="E100" s="17">
        <f>IF(F3="1",SUMIF(Data!A:A,'2'!$A$2,Data!AJ:AJ),0)</f>
        <v>532907</v>
      </c>
      <c r="F100" s="21">
        <f t="shared" si="6"/>
        <v>0.26</v>
      </c>
    </row>
    <row r="101" spans="2:6" x14ac:dyDescent="0.2">
      <c r="B101" s="153" t="s">
        <v>1079</v>
      </c>
      <c r="C101" s="154"/>
      <c r="D101" s="36"/>
      <c r="E101" s="17">
        <f>IF(F3="1",SUMIF(Data!A:A,'2'!$A$2,Data!AK:AK),0)</f>
        <v>703962</v>
      </c>
      <c r="F101" s="21">
        <f t="shared" si="6"/>
        <v>0.35</v>
      </c>
    </row>
    <row r="102" spans="2:6" x14ac:dyDescent="0.2">
      <c r="B102" s="153" t="s">
        <v>1080</v>
      </c>
      <c r="C102" s="154"/>
      <c r="D102" s="36"/>
      <c r="E102" s="17">
        <f>IF(F3="1",SUMIF(Data!A:A,'2'!$A$2,Data!AL:AL),0)</f>
        <v>0</v>
      </c>
      <c r="F102" s="21" t="str">
        <f t="shared" si="6"/>
        <v/>
      </c>
    </row>
    <row r="103" spans="2:6" x14ac:dyDescent="0.2">
      <c r="B103" s="155" t="s">
        <v>34</v>
      </c>
      <c r="C103" s="156"/>
      <c r="D103" s="36"/>
      <c r="E103" s="17">
        <f>IF(F3="1",SUMIF(Data!A:A,'2'!$A$2,Data!AM:AM),0)</f>
        <v>0</v>
      </c>
      <c r="F103" s="21" t="str">
        <f t="shared" si="6"/>
        <v/>
      </c>
    </row>
    <row r="104" spans="2:6" ht="15.75" customHeight="1" thickBot="1" x14ac:dyDescent="0.25">
      <c r="B104" s="149" t="s">
        <v>29</v>
      </c>
      <c r="C104" s="150"/>
      <c r="D104" s="37"/>
      <c r="E104" s="24">
        <f>IF(F3="1",SUMIF(Data!A:A,'2'!$A$2,Data!Q:Q),0)</f>
        <v>530830</v>
      </c>
      <c r="F104" s="25">
        <f t="shared" si="6"/>
        <v>0.26</v>
      </c>
    </row>
    <row r="105" spans="2:6" x14ac:dyDescent="0.2">
      <c r="B105" s="30" t="s">
        <v>35</v>
      </c>
      <c r="C105" s="30"/>
      <c r="D105" s="34">
        <f>D95</f>
        <v>2038151</v>
      </c>
      <c r="E105" s="31">
        <f>SUM(E98:E104)</f>
        <v>4942122</v>
      </c>
      <c r="F105" s="32">
        <f>IF($D$105=0,"",ROUND(E105/$D$105,2))</f>
        <v>2.42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6064982</v>
      </c>
      <c r="D109" s="15">
        <f>IF(F3="1",SUMIF(Data!$A:$A,$A$2,Data!HJ:HJ),0)</f>
        <v>0</v>
      </c>
      <c r="E109" s="15">
        <f>IF(F3="1",SUMIF(Data!$A:$A,$A$2,Data!IN:IN),0)</f>
        <v>0</v>
      </c>
      <c r="F109" s="47">
        <f>SUM(C109:E109)</f>
        <v>6064982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530830</v>
      </c>
      <c r="E117" s="52"/>
      <c r="F117" s="49">
        <f>SUM(C117:E117)</f>
        <v>530830</v>
      </c>
    </row>
    <row r="118" spans="1:6" x14ac:dyDescent="0.2">
      <c r="B118" s="13" t="s">
        <v>35</v>
      </c>
      <c r="C118" s="4">
        <f>SUM(C109:C116)</f>
        <v>6064982</v>
      </c>
      <c r="D118" s="4">
        <f>SUM(D109:D116)</f>
        <v>0</v>
      </c>
      <c r="E118" s="4">
        <f>SUM(E109:E116)</f>
        <v>0</v>
      </c>
      <c r="F118" s="4">
        <f>SUM(F109:F116)</f>
        <v>6064982</v>
      </c>
    </row>
    <row r="119" spans="1:6" ht="15" thickBot="1" x14ac:dyDescent="0.25"/>
    <row r="120" spans="1:6" ht="15" thickBot="1" x14ac:dyDescent="0.25">
      <c r="B120" s="55" t="s">
        <v>934</v>
      </c>
      <c r="C120" s="53"/>
      <c r="D120" s="53"/>
      <c r="E120" s="53">
        <f>IF(F3="1",SUMIF(Data!A:A,'2'!$A$2,Data!AM:AM),0)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15" width="16.42578125" style="10" bestFit="1" customWidth="1"/>
    <col min="16"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352</v>
      </c>
      <c r="B2" s="58" t="str">
        <f>VLOOKUP(A2,Data!A:G,7,0)</f>
        <v>Amarillo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2552</v>
      </c>
      <c r="E5" s="15">
        <f>E36+E67+IFERROR($E$105/$D$105*D5,0)</f>
        <v>28324.802758709731</v>
      </c>
      <c r="F5" s="20">
        <f>IF(OR(D5=0,E5=0),"",ROUND(E5/D5,2))</f>
        <v>11.1</v>
      </c>
    </row>
    <row r="6" spans="1:6" x14ac:dyDescent="0.2">
      <c r="A6" s="19">
        <v>2</v>
      </c>
      <c r="B6" s="143" t="s">
        <v>1</v>
      </c>
      <c r="C6" s="144"/>
      <c r="D6" s="14">
        <f t="shared" ref="D6:D32" si="0">D37</f>
        <v>101057</v>
      </c>
      <c r="E6" s="17">
        <f t="shared" ref="E6:E32" si="1">E37+E68+IFERROR($E$105/$D$105*D6,0)</f>
        <v>777214.84889769962</v>
      </c>
      <c r="F6" s="21">
        <f t="shared" ref="F6:F33" si="2">IF(OR(D6=0,E6=0),"",ROUND(E6/D6,2))</f>
        <v>7.69</v>
      </c>
    </row>
    <row r="7" spans="1:6" ht="14.25" customHeight="1" x14ac:dyDescent="0.2">
      <c r="A7" s="19">
        <v>3</v>
      </c>
      <c r="B7" s="143" t="s">
        <v>2</v>
      </c>
      <c r="C7" s="144"/>
      <c r="D7" s="14">
        <f t="shared" si="0"/>
        <v>337568</v>
      </c>
      <c r="E7" s="17">
        <f t="shared" si="1"/>
        <v>1853118.8752555358</v>
      </c>
      <c r="F7" s="21">
        <f t="shared" si="2"/>
        <v>5.49</v>
      </c>
    </row>
    <row r="8" spans="1:6" ht="14.25" customHeight="1" x14ac:dyDescent="0.2">
      <c r="A8" s="19">
        <v>4</v>
      </c>
      <c r="B8" s="143" t="s">
        <v>3</v>
      </c>
      <c r="C8" s="144"/>
      <c r="D8" s="14">
        <f t="shared" si="0"/>
        <v>228606</v>
      </c>
      <c r="E8" s="17">
        <f t="shared" si="1"/>
        <v>1476074.3696934157</v>
      </c>
      <c r="F8" s="21">
        <f t="shared" si="2"/>
        <v>6.46</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30544</v>
      </c>
      <c r="E10" s="17">
        <f t="shared" si="1"/>
        <v>286964.80229703372</v>
      </c>
      <c r="F10" s="21">
        <f t="shared" si="2"/>
        <v>9.4</v>
      </c>
    </row>
    <row r="11" spans="1:6" x14ac:dyDescent="0.2">
      <c r="A11" s="19">
        <v>7</v>
      </c>
      <c r="B11" s="143" t="s">
        <v>6</v>
      </c>
      <c r="C11" s="144"/>
      <c r="D11" s="14">
        <f t="shared" si="0"/>
        <v>274523</v>
      </c>
      <c r="E11" s="17">
        <f t="shared" si="1"/>
        <v>1512032.3345334139</v>
      </c>
      <c r="F11" s="21">
        <f t="shared" si="2"/>
        <v>5.51</v>
      </c>
    </row>
    <row r="12" spans="1:6" x14ac:dyDescent="0.2">
      <c r="A12" s="19">
        <v>8</v>
      </c>
      <c r="B12" s="143" t="s">
        <v>7</v>
      </c>
      <c r="C12" s="144"/>
      <c r="D12" s="14">
        <f t="shared" si="0"/>
        <v>16521</v>
      </c>
      <c r="E12" s="17">
        <f t="shared" si="1"/>
        <v>71232.034630346199</v>
      </c>
      <c r="F12" s="21">
        <f t="shared" si="2"/>
        <v>4.3099999999999996</v>
      </c>
    </row>
    <row r="13" spans="1:6" x14ac:dyDescent="0.2">
      <c r="A13" s="19">
        <v>9</v>
      </c>
      <c r="B13" s="143" t="s">
        <v>8</v>
      </c>
      <c r="C13" s="144"/>
      <c r="D13" s="14">
        <f t="shared" si="0"/>
        <v>110143</v>
      </c>
      <c r="E13" s="17">
        <f t="shared" si="1"/>
        <v>603366.48285758856</v>
      </c>
      <c r="F13" s="21">
        <f t="shared" si="2"/>
        <v>5.48</v>
      </c>
    </row>
    <row r="14" spans="1:6" x14ac:dyDescent="0.2">
      <c r="A14" s="19">
        <v>10</v>
      </c>
      <c r="B14" s="143" t="s">
        <v>9</v>
      </c>
      <c r="C14" s="144"/>
      <c r="D14" s="14">
        <f t="shared" si="0"/>
        <v>656</v>
      </c>
      <c r="E14" s="17">
        <f t="shared" si="1"/>
        <v>4776.2126213611227</v>
      </c>
      <c r="F14" s="21">
        <f t="shared" si="2"/>
        <v>7.28</v>
      </c>
    </row>
    <row r="15" spans="1:6" x14ac:dyDescent="0.2">
      <c r="A15" s="19">
        <v>11</v>
      </c>
      <c r="B15" s="143" t="s">
        <v>10</v>
      </c>
      <c r="C15" s="144"/>
      <c r="D15" s="14">
        <f t="shared" si="0"/>
        <v>144529</v>
      </c>
      <c r="E15" s="17">
        <f t="shared" si="1"/>
        <v>1152111.1096839965</v>
      </c>
      <c r="F15" s="21">
        <f t="shared" si="2"/>
        <v>7.97</v>
      </c>
    </row>
    <row r="16" spans="1:6" ht="14.25" customHeight="1" x14ac:dyDescent="0.2">
      <c r="A16" s="19">
        <v>12</v>
      </c>
      <c r="B16" s="143" t="s">
        <v>11</v>
      </c>
      <c r="C16" s="144"/>
      <c r="D16" s="14">
        <f t="shared" si="0"/>
        <v>580770</v>
      </c>
      <c r="E16" s="17">
        <f t="shared" si="1"/>
        <v>3378414.4757742365</v>
      </c>
      <c r="F16" s="21">
        <f t="shared" si="2"/>
        <v>5.82</v>
      </c>
    </row>
    <row r="17" spans="1:6" x14ac:dyDescent="0.2">
      <c r="A17" s="19">
        <v>13</v>
      </c>
      <c r="B17" s="143" t="s">
        <v>12</v>
      </c>
      <c r="C17" s="144"/>
      <c r="D17" s="14">
        <f t="shared" si="0"/>
        <v>25248</v>
      </c>
      <c r="E17" s="17">
        <f t="shared" si="1"/>
        <v>191399.4028416549</v>
      </c>
      <c r="F17" s="21">
        <f t="shared" si="2"/>
        <v>7.58</v>
      </c>
    </row>
    <row r="18" spans="1:6" ht="14.25" customHeight="1" x14ac:dyDescent="0.2">
      <c r="A18" s="19">
        <v>14</v>
      </c>
      <c r="B18" s="143" t="s">
        <v>464</v>
      </c>
      <c r="C18" s="144"/>
      <c r="D18" s="14">
        <f t="shared" si="0"/>
        <v>190521</v>
      </c>
      <c r="E18" s="17">
        <f t="shared" si="1"/>
        <v>1506651.0409060097</v>
      </c>
      <c r="F18" s="21">
        <f t="shared" si="2"/>
        <v>7.91</v>
      </c>
    </row>
    <row r="19" spans="1:6" x14ac:dyDescent="0.2">
      <c r="A19" s="19">
        <v>15</v>
      </c>
      <c r="B19" s="143" t="s">
        <v>13</v>
      </c>
      <c r="C19" s="144"/>
      <c r="D19" s="14">
        <f t="shared" si="0"/>
        <v>41616</v>
      </c>
      <c r="E19" s="17">
        <f t="shared" si="1"/>
        <v>409603.58605268976</v>
      </c>
      <c r="F19" s="21">
        <f t="shared" si="2"/>
        <v>9.84</v>
      </c>
    </row>
    <row r="20" spans="1:6" x14ac:dyDescent="0.2">
      <c r="A20" s="19">
        <v>16</v>
      </c>
      <c r="B20" s="143" t="s">
        <v>14</v>
      </c>
      <c r="C20" s="144"/>
      <c r="D20" s="14">
        <f t="shared" si="0"/>
        <v>414918</v>
      </c>
      <c r="E20" s="17">
        <f t="shared" si="1"/>
        <v>2474624.5372407231</v>
      </c>
      <c r="F20" s="21">
        <f t="shared" si="2"/>
        <v>5.96</v>
      </c>
    </row>
    <row r="21" spans="1:6" x14ac:dyDescent="0.2">
      <c r="A21" s="19">
        <v>17</v>
      </c>
      <c r="B21" s="143" t="s">
        <v>15</v>
      </c>
      <c r="C21" s="144"/>
      <c r="D21" s="14">
        <f t="shared" si="0"/>
        <v>26752</v>
      </c>
      <c r="E21" s="17">
        <f t="shared" si="1"/>
        <v>226237.62202233652</v>
      </c>
      <c r="F21" s="21">
        <f t="shared" si="2"/>
        <v>8.4600000000000009</v>
      </c>
    </row>
    <row r="22" spans="1:6" x14ac:dyDescent="0.2">
      <c r="A22" s="19">
        <v>18</v>
      </c>
      <c r="B22" s="143" t="s">
        <v>16</v>
      </c>
      <c r="C22" s="144"/>
      <c r="D22" s="14">
        <f t="shared" si="0"/>
        <v>87304</v>
      </c>
      <c r="E22" s="17">
        <f t="shared" si="1"/>
        <v>526825.76020626747</v>
      </c>
      <c r="F22" s="21">
        <f t="shared" si="2"/>
        <v>6.03</v>
      </c>
    </row>
    <row r="23" spans="1:6" x14ac:dyDescent="0.2">
      <c r="A23" s="19">
        <v>19</v>
      </c>
      <c r="B23" s="143" t="s">
        <v>17</v>
      </c>
      <c r="C23" s="144"/>
      <c r="D23" s="14">
        <f t="shared" si="0"/>
        <v>340885</v>
      </c>
      <c r="E23" s="17">
        <f t="shared" si="1"/>
        <v>1765666.9351108023</v>
      </c>
      <c r="F23" s="21">
        <f t="shared" si="2"/>
        <v>5.18</v>
      </c>
    </row>
    <row r="24" spans="1:6" x14ac:dyDescent="0.2">
      <c r="A24" s="19">
        <v>20</v>
      </c>
      <c r="B24" s="143" t="s">
        <v>18</v>
      </c>
      <c r="C24" s="144"/>
      <c r="D24" s="14">
        <f t="shared" si="0"/>
        <v>110578</v>
      </c>
      <c r="E24" s="17">
        <f t="shared" si="1"/>
        <v>909277.68787327781</v>
      </c>
      <c r="F24" s="21">
        <f t="shared" si="2"/>
        <v>8.2200000000000006</v>
      </c>
    </row>
    <row r="25" spans="1:6" ht="14.25" customHeight="1" x14ac:dyDescent="0.2">
      <c r="A25" s="19">
        <v>21</v>
      </c>
      <c r="B25" s="143" t="s">
        <v>461</v>
      </c>
      <c r="C25" s="144"/>
      <c r="D25" s="14">
        <f t="shared" si="0"/>
        <v>118366</v>
      </c>
      <c r="E25" s="17">
        <f t="shared" si="1"/>
        <v>802015.51698175399</v>
      </c>
      <c r="F25" s="21">
        <f t="shared" si="2"/>
        <v>6.78</v>
      </c>
    </row>
    <row r="26" spans="1:6" x14ac:dyDescent="0.2">
      <c r="A26" s="19">
        <v>22</v>
      </c>
      <c r="B26" s="143" t="s">
        <v>19</v>
      </c>
      <c r="C26" s="144"/>
      <c r="D26" s="14">
        <f t="shared" si="0"/>
        <v>10000</v>
      </c>
      <c r="E26" s="17">
        <f t="shared" si="1"/>
        <v>78880.850935382972</v>
      </c>
      <c r="F26" s="21">
        <f t="shared" si="2"/>
        <v>7.89</v>
      </c>
    </row>
    <row r="27" spans="1:6" x14ac:dyDescent="0.2">
      <c r="A27" s="19">
        <v>23</v>
      </c>
      <c r="B27" s="143" t="s">
        <v>20</v>
      </c>
      <c r="C27" s="144"/>
      <c r="D27" s="14">
        <f t="shared" si="0"/>
        <v>96944</v>
      </c>
      <c r="E27" s="17">
        <f t="shared" si="1"/>
        <v>545908.3725079766</v>
      </c>
      <c r="F27" s="21">
        <f t="shared" si="2"/>
        <v>5.63</v>
      </c>
    </row>
    <row r="28" spans="1:6" x14ac:dyDescent="0.2">
      <c r="A28" s="19">
        <v>24</v>
      </c>
      <c r="B28" s="143" t="s">
        <v>21</v>
      </c>
      <c r="C28" s="144"/>
      <c r="D28" s="14">
        <f t="shared" si="0"/>
        <v>311849</v>
      </c>
      <c r="E28" s="17">
        <f t="shared" si="1"/>
        <v>1736568.2435348243</v>
      </c>
      <c r="F28" s="21">
        <f t="shared" si="2"/>
        <v>5.57</v>
      </c>
    </row>
    <row r="29" spans="1:6" x14ac:dyDescent="0.2">
      <c r="A29" s="19">
        <v>25</v>
      </c>
      <c r="B29" s="143" t="s">
        <v>22</v>
      </c>
      <c r="C29" s="144"/>
      <c r="D29" s="14">
        <f t="shared" si="0"/>
        <v>322519</v>
      </c>
      <c r="E29" s="17">
        <f t="shared" si="1"/>
        <v>1764495.9274828779</v>
      </c>
      <c r="F29" s="21">
        <f t="shared" si="2"/>
        <v>5.47</v>
      </c>
    </row>
    <row r="30" spans="1:6" x14ac:dyDescent="0.2">
      <c r="A30" s="19">
        <v>26</v>
      </c>
      <c r="B30" s="143" t="s">
        <v>23</v>
      </c>
      <c r="C30" s="144"/>
      <c r="D30" s="14">
        <f t="shared" si="0"/>
        <v>164479</v>
      </c>
      <c r="E30" s="17">
        <f t="shared" si="1"/>
        <v>1520686.1673000855</v>
      </c>
      <c r="F30" s="21">
        <f t="shared" si="2"/>
        <v>9.25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4089448</v>
      </c>
      <c r="E33" s="31">
        <f>SUM(E5:E32)</f>
        <v>25602472.000000007</v>
      </c>
      <c r="F33" s="32">
        <f t="shared" si="2"/>
        <v>6.26</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IF(F3="1",SUMIF(Data!A:A,'3'!$A$2,Data!CU:CU),0)</f>
        <v>2552</v>
      </c>
      <c r="E36" s="15">
        <f>IF(F3="1",SUMIF(Data!$A:$A,$A$2,Data!IO:IO),0)</f>
        <v>3905</v>
      </c>
      <c r="F36" s="20">
        <f t="shared" ref="F36:F64" si="3">IF(OR(D36=0,E36=0),"",ROUND(E36/D36,2))</f>
        <v>1.53</v>
      </c>
    </row>
    <row r="37" spans="1:6" x14ac:dyDescent="0.2">
      <c r="A37" s="19">
        <v>2</v>
      </c>
      <c r="B37" s="143" t="s">
        <v>1</v>
      </c>
      <c r="C37" s="144"/>
      <c r="D37" s="14">
        <f>IF(F3="1",SUMIF(Data!A:A,'3'!$A$2,Data!CV:CV),0)</f>
        <v>101057</v>
      </c>
      <c r="E37" s="17">
        <f>IF(F3="1",SUMIF(Data!$A:$A,$A$2,Data!IP:IP),0)</f>
        <v>154806</v>
      </c>
      <c r="F37" s="21">
        <f t="shared" si="3"/>
        <v>1.53</v>
      </c>
    </row>
    <row r="38" spans="1:6" ht="14.25" customHeight="1" x14ac:dyDescent="0.2">
      <c r="A38" s="19">
        <v>3</v>
      </c>
      <c r="B38" s="143" t="s">
        <v>2</v>
      </c>
      <c r="C38" s="144"/>
      <c r="D38" s="14">
        <f>IF(F3="1",SUMIF(Data!A:A,'3'!$A$2,Data!CW:CW),0)</f>
        <v>337568</v>
      </c>
      <c r="E38" s="17">
        <f>IF($F$3="1",SUMIF(Data!$A:$A,$A$2,Data!IQ:IQ),0)</f>
        <v>153063</v>
      </c>
      <c r="F38" s="21">
        <f t="shared" si="3"/>
        <v>0.45</v>
      </c>
    </row>
    <row r="39" spans="1:6" ht="14.25" customHeight="1" x14ac:dyDescent="0.2">
      <c r="A39" s="19">
        <v>4</v>
      </c>
      <c r="B39" s="143" t="s">
        <v>3</v>
      </c>
      <c r="C39" s="144"/>
      <c r="D39" s="14">
        <f>IF(F3="1",SUMIF(Data!A:A,'3'!$A$2,Data!CX:CX),0)</f>
        <v>228606</v>
      </c>
      <c r="E39" s="17">
        <f>IF($F$3="1",SUMIF(Data!$A:$A,$A$2,Data!IR:IR),0)</f>
        <v>136429</v>
      </c>
      <c r="F39" s="21">
        <f t="shared" si="3"/>
        <v>0.6</v>
      </c>
    </row>
    <row r="40" spans="1:6" x14ac:dyDescent="0.2">
      <c r="A40" s="19">
        <v>5</v>
      </c>
      <c r="B40" s="143" t="s">
        <v>4</v>
      </c>
      <c r="C40" s="144"/>
      <c r="D40" s="14">
        <f>IF(F3="1",SUMIF(Data!A:A,'3'!$A$2,Data!CY:CY),0)</f>
        <v>0</v>
      </c>
      <c r="E40" s="17">
        <f>IF($F$3="1",SUMIF(Data!$A:$A,$A$2,Data!IS:IS),0)</f>
        <v>0</v>
      </c>
      <c r="F40" s="21" t="str">
        <f t="shared" si="3"/>
        <v/>
      </c>
    </row>
    <row r="41" spans="1:6" x14ac:dyDescent="0.2">
      <c r="A41" s="19">
        <v>6</v>
      </c>
      <c r="B41" s="143" t="s">
        <v>5</v>
      </c>
      <c r="C41" s="144"/>
      <c r="D41" s="14">
        <f>IF(F3="1",SUMIF(Data!A:A,'3'!$A$2,Data!CZ:CZ),0)</f>
        <v>30544</v>
      </c>
      <c r="E41" s="17">
        <f>IF($F$3="1",SUMIF(Data!$A:$A,$A$2,Data!IT:IT),0)</f>
        <v>85186</v>
      </c>
      <c r="F41" s="21">
        <f t="shared" si="3"/>
        <v>2.79</v>
      </c>
    </row>
    <row r="42" spans="1:6" x14ac:dyDescent="0.2">
      <c r="A42" s="19">
        <v>7</v>
      </c>
      <c r="B42" s="143" t="s">
        <v>6</v>
      </c>
      <c r="C42" s="144"/>
      <c r="D42" s="14">
        <f>IF(F3="1",SUMIF(Data!A:A,'3'!$A$2,Data!DA:DA),0)</f>
        <v>274523</v>
      </c>
      <c r="E42" s="17">
        <f>IF($F$3="1",SUMIF(Data!$A:$A,$A$2,Data!IU:IU),0)</f>
        <v>174102</v>
      </c>
      <c r="F42" s="21">
        <f t="shared" si="3"/>
        <v>0.63</v>
      </c>
    </row>
    <row r="43" spans="1:6" x14ac:dyDescent="0.2">
      <c r="A43" s="19">
        <v>8</v>
      </c>
      <c r="B43" s="143" t="s">
        <v>7</v>
      </c>
      <c r="C43" s="144"/>
      <c r="D43" s="14">
        <f>IF(F3="1",SUMIF(Data!A:A,'3'!$A$2,Data!DB:DB),0)</f>
        <v>16521</v>
      </c>
      <c r="E43" s="17">
        <f>IF($F$3="1",SUMIF(Data!$A:$A,$A$2,Data!IV:IV),0)</f>
        <v>6518</v>
      </c>
      <c r="F43" s="21">
        <f t="shared" si="3"/>
        <v>0.39</v>
      </c>
    </row>
    <row r="44" spans="1:6" x14ac:dyDescent="0.2">
      <c r="A44" s="19">
        <v>9</v>
      </c>
      <c r="B44" s="143" t="s">
        <v>8</v>
      </c>
      <c r="C44" s="144"/>
      <c r="D44" s="14">
        <f>IF(F3="1",SUMIF(Data!A:A,'3'!$A$2,Data!DC:DC),0)</f>
        <v>110143</v>
      </c>
      <c r="E44" s="17">
        <f>IF($F$3="1",SUMIF(Data!$A:$A,$A$2,Data!IW:IW),0)</f>
        <v>34086</v>
      </c>
      <c r="F44" s="21">
        <f t="shared" si="3"/>
        <v>0.31</v>
      </c>
    </row>
    <row r="45" spans="1:6" x14ac:dyDescent="0.2">
      <c r="A45" s="19">
        <v>10</v>
      </c>
      <c r="B45" s="143" t="s">
        <v>9</v>
      </c>
      <c r="C45" s="144"/>
      <c r="D45" s="14">
        <f>IF(F3="1",SUMIF(Data!A:A,'3'!$A$2,Data!DD:DD),0)</f>
        <v>656</v>
      </c>
      <c r="E45" s="17">
        <f>IF($F$3="1",SUMIF(Data!$A:$A,$A$2,Data!IX:IX),0)</f>
        <v>274</v>
      </c>
      <c r="F45" s="21">
        <f t="shared" si="3"/>
        <v>0.42</v>
      </c>
    </row>
    <row r="46" spans="1:6" x14ac:dyDescent="0.2">
      <c r="A46" s="19">
        <v>11</v>
      </c>
      <c r="B46" s="143" t="s">
        <v>10</v>
      </c>
      <c r="C46" s="144"/>
      <c r="D46" s="14">
        <f>IF(F3="1",SUMIF(Data!A:A,'3'!$A$2,Data!DE:DE),0)</f>
        <v>144529</v>
      </c>
      <c r="E46" s="17">
        <f>IF($F$3="1",SUMIF(Data!$A:$A,$A$2,Data!IY:IY),0)</f>
        <v>290000</v>
      </c>
      <c r="F46" s="21">
        <f t="shared" si="3"/>
        <v>2.0099999999999998</v>
      </c>
    </row>
    <row r="47" spans="1:6" ht="14.25" customHeight="1" x14ac:dyDescent="0.2">
      <c r="A47" s="19">
        <v>12</v>
      </c>
      <c r="B47" s="143" t="s">
        <v>11</v>
      </c>
      <c r="C47" s="144"/>
      <c r="D47" s="14">
        <f>IF(F3="1",SUMIF(Data!A:A,'3'!$A$2,Data!DF:DF),0)</f>
        <v>580770</v>
      </c>
      <c r="E47" s="17">
        <f>IF($F$3="1",SUMIF(Data!$A:$A,$A$2,Data!IZ:IZ),0)</f>
        <v>318830</v>
      </c>
      <c r="F47" s="21">
        <f t="shared" si="3"/>
        <v>0.55000000000000004</v>
      </c>
    </row>
    <row r="48" spans="1:6" x14ac:dyDescent="0.2">
      <c r="A48" s="19">
        <v>13</v>
      </c>
      <c r="B48" s="143" t="s">
        <v>12</v>
      </c>
      <c r="C48" s="144"/>
      <c r="D48" s="14">
        <f>IF(F3="1",SUMIF(Data!A:A,'3'!$A$2,Data!DG:DG),0)</f>
        <v>25248</v>
      </c>
      <c r="E48" s="17">
        <f>IF($F$3="1",SUMIF(Data!$A:$A,$A$2,Data!JA:JA),0)</f>
        <v>3831</v>
      </c>
      <c r="F48" s="21">
        <f t="shared" si="3"/>
        <v>0.15</v>
      </c>
    </row>
    <row r="49" spans="1:6" ht="14.25" customHeight="1" x14ac:dyDescent="0.2">
      <c r="A49" s="19">
        <v>14</v>
      </c>
      <c r="B49" s="143" t="s">
        <v>464</v>
      </c>
      <c r="C49" s="144"/>
      <c r="D49" s="14">
        <f>IF(F3="1",SUMIF(Data!A:A,'3'!$A$2,Data!DH:DH),0)</f>
        <v>190521</v>
      </c>
      <c r="E49" s="17">
        <f>IF($F$3="1",SUMIF(Data!$A:$A,$A$2,Data!JB:JB),0)</f>
        <v>132538</v>
      </c>
      <c r="F49" s="21">
        <f t="shared" si="3"/>
        <v>0.7</v>
      </c>
    </row>
    <row r="50" spans="1:6" x14ac:dyDescent="0.2">
      <c r="A50" s="19">
        <v>15</v>
      </c>
      <c r="B50" s="143" t="s">
        <v>13</v>
      </c>
      <c r="C50" s="144"/>
      <c r="D50" s="14">
        <f>IF(F3="1",SUMIF(Data!A:A,'3'!$A$2,Data!DI:DI),0)</f>
        <v>41616</v>
      </c>
      <c r="E50" s="17">
        <f>IF($F$3="1",SUMIF(Data!$A:$A,$A$2,Data!JC:JC),0)</f>
        <v>63652</v>
      </c>
      <c r="F50" s="21">
        <f t="shared" si="3"/>
        <v>1.53</v>
      </c>
    </row>
    <row r="51" spans="1:6" x14ac:dyDescent="0.2">
      <c r="A51" s="19">
        <v>16</v>
      </c>
      <c r="B51" s="143" t="s">
        <v>14</v>
      </c>
      <c r="C51" s="144"/>
      <c r="D51" s="14">
        <f>IF(F3="1",SUMIF(Data!A:A,'3'!$A$2,Data!DJ:DJ),0)</f>
        <v>414918</v>
      </c>
      <c r="E51" s="17">
        <f>IF($F$3="1",SUMIF(Data!$A:$A,$A$2,Data!JD:JD),0)</f>
        <v>245523</v>
      </c>
      <c r="F51" s="21">
        <f t="shared" si="3"/>
        <v>0.59</v>
      </c>
    </row>
    <row r="52" spans="1:6" x14ac:dyDescent="0.2">
      <c r="A52" s="19">
        <v>17</v>
      </c>
      <c r="B52" s="143" t="s">
        <v>15</v>
      </c>
      <c r="C52" s="144"/>
      <c r="D52" s="14">
        <f>IF(F3="1",SUMIF(Data!A:A,'3'!$A$2,Data!DK:DK),0)</f>
        <v>26752</v>
      </c>
      <c r="E52" s="17">
        <f>IF($F$3="1",SUMIF(Data!$A:$A,$A$2,Data!JE:JE),0)</f>
        <v>5265</v>
      </c>
      <c r="F52" s="21">
        <f t="shared" si="3"/>
        <v>0.2</v>
      </c>
    </row>
    <row r="53" spans="1:6" x14ac:dyDescent="0.2">
      <c r="A53" s="19">
        <v>18</v>
      </c>
      <c r="B53" s="143" t="s">
        <v>16</v>
      </c>
      <c r="C53" s="144"/>
      <c r="D53" s="14">
        <f>IF(F3="1",SUMIF(Data!A:A,'3'!$A$2,Data!DL:DL),0)</f>
        <v>87304</v>
      </c>
      <c r="E53" s="17">
        <f>IF($F$3="1",SUMIF(Data!$A:$A,$A$2,Data!JF:JF),0)</f>
        <v>27540</v>
      </c>
      <c r="F53" s="21">
        <f t="shared" si="3"/>
        <v>0.32</v>
      </c>
    </row>
    <row r="54" spans="1:6" x14ac:dyDescent="0.2">
      <c r="A54" s="19">
        <v>19</v>
      </c>
      <c r="B54" s="143" t="s">
        <v>17</v>
      </c>
      <c r="C54" s="144"/>
      <c r="D54" s="14">
        <f>IF(F3="1",SUMIF(Data!A:A,'3'!$A$2,Data!DM:DM),0)</f>
        <v>340885</v>
      </c>
      <c r="E54" s="17">
        <f>IF($F$3="1",SUMIF(Data!$A:$A,$A$2,Data!JG:JG),0)</f>
        <v>125471</v>
      </c>
      <c r="F54" s="21">
        <f t="shared" si="3"/>
        <v>0.37</v>
      </c>
    </row>
    <row r="55" spans="1:6" x14ac:dyDescent="0.2">
      <c r="A55" s="19">
        <v>20</v>
      </c>
      <c r="B55" s="143" t="s">
        <v>18</v>
      </c>
      <c r="C55" s="144"/>
      <c r="D55" s="14">
        <f>IF(F3="1",SUMIF(Data!A:A,'3'!$A$2,Data!DN:DN),0)</f>
        <v>110578</v>
      </c>
      <c r="E55" s="17">
        <f>IF($F$3="1",SUMIF(Data!$A:$A,$A$2,Data!JH:JH),0)</f>
        <v>89893</v>
      </c>
      <c r="F55" s="21">
        <f t="shared" si="3"/>
        <v>0.81</v>
      </c>
    </row>
    <row r="56" spans="1:6" ht="14.25" customHeight="1" x14ac:dyDescent="0.2">
      <c r="A56" s="19">
        <v>21</v>
      </c>
      <c r="B56" s="143" t="s">
        <v>461</v>
      </c>
      <c r="C56" s="144"/>
      <c r="D56" s="14">
        <f>IF(F3="1",SUMIF(Data!A:A,'3'!$A$2,Data!DO:DO),0)</f>
        <v>118366</v>
      </c>
      <c r="E56" s="17">
        <f>IF($F$3="1",SUMIF(Data!$A:$A,$A$2,Data!JI:JI),0)</f>
        <v>179816</v>
      </c>
      <c r="F56" s="21">
        <f t="shared" si="3"/>
        <v>1.52</v>
      </c>
    </row>
    <row r="57" spans="1:6" x14ac:dyDescent="0.2">
      <c r="A57" s="19">
        <v>22</v>
      </c>
      <c r="B57" s="143" t="s">
        <v>19</v>
      </c>
      <c r="C57" s="144"/>
      <c r="D57" s="14">
        <f>IF(F3="1",SUMIF(Data!A:A,'3'!$A$2,Data!DP:DP),0)</f>
        <v>10000</v>
      </c>
      <c r="E57" s="17">
        <f>IF($F$3="1",SUMIF(Data!$A:$A,$A$2,Data!JJ:JJ),0)</f>
        <v>13095</v>
      </c>
      <c r="F57" s="21">
        <f t="shared" si="3"/>
        <v>1.31</v>
      </c>
    </row>
    <row r="58" spans="1:6" x14ac:dyDescent="0.2">
      <c r="A58" s="19">
        <v>23</v>
      </c>
      <c r="B58" s="143" t="s">
        <v>20</v>
      </c>
      <c r="C58" s="144"/>
      <c r="D58" s="14">
        <f>IF(F3="1",SUMIF(Data!A:A,'3'!$A$2,Data!DQ:DQ),0)</f>
        <v>96944</v>
      </c>
      <c r="E58" s="17">
        <f>IF($F$3="1",SUMIF(Data!$A:$A,$A$2,Data!JK:JK),0)</f>
        <v>88580</v>
      </c>
      <c r="F58" s="21">
        <f t="shared" si="3"/>
        <v>0.91</v>
      </c>
    </row>
    <row r="59" spans="1:6" x14ac:dyDescent="0.2">
      <c r="A59" s="19">
        <v>24</v>
      </c>
      <c r="B59" s="143" t="s">
        <v>21</v>
      </c>
      <c r="C59" s="144"/>
      <c r="D59" s="14">
        <f>IF(F3="1",SUMIF(Data!A:A,'3'!$A$2,Data!DR:DR),0)</f>
        <v>311849</v>
      </c>
      <c r="E59" s="17">
        <f>IF($F$3="1",SUMIF(Data!$A:$A,$A$2,Data!JL:JL),0)</f>
        <v>386421</v>
      </c>
      <c r="F59" s="21">
        <f t="shared" si="3"/>
        <v>1.24</v>
      </c>
    </row>
    <row r="60" spans="1:6" x14ac:dyDescent="0.2">
      <c r="A60" s="19">
        <v>25</v>
      </c>
      <c r="B60" s="143" t="s">
        <v>22</v>
      </c>
      <c r="C60" s="144"/>
      <c r="D60" s="14">
        <f>IF(F3="1",SUMIF(Data!A:A,'3'!$A$2,Data!DS:DS),0)</f>
        <v>322519</v>
      </c>
      <c r="E60" s="17">
        <f>IF($F$3="1",SUMIF(Data!$A:$A,$A$2,Data!JM:JM),0)</f>
        <v>80690</v>
      </c>
      <c r="F60" s="21">
        <f t="shared" si="3"/>
        <v>0.25</v>
      </c>
    </row>
    <row r="61" spans="1:6" x14ac:dyDescent="0.2">
      <c r="A61" s="19">
        <v>26</v>
      </c>
      <c r="B61" s="143" t="s">
        <v>23</v>
      </c>
      <c r="C61" s="144"/>
      <c r="D61" s="14">
        <f>IF(F3="1",SUMIF(Data!A:A,'3'!$A$2,Data!DT:DT),0)</f>
        <v>164479</v>
      </c>
      <c r="E61" s="17">
        <f>IF($F$3="1",SUMIF(Data!$A:$A,$A$2,Data!JN:JN),0)</f>
        <v>287282</v>
      </c>
      <c r="F61" s="21">
        <f t="shared" si="3"/>
        <v>1.75</v>
      </c>
    </row>
    <row r="62" spans="1:6" x14ac:dyDescent="0.2">
      <c r="A62" s="19">
        <v>28</v>
      </c>
      <c r="B62" s="143" t="s">
        <v>24</v>
      </c>
      <c r="C62" s="144"/>
      <c r="D62" s="14">
        <f>IF(F3="1",SUMIF(Data!A:A,'3'!$A$2,Data!DV:DV),0)</f>
        <v>0</v>
      </c>
      <c r="E62" s="17">
        <f>IF($F$3="1",SUMIF(Data!$A:$A,$A$2,Data!JP:JP),0)</f>
        <v>0</v>
      </c>
      <c r="F62" s="21" t="str">
        <f t="shared" si="3"/>
        <v/>
      </c>
    </row>
    <row r="63" spans="1:6" ht="15.75" customHeight="1" thickBot="1" x14ac:dyDescent="0.25">
      <c r="A63" s="22">
        <v>29</v>
      </c>
      <c r="B63" s="147" t="s">
        <v>25</v>
      </c>
      <c r="C63" s="148"/>
      <c r="D63" s="23">
        <f>IF(F3="1",SUMIF(Data!A:A,'3'!$A$2,Data!DW:DW),0)</f>
        <v>0</v>
      </c>
      <c r="E63" s="24">
        <f>IF($F$3="1",SUMIF(Data!$A:$A,$A$2,Data!JQ:JQ),0)</f>
        <v>0</v>
      </c>
      <c r="F63" s="25" t="str">
        <f t="shared" si="3"/>
        <v/>
      </c>
    </row>
    <row r="64" spans="1:6" x14ac:dyDescent="0.2">
      <c r="B64" s="30" t="s">
        <v>35</v>
      </c>
      <c r="C64" s="30"/>
      <c r="D64" s="59">
        <f>SUM(D36:D63)</f>
        <v>4089448</v>
      </c>
      <c r="E64" s="31">
        <f>SUM(E36:E63)</f>
        <v>3086796</v>
      </c>
      <c r="F64" s="32">
        <f t="shared" si="3"/>
        <v>0.75</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2552</v>
      </c>
      <c r="E67" s="15">
        <f>IF(F3="1",SUMIF(Data!A:A,'3'!$A$2,Data!DY:DY),0)</f>
        <v>16833</v>
      </c>
      <c r="F67" s="20">
        <f t="shared" ref="F67:F95" si="4">IF(OR(D67=0,E67=0),"",ROUND(E67/D67,2))</f>
        <v>6.6</v>
      </c>
    </row>
    <row r="68" spans="1:6" x14ac:dyDescent="0.2">
      <c r="A68" s="19">
        <v>2</v>
      </c>
      <c r="B68" s="143" t="s">
        <v>1</v>
      </c>
      <c r="C68" s="144"/>
      <c r="D68" s="14">
        <f t="shared" ref="D68:D94" si="5">D37</f>
        <v>101057</v>
      </c>
      <c r="E68" s="17">
        <f>IF(F3="1",SUMIF(Data!A:A,'3'!$A$2,Data!DZ:DZ),0)</f>
        <v>321978</v>
      </c>
      <c r="F68" s="21">
        <f t="shared" si="4"/>
        <v>3.19</v>
      </c>
    </row>
    <row r="69" spans="1:6" ht="14.25" customHeight="1" x14ac:dyDescent="0.2">
      <c r="A69" s="19">
        <v>3</v>
      </c>
      <c r="B69" s="143" t="s">
        <v>2</v>
      </c>
      <c r="C69" s="144"/>
      <c r="D69" s="14">
        <f t="shared" si="5"/>
        <v>337568</v>
      </c>
      <c r="E69" s="17">
        <f>IF(F3="1",SUMIF(Data!A:A,'3'!$A$2,Data!EA:EA),0)</f>
        <v>696505</v>
      </c>
      <c r="F69" s="21">
        <f t="shared" si="4"/>
        <v>2.06</v>
      </c>
    </row>
    <row r="70" spans="1:6" ht="14.25" customHeight="1" x14ac:dyDescent="0.2">
      <c r="A70" s="19">
        <v>4</v>
      </c>
      <c r="B70" s="143" t="s">
        <v>3</v>
      </c>
      <c r="C70" s="144"/>
      <c r="D70" s="14">
        <f t="shared" si="5"/>
        <v>228606</v>
      </c>
      <c r="E70" s="17">
        <f>IF(F3="1",SUMIF(Data!A:A,'3'!$A$2,Data!EB:EB),0)</f>
        <v>660026</v>
      </c>
      <c r="F70" s="21">
        <f t="shared" si="4"/>
        <v>2.89</v>
      </c>
    </row>
    <row r="71" spans="1:6" x14ac:dyDescent="0.2">
      <c r="A71" s="19">
        <v>5</v>
      </c>
      <c r="B71" s="143" t="s">
        <v>4</v>
      </c>
      <c r="C71" s="144"/>
      <c r="D71" s="14">
        <f t="shared" si="5"/>
        <v>0</v>
      </c>
      <c r="E71" s="17">
        <f>IF(F3="1",SUMIF(Data!A:A,'3'!$A$2,Data!EC:EC),0)</f>
        <v>0</v>
      </c>
      <c r="F71" s="21" t="str">
        <f t="shared" si="4"/>
        <v/>
      </c>
    </row>
    <row r="72" spans="1:6" x14ac:dyDescent="0.2">
      <c r="A72" s="19">
        <v>6</v>
      </c>
      <c r="B72" s="143" t="s">
        <v>5</v>
      </c>
      <c r="C72" s="144"/>
      <c r="D72" s="14">
        <f t="shared" si="5"/>
        <v>30544</v>
      </c>
      <c r="E72" s="17">
        <f>IF(F3="1",SUMIF(Data!A:A,'3'!$A$2,Data!ED:ED),0)</f>
        <v>110975</v>
      </c>
      <c r="F72" s="21">
        <f t="shared" si="4"/>
        <v>3.63</v>
      </c>
    </row>
    <row r="73" spans="1:6" x14ac:dyDescent="0.2">
      <c r="A73" s="19">
        <v>7</v>
      </c>
      <c r="B73" s="143" t="s">
        <v>6</v>
      </c>
      <c r="C73" s="144"/>
      <c r="D73" s="14">
        <f t="shared" si="5"/>
        <v>274523</v>
      </c>
      <c r="E73" s="17">
        <f>IF(F3="1",SUMIF(Data!A:A,'3'!$A$2,Data!EE:EE),0)</f>
        <v>521805</v>
      </c>
      <c r="F73" s="21">
        <f t="shared" si="4"/>
        <v>1.9</v>
      </c>
    </row>
    <row r="74" spans="1:6" x14ac:dyDescent="0.2">
      <c r="A74" s="19">
        <v>8</v>
      </c>
      <c r="B74" s="143" t="s">
        <v>7</v>
      </c>
      <c r="C74" s="144"/>
      <c r="D74" s="14">
        <f t="shared" si="5"/>
        <v>16521</v>
      </c>
      <c r="E74" s="17">
        <f>IF(F3="1",SUMIF(Data!A:A,'3'!$A$2,Data!EF:EF),0)</f>
        <v>15599</v>
      </c>
      <c r="F74" s="21">
        <f t="shared" si="4"/>
        <v>0.94</v>
      </c>
    </row>
    <row r="75" spans="1:6" x14ac:dyDescent="0.2">
      <c r="A75" s="19">
        <v>9</v>
      </c>
      <c r="B75" s="143" t="s">
        <v>8</v>
      </c>
      <c r="C75" s="144"/>
      <c r="D75" s="14">
        <f t="shared" si="5"/>
        <v>110143</v>
      </c>
      <c r="E75" s="17">
        <f>IF(F3="1",SUMIF(Data!A:A,'3'!$A$2,Data!EG:EG),0)</f>
        <v>241838</v>
      </c>
      <c r="F75" s="21">
        <f t="shared" si="4"/>
        <v>2.2000000000000002</v>
      </c>
    </row>
    <row r="76" spans="1:6" x14ac:dyDescent="0.2">
      <c r="A76" s="19">
        <v>10</v>
      </c>
      <c r="B76" s="143" t="s">
        <v>9</v>
      </c>
      <c r="C76" s="144"/>
      <c r="D76" s="14">
        <f t="shared" si="5"/>
        <v>656</v>
      </c>
      <c r="E76" s="17">
        <f>IF(F3="1",SUMIF(Data!A:A,'3'!$A$2,Data!EH:EH),0)</f>
        <v>2552</v>
      </c>
      <c r="F76" s="21">
        <f t="shared" si="4"/>
        <v>3.89</v>
      </c>
    </row>
    <row r="77" spans="1:6" x14ac:dyDescent="0.2">
      <c r="A77" s="19">
        <v>11</v>
      </c>
      <c r="B77" s="143" t="s">
        <v>10</v>
      </c>
      <c r="C77" s="144"/>
      <c r="D77" s="14">
        <f t="shared" si="5"/>
        <v>144529</v>
      </c>
      <c r="E77" s="17">
        <f>IF(F3="1",SUMIF(Data!A:A,'3'!$A$2,Data!EI:EI),0)</f>
        <v>432443</v>
      </c>
      <c r="F77" s="21">
        <f t="shared" si="4"/>
        <v>2.99</v>
      </c>
    </row>
    <row r="78" spans="1:6" ht="14.25" customHeight="1" x14ac:dyDescent="0.2">
      <c r="A78" s="19">
        <v>12</v>
      </c>
      <c r="B78" s="143" t="s">
        <v>11</v>
      </c>
      <c r="C78" s="144"/>
      <c r="D78" s="14">
        <f t="shared" si="5"/>
        <v>580770</v>
      </c>
      <c r="E78" s="17">
        <f>IF(F3="1",SUMIF(Data!A:A,'3'!$A$2,Data!EJ:EJ),0)</f>
        <v>1333022</v>
      </c>
      <c r="F78" s="21">
        <f t="shared" si="4"/>
        <v>2.2999999999999998</v>
      </c>
    </row>
    <row r="79" spans="1:6" x14ac:dyDescent="0.2">
      <c r="A79" s="19">
        <v>13</v>
      </c>
      <c r="B79" s="143" t="s">
        <v>12</v>
      </c>
      <c r="C79" s="144"/>
      <c r="D79" s="14">
        <f t="shared" si="5"/>
        <v>25248</v>
      </c>
      <c r="E79" s="17">
        <f>IF(F3="1",SUMIF(Data!A:A,'3'!$A$2,Data!EK:EK),0)</f>
        <v>112509</v>
      </c>
      <c r="F79" s="21">
        <f t="shared" si="4"/>
        <v>4.46</v>
      </c>
    </row>
    <row r="80" spans="1:6" ht="14.25" customHeight="1" x14ac:dyDescent="0.2">
      <c r="A80" s="19">
        <v>14</v>
      </c>
      <c r="B80" s="143" t="s">
        <v>464</v>
      </c>
      <c r="C80" s="144"/>
      <c r="D80" s="14">
        <f t="shared" si="5"/>
        <v>190521</v>
      </c>
      <c r="E80" s="17">
        <f>IF(F3="1",SUMIF(Data!A:A,'3'!$A$2,Data!EL:EL),0)</f>
        <v>807716</v>
      </c>
      <c r="F80" s="21">
        <f t="shared" si="4"/>
        <v>4.24</v>
      </c>
    </row>
    <row r="81" spans="1:6" x14ac:dyDescent="0.2">
      <c r="A81" s="19">
        <v>15</v>
      </c>
      <c r="B81" s="143" t="s">
        <v>13</v>
      </c>
      <c r="C81" s="144"/>
      <c r="D81" s="14">
        <f t="shared" si="5"/>
        <v>41616</v>
      </c>
      <c r="E81" s="17">
        <f>IF(F3="1",SUMIF(Data!A:A,'3'!$A$2,Data!EM:EM),0)</f>
        <v>222232</v>
      </c>
      <c r="F81" s="21">
        <f t="shared" si="4"/>
        <v>5.34</v>
      </c>
    </row>
    <row r="82" spans="1:6" x14ac:dyDescent="0.2">
      <c r="A82" s="19">
        <v>16</v>
      </c>
      <c r="B82" s="143" t="s">
        <v>14</v>
      </c>
      <c r="C82" s="144"/>
      <c r="D82" s="14">
        <f t="shared" si="5"/>
        <v>414918</v>
      </c>
      <c r="E82" s="17">
        <f>IF(F3="1",SUMIF(Data!A:A,'3'!$A$2,Data!EN:EN),0)</f>
        <v>995598</v>
      </c>
      <c r="F82" s="21">
        <f t="shared" si="4"/>
        <v>2.4</v>
      </c>
    </row>
    <row r="83" spans="1:6" x14ac:dyDescent="0.2">
      <c r="A83" s="19">
        <v>17</v>
      </c>
      <c r="B83" s="143" t="s">
        <v>15</v>
      </c>
      <c r="C83" s="144"/>
      <c r="D83" s="14">
        <f t="shared" si="5"/>
        <v>26752</v>
      </c>
      <c r="E83" s="17">
        <f>IF(F3="1",SUMIF(Data!A:A,'3'!$A$2,Data!EO:EO),0)</f>
        <v>141442</v>
      </c>
      <c r="F83" s="21">
        <f t="shared" si="4"/>
        <v>5.29</v>
      </c>
    </row>
    <row r="84" spans="1:6" x14ac:dyDescent="0.2">
      <c r="A84" s="19">
        <v>18</v>
      </c>
      <c r="B84" s="143" t="s">
        <v>16</v>
      </c>
      <c r="C84" s="144"/>
      <c r="D84" s="14">
        <f t="shared" si="5"/>
        <v>87304</v>
      </c>
      <c r="E84" s="17">
        <f>IF(F3="1",SUMIF(Data!A:A,'3'!$A$2,Data!EP:EP),0)</f>
        <v>239741</v>
      </c>
      <c r="F84" s="21">
        <f t="shared" si="4"/>
        <v>2.75</v>
      </c>
    </row>
    <row r="85" spans="1:6" x14ac:dyDescent="0.2">
      <c r="A85" s="19">
        <v>19</v>
      </c>
      <c r="B85" s="143" t="s">
        <v>17</v>
      </c>
      <c r="C85" s="144"/>
      <c r="D85" s="14">
        <f t="shared" si="5"/>
        <v>340885</v>
      </c>
      <c r="E85" s="17">
        <f>IF(F3="1",SUMIF(Data!A:A,'3'!$A$2,Data!EQ:EQ),0)</f>
        <v>626784</v>
      </c>
      <c r="F85" s="21">
        <f t="shared" si="4"/>
        <v>1.84</v>
      </c>
    </row>
    <row r="86" spans="1:6" x14ac:dyDescent="0.2">
      <c r="A86" s="19">
        <v>20</v>
      </c>
      <c r="B86" s="143" t="s">
        <v>18</v>
      </c>
      <c r="C86" s="144"/>
      <c r="D86" s="14">
        <f t="shared" si="5"/>
        <v>110578</v>
      </c>
      <c r="E86" s="17">
        <f>IF(F3="1",SUMIF(Data!A:A,'3'!$A$2,Data!ER:ER),0)</f>
        <v>490649</v>
      </c>
      <c r="F86" s="21">
        <f t="shared" si="4"/>
        <v>4.4400000000000004</v>
      </c>
    </row>
    <row r="87" spans="1:6" ht="14.25" customHeight="1" x14ac:dyDescent="0.2">
      <c r="A87" s="19">
        <v>21</v>
      </c>
      <c r="B87" s="143" t="s">
        <v>461</v>
      </c>
      <c r="C87" s="144"/>
      <c r="D87" s="14">
        <f t="shared" si="5"/>
        <v>118366</v>
      </c>
      <c r="E87" s="17">
        <f>IF(F3="1",SUMIF(Data!A:A,'3'!$A$2,Data!ES:ES),0)</f>
        <v>270311</v>
      </c>
      <c r="F87" s="21">
        <f t="shared" si="4"/>
        <v>2.2799999999999998</v>
      </c>
    </row>
    <row r="88" spans="1:6" x14ac:dyDescent="0.2">
      <c r="A88" s="19">
        <v>22</v>
      </c>
      <c r="B88" s="143" t="s">
        <v>19</v>
      </c>
      <c r="C88" s="144"/>
      <c r="D88" s="14">
        <f t="shared" si="5"/>
        <v>10000</v>
      </c>
      <c r="E88" s="17">
        <f>IF(F3="1",SUMIF(Data!A:A,'3'!$A$2,Data!ET:ET),0)</f>
        <v>36057</v>
      </c>
      <c r="F88" s="21">
        <f t="shared" si="4"/>
        <v>3.61</v>
      </c>
    </row>
    <row r="89" spans="1:6" x14ac:dyDescent="0.2">
      <c r="A89" s="19">
        <v>23</v>
      </c>
      <c r="B89" s="143" t="s">
        <v>20</v>
      </c>
      <c r="C89" s="144"/>
      <c r="D89" s="14">
        <f t="shared" si="5"/>
        <v>96944</v>
      </c>
      <c r="E89" s="17">
        <f>IF(F3="1",SUMIF(Data!A:A,'3'!$A$2,Data!EU:EU),0)</f>
        <v>169125</v>
      </c>
      <c r="F89" s="21">
        <f t="shared" si="4"/>
        <v>1.74</v>
      </c>
    </row>
    <row r="90" spans="1:6" x14ac:dyDescent="0.2">
      <c r="A90" s="19">
        <v>24</v>
      </c>
      <c r="B90" s="143" t="s">
        <v>21</v>
      </c>
      <c r="C90" s="144"/>
      <c r="D90" s="14">
        <f t="shared" si="5"/>
        <v>311849</v>
      </c>
      <c r="E90" s="17">
        <f>IF(F3="1",SUMIF(Data!A:A,'3'!$A$2,Data!EV:EV),0)</f>
        <v>423056</v>
      </c>
      <c r="F90" s="21">
        <f t="shared" si="4"/>
        <v>1.36</v>
      </c>
    </row>
    <row r="91" spans="1:6" x14ac:dyDescent="0.2">
      <c r="A91" s="19">
        <v>25</v>
      </c>
      <c r="B91" s="143" t="s">
        <v>22</v>
      </c>
      <c r="C91" s="144"/>
      <c r="D91" s="14">
        <f t="shared" si="5"/>
        <v>322519</v>
      </c>
      <c r="E91" s="17">
        <f>IF(F3="1",SUMIF(Data!A:A,'3'!$A$2,Data!EW:EW),0)</f>
        <v>724994</v>
      </c>
      <c r="F91" s="21">
        <f t="shared" si="4"/>
        <v>2.25</v>
      </c>
    </row>
    <row r="92" spans="1:6" x14ac:dyDescent="0.2">
      <c r="A92" s="19">
        <v>26</v>
      </c>
      <c r="B92" s="143" t="s">
        <v>23</v>
      </c>
      <c r="C92" s="144"/>
      <c r="D92" s="14">
        <f t="shared" si="5"/>
        <v>164479</v>
      </c>
      <c r="E92" s="17">
        <f>IF(F3="1",SUMIF(Data!A:A,'3'!$A$2,Data!EX:EX),0)</f>
        <v>744427</v>
      </c>
      <c r="F92" s="21">
        <f t="shared" si="4"/>
        <v>4.53</v>
      </c>
    </row>
    <row r="93" spans="1:6" x14ac:dyDescent="0.2">
      <c r="A93" s="19">
        <v>28</v>
      </c>
      <c r="B93" s="143" t="s">
        <v>24</v>
      </c>
      <c r="C93" s="144"/>
      <c r="D93" s="14">
        <f t="shared" si="5"/>
        <v>0</v>
      </c>
      <c r="E93" s="17">
        <f>IF(F3="1",SUMIF(Data!A:A,'3'!$A$2,Data!EZ:EZ),0)</f>
        <v>0</v>
      </c>
      <c r="F93" s="21" t="str">
        <f t="shared" si="4"/>
        <v/>
      </c>
    </row>
    <row r="94" spans="1:6" ht="15.75" customHeight="1" thickBot="1" x14ac:dyDescent="0.25">
      <c r="A94" s="22">
        <v>29</v>
      </c>
      <c r="B94" s="147" t="s">
        <v>25</v>
      </c>
      <c r="C94" s="148"/>
      <c r="D94" s="23">
        <f t="shared" si="5"/>
        <v>0</v>
      </c>
      <c r="E94" s="24">
        <f>IF(F3="1",SUMIF(Data!A:A,'3'!$A$2,Data!FA:FA),0)</f>
        <v>0</v>
      </c>
      <c r="F94" s="25" t="str">
        <f t="shared" si="4"/>
        <v/>
      </c>
    </row>
    <row r="95" spans="1:6" x14ac:dyDescent="0.2">
      <c r="B95" s="30" t="s">
        <v>35</v>
      </c>
      <c r="C95" s="30"/>
      <c r="D95" s="59">
        <f>SUM(D67:D94)</f>
        <v>4089448</v>
      </c>
      <c r="E95" s="31">
        <f>SUM(E67:E94)</f>
        <v>10358217</v>
      </c>
      <c r="F95" s="32">
        <f t="shared" si="4"/>
        <v>2.5299999999999998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IF(F3="1",SUMIF(Data!A:A,'3'!$A$2,Data!AH:AH),0)</f>
        <v>5601909</v>
      </c>
      <c r="F98" s="20">
        <f>IF(OR(E98=0,E98=0),"",ROUND(E98/$D$105,2))</f>
        <v>1.37</v>
      </c>
    </row>
    <row r="99" spans="2:6" x14ac:dyDescent="0.2">
      <c r="B99" s="153" t="s">
        <v>31</v>
      </c>
      <c r="C99" s="154"/>
      <c r="D99" s="36"/>
      <c r="E99" s="17">
        <f>IF(F3="1",SUMIF(Data!A:A,'3'!$A$2,Data!AI:AI),0)</f>
        <v>2169433</v>
      </c>
      <c r="F99" s="21">
        <f t="shared" ref="F99:F104" si="6">IF(OR(E99=0,E99=0),"",ROUND(E99/$D$105,2))</f>
        <v>0.53</v>
      </c>
    </row>
    <row r="100" spans="2:6" x14ac:dyDescent="0.2">
      <c r="B100" s="153" t="s">
        <v>1078</v>
      </c>
      <c r="C100" s="154"/>
      <c r="D100" s="36"/>
      <c r="E100" s="17">
        <f>IF(F3="1",SUMIF(Data!A:A,'3'!$A$2,Data!AJ:AJ),0)</f>
        <v>862389</v>
      </c>
      <c r="F100" s="21">
        <f t="shared" si="6"/>
        <v>0.21</v>
      </c>
    </row>
    <row r="101" spans="2:6" x14ac:dyDescent="0.2">
      <c r="B101" s="153" t="s">
        <v>1079</v>
      </c>
      <c r="C101" s="154"/>
      <c r="D101" s="36"/>
      <c r="E101" s="17">
        <f>IF(F3="1",SUMIF(Data!A:A,'3'!$A$2,Data!AK:AK),0)</f>
        <v>1264843</v>
      </c>
      <c r="F101" s="21">
        <f t="shared" si="6"/>
        <v>0.31</v>
      </c>
    </row>
    <row r="102" spans="2:6" x14ac:dyDescent="0.2">
      <c r="B102" s="153" t="s">
        <v>1080</v>
      </c>
      <c r="C102" s="154"/>
      <c r="D102" s="36"/>
      <c r="E102" s="17">
        <f>IF(F3="1",SUMIF(Data!A:A,'3'!$A$2,Data!AL:AL),0)</f>
        <v>274030</v>
      </c>
      <c r="F102" s="21">
        <f t="shared" si="6"/>
        <v>7.0000000000000007E-2</v>
      </c>
    </row>
    <row r="103" spans="2:6" x14ac:dyDescent="0.2">
      <c r="B103" s="155" t="s">
        <v>34</v>
      </c>
      <c r="C103" s="156"/>
      <c r="D103" s="36"/>
      <c r="E103" s="17">
        <f>IF(F3="1",SUMIF(Data!A:A,'3'!$A$2,Data!AM:AM),0)</f>
        <v>0</v>
      </c>
      <c r="F103" s="21" t="str">
        <f t="shared" si="6"/>
        <v/>
      </c>
    </row>
    <row r="104" spans="2:6" ht="15.75" customHeight="1" thickBot="1" x14ac:dyDescent="0.25">
      <c r="B104" s="149" t="s">
        <v>29</v>
      </c>
      <c r="C104" s="150"/>
      <c r="D104" s="37"/>
      <c r="E104" s="24">
        <f>IF(F3="1",SUMIF(Data!A:A,'3'!$A$2,Data!Q:Q),0)</f>
        <v>1984855</v>
      </c>
      <c r="F104" s="25">
        <f t="shared" si="6"/>
        <v>0.49</v>
      </c>
    </row>
    <row r="105" spans="2:6" x14ac:dyDescent="0.2">
      <c r="B105" s="30" t="s">
        <v>35</v>
      </c>
      <c r="C105" s="30"/>
      <c r="D105" s="34">
        <f>D95</f>
        <v>4089448</v>
      </c>
      <c r="E105" s="31">
        <f>SUM(E98:E104)</f>
        <v>12157459</v>
      </c>
      <c r="F105" s="32">
        <f>IF($D$105=0,"",ROUND(E105/$D$105,2))</f>
        <v>2.97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10358217</v>
      </c>
      <c r="D109" s="15">
        <f>IF(F3="1",SUMIF(Data!$A:$A,$A$2,Data!HJ:HJ),0)</f>
        <v>0</v>
      </c>
      <c r="E109" s="15">
        <f>IF(F3="1",SUMIF(Data!$A:$A,$A$2,Data!IN:IN),0)</f>
        <v>0</v>
      </c>
      <c r="F109" s="47">
        <f>SUM(C109:E109)</f>
        <v>10358217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274030</v>
      </c>
      <c r="F116" s="48">
        <f t="shared" si="7"/>
        <v>274030</v>
      </c>
    </row>
    <row r="117" spans="1:6" ht="15" thickBot="1" x14ac:dyDescent="0.25">
      <c r="B117" s="43" t="s">
        <v>933</v>
      </c>
      <c r="C117" s="52"/>
      <c r="D117" s="52">
        <f>IF(F3="1",SUMIF(Data!A:A,$A$2,Data!Q:Q),0)</f>
        <v>1984855</v>
      </c>
      <c r="E117" s="52"/>
      <c r="F117" s="49">
        <f>SUM(C117:E117)</f>
        <v>1984855</v>
      </c>
    </row>
    <row r="118" spans="1:6" x14ac:dyDescent="0.2">
      <c r="B118" s="13" t="s">
        <v>35</v>
      </c>
      <c r="C118" s="4">
        <f>SUM(C109:C116)</f>
        <v>10358217</v>
      </c>
      <c r="D118" s="4">
        <f>SUM(D109:D116)</f>
        <v>0</v>
      </c>
      <c r="E118" s="4">
        <f>SUM(E109:E116)</f>
        <v>274030</v>
      </c>
      <c r="F118" s="4">
        <f>SUM(F109:F116)</f>
        <v>10632247</v>
      </c>
    </row>
    <row r="119" spans="1:6" ht="15" thickBot="1" x14ac:dyDescent="0.25"/>
    <row r="120" spans="1:6" ht="15" thickBot="1" x14ac:dyDescent="0.25">
      <c r="B120" s="55" t="s">
        <v>934</v>
      </c>
      <c r="C120" s="53"/>
      <c r="D120" s="53"/>
      <c r="E120" s="53">
        <f>IF(F3="1",SUMIF(Data!A:A,'3'!$A$2,Data!AM:AM),0)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421</v>
      </c>
      <c r="B2" s="58" t="str">
        <f>VLOOKUP(A2,Data!A:G,7,0)</f>
        <v>Angelina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120</v>
      </c>
      <c r="E5" s="15">
        <f>E36+E67+IFERROR($E$105/$D$105*D5,0)</f>
        <v>713.38160894940029</v>
      </c>
      <c r="F5" s="20">
        <f>IF(OR(D5=0,E5=0),"",ROUND(E5/D5,2))</f>
        <v>5.94</v>
      </c>
    </row>
    <row r="6" spans="1:6" x14ac:dyDescent="0.2">
      <c r="A6" s="19">
        <v>2</v>
      </c>
      <c r="B6" s="143" t="s">
        <v>1</v>
      </c>
      <c r="C6" s="144"/>
      <c r="D6" s="14">
        <f t="shared" ref="D6:D32" si="0">D37</f>
        <v>146620</v>
      </c>
      <c r="E6" s="17">
        <f t="shared" ref="E6:E32" si="1">E37+E68+IFERROR($E$105/$D$105*D6,0)</f>
        <v>613267.76253467565</v>
      </c>
      <c r="F6" s="21">
        <f t="shared" ref="F6:F33" si="2">IF(OR(D6=0,E6=0),"",ROUND(E6/D6,2))</f>
        <v>4.18</v>
      </c>
    </row>
    <row r="7" spans="1:6" ht="14.25" customHeight="1" x14ac:dyDescent="0.2">
      <c r="A7" s="19">
        <v>3</v>
      </c>
      <c r="B7" s="143" t="s">
        <v>2</v>
      </c>
      <c r="C7" s="144"/>
      <c r="D7" s="14">
        <f t="shared" si="0"/>
        <v>168144</v>
      </c>
      <c r="E7" s="17">
        <f t="shared" si="1"/>
        <v>671677.11045989976</v>
      </c>
      <c r="F7" s="21">
        <f t="shared" si="2"/>
        <v>3.99</v>
      </c>
    </row>
    <row r="8" spans="1:6" ht="14.25" customHeight="1" x14ac:dyDescent="0.2">
      <c r="A8" s="19">
        <v>4</v>
      </c>
      <c r="B8" s="143" t="s">
        <v>3</v>
      </c>
      <c r="C8" s="144"/>
      <c r="D8" s="14">
        <f t="shared" si="0"/>
        <v>117567</v>
      </c>
      <c r="E8" s="17">
        <f t="shared" si="1"/>
        <v>686607.19682795124</v>
      </c>
      <c r="F8" s="21">
        <f t="shared" si="2"/>
        <v>5.84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6176</v>
      </c>
      <c r="E10" s="17">
        <f t="shared" si="1"/>
        <v>38413.240140595801</v>
      </c>
      <c r="F10" s="21">
        <f t="shared" si="2"/>
        <v>6.22</v>
      </c>
    </row>
    <row r="11" spans="1:6" x14ac:dyDescent="0.2">
      <c r="A11" s="19">
        <v>7</v>
      </c>
      <c r="B11" s="143" t="s">
        <v>6</v>
      </c>
      <c r="C11" s="144"/>
      <c r="D11" s="14">
        <f t="shared" si="0"/>
        <v>65893</v>
      </c>
      <c r="E11" s="17">
        <f t="shared" si="1"/>
        <v>409474.7196541903</v>
      </c>
      <c r="F11" s="21">
        <f t="shared" si="2"/>
        <v>6.21</v>
      </c>
    </row>
    <row r="12" spans="1:6" x14ac:dyDescent="0.2">
      <c r="A12" s="19">
        <v>8</v>
      </c>
      <c r="B12" s="143" t="s">
        <v>7</v>
      </c>
      <c r="C12" s="144"/>
      <c r="D12" s="14">
        <f t="shared" si="0"/>
        <v>72</v>
      </c>
      <c r="E12" s="17">
        <f t="shared" si="1"/>
        <v>424.4289653696402</v>
      </c>
      <c r="F12" s="21">
        <f t="shared" si="2"/>
        <v>5.89</v>
      </c>
    </row>
    <row r="13" spans="1:6" x14ac:dyDescent="0.2">
      <c r="A13" s="19">
        <v>9</v>
      </c>
      <c r="B13" s="143" t="s">
        <v>8</v>
      </c>
      <c r="C13" s="144"/>
      <c r="D13" s="14">
        <f t="shared" si="0"/>
        <v>35008</v>
      </c>
      <c r="E13" s="17">
        <f t="shared" si="1"/>
        <v>167227.12805083839</v>
      </c>
      <c r="F13" s="21">
        <f t="shared" si="2"/>
        <v>4.78</v>
      </c>
    </row>
    <row r="14" spans="1:6" x14ac:dyDescent="0.2">
      <c r="A14" s="19">
        <v>10</v>
      </c>
      <c r="B14" s="143" t="s">
        <v>9</v>
      </c>
      <c r="C14" s="144"/>
      <c r="D14" s="14">
        <f t="shared" si="0"/>
        <v>5232</v>
      </c>
      <c r="E14" s="17">
        <f t="shared" si="1"/>
        <v>56600.838150193857</v>
      </c>
      <c r="F14" s="21">
        <f t="shared" si="2"/>
        <v>10.82</v>
      </c>
    </row>
    <row r="15" spans="1:6" x14ac:dyDescent="0.2">
      <c r="A15" s="19">
        <v>11</v>
      </c>
      <c r="B15" s="143" t="s">
        <v>10</v>
      </c>
      <c r="C15" s="144"/>
      <c r="D15" s="14">
        <f t="shared" si="0"/>
        <v>29652</v>
      </c>
      <c r="E15" s="17">
        <f t="shared" si="1"/>
        <v>104757.99557139681</v>
      </c>
      <c r="F15" s="21">
        <f t="shared" si="2"/>
        <v>3.53</v>
      </c>
    </row>
    <row r="16" spans="1:6" ht="14.25" customHeight="1" x14ac:dyDescent="0.2">
      <c r="A16" s="19">
        <v>12</v>
      </c>
      <c r="B16" s="143" t="s">
        <v>11</v>
      </c>
      <c r="C16" s="144"/>
      <c r="D16" s="14">
        <f t="shared" si="0"/>
        <v>262352</v>
      </c>
      <c r="E16" s="17">
        <f t="shared" si="1"/>
        <v>1019653.4989257755</v>
      </c>
      <c r="F16" s="21">
        <f t="shared" si="2"/>
        <v>3.89</v>
      </c>
    </row>
    <row r="17" spans="1:6" x14ac:dyDescent="0.2">
      <c r="A17" s="19">
        <v>13</v>
      </c>
      <c r="B17" s="143" t="s">
        <v>12</v>
      </c>
      <c r="C17" s="144"/>
      <c r="D17" s="14">
        <f t="shared" si="0"/>
        <v>19472</v>
      </c>
      <c r="E17" s="17">
        <f t="shared" si="1"/>
        <v>99440.122412189361</v>
      </c>
      <c r="F17" s="21">
        <f t="shared" si="2"/>
        <v>5.1100000000000003</v>
      </c>
    </row>
    <row r="18" spans="1:6" ht="14.25" customHeight="1" x14ac:dyDescent="0.2">
      <c r="A18" s="19">
        <v>14</v>
      </c>
      <c r="B18" s="143" t="s">
        <v>464</v>
      </c>
      <c r="C18" s="144"/>
      <c r="D18" s="14">
        <f t="shared" si="0"/>
        <v>103306</v>
      </c>
      <c r="E18" s="17">
        <f t="shared" si="1"/>
        <v>695712.87078438955</v>
      </c>
      <c r="F18" s="21">
        <f t="shared" si="2"/>
        <v>6.73</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95009</v>
      </c>
      <c r="E20" s="17">
        <f t="shared" si="1"/>
        <v>621598.41070561309</v>
      </c>
      <c r="F20" s="21">
        <f t="shared" si="2"/>
        <v>6.54</v>
      </c>
    </row>
    <row r="21" spans="1:6" x14ac:dyDescent="0.2">
      <c r="A21" s="19">
        <v>17</v>
      </c>
      <c r="B21" s="143" t="s">
        <v>15</v>
      </c>
      <c r="C21" s="144"/>
      <c r="D21" s="14">
        <f t="shared" si="0"/>
        <v>30464</v>
      </c>
      <c r="E21" s="17">
        <f t="shared" si="1"/>
        <v>194700.27779195443</v>
      </c>
      <c r="F21" s="21">
        <f t="shared" si="2"/>
        <v>6.39</v>
      </c>
    </row>
    <row r="22" spans="1:6" x14ac:dyDescent="0.2">
      <c r="A22" s="19">
        <v>18</v>
      </c>
      <c r="B22" s="143" t="s">
        <v>16</v>
      </c>
      <c r="C22" s="144"/>
      <c r="D22" s="14">
        <f t="shared" si="0"/>
        <v>75467</v>
      </c>
      <c r="E22" s="17">
        <f t="shared" si="1"/>
        <v>465316.81568820326</v>
      </c>
      <c r="F22" s="21">
        <f t="shared" si="2"/>
        <v>6.17</v>
      </c>
    </row>
    <row r="23" spans="1:6" x14ac:dyDescent="0.2">
      <c r="A23" s="19">
        <v>19</v>
      </c>
      <c r="B23" s="143" t="s">
        <v>17</v>
      </c>
      <c r="C23" s="144"/>
      <c r="D23" s="14">
        <f t="shared" si="0"/>
        <v>199360</v>
      </c>
      <c r="E23" s="17">
        <f t="shared" si="1"/>
        <v>774766.97966793715</v>
      </c>
      <c r="F23" s="21">
        <f t="shared" si="2"/>
        <v>3.89</v>
      </c>
    </row>
    <row r="24" spans="1:6" x14ac:dyDescent="0.2">
      <c r="A24" s="19">
        <v>20</v>
      </c>
      <c r="B24" s="143" t="s">
        <v>18</v>
      </c>
      <c r="C24" s="144"/>
      <c r="D24" s="14">
        <f t="shared" si="0"/>
        <v>14160</v>
      </c>
      <c r="E24" s="17">
        <f t="shared" si="1"/>
        <v>79139.029856029243</v>
      </c>
      <c r="F24" s="21">
        <f t="shared" si="2"/>
        <v>5.59</v>
      </c>
    </row>
    <row r="25" spans="1:6" ht="14.25" customHeight="1" x14ac:dyDescent="0.2">
      <c r="A25" s="19">
        <v>21</v>
      </c>
      <c r="B25" s="143" t="s">
        <v>461</v>
      </c>
      <c r="C25" s="144"/>
      <c r="D25" s="14">
        <f t="shared" si="0"/>
        <v>7968</v>
      </c>
      <c r="E25" s="17">
        <f t="shared" si="1"/>
        <v>49001.138834240177</v>
      </c>
      <c r="F25" s="21">
        <f t="shared" si="2"/>
        <v>6.15</v>
      </c>
    </row>
    <row r="26" spans="1:6" x14ac:dyDescent="0.2">
      <c r="A26" s="19">
        <v>22</v>
      </c>
      <c r="B26" s="143" t="s">
        <v>19</v>
      </c>
      <c r="C26" s="144"/>
      <c r="D26" s="14">
        <f t="shared" si="0"/>
        <v>61312</v>
      </c>
      <c r="E26" s="17">
        <f t="shared" si="1"/>
        <v>339160.17673254694</v>
      </c>
      <c r="F26" s="21">
        <f t="shared" si="2"/>
        <v>5.53</v>
      </c>
    </row>
    <row r="27" spans="1:6" x14ac:dyDescent="0.2">
      <c r="A27" s="19">
        <v>23</v>
      </c>
      <c r="B27" s="143" t="s">
        <v>20</v>
      </c>
      <c r="C27" s="144"/>
      <c r="D27" s="14">
        <f t="shared" si="0"/>
        <v>53632</v>
      </c>
      <c r="E27" s="17">
        <f t="shared" si="1"/>
        <v>246832.75375978532</v>
      </c>
      <c r="F27" s="21">
        <f t="shared" si="2"/>
        <v>4.5999999999999996</v>
      </c>
    </row>
    <row r="28" spans="1:6" x14ac:dyDescent="0.2">
      <c r="A28" s="19">
        <v>24</v>
      </c>
      <c r="B28" s="143" t="s">
        <v>21</v>
      </c>
      <c r="C28" s="144"/>
      <c r="D28" s="14">
        <f t="shared" si="0"/>
        <v>114422</v>
      </c>
      <c r="E28" s="17">
        <f t="shared" si="1"/>
        <v>533281.32049340243</v>
      </c>
      <c r="F28" s="21">
        <f t="shared" si="2"/>
        <v>4.66</v>
      </c>
    </row>
    <row r="29" spans="1:6" x14ac:dyDescent="0.2">
      <c r="A29" s="19">
        <v>25</v>
      </c>
      <c r="B29" s="143" t="s">
        <v>22</v>
      </c>
      <c r="C29" s="144"/>
      <c r="D29" s="14">
        <f t="shared" si="0"/>
        <v>264144</v>
      </c>
      <c r="E29" s="17">
        <f t="shared" si="1"/>
        <v>970731.39761941996</v>
      </c>
      <c r="F29" s="21">
        <f t="shared" si="2"/>
        <v>3.68</v>
      </c>
    </row>
    <row r="30" spans="1:6" x14ac:dyDescent="0.2">
      <c r="A30" s="19">
        <v>26</v>
      </c>
      <c r="B30" s="143" t="s">
        <v>23</v>
      </c>
      <c r="C30" s="144"/>
      <c r="D30" s="14">
        <f t="shared" si="0"/>
        <v>68176</v>
      </c>
      <c r="E30" s="17">
        <f t="shared" si="1"/>
        <v>400321.4047644526</v>
      </c>
      <c r="F30" s="21">
        <f t="shared" si="2"/>
        <v>5.87</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1943728</v>
      </c>
      <c r="E33" s="31">
        <f>SUM(E5:E32)</f>
        <v>9238820</v>
      </c>
      <c r="F33" s="32">
        <f t="shared" si="2"/>
        <v>4.75</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IF(F3="1",SUMIF(Data!A:A,'4'!$A$2,Data!CU:CU),0)</f>
        <v>120</v>
      </c>
      <c r="E36" s="15">
        <f>IF(F3="1",SUMIF(Data!$A:$A,$A$2,Data!IO:IO),0)</f>
        <v>431</v>
      </c>
      <c r="F36" s="20">
        <f t="shared" ref="F36:F64" si="3">IF(OR(D36=0,E36=0),"",ROUND(E36/D36,2))</f>
        <v>3.59</v>
      </c>
    </row>
    <row r="37" spans="1:6" x14ac:dyDescent="0.2">
      <c r="A37" s="19">
        <v>2</v>
      </c>
      <c r="B37" s="143" t="s">
        <v>1</v>
      </c>
      <c r="C37" s="144"/>
      <c r="D37" s="14">
        <f>IF(F3="1",SUMIF(Data!A:A,'4'!$A$2,Data!CV:CV),0)</f>
        <v>146620</v>
      </c>
      <c r="E37" s="17">
        <f>IF(F3="1",SUMIF(Data!$A:$A,$A$2,Data!IP:IP),0)</f>
        <v>189007</v>
      </c>
      <c r="F37" s="21">
        <f t="shared" si="3"/>
        <v>1.29</v>
      </c>
    </row>
    <row r="38" spans="1:6" ht="14.25" customHeight="1" x14ac:dyDescent="0.2">
      <c r="A38" s="19">
        <v>3</v>
      </c>
      <c r="B38" s="143" t="s">
        <v>2</v>
      </c>
      <c r="C38" s="144"/>
      <c r="D38" s="14">
        <f>IF(F3="1",SUMIF(Data!A:A,'4'!$A$2,Data!CW:CW),0)</f>
        <v>168144</v>
      </c>
      <c r="E38" s="17">
        <f>IF($F$3="1",SUMIF(Data!$A:$A,$A$2,Data!IQ:IQ),0)</f>
        <v>56090</v>
      </c>
      <c r="F38" s="21">
        <f t="shared" si="3"/>
        <v>0.33</v>
      </c>
    </row>
    <row r="39" spans="1:6" ht="14.25" customHeight="1" x14ac:dyDescent="0.2">
      <c r="A39" s="19">
        <v>4</v>
      </c>
      <c r="B39" s="143" t="s">
        <v>3</v>
      </c>
      <c r="C39" s="144"/>
      <c r="D39" s="14">
        <f>IF(F3="1",SUMIF(Data!A:A,'4'!$A$2,Data!CX:CX),0)</f>
        <v>117567</v>
      </c>
      <c r="E39" s="17">
        <f>IF($F$3="1",SUMIF(Data!$A:$A,$A$2,Data!IR:IR),0)</f>
        <v>79287</v>
      </c>
      <c r="F39" s="21">
        <f t="shared" si="3"/>
        <v>0.67</v>
      </c>
    </row>
    <row r="40" spans="1:6" x14ac:dyDescent="0.2">
      <c r="A40" s="19">
        <v>5</v>
      </c>
      <c r="B40" s="143" t="s">
        <v>4</v>
      </c>
      <c r="C40" s="144"/>
      <c r="D40" s="14">
        <f>IF(F3="1",SUMIF(Data!A:A,'4'!$A$2,Data!CY:CY),0)</f>
        <v>0</v>
      </c>
      <c r="E40" s="17">
        <f>IF($F$3="1",SUMIF(Data!$A:$A,$A$2,Data!IS:IS),0)</f>
        <v>0</v>
      </c>
      <c r="F40" s="21" t="str">
        <f t="shared" si="3"/>
        <v/>
      </c>
    </row>
    <row r="41" spans="1:6" x14ac:dyDescent="0.2">
      <c r="A41" s="19">
        <v>6</v>
      </c>
      <c r="B41" s="143" t="s">
        <v>5</v>
      </c>
      <c r="C41" s="144"/>
      <c r="D41" s="14">
        <f>IF(F3="1",SUMIF(Data!A:A,'4'!$A$2,Data!CZ:CZ),0)</f>
        <v>6176</v>
      </c>
      <c r="E41" s="17">
        <f>IF($F$3="1",SUMIF(Data!$A:$A,$A$2,Data!IT:IT),0)</f>
        <v>2424</v>
      </c>
      <c r="F41" s="21">
        <f t="shared" si="3"/>
        <v>0.39</v>
      </c>
    </row>
    <row r="42" spans="1:6" x14ac:dyDescent="0.2">
      <c r="A42" s="19">
        <v>7</v>
      </c>
      <c r="B42" s="143" t="s">
        <v>6</v>
      </c>
      <c r="C42" s="144"/>
      <c r="D42" s="14">
        <f>IF(F3="1",SUMIF(Data!A:A,'4'!$A$2,Data!DA:DA),0)</f>
        <v>65893</v>
      </c>
      <c r="E42" s="17">
        <f>IF($F$3="1",SUMIF(Data!$A:$A,$A$2,Data!IU:IU),0)</f>
        <v>108939</v>
      </c>
      <c r="F42" s="21">
        <f t="shared" si="3"/>
        <v>1.65</v>
      </c>
    </row>
    <row r="43" spans="1:6" x14ac:dyDescent="0.2">
      <c r="A43" s="19">
        <v>8</v>
      </c>
      <c r="B43" s="143" t="s">
        <v>7</v>
      </c>
      <c r="C43" s="144"/>
      <c r="D43" s="14">
        <f>IF(F3="1",SUMIF(Data!A:A,'4'!$A$2,Data!DB:DB),0)</f>
        <v>72</v>
      </c>
      <c r="E43" s="17">
        <f>IF($F$3="1",SUMIF(Data!$A:$A,$A$2,Data!IV:IV),0)</f>
        <v>255</v>
      </c>
      <c r="F43" s="21">
        <f t="shared" si="3"/>
        <v>3.54</v>
      </c>
    </row>
    <row r="44" spans="1:6" x14ac:dyDescent="0.2">
      <c r="A44" s="19">
        <v>9</v>
      </c>
      <c r="B44" s="143" t="s">
        <v>8</v>
      </c>
      <c r="C44" s="144"/>
      <c r="D44" s="14">
        <f>IF(F3="1",SUMIF(Data!A:A,'4'!$A$2,Data!DC:DC),0)</f>
        <v>35008</v>
      </c>
      <c r="E44" s="17">
        <f>IF($F$3="1",SUMIF(Data!$A:$A,$A$2,Data!IW:IW),0)</f>
        <v>31413</v>
      </c>
      <c r="F44" s="21">
        <f t="shared" si="3"/>
        <v>0.9</v>
      </c>
    </row>
    <row r="45" spans="1:6" x14ac:dyDescent="0.2">
      <c r="A45" s="19">
        <v>10</v>
      </c>
      <c r="B45" s="143" t="s">
        <v>9</v>
      </c>
      <c r="C45" s="144"/>
      <c r="D45" s="14">
        <f>IF(F3="1",SUMIF(Data!A:A,'4'!$A$2,Data!DD:DD),0)</f>
        <v>5232</v>
      </c>
      <c r="E45" s="17">
        <f>IF($F$3="1",SUMIF(Data!$A:$A,$A$2,Data!IX:IX),0)</f>
        <v>722</v>
      </c>
      <c r="F45" s="21">
        <f t="shared" si="3"/>
        <v>0.14000000000000001</v>
      </c>
    </row>
    <row r="46" spans="1:6" x14ac:dyDescent="0.2">
      <c r="A46" s="19">
        <v>11</v>
      </c>
      <c r="B46" s="143" t="s">
        <v>10</v>
      </c>
      <c r="C46" s="144"/>
      <c r="D46" s="14">
        <f>IF(F3="1",SUMIF(Data!A:A,'4'!$A$2,Data!DE:DE),0)</f>
        <v>29652</v>
      </c>
      <c r="E46" s="17">
        <f>IF($F$3="1",SUMIF(Data!$A:$A,$A$2,Data!IY:IY),0)</f>
        <v>30624</v>
      </c>
      <c r="F46" s="21">
        <f t="shared" si="3"/>
        <v>1.03</v>
      </c>
    </row>
    <row r="47" spans="1:6" ht="14.25" customHeight="1" x14ac:dyDescent="0.2">
      <c r="A47" s="19">
        <v>12</v>
      </c>
      <c r="B47" s="143" t="s">
        <v>11</v>
      </c>
      <c r="C47" s="144"/>
      <c r="D47" s="14">
        <f>IF(F3="1",SUMIF(Data!A:A,'4'!$A$2,Data!DF:DF),0)</f>
        <v>262352</v>
      </c>
      <c r="E47" s="17">
        <f>IF($F$3="1",SUMIF(Data!$A:$A,$A$2,Data!IZ:IZ),0)</f>
        <v>34588</v>
      </c>
      <c r="F47" s="21">
        <f t="shared" si="3"/>
        <v>0.13</v>
      </c>
    </row>
    <row r="48" spans="1:6" x14ac:dyDescent="0.2">
      <c r="A48" s="19">
        <v>13</v>
      </c>
      <c r="B48" s="143" t="s">
        <v>12</v>
      </c>
      <c r="C48" s="144"/>
      <c r="D48" s="14">
        <f>IF(F3="1",SUMIF(Data!A:A,'4'!$A$2,Data!DG:DG),0)</f>
        <v>19472</v>
      </c>
      <c r="E48" s="17">
        <f>IF($F$3="1",SUMIF(Data!$A:$A,$A$2,Data!JA:JA),0)</f>
        <v>2381</v>
      </c>
      <c r="F48" s="21">
        <f t="shared" si="3"/>
        <v>0.12</v>
      </c>
    </row>
    <row r="49" spans="1:6" ht="14.25" customHeight="1" x14ac:dyDescent="0.2">
      <c r="A49" s="19">
        <v>14</v>
      </c>
      <c r="B49" s="143" t="s">
        <v>464</v>
      </c>
      <c r="C49" s="144"/>
      <c r="D49" s="14">
        <f>IF(F3="1",SUMIF(Data!A:A,'4'!$A$2,Data!DH:DH),0)</f>
        <v>103306</v>
      </c>
      <c r="E49" s="17">
        <f>IF($F$3="1",SUMIF(Data!$A:$A,$A$2,Data!JB:JB),0)</f>
        <v>95631</v>
      </c>
      <c r="F49" s="21">
        <f t="shared" si="3"/>
        <v>0.93</v>
      </c>
    </row>
    <row r="50" spans="1:6" x14ac:dyDescent="0.2">
      <c r="A50" s="19">
        <v>15</v>
      </c>
      <c r="B50" s="143" t="s">
        <v>13</v>
      </c>
      <c r="C50" s="144"/>
      <c r="D50" s="14">
        <f>IF(F3="1",SUMIF(Data!A:A,'4'!$A$2,Data!DI:DI),0)</f>
        <v>0</v>
      </c>
      <c r="E50" s="17">
        <f>IF($F$3="1",SUMIF(Data!$A:$A,$A$2,Data!JC:JC),0)</f>
        <v>0</v>
      </c>
      <c r="F50" s="21" t="str">
        <f t="shared" si="3"/>
        <v/>
      </c>
    </row>
    <row r="51" spans="1:6" x14ac:dyDescent="0.2">
      <c r="A51" s="19">
        <v>16</v>
      </c>
      <c r="B51" s="143" t="s">
        <v>14</v>
      </c>
      <c r="C51" s="144"/>
      <c r="D51" s="14">
        <f>IF(F3="1",SUMIF(Data!A:A,'4'!$A$2,Data!DJ:DJ),0)</f>
        <v>95009</v>
      </c>
      <c r="E51" s="17">
        <f>IF($F$3="1",SUMIF(Data!$A:$A,$A$2,Data!JD:JD),0)</f>
        <v>81995</v>
      </c>
      <c r="F51" s="21">
        <f t="shared" si="3"/>
        <v>0.86</v>
      </c>
    </row>
    <row r="52" spans="1:6" x14ac:dyDescent="0.2">
      <c r="A52" s="19">
        <v>17</v>
      </c>
      <c r="B52" s="143" t="s">
        <v>15</v>
      </c>
      <c r="C52" s="144"/>
      <c r="D52" s="14">
        <f>IF(F3="1",SUMIF(Data!A:A,'4'!$A$2,Data!DK:DK),0)</f>
        <v>30464</v>
      </c>
      <c r="E52" s="17">
        <f>IF($F$3="1",SUMIF(Data!$A:$A,$A$2,Data!JE:JE),0)</f>
        <v>18113</v>
      </c>
      <c r="F52" s="21">
        <f t="shared" si="3"/>
        <v>0.59</v>
      </c>
    </row>
    <row r="53" spans="1:6" x14ac:dyDescent="0.2">
      <c r="A53" s="19">
        <v>18</v>
      </c>
      <c r="B53" s="143" t="s">
        <v>16</v>
      </c>
      <c r="C53" s="144"/>
      <c r="D53" s="14">
        <f>IF(F3="1",SUMIF(Data!A:A,'4'!$A$2,Data!DL:DL),0)</f>
        <v>75467</v>
      </c>
      <c r="E53" s="17">
        <f>IF($F$3="1",SUMIF(Data!$A:$A,$A$2,Data!JF:JF),0)</f>
        <v>204877</v>
      </c>
      <c r="F53" s="21">
        <f t="shared" si="3"/>
        <v>2.71</v>
      </c>
    </row>
    <row r="54" spans="1:6" x14ac:dyDescent="0.2">
      <c r="A54" s="19">
        <v>19</v>
      </c>
      <c r="B54" s="143" t="s">
        <v>17</v>
      </c>
      <c r="C54" s="144"/>
      <c r="D54" s="14">
        <f>IF(F3="1",SUMIF(Data!A:A,'4'!$A$2,Data!DM:DM),0)</f>
        <v>199360</v>
      </c>
      <c r="E54" s="17">
        <f>IF($F$3="1",SUMIF(Data!$A:$A,$A$2,Data!JG:JG),0)</f>
        <v>34989</v>
      </c>
      <c r="F54" s="21">
        <f t="shared" si="3"/>
        <v>0.18</v>
      </c>
    </row>
    <row r="55" spans="1:6" x14ac:dyDescent="0.2">
      <c r="A55" s="19">
        <v>20</v>
      </c>
      <c r="B55" s="143" t="s">
        <v>18</v>
      </c>
      <c r="C55" s="144"/>
      <c r="D55" s="14">
        <f>IF(F3="1",SUMIF(Data!A:A,'4'!$A$2,Data!DN:DN),0)</f>
        <v>14160</v>
      </c>
      <c r="E55" s="17">
        <f>IF($F$3="1",SUMIF(Data!$A:$A,$A$2,Data!JH:JH),0)</f>
        <v>7441</v>
      </c>
      <c r="F55" s="21">
        <f t="shared" si="3"/>
        <v>0.53</v>
      </c>
    </row>
    <row r="56" spans="1:6" ht="14.25" customHeight="1" x14ac:dyDescent="0.2">
      <c r="A56" s="19">
        <v>21</v>
      </c>
      <c r="B56" s="143" t="s">
        <v>461</v>
      </c>
      <c r="C56" s="144"/>
      <c r="D56" s="14">
        <f>IF(F3="1",SUMIF(Data!A:A,'4'!$A$2,Data!DO:DO),0)</f>
        <v>7968</v>
      </c>
      <c r="E56" s="17">
        <f>IF($F$3="1",SUMIF(Data!$A:$A,$A$2,Data!JI:JI),0)</f>
        <v>22042</v>
      </c>
      <c r="F56" s="21">
        <f t="shared" si="3"/>
        <v>2.77</v>
      </c>
    </row>
    <row r="57" spans="1:6" x14ac:dyDescent="0.2">
      <c r="A57" s="19">
        <v>22</v>
      </c>
      <c r="B57" s="143" t="s">
        <v>19</v>
      </c>
      <c r="C57" s="144"/>
      <c r="D57" s="14">
        <f>IF(F3="1",SUMIF(Data!A:A,'4'!$A$2,Data!DP:DP),0)</f>
        <v>61312</v>
      </c>
      <c r="E57" s="17">
        <f>IF($F$3="1",SUMIF(Data!$A:$A,$A$2,Data!JJ:JJ),0)</f>
        <v>15688</v>
      </c>
      <c r="F57" s="21">
        <f t="shared" si="3"/>
        <v>0.26</v>
      </c>
    </row>
    <row r="58" spans="1:6" x14ac:dyDescent="0.2">
      <c r="A58" s="19">
        <v>23</v>
      </c>
      <c r="B58" s="143" t="s">
        <v>20</v>
      </c>
      <c r="C58" s="144"/>
      <c r="D58" s="14">
        <f>IF(F3="1",SUMIF(Data!A:A,'4'!$A$2,Data!DQ:DQ),0)</f>
        <v>53632</v>
      </c>
      <c r="E58" s="17">
        <f>IF($F$3="1",SUMIF(Data!$A:$A,$A$2,Data!JK:JK),0)</f>
        <v>19712</v>
      </c>
      <c r="F58" s="21">
        <f t="shared" si="3"/>
        <v>0.37</v>
      </c>
    </row>
    <row r="59" spans="1:6" x14ac:dyDescent="0.2">
      <c r="A59" s="19">
        <v>24</v>
      </c>
      <c r="B59" s="143" t="s">
        <v>21</v>
      </c>
      <c r="C59" s="144"/>
      <c r="D59" s="14">
        <f>IF(F3="1",SUMIF(Data!A:A,'4'!$A$2,Data!DR:DR),0)</f>
        <v>114422</v>
      </c>
      <c r="E59" s="17">
        <f>IF($F$3="1",SUMIF(Data!$A:$A,$A$2,Data!JL:JL),0)</f>
        <v>173393</v>
      </c>
      <c r="F59" s="21">
        <f t="shared" si="3"/>
        <v>1.52</v>
      </c>
    </row>
    <row r="60" spans="1:6" x14ac:dyDescent="0.2">
      <c r="A60" s="19">
        <v>25</v>
      </c>
      <c r="B60" s="143" t="s">
        <v>22</v>
      </c>
      <c r="C60" s="144"/>
      <c r="D60" s="14">
        <f>IF(F3="1",SUMIF(Data!A:A,'4'!$A$2,Data!DS:DS),0)</f>
        <v>264144</v>
      </c>
      <c r="E60" s="17">
        <f>IF($F$3="1",SUMIF(Data!$A:$A,$A$2,Data!JM:JM),0)</f>
        <v>64852</v>
      </c>
      <c r="F60" s="21">
        <f t="shared" si="3"/>
        <v>0.25</v>
      </c>
    </row>
    <row r="61" spans="1:6" x14ac:dyDescent="0.2">
      <c r="A61" s="19">
        <v>26</v>
      </c>
      <c r="B61" s="143" t="s">
        <v>23</v>
      </c>
      <c r="C61" s="144"/>
      <c r="D61" s="14">
        <f>IF(F3="1",SUMIF(Data!A:A,'4'!$A$2,Data!DT:DT),0)</f>
        <v>68176</v>
      </c>
      <c r="E61" s="17">
        <f>IF($F$3="1",SUMIF(Data!$A:$A,$A$2,Data!JN:JN),0)</f>
        <v>69581</v>
      </c>
      <c r="F61" s="21">
        <f t="shared" si="3"/>
        <v>1.02</v>
      </c>
    </row>
    <row r="62" spans="1:6" x14ac:dyDescent="0.2">
      <c r="A62" s="19">
        <v>28</v>
      </c>
      <c r="B62" s="143" t="s">
        <v>24</v>
      </c>
      <c r="C62" s="144"/>
      <c r="D62" s="14">
        <f>IF(F3="1",SUMIF(Data!A:A,'4'!$A$2,Data!DV:DV),0)</f>
        <v>0</v>
      </c>
      <c r="E62" s="17">
        <f>IF($F$3="1",SUMIF(Data!$A:$A,$A$2,Data!JP:JP),0)</f>
        <v>0</v>
      </c>
      <c r="F62" s="21" t="str">
        <f t="shared" si="3"/>
        <v/>
      </c>
    </row>
    <row r="63" spans="1:6" ht="15.75" customHeight="1" thickBot="1" x14ac:dyDescent="0.25">
      <c r="A63" s="22">
        <v>29</v>
      </c>
      <c r="B63" s="147" t="s">
        <v>25</v>
      </c>
      <c r="C63" s="148"/>
      <c r="D63" s="23">
        <f>IF(F3="1",SUMIF(Data!A:A,'4'!$A$2,Data!DW:DW),0)</f>
        <v>0</v>
      </c>
      <c r="E63" s="24">
        <f>IF($F$3="1",SUMIF(Data!$A:$A,$A$2,Data!JQ:JQ),0)</f>
        <v>0</v>
      </c>
      <c r="F63" s="25" t="str">
        <f t="shared" si="3"/>
        <v/>
      </c>
    </row>
    <row r="64" spans="1:6" x14ac:dyDescent="0.2">
      <c r="B64" s="30" t="s">
        <v>35</v>
      </c>
      <c r="C64" s="30"/>
      <c r="D64" s="59">
        <f>SUM(D36:D63)</f>
        <v>1943728</v>
      </c>
      <c r="E64" s="31">
        <f>SUM(E36:E63)</f>
        <v>1344475</v>
      </c>
      <c r="F64" s="32">
        <f t="shared" si="3"/>
        <v>0.69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120</v>
      </c>
      <c r="E67" s="15">
        <f>IF(F3="1",SUMIF(Data!A:A,'4'!$A$2,Data!DY:DY),0)</f>
        <v>105</v>
      </c>
      <c r="F67" s="20">
        <f t="shared" ref="F67:F95" si="4">IF(OR(D67=0,E67=0),"",ROUND(E67/D67,2))</f>
        <v>0.88</v>
      </c>
    </row>
    <row r="68" spans="1:6" x14ac:dyDescent="0.2">
      <c r="A68" s="19">
        <v>2</v>
      </c>
      <c r="B68" s="143" t="s">
        <v>1</v>
      </c>
      <c r="C68" s="144"/>
      <c r="D68" s="14">
        <f t="shared" ref="D68:D94" si="5">D37</f>
        <v>146620</v>
      </c>
      <c r="E68" s="17">
        <f>IF(F3="1",SUMIF(Data!A:A,'4'!$A$2,Data!DZ:DZ),0)</f>
        <v>207530</v>
      </c>
      <c r="F68" s="21">
        <f t="shared" si="4"/>
        <v>1.42</v>
      </c>
    </row>
    <row r="69" spans="1:6" ht="14.25" customHeight="1" x14ac:dyDescent="0.2">
      <c r="A69" s="19">
        <v>3</v>
      </c>
      <c r="B69" s="143" t="s">
        <v>2</v>
      </c>
      <c r="C69" s="144"/>
      <c r="D69" s="14">
        <f t="shared" si="5"/>
        <v>168144</v>
      </c>
      <c r="E69" s="17">
        <f>IF(F3="1",SUMIF(Data!A:A,'4'!$A$2,Data!EA:EA),0)</f>
        <v>367040</v>
      </c>
      <c r="F69" s="21">
        <f t="shared" si="4"/>
        <v>2.1800000000000002</v>
      </c>
    </row>
    <row r="70" spans="1:6" ht="14.25" customHeight="1" x14ac:dyDescent="0.2">
      <c r="A70" s="19">
        <v>4</v>
      </c>
      <c r="B70" s="143" t="s">
        <v>3</v>
      </c>
      <c r="C70" s="144"/>
      <c r="D70" s="14">
        <f t="shared" si="5"/>
        <v>117567</v>
      </c>
      <c r="E70" s="17">
        <f>IF(F3="1",SUMIF(Data!A:A,'4'!$A$2,Data!EB:EB),0)</f>
        <v>433535</v>
      </c>
      <c r="F70" s="21">
        <f t="shared" si="4"/>
        <v>3.69</v>
      </c>
    </row>
    <row r="71" spans="1:6" x14ac:dyDescent="0.2">
      <c r="A71" s="19">
        <v>5</v>
      </c>
      <c r="B71" s="143" t="s">
        <v>4</v>
      </c>
      <c r="C71" s="144"/>
      <c r="D71" s="14">
        <f t="shared" si="5"/>
        <v>0</v>
      </c>
      <c r="E71" s="17">
        <f>IF(F3="1",SUMIF(Data!A:A,'4'!$A$2,Data!EC:EC),0)</f>
        <v>0</v>
      </c>
      <c r="F71" s="21" t="str">
        <f t="shared" si="4"/>
        <v/>
      </c>
    </row>
    <row r="72" spans="1:6" x14ac:dyDescent="0.2">
      <c r="A72" s="19">
        <v>6</v>
      </c>
      <c r="B72" s="143" t="s">
        <v>5</v>
      </c>
      <c r="C72" s="144"/>
      <c r="D72" s="14">
        <f t="shared" si="5"/>
        <v>6176</v>
      </c>
      <c r="E72" s="17">
        <f>IF(F3="1",SUMIF(Data!A:A,'4'!$A$2,Data!ED:ED),0)</f>
        <v>26860</v>
      </c>
      <c r="F72" s="21">
        <f t="shared" si="4"/>
        <v>4.3499999999999996</v>
      </c>
    </row>
    <row r="73" spans="1:6" x14ac:dyDescent="0.2">
      <c r="A73" s="19">
        <v>7</v>
      </c>
      <c r="B73" s="143" t="s">
        <v>6</v>
      </c>
      <c r="C73" s="144"/>
      <c r="D73" s="14">
        <f t="shared" si="5"/>
        <v>65893</v>
      </c>
      <c r="E73" s="17">
        <f>IF(F3="1",SUMIF(Data!A:A,'4'!$A$2,Data!EE:EE),0)</f>
        <v>203134</v>
      </c>
      <c r="F73" s="21">
        <f t="shared" si="4"/>
        <v>3.08</v>
      </c>
    </row>
    <row r="74" spans="1:6" x14ac:dyDescent="0.2">
      <c r="A74" s="19">
        <v>8</v>
      </c>
      <c r="B74" s="143" t="s">
        <v>7</v>
      </c>
      <c r="C74" s="144"/>
      <c r="D74" s="14">
        <f t="shared" si="5"/>
        <v>72</v>
      </c>
      <c r="E74" s="17">
        <f>IF(F3="1",SUMIF(Data!A:A,'4'!$A$2,Data!EF:EF),0)</f>
        <v>63</v>
      </c>
      <c r="F74" s="21">
        <f t="shared" si="4"/>
        <v>0.88</v>
      </c>
    </row>
    <row r="75" spans="1:6" x14ac:dyDescent="0.2">
      <c r="A75" s="19">
        <v>9</v>
      </c>
      <c r="B75" s="143" t="s">
        <v>8</v>
      </c>
      <c r="C75" s="144"/>
      <c r="D75" s="14">
        <f t="shared" si="5"/>
        <v>35008</v>
      </c>
      <c r="E75" s="17">
        <f>IF(F3="1",SUMIF(Data!A:A,'4'!$A$2,Data!EG:EG),0)</f>
        <v>84066</v>
      </c>
      <c r="F75" s="21">
        <f t="shared" si="4"/>
        <v>2.4</v>
      </c>
    </row>
    <row r="76" spans="1:6" x14ac:dyDescent="0.2">
      <c r="A76" s="19">
        <v>10</v>
      </c>
      <c r="B76" s="143" t="s">
        <v>9</v>
      </c>
      <c r="C76" s="144"/>
      <c r="D76" s="14">
        <f t="shared" si="5"/>
        <v>5232</v>
      </c>
      <c r="E76" s="17">
        <f>IF(F3="1",SUMIF(Data!A:A,'4'!$A$2,Data!EH:EH),0)</f>
        <v>48145</v>
      </c>
      <c r="F76" s="21">
        <f t="shared" si="4"/>
        <v>9.1999999999999993</v>
      </c>
    </row>
    <row r="77" spans="1:6" x14ac:dyDescent="0.2">
      <c r="A77" s="19">
        <v>11</v>
      </c>
      <c r="B77" s="143" t="s">
        <v>10</v>
      </c>
      <c r="C77" s="144"/>
      <c r="D77" s="14">
        <f t="shared" si="5"/>
        <v>29652</v>
      </c>
      <c r="E77" s="17">
        <f>IF(F3="1",SUMIF(Data!A:A,'4'!$A$2,Data!EI:EI),0)</f>
        <v>30303</v>
      </c>
      <c r="F77" s="21">
        <f t="shared" si="4"/>
        <v>1.02</v>
      </c>
    </row>
    <row r="78" spans="1:6" ht="14.25" customHeight="1" x14ac:dyDescent="0.2">
      <c r="A78" s="19">
        <v>12</v>
      </c>
      <c r="B78" s="143" t="s">
        <v>11</v>
      </c>
      <c r="C78" s="144"/>
      <c r="D78" s="14">
        <f t="shared" si="5"/>
        <v>262352</v>
      </c>
      <c r="E78" s="17">
        <f>IF(F3="1",SUMIF(Data!A:A,'4'!$A$2,Data!EJ:EJ),0)</f>
        <v>597262</v>
      </c>
      <c r="F78" s="21">
        <f t="shared" si="4"/>
        <v>2.2799999999999998</v>
      </c>
    </row>
    <row r="79" spans="1:6" x14ac:dyDescent="0.2">
      <c r="A79" s="19">
        <v>13</v>
      </c>
      <c r="B79" s="143" t="s">
        <v>12</v>
      </c>
      <c r="C79" s="144"/>
      <c r="D79" s="14">
        <f t="shared" si="5"/>
        <v>19472</v>
      </c>
      <c r="E79" s="17">
        <f>IF(F3="1",SUMIF(Data!A:A,'4'!$A$2,Data!EK:EK),0)</f>
        <v>68276</v>
      </c>
      <c r="F79" s="21">
        <f t="shared" si="4"/>
        <v>3.51</v>
      </c>
    </row>
    <row r="80" spans="1:6" ht="14.25" customHeight="1" x14ac:dyDescent="0.2">
      <c r="A80" s="19">
        <v>14</v>
      </c>
      <c r="B80" s="143" t="s">
        <v>464</v>
      </c>
      <c r="C80" s="144"/>
      <c r="D80" s="14">
        <f t="shared" si="5"/>
        <v>103306</v>
      </c>
      <c r="E80" s="17">
        <f>IF(F3="1",SUMIF(Data!A:A,'4'!$A$2,Data!EL:EL),0)</f>
        <v>447377</v>
      </c>
      <c r="F80" s="21">
        <f t="shared" si="4"/>
        <v>4.33</v>
      </c>
    </row>
    <row r="81" spans="1:6" x14ac:dyDescent="0.2">
      <c r="A81" s="19">
        <v>15</v>
      </c>
      <c r="B81" s="143" t="s">
        <v>13</v>
      </c>
      <c r="C81" s="144"/>
      <c r="D81" s="14">
        <f t="shared" si="5"/>
        <v>0</v>
      </c>
      <c r="E81" s="17">
        <f>IF(F3="1",SUMIF(Data!A:A,'4'!$A$2,Data!EM:EM),0)</f>
        <v>0</v>
      </c>
      <c r="F81" s="21" t="str">
        <f t="shared" si="4"/>
        <v/>
      </c>
    </row>
    <row r="82" spans="1:6" x14ac:dyDescent="0.2">
      <c r="A82" s="19">
        <v>16</v>
      </c>
      <c r="B82" s="143" t="s">
        <v>14</v>
      </c>
      <c r="C82" s="144"/>
      <c r="D82" s="14">
        <f t="shared" si="5"/>
        <v>95009</v>
      </c>
      <c r="E82" s="17">
        <f>IF(F3="1",SUMIF(Data!A:A,'4'!$A$2,Data!EN:EN),0)</f>
        <v>399163</v>
      </c>
      <c r="F82" s="21">
        <f t="shared" si="4"/>
        <v>4.2</v>
      </c>
    </row>
    <row r="83" spans="1:6" x14ac:dyDescent="0.2">
      <c r="A83" s="19">
        <v>17</v>
      </c>
      <c r="B83" s="143" t="s">
        <v>15</v>
      </c>
      <c r="C83" s="144"/>
      <c r="D83" s="14">
        <f t="shared" si="5"/>
        <v>30464</v>
      </c>
      <c r="E83" s="17">
        <f>IF(F3="1",SUMIF(Data!A:A,'4'!$A$2,Data!EO:EO),0)</f>
        <v>131556</v>
      </c>
      <c r="F83" s="21">
        <f t="shared" si="4"/>
        <v>4.32</v>
      </c>
    </row>
    <row r="84" spans="1:6" x14ac:dyDescent="0.2">
      <c r="A84" s="19">
        <v>18</v>
      </c>
      <c r="B84" s="143" t="s">
        <v>16</v>
      </c>
      <c r="C84" s="144"/>
      <c r="D84" s="14">
        <f t="shared" si="5"/>
        <v>75467</v>
      </c>
      <c r="E84" s="17">
        <f>IF(F3="1",SUMIF(Data!A:A,'4'!$A$2,Data!EP:EP),0)</f>
        <v>148886</v>
      </c>
      <c r="F84" s="21">
        <f t="shared" si="4"/>
        <v>1.97</v>
      </c>
    </row>
    <row r="85" spans="1:6" x14ac:dyDescent="0.2">
      <c r="A85" s="19">
        <v>19</v>
      </c>
      <c r="B85" s="143" t="s">
        <v>17</v>
      </c>
      <c r="C85" s="144"/>
      <c r="D85" s="14">
        <f t="shared" si="5"/>
        <v>199360</v>
      </c>
      <c r="E85" s="17">
        <f>IF(F3="1",SUMIF(Data!A:A,'4'!$A$2,Data!EQ:EQ),0)</f>
        <v>445088</v>
      </c>
      <c r="F85" s="21">
        <f t="shared" si="4"/>
        <v>2.23</v>
      </c>
    </row>
    <row r="86" spans="1:6" x14ac:dyDescent="0.2">
      <c r="A86" s="19">
        <v>20</v>
      </c>
      <c r="B86" s="143" t="s">
        <v>18</v>
      </c>
      <c r="C86" s="144"/>
      <c r="D86" s="14">
        <f t="shared" si="5"/>
        <v>14160</v>
      </c>
      <c r="E86" s="17">
        <f>IF(F3="1",SUMIF(Data!A:A,'4'!$A$2,Data!ER:ER),0)</f>
        <v>50767</v>
      </c>
      <c r="F86" s="21">
        <f t="shared" si="4"/>
        <v>3.59</v>
      </c>
    </row>
    <row r="87" spans="1:6" ht="14.25" customHeight="1" x14ac:dyDescent="0.2">
      <c r="A87" s="19">
        <v>21</v>
      </c>
      <c r="B87" s="143" t="s">
        <v>461</v>
      </c>
      <c r="C87" s="144"/>
      <c r="D87" s="14">
        <f t="shared" si="5"/>
        <v>7968</v>
      </c>
      <c r="E87" s="17">
        <f>IF(F3="1",SUMIF(Data!A:A,'4'!$A$2,Data!ES:ES),0)</f>
        <v>15181</v>
      </c>
      <c r="F87" s="21">
        <f t="shared" si="4"/>
        <v>1.91</v>
      </c>
    </row>
    <row r="88" spans="1:6" x14ac:dyDescent="0.2">
      <c r="A88" s="19">
        <v>22</v>
      </c>
      <c r="B88" s="143" t="s">
        <v>19</v>
      </c>
      <c r="C88" s="144"/>
      <c r="D88" s="14">
        <f t="shared" si="5"/>
        <v>61312</v>
      </c>
      <c r="E88" s="17">
        <f>IF(F3="1",SUMIF(Data!A:A,'4'!$A$2,Data!ET:ET),0)</f>
        <v>232842</v>
      </c>
      <c r="F88" s="21">
        <f t="shared" si="4"/>
        <v>3.8</v>
      </c>
    </row>
    <row r="89" spans="1:6" x14ac:dyDescent="0.2">
      <c r="A89" s="19">
        <v>23</v>
      </c>
      <c r="B89" s="143" t="s">
        <v>20</v>
      </c>
      <c r="C89" s="144"/>
      <c r="D89" s="14">
        <f t="shared" si="5"/>
        <v>53632</v>
      </c>
      <c r="E89" s="17">
        <f>IF(F3="1",SUMIF(Data!A:A,'4'!$A$2,Data!EU:EU),0)</f>
        <v>147843</v>
      </c>
      <c r="F89" s="21">
        <f t="shared" si="4"/>
        <v>2.76</v>
      </c>
    </row>
    <row r="90" spans="1:6" x14ac:dyDescent="0.2">
      <c r="A90" s="19">
        <v>24</v>
      </c>
      <c r="B90" s="143" t="s">
        <v>21</v>
      </c>
      <c r="C90" s="144"/>
      <c r="D90" s="14">
        <f t="shared" si="5"/>
        <v>114422</v>
      </c>
      <c r="E90" s="17">
        <f>IF(F3="1",SUMIF(Data!A:A,'4'!$A$2,Data!EV:EV),0)</f>
        <v>190752</v>
      </c>
      <c r="F90" s="21">
        <f t="shared" si="4"/>
        <v>1.67</v>
      </c>
    </row>
    <row r="91" spans="1:6" x14ac:dyDescent="0.2">
      <c r="A91" s="19">
        <v>25</v>
      </c>
      <c r="B91" s="143" t="s">
        <v>22</v>
      </c>
      <c r="C91" s="144"/>
      <c r="D91" s="14">
        <f t="shared" si="5"/>
        <v>264144</v>
      </c>
      <c r="E91" s="17">
        <f>IF(F3="1",SUMIF(Data!A:A,'4'!$A$2,Data!EW:EW),0)</f>
        <v>515427</v>
      </c>
      <c r="F91" s="21">
        <f t="shared" si="4"/>
        <v>1.95</v>
      </c>
    </row>
    <row r="92" spans="1:6" x14ac:dyDescent="0.2">
      <c r="A92" s="19">
        <v>26</v>
      </c>
      <c r="B92" s="143" t="s">
        <v>23</v>
      </c>
      <c r="C92" s="144"/>
      <c r="D92" s="14">
        <f t="shared" si="5"/>
        <v>68176</v>
      </c>
      <c r="E92" s="17">
        <f>IF(F3="1",SUMIF(Data!A:A,'4'!$A$2,Data!EX:EX),0)</f>
        <v>229964</v>
      </c>
      <c r="F92" s="21">
        <f t="shared" si="4"/>
        <v>3.37</v>
      </c>
    </row>
    <row r="93" spans="1:6" x14ac:dyDescent="0.2">
      <c r="A93" s="19">
        <v>28</v>
      </c>
      <c r="B93" s="143" t="s">
        <v>24</v>
      </c>
      <c r="C93" s="144"/>
      <c r="D93" s="14">
        <f t="shared" si="5"/>
        <v>0</v>
      </c>
      <c r="E93" s="17">
        <f>IF(F3="1",SUMIF(Data!A:A,'4'!$A$2,Data!EZ:EZ),0)</f>
        <v>0</v>
      </c>
      <c r="F93" s="21" t="str">
        <f t="shared" si="4"/>
        <v/>
      </c>
    </row>
    <row r="94" spans="1:6" ht="15.75" customHeight="1" thickBot="1" x14ac:dyDescent="0.25">
      <c r="A94" s="22">
        <v>29</v>
      </c>
      <c r="B94" s="147" t="s">
        <v>25</v>
      </c>
      <c r="C94" s="148"/>
      <c r="D94" s="23">
        <f t="shared" si="5"/>
        <v>0</v>
      </c>
      <c r="E94" s="24">
        <f>IF(F3="1",SUMIF(Data!A:A,'4'!$A$2,Data!FA:FA),0)</f>
        <v>0</v>
      </c>
      <c r="F94" s="25" t="str">
        <f t="shared" si="4"/>
        <v/>
      </c>
    </row>
    <row r="95" spans="1:6" x14ac:dyDescent="0.2">
      <c r="B95" s="30" t="s">
        <v>35</v>
      </c>
      <c r="C95" s="30"/>
      <c r="D95" s="59">
        <f>SUM(D67:D94)</f>
        <v>1943728</v>
      </c>
      <c r="E95" s="31">
        <f>SUM(E67:E94)</f>
        <v>5021165</v>
      </c>
      <c r="F95" s="32">
        <f t="shared" si="4"/>
        <v>2.58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IF(F3="1",SUMIF(Data!A:A,'4'!$A$2,Data!AH:AH),0)</f>
        <v>1024270</v>
      </c>
      <c r="F98" s="20">
        <f>IF(OR(E98=0,E98=0),"",ROUND(E98/$D$105,2))</f>
        <v>0.53</v>
      </c>
    </row>
    <row r="99" spans="2:6" x14ac:dyDescent="0.2">
      <c r="B99" s="153" t="s">
        <v>31</v>
      </c>
      <c r="C99" s="154"/>
      <c r="D99" s="36"/>
      <c r="E99" s="17">
        <f>IF(F3="1",SUMIF(Data!A:A,'4'!$A$2,Data!AI:AI),0)</f>
        <v>689268</v>
      </c>
      <c r="F99" s="21">
        <f t="shared" ref="F99:F104" si="6">IF(OR(E99=0,E99=0),"",ROUND(E99/$D$105,2))</f>
        <v>0.35</v>
      </c>
    </row>
    <row r="100" spans="2:6" x14ac:dyDescent="0.2">
      <c r="B100" s="153" t="s">
        <v>1078</v>
      </c>
      <c r="C100" s="154"/>
      <c r="D100" s="36"/>
      <c r="E100" s="17">
        <f>IF(F3="1",SUMIF(Data!A:A,'4'!$A$2,Data!AJ:AJ),0)</f>
        <v>281677</v>
      </c>
      <c r="F100" s="21">
        <f t="shared" si="6"/>
        <v>0.14000000000000001</v>
      </c>
    </row>
    <row r="101" spans="2:6" x14ac:dyDescent="0.2">
      <c r="B101" s="153" t="s">
        <v>1079</v>
      </c>
      <c r="C101" s="154"/>
      <c r="D101" s="36"/>
      <c r="E101" s="17">
        <f>IF(F3="1",SUMIF(Data!A:A,'4'!$A$2,Data!AK:AK),0)</f>
        <v>628828</v>
      </c>
      <c r="F101" s="21">
        <f t="shared" si="6"/>
        <v>0.32</v>
      </c>
    </row>
    <row r="102" spans="2:6" x14ac:dyDescent="0.2">
      <c r="B102" s="153" t="s">
        <v>1080</v>
      </c>
      <c r="C102" s="154"/>
      <c r="D102" s="36"/>
      <c r="E102" s="17">
        <f>IF(F3="1",SUMIF(Data!A:A,'4'!$A$2,Data!AL:AL),0)</f>
        <v>0</v>
      </c>
      <c r="F102" s="21" t="str">
        <f t="shared" si="6"/>
        <v/>
      </c>
    </row>
    <row r="103" spans="2:6" x14ac:dyDescent="0.2">
      <c r="B103" s="155" t="s">
        <v>34</v>
      </c>
      <c r="C103" s="156"/>
      <c r="D103" s="36"/>
      <c r="E103" s="17">
        <f>IF(F3="1",SUMIF(Data!A:A,'4'!$A$2,Data!AM:AM),0)</f>
        <v>0</v>
      </c>
      <c r="F103" s="21" t="str">
        <f t="shared" si="6"/>
        <v/>
      </c>
    </row>
    <row r="104" spans="2:6" ht="15.75" customHeight="1" thickBot="1" x14ac:dyDescent="0.25">
      <c r="B104" s="149" t="s">
        <v>29</v>
      </c>
      <c r="C104" s="150"/>
      <c r="D104" s="37"/>
      <c r="E104" s="24">
        <f>IF(F3="1",SUMIF(Data!A:A,'4'!$A$2,Data!Q:Q),0)</f>
        <v>249137</v>
      </c>
      <c r="F104" s="25">
        <f t="shared" si="6"/>
        <v>0.13</v>
      </c>
    </row>
    <row r="105" spans="2:6" x14ac:dyDescent="0.2">
      <c r="B105" s="30" t="s">
        <v>35</v>
      </c>
      <c r="C105" s="30"/>
      <c r="D105" s="34">
        <f>D95</f>
        <v>1943728</v>
      </c>
      <c r="E105" s="31">
        <f>SUM(E98:E104)</f>
        <v>2873180</v>
      </c>
      <c r="F105" s="32">
        <f>IF($D$105=0,"",ROUND(E105/$D$105,2))</f>
        <v>1.48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5021165</v>
      </c>
      <c r="D109" s="15">
        <f>IF(F3="1",SUMIF(Data!$A:$A,$A$2,Data!HJ:HJ),0)</f>
        <v>0</v>
      </c>
      <c r="E109" s="15">
        <f>IF(F3="1",SUMIF(Data!$A:$A,$A$2,Data!IN:IN),0)</f>
        <v>0</v>
      </c>
      <c r="F109" s="47">
        <f>SUM(C109:E109)</f>
        <v>5021165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249137</v>
      </c>
      <c r="E117" s="52"/>
      <c r="F117" s="49">
        <f>SUM(C117:E117)</f>
        <v>249137</v>
      </c>
    </row>
    <row r="118" spans="1:6" x14ac:dyDescent="0.2">
      <c r="B118" s="13" t="s">
        <v>35</v>
      </c>
      <c r="C118" s="4">
        <f>SUM(C109:C116)</f>
        <v>5021165</v>
      </c>
      <c r="D118" s="4">
        <f>SUM(D109:D116)</f>
        <v>0</v>
      </c>
      <c r="E118" s="4">
        <f>SUM(E109:E116)</f>
        <v>0</v>
      </c>
      <c r="F118" s="4">
        <f>SUM(F109:F116)</f>
        <v>5021165</v>
      </c>
    </row>
    <row r="119" spans="1:6" ht="15" thickBot="1" x14ac:dyDescent="0.25"/>
    <row r="120" spans="1:6" ht="15" thickBot="1" x14ac:dyDescent="0.25">
      <c r="B120" s="55" t="s">
        <v>934</v>
      </c>
      <c r="C120" s="53"/>
      <c r="D120" s="53"/>
      <c r="E120" s="53">
        <f>IF(F3="1",SUMIF(Data!A:A,'4'!$A$2,Data!AM:AM),0)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42578125" style="10" bestFit="1" customWidth="1"/>
    <col min="13"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444</v>
      </c>
      <c r="B2" s="58" t="str">
        <f>VLOOKUP(A2,Data!A:G,7,0)</f>
        <v>Austin Community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220992</v>
      </c>
      <c r="E6" s="17">
        <f t="shared" ref="E6:E32" si="1">E37+E68+IFERROR($E$105/$D$105*D6,0)</f>
        <v>2109666.0247423397</v>
      </c>
      <c r="F6" s="21">
        <f t="shared" ref="F6:F33" si="2">IF(OR(D6=0,E6=0),"",ROUND(E6/D6,2))</f>
        <v>9.5500000000000007</v>
      </c>
    </row>
    <row r="7" spans="1:6" ht="14.25" customHeight="1" x14ac:dyDescent="0.2">
      <c r="A7" s="19">
        <v>3</v>
      </c>
      <c r="B7" s="143" t="s">
        <v>2</v>
      </c>
      <c r="C7" s="144"/>
      <c r="D7" s="14">
        <f t="shared" si="0"/>
        <v>1043488</v>
      </c>
      <c r="E7" s="17">
        <f t="shared" si="1"/>
        <v>7302920.1085755816</v>
      </c>
      <c r="F7" s="21">
        <f t="shared" si="2"/>
        <v>7</v>
      </c>
    </row>
    <row r="8" spans="1:6" ht="14.25" customHeight="1" x14ac:dyDescent="0.2">
      <c r="A8" s="19">
        <v>4</v>
      </c>
      <c r="B8" s="143" t="s">
        <v>3</v>
      </c>
      <c r="C8" s="144"/>
      <c r="D8" s="14">
        <f t="shared" si="0"/>
        <v>516800</v>
      </c>
      <c r="E8" s="17">
        <f t="shared" si="1"/>
        <v>4020326.419285953</v>
      </c>
      <c r="F8" s="21">
        <f t="shared" si="2"/>
        <v>7.78</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59104</v>
      </c>
      <c r="E10" s="17">
        <f t="shared" si="1"/>
        <v>431584.16083103127</v>
      </c>
      <c r="F10" s="21">
        <f t="shared" si="2"/>
        <v>7.3</v>
      </c>
    </row>
    <row r="11" spans="1:6" x14ac:dyDescent="0.2">
      <c r="A11" s="19">
        <v>7</v>
      </c>
      <c r="B11" s="143" t="s">
        <v>6</v>
      </c>
      <c r="C11" s="144"/>
      <c r="D11" s="14">
        <f t="shared" si="0"/>
        <v>732480</v>
      </c>
      <c r="E11" s="17">
        <f t="shared" si="1"/>
        <v>5122395.5546412058</v>
      </c>
      <c r="F11" s="21">
        <f t="shared" si="2"/>
        <v>6.99</v>
      </c>
    </row>
    <row r="12" spans="1:6" x14ac:dyDescent="0.2">
      <c r="A12" s="19">
        <v>8</v>
      </c>
      <c r="B12" s="143" t="s">
        <v>7</v>
      </c>
      <c r="C12" s="144"/>
      <c r="D12" s="14">
        <f t="shared" si="0"/>
        <v>53056</v>
      </c>
      <c r="E12" s="17">
        <f t="shared" si="1"/>
        <v>569377.76267344342</v>
      </c>
      <c r="F12" s="21">
        <f t="shared" si="2"/>
        <v>10.73</v>
      </c>
    </row>
    <row r="13" spans="1:6" x14ac:dyDescent="0.2">
      <c r="A13" s="19">
        <v>9</v>
      </c>
      <c r="B13" s="143" t="s">
        <v>8</v>
      </c>
      <c r="C13" s="144"/>
      <c r="D13" s="14">
        <f t="shared" si="0"/>
        <v>81696</v>
      </c>
      <c r="E13" s="17">
        <f t="shared" si="1"/>
        <v>619731.4735255132</v>
      </c>
      <c r="F13" s="21">
        <f t="shared" si="2"/>
        <v>7.59</v>
      </c>
    </row>
    <row r="14" spans="1:6" x14ac:dyDescent="0.2">
      <c r="A14" s="19">
        <v>10</v>
      </c>
      <c r="B14" s="143" t="s">
        <v>9</v>
      </c>
      <c r="C14" s="144"/>
      <c r="D14" s="14">
        <f t="shared" si="0"/>
        <v>8064</v>
      </c>
      <c r="E14" s="17">
        <f t="shared" si="1"/>
        <v>98327.530876783916</v>
      </c>
      <c r="F14" s="21">
        <f t="shared" si="2"/>
        <v>12.19</v>
      </c>
    </row>
    <row r="15" spans="1:6" x14ac:dyDescent="0.2">
      <c r="A15" s="19">
        <v>11</v>
      </c>
      <c r="B15" s="143" t="s">
        <v>10</v>
      </c>
      <c r="C15" s="144"/>
      <c r="D15" s="14">
        <f t="shared" si="0"/>
        <v>77328</v>
      </c>
      <c r="E15" s="17">
        <f t="shared" si="1"/>
        <v>757518.01930058864</v>
      </c>
      <c r="F15" s="21">
        <f t="shared" si="2"/>
        <v>9.8000000000000007</v>
      </c>
    </row>
    <row r="16" spans="1:6" ht="14.25" customHeight="1" x14ac:dyDescent="0.2">
      <c r="A16" s="19">
        <v>12</v>
      </c>
      <c r="B16" s="143" t="s">
        <v>11</v>
      </c>
      <c r="C16" s="144"/>
      <c r="D16" s="14">
        <f t="shared" si="0"/>
        <v>1234448</v>
      </c>
      <c r="E16" s="17">
        <f t="shared" si="1"/>
        <v>8164746.0689216442</v>
      </c>
      <c r="F16" s="21">
        <f t="shared" si="2"/>
        <v>6.61</v>
      </c>
    </row>
    <row r="17" spans="1:6" x14ac:dyDescent="0.2">
      <c r="A17" s="19">
        <v>13</v>
      </c>
      <c r="B17" s="143" t="s">
        <v>12</v>
      </c>
      <c r="C17" s="144"/>
      <c r="D17" s="14">
        <f t="shared" si="0"/>
        <v>474384</v>
      </c>
      <c r="E17" s="17">
        <f t="shared" si="1"/>
        <v>2840222.9681860441</v>
      </c>
      <c r="F17" s="21">
        <f t="shared" si="2"/>
        <v>5.99</v>
      </c>
    </row>
    <row r="18" spans="1:6" ht="14.25" customHeight="1" x14ac:dyDescent="0.2">
      <c r="A18" s="19">
        <v>14</v>
      </c>
      <c r="B18" s="143" t="s">
        <v>464</v>
      </c>
      <c r="C18" s="144"/>
      <c r="D18" s="14">
        <f t="shared" si="0"/>
        <v>124304</v>
      </c>
      <c r="E18" s="17">
        <f t="shared" si="1"/>
        <v>1700007.3182177267</v>
      </c>
      <c r="F18" s="21">
        <f t="shared" si="2"/>
        <v>13.68</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322624</v>
      </c>
      <c r="E20" s="17">
        <f t="shared" si="1"/>
        <v>2913010.3662687913</v>
      </c>
      <c r="F20" s="21">
        <f t="shared" si="2"/>
        <v>9.0299999999999994</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69248</v>
      </c>
      <c r="E22" s="17">
        <f t="shared" si="1"/>
        <v>791632.95562444592</v>
      </c>
      <c r="F22" s="21">
        <f t="shared" si="2"/>
        <v>11.43</v>
      </c>
    </row>
    <row r="23" spans="1:6" x14ac:dyDescent="0.2">
      <c r="A23" s="19">
        <v>19</v>
      </c>
      <c r="B23" s="143" t="s">
        <v>17</v>
      </c>
      <c r="C23" s="144"/>
      <c r="D23" s="14">
        <f t="shared" si="0"/>
        <v>1341504</v>
      </c>
      <c r="E23" s="17">
        <f t="shared" si="1"/>
        <v>8161106.0294306949</v>
      </c>
      <c r="F23" s="21">
        <f t="shared" si="2"/>
        <v>6.08</v>
      </c>
    </row>
    <row r="24" spans="1:6" x14ac:dyDescent="0.2">
      <c r="A24" s="19">
        <v>20</v>
      </c>
      <c r="B24" s="143" t="s">
        <v>18</v>
      </c>
      <c r="C24" s="144"/>
      <c r="D24" s="14">
        <f t="shared" si="0"/>
        <v>48320</v>
      </c>
      <c r="E24" s="17">
        <f t="shared" si="1"/>
        <v>633998.0540632687</v>
      </c>
      <c r="F24" s="21">
        <f t="shared" si="2"/>
        <v>13.12</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197200</v>
      </c>
      <c r="E26" s="17">
        <f t="shared" si="1"/>
        <v>1868269.7520959559</v>
      </c>
      <c r="F26" s="21">
        <f t="shared" si="2"/>
        <v>9.4700000000000006</v>
      </c>
    </row>
    <row r="27" spans="1:6" x14ac:dyDescent="0.2">
      <c r="A27" s="19">
        <v>23</v>
      </c>
      <c r="B27" s="143" t="s">
        <v>20</v>
      </c>
      <c r="C27" s="144"/>
      <c r="D27" s="14">
        <f t="shared" si="0"/>
        <v>215600</v>
      </c>
      <c r="E27" s="17">
        <f t="shared" si="1"/>
        <v>1850848.4713584587</v>
      </c>
      <c r="F27" s="21">
        <f t="shared" si="2"/>
        <v>8.58</v>
      </c>
    </row>
    <row r="28" spans="1:6" x14ac:dyDescent="0.2">
      <c r="A28" s="19">
        <v>24</v>
      </c>
      <c r="B28" s="143" t="s">
        <v>21</v>
      </c>
      <c r="C28" s="144"/>
      <c r="D28" s="14">
        <f t="shared" si="0"/>
        <v>105840</v>
      </c>
      <c r="E28" s="17">
        <f t="shared" si="1"/>
        <v>825320.46775778884</v>
      </c>
      <c r="F28" s="21">
        <f t="shared" si="2"/>
        <v>7.8</v>
      </c>
    </row>
    <row r="29" spans="1:6" x14ac:dyDescent="0.2">
      <c r="A29" s="19">
        <v>25</v>
      </c>
      <c r="B29" s="143" t="s">
        <v>22</v>
      </c>
      <c r="C29" s="144"/>
      <c r="D29" s="14">
        <f t="shared" si="0"/>
        <v>2071312</v>
      </c>
      <c r="E29" s="17">
        <f t="shared" si="1"/>
        <v>11415023.606578998</v>
      </c>
      <c r="F29" s="21">
        <f t="shared" si="2"/>
        <v>5.51</v>
      </c>
    </row>
    <row r="30" spans="1:6" x14ac:dyDescent="0.2">
      <c r="A30" s="19">
        <v>26</v>
      </c>
      <c r="B30" s="143" t="s">
        <v>23</v>
      </c>
      <c r="C30" s="144"/>
      <c r="D30" s="14">
        <f t="shared" si="0"/>
        <v>622640</v>
      </c>
      <c r="E30" s="17">
        <f t="shared" si="1"/>
        <v>4829148.8870437415</v>
      </c>
      <c r="F30" s="21">
        <f t="shared" si="2"/>
        <v>7.76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9620432</v>
      </c>
      <c r="E33" s="31">
        <f>SUM(E5:E32)</f>
        <v>67025182</v>
      </c>
      <c r="F33" s="32">
        <f t="shared" si="2"/>
        <v>6.97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IF(F3="1",SUMIF(Data!A:A,'5'!$A$2,Data!CU:CU),0)</f>
        <v>0</v>
      </c>
      <c r="E36" s="15">
        <f>IF(F3="1",SUMIF(Data!$A:$A,$A$2,Data!IO:IO),0)</f>
        <v>0</v>
      </c>
      <c r="F36" s="20" t="str">
        <f t="shared" ref="F36:F64" si="3">IF(OR(D36=0,E36=0),"",ROUND(E36/D36,2))</f>
        <v/>
      </c>
    </row>
    <row r="37" spans="1:6" x14ac:dyDescent="0.2">
      <c r="A37" s="19">
        <v>2</v>
      </c>
      <c r="B37" s="143" t="s">
        <v>1</v>
      </c>
      <c r="C37" s="144"/>
      <c r="D37" s="14">
        <f>IF(F3="1",SUMIF(Data!A:A,'5'!$A$2,Data!CV:CV),0)</f>
        <v>220992</v>
      </c>
      <c r="E37" s="17">
        <f>IF(F3="1",SUMIF(Data!$A:$A,$A$2,Data!IP:IP),0)</f>
        <v>328803</v>
      </c>
      <c r="F37" s="21">
        <f t="shared" si="3"/>
        <v>1.49</v>
      </c>
    </row>
    <row r="38" spans="1:6" ht="14.25" customHeight="1" x14ac:dyDescent="0.2">
      <c r="A38" s="19">
        <v>3</v>
      </c>
      <c r="B38" s="143" t="s">
        <v>2</v>
      </c>
      <c r="C38" s="144"/>
      <c r="D38" s="14">
        <f>IF(F3="1",SUMIF(Data!A:A,'5'!$A$2,Data!CW:CW),0)</f>
        <v>1043488</v>
      </c>
      <c r="E38" s="17">
        <f>IF($F$3="1",SUMIF(Data!$A:$A,$A$2,Data!IQ:IQ),0)</f>
        <v>1041897</v>
      </c>
      <c r="F38" s="21">
        <f t="shared" si="3"/>
        <v>1</v>
      </c>
    </row>
    <row r="39" spans="1:6" ht="14.25" customHeight="1" x14ac:dyDescent="0.2">
      <c r="A39" s="19">
        <v>4</v>
      </c>
      <c r="B39" s="143" t="s">
        <v>3</v>
      </c>
      <c r="C39" s="144"/>
      <c r="D39" s="14">
        <f>IF(F3="1",SUMIF(Data!A:A,'5'!$A$2,Data!CX:CX),0)</f>
        <v>516800</v>
      </c>
      <c r="E39" s="17">
        <f>IF($F$3="1",SUMIF(Data!$A:$A,$A$2,Data!IR:IR),0)</f>
        <v>241333</v>
      </c>
      <c r="F39" s="21">
        <f t="shared" si="3"/>
        <v>0.47</v>
      </c>
    </row>
    <row r="40" spans="1:6" x14ac:dyDescent="0.2">
      <c r="A40" s="19">
        <v>5</v>
      </c>
      <c r="B40" s="143" t="s">
        <v>4</v>
      </c>
      <c r="C40" s="144"/>
      <c r="D40" s="14">
        <f>IF(F3="1",SUMIF(Data!A:A,'5'!$A$2,Data!CY:CY),0)</f>
        <v>0</v>
      </c>
      <c r="E40" s="17">
        <f>IF($F$3="1",SUMIF(Data!$A:$A,$A$2,Data!IS:IS),0)</f>
        <v>0</v>
      </c>
      <c r="F40" s="21" t="str">
        <f t="shared" si="3"/>
        <v/>
      </c>
    </row>
    <row r="41" spans="1:6" x14ac:dyDescent="0.2">
      <c r="A41" s="19">
        <v>6</v>
      </c>
      <c r="B41" s="143" t="s">
        <v>5</v>
      </c>
      <c r="C41" s="144"/>
      <c r="D41" s="14">
        <f>IF(F3="1",SUMIF(Data!A:A,'5'!$A$2,Data!CZ:CZ),0)</f>
        <v>59104</v>
      </c>
      <c r="E41" s="17">
        <f>IF($F$3="1",SUMIF(Data!$A:$A,$A$2,Data!IT:IT),0)</f>
        <v>84406</v>
      </c>
      <c r="F41" s="21">
        <f t="shared" si="3"/>
        <v>1.43</v>
      </c>
    </row>
    <row r="42" spans="1:6" x14ac:dyDescent="0.2">
      <c r="A42" s="19">
        <v>7</v>
      </c>
      <c r="B42" s="143" t="s">
        <v>6</v>
      </c>
      <c r="C42" s="144"/>
      <c r="D42" s="14">
        <f>IF(F3="1",SUMIF(Data!A:A,'5'!$A$2,Data!DA:DA),0)</f>
        <v>732480</v>
      </c>
      <c r="E42" s="17">
        <f>IF($F$3="1",SUMIF(Data!$A:$A,$A$2,Data!IU:IU),0)</f>
        <v>775999</v>
      </c>
      <c r="F42" s="21">
        <f t="shared" si="3"/>
        <v>1.06</v>
      </c>
    </row>
    <row r="43" spans="1:6" x14ac:dyDescent="0.2">
      <c r="A43" s="19">
        <v>8</v>
      </c>
      <c r="B43" s="143" t="s">
        <v>7</v>
      </c>
      <c r="C43" s="144"/>
      <c r="D43" s="14">
        <f>IF(F3="1",SUMIF(Data!A:A,'5'!$A$2,Data!DB:DB),0)</f>
        <v>53056</v>
      </c>
      <c r="E43" s="17">
        <f>IF($F$3="1",SUMIF(Data!$A:$A,$A$2,Data!IV:IV),0)</f>
        <v>128427</v>
      </c>
      <c r="F43" s="21">
        <f t="shared" si="3"/>
        <v>2.42</v>
      </c>
    </row>
    <row r="44" spans="1:6" x14ac:dyDescent="0.2">
      <c r="A44" s="19">
        <v>9</v>
      </c>
      <c r="B44" s="143" t="s">
        <v>8</v>
      </c>
      <c r="C44" s="144"/>
      <c r="D44" s="14">
        <f>IF(F3="1",SUMIF(Data!A:A,'5'!$A$2,Data!DC:DC),0)</f>
        <v>81696</v>
      </c>
      <c r="E44" s="17">
        <f>IF($F$3="1",SUMIF(Data!$A:$A,$A$2,Data!IW:IW),0)</f>
        <v>22978</v>
      </c>
      <c r="F44" s="21">
        <f t="shared" si="3"/>
        <v>0.28000000000000003</v>
      </c>
    </row>
    <row r="45" spans="1:6" x14ac:dyDescent="0.2">
      <c r="A45" s="19">
        <v>10</v>
      </c>
      <c r="B45" s="143" t="s">
        <v>9</v>
      </c>
      <c r="C45" s="144"/>
      <c r="D45" s="14">
        <f>IF(F3="1",SUMIF(Data!A:A,'5'!$A$2,Data!DD:DD),0)</f>
        <v>8064</v>
      </c>
      <c r="E45" s="17">
        <f>IF($F$3="1",SUMIF(Data!$A:$A,$A$2,Data!IX:IX),0)</f>
        <v>295</v>
      </c>
      <c r="F45" s="21">
        <f t="shared" si="3"/>
        <v>0.04</v>
      </c>
    </row>
    <row r="46" spans="1:6" x14ac:dyDescent="0.2">
      <c r="A46" s="19">
        <v>11</v>
      </c>
      <c r="B46" s="143" t="s">
        <v>10</v>
      </c>
      <c r="C46" s="144"/>
      <c r="D46" s="14">
        <f>IF(F3="1",SUMIF(Data!A:A,'5'!$A$2,Data!DE:DE),0)</f>
        <v>77328</v>
      </c>
      <c r="E46" s="17">
        <f>IF($F$3="1",SUMIF(Data!$A:$A,$A$2,Data!IY:IY),0)</f>
        <v>77127</v>
      </c>
      <c r="F46" s="21">
        <f t="shared" si="3"/>
        <v>1</v>
      </c>
    </row>
    <row r="47" spans="1:6" ht="14.25" customHeight="1" x14ac:dyDescent="0.2">
      <c r="A47" s="19">
        <v>12</v>
      </c>
      <c r="B47" s="143" t="s">
        <v>11</v>
      </c>
      <c r="C47" s="144"/>
      <c r="D47" s="14">
        <f>IF(F3="1",SUMIF(Data!A:A,'5'!$A$2,Data!DF:DF),0)</f>
        <v>1234448</v>
      </c>
      <c r="E47" s="17">
        <f>IF($F$3="1",SUMIF(Data!$A:$A,$A$2,Data!IZ:IZ),0)</f>
        <v>253778</v>
      </c>
      <c r="F47" s="21">
        <f t="shared" si="3"/>
        <v>0.21</v>
      </c>
    </row>
    <row r="48" spans="1:6" x14ac:dyDescent="0.2">
      <c r="A48" s="19">
        <v>13</v>
      </c>
      <c r="B48" s="143" t="s">
        <v>12</v>
      </c>
      <c r="C48" s="144"/>
      <c r="D48" s="14">
        <f>IF(F3="1",SUMIF(Data!A:A,'5'!$A$2,Data!DG:DG),0)</f>
        <v>474384</v>
      </c>
      <c r="E48" s="17">
        <f>IF($F$3="1",SUMIF(Data!$A:$A,$A$2,Data!JA:JA),0)</f>
        <v>48480</v>
      </c>
      <c r="F48" s="21">
        <f t="shared" si="3"/>
        <v>0.1</v>
      </c>
    </row>
    <row r="49" spans="1:6" ht="14.25" customHeight="1" x14ac:dyDescent="0.2">
      <c r="A49" s="19">
        <v>14</v>
      </c>
      <c r="B49" s="143" t="s">
        <v>464</v>
      </c>
      <c r="C49" s="144"/>
      <c r="D49" s="14">
        <f>IF(F3="1",SUMIF(Data!A:A,'5'!$A$2,Data!DH:DH),0)</f>
        <v>124304</v>
      </c>
      <c r="E49" s="17">
        <f>IF($F$3="1",SUMIF(Data!$A:$A,$A$2,Data!JB:JB),0)</f>
        <v>105185</v>
      </c>
      <c r="F49" s="21">
        <f t="shared" si="3"/>
        <v>0.85</v>
      </c>
    </row>
    <row r="50" spans="1:6" x14ac:dyDescent="0.2">
      <c r="A50" s="19">
        <v>15</v>
      </c>
      <c r="B50" s="143" t="s">
        <v>13</v>
      </c>
      <c r="C50" s="144"/>
      <c r="D50" s="14">
        <f>IF(F3="1",SUMIF(Data!A:A,'5'!$A$2,Data!DI:DI),0)</f>
        <v>0</v>
      </c>
      <c r="E50" s="17">
        <f>IF($F$3="1",SUMIF(Data!$A:$A,$A$2,Data!JC:JC),0)</f>
        <v>0</v>
      </c>
      <c r="F50" s="21" t="str">
        <f t="shared" si="3"/>
        <v/>
      </c>
    </row>
    <row r="51" spans="1:6" x14ac:dyDescent="0.2">
      <c r="A51" s="19">
        <v>16</v>
      </c>
      <c r="B51" s="143" t="s">
        <v>14</v>
      </c>
      <c r="C51" s="144"/>
      <c r="D51" s="14">
        <f>IF(F3="1",SUMIF(Data!A:A,'5'!$A$2,Data!DJ:DJ),0)</f>
        <v>322624</v>
      </c>
      <c r="E51" s="17">
        <f>IF($F$3="1",SUMIF(Data!$A:$A,$A$2,Data!JD:JD),0)</f>
        <v>156840</v>
      </c>
      <c r="F51" s="21">
        <f t="shared" si="3"/>
        <v>0.49</v>
      </c>
    </row>
    <row r="52" spans="1:6" x14ac:dyDescent="0.2">
      <c r="A52" s="19">
        <v>17</v>
      </c>
      <c r="B52" s="143" t="s">
        <v>15</v>
      </c>
      <c r="C52" s="144"/>
      <c r="D52" s="14">
        <f>IF(F3="1",SUMIF(Data!A:A,'5'!$A$2,Data!DK:DK),0)</f>
        <v>0</v>
      </c>
      <c r="E52" s="17">
        <f>IF($F$3="1",SUMIF(Data!$A:$A,$A$2,Data!JE:JE),0)</f>
        <v>0</v>
      </c>
      <c r="F52" s="21" t="str">
        <f t="shared" si="3"/>
        <v/>
      </c>
    </row>
    <row r="53" spans="1:6" x14ac:dyDescent="0.2">
      <c r="A53" s="19">
        <v>18</v>
      </c>
      <c r="B53" s="143" t="s">
        <v>16</v>
      </c>
      <c r="C53" s="144"/>
      <c r="D53" s="14">
        <f>IF(F3="1",SUMIF(Data!A:A,'5'!$A$2,Data!DL:DL),0)</f>
        <v>69248</v>
      </c>
      <c r="E53" s="17">
        <f>IF($F$3="1",SUMIF(Data!$A:$A,$A$2,Data!JF:JF),0)</f>
        <v>37771</v>
      </c>
      <c r="F53" s="21">
        <f t="shared" si="3"/>
        <v>0.55000000000000004</v>
      </c>
    </row>
    <row r="54" spans="1:6" x14ac:dyDescent="0.2">
      <c r="A54" s="19">
        <v>19</v>
      </c>
      <c r="B54" s="143" t="s">
        <v>17</v>
      </c>
      <c r="C54" s="144"/>
      <c r="D54" s="14">
        <f>IF(F3="1",SUMIF(Data!A:A,'5'!$A$2,Data!DM:DM),0)</f>
        <v>1341504</v>
      </c>
      <c r="E54" s="17">
        <f>IF($F$3="1",SUMIF(Data!$A:$A,$A$2,Data!JG:JG),0)</f>
        <v>179130</v>
      </c>
      <c r="F54" s="21">
        <f t="shared" si="3"/>
        <v>0.13</v>
      </c>
    </row>
    <row r="55" spans="1:6" x14ac:dyDescent="0.2">
      <c r="A55" s="19">
        <v>20</v>
      </c>
      <c r="B55" s="143" t="s">
        <v>18</v>
      </c>
      <c r="C55" s="144"/>
      <c r="D55" s="14">
        <f>IF(F3="1",SUMIF(Data!A:A,'5'!$A$2,Data!DN:DN),0)</f>
        <v>48320</v>
      </c>
      <c r="E55" s="17">
        <f>IF($F$3="1",SUMIF(Data!$A:$A,$A$2,Data!JH:JH),0)</f>
        <v>143782</v>
      </c>
      <c r="F55" s="21">
        <f t="shared" si="3"/>
        <v>2.98</v>
      </c>
    </row>
    <row r="56" spans="1:6" ht="14.25" customHeight="1" x14ac:dyDescent="0.2">
      <c r="A56" s="19">
        <v>21</v>
      </c>
      <c r="B56" s="143" t="s">
        <v>461</v>
      </c>
      <c r="C56" s="144"/>
      <c r="D56" s="14">
        <f>IF(F3="1",SUMIF(Data!A:A,'5'!$A$2,Data!DO:DO),0)</f>
        <v>0</v>
      </c>
      <c r="E56" s="17">
        <f>IF($F$3="1",SUMIF(Data!$A:$A,$A$2,Data!JI:JI),0)</f>
        <v>0</v>
      </c>
      <c r="F56" s="21" t="str">
        <f t="shared" si="3"/>
        <v/>
      </c>
    </row>
    <row r="57" spans="1:6" x14ac:dyDescent="0.2">
      <c r="A57" s="19">
        <v>22</v>
      </c>
      <c r="B57" s="143" t="s">
        <v>19</v>
      </c>
      <c r="C57" s="144"/>
      <c r="D57" s="14">
        <f>IF(F3="1",SUMIF(Data!A:A,'5'!$A$2,Data!DP:DP),0)</f>
        <v>197200</v>
      </c>
      <c r="E57" s="17">
        <f>IF($F$3="1",SUMIF(Data!$A:$A,$A$2,Data!JJ:JJ),0)</f>
        <v>303051</v>
      </c>
      <c r="F57" s="21">
        <f t="shared" si="3"/>
        <v>1.54</v>
      </c>
    </row>
    <row r="58" spans="1:6" x14ac:dyDescent="0.2">
      <c r="A58" s="19">
        <v>23</v>
      </c>
      <c r="B58" s="143" t="s">
        <v>20</v>
      </c>
      <c r="C58" s="144"/>
      <c r="D58" s="14">
        <f>IF(F3="1",SUMIF(Data!A:A,'5'!$A$2,Data!DQ:DQ),0)</f>
        <v>215600</v>
      </c>
      <c r="E58" s="17">
        <f>IF($F$3="1",SUMIF(Data!$A:$A,$A$2,Data!JK:JK),0)</f>
        <v>171290</v>
      </c>
      <c r="F58" s="21">
        <f t="shared" si="3"/>
        <v>0.79</v>
      </c>
    </row>
    <row r="59" spans="1:6" x14ac:dyDescent="0.2">
      <c r="A59" s="19">
        <v>24</v>
      </c>
      <c r="B59" s="143" t="s">
        <v>21</v>
      </c>
      <c r="C59" s="144"/>
      <c r="D59" s="14">
        <f>IF(F3="1",SUMIF(Data!A:A,'5'!$A$2,Data!DR:DR),0)</f>
        <v>105840</v>
      </c>
      <c r="E59" s="17">
        <f>IF($F$3="1",SUMIF(Data!$A:$A,$A$2,Data!JL:JL),0)</f>
        <v>134813</v>
      </c>
      <c r="F59" s="21">
        <f t="shared" si="3"/>
        <v>1.27</v>
      </c>
    </row>
    <row r="60" spans="1:6" x14ac:dyDescent="0.2">
      <c r="A60" s="19">
        <v>25</v>
      </c>
      <c r="B60" s="143" t="s">
        <v>22</v>
      </c>
      <c r="C60" s="144"/>
      <c r="D60" s="14">
        <f>IF(F3="1",SUMIF(Data!A:A,'5'!$A$2,Data!DS:DS),0)</f>
        <v>2071312</v>
      </c>
      <c r="E60" s="17">
        <f>IF($F$3="1",SUMIF(Data!$A:$A,$A$2,Data!JM:JM),0)</f>
        <v>152781</v>
      </c>
      <c r="F60" s="21">
        <f t="shared" si="3"/>
        <v>7.0000000000000007E-2</v>
      </c>
    </row>
    <row r="61" spans="1:6" x14ac:dyDescent="0.2">
      <c r="A61" s="19">
        <v>26</v>
      </c>
      <c r="B61" s="143" t="s">
        <v>23</v>
      </c>
      <c r="C61" s="144"/>
      <c r="D61" s="14">
        <f>IF(F3="1",SUMIF(Data!A:A,'5'!$A$2,Data!DT:DT),0)</f>
        <v>622640</v>
      </c>
      <c r="E61" s="17">
        <f>IF($F$3="1",SUMIF(Data!$A:$A,$A$2,Data!JN:JN),0)</f>
        <v>648608</v>
      </c>
      <c r="F61" s="21">
        <f t="shared" si="3"/>
        <v>1.04</v>
      </c>
    </row>
    <row r="62" spans="1:6" x14ac:dyDescent="0.2">
      <c r="A62" s="19">
        <v>28</v>
      </c>
      <c r="B62" s="143" t="s">
        <v>24</v>
      </c>
      <c r="C62" s="144"/>
      <c r="D62" s="14">
        <f>IF(F3="1",SUMIF(Data!A:A,'5'!$A$2,Data!DV:DV),0)</f>
        <v>0</v>
      </c>
      <c r="E62" s="17">
        <f>IF($F$3="1",SUMIF(Data!$A:$A,$A$2,Data!JP:JP),0)</f>
        <v>0</v>
      </c>
      <c r="F62" s="21" t="str">
        <f t="shared" si="3"/>
        <v/>
      </c>
    </row>
    <row r="63" spans="1:6" ht="15.75" customHeight="1" thickBot="1" x14ac:dyDescent="0.25">
      <c r="A63" s="22">
        <v>29</v>
      </c>
      <c r="B63" s="147" t="s">
        <v>25</v>
      </c>
      <c r="C63" s="148"/>
      <c r="D63" s="23">
        <f>IF(F3="1",SUMIF(Data!A:A,'5'!$A$2,Data!DW:DW),0)</f>
        <v>0</v>
      </c>
      <c r="E63" s="24">
        <f>IF($F$3="1",SUMIF(Data!$A:$A,$A$2,Data!JQ:JQ),0)</f>
        <v>0</v>
      </c>
      <c r="F63" s="25" t="str">
        <f t="shared" si="3"/>
        <v/>
      </c>
    </row>
    <row r="64" spans="1:6" x14ac:dyDescent="0.2">
      <c r="B64" s="30" t="s">
        <v>35</v>
      </c>
      <c r="C64" s="30"/>
      <c r="D64" s="59">
        <f>SUM(D36:D63)</f>
        <v>9620432</v>
      </c>
      <c r="E64" s="31">
        <f>SUM(E36:E63)</f>
        <v>5036774</v>
      </c>
      <c r="F64" s="32">
        <f t="shared" si="3"/>
        <v>0.52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IF(F3="1",SUMIF(Data!A:A,'5'!$A$2,Data!DY:DY),0)</f>
        <v>0</v>
      </c>
      <c r="F67" s="20" t="str">
        <f t="shared" ref="F67:F95" si="4">IF(OR(D67=0,E67=0),"",ROUND(E67/D67,2))</f>
        <v/>
      </c>
    </row>
    <row r="68" spans="1:6" x14ac:dyDescent="0.2">
      <c r="A68" s="19">
        <v>2</v>
      </c>
      <c r="B68" s="143" t="s">
        <v>1</v>
      </c>
      <c r="C68" s="144"/>
      <c r="D68" s="14">
        <f t="shared" ref="D68:D94" si="5">D37</f>
        <v>220992</v>
      </c>
      <c r="E68" s="17">
        <f>IF(F3="1",SUMIF(Data!A:A,'5'!$A$2,Data!DZ:DZ),0)</f>
        <v>1041468</v>
      </c>
      <c r="F68" s="21">
        <f t="shared" si="4"/>
        <v>4.71</v>
      </c>
    </row>
    <row r="69" spans="1:6" ht="14.25" customHeight="1" x14ac:dyDescent="0.2">
      <c r="A69" s="19">
        <v>3</v>
      </c>
      <c r="B69" s="143" t="s">
        <v>2</v>
      </c>
      <c r="C69" s="144"/>
      <c r="D69" s="14">
        <f t="shared" si="5"/>
        <v>1043488</v>
      </c>
      <c r="E69" s="17">
        <f>IF(F3="1",SUMIF(Data!A:A,'5'!$A$2,Data!EA:EA),0)</f>
        <v>2769721</v>
      </c>
      <c r="F69" s="21">
        <f t="shared" si="4"/>
        <v>2.65</v>
      </c>
    </row>
    <row r="70" spans="1:6" ht="14.25" customHeight="1" x14ac:dyDescent="0.2">
      <c r="A70" s="19">
        <v>4</v>
      </c>
      <c r="B70" s="143" t="s">
        <v>3</v>
      </c>
      <c r="C70" s="144"/>
      <c r="D70" s="14">
        <f t="shared" si="5"/>
        <v>516800</v>
      </c>
      <c r="E70" s="17">
        <f>IF(F3="1",SUMIF(Data!A:A,'5'!$A$2,Data!EB:EB),0)</f>
        <v>2049884</v>
      </c>
      <c r="F70" s="21">
        <f t="shared" si="4"/>
        <v>3.97</v>
      </c>
    </row>
    <row r="71" spans="1:6" x14ac:dyDescent="0.2">
      <c r="A71" s="19">
        <v>5</v>
      </c>
      <c r="B71" s="143" t="s">
        <v>4</v>
      </c>
      <c r="C71" s="144"/>
      <c r="D71" s="14">
        <f t="shared" si="5"/>
        <v>0</v>
      </c>
      <c r="E71" s="17">
        <f>IF(F3="1",SUMIF(Data!A:A,'5'!$A$2,Data!EC:EC),0)</f>
        <v>0</v>
      </c>
      <c r="F71" s="21" t="str">
        <f t="shared" si="4"/>
        <v/>
      </c>
    </row>
    <row r="72" spans="1:6" x14ac:dyDescent="0.2">
      <c r="A72" s="19">
        <v>6</v>
      </c>
      <c r="B72" s="143" t="s">
        <v>5</v>
      </c>
      <c r="C72" s="144"/>
      <c r="D72" s="14">
        <f t="shared" si="5"/>
        <v>59104</v>
      </c>
      <c r="E72" s="17">
        <f>IF(F3="1",SUMIF(Data!A:A,'5'!$A$2,Data!ED:ED),0)</f>
        <v>149428</v>
      </c>
      <c r="F72" s="21">
        <f t="shared" si="4"/>
        <v>2.5299999999999998</v>
      </c>
    </row>
    <row r="73" spans="1:6" x14ac:dyDescent="0.2">
      <c r="A73" s="19">
        <v>7</v>
      </c>
      <c r="B73" s="143" t="s">
        <v>6</v>
      </c>
      <c r="C73" s="144"/>
      <c r="D73" s="14">
        <f t="shared" si="5"/>
        <v>732480</v>
      </c>
      <c r="E73" s="17">
        <f>IF(F3="1",SUMIF(Data!A:A,'5'!$A$2,Data!EE:EE),0)</f>
        <v>1895665</v>
      </c>
      <c r="F73" s="21">
        <f t="shared" si="4"/>
        <v>2.59</v>
      </c>
    </row>
    <row r="74" spans="1:6" x14ac:dyDescent="0.2">
      <c r="A74" s="19">
        <v>8</v>
      </c>
      <c r="B74" s="143" t="s">
        <v>7</v>
      </c>
      <c r="C74" s="144"/>
      <c r="D74" s="14">
        <f t="shared" si="5"/>
        <v>53056</v>
      </c>
      <c r="E74" s="17">
        <f>IF(F3="1",SUMIF(Data!A:A,'5'!$A$2,Data!EF:EF),0)</f>
        <v>263436</v>
      </c>
      <c r="F74" s="21">
        <f t="shared" si="4"/>
        <v>4.97</v>
      </c>
    </row>
    <row r="75" spans="1:6" x14ac:dyDescent="0.2">
      <c r="A75" s="19">
        <v>9</v>
      </c>
      <c r="B75" s="143" t="s">
        <v>8</v>
      </c>
      <c r="C75" s="144"/>
      <c r="D75" s="14">
        <f t="shared" si="5"/>
        <v>81696</v>
      </c>
      <c r="E75" s="17">
        <f>IF(F3="1",SUMIF(Data!A:A,'5'!$A$2,Data!EG:EG),0)</f>
        <v>323415</v>
      </c>
      <c r="F75" s="21">
        <f t="shared" si="4"/>
        <v>3.96</v>
      </c>
    </row>
    <row r="76" spans="1:6" x14ac:dyDescent="0.2">
      <c r="A76" s="19">
        <v>10</v>
      </c>
      <c r="B76" s="143" t="s">
        <v>9</v>
      </c>
      <c r="C76" s="144"/>
      <c r="D76" s="14">
        <f t="shared" si="5"/>
        <v>8064</v>
      </c>
      <c r="E76" s="17">
        <f>IF(F3="1",SUMIF(Data!A:A,'5'!$A$2,Data!EH:EH),0)</f>
        <v>71052</v>
      </c>
      <c r="F76" s="21">
        <f t="shared" si="4"/>
        <v>8.81</v>
      </c>
    </row>
    <row r="77" spans="1:6" x14ac:dyDescent="0.2">
      <c r="A77" s="19">
        <v>11</v>
      </c>
      <c r="B77" s="143" t="s">
        <v>10</v>
      </c>
      <c r="C77" s="144"/>
      <c r="D77" s="14">
        <f t="shared" si="5"/>
        <v>77328</v>
      </c>
      <c r="E77" s="17">
        <f>IF(F3="1",SUMIF(Data!A:A,'5'!$A$2,Data!EI:EI),0)</f>
        <v>421667</v>
      </c>
      <c r="F77" s="21">
        <f t="shared" si="4"/>
        <v>5.45</v>
      </c>
    </row>
    <row r="78" spans="1:6" ht="14.25" customHeight="1" x14ac:dyDescent="0.2">
      <c r="A78" s="19">
        <v>12</v>
      </c>
      <c r="B78" s="143" t="s">
        <v>11</v>
      </c>
      <c r="C78" s="144"/>
      <c r="D78" s="14">
        <f t="shared" si="5"/>
        <v>1234448</v>
      </c>
      <c r="E78" s="17">
        <f>IF(F3="1",SUMIF(Data!A:A,'5'!$A$2,Data!EJ:EJ),0)</f>
        <v>3780752</v>
      </c>
      <c r="F78" s="21">
        <f t="shared" si="4"/>
        <v>3.06</v>
      </c>
    </row>
    <row r="79" spans="1:6" x14ac:dyDescent="0.2">
      <c r="A79" s="19">
        <v>13</v>
      </c>
      <c r="B79" s="143" t="s">
        <v>12</v>
      </c>
      <c r="C79" s="144"/>
      <c r="D79" s="14">
        <f t="shared" si="5"/>
        <v>474384</v>
      </c>
      <c r="E79" s="17">
        <f>IF(F3="1",SUMIF(Data!A:A,'5'!$A$2,Data!EK:EK),0)</f>
        <v>1204549</v>
      </c>
      <c r="F79" s="21">
        <f t="shared" si="4"/>
        <v>2.54</v>
      </c>
    </row>
    <row r="80" spans="1:6" ht="14.25" customHeight="1" x14ac:dyDescent="0.2">
      <c r="A80" s="19">
        <v>14</v>
      </c>
      <c r="B80" s="143" t="s">
        <v>464</v>
      </c>
      <c r="C80" s="144"/>
      <c r="D80" s="14">
        <f t="shared" si="5"/>
        <v>124304</v>
      </c>
      <c r="E80" s="17">
        <f>IF(F3="1",SUMIF(Data!A:A,'5'!$A$2,Data!EL:EL),0)</f>
        <v>1178926</v>
      </c>
      <c r="F80" s="21">
        <f t="shared" si="4"/>
        <v>9.48</v>
      </c>
    </row>
    <row r="81" spans="1:6" x14ac:dyDescent="0.2">
      <c r="A81" s="19">
        <v>15</v>
      </c>
      <c r="B81" s="143" t="s">
        <v>13</v>
      </c>
      <c r="C81" s="144"/>
      <c r="D81" s="14">
        <f t="shared" si="5"/>
        <v>0</v>
      </c>
      <c r="E81" s="17">
        <f>IF(F3="1",SUMIF(Data!A:A,'5'!$A$2,Data!EM:EM),0)</f>
        <v>0</v>
      </c>
      <c r="F81" s="21" t="str">
        <f t="shared" si="4"/>
        <v/>
      </c>
    </row>
    <row r="82" spans="1:6" x14ac:dyDescent="0.2">
      <c r="A82" s="19">
        <v>16</v>
      </c>
      <c r="B82" s="143" t="s">
        <v>14</v>
      </c>
      <c r="C82" s="144"/>
      <c r="D82" s="14">
        <f t="shared" si="5"/>
        <v>322624</v>
      </c>
      <c r="E82" s="17">
        <f>IF(F3="1",SUMIF(Data!A:A,'5'!$A$2,Data!EN:EN),0)</f>
        <v>1676735</v>
      </c>
      <c r="F82" s="21">
        <f t="shared" si="4"/>
        <v>5.2</v>
      </c>
    </row>
    <row r="83" spans="1:6" x14ac:dyDescent="0.2">
      <c r="A83" s="19">
        <v>17</v>
      </c>
      <c r="B83" s="143" t="s">
        <v>15</v>
      </c>
      <c r="C83" s="144"/>
      <c r="D83" s="14">
        <f t="shared" si="5"/>
        <v>0</v>
      </c>
      <c r="E83" s="17">
        <f>IF(F3="1",SUMIF(Data!A:A,'5'!$A$2,Data!EO:EO),0)</f>
        <v>0</v>
      </c>
      <c r="F83" s="21" t="str">
        <f t="shared" si="4"/>
        <v/>
      </c>
    </row>
    <row r="84" spans="1:6" x14ac:dyDescent="0.2">
      <c r="A84" s="19">
        <v>18</v>
      </c>
      <c r="B84" s="143" t="s">
        <v>16</v>
      </c>
      <c r="C84" s="144"/>
      <c r="D84" s="14">
        <f t="shared" si="5"/>
        <v>69248</v>
      </c>
      <c r="E84" s="17">
        <f>IF(F3="1",SUMIF(Data!A:A,'5'!$A$2,Data!EP:EP),0)</f>
        <v>522172</v>
      </c>
      <c r="F84" s="21">
        <f t="shared" si="4"/>
        <v>7.54</v>
      </c>
    </row>
    <row r="85" spans="1:6" x14ac:dyDescent="0.2">
      <c r="A85" s="19">
        <v>19</v>
      </c>
      <c r="B85" s="143" t="s">
        <v>17</v>
      </c>
      <c r="C85" s="144"/>
      <c r="D85" s="14">
        <f t="shared" si="5"/>
        <v>1341504</v>
      </c>
      <c r="E85" s="17">
        <f>IF(F3="1",SUMIF(Data!A:A,'5'!$A$2,Data!EQ:EQ),0)</f>
        <v>3493572</v>
      </c>
      <c r="F85" s="21">
        <f t="shared" si="4"/>
        <v>2.6</v>
      </c>
    </row>
    <row r="86" spans="1:6" x14ac:dyDescent="0.2">
      <c r="A86" s="19">
        <v>20</v>
      </c>
      <c r="B86" s="143" t="s">
        <v>18</v>
      </c>
      <c r="C86" s="144"/>
      <c r="D86" s="14">
        <f t="shared" si="5"/>
        <v>48320</v>
      </c>
      <c r="E86" s="17">
        <f>IF(F3="1",SUMIF(Data!A:A,'5'!$A$2,Data!ER:ER),0)</f>
        <v>328547</v>
      </c>
      <c r="F86" s="21">
        <f t="shared" si="4"/>
        <v>6.8</v>
      </c>
    </row>
    <row r="87" spans="1:6" ht="14.25" customHeight="1" x14ac:dyDescent="0.2">
      <c r="A87" s="19">
        <v>21</v>
      </c>
      <c r="B87" s="143" t="s">
        <v>461</v>
      </c>
      <c r="C87" s="144"/>
      <c r="D87" s="14">
        <f t="shared" si="5"/>
        <v>0</v>
      </c>
      <c r="E87" s="17">
        <f>IF(F3="1",SUMIF(Data!A:A,'5'!$A$2,Data!ES:ES),0)</f>
        <v>0</v>
      </c>
      <c r="F87" s="21" t="str">
        <f t="shared" si="4"/>
        <v/>
      </c>
    </row>
    <row r="88" spans="1:6" x14ac:dyDescent="0.2">
      <c r="A88" s="19">
        <v>22</v>
      </c>
      <c r="B88" s="143" t="s">
        <v>19</v>
      </c>
      <c r="C88" s="144"/>
      <c r="D88" s="14">
        <f t="shared" si="5"/>
        <v>197200</v>
      </c>
      <c r="E88" s="17">
        <f>IF(F3="1",SUMIF(Data!A:A,'5'!$A$2,Data!ET:ET),0)</f>
        <v>905427</v>
      </c>
      <c r="F88" s="21">
        <f t="shared" si="4"/>
        <v>4.59</v>
      </c>
    </row>
    <row r="89" spans="1:6" x14ac:dyDescent="0.2">
      <c r="A89" s="19">
        <v>23</v>
      </c>
      <c r="B89" s="143" t="s">
        <v>20</v>
      </c>
      <c r="C89" s="144"/>
      <c r="D89" s="14">
        <f t="shared" si="5"/>
        <v>215600</v>
      </c>
      <c r="E89" s="17">
        <f>IF(F3="1",SUMIF(Data!A:A,'5'!$A$2,Data!EU:EU),0)</f>
        <v>958204</v>
      </c>
      <c r="F89" s="21">
        <f t="shared" si="4"/>
        <v>4.4400000000000004</v>
      </c>
    </row>
    <row r="90" spans="1:6" x14ac:dyDescent="0.2">
      <c r="A90" s="19">
        <v>24</v>
      </c>
      <c r="B90" s="143" t="s">
        <v>21</v>
      </c>
      <c r="C90" s="144"/>
      <c r="D90" s="14">
        <f t="shared" si="5"/>
        <v>105840</v>
      </c>
      <c r="E90" s="17">
        <f>IF(F3="1",SUMIF(Data!A:A,'5'!$A$2,Data!EV:EV),0)</f>
        <v>336388</v>
      </c>
      <c r="F90" s="21">
        <f t="shared" si="4"/>
        <v>3.18</v>
      </c>
    </row>
    <row r="91" spans="1:6" x14ac:dyDescent="0.2">
      <c r="A91" s="19">
        <v>25</v>
      </c>
      <c r="B91" s="143" t="s">
        <v>22</v>
      </c>
      <c r="C91" s="144"/>
      <c r="D91" s="14">
        <f t="shared" si="5"/>
        <v>2071312</v>
      </c>
      <c r="E91" s="17">
        <f>IF(F3="1",SUMIF(Data!A:A,'5'!$A$2,Data!EW:EW),0)</f>
        <v>4332047</v>
      </c>
      <c r="F91" s="21">
        <f t="shared" si="4"/>
        <v>2.09</v>
      </c>
    </row>
    <row r="92" spans="1:6" x14ac:dyDescent="0.2">
      <c r="A92" s="19">
        <v>26</v>
      </c>
      <c r="B92" s="143" t="s">
        <v>23</v>
      </c>
      <c r="C92" s="144"/>
      <c r="D92" s="14">
        <f t="shared" si="5"/>
        <v>622640</v>
      </c>
      <c r="E92" s="17">
        <f>IF(F3="1",SUMIF(Data!A:A,'5'!$A$2,Data!EX:EX),0)</f>
        <v>2097312</v>
      </c>
      <c r="F92" s="21">
        <f t="shared" si="4"/>
        <v>3.37</v>
      </c>
    </row>
    <row r="93" spans="1:6" x14ac:dyDescent="0.2">
      <c r="A93" s="19">
        <v>28</v>
      </c>
      <c r="B93" s="143" t="s">
        <v>24</v>
      </c>
      <c r="C93" s="144"/>
      <c r="D93" s="14">
        <f t="shared" si="5"/>
        <v>0</v>
      </c>
      <c r="E93" s="17">
        <f>IF(F3="1",SUMIF(Data!A:A,'5'!$A$2,Data!EZ:EZ),0)</f>
        <v>0</v>
      </c>
      <c r="F93" s="21" t="str">
        <f t="shared" si="4"/>
        <v/>
      </c>
    </row>
    <row r="94" spans="1:6" ht="15.75" customHeight="1" thickBot="1" x14ac:dyDescent="0.25">
      <c r="A94" s="22">
        <v>29</v>
      </c>
      <c r="B94" s="147" t="s">
        <v>25</v>
      </c>
      <c r="C94" s="148"/>
      <c r="D94" s="23">
        <f t="shared" si="5"/>
        <v>0</v>
      </c>
      <c r="E94" s="24">
        <f>IF(F3="1",SUMIF(Data!A:A,'5'!$A$2,Data!FA:FA),0)</f>
        <v>0</v>
      </c>
      <c r="F94" s="25" t="str">
        <f t="shared" si="4"/>
        <v/>
      </c>
    </row>
    <row r="95" spans="1:6" x14ac:dyDescent="0.2">
      <c r="B95" s="30" t="s">
        <v>35</v>
      </c>
      <c r="C95" s="30"/>
      <c r="D95" s="59">
        <f>SUM(D67:D94)</f>
        <v>9620432</v>
      </c>
      <c r="E95" s="31">
        <f>SUM(E67:E94)</f>
        <v>29800367</v>
      </c>
      <c r="F95" s="32">
        <f t="shared" si="4"/>
        <v>3.1</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IF(F3="1",SUMIF(Data!A:A,'5'!$A$2,Data!AH:AH),0)</f>
        <v>13291268</v>
      </c>
      <c r="F98" s="20">
        <f>IF(OR(E98=0,E98=0),"",ROUND(E98/$D$105,2))</f>
        <v>1.38</v>
      </c>
    </row>
    <row r="99" spans="2:6" x14ac:dyDescent="0.2">
      <c r="B99" s="153" t="s">
        <v>31</v>
      </c>
      <c r="C99" s="154"/>
      <c r="D99" s="36"/>
      <c r="E99" s="17">
        <f>IF(F3="1",SUMIF(Data!A:A,'5'!$A$2,Data!AI:AI),0)</f>
        <v>6115542</v>
      </c>
      <c r="F99" s="21">
        <f t="shared" ref="F99:F104" si="6">IF(OR(E99=0,E99=0),"",ROUND(E99/$D$105,2))</f>
        <v>0.64</v>
      </c>
    </row>
    <row r="100" spans="2:6" x14ac:dyDescent="0.2">
      <c r="B100" s="153" t="s">
        <v>1078</v>
      </c>
      <c r="C100" s="154"/>
      <c r="D100" s="36"/>
      <c r="E100" s="17">
        <f>IF(F3="1",SUMIF(Data!A:A,'5'!$A$2,Data!AJ:AJ),0)</f>
        <v>3338918</v>
      </c>
      <c r="F100" s="21">
        <f t="shared" si="6"/>
        <v>0.35</v>
      </c>
    </row>
    <row r="101" spans="2:6" x14ac:dyDescent="0.2">
      <c r="B101" s="153" t="s">
        <v>1079</v>
      </c>
      <c r="C101" s="154"/>
      <c r="D101" s="36"/>
      <c r="E101" s="17">
        <f>IF(F3="1",SUMIF(Data!A:A,'5'!$A$2,Data!AK:AK),0)</f>
        <v>7120849</v>
      </c>
      <c r="F101" s="21">
        <f t="shared" si="6"/>
        <v>0.74</v>
      </c>
    </row>
    <row r="102" spans="2:6" x14ac:dyDescent="0.2">
      <c r="B102" s="153" t="s">
        <v>1080</v>
      </c>
      <c r="C102" s="154"/>
      <c r="D102" s="36"/>
      <c r="E102" s="17">
        <f>IF(F3="1",SUMIF(Data!A:A,'5'!$A$2,Data!AL:AL),0)</f>
        <v>0</v>
      </c>
      <c r="F102" s="21" t="str">
        <f t="shared" si="6"/>
        <v/>
      </c>
    </row>
    <row r="103" spans="2:6" x14ac:dyDescent="0.2">
      <c r="B103" s="155" t="s">
        <v>34</v>
      </c>
      <c r="C103" s="156"/>
      <c r="D103" s="36"/>
      <c r="E103" s="17">
        <f>IF(F3="1",SUMIF(Data!A:A,'5'!$A$2,Data!AM:AM),0)</f>
        <v>0</v>
      </c>
      <c r="F103" s="21" t="str">
        <f t="shared" si="6"/>
        <v/>
      </c>
    </row>
    <row r="104" spans="2:6" ht="15.75" customHeight="1" thickBot="1" x14ac:dyDescent="0.25">
      <c r="B104" s="149" t="s">
        <v>29</v>
      </c>
      <c r="C104" s="150"/>
      <c r="D104" s="37"/>
      <c r="E104" s="24">
        <f>IF(F3="1",SUMIF(Data!A:A,'5'!$A$2,Data!Q:Q),0)</f>
        <v>2321464</v>
      </c>
      <c r="F104" s="25">
        <f t="shared" si="6"/>
        <v>0.24</v>
      </c>
    </row>
    <row r="105" spans="2:6" x14ac:dyDescent="0.2">
      <c r="B105" s="30" t="s">
        <v>35</v>
      </c>
      <c r="C105" s="30"/>
      <c r="D105" s="34">
        <f>D95</f>
        <v>9620432</v>
      </c>
      <c r="E105" s="31">
        <f>SUM(E98:E104)</f>
        <v>32188041</v>
      </c>
      <c r="F105" s="32">
        <f>IF($D$105=0,"",ROUND(E105/$D$105,2))</f>
        <v>3.35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29800367</v>
      </c>
      <c r="D109" s="15">
        <f>IF(F3="1",SUMIF(Data!$A:$A,$A$2,Data!HJ:HJ),0)</f>
        <v>0</v>
      </c>
      <c r="E109" s="15">
        <f>IF(F3="1",SUMIF(Data!$A:$A,$A$2,Data!IN:IN),0)</f>
        <v>0</v>
      </c>
      <c r="F109" s="47">
        <f>SUM(C109:E109)</f>
        <v>29800367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2321464</v>
      </c>
      <c r="E117" s="52"/>
      <c r="F117" s="49">
        <f>SUM(C117:E117)</f>
        <v>2321464</v>
      </c>
    </row>
    <row r="118" spans="1:6" x14ac:dyDescent="0.2">
      <c r="B118" s="13" t="s">
        <v>35</v>
      </c>
      <c r="C118" s="4">
        <f>SUM(C109:C116)</f>
        <v>29800367</v>
      </c>
      <c r="D118" s="4">
        <f>SUM(D109:D116)</f>
        <v>0</v>
      </c>
      <c r="E118" s="4">
        <f>SUM(E109:E116)</f>
        <v>0</v>
      </c>
      <c r="F118" s="4">
        <f>SUM(F109:F116)</f>
        <v>29800367</v>
      </c>
    </row>
    <row r="119" spans="1:6" ht="15" thickBot="1" x14ac:dyDescent="0.25"/>
    <row r="120" spans="1:6" ht="15" thickBot="1" x14ac:dyDescent="0.25">
      <c r="B120" s="55" t="s">
        <v>934</v>
      </c>
      <c r="C120" s="53"/>
      <c r="D120" s="53"/>
      <c r="E120" s="53">
        <f>IF(F3="1",SUMIF(Data!A:A,'5'!$A$2,Data!AM:AM),0)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356</v>
      </c>
      <c r="B2" s="58" t="str">
        <f>VLOOKUP(A2,Data!A:G,7,0)</f>
        <v>Blinn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17856</v>
      </c>
      <c r="E5" s="15">
        <f>E36+E67+IFERROR($E$105/$D$105*D5,0)</f>
        <v>139615.11176134748</v>
      </c>
      <c r="F5" s="20">
        <f>IF(OR(D5=0,E5=0),"",ROUND(E5/D5,2))</f>
        <v>7.82</v>
      </c>
    </row>
    <row r="6" spans="1:6" x14ac:dyDescent="0.2">
      <c r="A6" s="19">
        <v>2</v>
      </c>
      <c r="B6" s="143" t="s">
        <v>1</v>
      </c>
      <c r="C6" s="144"/>
      <c r="D6" s="14">
        <f t="shared" ref="D6:D32" si="0">D37</f>
        <v>494</v>
      </c>
      <c r="E6" s="17">
        <f t="shared" ref="E6:E32" si="1">E37+E68+IFERROR($E$105/$D$105*D6,0)</f>
        <v>2530.2734772684616</v>
      </c>
      <c r="F6" s="21">
        <f t="shared" ref="F6:F33" si="2">IF(OR(D6=0,E6=0),"",ROUND(E6/D6,2))</f>
        <v>5.12</v>
      </c>
    </row>
    <row r="7" spans="1:6" ht="14.25" customHeight="1" x14ac:dyDescent="0.2">
      <c r="A7" s="19">
        <v>3</v>
      </c>
      <c r="B7" s="143" t="s">
        <v>2</v>
      </c>
      <c r="C7" s="144"/>
      <c r="D7" s="14">
        <f t="shared" si="0"/>
        <v>854984</v>
      </c>
      <c r="E7" s="17">
        <f t="shared" si="1"/>
        <v>2886850.6856050575</v>
      </c>
      <c r="F7" s="21">
        <f t="shared" si="2"/>
        <v>3.38</v>
      </c>
    </row>
    <row r="8" spans="1:6" ht="14.25" customHeight="1" x14ac:dyDescent="0.2">
      <c r="A8" s="19">
        <v>4</v>
      </c>
      <c r="B8" s="143" t="s">
        <v>3</v>
      </c>
      <c r="C8" s="144"/>
      <c r="D8" s="14">
        <f t="shared" si="0"/>
        <v>374957</v>
      </c>
      <c r="E8" s="17">
        <f t="shared" si="1"/>
        <v>1654210.7210853251</v>
      </c>
      <c r="F8" s="21">
        <f t="shared" si="2"/>
        <v>4.41</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17744</v>
      </c>
      <c r="E10" s="17">
        <f t="shared" si="1"/>
        <v>88098.474859618582</v>
      </c>
      <c r="F10" s="21">
        <f t="shared" si="2"/>
        <v>4.96</v>
      </c>
    </row>
    <row r="11" spans="1:6" x14ac:dyDescent="0.2">
      <c r="A11" s="19">
        <v>7</v>
      </c>
      <c r="B11" s="143" t="s">
        <v>6</v>
      </c>
      <c r="C11" s="144"/>
      <c r="D11" s="14">
        <f t="shared" si="0"/>
        <v>186436</v>
      </c>
      <c r="E11" s="17">
        <f t="shared" si="1"/>
        <v>1462237.8340243378</v>
      </c>
      <c r="F11" s="21">
        <f t="shared" si="2"/>
        <v>7.84</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41227</v>
      </c>
      <c r="E13" s="17">
        <f t="shared" si="1"/>
        <v>191558.53167479124</v>
      </c>
      <c r="F13" s="21">
        <f t="shared" si="2"/>
        <v>4.6500000000000004</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3839</v>
      </c>
      <c r="E15" s="17">
        <f t="shared" si="1"/>
        <v>9016.9916583676604</v>
      </c>
      <c r="F15" s="21">
        <f t="shared" si="2"/>
        <v>2.35</v>
      </c>
    </row>
    <row r="16" spans="1:6" ht="14.25" customHeight="1" x14ac:dyDescent="0.2">
      <c r="A16" s="19">
        <v>12</v>
      </c>
      <c r="B16" s="143" t="s">
        <v>11</v>
      </c>
      <c r="C16" s="144"/>
      <c r="D16" s="14">
        <f t="shared" si="0"/>
        <v>884016</v>
      </c>
      <c r="E16" s="17">
        <f t="shared" si="1"/>
        <v>3888490.0653460659</v>
      </c>
      <c r="F16" s="21">
        <f t="shared" si="2"/>
        <v>4.4000000000000004</v>
      </c>
    </row>
    <row r="17" spans="1:6" x14ac:dyDescent="0.2">
      <c r="A17" s="19">
        <v>13</v>
      </c>
      <c r="B17" s="143" t="s">
        <v>12</v>
      </c>
      <c r="C17" s="144"/>
      <c r="D17" s="14">
        <f t="shared" si="0"/>
        <v>113110</v>
      </c>
      <c r="E17" s="17">
        <f t="shared" si="1"/>
        <v>448219.67816565931</v>
      </c>
      <c r="F17" s="21">
        <f t="shared" si="2"/>
        <v>3.96</v>
      </c>
    </row>
    <row r="18" spans="1:6" ht="14.25" customHeight="1" x14ac:dyDescent="0.2">
      <c r="A18" s="19">
        <v>14</v>
      </c>
      <c r="B18" s="143" t="s">
        <v>464</v>
      </c>
      <c r="C18" s="144"/>
      <c r="D18" s="14">
        <f t="shared" si="0"/>
        <v>52848</v>
      </c>
      <c r="E18" s="17">
        <f t="shared" si="1"/>
        <v>490451.66948721389</v>
      </c>
      <c r="F18" s="21">
        <f t="shared" si="2"/>
        <v>9.2799999999999994</v>
      </c>
    </row>
    <row r="19" spans="1:6" x14ac:dyDescent="0.2">
      <c r="A19" s="19">
        <v>15</v>
      </c>
      <c r="B19" s="143" t="s">
        <v>13</v>
      </c>
      <c r="C19" s="144"/>
      <c r="D19" s="14">
        <f t="shared" si="0"/>
        <v>27136</v>
      </c>
      <c r="E19" s="17">
        <f t="shared" si="1"/>
        <v>275096.02647602628</v>
      </c>
      <c r="F19" s="21">
        <f t="shared" si="2"/>
        <v>10.14</v>
      </c>
    </row>
    <row r="20" spans="1:6" x14ac:dyDescent="0.2">
      <c r="A20" s="19">
        <v>16</v>
      </c>
      <c r="B20" s="143" t="s">
        <v>14</v>
      </c>
      <c r="C20" s="144"/>
      <c r="D20" s="14">
        <f t="shared" si="0"/>
        <v>132652</v>
      </c>
      <c r="E20" s="17">
        <f t="shared" si="1"/>
        <v>745179.69900124695</v>
      </c>
      <c r="F20" s="21">
        <f t="shared" si="2"/>
        <v>5.62</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82635</v>
      </c>
      <c r="E22" s="17">
        <f t="shared" si="1"/>
        <v>413510.28905684076</v>
      </c>
      <c r="F22" s="21">
        <f t="shared" si="2"/>
        <v>5</v>
      </c>
    </row>
    <row r="23" spans="1:6" x14ac:dyDescent="0.2">
      <c r="A23" s="19">
        <v>19</v>
      </c>
      <c r="B23" s="143" t="s">
        <v>17</v>
      </c>
      <c r="C23" s="144"/>
      <c r="D23" s="14">
        <f t="shared" si="0"/>
        <v>658176</v>
      </c>
      <c r="E23" s="17">
        <f t="shared" si="1"/>
        <v>2523128.2270741845</v>
      </c>
      <c r="F23" s="21">
        <f t="shared" si="2"/>
        <v>3.83</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318816</v>
      </c>
      <c r="E27" s="17">
        <f t="shared" si="1"/>
        <v>1211242.4148356719</v>
      </c>
      <c r="F27" s="21">
        <f t="shared" si="2"/>
        <v>3.8</v>
      </c>
    </row>
    <row r="28" spans="1:6" x14ac:dyDescent="0.2">
      <c r="A28" s="19">
        <v>24</v>
      </c>
      <c r="B28" s="143" t="s">
        <v>21</v>
      </c>
      <c r="C28" s="144"/>
      <c r="D28" s="14">
        <f t="shared" si="0"/>
        <v>75232</v>
      </c>
      <c r="E28" s="17">
        <f t="shared" si="1"/>
        <v>288463.10170417186</v>
      </c>
      <c r="F28" s="21">
        <f t="shared" si="2"/>
        <v>3.83</v>
      </c>
    </row>
    <row r="29" spans="1:6" x14ac:dyDescent="0.2">
      <c r="A29" s="19">
        <v>25</v>
      </c>
      <c r="B29" s="143" t="s">
        <v>22</v>
      </c>
      <c r="C29" s="144"/>
      <c r="D29" s="14">
        <f t="shared" si="0"/>
        <v>1181660</v>
      </c>
      <c r="E29" s="17">
        <f t="shared" si="1"/>
        <v>4287358.8687227741</v>
      </c>
      <c r="F29" s="21">
        <f t="shared" si="2"/>
        <v>3.63</v>
      </c>
    </row>
    <row r="30" spans="1:6" x14ac:dyDescent="0.2">
      <c r="A30" s="19">
        <v>26</v>
      </c>
      <c r="B30" s="143" t="s">
        <v>23</v>
      </c>
      <c r="C30" s="144"/>
      <c r="D30" s="14">
        <f t="shared" si="0"/>
        <v>59120</v>
      </c>
      <c r="E30" s="17">
        <f t="shared" si="1"/>
        <v>391566.33598403126</v>
      </c>
      <c r="F30" s="21">
        <f t="shared" si="2"/>
        <v>6.62</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5082938</v>
      </c>
      <c r="E33" s="31">
        <f>SUM(E5:E32)</f>
        <v>21396825.000000004</v>
      </c>
      <c r="F33" s="32">
        <f t="shared" si="2"/>
        <v>4.21</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IF(F3="1",SUMIF(Data!A:A,'6'!$A$2,Data!CU:CU),0)</f>
        <v>17856</v>
      </c>
      <c r="E36" s="15">
        <f>IF(F3="1",SUMIF(Data!$A:$A,$A$2,Data!IO:IO),0)</f>
        <v>16173</v>
      </c>
      <c r="F36" s="20">
        <f t="shared" ref="F36:F64" si="3">IF(OR(D36=0,E36=0),"",ROUND(E36/D36,2))</f>
        <v>0.91</v>
      </c>
    </row>
    <row r="37" spans="1:6" x14ac:dyDescent="0.2">
      <c r="A37" s="19">
        <v>2</v>
      </c>
      <c r="B37" s="143" t="s">
        <v>1</v>
      </c>
      <c r="C37" s="144"/>
      <c r="D37" s="14">
        <f>IF(F3="1",SUMIF(Data!A:A,'6'!$A$2,Data!CV:CV),0)</f>
        <v>494</v>
      </c>
      <c r="E37" s="17">
        <f>IF(F3="1",SUMIF(Data!$A:$A,$A$2,Data!IP:IP),0)</f>
        <v>1154</v>
      </c>
      <c r="F37" s="21">
        <f t="shared" si="3"/>
        <v>2.34</v>
      </c>
    </row>
    <row r="38" spans="1:6" ht="14.25" customHeight="1" x14ac:dyDescent="0.2">
      <c r="A38" s="19">
        <v>3</v>
      </c>
      <c r="B38" s="143" t="s">
        <v>2</v>
      </c>
      <c r="C38" s="144"/>
      <c r="D38" s="14">
        <f>IF(F3="1",SUMIF(Data!A:A,'6'!$A$2,Data!CW:CW),0)</f>
        <v>854984</v>
      </c>
      <c r="E38" s="17">
        <f>IF($F$3="1",SUMIF(Data!$A:$A,$A$2,Data!IQ:IQ),0)</f>
        <v>210369</v>
      </c>
      <c r="F38" s="21">
        <f t="shared" si="3"/>
        <v>0.25</v>
      </c>
    </row>
    <row r="39" spans="1:6" ht="14.25" customHeight="1" x14ac:dyDescent="0.2">
      <c r="A39" s="19">
        <v>4</v>
      </c>
      <c r="B39" s="143" t="s">
        <v>3</v>
      </c>
      <c r="C39" s="144"/>
      <c r="D39" s="14">
        <f>IF(F3="1",SUMIF(Data!A:A,'6'!$A$2,Data!CX:CX),0)</f>
        <v>374957</v>
      </c>
      <c r="E39" s="17">
        <f>IF($F$3="1",SUMIF(Data!$A:$A,$A$2,Data!IR:IR),0)</f>
        <v>106212</v>
      </c>
      <c r="F39" s="21">
        <f t="shared" si="3"/>
        <v>0.28000000000000003</v>
      </c>
    </row>
    <row r="40" spans="1:6" x14ac:dyDescent="0.2">
      <c r="A40" s="19">
        <v>5</v>
      </c>
      <c r="B40" s="143" t="s">
        <v>4</v>
      </c>
      <c r="C40" s="144"/>
      <c r="D40" s="14">
        <f>IF(F3="1",SUMIF(Data!A:A,'6'!$A$2,Data!CY:CY),0)</f>
        <v>0</v>
      </c>
      <c r="E40" s="17">
        <f>IF($F$3="1",SUMIF(Data!$A:$A,$A$2,Data!IS:IS),0)</f>
        <v>0</v>
      </c>
      <c r="F40" s="21" t="str">
        <f t="shared" si="3"/>
        <v/>
      </c>
    </row>
    <row r="41" spans="1:6" x14ac:dyDescent="0.2">
      <c r="A41" s="19">
        <v>6</v>
      </c>
      <c r="B41" s="143" t="s">
        <v>5</v>
      </c>
      <c r="C41" s="144"/>
      <c r="D41" s="14">
        <f>IF(F3="1",SUMIF(Data!A:A,'6'!$A$2,Data!CZ:CZ),0)</f>
        <v>17744</v>
      </c>
      <c r="E41" s="17">
        <f>IF($F$3="1",SUMIF(Data!$A:$A,$A$2,Data!IT:IT),0)</f>
        <v>10412</v>
      </c>
      <c r="F41" s="21">
        <f t="shared" si="3"/>
        <v>0.59</v>
      </c>
    </row>
    <row r="42" spans="1:6" x14ac:dyDescent="0.2">
      <c r="A42" s="19">
        <v>7</v>
      </c>
      <c r="B42" s="143" t="s">
        <v>6</v>
      </c>
      <c r="C42" s="144"/>
      <c r="D42" s="14">
        <f>IF(F3="1",SUMIF(Data!A:A,'6'!$A$2,Data!DA:DA),0)</f>
        <v>186436</v>
      </c>
      <c r="E42" s="17">
        <f>IF($F$3="1",SUMIF(Data!$A:$A,$A$2,Data!IU:IU),0)</f>
        <v>814230</v>
      </c>
      <c r="F42" s="21">
        <f t="shared" si="3"/>
        <v>4.37</v>
      </c>
    </row>
    <row r="43" spans="1:6" x14ac:dyDescent="0.2">
      <c r="A43" s="19">
        <v>8</v>
      </c>
      <c r="B43" s="143" t="s">
        <v>7</v>
      </c>
      <c r="C43" s="144"/>
      <c r="D43" s="14">
        <f>IF(F3="1",SUMIF(Data!A:A,'6'!$A$2,Data!DB:DB),0)</f>
        <v>0</v>
      </c>
      <c r="E43" s="17">
        <f>IF($F$3="1",SUMIF(Data!$A:$A,$A$2,Data!IV:IV),0)</f>
        <v>0</v>
      </c>
      <c r="F43" s="21" t="str">
        <f t="shared" si="3"/>
        <v/>
      </c>
    </row>
    <row r="44" spans="1:6" x14ac:dyDescent="0.2">
      <c r="A44" s="19">
        <v>9</v>
      </c>
      <c r="B44" s="143" t="s">
        <v>8</v>
      </c>
      <c r="C44" s="144"/>
      <c r="D44" s="14">
        <f>IF(F3="1",SUMIF(Data!A:A,'6'!$A$2,Data!DC:DC),0)</f>
        <v>41227</v>
      </c>
      <c r="E44" s="17">
        <f>IF($F$3="1",SUMIF(Data!$A:$A,$A$2,Data!IW:IW),0)</f>
        <v>16510</v>
      </c>
      <c r="F44" s="21">
        <f t="shared" si="3"/>
        <v>0.4</v>
      </c>
    </row>
    <row r="45" spans="1:6" x14ac:dyDescent="0.2">
      <c r="A45" s="19">
        <v>10</v>
      </c>
      <c r="B45" s="143" t="s">
        <v>9</v>
      </c>
      <c r="C45" s="144"/>
      <c r="D45" s="14">
        <f>IF(F3="1",SUMIF(Data!A:A,'6'!$A$2,Data!DD:DD),0)</f>
        <v>0</v>
      </c>
      <c r="E45" s="17">
        <f>IF($F$3="1",SUMIF(Data!$A:$A,$A$2,Data!IX:IX),0)</f>
        <v>0</v>
      </c>
      <c r="F45" s="21" t="str">
        <f t="shared" si="3"/>
        <v/>
      </c>
    </row>
    <row r="46" spans="1:6" x14ac:dyDescent="0.2">
      <c r="A46" s="19">
        <v>11</v>
      </c>
      <c r="B46" s="143" t="s">
        <v>10</v>
      </c>
      <c r="C46" s="144"/>
      <c r="D46" s="14">
        <f>IF(F3="1",SUMIF(Data!A:A,'6'!$A$2,Data!DE:DE),0)</f>
        <v>3839</v>
      </c>
      <c r="E46" s="17">
        <f>IF($F$3="1",SUMIF(Data!$A:$A,$A$2,Data!IY:IY),0)</f>
        <v>2289</v>
      </c>
      <c r="F46" s="21">
        <f t="shared" si="3"/>
        <v>0.6</v>
      </c>
    </row>
    <row r="47" spans="1:6" ht="14.25" customHeight="1" x14ac:dyDescent="0.2">
      <c r="A47" s="19">
        <v>12</v>
      </c>
      <c r="B47" s="143" t="s">
        <v>11</v>
      </c>
      <c r="C47" s="144"/>
      <c r="D47" s="14">
        <f>IF(F3="1",SUMIF(Data!A:A,'6'!$A$2,Data!DF:DF),0)</f>
        <v>884016</v>
      </c>
      <c r="E47" s="17">
        <f>IF($F$3="1",SUMIF(Data!$A:$A,$A$2,Data!IZ:IZ),0)</f>
        <v>293462</v>
      </c>
      <c r="F47" s="21">
        <f t="shared" si="3"/>
        <v>0.33</v>
      </c>
    </row>
    <row r="48" spans="1:6" x14ac:dyDescent="0.2">
      <c r="A48" s="19">
        <v>13</v>
      </c>
      <c r="B48" s="143" t="s">
        <v>12</v>
      </c>
      <c r="C48" s="144"/>
      <c r="D48" s="14">
        <f>IF(F3="1",SUMIF(Data!A:A,'6'!$A$2,Data!DG:DG),0)</f>
        <v>113110</v>
      </c>
      <c r="E48" s="17">
        <f>IF($F$3="1",SUMIF(Data!$A:$A,$A$2,Data!JA:JA),0)</f>
        <v>14524</v>
      </c>
      <c r="F48" s="21">
        <f t="shared" si="3"/>
        <v>0.13</v>
      </c>
    </row>
    <row r="49" spans="1:6" ht="14.25" customHeight="1" x14ac:dyDescent="0.2">
      <c r="A49" s="19">
        <v>14</v>
      </c>
      <c r="B49" s="143" t="s">
        <v>464</v>
      </c>
      <c r="C49" s="144"/>
      <c r="D49" s="14">
        <f>IF(F3="1",SUMIF(Data!A:A,'6'!$A$2,Data!DH:DH),0)</f>
        <v>52848</v>
      </c>
      <c r="E49" s="17">
        <f>IF($F$3="1",SUMIF(Data!$A:$A,$A$2,Data!JB:JB),0)</f>
        <v>46934</v>
      </c>
      <c r="F49" s="21">
        <f t="shared" si="3"/>
        <v>0.89</v>
      </c>
    </row>
    <row r="50" spans="1:6" x14ac:dyDescent="0.2">
      <c r="A50" s="19">
        <v>15</v>
      </c>
      <c r="B50" s="143" t="s">
        <v>13</v>
      </c>
      <c r="C50" s="144"/>
      <c r="D50" s="14">
        <f>IF(F3="1",SUMIF(Data!A:A,'6'!$A$2,Data!DI:DI),0)</f>
        <v>27136</v>
      </c>
      <c r="E50" s="17">
        <f>IF($F$3="1",SUMIF(Data!$A:$A,$A$2,Data!JC:JC),0)</f>
        <v>56623</v>
      </c>
      <c r="F50" s="21">
        <f t="shared" si="3"/>
        <v>2.09</v>
      </c>
    </row>
    <row r="51" spans="1:6" x14ac:dyDescent="0.2">
      <c r="A51" s="19">
        <v>16</v>
      </c>
      <c r="B51" s="143" t="s">
        <v>14</v>
      </c>
      <c r="C51" s="144"/>
      <c r="D51" s="14">
        <f>IF(F3="1",SUMIF(Data!A:A,'6'!$A$2,Data!DJ:DJ),0)</f>
        <v>132652</v>
      </c>
      <c r="E51" s="17">
        <f>IF($F$3="1",SUMIF(Data!$A:$A,$A$2,Data!JD:JD),0)</f>
        <v>185209</v>
      </c>
      <c r="F51" s="21">
        <f t="shared" si="3"/>
        <v>1.4</v>
      </c>
    </row>
    <row r="52" spans="1:6" x14ac:dyDescent="0.2">
      <c r="A52" s="19">
        <v>17</v>
      </c>
      <c r="B52" s="143" t="s">
        <v>15</v>
      </c>
      <c r="C52" s="144"/>
      <c r="D52" s="14">
        <f>IF(F3="1",SUMIF(Data!A:A,'6'!$A$2,Data!DK:DK),0)</f>
        <v>0</v>
      </c>
      <c r="E52" s="17">
        <f>IF($F$3="1",SUMIF(Data!$A:$A,$A$2,Data!JE:JE),0)</f>
        <v>0</v>
      </c>
      <c r="F52" s="21" t="str">
        <f t="shared" si="3"/>
        <v/>
      </c>
    </row>
    <row r="53" spans="1:6" x14ac:dyDescent="0.2">
      <c r="A53" s="19">
        <v>18</v>
      </c>
      <c r="B53" s="143" t="s">
        <v>16</v>
      </c>
      <c r="C53" s="144"/>
      <c r="D53" s="14">
        <f>IF(F3="1",SUMIF(Data!A:A,'6'!$A$2,Data!DL:DL),0)</f>
        <v>82635</v>
      </c>
      <c r="E53" s="17">
        <f>IF($F$3="1",SUMIF(Data!$A:$A,$A$2,Data!JF:JF),0)</f>
        <v>82789</v>
      </c>
      <c r="F53" s="21">
        <f t="shared" si="3"/>
        <v>1</v>
      </c>
    </row>
    <row r="54" spans="1:6" x14ac:dyDescent="0.2">
      <c r="A54" s="19">
        <v>19</v>
      </c>
      <c r="B54" s="143" t="s">
        <v>17</v>
      </c>
      <c r="C54" s="144"/>
      <c r="D54" s="14">
        <f>IF(F3="1",SUMIF(Data!A:A,'6'!$A$2,Data!DM:DM),0)</f>
        <v>658176</v>
      </c>
      <c r="E54" s="17">
        <f>IF($F$3="1",SUMIF(Data!$A:$A,$A$2,Data!JG:JG),0)</f>
        <v>66356</v>
      </c>
      <c r="F54" s="21">
        <f t="shared" si="3"/>
        <v>0.1</v>
      </c>
    </row>
    <row r="55" spans="1:6" x14ac:dyDescent="0.2">
      <c r="A55" s="19">
        <v>20</v>
      </c>
      <c r="B55" s="143" t="s">
        <v>18</v>
      </c>
      <c r="C55" s="144"/>
      <c r="D55" s="14">
        <f>IF(F3="1",SUMIF(Data!A:A,'6'!$A$2,Data!DN:DN),0)</f>
        <v>0</v>
      </c>
      <c r="E55" s="17">
        <f>IF($F$3="1",SUMIF(Data!$A:$A,$A$2,Data!JH:JH),0)</f>
        <v>0</v>
      </c>
      <c r="F55" s="21" t="str">
        <f t="shared" si="3"/>
        <v/>
      </c>
    </row>
    <row r="56" spans="1:6" ht="14.25" customHeight="1" x14ac:dyDescent="0.2">
      <c r="A56" s="19">
        <v>21</v>
      </c>
      <c r="B56" s="143" t="s">
        <v>461</v>
      </c>
      <c r="C56" s="144"/>
      <c r="D56" s="14">
        <f>IF(F3="1",SUMIF(Data!A:A,'6'!$A$2,Data!DO:DO),0)</f>
        <v>0</v>
      </c>
      <c r="E56" s="17">
        <f>IF($F$3="1",SUMIF(Data!$A:$A,$A$2,Data!JI:JI),0)</f>
        <v>0</v>
      </c>
      <c r="F56" s="21" t="str">
        <f t="shared" si="3"/>
        <v/>
      </c>
    </row>
    <row r="57" spans="1:6" x14ac:dyDescent="0.2">
      <c r="A57" s="19">
        <v>22</v>
      </c>
      <c r="B57" s="143" t="s">
        <v>19</v>
      </c>
      <c r="C57" s="144"/>
      <c r="D57" s="14">
        <f>IF(F3="1",SUMIF(Data!A:A,'6'!$A$2,Data!DP:DP),0)</f>
        <v>0</v>
      </c>
      <c r="E57" s="17">
        <f>IF($F$3="1",SUMIF(Data!$A:$A,$A$2,Data!JJ:JJ),0)</f>
        <v>0</v>
      </c>
      <c r="F57" s="21" t="str">
        <f t="shared" si="3"/>
        <v/>
      </c>
    </row>
    <row r="58" spans="1:6" x14ac:dyDescent="0.2">
      <c r="A58" s="19">
        <v>23</v>
      </c>
      <c r="B58" s="143" t="s">
        <v>20</v>
      </c>
      <c r="C58" s="144"/>
      <c r="D58" s="14">
        <f>IF(F3="1",SUMIF(Data!A:A,'6'!$A$2,Data!DQ:DQ),0)</f>
        <v>318816</v>
      </c>
      <c r="E58" s="17">
        <f>IF($F$3="1",SUMIF(Data!$A:$A,$A$2,Data!JK:JK),0)</f>
        <v>110889</v>
      </c>
      <c r="F58" s="21">
        <f t="shared" si="3"/>
        <v>0.35</v>
      </c>
    </row>
    <row r="59" spans="1:6" x14ac:dyDescent="0.2">
      <c r="A59" s="19">
        <v>24</v>
      </c>
      <c r="B59" s="143" t="s">
        <v>21</v>
      </c>
      <c r="C59" s="144"/>
      <c r="D59" s="14">
        <f>IF(F3="1",SUMIF(Data!A:A,'6'!$A$2,Data!DR:DR),0)</f>
        <v>75232</v>
      </c>
      <c r="E59" s="17">
        <f>IF($F$3="1",SUMIF(Data!$A:$A,$A$2,Data!JL:JL),0)</f>
        <v>23918</v>
      </c>
      <c r="F59" s="21">
        <f t="shared" si="3"/>
        <v>0.32</v>
      </c>
    </row>
    <row r="60" spans="1:6" x14ac:dyDescent="0.2">
      <c r="A60" s="19">
        <v>25</v>
      </c>
      <c r="B60" s="143" t="s">
        <v>22</v>
      </c>
      <c r="C60" s="144"/>
      <c r="D60" s="14">
        <f>IF(F3="1",SUMIF(Data!A:A,'6'!$A$2,Data!DS:DS),0)</f>
        <v>1181660</v>
      </c>
      <c r="E60" s="17">
        <f>IF($F$3="1",SUMIF(Data!$A:$A,$A$2,Data!JM:JM),0)</f>
        <v>108187</v>
      </c>
      <c r="F60" s="21">
        <f t="shared" si="3"/>
        <v>0.09</v>
      </c>
    </row>
    <row r="61" spans="1:6" x14ac:dyDescent="0.2">
      <c r="A61" s="19">
        <v>26</v>
      </c>
      <c r="B61" s="143" t="s">
        <v>23</v>
      </c>
      <c r="C61" s="144"/>
      <c r="D61" s="14">
        <f>IF(F3="1",SUMIF(Data!A:A,'6'!$A$2,Data!DT:DT),0)</f>
        <v>59120</v>
      </c>
      <c r="E61" s="17">
        <f>IF($F$3="1",SUMIF(Data!$A:$A,$A$2,Data!JN:JN),0)</f>
        <v>83816</v>
      </c>
      <c r="F61" s="21">
        <f t="shared" si="3"/>
        <v>1.42</v>
      </c>
    </row>
    <row r="62" spans="1:6" x14ac:dyDescent="0.2">
      <c r="A62" s="19">
        <v>28</v>
      </c>
      <c r="B62" s="143" t="s">
        <v>24</v>
      </c>
      <c r="C62" s="144"/>
      <c r="D62" s="14">
        <f>IF(F3="1",SUMIF(Data!A:A,'6'!$A$2,Data!DV:DV),0)</f>
        <v>0</v>
      </c>
      <c r="E62" s="17">
        <f>IF($F$3="1",SUMIF(Data!$A:$A,$A$2,Data!JP:JP),0)</f>
        <v>0</v>
      </c>
      <c r="F62" s="21" t="str">
        <f t="shared" si="3"/>
        <v/>
      </c>
    </row>
    <row r="63" spans="1:6" ht="15.75" customHeight="1" thickBot="1" x14ac:dyDescent="0.25">
      <c r="A63" s="22">
        <v>29</v>
      </c>
      <c r="B63" s="147" t="s">
        <v>25</v>
      </c>
      <c r="C63" s="148"/>
      <c r="D63" s="23">
        <f>IF(F3="1",SUMIF(Data!A:A,'6'!$A$2,Data!DW:DW),0)</f>
        <v>0</v>
      </c>
      <c r="E63" s="24">
        <f>IF($F$3="1",SUMIF(Data!$A:$A,$A$2,Data!JQ:JQ),0)</f>
        <v>0</v>
      </c>
      <c r="F63" s="25" t="str">
        <f t="shared" si="3"/>
        <v/>
      </c>
    </row>
    <row r="64" spans="1:6" x14ac:dyDescent="0.2">
      <c r="B64" s="30" t="s">
        <v>35</v>
      </c>
      <c r="C64" s="30"/>
      <c r="D64" s="59">
        <f>SUM(D36:D63)</f>
        <v>5082938</v>
      </c>
      <c r="E64" s="31">
        <f>SUM(E36:E63)</f>
        <v>2250056</v>
      </c>
      <c r="F64" s="32">
        <f t="shared" si="3"/>
        <v>0.44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17856</v>
      </c>
      <c r="E67" s="15">
        <f>IF(F3="1",SUMIF(Data!A:A,'6'!$A$2,Data!DY:DY),0)</f>
        <v>95600</v>
      </c>
      <c r="F67" s="20">
        <f t="shared" ref="F67:F95" si="4">IF(OR(D67=0,E67=0),"",ROUND(E67/D67,2))</f>
        <v>5.35</v>
      </c>
    </row>
    <row r="68" spans="1:6" x14ac:dyDescent="0.2">
      <c r="A68" s="19">
        <v>2</v>
      </c>
      <c r="B68" s="143" t="s">
        <v>1</v>
      </c>
      <c r="C68" s="144"/>
      <c r="D68" s="14">
        <f t="shared" ref="D68:D94" si="5">D37</f>
        <v>494</v>
      </c>
      <c r="E68" s="17">
        <f>IF(F3="1",SUMIF(Data!A:A,'6'!$A$2,Data!DZ:DZ),0)</f>
        <v>606</v>
      </c>
      <c r="F68" s="21">
        <f t="shared" si="4"/>
        <v>1.23</v>
      </c>
    </row>
    <row r="69" spans="1:6" ht="14.25" customHeight="1" x14ac:dyDescent="0.2">
      <c r="A69" s="19">
        <v>3</v>
      </c>
      <c r="B69" s="143" t="s">
        <v>2</v>
      </c>
      <c r="C69" s="144"/>
      <c r="D69" s="14">
        <f t="shared" si="5"/>
        <v>854984</v>
      </c>
      <c r="E69" s="17">
        <f>IF(F3="1",SUMIF(Data!A:A,'6'!$A$2,Data!EA:EA),0)</f>
        <v>1343341</v>
      </c>
      <c r="F69" s="21">
        <f t="shared" si="4"/>
        <v>1.57</v>
      </c>
    </row>
    <row r="70" spans="1:6" ht="14.25" customHeight="1" x14ac:dyDescent="0.2">
      <c r="A70" s="19">
        <v>4</v>
      </c>
      <c r="B70" s="143" t="s">
        <v>3</v>
      </c>
      <c r="C70" s="144"/>
      <c r="D70" s="14">
        <f t="shared" si="5"/>
        <v>374957</v>
      </c>
      <c r="E70" s="17">
        <f>IF(F3="1",SUMIF(Data!A:A,'6'!$A$2,Data!EB:EB),0)</f>
        <v>963344</v>
      </c>
      <c r="F70" s="21">
        <f t="shared" si="4"/>
        <v>2.57</v>
      </c>
    </row>
    <row r="71" spans="1:6" x14ac:dyDescent="0.2">
      <c r="A71" s="19">
        <v>5</v>
      </c>
      <c r="B71" s="143" t="s">
        <v>4</v>
      </c>
      <c r="C71" s="144"/>
      <c r="D71" s="14">
        <f t="shared" si="5"/>
        <v>0</v>
      </c>
      <c r="E71" s="17">
        <f>IF(F3="1",SUMIF(Data!A:A,'6'!$A$2,Data!EC:EC),0)</f>
        <v>0</v>
      </c>
      <c r="F71" s="21" t="str">
        <f t="shared" si="4"/>
        <v/>
      </c>
    </row>
    <row r="72" spans="1:6" x14ac:dyDescent="0.2">
      <c r="A72" s="19">
        <v>6</v>
      </c>
      <c r="B72" s="143" t="s">
        <v>5</v>
      </c>
      <c r="C72" s="144"/>
      <c r="D72" s="14">
        <f t="shared" si="5"/>
        <v>17744</v>
      </c>
      <c r="E72" s="17">
        <f>IF(F3="1",SUMIF(Data!A:A,'6'!$A$2,Data!ED:ED),0)</f>
        <v>50019</v>
      </c>
      <c r="F72" s="21">
        <f t="shared" si="4"/>
        <v>2.82</v>
      </c>
    </row>
    <row r="73" spans="1:6" x14ac:dyDescent="0.2">
      <c r="A73" s="19">
        <v>7</v>
      </c>
      <c r="B73" s="143" t="s">
        <v>6</v>
      </c>
      <c r="C73" s="144"/>
      <c r="D73" s="14">
        <f t="shared" si="5"/>
        <v>186436</v>
      </c>
      <c r="E73" s="17">
        <f>IF(F3="1",SUMIF(Data!A:A,'6'!$A$2,Data!EE:EE),0)</f>
        <v>357306</v>
      </c>
      <c r="F73" s="21">
        <f t="shared" si="4"/>
        <v>1.92</v>
      </c>
    </row>
    <row r="74" spans="1:6" x14ac:dyDescent="0.2">
      <c r="A74" s="19">
        <v>8</v>
      </c>
      <c r="B74" s="143" t="s">
        <v>7</v>
      </c>
      <c r="C74" s="144"/>
      <c r="D74" s="14">
        <f t="shared" si="5"/>
        <v>0</v>
      </c>
      <c r="E74" s="17">
        <f>IF(F3="1",SUMIF(Data!A:A,'6'!$A$2,Data!EF:EF),0)</f>
        <v>0</v>
      </c>
      <c r="F74" s="21" t="str">
        <f t="shared" si="4"/>
        <v/>
      </c>
    </row>
    <row r="75" spans="1:6" x14ac:dyDescent="0.2">
      <c r="A75" s="19">
        <v>9</v>
      </c>
      <c r="B75" s="143" t="s">
        <v>8</v>
      </c>
      <c r="C75" s="144"/>
      <c r="D75" s="14">
        <f t="shared" si="5"/>
        <v>41227</v>
      </c>
      <c r="E75" s="17">
        <f>IF(F3="1",SUMIF(Data!A:A,'6'!$A$2,Data!EG:EG),0)</f>
        <v>110765</v>
      </c>
      <c r="F75" s="21">
        <f t="shared" si="4"/>
        <v>2.69</v>
      </c>
    </row>
    <row r="76" spans="1:6" x14ac:dyDescent="0.2">
      <c r="A76" s="19">
        <v>10</v>
      </c>
      <c r="B76" s="143" t="s">
        <v>9</v>
      </c>
      <c r="C76" s="144"/>
      <c r="D76" s="14">
        <f t="shared" si="5"/>
        <v>0</v>
      </c>
      <c r="E76" s="17">
        <f>IF(F3="1",SUMIF(Data!A:A,'6'!$A$2,Data!EH:EH),0)</f>
        <v>0</v>
      </c>
      <c r="F76" s="21" t="str">
        <f t="shared" si="4"/>
        <v/>
      </c>
    </row>
    <row r="77" spans="1:6" x14ac:dyDescent="0.2">
      <c r="A77" s="19">
        <v>11</v>
      </c>
      <c r="B77" s="143" t="s">
        <v>10</v>
      </c>
      <c r="C77" s="144"/>
      <c r="D77" s="14">
        <f t="shared" si="5"/>
        <v>3839</v>
      </c>
      <c r="E77" s="17">
        <f>IF(F3="1",SUMIF(Data!A:A,'6'!$A$2,Data!EI:EI),0)</f>
        <v>742</v>
      </c>
      <c r="F77" s="21">
        <f t="shared" si="4"/>
        <v>0.19</v>
      </c>
    </row>
    <row r="78" spans="1:6" ht="14.25" customHeight="1" x14ac:dyDescent="0.2">
      <c r="A78" s="19">
        <v>12</v>
      </c>
      <c r="B78" s="143" t="s">
        <v>11</v>
      </c>
      <c r="C78" s="144"/>
      <c r="D78" s="14">
        <f t="shared" si="5"/>
        <v>884016</v>
      </c>
      <c r="E78" s="17">
        <f>IF(F3="1",SUMIF(Data!A:A,'6'!$A$2,Data!EJ:EJ),0)</f>
        <v>2216619</v>
      </c>
      <c r="F78" s="21">
        <f t="shared" si="4"/>
        <v>2.5099999999999998</v>
      </c>
    </row>
    <row r="79" spans="1:6" x14ac:dyDescent="0.2">
      <c r="A79" s="19">
        <v>13</v>
      </c>
      <c r="B79" s="143" t="s">
        <v>12</v>
      </c>
      <c r="C79" s="144"/>
      <c r="D79" s="14">
        <f t="shared" si="5"/>
        <v>113110</v>
      </c>
      <c r="E79" s="17">
        <f>IF(F3="1",SUMIF(Data!A:A,'6'!$A$2,Data!EK:EK),0)</f>
        <v>257328</v>
      </c>
      <c r="F79" s="21">
        <f t="shared" si="4"/>
        <v>2.2799999999999998</v>
      </c>
    </row>
    <row r="80" spans="1:6" ht="14.25" customHeight="1" x14ac:dyDescent="0.2">
      <c r="A80" s="19">
        <v>14</v>
      </c>
      <c r="B80" s="143" t="s">
        <v>464</v>
      </c>
      <c r="C80" s="144"/>
      <c r="D80" s="14">
        <f t="shared" si="5"/>
        <v>52848</v>
      </c>
      <c r="E80" s="17">
        <f>IF(F3="1",SUMIF(Data!A:A,'6'!$A$2,Data!EL:EL),0)</f>
        <v>361114</v>
      </c>
      <c r="F80" s="21">
        <f t="shared" si="4"/>
        <v>6.83</v>
      </c>
    </row>
    <row r="81" spans="1:6" x14ac:dyDescent="0.2">
      <c r="A81" s="19">
        <v>15</v>
      </c>
      <c r="B81" s="143" t="s">
        <v>13</v>
      </c>
      <c r="C81" s="144"/>
      <c r="D81" s="14">
        <f t="shared" si="5"/>
        <v>27136</v>
      </c>
      <c r="E81" s="17">
        <f>IF(F3="1",SUMIF(Data!A:A,'6'!$A$2,Data!EM:EM),0)</f>
        <v>176161</v>
      </c>
      <c r="F81" s="21">
        <f t="shared" si="4"/>
        <v>6.49</v>
      </c>
    </row>
    <row r="82" spans="1:6" x14ac:dyDescent="0.2">
      <c r="A82" s="19">
        <v>16</v>
      </c>
      <c r="B82" s="143" t="s">
        <v>14</v>
      </c>
      <c r="C82" s="144"/>
      <c r="D82" s="14">
        <f t="shared" si="5"/>
        <v>132652</v>
      </c>
      <c r="E82" s="17">
        <f>IF(F3="1",SUMIF(Data!A:A,'6'!$A$2,Data!EN:EN),0)</f>
        <v>353132</v>
      </c>
      <c r="F82" s="21">
        <f t="shared" si="4"/>
        <v>2.66</v>
      </c>
    </row>
    <row r="83" spans="1:6" x14ac:dyDescent="0.2">
      <c r="A83" s="19">
        <v>17</v>
      </c>
      <c r="B83" s="143" t="s">
        <v>15</v>
      </c>
      <c r="C83" s="144"/>
      <c r="D83" s="14">
        <f t="shared" si="5"/>
        <v>0</v>
      </c>
      <c r="E83" s="17">
        <f>IF(F3="1",SUMIF(Data!A:A,'6'!$A$2,Data!EO:EO),0)</f>
        <v>0</v>
      </c>
      <c r="F83" s="21" t="str">
        <f t="shared" si="4"/>
        <v/>
      </c>
    </row>
    <row r="84" spans="1:6" x14ac:dyDescent="0.2">
      <c r="A84" s="19">
        <v>18</v>
      </c>
      <c r="B84" s="143" t="s">
        <v>16</v>
      </c>
      <c r="C84" s="144"/>
      <c r="D84" s="14">
        <f t="shared" si="5"/>
        <v>82635</v>
      </c>
      <c r="E84" s="17">
        <f>IF(F3="1",SUMIF(Data!A:A,'6'!$A$2,Data!EP:EP),0)</f>
        <v>201872</v>
      </c>
      <c r="F84" s="21">
        <f t="shared" si="4"/>
        <v>2.44</v>
      </c>
    </row>
    <row r="85" spans="1:6" x14ac:dyDescent="0.2">
      <c r="A85" s="19">
        <v>19</v>
      </c>
      <c r="B85" s="143" t="s">
        <v>17</v>
      </c>
      <c r="C85" s="144"/>
      <c r="D85" s="14">
        <f t="shared" si="5"/>
        <v>658176</v>
      </c>
      <c r="E85" s="17">
        <f>IF(F3="1",SUMIF(Data!A:A,'6'!$A$2,Data!EQ:EQ),0)</f>
        <v>1430506</v>
      </c>
      <c r="F85" s="21">
        <f t="shared" si="4"/>
        <v>2.17</v>
      </c>
    </row>
    <row r="86" spans="1:6" x14ac:dyDescent="0.2">
      <c r="A86" s="19">
        <v>20</v>
      </c>
      <c r="B86" s="143" t="s">
        <v>18</v>
      </c>
      <c r="C86" s="144"/>
      <c r="D86" s="14">
        <f t="shared" si="5"/>
        <v>0</v>
      </c>
      <c r="E86" s="17">
        <f>IF(F3="1",SUMIF(Data!A:A,'6'!$A$2,Data!ER:ER),0)</f>
        <v>0</v>
      </c>
      <c r="F86" s="21" t="str">
        <f t="shared" si="4"/>
        <v/>
      </c>
    </row>
    <row r="87" spans="1:6" ht="14.25" customHeight="1" x14ac:dyDescent="0.2">
      <c r="A87" s="19">
        <v>21</v>
      </c>
      <c r="B87" s="143" t="s">
        <v>461</v>
      </c>
      <c r="C87" s="144"/>
      <c r="D87" s="14">
        <f t="shared" si="5"/>
        <v>0</v>
      </c>
      <c r="E87" s="17">
        <f>IF(F3="1",SUMIF(Data!A:A,'6'!$A$2,Data!ES:ES),0)</f>
        <v>0</v>
      </c>
      <c r="F87" s="21" t="str">
        <f t="shared" si="4"/>
        <v/>
      </c>
    </row>
    <row r="88" spans="1:6" x14ac:dyDescent="0.2">
      <c r="A88" s="19">
        <v>22</v>
      </c>
      <c r="B88" s="143" t="s">
        <v>19</v>
      </c>
      <c r="C88" s="144"/>
      <c r="D88" s="14">
        <f t="shared" si="5"/>
        <v>0</v>
      </c>
      <c r="E88" s="17">
        <f>IF(F3="1",SUMIF(Data!A:A,'6'!$A$2,Data!ET:ET),0)</f>
        <v>0</v>
      </c>
      <c r="F88" s="21" t="str">
        <f t="shared" si="4"/>
        <v/>
      </c>
    </row>
    <row r="89" spans="1:6" x14ac:dyDescent="0.2">
      <c r="A89" s="19">
        <v>23</v>
      </c>
      <c r="B89" s="143" t="s">
        <v>20</v>
      </c>
      <c r="C89" s="144"/>
      <c r="D89" s="14">
        <f t="shared" si="5"/>
        <v>318816</v>
      </c>
      <c r="E89" s="17">
        <f>IF(F3="1",SUMIF(Data!A:A,'6'!$A$2,Data!EU:EU),0)</f>
        <v>603237</v>
      </c>
      <c r="F89" s="21">
        <f t="shared" si="4"/>
        <v>1.89</v>
      </c>
    </row>
    <row r="90" spans="1:6" x14ac:dyDescent="0.2">
      <c r="A90" s="19">
        <v>24</v>
      </c>
      <c r="B90" s="143" t="s">
        <v>21</v>
      </c>
      <c r="C90" s="144"/>
      <c r="D90" s="14">
        <f t="shared" si="5"/>
        <v>75232</v>
      </c>
      <c r="E90" s="17">
        <f>IF(F3="1",SUMIF(Data!A:A,'6'!$A$2,Data!EV:EV),0)</f>
        <v>147239</v>
      </c>
      <c r="F90" s="21">
        <f t="shared" si="4"/>
        <v>1.96</v>
      </c>
    </row>
    <row r="91" spans="1:6" x14ac:dyDescent="0.2">
      <c r="A91" s="19">
        <v>25</v>
      </c>
      <c r="B91" s="143" t="s">
        <v>22</v>
      </c>
      <c r="C91" s="144"/>
      <c r="D91" s="14">
        <f t="shared" si="5"/>
        <v>1181660</v>
      </c>
      <c r="E91" s="17">
        <f>IF(F3="1",SUMIF(Data!A:A,'6'!$A$2,Data!EW:EW),0)</f>
        <v>2336659</v>
      </c>
      <c r="F91" s="21">
        <f t="shared" si="4"/>
        <v>1.98</v>
      </c>
    </row>
    <row r="92" spans="1:6" x14ac:dyDescent="0.2">
      <c r="A92" s="19">
        <v>26</v>
      </c>
      <c r="B92" s="143" t="s">
        <v>23</v>
      </c>
      <c r="C92" s="144"/>
      <c r="D92" s="14">
        <f t="shared" si="5"/>
        <v>59120</v>
      </c>
      <c r="E92" s="17">
        <f>IF(F3="1",SUMIF(Data!A:A,'6'!$A$2,Data!EX:EX),0)</f>
        <v>215567</v>
      </c>
      <c r="F92" s="21">
        <f t="shared" si="4"/>
        <v>3.65</v>
      </c>
    </row>
    <row r="93" spans="1:6" x14ac:dyDescent="0.2">
      <c r="A93" s="19">
        <v>28</v>
      </c>
      <c r="B93" s="143" t="s">
        <v>24</v>
      </c>
      <c r="C93" s="144"/>
      <c r="D93" s="14">
        <f t="shared" si="5"/>
        <v>0</v>
      </c>
      <c r="E93" s="17">
        <f>IF(F3="1",SUMIF(Data!A:A,'6'!$A$2,Data!EZ:EZ),0)</f>
        <v>0</v>
      </c>
      <c r="F93" s="21" t="str">
        <f t="shared" si="4"/>
        <v/>
      </c>
    </row>
    <row r="94" spans="1:6" ht="15.75" customHeight="1" thickBot="1" x14ac:dyDescent="0.25">
      <c r="A94" s="22">
        <v>29</v>
      </c>
      <c r="B94" s="147" t="s">
        <v>25</v>
      </c>
      <c r="C94" s="148"/>
      <c r="D94" s="23">
        <f t="shared" si="5"/>
        <v>0</v>
      </c>
      <c r="E94" s="24">
        <f>IF(F3="1",SUMIF(Data!A:A,'6'!$A$2,Data!FA:FA),0)</f>
        <v>0</v>
      </c>
      <c r="F94" s="25" t="str">
        <f t="shared" si="4"/>
        <v/>
      </c>
    </row>
    <row r="95" spans="1:6" x14ac:dyDescent="0.2">
      <c r="B95" s="30" t="s">
        <v>35</v>
      </c>
      <c r="C95" s="30"/>
      <c r="D95" s="59">
        <f>SUM(D67:D94)</f>
        <v>5082938</v>
      </c>
      <c r="E95" s="31">
        <f>SUM(E67:E94)</f>
        <v>11221157</v>
      </c>
      <c r="F95" s="32">
        <f t="shared" si="4"/>
        <v>2.21</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IF(F3="1",SUMIF(Data!A:A,'6'!$A$2,Data!AH:AH),0)</f>
        <v>2377975</v>
      </c>
      <c r="F98" s="20">
        <f>IF(OR(E98=0,E98=0),"",ROUND(E98/$D$105,2))</f>
        <v>0.47</v>
      </c>
    </row>
    <row r="99" spans="2:6" x14ac:dyDescent="0.2">
      <c r="B99" s="153" t="s">
        <v>31</v>
      </c>
      <c r="C99" s="154"/>
      <c r="D99" s="36"/>
      <c r="E99" s="17">
        <f>IF(F3="1",SUMIF(Data!A:A,'6'!$A$2,Data!AI:AI),0)</f>
        <v>1979282</v>
      </c>
      <c r="F99" s="21">
        <f t="shared" ref="F99:F104" si="6">IF(OR(E99=0,E99=0),"",ROUND(E99/$D$105,2))</f>
        <v>0.39</v>
      </c>
    </row>
    <row r="100" spans="2:6" x14ac:dyDescent="0.2">
      <c r="B100" s="153" t="s">
        <v>1078</v>
      </c>
      <c r="C100" s="154"/>
      <c r="D100" s="36"/>
      <c r="E100" s="17">
        <f>IF(F3="1",SUMIF(Data!A:A,'6'!$A$2,Data!AJ:AJ),0)</f>
        <v>847282</v>
      </c>
      <c r="F100" s="21">
        <f t="shared" si="6"/>
        <v>0.17</v>
      </c>
    </row>
    <row r="101" spans="2:6" x14ac:dyDescent="0.2">
      <c r="B101" s="153" t="s">
        <v>1079</v>
      </c>
      <c r="C101" s="154"/>
      <c r="D101" s="36"/>
      <c r="E101" s="17">
        <f>IF(F3="1",SUMIF(Data!A:A,'6'!$A$2,Data!AK:AK),0)</f>
        <v>964735</v>
      </c>
      <c r="F101" s="21">
        <f t="shared" si="6"/>
        <v>0.19</v>
      </c>
    </row>
    <row r="102" spans="2:6" x14ac:dyDescent="0.2">
      <c r="B102" s="153" t="s">
        <v>1080</v>
      </c>
      <c r="C102" s="154"/>
      <c r="D102" s="36"/>
      <c r="E102" s="17">
        <f>IF(F3="1",SUMIF(Data!A:A,'6'!$A$2,Data!AL:AL),0)</f>
        <v>0</v>
      </c>
      <c r="F102" s="21" t="str">
        <f t="shared" si="6"/>
        <v/>
      </c>
    </row>
    <row r="103" spans="2:6" x14ac:dyDescent="0.2">
      <c r="B103" s="155" t="s">
        <v>34</v>
      </c>
      <c r="C103" s="156"/>
      <c r="D103" s="36"/>
      <c r="E103" s="17">
        <f>IF(F3="1",SUMIF(Data!A:A,'6'!$A$2,Data!AM:AM),0)</f>
        <v>0</v>
      </c>
      <c r="F103" s="21" t="str">
        <f t="shared" si="6"/>
        <v/>
      </c>
    </row>
    <row r="104" spans="2:6" ht="15.75" customHeight="1" thickBot="1" x14ac:dyDescent="0.25">
      <c r="B104" s="149" t="s">
        <v>29</v>
      </c>
      <c r="C104" s="150"/>
      <c r="D104" s="37"/>
      <c r="E104" s="24">
        <f>IF(F3="1",SUMIF(Data!A:A,'6'!$A$2,Data!Q:Q),0)</f>
        <v>1756338</v>
      </c>
      <c r="F104" s="25">
        <f t="shared" si="6"/>
        <v>0.35</v>
      </c>
    </row>
    <row r="105" spans="2:6" x14ac:dyDescent="0.2">
      <c r="B105" s="30" t="s">
        <v>35</v>
      </c>
      <c r="C105" s="30"/>
      <c r="D105" s="34">
        <f>D95</f>
        <v>5082938</v>
      </c>
      <c r="E105" s="31">
        <f>SUM(E98:E104)</f>
        <v>7925612</v>
      </c>
      <c r="F105" s="32">
        <f>IF($D$105=0,"",ROUND(E105/$D$105,2))</f>
        <v>1.56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11221157</v>
      </c>
      <c r="D109" s="15">
        <f>IF(F3="1",SUMIF(Data!$A:$A,$A$2,Data!HJ:HJ),0)</f>
        <v>0</v>
      </c>
      <c r="E109" s="15">
        <f>IF(F3="1",SUMIF(Data!$A:$A,$A$2,Data!IN:IN),0)</f>
        <v>0</v>
      </c>
      <c r="F109" s="47">
        <f>SUM(C109:E109)</f>
        <v>11221157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1756338</v>
      </c>
      <c r="E117" s="52"/>
      <c r="F117" s="49">
        <f>SUM(C117:E117)</f>
        <v>1756338</v>
      </c>
    </row>
    <row r="118" spans="1:6" x14ac:dyDescent="0.2">
      <c r="B118" s="13" t="s">
        <v>35</v>
      </c>
      <c r="C118" s="4">
        <f>SUM(C109:C116)</f>
        <v>11221157</v>
      </c>
      <c r="D118" s="4">
        <f>SUM(D109:D116)</f>
        <v>0</v>
      </c>
      <c r="E118" s="4">
        <f>SUM(E109:E116)</f>
        <v>0</v>
      </c>
      <c r="F118" s="4">
        <f>SUM(F109:F116)</f>
        <v>11221157</v>
      </c>
    </row>
    <row r="119" spans="1:6" ht="15" thickBot="1" x14ac:dyDescent="0.25"/>
    <row r="120" spans="1:6" ht="15" thickBot="1" x14ac:dyDescent="0.25">
      <c r="B120" s="55" t="s">
        <v>934</v>
      </c>
      <c r="C120" s="53"/>
      <c r="D120" s="53"/>
      <c r="E120" s="53">
        <f>IF(F3="1",SUMIF(Data!A:A,'6'!$A$2,Data!AM:AM),0)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427</v>
      </c>
      <c r="B2" s="58" t="str">
        <f>VLOOKUP(A2,Data!A:G,7,0)</f>
        <v>Brazosport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107872</v>
      </c>
      <c r="E6" s="17">
        <f t="shared" ref="E6:E32" si="1">E37+E68+IFERROR($E$105/$D$105*D6,0)</f>
        <v>645222.56418524729</v>
      </c>
      <c r="F6" s="21">
        <f t="shared" ref="F6:F33" si="2">IF(OR(D6=0,E6=0),"",ROUND(E6/D6,2))</f>
        <v>5.98</v>
      </c>
    </row>
    <row r="7" spans="1:6" ht="14.25" customHeight="1" x14ac:dyDescent="0.2">
      <c r="A7" s="19">
        <v>3</v>
      </c>
      <c r="B7" s="143" t="s">
        <v>2</v>
      </c>
      <c r="C7" s="144"/>
      <c r="D7" s="14">
        <f t="shared" si="0"/>
        <v>148080</v>
      </c>
      <c r="E7" s="17">
        <f t="shared" si="1"/>
        <v>1057980.004232344</v>
      </c>
      <c r="F7" s="21">
        <f t="shared" si="2"/>
        <v>7.14</v>
      </c>
    </row>
    <row r="8" spans="1:6" ht="14.25" customHeight="1" x14ac:dyDescent="0.2">
      <c r="A8" s="19">
        <v>4</v>
      </c>
      <c r="B8" s="143" t="s">
        <v>3</v>
      </c>
      <c r="C8" s="144"/>
      <c r="D8" s="14">
        <f t="shared" si="0"/>
        <v>188643</v>
      </c>
      <c r="E8" s="17">
        <f t="shared" si="1"/>
        <v>1197051.6093017426</v>
      </c>
      <c r="F8" s="21">
        <f t="shared" si="2"/>
        <v>6.35</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576</v>
      </c>
      <c r="E10" s="17">
        <f t="shared" si="1"/>
        <v>3985.2311347773511</v>
      </c>
      <c r="F10" s="21">
        <f t="shared" si="2"/>
        <v>6.92</v>
      </c>
    </row>
    <row r="11" spans="1:6" x14ac:dyDescent="0.2">
      <c r="A11" s="19">
        <v>7</v>
      </c>
      <c r="B11" s="143" t="s">
        <v>6</v>
      </c>
      <c r="C11" s="144"/>
      <c r="D11" s="14">
        <f t="shared" si="0"/>
        <v>87410</v>
      </c>
      <c r="E11" s="17">
        <f t="shared" si="1"/>
        <v>560009.26647723652</v>
      </c>
      <c r="F11" s="21">
        <f t="shared" si="2"/>
        <v>6.41</v>
      </c>
    </row>
    <row r="12" spans="1:6" x14ac:dyDescent="0.2">
      <c r="A12" s="19">
        <v>8</v>
      </c>
      <c r="B12" s="143" t="s">
        <v>7</v>
      </c>
      <c r="C12" s="144"/>
      <c r="D12" s="14">
        <f t="shared" si="0"/>
        <v>101248</v>
      </c>
      <c r="E12" s="17">
        <f t="shared" si="1"/>
        <v>533649.40613530762</v>
      </c>
      <c r="F12" s="21">
        <f t="shared" si="2"/>
        <v>5.27</v>
      </c>
    </row>
    <row r="13" spans="1:6" x14ac:dyDescent="0.2">
      <c r="A13" s="19">
        <v>9</v>
      </c>
      <c r="B13" s="143" t="s">
        <v>8</v>
      </c>
      <c r="C13" s="144"/>
      <c r="D13" s="14">
        <f t="shared" si="0"/>
        <v>16258</v>
      </c>
      <c r="E13" s="17">
        <f t="shared" si="1"/>
        <v>82108.687134045438</v>
      </c>
      <c r="F13" s="21">
        <f t="shared" si="2"/>
        <v>5.05</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83568</v>
      </c>
      <c r="E15" s="17">
        <f t="shared" si="1"/>
        <v>485906.1171372807</v>
      </c>
      <c r="F15" s="21">
        <f t="shared" si="2"/>
        <v>5.81</v>
      </c>
    </row>
    <row r="16" spans="1:6" ht="14.25" customHeight="1" x14ac:dyDescent="0.2">
      <c r="A16" s="19">
        <v>12</v>
      </c>
      <c r="B16" s="143" t="s">
        <v>11</v>
      </c>
      <c r="C16" s="144"/>
      <c r="D16" s="14">
        <f t="shared" si="0"/>
        <v>164096</v>
      </c>
      <c r="E16" s="17">
        <f t="shared" si="1"/>
        <v>1067506.7366187922</v>
      </c>
      <c r="F16" s="21">
        <f t="shared" si="2"/>
        <v>6.51</v>
      </c>
    </row>
    <row r="17" spans="1:6" x14ac:dyDescent="0.2">
      <c r="A17" s="19">
        <v>13</v>
      </c>
      <c r="B17" s="143" t="s">
        <v>12</v>
      </c>
      <c r="C17" s="144"/>
      <c r="D17" s="14">
        <f t="shared" si="0"/>
        <v>9872</v>
      </c>
      <c r="E17" s="17">
        <f t="shared" si="1"/>
        <v>77544.600282156258</v>
      </c>
      <c r="F17" s="21">
        <f t="shared" si="2"/>
        <v>7.86</v>
      </c>
    </row>
    <row r="18" spans="1:6" ht="14.25" customHeight="1" x14ac:dyDescent="0.2">
      <c r="A18" s="19">
        <v>14</v>
      </c>
      <c r="B18" s="143" t="s">
        <v>464</v>
      </c>
      <c r="C18" s="144"/>
      <c r="D18" s="14">
        <f t="shared" si="0"/>
        <v>9856</v>
      </c>
      <c r="E18" s="17">
        <f t="shared" si="1"/>
        <v>147339.06608396801</v>
      </c>
      <c r="F18" s="21">
        <f t="shared" si="2"/>
        <v>14.95</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49666</v>
      </c>
      <c r="E20" s="17">
        <f t="shared" si="1"/>
        <v>238484.09295113181</v>
      </c>
      <c r="F20" s="21">
        <f t="shared" si="2"/>
        <v>4.8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170304</v>
      </c>
      <c r="E23" s="17">
        <f t="shared" si="1"/>
        <v>968677.00551583676</v>
      </c>
      <c r="F23" s="21">
        <f t="shared" si="2"/>
        <v>5.69</v>
      </c>
    </row>
    <row r="24" spans="1:6" x14ac:dyDescent="0.2">
      <c r="A24" s="19">
        <v>20</v>
      </c>
      <c r="B24" s="143" t="s">
        <v>18</v>
      </c>
      <c r="C24" s="144"/>
      <c r="D24" s="14">
        <f t="shared" si="0"/>
        <v>4848</v>
      </c>
      <c r="E24" s="17">
        <f t="shared" si="1"/>
        <v>79346.862051042699</v>
      </c>
      <c r="F24" s="21">
        <f t="shared" si="2"/>
        <v>16.37</v>
      </c>
    </row>
    <row r="25" spans="1:6" ht="14.25" customHeight="1" x14ac:dyDescent="0.2">
      <c r="A25" s="19">
        <v>21</v>
      </c>
      <c r="B25" s="143" t="s">
        <v>461</v>
      </c>
      <c r="C25" s="144"/>
      <c r="D25" s="14">
        <f t="shared" si="0"/>
        <v>17208</v>
      </c>
      <c r="E25" s="17">
        <f t="shared" si="1"/>
        <v>76955.030151473358</v>
      </c>
      <c r="F25" s="21">
        <f t="shared" si="2"/>
        <v>4.47</v>
      </c>
    </row>
    <row r="26" spans="1:6" x14ac:dyDescent="0.2">
      <c r="A26" s="19">
        <v>22</v>
      </c>
      <c r="B26" s="143" t="s">
        <v>19</v>
      </c>
      <c r="C26" s="144"/>
      <c r="D26" s="14">
        <f t="shared" si="0"/>
        <v>10096</v>
      </c>
      <c r="E26" s="17">
        <f t="shared" si="1"/>
        <v>62150.079056791903</v>
      </c>
      <c r="F26" s="21">
        <f t="shared" si="2"/>
        <v>6.16</v>
      </c>
    </row>
    <row r="27" spans="1:6" x14ac:dyDescent="0.2">
      <c r="A27" s="19">
        <v>23</v>
      </c>
      <c r="B27" s="143" t="s">
        <v>20</v>
      </c>
      <c r="C27" s="144"/>
      <c r="D27" s="14">
        <f t="shared" si="0"/>
        <v>27072</v>
      </c>
      <c r="E27" s="17">
        <f t="shared" si="1"/>
        <v>205532.8633345355</v>
      </c>
      <c r="F27" s="21">
        <f t="shared" si="2"/>
        <v>7.59</v>
      </c>
    </row>
    <row r="28" spans="1:6" x14ac:dyDescent="0.2">
      <c r="A28" s="19">
        <v>24</v>
      </c>
      <c r="B28" s="143" t="s">
        <v>21</v>
      </c>
      <c r="C28" s="144"/>
      <c r="D28" s="14">
        <f t="shared" si="0"/>
        <v>69915</v>
      </c>
      <c r="E28" s="17">
        <f t="shared" si="1"/>
        <v>336712.09164576128</v>
      </c>
      <c r="F28" s="21">
        <f t="shared" si="2"/>
        <v>4.82</v>
      </c>
    </row>
    <row r="29" spans="1:6" x14ac:dyDescent="0.2">
      <c r="A29" s="19">
        <v>25</v>
      </c>
      <c r="B29" s="143" t="s">
        <v>22</v>
      </c>
      <c r="C29" s="144"/>
      <c r="D29" s="14">
        <f t="shared" si="0"/>
        <v>203724</v>
      </c>
      <c r="E29" s="17">
        <f t="shared" si="1"/>
        <v>1185678.0619815644</v>
      </c>
      <c r="F29" s="21">
        <f t="shared" si="2"/>
        <v>5.82</v>
      </c>
    </row>
    <row r="30" spans="1:6" x14ac:dyDescent="0.2">
      <c r="A30" s="19">
        <v>26</v>
      </c>
      <c r="B30" s="143" t="s">
        <v>23</v>
      </c>
      <c r="C30" s="144"/>
      <c r="D30" s="14">
        <f t="shared" si="0"/>
        <v>38072</v>
      </c>
      <c r="E30" s="17">
        <f t="shared" si="1"/>
        <v>349810.62458896404</v>
      </c>
      <c r="F30" s="21">
        <f t="shared" si="2"/>
        <v>9.19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1508384</v>
      </c>
      <c r="E33" s="31">
        <f>SUM(E5:E32)</f>
        <v>9361650.0000000019</v>
      </c>
      <c r="F33" s="32">
        <f t="shared" si="2"/>
        <v>6.21</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IF(F3="1",SUMIF(Data!A:A,'7'!$A$2,Data!CU:CU),0)</f>
        <v>0</v>
      </c>
      <c r="E36" s="15">
        <f>IF(F3="1",SUMIF(Data!$A:$A,$A$2,Data!IO:IO),0)</f>
        <v>0</v>
      </c>
      <c r="F36" s="20" t="str">
        <f t="shared" ref="F36:F64" si="3">IF(OR(D36=0,E36=0),"",ROUND(E36/D36,2))</f>
        <v/>
      </c>
    </row>
    <row r="37" spans="1:6" x14ac:dyDescent="0.2">
      <c r="A37" s="19">
        <v>2</v>
      </c>
      <c r="B37" s="143" t="s">
        <v>1</v>
      </c>
      <c r="C37" s="144"/>
      <c r="D37" s="14">
        <f>IF(F3="1",SUMIF(Data!A:A,'7'!$A$2,Data!CV:CV),0)</f>
        <v>107872</v>
      </c>
      <c r="E37" s="17">
        <f>IF(F3="1",SUMIF(Data!$A:$A,$A$2,Data!IP:IP),0)</f>
        <v>93256</v>
      </c>
      <c r="F37" s="21">
        <f t="shared" si="3"/>
        <v>0.86</v>
      </c>
    </row>
    <row r="38" spans="1:6" ht="14.25" customHeight="1" x14ac:dyDescent="0.2">
      <c r="A38" s="19">
        <v>3</v>
      </c>
      <c r="B38" s="143" t="s">
        <v>2</v>
      </c>
      <c r="C38" s="144"/>
      <c r="D38" s="14">
        <f>IF(F3="1",SUMIF(Data!A:A,'7'!$A$2,Data!CW:CW),0)</f>
        <v>148080</v>
      </c>
      <c r="E38" s="17">
        <f>IF($F$3="1",SUMIF(Data!$A:$A,$A$2,Data!IQ:IQ),0)</f>
        <v>130117</v>
      </c>
      <c r="F38" s="21">
        <f t="shared" si="3"/>
        <v>0.88</v>
      </c>
    </row>
    <row r="39" spans="1:6" ht="14.25" customHeight="1" x14ac:dyDescent="0.2">
      <c r="A39" s="19">
        <v>4</v>
      </c>
      <c r="B39" s="143" t="s">
        <v>3</v>
      </c>
      <c r="C39" s="144"/>
      <c r="D39" s="14">
        <f>IF(F3="1",SUMIF(Data!A:A,'7'!$A$2,Data!CX:CX),0)</f>
        <v>188643</v>
      </c>
      <c r="E39" s="17">
        <f>IF($F$3="1",SUMIF(Data!$A:$A,$A$2,Data!IR:IR),0)</f>
        <v>101230</v>
      </c>
      <c r="F39" s="21">
        <f t="shared" si="3"/>
        <v>0.54</v>
      </c>
    </row>
    <row r="40" spans="1:6" x14ac:dyDescent="0.2">
      <c r="A40" s="19">
        <v>5</v>
      </c>
      <c r="B40" s="143" t="s">
        <v>4</v>
      </c>
      <c r="C40" s="144"/>
      <c r="D40" s="14">
        <f>IF(F3="1",SUMIF(Data!A:A,'7'!$A$2,Data!CY:CY),0)</f>
        <v>0</v>
      </c>
      <c r="E40" s="17">
        <f>IF($F$3="1",SUMIF(Data!$A:$A,$A$2,Data!IS:IS),0)</f>
        <v>0</v>
      </c>
      <c r="F40" s="21" t="str">
        <f t="shared" si="3"/>
        <v/>
      </c>
    </row>
    <row r="41" spans="1:6" x14ac:dyDescent="0.2">
      <c r="A41" s="19">
        <v>6</v>
      </c>
      <c r="B41" s="143" t="s">
        <v>5</v>
      </c>
      <c r="C41" s="144"/>
      <c r="D41" s="14">
        <f>IF(F3="1",SUMIF(Data!A:A,'7'!$A$2,Data!CZ:CZ),0)</f>
        <v>576</v>
      </c>
      <c r="E41" s="17">
        <f>IF($F$3="1",SUMIF(Data!$A:$A,$A$2,Data!IT:IT),0)</f>
        <v>415</v>
      </c>
      <c r="F41" s="21">
        <f t="shared" si="3"/>
        <v>0.72</v>
      </c>
    </row>
    <row r="42" spans="1:6" x14ac:dyDescent="0.2">
      <c r="A42" s="19">
        <v>7</v>
      </c>
      <c r="B42" s="143" t="s">
        <v>6</v>
      </c>
      <c r="C42" s="144"/>
      <c r="D42" s="14">
        <f>IF(F3="1",SUMIF(Data!A:A,'7'!$A$2,Data!DA:DA),0)</f>
        <v>87410</v>
      </c>
      <c r="E42" s="17">
        <f>IF($F$3="1",SUMIF(Data!$A:$A,$A$2,Data!IU:IU),0)</f>
        <v>58944</v>
      </c>
      <c r="F42" s="21">
        <f t="shared" si="3"/>
        <v>0.67</v>
      </c>
    </row>
    <row r="43" spans="1:6" x14ac:dyDescent="0.2">
      <c r="A43" s="19">
        <v>8</v>
      </c>
      <c r="B43" s="143" t="s">
        <v>7</v>
      </c>
      <c r="C43" s="144"/>
      <c r="D43" s="14">
        <f>IF(F3="1",SUMIF(Data!A:A,'7'!$A$2,Data!DB:DB),0)</f>
        <v>101248</v>
      </c>
      <c r="E43" s="17">
        <f>IF($F$3="1",SUMIF(Data!$A:$A,$A$2,Data!IV:IV),0)</f>
        <v>31480</v>
      </c>
      <c r="F43" s="21">
        <f t="shared" si="3"/>
        <v>0.31</v>
      </c>
    </row>
    <row r="44" spans="1:6" x14ac:dyDescent="0.2">
      <c r="A44" s="19">
        <v>9</v>
      </c>
      <c r="B44" s="143" t="s">
        <v>8</v>
      </c>
      <c r="C44" s="144"/>
      <c r="D44" s="14">
        <f>IF(F3="1",SUMIF(Data!A:A,'7'!$A$2,Data!DC:DC),0)</f>
        <v>16258</v>
      </c>
      <c r="E44" s="17">
        <f>IF($F$3="1",SUMIF(Data!$A:$A,$A$2,Data!IW:IW),0)</f>
        <v>2657</v>
      </c>
      <c r="F44" s="21">
        <f t="shared" si="3"/>
        <v>0.16</v>
      </c>
    </row>
    <row r="45" spans="1:6" x14ac:dyDescent="0.2">
      <c r="A45" s="19">
        <v>10</v>
      </c>
      <c r="B45" s="143" t="s">
        <v>9</v>
      </c>
      <c r="C45" s="144"/>
      <c r="D45" s="14">
        <f>IF(F3="1",SUMIF(Data!A:A,'7'!$A$2,Data!DD:DD),0)</f>
        <v>0</v>
      </c>
      <c r="E45" s="17">
        <f>IF($F$3="1",SUMIF(Data!$A:$A,$A$2,Data!IX:IX),0)</f>
        <v>0</v>
      </c>
      <c r="F45" s="21" t="str">
        <f t="shared" si="3"/>
        <v/>
      </c>
    </row>
    <row r="46" spans="1:6" x14ac:dyDescent="0.2">
      <c r="A46" s="19">
        <v>11</v>
      </c>
      <c r="B46" s="143" t="s">
        <v>10</v>
      </c>
      <c r="C46" s="144"/>
      <c r="D46" s="14">
        <f>IF(F3="1",SUMIF(Data!A:A,'7'!$A$2,Data!DE:DE),0)</f>
        <v>83568</v>
      </c>
      <c r="E46" s="17">
        <f>IF($F$3="1",SUMIF(Data!$A:$A,$A$2,Data!IY:IY),0)</f>
        <v>39000</v>
      </c>
      <c r="F46" s="21">
        <f t="shared" si="3"/>
        <v>0.47</v>
      </c>
    </row>
    <row r="47" spans="1:6" ht="14.25" customHeight="1" x14ac:dyDescent="0.2">
      <c r="A47" s="19">
        <v>12</v>
      </c>
      <c r="B47" s="143" t="s">
        <v>11</v>
      </c>
      <c r="C47" s="144"/>
      <c r="D47" s="14">
        <f>IF(F3="1",SUMIF(Data!A:A,'7'!$A$2,Data!DF:DF),0)</f>
        <v>164096</v>
      </c>
      <c r="E47" s="17">
        <f>IF($F$3="1",SUMIF(Data!$A:$A,$A$2,Data!IZ:IZ),0)</f>
        <v>12565</v>
      </c>
      <c r="F47" s="21">
        <f t="shared" si="3"/>
        <v>0.08</v>
      </c>
    </row>
    <row r="48" spans="1:6" x14ac:dyDescent="0.2">
      <c r="A48" s="19">
        <v>13</v>
      </c>
      <c r="B48" s="143" t="s">
        <v>12</v>
      </c>
      <c r="C48" s="144"/>
      <c r="D48" s="14">
        <f>IF(F3="1",SUMIF(Data!A:A,'7'!$A$2,Data!DG:DG),0)</f>
        <v>9872</v>
      </c>
      <c r="E48" s="17">
        <f>IF($F$3="1",SUMIF(Data!$A:$A,$A$2,Data!JA:JA),0)</f>
        <v>850</v>
      </c>
      <c r="F48" s="21">
        <f t="shared" si="3"/>
        <v>0.09</v>
      </c>
    </row>
    <row r="49" spans="1:6" ht="14.25" customHeight="1" x14ac:dyDescent="0.2">
      <c r="A49" s="19">
        <v>14</v>
      </c>
      <c r="B49" s="143" t="s">
        <v>464</v>
      </c>
      <c r="C49" s="144"/>
      <c r="D49" s="14">
        <f>IF(F3="1",SUMIF(Data!A:A,'7'!$A$2,Data!DH:DH),0)</f>
        <v>9856</v>
      </c>
      <c r="E49" s="17">
        <f>IF($F$3="1",SUMIF(Data!$A:$A,$A$2,Data!JB:JB),0)</f>
        <v>26537</v>
      </c>
      <c r="F49" s="21">
        <f t="shared" si="3"/>
        <v>2.69</v>
      </c>
    </row>
    <row r="50" spans="1:6" x14ac:dyDescent="0.2">
      <c r="A50" s="19">
        <v>15</v>
      </c>
      <c r="B50" s="143" t="s">
        <v>13</v>
      </c>
      <c r="C50" s="144"/>
      <c r="D50" s="14">
        <f>IF(F3="1",SUMIF(Data!A:A,'7'!$A$2,Data!DI:DI),0)</f>
        <v>0</v>
      </c>
      <c r="E50" s="17">
        <f>IF($F$3="1",SUMIF(Data!$A:$A,$A$2,Data!JC:JC),0)</f>
        <v>0</v>
      </c>
      <c r="F50" s="21" t="str">
        <f t="shared" si="3"/>
        <v/>
      </c>
    </row>
    <row r="51" spans="1:6" x14ac:dyDescent="0.2">
      <c r="A51" s="19">
        <v>16</v>
      </c>
      <c r="B51" s="143" t="s">
        <v>14</v>
      </c>
      <c r="C51" s="144"/>
      <c r="D51" s="14">
        <f>IF(F3="1",SUMIF(Data!A:A,'7'!$A$2,Data!DJ:DJ),0)</f>
        <v>49666</v>
      </c>
      <c r="E51" s="17">
        <f>IF($F$3="1",SUMIF(Data!$A:$A,$A$2,Data!JD:JD),0)</f>
        <v>4190</v>
      </c>
      <c r="F51" s="21">
        <f t="shared" si="3"/>
        <v>0.08</v>
      </c>
    </row>
    <row r="52" spans="1:6" x14ac:dyDescent="0.2">
      <c r="A52" s="19">
        <v>17</v>
      </c>
      <c r="B52" s="143" t="s">
        <v>15</v>
      </c>
      <c r="C52" s="144"/>
      <c r="D52" s="14">
        <f>IF(F3="1",SUMIF(Data!A:A,'7'!$A$2,Data!DK:DK),0)</f>
        <v>0</v>
      </c>
      <c r="E52" s="17">
        <f>IF($F$3="1",SUMIF(Data!$A:$A,$A$2,Data!JE:JE),0)</f>
        <v>0</v>
      </c>
      <c r="F52" s="21" t="str">
        <f t="shared" si="3"/>
        <v/>
      </c>
    </row>
    <row r="53" spans="1:6" x14ac:dyDescent="0.2">
      <c r="A53" s="19">
        <v>18</v>
      </c>
      <c r="B53" s="143" t="s">
        <v>16</v>
      </c>
      <c r="C53" s="144"/>
      <c r="D53" s="14">
        <f>IF(F3="1",SUMIF(Data!A:A,'7'!$A$2,Data!DL:DL),0)</f>
        <v>0</v>
      </c>
      <c r="E53" s="17">
        <f>IF($F$3="1",SUMIF(Data!$A:$A,$A$2,Data!JF:JF),0)</f>
        <v>0</v>
      </c>
      <c r="F53" s="21" t="str">
        <f t="shared" si="3"/>
        <v/>
      </c>
    </row>
    <row r="54" spans="1:6" x14ac:dyDescent="0.2">
      <c r="A54" s="19">
        <v>19</v>
      </c>
      <c r="B54" s="143" t="s">
        <v>17</v>
      </c>
      <c r="C54" s="144"/>
      <c r="D54" s="14">
        <f>IF(F3="1",SUMIF(Data!A:A,'7'!$A$2,Data!DM:DM),0)</f>
        <v>170304</v>
      </c>
      <c r="E54" s="17">
        <f>IF($F$3="1",SUMIF(Data!$A:$A,$A$2,Data!JG:JG),0)</f>
        <v>7108</v>
      </c>
      <c r="F54" s="21">
        <f t="shared" si="3"/>
        <v>0.04</v>
      </c>
    </row>
    <row r="55" spans="1:6" x14ac:dyDescent="0.2">
      <c r="A55" s="19">
        <v>20</v>
      </c>
      <c r="B55" s="143" t="s">
        <v>18</v>
      </c>
      <c r="C55" s="144"/>
      <c r="D55" s="14">
        <f>IF(F3="1",SUMIF(Data!A:A,'7'!$A$2,Data!DN:DN),0)</f>
        <v>4848</v>
      </c>
      <c r="E55" s="17">
        <f>IF($F$3="1",SUMIF(Data!$A:$A,$A$2,Data!JH:JH),0)</f>
        <v>8539</v>
      </c>
      <c r="F55" s="21">
        <f t="shared" si="3"/>
        <v>1.76</v>
      </c>
    </row>
    <row r="56" spans="1:6" ht="14.25" customHeight="1" x14ac:dyDescent="0.2">
      <c r="A56" s="19">
        <v>21</v>
      </c>
      <c r="B56" s="143" t="s">
        <v>461</v>
      </c>
      <c r="C56" s="144"/>
      <c r="D56" s="14">
        <f>IF(F3="1",SUMIF(Data!A:A,'7'!$A$2,Data!DO:DO),0)</f>
        <v>17208</v>
      </c>
      <c r="E56" s="17">
        <f>IF($F$3="1",SUMIF(Data!$A:$A,$A$2,Data!JI:JI),0)</f>
        <v>6289</v>
      </c>
      <c r="F56" s="21">
        <f t="shared" si="3"/>
        <v>0.37</v>
      </c>
    </row>
    <row r="57" spans="1:6" x14ac:dyDescent="0.2">
      <c r="A57" s="19">
        <v>22</v>
      </c>
      <c r="B57" s="143" t="s">
        <v>19</v>
      </c>
      <c r="C57" s="144"/>
      <c r="D57" s="14">
        <f>IF(F3="1",SUMIF(Data!A:A,'7'!$A$2,Data!DP:DP),0)</f>
        <v>10096</v>
      </c>
      <c r="E57" s="17">
        <f>IF($F$3="1",SUMIF(Data!$A:$A,$A$2,Data!JJ:JJ),0)</f>
        <v>4740</v>
      </c>
      <c r="F57" s="21">
        <f t="shared" si="3"/>
        <v>0.47</v>
      </c>
    </row>
    <row r="58" spans="1:6" x14ac:dyDescent="0.2">
      <c r="A58" s="19">
        <v>23</v>
      </c>
      <c r="B58" s="143" t="s">
        <v>20</v>
      </c>
      <c r="C58" s="144"/>
      <c r="D58" s="14">
        <f>IF(F3="1",SUMIF(Data!A:A,'7'!$A$2,Data!DQ:DQ),0)</f>
        <v>27072</v>
      </c>
      <c r="E58" s="17">
        <f>IF($F$3="1",SUMIF(Data!$A:$A,$A$2,Data!JK:JK),0)</f>
        <v>9013</v>
      </c>
      <c r="F58" s="21">
        <f t="shared" si="3"/>
        <v>0.33</v>
      </c>
    </row>
    <row r="59" spans="1:6" x14ac:dyDescent="0.2">
      <c r="A59" s="19">
        <v>24</v>
      </c>
      <c r="B59" s="143" t="s">
        <v>21</v>
      </c>
      <c r="C59" s="144"/>
      <c r="D59" s="14">
        <f>IF(F3="1",SUMIF(Data!A:A,'7'!$A$2,Data!DR:DR),0)</f>
        <v>69915</v>
      </c>
      <c r="E59" s="17">
        <f>IF($F$3="1",SUMIF(Data!$A:$A,$A$2,Data!JL:JL),0)</f>
        <v>9173</v>
      </c>
      <c r="F59" s="21">
        <f t="shared" si="3"/>
        <v>0.13</v>
      </c>
    </row>
    <row r="60" spans="1:6" x14ac:dyDescent="0.2">
      <c r="A60" s="19">
        <v>25</v>
      </c>
      <c r="B60" s="143" t="s">
        <v>22</v>
      </c>
      <c r="C60" s="144"/>
      <c r="D60" s="14">
        <f>IF(F3="1",SUMIF(Data!A:A,'7'!$A$2,Data!DS:DS),0)</f>
        <v>203724</v>
      </c>
      <c r="E60" s="17">
        <f>IF($F$3="1",SUMIF(Data!$A:$A,$A$2,Data!JM:JM),0)</f>
        <v>10314</v>
      </c>
      <c r="F60" s="21">
        <f t="shared" si="3"/>
        <v>0.05</v>
      </c>
    </row>
    <row r="61" spans="1:6" x14ac:dyDescent="0.2">
      <c r="A61" s="19">
        <v>26</v>
      </c>
      <c r="B61" s="143" t="s">
        <v>23</v>
      </c>
      <c r="C61" s="144"/>
      <c r="D61" s="14">
        <f>IF(F3="1",SUMIF(Data!A:A,'7'!$A$2,Data!DT:DT),0)</f>
        <v>38072</v>
      </c>
      <c r="E61" s="17">
        <f>IF($F$3="1",SUMIF(Data!$A:$A,$A$2,Data!JN:JN),0)</f>
        <v>29187</v>
      </c>
      <c r="F61" s="21">
        <f t="shared" si="3"/>
        <v>0.77</v>
      </c>
    </row>
    <row r="62" spans="1:6" x14ac:dyDescent="0.2">
      <c r="A62" s="19">
        <v>28</v>
      </c>
      <c r="B62" s="143" t="s">
        <v>24</v>
      </c>
      <c r="C62" s="144"/>
      <c r="D62" s="14">
        <f>IF(F3="1",SUMIF(Data!A:A,'7'!$A$2,Data!DV:DV),0)</f>
        <v>0</v>
      </c>
      <c r="E62" s="17">
        <f>IF($F$3="1",SUMIF(Data!$A:$A,$A$2,Data!JP:JP),0)</f>
        <v>0</v>
      </c>
      <c r="F62" s="21" t="str">
        <f t="shared" si="3"/>
        <v/>
      </c>
    </row>
    <row r="63" spans="1:6" ht="15.75" customHeight="1" thickBot="1" x14ac:dyDescent="0.25">
      <c r="A63" s="22">
        <v>29</v>
      </c>
      <c r="B63" s="147" t="s">
        <v>25</v>
      </c>
      <c r="C63" s="148"/>
      <c r="D63" s="23">
        <f>IF(F3="1",SUMIF(Data!A:A,'7'!$A$2,Data!DW:DW),0)</f>
        <v>0</v>
      </c>
      <c r="E63" s="24">
        <f>IF($F$3="1",SUMIF(Data!$A:$A,$A$2,Data!JQ:JQ),0)</f>
        <v>0</v>
      </c>
      <c r="F63" s="25" t="str">
        <f t="shared" si="3"/>
        <v/>
      </c>
    </row>
    <row r="64" spans="1:6" x14ac:dyDescent="0.2">
      <c r="B64" s="30" t="s">
        <v>35</v>
      </c>
      <c r="C64" s="30"/>
      <c r="D64" s="59">
        <f>SUM(D36:D63)</f>
        <v>1508384</v>
      </c>
      <c r="E64" s="31">
        <f>SUM(E36:E63)</f>
        <v>585604</v>
      </c>
      <c r="F64" s="32">
        <f t="shared" si="3"/>
        <v>0.39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IF(F3="1",SUMIF(Data!A:A,'7'!$A$2,Data!DY:DY),0)</f>
        <v>0</v>
      </c>
      <c r="F67" s="20" t="str">
        <f t="shared" ref="F67:F95" si="4">IF(OR(D67=0,E67=0),"",ROUND(E67/D67,2))</f>
        <v/>
      </c>
    </row>
    <row r="68" spans="1:6" x14ac:dyDescent="0.2">
      <c r="A68" s="19">
        <v>2</v>
      </c>
      <c r="B68" s="143" t="s">
        <v>1</v>
      </c>
      <c r="C68" s="144"/>
      <c r="D68" s="14">
        <f t="shared" ref="D68:D94" si="5">D37</f>
        <v>107872</v>
      </c>
      <c r="E68" s="17">
        <f>IF(F3="1",SUMIF(Data!A:A,'7'!$A$2,Data!DZ:DZ),0)</f>
        <v>177555</v>
      </c>
      <c r="F68" s="21">
        <f t="shared" si="4"/>
        <v>1.65</v>
      </c>
    </row>
    <row r="69" spans="1:6" ht="14.25" customHeight="1" x14ac:dyDescent="0.2">
      <c r="A69" s="19">
        <v>3</v>
      </c>
      <c r="B69" s="143" t="s">
        <v>2</v>
      </c>
      <c r="C69" s="144"/>
      <c r="D69" s="14">
        <f t="shared" si="5"/>
        <v>148080</v>
      </c>
      <c r="E69" s="17">
        <f>IF(F3="1",SUMIF(Data!A:A,'7'!$A$2,Data!EA:EA),0)</f>
        <v>413894</v>
      </c>
      <c r="F69" s="21">
        <f t="shared" si="4"/>
        <v>2.8</v>
      </c>
    </row>
    <row r="70" spans="1:6" ht="14.25" customHeight="1" x14ac:dyDescent="0.2">
      <c r="A70" s="19">
        <v>4</v>
      </c>
      <c r="B70" s="143" t="s">
        <v>3</v>
      </c>
      <c r="C70" s="144"/>
      <c r="D70" s="14">
        <f t="shared" si="5"/>
        <v>188643</v>
      </c>
      <c r="E70" s="17">
        <f>IF(F3="1",SUMIF(Data!A:A,'7'!$A$2,Data!EB:EB),0)</f>
        <v>441063</v>
      </c>
      <c r="F70" s="21">
        <f t="shared" si="4"/>
        <v>2.34</v>
      </c>
    </row>
    <row r="71" spans="1:6" x14ac:dyDescent="0.2">
      <c r="A71" s="19">
        <v>5</v>
      </c>
      <c r="B71" s="143" t="s">
        <v>4</v>
      </c>
      <c r="C71" s="144"/>
      <c r="D71" s="14">
        <f t="shared" si="5"/>
        <v>0</v>
      </c>
      <c r="E71" s="17">
        <f>IF(F3="1",SUMIF(Data!A:A,'7'!$A$2,Data!EC:EC),0)</f>
        <v>0</v>
      </c>
      <c r="F71" s="21" t="str">
        <f t="shared" si="4"/>
        <v/>
      </c>
    </row>
    <row r="72" spans="1:6" x14ac:dyDescent="0.2">
      <c r="A72" s="19">
        <v>6</v>
      </c>
      <c r="B72" s="143" t="s">
        <v>5</v>
      </c>
      <c r="C72" s="144"/>
      <c r="D72" s="14">
        <f t="shared" si="5"/>
        <v>576</v>
      </c>
      <c r="E72" s="17">
        <f>IF(F3="1",SUMIF(Data!A:A,'7'!$A$2,Data!ED:ED),0)</f>
        <v>1571</v>
      </c>
      <c r="F72" s="21">
        <f t="shared" si="4"/>
        <v>2.73</v>
      </c>
    </row>
    <row r="73" spans="1:6" x14ac:dyDescent="0.2">
      <c r="A73" s="19">
        <v>7</v>
      </c>
      <c r="B73" s="143" t="s">
        <v>6</v>
      </c>
      <c r="C73" s="144"/>
      <c r="D73" s="14">
        <f t="shared" si="5"/>
        <v>87410</v>
      </c>
      <c r="E73" s="17">
        <f>IF(F3="1",SUMIF(Data!A:A,'7'!$A$2,Data!EE:EE),0)</f>
        <v>197675</v>
      </c>
      <c r="F73" s="21">
        <f t="shared" si="4"/>
        <v>2.2599999999999998</v>
      </c>
    </row>
    <row r="74" spans="1:6" x14ac:dyDescent="0.2">
      <c r="A74" s="19">
        <v>8</v>
      </c>
      <c r="B74" s="143" t="s">
        <v>7</v>
      </c>
      <c r="C74" s="144"/>
      <c r="D74" s="14">
        <f t="shared" si="5"/>
        <v>101248</v>
      </c>
      <c r="E74" s="17">
        <f>IF(F3="1",SUMIF(Data!A:A,'7'!$A$2,Data!EF:EF),0)</f>
        <v>150749</v>
      </c>
      <c r="F74" s="21">
        <f t="shared" si="4"/>
        <v>1.49</v>
      </c>
    </row>
    <row r="75" spans="1:6" x14ac:dyDescent="0.2">
      <c r="A75" s="19">
        <v>9</v>
      </c>
      <c r="B75" s="143" t="s">
        <v>8</v>
      </c>
      <c r="C75" s="144"/>
      <c r="D75" s="14">
        <f t="shared" si="5"/>
        <v>16258</v>
      </c>
      <c r="E75" s="17">
        <f>IF(F3="1",SUMIF(Data!A:A,'7'!$A$2,Data!EG:EG),0)</f>
        <v>23022</v>
      </c>
      <c r="F75" s="21">
        <f t="shared" si="4"/>
        <v>1.42</v>
      </c>
    </row>
    <row r="76" spans="1:6" x14ac:dyDescent="0.2">
      <c r="A76" s="19">
        <v>10</v>
      </c>
      <c r="B76" s="143" t="s">
        <v>9</v>
      </c>
      <c r="C76" s="144"/>
      <c r="D76" s="14">
        <f t="shared" si="5"/>
        <v>0</v>
      </c>
      <c r="E76" s="17">
        <f>IF(F3="1",SUMIF(Data!A:A,'7'!$A$2,Data!EH:EH),0)</f>
        <v>0</v>
      </c>
      <c r="F76" s="21" t="str">
        <f t="shared" si="4"/>
        <v/>
      </c>
    </row>
    <row r="77" spans="1:6" x14ac:dyDescent="0.2">
      <c r="A77" s="19">
        <v>11</v>
      </c>
      <c r="B77" s="143" t="s">
        <v>10</v>
      </c>
      <c r="C77" s="144"/>
      <c r="D77" s="14">
        <f t="shared" si="5"/>
        <v>83568</v>
      </c>
      <c r="E77" s="17">
        <f>IF(F3="1",SUMIF(Data!A:A,'7'!$A$2,Data!EI:EI),0)</f>
        <v>156851</v>
      </c>
      <c r="F77" s="21">
        <f t="shared" si="4"/>
        <v>1.88</v>
      </c>
    </row>
    <row r="78" spans="1:6" ht="14.25" customHeight="1" x14ac:dyDescent="0.2">
      <c r="A78" s="19">
        <v>12</v>
      </c>
      <c r="B78" s="143" t="s">
        <v>11</v>
      </c>
      <c r="C78" s="144"/>
      <c r="D78" s="14">
        <f t="shared" si="5"/>
        <v>164096</v>
      </c>
      <c r="E78" s="17">
        <f>IF(F3="1",SUMIF(Data!A:A,'7'!$A$2,Data!EJ:EJ),0)</f>
        <v>485383</v>
      </c>
      <c r="F78" s="21">
        <f t="shared" si="4"/>
        <v>2.96</v>
      </c>
    </row>
    <row r="79" spans="1:6" x14ac:dyDescent="0.2">
      <c r="A79" s="19">
        <v>13</v>
      </c>
      <c r="B79" s="143" t="s">
        <v>12</v>
      </c>
      <c r="C79" s="144"/>
      <c r="D79" s="14">
        <f t="shared" si="5"/>
        <v>9872</v>
      </c>
      <c r="E79" s="17">
        <f>IF(F3="1",SUMIF(Data!A:A,'7'!$A$2,Data!EK:EK),0)</f>
        <v>42430</v>
      </c>
      <c r="F79" s="21">
        <f t="shared" si="4"/>
        <v>4.3</v>
      </c>
    </row>
    <row r="80" spans="1:6" ht="14.25" customHeight="1" x14ac:dyDescent="0.2">
      <c r="A80" s="19">
        <v>14</v>
      </c>
      <c r="B80" s="143" t="s">
        <v>464</v>
      </c>
      <c r="C80" s="144"/>
      <c r="D80" s="14">
        <f t="shared" si="5"/>
        <v>9856</v>
      </c>
      <c r="E80" s="17">
        <f>IF(F3="1",SUMIF(Data!A:A,'7'!$A$2,Data!EL:EL),0)</f>
        <v>86593</v>
      </c>
      <c r="F80" s="21">
        <f t="shared" si="4"/>
        <v>8.7899999999999991</v>
      </c>
    </row>
    <row r="81" spans="1:6" x14ac:dyDescent="0.2">
      <c r="A81" s="19">
        <v>15</v>
      </c>
      <c r="B81" s="143" t="s">
        <v>13</v>
      </c>
      <c r="C81" s="144"/>
      <c r="D81" s="14">
        <f t="shared" si="5"/>
        <v>0</v>
      </c>
      <c r="E81" s="17">
        <f>IF(F3="1",SUMIF(Data!A:A,'7'!$A$2,Data!EM:EM),0)</f>
        <v>0</v>
      </c>
      <c r="F81" s="21" t="str">
        <f t="shared" si="4"/>
        <v/>
      </c>
    </row>
    <row r="82" spans="1:6" x14ac:dyDescent="0.2">
      <c r="A82" s="19">
        <v>16</v>
      </c>
      <c r="B82" s="143" t="s">
        <v>14</v>
      </c>
      <c r="C82" s="144"/>
      <c r="D82" s="14">
        <f t="shared" si="5"/>
        <v>49666</v>
      </c>
      <c r="E82" s="17">
        <f>IF(F3="1",SUMIF(Data!A:A,'7'!$A$2,Data!EN:EN),0)</f>
        <v>61909</v>
      </c>
      <c r="F82" s="21">
        <f t="shared" si="4"/>
        <v>1.25</v>
      </c>
    </row>
    <row r="83" spans="1:6" x14ac:dyDescent="0.2">
      <c r="A83" s="19">
        <v>17</v>
      </c>
      <c r="B83" s="143" t="s">
        <v>15</v>
      </c>
      <c r="C83" s="144"/>
      <c r="D83" s="14">
        <f t="shared" si="5"/>
        <v>0</v>
      </c>
      <c r="E83" s="17">
        <f>IF(F3="1",SUMIF(Data!A:A,'7'!$A$2,Data!EO:EO),0)</f>
        <v>0</v>
      </c>
      <c r="F83" s="21" t="str">
        <f t="shared" si="4"/>
        <v/>
      </c>
    </row>
    <row r="84" spans="1:6" x14ac:dyDescent="0.2">
      <c r="A84" s="19">
        <v>18</v>
      </c>
      <c r="B84" s="143" t="s">
        <v>16</v>
      </c>
      <c r="C84" s="144"/>
      <c r="D84" s="14">
        <f t="shared" si="5"/>
        <v>0</v>
      </c>
      <c r="E84" s="17">
        <f>IF(F3="1",SUMIF(Data!A:A,'7'!$A$2,Data!EP:EP),0)</f>
        <v>0</v>
      </c>
      <c r="F84" s="21" t="str">
        <f t="shared" si="4"/>
        <v/>
      </c>
    </row>
    <row r="85" spans="1:6" x14ac:dyDescent="0.2">
      <c r="A85" s="19">
        <v>19</v>
      </c>
      <c r="B85" s="143" t="s">
        <v>17</v>
      </c>
      <c r="C85" s="144"/>
      <c r="D85" s="14">
        <f t="shared" si="5"/>
        <v>170304</v>
      </c>
      <c r="E85" s="17">
        <f>IF(F3="1",SUMIF(Data!A:A,'7'!$A$2,Data!EQ:EQ),0)</f>
        <v>370463</v>
      </c>
      <c r="F85" s="21">
        <f t="shared" si="4"/>
        <v>2.1800000000000002</v>
      </c>
    </row>
    <row r="86" spans="1:6" x14ac:dyDescent="0.2">
      <c r="A86" s="19">
        <v>20</v>
      </c>
      <c r="B86" s="143" t="s">
        <v>18</v>
      </c>
      <c r="C86" s="144"/>
      <c r="D86" s="14">
        <f t="shared" si="5"/>
        <v>4848</v>
      </c>
      <c r="E86" s="17">
        <f>IF(F3="1",SUMIF(Data!A:A,'7'!$A$2,Data!ER:ER),0)</f>
        <v>53981</v>
      </c>
      <c r="F86" s="21">
        <f t="shared" si="4"/>
        <v>11.13</v>
      </c>
    </row>
    <row r="87" spans="1:6" ht="14.25" customHeight="1" x14ac:dyDescent="0.2">
      <c r="A87" s="19">
        <v>21</v>
      </c>
      <c r="B87" s="143" t="s">
        <v>461</v>
      </c>
      <c r="C87" s="144"/>
      <c r="D87" s="14">
        <f t="shared" si="5"/>
        <v>17208</v>
      </c>
      <c r="E87" s="17">
        <f>IF(F3="1",SUMIF(Data!A:A,'7'!$A$2,Data!ES:ES),0)</f>
        <v>10939</v>
      </c>
      <c r="F87" s="21">
        <f t="shared" si="4"/>
        <v>0.64</v>
      </c>
    </row>
    <row r="88" spans="1:6" x14ac:dyDescent="0.2">
      <c r="A88" s="19">
        <v>22</v>
      </c>
      <c r="B88" s="143" t="s">
        <v>19</v>
      </c>
      <c r="C88" s="144"/>
      <c r="D88" s="14">
        <f t="shared" si="5"/>
        <v>10096</v>
      </c>
      <c r="E88" s="17">
        <f>IF(F3="1",SUMIF(Data!A:A,'7'!$A$2,Data!ET:ET),0)</f>
        <v>22368</v>
      </c>
      <c r="F88" s="21">
        <f t="shared" si="4"/>
        <v>2.2200000000000002</v>
      </c>
    </row>
    <row r="89" spans="1:6" x14ac:dyDescent="0.2">
      <c r="A89" s="19">
        <v>23</v>
      </c>
      <c r="B89" s="143" t="s">
        <v>20</v>
      </c>
      <c r="C89" s="144"/>
      <c r="D89" s="14">
        <f t="shared" si="5"/>
        <v>27072</v>
      </c>
      <c r="E89" s="17">
        <f>IF(F3="1",SUMIF(Data!A:A,'7'!$A$2,Data!EU:EU),0)</f>
        <v>102556</v>
      </c>
      <c r="F89" s="21">
        <f t="shared" si="4"/>
        <v>3.79</v>
      </c>
    </row>
    <row r="90" spans="1:6" x14ac:dyDescent="0.2">
      <c r="A90" s="19">
        <v>24</v>
      </c>
      <c r="B90" s="143" t="s">
        <v>21</v>
      </c>
      <c r="C90" s="144"/>
      <c r="D90" s="14">
        <f t="shared" si="5"/>
        <v>69915</v>
      </c>
      <c r="E90" s="17">
        <f>IF(F3="1",SUMIF(Data!A:A,'7'!$A$2,Data!EV:EV),0)</f>
        <v>84872</v>
      </c>
      <c r="F90" s="21">
        <f t="shared" si="4"/>
        <v>1.21</v>
      </c>
    </row>
    <row r="91" spans="1:6" x14ac:dyDescent="0.2">
      <c r="A91" s="19">
        <v>25</v>
      </c>
      <c r="B91" s="143" t="s">
        <v>22</v>
      </c>
      <c r="C91" s="144"/>
      <c r="D91" s="14">
        <f t="shared" si="5"/>
        <v>203724</v>
      </c>
      <c r="E91" s="17">
        <f>IF(F3="1",SUMIF(Data!A:A,'7'!$A$2,Data!EW:EW),0)</f>
        <v>468261</v>
      </c>
      <c r="F91" s="21">
        <f t="shared" si="4"/>
        <v>2.2999999999999998</v>
      </c>
    </row>
    <row r="92" spans="1:6" x14ac:dyDescent="0.2">
      <c r="A92" s="19">
        <v>26</v>
      </c>
      <c r="B92" s="143" t="s">
        <v>23</v>
      </c>
      <c r="C92" s="144"/>
      <c r="D92" s="14">
        <f t="shared" si="5"/>
        <v>38072</v>
      </c>
      <c r="E92" s="17">
        <f>IF(F3="1",SUMIF(Data!A:A,'7'!$A$2,Data!EX:EX),0)</f>
        <v>188480</v>
      </c>
      <c r="F92" s="21">
        <f t="shared" si="4"/>
        <v>4.95</v>
      </c>
    </row>
    <row r="93" spans="1:6" x14ac:dyDescent="0.2">
      <c r="A93" s="19">
        <v>28</v>
      </c>
      <c r="B93" s="143" t="s">
        <v>24</v>
      </c>
      <c r="C93" s="144"/>
      <c r="D93" s="14">
        <f t="shared" si="5"/>
        <v>0</v>
      </c>
      <c r="E93" s="17">
        <f>IF(F3="1",SUMIF(Data!A:A,'7'!$A$2,Data!EZ:EZ),0)</f>
        <v>0</v>
      </c>
      <c r="F93" s="21" t="str">
        <f t="shared" si="4"/>
        <v/>
      </c>
    </row>
    <row r="94" spans="1:6" ht="15.75" customHeight="1" thickBot="1" x14ac:dyDescent="0.25">
      <c r="A94" s="22">
        <v>29</v>
      </c>
      <c r="B94" s="147" t="s">
        <v>25</v>
      </c>
      <c r="C94" s="148"/>
      <c r="D94" s="23">
        <f t="shared" si="5"/>
        <v>0</v>
      </c>
      <c r="E94" s="24">
        <f>IF(F3="1",SUMIF(Data!A:A,'7'!$A$2,Data!FA:FA),0)</f>
        <v>0</v>
      </c>
      <c r="F94" s="25" t="str">
        <f t="shared" si="4"/>
        <v/>
      </c>
    </row>
    <row r="95" spans="1:6" x14ac:dyDescent="0.2">
      <c r="B95" s="30" t="s">
        <v>35</v>
      </c>
      <c r="C95" s="30"/>
      <c r="D95" s="59">
        <f>SUM(D67:D94)</f>
        <v>1508384</v>
      </c>
      <c r="E95" s="31">
        <f>SUM(E67:E94)</f>
        <v>3540615</v>
      </c>
      <c r="F95" s="32">
        <f t="shared" si="4"/>
        <v>2.35</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IF(F3="1",SUMIF(Data!A:A,'7'!$A$2,Data!AH:AH),0)</f>
        <v>2274536</v>
      </c>
      <c r="F98" s="20">
        <f>IF(OR(E98=0,E98=0),"",ROUND(E98/$D$105,2))</f>
        <v>1.51</v>
      </c>
    </row>
    <row r="99" spans="2:6" x14ac:dyDescent="0.2">
      <c r="B99" s="153" t="s">
        <v>31</v>
      </c>
      <c r="C99" s="154"/>
      <c r="D99" s="36"/>
      <c r="E99" s="17">
        <f>IF(F3="1",SUMIF(Data!A:A,'7'!$A$2,Data!AI:AI),0)</f>
        <v>770710</v>
      </c>
      <c r="F99" s="21">
        <f t="shared" ref="F99:F104" si="6">IF(OR(E99=0,E99=0),"",ROUND(E99/$D$105,2))</f>
        <v>0.51</v>
      </c>
    </row>
    <row r="100" spans="2:6" x14ac:dyDescent="0.2">
      <c r="B100" s="153" t="s">
        <v>1078</v>
      </c>
      <c r="C100" s="154"/>
      <c r="D100" s="36"/>
      <c r="E100" s="17">
        <f>IF(F3="1",SUMIF(Data!A:A,'7'!$A$2,Data!AJ:AJ),0)</f>
        <v>347123</v>
      </c>
      <c r="F100" s="21">
        <f t="shared" si="6"/>
        <v>0.23</v>
      </c>
    </row>
    <row r="101" spans="2:6" x14ac:dyDescent="0.2">
      <c r="B101" s="153" t="s">
        <v>1079</v>
      </c>
      <c r="C101" s="154"/>
      <c r="D101" s="36"/>
      <c r="E101" s="17">
        <f>IF(F3="1",SUMIF(Data!A:A,'7'!$A$2,Data!AK:AK),0)</f>
        <v>353304</v>
      </c>
      <c r="F101" s="21">
        <f t="shared" si="6"/>
        <v>0.23</v>
      </c>
    </row>
    <row r="102" spans="2:6" x14ac:dyDescent="0.2">
      <c r="B102" s="153" t="s">
        <v>1080</v>
      </c>
      <c r="C102" s="154"/>
      <c r="D102" s="36"/>
      <c r="E102" s="17">
        <f>IF(F3="1",SUMIF(Data!A:A,'7'!$A$2,Data!AL:AL),0)</f>
        <v>295841</v>
      </c>
      <c r="F102" s="21">
        <f t="shared" si="6"/>
        <v>0.2</v>
      </c>
    </row>
    <row r="103" spans="2:6" x14ac:dyDescent="0.2">
      <c r="B103" s="155" t="s">
        <v>34</v>
      </c>
      <c r="C103" s="156"/>
      <c r="D103" s="36"/>
      <c r="E103" s="17">
        <f>IF(F3="1",SUMIF(Data!A:A,'7'!$A$2,Data!AM:AM),0)</f>
        <v>0</v>
      </c>
      <c r="F103" s="21" t="str">
        <f t="shared" si="6"/>
        <v/>
      </c>
    </row>
    <row r="104" spans="2:6" ht="15.75" customHeight="1" thickBot="1" x14ac:dyDescent="0.25">
      <c r="B104" s="149" t="s">
        <v>29</v>
      </c>
      <c r="C104" s="150"/>
      <c r="D104" s="37"/>
      <c r="E104" s="24">
        <f>IF(F3="1",SUMIF(Data!A:A,'7'!$A$2,Data!Q:Q),0)</f>
        <v>1193917</v>
      </c>
      <c r="F104" s="25">
        <f t="shared" si="6"/>
        <v>0.79</v>
      </c>
    </row>
    <row r="105" spans="2:6" x14ac:dyDescent="0.2">
      <c r="B105" s="30" t="s">
        <v>35</v>
      </c>
      <c r="C105" s="30"/>
      <c r="D105" s="34">
        <f>D95</f>
        <v>1508384</v>
      </c>
      <c r="E105" s="31">
        <f>SUM(E98:E104)</f>
        <v>5235431</v>
      </c>
      <c r="F105" s="32">
        <f>IF($D$105=0,"",ROUND(E105/$D$105,2))</f>
        <v>3.47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3540615</v>
      </c>
      <c r="D109" s="15">
        <f>IF(F3="1",SUMIF(Data!$A:$A,$A$2,Data!HJ:HJ),0)</f>
        <v>0</v>
      </c>
      <c r="E109" s="15">
        <f>IF(F3="1",SUMIF(Data!$A:$A,$A$2,Data!IN:IN),0)</f>
        <v>0</v>
      </c>
      <c r="F109" s="47">
        <f>SUM(C109:E109)</f>
        <v>3540615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295841</v>
      </c>
      <c r="F116" s="48">
        <f t="shared" si="7"/>
        <v>295841</v>
      </c>
    </row>
    <row r="117" spans="1:6" ht="15" thickBot="1" x14ac:dyDescent="0.25">
      <c r="B117" s="43" t="s">
        <v>933</v>
      </c>
      <c r="C117" s="52"/>
      <c r="D117" s="52">
        <f>IF(F3="1",SUMIF(Data!A:A,$A$2,Data!Q:Q),0)</f>
        <v>1193917</v>
      </c>
      <c r="E117" s="52"/>
      <c r="F117" s="49">
        <f>SUM(C117:E117)</f>
        <v>1193917</v>
      </c>
    </row>
    <row r="118" spans="1:6" x14ac:dyDescent="0.2">
      <c r="B118" s="13" t="s">
        <v>35</v>
      </c>
      <c r="C118" s="4">
        <f>SUM(C109:C116)</f>
        <v>3540615</v>
      </c>
      <c r="D118" s="4">
        <f>SUM(D109:D116)</f>
        <v>0</v>
      </c>
      <c r="E118" s="4">
        <f>SUM(E109:E116)</f>
        <v>295841</v>
      </c>
      <c r="F118" s="4">
        <f>SUM(F109:F116)</f>
        <v>3836456</v>
      </c>
    </row>
    <row r="119" spans="1:6" ht="15" thickBot="1" x14ac:dyDescent="0.25"/>
    <row r="120" spans="1:6" ht="15" thickBot="1" x14ac:dyDescent="0.25">
      <c r="B120" s="55" t="s">
        <v>934</v>
      </c>
      <c r="C120" s="53"/>
      <c r="D120" s="53"/>
      <c r="E120" s="53">
        <f>IF(F3="1",SUMIF(Data!A:A,'7'!$A$2,Data!AM:AM),0)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419</v>
      </c>
      <c r="B2" s="58" t="str">
        <f>VLOOKUP(A2,Data!A:G,7,0)</f>
        <v>Central Texas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11440</v>
      </c>
      <c r="E5" s="15">
        <f>E36+E67+IFERROR($E$105/$D$105*D5,0)</f>
        <v>107910.11990692123</v>
      </c>
      <c r="F5" s="20">
        <f>IF(OR(D5=0,E5=0),"",ROUND(E5/D5,2))</f>
        <v>9.43</v>
      </c>
    </row>
    <row r="6" spans="1:6" x14ac:dyDescent="0.2">
      <c r="A6" s="19">
        <v>2</v>
      </c>
      <c r="B6" s="143" t="s">
        <v>1</v>
      </c>
      <c r="C6" s="144"/>
      <c r="D6" s="14">
        <f t="shared" ref="D6:D32" si="0">D37</f>
        <v>179346</v>
      </c>
      <c r="E6" s="17">
        <f t="shared" ref="E6:E32" si="1">E37+E68+IFERROR($E$105/$D$105*D6,0)</f>
        <v>913200.83503729862</v>
      </c>
      <c r="F6" s="21">
        <f t="shared" ref="F6:F33" si="2">IF(OR(D6=0,E6=0),"",ROUND(E6/D6,2))</f>
        <v>5.09</v>
      </c>
    </row>
    <row r="7" spans="1:6" ht="14.25" customHeight="1" x14ac:dyDescent="0.2">
      <c r="A7" s="19">
        <v>3</v>
      </c>
      <c r="B7" s="143" t="s">
        <v>2</v>
      </c>
      <c r="C7" s="144"/>
      <c r="D7" s="14">
        <f t="shared" si="0"/>
        <v>197440</v>
      </c>
      <c r="E7" s="17">
        <f t="shared" si="1"/>
        <v>1205361.2162956756</v>
      </c>
      <c r="F7" s="21">
        <f t="shared" si="2"/>
        <v>6.1</v>
      </c>
    </row>
    <row r="8" spans="1:6" ht="14.25" customHeight="1" x14ac:dyDescent="0.2">
      <c r="A8" s="19">
        <v>4</v>
      </c>
      <c r="B8" s="143" t="s">
        <v>3</v>
      </c>
      <c r="C8" s="144"/>
      <c r="D8" s="14">
        <f t="shared" si="0"/>
        <v>674285</v>
      </c>
      <c r="E8" s="17">
        <f t="shared" si="1"/>
        <v>3097104.3261746839</v>
      </c>
      <c r="F8" s="21">
        <f t="shared" si="2"/>
        <v>4.59</v>
      </c>
    </row>
    <row r="9" spans="1:6" x14ac:dyDescent="0.2">
      <c r="A9" s="19">
        <v>5</v>
      </c>
      <c r="B9" s="143" t="s">
        <v>4</v>
      </c>
      <c r="C9" s="144"/>
      <c r="D9" s="14">
        <f t="shared" si="0"/>
        <v>25008</v>
      </c>
      <c r="E9" s="17">
        <f t="shared" si="1"/>
        <v>703316.82715317188</v>
      </c>
      <c r="F9" s="21">
        <f t="shared" si="2"/>
        <v>28.12</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432540</v>
      </c>
      <c r="E11" s="17">
        <f t="shared" si="1"/>
        <v>1666306.9322150098</v>
      </c>
      <c r="F11" s="21">
        <f t="shared" si="2"/>
        <v>3.85</v>
      </c>
    </row>
    <row r="12" spans="1:6" x14ac:dyDescent="0.2">
      <c r="A12" s="19">
        <v>8</v>
      </c>
      <c r="B12" s="143" t="s">
        <v>7</v>
      </c>
      <c r="C12" s="144"/>
      <c r="D12" s="14">
        <f t="shared" si="0"/>
        <v>26912</v>
      </c>
      <c r="E12" s="17">
        <f t="shared" si="1"/>
        <v>142379.56319362449</v>
      </c>
      <c r="F12" s="21">
        <f t="shared" si="2"/>
        <v>5.29</v>
      </c>
    </row>
    <row r="13" spans="1:6" x14ac:dyDescent="0.2">
      <c r="A13" s="19">
        <v>9</v>
      </c>
      <c r="B13" s="143" t="s">
        <v>8</v>
      </c>
      <c r="C13" s="144"/>
      <c r="D13" s="14">
        <f t="shared" si="0"/>
        <v>166751</v>
      </c>
      <c r="E13" s="17">
        <f t="shared" si="1"/>
        <v>705718.85687054391</v>
      </c>
      <c r="F13" s="21">
        <f t="shared" si="2"/>
        <v>4.2300000000000004</v>
      </c>
    </row>
    <row r="14" spans="1:6" x14ac:dyDescent="0.2">
      <c r="A14" s="19">
        <v>10</v>
      </c>
      <c r="B14" s="143" t="s">
        <v>9</v>
      </c>
      <c r="C14" s="144"/>
      <c r="D14" s="14">
        <f t="shared" si="0"/>
        <v>8832</v>
      </c>
      <c r="E14" s="17">
        <f t="shared" si="1"/>
        <v>50148.422641427307</v>
      </c>
      <c r="F14" s="21">
        <f t="shared" si="2"/>
        <v>5.68</v>
      </c>
    </row>
    <row r="15" spans="1:6" x14ac:dyDescent="0.2">
      <c r="A15" s="19">
        <v>11</v>
      </c>
      <c r="B15" s="143" t="s">
        <v>10</v>
      </c>
      <c r="C15" s="144"/>
      <c r="D15" s="14">
        <f t="shared" si="0"/>
        <v>178330</v>
      </c>
      <c r="E15" s="17">
        <f t="shared" si="1"/>
        <v>585465.65236025036</v>
      </c>
      <c r="F15" s="21">
        <f t="shared" si="2"/>
        <v>3.28</v>
      </c>
    </row>
    <row r="16" spans="1:6" ht="14.25" customHeight="1" x14ac:dyDescent="0.2">
      <c r="A16" s="19">
        <v>12</v>
      </c>
      <c r="B16" s="143" t="s">
        <v>11</v>
      </c>
      <c r="C16" s="144"/>
      <c r="D16" s="14">
        <f t="shared" si="0"/>
        <v>499992</v>
      </c>
      <c r="E16" s="17">
        <f t="shared" si="1"/>
        <v>2155773.65458928</v>
      </c>
      <c r="F16" s="21">
        <f t="shared" si="2"/>
        <v>4.3099999999999996</v>
      </c>
    </row>
    <row r="17" spans="1:6" x14ac:dyDescent="0.2">
      <c r="A17" s="19">
        <v>13</v>
      </c>
      <c r="B17" s="143" t="s">
        <v>12</v>
      </c>
      <c r="C17" s="144"/>
      <c r="D17" s="14">
        <f t="shared" si="0"/>
        <v>62048</v>
      </c>
      <c r="E17" s="17">
        <f t="shared" si="1"/>
        <v>273902.80978886795</v>
      </c>
      <c r="F17" s="21">
        <f t="shared" si="2"/>
        <v>4.41</v>
      </c>
    </row>
    <row r="18" spans="1:6" ht="14.25" customHeight="1" x14ac:dyDescent="0.2">
      <c r="A18" s="19">
        <v>14</v>
      </c>
      <c r="B18" s="143" t="s">
        <v>464</v>
      </c>
      <c r="C18" s="144"/>
      <c r="D18" s="14">
        <f t="shared" si="0"/>
        <v>175720</v>
      </c>
      <c r="E18" s="17">
        <f t="shared" si="1"/>
        <v>1527558.4921367308</v>
      </c>
      <c r="F18" s="21">
        <f t="shared" si="2"/>
        <v>8.69</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82054</v>
      </c>
      <c r="E20" s="17">
        <f t="shared" si="1"/>
        <v>486529.7789198003</v>
      </c>
      <c r="F20" s="21">
        <f t="shared" si="2"/>
        <v>5.93</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144944</v>
      </c>
      <c r="E22" s="17">
        <f t="shared" si="1"/>
        <v>693740.49403748184</v>
      </c>
      <c r="F22" s="21">
        <f t="shared" si="2"/>
        <v>4.79</v>
      </c>
    </row>
    <row r="23" spans="1:6" x14ac:dyDescent="0.2">
      <c r="A23" s="19">
        <v>19</v>
      </c>
      <c r="B23" s="143" t="s">
        <v>17</v>
      </c>
      <c r="C23" s="144"/>
      <c r="D23" s="14">
        <f t="shared" si="0"/>
        <v>511768</v>
      </c>
      <c r="E23" s="17">
        <f t="shared" si="1"/>
        <v>1855978.5514445165</v>
      </c>
      <c r="F23" s="21">
        <f t="shared" si="2"/>
        <v>3.63</v>
      </c>
    </row>
    <row r="24" spans="1:6" x14ac:dyDescent="0.2">
      <c r="A24" s="19">
        <v>20</v>
      </c>
      <c r="B24" s="143" t="s">
        <v>18</v>
      </c>
      <c r="C24" s="144"/>
      <c r="D24" s="14">
        <f t="shared" si="0"/>
        <v>73584</v>
      </c>
      <c r="E24" s="17">
        <f t="shared" si="1"/>
        <v>402498.15168102208</v>
      </c>
      <c r="F24" s="21">
        <f t="shared" si="2"/>
        <v>5.47</v>
      </c>
    </row>
    <row r="25" spans="1:6" ht="14.25" customHeight="1" x14ac:dyDescent="0.2">
      <c r="A25" s="19">
        <v>21</v>
      </c>
      <c r="B25" s="143" t="s">
        <v>461</v>
      </c>
      <c r="C25" s="144"/>
      <c r="D25" s="14">
        <f t="shared" si="0"/>
        <v>15456</v>
      </c>
      <c r="E25" s="17">
        <f t="shared" si="1"/>
        <v>173334.73962249779</v>
      </c>
      <c r="F25" s="21">
        <f t="shared" si="2"/>
        <v>11.21</v>
      </c>
    </row>
    <row r="26" spans="1:6" x14ac:dyDescent="0.2">
      <c r="A26" s="19">
        <v>22</v>
      </c>
      <c r="B26" s="143" t="s">
        <v>19</v>
      </c>
      <c r="C26" s="144"/>
      <c r="D26" s="14">
        <f t="shared" si="0"/>
        <v>56064</v>
      </c>
      <c r="E26" s="17">
        <f t="shared" si="1"/>
        <v>279540.6393760168</v>
      </c>
      <c r="F26" s="21">
        <f t="shared" si="2"/>
        <v>4.99</v>
      </c>
    </row>
    <row r="27" spans="1:6" x14ac:dyDescent="0.2">
      <c r="A27" s="19">
        <v>23</v>
      </c>
      <c r="B27" s="143" t="s">
        <v>20</v>
      </c>
      <c r="C27" s="144"/>
      <c r="D27" s="14">
        <f t="shared" si="0"/>
        <v>75696</v>
      </c>
      <c r="E27" s="17">
        <f t="shared" si="1"/>
        <v>366302.03535614599</v>
      </c>
      <c r="F27" s="21">
        <f t="shared" si="2"/>
        <v>4.84</v>
      </c>
    </row>
    <row r="28" spans="1:6" x14ac:dyDescent="0.2">
      <c r="A28" s="19">
        <v>24</v>
      </c>
      <c r="B28" s="143" t="s">
        <v>21</v>
      </c>
      <c r="C28" s="144"/>
      <c r="D28" s="14">
        <f t="shared" si="0"/>
        <v>166278</v>
      </c>
      <c r="E28" s="17">
        <f t="shared" si="1"/>
        <v>631154.86729746941</v>
      </c>
      <c r="F28" s="21">
        <f t="shared" si="2"/>
        <v>3.8</v>
      </c>
    </row>
    <row r="29" spans="1:6" x14ac:dyDescent="0.2">
      <c r="A29" s="19">
        <v>25</v>
      </c>
      <c r="B29" s="143" t="s">
        <v>22</v>
      </c>
      <c r="C29" s="144"/>
      <c r="D29" s="14">
        <f t="shared" si="0"/>
        <v>584352</v>
      </c>
      <c r="E29" s="17">
        <f t="shared" si="1"/>
        <v>2178662.2241126955</v>
      </c>
      <c r="F29" s="21">
        <f t="shared" si="2"/>
        <v>3.73</v>
      </c>
    </row>
    <row r="30" spans="1:6" x14ac:dyDescent="0.2">
      <c r="A30" s="19">
        <v>26</v>
      </c>
      <c r="B30" s="143" t="s">
        <v>23</v>
      </c>
      <c r="C30" s="144"/>
      <c r="D30" s="14">
        <f t="shared" si="0"/>
        <v>62048</v>
      </c>
      <c r="E30" s="17">
        <f t="shared" si="1"/>
        <v>373551.80978886795</v>
      </c>
      <c r="F30" s="21">
        <f t="shared" si="2"/>
        <v>6.02</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4410888</v>
      </c>
      <c r="E33" s="31">
        <f>SUM(E5:E32)</f>
        <v>20575441.000000007</v>
      </c>
      <c r="F33" s="32">
        <f t="shared" si="2"/>
        <v>4.66</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IF(F3="1",SUMIF(Data!A:A,'8'!$A$2,Data!CU:CU),0)</f>
        <v>11440</v>
      </c>
      <c r="E36" s="15">
        <f>IF(F3="1",SUMIF(Data!$A:$A,$A$2,Data!IO:IO),0)</f>
        <v>37342</v>
      </c>
      <c r="F36" s="20">
        <f t="shared" ref="F36:F64" si="3">IF(OR(D36=0,E36=0),"",ROUND(E36/D36,2))</f>
        <v>3.26</v>
      </c>
    </row>
    <row r="37" spans="1:6" x14ac:dyDescent="0.2">
      <c r="A37" s="19">
        <v>2</v>
      </c>
      <c r="B37" s="143" t="s">
        <v>1</v>
      </c>
      <c r="C37" s="144"/>
      <c r="D37" s="14">
        <f>IF(F3="1",SUMIF(Data!A:A,'8'!$A$2,Data!CV:CV),0)</f>
        <v>179346</v>
      </c>
      <c r="E37" s="17">
        <f>IF(F3="1",SUMIF(Data!$A:$A,$A$2,Data!IP:IP),0)</f>
        <v>343336</v>
      </c>
      <c r="F37" s="21">
        <f t="shared" si="3"/>
        <v>1.91</v>
      </c>
    </row>
    <row r="38" spans="1:6" ht="14.25" customHeight="1" x14ac:dyDescent="0.2">
      <c r="A38" s="19">
        <v>3</v>
      </c>
      <c r="B38" s="143" t="s">
        <v>2</v>
      </c>
      <c r="C38" s="144"/>
      <c r="D38" s="14">
        <f>IF(F3="1",SUMIF(Data!A:A,'8'!$A$2,Data!CW:CW),0)</f>
        <v>197440</v>
      </c>
      <c r="E38" s="17">
        <f>IF($F$3="1",SUMIF(Data!$A:$A,$A$2,Data!IQ:IQ),0)</f>
        <v>253539</v>
      </c>
      <c r="F38" s="21">
        <f t="shared" si="3"/>
        <v>1.28</v>
      </c>
    </row>
    <row r="39" spans="1:6" ht="14.25" customHeight="1" x14ac:dyDescent="0.2">
      <c r="A39" s="19">
        <v>4</v>
      </c>
      <c r="B39" s="143" t="s">
        <v>3</v>
      </c>
      <c r="C39" s="144"/>
      <c r="D39" s="14">
        <f>IF(F3="1",SUMIF(Data!A:A,'8'!$A$2,Data!CX:CX),0)</f>
        <v>674285</v>
      </c>
      <c r="E39" s="17">
        <f>IF($F$3="1",SUMIF(Data!$A:$A,$A$2,Data!IR:IR),0)</f>
        <v>851117</v>
      </c>
      <c r="F39" s="21">
        <f t="shared" si="3"/>
        <v>1.26</v>
      </c>
    </row>
    <row r="40" spans="1:6" x14ac:dyDescent="0.2">
      <c r="A40" s="19">
        <v>5</v>
      </c>
      <c r="B40" s="143" t="s">
        <v>4</v>
      </c>
      <c r="C40" s="144"/>
      <c r="D40" s="14">
        <f>IF(F3="1",SUMIF(Data!A:A,'8'!$A$2,Data!CY:CY),0)</f>
        <v>25008</v>
      </c>
      <c r="E40" s="17">
        <f>IF($F$3="1",SUMIF(Data!$A:$A,$A$2,Data!IS:IS),0)</f>
        <v>468959</v>
      </c>
      <c r="F40" s="21">
        <f t="shared" si="3"/>
        <v>18.75</v>
      </c>
    </row>
    <row r="41" spans="1:6" x14ac:dyDescent="0.2">
      <c r="A41" s="19">
        <v>6</v>
      </c>
      <c r="B41" s="143" t="s">
        <v>5</v>
      </c>
      <c r="C41" s="144"/>
      <c r="D41" s="14">
        <f>IF(F3="1",SUMIF(Data!A:A,'8'!$A$2,Data!CZ:CZ),0)</f>
        <v>0</v>
      </c>
      <c r="E41" s="17">
        <f>IF($F$3="1",SUMIF(Data!$A:$A,$A$2,Data!IT:IT),0)</f>
        <v>0</v>
      </c>
      <c r="F41" s="21" t="str">
        <f t="shared" si="3"/>
        <v/>
      </c>
    </row>
    <row r="42" spans="1:6" x14ac:dyDescent="0.2">
      <c r="A42" s="19">
        <v>7</v>
      </c>
      <c r="B42" s="143" t="s">
        <v>6</v>
      </c>
      <c r="C42" s="144"/>
      <c r="D42" s="14">
        <f>IF(F3="1",SUMIF(Data!A:A,'8'!$A$2,Data!DA:DA),0)</f>
        <v>432540</v>
      </c>
      <c r="E42" s="17">
        <f>IF($F$3="1",SUMIF(Data!$A:$A,$A$2,Data!IU:IU),0)</f>
        <v>423497</v>
      </c>
      <c r="F42" s="21">
        <f t="shared" si="3"/>
        <v>0.98</v>
      </c>
    </row>
    <row r="43" spans="1:6" x14ac:dyDescent="0.2">
      <c r="A43" s="19">
        <v>8</v>
      </c>
      <c r="B43" s="143" t="s">
        <v>7</v>
      </c>
      <c r="C43" s="144"/>
      <c r="D43" s="14">
        <f>IF(F3="1",SUMIF(Data!A:A,'8'!$A$2,Data!DB:DB),0)</f>
        <v>26912</v>
      </c>
      <c r="E43" s="17">
        <f>IF($F$3="1",SUMIF(Data!$A:$A,$A$2,Data!IV:IV),0)</f>
        <v>49146</v>
      </c>
      <c r="F43" s="21">
        <f t="shared" si="3"/>
        <v>1.83</v>
      </c>
    </row>
    <row r="44" spans="1:6" x14ac:dyDescent="0.2">
      <c r="A44" s="19">
        <v>9</v>
      </c>
      <c r="B44" s="143" t="s">
        <v>8</v>
      </c>
      <c r="C44" s="144"/>
      <c r="D44" s="14">
        <f>IF(F3="1",SUMIF(Data!A:A,'8'!$A$2,Data!DC:DC),0)</f>
        <v>166751</v>
      </c>
      <c r="E44" s="17">
        <f>IF($F$3="1",SUMIF(Data!$A:$A,$A$2,Data!IW:IW),0)</f>
        <v>78747</v>
      </c>
      <c r="F44" s="21">
        <f t="shared" si="3"/>
        <v>0.47</v>
      </c>
    </row>
    <row r="45" spans="1:6" x14ac:dyDescent="0.2">
      <c r="A45" s="19">
        <v>10</v>
      </c>
      <c r="B45" s="143" t="s">
        <v>9</v>
      </c>
      <c r="C45" s="144"/>
      <c r="D45" s="14">
        <f>IF(F3="1",SUMIF(Data!A:A,'8'!$A$2,Data!DD:DD),0)</f>
        <v>8832</v>
      </c>
      <c r="E45" s="17">
        <f>IF($F$3="1",SUMIF(Data!$A:$A,$A$2,Data!IX:IX),0)</f>
        <v>10713</v>
      </c>
      <c r="F45" s="21">
        <f t="shared" si="3"/>
        <v>1.21</v>
      </c>
    </row>
    <row r="46" spans="1:6" x14ac:dyDescent="0.2">
      <c r="A46" s="19">
        <v>11</v>
      </c>
      <c r="B46" s="143" t="s">
        <v>10</v>
      </c>
      <c r="C46" s="144"/>
      <c r="D46" s="14">
        <f>IF(F3="1",SUMIF(Data!A:A,'8'!$A$2,Data!DE:DE),0)</f>
        <v>178330</v>
      </c>
      <c r="E46" s="17">
        <f>IF($F$3="1",SUMIF(Data!$A:$A,$A$2,Data!IY:IY),0)</f>
        <v>126422</v>
      </c>
      <c r="F46" s="21">
        <f t="shared" si="3"/>
        <v>0.71</v>
      </c>
    </row>
    <row r="47" spans="1:6" ht="14.25" customHeight="1" x14ac:dyDescent="0.2">
      <c r="A47" s="19">
        <v>12</v>
      </c>
      <c r="B47" s="143" t="s">
        <v>11</v>
      </c>
      <c r="C47" s="144"/>
      <c r="D47" s="14">
        <f>IF(F3="1",SUMIF(Data!A:A,'8'!$A$2,Data!DF:DF),0)</f>
        <v>499992</v>
      </c>
      <c r="E47" s="17">
        <f>IF($F$3="1",SUMIF(Data!$A:$A,$A$2,Data!IZ:IZ),0)</f>
        <v>178489</v>
      </c>
      <c r="F47" s="21">
        <f t="shared" si="3"/>
        <v>0.36</v>
      </c>
    </row>
    <row r="48" spans="1:6" x14ac:dyDescent="0.2">
      <c r="A48" s="19">
        <v>13</v>
      </c>
      <c r="B48" s="143" t="s">
        <v>12</v>
      </c>
      <c r="C48" s="144"/>
      <c r="D48" s="14">
        <f>IF(F3="1",SUMIF(Data!A:A,'8'!$A$2,Data!DG:DG),0)</f>
        <v>62048</v>
      </c>
      <c r="E48" s="17">
        <f>IF($F$3="1",SUMIF(Data!$A:$A,$A$2,Data!JA:JA),0)</f>
        <v>24698</v>
      </c>
      <c r="F48" s="21">
        <f t="shared" si="3"/>
        <v>0.4</v>
      </c>
    </row>
    <row r="49" spans="1:6" ht="14.25" customHeight="1" x14ac:dyDescent="0.2">
      <c r="A49" s="19">
        <v>14</v>
      </c>
      <c r="B49" s="143" t="s">
        <v>464</v>
      </c>
      <c r="C49" s="144"/>
      <c r="D49" s="14">
        <f>IF(F3="1",SUMIF(Data!A:A,'8'!$A$2,Data!DH:DH),0)</f>
        <v>175720</v>
      </c>
      <c r="E49" s="17">
        <f>IF($F$3="1",SUMIF(Data!$A:$A,$A$2,Data!JB:JB),0)</f>
        <v>209679</v>
      </c>
      <c r="F49" s="21">
        <f t="shared" si="3"/>
        <v>1.19</v>
      </c>
    </row>
    <row r="50" spans="1:6" x14ac:dyDescent="0.2">
      <c r="A50" s="19">
        <v>15</v>
      </c>
      <c r="B50" s="143" t="s">
        <v>13</v>
      </c>
      <c r="C50" s="144"/>
      <c r="D50" s="14">
        <f>IF(F3="1",SUMIF(Data!A:A,'8'!$A$2,Data!DI:DI),0)</f>
        <v>0</v>
      </c>
      <c r="E50" s="17">
        <f>IF($F$3="1",SUMIF(Data!$A:$A,$A$2,Data!JC:JC),0)</f>
        <v>0</v>
      </c>
      <c r="F50" s="21" t="str">
        <f t="shared" si="3"/>
        <v/>
      </c>
    </row>
    <row r="51" spans="1:6" x14ac:dyDescent="0.2">
      <c r="A51" s="19">
        <v>16</v>
      </c>
      <c r="B51" s="143" t="s">
        <v>14</v>
      </c>
      <c r="C51" s="144"/>
      <c r="D51" s="14">
        <f>IF(F3="1",SUMIF(Data!A:A,'8'!$A$2,Data!DJ:DJ),0)</f>
        <v>82054</v>
      </c>
      <c r="E51" s="17">
        <f>IF($F$3="1",SUMIF(Data!$A:$A,$A$2,Data!JD:JD),0)</f>
        <v>90574</v>
      </c>
      <c r="F51" s="21">
        <f t="shared" si="3"/>
        <v>1.1000000000000001</v>
      </c>
    </row>
    <row r="52" spans="1:6" x14ac:dyDescent="0.2">
      <c r="A52" s="19">
        <v>17</v>
      </c>
      <c r="B52" s="143" t="s">
        <v>15</v>
      </c>
      <c r="C52" s="144"/>
      <c r="D52" s="14">
        <f>IF(F3="1",SUMIF(Data!A:A,'8'!$A$2,Data!DK:DK),0)</f>
        <v>0</v>
      </c>
      <c r="E52" s="17">
        <f>IF($F$3="1",SUMIF(Data!$A:$A,$A$2,Data!JE:JE),0)</f>
        <v>0</v>
      </c>
      <c r="F52" s="21" t="str">
        <f t="shared" si="3"/>
        <v/>
      </c>
    </row>
    <row r="53" spans="1:6" x14ac:dyDescent="0.2">
      <c r="A53" s="19">
        <v>18</v>
      </c>
      <c r="B53" s="143" t="s">
        <v>16</v>
      </c>
      <c r="C53" s="144"/>
      <c r="D53" s="14">
        <f>IF(F3="1",SUMIF(Data!A:A,'8'!$A$2,Data!DL:DL),0)</f>
        <v>144944</v>
      </c>
      <c r="E53" s="17">
        <f>IF($F$3="1",SUMIF(Data!$A:$A,$A$2,Data!JF:JF),0)</f>
        <v>94591</v>
      </c>
      <c r="F53" s="21">
        <f t="shared" si="3"/>
        <v>0.65</v>
      </c>
    </row>
    <row r="54" spans="1:6" x14ac:dyDescent="0.2">
      <c r="A54" s="19">
        <v>19</v>
      </c>
      <c r="B54" s="143" t="s">
        <v>17</v>
      </c>
      <c r="C54" s="144"/>
      <c r="D54" s="14">
        <f>IF(F3="1",SUMIF(Data!A:A,'8'!$A$2,Data!DM:DM),0)</f>
        <v>511768</v>
      </c>
      <c r="E54" s="17">
        <f>IF($F$3="1",SUMIF(Data!$A:$A,$A$2,Data!JG:JG),0)</f>
        <v>124860</v>
      </c>
      <c r="F54" s="21">
        <f t="shared" si="3"/>
        <v>0.24</v>
      </c>
    </row>
    <row r="55" spans="1:6" x14ac:dyDescent="0.2">
      <c r="A55" s="19">
        <v>20</v>
      </c>
      <c r="B55" s="143" t="s">
        <v>18</v>
      </c>
      <c r="C55" s="144"/>
      <c r="D55" s="14">
        <f>IF(F3="1",SUMIF(Data!A:A,'8'!$A$2,Data!DN:DN),0)</f>
        <v>73584</v>
      </c>
      <c r="E55" s="17">
        <f>IF($F$3="1",SUMIF(Data!$A:$A,$A$2,Data!JH:JH),0)</f>
        <v>153507</v>
      </c>
      <c r="F55" s="21">
        <f t="shared" si="3"/>
        <v>2.09</v>
      </c>
    </row>
    <row r="56" spans="1:6" ht="14.25" customHeight="1" x14ac:dyDescent="0.2">
      <c r="A56" s="19">
        <v>21</v>
      </c>
      <c r="B56" s="143" t="s">
        <v>461</v>
      </c>
      <c r="C56" s="144"/>
      <c r="D56" s="14">
        <f>IF(F3="1",SUMIF(Data!A:A,'8'!$A$2,Data!DO:DO),0)</f>
        <v>15456</v>
      </c>
      <c r="E56" s="17">
        <f>IF($F$3="1",SUMIF(Data!$A:$A,$A$2,Data!JI:JI),0)</f>
        <v>69694</v>
      </c>
      <c r="F56" s="21">
        <f t="shared" si="3"/>
        <v>4.51</v>
      </c>
    </row>
    <row r="57" spans="1:6" x14ac:dyDescent="0.2">
      <c r="A57" s="19">
        <v>22</v>
      </c>
      <c r="B57" s="143" t="s">
        <v>19</v>
      </c>
      <c r="C57" s="144"/>
      <c r="D57" s="14">
        <f>IF(F3="1",SUMIF(Data!A:A,'8'!$A$2,Data!DP:DP),0)</f>
        <v>56064</v>
      </c>
      <c r="E57" s="17">
        <f>IF($F$3="1",SUMIF(Data!$A:$A,$A$2,Data!JJ:JJ),0)</f>
        <v>89021</v>
      </c>
      <c r="F57" s="21">
        <f t="shared" si="3"/>
        <v>1.59</v>
      </c>
    </row>
    <row r="58" spans="1:6" x14ac:dyDescent="0.2">
      <c r="A58" s="19">
        <v>23</v>
      </c>
      <c r="B58" s="143" t="s">
        <v>20</v>
      </c>
      <c r="C58" s="144"/>
      <c r="D58" s="14">
        <f>IF(F3="1",SUMIF(Data!A:A,'8'!$A$2,Data!DQ:DQ),0)</f>
        <v>75696</v>
      </c>
      <c r="E58" s="17">
        <f>IF($F$3="1",SUMIF(Data!$A:$A,$A$2,Data!JK:JK),0)</f>
        <v>67212</v>
      </c>
      <c r="F58" s="21">
        <f t="shared" si="3"/>
        <v>0.89</v>
      </c>
    </row>
    <row r="59" spans="1:6" x14ac:dyDescent="0.2">
      <c r="A59" s="19">
        <v>24</v>
      </c>
      <c r="B59" s="143" t="s">
        <v>21</v>
      </c>
      <c r="C59" s="144"/>
      <c r="D59" s="14">
        <f>IF(F3="1",SUMIF(Data!A:A,'8'!$A$2,Data!DR:DR),0)</f>
        <v>166278</v>
      </c>
      <c r="E59" s="17">
        <f>IF($F$3="1",SUMIF(Data!$A:$A,$A$2,Data!JL:JL),0)</f>
        <v>186148</v>
      </c>
      <c r="F59" s="21">
        <f t="shared" si="3"/>
        <v>1.1200000000000001</v>
      </c>
    </row>
    <row r="60" spans="1:6" x14ac:dyDescent="0.2">
      <c r="A60" s="19">
        <v>25</v>
      </c>
      <c r="B60" s="143" t="s">
        <v>22</v>
      </c>
      <c r="C60" s="144"/>
      <c r="D60" s="14">
        <f>IF(F3="1",SUMIF(Data!A:A,'8'!$A$2,Data!DS:DS),0)</f>
        <v>584352</v>
      </c>
      <c r="E60" s="17">
        <f>IF($F$3="1",SUMIF(Data!$A:$A,$A$2,Data!JM:JM),0)</f>
        <v>164475</v>
      </c>
      <c r="F60" s="21">
        <f t="shared" si="3"/>
        <v>0.28000000000000003</v>
      </c>
    </row>
    <row r="61" spans="1:6" x14ac:dyDescent="0.2">
      <c r="A61" s="19">
        <v>26</v>
      </c>
      <c r="B61" s="143" t="s">
        <v>23</v>
      </c>
      <c r="C61" s="144"/>
      <c r="D61" s="14">
        <f>IF(F3="1",SUMIF(Data!A:A,'8'!$A$2,Data!DT:DT),0)</f>
        <v>62048</v>
      </c>
      <c r="E61" s="17">
        <f>IF($F$3="1",SUMIF(Data!$A:$A,$A$2,Data!JN:JN),0)</f>
        <v>70667</v>
      </c>
      <c r="F61" s="21">
        <f t="shared" si="3"/>
        <v>1.1399999999999999</v>
      </c>
    </row>
    <row r="62" spans="1:6" x14ac:dyDescent="0.2">
      <c r="A62" s="19">
        <v>28</v>
      </c>
      <c r="B62" s="143" t="s">
        <v>24</v>
      </c>
      <c r="C62" s="144"/>
      <c r="D62" s="14">
        <f>IF(F3="1",SUMIF(Data!A:A,'8'!$A$2,Data!DV:DV),0)</f>
        <v>0</v>
      </c>
      <c r="E62" s="17">
        <f>IF($F$3="1",SUMIF(Data!$A:$A,$A$2,Data!JP:JP),0)</f>
        <v>0</v>
      </c>
      <c r="F62" s="21" t="str">
        <f t="shared" si="3"/>
        <v/>
      </c>
    </row>
    <row r="63" spans="1:6" ht="15.75" customHeight="1" thickBot="1" x14ac:dyDescent="0.25">
      <c r="A63" s="22">
        <v>29</v>
      </c>
      <c r="B63" s="147" t="s">
        <v>25</v>
      </c>
      <c r="C63" s="148"/>
      <c r="D63" s="23">
        <f>IF(F3="1",SUMIF(Data!A:A,'8'!$A$2,Data!DW:DW),0)</f>
        <v>0</v>
      </c>
      <c r="E63" s="24">
        <f>IF($F$3="1",SUMIF(Data!$A:$A,$A$2,Data!JQ:JQ),0)</f>
        <v>0</v>
      </c>
      <c r="F63" s="25" t="str">
        <f t="shared" si="3"/>
        <v/>
      </c>
    </row>
    <row r="64" spans="1:6" x14ac:dyDescent="0.2">
      <c r="B64" s="30" t="s">
        <v>35</v>
      </c>
      <c r="C64" s="30"/>
      <c r="D64" s="59">
        <f>SUM(D36:D63)</f>
        <v>4410888</v>
      </c>
      <c r="E64" s="31">
        <f>SUM(E36:E63)</f>
        <v>4166433</v>
      </c>
      <c r="F64" s="32">
        <f t="shared" si="3"/>
        <v>0.94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11440</v>
      </c>
      <c r="E67" s="15">
        <f>IF(F3="1",SUMIF(Data!A:A,'8'!$A$2,Data!DY:DY),0)</f>
        <v>50760</v>
      </c>
      <c r="F67" s="20">
        <f t="shared" ref="F67:F95" si="4">IF(OR(D67=0,E67=0),"",ROUND(E67/D67,2))</f>
        <v>4.4400000000000004</v>
      </c>
    </row>
    <row r="68" spans="1:6" x14ac:dyDescent="0.2">
      <c r="A68" s="19">
        <v>2</v>
      </c>
      <c r="B68" s="143" t="s">
        <v>1</v>
      </c>
      <c r="C68" s="144"/>
      <c r="D68" s="14">
        <f t="shared" ref="D68:D94" si="5">D37</f>
        <v>179346</v>
      </c>
      <c r="E68" s="17">
        <f>IF(F3="1",SUMIF(Data!A:A,'8'!$A$2,Data!DZ:DZ),0)</f>
        <v>259331</v>
      </c>
      <c r="F68" s="21">
        <f t="shared" si="4"/>
        <v>1.45</v>
      </c>
    </row>
    <row r="69" spans="1:6" ht="14.25" customHeight="1" x14ac:dyDescent="0.2">
      <c r="A69" s="19">
        <v>3</v>
      </c>
      <c r="B69" s="143" t="s">
        <v>2</v>
      </c>
      <c r="C69" s="144"/>
      <c r="D69" s="14">
        <f t="shared" si="5"/>
        <v>197440</v>
      </c>
      <c r="E69" s="17">
        <f>IF(F3="1",SUMIF(Data!A:A,'8'!$A$2,Data!EA:EA),0)</f>
        <v>609959</v>
      </c>
      <c r="F69" s="21">
        <f t="shared" si="4"/>
        <v>3.09</v>
      </c>
    </row>
    <row r="70" spans="1:6" ht="14.25" customHeight="1" x14ac:dyDescent="0.2">
      <c r="A70" s="19">
        <v>4</v>
      </c>
      <c r="B70" s="143" t="s">
        <v>3</v>
      </c>
      <c r="C70" s="144"/>
      <c r="D70" s="14">
        <f t="shared" si="5"/>
        <v>674285</v>
      </c>
      <c r="E70" s="17">
        <f>IF(F3="1",SUMIF(Data!A:A,'8'!$A$2,Data!EB:EB),0)</f>
        <v>1078477</v>
      </c>
      <c r="F70" s="21">
        <f t="shared" si="4"/>
        <v>1.6</v>
      </c>
    </row>
    <row r="71" spans="1:6" x14ac:dyDescent="0.2">
      <c r="A71" s="19">
        <v>5</v>
      </c>
      <c r="B71" s="143" t="s">
        <v>4</v>
      </c>
      <c r="C71" s="144"/>
      <c r="D71" s="14">
        <f t="shared" si="5"/>
        <v>25008</v>
      </c>
      <c r="E71" s="17">
        <f>IF(F3="1",SUMIF(Data!A:A,'8'!$A$2,Data!EC:EC),0)</f>
        <v>191057</v>
      </c>
      <c r="F71" s="21">
        <f t="shared" si="4"/>
        <v>7.64</v>
      </c>
    </row>
    <row r="72" spans="1:6" x14ac:dyDescent="0.2">
      <c r="A72" s="19">
        <v>6</v>
      </c>
      <c r="B72" s="143" t="s">
        <v>5</v>
      </c>
      <c r="C72" s="144"/>
      <c r="D72" s="14">
        <f t="shared" si="5"/>
        <v>0</v>
      </c>
      <c r="E72" s="17">
        <f>IF(F3="1",SUMIF(Data!A:A,'8'!$A$2,Data!ED:ED),0)</f>
        <v>0</v>
      </c>
      <c r="F72" s="21" t="str">
        <f t="shared" si="4"/>
        <v/>
      </c>
    </row>
    <row r="73" spans="1:6" x14ac:dyDescent="0.2">
      <c r="A73" s="19">
        <v>7</v>
      </c>
      <c r="B73" s="143" t="s">
        <v>6</v>
      </c>
      <c r="C73" s="144"/>
      <c r="D73" s="14">
        <f t="shared" si="5"/>
        <v>432540</v>
      </c>
      <c r="E73" s="17">
        <f>IF(F3="1",SUMIF(Data!A:A,'8'!$A$2,Data!EE:EE),0)</f>
        <v>493876</v>
      </c>
      <c r="F73" s="21">
        <f t="shared" si="4"/>
        <v>1.1399999999999999</v>
      </c>
    </row>
    <row r="74" spans="1:6" x14ac:dyDescent="0.2">
      <c r="A74" s="19">
        <v>8</v>
      </c>
      <c r="B74" s="143" t="s">
        <v>7</v>
      </c>
      <c r="C74" s="144"/>
      <c r="D74" s="14">
        <f t="shared" si="5"/>
        <v>26912</v>
      </c>
      <c r="E74" s="17">
        <f>IF(F3="1",SUMIF(Data!A:A,'8'!$A$2,Data!EF:EF),0)</f>
        <v>46636</v>
      </c>
      <c r="F74" s="21">
        <f t="shared" si="4"/>
        <v>1.73</v>
      </c>
    </row>
    <row r="75" spans="1:6" x14ac:dyDescent="0.2">
      <c r="A75" s="19">
        <v>9</v>
      </c>
      <c r="B75" s="143" t="s">
        <v>8</v>
      </c>
      <c r="C75" s="144"/>
      <c r="D75" s="14">
        <f t="shared" si="5"/>
        <v>166751</v>
      </c>
      <c r="E75" s="17">
        <f>IF(F3="1",SUMIF(Data!A:A,'8'!$A$2,Data!EG:EG),0)</f>
        <v>338246</v>
      </c>
      <c r="F75" s="21">
        <f t="shared" si="4"/>
        <v>2.0299999999999998</v>
      </c>
    </row>
    <row r="76" spans="1:6" x14ac:dyDescent="0.2">
      <c r="A76" s="19">
        <v>10</v>
      </c>
      <c r="B76" s="143" t="s">
        <v>9</v>
      </c>
      <c r="C76" s="144"/>
      <c r="D76" s="14">
        <f t="shared" si="5"/>
        <v>8832</v>
      </c>
      <c r="E76" s="17">
        <f>IF(F3="1",SUMIF(Data!A:A,'8'!$A$2,Data!EH:EH),0)</f>
        <v>24143</v>
      </c>
      <c r="F76" s="21">
        <f t="shared" si="4"/>
        <v>2.73</v>
      </c>
    </row>
    <row r="77" spans="1:6" x14ac:dyDescent="0.2">
      <c r="A77" s="19">
        <v>11</v>
      </c>
      <c r="B77" s="143" t="s">
        <v>10</v>
      </c>
      <c r="C77" s="144"/>
      <c r="D77" s="14">
        <f t="shared" si="5"/>
        <v>178330</v>
      </c>
      <c r="E77" s="17">
        <f>IF(F3="1",SUMIF(Data!A:A,'8'!$A$2,Data!EI:EI),0)</f>
        <v>150269</v>
      </c>
      <c r="F77" s="21">
        <f t="shared" si="4"/>
        <v>0.84</v>
      </c>
    </row>
    <row r="78" spans="1:6" ht="14.25" customHeight="1" x14ac:dyDescent="0.2">
      <c r="A78" s="19">
        <v>12</v>
      </c>
      <c r="B78" s="143" t="s">
        <v>11</v>
      </c>
      <c r="C78" s="144"/>
      <c r="D78" s="14">
        <f t="shared" si="5"/>
        <v>499992</v>
      </c>
      <c r="E78" s="17">
        <f>IF(F3="1",SUMIF(Data!A:A,'8'!$A$2,Data!EJ:EJ),0)</f>
        <v>1111559</v>
      </c>
      <c r="F78" s="21">
        <f t="shared" si="4"/>
        <v>2.2200000000000002</v>
      </c>
    </row>
    <row r="79" spans="1:6" x14ac:dyDescent="0.2">
      <c r="A79" s="19">
        <v>13</v>
      </c>
      <c r="B79" s="143" t="s">
        <v>12</v>
      </c>
      <c r="C79" s="144"/>
      <c r="D79" s="14">
        <f t="shared" si="5"/>
        <v>62048</v>
      </c>
      <c r="E79" s="17">
        <f>IF(F3="1",SUMIF(Data!A:A,'8'!$A$2,Data!EK:EK),0)</f>
        <v>141770</v>
      </c>
      <c r="F79" s="21">
        <f t="shared" si="4"/>
        <v>2.2799999999999998</v>
      </c>
    </row>
    <row r="80" spans="1:6" ht="14.25" customHeight="1" x14ac:dyDescent="0.2">
      <c r="A80" s="19">
        <v>14</v>
      </c>
      <c r="B80" s="143" t="s">
        <v>464</v>
      </c>
      <c r="C80" s="144"/>
      <c r="D80" s="14">
        <f t="shared" si="5"/>
        <v>175720</v>
      </c>
      <c r="E80" s="17">
        <f>IF(F3="1",SUMIF(Data!A:A,'8'!$A$2,Data!EL:EL),0)</f>
        <v>1013624</v>
      </c>
      <c r="F80" s="21">
        <f t="shared" si="4"/>
        <v>5.77</v>
      </c>
    </row>
    <row r="81" spans="1:6" x14ac:dyDescent="0.2">
      <c r="A81" s="19">
        <v>15</v>
      </c>
      <c r="B81" s="143" t="s">
        <v>13</v>
      </c>
      <c r="C81" s="144"/>
      <c r="D81" s="14">
        <f t="shared" si="5"/>
        <v>0</v>
      </c>
      <c r="E81" s="17">
        <f>IF(F3="1",SUMIF(Data!A:A,'8'!$A$2,Data!EM:EM),0)</f>
        <v>0</v>
      </c>
      <c r="F81" s="21" t="str">
        <f t="shared" si="4"/>
        <v/>
      </c>
    </row>
    <row r="82" spans="1:6" x14ac:dyDescent="0.2">
      <c r="A82" s="19">
        <v>16</v>
      </c>
      <c r="B82" s="143" t="s">
        <v>14</v>
      </c>
      <c r="C82" s="144"/>
      <c r="D82" s="14">
        <f t="shared" si="5"/>
        <v>82054</v>
      </c>
      <c r="E82" s="17">
        <f>IF(F3="1",SUMIF(Data!A:A,'8'!$A$2,Data!EN:EN),0)</f>
        <v>253881</v>
      </c>
      <c r="F82" s="21">
        <f t="shared" si="4"/>
        <v>3.09</v>
      </c>
    </row>
    <row r="83" spans="1:6" x14ac:dyDescent="0.2">
      <c r="A83" s="19">
        <v>17</v>
      </c>
      <c r="B83" s="143" t="s">
        <v>15</v>
      </c>
      <c r="C83" s="144"/>
      <c r="D83" s="14">
        <f t="shared" si="5"/>
        <v>0</v>
      </c>
      <c r="E83" s="17">
        <f>IF(F3="1",SUMIF(Data!A:A,'8'!$A$2,Data!EO:EO),0)</f>
        <v>0</v>
      </c>
      <c r="F83" s="21" t="str">
        <f t="shared" si="4"/>
        <v/>
      </c>
    </row>
    <row r="84" spans="1:6" x14ac:dyDescent="0.2">
      <c r="A84" s="19">
        <v>18</v>
      </c>
      <c r="B84" s="143" t="s">
        <v>16</v>
      </c>
      <c r="C84" s="144"/>
      <c r="D84" s="14">
        <f t="shared" si="5"/>
        <v>144944</v>
      </c>
      <c r="E84" s="17">
        <f>IF(F3="1",SUMIF(Data!A:A,'8'!$A$2,Data!EP:EP),0)</f>
        <v>348182</v>
      </c>
      <c r="F84" s="21">
        <f t="shared" si="4"/>
        <v>2.4</v>
      </c>
    </row>
    <row r="85" spans="1:6" x14ac:dyDescent="0.2">
      <c r="A85" s="19">
        <v>19</v>
      </c>
      <c r="B85" s="143" t="s">
        <v>17</v>
      </c>
      <c r="C85" s="144"/>
      <c r="D85" s="14">
        <f t="shared" si="5"/>
        <v>511768</v>
      </c>
      <c r="E85" s="17">
        <f>IF(F3="1",SUMIF(Data!A:A,'8'!$A$2,Data!EQ:EQ),0)</f>
        <v>845003</v>
      </c>
      <c r="F85" s="21">
        <f t="shared" si="4"/>
        <v>1.65</v>
      </c>
    </row>
    <row r="86" spans="1:6" x14ac:dyDescent="0.2">
      <c r="A86" s="19">
        <v>20</v>
      </c>
      <c r="B86" s="143" t="s">
        <v>18</v>
      </c>
      <c r="C86" s="144"/>
      <c r="D86" s="14">
        <f t="shared" si="5"/>
        <v>73584</v>
      </c>
      <c r="E86" s="17">
        <f>IF(F3="1",SUMIF(Data!A:A,'8'!$A$2,Data!ER:ER),0)</f>
        <v>121582</v>
      </c>
      <c r="F86" s="21">
        <f t="shared" si="4"/>
        <v>1.65</v>
      </c>
    </row>
    <row r="87" spans="1:6" ht="14.25" customHeight="1" x14ac:dyDescent="0.2">
      <c r="A87" s="19">
        <v>21</v>
      </c>
      <c r="B87" s="143" t="s">
        <v>461</v>
      </c>
      <c r="C87" s="144"/>
      <c r="D87" s="14">
        <f t="shared" si="5"/>
        <v>15456</v>
      </c>
      <c r="E87" s="17">
        <f>IF(F3="1",SUMIF(Data!A:A,'8'!$A$2,Data!ES:ES),0)</f>
        <v>76879</v>
      </c>
      <c r="F87" s="21">
        <f t="shared" si="4"/>
        <v>4.97</v>
      </c>
    </row>
    <row r="88" spans="1:6" x14ac:dyDescent="0.2">
      <c r="A88" s="19">
        <v>22</v>
      </c>
      <c r="B88" s="143" t="s">
        <v>19</v>
      </c>
      <c r="C88" s="144"/>
      <c r="D88" s="14">
        <f t="shared" si="5"/>
        <v>56064</v>
      </c>
      <c r="E88" s="17">
        <f>IF(F3="1",SUMIF(Data!A:A,'8'!$A$2,Data!ET:ET),0)</f>
        <v>93446</v>
      </c>
      <c r="F88" s="21">
        <f t="shared" si="4"/>
        <v>1.67</v>
      </c>
    </row>
    <row r="89" spans="1:6" x14ac:dyDescent="0.2">
      <c r="A89" s="19">
        <v>23</v>
      </c>
      <c r="B89" s="143" t="s">
        <v>20</v>
      </c>
      <c r="C89" s="144"/>
      <c r="D89" s="14">
        <f t="shared" si="5"/>
        <v>75696</v>
      </c>
      <c r="E89" s="17">
        <f>IF(F3="1",SUMIF(Data!A:A,'8'!$A$2,Data!EU:EU),0)</f>
        <v>168024</v>
      </c>
      <c r="F89" s="21">
        <f t="shared" si="4"/>
        <v>2.2200000000000002</v>
      </c>
    </row>
    <row r="90" spans="1:6" x14ac:dyDescent="0.2">
      <c r="A90" s="19">
        <v>24</v>
      </c>
      <c r="B90" s="143" t="s">
        <v>21</v>
      </c>
      <c r="C90" s="144"/>
      <c r="D90" s="14">
        <f t="shared" si="5"/>
        <v>166278</v>
      </c>
      <c r="E90" s="17">
        <f>IF(F3="1",SUMIF(Data!A:A,'8'!$A$2,Data!EV:EV),0)</f>
        <v>157100</v>
      </c>
      <c r="F90" s="21">
        <f t="shared" si="4"/>
        <v>0.94</v>
      </c>
    </row>
    <row r="91" spans="1:6" x14ac:dyDescent="0.2">
      <c r="A91" s="19">
        <v>25</v>
      </c>
      <c r="B91" s="143" t="s">
        <v>22</v>
      </c>
      <c r="C91" s="144"/>
      <c r="D91" s="14">
        <f t="shared" si="5"/>
        <v>584352</v>
      </c>
      <c r="E91" s="17">
        <f>IF(F3="1",SUMIF(Data!A:A,'8'!$A$2,Data!EW:EW),0)</f>
        <v>1002394</v>
      </c>
      <c r="F91" s="21">
        <f t="shared" si="4"/>
        <v>1.72</v>
      </c>
    </row>
    <row r="92" spans="1:6" x14ac:dyDescent="0.2">
      <c r="A92" s="19">
        <v>26</v>
      </c>
      <c r="B92" s="143" t="s">
        <v>23</v>
      </c>
      <c r="C92" s="144"/>
      <c r="D92" s="14">
        <f t="shared" si="5"/>
        <v>62048</v>
      </c>
      <c r="E92" s="17">
        <f>IF(F3="1",SUMIF(Data!A:A,'8'!$A$2,Data!EX:EX),0)</f>
        <v>195450</v>
      </c>
      <c r="F92" s="21">
        <f t="shared" si="4"/>
        <v>3.15</v>
      </c>
    </row>
    <row r="93" spans="1:6" x14ac:dyDescent="0.2">
      <c r="A93" s="19">
        <v>28</v>
      </c>
      <c r="B93" s="143" t="s">
        <v>24</v>
      </c>
      <c r="C93" s="144"/>
      <c r="D93" s="14">
        <f t="shared" si="5"/>
        <v>0</v>
      </c>
      <c r="E93" s="17">
        <f>IF(F3="1",SUMIF(Data!A:A,'8'!$A$2,Data!EZ:EZ),0)</f>
        <v>0</v>
      </c>
      <c r="F93" s="21" t="str">
        <f t="shared" si="4"/>
        <v/>
      </c>
    </row>
    <row r="94" spans="1:6" ht="15.75" customHeight="1" thickBot="1" x14ac:dyDescent="0.25">
      <c r="A94" s="22">
        <v>29</v>
      </c>
      <c r="B94" s="147" t="s">
        <v>25</v>
      </c>
      <c r="C94" s="148"/>
      <c r="D94" s="23">
        <f t="shared" si="5"/>
        <v>0</v>
      </c>
      <c r="E94" s="24">
        <f>IF(F3="1",SUMIF(Data!A:A,'8'!$A$2,Data!FA:FA),0)</f>
        <v>0</v>
      </c>
      <c r="F94" s="25" t="str">
        <f t="shared" si="4"/>
        <v/>
      </c>
    </row>
    <row r="95" spans="1:6" x14ac:dyDescent="0.2">
      <c r="B95" s="30" t="s">
        <v>35</v>
      </c>
      <c r="C95" s="30"/>
      <c r="D95" s="59">
        <f>SUM(D67:D94)</f>
        <v>4410888</v>
      </c>
      <c r="E95" s="31">
        <f>SUM(E67:E94)</f>
        <v>8771648</v>
      </c>
      <c r="F95" s="32">
        <f t="shared" si="4"/>
        <v>1.99</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IF(F3="1",SUMIF(Data!A:A,'8'!$A$2,Data!AH:AH),0)</f>
        <v>3725125</v>
      </c>
      <c r="F98" s="20">
        <f>IF(OR(E98=0,E98=0),"",ROUND(E98/$D$105,2))</f>
        <v>0.84</v>
      </c>
    </row>
    <row r="99" spans="2:6" x14ac:dyDescent="0.2">
      <c r="B99" s="153" t="s">
        <v>31</v>
      </c>
      <c r="C99" s="154"/>
      <c r="D99" s="36"/>
      <c r="E99" s="17">
        <f>IF(F3="1",SUMIF(Data!A:A,'8'!$A$2,Data!AI:AI),0)</f>
        <v>2182753</v>
      </c>
      <c r="F99" s="21">
        <f t="shared" ref="F99:F104" si="6">IF(OR(E99=0,E99=0),"",ROUND(E99/$D$105,2))</f>
        <v>0.49</v>
      </c>
    </row>
    <row r="100" spans="2:6" x14ac:dyDescent="0.2">
      <c r="B100" s="153" t="s">
        <v>1078</v>
      </c>
      <c r="C100" s="154"/>
      <c r="D100" s="36"/>
      <c r="E100" s="17">
        <f>IF(F3="1",SUMIF(Data!A:A,'8'!$A$2,Data!AJ:AJ),0)</f>
        <v>790952</v>
      </c>
      <c r="F100" s="21">
        <f t="shared" si="6"/>
        <v>0.18</v>
      </c>
    </row>
    <row r="101" spans="2:6" x14ac:dyDescent="0.2">
      <c r="B101" s="153" t="s">
        <v>1079</v>
      </c>
      <c r="C101" s="154"/>
      <c r="D101" s="36"/>
      <c r="E101" s="17">
        <f>IF(F3="1",SUMIF(Data!A:A,'8'!$A$2,Data!AK:AK),0)</f>
        <v>770528</v>
      </c>
      <c r="F101" s="21">
        <f t="shared" si="6"/>
        <v>0.17</v>
      </c>
    </row>
    <row r="102" spans="2:6" x14ac:dyDescent="0.2">
      <c r="B102" s="153" t="s">
        <v>1080</v>
      </c>
      <c r="C102" s="154"/>
      <c r="D102" s="36"/>
      <c r="E102" s="17">
        <f>IF(F3="1",SUMIF(Data!A:A,'8'!$A$2,Data!AL:AL),0)</f>
        <v>168002</v>
      </c>
      <c r="F102" s="21">
        <f t="shared" si="6"/>
        <v>0.04</v>
      </c>
    </row>
    <row r="103" spans="2:6" x14ac:dyDescent="0.2">
      <c r="B103" s="155" t="s">
        <v>34</v>
      </c>
      <c r="C103" s="156"/>
      <c r="D103" s="36"/>
      <c r="E103" s="17">
        <f>IF(F3="1",SUMIF(Data!A:A,'8'!$A$2,Data!AM:AM),0)</f>
        <v>0</v>
      </c>
      <c r="F103" s="21" t="str">
        <f t="shared" si="6"/>
        <v/>
      </c>
    </row>
    <row r="104" spans="2:6" ht="15.75" customHeight="1" thickBot="1" x14ac:dyDescent="0.25">
      <c r="B104" s="149" t="s">
        <v>29</v>
      </c>
      <c r="C104" s="150"/>
      <c r="D104" s="37"/>
      <c r="E104" s="24">
        <f>IF(F3="1",SUMIF(Data!A:A,'8'!$A$2,Data!Q:Q),0)</f>
        <v>0</v>
      </c>
      <c r="F104" s="25" t="str">
        <f t="shared" si="6"/>
        <v/>
      </c>
    </row>
    <row r="105" spans="2:6" x14ac:dyDescent="0.2">
      <c r="B105" s="30" t="s">
        <v>35</v>
      </c>
      <c r="C105" s="30"/>
      <c r="D105" s="34">
        <f>D95</f>
        <v>4410888</v>
      </c>
      <c r="E105" s="31">
        <f>SUM(E98:E104)</f>
        <v>7637360</v>
      </c>
      <c r="F105" s="32">
        <f>IF($D$105=0,"",ROUND(E105/$D$105,2))</f>
        <v>1.73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8771648</v>
      </c>
      <c r="D109" s="15">
        <f>IF(F3="1",SUMIF(Data!$A:$A,$A$2,Data!HJ:HJ),0)</f>
        <v>0</v>
      </c>
      <c r="E109" s="15">
        <f>IF(F3="1",SUMIF(Data!$A:$A,$A$2,Data!IN:IN),0)</f>
        <v>0</v>
      </c>
      <c r="F109" s="47">
        <f>SUM(C109:E109)</f>
        <v>8771648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168002</v>
      </c>
      <c r="F116" s="48">
        <f t="shared" si="7"/>
        <v>168002</v>
      </c>
    </row>
    <row r="117" spans="1:6" ht="15" thickBot="1" x14ac:dyDescent="0.25">
      <c r="B117" s="43" t="s">
        <v>933</v>
      </c>
      <c r="C117" s="52"/>
      <c r="D117" s="52">
        <f>IF(F3="1",SUMIF(Data!A:A,$A$2,Data!Q:Q),0)</f>
        <v>0</v>
      </c>
      <c r="E117" s="52"/>
      <c r="F117" s="49">
        <f>SUM(C117:E117)</f>
        <v>0</v>
      </c>
    </row>
    <row r="118" spans="1:6" x14ac:dyDescent="0.2">
      <c r="B118" s="13" t="s">
        <v>35</v>
      </c>
      <c r="C118" s="4">
        <f>SUM(C109:C116)</f>
        <v>8771648</v>
      </c>
      <c r="D118" s="4">
        <f>SUM(D109:D116)</f>
        <v>0</v>
      </c>
      <c r="E118" s="4">
        <f>SUM(E109:E116)</f>
        <v>168002</v>
      </c>
      <c r="F118" s="4">
        <f>SUM(F109:F116)</f>
        <v>8939650</v>
      </c>
    </row>
    <row r="119" spans="1:6" ht="15" thickBot="1" x14ac:dyDescent="0.25"/>
    <row r="120" spans="1:6" ht="15" thickBot="1" x14ac:dyDescent="0.25">
      <c r="B120" s="55" t="s">
        <v>934</v>
      </c>
      <c r="C120" s="53"/>
      <c r="D120" s="53"/>
      <c r="E120" s="53">
        <f>IF(F3="1",SUMIF(Data!A:A,'8'!$A$2,Data!AM:AM),0)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358</v>
      </c>
      <c r="B2" s="58" t="str">
        <f>VLOOKUP(A2,Data!A:G,7,0)</f>
        <v>Cisco Junior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10032</v>
      </c>
      <c r="E5" s="15">
        <f>E36+E67+IFERROR($E$105/$D$105*D5,0)</f>
        <v>67298.012710277893</v>
      </c>
      <c r="F5" s="20">
        <f>IF(OR(D5=0,E5=0),"",ROUND(E5/D5,2))</f>
        <v>6.71</v>
      </c>
    </row>
    <row r="6" spans="1:6" x14ac:dyDescent="0.2">
      <c r="A6" s="19">
        <v>2</v>
      </c>
      <c r="B6" s="143" t="s">
        <v>1</v>
      </c>
      <c r="C6" s="144"/>
      <c r="D6" s="14">
        <f t="shared" ref="D6:D32" si="0">D37</f>
        <v>640</v>
      </c>
      <c r="E6" s="17">
        <f t="shared" ref="E6:E32" si="1">E37+E68+IFERROR($E$105/$D$105*D6,0)</f>
        <v>2150.7902845472345</v>
      </c>
      <c r="F6" s="21">
        <f t="shared" ref="F6:F33" si="2">IF(OR(D6=0,E6=0),"",ROUND(E6/D6,2))</f>
        <v>3.36</v>
      </c>
    </row>
    <row r="7" spans="1:6" ht="14.25" customHeight="1" x14ac:dyDescent="0.2">
      <c r="A7" s="19">
        <v>3</v>
      </c>
      <c r="B7" s="143" t="s">
        <v>2</v>
      </c>
      <c r="C7" s="144"/>
      <c r="D7" s="14">
        <f t="shared" si="0"/>
        <v>118608</v>
      </c>
      <c r="E7" s="17">
        <f t="shared" si="1"/>
        <v>410927.83448371629</v>
      </c>
      <c r="F7" s="21">
        <f t="shared" si="2"/>
        <v>3.46</v>
      </c>
    </row>
    <row r="8" spans="1:6" ht="14.25" customHeight="1" x14ac:dyDescent="0.2">
      <c r="A8" s="19">
        <v>4</v>
      </c>
      <c r="B8" s="143" t="s">
        <v>3</v>
      </c>
      <c r="C8" s="144"/>
      <c r="D8" s="14">
        <f t="shared" si="0"/>
        <v>57288</v>
      </c>
      <c r="E8" s="17">
        <f t="shared" si="1"/>
        <v>269476.17784553434</v>
      </c>
      <c r="F8" s="21">
        <f t="shared" si="2"/>
        <v>4.7</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45065</v>
      </c>
      <c r="E11" s="17">
        <f t="shared" si="1"/>
        <v>196336.32683300175</v>
      </c>
      <c r="F11" s="21">
        <f t="shared" si="2"/>
        <v>4.3600000000000003</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30734</v>
      </c>
      <c r="E13" s="17">
        <f t="shared" si="1"/>
        <v>106990.34157074173</v>
      </c>
      <c r="F13" s="21">
        <f t="shared" si="2"/>
        <v>3.48</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33088</v>
      </c>
      <c r="E15" s="17">
        <f t="shared" si="1"/>
        <v>110915.35771109203</v>
      </c>
      <c r="F15" s="21">
        <f t="shared" si="2"/>
        <v>3.35</v>
      </c>
    </row>
    <row r="16" spans="1:6" ht="14.25" customHeight="1" x14ac:dyDescent="0.2">
      <c r="A16" s="19">
        <v>12</v>
      </c>
      <c r="B16" s="143" t="s">
        <v>11</v>
      </c>
      <c r="C16" s="144"/>
      <c r="D16" s="14">
        <f t="shared" si="0"/>
        <v>199584</v>
      </c>
      <c r="E16" s="17">
        <f t="shared" si="1"/>
        <v>734966.20023605507</v>
      </c>
      <c r="F16" s="21">
        <f t="shared" si="2"/>
        <v>3.68</v>
      </c>
    </row>
    <row r="17" spans="1:6" x14ac:dyDescent="0.2">
      <c r="A17" s="19">
        <v>13</v>
      </c>
      <c r="B17" s="143" t="s">
        <v>12</v>
      </c>
      <c r="C17" s="144"/>
      <c r="D17" s="14">
        <f t="shared" si="0"/>
        <v>8064</v>
      </c>
      <c r="E17" s="17">
        <f t="shared" si="1"/>
        <v>48639.957585295153</v>
      </c>
      <c r="F17" s="21">
        <f t="shared" si="2"/>
        <v>6.03</v>
      </c>
    </row>
    <row r="18" spans="1:6" ht="14.25" customHeight="1" x14ac:dyDescent="0.2">
      <c r="A18" s="19">
        <v>14</v>
      </c>
      <c r="B18" s="143" t="s">
        <v>464</v>
      </c>
      <c r="C18" s="144"/>
      <c r="D18" s="14">
        <f t="shared" si="0"/>
        <v>22160</v>
      </c>
      <c r="E18" s="17">
        <f t="shared" si="1"/>
        <v>119767.23860244799</v>
      </c>
      <c r="F18" s="21">
        <f t="shared" si="2"/>
        <v>5.4</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37328</v>
      </c>
      <c r="E20" s="17">
        <f t="shared" si="1"/>
        <v>165403.46834621747</v>
      </c>
      <c r="F20" s="21">
        <f t="shared" si="2"/>
        <v>4.43</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107712</v>
      </c>
      <c r="E22" s="17">
        <f t="shared" si="1"/>
        <v>437488.50488929957</v>
      </c>
      <c r="F22" s="21">
        <f t="shared" si="2"/>
        <v>4.0599999999999996</v>
      </c>
    </row>
    <row r="23" spans="1:6" x14ac:dyDescent="0.2">
      <c r="A23" s="19">
        <v>19</v>
      </c>
      <c r="B23" s="143" t="s">
        <v>17</v>
      </c>
      <c r="C23" s="144"/>
      <c r="D23" s="14">
        <f t="shared" si="0"/>
        <v>122736</v>
      </c>
      <c r="E23" s="17">
        <f t="shared" si="1"/>
        <v>454399.68181904592</v>
      </c>
      <c r="F23" s="21">
        <f t="shared" si="2"/>
        <v>3.7</v>
      </c>
    </row>
    <row r="24" spans="1:6" x14ac:dyDescent="0.2">
      <c r="A24" s="19">
        <v>20</v>
      </c>
      <c r="B24" s="143" t="s">
        <v>18</v>
      </c>
      <c r="C24" s="144"/>
      <c r="D24" s="14">
        <f t="shared" si="0"/>
        <v>25440</v>
      </c>
      <c r="E24" s="17">
        <f t="shared" si="1"/>
        <v>133106.66381075257</v>
      </c>
      <c r="F24" s="21">
        <f t="shared" si="2"/>
        <v>5.23</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27408</v>
      </c>
      <c r="E26" s="17">
        <f t="shared" si="1"/>
        <v>166929.71893573532</v>
      </c>
      <c r="F26" s="21">
        <f t="shared" si="2"/>
        <v>6.09</v>
      </c>
    </row>
    <row r="27" spans="1:6" x14ac:dyDescent="0.2">
      <c r="A27" s="19">
        <v>23</v>
      </c>
      <c r="B27" s="143" t="s">
        <v>20</v>
      </c>
      <c r="C27" s="144"/>
      <c r="D27" s="14">
        <f t="shared" si="0"/>
        <v>57216</v>
      </c>
      <c r="E27" s="17">
        <f t="shared" si="1"/>
        <v>400438.65143852273</v>
      </c>
      <c r="F27" s="21">
        <f t="shared" si="2"/>
        <v>7</v>
      </c>
    </row>
    <row r="28" spans="1:6" x14ac:dyDescent="0.2">
      <c r="A28" s="19">
        <v>24</v>
      </c>
      <c r="B28" s="143" t="s">
        <v>21</v>
      </c>
      <c r="C28" s="144"/>
      <c r="D28" s="14">
        <f t="shared" si="0"/>
        <v>25952</v>
      </c>
      <c r="E28" s="17">
        <f t="shared" si="1"/>
        <v>124920.29603839037</v>
      </c>
      <c r="F28" s="21">
        <f t="shared" si="2"/>
        <v>4.8099999999999996</v>
      </c>
    </row>
    <row r="29" spans="1:6" x14ac:dyDescent="0.2">
      <c r="A29" s="19">
        <v>25</v>
      </c>
      <c r="B29" s="143" t="s">
        <v>22</v>
      </c>
      <c r="C29" s="144"/>
      <c r="D29" s="14">
        <f t="shared" si="0"/>
        <v>235488</v>
      </c>
      <c r="E29" s="17">
        <f t="shared" si="1"/>
        <v>782259.03519915498</v>
      </c>
      <c r="F29" s="21">
        <f t="shared" si="2"/>
        <v>3.32</v>
      </c>
    </row>
    <row r="30" spans="1:6" x14ac:dyDescent="0.2">
      <c r="A30" s="19">
        <v>26</v>
      </c>
      <c r="B30" s="143" t="s">
        <v>23</v>
      </c>
      <c r="C30" s="144"/>
      <c r="D30" s="14">
        <f t="shared" si="0"/>
        <v>45344</v>
      </c>
      <c r="E30" s="17">
        <f t="shared" si="1"/>
        <v>277539.74166017154</v>
      </c>
      <c r="F30" s="21">
        <f t="shared" si="2"/>
        <v>6.12</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1209887</v>
      </c>
      <c r="E33" s="31">
        <f>SUM(E5:E32)</f>
        <v>5009954</v>
      </c>
      <c r="F33" s="32">
        <f t="shared" si="2"/>
        <v>4.1399999999999997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IF(F3="1",SUMIF(Data!A:A,'9'!$A$2,Data!CU:CU),0)</f>
        <v>10032</v>
      </c>
      <c r="E36" s="15">
        <f>IF(F3="1",SUMIF(Data!$A:$A,$A$2,Data!IO:IO),0)</f>
        <v>5707</v>
      </c>
      <c r="F36" s="20">
        <f t="shared" ref="F36:F64" si="3">IF(OR(D36=0,E36=0),"",ROUND(E36/D36,2))</f>
        <v>0.56999999999999995</v>
      </c>
    </row>
    <row r="37" spans="1:6" x14ac:dyDescent="0.2">
      <c r="A37" s="19">
        <v>2</v>
      </c>
      <c r="B37" s="143" t="s">
        <v>1</v>
      </c>
      <c r="C37" s="144"/>
      <c r="D37" s="14">
        <f>IF(F3="1",SUMIF(Data!A:A,'9'!$A$2,Data!CV:CV),0)</f>
        <v>640</v>
      </c>
      <c r="E37" s="17">
        <f>IF(F3="1",SUMIF(Data!$A:$A,$A$2,Data!IP:IP),0)</f>
        <v>0</v>
      </c>
      <c r="F37" s="21" t="str">
        <f t="shared" si="3"/>
        <v/>
      </c>
    </row>
    <row r="38" spans="1:6" ht="14.25" customHeight="1" x14ac:dyDescent="0.2">
      <c r="A38" s="19">
        <v>3</v>
      </c>
      <c r="B38" s="143" t="s">
        <v>2</v>
      </c>
      <c r="C38" s="144"/>
      <c r="D38" s="14">
        <f>IF(F3="1",SUMIF(Data!A:A,'9'!$A$2,Data!CW:CW),0)</f>
        <v>118608</v>
      </c>
      <c r="E38" s="17">
        <f>IF($F$3="1",SUMIF(Data!$A:$A,$A$2,Data!IQ:IQ),0)</f>
        <v>25925</v>
      </c>
      <c r="F38" s="21">
        <f t="shared" si="3"/>
        <v>0.22</v>
      </c>
    </row>
    <row r="39" spans="1:6" ht="14.25" customHeight="1" x14ac:dyDescent="0.2">
      <c r="A39" s="19">
        <v>4</v>
      </c>
      <c r="B39" s="143" t="s">
        <v>3</v>
      </c>
      <c r="C39" s="144"/>
      <c r="D39" s="14">
        <f>IF(F3="1",SUMIF(Data!A:A,'9'!$A$2,Data!CX:CX),0)</f>
        <v>57288</v>
      </c>
      <c r="E39" s="17">
        <f>IF($F$3="1",SUMIF(Data!$A:$A,$A$2,Data!IR:IR),0)</f>
        <v>11821</v>
      </c>
      <c r="F39" s="21">
        <f t="shared" si="3"/>
        <v>0.21</v>
      </c>
    </row>
    <row r="40" spans="1:6" x14ac:dyDescent="0.2">
      <c r="A40" s="19">
        <v>5</v>
      </c>
      <c r="B40" s="143" t="s">
        <v>4</v>
      </c>
      <c r="C40" s="144"/>
      <c r="D40" s="14">
        <f>IF(F3="1",SUMIF(Data!A:A,'9'!$A$2,Data!CY:CY),0)</f>
        <v>0</v>
      </c>
      <c r="E40" s="17">
        <f>IF($F$3="1",SUMIF(Data!$A:$A,$A$2,Data!IS:IS),0)</f>
        <v>0</v>
      </c>
      <c r="F40" s="21" t="str">
        <f t="shared" si="3"/>
        <v/>
      </c>
    </row>
    <row r="41" spans="1:6" x14ac:dyDescent="0.2">
      <c r="A41" s="19">
        <v>6</v>
      </c>
      <c r="B41" s="143" t="s">
        <v>5</v>
      </c>
      <c r="C41" s="144"/>
      <c r="D41" s="14">
        <f>IF(F3="1",SUMIF(Data!A:A,'9'!$A$2,Data!CZ:CZ),0)</f>
        <v>0</v>
      </c>
      <c r="E41" s="17">
        <f>IF($F$3="1",SUMIF(Data!$A:$A,$A$2,Data!IT:IT),0)</f>
        <v>0</v>
      </c>
      <c r="F41" s="21" t="str">
        <f t="shared" si="3"/>
        <v/>
      </c>
    </row>
    <row r="42" spans="1:6" x14ac:dyDescent="0.2">
      <c r="A42" s="19">
        <v>7</v>
      </c>
      <c r="B42" s="143" t="s">
        <v>6</v>
      </c>
      <c r="C42" s="144"/>
      <c r="D42" s="14">
        <f>IF(F3="1",SUMIF(Data!A:A,'9'!$A$2,Data!DA:DA),0)</f>
        <v>45065</v>
      </c>
      <c r="E42" s="17">
        <f>IF($F$3="1",SUMIF(Data!$A:$A,$A$2,Data!IU:IU),0)</f>
        <v>7934</v>
      </c>
      <c r="F42" s="21">
        <f t="shared" si="3"/>
        <v>0.18</v>
      </c>
    </row>
    <row r="43" spans="1:6" x14ac:dyDescent="0.2">
      <c r="A43" s="19">
        <v>8</v>
      </c>
      <c r="B43" s="143" t="s">
        <v>7</v>
      </c>
      <c r="C43" s="144"/>
      <c r="D43" s="14">
        <f>IF(F3="1",SUMIF(Data!A:A,'9'!$A$2,Data!DB:DB),0)</f>
        <v>0</v>
      </c>
      <c r="E43" s="17">
        <f>IF($F$3="1",SUMIF(Data!$A:$A,$A$2,Data!IV:IV),0)</f>
        <v>0</v>
      </c>
      <c r="F43" s="21" t="str">
        <f t="shared" si="3"/>
        <v/>
      </c>
    </row>
    <row r="44" spans="1:6" x14ac:dyDescent="0.2">
      <c r="A44" s="19">
        <v>9</v>
      </c>
      <c r="B44" s="143" t="s">
        <v>8</v>
      </c>
      <c r="C44" s="144"/>
      <c r="D44" s="14">
        <f>IF(F3="1",SUMIF(Data!A:A,'9'!$A$2,Data!DC:DC),0)</f>
        <v>30734</v>
      </c>
      <c r="E44" s="17">
        <f>IF($F$3="1",SUMIF(Data!$A:$A,$A$2,Data!IW:IW),0)</f>
        <v>18557</v>
      </c>
      <c r="F44" s="21">
        <f t="shared" si="3"/>
        <v>0.6</v>
      </c>
    </row>
    <row r="45" spans="1:6" x14ac:dyDescent="0.2">
      <c r="A45" s="19">
        <v>10</v>
      </c>
      <c r="B45" s="143" t="s">
        <v>9</v>
      </c>
      <c r="C45" s="144"/>
      <c r="D45" s="14">
        <f>IF(F3="1",SUMIF(Data!A:A,'9'!$A$2,Data!DD:DD),0)</f>
        <v>0</v>
      </c>
      <c r="E45" s="17">
        <f>IF($F$3="1",SUMIF(Data!$A:$A,$A$2,Data!IX:IX),0)</f>
        <v>0</v>
      </c>
      <c r="F45" s="21" t="str">
        <f t="shared" si="3"/>
        <v/>
      </c>
    </row>
    <row r="46" spans="1:6" x14ac:dyDescent="0.2">
      <c r="A46" s="19">
        <v>11</v>
      </c>
      <c r="B46" s="143" t="s">
        <v>10</v>
      </c>
      <c r="C46" s="144"/>
      <c r="D46" s="14">
        <f>IF(F3="1",SUMIF(Data!A:A,'9'!$A$2,Data!DE:DE),0)</f>
        <v>33088</v>
      </c>
      <c r="E46" s="17">
        <f>IF($F$3="1",SUMIF(Data!$A:$A,$A$2,Data!IY:IY),0)</f>
        <v>4671</v>
      </c>
      <c r="F46" s="21">
        <f t="shared" si="3"/>
        <v>0.14000000000000001</v>
      </c>
    </row>
    <row r="47" spans="1:6" ht="14.25" customHeight="1" x14ac:dyDescent="0.2">
      <c r="A47" s="19">
        <v>12</v>
      </c>
      <c r="B47" s="143" t="s">
        <v>11</v>
      </c>
      <c r="C47" s="144"/>
      <c r="D47" s="14">
        <f>IF(F3="1",SUMIF(Data!A:A,'9'!$A$2,Data!DF:DF),0)</f>
        <v>199584</v>
      </c>
      <c r="E47" s="17">
        <f>IF($F$3="1",SUMIF(Data!$A:$A,$A$2,Data!IZ:IZ),0)</f>
        <v>13455</v>
      </c>
      <c r="F47" s="21">
        <f t="shared" si="3"/>
        <v>7.0000000000000007E-2</v>
      </c>
    </row>
    <row r="48" spans="1:6" x14ac:dyDescent="0.2">
      <c r="A48" s="19">
        <v>13</v>
      </c>
      <c r="B48" s="143" t="s">
        <v>12</v>
      </c>
      <c r="C48" s="144"/>
      <c r="D48" s="14">
        <f>IF(F3="1",SUMIF(Data!A:A,'9'!$A$2,Data!DG:DG),0)</f>
        <v>8064</v>
      </c>
      <c r="E48" s="17">
        <f>IF($F$3="1",SUMIF(Data!$A:$A,$A$2,Data!JA:JA),0)</f>
        <v>0</v>
      </c>
      <c r="F48" s="21" t="str">
        <f t="shared" si="3"/>
        <v/>
      </c>
    </row>
    <row r="49" spans="1:6" ht="14.25" customHeight="1" x14ac:dyDescent="0.2">
      <c r="A49" s="19">
        <v>14</v>
      </c>
      <c r="B49" s="143" t="s">
        <v>464</v>
      </c>
      <c r="C49" s="144"/>
      <c r="D49" s="14">
        <f>IF(F3="1",SUMIF(Data!A:A,'9'!$A$2,Data!DH:DH),0)</f>
        <v>22160</v>
      </c>
      <c r="E49" s="17">
        <f>IF($F$3="1",SUMIF(Data!$A:$A,$A$2,Data!JB:JB),0)</f>
        <v>22173</v>
      </c>
      <c r="F49" s="21">
        <f t="shared" si="3"/>
        <v>1</v>
      </c>
    </row>
    <row r="50" spans="1:6" x14ac:dyDescent="0.2">
      <c r="A50" s="19">
        <v>15</v>
      </c>
      <c r="B50" s="143" t="s">
        <v>13</v>
      </c>
      <c r="C50" s="144"/>
      <c r="D50" s="14">
        <f>IF(F3="1",SUMIF(Data!A:A,'9'!$A$2,Data!DI:DI),0)</f>
        <v>0</v>
      </c>
      <c r="E50" s="17">
        <f>IF($F$3="1",SUMIF(Data!$A:$A,$A$2,Data!JC:JC),0)</f>
        <v>0</v>
      </c>
      <c r="F50" s="21" t="str">
        <f t="shared" si="3"/>
        <v/>
      </c>
    </row>
    <row r="51" spans="1:6" x14ac:dyDescent="0.2">
      <c r="A51" s="19">
        <v>16</v>
      </c>
      <c r="B51" s="143" t="s">
        <v>14</v>
      </c>
      <c r="C51" s="144"/>
      <c r="D51" s="14">
        <f>IF(F3="1",SUMIF(Data!A:A,'9'!$A$2,Data!DJ:DJ),0)</f>
        <v>37328</v>
      </c>
      <c r="E51" s="17">
        <f>IF($F$3="1",SUMIF(Data!$A:$A,$A$2,Data!JD:JD),0)</f>
        <v>3962</v>
      </c>
      <c r="F51" s="21">
        <f t="shared" si="3"/>
        <v>0.11</v>
      </c>
    </row>
    <row r="52" spans="1:6" x14ac:dyDescent="0.2">
      <c r="A52" s="19">
        <v>17</v>
      </c>
      <c r="B52" s="143" t="s">
        <v>15</v>
      </c>
      <c r="C52" s="144"/>
      <c r="D52" s="14">
        <f>IF(F3="1",SUMIF(Data!A:A,'9'!$A$2,Data!DK:DK),0)</f>
        <v>0</v>
      </c>
      <c r="E52" s="17">
        <f>IF($F$3="1",SUMIF(Data!$A:$A,$A$2,Data!JE:JE),0)</f>
        <v>0</v>
      </c>
      <c r="F52" s="21" t="str">
        <f t="shared" si="3"/>
        <v/>
      </c>
    </row>
    <row r="53" spans="1:6" x14ac:dyDescent="0.2">
      <c r="A53" s="19">
        <v>18</v>
      </c>
      <c r="B53" s="143" t="s">
        <v>16</v>
      </c>
      <c r="C53" s="144"/>
      <c r="D53" s="14">
        <f>IF(F3="1",SUMIF(Data!A:A,'9'!$A$2,Data!DL:DL),0)</f>
        <v>107712</v>
      </c>
      <c r="E53" s="17">
        <f>IF($F$3="1",SUMIF(Data!$A:$A,$A$2,Data!JF:JF),0)</f>
        <v>8196</v>
      </c>
      <c r="F53" s="21">
        <f t="shared" si="3"/>
        <v>0.08</v>
      </c>
    </row>
    <row r="54" spans="1:6" x14ac:dyDescent="0.2">
      <c r="A54" s="19">
        <v>19</v>
      </c>
      <c r="B54" s="143" t="s">
        <v>17</v>
      </c>
      <c r="C54" s="144"/>
      <c r="D54" s="14">
        <f>IF(F3="1",SUMIF(Data!A:A,'9'!$A$2,Data!DM:DM),0)</f>
        <v>122736</v>
      </c>
      <c r="E54" s="17">
        <f>IF($F$3="1",SUMIF(Data!$A:$A,$A$2,Data!JG:JG),0)</f>
        <v>5120</v>
      </c>
      <c r="F54" s="21">
        <f t="shared" si="3"/>
        <v>0.04</v>
      </c>
    </row>
    <row r="55" spans="1:6" x14ac:dyDescent="0.2">
      <c r="A55" s="19">
        <v>20</v>
      </c>
      <c r="B55" s="143" t="s">
        <v>18</v>
      </c>
      <c r="C55" s="144"/>
      <c r="D55" s="14">
        <f>IF(F3="1",SUMIF(Data!A:A,'9'!$A$2,Data!DN:DN),0)</f>
        <v>25440</v>
      </c>
      <c r="E55" s="17">
        <f>IF($F$3="1",SUMIF(Data!$A:$A,$A$2,Data!JH:JH),0)</f>
        <v>10206</v>
      </c>
      <c r="F55" s="21">
        <f t="shared" si="3"/>
        <v>0.4</v>
      </c>
    </row>
    <row r="56" spans="1:6" ht="14.25" customHeight="1" x14ac:dyDescent="0.2">
      <c r="A56" s="19">
        <v>21</v>
      </c>
      <c r="B56" s="143" t="s">
        <v>461</v>
      </c>
      <c r="C56" s="144"/>
      <c r="D56" s="14">
        <f>IF(F3="1",SUMIF(Data!A:A,'9'!$A$2,Data!DO:DO),0)</f>
        <v>0</v>
      </c>
      <c r="E56" s="17">
        <f>IF($F$3="1",SUMIF(Data!$A:$A,$A$2,Data!JI:JI),0)</f>
        <v>0</v>
      </c>
      <c r="F56" s="21" t="str">
        <f t="shared" si="3"/>
        <v/>
      </c>
    </row>
    <row r="57" spans="1:6" x14ac:dyDescent="0.2">
      <c r="A57" s="19">
        <v>22</v>
      </c>
      <c r="B57" s="143" t="s">
        <v>19</v>
      </c>
      <c r="C57" s="144"/>
      <c r="D57" s="14">
        <f>IF(F3="1",SUMIF(Data!A:A,'9'!$A$2,Data!DP:DP),0)</f>
        <v>27408</v>
      </c>
      <c r="E57" s="17">
        <f>IF($F$3="1",SUMIF(Data!$A:$A,$A$2,Data!JJ:JJ),0)</f>
        <v>10018</v>
      </c>
      <c r="F57" s="21">
        <f t="shared" si="3"/>
        <v>0.37</v>
      </c>
    </row>
    <row r="58" spans="1:6" x14ac:dyDescent="0.2">
      <c r="A58" s="19">
        <v>23</v>
      </c>
      <c r="B58" s="143" t="s">
        <v>20</v>
      </c>
      <c r="C58" s="144"/>
      <c r="D58" s="14">
        <f>IF(F3="1",SUMIF(Data!A:A,'9'!$A$2,Data!DQ:DQ),0)</f>
        <v>57216</v>
      </c>
      <c r="E58" s="17">
        <f>IF($F$3="1",SUMIF(Data!$A:$A,$A$2,Data!JK:JK),0)</f>
        <v>15088</v>
      </c>
      <c r="F58" s="21">
        <f t="shared" si="3"/>
        <v>0.26</v>
      </c>
    </row>
    <row r="59" spans="1:6" x14ac:dyDescent="0.2">
      <c r="A59" s="19">
        <v>24</v>
      </c>
      <c r="B59" s="143" t="s">
        <v>21</v>
      </c>
      <c r="C59" s="144"/>
      <c r="D59" s="14">
        <f>IF(F3="1",SUMIF(Data!A:A,'9'!$A$2,Data!DR:DR),0)</f>
        <v>25952</v>
      </c>
      <c r="E59" s="17">
        <f>IF($F$3="1",SUMIF(Data!$A:$A,$A$2,Data!JL:JL),0)</f>
        <v>1994</v>
      </c>
      <c r="F59" s="21">
        <f t="shared" si="3"/>
        <v>0.08</v>
      </c>
    </row>
    <row r="60" spans="1:6" x14ac:dyDescent="0.2">
      <c r="A60" s="19">
        <v>25</v>
      </c>
      <c r="B60" s="143" t="s">
        <v>22</v>
      </c>
      <c r="C60" s="144"/>
      <c r="D60" s="14">
        <f>IF(F3="1",SUMIF(Data!A:A,'9'!$A$2,Data!DS:DS),0)</f>
        <v>235488</v>
      </c>
      <c r="E60" s="17">
        <f>IF($F$3="1",SUMIF(Data!$A:$A,$A$2,Data!JM:JM),0)</f>
        <v>16304</v>
      </c>
      <c r="F60" s="21">
        <f t="shared" si="3"/>
        <v>7.0000000000000007E-2</v>
      </c>
    </row>
    <row r="61" spans="1:6" x14ac:dyDescent="0.2">
      <c r="A61" s="19">
        <v>26</v>
      </c>
      <c r="B61" s="143" t="s">
        <v>23</v>
      </c>
      <c r="C61" s="144"/>
      <c r="D61" s="14">
        <f>IF(F3="1",SUMIF(Data!A:A,'9'!$A$2,Data!DT:DT),0)</f>
        <v>45344</v>
      </c>
      <c r="E61" s="17">
        <f>IF($F$3="1",SUMIF(Data!$A:$A,$A$2,Data!JN:JN),0)</f>
        <v>26239</v>
      </c>
      <c r="F61" s="21">
        <f t="shared" si="3"/>
        <v>0.57999999999999996</v>
      </c>
    </row>
    <row r="62" spans="1:6" x14ac:dyDescent="0.2">
      <c r="A62" s="19">
        <v>28</v>
      </c>
      <c r="B62" s="143" t="s">
        <v>24</v>
      </c>
      <c r="C62" s="144"/>
      <c r="D62" s="14">
        <f>IF(F3="1",SUMIF(Data!A:A,'9'!$A$2,Data!DV:DV),0)</f>
        <v>0</v>
      </c>
      <c r="E62" s="17">
        <f>IF($F$3="1",SUMIF(Data!$A:$A,$A$2,Data!JP:JP),0)</f>
        <v>0</v>
      </c>
      <c r="F62" s="21" t="str">
        <f t="shared" si="3"/>
        <v/>
      </c>
    </row>
    <row r="63" spans="1:6" ht="15.75" customHeight="1" thickBot="1" x14ac:dyDescent="0.25">
      <c r="A63" s="22">
        <v>29</v>
      </c>
      <c r="B63" s="147" t="s">
        <v>25</v>
      </c>
      <c r="C63" s="148"/>
      <c r="D63" s="23">
        <f>IF(F3="1",SUMIF(Data!A:A,'9'!$A$2,Data!DW:DW),0)</f>
        <v>0</v>
      </c>
      <c r="E63" s="24">
        <f>IF($F$3="1",SUMIF(Data!$A:$A,$A$2,Data!JQ:JQ),0)</f>
        <v>0</v>
      </c>
      <c r="F63" s="25" t="str">
        <f t="shared" si="3"/>
        <v/>
      </c>
    </row>
    <row r="64" spans="1:6" x14ac:dyDescent="0.2">
      <c r="B64" s="30" t="s">
        <v>35</v>
      </c>
      <c r="C64" s="30"/>
      <c r="D64" s="59">
        <f>SUM(D36:D63)</f>
        <v>1209887</v>
      </c>
      <c r="E64" s="31">
        <f>SUM(E36:E63)</f>
        <v>207370</v>
      </c>
      <c r="F64" s="32">
        <f t="shared" si="3"/>
        <v>0.17</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10032</v>
      </c>
      <c r="E67" s="15">
        <f>IF(F3="1",SUMIF(Data!A:A,'9'!$A$2,Data!DY:DY),0)</f>
        <v>44101</v>
      </c>
      <c r="F67" s="20">
        <f t="shared" ref="F67:F95" si="4">IF(OR(D67=0,E67=0),"",ROUND(E67/D67,2))</f>
        <v>4.4000000000000004</v>
      </c>
    </row>
    <row r="68" spans="1:6" x14ac:dyDescent="0.2">
      <c r="A68" s="19">
        <v>2</v>
      </c>
      <c r="B68" s="143" t="s">
        <v>1</v>
      </c>
      <c r="C68" s="144"/>
      <c r="D68" s="14">
        <f t="shared" ref="D68:D94" si="5">D37</f>
        <v>640</v>
      </c>
      <c r="E68" s="17">
        <f>IF(F3="1",SUMIF(Data!A:A,'9'!$A$2,Data!DZ:DZ),0)</f>
        <v>1035</v>
      </c>
      <c r="F68" s="21">
        <f t="shared" si="4"/>
        <v>1.62</v>
      </c>
    </row>
    <row r="69" spans="1:6" ht="14.25" customHeight="1" x14ac:dyDescent="0.2">
      <c r="A69" s="19">
        <v>3</v>
      </c>
      <c r="B69" s="143" t="s">
        <v>2</v>
      </c>
      <c r="C69" s="144"/>
      <c r="D69" s="14">
        <f t="shared" si="5"/>
        <v>118608</v>
      </c>
      <c r="E69" s="17">
        <f>IF(F3="1",SUMIF(Data!A:A,'9'!$A$2,Data!EA:EA),0)</f>
        <v>178219</v>
      </c>
      <c r="F69" s="21">
        <f t="shared" si="4"/>
        <v>1.5</v>
      </c>
    </row>
    <row r="70" spans="1:6" ht="14.25" customHeight="1" x14ac:dyDescent="0.2">
      <c r="A70" s="19">
        <v>4</v>
      </c>
      <c r="B70" s="143" t="s">
        <v>3</v>
      </c>
      <c r="C70" s="144"/>
      <c r="D70" s="14">
        <f t="shared" si="5"/>
        <v>57288</v>
      </c>
      <c r="E70" s="17">
        <f>IF(F3="1",SUMIF(Data!A:A,'9'!$A$2,Data!EB:EB),0)</f>
        <v>157778</v>
      </c>
      <c r="F70" s="21">
        <f t="shared" si="4"/>
        <v>2.75</v>
      </c>
    </row>
    <row r="71" spans="1:6" x14ac:dyDescent="0.2">
      <c r="A71" s="19">
        <v>5</v>
      </c>
      <c r="B71" s="143" t="s">
        <v>4</v>
      </c>
      <c r="C71" s="144"/>
      <c r="D71" s="14">
        <f t="shared" si="5"/>
        <v>0</v>
      </c>
      <c r="E71" s="17">
        <f>IF(F3="1",SUMIF(Data!A:A,'9'!$A$2,Data!EC:EC),0)</f>
        <v>0</v>
      </c>
      <c r="F71" s="21" t="str">
        <f t="shared" si="4"/>
        <v/>
      </c>
    </row>
    <row r="72" spans="1:6" x14ac:dyDescent="0.2">
      <c r="A72" s="19">
        <v>6</v>
      </c>
      <c r="B72" s="143" t="s">
        <v>5</v>
      </c>
      <c r="C72" s="144"/>
      <c r="D72" s="14">
        <f t="shared" si="5"/>
        <v>0</v>
      </c>
      <c r="E72" s="17">
        <f>IF(F3="1",SUMIF(Data!A:A,'9'!$A$2,Data!ED:ED),0)</f>
        <v>0</v>
      </c>
      <c r="F72" s="21" t="str">
        <f t="shared" si="4"/>
        <v/>
      </c>
    </row>
    <row r="73" spans="1:6" x14ac:dyDescent="0.2">
      <c r="A73" s="19">
        <v>7</v>
      </c>
      <c r="B73" s="143" t="s">
        <v>6</v>
      </c>
      <c r="C73" s="144"/>
      <c r="D73" s="14">
        <f t="shared" si="5"/>
        <v>45065</v>
      </c>
      <c r="E73" s="17">
        <f>IF(F3="1",SUMIF(Data!A:A,'9'!$A$2,Data!EE:EE),0)</f>
        <v>109835</v>
      </c>
      <c r="F73" s="21">
        <f t="shared" si="4"/>
        <v>2.44</v>
      </c>
    </row>
    <row r="74" spans="1:6" x14ac:dyDescent="0.2">
      <c r="A74" s="19">
        <v>8</v>
      </c>
      <c r="B74" s="143" t="s">
        <v>7</v>
      </c>
      <c r="C74" s="144"/>
      <c r="D74" s="14">
        <f t="shared" si="5"/>
        <v>0</v>
      </c>
      <c r="E74" s="17">
        <f>IF(F3="1",SUMIF(Data!A:A,'9'!$A$2,Data!EF:EF),0)</f>
        <v>0</v>
      </c>
      <c r="F74" s="21" t="str">
        <f t="shared" si="4"/>
        <v/>
      </c>
    </row>
    <row r="75" spans="1:6" x14ac:dyDescent="0.2">
      <c r="A75" s="19">
        <v>9</v>
      </c>
      <c r="B75" s="143" t="s">
        <v>8</v>
      </c>
      <c r="C75" s="144"/>
      <c r="D75" s="14">
        <f t="shared" si="5"/>
        <v>30734</v>
      </c>
      <c r="E75" s="17">
        <f>IF(F3="1",SUMIF(Data!A:A,'9'!$A$2,Data!EG:EG),0)</f>
        <v>34851</v>
      </c>
      <c r="F75" s="21">
        <f t="shared" si="4"/>
        <v>1.1299999999999999</v>
      </c>
    </row>
    <row r="76" spans="1:6" x14ac:dyDescent="0.2">
      <c r="A76" s="19">
        <v>10</v>
      </c>
      <c r="B76" s="143" t="s">
        <v>9</v>
      </c>
      <c r="C76" s="144"/>
      <c r="D76" s="14">
        <f t="shared" si="5"/>
        <v>0</v>
      </c>
      <c r="E76" s="17">
        <f>IF(F3="1",SUMIF(Data!A:A,'9'!$A$2,Data!EH:EH),0)</f>
        <v>0</v>
      </c>
      <c r="F76" s="21" t="str">
        <f t="shared" si="4"/>
        <v/>
      </c>
    </row>
    <row r="77" spans="1:6" x14ac:dyDescent="0.2">
      <c r="A77" s="19">
        <v>11</v>
      </c>
      <c r="B77" s="143" t="s">
        <v>10</v>
      </c>
      <c r="C77" s="144"/>
      <c r="D77" s="14">
        <f t="shared" si="5"/>
        <v>33088</v>
      </c>
      <c r="E77" s="17">
        <f>IF(F3="1",SUMIF(Data!A:A,'9'!$A$2,Data!EI:EI),0)</f>
        <v>48558</v>
      </c>
      <c r="F77" s="21">
        <f t="shared" si="4"/>
        <v>1.47</v>
      </c>
    </row>
    <row r="78" spans="1:6" ht="14.25" customHeight="1" x14ac:dyDescent="0.2">
      <c r="A78" s="19">
        <v>12</v>
      </c>
      <c r="B78" s="143" t="s">
        <v>11</v>
      </c>
      <c r="C78" s="144"/>
      <c r="D78" s="14">
        <f t="shared" si="5"/>
        <v>199584</v>
      </c>
      <c r="E78" s="17">
        <f>IF(F3="1",SUMIF(Data!A:A,'9'!$A$2,Data!EJ:EJ),0)</f>
        <v>373552</v>
      </c>
      <c r="F78" s="21">
        <f t="shared" si="4"/>
        <v>1.87</v>
      </c>
    </row>
    <row r="79" spans="1:6" x14ac:dyDescent="0.2">
      <c r="A79" s="19">
        <v>13</v>
      </c>
      <c r="B79" s="143" t="s">
        <v>12</v>
      </c>
      <c r="C79" s="144"/>
      <c r="D79" s="14">
        <f t="shared" si="5"/>
        <v>8064</v>
      </c>
      <c r="E79" s="17">
        <f>IF(F3="1",SUMIF(Data!A:A,'9'!$A$2,Data!EK:EK),0)</f>
        <v>34581</v>
      </c>
      <c r="F79" s="21">
        <f t="shared" si="4"/>
        <v>4.29</v>
      </c>
    </row>
    <row r="80" spans="1:6" ht="14.25" customHeight="1" x14ac:dyDescent="0.2">
      <c r="A80" s="19">
        <v>14</v>
      </c>
      <c r="B80" s="143" t="s">
        <v>464</v>
      </c>
      <c r="C80" s="144"/>
      <c r="D80" s="14">
        <f t="shared" si="5"/>
        <v>22160</v>
      </c>
      <c r="E80" s="17">
        <f>IF(F3="1",SUMIF(Data!A:A,'9'!$A$2,Data!EL:EL),0)</f>
        <v>58960</v>
      </c>
      <c r="F80" s="21">
        <f t="shared" si="4"/>
        <v>2.66</v>
      </c>
    </row>
    <row r="81" spans="1:6" x14ac:dyDescent="0.2">
      <c r="A81" s="19">
        <v>15</v>
      </c>
      <c r="B81" s="143" t="s">
        <v>13</v>
      </c>
      <c r="C81" s="144"/>
      <c r="D81" s="14">
        <f t="shared" si="5"/>
        <v>0</v>
      </c>
      <c r="E81" s="17">
        <f>IF(F3="1",SUMIF(Data!A:A,'9'!$A$2,Data!EM:EM),0)</f>
        <v>0</v>
      </c>
      <c r="F81" s="21" t="str">
        <f t="shared" si="4"/>
        <v/>
      </c>
    </row>
    <row r="82" spans="1:6" x14ac:dyDescent="0.2">
      <c r="A82" s="19">
        <v>16</v>
      </c>
      <c r="B82" s="143" t="s">
        <v>14</v>
      </c>
      <c r="C82" s="144"/>
      <c r="D82" s="14">
        <f t="shared" si="5"/>
        <v>37328</v>
      </c>
      <c r="E82" s="17">
        <f>IF(F3="1",SUMIF(Data!A:A,'9'!$A$2,Data!EN:EN),0)</f>
        <v>96363</v>
      </c>
      <c r="F82" s="21">
        <f t="shared" si="4"/>
        <v>2.58</v>
      </c>
    </row>
    <row r="83" spans="1:6" x14ac:dyDescent="0.2">
      <c r="A83" s="19">
        <v>17</v>
      </c>
      <c r="B83" s="143" t="s">
        <v>15</v>
      </c>
      <c r="C83" s="144"/>
      <c r="D83" s="14">
        <f t="shared" si="5"/>
        <v>0</v>
      </c>
      <c r="E83" s="17">
        <f>IF(F3="1",SUMIF(Data!A:A,'9'!$A$2,Data!EO:EO),0)</f>
        <v>0</v>
      </c>
      <c r="F83" s="21" t="str">
        <f t="shared" si="4"/>
        <v/>
      </c>
    </row>
    <row r="84" spans="1:6" x14ac:dyDescent="0.2">
      <c r="A84" s="19">
        <v>18</v>
      </c>
      <c r="B84" s="143" t="s">
        <v>16</v>
      </c>
      <c r="C84" s="144"/>
      <c r="D84" s="14">
        <f t="shared" si="5"/>
        <v>107712</v>
      </c>
      <c r="E84" s="17">
        <f>IF(F3="1",SUMIF(Data!A:A,'9'!$A$2,Data!EP:EP),0)</f>
        <v>241505</v>
      </c>
      <c r="F84" s="21">
        <f t="shared" si="4"/>
        <v>2.2400000000000002</v>
      </c>
    </row>
    <row r="85" spans="1:6" x14ac:dyDescent="0.2">
      <c r="A85" s="19">
        <v>19</v>
      </c>
      <c r="B85" s="143" t="s">
        <v>17</v>
      </c>
      <c r="C85" s="144"/>
      <c r="D85" s="14">
        <f t="shared" si="5"/>
        <v>122736</v>
      </c>
      <c r="E85" s="17">
        <f>IF(F3="1",SUMIF(Data!A:A,'9'!$A$2,Data!EQ:EQ),0)</f>
        <v>235299</v>
      </c>
      <c r="F85" s="21">
        <f t="shared" si="4"/>
        <v>1.92</v>
      </c>
    </row>
    <row r="86" spans="1:6" x14ac:dyDescent="0.2">
      <c r="A86" s="19">
        <v>20</v>
      </c>
      <c r="B86" s="143" t="s">
        <v>18</v>
      </c>
      <c r="C86" s="144"/>
      <c r="D86" s="14">
        <f t="shared" si="5"/>
        <v>25440</v>
      </c>
      <c r="E86" s="17">
        <f>IF(F3="1",SUMIF(Data!A:A,'9'!$A$2,Data!ER:ER),0)</f>
        <v>78548</v>
      </c>
      <c r="F86" s="21">
        <f t="shared" si="4"/>
        <v>3.09</v>
      </c>
    </row>
    <row r="87" spans="1:6" ht="14.25" customHeight="1" x14ac:dyDescent="0.2">
      <c r="A87" s="19">
        <v>21</v>
      </c>
      <c r="B87" s="143" t="s">
        <v>461</v>
      </c>
      <c r="C87" s="144"/>
      <c r="D87" s="14">
        <f t="shared" si="5"/>
        <v>0</v>
      </c>
      <c r="E87" s="17">
        <f>IF(F3="1",SUMIF(Data!A:A,'9'!$A$2,Data!ES:ES),0)</f>
        <v>0</v>
      </c>
      <c r="F87" s="21" t="str">
        <f t="shared" si="4"/>
        <v/>
      </c>
    </row>
    <row r="88" spans="1:6" x14ac:dyDescent="0.2">
      <c r="A88" s="19">
        <v>22</v>
      </c>
      <c r="B88" s="143" t="s">
        <v>19</v>
      </c>
      <c r="C88" s="144"/>
      <c r="D88" s="14">
        <f t="shared" si="5"/>
        <v>27408</v>
      </c>
      <c r="E88" s="17">
        <f>IF(F3="1",SUMIF(Data!A:A,'9'!$A$2,Data!ET:ET),0)</f>
        <v>109128</v>
      </c>
      <c r="F88" s="21">
        <f t="shared" si="4"/>
        <v>3.98</v>
      </c>
    </row>
    <row r="89" spans="1:6" x14ac:dyDescent="0.2">
      <c r="A89" s="19">
        <v>23</v>
      </c>
      <c r="B89" s="143" t="s">
        <v>20</v>
      </c>
      <c r="C89" s="144"/>
      <c r="D89" s="14">
        <f t="shared" si="5"/>
        <v>57216</v>
      </c>
      <c r="E89" s="17">
        <f>IF(F3="1",SUMIF(Data!A:A,'9'!$A$2,Data!EU:EU),0)</f>
        <v>285599</v>
      </c>
      <c r="F89" s="21">
        <f t="shared" si="4"/>
        <v>4.99</v>
      </c>
    </row>
    <row r="90" spans="1:6" x14ac:dyDescent="0.2">
      <c r="A90" s="19">
        <v>24</v>
      </c>
      <c r="B90" s="143" t="s">
        <v>21</v>
      </c>
      <c r="C90" s="144"/>
      <c r="D90" s="14">
        <f t="shared" si="5"/>
        <v>25952</v>
      </c>
      <c r="E90" s="17">
        <f>IF(F3="1",SUMIF(Data!A:A,'9'!$A$2,Data!EV:EV),0)</f>
        <v>77681</v>
      </c>
      <c r="F90" s="21">
        <f t="shared" si="4"/>
        <v>2.99</v>
      </c>
    </row>
    <row r="91" spans="1:6" x14ac:dyDescent="0.2">
      <c r="A91" s="19">
        <v>25</v>
      </c>
      <c r="B91" s="143" t="s">
        <v>22</v>
      </c>
      <c r="C91" s="144"/>
      <c r="D91" s="14">
        <f t="shared" si="5"/>
        <v>235488</v>
      </c>
      <c r="E91" s="17">
        <f>IF(F3="1",SUMIF(Data!A:A,'9'!$A$2,Data!EW:EW),0)</f>
        <v>355400</v>
      </c>
      <c r="F91" s="21">
        <f t="shared" si="4"/>
        <v>1.51</v>
      </c>
    </row>
    <row r="92" spans="1:6" x14ac:dyDescent="0.2">
      <c r="A92" s="19">
        <v>26</v>
      </c>
      <c r="B92" s="143" t="s">
        <v>23</v>
      </c>
      <c r="C92" s="144"/>
      <c r="D92" s="14">
        <f t="shared" si="5"/>
        <v>45344</v>
      </c>
      <c r="E92" s="17">
        <f>IF(F3="1",SUMIF(Data!A:A,'9'!$A$2,Data!EX:EX),0)</f>
        <v>172247</v>
      </c>
      <c r="F92" s="21">
        <f t="shared" si="4"/>
        <v>3.8</v>
      </c>
    </row>
    <row r="93" spans="1:6" x14ac:dyDescent="0.2">
      <c r="A93" s="19">
        <v>28</v>
      </c>
      <c r="B93" s="143" t="s">
        <v>24</v>
      </c>
      <c r="C93" s="144"/>
      <c r="D93" s="14">
        <f t="shared" si="5"/>
        <v>0</v>
      </c>
      <c r="E93" s="17">
        <f>IF(F3="1",SUMIF(Data!A:A,'9'!$A$2,Data!EZ:EZ),0)</f>
        <v>0</v>
      </c>
      <c r="F93" s="21" t="str">
        <f t="shared" si="4"/>
        <v/>
      </c>
    </row>
    <row r="94" spans="1:6" ht="15.75" customHeight="1" thickBot="1" x14ac:dyDescent="0.25">
      <c r="A94" s="22">
        <v>29</v>
      </c>
      <c r="B94" s="147" t="s">
        <v>25</v>
      </c>
      <c r="C94" s="148"/>
      <c r="D94" s="23">
        <f t="shared" si="5"/>
        <v>0</v>
      </c>
      <c r="E94" s="24">
        <f>IF(F3="1",SUMIF(Data!A:A,'9'!$A$2,Data!FA:FA),0)</f>
        <v>0</v>
      </c>
      <c r="F94" s="25" t="str">
        <f t="shared" si="4"/>
        <v/>
      </c>
    </row>
    <row r="95" spans="1:6" x14ac:dyDescent="0.2">
      <c r="B95" s="30" t="s">
        <v>35</v>
      </c>
      <c r="C95" s="30"/>
      <c r="D95" s="59">
        <f>SUM(D67:D94)</f>
        <v>1209887</v>
      </c>
      <c r="E95" s="31">
        <f>SUM(E67:E94)</f>
        <v>2693240</v>
      </c>
      <c r="F95" s="32">
        <f t="shared" si="4"/>
        <v>2.23</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IF(F3="1",SUMIF(Data!A:A,'9'!$A$2,Data!AH:AH),0)</f>
        <v>823128</v>
      </c>
      <c r="F98" s="20">
        <f>IF(OR(E98=0,E98=0),"",ROUND(E98/$D$105,2))</f>
        <v>0.68</v>
      </c>
    </row>
    <row r="99" spans="2:6" x14ac:dyDescent="0.2">
      <c r="B99" s="153" t="s">
        <v>31</v>
      </c>
      <c r="C99" s="154"/>
      <c r="D99" s="36"/>
      <c r="E99" s="17">
        <f>IF(F3="1",SUMIF(Data!A:A,'9'!$A$2,Data!AI:AI),0)</f>
        <v>795815</v>
      </c>
      <c r="F99" s="21">
        <f t="shared" ref="F99:F104" si="6">IF(OR(E99=0,E99=0),"",ROUND(E99/$D$105,2))</f>
        <v>0.66</v>
      </c>
    </row>
    <row r="100" spans="2:6" x14ac:dyDescent="0.2">
      <c r="B100" s="153" t="s">
        <v>1078</v>
      </c>
      <c r="C100" s="154"/>
      <c r="D100" s="36"/>
      <c r="E100" s="17">
        <f>IF(F3="1",SUMIF(Data!A:A,'9'!$A$2,Data!AJ:AJ),0)</f>
        <v>126767</v>
      </c>
      <c r="F100" s="21">
        <f t="shared" si="6"/>
        <v>0.1</v>
      </c>
    </row>
    <row r="101" spans="2:6" x14ac:dyDescent="0.2">
      <c r="B101" s="153" t="s">
        <v>1079</v>
      </c>
      <c r="C101" s="154"/>
      <c r="D101" s="36"/>
      <c r="E101" s="17">
        <f>IF(F3="1",SUMIF(Data!A:A,'9'!$A$2,Data!AK:AK),0)</f>
        <v>193152</v>
      </c>
      <c r="F101" s="21">
        <f t="shared" si="6"/>
        <v>0.16</v>
      </c>
    </row>
    <row r="102" spans="2:6" x14ac:dyDescent="0.2">
      <c r="B102" s="153" t="s">
        <v>1080</v>
      </c>
      <c r="C102" s="154"/>
      <c r="D102" s="36"/>
      <c r="E102" s="17">
        <f>IF(F3="1",SUMIF(Data!A:A,'9'!$A$2,Data!AL:AL),0)</f>
        <v>0</v>
      </c>
      <c r="F102" s="21" t="str">
        <f t="shared" si="6"/>
        <v/>
      </c>
    </row>
    <row r="103" spans="2:6" x14ac:dyDescent="0.2">
      <c r="B103" s="155" t="s">
        <v>34</v>
      </c>
      <c r="C103" s="156"/>
      <c r="D103" s="36"/>
      <c r="E103" s="17">
        <f>IF(F3="1",SUMIF(Data!A:A,'9'!$A$2,Data!AM:AM),0)</f>
        <v>0</v>
      </c>
      <c r="F103" s="21" t="str">
        <f t="shared" si="6"/>
        <v/>
      </c>
    </row>
    <row r="104" spans="2:6" ht="15.75" customHeight="1" thickBot="1" x14ac:dyDescent="0.25">
      <c r="B104" s="149" t="s">
        <v>29</v>
      </c>
      <c r="C104" s="150"/>
      <c r="D104" s="37"/>
      <c r="E104" s="24">
        <f>IF(F3="1",SUMIF(Data!A:A,'9'!$A$2,Data!Q:Q),0)</f>
        <v>170482</v>
      </c>
      <c r="F104" s="25">
        <f t="shared" si="6"/>
        <v>0.14000000000000001</v>
      </c>
    </row>
    <row r="105" spans="2:6" x14ac:dyDescent="0.2">
      <c r="B105" s="30" t="s">
        <v>35</v>
      </c>
      <c r="C105" s="30"/>
      <c r="D105" s="34">
        <f>D95</f>
        <v>1209887</v>
      </c>
      <c r="E105" s="31">
        <f>SUM(E98:E104)</f>
        <v>2109344</v>
      </c>
      <c r="F105" s="32">
        <f>IF($D$105=0,"",ROUND(E105/$D$105,2))</f>
        <v>1.74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2693240</v>
      </c>
      <c r="D109" s="15">
        <f>IF(F3="1",SUMIF(Data!$A:$A,$A$2,Data!HJ:HJ),0)</f>
        <v>0</v>
      </c>
      <c r="E109" s="15">
        <f>IF(F3="1",SUMIF(Data!$A:$A,$A$2,Data!IN:IN),0)</f>
        <v>0</v>
      </c>
      <c r="F109" s="47">
        <f>SUM(C109:E109)</f>
        <v>2693240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170482</v>
      </c>
      <c r="E117" s="52"/>
      <c r="F117" s="49">
        <f>SUM(C117:E117)</f>
        <v>170482</v>
      </c>
    </row>
    <row r="118" spans="1:6" x14ac:dyDescent="0.2">
      <c r="B118" s="13" t="s">
        <v>35</v>
      </c>
      <c r="C118" s="4">
        <f>SUM(C109:C116)</f>
        <v>2693240</v>
      </c>
      <c r="D118" s="4">
        <f>SUM(D109:D116)</f>
        <v>0</v>
      </c>
      <c r="E118" s="4">
        <f>SUM(E109:E116)</f>
        <v>0</v>
      </c>
      <c r="F118" s="4">
        <f>SUM(F109:F116)</f>
        <v>2693240</v>
      </c>
    </row>
    <row r="119" spans="1:6" ht="15" thickBot="1" x14ac:dyDescent="0.25"/>
    <row r="120" spans="1:6" ht="15" thickBot="1" x14ac:dyDescent="0.25">
      <c r="B120" s="55" t="s">
        <v>934</v>
      </c>
      <c r="C120" s="53"/>
      <c r="D120" s="53"/>
      <c r="E120" s="53">
        <f>IF(F3="1",SUMIF(Data!A:A,'9'!$A$2,Data!AM:AM),0)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285156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360</v>
      </c>
      <c r="B2" s="58" t="str">
        <f>VLOOKUP(A2,Data!A:G,7,0)</f>
        <v>Clarendon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35120</v>
      </c>
      <c r="E5" s="15">
        <f>E36+E67+IFERROR($E$105/$D$105*D5,0)</f>
        <v>331938.41810301587</v>
      </c>
      <c r="F5" s="20">
        <f>IF(OR(D5=0,E5=0),"",ROUND(E5/D5,2))</f>
        <v>9.4499999999999993</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47824</v>
      </c>
      <c r="E7" s="17">
        <f t="shared" si="1"/>
        <v>307450.51285189716</v>
      </c>
      <c r="F7" s="21">
        <f t="shared" si="2"/>
        <v>6.43</v>
      </c>
    </row>
    <row r="8" spans="1:6" ht="14.25" customHeight="1" x14ac:dyDescent="0.2">
      <c r="A8" s="19">
        <v>4</v>
      </c>
      <c r="B8" s="143" t="s">
        <v>3</v>
      </c>
      <c r="C8" s="144"/>
      <c r="D8" s="14">
        <f t="shared" si="0"/>
        <v>24645</v>
      </c>
      <c r="E8" s="17">
        <f t="shared" si="1"/>
        <v>219330.11500993237</v>
      </c>
      <c r="F8" s="21">
        <f t="shared" si="2"/>
        <v>8.9</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32197</v>
      </c>
      <c r="E11" s="17">
        <f t="shared" si="1"/>
        <v>228637.79853823467</v>
      </c>
      <c r="F11" s="21">
        <f t="shared" si="2"/>
        <v>7.1</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3504</v>
      </c>
      <c r="E13" s="17">
        <f t="shared" si="1"/>
        <v>14729.217569275839</v>
      </c>
      <c r="F13" s="21">
        <f t="shared" si="2"/>
        <v>4.2</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10464</v>
      </c>
      <c r="E15" s="17">
        <f t="shared" si="1"/>
        <v>88811.30726167305</v>
      </c>
      <c r="F15" s="21">
        <f t="shared" si="2"/>
        <v>8.49</v>
      </c>
    </row>
    <row r="16" spans="1:6" ht="14.25" customHeight="1" x14ac:dyDescent="0.2">
      <c r="A16" s="19">
        <v>12</v>
      </c>
      <c r="B16" s="143" t="s">
        <v>11</v>
      </c>
      <c r="C16" s="144"/>
      <c r="D16" s="14">
        <f t="shared" si="0"/>
        <v>80304</v>
      </c>
      <c r="E16" s="17">
        <f t="shared" si="1"/>
        <v>498267.93141641753</v>
      </c>
      <c r="F16" s="21">
        <f t="shared" si="2"/>
        <v>6.2</v>
      </c>
    </row>
    <row r="17" spans="1:6" x14ac:dyDescent="0.2">
      <c r="A17" s="19">
        <v>13</v>
      </c>
      <c r="B17" s="143" t="s">
        <v>12</v>
      </c>
      <c r="C17" s="144"/>
      <c r="D17" s="14">
        <f t="shared" si="0"/>
        <v>2160</v>
      </c>
      <c r="E17" s="17">
        <f t="shared" si="1"/>
        <v>10325.545076950861</v>
      </c>
      <c r="F17" s="21">
        <f t="shared" si="2"/>
        <v>4.78</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6798</v>
      </c>
      <c r="E20" s="17">
        <f t="shared" si="1"/>
        <v>27650.4238116259</v>
      </c>
      <c r="F20" s="21">
        <f t="shared" si="2"/>
        <v>4.07</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30256</v>
      </c>
      <c r="E22" s="17">
        <f t="shared" si="1"/>
        <v>246593.07955936354</v>
      </c>
      <c r="F22" s="21">
        <f t="shared" si="2"/>
        <v>8.15</v>
      </c>
    </row>
    <row r="23" spans="1:6" x14ac:dyDescent="0.2">
      <c r="A23" s="19">
        <v>19</v>
      </c>
      <c r="B23" s="143" t="s">
        <v>17</v>
      </c>
      <c r="C23" s="144"/>
      <c r="D23" s="14">
        <f t="shared" si="0"/>
        <v>37200</v>
      </c>
      <c r="E23" s="17">
        <f t="shared" si="1"/>
        <v>173776.72076970927</v>
      </c>
      <c r="F23" s="21">
        <f t="shared" si="2"/>
        <v>4.67</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14064</v>
      </c>
      <c r="E27" s="17">
        <f t="shared" si="1"/>
        <v>136386.2157232578</v>
      </c>
      <c r="F27" s="21">
        <f t="shared" si="2"/>
        <v>9.6999999999999993</v>
      </c>
    </row>
    <row r="28" spans="1:6" x14ac:dyDescent="0.2">
      <c r="A28" s="19">
        <v>24</v>
      </c>
      <c r="B28" s="143" t="s">
        <v>21</v>
      </c>
      <c r="C28" s="144"/>
      <c r="D28" s="14">
        <f t="shared" si="0"/>
        <v>0</v>
      </c>
      <c r="E28" s="17">
        <f t="shared" si="1"/>
        <v>0</v>
      </c>
      <c r="F28" s="21" t="str">
        <f t="shared" si="2"/>
        <v/>
      </c>
    </row>
    <row r="29" spans="1:6" x14ac:dyDescent="0.2">
      <c r="A29" s="19">
        <v>25</v>
      </c>
      <c r="B29" s="143" t="s">
        <v>22</v>
      </c>
      <c r="C29" s="144"/>
      <c r="D29" s="14">
        <f t="shared" si="0"/>
        <v>67584</v>
      </c>
      <c r="E29" s="17">
        <f t="shared" si="1"/>
        <v>414240.38818548468</v>
      </c>
      <c r="F29" s="21">
        <f t="shared" si="2"/>
        <v>6.13</v>
      </c>
    </row>
    <row r="30" spans="1:6" x14ac:dyDescent="0.2">
      <c r="A30" s="19">
        <v>26</v>
      </c>
      <c r="B30" s="143" t="s">
        <v>23</v>
      </c>
      <c r="C30" s="144"/>
      <c r="D30" s="14">
        <f t="shared" si="0"/>
        <v>6576</v>
      </c>
      <c r="E30" s="17">
        <f t="shared" si="1"/>
        <v>98154.326123161503</v>
      </c>
      <c r="F30" s="21">
        <f t="shared" si="2"/>
        <v>14.93</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398696</v>
      </c>
      <c r="E33" s="31">
        <f>SUM(E5:E32)</f>
        <v>2796292.0000000005</v>
      </c>
      <c r="F33" s="32">
        <f t="shared" si="2"/>
        <v>7.01</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IF(F3="1",SUMIF(Data!A:A,'10'!$A$2,Data!CU:CU),0)</f>
        <v>35120</v>
      </c>
      <c r="E36" s="15">
        <f>IF(F3="1",SUMIF(Data!$A:$A,$A$2,Data!IO:IO),0)</f>
        <v>71504</v>
      </c>
      <c r="F36" s="20">
        <f t="shared" ref="F36:F64" si="3">IF(OR(D36=0,E36=0),"",ROUND(E36/D36,2))</f>
        <v>2.04</v>
      </c>
    </row>
    <row r="37" spans="1:6" x14ac:dyDescent="0.2">
      <c r="A37" s="19">
        <v>2</v>
      </c>
      <c r="B37" s="143" t="s">
        <v>1</v>
      </c>
      <c r="C37" s="144"/>
      <c r="D37" s="14">
        <f>IF(F3="1",SUMIF(Data!A:A,'10'!$A$2,Data!CV:CV),0)</f>
        <v>0</v>
      </c>
      <c r="E37" s="17">
        <f>IF(F3="1",SUMIF(Data!$A:$A,$A$2,Data!IP:IP),0)</f>
        <v>0</v>
      </c>
      <c r="F37" s="21" t="str">
        <f t="shared" si="3"/>
        <v/>
      </c>
    </row>
    <row r="38" spans="1:6" ht="14.25" customHeight="1" x14ac:dyDescent="0.2">
      <c r="A38" s="19">
        <v>3</v>
      </c>
      <c r="B38" s="143" t="s">
        <v>2</v>
      </c>
      <c r="C38" s="144"/>
      <c r="D38" s="14">
        <f>IF(F3="1",SUMIF(Data!A:A,'10'!$A$2,Data!CW:CW),0)</f>
        <v>47824</v>
      </c>
      <c r="E38" s="17">
        <f>IF($F$3="1",SUMIF(Data!$A:$A,$A$2,Data!IQ:IQ),0)</f>
        <v>53694</v>
      </c>
      <c r="F38" s="21">
        <f t="shared" si="3"/>
        <v>1.1200000000000001</v>
      </c>
    </row>
    <row r="39" spans="1:6" ht="14.25" customHeight="1" x14ac:dyDescent="0.2">
      <c r="A39" s="19">
        <v>4</v>
      </c>
      <c r="B39" s="143" t="s">
        <v>3</v>
      </c>
      <c r="C39" s="144"/>
      <c r="D39" s="14">
        <f>IF(F3="1",SUMIF(Data!A:A,'10'!$A$2,Data!CX:CX),0)</f>
        <v>24645</v>
      </c>
      <c r="E39" s="17">
        <f>IF($F$3="1",SUMIF(Data!$A:$A,$A$2,Data!IR:IR),0)</f>
        <v>65446</v>
      </c>
      <c r="F39" s="21">
        <f t="shared" si="3"/>
        <v>2.66</v>
      </c>
    </row>
    <row r="40" spans="1:6" x14ac:dyDescent="0.2">
      <c r="A40" s="19">
        <v>5</v>
      </c>
      <c r="B40" s="143" t="s">
        <v>4</v>
      </c>
      <c r="C40" s="144"/>
      <c r="D40" s="14">
        <f>IF(F3="1",SUMIF(Data!A:A,'10'!$A$2,Data!CY:CY),0)</f>
        <v>0</v>
      </c>
      <c r="E40" s="17">
        <f>IF($F$3="1",SUMIF(Data!$A:$A,$A$2,Data!IS:IS),0)</f>
        <v>0</v>
      </c>
      <c r="F40" s="21" t="str">
        <f t="shared" si="3"/>
        <v/>
      </c>
    </row>
    <row r="41" spans="1:6" x14ac:dyDescent="0.2">
      <c r="A41" s="19">
        <v>6</v>
      </c>
      <c r="B41" s="143" t="s">
        <v>5</v>
      </c>
      <c r="C41" s="144"/>
      <c r="D41" s="14">
        <f>IF(F3="1",SUMIF(Data!A:A,'10'!$A$2,Data!CZ:CZ),0)</f>
        <v>0</v>
      </c>
      <c r="E41" s="17">
        <f>IF($F$3="1",SUMIF(Data!$A:$A,$A$2,Data!IT:IT),0)</f>
        <v>0</v>
      </c>
      <c r="F41" s="21" t="str">
        <f t="shared" si="3"/>
        <v/>
      </c>
    </row>
    <row r="42" spans="1:6" x14ac:dyDescent="0.2">
      <c r="A42" s="19">
        <v>7</v>
      </c>
      <c r="B42" s="143" t="s">
        <v>6</v>
      </c>
      <c r="C42" s="144"/>
      <c r="D42" s="14">
        <f>IF(F3="1",SUMIF(Data!A:A,'10'!$A$2,Data!DA:DA),0)</f>
        <v>32197</v>
      </c>
      <c r="E42" s="17">
        <f>IF($F$3="1",SUMIF(Data!$A:$A,$A$2,Data!IU:IU),0)</f>
        <v>45495</v>
      </c>
      <c r="F42" s="21">
        <f t="shared" si="3"/>
        <v>1.41</v>
      </c>
    </row>
    <row r="43" spans="1:6" x14ac:dyDescent="0.2">
      <c r="A43" s="19">
        <v>8</v>
      </c>
      <c r="B43" s="143" t="s">
        <v>7</v>
      </c>
      <c r="C43" s="144"/>
      <c r="D43" s="14">
        <f>IF(F3="1",SUMIF(Data!A:A,'10'!$A$2,Data!DB:DB),0)</f>
        <v>0</v>
      </c>
      <c r="E43" s="17">
        <f>IF($F$3="1",SUMIF(Data!$A:$A,$A$2,Data!IV:IV),0)</f>
        <v>0</v>
      </c>
      <c r="F43" s="21" t="str">
        <f t="shared" si="3"/>
        <v/>
      </c>
    </row>
    <row r="44" spans="1:6" x14ac:dyDescent="0.2">
      <c r="A44" s="19">
        <v>9</v>
      </c>
      <c r="B44" s="143" t="s">
        <v>8</v>
      </c>
      <c r="C44" s="144"/>
      <c r="D44" s="14">
        <f>IF(F3="1",SUMIF(Data!A:A,'10'!$A$2,Data!DC:DC),0)</f>
        <v>3504</v>
      </c>
      <c r="E44" s="17">
        <f>IF($F$3="1",SUMIF(Data!$A:$A,$A$2,Data!IW:IW),0)</f>
        <v>300</v>
      </c>
      <c r="F44" s="21">
        <f t="shared" si="3"/>
        <v>0.09</v>
      </c>
    </row>
    <row r="45" spans="1:6" x14ac:dyDescent="0.2">
      <c r="A45" s="19">
        <v>10</v>
      </c>
      <c r="B45" s="143" t="s">
        <v>9</v>
      </c>
      <c r="C45" s="144"/>
      <c r="D45" s="14">
        <f>IF(F3="1",SUMIF(Data!A:A,'10'!$A$2,Data!DD:DD),0)</f>
        <v>0</v>
      </c>
      <c r="E45" s="17">
        <f>IF($F$3="1",SUMIF(Data!$A:$A,$A$2,Data!IX:IX),0)</f>
        <v>0</v>
      </c>
      <c r="F45" s="21" t="str">
        <f t="shared" si="3"/>
        <v/>
      </c>
    </row>
    <row r="46" spans="1:6" x14ac:dyDescent="0.2">
      <c r="A46" s="19">
        <v>11</v>
      </c>
      <c r="B46" s="143" t="s">
        <v>10</v>
      </c>
      <c r="C46" s="144"/>
      <c r="D46" s="14">
        <f>IF(F3="1",SUMIF(Data!A:A,'10'!$A$2,Data!DE:DE),0)</f>
        <v>10464</v>
      </c>
      <c r="E46" s="17">
        <f>IF($F$3="1",SUMIF(Data!$A:$A,$A$2,Data!IY:IY),0)</f>
        <v>922</v>
      </c>
      <c r="F46" s="21">
        <f t="shared" si="3"/>
        <v>0.09</v>
      </c>
    </row>
    <row r="47" spans="1:6" ht="14.25" customHeight="1" x14ac:dyDescent="0.2">
      <c r="A47" s="19">
        <v>12</v>
      </c>
      <c r="B47" s="143" t="s">
        <v>11</v>
      </c>
      <c r="C47" s="144"/>
      <c r="D47" s="14">
        <f>IF(F3="1",SUMIF(Data!A:A,'10'!$A$2,Data!DF:DF),0)</f>
        <v>80304</v>
      </c>
      <c r="E47" s="17">
        <f>IF($F$3="1",SUMIF(Data!$A:$A,$A$2,Data!IZ:IZ),0)</f>
        <v>1690</v>
      </c>
      <c r="F47" s="21">
        <f t="shared" si="3"/>
        <v>0.02</v>
      </c>
    </row>
    <row r="48" spans="1:6" x14ac:dyDescent="0.2">
      <c r="A48" s="19">
        <v>13</v>
      </c>
      <c r="B48" s="143" t="s">
        <v>12</v>
      </c>
      <c r="C48" s="144"/>
      <c r="D48" s="14">
        <f>IF(F3="1",SUMIF(Data!A:A,'10'!$A$2,Data!DG:DG),0)</f>
        <v>2160</v>
      </c>
      <c r="E48" s="17">
        <f>IF($F$3="1",SUMIF(Data!$A:$A,$A$2,Data!JA:JA),0)</f>
        <v>50</v>
      </c>
      <c r="F48" s="21">
        <f t="shared" si="3"/>
        <v>0.02</v>
      </c>
    </row>
    <row r="49" spans="1:6" ht="14.25" customHeight="1" x14ac:dyDescent="0.2">
      <c r="A49" s="19">
        <v>14</v>
      </c>
      <c r="B49" s="143" t="s">
        <v>464</v>
      </c>
      <c r="C49" s="144"/>
      <c r="D49" s="14">
        <f>IF(F3="1",SUMIF(Data!A:A,'10'!$A$2,Data!DH:DH),0)</f>
        <v>0</v>
      </c>
      <c r="E49" s="17">
        <f>IF($F$3="1",SUMIF(Data!$A:$A,$A$2,Data!JB:JB),0)</f>
        <v>0</v>
      </c>
      <c r="F49" s="21" t="str">
        <f t="shared" si="3"/>
        <v/>
      </c>
    </row>
    <row r="50" spans="1:6" x14ac:dyDescent="0.2">
      <c r="A50" s="19">
        <v>15</v>
      </c>
      <c r="B50" s="143" t="s">
        <v>13</v>
      </c>
      <c r="C50" s="144"/>
      <c r="D50" s="14">
        <f>IF(F3="1",SUMIF(Data!A:A,'10'!$A$2,Data!DI:DI),0)</f>
        <v>0</v>
      </c>
      <c r="E50" s="17">
        <f>IF($F$3="1",SUMIF(Data!$A:$A,$A$2,Data!JC:JC),0)</f>
        <v>0</v>
      </c>
      <c r="F50" s="21" t="str">
        <f t="shared" si="3"/>
        <v/>
      </c>
    </row>
    <row r="51" spans="1:6" x14ac:dyDescent="0.2">
      <c r="A51" s="19">
        <v>16</v>
      </c>
      <c r="B51" s="143" t="s">
        <v>14</v>
      </c>
      <c r="C51" s="144"/>
      <c r="D51" s="14">
        <f>IF(F3="1",SUMIF(Data!A:A,'10'!$A$2,Data!DJ:DJ),0)</f>
        <v>6798</v>
      </c>
      <c r="E51" s="17">
        <f>IF($F$3="1",SUMIF(Data!$A:$A,$A$2,Data!JD:JD),0)</f>
        <v>3041</v>
      </c>
      <c r="F51" s="21">
        <f t="shared" si="3"/>
        <v>0.45</v>
      </c>
    </row>
    <row r="52" spans="1:6" x14ac:dyDescent="0.2">
      <c r="A52" s="19">
        <v>17</v>
      </c>
      <c r="B52" s="143" t="s">
        <v>15</v>
      </c>
      <c r="C52" s="144"/>
      <c r="D52" s="14">
        <f>IF(F3="1",SUMIF(Data!A:A,'10'!$A$2,Data!DK:DK),0)</f>
        <v>0</v>
      </c>
      <c r="E52" s="17">
        <f>IF($F$3="1",SUMIF(Data!$A:$A,$A$2,Data!JE:JE),0)</f>
        <v>0</v>
      </c>
      <c r="F52" s="21" t="str">
        <f t="shared" si="3"/>
        <v/>
      </c>
    </row>
    <row r="53" spans="1:6" x14ac:dyDescent="0.2">
      <c r="A53" s="19">
        <v>18</v>
      </c>
      <c r="B53" s="143" t="s">
        <v>16</v>
      </c>
      <c r="C53" s="144"/>
      <c r="D53" s="14">
        <f>IF(F3="1",SUMIF(Data!A:A,'10'!$A$2,Data!DL:DL),0)</f>
        <v>30256</v>
      </c>
      <c r="E53" s="17">
        <f>IF($F$3="1",SUMIF(Data!$A:$A,$A$2,Data!JF:JF),0)</f>
        <v>39569</v>
      </c>
      <c r="F53" s="21">
        <f t="shared" si="3"/>
        <v>1.31</v>
      </c>
    </row>
    <row r="54" spans="1:6" x14ac:dyDescent="0.2">
      <c r="A54" s="19">
        <v>19</v>
      </c>
      <c r="B54" s="143" t="s">
        <v>17</v>
      </c>
      <c r="C54" s="144"/>
      <c r="D54" s="14">
        <f>IF(F3="1",SUMIF(Data!A:A,'10'!$A$2,Data!DM:DM),0)</f>
        <v>37200</v>
      </c>
      <c r="E54" s="17">
        <f>IF($F$3="1",SUMIF(Data!$A:$A,$A$2,Data!JG:JG),0)</f>
        <v>467</v>
      </c>
      <c r="F54" s="21">
        <f t="shared" si="3"/>
        <v>0.01</v>
      </c>
    </row>
    <row r="55" spans="1:6" x14ac:dyDescent="0.2">
      <c r="A55" s="19">
        <v>20</v>
      </c>
      <c r="B55" s="143" t="s">
        <v>18</v>
      </c>
      <c r="C55" s="144"/>
      <c r="D55" s="14">
        <f>IF(F3="1",SUMIF(Data!A:A,'10'!$A$2,Data!DN:DN),0)</f>
        <v>0</v>
      </c>
      <c r="E55" s="17">
        <f>IF($F$3="1",SUMIF(Data!$A:$A,$A$2,Data!JH:JH),0)</f>
        <v>0</v>
      </c>
      <c r="F55" s="21" t="str">
        <f t="shared" si="3"/>
        <v/>
      </c>
    </row>
    <row r="56" spans="1:6" ht="14.25" customHeight="1" x14ac:dyDescent="0.2">
      <c r="A56" s="19">
        <v>21</v>
      </c>
      <c r="B56" s="143" t="s">
        <v>461</v>
      </c>
      <c r="C56" s="144"/>
      <c r="D56" s="14">
        <f>IF(F3="1",SUMIF(Data!A:A,'10'!$A$2,Data!DO:DO),0)</f>
        <v>0</v>
      </c>
      <c r="E56" s="17">
        <f>IF($F$3="1",SUMIF(Data!$A:$A,$A$2,Data!JI:JI),0)</f>
        <v>0</v>
      </c>
      <c r="F56" s="21" t="str">
        <f t="shared" si="3"/>
        <v/>
      </c>
    </row>
    <row r="57" spans="1:6" x14ac:dyDescent="0.2">
      <c r="A57" s="19">
        <v>22</v>
      </c>
      <c r="B57" s="143" t="s">
        <v>19</v>
      </c>
      <c r="C57" s="144"/>
      <c r="D57" s="14">
        <f>IF(F3="1",SUMIF(Data!A:A,'10'!$A$2,Data!DP:DP),0)</f>
        <v>0</v>
      </c>
      <c r="E57" s="17">
        <f>IF($F$3="1",SUMIF(Data!$A:$A,$A$2,Data!JJ:JJ),0)</f>
        <v>0</v>
      </c>
      <c r="F57" s="21" t="str">
        <f t="shared" si="3"/>
        <v/>
      </c>
    </row>
    <row r="58" spans="1:6" x14ac:dyDescent="0.2">
      <c r="A58" s="19">
        <v>23</v>
      </c>
      <c r="B58" s="143" t="s">
        <v>20</v>
      </c>
      <c r="C58" s="144"/>
      <c r="D58" s="14">
        <f>IF(F3="1",SUMIF(Data!A:A,'10'!$A$2,Data!DQ:DQ),0)</f>
        <v>14064</v>
      </c>
      <c r="E58" s="17">
        <f>IF($F$3="1",SUMIF(Data!$A:$A,$A$2,Data!JK:JK),0)</f>
        <v>12000</v>
      </c>
      <c r="F58" s="21">
        <f t="shared" si="3"/>
        <v>0.85</v>
      </c>
    </row>
    <row r="59" spans="1:6" x14ac:dyDescent="0.2">
      <c r="A59" s="19">
        <v>24</v>
      </c>
      <c r="B59" s="143" t="s">
        <v>21</v>
      </c>
      <c r="C59" s="144"/>
      <c r="D59" s="14">
        <f>IF(F3="1",SUMIF(Data!A:A,'10'!$A$2,Data!DR:DR),0)</f>
        <v>0</v>
      </c>
      <c r="E59" s="17">
        <f>IF($F$3="1",SUMIF(Data!$A:$A,$A$2,Data!JL:JL),0)</f>
        <v>0</v>
      </c>
      <c r="F59" s="21" t="str">
        <f t="shared" si="3"/>
        <v/>
      </c>
    </row>
    <row r="60" spans="1:6" x14ac:dyDescent="0.2">
      <c r="A60" s="19">
        <v>25</v>
      </c>
      <c r="B60" s="143" t="s">
        <v>22</v>
      </c>
      <c r="C60" s="144"/>
      <c r="D60" s="14">
        <f>IF(F3="1",SUMIF(Data!A:A,'10'!$A$2,Data!DS:DS),0)</f>
        <v>67584</v>
      </c>
      <c r="E60" s="17">
        <f>IF($F$3="1",SUMIF(Data!$A:$A,$A$2,Data!JM:JM),0)</f>
        <v>21433</v>
      </c>
      <c r="F60" s="21">
        <f t="shared" si="3"/>
        <v>0.32</v>
      </c>
    </row>
    <row r="61" spans="1:6" x14ac:dyDescent="0.2">
      <c r="A61" s="19">
        <v>26</v>
      </c>
      <c r="B61" s="143" t="s">
        <v>23</v>
      </c>
      <c r="C61" s="144"/>
      <c r="D61" s="14">
        <f>IF(F3="1",SUMIF(Data!A:A,'10'!$A$2,Data!DT:DT),0)</f>
        <v>6576</v>
      </c>
      <c r="E61" s="17">
        <f>IF($F$3="1",SUMIF(Data!$A:$A,$A$2,Data!JN:JN),0)</f>
        <v>8140</v>
      </c>
      <c r="F61" s="21">
        <f t="shared" si="3"/>
        <v>1.24</v>
      </c>
    </row>
    <row r="62" spans="1:6" x14ac:dyDescent="0.2">
      <c r="A62" s="19">
        <v>28</v>
      </c>
      <c r="B62" s="143" t="s">
        <v>24</v>
      </c>
      <c r="C62" s="144"/>
      <c r="D62" s="14">
        <f>IF(F3="1",SUMIF(Data!A:A,'10'!$A$2,Data!DV:DV),0)</f>
        <v>0</v>
      </c>
      <c r="E62" s="17">
        <f>IF($F$3="1",SUMIF(Data!$A:$A,$A$2,Data!JP:JP),0)</f>
        <v>0</v>
      </c>
      <c r="F62" s="21" t="str">
        <f t="shared" si="3"/>
        <v/>
      </c>
    </row>
    <row r="63" spans="1:6" ht="15.75" customHeight="1" thickBot="1" x14ac:dyDescent="0.25">
      <c r="A63" s="22">
        <v>29</v>
      </c>
      <c r="B63" s="147" t="s">
        <v>25</v>
      </c>
      <c r="C63" s="148"/>
      <c r="D63" s="23">
        <f>IF(F3="1",SUMIF(Data!A:A,'10'!$A$2,Data!DW:DW),0)</f>
        <v>0</v>
      </c>
      <c r="E63" s="24">
        <f>IF($F$3="1",SUMIF(Data!$A:$A,$A$2,Data!JQ:JQ),0)</f>
        <v>0</v>
      </c>
      <c r="F63" s="25" t="str">
        <f t="shared" si="3"/>
        <v/>
      </c>
    </row>
    <row r="64" spans="1:6" x14ac:dyDescent="0.2">
      <c r="B64" s="30" t="s">
        <v>35</v>
      </c>
      <c r="C64" s="30"/>
      <c r="D64" s="59">
        <f>SUM(D36:D63)</f>
        <v>398696</v>
      </c>
      <c r="E64" s="31">
        <f>SUM(E36:E63)</f>
        <v>323751</v>
      </c>
      <c r="F64" s="32">
        <f t="shared" si="3"/>
        <v>0.81</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35120</v>
      </c>
      <c r="E67" s="15">
        <f>IF(F3="1",SUMIF(Data!A:A,'10'!$A$2,Data!DY:DY),0)</f>
        <v>151895</v>
      </c>
      <c r="F67" s="20">
        <f t="shared" ref="F67:F95" si="4">IF(OR(D67=0,E67=0),"",ROUND(E67/D67,2))</f>
        <v>4.33</v>
      </c>
    </row>
    <row r="68" spans="1:6" x14ac:dyDescent="0.2">
      <c r="A68" s="19">
        <v>2</v>
      </c>
      <c r="B68" s="143" t="s">
        <v>1</v>
      </c>
      <c r="C68" s="144"/>
      <c r="D68" s="14">
        <f t="shared" ref="D68:D94" si="5">D37</f>
        <v>0</v>
      </c>
      <c r="E68" s="17">
        <f>IF(F3="1",SUMIF(Data!A:A,'10'!$A$2,Data!DZ:DZ),0)</f>
        <v>0</v>
      </c>
      <c r="F68" s="21" t="str">
        <f t="shared" si="4"/>
        <v/>
      </c>
    </row>
    <row r="69" spans="1:6" ht="14.25" customHeight="1" x14ac:dyDescent="0.2">
      <c r="A69" s="19">
        <v>3</v>
      </c>
      <c r="B69" s="143" t="s">
        <v>2</v>
      </c>
      <c r="C69" s="144"/>
      <c r="D69" s="14">
        <f t="shared" si="5"/>
        <v>47824</v>
      </c>
      <c r="E69" s="17">
        <f>IF(F3="1",SUMIF(Data!A:A,'10'!$A$2,Data!EA:EA),0)</f>
        <v>105955</v>
      </c>
      <c r="F69" s="21">
        <f t="shared" si="4"/>
        <v>2.2200000000000002</v>
      </c>
    </row>
    <row r="70" spans="1:6" ht="14.25" customHeight="1" x14ac:dyDescent="0.2">
      <c r="A70" s="19">
        <v>4</v>
      </c>
      <c r="B70" s="143" t="s">
        <v>3</v>
      </c>
      <c r="C70" s="144"/>
      <c r="D70" s="14">
        <f t="shared" si="5"/>
        <v>24645</v>
      </c>
      <c r="E70" s="17">
        <f>IF(F3="1",SUMIF(Data!A:A,'10'!$A$2,Data!EB:EB),0)</f>
        <v>77718</v>
      </c>
      <c r="F70" s="21">
        <f t="shared" si="4"/>
        <v>3.15</v>
      </c>
    </row>
    <row r="71" spans="1:6" x14ac:dyDescent="0.2">
      <c r="A71" s="19">
        <v>5</v>
      </c>
      <c r="B71" s="143" t="s">
        <v>4</v>
      </c>
      <c r="C71" s="144"/>
      <c r="D71" s="14">
        <f t="shared" si="5"/>
        <v>0</v>
      </c>
      <c r="E71" s="17">
        <f>IF(F3="1",SUMIF(Data!A:A,'10'!$A$2,Data!EC:EC),0)</f>
        <v>0</v>
      </c>
      <c r="F71" s="21" t="str">
        <f t="shared" si="4"/>
        <v/>
      </c>
    </row>
    <row r="72" spans="1:6" x14ac:dyDescent="0.2">
      <c r="A72" s="19">
        <v>6</v>
      </c>
      <c r="B72" s="143" t="s">
        <v>5</v>
      </c>
      <c r="C72" s="144"/>
      <c r="D72" s="14">
        <f t="shared" si="5"/>
        <v>0</v>
      </c>
      <c r="E72" s="17">
        <f>IF(F3="1",SUMIF(Data!A:A,'10'!$A$2,Data!ED:ED),0)</f>
        <v>0</v>
      </c>
      <c r="F72" s="21" t="str">
        <f t="shared" si="4"/>
        <v/>
      </c>
    </row>
    <row r="73" spans="1:6" x14ac:dyDescent="0.2">
      <c r="A73" s="19">
        <v>7</v>
      </c>
      <c r="B73" s="143" t="s">
        <v>6</v>
      </c>
      <c r="C73" s="144"/>
      <c r="D73" s="14">
        <f t="shared" si="5"/>
        <v>32197</v>
      </c>
      <c r="E73" s="17">
        <f>IF(F3="1",SUMIF(Data!A:A,'10'!$A$2,Data!EE:EE),0)</f>
        <v>83637</v>
      </c>
      <c r="F73" s="21">
        <f t="shared" si="4"/>
        <v>2.6</v>
      </c>
    </row>
    <row r="74" spans="1:6" x14ac:dyDescent="0.2">
      <c r="A74" s="19">
        <v>8</v>
      </c>
      <c r="B74" s="143" t="s">
        <v>7</v>
      </c>
      <c r="C74" s="144"/>
      <c r="D74" s="14">
        <f t="shared" si="5"/>
        <v>0</v>
      </c>
      <c r="E74" s="17">
        <f>IF(F3="1",SUMIF(Data!A:A,'10'!$A$2,Data!EF:EF),0)</f>
        <v>0</v>
      </c>
      <c r="F74" s="21" t="str">
        <f t="shared" si="4"/>
        <v/>
      </c>
    </row>
    <row r="75" spans="1:6" x14ac:dyDescent="0.2">
      <c r="A75" s="19">
        <v>9</v>
      </c>
      <c r="B75" s="143" t="s">
        <v>8</v>
      </c>
      <c r="C75" s="144"/>
      <c r="D75" s="14">
        <f t="shared" si="5"/>
        <v>3504</v>
      </c>
      <c r="E75" s="17">
        <f>IF(F3="1",SUMIF(Data!A:A,'10'!$A$2,Data!EG:EG),0)</f>
        <v>3600</v>
      </c>
      <c r="F75" s="21">
        <f t="shared" si="4"/>
        <v>1.03</v>
      </c>
    </row>
    <row r="76" spans="1:6" x14ac:dyDescent="0.2">
      <c r="A76" s="19">
        <v>10</v>
      </c>
      <c r="B76" s="143" t="s">
        <v>9</v>
      </c>
      <c r="C76" s="144"/>
      <c r="D76" s="14">
        <f t="shared" si="5"/>
        <v>0</v>
      </c>
      <c r="E76" s="17">
        <f>IF(F3="1",SUMIF(Data!A:A,'10'!$A$2,Data!EH:EH),0)</f>
        <v>0</v>
      </c>
      <c r="F76" s="21" t="str">
        <f t="shared" si="4"/>
        <v/>
      </c>
    </row>
    <row r="77" spans="1:6" x14ac:dyDescent="0.2">
      <c r="A77" s="19">
        <v>11</v>
      </c>
      <c r="B77" s="143" t="s">
        <v>10</v>
      </c>
      <c r="C77" s="144"/>
      <c r="D77" s="14">
        <f t="shared" si="5"/>
        <v>10464</v>
      </c>
      <c r="E77" s="17">
        <f>IF(F3="1",SUMIF(Data!A:A,'10'!$A$2,Data!EI:EI),0)</f>
        <v>55550</v>
      </c>
      <c r="F77" s="21">
        <f t="shared" si="4"/>
        <v>5.31</v>
      </c>
    </row>
    <row r="78" spans="1:6" ht="14.25" customHeight="1" x14ac:dyDescent="0.2">
      <c r="A78" s="19">
        <v>12</v>
      </c>
      <c r="B78" s="143" t="s">
        <v>11</v>
      </c>
      <c r="C78" s="144"/>
      <c r="D78" s="14">
        <f t="shared" si="5"/>
        <v>80304</v>
      </c>
      <c r="E78" s="17">
        <f>IF(F3="1",SUMIF(Data!A:A,'10'!$A$2,Data!EJ:EJ),0)</f>
        <v>248396</v>
      </c>
      <c r="F78" s="21">
        <f t="shared" si="4"/>
        <v>3.09</v>
      </c>
    </row>
    <row r="79" spans="1:6" x14ac:dyDescent="0.2">
      <c r="A79" s="19">
        <v>13</v>
      </c>
      <c r="B79" s="143" t="s">
        <v>12</v>
      </c>
      <c r="C79" s="144"/>
      <c r="D79" s="14">
        <f t="shared" si="5"/>
        <v>2160</v>
      </c>
      <c r="E79" s="17">
        <f>IF(F3="1",SUMIF(Data!A:A,'10'!$A$2,Data!EK:EK),0)</f>
        <v>3600</v>
      </c>
      <c r="F79" s="21">
        <f t="shared" si="4"/>
        <v>1.67</v>
      </c>
    </row>
    <row r="80" spans="1:6" ht="14.25" customHeight="1" x14ac:dyDescent="0.2">
      <c r="A80" s="19">
        <v>14</v>
      </c>
      <c r="B80" s="143" t="s">
        <v>464</v>
      </c>
      <c r="C80" s="144"/>
      <c r="D80" s="14">
        <f t="shared" si="5"/>
        <v>0</v>
      </c>
      <c r="E80" s="17">
        <f>IF(F3="1",SUMIF(Data!A:A,'10'!$A$2,Data!EL:EL),0)</f>
        <v>0</v>
      </c>
      <c r="F80" s="21" t="str">
        <f t="shared" si="4"/>
        <v/>
      </c>
    </row>
    <row r="81" spans="1:6" x14ac:dyDescent="0.2">
      <c r="A81" s="19">
        <v>15</v>
      </c>
      <c r="B81" s="143" t="s">
        <v>13</v>
      </c>
      <c r="C81" s="144"/>
      <c r="D81" s="14">
        <f t="shared" si="5"/>
        <v>0</v>
      </c>
      <c r="E81" s="17">
        <f>IF(F3="1",SUMIF(Data!A:A,'10'!$A$2,Data!EM:EM),0)</f>
        <v>0</v>
      </c>
      <c r="F81" s="21" t="str">
        <f t="shared" si="4"/>
        <v/>
      </c>
    </row>
    <row r="82" spans="1:6" x14ac:dyDescent="0.2">
      <c r="A82" s="19">
        <v>16</v>
      </c>
      <c r="B82" s="143" t="s">
        <v>14</v>
      </c>
      <c r="C82" s="144"/>
      <c r="D82" s="14">
        <f t="shared" si="5"/>
        <v>6798</v>
      </c>
      <c r="E82" s="17">
        <f>IF(F3="1",SUMIF(Data!A:A,'10'!$A$2,Data!EN:EN),0)</f>
        <v>3600</v>
      </c>
      <c r="F82" s="21">
        <f t="shared" si="4"/>
        <v>0.53</v>
      </c>
    </row>
    <row r="83" spans="1:6" x14ac:dyDescent="0.2">
      <c r="A83" s="19">
        <v>17</v>
      </c>
      <c r="B83" s="143" t="s">
        <v>15</v>
      </c>
      <c r="C83" s="144"/>
      <c r="D83" s="14">
        <f t="shared" si="5"/>
        <v>0</v>
      </c>
      <c r="E83" s="17">
        <f>IF(F3="1",SUMIF(Data!A:A,'10'!$A$2,Data!EO:EO),0)</f>
        <v>0</v>
      </c>
      <c r="F83" s="21" t="str">
        <f t="shared" si="4"/>
        <v/>
      </c>
    </row>
    <row r="84" spans="1:6" x14ac:dyDescent="0.2">
      <c r="A84" s="19">
        <v>18</v>
      </c>
      <c r="B84" s="143" t="s">
        <v>16</v>
      </c>
      <c r="C84" s="144"/>
      <c r="D84" s="14">
        <f t="shared" si="5"/>
        <v>30256</v>
      </c>
      <c r="E84" s="17">
        <f>IF(F3="1",SUMIF(Data!A:A,'10'!$A$2,Data!EP:EP),0)</f>
        <v>113517</v>
      </c>
      <c r="F84" s="21">
        <f t="shared" si="4"/>
        <v>3.75</v>
      </c>
    </row>
    <row r="85" spans="1:6" x14ac:dyDescent="0.2">
      <c r="A85" s="19">
        <v>19</v>
      </c>
      <c r="B85" s="143" t="s">
        <v>17</v>
      </c>
      <c r="C85" s="144"/>
      <c r="D85" s="14">
        <f t="shared" si="5"/>
        <v>37200</v>
      </c>
      <c r="E85" s="17">
        <f>IF(F3="1",SUMIF(Data!A:A,'10'!$A$2,Data!EQ:EQ),0)</f>
        <v>58342</v>
      </c>
      <c r="F85" s="21">
        <f t="shared" si="4"/>
        <v>1.57</v>
      </c>
    </row>
    <row r="86" spans="1:6" x14ac:dyDescent="0.2">
      <c r="A86" s="19">
        <v>20</v>
      </c>
      <c r="B86" s="143" t="s">
        <v>18</v>
      </c>
      <c r="C86" s="144"/>
      <c r="D86" s="14">
        <f t="shared" si="5"/>
        <v>0</v>
      </c>
      <c r="E86" s="17">
        <f>IF(F3="1",SUMIF(Data!A:A,'10'!$A$2,Data!ER:ER),0)</f>
        <v>0</v>
      </c>
      <c r="F86" s="21" t="str">
        <f t="shared" si="4"/>
        <v/>
      </c>
    </row>
    <row r="87" spans="1:6" ht="14.25" customHeight="1" x14ac:dyDescent="0.2">
      <c r="A87" s="19">
        <v>21</v>
      </c>
      <c r="B87" s="143" t="s">
        <v>461</v>
      </c>
      <c r="C87" s="144"/>
      <c r="D87" s="14">
        <f t="shared" si="5"/>
        <v>0</v>
      </c>
      <c r="E87" s="17">
        <f>IF(F3="1",SUMIF(Data!A:A,'10'!$A$2,Data!ES:ES),0)</f>
        <v>0</v>
      </c>
      <c r="F87" s="21" t="str">
        <f t="shared" si="4"/>
        <v/>
      </c>
    </row>
    <row r="88" spans="1:6" x14ac:dyDescent="0.2">
      <c r="A88" s="19">
        <v>22</v>
      </c>
      <c r="B88" s="143" t="s">
        <v>19</v>
      </c>
      <c r="C88" s="144"/>
      <c r="D88" s="14">
        <f t="shared" si="5"/>
        <v>0</v>
      </c>
      <c r="E88" s="17">
        <f>IF(F3="1",SUMIF(Data!A:A,'10'!$A$2,Data!ET:ET),0)</f>
        <v>0</v>
      </c>
      <c r="F88" s="21" t="str">
        <f t="shared" si="4"/>
        <v/>
      </c>
    </row>
    <row r="89" spans="1:6" x14ac:dyDescent="0.2">
      <c r="A89" s="19">
        <v>23</v>
      </c>
      <c r="B89" s="143" t="s">
        <v>20</v>
      </c>
      <c r="C89" s="144"/>
      <c r="D89" s="14">
        <f t="shared" si="5"/>
        <v>14064</v>
      </c>
      <c r="E89" s="17">
        <f>IF(F3="1",SUMIF(Data!A:A,'10'!$A$2,Data!EU:EU),0)</f>
        <v>80921</v>
      </c>
      <c r="F89" s="21">
        <f t="shared" si="4"/>
        <v>5.75</v>
      </c>
    </row>
    <row r="90" spans="1:6" x14ac:dyDescent="0.2">
      <c r="A90" s="19">
        <v>24</v>
      </c>
      <c r="B90" s="143" t="s">
        <v>21</v>
      </c>
      <c r="C90" s="144"/>
      <c r="D90" s="14">
        <f t="shared" si="5"/>
        <v>0</v>
      </c>
      <c r="E90" s="17">
        <f>IF(F3="1",SUMIF(Data!A:A,'10'!$A$2,Data!EV:EV),0)</f>
        <v>0</v>
      </c>
      <c r="F90" s="21" t="str">
        <f t="shared" si="4"/>
        <v/>
      </c>
    </row>
    <row r="91" spans="1:6" x14ac:dyDescent="0.2">
      <c r="A91" s="19">
        <v>25</v>
      </c>
      <c r="B91" s="143" t="s">
        <v>22</v>
      </c>
      <c r="C91" s="144"/>
      <c r="D91" s="14">
        <f t="shared" si="5"/>
        <v>67584</v>
      </c>
      <c r="E91" s="17">
        <f>IF(F3="1",SUMIF(Data!A:A,'10'!$A$2,Data!EW:EW),0)</f>
        <v>183937</v>
      </c>
      <c r="F91" s="21">
        <f t="shared" si="4"/>
        <v>2.72</v>
      </c>
    </row>
    <row r="92" spans="1:6" x14ac:dyDescent="0.2">
      <c r="A92" s="19">
        <v>26</v>
      </c>
      <c r="B92" s="143" t="s">
        <v>23</v>
      </c>
      <c r="C92" s="144"/>
      <c r="D92" s="14">
        <f t="shared" si="5"/>
        <v>6576</v>
      </c>
      <c r="E92" s="17">
        <f>IF(F3="1",SUMIF(Data!A:A,'10'!$A$2,Data!EX:EX),0)</f>
        <v>69691</v>
      </c>
      <c r="F92" s="21">
        <f t="shared" si="4"/>
        <v>10.6</v>
      </c>
    </row>
    <row r="93" spans="1:6" x14ac:dyDescent="0.2">
      <c r="A93" s="19">
        <v>28</v>
      </c>
      <c r="B93" s="143" t="s">
        <v>24</v>
      </c>
      <c r="C93" s="144"/>
      <c r="D93" s="14">
        <f t="shared" si="5"/>
        <v>0</v>
      </c>
      <c r="E93" s="17">
        <f>IF(F3="1",SUMIF(Data!A:A,'10'!$A$2,Data!EZ:EZ),0)</f>
        <v>0</v>
      </c>
      <c r="F93" s="21" t="str">
        <f t="shared" si="4"/>
        <v/>
      </c>
    </row>
    <row r="94" spans="1:6" ht="15.75" customHeight="1" thickBot="1" x14ac:dyDescent="0.25">
      <c r="A94" s="22">
        <v>29</v>
      </c>
      <c r="B94" s="147" t="s">
        <v>25</v>
      </c>
      <c r="C94" s="148"/>
      <c r="D94" s="23">
        <f t="shared" si="5"/>
        <v>0</v>
      </c>
      <c r="E94" s="24">
        <f>IF(F3="1",SUMIF(Data!A:A,'10'!$A$2,Data!FA:FA),0)</f>
        <v>0</v>
      </c>
      <c r="F94" s="25" t="str">
        <f t="shared" si="4"/>
        <v/>
      </c>
    </row>
    <row r="95" spans="1:6" x14ac:dyDescent="0.2">
      <c r="B95" s="30" t="s">
        <v>35</v>
      </c>
      <c r="C95" s="30"/>
      <c r="D95" s="59">
        <f>SUM(D67:D94)</f>
        <v>398696</v>
      </c>
      <c r="E95" s="31">
        <f>SUM(E67:E94)</f>
        <v>1240359</v>
      </c>
      <c r="F95" s="32">
        <f t="shared" si="4"/>
        <v>3.11</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IF(F3="1",SUMIF(Data!A:A,'10'!$A$2,Data!AH:AH),0)</f>
        <v>653152</v>
      </c>
      <c r="F98" s="20">
        <f>IF(OR(E98=0,E98=0),"",ROUND(E98/$D$105,2))</f>
        <v>1.64</v>
      </c>
    </row>
    <row r="99" spans="2:6" x14ac:dyDescent="0.2">
      <c r="B99" s="153" t="s">
        <v>31</v>
      </c>
      <c r="C99" s="154"/>
      <c r="D99" s="36"/>
      <c r="E99" s="17">
        <f>IF(F3="1",SUMIF(Data!A:A,'10'!$A$2,Data!AI:AI),0)</f>
        <v>283342</v>
      </c>
      <c r="F99" s="21">
        <f t="shared" ref="F99:F104" si="6">IF(OR(E99=0,E99=0),"",ROUND(E99/$D$105,2))</f>
        <v>0.71</v>
      </c>
    </row>
    <row r="100" spans="2:6" x14ac:dyDescent="0.2">
      <c r="B100" s="153" t="s">
        <v>1078</v>
      </c>
      <c r="C100" s="154"/>
      <c r="D100" s="36"/>
      <c r="E100" s="17">
        <f>IF(F3="1",SUMIF(Data!A:A,'10'!$A$2,Data!AJ:AJ),0)</f>
        <v>64639</v>
      </c>
      <c r="F100" s="21">
        <f t="shared" si="6"/>
        <v>0.16</v>
      </c>
    </row>
    <row r="101" spans="2:6" x14ac:dyDescent="0.2">
      <c r="B101" s="153" t="s">
        <v>1079</v>
      </c>
      <c r="C101" s="154"/>
      <c r="D101" s="36"/>
      <c r="E101" s="17">
        <f>IF(F3="1",SUMIF(Data!A:A,'10'!$A$2,Data!AK:AK),0)</f>
        <v>157577</v>
      </c>
      <c r="F101" s="21">
        <f t="shared" si="6"/>
        <v>0.4</v>
      </c>
    </row>
    <row r="102" spans="2:6" x14ac:dyDescent="0.2">
      <c r="B102" s="153" t="s">
        <v>1080</v>
      </c>
      <c r="C102" s="154"/>
      <c r="D102" s="36"/>
      <c r="E102" s="17">
        <f>IF(F3="1",SUMIF(Data!A:A,'10'!$A$2,Data!AL:AL),0)</f>
        <v>0</v>
      </c>
      <c r="F102" s="21" t="str">
        <f t="shared" si="6"/>
        <v/>
      </c>
    </row>
    <row r="103" spans="2:6" x14ac:dyDescent="0.2">
      <c r="B103" s="155" t="s">
        <v>34</v>
      </c>
      <c r="C103" s="156"/>
      <c r="D103" s="36"/>
      <c r="E103" s="17">
        <f>IF(F3="1",SUMIF(Data!A:A,'10'!$A$2,Data!AM:AM),0)</f>
        <v>0</v>
      </c>
      <c r="F103" s="21" t="str">
        <f t="shared" si="6"/>
        <v/>
      </c>
    </row>
    <row r="104" spans="2:6" ht="15.75" customHeight="1" thickBot="1" x14ac:dyDescent="0.25">
      <c r="B104" s="149" t="s">
        <v>29</v>
      </c>
      <c r="C104" s="150"/>
      <c r="D104" s="37"/>
      <c r="E104" s="24">
        <f>IF(F3="1",SUMIF(Data!A:A,'10'!$A$2,Data!Q:Q),0)</f>
        <v>73472</v>
      </c>
      <c r="F104" s="25">
        <f t="shared" si="6"/>
        <v>0.18</v>
      </c>
    </row>
    <row r="105" spans="2:6" x14ac:dyDescent="0.2">
      <c r="B105" s="30" t="s">
        <v>35</v>
      </c>
      <c r="C105" s="30"/>
      <c r="D105" s="34">
        <f>D95</f>
        <v>398696</v>
      </c>
      <c r="E105" s="31">
        <f>SUM(E98:E104)</f>
        <v>1232182</v>
      </c>
      <c r="F105" s="32">
        <f>IF($D$105=0,"",ROUND(E105/$D$105,2))</f>
        <v>3.09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1240359</v>
      </c>
      <c r="D109" s="15">
        <f>IF(F3="1",SUMIF(Data!$A:$A,$A$2,Data!HJ:HJ),0)</f>
        <v>0</v>
      </c>
      <c r="E109" s="15">
        <f>IF(F3="1",SUMIF(Data!$A:$A,$A$2,Data!IN:IN),0)</f>
        <v>0</v>
      </c>
      <c r="F109" s="47">
        <f>SUM(C109:E109)</f>
        <v>1240359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73472</v>
      </c>
      <c r="E117" s="52"/>
      <c r="F117" s="49">
        <f>SUM(C117:E117)</f>
        <v>73472</v>
      </c>
    </row>
    <row r="118" spans="1:6" x14ac:dyDescent="0.2">
      <c r="B118" s="13" t="s">
        <v>35</v>
      </c>
      <c r="C118" s="4">
        <f>SUM(C109:C116)</f>
        <v>1240359</v>
      </c>
      <c r="D118" s="4">
        <f>SUM(D109:D116)</f>
        <v>0</v>
      </c>
      <c r="E118" s="4">
        <f>SUM(E109:E116)</f>
        <v>0</v>
      </c>
      <c r="F118" s="4">
        <f>SUM(F109:F116)</f>
        <v>1240359</v>
      </c>
    </row>
    <row r="119" spans="1:6" ht="15" thickBot="1" x14ac:dyDescent="0.25"/>
    <row r="120" spans="1:6" ht="15" thickBot="1" x14ac:dyDescent="0.25">
      <c r="B120" s="55" t="s">
        <v>934</v>
      </c>
      <c r="C120" s="53"/>
      <c r="D120" s="53"/>
      <c r="E120" s="53">
        <f>IF(F3="1",SUMIF(Data!A:A,'10'!$A$2,Data!AM:AM),0)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354</v>
      </c>
      <c r="B2" s="58" t="str">
        <f>VLOOKUP(A2,Data!A:G,7,0)</f>
        <v>Coastal Bend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32264</v>
      </c>
      <c r="E5" s="15">
        <f>E36+E67+IFERROR($E$105/$D$105*D5,0)</f>
        <v>115846.44033824276</v>
      </c>
      <c r="F5" s="20">
        <f>IF(OR(D5=0,E5=0),"",ROUND(E5/D5,2))</f>
        <v>3.59</v>
      </c>
    </row>
    <row r="6" spans="1:6" x14ac:dyDescent="0.2">
      <c r="A6" s="19">
        <v>2</v>
      </c>
      <c r="B6" s="143" t="s">
        <v>1</v>
      </c>
      <c r="C6" s="144"/>
      <c r="D6" s="14">
        <f t="shared" ref="D6:D32" si="0">D37</f>
        <v>20592</v>
      </c>
      <c r="E6" s="17">
        <f t="shared" ref="E6:E32" si="1">E37+E68+IFERROR($E$105/$D$105*D6,0)</f>
        <v>158418.43824216138</v>
      </c>
      <c r="F6" s="21">
        <f t="shared" ref="F6:F33" si="2">IF(OR(D6=0,E6=0),"",ROUND(E6/D6,2))</f>
        <v>7.69</v>
      </c>
    </row>
    <row r="7" spans="1:6" ht="14.25" customHeight="1" x14ac:dyDescent="0.2">
      <c r="A7" s="19">
        <v>3</v>
      </c>
      <c r="B7" s="143" t="s">
        <v>2</v>
      </c>
      <c r="C7" s="144"/>
      <c r="D7" s="14">
        <f t="shared" si="0"/>
        <v>177236</v>
      </c>
      <c r="E7" s="17">
        <f t="shared" si="1"/>
        <v>697506.0431375152</v>
      </c>
      <c r="F7" s="21">
        <f t="shared" si="2"/>
        <v>3.94</v>
      </c>
    </row>
    <row r="8" spans="1:6" ht="14.25" customHeight="1" x14ac:dyDescent="0.2">
      <c r="A8" s="19">
        <v>4</v>
      </c>
      <c r="B8" s="143" t="s">
        <v>3</v>
      </c>
      <c r="C8" s="144"/>
      <c r="D8" s="14">
        <f t="shared" si="0"/>
        <v>146640</v>
      </c>
      <c r="E8" s="17">
        <f t="shared" si="1"/>
        <v>762643.99960327044</v>
      </c>
      <c r="F8" s="21">
        <f t="shared" si="2"/>
        <v>5.2</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113628</v>
      </c>
      <c r="E11" s="17">
        <f t="shared" si="1"/>
        <v>433723.53479896626</v>
      </c>
      <c r="F11" s="21">
        <f t="shared" si="2"/>
        <v>3.82</v>
      </c>
    </row>
    <row r="12" spans="1:6" x14ac:dyDescent="0.2">
      <c r="A12" s="19">
        <v>8</v>
      </c>
      <c r="B12" s="143" t="s">
        <v>7</v>
      </c>
      <c r="C12" s="144"/>
      <c r="D12" s="14">
        <f t="shared" si="0"/>
        <v>130096</v>
      </c>
      <c r="E12" s="17">
        <f t="shared" si="1"/>
        <v>489936.39964802965</v>
      </c>
      <c r="F12" s="21">
        <f t="shared" si="2"/>
        <v>3.77</v>
      </c>
    </row>
    <row r="13" spans="1:6" x14ac:dyDescent="0.2">
      <c r="A13" s="19">
        <v>9</v>
      </c>
      <c r="B13" s="143" t="s">
        <v>8</v>
      </c>
      <c r="C13" s="144"/>
      <c r="D13" s="14">
        <f t="shared" si="0"/>
        <v>133157</v>
      </c>
      <c r="E13" s="17">
        <f t="shared" si="1"/>
        <v>682418.87543762056</v>
      </c>
      <c r="F13" s="21">
        <f t="shared" si="2"/>
        <v>5.12</v>
      </c>
    </row>
    <row r="14" spans="1:6" x14ac:dyDescent="0.2">
      <c r="A14" s="19">
        <v>10</v>
      </c>
      <c r="B14" s="143" t="s">
        <v>9</v>
      </c>
      <c r="C14" s="144"/>
      <c r="D14" s="14">
        <f t="shared" si="0"/>
        <v>2640</v>
      </c>
      <c r="E14" s="17">
        <f t="shared" si="1"/>
        <v>11275.851056687356</v>
      </c>
      <c r="F14" s="21">
        <f t="shared" si="2"/>
        <v>4.2699999999999996</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233344</v>
      </c>
      <c r="E16" s="17">
        <f t="shared" si="1"/>
        <v>1025714.4291559297</v>
      </c>
      <c r="F16" s="21">
        <f t="shared" si="2"/>
        <v>4.4000000000000004</v>
      </c>
    </row>
    <row r="17" spans="1:6" x14ac:dyDescent="0.2">
      <c r="A17" s="19">
        <v>13</v>
      </c>
      <c r="B17" s="143" t="s">
        <v>12</v>
      </c>
      <c r="C17" s="144"/>
      <c r="D17" s="14">
        <f t="shared" si="0"/>
        <v>15936</v>
      </c>
      <c r="E17" s="17">
        <f t="shared" si="1"/>
        <v>184660.71910582186</v>
      </c>
      <c r="F17" s="21">
        <f t="shared" si="2"/>
        <v>11.59</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52784</v>
      </c>
      <c r="E19" s="17">
        <f t="shared" si="1"/>
        <v>386355.91900613083</v>
      </c>
      <c r="F19" s="21">
        <f t="shared" si="2"/>
        <v>7.32</v>
      </c>
    </row>
    <row r="20" spans="1:6" x14ac:dyDescent="0.2">
      <c r="A20" s="19">
        <v>16</v>
      </c>
      <c r="B20" s="143" t="s">
        <v>14</v>
      </c>
      <c r="C20" s="144"/>
      <c r="D20" s="14">
        <f t="shared" si="0"/>
        <v>5176</v>
      </c>
      <c r="E20" s="17">
        <f t="shared" si="1"/>
        <v>24393.538283868846</v>
      </c>
      <c r="F20" s="21">
        <f t="shared" si="2"/>
        <v>4.71</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187374</v>
      </c>
      <c r="E22" s="17">
        <f t="shared" si="1"/>
        <v>708972.62874838512</v>
      </c>
      <c r="F22" s="21">
        <f t="shared" si="2"/>
        <v>3.78</v>
      </c>
    </row>
    <row r="23" spans="1:6" x14ac:dyDescent="0.2">
      <c r="A23" s="19">
        <v>19</v>
      </c>
      <c r="B23" s="143" t="s">
        <v>17</v>
      </c>
      <c r="C23" s="144"/>
      <c r="D23" s="14">
        <f t="shared" si="0"/>
        <v>171856</v>
      </c>
      <c r="E23" s="17">
        <f t="shared" si="1"/>
        <v>763874.95272653876</v>
      </c>
      <c r="F23" s="21">
        <f t="shared" si="2"/>
        <v>4.4400000000000004</v>
      </c>
    </row>
    <row r="24" spans="1:6" x14ac:dyDescent="0.2">
      <c r="A24" s="19">
        <v>20</v>
      </c>
      <c r="B24" s="143" t="s">
        <v>18</v>
      </c>
      <c r="C24" s="144"/>
      <c r="D24" s="14">
        <f t="shared" si="0"/>
        <v>42784</v>
      </c>
      <c r="E24" s="17">
        <f t="shared" si="1"/>
        <v>247037.08924595144</v>
      </c>
      <c r="F24" s="21">
        <f t="shared" si="2"/>
        <v>5.77</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66448</v>
      </c>
      <c r="E26" s="17">
        <f t="shared" si="1"/>
        <v>670802.13599043991</v>
      </c>
      <c r="F26" s="21">
        <f t="shared" si="2"/>
        <v>10.1</v>
      </c>
    </row>
    <row r="27" spans="1:6" x14ac:dyDescent="0.2">
      <c r="A27" s="19">
        <v>23</v>
      </c>
      <c r="B27" s="143" t="s">
        <v>20</v>
      </c>
      <c r="C27" s="144"/>
      <c r="D27" s="14">
        <f t="shared" si="0"/>
        <v>40944</v>
      </c>
      <c r="E27" s="17">
        <f t="shared" si="1"/>
        <v>227852.34457007845</v>
      </c>
      <c r="F27" s="21">
        <f t="shared" si="2"/>
        <v>5.56</v>
      </c>
    </row>
    <row r="28" spans="1:6" x14ac:dyDescent="0.2">
      <c r="A28" s="19">
        <v>24</v>
      </c>
      <c r="B28" s="143" t="s">
        <v>21</v>
      </c>
      <c r="C28" s="144"/>
      <c r="D28" s="14">
        <f t="shared" si="0"/>
        <v>81104</v>
      </c>
      <c r="E28" s="17">
        <f t="shared" si="1"/>
        <v>394048.6848869588</v>
      </c>
      <c r="F28" s="21">
        <f t="shared" si="2"/>
        <v>4.8600000000000003</v>
      </c>
    </row>
    <row r="29" spans="1:6" x14ac:dyDescent="0.2">
      <c r="A29" s="19">
        <v>25</v>
      </c>
      <c r="B29" s="143" t="s">
        <v>22</v>
      </c>
      <c r="C29" s="144"/>
      <c r="D29" s="14">
        <f t="shared" si="0"/>
        <v>171696</v>
      </c>
      <c r="E29" s="17">
        <f t="shared" si="1"/>
        <v>753181.93145037582</v>
      </c>
      <c r="F29" s="21">
        <f t="shared" si="2"/>
        <v>4.3899999999999997</v>
      </c>
    </row>
    <row r="30" spans="1:6" x14ac:dyDescent="0.2">
      <c r="A30" s="19">
        <v>26</v>
      </c>
      <c r="B30" s="143" t="s">
        <v>23</v>
      </c>
      <c r="C30" s="144"/>
      <c r="D30" s="14">
        <f t="shared" si="0"/>
        <v>42072</v>
      </c>
      <c r="E30" s="17">
        <f t="shared" si="1"/>
        <v>368542.04456702666</v>
      </c>
      <c r="F30" s="21">
        <f t="shared" si="2"/>
        <v>8.76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1867771</v>
      </c>
      <c r="E33" s="31">
        <f>SUM(E5:E32)</f>
        <v>9107206</v>
      </c>
      <c r="F33" s="32">
        <f t="shared" si="2"/>
        <v>4.88</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IF(F3="1",SUMIF(Data!A:A,'11'!$A$2,Data!CU:CU),0)</f>
        <v>32264</v>
      </c>
      <c r="E36" s="15">
        <f>IF(F3="1",SUMIF(Data!$A:$A,$A$2,Data!IO:IO),0)</f>
        <v>2545</v>
      </c>
      <c r="F36" s="20">
        <f t="shared" ref="F36:F64" si="3">IF(OR(D36=0,E36=0),"",ROUND(E36/D36,2))</f>
        <v>0.08</v>
      </c>
    </row>
    <row r="37" spans="1:6" x14ac:dyDescent="0.2">
      <c r="A37" s="19">
        <v>2</v>
      </c>
      <c r="B37" s="143" t="s">
        <v>1</v>
      </c>
      <c r="C37" s="144"/>
      <c r="D37" s="14">
        <f>IF(F3="1",SUMIF(Data!A:A,'11'!$A$2,Data!CV:CV),0)</f>
        <v>20592</v>
      </c>
      <c r="E37" s="17">
        <f>IF(F3="1",SUMIF(Data!$A:$A,$A$2,Data!IP:IP),0)</f>
        <v>9398</v>
      </c>
      <c r="F37" s="21">
        <f t="shared" si="3"/>
        <v>0.46</v>
      </c>
    </row>
    <row r="38" spans="1:6" ht="14.25" customHeight="1" x14ac:dyDescent="0.2">
      <c r="A38" s="19">
        <v>3</v>
      </c>
      <c r="B38" s="143" t="s">
        <v>2</v>
      </c>
      <c r="C38" s="144"/>
      <c r="D38" s="14">
        <f>IF(F3="1",SUMIF(Data!A:A,'11'!$A$2,Data!CW:CW),0)</f>
        <v>177236</v>
      </c>
      <c r="E38" s="17">
        <f>IF($F$3="1",SUMIF(Data!$A:$A,$A$2,Data!IQ:IQ),0)</f>
        <v>23571</v>
      </c>
      <c r="F38" s="21">
        <f t="shared" si="3"/>
        <v>0.13</v>
      </c>
    </row>
    <row r="39" spans="1:6" ht="14.25" customHeight="1" x14ac:dyDescent="0.2">
      <c r="A39" s="19">
        <v>4</v>
      </c>
      <c r="B39" s="143" t="s">
        <v>3</v>
      </c>
      <c r="C39" s="144"/>
      <c r="D39" s="14">
        <f>IF(F3="1",SUMIF(Data!A:A,'11'!$A$2,Data!CX:CX),0)</f>
        <v>146640</v>
      </c>
      <c r="E39" s="17">
        <f>IF($F$3="1",SUMIF(Data!$A:$A,$A$2,Data!IR:IR),0)</f>
        <v>15310</v>
      </c>
      <c r="F39" s="21">
        <f t="shared" si="3"/>
        <v>0.1</v>
      </c>
    </row>
    <row r="40" spans="1:6" x14ac:dyDescent="0.2">
      <c r="A40" s="19">
        <v>5</v>
      </c>
      <c r="B40" s="143" t="s">
        <v>4</v>
      </c>
      <c r="C40" s="144"/>
      <c r="D40" s="14">
        <f>IF(F3="1",SUMIF(Data!A:A,'11'!$A$2,Data!CY:CY),0)</f>
        <v>0</v>
      </c>
      <c r="E40" s="17">
        <f>IF($F$3="1",SUMIF(Data!$A:$A,$A$2,Data!IS:IS),0)</f>
        <v>0</v>
      </c>
      <c r="F40" s="21" t="str">
        <f t="shared" si="3"/>
        <v/>
      </c>
    </row>
    <row r="41" spans="1:6" x14ac:dyDescent="0.2">
      <c r="A41" s="19">
        <v>6</v>
      </c>
      <c r="B41" s="143" t="s">
        <v>5</v>
      </c>
      <c r="C41" s="144"/>
      <c r="D41" s="14">
        <f>IF(F3="1",SUMIF(Data!A:A,'11'!$A$2,Data!CZ:CZ),0)</f>
        <v>0</v>
      </c>
      <c r="E41" s="17">
        <f>IF($F$3="1",SUMIF(Data!$A:$A,$A$2,Data!IT:IT),0)</f>
        <v>0</v>
      </c>
      <c r="F41" s="21" t="str">
        <f t="shared" si="3"/>
        <v/>
      </c>
    </row>
    <row r="42" spans="1:6" x14ac:dyDescent="0.2">
      <c r="A42" s="19">
        <v>7</v>
      </c>
      <c r="B42" s="143" t="s">
        <v>6</v>
      </c>
      <c r="C42" s="144"/>
      <c r="D42" s="14">
        <f>IF(F3="1",SUMIF(Data!A:A,'11'!$A$2,Data!DA:DA),0)</f>
        <v>113628</v>
      </c>
      <c r="E42" s="17">
        <f>IF($F$3="1",SUMIF(Data!$A:$A,$A$2,Data!IU:IU),0)</f>
        <v>7715</v>
      </c>
      <c r="F42" s="21">
        <f t="shared" si="3"/>
        <v>7.0000000000000007E-2</v>
      </c>
    </row>
    <row r="43" spans="1:6" x14ac:dyDescent="0.2">
      <c r="A43" s="19">
        <v>8</v>
      </c>
      <c r="B43" s="143" t="s">
        <v>7</v>
      </c>
      <c r="C43" s="144"/>
      <c r="D43" s="14">
        <f>IF(F3="1",SUMIF(Data!A:A,'11'!$A$2,Data!DB:DB),0)</f>
        <v>130096</v>
      </c>
      <c r="E43" s="17">
        <f>IF($F$3="1",SUMIF(Data!$A:$A,$A$2,Data!IV:IV),0)</f>
        <v>66455</v>
      </c>
      <c r="F43" s="21">
        <f t="shared" si="3"/>
        <v>0.51</v>
      </c>
    </row>
    <row r="44" spans="1:6" x14ac:dyDescent="0.2">
      <c r="A44" s="19">
        <v>9</v>
      </c>
      <c r="B44" s="143" t="s">
        <v>8</v>
      </c>
      <c r="C44" s="144"/>
      <c r="D44" s="14">
        <f>IF(F3="1",SUMIF(Data!A:A,'11'!$A$2,Data!DC:DC),0)</f>
        <v>133157</v>
      </c>
      <c r="E44" s="17">
        <f>IF($F$3="1",SUMIF(Data!$A:$A,$A$2,Data!IW:IW),0)</f>
        <v>60447</v>
      </c>
      <c r="F44" s="21">
        <f t="shared" si="3"/>
        <v>0.45</v>
      </c>
    </row>
    <row r="45" spans="1:6" x14ac:dyDescent="0.2">
      <c r="A45" s="19">
        <v>10</v>
      </c>
      <c r="B45" s="143" t="s">
        <v>9</v>
      </c>
      <c r="C45" s="144"/>
      <c r="D45" s="14">
        <f>IF(F3="1",SUMIF(Data!A:A,'11'!$A$2,Data!DD:DD),0)</f>
        <v>2640</v>
      </c>
      <c r="E45" s="17">
        <f>IF($F$3="1",SUMIF(Data!$A:$A,$A$2,Data!IX:IX),0)</f>
        <v>0</v>
      </c>
      <c r="F45" s="21" t="str">
        <f t="shared" si="3"/>
        <v/>
      </c>
    </row>
    <row r="46" spans="1:6" x14ac:dyDescent="0.2">
      <c r="A46" s="19">
        <v>11</v>
      </c>
      <c r="B46" s="143" t="s">
        <v>10</v>
      </c>
      <c r="C46" s="144"/>
      <c r="D46" s="14">
        <f>IF(F3="1",SUMIF(Data!A:A,'11'!$A$2,Data!DE:DE),0)</f>
        <v>0</v>
      </c>
      <c r="E46" s="17">
        <f>IF($F$3="1",SUMIF(Data!$A:$A,$A$2,Data!IY:IY),0)</f>
        <v>0</v>
      </c>
      <c r="F46" s="21" t="str">
        <f t="shared" si="3"/>
        <v/>
      </c>
    </row>
    <row r="47" spans="1:6" ht="14.25" customHeight="1" x14ac:dyDescent="0.2">
      <c r="A47" s="19">
        <v>12</v>
      </c>
      <c r="B47" s="143" t="s">
        <v>11</v>
      </c>
      <c r="C47" s="144"/>
      <c r="D47" s="14">
        <f>IF(F3="1",SUMIF(Data!A:A,'11'!$A$2,Data!DF:DF),0)</f>
        <v>233344</v>
      </c>
      <c r="E47" s="17">
        <f>IF($F$3="1",SUMIF(Data!$A:$A,$A$2,Data!IZ:IZ),0)</f>
        <v>5117</v>
      </c>
      <c r="F47" s="21">
        <f t="shared" si="3"/>
        <v>0.02</v>
      </c>
    </row>
    <row r="48" spans="1:6" x14ac:dyDescent="0.2">
      <c r="A48" s="19">
        <v>13</v>
      </c>
      <c r="B48" s="143" t="s">
        <v>12</v>
      </c>
      <c r="C48" s="144"/>
      <c r="D48" s="14">
        <f>IF(F3="1",SUMIF(Data!A:A,'11'!$A$2,Data!DG:DG),0)</f>
        <v>15936</v>
      </c>
      <c r="E48" s="17">
        <f>IF($F$3="1",SUMIF(Data!$A:$A,$A$2,Data!JA:JA),0)</f>
        <v>4218</v>
      </c>
      <c r="F48" s="21">
        <f t="shared" si="3"/>
        <v>0.26</v>
      </c>
    </row>
    <row r="49" spans="1:6" ht="14.25" customHeight="1" x14ac:dyDescent="0.2">
      <c r="A49" s="19">
        <v>14</v>
      </c>
      <c r="B49" s="143" t="s">
        <v>464</v>
      </c>
      <c r="C49" s="144"/>
      <c r="D49" s="14">
        <f>IF(F3="1",SUMIF(Data!A:A,'11'!$A$2,Data!DH:DH),0)</f>
        <v>0</v>
      </c>
      <c r="E49" s="17">
        <f>IF($F$3="1",SUMIF(Data!$A:$A,$A$2,Data!JB:JB),0)</f>
        <v>0</v>
      </c>
      <c r="F49" s="21" t="str">
        <f t="shared" si="3"/>
        <v/>
      </c>
    </row>
    <row r="50" spans="1:6" x14ac:dyDescent="0.2">
      <c r="A50" s="19">
        <v>15</v>
      </c>
      <c r="B50" s="143" t="s">
        <v>13</v>
      </c>
      <c r="C50" s="144"/>
      <c r="D50" s="14">
        <f>IF(F3="1",SUMIF(Data!A:A,'11'!$A$2,Data!DI:DI),0)</f>
        <v>52784</v>
      </c>
      <c r="E50" s="17">
        <f>IF($F$3="1",SUMIF(Data!$A:$A,$A$2,Data!JC:JC),0)</f>
        <v>51143</v>
      </c>
      <c r="F50" s="21">
        <f t="shared" si="3"/>
        <v>0.97</v>
      </c>
    </row>
    <row r="51" spans="1:6" x14ac:dyDescent="0.2">
      <c r="A51" s="19">
        <v>16</v>
      </c>
      <c r="B51" s="143" t="s">
        <v>14</v>
      </c>
      <c r="C51" s="144"/>
      <c r="D51" s="14">
        <f>IF(F3="1",SUMIF(Data!A:A,'11'!$A$2,Data!DJ:DJ),0)</f>
        <v>5176</v>
      </c>
      <c r="E51" s="17">
        <f>IF($F$3="1",SUMIF(Data!$A:$A,$A$2,Data!JD:JD),0)</f>
        <v>0</v>
      </c>
      <c r="F51" s="21" t="str">
        <f t="shared" si="3"/>
        <v/>
      </c>
    </row>
    <row r="52" spans="1:6" x14ac:dyDescent="0.2">
      <c r="A52" s="19">
        <v>17</v>
      </c>
      <c r="B52" s="143" t="s">
        <v>15</v>
      </c>
      <c r="C52" s="144"/>
      <c r="D52" s="14">
        <f>IF(F3="1",SUMIF(Data!A:A,'11'!$A$2,Data!DK:DK),0)</f>
        <v>0</v>
      </c>
      <c r="E52" s="17">
        <f>IF($F$3="1",SUMIF(Data!$A:$A,$A$2,Data!JE:JE),0)</f>
        <v>0</v>
      </c>
      <c r="F52" s="21" t="str">
        <f t="shared" si="3"/>
        <v/>
      </c>
    </row>
    <row r="53" spans="1:6" x14ac:dyDescent="0.2">
      <c r="A53" s="19">
        <v>18</v>
      </c>
      <c r="B53" s="143" t="s">
        <v>16</v>
      </c>
      <c r="C53" s="144"/>
      <c r="D53" s="14">
        <f>IF(F3="1",SUMIF(Data!A:A,'11'!$A$2,Data!DL:DL),0)</f>
        <v>187374</v>
      </c>
      <c r="E53" s="17">
        <f>IF($F$3="1",SUMIF(Data!$A:$A,$A$2,Data!JF:JF),0)</f>
        <v>47384</v>
      </c>
      <c r="F53" s="21">
        <f t="shared" si="3"/>
        <v>0.25</v>
      </c>
    </row>
    <row r="54" spans="1:6" x14ac:dyDescent="0.2">
      <c r="A54" s="19">
        <v>19</v>
      </c>
      <c r="B54" s="143" t="s">
        <v>17</v>
      </c>
      <c r="C54" s="144"/>
      <c r="D54" s="14">
        <f>IF(F3="1",SUMIF(Data!A:A,'11'!$A$2,Data!DM:DM),0)</f>
        <v>171856</v>
      </c>
      <c r="E54" s="17">
        <f>IF($F$3="1",SUMIF(Data!$A:$A,$A$2,Data!JG:JG),0)</f>
        <v>9855</v>
      </c>
      <c r="F54" s="21">
        <f t="shared" si="3"/>
        <v>0.06</v>
      </c>
    </row>
    <row r="55" spans="1:6" x14ac:dyDescent="0.2">
      <c r="A55" s="19">
        <v>20</v>
      </c>
      <c r="B55" s="143" t="s">
        <v>18</v>
      </c>
      <c r="C55" s="144"/>
      <c r="D55" s="14">
        <f>IF(F3="1",SUMIF(Data!A:A,'11'!$A$2,Data!DN:DN),0)</f>
        <v>42784</v>
      </c>
      <c r="E55" s="17">
        <f>IF($F$3="1",SUMIF(Data!$A:$A,$A$2,Data!JH:JH),0)</f>
        <v>30126</v>
      </c>
      <c r="F55" s="21">
        <f t="shared" si="3"/>
        <v>0.7</v>
      </c>
    </row>
    <row r="56" spans="1:6" ht="14.25" customHeight="1" x14ac:dyDescent="0.2">
      <c r="A56" s="19">
        <v>21</v>
      </c>
      <c r="B56" s="143" t="s">
        <v>461</v>
      </c>
      <c r="C56" s="144"/>
      <c r="D56" s="14">
        <f>IF(F3="1",SUMIF(Data!A:A,'11'!$A$2,Data!DO:DO),0)</f>
        <v>0</v>
      </c>
      <c r="E56" s="17">
        <f>IF($F$3="1",SUMIF(Data!$A:$A,$A$2,Data!JI:JI),0)</f>
        <v>0</v>
      </c>
      <c r="F56" s="21" t="str">
        <f t="shared" si="3"/>
        <v/>
      </c>
    </row>
    <row r="57" spans="1:6" x14ac:dyDescent="0.2">
      <c r="A57" s="19">
        <v>22</v>
      </c>
      <c r="B57" s="143" t="s">
        <v>19</v>
      </c>
      <c r="C57" s="144"/>
      <c r="D57" s="14">
        <f>IF(F3="1",SUMIF(Data!A:A,'11'!$A$2,Data!DP:DP),0)</f>
        <v>66448</v>
      </c>
      <c r="E57" s="17">
        <f>IF($F$3="1",SUMIF(Data!$A:$A,$A$2,Data!JJ:JJ),0)</f>
        <v>27870</v>
      </c>
      <c r="F57" s="21">
        <f t="shared" si="3"/>
        <v>0.42</v>
      </c>
    </row>
    <row r="58" spans="1:6" x14ac:dyDescent="0.2">
      <c r="A58" s="19">
        <v>23</v>
      </c>
      <c r="B58" s="143" t="s">
        <v>20</v>
      </c>
      <c r="C58" s="144"/>
      <c r="D58" s="14">
        <f>IF(F3="1",SUMIF(Data!A:A,'11'!$A$2,Data!DQ:DQ),0)</f>
        <v>40944</v>
      </c>
      <c r="E58" s="17">
        <f>IF($F$3="1",SUMIF(Data!$A:$A,$A$2,Data!JK:JK),0)</f>
        <v>7703</v>
      </c>
      <c r="F58" s="21">
        <f t="shared" si="3"/>
        <v>0.19</v>
      </c>
    </row>
    <row r="59" spans="1:6" x14ac:dyDescent="0.2">
      <c r="A59" s="19">
        <v>24</v>
      </c>
      <c r="B59" s="143" t="s">
        <v>21</v>
      </c>
      <c r="C59" s="144"/>
      <c r="D59" s="14">
        <f>IF(F3="1",SUMIF(Data!A:A,'11'!$A$2,Data!DR:DR),0)</f>
        <v>81104</v>
      </c>
      <c r="E59" s="17">
        <f>IF($F$3="1",SUMIF(Data!$A:$A,$A$2,Data!JL:JL),0)</f>
        <v>36057</v>
      </c>
      <c r="F59" s="21">
        <f t="shared" si="3"/>
        <v>0.44</v>
      </c>
    </row>
    <row r="60" spans="1:6" x14ac:dyDescent="0.2">
      <c r="A60" s="19">
        <v>25</v>
      </c>
      <c r="B60" s="143" t="s">
        <v>22</v>
      </c>
      <c r="C60" s="144"/>
      <c r="D60" s="14">
        <f>IF(F3="1",SUMIF(Data!A:A,'11'!$A$2,Data!DS:DS),0)</f>
        <v>171696</v>
      </c>
      <c r="E60" s="17">
        <f>IF($F$3="1",SUMIF(Data!$A:$A,$A$2,Data!JM:JM),0)</f>
        <v>3309</v>
      </c>
      <c r="F60" s="21">
        <f t="shared" si="3"/>
        <v>0.02</v>
      </c>
    </row>
    <row r="61" spans="1:6" x14ac:dyDescent="0.2">
      <c r="A61" s="19">
        <v>26</v>
      </c>
      <c r="B61" s="143" t="s">
        <v>23</v>
      </c>
      <c r="C61" s="144"/>
      <c r="D61" s="14">
        <f>IF(F3="1",SUMIF(Data!A:A,'11'!$A$2,Data!DT:DT),0)</f>
        <v>42072</v>
      </c>
      <c r="E61" s="17">
        <f>IF($F$3="1",SUMIF(Data!$A:$A,$A$2,Data!JN:JN),0)</f>
        <v>38927</v>
      </c>
      <c r="F61" s="21">
        <f t="shared" si="3"/>
        <v>0.93</v>
      </c>
    </row>
    <row r="62" spans="1:6" x14ac:dyDescent="0.2">
      <c r="A62" s="19">
        <v>28</v>
      </c>
      <c r="B62" s="143" t="s">
        <v>24</v>
      </c>
      <c r="C62" s="144"/>
      <c r="D62" s="14">
        <f>IF(F3="1",SUMIF(Data!A:A,'11'!$A$2,Data!DV:DV),0)</f>
        <v>0</v>
      </c>
      <c r="E62" s="17">
        <f>IF($F$3="1",SUMIF(Data!$A:$A,$A$2,Data!JP:JP),0)</f>
        <v>0</v>
      </c>
      <c r="F62" s="21" t="str">
        <f t="shared" si="3"/>
        <v/>
      </c>
    </row>
    <row r="63" spans="1:6" ht="15.75" customHeight="1" thickBot="1" x14ac:dyDescent="0.25">
      <c r="A63" s="22">
        <v>29</v>
      </c>
      <c r="B63" s="147" t="s">
        <v>25</v>
      </c>
      <c r="C63" s="148"/>
      <c r="D63" s="23">
        <f>IF(F3="1",SUMIF(Data!A:A,'11'!$A$2,Data!DW:DW),0)</f>
        <v>0</v>
      </c>
      <c r="E63" s="24">
        <f>IF($F$3="1",SUMIF(Data!$A:$A,$A$2,Data!JQ:JQ),0)</f>
        <v>0</v>
      </c>
      <c r="F63" s="25" t="str">
        <f t="shared" si="3"/>
        <v/>
      </c>
    </row>
    <row r="64" spans="1:6" x14ac:dyDescent="0.2">
      <c r="B64" s="30" t="s">
        <v>35</v>
      </c>
      <c r="C64" s="30"/>
      <c r="D64" s="59">
        <f>SUM(D36:D63)</f>
        <v>1867771</v>
      </c>
      <c r="E64" s="31">
        <f>SUM(E36:E63)</f>
        <v>447150</v>
      </c>
      <c r="F64" s="32">
        <f t="shared" si="3"/>
        <v>0.24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32264</v>
      </c>
      <c r="E67" s="15">
        <f>IF(F3="1",SUMIF(Data!A:A,'11'!$A$2,Data!DY:DY),0)</f>
        <v>42518</v>
      </c>
      <c r="F67" s="20">
        <f t="shared" ref="F67:F95" si="4">IF(OR(D67=0,E67=0),"",ROUND(E67/D67,2))</f>
        <v>1.32</v>
      </c>
    </row>
    <row r="68" spans="1:6" x14ac:dyDescent="0.2">
      <c r="A68" s="19">
        <v>2</v>
      </c>
      <c r="B68" s="143" t="s">
        <v>1</v>
      </c>
      <c r="C68" s="144"/>
      <c r="D68" s="14">
        <f t="shared" ref="D68:D94" si="5">D37</f>
        <v>20592</v>
      </c>
      <c r="E68" s="17">
        <f>IF(F3="1",SUMIF(Data!A:A,'11'!$A$2,Data!DZ:DZ),0)</f>
        <v>103844</v>
      </c>
      <c r="F68" s="21">
        <f t="shared" si="4"/>
        <v>5.04</v>
      </c>
    </row>
    <row r="69" spans="1:6" ht="14.25" customHeight="1" x14ac:dyDescent="0.2">
      <c r="A69" s="19">
        <v>3</v>
      </c>
      <c r="B69" s="143" t="s">
        <v>2</v>
      </c>
      <c r="C69" s="144"/>
      <c r="D69" s="14">
        <f t="shared" si="5"/>
        <v>177236</v>
      </c>
      <c r="E69" s="17">
        <f>IF(F3="1",SUMIF(Data!A:A,'11'!$A$2,Data!EA:EA),0)</f>
        <v>285100</v>
      </c>
      <c r="F69" s="21">
        <f t="shared" si="4"/>
        <v>1.61</v>
      </c>
    </row>
    <row r="70" spans="1:6" ht="14.25" customHeight="1" x14ac:dyDescent="0.2">
      <c r="A70" s="19">
        <v>4</v>
      </c>
      <c r="B70" s="143" t="s">
        <v>3</v>
      </c>
      <c r="C70" s="144"/>
      <c r="D70" s="14">
        <f t="shared" si="5"/>
        <v>146640</v>
      </c>
      <c r="E70" s="17">
        <f>IF(F3="1",SUMIF(Data!A:A,'11'!$A$2,Data!EB:EB),0)</f>
        <v>425623</v>
      </c>
      <c r="F70" s="21">
        <f t="shared" si="4"/>
        <v>2.9</v>
      </c>
    </row>
    <row r="71" spans="1:6" x14ac:dyDescent="0.2">
      <c r="A71" s="19">
        <v>5</v>
      </c>
      <c r="B71" s="143" t="s">
        <v>4</v>
      </c>
      <c r="C71" s="144"/>
      <c r="D71" s="14">
        <f t="shared" si="5"/>
        <v>0</v>
      </c>
      <c r="E71" s="17">
        <f>IF(F3="1",SUMIF(Data!A:A,'11'!$A$2,Data!EC:EC),0)</f>
        <v>0</v>
      </c>
      <c r="F71" s="21" t="str">
        <f t="shared" si="4"/>
        <v/>
      </c>
    </row>
    <row r="72" spans="1:6" x14ac:dyDescent="0.2">
      <c r="A72" s="19">
        <v>6</v>
      </c>
      <c r="B72" s="143" t="s">
        <v>5</v>
      </c>
      <c r="C72" s="144"/>
      <c r="D72" s="14">
        <f t="shared" si="5"/>
        <v>0</v>
      </c>
      <c r="E72" s="17">
        <f>IF(F3="1",SUMIF(Data!A:A,'11'!$A$2,Data!ED:ED),0)</f>
        <v>0</v>
      </c>
      <c r="F72" s="21" t="str">
        <f t="shared" si="4"/>
        <v/>
      </c>
    </row>
    <row r="73" spans="1:6" x14ac:dyDescent="0.2">
      <c r="A73" s="19">
        <v>7</v>
      </c>
      <c r="B73" s="143" t="s">
        <v>6</v>
      </c>
      <c r="C73" s="144"/>
      <c r="D73" s="14">
        <f t="shared" si="5"/>
        <v>113628</v>
      </c>
      <c r="E73" s="17">
        <f>IF(F3="1",SUMIF(Data!A:A,'11'!$A$2,Data!EE:EE),0)</f>
        <v>176722</v>
      </c>
      <c r="F73" s="21">
        <f t="shared" si="4"/>
        <v>1.56</v>
      </c>
    </row>
    <row r="74" spans="1:6" x14ac:dyDescent="0.2">
      <c r="A74" s="19">
        <v>8</v>
      </c>
      <c r="B74" s="143" t="s">
        <v>7</v>
      </c>
      <c r="C74" s="144"/>
      <c r="D74" s="14">
        <f t="shared" si="5"/>
        <v>130096</v>
      </c>
      <c r="E74" s="17">
        <f>IF(F3="1",SUMIF(Data!A:A,'11'!$A$2,Data!EF:EF),0)</f>
        <v>138066</v>
      </c>
      <c r="F74" s="21">
        <f t="shared" si="4"/>
        <v>1.06</v>
      </c>
    </row>
    <row r="75" spans="1:6" x14ac:dyDescent="0.2">
      <c r="A75" s="19">
        <v>9</v>
      </c>
      <c r="B75" s="143" t="s">
        <v>8</v>
      </c>
      <c r="C75" s="144"/>
      <c r="D75" s="14">
        <f t="shared" si="5"/>
        <v>133157</v>
      </c>
      <c r="E75" s="17">
        <f>IF(F3="1",SUMIF(Data!A:A,'11'!$A$2,Data!EG:EG),0)</f>
        <v>329841</v>
      </c>
      <c r="F75" s="21">
        <f t="shared" si="4"/>
        <v>2.48</v>
      </c>
    </row>
    <row r="76" spans="1:6" x14ac:dyDescent="0.2">
      <c r="A76" s="19">
        <v>10</v>
      </c>
      <c r="B76" s="143" t="s">
        <v>9</v>
      </c>
      <c r="C76" s="144"/>
      <c r="D76" s="14">
        <f t="shared" si="5"/>
        <v>2640</v>
      </c>
      <c r="E76" s="17">
        <f>IF(F3="1",SUMIF(Data!A:A,'11'!$A$2,Data!EH:EH),0)</f>
        <v>5484</v>
      </c>
      <c r="F76" s="21">
        <f t="shared" si="4"/>
        <v>2.08</v>
      </c>
    </row>
    <row r="77" spans="1:6" x14ac:dyDescent="0.2">
      <c r="A77" s="19">
        <v>11</v>
      </c>
      <c r="B77" s="143" t="s">
        <v>10</v>
      </c>
      <c r="C77" s="144"/>
      <c r="D77" s="14">
        <f t="shared" si="5"/>
        <v>0</v>
      </c>
      <c r="E77" s="17">
        <f>IF(F3="1",SUMIF(Data!A:A,'11'!$A$2,Data!EI:EI),0)</f>
        <v>0</v>
      </c>
      <c r="F77" s="21" t="str">
        <f t="shared" si="4"/>
        <v/>
      </c>
    </row>
    <row r="78" spans="1:6" ht="14.25" customHeight="1" x14ac:dyDescent="0.2">
      <c r="A78" s="19">
        <v>12</v>
      </c>
      <c r="B78" s="143" t="s">
        <v>11</v>
      </c>
      <c r="C78" s="144"/>
      <c r="D78" s="14">
        <f t="shared" si="5"/>
        <v>233344</v>
      </c>
      <c r="E78" s="17">
        <f>IF(F3="1",SUMIF(Data!A:A,'11'!$A$2,Data!EJ:EJ),0)</f>
        <v>508668</v>
      </c>
      <c r="F78" s="21">
        <f t="shared" si="4"/>
        <v>2.1800000000000002</v>
      </c>
    </row>
    <row r="79" spans="1:6" x14ac:dyDescent="0.2">
      <c r="A79" s="19">
        <v>13</v>
      </c>
      <c r="B79" s="143" t="s">
        <v>12</v>
      </c>
      <c r="C79" s="144"/>
      <c r="D79" s="14">
        <f t="shared" si="5"/>
        <v>15936</v>
      </c>
      <c r="E79" s="17">
        <f>IF(F3="1",SUMIF(Data!A:A,'11'!$A$2,Data!EK:EK),0)</f>
        <v>145481</v>
      </c>
      <c r="F79" s="21">
        <f t="shared" si="4"/>
        <v>9.1300000000000008</v>
      </c>
    </row>
    <row r="80" spans="1:6" ht="14.25" customHeight="1" x14ac:dyDescent="0.2">
      <c r="A80" s="19">
        <v>14</v>
      </c>
      <c r="B80" s="143" t="s">
        <v>464</v>
      </c>
      <c r="C80" s="144"/>
      <c r="D80" s="14">
        <f t="shared" si="5"/>
        <v>0</v>
      </c>
      <c r="E80" s="17">
        <f>IF(F3="1",SUMIF(Data!A:A,'11'!$A$2,Data!EL:EL),0)</f>
        <v>0</v>
      </c>
      <c r="F80" s="21" t="str">
        <f t="shared" si="4"/>
        <v/>
      </c>
    </row>
    <row r="81" spans="1:6" x14ac:dyDescent="0.2">
      <c r="A81" s="19">
        <v>15</v>
      </c>
      <c r="B81" s="143" t="s">
        <v>13</v>
      </c>
      <c r="C81" s="144"/>
      <c r="D81" s="14">
        <f t="shared" si="5"/>
        <v>52784</v>
      </c>
      <c r="E81" s="17">
        <f>IF(F3="1",SUMIF(Data!A:A,'11'!$A$2,Data!EM:EM),0)</f>
        <v>219411</v>
      </c>
      <c r="F81" s="21">
        <f t="shared" si="4"/>
        <v>4.16</v>
      </c>
    </row>
    <row r="82" spans="1:6" x14ac:dyDescent="0.2">
      <c r="A82" s="19">
        <v>16</v>
      </c>
      <c r="B82" s="143" t="s">
        <v>14</v>
      </c>
      <c r="C82" s="144"/>
      <c r="D82" s="14">
        <f t="shared" si="5"/>
        <v>5176</v>
      </c>
      <c r="E82" s="17">
        <f>IF(F3="1",SUMIF(Data!A:A,'11'!$A$2,Data!EN:EN),0)</f>
        <v>13038</v>
      </c>
      <c r="F82" s="21">
        <f t="shared" si="4"/>
        <v>2.52</v>
      </c>
    </row>
    <row r="83" spans="1:6" x14ac:dyDescent="0.2">
      <c r="A83" s="19">
        <v>17</v>
      </c>
      <c r="B83" s="143" t="s">
        <v>15</v>
      </c>
      <c r="C83" s="144"/>
      <c r="D83" s="14">
        <f t="shared" si="5"/>
        <v>0</v>
      </c>
      <c r="E83" s="17">
        <f>IF(F3="1",SUMIF(Data!A:A,'11'!$A$2,Data!EO:EO),0)</f>
        <v>0</v>
      </c>
      <c r="F83" s="21" t="str">
        <f t="shared" si="4"/>
        <v/>
      </c>
    </row>
    <row r="84" spans="1:6" x14ac:dyDescent="0.2">
      <c r="A84" s="19">
        <v>18</v>
      </c>
      <c r="B84" s="143" t="s">
        <v>16</v>
      </c>
      <c r="C84" s="144"/>
      <c r="D84" s="14">
        <f t="shared" si="5"/>
        <v>187374</v>
      </c>
      <c r="E84" s="17">
        <f>IF(F3="1",SUMIF(Data!A:A,'11'!$A$2,Data!EP:EP),0)</f>
        <v>250512</v>
      </c>
      <c r="F84" s="21">
        <f t="shared" si="4"/>
        <v>1.34</v>
      </c>
    </row>
    <row r="85" spans="1:6" x14ac:dyDescent="0.2">
      <c r="A85" s="19">
        <v>19</v>
      </c>
      <c r="B85" s="143" t="s">
        <v>17</v>
      </c>
      <c r="C85" s="144"/>
      <c r="D85" s="14">
        <f t="shared" si="5"/>
        <v>171856</v>
      </c>
      <c r="E85" s="17">
        <f>IF(F3="1",SUMIF(Data!A:A,'11'!$A$2,Data!EQ:EQ),0)</f>
        <v>376988</v>
      </c>
      <c r="F85" s="21">
        <f t="shared" si="4"/>
        <v>2.19</v>
      </c>
    </row>
    <row r="86" spans="1:6" x14ac:dyDescent="0.2">
      <c r="A86" s="19">
        <v>20</v>
      </c>
      <c r="B86" s="143" t="s">
        <v>18</v>
      </c>
      <c r="C86" s="144"/>
      <c r="D86" s="14">
        <f t="shared" si="5"/>
        <v>42784</v>
      </c>
      <c r="E86" s="17">
        <f>IF(F3="1",SUMIF(Data!A:A,'11'!$A$2,Data!ER:ER),0)</f>
        <v>123048</v>
      </c>
      <c r="F86" s="21">
        <f t="shared" si="4"/>
        <v>2.88</v>
      </c>
    </row>
    <row r="87" spans="1:6" ht="14.25" customHeight="1" x14ac:dyDescent="0.2">
      <c r="A87" s="19">
        <v>21</v>
      </c>
      <c r="B87" s="143" t="s">
        <v>461</v>
      </c>
      <c r="C87" s="144"/>
      <c r="D87" s="14">
        <f t="shared" si="5"/>
        <v>0</v>
      </c>
      <c r="E87" s="17">
        <f>IF(F3="1",SUMIF(Data!A:A,'11'!$A$2,Data!ES:ES),0)</f>
        <v>0</v>
      </c>
      <c r="F87" s="21" t="str">
        <f t="shared" si="4"/>
        <v/>
      </c>
    </row>
    <row r="88" spans="1:6" x14ac:dyDescent="0.2">
      <c r="A88" s="19">
        <v>22</v>
      </c>
      <c r="B88" s="143" t="s">
        <v>19</v>
      </c>
      <c r="C88" s="144"/>
      <c r="D88" s="14">
        <f t="shared" si="5"/>
        <v>66448</v>
      </c>
      <c r="E88" s="17">
        <f>IF(F3="1",SUMIF(Data!A:A,'11'!$A$2,Data!ET:ET),0)</f>
        <v>497153</v>
      </c>
      <c r="F88" s="21">
        <f t="shared" si="4"/>
        <v>7.48</v>
      </c>
    </row>
    <row r="89" spans="1:6" x14ac:dyDescent="0.2">
      <c r="A89" s="19">
        <v>23</v>
      </c>
      <c r="B89" s="143" t="s">
        <v>20</v>
      </c>
      <c r="C89" s="144"/>
      <c r="D89" s="14">
        <f t="shared" si="5"/>
        <v>40944</v>
      </c>
      <c r="E89" s="17">
        <f>IF(F3="1",SUMIF(Data!A:A,'11'!$A$2,Data!EU:EU),0)</f>
        <v>130323</v>
      </c>
      <c r="F89" s="21">
        <f t="shared" si="4"/>
        <v>3.18</v>
      </c>
    </row>
    <row r="90" spans="1:6" x14ac:dyDescent="0.2">
      <c r="A90" s="19">
        <v>24</v>
      </c>
      <c r="B90" s="143" t="s">
        <v>21</v>
      </c>
      <c r="C90" s="144"/>
      <c r="D90" s="14">
        <f t="shared" si="5"/>
        <v>81104</v>
      </c>
      <c r="E90" s="17">
        <f>IF(F3="1",SUMIF(Data!A:A,'11'!$A$2,Data!EV:EV),0)</f>
        <v>180059</v>
      </c>
      <c r="F90" s="21">
        <f t="shared" si="4"/>
        <v>2.2200000000000002</v>
      </c>
    </row>
    <row r="91" spans="1:6" x14ac:dyDescent="0.2">
      <c r="A91" s="19">
        <v>25</v>
      </c>
      <c r="B91" s="143" t="s">
        <v>22</v>
      </c>
      <c r="C91" s="144"/>
      <c r="D91" s="14">
        <f t="shared" si="5"/>
        <v>171696</v>
      </c>
      <c r="E91" s="17">
        <f>IF(F3="1",SUMIF(Data!A:A,'11'!$A$2,Data!EW:EW),0)</f>
        <v>373192</v>
      </c>
      <c r="F91" s="21">
        <f t="shared" si="4"/>
        <v>2.17</v>
      </c>
    </row>
    <row r="92" spans="1:6" x14ac:dyDescent="0.2">
      <c r="A92" s="19">
        <v>26</v>
      </c>
      <c r="B92" s="143" t="s">
        <v>23</v>
      </c>
      <c r="C92" s="144"/>
      <c r="D92" s="14">
        <f t="shared" si="5"/>
        <v>42072</v>
      </c>
      <c r="E92" s="17">
        <f>IF(F3="1",SUMIF(Data!A:A,'11'!$A$2,Data!EX:EX),0)</f>
        <v>237314</v>
      </c>
      <c r="F92" s="21">
        <f t="shared" si="4"/>
        <v>5.64</v>
      </c>
    </row>
    <row r="93" spans="1:6" x14ac:dyDescent="0.2">
      <c r="A93" s="19">
        <v>28</v>
      </c>
      <c r="B93" s="143" t="s">
        <v>24</v>
      </c>
      <c r="C93" s="144"/>
      <c r="D93" s="14">
        <f t="shared" si="5"/>
        <v>0</v>
      </c>
      <c r="E93" s="17">
        <f>IF(F3="1",SUMIF(Data!A:A,'11'!$A$2,Data!EZ:EZ),0)</f>
        <v>0</v>
      </c>
      <c r="F93" s="21" t="str">
        <f t="shared" si="4"/>
        <v/>
      </c>
    </row>
    <row r="94" spans="1:6" ht="15.75" customHeight="1" thickBot="1" x14ac:dyDescent="0.25">
      <c r="A94" s="22">
        <v>29</v>
      </c>
      <c r="B94" s="147" t="s">
        <v>25</v>
      </c>
      <c r="C94" s="148"/>
      <c r="D94" s="23">
        <f t="shared" si="5"/>
        <v>0</v>
      </c>
      <c r="E94" s="24">
        <f>IF(F3="1",SUMIF(Data!A:A,'11'!$A$2,Data!FA:FA),0)</f>
        <v>0</v>
      </c>
      <c r="F94" s="25" t="str">
        <f t="shared" si="4"/>
        <v/>
      </c>
    </row>
    <row r="95" spans="1:6" x14ac:dyDescent="0.2">
      <c r="B95" s="30" t="s">
        <v>35</v>
      </c>
      <c r="C95" s="30"/>
      <c r="D95" s="59">
        <f>SUM(D67:D94)</f>
        <v>1867771</v>
      </c>
      <c r="E95" s="31">
        <f>SUM(E67:E94)</f>
        <v>4562385</v>
      </c>
      <c r="F95" s="32">
        <f t="shared" si="4"/>
        <v>2.44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IF(F3="1",SUMIF(Data!A:A,'11'!$A$2,Data!AH:AH),0)</f>
        <v>1841621</v>
      </c>
      <c r="F98" s="20">
        <f>IF(OR(E98=0,E98=0),"",ROUND(E98/$D$105,2))</f>
        <v>0.99</v>
      </c>
    </row>
    <row r="99" spans="2:6" x14ac:dyDescent="0.2">
      <c r="B99" s="153" t="s">
        <v>31</v>
      </c>
      <c r="C99" s="154"/>
      <c r="D99" s="36"/>
      <c r="E99" s="17">
        <f>IF(F3="1",SUMIF(Data!A:A,'11'!$A$2,Data!AI:AI),0)</f>
        <v>579264</v>
      </c>
      <c r="F99" s="21">
        <f t="shared" ref="F99:F104" si="6">IF(OR(E99=0,E99=0),"",ROUND(E99/$D$105,2))</f>
        <v>0.31</v>
      </c>
    </row>
    <row r="100" spans="2:6" x14ac:dyDescent="0.2">
      <c r="B100" s="153" t="s">
        <v>1078</v>
      </c>
      <c r="C100" s="154"/>
      <c r="D100" s="36"/>
      <c r="E100" s="17">
        <f>IF(F3="1",SUMIF(Data!A:A,'11'!$A$2,Data!AJ:AJ),0)</f>
        <v>500969</v>
      </c>
      <c r="F100" s="21">
        <f t="shared" si="6"/>
        <v>0.27</v>
      </c>
    </row>
    <row r="101" spans="2:6" x14ac:dyDescent="0.2">
      <c r="B101" s="153" t="s">
        <v>1079</v>
      </c>
      <c r="C101" s="154"/>
      <c r="D101" s="36"/>
      <c r="E101" s="17">
        <f>IF(F3="1",SUMIF(Data!A:A,'11'!$A$2,Data!AK:AK),0)</f>
        <v>838828</v>
      </c>
      <c r="F101" s="21">
        <f t="shared" si="6"/>
        <v>0.45</v>
      </c>
    </row>
    <row r="102" spans="2:6" x14ac:dyDescent="0.2">
      <c r="B102" s="153" t="s">
        <v>1080</v>
      </c>
      <c r="C102" s="154"/>
      <c r="D102" s="36"/>
      <c r="E102" s="17">
        <f>IF(F3="1",SUMIF(Data!A:A,'11'!$A$2,Data!AL:AL),0)</f>
        <v>0</v>
      </c>
      <c r="F102" s="21" t="str">
        <f t="shared" si="6"/>
        <v/>
      </c>
    </row>
    <row r="103" spans="2:6" x14ac:dyDescent="0.2">
      <c r="B103" s="155" t="s">
        <v>34</v>
      </c>
      <c r="C103" s="156"/>
      <c r="D103" s="36"/>
      <c r="E103" s="17">
        <f>IF(F3="1",SUMIF(Data!A:A,'11'!$A$2,Data!AM:AM),0)</f>
        <v>0</v>
      </c>
      <c r="F103" s="21" t="str">
        <f t="shared" si="6"/>
        <v/>
      </c>
    </row>
    <row r="104" spans="2:6" ht="15.75" customHeight="1" thickBot="1" x14ac:dyDescent="0.25">
      <c r="B104" s="149" t="s">
        <v>29</v>
      </c>
      <c r="C104" s="150"/>
      <c r="D104" s="37"/>
      <c r="E104" s="24">
        <f>IF(F3="1",SUMIF(Data!A:A,'11'!$A$2,Data!Q:Q),0)</f>
        <v>336989</v>
      </c>
      <c r="F104" s="25">
        <f t="shared" si="6"/>
        <v>0.18</v>
      </c>
    </row>
    <row r="105" spans="2:6" x14ac:dyDescent="0.2">
      <c r="B105" s="30" t="s">
        <v>35</v>
      </c>
      <c r="C105" s="30"/>
      <c r="D105" s="34">
        <f>D95</f>
        <v>1867771</v>
      </c>
      <c r="E105" s="31">
        <f>SUM(E98:E104)</f>
        <v>4097671</v>
      </c>
      <c r="F105" s="32">
        <f>IF($D$105=0,"",ROUND(E105/$D$105,2))</f>
        <v>2.19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4562385</v>
      </c>
      <c r="D109" s="15">
        <f>IF(F3="1",SUMIF(Data!$A:$A,$A$2,Data!HJ:HJ),0)</f>
        <v>0</v>
      </c>
      <c r="E109" s="15">
        <f>IF(F3="1",SUMIF(Data!$A:$A,$A$2,Data!IN:IN),0)</f>
        <v>0</v>
      </c>
      <c r="F109" s="47">
        <f>SUM(C109:E109)</f>
        <v>4562385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336989</v>
      </c>
      <c r="E117" s="52"/>
      <c r="F117" s="49">
        <f>SUM(C117:E117)</f>
        <v>336989</v>
      </c>
    </row>
    <row r="118" spans="1:6" x14ac:dyDescent="0.2">
      <c r="B118" s="13" t="s">
        <v>35</v>
      </c>
      <c r="C118" s="4">
        <f>SUM(C109:C116)</f>
        <v>4562385</v>
      </c>
      <c r="D118" s="4">
        <f>SUM(D109:D116)</f>
        <v>0</v>
      </c>
      <c r="E118" s="4">
        <f>SUM(E109:E116)</f>
        <v>0</v>
      </c>
      <c r="F118" s="4">
        <f>SUM(F109:F116)</f>
        <v>4562385</v>
      </c>
    </row>
    <row r="119" spans="1:6" ht="15" thickBot="1" x14ac:dyDescent="0.25"/>
    <row r="120" spans="1:6" ht="15" thickBot="1" x14ac:dyDescent="0.25">
      <c r="B120" s="55" t="s">
        <v>934</v>
      </c>
      <c r="C120" s="53"/>
      <c r="D120" s="53"/>
      <c r="E120" s="53">
        <f>IF(F3="1",SUMIF(Data!A:A,'11'!$A$2,Data!AM:AM),0)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425</v>
      </c>
      <c r="B2" s="58" t="str">
        <f>VLOOKUP(A2,Data!A:G,7,0)</f>
        <v>College of the Mainland Community College District</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179568</v>
      </c>
      <c r="E7" s="17">
        <f t="shared" si="1"/>
        <v>1383270.4747506236</v>
      </c>
      <c r="F7" s="21">
        <f t="shared" si="2"/>
        <v>7.7</v>
      </c>
    </row>
    <row r="8" spans="1:6" ht="14.25" customHeight="1" x14ac:dyDescent="0.2">
      <c r="A8" s="19">
        <v>4</v>
      </c>
      <c r="B8" s="143" t="s">
        <v>3</v>
      </c>
      <c r="C8" s="144"/>
      <c r="D8" s="14">
        <f t="shared" si="0"/>
        <v>127864</v>
      </c>
      <c r="E8" s="17">
        <f t="shared" si="1"/>
        <v>1330086.497457864</v>
      </c>
      <c r="F8" s="21">
        <f t="shared" si="2"/>
        <v>10.4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1584</v>
      </c>
      <c r="E10" s="17">
        <f t="shared" si="1"/>
        <v>49003.348213517929</v>
      </c>
      <c r="F10" s="21">
        <f t="shared" si="2"/>
        <v>30.94</v>
      </c>
    </row>
    <row r="11" spans="1:6" x14ac:dyDescent="0.2">
      <c r="A11" s="19">
        <v>7</v>
      </c>
      <c r="B11" s="143" t="s">
        <v>6</v>
      </c>
      <c r="C11" s="144"/>
      <c r="D11" s="14">
        <f t="shared" si="0"/>
        <v>0</v>
      </c>
      <c r="E11" s="17">
        <f t="shared" si="1"/>
        <v>0</v>
      </c>
      <c r="F11" s="21" t="str">
        <f t="shared" si="2"/>
        <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88416</v>
      </c>
      <c r="E13" s="17">
        <f t="shared" si="1"/>
        <v>918809.43664545531</v>
      </c>
      <c r="F13" s="21">
        <f t="shared" si="2"/>
        <v>10.39</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253344</v>
      </c>
      <c r="E16" s="17">
        <f t="shared" si="1"/>
        <v>2413552.3597256858</v>
      </c>
      <c r="F16" s="21">
        <f t="shared" si="2"/>
        <v>9.5299999999999994</v>
      </c>
    </row>
    <row r="17" spans="1:6" x14ac:dyDescent="0.2">
      <c r="A17" s="19">
        <v>13</v>
      </c>
      <c r="B17" s="143" t="s">
        <v>12</v>
      </c>
      <c r="C17" s="144"/>
      <c r="D17" s="14">
        <f t="shared" si="0"/>
        <v>0</v>
      </c>
      <c r="E17" s="17">
        <f t="shared" si="1"/>
        <v>0</v>
      </c>
      <c r="F17" s="21" t="str">
        <f t="shared" si="2"/>
        <v/>
      </c>
    </row>
    <row r="18" spans="1:6" ht="14.25" customHeight="1" x14ac:dyDescent="0.2">
      <c r="A18" s="19">
        <v>14</v>
      </c>
      <c r="B18" s="143" t="s">
        <v>464</v>
      </c>
      <c r="C18" s="144"/>
      <c r="D18" s="14">
        <f t="shared" si="0"/>
        <v>104368</v>
      </c>
      <c r="E18" s="17">
        <f t="shared" si="1"/>
        <v>1046675.4989573481</v>
      </c>
      <c r="F18" s="21">
        <f t="shared" si="2"/>
        <v>10.029999999999999</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0</v>
      </c>
      <c r="E20" s="17">
        <f t="shared" si="1"/>
        <v>0</v>
      </c>
      <c r="F20" s="21" t="str">
        <f t="shared" si="2"/>
        <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243032</v>
      </c>
      <c r="E23" s="17">
        <f t="shared" si="1"/>
        <v>1723117.3705982887</v>
      </c>
      <c r="F23" s="21">
        <f t="shared" si="2"/>
        <v>7.09</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66560</v>
      </c>
      <c r="E25" s="17">
        <f t="shared" si="1"/>
        <v>856697.076446814</v>
      </c>
      <c r="F25" s="21">
        <f t="shared" si="2"/>
        <v>12.87</v>
      </c>
    </row>
    <row r="26" spans="1:6" x14ac:dyDescent="0.2">
      <c r="A26" s="19">
        <v>22</v>
      </c>
      <c r="B26" s="143" t="s">
        <v>19</v>
      </c>
      <c r="C26" s="144"/>
      <c r="D26" s="14">
        <f t="shared" si="0"/>
        <v>48704</v>
      </c>
      <c r="E26" s="17">
        <f t="shared" si="1"/>
        <v>427271.15113079373</v>
      </c>
      <c r="F26" s="21">
        <f t="shared" si="2"/>
        <v>8.77</v>
      </c>
    </row>
    <row r="27" spans="1:6" x14ac:dyDescent="0.2">
      <c r="A27" s="19">
        <v>23</v>
      </c>
      <c r="B27" s="143" t="s">
        <v>20</v>
      </c>
      <c r="C27" s="144"/>
      <c r="D27" s="14">
        <f t="shared" si="0"/>
        <v>43920</v>
      </c>
      <c r="E27" s="17">
        <f t="shared" si="1"/>
        <v>400146.65501117893</v>
      </c>
      <c r="F27" s="21">
        <f t="shared" si="2"/>
        <v>9.11</v>
      </c>
    </row>
    <row r="28" spans="1:6" x14ac:dyDescent="0.2">
      <c r="A28" s="19">
        <v>24</v>
      </c>
      <c r="B28" s="143" t="s">
        <v>21</v>
      </c>
      <c r="C28" s="144"/>
      <c r="D28" s="14">
        <f t="shared" si="0"/>
        <v>70896</v>
      </c>
      <c r="E28" s="17">
        <f t="shared" si="1"/>
        <v>530218.25185957528</v>
      </c>
      <c r="F28" s="21">
        <f t="shared" si="2"/>
        <v>7.48</v>
      </c>
    </row>
    <row r="29" spans="1:6" x14ac:dyDescent="0.2">
      <c r="A29" s="19">
        <v>25</v>
      </c>
      <c r="B29" s="143" t="s">
        <v>22</v>
      </c>
      <c r="C29" s="144"/>
      <c r="D29" s="14">
        <f t="shared" si="0"/>
        <v>220128</v>
      </c>
      <c r="E29" s="17">
        <f t="shared" si="1"/>
        <v>1579011.7244604006</v>
      </c>
      <c r="F29" s="21">
        <f t="shared" si="2"/>
        <v>7.17</v>
      </c>
    </row>
    <row r="30" spans="1:6" x14ac:dyDescent="0.2">
      <c r="A30" s="19">
        <v>26</v>
      </c>
      <c r="B30" s="143" t="s">
        <v>23</v>
      </c>
      <c r="C30" s="144"/>
      <c r="D30" s="14">
        <f t="shared" si="0"/>
        <v>40128</v>
      </c>
      <c r="E30" s="17">
        <f t="shared" si="1"/>
        <v>443541.15474245418</v>
      </c>
      <c r="F30" s="21">
        <f t="shared" si="2"/>
        <v>11.05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1488512</v>
      </c>
      <c r="E33" s="31">
        <f>SUM(E5:E32)</f>
        <v>13101401</v>
      </c>
      <c r="F33" s="32">
        <f t="shared" si="2"/>
        <v>8.8000000000000007</v>
      </c>
    </row>
    <row r="34" spans="1:6" ht="15" thickBot="1" x14ac:dyDescent="0.25"/>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IF(F3="1",SUMIF(Data!A:A,'12'!$A$2,Data!CU:CU),0)</f>
        <v>0</v>
      </c>
      <c r="E36" s="15">
        <f>IF(F3="1",SUMIF(Data!$A:$A,$A$2,Data!IO:IO),0)</f>
        <v>0</v>
      </c>
      <c r="F36" s="20" t="str">
        <f t="shared" ref="F36:F64" si="3">IF(OR(D36=0,E36=0),"",ROUND(E36/D36,2))</f>
        <v/>
      </c>
    </row>
    <row r="37" spans="1:6" x14ac:dyDescent="0.2">
      <c r="A37" s="19">
        <v>2</v>
      </c>
      <c r="B37" s="143" t="s">
        <v>1</v>
      </c>
      <c r="C37" s="144"/>
      <c r="D37" s="14">
        <f>IF(F3="1",SUMIF(Data!A:A,'12'!$A$2,Data!CV:CV),0)</f>
        <v>0</v>
      </c>
      <c r="E37" s="17">
        <f>IF(F3="1",SUMIF(Data!$A:$A,$A$2,Data!IP:IP),0)</f>
        <v>0</v>
      </c>
      <c r="F37" s="21" t="str">
        <f t="shared" si="3"/>
        <v/>
      </c>
    </row>
    <row r="38" spans="1:6" ht="14.25" customHeight="1" x14ac:dyDescent="0.2">
      <c r="A38" s="19">
        <v>3</v>
      </c>
      <c r="B38" s="143" t="s">
        <v>2</v>
      </c>
      <c r="C38" s="144"/>
      <c r="D38" s="14">
        <f>IF(F3="1",SUMIF(Data!A:A,'12'!$A$2,Data!CW:CW),0)</f>
        <v>179568</v>
      </c>
      <c r="E38" s="17">
        <f>IF($F$3="1",SUMIF(Data!$A:$A,$A$2,Data!IQ:IQ),0)</f>
        <v>118593</v>
      </c>
      <c r="F38" s="21">
        <f t="shared" si="3"/>
        <v>0.66</v>
      </c>
    </row>
    <row r="39" spans="1:6" ht="14.25" customHeight="1" x14ac:dyDescent="0.2">
      <c r="A39" s="19">
        <v>4</v>
      </c>
      <c r="B39" s="143" t="s">
        <v>3</v>
      </c>
      <c r="C39" s="144"/>
      <c r="D39" s="14">
        <f>IF(F3="1",SUMIF(Data!A:A,'12'!$A$2,Data!CX:CX),0)</f>
        <v>127864</v>
      </c>
      <c r="E39" s="17">
        <f>IF($F$3="1",SUMIF(Data!$A:$A,$A$2,Data!IR:IR),0)</f>
        <v>323303</v>
      </c>
      <c r="F39" s="21">
        <f t="shared" si="3"/>
        <v>2.5299999999999998</v>
      </c>
    </row>
    <row r="40" spans="1:6" x14ac:dyDescent="0.2">
      <c r="A40" s="19">
        <v>5</v>
      </c>
      <c r="B40" s="143" t="s">
        <v>4</v>
      </c>
      <c r="C40" s="144"/>
      <c r="D40" s="14">
        <f>IF(F3="1",SUMIF(Data!A:A,'12'!$A$2,Data!CY:CY),0)</f>
        <v>0</v>
      </c>
      <c r="E40" s="17">
        <f>IF($F$3="1",SUMIF(Data!$A:$A,$A$2,Data!IS:IS),0)</f>
        <v>0</v>
      </c>
      <c r="F40" s="21" t="str">
        <f t="shared" si="3"/>
        <v/>
      </c>
    </row>
    <row r="41" spans="1:6" x14ac:dyDescent="0.2">
      <c r="A41" s="19">
        <v>6</v>
      </c>
      <c r="B41" s="143" t="s">
        <v>5</v>
      </c>
      <c r="C41" s="144"/>
      <c r="D41" s="14">
        <f>IF(F3="1",SUMIF(Data!A:A,'12'!$A$2,Data!CZ:CZ),0)</f>
        <v>1584</v>
      </c>
      <c r="E41" s="17">
        <f>IF($F$3="1",SUMIF(Data!$A:$A,$A$2,Data!IT:IT),0)</f>
        <v>0</v>
      </c>
      <c r="F41" s="21" t="str">
        <f t="shared" si="3"/>
        <v/>
      </c>
    </row>
    <row r="42" spans="1:6" x14ac:dyDescent="0.2">
      <c r="A42" s="19">
        <v>7</v>
      </c>
      <c r="B42" s="143" t="s">
        <v>6</v>
      </c>
      <c r="C42" s="144"/>
      <c r="D42" s="14">
        <f>IF(F3="1",SUMIF(Data!A:A,'12'!$A$2,Data!DA:DA),0)</f>
        <v>0</v>
      </c>
      <c r="E42" s="17">
        <f>IF($F$3="1",SUMIF(Data!$A:$A,$A$2,Data!IU:IU),0)</f>
        <v>0</v>
      </c>
      <c r="F42" s="21" t="str">
        <f t="shared" si="3"/>
        <v/>
      </c>
    </row>
    <row r="43" spans="1:6" x14ac:dyDescent="0.2">
      <c r="A43" s="19">
        <v>8</v>
      </c>
      <c r="B43" s="143" t="s">
        <v>7</v>
      </c>
      <c r="C43" s="144"/>
      <c r="D43" s="14">
        <f>IF(F3="1",SUMIF(Data!A:A,'12'!$A$2,Data!DB:DB),0)</f>
        <v>0</v>
      </c>
      <c r="E43" s="17">
        <f>IF($F$3="1",SUMIF(Data!$A:$A,$A$2,Data!IV:IV),0)</f>
        <v>0</v>
      </c>
      <c r="F43" s="21" t="str">
        <f t="shared" si="3"/>
        <v/>
      </c>
    </row>
    <row r="44" spans="1:6" x14ac:dyDescent="0.2">
      <c r="A44" s="19">
        <v>9</v>
      </c>
      <c r="B44" s="143" t="s">
        <v>8</v>
      </c>
      <c r="C44" s="144"/>
      <c r="D44" s="14">
        <f>IF(F3="1",SUMIF(Data!A:A,'12'!$A$2,Data!DC:DC),0)</f>
        <v>88416</v>
      </c>
      <c r="E44" s="17">
        <f>IF($F$3="1",SUMIF(Data!$A:$A,$A$2,Data!IW:IW),0)</f>
        <v>234713</v>
      </c>
      <c r="F44" s="21">
        <f t="shared" si="3"/>
        <v>2.65</v>
      </c>
    </row>
    <row r="45" spans="1:6" x14ac:dyDescent="0.2">
      <c r="A45" s="19">
        <v>10</v>
      </c>
      <c r="B45" s="143" t="s">
        <v>9</v>
      </c>
      <c r="C45" s="144"/>
      <c r="D45" s="14">
        <f>IF(F3="1",SUMIF(Data!A:A,'12'!$A$2,Data!DD:DD),0)</f>
        <v>0</v>
      </c>
      <c r="E45" s="17">
        <f>IF($F$3="1",SUMIF(Data!$A:$A,$A$2,Data!IX:IX),0)</f>
        <v>0</v>
      </c>
      <c r="F45" s="21" t="str">
        <f t="shared" si="3"/>
        <v/>
      </c>
    </row>
    <row r="46" spans="1:6" x14ac:dyDescent="0.2">
      <c r="A46" s="19">
        <v>11</v>
      </c>
      <c r="B46" s="143" t="s">
        <v>10</v>
      </c>
      <c r="C46" s="144"/>
      <c r="D46" s="14">
        <f>IF(F3="1",SUMIF(Data!A:A,'12'!$A$2,Data!DE:DE),0)</f>
        <v>0</v>
      </c>
      <c r="E46" s="17">
        <f>IF($F$3="1",SUMIF(Data!$A:$A,$A$2,Data!IY:IY),0)</f>
        <v>0</v>
      </c>
      <c r="F46" s="21" t="str">
        <f t="shared" si="3"/>
        <v/>
      </c>
    </row>
    <row r="47" spans="1:6" ht="14.25" customHeight="1" x14ac:dyDescent="0.2">
      <c r="A47" s="19">
        <v>12</v>
      </c>
      <c r="B47" s="143" t="s">
        <v>11</v>
      </c>
      <c r="C47" s="144"/>
      <c r="D47" s="14">
        <f>IF(F3="1",SUMIF(Data!A:A,'12'!$A$2,Data!DF:DF),0)</f>
        <v>253344</v>
      </c>
      <c r="E47" s="17">
        <f>IF($F$3="1",SUMIF(Data!$A:$A,$A$2,Data!IZ:IZ),0)</f>
        <v>262147</v>
      </c>
      <c r="F47" s="21">
        <f t="shared" si="3"/>
        <v>1.03</v>
      </c>
    </row>
    <row r="48" spans="1:6" x14ac:dyDescent="0.2">
      <c r="A48" s="19">
        <v>13</v>
      </c>
      <c r="B48" s="143" t="s">
        <v>12</v>
      </c>
      <c r="C48" s="144"/>
      <c r="D48" s="14">
        <f>IF(F3="1",SUMIF(Data!A:A,'12'!$A$2,Data!DG:DG),0)</f>
        <v>0</v>
      </c>
      <c r="E48" s="17">
        <f>IF($F$3="1",SUMIF(Data!$A:$A,$A$2,Data!JA:JA),0)</f>
        <v>0</v>
      </c>
      <c r="F48" s="21" t="str">
        <f t="shared" si="3"/>
        <v/>
      </c>
    </row>
    <row r="49" spans="1:6" ht="14.25" customHeight="1" x14ac:dyDescent="0.2">
      <c r="A49" s="19">
        <v>14</v>
      </c>
      <c r="B49" s="143" t="s">
        <v>464</v>
      </c>
      <c r="C49" s="144"/>
      <c r="D49" s="14">
        <f>IF(F3="1",SUMIF(Data!A:A,'12'!$A$2,Data!DH:DH),0)</f>
        <v>104368</v>
      </c>
      <c r="E49" s="17">
        <f>IF($F$3="1",SUMIF(Data!$A:$A,$A$2,Data!JB:JB),0)</f>
        <v>111369</v>
      </c>
      <c r="F49" s="21">
        <f t="shared" si="3"/>
        <v>1.07</v>
      </c>
    </row>
    <row r="50" spans="1:6" x14ac:dyDescent="0.2">
      <c r="A50" s="19">
        <v>15</v>
      </c>
      <c r="B50" s="143" t="s">
        <v>13</v>
      </c>
      <c r="C50" s="144"/>
      <c r="D50" s="14">
        <f>IF(F3="1",SUMIF(Data!A:A,'12'!$A$2,Data!DI:DI),0)</f>
        <v>0</v>
      </c>
      <c r="E50" s="17">
        <f>IF($F$3="1",SUMIF(Data!$A:$A,$A$2,Data!JC:JC),0)</f>
        <v>0</v>
      </c>
      <c r="F50" s="21" t="str">
        <f t="shared" si="3"/>
        <v/>
      </c>
    </row>
    <row r="51" spans="1:6" x14ac:dyDescent="0.2">
      <c r="A51" s="19">
        <v>16</v>
      </c>
      <c r="B51" s="143" t="s">
        <v>14</v>
      </c>
      <c r="C51" s="144"/>
      <c r="D51" s="14">
        <f>IF(F3="1",SUMIF(Data!A:A,'12'!$A$2,Data!DJ:DJ),0)</f>
        <v>0</v>
      </c>
      <c r="E51" s="17">
        <f>IF($F$3="1",SUMIF(Data!$A:$A,$A$2,Data!JD:JD),0)</f>
        <v>0</v>
      </c>
      <c r="F51" s="21" t="str">
        <f t="shared" si="3"/>
        <v/>
      </c>
    </row>
    <row r="52" spans="1:6" x14ac:dyDescent="0.2">
      <c r="A52" s="19">
        <v>17</v>
      </c>
      <c r="B52" s="143" t="s">
        <v>15</v>
      </c>
      <c r="C52" s="144"/>
      <c r="D52" s="14">
        <f>IF(F3="1",SUMIF(Data!A:A,'12'!$A$2,Data!DK:DK),0)</f>
        <v>0</v>
      </c>
      <c r="E52" s="17">
        <f>IF($F$3="1",SUMIF(Data!$A:$A,$A$2,Data!JE:JE),0)</f>
        <v>0</v>
      </c>
      <c r="F52" s="21" t="str">
        <f t="shared" si="3"/>
        <v/>
      </c>
    </row>
    <row r="53" spans="1:6" x14ac:dyDescent="0.2">
      <c r="A53" s="19">
        <v>18</v>
      </c>
      <c r="B53" s="143" t="s">
        <v>16</v>
      </c>
      <c r="C53" s="144"/>
      <c r="D53" s="14">
        <f>IF(F3="1",SUMIF(Data!A:A,'12'!$A$2,Data!DL:DL),0)</f>
        <v>0</v>
      </c>
      <c r="E53" s="17">
        <f>IF($F$3="1",SUMIF(Data!$A:$A,$A$2,Data!JF:JF),0)</f>
        <v>0</v>
      </c>
      <c r="F53" s="21" t="str">
        <f t="shared" si="3"/>
        <v/>
      </c>
    </row>
    <row r="54" spans="1:6" x14ac:dyDescent="0.2">
      <c r="A54" s="19">
        <v>19</v>
      </c>
      <c r="B54" s="143" t="s">
        <v>17</v>
      </c>
      <c r="C54" s="144"/>
      <c r="D54" s="14">
        <f>IF(F3="1",SUMIF(Data!A:A,'12'!$A$2,Data!DM:DM),0)</f>
        <v>243032</v>
      </c>
      <c r="E54" s="17">
        <f>IF($F$3="1",SUMIF(Data!$A:$A,$A$2,Data!JG:JG),0)</f>
        <v>201385</v>
      </c>
      <c r="F54" s="21">
        <f t="shared" si="3"/>
        <v>0.83</v>
      </c>
    </row>
    <row r="55" spans="1:6" x14ac:dyDescent="0.2">
      <c r="A55" s="19">
        <v>20</v>
      </c>
      <c r="B55" s="143" t="s">
        <v>18</v>
      </c>
      <c r="C55" s="144"/>
      <c r="D55" s="14">
        <f>IF(F3="1",SUMIF(Data!A:A,'12'!$A$2,Data!DN:DN),0)</f>
        <v>0</v>
      </c>
      <c r="E55" s="17">
        <f>IF($F$3="1",SUMIF(Data!$A:$A,$A$2,Data!JH:JH),0)</f>
        <v>0</v>
      </c>
      <c r="F55" s="21" t="str">
        <f t="shared" si="3"/>
        <v/>
      </c>
    </row>
    <row r="56" spans="1:6" ht="14.25" customHeight="1" x14ac:dyDescent="0.2">
      <c r="A56" s="19">
        <v>21</v>
      </c>
      <c r="B56" s="143" t="s">
        <v>461</v>
      </c>
      <c r="C56" s="144"/>
      <c r="D56" s="14">
        <f>IF(F3="1",SUMIF(Data!A:A,'12'!$A$2,Data!DO:DO),0)</f>
        <v>66560</v>
      </c>
      <c r="E56" s="17">
        <f>IF($F$3="1",SUMIF(Data!$A:$A,$A$2,Data!JI:JI),0)</f>
        <v>311705</v>
      </c>
      <c r="F56" s="21">
        <f t="shared" si="3"/>
        <v>4.68</v>
      </c>
    </row>
    <row r="57" spans="1:6" x14ac:dyDescent="0.2">
      <c r="A57" s="19">
        <v>22</v>
      </c>
      <c r="B57" s="143" t="s">
        <v>19</v>
      </c>
      <c r="C57" s="144"/>
      <c r="D57" s="14">
        <f>IF(F3="1",SUMIF(Data!A:A,'12'!$A$2,Data!DP:DP),0)</f>
        <v>48704</v>
      </c>
      <c r="E57" s="17">
        <f>IF($F$3="1",SUMIF(Data!$A:$A,$A$2,Data!JJ:JJ),0)</f>
        <v>98798</v>
      </c>
      <c r="F57" s="21">
        <f t="shared" si="3"/>
        <v>2.0299999999999998</v>
      </c>
    </row>
    <row r="58" spans="1:6" x14ac:dyDescent="0.2">
      <c r="A58" s="19">
        <v>23</v>
      </c>
      <c r="B58" s="143" t="s">
        <v>20</v>
      </c>
      <c r="C58" s="144"/>
      <c r="D58" s="14">
        <f>IF(F3="1",SUMIF(Data!A:A,'12'!$A$2,Data!DQ:DQ),0)</f>
        <v>43920</v>
      </c>
      <c r="E58" s="17">
        <f>IF($F$3="1",SUMIF(Data!$A:$A,$A$2,Data!JK:JK),0)</f>
        <v>67189</v>
      </c>
      <c r="F58" s="21">
        <f t="shared" si="3"/>
        <v>1.53</v>
      </c>
    </row>
    <row r="59" spans="1:6" x14ac:dyDescent="0.2">
      <c r="A59" s="19">
        <v>24</v>
      </c>
      <c r="B59" s="143" t="s">
        <v>21</v>
      </c>
      <c r="C59" s="144"/>
      <c r="D59" s="14">
        <f>IF(F3="1",SUMIF(Data!A:A,'12'!$A$2,Data!DR:DR),0)</f>
        <v>70896</v>
      </c>
      <c r="E59" s="17">
        <f>IF($F$3="1",SUMIF(Data!$A:$A,$A$2,Data!JL:JL),0)</f>
        <v>110060</v>
      </c>
      <c r="F59" s="21">
        <f t="shared" si="3"/>
        <v>1.55</v>
      </c>
    </row>
    <row r="60" spans="1:6" x14ac:dyDescent="0.2">
      <c r="A60" s="19">
        <v>25</v>
      </c>
      <c r="B60" s="143" t="s">
        <v>22</v>
      </c>
      <c r="C60" s="144"/>
      <c r="D60" s="14">
        <f>IF(F3="1",SUMIF(Data!A:A,'12'!$A$2,Data!DS:DS),0)</f>
        <v>220128</v>
      </c>
      <c r="E60" s="17">
        <f>IF($F$3="1",SUMIF(Data!$A:$A,$A$2,Data!JM:JM),0)</f>
        <v>69402</v>
      </c>
      <c r="F60" s="21">
        <f t="shared" si="3"/>
        <v>0.32</v>
      </c>
    </row>
    <row r="61" spans="1:6" x14ac:dyDescent="0.2">
      <c r="A61" s="19">
        <v>26</v>
      </c>
      <c r="B61" s="143" t="s">
        <v>23</v>
      </c>
      <c r="C61" s="144"/>
      <c r="D61" s="14">
        <f>IF(F3="1",SUMIF(Data!A:A,'12'!$A$2,Data!DT:DT),0)</f>
        <v>40128</v>
      </c>
      <c r="E61" s="17">
        <f>IF($F$3="1",SUMIF(Data!$A:$A,$A$2,Data!JN:JN),0)</f>
        <v>84993</v>
      </c>
      <c r="F61" s="21">
        <f t="shared" si="3"/>
        <v>2.12</v>
      </c>
    </row>
    <row r="62" spans="1:6" x14ac:dyDescent="0.2">
      <c r="A62" s="19">
        <v>28</v>
      </c>
      <c r="B62" s="143" t="s">
        <v>24</v>
      </c>
      <c r="C62" s="144"/>
      <c r="D62" s="14">
        <f>IF(F3="1",SUMIF(Data!A:A,'12'!$A$2,Data!DV:DV),0)</f>
        <v>0</v>
      </c>
      <c r="E62" s="17">
        <f>IF($F$3="1",SUMIF(Data!$A:$A,$A$2,Data!JP:JP),0)</f>
        <v>0</v>
      </c>
      <c r="F62" s="21" t="str">
        <f t="shared" si="3"/>
        <v/>
      </c>
    </row>
    <row r="63" spans="1:6" ht="15.75" customHeight="1" thickBot="1" x14ac:dyDescent="0.25">
      <c r="A63" s="22">
        <v>29</v>
      </c>
      <c r="B63" s="147" t="s">
        <v>25</v>
      </c>
      <c r="C63" s="148"/>
      <c r="D63" s="23">
        <f>IF(F3="1",SUMIF(Data!A:A,'12'!$A$2,Data!DW:DW),0)</f>
        <v>0</v>
      </c>
      <c r="E63" s="24">
        <f>IF($F$3="1",SUMIF(Data!$A:$A,$A$2,Data!JQ:JQ),0)</f>
        <v>0</v>
      </c>
      <c r="F63" s="25" t="str">
        <f t="shared" si="3"/>
        <v/>
      </c>
    </row>
    <row r="64" spans="1:6" x14ac:dyDescent="0.2">
      <c r="B64" s="30" t="s">
        <v>35</v>
      </c>
      <c r="C64" s="30"/>
      <c r="D64" s="59">
        <f>SUM(D36:D63)</f>
        <v>1488512</v>
      </c>
      <c r="E64" s="31">
        <f>SUM(E36:E63)</f>
        <v>1993657</v>
      </c>
      <c r="F64" s="32">
        <f t="shared" si="3"/>
        <v>1.34</v>
      </c>
    </row>
    <row r="65" spans="1:6" ht="15" thickBot="1" x14ac:dyDescent="0.25"/>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IF(F3="1",SUMIF(Data!A:A,'12'!$A$2,Data!DY:DY),0)</f>
        <v>0</v>
      </c>
      <c r="F67" s="20" t="str">
        <f t="shared" ref="F67:F95" si="4">IF(OR(D67=0,E67=0),"",ROUND(E67/D67,2))</f>
        <v/>
      </c>
    </row>
    <row r="68" spans="1:6" x14ac:dyDescent="0.2">
      <c r="A68" s="19">
        <v>2</v>
      </c>
      <c r="B68" s="143" t="s">
        <v>1</v>
      </c>
      <c r="C68" s="144"/>
      <c r="D68" s="14">
        <f t="shared" ref="D68:D94" si="5">D37</f>
        <v>0</v>
      </c>
      <c r="E68" s="17">
        <f>IF(F3="1",SUMIF(Data!A:A,'12'!$A$2,Data!DZ:DZ),0)</f>
        <v>0</v>
      </c>
      <c r="F68" s="21" t="str">
        <f t="shared" si="4"/>
        <v/>
      </c>
    </row>
    <row r="69" spans="1:6" ht="14.25" customHeight="1" x14ac:dyDescent="0.2">
      <c r="A69" s="19">
        <v>3</v>
      </c>
      <c r="B69" s="143" t="s">
        <v>2</v>
      </c>
      <c r="C69" s="144"/>
      <c r="D69" s="14">
        <f t="shared" si="5"/>
        <v>179568</v>
      </c>
      <c r="E69" s="17">
        <f>IF(F3="1",SUMIF(Data!A:A,'12'!$A$2,Data!EA:EA),0)</f>
        <v>510203</v>
      </c>
      <c r="F69" s="21">
        <f t="shared" si="4"/>
        <v>2.84</v>
      </c>
    </row>
    <row r="70" spans="1:6" ht="14.25" customHeight="1" x14ac:dyDescent="0.2">
      <c r="A70" s="19">
        <v>4</v>
      </c>
      <c r="B70" s="143" t="s">
        <v>3</v>
      </c>
      <c r="C70" s="144"/>
      <c r="D70" s="14">
        <f t="shared" si="5"/>
        <v>127864</v>
      </c>
      <c r="E70" s="17">
        <f>IF(F3="1",SUMIF(Data!A:A,'12'!$A$2,Data!EB:EB),0)</f>
        <v>469549</v>
      </c>
      <c r="F70" s="21">
        <f t="shared" si="4"/>
        <v>3.67</v>
      </c>
    </row>
    <row r="71" spans="1:6" x14ac:dyDescent="0.2">
      <c r="A71" s="19">
        <v>5</v>
      </c>
      <c r="B71" s="143" t="s">
        <v>4</v>
      </c>
      <c r="C71" s="144"/>
      <c r="D71" s="14">
        <f t="shared" si="5"/>
        <v>0</v>
      </c>
      <c r="E71" s="17">
        <f>IF(F3="1",SUMIF(Data!A:A,'12'!$A$2,Data!EC:EC),0)</f>
        <v>0</v>
      </c>
      <c r="F71" s="21" t="str">
        <f t="shared" si="4"/>
        <v/>
      </c>
    </row>
    <row r="72" spans="1:6" x14ac:dyDescent="0.2">
      <c r="A72" s="19">
        <v>6</v>
      </c>
      <c r="B72" s="143" t="s">
        <v>5</v>
      </c>
      <c r="C72" s="144"/>
      <c r="D72" s="14">
        <f t="shared" si="5"/>
        <v>1584</v>
      </c>
      <c r="E72" s="17">
        <f>IF(F3="1",SUMIF(Data!A:A,'12'!$A$2,Data!ED:ED),0)</f>
        <v>42348</v>
      </c>
      <c r="F72" s="21">
        <f t="shared" si="4"/>
        <v>26.73</v>
      </c>
    </row>
    <row r="73" spans="1:6" x14ac:dyDescent="0.2">
      <c r="A73" s="19">
        <v>7</v>
      </c>
      <c r="B73" s="143" t="s">
        <v>6</v>
      </c>
      <c r="C73" s="144"/>
      <c r="D73" s="14">
        <f t="shared" si="5"/>
        <v>0</v>
      </c>
      <c r="E73" s="17">
        <f>IF(F3="1",SUMIF(Data!A:A,'12'!$A$2,Data!EE:EE),0)</f>
        <v>0</v>
      </c>
      <c r="F73" s="21" t="str">
        <f t="shared" si="4"/>
        <v/>
      </c>
    </row>
    <row r="74" spans="1:6" x14ac:dyDescent="0.2">
      <c r="A74" s="19">
        <v>8</v>
      </c>
      <c r="B74" s="143" t="s">
        <v>7</v>
      </c>
      <c r="C74" s="144"/>
      <c r="D74" s="14">
        <f t="shared" si="5"/>
        <v>0</v>
      </c>
      <c r="E74" s="17">
        <f>IF(F3="1",SUMIF(Data!A:A,'12'!$A$2,Data!EF:EF),0)</f>
        <v>0</v>
      </c>
      <c r="F74" s="21" t="str">
        <f t="shared" si="4"/>
        <v/>
      </c>
    </row>
    <row r="75" spans="1:6" x14ac:dyDescent="0.2">
      <c r="A75" s="19">
        <v>9</v>
      </c>
      <c r="B75" s="143" t="s">
        <v>8</v>
      </c>
      <c r="C75" s="144"/>
      <c r="D75" s="14">
        <f t="shared" si="5"/>
        <v>88416</v>
      </c>
      <c r="E75" s="17">
        <f>IF(F3="1",SUMIF(Data!A:A,'12'!$A$2,Data!EG:EG),0)</f>
        <v>312607</v>
      </c>
      <c r="F75" s="21">
        <f t="shared" si="4"/>
        <v>3.54</v>
      </c>
    </row>
    <row r="76" spans="1:6" x14ac:dyDescent="0.2">
      <c r="A76" s="19">
        <v>10</v>
      </c>
      <c r="B76" s="143" t="s">
        <v>9</v>
      </c>
      <c r="C76" s="144"/>
      <c r="D76" s="14">
        <f t="shared" si="5"/>
        <v>0</v>
      </c>
      <c r="E76" s="17">
        <f>IF(F3="1",SUMIF(Data!A:A,'12'!$A$2,Data!EH:EH),0)</f>
        <v>0</v>
      </c>
      <c r="F76" s="21" t="str">
        <f t="shared" si="4"/>
        <v/>
      </c>
    </row>
    <row r="77" spans="1:6" x14ac:dyDescent="0.2">
      <c r="A77" s="19">
        <v>11</v>
      </c>
      <c r="B77" s="143" t="s">
        <v>10</v>
      </c>
      <c r="C77" s="144"/>
      <c r="D77" s="14">
        <f t="shared" si="5"/>
        <v>0</v>
      </c>
      <c r="E77" s="17">
        <f>IF(F3="1",SUMIF(Data!A:A,'12'!$A$2,Data!EI:EI),0)</f>
        <v>0</v>
      </c>
      <c r="F77" s="21" t="str">
        <f t="shared" si="4"/>
        <v/>
      </c>
    </row>
    <row r="78" spans="1:6" ht="14.25" customHeight="1" x14ac:dyDescent="0.2">
      <c r="A78" s="19">
        <v>12</v>
      </c>
      <c r="B78" s="143" t="s">
        <v>11</v>
      </c>
      <c r="C78" s="144"/>
      <c r="D78" s="14">
        <f t="shared" si="5"/>
        <v>253344</v>
      </c>
      <c r="E78" s="17">
        <f>IF(F3="1",SUMIF(Data!A:A,'12'!$A$2,Data!EJ:EJ),0)</f>
        <v>1086953</v>
      </c>
      <c r="F78" s="21">
        <f t="shared" si="4"/>
        <v>4.29</v>
      </c>
    </row>
    <row r="79" spans="1:6" x14ac:dyDescent="0.2">
      <c r="A79" s="19">
        <v>13</v>
      </c>
      <c r="B79" s="143" t="s">
        <v>12</v>
      </c>
      <c r="C79" s="144"/>
      <c r="D79" s="14">
        <f t="shared" si="5"/>
        <v>0</v>
      </c>
      <c r="E79" s="17">
        <f>IF(F3="1",SUMIF(Data!A:A,'12'!$A$2,Data!EK:EK),0)</f>
        <v>0</v>
      </c>
      <c r="F79" s="21" t="str">
        <f t="shared" si="4"/>
        <v/>
      </c>
    </row>
    <row r="80" spans="1:6" ht="14.25" customHeight="1" x14ac:dyDescent="0.2">
      <c r="A80" s="19">
        <v>14</v>
      </c>
      <c r="B80" s="143" t="s">
        <v>464</v>
      </c>
      <c r="C80" s="144"/>
      <c r="D80" s="14">
        <f t="shared" si="5"/>
        <v>104368</v>
      </c>
      <c r="E80" s="17">
        <f>IF(F3="1",SUMIF(Data!A:A,'12'!$A$2,Data!EL:EL),0)</f>
        <v>496793</v>
      </c>
      <c r="F80" s="21">
        <f t="shared" si="4"/>
        <v>4.76</v>
      </c>
    </row>
    <row r="81" spans="1:6" x14ac:dyDescent="0.2">
      <c r="A81" s="19">
        <v>15</v>
      </c>
      <c r="B81" s="143" t="s">
        <v>13</v>
      </c>
      <c r="C81" s="144"/>
      <c r="D81" s="14">
        <f t="shared" si="5"/>
        <v>0</v>
      </c>
      <c r="E81" s="17">
        <f>IF(F3="1",SUMIF(Data!A:A,'12'!$A$2,Data!EM:EM),0)</f>
        <v>0</v>
      </c>
      <c r="F81" s="21" t="str">
        <f t="shared" si="4"/>
        <v/>
      </c>
    </row>
    <row r="82" spans="1:6" x14ac:dyDescent="0.2">
      <c r="A82" s="19">
        <v>16</v>
      </c>
      <c r="B82" s="143" t="s">
        <v>14</v>
      </c>
      <c r="C82" s="144"/>
      <c r="D82" s="14">
        <f t="shared" si="5"/>
        <v>0</v>
      </c>
      <c r="E82" s="17">
        <f>IF(F3="1",SUMIF(Data!A:A,'12'!$A$2,Data!EN:EN),0)</f>
        <v>0</v>
      </c>
      <c r="F82" s="21" t="str">
        <f t="shared" si="4"/>
        <v/>
      </c>
    </row>
    <row r="83" spans="1:6" x14ac:dyDescent="0.2">
      <c r="A83" s="19">
        <v>17</v>
      </c>
      <c r="B83" s="143" t="s">
        <v>15</v>
      </c>
      <c r="C83" s="144"/>
      <c r="D83" s="14">
        <f t="shared" si="5"/>
        <v>0</v>
      </c>
      <c r="E83" s="17">
        <f>IF(F3="1",SUMIF(Data!A:A,'12'!$A$2,Data!EO:EO),0)</f>
        <v>0</v>
      </c>
      <c r="F83" s="21" t="str">
        <f t="shared" si="4"/>
        <v/>
      </c>
    </row>
    <row r="84" spans="1:6" x14ac:dyDescent="0.2">
      <c r="A84" s="19">
        <v>18</v>
      </c>
      <c r="B84" s="143" t="s">
        <v>16</v>
      </c>
      <c r="C84" s="144"/>
      <c r="D84" s="14">
        <f t="shared" si="5"/>
        <v>0</v>
      </c>
      <c r="E84" s="17">
        <f>IF(F3="1",SUMIF(Data!A:A,'12'!$A$2,Data!EP:EP),0)</f>
        <v>0</v>
      </c>
      <c r="F84" s="21" t="str">
        <f t="shared" si="4"/>
        <v/>
      </c>
    </row>
    <row r="85" spans="1:6" x14ac:dyDescent="0.2">
      <c r="A85" s="19">
        <v>19</v>
      </c>
      <c r="B85" s="143" t="s">
        <v>17</v>
      </c>
      <c r="C85" s="144"/>
      <c r="D85" s="14">
        <f t="shared" si="5"/>
        <v>243032</v>
      </c>
      <c r="E85" s="17">
        <f>IF(F3="1",SUMIF(Data!A:A,'12'!$A$2,Data!EQ:EQ),0)</f>
        <v>500607</v>
      </c>
      <c r="F85" s="21">
        <f t="shared" si="4"/>
        <v>2.06</v>
      </c>
    </row>
    <row r="86" spans="1:6" x14ac:dyDescent="0.2">
      <c r="A86" s="19">
        <v>20</v>
      </c>
      <c r="B86" s="143" t="s">
        <v>18</v>
      </c>
      <c r="C86" s="144"/>
      <c r="D86" s="14">
        <f t="shared" si="5"/>
        <v>0</v>
      </c>
      <c r="E86" s="17">
        <f>IF(F3="1",SUMIF(Data!A:A,'12'!$A$2,Data!ER:ER),0)</f>
        <v>0</v>
      </c>
      <c r="F86" s="21" t="str">
        <f t="shared" si="4"/>
        <v/>
      </c>
    </row>
    <row r="87" spans="1:6" ht="14.25" customHeight="1" x14ac:dyDescent="0.2">
      <c r="A87" s="19">
        <v>21</v>
      </c>
      <c r="B87" s="143" t="s">
        <v>461</v>
      </c>
      <c r="C87" s="144"/>
      <c r="D87" s="14">
        <f t="shared" si="5"/>
        <v>66560</v>
      </c>
      <c r="E87" s="17">
        <f>IF(F3="1",SUMIF(Data!A:A,'12'!$A$2,Data!ES:ES),0)</f>
        <v>265333</v>
      </c>
      <c r="F87" s="21">
        <f t="shared" si="4"/>
        <v>3.99</v>
      </c>
    </row>
    <row r="88" spans="1:6" x14ac:dyDescent="0.2">
      <c r="A88" s="19">
        <v>22</v>
      </c>
      <c r="B88" s="143" t="s">
        <v>19</v>
      </c>
      <c r="C88" s="144"/>
      <c r="D88" s="14">
        <f t="shared" si="5"/>
        <v>48704</v>
      </c>
      <c r="E88" s="17">
        <f>IF(F3="1",SUMIF(Data!A:A,'12'!$A$2,Data!ET:ET),0)</f>
        <v>123838</v>
      </c>
      <c r="F88" s="21">
        <f t="shared" si="4"/>
        <v>2.54</v>
      </c>
    </row>
    <row r="89" spans="1:6" x14ac:dyDescent="0.2">
      <c r="A89" s="19">
        <v>23</v>
      </c>
      <c r="B89" s="143" t="s">
        <v>20</v>
      </c>
      <c r="C89" s="144"/>
      <c r="D89" s="14">
        <f t="shared" si="5"/>
        <v>43920</v>
      </c>
      <c r="E89" s="17">
        <f>IF(F3="1",SUMIF(Data!A:A,'12'!$A$2,Data!EU:EU),0)</f>
        <v>148423</v>
      </c>
      <c r="F89" s="21">
        <f t="shared" si="4"/>
        <v>3.38</v>
      </c>
    </row>
    <row r="90" spans="1:6" x14ac:dyDescent="0.2">
      <c r="A90" s="19">
        <v>24</v>
      </c>
      <c r="B90" s="143" t="s">
        <v>21</v>
      </c>
      <c r="C90" s="144"/>
      <c r="D90" s="14">
        <f t="shared" si="5"/>
        <v>70896</v>
      </c>
      <c r="E90" s="17">
        <f>IF(F3="1",SUMIF(Data!A:A,'12'!$A$2,Data!EV:EV),0)</f>
        <v>122281</v>
      </c>
      <c r="F90" s="21">
        <f t="shared" si="4"/>
        <v>1.72</v>
      </c>
    </row>
    <row r="91" spans="1:6" x14ac:dyDescent="0.2">
      <c r="A91" s="19">
        <v>25</v>
      </c>
      <c r="B91" s="143" t="s">
        <v>22</v>
      </c>
      <c r="C91" s="144"/>
      <c r="D91" s="14">
        <f t="shared" si="5"/>
        <v>220128</v>
      </c>
      <c r="E91" s="17">
        <f>IF(F3="1",SUMIF(Data!A:A,'12'!$A$2,Data!EW:EW),0)</f>
        <v>584718</v>
      </c>
      <c r="F91" s="21">
        <f t="shared" si="4"/>
        <v>2.66</v>
      </c>
    </row>
    <row r="92" spans="1:6" x14ac:dyDescent="0.2">
      <c r="A92" s="19">
        <v>26</v>
      </c>
      <c r="B92" s="143" t="s">
        <v>23</v>
      </c>
      <c r="C92" s="144"/>
      <c r="D92" s="14">
        <f t="shared" si="5"/>
        <v>40128</v>
      </c>
      <c r="E92" s="17">
        <f>IF(F3="1",SUMIF(Data!A:A,'12'!$A$2,Data!EX:EX),0)</f>
        <v>189946</v>
      </c>
      <c r="F92" s="21">
        <f t="shared" si="4"/>
        <v>4.7300000000000004</v>
      </c>
    </row>
    <row r="93" spans="1:6" x14ac:dyDescent="0.2">
      <c r="A93" s="19">
        <v>28</v>
      </c>
      <c r="B93" s="143" t="s">
        <v>24</v>
      </c>
      <c r="C93" s="144"/>
      <c r="D93" s="14">
        <f t="shared" si="5"/>
        <v>0</v>
      </c>
      <c r="E93" s="17">
        <f>IF(F3="1",SUMIF(Data!A:A,'12'!$A$2,Data!EZ:EZ),0)</f>
        <v>0</v>
      </c>
      <c r="F93" s="21" t="str">
        <f t="shared" si="4"/>
        <v/>
      </c>
    </row>
    <row r="94" spans="1:6" ht="15.75" customHeight="1" thickBot="1" x14ac:dyDescent="0.25">
      <c r="A94" s="22">
        <v>29</v>
      </c>
      <c r="B94" s="147" t="s">
        <v>25</v>
      </c>
      <c r="C94" s="148"/>
      <c r="D94" s="23">
        <f t="shared" si="5"/>
        <v>0</v>
      </c>
      <c r="E94" s="24">
        <f>IF(F3="1",SUMIF(Data!A:A,'12'!$A$2,Data!FA:FA),0)</f>
        <v>0</v>
      </c>
      <c r="F94" s="25" t="str">
        <f t="shared" si="4"/>
        <v/>
      </c>
    </row>
    <row r="95" spans="1:6" x14ac:dyDescent="0.2">
      <c r="B95" s="30" t="s">
        <v>35</v>
      </c>
      <c r="C95" s="30"/>
      <c r="D95" s="59">
        <f>SUM(D67:D94)</f>
        <v>1488512</v>
      </c>
      <c r="E95" s="31">
        <f>SUM(E67:E94)</f>
        <v>4853599</v>
      </c>
      <c r="F95" s="32">
        <f t="shared" si="4"/>
        <v>3.26</v>
      </c>
    </row>
    <row r="96" spans="1:6" ht="15" thickBot="1" x14ac:dyDescent="0.25"/>
    <row r="97" spans="2:6" ht="29.25" customHeight="1" x14ac:dyDescent="0.2">
      <c r="B97" s="151" t="s">
        <v>468</v>
      </c>
      <c r="C97" s="152"/>
      <c r="D97" s="28" t="s">
        <v>27</v>
      </c>
      <c r="E97" s="33" t="s">
        <v>462</v>
      </c>
      <c r="F97" s="29" t="s">
        <v>463</v>
      </c>
    </row>
    <row r="98" spans="2:6" x14ac:dyDescent="0.2">
      <c r="B98" s="153" t="s">
        <v>30</v>
      </c>
      <c r="C98" s="154"/>
      <c r="D98" s="35"/>
      <c r="E98" s="15">
        <f>IF(F3="1",SUMIF(Data!A:A,'12'!$A$2,Data!AH:AH),0)</f>
        <v>2806389</v>
      </c>
      <c r="F98" s="20">
        <f>IF(OR(E98=0,E98=0),"",ROUND(E98/$D$105,2))</f>
        <v>1.89</v>
      </c>
    </row>
    <row r="99" spans="2:6" x14ac:dyDescent="0.2">
      <c r="B99" s="153" t="s">
        <v>31</v>
      </c>
      <c r="C99" s="154"/>
      <c r="D99" s="36"/>
      <c r="E99" s="17">
        <f>IF(F3="1",SUMIF(Data!A:A,'12'!$A$2,Data!AI:AI),0)</f>
        <v>1030161</v>
      </c>
      <c r="F99" s="21">
        <f t="shared" ref="F99:F104" si="6">IF(OR(E99=0,E99=0),"",ROUND(E99/$D$105,2))</f>
        <v>0.69</v>
      </c>
    </row>
    <row r="100" spans="2:6" x14ac:dyDescent="0.2">
      <c r="B100" s="153" t="s">
        <v>1078</v>
      </c>
      <c r="C100" s="154"/>
      <c r="D100" s="36"/>
      <c r="E100" s="17">
        <f>IF(F3="1",SUMIF(Data!A:A,'12'!$A$2,Data!AJ:AJ),0)</f>
        <v>696992</v>
      </c>
      <c r="F100" s="21">
        <f t="shared" si="6"/>
        <v>0.47</v>
      </c>
    </row>
    <row r="101" spans="2:6" x14ac:dyDescent="0.2">
      <c r="B101" s="153" t="s">
        <v>1079</v>
      </c>
      <c r="C101" s="154"/>
      <c r="D101" s="36"/>
      <c r="E101" s="17">
        <f>IF(F3="1",SUMIF(Data!A:A,'12'!$A$2,Data!AK:AK),0)</f>
        <v>0</v>
      </c>
      <c r="F101" s="21" t="str">
        <f t="shared" si="6"/>
        <v/>
      </c>
    </row>
    <row r="102" spans="2:6" x14ac:dyDescent="0.2">
      <c r="B102" s="153" t="s">
        <v>1080</v>
      </c>
      <c r="C102" s="154"/>
      <c r="D102" s="36"/>
      <c r="E102" s="17">
        <f>IF(F3="1",SUMIF(Data!A:A,'12'!$A$2,Data!AL:AL),0)</f>
        <v>0</v>
      </c>
      <c r="F102" s="21" t="str">
        <f t="shared" si="6"/>
        <v/>
      </c>
    </row>
    <row r="103" spans="2:6" x14ac:dyDescent="0.2">
      <c r="B103" s="155" t="s">
        <v>34</v>
      </c>
      <c r="C103" s="156"/>
      <c r="D103" s="36"/>
      <c r="E103" s="17">
        <f>IF(F3="1",SUMIF(Data!A:A,'12'!$A$2,Data!AM:AM),0)</f>
        <v>0</v>
      </c>
      <c r="F103" s="21" t="str">
        <f t="shared" si="6"/>
        <v/>
      </c>
    </row>
    <row r="104" spans="2:6" ht="15.75" customHeight="1" thickBot="1" x14ac:dyDescent="0.25">
      <c r="B104" s="149" t="s">
        <v>29</v>
      </c>
      <c r="C104" s="150"/>
      <c r="D104" s="37"/>
      <c r="E104" s="24">
        <f>IF(F3="1",SUMIF(Data!A:A,'12'!$A$2,Data!Q:Q),0)</f>
        <v>1720603</v>
      </c>
      <c r="F104" s="25">
        <f t="shared" si="6"/>
        <v>1.1599999999999999</v>
      </c>
    </row>
    <row r="105" spans="2:6" x14ac:dyDescent="0.2">
      <c r="B105" s="30" t="s">
        <v>35</v>
      </c>
      <c r="C105" s="30"/>
      <c r="D105" s="34">
        <f>D95</f>
        <v>1488512</v>
      </c>
      <c r="E105" s="31">
        <f>SUM(E98:E104)</f>
        <v>6254145</v>
      </c>
      <c r="F105" s="32">
        <f>IF($D$105=0,"",ROUND(E105/$D$105,2))</f>
        <v>4.2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4853599</v>
      </c>
      <c r="D109" s="15">
        <f>IF(F3="1",SUMIF(Data!$A:$A,$A$2,Data!HJ:HJ),0)</f>
        <v>0</v>
      </c>
      <c r="E109" s="15">
        <f>IF(F3="1",SUMIF(Data!$A:$A,$A$2,Data!IN:IN),0)</f>
        <v>0</v>
      </c>
      <c r="F109" s="47">
        <f>SUM(C109:E109)</f>
        <v>4853599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1720603</v>
      </c>
      <c r="E117" s="52"/>
      <c r="F117" s="49">
        <f>SUM(C117:E117)</f>
        <v>1720603</v>
      </c>
    </row>
    <row r="118" spans="1:6" x14ac:dyDescent="0.2">
      <c r="B118" s="13" t="s">
        <v>35</v>
      </c>
      <c r="C118" s="4">
        <f>SUM(C109:C116)</f>
        <v>4853599</v>
      </c>
      <c r="D118" s="4">
        <f>SUM(D109:D116)</f>
        <v>0</v>
      </c>
      <c r="E118" s="4">
        <f>SUM(E109:E116)</f>
        <v>0</v>
      </c>
      <c r="F118" s="4">
        <f>SUM(F109:F116)</f>
        <v>4853599</v>
      </c>
    </row>
    <row r="119" spans="1:6" ht="15" thickBot="1" x14ac:dyDescent="0.25"/>
    <row r="120" spans="1:6" ht="15" thickBot="1" x14ac:dyDescent="0.25">
      <c r="B120" s="55" t="s">
        <v>934</v>
      </c>
      <c r="C120" s="53"/>
      <c r="D120" s="53"/>
      <c r="E120" s="53">
        <f>IF(F3="1",SUMIF(Data!A:A,'12'!$A$2,Data!AM:AM),0)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452</v>
      </c>
      <c r="B2" s="58" t="str">
        <f>VLOOKUP(A2,Data!A:G,7,0)</f>
        <v>Collin County Community College District</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9036</v>
      </c>
      <c r="E5" s="15">
        <f>E36+E67+IFERROR($E$105/$D$105*D5,0)</f>
        <v>100017.98091373102</v>
      </c>
      <c r="F5" s="20">
        <f>IF(OR(D5=0,E5=0),"",ROUND(E5/D5,2))</f>
        <v>11.07</v>
      </c>
    </row>
    <row r="6" spans="1:6" x14ac:dyDescent="0.2">
      <c r="A6" s="19">
        <v>2</v>
      </c>
      <c r="B6" s="143" t="s">
        <v>1</v>
      </c>
      <c r="C6" s="144"/>
      <c r="D6" s="14">
        <f t="shared" ref="D6:D32" si="0">D37</f>
        <v>164870</v>
      </c>
      <c r="E6" s="17">
        <f t="shared" ref="E6:E32" si="1">E37+E68+IFERROR($E$105/$D$105*D6,0)</f>
        <v>1303680.3664505128</v>
      </c>
      <c r="F6" s="21">
        <f t="shared" ref="F6:F33" si="2">IF(OR(D6=0,E6=0),"",ROUND(E6/D6,2))</f>
        <v>7.91</v>
      </c>
    </row>
    <row r="7" spans="1:6" ht="14.25" customHeight="1" x14ac:dyDescent="0.2">
      <c r="A7" s="19">
        <v>3</v>
      </c>
      <c r="B7" s="143" t="s">
        <v>2</v>
      </c>
      <c r="C7" s="144"/>
      <c r="D7" s="14">
        <f t="shared" si="0"/>
        <v>445904</v>
      </c>
      <c r="E7" s="17">
        <f t="shared" si="1"/>
        <v>2860313.5676578479</v>
      </c>
      <c r="F7" s="21">
        <f t="shared" si="2"/>
        <v>6.41</v>
      </c>
    </row>
    <row r="8" spans="1:6" ht="14.25" customHeight="1" x14ac:dyDescent="0.2">
      <c r="A8" s="19">
        <v>4</v>
      </c>
      <c r="B8" s="143" t="s">
        <v>3</v>
      </c>
      <c r="C8" s="144"/>
      <c r="D8" s="14">
        <f t="shared" si="0"/>
        <v>325463</v>
      </c>
      <c r="E8" s="17">
        <f t="shared" si="1"/>
        <v>2665536.1205318328</v>
      </c>
      <c r="F8" s="21">
        <f t="shared" si="2"/>
        <v>8.19</v>
      </c>
    </row>
    <row r="9" spans="1:6" x14ac:dyDescent="0.2">
      <c r="A9" s="19">
        <v>5</v>
      </c>
      <c r="B9" s="143" t="s">
        <v>4</v>
      </c>
      <c r="C9" s="144"/>
      <c r="D9" s="14">
        <f t="shared" si="0"/>
        <v>1776</v>
      </c>
      <c r="E9" s="17">
        <f t="shared" si="1"/>
        <v>13095.690803761208</v>
      </c>
      <c r="F9" s="21">
        <f t="shared" si="2"/>
        <v>7.37</v>
      </c>
    </row>
    <row r="10" spans="1:6" x14ac:dyDescent="0.2">
      <c r="A10" s="19">
        <v>6</v>
      </c>
      <c r="B10" s="143" t="s">
        <v>5</v>
      </c>
      <c r="C10" s="144"/>
      <c r="D10" s="14">
        <f t="shared" si="0"/>
        <v>17440</v>
      </c>
      <c r="E10" s="17">
        <f t="shared" si="1"/>
        <v>75794.468253150611</v>
      </c>
      <c r="F10" s="21">
        <f t="shared" si="2"/>
        <v>4.3499999999999996</v>
      </c>
    </row>
    <row r="11" spans="1:6" x14ac:dyDescent="0.2">
      <c r="A11" s="19">
        <v>7</v>
      </c>
      <c r="B11" s="143" t="s">
        <v>6</v>
      </c>
      <c r="C11" s="144"/>
      <c r="D11" s="14">
        <f t="shared" si="0"/>
        <v>453330</v>
      </c>
      <c r="E11" s="17">
        <f t="shared" si="1"/>
        <v>2862118.3671560073</v>
      </c>
      <c r="F11" s="21">
        <f t="shared" si="2"/>
        <v>6.31</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42648</v>
      </c>
      <c r="E13" s="17">
        <f t="shared" si="1"/>
        <v>371566.73727410362</v>
      </c>
      <c r="F13" s="21">
        <f t="shared" si="2"/>
        <v>8.7100000000000009</v>
      </c>
    </row>
    <row r="14" spans="1:6" x14ac:dyDescent="0.2">
      <c r="A14" s="19">
        <v>10</v>
      </c>
      <c r="B14" s="143" t="s">
        <v>9</v>
      </c>
      <c r="C14" s="144"/>
      <c r="D14" s="14">
        <f t="shared" si="0"/>
        <v>1936</v>
      </c>
      <c r="E14" s="17">
        <f t="shared" si="1"/>
        <v>10382.410695991948</v>
      </c>
      <c r="F14" s="21">
        <f t="shared" si="2"/>
        <v>5.36</v>
      </c>
    </row>
    <row r="15" spans="1:6" x14ac:dyDescent="0.2">
      <c r="A15" s="19">
        <v>11</v>
      </c>
      <c r="B15" s="143" t="s">
        <v>10</v>
      </c>
      <c r="C15" s="144"/>
      <c r="D15" s="14">
        <f t="shared" si="0"/>
        <v>108817</v>
      </c>
      <c r="E15" s="17">
        <f t="shared" si="1"/>
        <v>807853.59695545246</v>
      </c>
      <c r="F15" s="21">
        <f t="shared" si="2"/>
        <v>7.42</v>
      </c>
    </row>
    <row r="16" spans="1:6" ht="14.25" customHeight="1" x14ac:dyDescent="0.2">
      <c r="A16" s="19">
        <v>12</v>
      </c>
      <c r="B16" s="143" t="s">
        <v>11</v>
      </c>
      <c r="C16" s="144"/>
      <c r="D16" s="14">
        <f t="shared" si="0"/>
        <v>812208</v>
      </c>
      <c r="E16" s="17">
        <f t="shared" si="1"/>
        <v>5181296.4889309034</v>
      </c>
      <c r="F16" s="21">
        <f t="shared" si="2"/>
        <v>6.38</v>
      </c>
    </row>
    <row r="17" spans="1:6" x14ac:dyDescent="0.2">
      <c r="A17" s="19">
        <v>13</v>
      </c>
      <c r="B17" s="143" t="s">
        <v>12</v>
      </c>
      <c r="C17" s="144"/>
      <c r="D17" s="14">
        <f t="shared" si="0"/>
        <v>158817</v>
      </c>
      <c r="E17" s="17">
        <f t="shared" si="1"/>
        <v>1150079.0632775584</v>
      </c>
      <c r="F17" s="21">
        <f t="shared" si="2"/>
        <v>7.24</v>
      </c>
    </row>
    <row r="18" spans="1:6" ht="14.25" customHeight="1" x14ac:dyDescent="0.2">
      <c r="A18" s="19">
        <v>14</v>
      </c>
      <c r="B18" s="143" t="s">
        <v>464</v>
      </c>
      <c r="C18" s="144"/>
      <c r="D18" s="14">
        <f t="shared" si="0"/>
        <v>29936</v>
      </c>
      <c r="E18" s="17">
        <f t="shared" si="1"/>
        <v>413605.39183637139</v>
      </c>
      <c r="F18" s="21">
        <f t="shared" si="2"/>
        <v>13.82</v>
      </c>
    </row>
    <row r="19" spans="1:6" x14ac:dyDescent="0.2">
      <c r="A19" s="19">
        <v>15</v>
      </c>
      <c r="B19" s="143" t="s">
        <v>13</v>
      </c>
      <c r="C19" s="144"/>
      <c r="D19" s="14">
        <f t="shared" si="0"/>
        <v>28002</v>
      </c>
      <c r="E19" s="17">
        <f t="shared" si="1"/>
        <v>450602.57763903233</v>
      </c>
      <c r="F19" s="21">
        <f t="shared" si="2"/>
        <v>16.09</v>
      </c>
    </row>
    <row r="20" spans="1:6" x14ac:dyDescent="0.2">
      <c r="A20" s="19">
        <v>16</v>
      </c>
      <c r="B20" s="143" t="s">
        <v>14</v>
      </c>
      <c r="C20" s="144"/>
      <c r="D20" s="14">
        <f t="shared" si="0"/>
        <v>73769</v>
      </c>
      <c r="E20" s="17">
        <f t="shared" si="1"/>
        <v>542805.55456230894</v>
      </c>
      <c r="F20" s="21">
        <f t="shared" si="2"/>
        <v>7.36</v>
      </c>
    </row>
    <row r="21" spans="1:6" x14ac:dyDescent="0.2">
      <c r="A21" s="19">
        <v>17</v>
      </c>
      <c r="B21" s="143" t="s">
        <v>15</v>
      </c>
      <c r="C21" s="144"/>
      <c r="D21" s="14">
        <f t="shared" si="0"/>
        <v>36576</v>
      </c>
      <c r="E21" s="17">
        <f t="shared" si="1"/>
        <v>324638.76736394706</v>
      </c>
      <c r="F21" s="21">
        <f t="shared" si="2"/>
        <v>8.8800000000000008</v>
      </c>
    </row>
    <row r="22" spans="1:6" x14ac:dyDescent="0.2">
      <c r="A22" s="19">
        <v>18</v>
      </c>
      <c r="B22" s="143" t="s">
        <v>16</v>
      </c>
      <c r="C22" s="144"/>
      <c r="D22" s="14">
        <f t="shared" si="0"/>
        <v>19476</v>
      </c>
      <c r="E22" s="17">
        <f t="shared" si="1"/>
        <v>182909.70388178679</v>
      </c>
      <c r="F22" s="21">
        <f t="shared" si="2"/>
        <v>9.39</v>
      </c>
    </row>
    <row r="23" spans="1:6" x14ac:dyDescent="0.2">
      <c r="A23" s="19">
        <v>19</v>
      </c>
      <c r="B23" s="143" t="s">
        <v>17</v>
      </c>
      <c r="C23" s="144"/>
      <c r="D23" s="14">
        <f t="shared" si="0"/>
        <v>673444</v>
      </c>
      <c r="E23" s="17">
        <f t="shared" si="1"/>
        <v>3702165.2193964887</v>
      </c>
      <c r="F23" s="21">
        <f t="shared" si="2"/>
        <v>5.5</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47604</v>
      </c>
      <c r="E26" s="17">
        <f t="shared" si="1"/>
        <v>496712.86093595077</v>
      </c>
      <c r="F26" s="21">
        <f t="shared" si="2"/>
        <v>10.43</v>
      </c>
    </row>
    <row r="27" spans="1:6" x14ac:dyDescent="0.2">
      <c r="A27" s="19">
        <v>23</v>
      </c>
      <c r="B27" s="143" t="s">
        <v>20</v>
      </c>
      <c r="C27" s="144"/>
      <c r="D27" s="14">
        <f t="shared" si="0"/>
        <v>114112</v>
      </c>
      <c r="E27" s="17">
        <f t="shared" si="1"/>
        <v>1146665.8271389634</v>
      </c>
      <c r="F27" s="21">
        <f t="shared" si="2"/>
        <v>10.050000000000001</v>
      </c>
    </row>
    <row r="28" spans="1:6" x14ac:dyDescent="0.2">
      <c r="A28" s="19">
        <v>24</v>
      </c>
      <c r="B28" s="143" t="s">
        <v>21</v>
      </c>
      <c r="C28" s="144"/>
      <c r="D28" s="14">
        <f t="shared" si="0"/>
        <v>146010</v>
      </c>
      <c r="E28" s="17">
        <f t="shared" si="1"/>
        <v>1172769.3841538143</v>
      </c>
      <c r="F28" s="21">
        <f t="shared" si="2"/>
        <v>8.0299999999999994</v>
      </c>
    </row>
    <row r="29" spans="1:6" x14ac:dyDescent="0.2">
      <c r="A29" s="19">
        <v>25</v>
      </c>
      <c r="B29" s="143" t="s">
        <v>22</v>
      </c>
      <c r="C29" s="144"/>
      <c r="D29" s="14">
        <f t="shared" si="0"/>
        <v>857632</v>
      </c>
      <c r="E29" s="17">
        <f t="shared" si="1"/>
        <v>5322545.1663352102</v>
      </c>
      <c r="F29" s="21">
        <f t="shared" si="2"/>
        <v>6.21</v>
      </c>
    </row>
    <row r="30" spans="1:6" x14ac:dyDescent="0.2">
      <c r="A30" s="19">
        <v>26</v>
      </c>
      <c r="B30" s="143" t="s">
        <v>23</v>
      </c>
      <c r="C30" s="144"/>
      <c r="D30" s="14">
        <f t="shared" si="0"/>
        <v>284526</v>
      </c>
      <c r="E30" s="17">
        <f t="shared" si="1"/>
        <v>2676611.6878552712</v>
      </c>
      <c r="F30" s="21">
        <f t="shared" si="2"/>
        <v>9.41</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4853332</v>
      </c>
      <c r="E33" s="31">
        <f>SUM(E5:E32)</f>
        <v>33833767</v>
      </c>
      <c r="F33" s="32">
        <f t="shared" si="2"/>
        <v>6.97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IF(F3="1",SUMIF(Data!A:A,'13'!$A$2,Data!CU:CU),0)</f>
        <v>9036</v>
      </c>
      <c r="E36" s="15">
        <f>IF(F3="1",SUMIF(Data!$A:$A,$A$2,Data!IO:IO),0)</f>
        <v>12724</v>
      </c>
      <c r="F36" s="20">
        <f t="shared" ref="F36:F64" si="3">IF(OR(D36=0,E36=0),"",ROUND(E36/D36,2))</f>
        <v>1.41</v>
      </c>
    </row>
    <row r="37" spans="1:6" x14ac:dyDescent="0.2">
      <c r="A37" s="19">
        <v>2</v>
      </c>
      <c r="B37" s="143" t="s">
        <v>1</v>
      </c>
      <c r="C37" s="144"/>
      <c r="D37" s="14">
        <f>IF(F3="1",SUMIF(Data!A:A,'13'!$A$2,Data!CV:CV),0)</f>
        <v>164870</v>
      </c>
      <c r="E37" s="17">
        <f>IF(F3="1",SUMIF(Data!$A:$A,$A$2,Data!IP:IP),0)</f>
        <v>349237</v>
      </c>
      <c r="F37" s="21">
        <f t="shared" si="3"/>
        <v>2.12</v>
      </c>
    </row>
    <row r="38" spans="1:6" ht="14.25" customHeight="1" x14ac:dyDescent="0.2">
      <c r="A38" s="19">
        <v>3</v>
      </c>
      <c r="B38" s="143" t="s">
        <v>2</v>
      </c>
      <c r="C38" s="144"/>
      <c r="D38" s="14">
        <f>IF(F3="1",SUMIF(Data!A:A,'13'!$A$2,Data!CW:CW),0)</f>
        <v>445904</v>
      </c>
      <c r="E38" s="17">
        <f>IF($F$3="1",SUMIF(Data!$A:$A,$A$2,Data!IQ:IQ),0)</f>
        <v>525615</v>
      </c>
      <c r="F38" s="21">
        <f t="shared" si="3"/>
        <v>1.18</v>
      </c>
    </row>
    <row r="39" spans="1:6" ht="14.25" customHeight="1" x14ac:dyDescent="0.2">
      <c r="A39" s="19">
        <v>4</v>
      </c>
      <c r="B39" s="143" t="s">
        <v>3</v>
      </c>
      <c r="C39" s="144"/>
      <c r="D39" s="14">
        <f>IF(F3="1",SUMIF(Data!A:A,'13'!$A$2,Data!CX:CX),0)</f>
        <v>325463</v>
      </c>
      <c r="E39" s="17">
        <f>IF($F$3="1",SUMIF(Data!$A:$A,$A$2,Data!IR:IR),0)</f>
        <v>592846</v>
      </c>
      <c r="F39" s="21">
        <f t="shared" si="3"/>
        <v>1.82</v>
      </c>
    </row>
    <row r="40" spans="1:6" x14ac:dyDescent="0.2">
      <c r="A40" s="19">
        <v>5</v>
      </c>
      <c r="B40" s="143" t="s">
        <v>4</v>
      </c>
      <c r="C40" s="144"/>
      <c r="D40" s="14">
        <f>IF(F3="1",SUMIF(Data!A:A,'13'!$A$2,Data!CY:CY),0)</f>
        <v>1776</v>
      </c>
      <c r="E40" s="17">
        <f>IF($F$3="1",SUMIF(Data!$A:$A,$A$2,Data!IS:IS),0)</f>
        <v>4407</v>
      </c>
      <c r="F40" s="21">
        <f t="shared" si="3"/>
        <v>2.48</v>
      </c>
    </row>
    <row r="41" spans="1:6" x14ac:dyDescent="0.2">
      <c r="A41" s="19">
        <v>6</v>
      </c>
      <c r="B41" s="143" t="s">
        <v>5</v>
      </c>
      <c r="C41" s="144"/>
      <c r="D41" s="14">
        <f>IF(F3="1",SUMIF(Data!A:A,'13'!$A$2,Data!CZ:CZ),0)</f>
        <v>17440</v>
      </c>
      <c r="E41" s="17">
        <f>IF($F$3="1",SUMIF(Data!$A:$A,$A$2,Data!IT:IT),0)</f>
        <v>6093</v>
      </c>
      <c r="F41" s="21">
        <f t="shared" si="3"/>
        <v>0.35</v>
      </c>
    </row>
    <row r="42" spans="1:6" x14ac:dyDescent="0.2">
      <c r="A42" s="19">
        <v>7</v>
      </c>
      <c r="B42" s="143" t="s">
        <v>6</v>
      </c>
      <c r="C42" s="144"/>
      <c r="D42" s="14">
        <f>IF(F3="1",SUMIF(Data!A:A,'13'!$A$2,Data!DA:DA),0)</f>
        <v>453330</v>
      </c>
      <c r="E42" s="17">
        <f>IF($F$3="1",SUMIF(Data!$A:$A,$A$2,Data!IU:IU),0)</f>
        <v>529868</v>
      </c>
      <c r="F42" s="21">
        <f t="shared" si="3"/>
        <v>1.17</v>
      </c>
    </row>
    <row r="43" spans="1:6" x14ac:dyDescent="0.2">
      <c r="A43" s="19">
        <v>8</v>
      </c>
      <c r="B43" s="143" t="s">
        <v>7</v>
      </c>
      <c r="C43" s="144"/>
      <c r="D43" s="14">
        <f>IF(F3="1",SUMIF(Data!A:A,'13'!$A$2,Data!DB:DB),0)</f>
        <v>0</v>
      </c>
      <c r="E43" s="17">
        <f>IF($F$3="1",SUMIF(Data!$A:$A,$A$2,Data!IV:IV),0)</f>
        <v>0</v>
      </c>
      <c r="F43" s="21" t="str">
        <f t="shared" si="3"/>
        <v/>
      </c>
    </row>
    <row r="44" spans="1:6" x14ac:dyDescent="0.2">
      <c r="A44" s="19">
        <v>9</v>
      </c>
      <c r="B44" s="143" t="s">
        <v>8</v>
      </c>
      <c r="C44" s="144"/>
      <c r="D44" s="14">
        <f>IF(F3="1",SUMIF(Data!A:A,'13'!$A$2,Data!DC:DC),0)</f>
        <v>42648</v>
      </c>
      <c r="E44" s="17">
        <f>IF($F$3="1",SUMIF(Data!$A:$A,$A$2,Data!IW:IW),0)</f>
        <v>129337</v>
      </c>
      <c r="F44" s="21">
        <f t="shared" si="3"/>
        <v>3.03</v>
      </c>
    </row>
    <row r="45" spans="1:6" x14ac:dyDescent="0.2">
      <c r="A45" s="19">
        <v>10</v>
      </c>
      <c r="B45" s="143" t="s">
        <v>9</v>
      </c>
      <c r="C45" s="144"/>
      <c r="D45" s="14">
        <f>IF(F3="1",SUMIF(Data!A:A,'13'!$A$2,Data!DD:DD),0)</f>
        <v>1936</v>
      </c>
      <c r="E45" s="17">
        <f>IF($F$3="1",SUMIF(Data!$A:$A,$A$2,Data!IX:IX),0)</f>
        <v>897</v>
      </c>
      <c r="F45" s="21">
        <f t="shared" si="3"/>
        <v>0.46</v>
      </c>
    </row>
    <row r="46" spans="1:6" x14ac:dyDescent="0.2">
      <c r="A46" s="19">
        <v>11</v>
      </c>
      <c r="B46" s="143" t="s">
        <v>10</v>
      </c>
      <c r="C46" s="144"/>
      <c r="D46" s="14">
        <f>IF(F3="1",SUMIF(Data!A:A,'13'!$A$2,Data!DE:DE),0)</f>
        <v>108817</v>
      </c>
      <c r="E46" s="17">
        <f>IF($F$3="1",SUMIF(Data!$A:$A,$A$2,Data!IY:IY),0)</f>
        <v>218789</v>
      </c>
      <c r="F46" s="21">
        <f t="shared" si="3"/>
        <v>2.0099999999999998</v>
      </c>
    </row>
    <row r="47" spans="1:6" ht="14.25" customHeight="1" x14ac:dyDescent="0.2">
      <c r="A47" s="19">
        <v>12</v>
      </c>
      <c r="B47" s="143" t="s">
        <v>11</v>
      </c>
      <c r="C47" s="144"/>
      <c r="D47" s="14">
        <f>IF(F3="1",SUMIF(Data!A:A,'13'!$A$2,Data!DF:DF),0)</f>
        <v>812208</v>
      </c>
      <c r="E47" s="17">
        <f>IF($F$3="1",SUMIF(Data!$A:$A,$A$2,Data!IZ:IZ),0)</f>
        <v>702765</v>
      </c>
      <c r="F47" s="21">
        <f t="shared" si="3"/>
        <v>0.87</v>
      </c>
    </row>
    <row r="48" spans="1:6" x14ac:dyDescent="0.2">
      <c r="A48" s="19">
        <v>13</v>
      </c>
      <c r="B48" s="143" t="s">
        <v>12</v>
      </c>
      <c r="C48" s="144"/>
      <c r="D48" s="14">
        <f>IF(F3="1",SUMIF(Data!A:A,'13'!$A$2,Data!DG:DG),0)</f>
        <v>158817</v>
      </c>
      <c r="E48" s="17">
        <f>IF($F$3="1",SUMIF(Data!$A:$A,$A$2,Data!JA:JA),0)</f>
        <v>195352</v>
      </c>
      <c r="F48" s="21">
        <f t="shared" si="3"/>
        <v>1.23</v>
      </c>
    </row>
    <row r="49" spans="1:6" ht="14.25" customHeight="1" x14ac:dyDescent="0.2">
      <c r="A49" s="19">
        <v>14</v>
      </c>
      <c r="B49" s="143" t="s">
        <v>464</v>
      </c>
      <c r="C49" s="144"/>
      <c r="D49" s="14">
        <f>IF(F3="1",SUMIF(Data!A:A,'13'!$A$2,Data!DH:DH),0)</f>
        <v>29936</v>
      </c>
      <c r="E49" s="17">
        <f>IF($F$3="1",SUMIF(Data!$A:$A,$A$2,Data!JB:JB),0)</f>
        <v>69746</v>
      </c>
      <c r="F49" s="21">
        <f t="shared" si="3"/>
        <v>2.33</v>
      </c>
    </row>
    <row r="50" spans="1:6" x14ac:dyDescent="0.2">
      <c r="A50" s="19">
        <v>15</v>
      </c>
      <c r="B50" s="143" t="s">
        <v>13</v>
      </c>
      <c r="C50" s="144"/>
      <c r="D50" s="14">
        <f>IF(F3="1",SUMIF(Data!A:A,'13'!$A$2,Data!DI:DI),0)</f>
        <v>28002</v>
      </c>
      <c r="E50" s="17">
        <f>IF($F$3="1",SUMIF(Data!$A:$A,$A$2,Data!JC:JC),0)</f>
        <v>155637</v>
      </c>
      <c r="F50" s="21">
        <f t="shared" si="3"/>
        <v>5.56</v>
      </c>
    </row>
    <row r="51" spans="1:6" x14ac:dyDescent="0.2">
      <c r="A51" s="19">
        <v>16</v>
      </c>
      <c r="B51" s="143" t="s">
        <v>14</v>
      </c>
      <c r="C51" s="144"/>
      <c r="D51" s="14">
        <f>IF(F3="1",SUMIF(Data!A:A,'13'!$A$2,Data!DJ:DJ),0)</f>
        <v>73769</v>
      </c>
      <c r="E51" s="17">
        <f>IF($F$3="1",SUMIF(Data!$A:$A,$A$2,Data!JD:JD),0)</f>
        <v>122033</v>
      </c>
      <c r="F51" s="21">
        <f t="shared" si="3"/>
        <v>1.65</v>
      </c>
    </row>
    <row r="52" spans="1:6" x14ac:dyDescent="0.2">
      <c r="A52" s="19">
        <v>17</v>
      </c>
      <c r="B52" s="143" t="s">
        <v>15</v>
      </c>
      <c r="C52" s="144"/>
      <c r="D52" s="14">
        <f>IF(F3="1",SUMIF(Data!A:A,'13'!$A$2,Data!DK:DK),0)</f>
        <v>36576</v>
      </c>
      <c r="E52" s="17">
        <f>IF($F$3="1",SUMIF(Data!$A:$A,$A$2,Data!JE:JE),0)</f>
        <v>48010</v>
      </c>
      <c r="F52" s="21">
        <f t="shared" si="3"/>
        <v>1.31</v>
      </c>
    </row>
    <row r="53" spans="1:6" x14ac:dyDescent="0.2">
      <c r="A53" s="19">
        <v>18</v>
      </c>
      <c r="B53" s="143" t="s">
        <v>16</v>
      </c>
      <c r="C53" s="144"/>
      <c r="D53" s="14">
        <f>IF(F3="1",SUMIF(Data!A:A,'13'!$A$2,Data!DL:DL),0)</f>
        <v>19476</v>
      </c>
      <c r="E53" s="17">
        <f>IF($F$3="1",SUMIF(Data!$A:$A,$A$2,Data!JF:JF),0)</f>
        <v>75375</v>
      </c>
      <c r="F53" s="21">
        <f t="shared" si="3"/>
        <v>3.87</v>
      </c>
    </row>
    <row r="54" spans="1:6" x14ac:dyDescent="0.2">
      <c r="A54" s="19">
        <v>19</v>
      </c>
      <c r="B54" s="143" t="s">
        <v>17</v>
      </c>
      <c r="C54" s="144"/>
      <c r="D54" s="14">
        <f>IF(F3="1",SUMIF(Data!A:A,'13'!$A$2,Data!DM:DM),0)</f>
        <v>673444</v>
      </c>
      <c r="E54" s="17">
        <f>IF($F$3="1",SUMIF(Data!$A:$A,$A$2,Data!JG:JG),0)</f>
        <v>549401</v>
      </c>
      <c r="F54" s="21">
        <f t="shared" si="3"/>
        <v>0.82</v>
      </c>
    </row>
    <row r="55" spans="1:6" x14ac:dyDescent="0.2">
      <c r="A55" s="19">
        <v>20</v>
      </c>
      <c r="B55" s="143" t="s">
        <v>18</v>
      </c>
      <c r="C55" s="144"/>
      <c r="D55" s="14">
        <f>IF(F3="1",SUMIF(Data!A:A,'13'!$A$2,Data!DN:DN),0)</f>
        <v>0</v>
      </c>
      <c r="E55" s="17">
        <f>IF($F$3="1",SUMIF(Data!$A:$A,$A$2,Data!JH:JH),0)</f>
        <v>0</v>
      </c>
      <c r="F55" s="21" t="str">
        <f t="shared" si="3"/>
        <v/>
      </c>
    </row>
    <row r="56" spans="1:6" ht="14.25" customHeight="1" x14ac:dyDescent="0.2">
      <c r="A56" s="19">
        <v>21</v>
      </c>
      <c r="B56" s="143" t="s">
        <v>461</v>
      </c>
      <c r="C56" s="144"/>
      <c r="D56" s="14">
        <f>IF(F3="1",SUMIF(Data!A:A,'13'!$A$2,Data!DO:DO),0)</f>
        <v>0</v>
      </c>
      <c r="E56" s="17">
        <f>IF($F$3="1",SUMIF(Data!$A:$A,$A$2,Data!JI:JI),0)</f>
        <v>0</v>
      </c>
      <c r="F56" s="21" t="str">
        <f t="shared" si="3"/>
        <v/>
      </c>
    </row>
    <row r="57" spans="1:6" x14ac:dyDescent="0.2">
      <c r="A57" s="19">
        <v>22</v>
      </c>
      <c r="B57" s="143" t="s">
        <v>19</v>
      </c>
      <c r="C57" s="144"/>
      <c r="D57" s="14">
        <f>IF(F3="1",SUMIF(Data!A:A,'13'!$A$2,Data!DP:DP),0)</f>
        <v>47604</v>
      </c>
      <c r="E57" s="17">
        <f>IF($F$3="1",SUMIF(Data!$A:$A,$A$2,Data!JJ:JJ),0)</f>
        <v>180162</v>
      </c>
      <c r="F57" s="21">
        <f t="shared" si="3"/>
        <v>3.78</v>
      </c>
    </row>
    <row r="58" spans="1:6" x14ac:dyDescent="0.2">
      <c r="A58" s="19">
        <v>23</v>
      </c>
      <c r="B58" s="143" t="s">
        <v>20</v>
      </c>
      <c r="C58" s="144"/>
      <c r="D58" s="14">
        <f>IF(F3="1",SUMIF(Data!A:A,'13'!$A$2,Data!DQ:DQ),0)</f>
        <v>114112</v>
      </c>
      <c r="E58" s="17">
        <f>IF($F$3="1",SUMIF(Data!$A:$A,$A$2,Data!JK:JK),0)</f>
        <v>365632</v>
      </c>
      <c r="F58" s="21">
        <f t="shared" si="3"/>
        <v>3.2</v>
      </c>
    </row>
    <row r="59" spans="1:6" x14ac:dyDescent="0.2">
      <c r="A59" s="19">
        <v>24</v>
      </c>
      <c r="B59" s="143" t="s">
        <v>21</v>
      </c>
      <c r="C59" s="144"/>
      <c r="D59" s="14">
        <f>IF(F3="1",SUMIF(Data!A:A,'13'!$A$2,Data!DR:DR),0)</f>
        <v>146010</v>
      </c>
      <c r="E59" s="17">
        <f>IF($F$3="1",SUMIF(Data!$A:$A,$A$2,Data!JL:JL),0)</f>
        <v>448746</v>
      </c>
      <c r="F59" s="21">
        <f t="shared" si="3"/>
        <v>3.07</v>
      </c>
    </row>
    <row r="60" spans="1:6" x14ac:dyDescent="0.2">
      <c r="A60" s="19">
        <v>25</v>
      </c>
      <c r="B60" s="143" t="s">
        <v>22</v>
      </c>
      <c r="C60" s="144"/>
      <c r="D60" s="14">
        <f>IF(F3="1",SUMIF(Data!A:A,'13'!$A$2,Data!DS:DS),0)</f>
        <v>857632</v>
      </c>
      <c r="E60" s="17">
        <f>IF($F$3="1",SUMIF(Data!$A:$A,$A$2,Data!JM:JM),0)</f>
        <v>433825</v>
      </c>
      <c r="F60" s="21">
        <f t="shared" si="3"/>
        <v>0.51</v>
      </c>
    </row>
    <row r="61" spans="1:6" x14ac:dyDescent="0.2">
      <c r="A61" s="19">
        <v>26</v>
      </c>
      <c r="B61" s="143" t="s">
        <v>23</v>
      </c>
      <c r="C61" s="144"/>
      <c r="D61" s="14">
        <f>IF(F3="1",SUMIF(Data!A:A,'13'!$A$2,Data!DT:DT),0)</f>
        <v>284526</v>
      </c>
      <c r="E61" s="17">
        <f>IF($F$3="1",SUMIF(Data!$A:$A,$A$2,Data!JN:JN),0)</f>
        <v>724981</v>
      </c>
      <c r="F61" s="21">
        <f t="shared" si="3"/>
        <v>2.5499999999999998</v>
      </c>
    </row>
    <row r="62" spans="1:6" x14ac:dyDescent="0.2">
      <c r="A62" s="19">
        <v>28</v>
      </c>
      <c r="B62" s="143" t="s">
        <v>24</v>
      </c>
      <c r="C62" s="144"/>
      <c r="D62" s="14">
        <f>IF(F3="1",SUMIF(Data!A:A,'13'!$A$2,Data!DV:DV),0)</f>
        <v>0</v>
      </c>
      <c r="E62" s="17">
        <f>IF($F$3="1",SUMIF(Data!$A:$A,$A$2,Data!JP:JP),0)</f>
        <v>0</v>
      </c>
      <c r="F62" s="21" t="str">
        <f t="shared" si="3"/>
        <v/>
      </c>
    </row>
    <row r="63" spans="1:6" ht="15.75" customHeight="1" thickBot="1" x14ac:dyDescent="0.25">
      <c r="A63" s="22">
        <v>29</v>
      </c>
      <c r="B63" s="147" t="s">
        <v>25</v>
      </c>
      <c r="C63" s="148"/>
      <c r="D63" s="23">
        <f>IF(F3="1",SUMIF(Data!A:A,'13'!$A$2,Data!DW:DW),0)</f>
        <v>0</v>
      </c>
      <c r="E63" s="24">
        <f>IF($F$3="1",SUMIF(Data!$A:$A,$A$2,Data!JQ:JQ),0)</f>
        <v>0</v>
      </c>
      <c r="F63" s="25" t="str">
        <f t="shared" si="3"/>
        <v/>
      </c>
    </row>
    <row r="64" spans="1:6" x14ac:dyDescent="0.2">
      <c r="B64" s="30" t="s">
        <v>35</v>
      </c>
      <c r="C64" s="30"/>
      <c r="D64" s="59">
        <f>SUM(D36:D63)</f>
        <v>4853332</v>
      </c>
      <c r="E64" s="31">
        <f>SUM(E36:E63)</f>
        <v>6441478</v>
      </c>
      <c r="F64" s="32">
        <f t="shared" si="3"/>
        <v>1.33</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9036</v>
      </c>
      <c r="E67" s="15">
        <f>IF(F3="1",SUMIF(Data!A:A,'13'!$A$2,Data!DY:DY),0)</f>
        <v>57491</v>
      </c>
      <c r="F67" s="20">
        <f t="shared" ref="F67:F95" si="4">IF(OR(D67=0,E67=0),"",ROUND(E67/D67,2))</f>
        <v>6.36</v>
      </c>
    </row>
    <row r="68" spans="1:6" x14ac:dyDescent="0.2">
      <c r="A68" s="19">
        <v>2</v>
      </c>
      <c r="B68" s="143" t="s">
        <v>1</v>
      </c>
      <c r="C68" s="144"/>
      <c r="D68" s="14">
        <f t="shared" ref="D68:D94" si="5">D37</f>
        <v>164870</v>
      </c>
      <c r="E68" s="17">
        <f>IF(F3="1",SUMIF(Data!A:A,'13'!$A$2,Data!DZ:DZ),0)</f>
        <v>410661</v>
      </c>
      <c r="F68" s="21">
        <f t="shared" si="4"/>
        <v>2.4900000000000002</v>
      </c>
    </row>
    <row r="69" spans="1:6" ht="14.25" customHeight="1" x14ac:dyDescent="0.2">
      <c r="A69" s="19">
        <v>3</v>
      </c>
      <c r="B69" s="143" t="s">
        <v>2</v>
      </c>
      <c r="C69" s="144"/>
      <c r="D69" s="14">
        <f t="shared" si="5"/>
        <v>445904</v>
      </c>
      <c r="E69" s="17">
        <f>IF(F3="1",SUMIF(Data!A:A,'13'!$A$2,Data!EA:EA),0)</f>
        <v>863996</v>
      </c>
      <c r="F69" s="21">
        <f t="shared" si="4"/>
        <v>1.94</v>
      </c>
    </row>
    <row r="70" spans="1:6" ht="14.25" customHeight="1" x14ac:dyDescent="0.2">
      <c r="A70" s="19">
        <v>4</v>
      </c>
      <c r="B70" s="143" t="s">
        <v>3</v>
      </c>
      <c r="C70" s="144"/>
      <c r="D70" s="14">
        <f t="shared" si="5"/>
        <v>325463</v>
      </c>
      <c r="E70" s="17">
        <f>IF(F3="1",SUMIF(Data!A:A,'13'!$A$2,Data!EB:EB),0)</f>
        <v>999232</v>
      </c>
      <c r="F70" s="21">
        <f t="shared" si="4"/>
        <v>3.07</v>
      </c>
    </row>
    <row r="71" spans="1:6" x14ac:dyDescent="0.2">
      <c r="A71" s="19">
        <v>5</v>
      </c>
      <c r="B71" s="143" t="s">
        <v>4</v>
      </c>
      <c r="C71" s="144"/>
      <c r="D71" s="14">
        <f t="shared" si="5"/>
        <v>1776</v>
      </c>
      <c r="E71" s="17">
        <f>IF(F3="1",SUMIF(Data!A:A,'13'!$A$2,Data!EC:EC),0)</f>
        <v>2831</v>
      </c>
      <c r="F71" s="21">
        <f t="shared" si="4"/>
        <v>1.59</v>
      </c>
    </row>
    <row r="72" spans="1:6" x14ac:dyDescent="0.2">
      <c r="A72" s="19">
        <v>6</v>
      </c>
      <c r="B72" s="143" t="s">
        <v>5</v>
      </c>
      <c r="C72" s="144"/>
      <c r="D72" s="14">
        <f t="shared" si="5"/>
        <v>17440</v>
      </c>
      <c r="E72" s="17">
        <f>IF(F3="1",SUMIF(Data!A:A,'13'!$A$2,Data!ED:ED),0)</f>
        <v>12180</v>
      </c>
      <c r="F72" s="21">
        <f t="shared" si="4"/>
        <v>0.7</v>
      </c>
    </row>
    <row r="73" spans="1:6" x14ac:dyDescent="0.2">
      <c r="A73" s="19">
        <v>7</v>
      </c>
      <c r="B73" s="143" t="s">
        <v>6</v>
      </c>
      <c r="C73" s="144"/>
      <c r="D73" s="14">
        <f t="shared" si="5"/>
        <v>453330</v>
      </c>
      <c r="E73" s="17">
        <f>IF(F3="1",SUMIF(Data!A:A,'13'!$A$2,Data!EE:EE),0)</f>
        <v>837055</v>
      </c>
      <c r="F73" s="21">
        <f t="shared" si="4"/>
        <v>1.85</v>
      </c>
    </row>
    <row r="74" spans="1:6" x14ac:dyDescent="0.2">
      <c r="A74" s="19">
        <v>8</v>
      </c>
      <c r="B74" s="143" t="s">
        <v>7</v>
      </c>
      <c r="C74" s="144"/>
      <c r="D74" s="14">
        <f t="shared" si="5"/>
        <v>0</v>
      </c>
      <c r="E74" s="17">
        <f>IF(F3="1",SUMIF(Data!A:A,'13'!$A$2,Data!EF:EF),0)</f>
        <v>0</v>
      </c>
      <c r="F74" s="21" t="str">
        <f t="shared" si="4"/>
        <v/>
      </c>
    </row>
    <row r="75" spans="1:6" x14ac:dyDescent="0.2">
      <c r="A75" s="19">
        <v>9</v>
      </c>
      <c r="B75" s="143" t="s">
        <v>8</v>
      </c>
      <c r="C75" s="144"/>
      <c r="D75" s="14">
        <f t="shared" si="5"/>
        <v>42648</v>
      </c>
      <c r="E75" s="17">
        <f>IF(F3="1",SUMIF(Data!A:A,'13'!$A$2,Data!EG:EG),0)</f>
        <v>101566</v>
      </c>
      <c r="F75" s="21">
        <f t="shared" si="4"/>
        <v>2.38</v>
      </c>
    </row>
    <row r="76" spans="1:6" x14ac:dyDescent="0.2">
      <c r="A76" s="19">
        <v>10</v>
      </c>
      <c r="B76" s="143" t="s">
        <v>9</v>
      </c>
      <c r="C76" s="144"/>
      <c r="D76" s="14">
        <f t="shared" si="5"/>
        <v>1936</v>
      </c>
      <c r="E76" s="17">
        <f>IF(F3="1",SUMIF(Data!A:A,'13'!$A$2,Data!EH:EH),0)</f>
        <v>3100</v>
      </c>
      <c r="F76" s="21">
        <f t="shared" si="4"/>
        <v>1.6</v>
      </c>
    </row>
    <row r="77" spans="1:6" x14ac:dyDescent="0.2">
      <c r="A77" s="19">
        <v>11</v>
      </c>
      <c r="B77" s="143" t="s">
        <v>10</v>
      </c>
      <c r="C77" s="144"/>
      <c r="D77" s="14">
        <f t="shared" si="5"/>
        <v>108817</v>
      </c>
      <c r="E77" s="17">
        <f>IF(F3="1",SUMIF(Data!A:A,'13'!$A$2,Data!EI:EI),0)</f>
        <v>230159</v>
      </c>
      <c r="F77" s="21">
        <f t="shared" si="4"/>
        <v>2.12</v>
      </c>
    </row>
    <row r="78" spans="1:6" ht="14.25" customHeight="1" x14ac:dyDescent="0.2">
      <c r="A78" s="19">
        <v>12</v>
      </c>
      <c r="B78" s="143" t="s">
        <v>11</v>
      </c>
      <c r="C78" s="144"/>
      <c r="D78" s="14">
        <f t="shared" si="5"/>
        <v>812208</v>
      </c>
      <c r="E78" s="17">
        <f>IF(F3="1",SUMIF(Data!A:A,'13'!$A$2,Data!EJ:EJ),0)</f>
        <v>1799667</v>
      </c>
      <c r="F78" s="21">
        <f t="shared" si="4"/>
        <v>2.2200000000000002</v>
      </c>
    </row>
    <row r="79" spans="1:6" x14ac:dyDescent="0.2">
      <c r="A79" s="19">
        <v>13</v>
      </c>
      <c r="B79" s="143" t="s">
        <v>12</v>
      </c>
      <c r="C79" s="144"/>
      <c r="D79" s="14">
        <f t="shared" si="5"/>
        <v>158817</v>
      </c>
      <c r="E79" s="17">
        <f>IF(F3="1",SUMIF(Data!A:A,'13'!$A$2,Data!EK:EK),0)</f>
        <v>430909</v>
      </c>
      <c r="F79" s="21">
        <f t="shared" si="4"/>
        <v>2.71</v>
      </c>
    </row>
    <row r="80" spans="1:6" ht="14.25" customHeight="1" x14ac:dyDescent="0.2">
      <c r="A80" s="19">
        <v>14</v>
      </c>
      <c r="B80" s="143" t="s">
        <v>464</v>
      </c>
      <c r="C80" s="144"/>
      <c r="D80" s="14">
        <f t="shared" si="5"/>
        <v>29936</v>
      </c>
      <c r="E80" s="17">
        <f>IF(F3="1",SUMIF(Data!A:A,'13'!$A$2,Data!EL:EL),0)</f>
        <v>245123</v>
      </c>
      <c r="F80" s="21">
        <f t="shared" si="4"/>
        <v>8.19</v>
      </c>
    </row>
    <row r="81" spans="1:6" x14ac:dyDescent="0.2">
      <c r="A81" s="19">
        <v>15</v>
      </c>
      <c r="B81" s="143" t="s">
        <v>13</v>
      </c>
      <c r="C81" s="144"/>
      <c r="D81" s="14">
        <f t="shared" si="5"/>
        <v>28002</v>
      </c>
      <c r="E81" s="17">
        <f>IF(F3="1",SUMIF(Data!A:A,'13'!$A$2,Data!EM:EM),0)</f>
        <v>202608</v>
      </c>
      <c r="F81" s="21">
        <f t="shared" si="4"/>
        <v>7.24</v>
      </c>
    </row>
    <row r="82" spans="1:6" x14ac:dyDescent="0.2">
      <c r="A82" s="19">
        <v>16</v>
      </c>
      <c r="B82" s="143" t="s">
        <v>14</v>
      </c>
      <c r="C82" s="144"/>
      <c r="D82" s="14">
        <f t="shared" si="5"/>
        <v>73769</v>
      </c>
      <c r="E82" s="17">
        <f>IF(F3="1",SUMIF(Data!A:A,'13'!$A$2,Data!EN:EN),0)</f>
        <v>177464</v>
      </c>
      <c r="F82" s="21">
        <f t="shared" si="4"/>
        <v>2.41</v>
      </c>
    </row>
    <row r="83" spans="1:6" x14ac:dyDescent="0.2">
      <c r="A83" s="19">
        <v>17</v>
      </c>
      <c r="B83" s="143" t="s">
        <v>15</v>
      </c>
      <c r="C83" s="144"/>
      <c r="D83" s="14">
        <f t="shared" si="5"/>
        <v>36576</v>
      </c>
      <c r="E83" s="17">
        <f>IF(F3="1",SUMIF(Data!A:A,'13'!$A$2,Data!EO:EO),0)</f>
        <v>155992</v>
      </c>
      <c r="F83" s="21">
        <f t="shared" si="4"/>
        <v>4.26</v>
      </c>
    </row>
    <row r="84" spans="1:6" x14ac:dyDescent="0.2">
      <c r="A84" s="19">
        <v>18</v>
      </c>
      <c r="B84" s="143" t="s">
        <v>16</v>
      </c>
      <c r="C84" s="144"/>
      <c r="D84" s="14">
        <f t="shared" si="5"/>
        <v>19476</v>
      </c>
      <c r="E84" s="17">
        <f>IF(F3="1",SUMIF(Data!A:A,'13'!$A$2,Data!EP:EP),0)</f>
        <v>43298</v>
      </c>
      <c r="F84" s="21">
        <f t="shared" si="4"/>
        <v>2.2200000000000002</v>
      </c>
    </row>
    <row r="85" spans="1:6" x14ac:dyDescent="0.2">
      <c r="A85" s="19">
        <v>19</v>
      </c>
      <c r="B85" s="143" t="s">
        <v>17</v>
      </c>
      <c r="C85" s="144"/>
      <c r="D85" s="14">
        <f t="shared" si="5"/>
        <v>673444</v>
      </c>
      <c r="E85" s="17">
        <f>IF(F3="1",SUMIF(Data!A:A,'13'!$A$2,Data!EQ:EQ),0)</f>
        <v>931578</v>
      </c>
      <c r="F85" s="21">
        <f t="shared" si="4"/>
        <v>1.38</v>
      </c>
    </row>
    <row r="86" spans="1:6" x14ac:dyDescent="0.2">
      <c r="A86" s="19">
        <v>20</v>
      </c>
      <c r="B86" s="143" t="s">
        <v>18</v>
      </c>
      <c r="C86" s="144"/>
      <c r="D86" s="14">
        <f t="shared" si="5"/>
        <v>0</v>
      </c>
      <c r="E86" s="17">
        <f>IF(F3="1",SUMIF(Data!A:A,'13'!$A$2,Data!ER:ER),0)</f>
        <v>0</v>
      </c>
      <c r="F86" s="21" t="str">
        <f t="shared" si="4"/>
        <v/>
      </c>
    </row>
    <row r="87" spans="1:6" ht="14.25" customHeight="1" x14ac:dyDescent="0.2">
      <c r="A87" s="19">
        <v>21</v>
      </c>
      <c r="B87" s="143" t="s">
        <v>461</v>
      </c>
      <c r="C87" s="144"/>
      <c r="D87" s="14">
        <f t="shared" si="5"/>
        <v>0</v>
      </c>
      <c r="E87" s="17">
        <f>IF(F3="1",SUMIF(Data!A:A,'13'!$A$2,Data!ES:ES),0)</f>
        <v>0</v>
      </c>
      <c r="F87" s="21" t="str">
        <f t="shared" si="4"/>
        <v/>
      </c>
    </row>
    <row r="88" spans="1:6" x14ac:dyDescent="0.2">
      <c r="A88" s="19">
        <v>22</v>
      </c>
      <c r="B88" s="143" t="s">
        <v>19</v>
      </c>
      <c r="C88" s="144"/>
      <c r="D88" s="14">
        <f t="shared" si="5"/>
        <v>47604</v>
      </c>
      <c r="E88" s="17">
        <f>IF(F3="1",SUMIF(Data!A:A,'13'!$A$2,Data!ET:ET),0)</f>
        <v>159541</v>
      </c>
      <c r="F88" s="21">
        <f t="shared" si="4"/>
        <v>3.35</v>
      </c>
    </row>
    <row r="89" spans="1:6" x14ac:dyDescent="0.2">
      <c r="A89" s="19">
        <v>23</v>
      </c>
      <c r="B89" s="143" t="s">
        <v>20</v>
      </c>
      <c r="C89" s="144"/>
      <c r="D89" s="14">
        <f t="shared" si="5"/>
        <v>114112</v>
      </c>
      <c r="E89" s="17">
        <f>IF(F3="1",SUMIF(Data!A:A,'13'!$A$2,Data!EU:EU),0)</f>
        <v>404664</v>
      </c>
      <c r="F89" s="21">
        <f t="shared" si="4"/>
        <v>3.55</v>
      </c>
    </row>
    <row r="90" spans="1:6" x14ac:dyDescent="0.2">
      <c r="A90" s="19">
        <v>24</v>
      </c>
      <c r="B90" s="143" t="s">
        <v>21</v>
      </c>
      <c r="C90" s="144"/>
      <c r="D90" s="14">
        <f t="shared" si="5"/>
        <v>146010</v>
      </c>
      <c r="E90" s="17">
        <f>IF(F3="1",SUMIF(Data!A:A,'13'!$A$2,Data!EV:EV),0)</f>
        <v>242446</v>
      </c>
      <c r="F90" s="21">
        <f t="shared" si="4"/>
        <v>1.66</v>
      </c>
    </row>
    <row r="91" spans="1:6" x14ac:dyDescent="0.2">
      <c r="A91" s="19">
        <v>25</v>
      </c>
      <c r="B91" s="143" t="s">
        <v>22</v>
      </c>
      <c r="C91" s="144"/>
      <c r="D91" s="14">
        <f t="shared" si="5"/>
        <v>857632</v>
      </c>
      <c r="E91" s="17">
        <f>IF(F3="1",SUMIF(Data!A:A,'13'!$A$2,Data!EW:EW),0)</f>
        <v>2060036</v>
      </c>
      <c r="F91" s="21">
        <f t="shared" si="4"/>
        <v>2.4</v>
      </c>
    </row>
    <row r="92" spans="1:6" x14ac:dyDescent="0.2">
      <c r="A92" s="19">
        <v>26</v>
      </c>
      <c r="B92" s="143" t="s">
        <v>23</v>
      </c>
      <c r="C92" s="144"/>
      <c r="D92" s="14">
        <f t="shared" si="5"/>
        <v>284526</v>
      </c>
      <c r="E92" s="17">
        <f>IF(F3="1",SUMIF(Data!A:A,'13'!$A$2,Data!EX:EX),0)</f>
        <v>1013193</v>
      </c>
      <c r="F92" s="21">
        <f t="shared" si="4"/>
        <v>3.56</v>
      </c>
    </row>
    <row r="93" spans="1:6" x14ac:dyDescent="0.2">
      <c r="A93" s="19">
        <v>28</v>
      </c>
      <c r="B93" s="143" t="s">
        <v>24</v>
      </c>
      <c r="C93" s="144"/>
      <c r="D93" s="14">
        <f t="shared" si="5"/>
        <v>0</v>
      </c>
      <c r="E93" s="17">
        <f>IF(F3="1",SUMIF(Data!A:A,'13'!$A$2,Data!EZ:EZ),0)</f>
        <v>0</v>
      </c>
      <c r="F93" s="21" t="str">
        <f t="shared" si="4"/>
        <v/>
      </c>
    </row>
    <row r="94" spans="1:6" ht="15.75" customHeight="1" thickBot="1" x14ac:dyDescent="0.25">
      <c r="A94" s="22">
        <v>29</v>
      </c>
      <c r="B94" s="147" t="s">
        <v>25</v>
      </c>
      <c r="C94" s="148"/>
      <c r="D94" s="23">
        <f t="shared" si="5"/>
        <v>0</v>
      </c>
      <c r="E94" s="24">
        <f>IF(F3="1",SUMIF(Data!A:A,'13'!$A$2,Data!FA:FA),0)</f>
        <v>0</v>
      </c>
      <c r="F94" s="25" t="str">
        <f t="shared" si="4"/>
        <v/>
      </c>
    </row>
    <row r="95" spans="1:6" x14ac:dyDescent="0.2">
      <c r="B95" s="30" t="s">
        <v>35</v>
      </c>
      <c r="C95" s="30"/>
      <c r="D95" s="59">
        <f>SUM(D67:D94)</f>
        <v>4853332</v>
      </c>
      <c r="E95" s="31">
        <f>SUM(E67:E94)</f>
        <v>11384790</v>
      </c>
      <c r="F95" s="32">
        <f t="shared" si="4"/>
        <v>2.35</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IF(F3="1",SUMIF(Data!A:A,'13'!$A$2,Data!AH:AH),0)</f>
        <v>5755152</v>
      </c>
      <c r="F98" s="20">
        <f>IF(OR(E98=0,E98=0),"",ROUND(E98/$D$105,2))</f>
        <v>1.19</v>
      </c>
    </row>
    <row r="99" spans="2:6" x14ac:dyDescent="0.2">
      <c r="B99" s="153" t="s">
        <v>31</v>
      </c>
      <c r="C99" s="154"/>
      <c r="D99" s="36"/>
      <c r="E99" s="17">
        <f>IF(F3="1",SUMIF(Data!A:A,'13'!$A$2,Data!AI:AI),0)</f>
        <v>4004039</v>
      </c>
      <c r="F99" s="21">
        <f t="shared" ref="F99:F104" si="6">IF(OR(E99=0,E99=0),"",ROUND(E99/$D$105,2))</f>
        <v>0.83</v>
      </c>
    </row>
    <row r="100" spans="2:6" x14ac:dyDescent="0.2">
      <c r="B100" s="153" t="s">
        <v>1078</v>
      </c>
      <c r="C100" s="154"/>
      <c r="D100" s="36"/>
      <c r="E100" s="17">
        <f>IF(F3="1",SUMIF(Data!A:A,'13'!$A$2,Data!AJ:AJ),0)</f>
        <v>2229386</v>
      </c>
      <c r="F100" s="21">
        <f t="shared" si="6"/>
        <v>0.46</v>
      </c>
    </row>
    <row r="101" spans="2:6" x14ac:dyDescent="0.2">
      <c r="B101" s="153" t="s">
        <v>1079</v>
      </c>
      <c r="C101" s="154"/>
      <c r="D101" s="36"/>
      <c r="E101" s="17">
        <f>IF(F3="1",SUMIF(Data!A:A,'13'!$A$2,Data!AK:AK),0)</f>
        <v>2345092</v>
      </c>
      <c r="F101" s="21">
        <f t="shared" si="6"/>
        <v>0.48</v>
      </c>
    </row>
    <row r="102" spans="2:6" x14ac:dyDescent="0.2">
      <c r="B102" s="153" t="s">
        <v>1080</v>
      </c>
      <c r="C102" s="154"/>
      <c r="D102" s="36"/>
      <c r="E102" s="17">
        <f>IF(F3="1",SUMIF(Data!A:A,'13'!$A$2,Data!AL:AL),0)</f>
        <v>0</v>
      </c>
      <c r="F102" s="21" t="str">
        <f t="shared" si="6"/>
        <v/>
      </c>
    </row>
    <row r="103" spans="2:6" x14ac:dyDescent="0.2">
      <c r="B103" s="155" t="s">
        <v>34</v>
      </c>
      <c r="C103" s="156"/>
      <c r="D103" s="36"/>
      <c r="E103" s="17">
        <f>IF(F3="1",SUMIF(Data!A:A,'13'!$A$2,Data!AM:AM),0)</f>
        <v>0</v>
      </c>
      <c r="F103" s="21" t="str">
        <f t="shared" si="6"/>
        <v/>
      </c>
    </row>
    <row r="104" spans="2:6" ht="15.75" customHeight="1" thickBot="1" x14ac:dyDescent="0.25">
      <c r="B104" s="149" t="s">
        <v>29</v>
      </c>
      <c r="C104" s="150"/>
      <c r="D104" s="37"/>
      <c r="E104" s="24">
        <f>IF(F3="1",SUMIF(Data!A:A,'13'!$A$2,Data!Q:Q),0)</f>
        <v>1673830</v>
      </c>
      <c r="F104" s="25">
        <f t="shared" si="6"/>
        <v>0.34</v>
      </c>
    </row>
    <row r="105" spans="2:6" x14ac:dyDescent="0.2">
      <c r="B105" s="30" t="s">
        <v>35</v>
      </c>
      <c r="C105" s="30"/>
      <c r="D105" s="34">
        <f>D95</f>
        <v>4853332</v>
      </c>
      <c r="E105" s="31">
        <f>SUM(E98:E104)</f>
        <v>16007499</v>
      </c>
      <c r="F105" s="32">
        <f>IF($D$105=0,"",ROUND(E105/$D$105,2))</f>
        <v>3.3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11384790</v>
      </c>
      <c r="D109" s="15">
        <f>IF(F3="1",SUMIF(Data!$A:$A,$A$2,Data!HJ:HJ),0)</f>
        <v>0</v>
      </c>
      <c r="E109" s="15">
        <f>IF(F3="1",SUMIF(Data!$A:$A,$A$2,Data!IN:IN),0)</f>
        <v>0</v>
      </c>
      <c r="F109" s="47">
        <f>SUM(C109:E109)</f>
        <v>11384790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1673830</v>
      </c>
      <c r="E117" s="52"/>
      <c r="F117" s="49">
        <f>SUM(C117:E117)</f>
        <v>1673830</v>
      </c>
    </row>
    <row r="118" spans="1:6" x14ac:dyDescent="0.2">
      <c r="B118" s="13" t="s">
        <v>35</v>
      </c>
      <c r="C118" s="4">
        <f>SUM(C109:C116)</f>
        <v>11384790</v>
      </c>
      <c r="D118" s="4">
        <f>SUM(D109:D116)</f>
        <v>0</v>
      </c>
      <c r="E118" s="4">
        <f>SUM(E109:E116)</f>
        <v>0</v>
      </c>
      <c r="F118" s="4">
        <f>SUM(F109:F116)</f>
        <v>11384790</v>
      </c>
    </row>
    <row r="119" spans="1:6" ht="15" thickBot="1" x14ac:dyDescent="0.25"/>
    <row r="120" spans="1:6" ht="15" thickBot="1" x14ac:dyDescent="0.25">
      <c r="B120" s="55" t="s">
        <v>934</v>
      </c>
      <c r="C120" s="53"/>
      <c r="D120" s="53"/>
      <c r="E120" s="53">
        <f>IF(F3="1",SUMIF(Data!A:A,'13'!$A$2,Data!AM:AM),0)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454</v>
      </c>
      <c r="B2" s="58" t="str">
        <f>VLOOKUP(A2,Data!A:G,7,0)</f>
        <v>Dallas County Community College District</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78084</v>
      </c>
      <c r="E5" s="15">
        <f>E36+E67+IFERROR($E$105/$D$105*D5,0)</f>
        <v>986188.4184205893</v>
      </c>
      <c r="F5" s="20">
        <f>IF(OR(D5=0,E5=0),"",ROUND(E5/D5,2))</f>
        <v>12.63</v>
      </c>
    </row>
    <row r="6" spans="1:6" x14ac:dyDescent="0.2">
      <c r="A6" s="19">
        <v>2</v>
      </c>
      <c r="B6" s="143" t="s">
        <v>1</v>
      </c>
      <c r="C6" s="144"/>
      <c r="D6" s="14">
        <f t="shared" ref="D6:D32" si="0">D37</f>
        <v>255613</v>
      </c>
      <c r="E6" s="17">
        <f t="shared" ref="E6:E32" si="1">E37+E68+IFERROR($E$105/$D$105*D6,0)</f>
        <v>1232337.6879865541</v>
      </c>
      <c r="F6" s="21">
        <f t="shared" ref="F6:F33" si="2">IF(OR(D6=0,E6=0),"",ROUND(E6/D6,2))</f>
        <v>4.82</v>
      </c>
    </row>
    <row r="7" spans="1:6" ht="14.25" customHeight="1" x14ac:dyDescent="0.2">
      <c r="A7" s="19">
        <v>3</v>
      </c>
      <c r="B7" s="143" t="s">
        <v>2</v>
      </c>
      <c r="C7" s="144"/>
      <c r="D7" s="14">
        <f t="shared" si="0"/>
        <v>1804447</v>
      </c>
      <c r="E7" s="17">
        <f t="shared" si="1"/>
        <v>11769527.062634818</v>
      </c>
      <c r="F7" s="21">
        <f t="shared" si="2"/>
        <v>6.52</v>
      </c>
    </row>
    <row r="8" spans="1:6" ht="14.25" customHeight="1" x14ac:dyDescent="0.2">
      <c r="A8" s="19">
        <v>4</v>
      </c>
      <c r="B8" s="143" t="s">
        <v>3</v>
      </c>
      <c r="C8" s="144"/>
      <c r="D8" s="14">
        <f t="shared" si="0"/>
        <v>2090578</v>
      </c>
      <c r="E8" s="17">
        <f t="shared" si="1"/>
        <v>13915976.918586124</v>
      </c>
      <c r="F8" s="21">
        <f t="shared" si="2"/>
        <v>6.66</v>
      </c>
    </row>
    <row r="9" spans="1:6" x14ac:dyDescent="0.2">
      <c r="A9" s="19">
        <v>5</v>
      </c>
      <c r="B9" s="143" t="s">
        <v>4</v>
      </c>
      <c r="C9" s="144"/>
      <c r="D9" s="14">
        <f t="shared" si="0"/>
        <v>6912</v>
      </c>
      <c r="E9" s="17">
        <f t="shared" si="1"/>
        <v>158450.55432768702</v>
      </c>
      <c r="F9" s="21">
        <f t="shared" si="2"/>
        <v>22.92</v>
      </c>
    </row>
    <row r="10" spans="1:6" x14ac:dyDescent="0.2">
      <c r="A10" s="19">
        <v>6</v>
      </c>
      <c r="B10" s="143" t="s">
        <v>5</v>
      </c>
      <c r="C10" s="144"/>
      <c r="D10" s="14">
        <f t="shared" si="0"/>
        <v>240695</v>
      </c>
      <c r="E10" s="17">
        <f t="shared" si="1"/>
        <v>2310831.8127752645</v>
      </c>
      <c r="F10" s="21">
        <f t="shared" si="2"/>
        <v>9.6</v>
      </c>
    </row>
    <row r="11" spans="1:6" x14ac:dyDescent="0.2">
      <c r="A11" s="19">
        <v>7</v>
      </c>
      <c r="B11" s="143" t="s">
        <v>6</v>
      </c>
      <c r="C11" s="144"/>
      <c r="D11" s="14">
        <f t="shared" si="0"/>
        <v>2344351</v>
      </c>
      <c r="E11" s="17">
        <f t="shared" si="1"/>
        <v>16079706.028453037</v>
      </c>
      <c r="F11" s="21">
        <f t="shared" si="2"/>
        <v>6.86</v>
      </c>
    </row>
    <row r="12" spans="1:6" x14ac:dyDescent="0.2">
      <c r="A12" s="19">
        <v>8</v>
      </c>
      <c r="B12" s="143" t="s">
        <v>7</v>
      </c>
      <c r="C12" s="144"/>
      <c r="D12" s="14">
        <f t="shared" si="0"/>
        <v>64860</v>
      </c>
      <c r="E12" s="17">
        <f t="shared" si="1"/>
        <v>792112.12871727149</v>
      </c>
      <c r="F12" s="21">
        <f t="shared" si="2"/>
        <v>12.21</v>
      </c>
    </row>
    <row r="13" spans="1:6" x14ac:dyDescent="0.2">
      <c r="A13" s="19">
        <v>9</v>
      </c>
      <c r="B13" s="143" t="s">
        <v>8</v>
      </c>
      <c r="C13" s="144"/>
      <c r="D13" s="14">
        <f t="shared" si="0"/>
        <v>442468</v>
      </c>
      <c r="E13" s="17">
        <f t="shared" si="1"/>
        <v>1908679.2801306455</v>
      </c>
      <c r="F13" s="21">
        <f t="shared" si="2"/>
        <v>4.3099999999999996</v>
      </c>
    </row>
    <row r="14" spans="1:6" x14ac:dyDescent="0.2">
      <c r="A14" s="19">
        <v>10</v>
      </c>
      <c r="B14" s="143" t="s">
        <v>9</v>
      </c>
      <c r="C14" s="144"/>
      <c r="D14" s="14">
        <f t="shared" si="0"/>
        <v>2176</v>
      </c>
      <c r="E14" s="17">
        <f t="shared" si="1"/>
        <v>15036.396732790359</v>
      </c>
      <c r="F14" s="21">
        <f t="shared" si="2"/>
        <v>6.91</v>
      </c>
    </row>
    <row r="15" spans="1:6" x14ac:dyDescent="0.2">
      <c r="A15" s="19">
        <v>11</v>
      </c>
      <c r="B15" s="143" t="s">
        <v>10</v>
      </c>
      <c r="C15" s="144"/>
      <c r="D15" s="14">
        <f t="shared" si="0"/>
        <v>444738</v>
      </c>
      <c r="E15" s="17">
        <f t="shared" si="1"/>
        <v>1702857.4118325913</v>
      </c>
      <c r="F15" s="21">
        <f t="shared" si="2"/>
        <v>3.83</v>
      </c>
    </row>
    <row r="16" spans="1:6" ht="14.25" customHeight="1" x14ac:dyDescent="0.2">
      <c r="A16" s="19">
        <v>12</v>
      </c>
      <c r="B16" s="143" t="s">
        <v>11</v>
      </c>
      <c r="C16" s="144"/>
      <c r="D16" s="14">
        <f t="shared" si="0"/>
        <v>4137474</v>
      </c>
      <c r="E16" s="17">
        <f t="shared" si="1"/>
        <v>25174390.061399385</v>
      </c>
      <c r="F16" s="21">
        <f t="shared" si="2"/>
        <v>6.08</v>
      </c>
    </row>
    <row r="17" spans="1:6" x14ac:dyDescent="0.2">
      <c r="A17" s="19">
        <v>13</v>
      </c>
      <c r="B17" s="143" t="s">
        <v>12</v>
      </c>
      <c r="C17" s="144"/>
      <c r="D17" s="14">
        <f t="shared" si="0"/>
        <v>480815</v>
      </c>
      <c r="E17" s="17">
        <f t="shared" si="1"/>
        <v>2911450.7573881419</v>
      </c>
      <c r="F17" s="21">
        <f t="shared" si="2"/>
        <v>6.06</v>
      </c>
    </row>
    <row r="18" spans="1:6" ht="14.25" customHeight="1" x14ac:dyDescent="0.2">
      <c r="A18" s="19">
        <v>14</v>
      </c>
      <c r="B18" s="143" t="s">
        <v>464</v>
      </c>
      <c r="C18" s="144"/>
      <c r="D18" s="14">
        <f t="shared" si="0"/>
        <v>261901</v>
      </c>
      <c r="E18" s="17">
        <f t="shared" si="1"/>
        <v>2969416.1506041028</v>
      </c>
      <c r="F18" s="21">
        <f t="shared" si="2"/>
        <v>11.34</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563910</v>
      </c>
      <c r="E20" s="17">
        <f t="shared" si="1"/>
        <v>3626339.7920899866</v>
      </c>
      <c r="F20" s="21">
        <f t="shared" si="2"/>
        <v>6.43</v>
      </c>
    </row>
    <row r="21" spans="1:6" x14ac:dyDescent="0.2">
      <c r="A21" s="19">
        <v>17</v>
      </c>
      <c r="B21" s="143" t="s">
        <v>15</v>
      </c>
      <c r="C21" s="144"/>
      <c r="D21" s="14">
        <f t="shared" si="0"/>
        <v>19568</v>
      </c>
      <c r="E21" s="17">
        <f t="shared" si="1"/>
        <v>254243.72208972508</v>
      </c>
      <c r="F21" s="21">
        <f t="shared" si="2"/>
        <v>12.99</v>
      </c>
    </row>
    <row r="22" spans="1:6" x14ac:dyDescent="0.2">
      <c r="A22" s="19">
        <v>18</v>
      </c>
      <c r="B22" s="143" t="s">
        <v>16</v>
      </c>
      <c r="C22" s="144"/>
      <c r="D22" s="14">
        <f t="shared" si="0"/>
        <v>27360</v>
      </c>
      <c r="E22" s="17">
        <f t="shared" si="1"/>
        <v>222483.94421376113</v>
      </c>
      <c r="F22" s="21">
        <f t="shared" si="2"/>
        <v>8.1300000000000008</v>
      </c>
    </row>
    <row r="23" spans="1:6" x14ac:dyDescent="0.2">
      <c r="A23" s="19">
        <v>19</v>
      </c>
      <c r="B23" s="143" t="s">
        <v>17</v>
      </c>
      <c r="C23" s="144"/>
      <c r="D23" s="14">
        <f t="shared" si="0"/>
        <v>2248725</v>
      </c>
      <c r="E23" s="17">
        <f t="shared" si="1"/>
        <v>12781131.579937499</v>
      </c>
      <c r="F23" s="21">
        <f t="shared" si="2"/>
        <v>5.68</v>
      </c>
    </row>
    <row r="24" spans="1:6" x14ac:dyDescent="0.2">
      <c r="A24" s="19">
        <v>20</v>
      </c>
      <c r="B24" s="143" t="s">
        <v>18</v>
      </c>
      <c r="C24" s="144"/>
      <c r="D24" s="14">
        <f t="shared" si="0"/>
        <v>411622</v>
      </c>
      <c r="E24" s="17">
        <f t="shared" si="1"/>
        <v>2886113.7178054377</v>
      </c>
      <c r="F24" s="21">
        <f t="shared" si="2"/>
        <v>7.01</v>
      </c>
    </row>
    <row r="25" spans="1:6" ht="14.25" customHeight="1" x14ac:dyDescent="0.2">
      <c r="A25" s="19">
        <v>21</v>
      </c>
      <c r="B25" s="143" t="s">
        <v>461</v>
      </c>
      <c r="C25" s="144"/>
      <c r="D25" s="14">
        <f t="shared" si="0"/>
        <v>140472</v>
      </c>
      <c r="E25" s="17">
        <f t="shared" si="1"/>
        <v>487451.4530553894</v>
      </c>
      <c r="F25" s="21">
        <f t="shared" si="2"/>
        <v>3.47</v>
      </c>
    </row>
    <row r="26" spans="1:6" x14ac:dyDescent="0.2">
      <c r="A26" s="19">
        <v>22</v>
      </c>
      <c r="B26" s="143" t="s">
        <v>19</v>
      </c>
      <c r="C26" s="144"/>
      <c r="D26" s="14">
        <f t="shared" si="0"/>
        <v>66590</v>
      </c>
      <c r="E26" s="17">
        <f t="shared" si="1"/>
        <v>1090873.1233623668</v>
      </c>
      <c r="F26" s="21">
        <f t="shared" si="2"/>
        <v>16.38</v>
      </c>
    </row>
    <row r="27" spans="1:6" x14ac:dyDescent="0.2">
      <c r="A27" s="19">
        <v>23</v>
      </c>
      <c r="B27" s="143" t="s">
        <v>20</v>
      </c>
      <c r="C27" s="144"/>
      <c r="D27" s="14">
        <f t="shared" si="0"/>
        <v>511004</v>
      </c>
      <c r="E27" s="17">
        <f t="shared" si="1"/>
        <v>4084757.8529608478</v>
      </c>
      <c r="F27" s="21">
        <f t="shared" si="2"/>
        <v>7.99</v>
      </c>
    </row>
    <row r="28" spans="1:6" x14ac:dyDescent="0.2">
      <c r="A28" s="19">
        <v>24</v>
      </c>
      <c r="B28" s="143" t="s">
        <v>21</v>
      </c>
      <c r="C28" s="144"/>
      <c r="D28" s="14">
        <f t="shared" si="0"/>
        <v>574738</v>
      </c>
      <c r="E28" s="17">
        <f t="shared" si="1"/>
        <v>2602813.5181114273</v>
      </c>
      <c r="F28" s="21">
        <f t="shared" si="2"/>
        <v>4.53</v>
      </c>
    </row>
    <row r="29" spans="1:6" x14ac:dyDescent="0.2">
      <c r="A29" s="19">
        <v>25</v>
      </c>
      <c r="B29" s="143" t="s">
        <v>22</v>
      </c>
      <c r="C29" s="144"/>
      <c r="D29" s="14">
        <f t="shared" si="0"/>
        <v>2821521</v>
      </c>
      <c r="E29" s="17">
        <f t="shared" si="1"/>
        <v>16610999.360707439</v>
      </c>
      <c r="F29" s="21">
        <f t="shared" si="2"/>
        <v>5.89</v>
      </c>
    </row>
    <row r="30" spans="1:6" x14ac:dyDescent="0.2">
      <c r="A30" s="19">
        <v>26</v>
      </c>
      <c r="B30" s="143" t="s">
        <v>23</v>
      </c>
      <c r="C30" s="144"/>
      <c r="D30" s="14">
        <f t="shared" si="0"/>
        <v>885614</v>
      </c>
      <c r="E30" s="17">
        <f t="shared" si="1"/>
        <v>7839583.2656771149</v>
      </c>
      <c r="F30" s="21">
        <f t="shared" si="2"/>
        <v>8.85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20926236</v>
      </c>
      <c r="E33" s="31">
        <f>SUM(E5:E32)</f>
        <v>134413752</v>
      </c>
      <c r="F33" s="32">
        <f t="shared" si="2"/>
        <v>6.42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IF(F3="1",SUMIF(Data!A:A,'14'!$A$2,Data!CU:CU),0)</f>
        <v>78084</v>
      </c>
      <c r="E36" s="15">
        <f>IF(F3="1",SUMIF(Data!$A:$A,$A$2,Data!IO:IO),0)</f>
        <v>396609</v>
      </c>
      <c r="F36" s="20">
        <f t="shared" ref="F36:F64" si="3">IF(OR(D36=0,E36=0),"",ROUND(E36/D36,2))</f>
        <v>5.08</v>
      </c>
    </row>
    <row r="37" spans="1:6" x14ac:dyDescent="0.2">
      <c r="A37" s="19">
        <v>2</v>
      </c>
      <c r="B37" s="143" t="s">
        <v>1</v>
      </c>
      <c r="C37" s="144"/>
      <c r="D37" s="14">
        <f>IF(F3="1",SUMIF(Data!A:A,'14'!$A$2,Data!CV:CV),0)</f>
        <v>255613</v>
      </c>
      <c r="E37" s="17">
        <f>IF(F3="1",SUMIF(Data!$A:$A,$A$2,Data!IP:IP),0)</f>
        <v>280481</v>
      </c>
      <c r="F37" s="21">
        <f t="shared" si="3"/>
        <v>1.1000000000000001</v>
      </c>
    </row>
    <row r="38" spans="1:6" ht="14.25" customHeight="1" x14ac:dyDescent="0.2">
      <c r="A38" s="19">
        <v>3</v>
      </c>
      <c r="B38" s="143" t="s">
        <v>2</v>
      </c>
      <c r="C38" s="144"/>
      <c r="D38" s="14">
        <f>IF(F3="1",SUMIF(Data!A:A,'14'!$A$2,Data!CW:CW),0)</f>
        <v>1804447</v>
      </c>
      <c r="E38" s="17">
        <f>IF($F$3="1",SUMIF(Data!$A:$A,$A$2,Data!IQ:IQ),0)</f>
        <v>2516069</v>
      </c>
      <c r="F38" s="21">
        <f t="shared" si="3"/>
        <v>1.39</v>
      </c>
    </row>
    <row r="39" spans="1:6" ht="14.25" customHeight="1" x14ac:dyDescent="0.2">
      <c r="A39" s="19">
        <v>4</v>
      </c>
      <c r="B39" s="143" t="s">
        <v>3</v>
      </c>
      <c r="C39" s="144"/>
      <c r="D39" s="14">
        <f>IF(F3="1",SUMIF(Data!A:A,'14'!$A$2,Data!CX:CX),0)</f>
        <v>2090578</v>
      </c>
      <c r="E39" s="17">
        <f>IF($F$3="1",SUMIF(Data!$A:$A,$A$2,Data!IR:IR),0)</f>
        <v>3015085</v>
      </c>
      <c r="F39" s="21">
        <f t="shared" si="3"/>
        <v>1.44</v>
      </c>
    </row>
    <row r="40" spans="1:6" x14ac:dyDescent="0.2">
      <c r="A40" s="19">
        <v>5</v>
      </c>
      <c r="B40" s="143" t="s">
        <v>4</v>
      </c>
      <c r="C40" s="144"/>
      <c r="D40" s="14">
        <f>IF(F3="1",SUMIF(Data!A:A,'14'!$A$2,Data!CY:CY),0)</f>
        <v>6912</v>
      </c>
      <c r="E40" s="17">
        <f>IF($F$3="1",SUMIF(Data!$A:$A,$A$2,Data!IS:IS),0)</f>
        <v>30555</v>
      </c>
      <c r="F40" s="21">
        <f t="shared" si="3"/>
        <v>4.42</v>
      </c>
    </row>
    <row r="41" spans="1:6" x14ac:dyDescent="0.2">
      <c r="A41" s="19">
        <v>6</v>
      </c>
      <c r="B41" s="143" t="s">
        <v>5</v>
      </c>
      <c r="C41" s="144"/>
      <c r="D41" s="14">
        <f>IF(F3="1",SUMIF(Data!A:A,'14'!$A$2,Data!CZ:CZ),0)</f>
        <v>240695</v>
      </c>
      <c r="E41" s="17">
        <f>IF($F$3="1",SUMIF(Data!$A:$A,$A$2,Data!IT:IT),0)</f>
        <v>1156423</v>
      </c>
      <c r="F41" s="21">
        <f t="shared" si="3"/>
        <v>4.8</v>
      </c>
    </row>
    <row r="42" spans="1:6" x14ac:dyDescent="0.2">
      <c r="A42" s="19">
        <v>7</v>
      </c>
      <c r="B42" s="143" t="s">
        <v>6</v>
      </c>
      <c r="C42" s="144"/>
      <c r="D42" s="14">
        <f>IF(F3="1",SUMIF(Data!A:A,'14'!$A$2,Data!DA:DA),0)</f>
        <v>2344351</v>
      </c>
      <c r="E42" s="17">
        <f>IF($F$3="1",SUMIF(Data!$A:$A,$A$2,Data!IU:IU),0)</f>
        <v>5320415</v>
      </c>
      <c r="F42" s="21">
        <f t="shared" si="3"/>
        <v>2.27</v>
      </c>
    </row>
    <row r="43" spans="1:6" x14ac:dyDescent="0.2">
      <c r="A43" s="19">
        <v>8</v>
      </c>
      <c r="B43" s="143" t="s">
        <v>7</v>
      </c>
      <c r="C43" s="144"/>
      <c r="D43" s="14">
        <f>IF(F3="1",SUMIF(Data!A:A,'14'!$A$2,Data!DB:DB),0)</f>
        <v>64860</v>
      </c>
      <c r="E43" s="17">
        <f>IF($F$3="1",SUMIF(Data!$A:$A,$A$2,Data!IV:IV),0)</f>
        <v>155049</v>
      </c>
      <c r="F43" s="21">
        <f t="shared" si="3"/>
        <v>2.39</v>
      </c>
    </row>
    <row r="44" spans="1:6" x14ac:dyDescent="0.2">
      <c r="A44" s="19">
        <v>9</v>
      </c>
      <c r="B44" s="143" t="s">
        <v>8</v>
      </c>
      <c r="C44" s="144"/>
      <c r="D44" s="14">
        <f>IF(F3="1",SUMIF(Data!A:A,'14'!$A$2,Data!DC:DC),0)</f>
        <v>442468</v>
      </c>
      <c r="E44" s="17">
        <f>IF($F$3="1",SUMIF(Data!$A:$A,$A$2,Data!IW:IW),0)</f>
        <v>210151</v>
      </c>
      <c r="F44" s="21">
        <f t="shared" si="3"/>
        <v>0.47</v>
      </c>
    </row>
    <row r="45" spans="1:6" x14ac:dyDescent="0.2">
      <c r="A45" s="19">
        <v>10</v>
      </c>
      <c r="B45" s="143" t="s">
        <v>9</v>
      </c>
      <c r="C45" s="144"/>
      <c r="D45" s="14">
        <f>IF(F3="1",SUMIF(Data!A:A,'14'!$A$2,Data!DD:DD),0)</f>
        <v>2176</v>
      </c>
      <c r="E45" s="17">
        <f>IF($F$3="1",SUMIF(Data!$A:$A,$A$2,Data!IX:IX),0)</f>
        <v>1636</v>
      </c>
      <c r="F45" s="21">
        <f t="shared" si="3"/>
        <v>0.75</v>
      </c>
    </row>
    <row r="46" spans="1:6" x14ac:dyDescent="0.2">
      <c r="A46" s="19">
        <v>11</v>
      </c>
      <c r="B46" s="143" t="s">
        <v>10</v>
      </c>
      <c r="C46" s="144"/>
      <c r="D46" s="14">
        <f>IF(F3="1",SUMIF(Data!A:A,'14'!$A$2,Data!DE:DE),0)</f>
        <v>444738</v>
      </c>
      <c r="E46" s="17">
        <f>IF($F$3="1",SUMIF(Data!$A:$A,$A$2,Data!IY:IY),0)</f>
        <v>225749</v>
      </c>
      <c r="F46" s="21">
        <f t="shared" si="3"/>
        <v>0.51</v>
      </c>
    </row>
    <row r="47" spans="1:6" ht="14.25" customHeight="1" x14ac:dyDescent="0.2">
      <c r="A47" s="19">
        <v>12</v>
      </c>
      <c r="B47" s="143" t="s">
        <v>11</v>
      </c>
      <c r="C47" s="144"/>
      <c r="D47" s="14">
        <f>IF(F3="1",SUMIF(Data!A:A,'14'!$A$2,Data!DF:DF),0)</f>
        <v>4137474</v>
      </c>
      <c r="E47" s="17">
        <f>IF($F$3="1",SUMIF(Data!$A:$A,$A$2,Data!IZ:IZ),0)</f>
        <v>3475933</v>
      </c>
      <c r="F47" s="21">
        <f t="shared" si="3"/>
        <v>0.84</v>
      </c>
    </row>
    <row r="48" spans="1:6" x14ac:dyDescent="0.2">
      <c r="A48" s="19">
        <v>13</v>
      </c>
      <c r="B48" s="143" t="s">
        <v>12</v>
      </c>
      <c r="C48" s="144"/>
      <c r="D48" s="14">
        <f>IF(F3="1",SUMIF(Data!A:A,'14'!$A$2,Data!DG:DG),0)</f>
        <v>480815</v>
      </c>
      <c r="E48" s="17">
        <f>IF($F$3="1",SUMIF(Data!$A:$A,$A$2,Data!JA:JA),0)</f>
        <v>442168</v>
      </c>
      <c r="F48" s="21">
        <f t="shared" si="3"/>
        <v>0.92</v>
      </c>
    </row>
    <row r="49" spans="1:6" ht="14.25" customHeight="1" x14ac:dyDescent="0.2">
      <c r="A49" s="19">
        <v>14</v>
      </c>
      <c r="B49" s="143" t="s">
        <v>464</v>
      </c>
      <c r="C49" s="144"/>
      <c r="D49" s="14">
        <f>IF(F3="1",SUMIF(Data!A:A,'14'!$A$2,Data!DH:DH),0)</f>
        <v>261901</v>
      </c>
      <c r="E49" s="17">
        <f>IF($F$3="1",SUMIF(Data!$A:$A,$A$2,Data!JB:JB),0)</f>
        <v>508471</v>
      </c>
      <c r="F49" s="21">
        <f t="shared" si="3"/>
        <v>1.94</v>
      </c>
    </row>
    <row r="50" spans="1:6" x14ac:dyDescent="0.2">
      <c r="A50" s="19">
        <v>15</v>
      </c>
      <c r="B50" s="143" t="s">
        <v>13</v>
      </c>
      <c r="C50" s="144"/>
      <c r="D50" s="14">
        <f>IF(F3="1",SUMIF(Data!A:A,'14'!$A$2,Data!DI:DI),0)</f>
        <v>0</v>
      </c>
      <c r="E50" s="17">
        <f>IF($F$3="1",SUMIF(Data!$A:$A,$A$2,Data!JC:JC),0)</f>
        <v>0</v>
      </c>
      <c r="F50" s="21" t="str">
        <f t="shared" si="3"/>
        <v/>
      </c>
    </row>
    <row r="51" spans="1:6" x14ac:dyDescent="0.2">
      <c r="A51" s="19">
        <v>16</v>
      </c>
      <c r="B51" s="143" t="s">
        <v>14</v>
      </c>
      <c r="C51" s="144"/>
      <c r="D51" s="14">
        <f>IF(F3="1",SUMIF(Data!A:A,'14'!$A$2,Data!DJ:DJ),0)</f>
        <v>563910</v>
      </c>
      <c r="E51" s="17">
        <f>IF($F$3="1",SUMIF(Data!$A:$A,$A$2,Data!JD:JD),0)</f>
        <v>1196217</v>
      </c>
      <c r="F51" s="21">
        <f t="shared" si="3"/>
        <v>2.12</v>
      </c>
    </row>
    <row r="52" spans="1:6" x14ac:dyDescent="0.2">
      <c r="A52" s="19">
        <v>17</v>
      </c>
      <c r="B52" s="143" t="s">
        <v>15</v>
      </c>
      <c r="C52" s="144"/>
      <c r="D52" s="14">
        <f>IF(F3="1",SUMIF(Data!A:A,'14'!$A$2,Data!DK:DK),0)</f>
        <v>19568</v>
      </c>
      <c r="E52" s="17">
        <f>IF($F$3="1",SUMIF(Data!$A:$A,$A$2,Data!JE:JE),0)</f>
        <v>26871</v>
      </c>
      <c r="F52" s="21">
        <f t="shared" si="3"/>
        <v>1.37</v>
      </c>
    </row>
    <row r="53" spans="1:6" x14ac:dyDescent="0.2">
      <c r="A53" s="19">
        <v>18</v>
      </c>
      <c r="B53" s="143" t="s">
        <v>16</v>
      </c>
      <c r="C53" s="144"/>
      <c r="D53" s="14">
        <f>IF(F3="1",SUMIF(Data!A:A,'14'!$A$2,Data!DL:DL),0)</f>
        <v>27360</v>
      </c>
      <c r="E53" s="17">
        <f>IF($F$3="1",SUMIF(Data!$A:$A,$A$2,Data!JF:JF),0)</f>
        <v>27124</v>
      </c>
      <c r="F53" s="21">
        <f t="shared" si="3"/>
        <v>0.99</v>
      </c>
    </row>
    <row r="54" spans="1:6" x14ac:dyDescent="0.2">
      <c r="A54" s="19">
        <v>19</v>
      </c>
      <c r="B54" s="143" t="s">
        <v>17</v>
      </c>
      <c r="C54" s="144"/>
      <c r="D54" s="14">
        <f>IF(F3="1",SUMIF(Data!A:A,'14'!$A$2,Data!DM:DM),0)</f>
        <v>2248725</v>
      </c>
      <c r="E54" s="17">
        <f>IF($F$3="1",SUMIF(Data!$A:$A,$A$2,Data!JG:JG),0)</f>
        <v>1496641</v>
      </c>
      <c r="F54" s="21">
        <f t="shared" si="3"/>
        <v>0.67</v>
      </c>
    </row>
    <row r="55" spans="1:6" x14ac:dyDescent="0.2">
      <c r="A55" s="19">
        <v>20</v>
      </c>
      <c r="B55" s="143" t="s">
        <v>18</v>
      </c>
      <c r="C55" s="144"/>
      <c r="D55" s="14">
        <f>IF(F3="1",SUMIF(Data!A:A,'14'!$A$2,Data!DN:DN),0)</f>
        <v>411622</v>
      </c>
      <c r="E55" s="17">
        <f>IF($F$3="1",SUMIF(Data!$A:$A,$A$2,Data!JH:JH),0)</f>
        <v>531592</v>
      </c>
      <c r="F55" s="21">
        <f t="shared" si="3"/>
        <v>1.29</v>
      </c>
    </row>
    <row r="56" spans="1:6" ht="14.25" customHeight="1" x14ac:dyDescent="0.2">
      <c r="A56" s="19">
        <v>21</v>
      </c>
      <c r="B56" s="143" t="s">
        <v>461</v>
      </c>
      <c r="C56" s="144"/>
      <c r="D56" s="14">
        <f>IF(F3="1",SUMIF(Data!A:A,'14'!$A$2,Data!DO:DO),0)</f>
        <v>140472</v>
      </c>
      <c r="E56" s="17">
        <f>IF($F$3="1",SUMIF(Data!$A:$A,$A$2,Data!JI:JI),0)</f>
        <v>44603</v>
      </c>
      <c r="F56" s="21">
        <f t="shared" si="3"/>
        <v>0.32</v>
      </c>
    </row>
    <row r="57" spans="1:6" x14ac:dyDescent="0.2">
      <c r="A57" s="19">
        <v>22</v>
      </c>
      <c r="B57" s="143" t="s">
        <v>19</v>
      </c>
      <c r="C57" s="144"/>
      <c r="D57" s="14">
        <f>IF(F3="1",SUMIF(Data!A:A,'14'!$A$2,Data!DP:DP),0)</f>
        <v>66590</v>
      </c>
      <c r="E57" s="17">
        <f>IF($F$3="1",SUMIF(Data!$A:$A,$A$2,Data!JJ:JJ),0)</f>
        <v>144849</v>
      </c>
      <c r="F57" s="21">
        <f t="shared" si="3"/>
        <v>2.1800000000000002</v>
      </c>
    </row>
    <row r="58" spans="1:6" x14ac:dyDescent="0.2">
      <c r="A58" s="19">
        <v>23</v>
      </c>
      <c r="B58" s="143" t="s">
        <v>20</v>
      </c>
      <c r="C58" s="144"/>
      <c r="D58" s="14">
        <f>IF(F3="1",SUMIF(Data!A:A,'14'!$A$2,Data!DQ:DQ),0)</f>
        <v>511004</v>
      </c>
      <c r="E58" s="17">
        <f>IF($F$3="1",SUMIF(Data!$A:$A,$A$2,Data!JK:JK),0)</f>
        <v>791007</v>
      </c>
      <c r="F58" s="21">
        <f t="shared" si="3"/>
        <v>1.55</v>
      </c>
    </row>
    <row r="59" spans="1:6" x14ac:dyDescent="0.2">
      <c r="A59" s="19">
        <v>24</v>
      </c>
      <c r="B59" s="143" t="s">
        <v>21</v>
      </c>
      <c r="C59" s="144"/>
      <c r="D59" s="14">
        <f>IF(F3="1",SUMIF(Data!A:A,'14'!$A$2,Data!DR:DR),0)</f>
        <v>574738</v>
      </c>
      <c r="E59" s="17">
        <f>IF($F$3="1",SUMIF(Data!$A:$A,$A$2,Data!JL:JL),0)</f>
        <v>607755</v>
      </c>
      <c r="F59" s="21">
        <f t="shared" si="3"/>
        <v>1.06</v>
      </c>
    </row>
    <row r="60" spans="1:6" x14ac:dyDescent="0.2">
      <c r="A60" s="19">
        <v>25</v>
      </c>
      <c r="B60" s="143" t="s">
        <v>22</v>
      </c>
      <c r="C60" s="144"/>
      <c r="D60" s="14">
        <f>IF(F3="1",SUMIF(Data!A:A,'14'!$A$2,Data!DS:DS),0)</f>
        <v>2821521</v>
      </c>
      <c r="E60" s="17">
        <f>IF($F$3="1",SUMIF(Data!$A:$A,$A$2,Data!JM:JM),0)</f>
        <v>1803412</v>
      </c>
      <c r="F60" s="21">
        <f t="shared" si="3"/>
        <v>0.64</v>
      </c>
    </row>
    <row r="61" spans="1:6" x14ac:dyDescent="0.2">
      <c r="A61" s="19">
        <v>26</v>
      </c>
      <c r="B61" s="143" t="s">
        <v>23</v>
      </c>
      <c r="C61" s="144"/>
      <c r="D61" s="14">
        <f>IF(F3="1",SUMIF(Data!A:A,'14'!$A$2,Data!DT:DT),0)</f>
        <v>885614</v>
      </c>
      <c r="E61" s="17">
        <f>IF($F$3="1",SUMIF(Data!$A:$A,$A$2,Data!JN:JN),0)</f>
        <v>1396405</v>
      </c>
      <c r="F61" s="21">
        <f t="shared" si="3"/>
        <v>1.58</v>
      </c>
    </row>
    <row r="62" spans="1:6" x14ac:dyDescent="0.2">
      <c r="A62" s="19">
        <v>28</v>
      </c>
      <c r="B62" s="143" t="s">
        <v>24</v>
      </c>
      <c r="C62" s="144"/>
      <c r="D62" s="14">
        <f>IF(F3="1",SUMIF(Data!A:A,'14'!$A$2,Data!DV:DV),0)</f>
        <v>0</v>
      </c>
      <c r="E62" s="17">
        <f>IF($F$3="1",SUMIF(Data!$A:$A,$A$2,Data!JP:JP),0)</f>
        <v>0</v>
      </c>
      <c r="F62" s="21" t="str">
        <f t="shared" si="3"/>
        <v/>
      </c>
    </row>
    <row r="63" spans="1:6" ht="15.75" customHeight="1" thickBot="1" x14ac:dyDescent="0.25">
      <c r="A63" s="22">
        <v>29</v>
      </c>
      <c r="B63" s="147" t="s">
        <v>25</v>
      </c>
      <c r="C63" s="148"/>
      <c r="D63" s="23">
        <f>IF(F3="1",SUMIF(Data!A:A,'14'!$A$2,Data!DW:DW),0)</f>
        <v>0</v>
      </c>
      <c r="E63" s="24">
        <f>IF($F$3="1",SUMIF(Data!$A:$A,$A$2,Data!JQ:JQ),0)</f>
        <v>0</v>
      </c>
      <c r="F63" s="25" t="str">
        <f t="shared" si="3"/>
        <v/>
      </c>
    </row>
    <row r="64" spans="1:6" x14ac:dyDescent="0.2">
      <c r="B64" s="30" t="s">
        <v>35</v>
      </c>
      <c r="C64" s="30"/>
      <c r="D64" s="59">
        <f>SUM(D36:D63)</f>
        <v>20926236</v>
      </c>
      <c r="E64" s="31">
        <f>SUM(E36:E63)</f>
        <v>25801270</v>
      </c>
      <c r="F64" s="32">
        <f t="shared" si="3"/>
        <v>1.23</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78084</v>
      </c>
      <c r="E67" s="15">
        <f>IF(F3="1",SUMIF(Data!A:A,'14'!$A$2,Data!DY:DY),0)</f>
        <v>380468</v>
      </c>
      <c r="F67" s="20">
        <f t="shared" ref="F67:F95" si="4">IF(OR(D67=0,E67=0),"",ROUND(E67/D67,2))</f>
        <v>4.87</v>
      </c>
    </row>
    <row r="68" spans="1:6" x14ac:dyDescent="0.2">
      <c r="A68" s="19">
        <v>2</v>
      </c>
      <c r="B68" s="143" t="s">
        <v>1</v>
      </c>
      <c r="C68" s="144"/>
      <c r="D68" s="14">
        <f t="shared" ref="D68:D94" si="5">D37</f>
        <v>255613</v>
      </c>
      <c r="E68" s="17">
        <f>IF(F3="1",SUMIF(Data!A:A,'14'!$A$2,Data!DZ:DZ),0)</f>
        <v>267317</v>
      </c>
      <c r="F68" s="21">
        <f t="shared" si="4"/>
        <v>1.05</v>
      </c>
    </row>
    <row r="69" spans="1:6" ht="14.25" customHeight="1" x14ac:dyDescent="0.2">
      <c r="A69" s="19">
        <v>3</v>
      </c>
      <c r="B69" s="143" t="s">
        <v>2</v>
      </c>
      <c r="C69" s="144"/>
      <c r="D69" s="14">
        <f t="shared" si="5"/>
        <v>1804447</v>
      </c>
      <c r="E69" s="17">
        <f>IF(F3="1",SUMIF(Data!A:A,'14'!$A$2,Data!EA:EA),0)</f>
        <v>4421092</v>
      </c>
      <c r="F69" s="21">
        <f t="shared" si="4"/>
        <v>2.4500000000000002</v>
      </c>
    </row>
    <row r="70" spans="1:6" ht="14.25" customHeight="1" x14ac:dyDescent="0.2">
      <c r="A70" s="19">
        <v>4</v>
      </c>
      <c r="B70" s="143" t="s">
        <v>3</v>
      </c>
      <c r="C70" s="144"/>
      <c r="D70" s="14">
        <f t="shared" si="5"/>
        <v>2090578</v>
      </c>
      <c r="E70" s="17">
        <f>IF(F3="1",SUMIF(Data!A:A,'14'!$A$2,Data!EB:EB),0)</f>
        <v>5302258</v>
      </c>
      <c r="F70" s="21">
        <f t="shared" si="4"/>
        <v>2.54</v>
      </c>
    </row>
    <row r="71" spans="1:6" x14ac:dyDescent="0.2">
      <c r="A71" s="19">
        <v>5</v>
      </c>
      <c r="B71" s="143" t="s">
        <v>4</v>
      </c>
      <c r="C71" s="144"/>
      <c r="D71" s="14">
        <f t="shared" si="5"/>
        <v>6912</v>
      </c>
      <c r="E71" s="17">
        <f>IF(F3="1",SUMIF(Data!A:A,'14'!$A$2,Data!EC:EC),0)</f>
        <v>109385</v>
      </c>
      <c r="F71" s="21">
        <f t="shared" si="4"/>
        <v>15.83</v>
      </c>
    </row>
    <row r="72" spans="1:6" x14ac:dyDescent="0.2">
      <c r="A72" s="19">
        <v>6</v>
      </c>
      <c r="B72" s="143" t="s">
        <v>5</v>
      </c>
      <c r="C72" s="144"/>
      <c r="D72" s="14">
        <f t="shared" si="5"/>
        <v>240695</v>
      </c>
      <c r="E72" s="17">
        <f>IF(F3="1",SUMIF(Data!A:A,'14'!$A$2,Data!ED:ED),0)</f>
        <v>509820</v>
      </c>
      <c r="F72" s="21">
        <f t="shared" si="4"/>
        <v>2.12</v>
      </c>
    </row>
    <row r="73" spans="1:6" x14ac:dyDescent="0.2">
      <c r="A73" s="19">
        <v>7</v>
      </c>
      <c r="B73" s="143" t="s">
        <v>6</v>
      </c>
      <c r="C73" s="144"/>
      <c r="D73" s="14">
        <f t="shared" si="5"/>
        <v>2344351</v>
      </c>
      <c r="E73" s="17">
        <f>IF(F3="1",SUMIF(Data!A:A,'14'!$A$2,Data!EE:EE),0)</f>
        <v>4481045</v>
      </c>
      <c r="F73" s="21">
        <f t="shared" si="4"/>
        <v>1.91</v>
      </c>
    </row>
    <row r="74" spans="1:6" x14ac:dyDescent="0.2">
      <c r="A74" s="19">
        <v>8</v>
      </c>
      <c r="B74" s="143" t="s">
        <v>7</v>
      </c>
      <c r="C74" s="144"/>
      <c r="D74" s="14">
        <f t="shared" si="5"/>
        <v>64860</v>
      </c>
      <c r="E74" s="17">
        <f>IF(F3="1",SUMIF(Data!A:A,'14'!$A$2,Data!EF:EF),0)</f>
        <v>463366</v>
      </c>
      <c r="F74" s="21">
        <f t="shared" si="4"/>
        <v>7.14</v>
      </c>
    </row>
    <row r="75" spans="1:6" x14ac:dyDescent="0.2">
      <c r="A75" s="19">
        <v>9</v>
      </c>
      <c r="B75" s="143" t="s">
        <v>8</v>
      </c>
      <c r="C75" s="144"/>
      <c r="D75" s="14">
        <f t="shared" si="5"/>
        <v>442468</v>
      </c>
      <c r="E75" s="17">
        <f>IF(F3="1",SUMIF(Data!A:A,'14'!$A$2,Data!EG:EG),0)</f>
        <v>513585</v>
      </c>
      <c r="F75" s="21">
        <f t="shared" si="4"/>
        <v>1.1599999999999999</v>
      </c>
    </row>
    <row r="76" spans="1:6" x14ac:dyDescent="0.2">
      <c r="A76" s="19">
        <v>10</v>
      </c>
      <c r="B76" s="143" t="s">
        <v>9</v>
      </c>
      <c r="C76" s="144"/>
      <c r="D76" s="14">
        <f t="shared" si="5"/>
        <v>2176</v>
      </c>
      <c r="E76" s="17">
        <f>IF(F3="1",SUMIF(Data!A:A,'14'!$A$2,Data!EH:EH),0)</f>
        <v>7573</v>
      </c>
      <c r="F76" s="21">
        <f t="shared" si="4"/>
        <v>3.48</v>
      </c>
    </row>
    <row r="77" spans="1:6" x14ac:dyDescent="0.2">
      <c r="A77" s="19">
        <v>11</v>
      </c>
      <c r="B77" s="143" t="s">
        <v>10</v>
      </c>
      <c r="C77" s="144"/>
      <c r="D77" s="14">
        <f t="shared" si="5"/>
        <v>444738</v>
      </c>
      <c r="E77" s="17">
        <f>IF(F3="1",SUMIF(Data!A:A,'14'!$A$2,Data!EI:EI),0)</f>
        <v>286086</v>
      </c>
      <c r="F77" s="21">
        <f t="shared" si="4"/>
        <v>0.64</v>
      </c>
    </row>
    <row r="78" spans="1:6" ht="14.25" customHeight="1" x14ac:dyDescent="0.2">
      <c r="A78" s="19">
        <v>12</v>
      </c>
      <c r="B78" s="143" t="s">
        <v>11</v>
      </c>
      <c r="C78" s="144"/>
      <c r="D78" s="14">
        <f t="shared" si="5"/>
        <v>4137474</v>
      </c>
      <c r="E78" s="17">
        <f>IF(F3="1",SUMIF(Data!A:A,'14'!$A$2,Data!EJ:EJ),0)</f>
        <v>10618171</v>
      </c>
      <c r="F78" s="21">
        <f t="shared" si="4"/>
        <v>2.57</v>
      </c>
    </row>
    <row r="79" spans="1:6" x14ac:dyDescent="0.2">
      <c r="A79" s="19">
        <v>13</v>
      </c>
      <c r="B79" s="143" t="s">
        <v>12</v>
      </c>
      <c r="C79" s="144"/>
      <c r="D79" s="14">
        <f t="shared" si="5"/>
        <v>480815</v>
      </c>
      <c r="E79" s="17">
        <f>IF(F3="1",SUMIF(Data!A:A,'14'!$A$2,Data!EK:EK),0)</f>
        <v>1181645</v>
      </c>
      <c r="F79" s="21">
        <f t="shared" si="4"/>
        <v>2.46</v>
      </c>
    </row>
    <row r="80" spans="1:6" ht="14.25" customHeight="1" x14ac:dyDescent="0.2">
      <c r="A80" s="19">
        <v>14</v>
      </c>
      <c r="B80" s="143" t="s">
        <v>464</v>
      </c>
      <c r="C80" s="144"/>
      <c r="D80" s="14">
        <f t="shared" si="5"/>
        <v>261901</v>
      </c>
      <c r="E80" s="17">
        <f>IF(F3="1",SUMIF(Data!A:A,'14'!$A$2,Data!EL:EL),0)</f>
        <v>1759566</v>
      </c>
      <c r="F80" s="21">
        <f t="shared" si="4"/>
        <v>6.72</v>
      </c>
    </row>
    <row r="81" spans="1:6" x14ac:dyDescent="0.2">
      <c r="A81" s="19">
        <v>15</v>
      </c>
      <c r="B81" s="143" t="s">
        <v>13</v>
      </c>
      <c r="C81" s="144"/>
      <c r="D81" s="14">
        <f t="shared" si="5"/>
        <v>0</v>
      </c>
      <c r="E81" s="17">
        <f>IF(F3="1",SUMIF(Data!A:A,'14'!$A$2,Data!EM:EM),0)</f>
        <v>0</v>
      </c>
      <c r="F81" s="21" t="str">
        <f t="shared" si="4"/>
        <v/>
      </c>
    </row>
    <row r="82" spans="1:6" x14ac:dyDescent="0.2">
      <c r="A82" s="19">
        <v>16</v>
      </c>
      <c r="B82" s="143" t="s">
        <v>14</v>
      </c>
      <c r="C82" s="144"/>
      <c r="D82" s="14">
        <f t="shared" si="5"/>
        <v>563910</v>
      </c>
      <c r="E82" s="17">
        <f>IF(F3="1",SUMIF(Data!A:A,'14'!$A$2,Data!EN:EN),0)</f>
        <v>919954</v>
      </c>
      <c r="F82" s="21">
        <f t="shared" si="4"/>
        <v>1.63</v>
      </c>
    </row>
    <row r="83" spans="1:6" x14ac:dyDescent="0.2">
      <c r="A83" s="19">
        <v>17</v>
      </c>
      <c r="B83" s="143" t="s">
        <v>15</v>
      </c>
      <c r="C83" s="144"/>
      <c r="D83" s="14">
        <f t="shared" si="5"/>
        <v>19568</v>
      </c>
      <c r="E83" s="17">
        <f>IF(F3="1",SUMIF(Data!A:A,'14'!$A$2,Data!EO:EO),0)</f>
        <v>174969</v>
      </c>
      <c r="F83" s="21">
        <f t="shared" si="4"/>
        <v>8.94</v>
      </c>
    </row>
    <row r="84" spans="1:6" x14ac:dyDescent="0.2">
      <c r="A84" s="19">
        <v>18</v>
      </c>
      <c r="B84" s="143" t="s">
        <v>16</v>
      </c>
      <c r="C84" s="144"/>
      <c r="D84" s="14">
        <f t="shared" si="5"/>
        <v>27360</v>
      </c>
      <c r="E84" s="17">
        <f>IF(F3="1",SUMIF(Data!A:A,'14'!$A$2,Data!EP:EP),0)</f>
        <v>122089</v>
      </c>
      <c r="F84" s="21">
        <f t="shared" si="4"/>
        <v>4.46</v>
      </c>
    </row>
    <row r="85" spans="1:6" x14ac:dyDescent="0.2">
      <c r="A85" s="19">
        <v>19</v>
      </c>
      <c r="B85" s="143" t="s">
        <v>17</v>
      </c>
      <c r="C85" s="144"/>
      <c r="D85" s="14">
        <f t="shared" si="5"/>
        <v>2248725</v>
      </c>
      <c r="E85" s="17">
        <f>IF(F3="1",SUMIF(Data!A:A,'14'!$A$2,Data!EQ:EQ),0)</f>
        <v>5262334</v>
      </c>
      <c r="F85" s="21">
        <f t="shared" si="4"/>
        <v>2.34</v>
      </c>
    </row>
    <row r="86" spans="1:6" x14ac:dyDescent="0.2">
      <c r="A86" s="19">
        <v>20</v>
      </c>
      <c r="B86" s="143" t="s">
        <v>18</v>
      </c>
      <c r="C86" s="144"/>
      <c r="D86" s="14">
        <f t="shared" si="5"/>
        <v>411622</v>
      </c>
      <c r="E86" s="17">
        <f>IF(F3="1",SUMIF(Data!A:A,'14'!$A$2,Data!ER:ER),0)</f>
        <v>1252185</v>
      </c>
      <c r="F86" s="21">
        <f t="shared" si="4"/>
        <v>3.04</v>
      </c>
    </row>
    <row r="87" spans="1:6" ht="14.25" customHeight="1" x14ac:dyDescent="0.2">
      <c r="A87" s="19">
        <v>21</v>
      </c>
      <c r="B87" s="143" t="s">
        <v>461</v>
      </c>
      <c r="C87" s="144"/>
      <c r="D87" s="14">
        <f t="shared" si="5"/>
        <v>140472</v>
      </c>
      <c r="E87" s="17">
        <f>IF(F3="1",SUMIF(Data!A:A,'14'!$A$2,Data!ES:ES),0)</f>
        <v>66660</v>
      </c>
      <c r="F87" s="21">
        <f t="shared" si="4"/>
        <v>0.47</v>
      </c>
    </row>
    <row r="88" spans="1:6" x14ac:dyDescent="0.2">
      <c r="A88" s="19">
        <v>22</v>
      </c>
      <c r="B88" s="143" t="s">
        <v>19</v>
      </c>
      <c r="C88" s="144"/>
      <c r="D88" s="14">
        <f t="shared" si="5"/>
        <v>66590</v>
      </c>
      <c r="E88" s="17">
        <f>IF(F3="1",SUMIF(Data!A:A,'14'!$A$2,Data!ET:ET),0)</f>
        <v>767694</v>
      </c>
      <c r="F88" s="21">
        <f t="shared" si="4"/>
        <v>11.53</v>
      </c>
    </row>
    <row r="89" spans="1:6" x14ac:dyDescent="0.2">
      <c r="A89" s="19">
        <v>23</v>
      </c>
      <c r="B89" s="143" t="s">
        <v>20</v>
      </c>
      <c r="C89" s="144"/>
      <c r="D89" s="14">
        <f t="shared" si="5"/>
        <v>511004</v>
      </c>
      <c r="E89" s="17">
        <f>IF(F3="1",SUMIF(Data!A:A,'14'!$A$2,Data!EU:EU),0)</f>
        <v>1925266</v>
      </c>
      <c r="F89" s="21">
        <f t="shared" si="4"/>
        <v>3.77</v>
      </c>
    </row>
    <row r="90" spans="1:6" x14ac:dyDescent="0.2">
      <c r="A90" s="19">
        <v>24</v>
      </c>
      <c r="B90" s="143" t="s">
        <v>21</v>
      </c>
      <c r="C90" s="144"/>
      <c r="D90" s="14">
        <f t="shared" si="5"/>
        <v>574738</v>
      </c>
      <c r="E90" s="17">
        <f>IF(F3="1",SUMIF(Data!A:A,'14'!$A$2,Data!EV:EV),0)</f>
        <v>455892</v>
      </c>
      <c r="F90" s="21">
        <f t="shared" si="4"/>
        <v>0.79</v>
      </c>
    </row>
    <row r="91" spans="1:6" x14ac:dyDescent="0.2">
      <c r="A91" s="19">
        <v>25</v>
      </c>
      <c r="B91" s="143" t="s">
        <v>22</v>
      </c>
      <c r="C91" s="144"/>
      <c r="D91" s="14">
        <f t="shared" si="5"/>
        <v>2821521</v>
      </c>
      <c r="E91" s="17">
        <f>IF(F3="1",SUMIF(Data!A:A,'14'!$A$2,Data!EW:EW),0)</f>
        <v>7251465</v>
      </c>
      <c r="F91" s="21">
        <f t="shared" si="4"/>
        <v>2.57</v>
      </c>
    </row>
    <row r="92" spans="1:6" x14ac:dyDescent="0.2">
      <c r="A92" s="19">
        <v>26</v>
      </c>
      <c r="B92" s="143" t="s">
        <v>23</v>
      </c>
      <c r="C92" s="144"/>
      <c r="D92" s="14">
        <f t="shared" si="5"/>
        <v>885614</v>
      </c>
      <c r="E92" s="17">
        <f>IF(F3="1",SUMIF(Data!A:A,'14'!$A$2,Data!EX:EX),0)</f>
        <v>4071476</v>
      </c>
      <c r="F92" s="21">
        <f t="shared" si="4"/>
        <v>4.5999999999999996</v>
      </c>
    </row>
    <row r="93" spans="1:6" x14ac:dyDescent="0.2">
      <c r="A93" s="19">
        <v>28</v>
      </c>
      <c r="B93" s="143" t="s">
        <v>24</v>
      </c>
      <c r="C93" s="144"/>
      <c r="D93" s="14">
        <f t="shared" si="5"/>
        <v>0</v>
      </c>
      <c r="E93" s="17">
        <f>IF(F3="1",SUMIF(Data!A:A,'14'!$A$2,Data!EZ:EZ),0)</f>
        <v>0</v>
      </c>
      <c r="F93" s="21" t="str">
        <f t="shared" si="4"/>
        <v/>
      </c>
    </row>
    <row r="94" spans="1:6" ht="15.75" customHeight="1" thickBot="1" x14ac:dyDescent="0.25">
      <c r="A94" s="22">
        <v>29</v>
      </c>
      <c r="B94" s="147" t="s">
        <v>25</v>
      </c>
      <c r="C94" s="148"/>
      <c r="D94" s="23">
        <f t="shared" si="5"/>
        <v>0</v>
      </c>
      <c r="E94" s="24">
        <f>IF(F3="1",SUMIF(Data!A:A,'14'!$A$2,Data!FA:FA),0)</f>
        <v>0</v>
      </c>
      <c r="F94" s="25" t="str">
        <f t="shared" si="4"/>
        <v/>
      </c>
    </row>
    <row r="95" spans="1:6" x14ac:dyDescent="0.2">
      <c r="B95" s="30" t="s">
        <v>35</v>
      </c>
      <c r="C95" s="30"/>
      <c r="D95" s="59">
        <f>SUM(D67:D94)</f>
        <v>20926236</v>
      </c>
      <c r="E95" s="31">
        <f>SUM(E67:E94)</f>
        <v>52571361</v>
      </c>
      <c r="F95" s="32">
        <f t="shared" si="4"/>
        <v>2.5099999999999998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IF(F3="1",SUMIF(Data!A:A,'14'!$A$2,Data!AH:AH),0)</f>
        <v>26244421</v>
      </c>
      <c r="F98" s="20">
        <f>IF(OR(E98=0,E98=0),"",ROUND(E98/$D$105,2))</f>
        <v>1.25</v>
      </c>
    </row>
    <row r="99" spans="2:6" x14ac:dyDescent="0.2">
      <c r="B99" s="153" t="s">
        <v>31</v>
      </c>
      <c r="C99" s="154"/>
      <c r="D99" s="36"/>
      <c r="E99" s="17">
        <f>IF(F3="1",SUMIF(Data!A:A,'14'!$A$2,Data!AI:AI),0)</f>
        <v>13291328</v>
      </c>
      <c r="F99" s="21">
        <f t="shared" ref="F99:F104" si="6">IF(OR(E99=0,E99=0),"",ROUND(E99/$D$105,2))</f>
        <v>0.64</v>
      </c>
    </row>
    <row r="100" spans="2:6" x14ac:dyDescent="0.2">
      <c r="B100" s="153" t="s">
        <v>1078</v>
      </c>
      <c r="C100" s="154"/>
      <c r="D100" s="36"/>
      <c r="E100" s="17">
        <f>IF(F3="1",SUMIF(Data!A:A,'14'!$A$2,Data!AJ:AJ),0)</f>
        <v>6639752</v>
      </c>
      <c r="F100" s="21">
        <f t="shared" si="6"/>
        <v>0.32</v>
      </c>
    </row>
    <row r="101" spans="2:6" x14ac:dyDescent="0.2">
      <c r="B101" s="153" t="s">
        <v>1079</v>
      </c>
      <c r="C101" s="154"/>
      <c r="D101" s="36"/>
      <c r="E101" s="17">
        <f>IF(F3="1",SUMIF(Data!A:A,'14'!$A$2,Data!AK:AK),0)</f>
        <v>4804301</v>
      </c>
      <c r="F101" s="21">
        <f t="shared" si="6"/>
        <v>0.23</v>
      </c>
    </row>
    <row r="102" spans="2:6" x14ac:dyDescent="0.2">
      <c r="B102" s="153" t="s">
        <v>1080</v>
      </c>
      <c r="C102" s="154"/>
      <c r="D102" s="36"/>
      <c r="E102" s="17">
        <f>IF(F3="1",SUMIF(Data!A:A,'14'!$A$2,Data!AL:AL),0)</f>
        <v>550495</v>
      </c>
      <c r="F102" s="21">
        <f t="shared" si="6"/>
        <v>0.03</v>
      </c>
    </row>
    <row r="103" spans="2:6" x14ac:dyDescent="0.2">
      <c r="B103" s="155" t="s">
        <v>34</v>
      </c>
      <c r="C103" s="156"/>
      <c r="D103" s="36"/>
      <c r="E103" s="17">
        <f>IF(F3="1",SUMIF(Data!A:A,'14'!$A$2,Data!AM:AM),0)</f>
        <v>0</v>
      </c>
      <c r="F103" s="21" t="str">
        <f t="shared" si="6"/>
        <v/>
      </c>
    </row>
    <row r="104" spans="2:6" ht="15.75" customHeight="1" thickBot="1" x14ac:dyDescent="0.25">
      <c r="B104" s="149" t="s">
        <v>29</v>
      </c>
      <c r="C104" s="150"/>
      <c r="D104" s="37"/>
      <c r="E104" s="24">
        <f>IF(F3="1",SUMIF(Data!A:A,'14'!$A$2,Data!Q:Q),0)</f>
        <v>4510824</v>
      </c>
      <c r="F104" s="25">
        <f t="shared" si="6"/>
        <v>0.22</v>
      </c>
    </row>
    <row r="105" spans="2:6" x14ac:dyDescent="0.2">
      <c r="B105" s="30" t="s">
        <v>35</v>
      </c>
      <c r="C105" s="30"/>
      <c r="D105" s="34">
        <f>D95</f>
        <v>20926236</v>
      </c>
      <c r="E105" s="31">
        <f>SUM(E98:E104)</f>
        <v>56041121</v>
      </c>
      <c r="F105" s="32">
        <f>IF($D$105=0,"",ROUND(E105/$D$105,2))</f>
        <v>2.68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52571361</v>
      </c>
      <c r="D109" s="15">
        <f>IF(F3="1",SUMIF(Data!$A:$A,$A$2,Data!HJ:HJ),0)</f>
        <v>0</v>
      </c>
      <c r="E109" s="15">
        <f>IF(F3="1",SUMIF(Data!$A:$A,$A$2,Data!IN:IN),0)</f>
        <v>0</v>
      </c>
      <c r="F109" s="47">
        <f>SUM(C109:E109)</f>
        <v>52571361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550495</v>
      </c>
      <c r="F116" s="48">
        <f t="shared" si="7"/>
        <v>550495</v>
      </c>
    </row>
    <row r="117" spans="1:6" ht="15" thickBot="1" x14ac:dyDescent="0.25">
      <c r="B117" s="43" t="s">
        <v>933</v>
      </c>
      <c r="C117" s="52"/>
      <c r="D117" s="52">
        <f>IF(F3="1",SUMIF(Data!A:A,$A$2,Data!Q:Q),0)</f>
        <v>4510824</v>
      </c>
      <c r="E117" s="52"/>
      <c r="F117" s="49">
        <f>SUM(C117:E117)</f>
        <v>4510824</v>
      </c>
    </row>
    <row r="118" spans="1:6" x14ac:dyDescent="0.2">
      <c r="B118" s="13" t="s">
        <v>35</v>
      </c>
      <c r="C118" s="4">
        <f>SUM(C109:C116)</f>
        <v>52571361</v>
      </c>
      <c r="D118" s="4">
        <f>SUM(D109:D116)</f>
        <v>0</v>
      </c>
      <c r="E118" s="4">
        <f>SUM(E109:E116)</f>
        <v>550495</v>
      </c>
      <c r="F118" s="4">
        <f>SUM(F109:F116)</f>
        <v>53121856</v>
      </c>
    </row>
    <row r="119" spans="1:6" ht="15" thickBot="1" x14ac:dyDescent="0.25"/>
    <row r="120" spans="1:6" ht="15" thickBot="1" x14ac:dyDescent="0.25">
      <c r="B120" s="55" t="s">
        <v>934</v>
      </c>
      <c r="C120" s="53"/>
      <c r="D120" s="53"/>
      <c r="E120" s="53">
        <f>IF(F3="1",SUMIF(Data!A:A,'14'!$A$2,Data!AM:AM),0)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364</v>
      </c>
      <c r="B2" s="58" t="str">
        <f>VLOOKUP(A2,Data!A:G,7,0)</f>
        <v>Del Mar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0</v>
      </c>
      <c r="E7" s="17">
        <f t="shared" si="1"/>
        <v>0</v>
      </c>
      <c r="F7" s="21" t="str">
        <f t="shared" si="2"/>
        <v/>
      </c>
    </row>
    <row r="8" spans="1:6" ht="14.25" customHeight="1" x14ac:dyDescent="0.2">
      <c r="A8" s="19">
        <v>4</v>
      </c>
      <c r="B8" s="143" t="s">
        <v>3</v>
      </c>
      <c r="C8" s="144"/>
      <c r="D8" s="14">
        <f t="shared" si="0"/>
        <v>0</v>
      </c>
      <c r="E8" s="17">
        <f t="shared" si="1"/>
        <v>0</v>
      </c>
      <c r="F8" s="21" t="str">
        <f t="shared" si="2"/>
        <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0</v>
      </c>
      <c r="E11" s="17">
        <f t="shared" si="1"/>
        <v>0</v>
      </c>
      <c r="F11" s="21" t="str">
        <f t="shared" si="2"/>
        <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0</v>
      </c>
      <c r="E13" s="17">
        <f t="shared" si="1"/>
        <v>0</v>
      </c>
      <c r="F13" s="21" t="str">
        <f t="shared" si="2"/>
        <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0</v>
      </c>
      <c r="E16" s="17">
        <f t="shared" si="1"/>
        <v>0</v>
      </c>
      <c r="F16" s="21" t="str">
        <f t="shared" si="2"/>
        <v/>
      </c>
    </row>
    <row r="17" spans="1:6" x14ac:dyDescent="0.2">
      <c r="A17" s="19">
        <v>13</v>
      </c>
      <c r="B17" s="143" t="s">
        <v>12</v>
      </c>
      <c r="C17" s="144"/>
      <c r="D17" s="14">
        <f t="shared" si="0"/>
        <v>0</v>
      </c>
      <c r="E17" s="17">
        <f t="shared" si="1"/>
        <v>0</v>
      </c>
      <c r="F17" s="21" t="str">
        <f t="shared" si="2"/>
        <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0</v>
      </c>
      <c r="E20" s="17">
        <f t="shared" si="1"/>
        <v>0</v>
      </c>
      <c r="F20" s="21" t="str">
        <f t="shared" si="2"/>
        <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0</v>
      </c>
      <c r="E23" s="17">
        <f t="shared" si="1"/>
        <v>0</v>
      </c>
      <c r="F23" s="21" t="str">
        <f t="shared" si="2"/>
        <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0</v>
      </c>
      <c r="E27" s="17">
        <f t="shared" si="1"/>
        <v>0</v>
      </c>
      <c r="F27" s="21" t="str">
        <f t="shared" si="2"/>
        <v/>
      </c>
    </row>
    <row r="28" spans="1:6" x14ac:dyDescent="0.2">
      <c r="A28" s="19">
        <v>24</v>
      </c>
      <c r="B28" s="143" t="s">
        <v>21</v>
      </c>
      <c r="C28" s="144"/>
      <c r="D28" s="14">
        <f t="shared" si="0"/>
        <v>0</v>
      </c>
      <c r="E28" s="17">
        <f t="shared" si="1"/>
        <v>0</v>
      </c>
      <c r="F28" s="21" t="str">
        <f t="shared" si="2"/>
        <v/>
      </c>
    </row>
    <row r="29" spans="1:6" x14ac:dyDescent="0.2">
      <c r="A29" s="19">
        <v>25</v>
      </c>
      <c r="B29" s="143" t="s">
        <v>22</v>
      </c>
      <c r="C29" s="144"/>
      <c r="D29" s="14">
        <f t="shared" si="0"/>
        <v>0</v>
      </c>
      <c r="E29" s="17">
        <f t="shared" si="1"/>
        <v>0</v>
      </c>
      <c r="F29" s="21" t="str">
        <f t="shared" si="2"/>
        <v/>
      </c>
    </row>
    <row r="30" spans="1:6" x14ac:dyDescent="0.2">
      <c r="A30" s="19">
        <v>26</v>
      </c>
      <c r="B30" s="143" t="s">
        <v>23</v>
      </c>
      <c r="C30" s="144"/>
      <c r="D30" s="14">
        <f t="shared" si="0"/>
        <v>0</v>
      </c>
      <c r="E30" s="17">
        <f t="shared" si="1"/>
        <v>0</v>
      </c>
      <c r="F30" s="21" t="str">
        <f t="shared" si="2"/>
        <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0</v>
      </c>
      <c r="E33" s="31">
        <f>SUM(E5:E32)</f>
        <v>0</v>
      </c>
      <c r="F33" s="32" t="str">
        <f t="shared" si="2"/>
        <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IF(F3="1",SUMIF(Data!A:A,'15'!$A$2,Data!CU:CU),0)</f>
        <v>0</v>
      </c>
      <c r="E36" s="15">
        <f>IF(F3="1",SUMIF(Data!$A:$A,$A$2,Data!IO:IO),0)</f>
        <v>0</v>
      </c>
      <c r="F36" s="20" t="str">
        <f t="shared" ref="F36:F64" si="3">IF(OR(D36=0,E36=0),"",ROUND(E36/D36,2))</f>
        <v/>
      </c>
    </row>
    <row r="37" spans="1:6" x14ac:dyDescent="0.2">
      <c r="A37" s="19">
        <v>2</v>
      </c>
      <c r="B37" s="143" t="s">
        <v>1</v>
      </c>
      <c r="C37" s="144"/>
      <c r="D37" s="14">
        <f>IF(F3="1",SUMIF(Data!A:A,'15'!$A$2,Data!CV:CV),0)</f>
        <v>0</v>
      </c>
      <c r="E37" s="17">
        <f>IF(F3="1",SUMIF(Data!$A:$A,$A$2,Data!IP:IP),0)</f>
        <v>0</v>
      </c>
      <c r="F37" s="21" t="str">
        <f t="shared" si="3"/>
        <v/>
      </c>
    </row>
    <row r="38" spans="1:6" ht="14.25" customHeight="1" x14ac:dyDescent="0.2">
      <c r="A38" s="19">
        <v>3</v>
      </c>
      <c r="B38" s="143" t="s">
        <v>2</v>
      </c>
      <c r="C38" s="144"/>
      <c r="D38" s="14">
        <f>IF(F3="1",SUMIF(Data!A:A,'15'!$A$2,Data!CW:CW),0)</f>
        <v>0</v>
      </c>
      <c r="E38" s="17">
        <f>IF($F$3="1",SUMIF(Data!$A:$A,$A$2,Data!IQ:IQ),0)</f>
        <v>0</v>
      </c>
      <c r="F38" s="21" t="str">
        <f t="shared" si="3"/>
        <v/>
      </c>
    </row>
    <row r="39" spans="1:6" ht="14.25" customHeight="1" x14ac:dyDescent="0.2">
      <c r="A39" s="19">
        <v>4</v>
      </c>
      <c r="B39" s="143" t="s">
        <v>3</v>
      </c>
      <c r="C39" s="144"/>
      <c r="D39" s="14">
        <f>IF(F3="1",SUMIF(Data!A:A,'15'!$A$2,Data!CX:CX),0)</f>
        <v>0</v>
      </c>
      <c r="E39" s="17">
        <f>IF($F$3="1",SUMIF(Data!$A:$A,$A$2,Data!IR:IR),0)</f>
        <v>0</v>
      </c>
      <c r="F39" s="21" t="str">
        <f t="shared" si="3"/>
        <v/>
      </c>
    </row>
    <row r="40" spans="1:6" x14ac:dyDescent="0.2">
      <c r="A40" s="19">
        <v>5</v>
      </c>
      <c r="B40" s="143" t="s">
        <v>4</v>
      </c>
      <c r="C40" s="144"/>
      <c r="D40" s="14">
        <f>IF(F3="1",SUMIF(Data!A:A,'15'!$A$2,Data!CY:CY),0)</f>
        <v>0</v>
      </c>
      <c r="E40" s="17">
        <f>IF($F$3="1",SUMIF(Data!$A:$A,$A$2,Data!IS:IS),0)</f>
        <v>0</v>
      </c>
      <c r="F40" s="21" t="str">
        <f t="shared" si="3"/>
        <v/>
      </c>
    </row>
    <row r="41" spans="1:6" x14ac:dyDescent="0.2">
      <c r="A41" s="19">
        <v>6</v>
      </c>
      <c r="B41" s="143" t="s">
        <v>5</v>
      </c>
      <c r="C41" s="144"/>
      <c r="D41" s="14">
        <f>IF(F3="1",SUMIF(Data!A:A,'15'!$A$2,Data!CZ:CZ),0)</f>
        <v>0</v>
      </c>
      <c r="E41" s="17">
        <f>IF($F$3="1",SUMIF(Data!$A:$A,$A$2,Data!IT:IT),0)</f>
        <v>0</v>
      </c>
      <c r="F41" s="21" t="str">
        <f t="shared" si="3"/>
        <v/>
      </c>
    </row>
    <row r="42" spans="1:6" x14ac:dyDescent="0.2">
      <c r="A42" s="19">
        <v>7</v>
      </c>
      <c r="B42" s="143" t="s">
        <v>6</v>
      </c>
      <c r="C42" s="144"/>
      <c r="D42" s="14">
        <f>IF(F3="1",SUMIF(Data!A:A,'15'!$A$2,Data!DA:DA),0)</f>
        <v>0</v>
      </c>
      <c r="E42" s="17">
        <f>IF($F$3="1",SUMIF(Data!$A:$A,$A$2,Data!IU:IU),0)</f>
        <v>0</v>
      </c>
      <c r="F42" s="21" t="str">
        <f t="shared" si="3"/>
        <v/>
      </c>
    </row>
    <row r="43" spans="1:6" x14ac:dyDescent="0.2">
      <c r="A43" s="19">
        <v>8</v>
      </c>
      <c r="B43" s="143" t="s">
        <v>7</v>
      </c>
      <c r="C43" s="144"/>
      <c r="D43" s="14">
        <f>IF(F3="1",SUMIF(Data!A:A,'15'!$A$2,Data!DB:DB),0)</f>
        <v>0</v>
      </c>
      <c r="E43" s="17">
        <f>IF($F$3="1",SUMIF(Data!$A:$A,$A$2,Data!IV:IV),0)</f>
        <v>0</v>
      </c>
      <c r="F43" s="21" t="str">
        <f t="shared" si="3"/>
        <v/>
      </c>
    </row>
    <row r="44" spans="1:6" x14ac:dyDescent="0.2">
      <c r="A44" s="19">
        <v>9</v>
      </c>
      <c r="B44" s="143" t="s">
        <v>8</v>
      </c>
      <c r="C44" s="144"/>
      <c r="D44" s="14">
        <f>IF(F3="1",SUMIF(Data!A:A,'15'!$A$2,Data!DC:DC),0)</f>
        <v>0</v>
      </c>
      <c r="E44" s="17">
        <f>IF($F$3="1",SUMIF(Data!$A:$A,$A$2,Data!IW:IW),0)</f>
        <v>0</v>
      </c>
      <c r="F44" s="21" t="str">
        <f t="shared" si="3"/>
        <v/>
      </c>
    </row>
    <row r="45" spans="1:6" x14ac:dyDescent="0.2">
      <c r="A45" s="19">
        <v>10</v>
      </c>
      <c r="B45" s="143" t="s">
        <v>9</v>
      </c>
      <c r="C45" s="144"/>
      <c r="D45" s="14">
        <f>IF(F3="1",SUMIF(Data!A:A,'15'!$A$2,Data!DD:DD),0)</f>
        <v>0</v>
      </c>
      <c r="E45" s="17">
        <f>IF($F$3="1",SUMIF(Data!$A:$A,$A$2,Data!IX:IX),0)</f>
        <v>0</v>
      </c>
      <c r="F45" s="21" t="str">
        <f t="shared" si="3"/>
        <v/>
      </c>
    </row>
    <row r="46" spans="1:6" x14ac:dyDescent="0.2">
      <c r="A46" s="19">
        <v>11</v>
      </c>
      <c r="B46" s="143" t="s">
        <v>10</v>
      </c>
      <c r="C46" s="144"/>
      <c r="D46" s="14">
        <f>IF(F3="1",SUMIF(Data!A:A,'15'!$A$2,Data!DE:DE),0)</f>
        <v>0</v>
      </c>
      <c r="E46" s="17">
        <f>IF($F$3="1",SUMIF(Data!$A:$A,$A$2,Data!IY:IY),0)</f>
        <v>0</v>
      </c>
      <c r="F46" s="21" t="str">
        <f t="shared" si="3"/>
        <v/>
      </c>
    </row>
    <row r="47" spans="1:6" ht="14.25" customHeight="1" x14ac:dyDescent="0.2">
      <c r="A47" s="19">
        <v>12</v>
      </c>
      <c r="B47" s="143" t="s">
        <v>11</v>
      </c>
      <c r="C47" s="144"/>
      <c r="D47" s="14">
        <f>IF(F3="1",SUMIF(Data!A:A,'15'!$A$2,Data!DF:DF),0)</f>
        <v>0</v>
      </c>
      <c r="E47" s="17">
        <f>IF($F$3="1",SUMIF(Data!$A:$A,$A$2,Data!IZ:IZ),0)</f>
        <v>0</v>
      </c>
      <c r="F47" s="21" t="str">
        <f t="shared" si="3"/>
        <v/>
      </c>
    </row>
    <row r="48" spans="1:6" x14ac:dyDescent="0.2">
      <c r="A48" s="19">
        <v>13</v>
      </c>
      <c r="B48" s="143" t="s">
        <v>12</v>
      </c>
      <c r="C48" s="144"/>
      <c r="D48" s="14">
        <f>IF(F3="1",SUMIF(Data!A:A,'15'!$A$2,Data!DG:DG),0)</f>
        <v>0</v>
      </c>
      <c r="E48" s="17">
        <f>IF($F$3="1",SUMIF(Data!$A:$A,$A$2,Data!JA:JA),0)</f>
        <v>0</v>
      </c>
      <c r="F48" s="21" t="str">
        <f t="shared" si="3"/>
        <v/>
      </c>
    </row>
    <row r="49" spans="1:6" ht="14.25" customHeight="1" x14ac:dyDescent="0.2">
      <c r="A49" s="19">
        <v>14</v>
      </c>
      <c r="B49" s="143" t="s">
        <v>464</v>
      </c>
      <c r="C49" s="144"/>
      <c r="D49" s="14">
        <f>IF(F3="1",SUMIF(Data!A:A,'15'!$A$2,Data!DH:DH),0)</f>
        <v>0</v>
      </c>
      <c r="E49" s="17">
        <f>IF($F$3="1",SUMIF(Data!$A:$A,$A$2,Data!JB:JB),0)</f>
        <v>0</v>
      </c>
      <c r="F49" s="21" t="str">
        <f t="shared" si="3"/>
        <v/>
      </c>
    </row>
    <row r="50" spans="1:6" x14ac:dyDescent="0.2">
      <c r="A50" s="19">
        <v>15</v>
      </c>
      <c r="B50" s="143" t="s">
        <v>13</v>
      </c>
      <c r="C50" s="144"/>
      <c r="D50" s="14">
        <f>IF(F3="1",SUMIF(Data!A:A,'15'!$A$2,Data!DI:DI),0)</f>
        <v>0</v>
      </c>
      <c r="E50" s="17">
        <f>IF($F$3="1",SUMIF(Data!$A:$A,$A$2,Data!JC:JC),0)</f>
        <v>0</v>
      </c>
      <c r="F50" s="21" t="str">
        <f t="shared" si="3"/>
        <v/>
      </c>
    </row>
    <row r="51" spans="1:6" x14ac:dyDescent="0.2">
      <c r="A51" s="19">
        <v>16</v>
      </c>
      <c r="B51" s="143" t="s">
        <v>14</v>
      </c>
      <c r="C51" s="144"/>
      <c r="D51" s="14">
        <f>IF(F3="1",SUMIF(Data!A:A,'15'!$A$2,Data!DJ:DJ),0)</f>
        <v>0</v>
      </c>
      <c r="E51" s="17">
        <f>IF($F$3="1",SUMIF(Data!$A:$A,$A$2,Data!JD:JD),0)</f>
        <v>0</v>
      </c>
      <c r="F51" s="21" t="str">
        <f t="shared" si="3"/>
        <v/>
      </c>
    </row>
    <row r="52" spans="1:6" x14ac:dyDescent="0.2">
      <c r="A52" s="19">
        <v>17</v>
      </c>
      <c r="B52" s="143" t="s">
        <v>15</v>
      </c>
      <c r="C52" s="144"/>
      <c r="D52" s="14">
        <f>IF(F3="1",SUMIF(Data!A:A,'15'!$A$2,Data!DK:DK),0)</f>
        <v>0</v>
      </c>
      <c r="E52" s="17">
        <f>IF($F$3="1",SUMIF(Data!$A:$A,$A$2,Data!JE:JE),0)</f>
        <v>0</v>
      </c>
      <c r="F52" s="21" t="str">
        <f t="shared" si="3"/>
        <v/>
      </c>
    </row>
    <row r="53" spans="1:6" x14ac:dyDescent="0.2">
      <c r="A53" s="19">
        <v>18</v>
      </c>
      <c r="B53" s="143" t="s">
        <v>16</v>
      </c>
      <c r="C53" s="144"/>
      <c r="D53" s="14">
        <f>IF(F3="1",SUMIF(Data!A:A,'15'!$A$2,Data!DL:DL),0)</f>
        <v>0</v>
      </c>
      <c r="E53" s="17">
        <f>IF($F$3="1",SUMIF(Data!$A:$A,$A$2,Data!JF:JF),0)</f>
        <v>0</v>
      </c>
      <c r="F53" s="21" t="str">
        <f t="shared" si="3"/>
        <v/>
      </c>
    </row>
    <row r="54" spans="1:6" x14ac:dyDescent="0.2">
      <c r="A54" s="19">
        <v>19</v>
      </c>
      <c r="B54" s="143" t="s">
        <v>17</v>
      </c>
      <c r="C54" s="144"/>
      <c r="D54" s="14">
        <f>IF(F3="1",SUMIF(Data!A:A,'15'!$A$2,Data!DM:DM),0)</f>
        <v>0</v>
      </c>
      <c r="E54" s="17">
        <f>IF($F$3="1",SUMIF(Data!$A:$A,$A$2,Data!JG:JG),0)</f>
        <v>0</v>
      </c>
      <c r="F54" s="21" t="str">
        <f t="shared" si="3"/>
        <v/>
      </c>
    </row>
    <row r="55" spans="1:6" x14ac:dyDescent="0.2">
      <c r="A55" s="19">
        <v>20</v>
      </c>
      <c r="B55" s="143" t="s">
        <v>18</v>
      </c>
      <c r="C55" s="144"/>
      <c r="D55" s="14">
        <f>IF(F3="1",SUMIF(Data!A:A,'15'!$A$2,Data!DN:DN),0)</f>
        <v>0</v>
      </c>
      <c r="E55" s="17">
        <f>IF($F$3="1",SUMIF(Data!$A:$A,$A$2,Data!JH:JH),0)</f>
        <v>0</v>
      </c>
      <c r="F55" s="21" t="str">
        <f t="shared" si="3"/>
        <v/>
      </c>
    </row>
    <row r="56" spans="1:6" ht="14.25" customHeight="1" x14ac:dyDescent="0.2">
      <c r="A56" s="19">
        <v>21</v>
      </c>
      <c r="B56" s="143" t="s">
        <v>461</v>
      </c>
      <c r="C56" s="144"/>
      <c r="D56" s="14">
        <f>IF(F3="1",SUMIF(Data!A:A,'15'!$A$2,Data!DO:DO),0)</f>
        <v>0</v>
      </c>
      <c r="E56" s="17">
        <f>IF($F$3="1",SUMIF(Data!$A:$A,$A$2,Data!JI:JI),0)</f>
        <v>0</v>
      </c>
      <c r="F56" s="21" t="str">
        <f t="shared" si="3"/>
        <v/>
      </c>
    </row>
    <row r="57" spans="1:6" x14ac:dyDescent="0.2">
      <c r="A57" s="19">
        <v>22</v>
      </c>
      <c r="B57" s="143" t="s">
        <v>19</v>
      </c>
      <c r="C57" s="144"/>
      <c r="D57" s="14">
        <f>IF(F3="1",SUMIF(Data!A:A,'15'!$A$2,Data!DP:DP),0)</f>
        <v>0</v>
      </c>
      <c r="E57" s="17">
        <f>IF($F$3="1",SUMIF(Data!$A:$A,$A$2,Data!JJ:JJ),0)</f>
        <v>0</v>
      </c>
      <c r="F57" s="21" t="str">
        <f t="shared" si="3"/>
        <v/>
      </c>
    </row>
    <row r="58" spans="1:6" x14ac:dyDescent="0.2">
      <c r="A58" s="19">
        <v>23</v>
      </c>
      <c r="B58" s="143" t="s">
        <v>20</v>
      </c>
      <c r="C58" s="144"/>
      <c r="D58" s="14">
        <f>IF(F3="1",SUMIF(Data!A:A,'15'!$A$2,Data!DQ:DQ),0)</f>
        <v>0</v>
      </c>
      <c r="E58" s="17">
        <f>IF($F$3="1",SUMIF(Data!$A:$A,$A$2,Data!JK:JK),0)</f>
        <v>0</v>
      </c>
      <c r="F58" s="21" t="str">
        <f t="shared" si="3"/>
        <v/>
      </c>
    </row>
    <row r="59" spans="1:6" x14ac:dyDescent="0.2">
      <c r="A59" s="19">
        <v>24</v>
      </c>
      <c r="B59" s="143" t="s">
        <v>21</v>
      </c>
      <c r="C59" s="144"/>
      <c r="D59" s="14">
        <f>IF(F3="1",SUMIF(Data!A:A,'15'!$A$2,Data!DR:DR),0)</f>
        <v>0</v>
      </c>
      <c r="E59" s="17">
        <f>IF($F$3="1",SUMIF(Data!$A:$A,$A$2,Data!JL:JL),0)</f>
        <v>0</v>
      </c>
      <c r="F59" s="21" t="str">
        <f t="shared" si="3"/>
        <v/>
      </c>
    </row>
    <row r="60" spans="1:6" x14ac:dyDescent="0.2">
      <c r="A60" s="19">
        <v>25</v>
      </c>
      <c r="B60" s="143" t="s">
        <v>22</v>
      </c>
      <c r="C60" s="144"/>
      <c r="D60" s="14">
        <f>IF(F3="1",SUMIF(Data!A:A,'15'!$A$2,Data!DS:DS),0)</f>
        <v>0</v>
      </c>
      <c r="E60" s="17">
        <f>IF($F$3="1",SUMIF(Data!$A:$A,$A$2,Data!JM:JM),0)</f>
        <v>0</v>
      </c>
      <c r="F60" s="21" t="str">
        <f t="shared" si="3"/>
        <v/>
      </c>
    </row>
    <row r="61" spans="1:6" x14ac:dyDescent="0.2">
      <c r="A61" s="19">
        <v>26</v>
      </c>
      <c r="B61" s="143" t="s">
        <v>23</v>
      </c>
      <c r="C61" s="144"/>
      <c r="D61" s="14">
        <f>IF(F3="1",SUMIF(Data!A:A,'15'!$A$2,Data!DT:DT),0)</f>
        <v>0</v>
      </c>
      <c r="E61" s="17">
        <f>IF($F$3="1",SUMIF(Data!$A:$A,$A$2,Data!JN:JN),0)</f>
        <v>0</v>
      </c>
      <c r="F61" s="21" t="str">
        <f t="shared" si="3"/>
        <v/>
      </c>
    </row>
    <row r="62" spans="1:6" x14ac:dyDescent="0.2">
      <c r="A62" s="19">
        <v>28</v>
      </c>
      <c r="B62" s="143" t="s">
        <v>24</v>
      </c>
      <c r="C62" s="144"/>
      <c r="D62" s="14">
        <f>IF(F3="1",SUMIF(Data!A:A,'15'!$A$2,Data!DV:DV),0)</f>
        <v>0</v>
      </c>
      <c r="E62" s="17">
        <f>IF($F$3="1",SUMIF(Data!$A:$A,$A$2,Data!JP:JP),0)</f>
        <v>0</v>
      </c>
      <c r="F62" s="21" t="str">
        <f t="shared" si="3"/>
        <v/>
      </c>
    </row>
    <row r="63" spans="1:6" ht="15.75" customHeight="1" thickBot="1" x14ac:dyDescent="0.25">
      <c r="A63" s="22">
        <v>29</v>
      </c>
      <c r="B63" s="147" t="s">
        <v>25</v>
      </c>
      <c r="C63" s="148"/>
      <c r="D63" s="23">
        <f>IF(F3="1",SUMIF(Data!A:A,'15'!$A$2,Data!DW:DW),0)</f>
        <v>0</v>
      </c>
      <c r="E63" s="24">
        <f>IF($F$3="1",SUMIF(Data!$A:$A,$A$2,Data!JQ:JQ),0)</f>
        <v>0</v>
      </c>
      <c r="F63" s="25" t="str">
        <f t="shared" si="3"/>
        <v/>
      </c>
    </row>
    <row r="64" spans="1:6" x14ac:dyDescent="0.2">
      <c r="B64" s="30" t="s">
        <v>35</v>
      </c>
      <c r="C64" s="30"/>
      <c r="D64" s="59">
        <f>SUM(D36:D63)</f>
        <v>0</v>
      </c>
      <c r="E64" s="31">
        <f>SUM(E36:E63)</f>
        <v>0</v>
      </c>
      <c r="F64" s="32" t="str">
        <f t="shared" si="3"/>
        <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IF(F3="1",SUMIF(Data!A:A,'15'!$A$2,Data!DY:DY),0)</f>
        <v>0</v>
      </c>
      <c r="F67" s="20" t="str">
        <f t="shared" ref="F67:F95" si="4">IF(OR(D67=0,E67=0),"",ROUND(E67/D67,2))</f>
        <v/>
      </c>
    </row>
    <row r="68" spans="1:6" x14ac:dyDescent="0.2">
      <c r="A68" s="19">
        <v>2</v>
      </c>
      <c r="B68" s="143" t="s">
        <v>1</v>
      </c>
      <c r="C68" s="144"/>
      <c r="D68" s="14">
        <f t="shared" ref="D68:D94" si="5">D37</f>
        <v>0</v>
      </c>
      <c r="E68" s="17">
        <f>IF(F3="1",SUMIF(Data!A:A,'15'!$A$2,Data!DZ:DZ),0)</f>
        <v>0</v>
      </c>
      <c r="F68" s="21" t="str">
        <f t="shared" si="4"/>
        <v/>
      </c>
    </row>
    <row r="69" spans="1:6" ht="14.25" customHeight="1" x14ac:dyDescent="0.2">
      <c r="A69" s="19">
        <v>3</v>
      </c>
      <c r="B69" s="143" t="s">
        <v>2</v>
      </c>
      <c r="C69" s="144"/>
      <c r="D69" s="14">
        <f t="shared" si="5"/>
        <v>0</v>
      </c>
      <c r="E69" s="17">
        <f>IF(F3="1",SUMIF(Data!A:A,'15'!$A$2,Data!EA:EA),0)</f>
        <v>0</v>
      </c>
      <c r="F69" s="21" t="str">
        <f t="shared" si="4"/>
        <v/>
      </c>
    </row>
    <row r="70" spans="1:6" ht="14.25" customHeight="1" x14ac:dyDescent="0.2">
      <c r="A70" s="19">
        <v>4</v>
      </c>
      <c r="B70" s="143" t="s">
        <v>3</v>
      </c>
      <c r="C70" s="144"/>
      <c r="D70" s="14">
        <f t="shared" si="5"/>
        <v>0</v>
      </c>
      <c r="E70" s="17">
        <f>IF(F3="1",SUMIF(Data!A:A,'15'!$A$2,Data!EB:EB),0)</f>
        <v>0</v>
      </c>
      <c r="F70" s="21" t="str">
        <f t="shared" si="4"/>
        <v/>
      </c>
    </row>
    <row r="71" spans="1:6" x14ac:dyDescent="0.2">
      <c r="A71" s="19">
        <v>5</v>
      </c>
      <c r="B71" s="143" t="s">
        <v>4</v>
      </c>
      <c r="C71" s="144"/>
      <c r="D71" s="14">
        <f t="shared" si="5"/>
        <v>0</v>
      </c>
      <c r="E71" s="17">
        <f>IF(F3="1",SUMIF(Data!A:A,'15'!$A$2,Data!EC:EC),0)</f>
        <v>0</v>
      </c>
      <c r="F71" s="21" t="str">
        <f t="shared" si="4"/>
        <v/>
      </c>
    </row>
    <row r="72" spans="1:6" x14ac:dyDescent="0.2">
      <c r="A72" s="19">
        <v>6</v>
      </c>
      <c r="B72" s="143" t="s">
        <v>5</v>
      </c>
      <c r="C72" s="144"/>
      <c r="D72" s="14">
        <f t="shared" si="5"/>
        <v>0</v>
      </c>
      <c r="E72" s="17">
        <f>IF(F3="1",SUMIF(Data!A:A,'15'!$A$2,Data!ED:ED),0)</f>
        <v>0</v>
      </c>
      <c r="F72" s="21" t="str">
        <f t="shared" si="4"/>
        <v/>
      </c>
    </row>
    <row r="73" spans="1:6" x14ac:dyDescent="0.2">
      <c r="A73" s="19">
        <v>7</v>
      </c>
      <c r="B73" s="143" t="s">
        <v>6</v>
      </c>
      <c r="C73" s="144"/>
      <c r="D73" s="14">
        <f t="shared" si="5"/>
        <v>0</v>
      </c>
      <c r="E73" s="17">
        <f>IF(F3="1",SUMIF(Data!A:A,'15'!$A$2,Data!EE:EE),0)</f>
        <v>0</v>
      </c>
      <c r="F73" s="21" t="str">
        <f t="shared" si="4"/>
        <v/>
      </c>
    </row>
    <row r="74" spans="1:6" x14ac:dyDescent="0.2">
      <c r="A74" s="19">
        <v>8</v>
      </c>
      <c r="B74" s="143" t="s">
        <v>7</v>
      </c>
      <c r="C74" s="144"/>
      <c r="D74" s="14">
        <f t="shared" si="5"/>
        <v>0</v>
      </c>
      <c r="E74" s="17">
        <f>IF(F3="1",SUMIF(Data!A:A,'15'!$A$2,Data!EF:EF),0)</f>
        <v>0</v>
      </c>
      <c r="F74" s="21" t="str">
        <f t="shared" si="4"/>
        <v/>
      </c>
    </row>
    <row r="75" spans="1:6" x14ac:dyDescent="0.2">
      <c r="A75" s="19">
        <v>9</v>
      </c>
      <c r="B75" s="143" t="s">
        <v>8</v>
      </c>
      <c r="C75" s="144"/>
      <c r="D75" s="14">
        <f t="shared" si="5"/>
        <v>0</v>
      </c>
      <c r="E75" s="17">
        <f>IF(F3="1",SUMIF(Data!A:A,'15'!$A$2,Data!EG:EG),0)</f>
        <v>0</v>
      </c>
      <c r="F75" s="21" t="str">
        <f t="shared" si="4"/>
        <v/>
      </c>
    </row>
    <row r="76" spans="1:6" x14ac:dyDescent="0.2">
      <c r="A76" s="19">
        <v>10</v>
      </c>
      <c r="B76" s="143" t="s">
        <v>9</v>
      </c>
      <c r="C76" s="144"/>
      <c r="D76" s="14">
        <f t="shared" si="5"/>
        <v>0</v>
      </c>
      <c r="E76" s="17">
        <f>IF(F3="1",SUMIF(Data!A:A,'15'!$A$2,Data!EH:EH),0)</f>
        <v>0</v>
      </c>
      <c r="F76" s="21" t="str">
        <f t="shared" si="4"/>
        <v/>
      </c>
    </row>
    <row r="77" spans="1:6" x14ac:dyDescent="0.2">
      <c r="A77" s="19">
        <v>11</v>
      </c>
      <c r="B77" s="143" t="s">
        <v>10</v>
      </c>
      <c r="C77" s="144"/>
      <c r="D77" s="14">
        <f t="shared" si="5"/>
        <v>0</v>
      </c>
      <c r="E77" s="17">
        <f>IF(F3="1",SUMIF(Data!A:A,'15'!$A$2,Data!EI:EI),0)</f>
        <v>0</v>
      </c>
      <c r="F77" s="21" t="str">
        <f t="shared" si="4"/>
        <v/>
      </c>
    </row>
    <row r="78" spans="1:6" ht="14.25" customHeight="1" x14ac:dyDescent="0.2">
      <c r="A78" s="19">
        <v>12</v>
      </c>
      <c r="B78" s="143" t="s">
        <v>11</v>
      </c>
      <c r="C78" s="144"/>
      <c r="D78" s="14">
        <f t="shared" si="5"/>
        <v>0</v>
      </c>
      <c r="E78" s="17">
        <f>IF(F3="1",SUMIF(Data!A:A,'15'!$A$2,Data!EJ:EJ),0)</f>
        <v>0</v>
      </c>
      <c r="F78" s="21" t="str">
        <f t="shared" si="4"/>
        <v/>
      </c>
    </row>
    <row r="79" spans="1:6" x14ac:dyDescent="0.2">
      <c r="A79" s="19">
        <v>13</v>
      </c>
      <c r="B79" s="143" t="s">
        <v>12</v>
      </c>
      <c r="C79" s="144"/>
      <c r="D79" s="14">
        <f t="shared" si="5"/>
        <v>0</v>
      </c>
      <c r="E79" s="17">
        <f>IF(F3="1",SUMIF(Data!A:A,'15'!$A$2,Data!EK:EK),0)</f>
        <v>0</v>
      </c>
      <c r="F79" s="21" t="str">
        <f t="shared" si="4"/>
        <v/>
      </c>
    </row>
    <row r="80" spans="1:6" ht="14.25" customHeight="1" x14ac:dyDescent="0.2">
      <c r="A80" s="19">
        <v>14</v>
      </c>
      <c r="B80" s="143" t="s">
        <v>464</v>
      </c>
      <c r="C80" s="144"/>
      <c r="D80" s="14">
        <f t="shared" si="5"/>
        <v>0</v>
      </c>
      <c r="E80" s="17">
        <f>IF(F3="1",SUMIF(Data!A:A,'15'!$A$2,Data!EL:EL),0)</f>
        <v>0</v>
      </c>
      <c r="F80" s="21" t="str">
        <f t="shared" si="4"/>
        <v/>
      </c>
    </row>
    <row r="81" spans="1:6" x14ac:dyDescent="0.2">
      <c r="A81" s="19">
        <v>15</v>
      </c>
      <c r="B81" s="143" t="s">
        <v>13</v>
      </c>
      <c r="C81" s="144"/>
      <c r="D81" s="14">
        <f t="shared" si="5"/>
        <v>0</v>
      </c>
      <c r="E81" s="17">
        <f>IF(F3="1",SUMIF(Data!A:A,'15'!$A$2,Data!EM:EM),0)</f>
        <v>0</v>
      </c>
      <c r="F81" s="21" t="str">
        <f t="shared" si="4"/>
        <v/>
      </c>
    </row>
    <row r="82" spans="1:6" x14ac:dyDescent="0.2">
      <c r="A82" s="19">
        <v>16</v>
      </c>
      <c r="B82" s="143" t="s">
        <v>14</v>
      </c>
      <c r="C82" s="144"/>
      <c r="D82" s="14">
        <f t="shared" si="5"/>
        <v>0</v>
      </c>
      <c r="E82" s="17">
        <f>IF(F3="1",SUMIF(Data!A:A,'15'!$A$2,Data!EN:EN),0)</f>
        <v>0</v>
      </c>
      <c r="F82" s="21" t="str">
        <f t="shared" si="4"/>
        <v/>
      </c>
    </row>
    <row r="83" spans="1:6" x14ac:dyDescent="0.2">
      <c r="A83" s="19">
        <v>17</v>
      </c>
      <c r="B83" s="143" t="s">
        <v>15</v>
      </c>
      <c r="C83" s="144"/>
      <c r="D83" s="14">
        <f t="shared" si="5"/>
        <v>0</v>
      </c>
      <c r="E83" s="17">
        <f>IF(F3="1",SUMIF(Data!A:A,'15'!$A$2,Data!EO:EO),0)</f>
        <v>0</v>
      </c>
      <c r="F83" s="21" t="str">
        <f t="shared" si="4"/>
        <v/>
      </c>
    </row>
    <row r="84" spans="1:6" x14ac:dyDescent="0.2">
      <c r="A84" s="19">
        <v>18</v>
      </c>
      <c r="B84" s="143" t="s">
        <v>16</v>
      </c>
      <c r="C84" s="144"/>
      <c r="D84" s="14">
        <f t="shared" si="5"/>
        <v>0</v>
      </c>
      <c r="E84" s="17">
        <f>IF(F3="1",SUMIF(Data!A:A,'15'!$A$2,Data!EP:EP),0)</f>
        <v>0</v>
      </c>
      <c r="F84" s="21" t="str">
        <f t="shared" si="4"/>
        <v/>
      </c>
    </row>
    <row r="85" spans="1:6" x14ac:dyDescent="0.2">
      <c r="A85" s="19">
        <v>19</v>
      </c>
      <c r="B85" s="143" t="s">
        <v>17</v>
      </c>
      <c r="C85" s="144"/>
      <c r="D85" s="14">
        <f t="shared" si="5"/>
        <v>0</v>
      </c>
      <c r="E85" s="17">
        <f>IF(F3="1",SUMIF(Data!A:A,'15'!$A$2,Data!EQ:EQ),0)</f>
        <v>0</v>
      </c>
      <c r="F85" s="21" t="str">
        <f t="shared" si="4"/>
        <v/>
      </c>
    </row>
    <row r="86" spans="1:6" x14ac:dyDescent="0.2">
      <c r="A86" s="19">
        <v>20</v>
      </c>
      <c r="B86" s="143" t="s">
        <v>18</v>
      </c>
      <c r="C86" s="144"/>
      <c r="D86" s="14">
        <f t="shared" si="5"/>
        <v>0</v>
      </c>
      <c r="E86" s="17">
        <f>IF(F3="1",SUMIF(Data!A:A,'15'!$A$2,Data!ER:ER),0)</f>
        <v>0</v>
      </c>
      <c r="F86" s="21" t="str">
        <f t="shared" si="4"/>
        <v/>
      </c>
    </row>
    <row r="87" spans="1:6" ht="14.25" customHeight="1" x14ac:dyDescent="0.2">
      <c r="A87" s="19">
        <v>21</v>
      </c>
      <c r="B87" s="143" t="s">
        <v>461</v>
      </c>
      <c r="C87" s="144"/>
      <c r="D87" s="14">
        <f t="shared" si="5"/>
        <v>0</v>
      </c>
      <c r="E87" s="17">
        <f>IF(F3="1",SUMIF(Data!A:A,'15'!$A$2,Data!ES:ES),0)</f>
        <v>0</v>
      </c>
      <c r="F87" s="21" t="str">
        <f t="shared" si="4"/>
        <v/>
      </c>
    </row>
    <row r="88" spans="1:6" x14ac:dyDescent="0.2">
      <c r="A88" s="19">
        <v>22</v>
      </c>
      <c r="B88" s="143" t="s">
        <v>19</v>
      </c>
      <c r="C88" s="144"/>
      <c r="D88" s="14">
        <f t="shared" si="5"/>
        <v>0</v>
      </c>
      <c r="E88" s="17">
        <f>IF(F3="1",SUMIF(Data!A:A,'15'!$A$2,Data!ET:ET),0)</f>
        <v>0</v>
      </c>
      <c r="F88" s="21" t="str">
        <f t="shared" si="4"/>
        <v/>
      </c>
    </row>
    <row r="89" spans="1:6" x14ac:dyDescent="0.2">
      <c r="A89" s="19">
        <v>23</v>
      </c>
      <c r="B89" s="143" t="s">
        <v>20</v>
      </c>
      <c r="C89" s="144"/>
      <c r="D89" s="14">
        <f t="shared" si="5"/>
        <v>0</v>
      </c>
      <c r="E89" s="17">
        <f>IF(F3="1",SUMIF(Data!A:A,'15'!$A$2,Data!EU:EU),0)</f>
        <v>0</v>
      </c>
      <c r="F89" s="21" t="str">
        <f t="shared" si="4"/>
        <v/>
      </c>
    </row>
    <row r="90" spans="1:6" x14ac:dyDescent="0.2">
      <c r="A90" s="19">
        <v>24</v>
      </c>
      <c r="B90" s="143" t="s">
        <v>21</v>
      </c>
      <c r="C90" s="144"/>
      <c r="D90" s="14">
        <f t="shared" si="5"/>
        <v>0</v>
      </c>
      <c r="E90" s="17">
        <f>IF(F3="1",SUMIF(Data!A:A,'15'!$A$2,Data!EV:EV),0)</f>
        <v>0</v>
      </c>
      <c r="F90" s="21" t="str">
        <f t="shared" si="4"/>
        <v/>
      </c>
    </row>
    <row r="91" spans="1:6" x14ac:dyDescent="0.2">
      <c r="A91" s="19">
        <v>25</v>
      </c>
      <c r="B91" s="143" t="s">
        <v>22</v>
      </c>
      <c r="C91" s="144"/>
      <c r="D91" s="14">
        <f t="shared" si="5"/>
        <v>0</v>
      </c>
      <c r="E91" s="17">
        <f>IF(F3="1",SUMIF(Data!A:A,'15'!$A$2,Data!EW:EW),0)</f>
        <v>0</v>
      </c>
      <c r="F91" s="21" t="str">
        <f t="shared" si="4"/>
        <v/>
      </c>
    </row>
    <row r="92" spans="1:6" x14ac:dyDescent="0.2">
      <c r="A92" s="19">
        <v>26</v>
      </c>
      <c r="B92" s="143" t="s">
        <v>23</v>
      </c>
      <c r="C92" s="144"/>
      <c r="D92" s="14">
        <f t="shared" si="5"/>
        <v>0</v>
      </c>
      <c r="E92" s="17">
        <f>IF(F3="1",SUMIF(Data!A:A,'15'!$A$2,Data!EX:EX),0)</f>
        <v>0</v>
      </c>
      <c r="F92" s="21" t="str">
        <f t="shared" si="4"/>
        <v/>
      </c>
    </row>
    <row r="93" spans="1:6" x14ac:dyDescent="0.2">
      <c r="A93" s="19">
        <v>28</v>
      </c>
      <c r="B93" s="143" t="s">
        <v>24</v>
      </c>
      <c r="C93" s="144"/>
      <c r="D93" s="14">
        <f t="shared" si="5"/>
        <v>0</v>
      </c>
      <c r="E93" s="17">
        <f>IF(F3="1",SUMIF(Data!A:A,'15'!$A$2,Data!EZ:EZ),0)</f>
        <v>0</v>
      </c>
      <c r="F93" s="21" t="str">
        <f t="shared" si="4"/>
        <v/>
      </c>
    </row>
    <row r="94" spans="1:6" ht="15.75" customHeight="1" thickBot="1" x14ac:dyDescent="0.25">
      <c r="A94" s="22">
        <v>29</v>
      </c>
      <c r="B94" s="147" t="s">
        <v>25</v>
      </c>
      <c r="C94" s="148"/>
      <c r="D94" s="23">
        <f t="shared" si="5"/>
        <v>0</v>
      </c>
      <c r="E94" s="24">
        <f>IF(F3="1",SUMIF(Data!A:A,'15'!$A$2,Data!FA:FA),0)</f>
        <v>0</v>
      </c>
      <c r="F94" s="25" t="str">
        <f t="shared" si="4"/>
        <v/>
      </c>
    </row>
    <row r="95" spans="1:6" x14ac:dyDescent="0.2">
      <c r="B95" s="30" t="s">
        <v>35</v>
      </c>
      <c r="C95" s="30"/>
      <c r="D95" s="59">
        <f>SUM(D67:D94)</f>
        <v>0</v>
      </c>
      <c r="E95" s="31">
        <f>SUM(E67:E94)</f>
        <v>0</v>
      </c>
      <c r="F95" s="32" t="str">
        <f t="shared" si="4"/>
        <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IF(F3="1",SUMIF(Data!A:A,'15'!$A$2,Data!AH:AH),0)</f>
        <v>0</v>
      </c>
      <c r="F98" s="20" t="str">
        <f>IF(OR(E98=0,E98=0),"",ROUND(E98/$D$105,2))</f>
        <v/>
      </c>
    </row>
    <row r="99" spans="2:6" x14ac:dyDescent="0.2">
      <c r="B99" s="153" t="s">
        <v>31</v>
      </c>
      <c r="C99" s="154"/>
      <c r="D99" s="36"/>
      <c r="E99" s="17">
        <f>IF(F3="1",SUMIF(Data!A:A,'15'!$A$2,Data!AI:AI),0)</f>
        <v>0</v>
      </c>
      <c r="F99" s="21" t="str">
        <f t="shared" ref="F99:F104" si="6">IF(OR(E99=0,E99=0),"",ROUND(E99/$D$105,2))</f>
        <v/>
      </c>
    </row>
    <row r="100" spans="2:6" x14ac:dyDescent="0.2">
      <c r="B100" s="153" t="s">
        <v>1078</v>
      </c>
      <c r="C100" s="154"/>
      <c r="D100" s="36"/>
      <c r="E100" s="17">
        <f>IF(F3="1",SUMIF(Data!A:A,'15'!$A$2,Data!AJ:AJ),0)</f>
        <v>0</v>
      </c>
      <c r="F100" s="21" t="str">
        <f t="shared" si="6"/>
        <v/>
      </c>
    </row>
    <row r="101" spans="2:6" x14ac:dyDescent="0.2">
      <c r="B101" s="153" t="s">
        <v>1079</v>
      </c>
      <c r="C101" s="154"/>
      <c r="D101" s="36"/>
      <c r="E101" s="17">
        <f>IF(F3="1",SUMIF(Data!A:A,'15'!$A$2,Data!AK:AK),0)</f>
        <v>0</v>
      </c>
      <c r="F101" s="21" t="str">
        <f t="shared" si="6"/>
        <v/>
      </c>
    </row>
    <row r="102" spans="2:6" x14ac:dyDescent="0.2">
      <c r="B102" s="153" t="s">
        <v>1080</v>
      </c>
      <c r="C102" s="154"/>
      <c r="D102" s="36"/>
      <c r="E102" s="17">
        <f>IF(F3="1",SUMIF(Data!A:A,'15'!$A$2,Data!AL:AL),0)</f>
        <v>0</v>
      </c>
      <c r="F102" s="21" t="str">
        <f t="shared" si="6"/>
        <v/>
      </c>
    </row>
    <row r="103" spans="2:6" x14ac:dyDescent="0.2">
      <c r="B103" s="155" t="s">
        <v>34</v>
      </c>
      <c r="C103" s="156"/>
      <c r="D103" s="36"/>
      <c r="E103" s="17">
        <f>IF(F3="1",SUMIF(Data!A:A,'15'!$A$2,Data!AM:AM),0)</f>
        <v>0</v>
      </c>
      <c r="F103" s="21" t="str">
        <f t="shared" si="6"/>
        <v/>
      </c>
    </row>
    <row r="104" spans="2:6" ht="15.75" customHeight="1" thickBot="1" x14ac:dyDescent="0.25">
      <c r="B104" s="149" t="s">
        <v>29</v>
      </c>
      <c r="C104" s="150"/>
      <c r="D104" s="37"/>
      <c r="E104" s="24">
        <f>IF(F3="1",SUMIF(Data!A:A,'15'!$A$2,Data!Q:Q),0)</f>
        <v>0</v>
      </c>
      <c r="F104" s="25" t="str">
        <f t="shared" si="6"/>
        <v/>
      </c>
    </row>
    <row r="105" spans="2:6" x14ac:dyDescent="0.2">
      <c r="B105" s="30" t="s">
        <v>35</v>
      </c>
      <c r="C105" s="30"/>
      <c r="D105" s="34">
        <f>D95</f>
        <v>0</v>
      </c>
      <c r="E105" s="31">
        <f>SUM(E98:E104)</f>
        <v>0</v>
      </c>
      <c r="F105" s="32" t="str">
        <f>IF($D$105=0,"",ROUND(E105/$D$105,2))</f>
        <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0</v>
      </c>
      <c r="D109" s="15">
        <f>IF(F3="1",SUMIF(Data!$A:$A,$A$2,Data!HJ:HJ),0)</f>
        <v>0</v>
      </c>
      <c r="E109" s="15">
        <f>IF(F3="1",SUMIF(Data!$A:$A,$A$2,Data!IN:IN),0)</f>
        <v>0</v>
      </c>
      <c r="F109" s="47">
        <f>SUM(C109:E109)</f>
        <v>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0</v>
      </c>
      <c r="D118" s="4">
        <f>SUM(D109:D116)</f>
        <v>0</v>
      </c>
      <c r="E118" s="4">
        <f>SUM(E109:E116)</f>
        <v>0</v>
      </c>
      <c r="F118" s="4">
        <f>SUM(F109:F116)</f>
        <v>0</v>
      </c>
    </row>
    <row r="119" spans="1:6" ht="15" thickBot="1" x14ac:dyDescent="0.25"/>
    <row r="120" spans="1:6" ht="15" thickBot="1" x14ac:dyDescent="0.25">
      <c r="B120" s="55" t="s">
        <v>934</v>
      </c>
      <c r="C120" s="53"/>
      <c r="D120" s="53"/>
      <c r="E120" s="53">
        <f>IF(F3="1",SUMIF(Data!A:A,'15'!$A$2,Data!AM:AM),0)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1406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439</v>
      </c>
      <c r="B2" s="58" t="str">
        <f>VLOOKUP(A2,Data!A:G,7,0)</f>
        <v>El Paso Community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81984</v>
      </c>
      <c r="E6" s="17">
        <f t="shared" ref="E6:E32" si="1">E37+E68+IFERROR($E$105/$D$105*D6,0)</f>
        <v>725468.52254526992</v>
      </c>
      <c r="F6" s="21">
        <f t="shared" ref="F6:F33" si="2">IF(OR(D6=0,E6=0),"",ROUND(E6/D6,2))</f>
        <v>8.85</v>
      </c>
    </row>
    <row r="7" spans="1:6" ht="14.25" customHeight="1" x14ac:dyDescent="0.2">
      <c r="A7" s="19">
        <v>3</v>
      </c>
      <c r="B7" s="143" t="s">
        <v>2</v>
      </c>
      <c r="C7" s="144"/>
      <c r="D7" s="14">
        <f t="shared" si="0"/>
        <v>750496</v>
      </c>
      <c r="E7" s="17">
        <f t="shared" si="1"/>
        <v>4311298.923986814</v>
      </c>
      <c r="F7" s="21">
        <f t="shared" si="2"/>
        <v>5.74</v>
      </c>
    </row>
    <row r="8" spans="1:6" ht="14.25" customHeight="1" x14ac:dyDescent="0.2">
      <c r="A8" s="19">
        <v>4</v>
      </c>
      <c r="B8" s="143" t="s">
        <v>3</v>
      </c>
      <c r="C8" s="144"/>
      <c r="D8" s="14">
        <f t="shared" si="0"/>
        <v>370032</v>
      </c>
      <c r="E8" s="17">
        <f t="shared" si="1"/>
        <v>6481515.7694973573</v>
      </c>
      <c r="F8" s="21">
        <f t="shared" si="2"/>
        <v>17.52</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10480</v>
      </c>
      <c r="E10" s="17">
        <f t="shared" si="1"/>
        <v>133925.31621138795</v>
      </c>
      <c r="F10" s="21">
        <f t="shared" si="2"/>
        <v>12.78</v>
      </c>
    </row>
    <row r="11" spans="1:6" x14ac:dyDescent="0.2">
      <c r="A11" s="19">
        <v>7</v>
      </c>
      <c r="B11" s="143" t="s">
        <v>6</v>
      </c>
      <c r="C11" s="144"/>
      <c r="D11" s="14">
        <f t="shared" si="0"/>
        <v>450176</v>
      </c>
      <c r="E11" s="17">
        <f t="shared" si="1"/>
        <v>2914106.5953032235</v>
      </c>
      <c r="F11" s="21">
        <f t="shared" si="2"/>
        <v>6.47</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143376</v>
      </c>
      <c r="E13" s="17">
        <f t="shared" si="1"/>
        <v>1022181.552015645</v>
      </c>
      <c r="F13" s="21">
        <f t="shared" si="2"/>
        <v>7.13</v>
      </c>
    </row>
    <row r="14" spans="1:6" x14ac:dyDescent="0.2">
      <c r="A14" s="19">
        <v>10</v>
      </c>
      <c r="B14" s="143" t="s">
        <v>9</v>
      </c>
      <c r="C14" s="144"/>
      <c r="D14" s="14">
        <f t="shared" si="0"/>
        <v>3696</v>
      </c>
      <c r="E14" s="17">
        <f t="shared" si="1"/>
        <v>34577.703885237584</v>
      </c>
      <c r="F14" s="21">
        <f t="shared" si="2"/>
        <v>9.36</v>
      </c>
    </row>
    <row r="15" spans="1:6" x14ac:dyDescent="0.2">
      <c r="A15" s="19">
        <v>11</v>
      </c>
      <c r="B15" s="143" t="s">
        <v>10</v>
      </c>
      <c r="C15" s="144"/>
      <c r="D15" s="14">
        <f t="shared" si="0"/>
        <v>249320</v>
      </c>
      <c r="E15" s="17">
        <f t="shared" si="1"/>
        <v>1503921.9081892408</v>
      </c>
      <c r="F15" s="21">
        <f t="shared" si="2"/>
        <v>6.03</v>
      </c>
    </row>
    <row r="16" spans="1:6" ht="14.25" customHeight="1" x14ac:dyDescent="0.2">
      <c r="A16" s="19">
        <v>12</v>
      </c>
      <c r="B16" s="143" t="s">
        <v>11</v>
      </c>
      <c r="C16" s="144"/>
      <c r="D16" s="14">
        <f t="shared" si="0"/>
        <v>2297952</v>
      </c>
      <c r="E16" s="17">
        <f t="shared" si="1"/>
        <v>14501460.192232</v>
      </c>
      <c r="F16" s="21">
        <f t="shared" si="2"/>
        <v>6.31</v>
      </c>
    </row>
    <row r="17" spans="1:6" x14ac:dyDescent="0.2">
      <c r="A17" s="19">
        <v>13</v>
      </c>
      <c r="B17" s="143" t="s">
        <v>12</v>
      </c>
      <c r="C17" s="144"/>
      <c r="D17" s="14">
        <f t="shared" si="0"/>
        <v>96496</v>
      </c>
      <c r="E17" s="17">
        <f t="shared" si="1"/>
        <v>648181.06117691705</v>
      </c>
      <c r="F17" s="21">
        <f t="shared" si="2"/>
        <v>6.72</v>
      </c>
    </row>
    <row r="18" spans="1:6" ht="14.25" customHeight="1" x14ac:dyDescent="0.2">
      <c r="A18" s="19">
        <v>14</v>
      </c>
      <c r="B18" s="143" t="s">
        <v>464</v>
      </c>
      <c r="C18" s="144"/>
      <c r="D18" s="14">
        <f t="shared" si="0"/>
        <v>229664</v>
      </c>
      <c r="E18" s="17">
        <f t="shared" si="1"/>
        <v>2332291.5738904774</v>
      </c>
      <c r="F18" s="21">
        <f t="shared" si="2"/>
        <v>10.16</v>
      </c>
    </row>
    <row r="19" spans="1:6" x14ac:dyDescent="0.2">
      <c r="A19" s="19">
        <v>15</v>
      </c>
      <c r="B19" s="143" t="s">
        <v>13</v>
      </c>
      <c r="C19" s="144"/>
      <c r="D19" s="14">
        <f t="shared" si="0"/>
        <v>20656</v>
      </c>
      <c r="E19" s="17">
        <f t="shared" si="1"/>
        <v>366826.73470061348</v>
      </c>
      <c r="F19" s="21">
        <f t="shared" si="2"/>
        <v>17.760000000000002</v>
      </c>
    </row>
    <row r="20" spans="1:6" x14ac:dyDescent="0.2">
      <c r="A20" s="19">
        <v>16</v>
      </c>
      <c r="B20" s="143" t="s">
        <v>14</v>
      </c>
      <c r="C20" s="144"/>
      <c r="D20" s="14">
        <f t="shared" si="0"/>
        <v>211104</v>
      </c>
      <c r="E20" s="17">
        <f t="shared" si="1"/>
        <v>2228211.5024321415</v>
      </c>
      <c r="F20" s="21">
        <f t="shared" si="2"/>
        <v>10.56</v>
      </c>
    </row>
    <row r="21" spans="1:6" x14ac:dyDescent="0.2">
      <c r="A21" s="19">
        <v>17</v>
      </c>
      <c r="B21" s="143" t="s">
        <v>15</v>
      </c>
      <c r="C21" s="144"/>
      <c r="D21" s="14">
        <f t="shared" si="0"/>
        <v>35952</v>
      </c>
      <c r="E21" s="17">
        <f t="shared" si="1"/>
        <v>427862.48324731103</v>
      </c>
      <c r="F21" s="21">
        <f t="shared" si="2"/>
        <v>11.9</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1108656</v>
      </c>
      <c r="E23" s="17">
        <f t="shared" si="1"/>
        <v>6464238.3719134089</v>
      </c>
      <c r="F23" s="21">
        <f t="shared" si="2"/>
        <v>5.83</v>
      </c>
    </row>
    <row r="24" spans="1:6" x14ac:dyDescent="0.2">
      <c r="A24" s="19">
        <v>20</v>
      </c>
      <c r="B24" s="143" t="s">
        <v>18</v>
      </c>
      <c r="C24" s="144"/>
      <c r="D24" s="14">
        <f t="shared" si="0"/>
        <v>137048</v>
      </c>
      <c r="E24" s="17">
        <f t="shared" si="1"/>
        <v>948027.78627273813</v>
      </c>
      <c r="F24" s="21">
        <f t="shared" si="2"/>
        <v>6.92</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33296</v>
      </c>
      <c r="E26" s="17">
        <f t="shared" si="1"/>
        <v>318781.95577999746</v>
      </c>
      <c r="F26" s="21">
        <f t="shared" si="2"/>
        <v>9.57</v>
      </c>
    </row>
    <row r="27" spans="1:6" x14ac:dyDescent="0.2">
      <c r="A27" s="19">
        <v>23</v>
      </c>
      <c r="B27" s="143" t="s">
        <v>20</v>
      </c>
      <c r="C27" s="144"/>
      <c r="D27" s="14">
        <f t="shared" si="0"/>
        <v>154672</v>
      </c>
      <c r="E27" s="17">
        <f t="shared" si="1"/>
        <v>1126931.6989549424</v>
      </c>
      <c r="F27" s="21">
        <f t="shared" si="2"/>
        <v>7.29</v>
      </c>
    </row>
    <row r="28" spans="1:6" x14ac:dyDescent="0.2">
      <c r="A28" s="19">
        <v>24</v>
      </c>
      <c r="B28" s="143" t="s">
        <v>21</v>
      </c>
      <c r="C28" s="144"/>
      <c r="D28" s="14">
        <f t="shared" si="0"/>
        <v>90080</v>
      </c>
      <c r="E28" s="17">
        <f t="shared" si="1"/>
        <v>617485.5881986476</v>
      </c>
      <c r="F28" s="21">
        <f t="shared" si="2"/>
        <v>6.85</v>
      </c>
    </row>
    <row r="29" spans="1:6" x14ac:dyDescent="0.2">
      <c r="A29" s="19">
        <v>25</v>
      </c>
      <c r="B29" s="143" t="s">
        <v>22</v>
      </c>
      <c r="C29" s="144"/>
      <c r="D29" s="14">
        <f t="shared" si="0"/>
        <v>1097520</v>
      </c>
      <c r="E29" s="17">
        <f t="shared" si="1"/>
        <v>6613843.3290384067</v>
      </c>
      <c r="F29" s="21">
        <f t="shared" si="2"/>
        <v>6.03</v>
      </c>
    </row>
    <row r="30" spans="1:6" x14ac:dyDescent="0.2">
      <c r="A30" s="19">
        <v>26</v>
      </c>
      <c r="B30" s="143" t="s">
        <v>23</v>
      </c>
      <c r="C30" s="144"/>
      <c r="D30" s="14">
        <f t="shared" si="0"/>
        <v>183472</v>
      </c>
      <c r="E30" s="17">
        <f t="shared" si="1"/>
        <v>1290379.4305282224</v>
      </c>
      <c r="F30" s="21">
        <f t="shared" si="2"/>
        <v>7.03</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7756128</v>
      </c>
      <c r="E33" s="31">
        <f>SUM(E5:E32)</f>
        <v>55011518.000000007</v>
      </c>
      <c r="F33" s="32">
        <f t="shared" si="2"/>
        <v>7.09</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IF(F3="1",SUMIF(Data!A:A,'16'!$A$2,Data!CU:CU),0)</f>
        <v>0</v>
      </c>
      <c r="E36" s="15">
        <f>IF(F3="1",SUMIF(Data!$A:$A,$A$2,Data!IO:IO),0)</f>
        <v>0</v>
      </c>
      <c r="F36" s="20" t="str">
        <f t="shared" ref="F36:F64" si="3">IF(OR(D36=0,E36=0),"",ROUND(E36/D36,2))</f>
        <v/>
      </c>
    </row>
    <row r="37" spans="1:6" x14ac:dyDescent="0.2">
      <c r="A37" s="19">
        <v>2</v>
      </c>
      <c r="B37" s="143" t="s">
        <v>1</v>
      </c>
      <c r="C37" s="144"/>
      <c r="D37" s="14">
        <f>IF(F3="1",SUMIF(Data!A:A,'16'!$A$2,Data!CV:CV),0)</f>
        <v>81984</v>
      </c>
      <c r="E37" s="17">
        <f>IF(F3="1",SUMIF(Data!$A:$A,$A$2,Data!IP:IP),0)</f>
        <v>139320</v>
      </c>
      <c r="F37" s="21">
        <f t="shared" si="3"/>
        <v>1.7</v>
      </c>
    </row>
    <row r="38" spans="1:6" ht="14.25" customHeight="1" x14ac:dyDescent="0.2">
      <c r="A38" s="19">
        <v>3</v>
      </c>
      <c r="B38" s="143" t="s">
        <v>2</v>
      </c>
      <c r="C38" s="144"/>
      <c r="D38" s="14">
        <f>IF(F3="1",SUMIF(Data!A:A,'16'!$A$2,Data!CW:CW),0)</f>
        <v>750496</v>
      </c>
      <c r="E38" s="17">
        <f>IF($F$3="1",SUMIF(Data!$A:$A,$A$2,Data!IQ:IQ),0)</f>
        <v>260985</v>
      </c>
      <c r="F38" s="21">
        <f t="shared" si="3"/>
        <v>0.35</v>
      </c>
    </row>
    <row r="39" spans="1:6" ht="14.25" customHeight="1" x14ac:dyDescent="0.2">
      <c r="A39" s="19">
        <v>4</v>
      </c>
      <c r="B39" s="143" t="s">
        <v>3</v>
      </c>
      <c r="C39" s="144"/>
      <c r="D39" s="14">
        <f>IF(F3="1",SUMIF(Data!A:A,'16'!$A$2,Data!CX:CX),0)</f>
        <v>370032</v>
      </c>
      <c r="E39" s="17">
        <f>IF($F$3="1",SUMIF(Data!$A:$A,$A$2,Data!IR:IR),0)</f>
        <v>2267538</v>
      </c>
      <c r="F39" s="21">
        <f t="shared" si="3"/>
        <v>6.13</v>
      </c>
    </row>
    <row r="40" spans="1:6" x14ac:dyDescent="0.2">
      <c r="A40" s="19">
        <v>5</v>
      </c>
      <c r="B40" s="143" t="s">
        <v>4</v>
      </c>
      <c r="C40" s="144"/>
      <c r="D40" s="14">
        <f>IF(F3="1",SUMIF(Data!A:A,'16'!$A$2,Data!CY:CY),0)</f>
        <v>0</v>
      </c>
      <c r="E40" s="17">
        <f>IF($F$3="1",SUMIF(Data!$A:$A,$A$2,Data!IS:IS),0)</f>
        <v>0</v>
      </c>
      <c r="F40" s="21" t="str">
        <f t="shared" si="3"/>
        <v/>
      </c>
    </row>
    <row r="41" spans="1:6" x14ac:dyDescent="0.2">
      <c r="A41" s="19">
        <v>6</v>
      </c>
      <c r="B41" s="143" t="s">
        <v>5</v>
      </c>
      <c r="C41" s="144"/>
      <c r="D41" s="14">
        <f>IF(F3="1",SUMIF(Data!A:A,'16'!$A$2,Data!CZ:CZ),0)</f>
        <v>10480</v>
      </c>
      <c r="E41" s="17">
        <f>IF($F$3="1",SUMIF(Data!$A:$A,$A$2,Data!IT:IT),0)</f>
        <v>4804</v>
      </c>
      <c r="F41" s="21">
        <f t="shared" si="3"/>
        <v>0.46</v>
      </c>
    </row>
    <row r="42" spans="1:6" x14ac:dyDescent="0.2">
      <c r="A42" s="19">
        <v>7</v>
      </c>
      <c r="B42" s="143" t="s">
        <v>6</v>
      </c>
      <c r="C42" s="144"/>
      <c r="D42" s="14">
        <f>IF(F3="1",SUMIF(Data!A:A,'16'!$A$2,Data!DA:DA),0)</f>
        <v>450176</v>
      </c>
      <c r="E42" s="17">
        <f>IF($F$3="1",SUMIF(Data!$A:$A,$A$2,Data!IU:IU),0)</f>
        <v>337415</v>
      </c>
      <c r="F42" s="21">
        <f t="shared" si="3"/>
        <v>0.75</v>
      </c>
    </row>
    <row r="43" spans="1:6" x14ac:dyDescent="0.2">
      <c r="A43" s="19">
        <v>8</v>
      </c>
      <c r="B43" s="143" t="s">
        <v>7</v>
      </c>
      <c r="C43" s="144"/>
      <c r="D43" s="14">
        <f>IF(F3="1",SUMIF(Data!A:A,'16'!$A$2,Data!DB:DB),0)</f>
        <v>0</v>
      </c>
      <c r="E43" s="17">
        <f>IF($F$3="1",SUMIF(Data!$A:$A,$A$2,Data!IV:IV),0)</f>
        <v>0</v>
      </c>
      <c r="F43" s="21" t="str">
        <f t="shared" si="3"/>
        <v/>
      </c>
    </row>
    <row r="44" spans="1:6" x14ac:dyDescent="0.2">
      <c r="A44" s="19">
        <v>9</v>
      </c>
      <c r="B44" s="143" t="s">
        <v>8</v>
      </c>
      <c r="C44" s="144"/>
      <c r="D44" s="14">
        <f>IF(F3="1",SUMIF(Data!A:A,'16'!$A$2,Data!DC:DC),0)</f>
        <v>143376</v>
      </c>
      <c r="E44" s="17">
        <f>IF($F$3="1",SUMIF(Data!$A:$A,$A$2,Data!IW:IW),0)</f>
        <v>25842</v>
      </c>
      <c r="F44" s="21">
        <f t="shared" si="3"/>
        <v>0.18</v>
      </c>
    </row>
    <row r="45" spans="1:6" x14ac:dyDescent="0.2">
      <c r="A45" s="19">
        <v>10</v>
      </c>
      <c r="B45" s="143" t="s">
        <v>9</v>
      </c>
      <c r="C45" s="144"/>
      <c r="D45" s="14">
        <f>IF(F3="1",SUMIF(Data!A:A,'16'!$A$2,Data!DD:DD),0)</f>
        <v>3696</v>
      </c>
      <c r="E45" s="17">
        <f>IF($F$3="1",SUMIF(Data!$A:$A,$A$2,Data!IX:IX),0)</f>
        <v>1547</v>
      </c>
      <c r="F45" s="21">
        <f t="shared" si="3"/>
        <v>0.42</v>
      </c>
    </row>
    <row r="46" spans="1:6" x14ac:dyDescent="0.2">
      <c r="A46" s="19">
        <v>11</v>
      </c>
      <c r="B46" s="143" t="s">
        <v>10</v>
      </c>
      <c r="C46" s="144"/>
      <c r="D46" s="14">
        <f>IF(F3="1",SUMIF(Data!A:A,'16'!$A$2,Data!DE:DE),0)</f>
        <v>249320</v>
      </c>
      <c r="E46" s="17">
        <f>IF($F$3="1",SUMIF(Data!$A:$A,$A$2,Data!IY:IY),0)</f>
        <v>223707</v>
      </c>
      <c r="F46" s="21">
        <f t="shared" si="3"/>
        <v>0.9</v>
      </c>
    </row>
    <row r="47" spans="1:6" ht="14.25" customHeight="1" x14ac:dyDescent="0.2">
      <c r="A47" s="19">
        <v>12</v>
      </c>
      <c r="B47" s="143" t="s">
        <v>11</v>
      </c>
      <c r="C47" s="144"/>
      <c r="D47" s="14">
        <f>IF(F3="1",SUMIF(Data!A:A,'16'!$A$2,Data!DF:DF),0)</f>
        <v>2297952</v>
      </c>
      <c r="E47" s="17">
        <f>IF($F$3="1",SUMIF(Data!$A:$A,$A$2,Data!IZ:IZ),0)</f>
        <v>924422</v>
      </c>
      <c r="F47" s="21">
        <f t="shared" si="3"/>
        <v>0.4</v>
      </c>
    </row>
    <row r="48" spans="1:6" x14ac:dyDescent="0.2">
      <c r="A48" s="19">
        <v>13</v>
      </c>
      <c r="B48" s="143" t="s">
        <v>12</v>
      </c>
      <c r="C48" s="144"/>
      <c r="D48" s="14">
        <f>IF(F3="1",SUMIF(Data!A:A,'16'!$A$2,Data!DG:DG),0)</f>
        <v>96496</v>
      </c>
      <c r="E48" s="17">
        <f>IF($F$3="1",SUMIF(Data!$A:$A,$A$2,Data!JA:JA),0)</f>
        <v>19896</v>
      </c>
      <c r="F48" s="21">
        <f t="shared" si="3"/>
        <v>0.21</v>
      </c>
    </row>
    <row r="49" spans="1:6" ht="14.25" customHeight="1" x14ac:dyDescent="0.2">
      <c r="A49" s="19">
        <v>14</v>
      </c>
      <c r="B49" s="143" t="s">
        <v>464</v>
      </c>
      <c r="C49" s="144"/>
      <c r="D49" s="14">
        <f>IF(F3="1",SUMIF(Data!A:A,'16'!$A$2,Data!DH:DH),0)</f>
        <v>229664</v>
      </c>
      <c r="E49" s="17">
        <f>IF($F$3="1",SUMIF(Data!$A:$A,$A$2,Data!JB:JB),0)</f>
        <v>174881</v>
      </c>
      <c r="F49" s="21">
        <f t="shared" si="3"/>
        <v>0.76</v>
      </c>
    </row>
    <row r="50" spans="1:6" x14ac:dyDescent="0.2">
      <c r="A50" s="19">
        <v>15</v>
      </c>
      <c r="B50" s="143" t="s">
        <v>13</v>
      </c>
      <c r="C50" s="144"/>
      <c r="D50" s="14">
        <f>IF(F3="1",SUMIF(Data!A:A,'16'!$A$2,Data!DI:DI),0)</f>
        <v>20656</v>
      </c>
      <c r="E50" s="17">
        <f>IF($F$3="1",SUMIF(Data!$A:$A,$A$2,Data!JC:JC),0)</f>
        <v>31422</v>
      </c>
      <c r="F50" s="21">
        <f t="shared" si="3"/>
        <v>1.52</v>
      </c>
    </row>
    <row r="51" spans="1:6" x14ac:dyDescent="0.2">
      <c r="A51" s="19">
        <v>16</v>
      </c>
      <c r="B51" s="143" t="s">
        <v>14</v>
      </c>
      <c r="C51" s="144"/>
      <c r="D51" s="14">
        <f>IF(F3="1",SUMIF(Data!A:A,'16'!$A$2,Data!DJ:DJ),0)</f>
        <v>211104</v>
      </c>
      <c r="E51" s="17">
        <f>IF($F$3="1",SUMIF(Data!$A:$A,$A$2,Data!JD:JD),0)</f>
        <v>180604</v>
      </c>
      <c r="F51" s="21">
        <f t="shared" si="3"/>
        <v>0.86</v>
      </c>
    </row>
    <row r="52" spans="1:6" x14ac:dyDescent="0.2">
      <c r="A52" s="19">
        <v>17</v>
      </c>
      <c r="B52" s="143" t="s">
        <v>15</v>
      </c>
      <c r="C52" s="144"/>
      <c r="D52" s="14">
        <f>IF(F3="1",SUMIF(Data!A:A,'16'!$A$2,Data!DK:DK),0)</f>
        <v>35952</v>
      </c>
      <c r="E52" s="17">
        <f>IF($F$3="1",SUMIF(Data!$A:$A,$A$2,Data!JE:JE),0)</f>
        <v>8540</v>
      </c>
      <c r="F52" s="21">
        <f t="shared" si="3"/>
        <v>0.24</v>
      </c>
    </row>
    <row r="53" spans="1:6" x14ac:dyDescent="0.2">
      <c r="A53" s="19">
        <v>18</v>
      </c>
      <c r="B53" s="143" t="s">
        <v>16</v>
      </c>
      <c r="C53" s="144"/>
      <c r="D53" s="14">
        <f>IF(F3="1",SUMIF(Data!A:A,'16'!$A$2,Data!DL:DL),0)</f>
        <v>0</v>
      </c>
      <c r="E53" s="17">
        <f>IF($F$3="1",SUMIF(Data!$A:$A,$A$2,Data!JF:JF),0)</f>
        <v>0</v>
      </c>
      <c r="F53" s="21" t="str">
        <f t="shared" si="3"/>
        <v/>
      </c>
    </row>
    <row r="54" spans="1:6" x14ac:dyDescent="0.2">
      <c r="A54" s="19">
        <v>19</v>
      </c>
      <c r="B54" s="143" t="s">
        <v>17</v>
      </c>
      <c r="C54" s="144"/>
      <c r="D54" s="14">
        <f>IF(F3="1",SUMIF(Data!A:A,'16'!$A$2,Data!DM:DM),0)</f>
        <v>1108656</v>
      </c>
      <c r="E54" s="17">
        <f>IF($F$3="1",SUMIF(Data!$A:$A,$A$2,Data!JG:JG),0)</f>
        <v>271600</v>
      </c>
      <c r="F54" s="21">
        <f t="shared" si="3"/>
        <v>0.24</v>
      </c>
    </row>
    <row r="55" spans="1:6" x14ac:dyDescent="0.2">
      <c r="A55" s="19">
        <v>20</v>
      </c>
      <c r="B55" s="143" t="s">
        <v>18</v>
      </c>
      <c r="C55" s="144"/>
      <c r="D55" s="14">
        <f>IF(F3="1",SUMIF(Data!A:A,'16'!$A$2,Data!DN:DN),0)</f>
        <v>137048</v>
      </c>
      <c r="E55" s="17">
        <f>IF($F$3="1",SUMIF(Data!$A:$A,$A$2,Data!JH:JH),0)</f>
        <v>92292</v>
      </c>
      <c r="F55" s="21">
        <f t="shared" si="3"/>
        <v>0.67</v>
      </c>
    </row>
    <row r="56" spans="1:6" ht="14.25" customHeight="1" x14ac:dyDescent="0.2">
      <c r="A56" s="19">
        <v>21</v>
      </c>
      <c r="B56" s="143" t="s">
        <v>461</v>
      </c>
      <c r="C56" s="144"/>
      <c r="D56" s="14">
        <f>IF(F3="1",SUMIF(Data!A:A,'16'!$A$2,Data!DO:DO),0)</f>
        <v>0</v>
      </c>
      <c r="E56" s="17">
        <f>IF($F$3="1",SUMIF(Data!$A:$A,$A$2,Data!JI:JI),0)</f>
        <v>0</v>
      </c>
      <c r="F56" s="21" t="str">
        <f t="shared" si="3"/>
        <v/>
      </c>
    </row>
    <row r="57" spans="1:6" x14ac:dyDescent="0.2">
      <c r="A57" s="19">
        <v>22</v>
      </c>
      <c r="B57" s="143" t="s">
        <v>19</v>
      </c>
      <c r="C57" s="144"/>
      <c r="D57" s="14">
        <f>IF(F3="1",SUMIF(Data!A:A,'16'!$A$2,Data!DP:DP),0)</f>
        <v>33296</v>
      </c>
      <c r="E57" s="17">
        <f>IF($F$3="1",SUMIF(Data!$A:$A,$A$2,Data!JJ:JJ),0)</f>
        <v>31567</v>
      </c>
      <c r="F57" s="21">
        <f t="shared" si="3"/>
        <v>0.95</v>
      </c>
    </row>
    <row r="58" spans="1:6" x14ac:dyDescent="0.2">
      <c r="A58" s="19">
        <v>23</v>
      </c>
      <c r="B58" s="143" t="s">
        <v>20</v>
      </c>
      <c r="C58" s="144"/>
      <c r="D58" s="14">
        <f>IF(F3="1",SUMIF(Data!A:A,'16'!$A$2,Data!DQ:DQ),0)</f>
        <v>154672</v>
      </c>
      <c r="E58" s="17">
        <f>IF($F$3="1",SUMIF(Data!$A:$A,$A$2,Data!JK:JK),0)</f>
        <v>154119</v>
      </c>
      <c r="F58" s="21">
        <f t="shared" si="3"/>
        <v>1</v>
      </c>
    </row>
    <row r="59" spans="1:6" x14ac:dyDescent="0.2">
      <c r="A59" s="19">
        <v>24</v>
      </c>
      <c r="B59" s="143" t="s">
        <v>21</v>
      </c>
      <c r="C59" s="144"/>
      <c r="D59" s="14">
        <f>IF(F3="1",SUMIF(Data!A:A,'16'!$A$2,Data!DR:DR),0)</f>
        <v>90080</v>
      </c>
      <c r="E59" s="17">
        <f>IF($F$3="1",SUMIF(Data!$A:$A,$A$2,Data!JL:JL),0)</f>
        <v>5796</v>
      </c>
      <c r="F59" s="21">
        <f t="shared" si="3"/>
        <v>0.06</v>
      </c>
    </row>
    <row r="60" spans="1:6" x14ac:dyDescent="0.2">
      <c r="A60" s="19">
        <v>25</v>
      </c>
      <c r="B60" s="143" t="s">
        <v>22</v>
      </c>
      <c r="C60" s="144"/>
      <c r="D60" s="14">
        <f>IF(F3="1",SUMIF(Data!A:A,'16'!$A$2,Data!DS:DS),0)</f>
        <v>1097520</v>
      </c>
      <c r="E60" s="17">
        <f>IF($F$3="1",SUMIF(Data!$A:$A,$A$2,Data!JM:JM),0)</f>
        <v>176244</v>
      </c>
      <c r="F60" s="21">
        <f t="shared" si="3"/>
        <v>0.16</v>
      </c>
    </row>
    <row r="61" spans="1:6" x14ac:dyDescent="0.2">
      <c r="A61" s="19">
        <v>26</v>
      </c>
      <c r="B61" s="143" t="s">
        <v>23</v>
      </c>
      <c r="C61" s="144"/>
      <c r="D61" s="14">
        <f>IF(F3="1",SUMIF(Data!A:A,'16'!$A$2,Data!DT:DT),0)</f>
        <v>183472</v>
      </c>
      <c r="E61" s="17">
        <f>IF($F$3="1",SUMIF(Data!$A:$A,$A$2,Data!JN:JN),0)</f>
        <v>51871</v>
      </c>
      <c r="F61" s="21">
        <f t="shared" si="3"/>
        <v>0.28000000000000003</v>
      </c>
    </row>
    <row r="62" spans="1:6" x14ac:dyDescent="0.2">
      <c r="A62" s="19">
        <v>28</v>
      </c>
      <c r="B62" s="143" t="s">
        <v>24</v>
      </c>
      <c r="C62" s="144"/>
      <c r="D62" s="14">
        <f>IF(F3="1",SUMIF(Data!A:A,'16'!$A$2,Data!DV:DV),0)</f>
        <v>0</v>
      </c>
      <c r="E62" s="17">
        <f>IF($F$3="1",SUMIF(Data!$A:$A,$A$2,Data!JP:JP),0)</f>
        <v>0</v>
      </c>
      <c r="F62" s="21" t="str">
        <f t="shared" si="3"/>
        <v/>
      </c>
    </row>
    <row r="63" spans="1:6" ht="15.75" customHeight="1" thickBot="1" x14ac:dyDescent="0.25">
      <c r="A63" s="22">
        <v>29</v>
      </c>
      <c r="B63" s="147" t="s">
        <v>25</v>
      </c>
      <c r="C63" s="148"/>
      <c r="D63" s="23">
        <f>IF(F3="1",SUMIF(Data!A:A,'16'!$A$2,Data!DW:DW),0)</f>
        <v>0</v>
      </c>
      <c r="E63" s="24">
        <f>IF($F$3="1",SUMIF(Data!$A:$A,$A$2,Data!JQ:JQ),0)</f>
        <v>0</v>
      </c>
      <c r="F63" s="25" t="str">
        <f t="shared" si="3"/>
        <v/>
      </c>
    </row>
    <row r="64" spans="1:6" x14ac:dyDescent="0.2">
      <c r="B64" s="30" t="s">
        <v>35</v>
      </c>
      <c r="C64" s="30"/>
      <c r="D64" s="59">
        <f>SUM(D36:D63)</f>
        <v>7756128</v>
      </c>
      <c r="E64" s="31">
        <f>SUM(E36:E63)</f>
        <v>5384412</v>
      </c>
      <c r="F64" s="32">
        <f t="shared" si="3"/>
        <v>0.69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IF(F3="1",SUMIF(Data!A:A,'16'!$A$2,Data!DY:DY),0)</f>
        <v>0</v>
      </c>
      <c r="F67" s="20" t="str">
        <f t="shared" ref="F67:F95" si="4">IF(OR(D67=0,E67=0),"",ROUND(E67/D67,2))</f>
        <v/>
      </c>
    </row>
    <row r="68" spans="1:6" x14ac:dyDescent="0.2">
      <c r="A68" s="19">
        <v>2</v>
      </c>
      <c r="B68" s="143" t="s">
        <v>1</v>
      </c>
      <c r="C68" s="144"/>
      <c r="D68" s="14">
        <f t="shared" ref="D68:D94" si="5">D37</f>
        <v>81984</v>
      </c>
      <c r="E68" s="17">
        <f>IF(F3="1",SUMIF(Data!A:A,'16'!$A$2,Data!DZ:DZ),0)</f>
        <v>287366</v>
      </c>
      <c r="F68" s="21">
        <f t="shared" si="4"/>
        <v>3.51</v>
      </c>
    </row>
    <row r="69" spans="1:6" ht="14.25" customHeight="1" x14ac:dyDescent="0.2">
      <c r="A69" s="19">
        <v>3</v>
      </c>
      <c r="B69" s="143" t="s">
        <v>2</v>
      </c>
      <c r="C69" s="144"/>
      <c r="D69" s="14">
        <f t="shared" si="5"/>
        <v>750496</v>
      </c>
      <c r="E69" s="17">
        <f>IF(F3="1",SUMIF(Data!A:A,'16'!$A$2,Data!EA:EA),0)</f>
        <v>1315206</v>
      </c>
      <c r="F69" s="21">
        <f t="shared" si="4"/>
        <v>1.75</v>
      </c>
    </row>
    <row r="70" spans="1:6" ht="14.25" customHeight="1" x14ac:dyDescent="0.2">
      <c r="A70" s="19">
        <v>4</v>
      </c>
      <c r="B70" s="143" t="s">
        <v>3</v>
      </c>
      <c r="C70" s="144"/>
      <c r="D70" s="14">
        <f t="shared" si="5"/>
        <v>370032</v>
      </c>
      <c r="E70" s="17">
        <f>IF(F3="1",SUMIF(Data!A:A,'16'!$A$2,Data!EB:EB),0)</f>
        <v>2865433</v>
      </c>
      <c r="F70" s="21">
        <f t="shared" si="4"/>
        <v>7.74</v>
      </c>
    </row>
    <row r="71" spans="1:6" x14ac:dyDescent="0.2">
      <c r="A71" s="19">
        <v>5</v>
      </c>
      <c r="B71" s="143" t="s">
        <v>4</v>
      </c>
      <c r="C71" s="144"/>
      <c r="D71" s="14">
        <f t="shared" si="5"/>
        <v>0</v>
      </c>
      <c r="E71" s="17">
        <f>IF(F3="1",SUMIF(Data!A:A,'16'!$A$2,Data!EC:EC),0)</f>
        <v>0</v>
      </c>
      <c r="F71" s="21" t="str">
        <f t="shared" si="4"/>
        <v/>
      </c>
    </row>
    <row r="72" spans="1:6" x14ac:dyDescent="0.2">
      <c r="A72" s="19">
        <v>6</v>
      </c>
      <c r="B72" s="143" t="s">
        <v>5</v>
      </c>
      <c r="C72" s="144"/>
      <c r="D72" s="14">
        <f t="shared" si="5"/>
        <v>10480</v>
      </c>
      <c r="E72" s="17">
        <f>IF(F3="1",SUMIF(Data!A:A,'16'!$A$2,Data!ED:ED),0)</f>
        <v>90928</v>
      </c>
      <c r="F72" s="21">
        <f t="shared" si="4"/>
        <v>8.68</v>
      </c>
    </row>
    <row r="73" spans="1:6" x14ac:dyDescent="0.2">
      <c r="A73" s="19">
        <v>7</v>
      </c>
      <c r="B73" s="143" t="s">
        <v>6</v>
      </c>
      <c r="C73" s="144"/>
      <c r="D73" s="14">
        <f t="shared" si="5"/>
        <v>450176</v>
      </c>
      <c r="E73" s="17">
        <f>IF(F3="1",SUMIF(Data!A:A,'16'!$A$2,Data!EE:EE),0)</f>
        <v>936070</v>
      </c>
      <c r="F73" s="21">
        <f t="shared" si="4"/>
        <v>2.08</v>
      </c>
    </row>
    <row r="74" spans="1:6" x14ac:dyDescent="0.2">
      <c r="A74" s="19">
        <v>8</v>
      </c>
      <c r="B74" s="143" t="s">
        <v>7</v>
      </c>
      <c r="C74" s="144"/>
      <c r="D74" s="14">
        <f t="shared" si="5"/>
        <v>0</v>
      </c>
      <c r="E74" s="17">
        <f>IF(F3="1",SUMIF(Data!A:A,'16'!$A$2,Data!EF:EF),0)</f>
        <v>0</v>
      </c>
      <c r="F74" s="21" t="str">
        <f t="shared" si="4"/>
        <v/>
      </c>
    </row>
    <row r="75" spans="1:6" x14ac:dyDescent="0.2">
      <c r="A75" s="19">
        <v>9</v>
      </c>
      <c r="B75" s="143" t="s">
        <v>8</v>
      </c>
      <c r="C75" s="144"/>
      <c r="D75" s="14">
        <f t="shared" si="5"/>
        <v>143376</v>
      </c>
      <c r="E75" s="17">
        <f>IF(F3="1",SUMIF(Data!A:A,'16'!$A$2,Data!EG:EG),0)</f>
        <v>473820</v>
      </c>
      <c r="F75" s="21">
        <f t="shared" si="4"/>
        <v>3.3</v>
      </c>
    </row>
    <row r="76" spans="1:6" x14ac:dyDescent="0.2">
      <c r="A76" s="19">
        <v>10</v>
      </c>
      <c r="B76" s="143" t="s">
        <v>9</v>
      </c>
      <c r="C76" s="144"/>
      <c r="D76" s="14">
        <f t="shared" si="5"/>
        <v>3696</v>
      </c>
      <c r="E76" s="17">
        <f>IF(F3="1",SUMIF(Data!A:A,'16'!$A$2,Data!EH:EH),0)</f>
        <v>19561</v>
      </c>
      <c r="F76" s="21">
        <f t="shared" si="4"/>
        <v>5.29</v>
      </c>
    </row>
    <row r="77" spans="1:6" x14ac:dyDescent="0.2">
      <c r="A77" s="19">
        <v>11</v>
      </c>
      <c r="B77" s="143" t="s">
        <v>10</v>
      </c>
      <c r="C77" s="144"/>
      <c r="D77" s="14">
        <f t="shared" si="5"/>
        <v>249320</v>
      </c>
      <c r="E77" s="17">
        <f>IF(F3="1",SUMIF(Data!A:A,'16'!$A$2,Data!EI:EI),0)</f>
        <v>371593</v>
      </c>
      <c r="F77" s="21">
        <f t="shared" si="4"/>
        <v>1.49</v>
      </c>
    </row>
    <row r="78" spans="1:6" ht="14.25" customHeight="1" x14ac:dyDescent="0.2">
      <c r="A78" s="19">
        <v>12</v>
      </c>
      <c r="B78" s="143" t="s">
        <v>11</v>
      </c>
      <c r="C78" s="144"/>
      <c r="D78" s="14">
        <f t="shared" si="5"/>
        <v>2297952</v>
      </c>
      <c r="E78" s="17">
        <f>IF(F3="1",SUMIF(Data!A:A,'16'!$A$2,Data!EJ:EJ),0)</f>
        <v>5202381</v>
      </c>
      <c r="F78" s="21">
        <f t="shared" si="4"/>
        <v>2.2599999999999998</v>
      </c>
    </row>
    <row r="79" spans="1:6" x14ac:dyDescent="0.2">
      <c r="A79" s="19">
        <v>13</v>
      </c>
      <c r="B79" s="143" t="s">
        <v>12</v>
      </c>
      <c r="C79" s="144"/>
      <c r="D79" s="14">
        <f t="shared" si="5"/>
        <v>96496</v>
      </c>
      <c r="E79" s="17">
        <f>IF(F3="1",SUMIF(Data!A:A,'16'!$A$2,Data!EK:EK),0)</f>
        <v>276615</v>
      </c>
      <c r="F79" s="21">
        <f t="shared" si="4"/>
        <v>2.87</v>
      </c>
    </row>
    <row r="80" spans="1:6" ht="14.25" customHeight="1" x14ac:dyDescent="0.2">
      <c r="A80" s="19">
        <v>14</v>
      </c>
      <c r="B80" s="143" t="s">
        <v>464</v>
      </c>
      <c r="C80" s="144"/>
      <c r="D80" s="14">
        <f t="shared" si="5"/>
        <v>229664</v>
      </c>
      <c r="E80" s="17">
        <f>IF(F3="1",SUMIF(Data!A:A,'16'!$A$2,Data!EL:EL),0)</f>
        <v>1320423</v>
      </c>
      <c r="F80" s="21">
        <f t="shared" si="4"/>
        <v>5.75</v>
      </c>
    </row>
    <row r="81" spans="1:6" x14ac:dyDescent="0.2">
      <c r="A81" s="19">
        <v>15</v>
      </c>
      <c r="B81" s="143" t="s">
        <v>13</v>
      </c>
      <c r="C81" s="144"/>
      <c r="D81" s="14">
        <f t="shared" si="5"/>
        <v>20656</v>
      </c>
      <c r="E81" s="17">
        <f>IF(F3="1",SUMIF(Data!A:A,'16'!$A$2,Data!EM:EM),0)</f>
        <v>260126</v>
      </c>
      <c r="F81" s="21">
        <f t="shared" si="4"/>
        <v>12.59</v>
      </c>
    </row>
    <row r="82" spans="1:6" x14ac:dyDescent="0.2">
      <c r="A82" s="19">
        <v>16</v>
      </c>
      <c r="B82" s="143" t="s">
        <v>14</v>
      </c>
      <c r="C82" s="144"/>
      <c r="D82" s="14">
        <f t="shared" si="5"/>
        <v>211104</v>
      </c>
      <c r="E82" s="17">
        <f>IF(F3="1",SUMIF(Data!A:A,'16'!$A$2,Data!EN:EN),0)</f>
        <v>1278260</v>
      </c>
      <c r="F82" s="21">
        <f t="shared" si="4"/>
        <v>6.06</v>
      </c>
    </row>
    <row r="83" spans="1:6" x14ac:dyDescent="0.2">
      <c r="A83" s="19">
        <v>17</v>
      </c>
      <c r="B83" s="143" t="s">
        <v>15</v>
      </c>
      <c r="C83" s="144"/>
      <c r="D83" s="14">
        <f t="shared" si="5"/>
        <v>35952</v>
      </c>
      <c r="E83" s="17">
        <f>IF(F3="1",SUMIF(Data!A:A,'16'!$A$2,Data!EO:EO),0)</f>
        <v>288299</v>
      </c>
      <c r="F83" s="21">
        <f t="shared" si="4"/>
        <v>8.02</v>
      </c>
    </row>
    <row r="84" spans="1:6" x14ac:dyDescent="0.2">
      <c r="A84" s="19">
        <v>18</v>
      </c>
      <c r="B84" s="143" t="s">
        <v>16</v>
      </c>
      <c r="C84" s="144"/>
      <c r="D84" s="14">
        <f t="shared" si="5"/>
        <v>0</v>
      </c>
      <c r="E84" s="17">
        <f>IF(F3="1",SUMIF(Data!A:A,'16'!$A$2,Data!EP:EP),0)</f>
        <v>0</v>
      </c>
      <c r="F84" s="21" t="str">
        <f t="shared" si="4"/>
        <v/>
      </c>
    </row>
    <row r="85" spans="1:6" x14ac:dyDescent="0.2">
      <c r="A85" s="19">
        <v>19</v>
      </c>
      <c r="B85" s="143" t="s">
        <v>17</v>
      </c>
      <c r="C85" s="144"/>
      <c r="D85" s="14">
        <f t="shared" si="5"/>
        <v>1108656</v>
      </c>
      <c r="E85" s="17">
        <f>IF(F3="1",SUMIF(Data!A:A,'16'!$A$2,Data!EQ:EQ),0)</f>
        <v>2152252</v>
      </c>
      <c r="F85" s="21">
        <f t="shared" si="4"/>
        <v>1.94</v>
      </c>
    </row>
    <row r="86" spans="1:6" x14ac:dyDescent="0.2">
      <c r="A86" s="19">
        <v>20</v>
      </c>
      <c r="B86" s="143" t="s">
        <v>18</v>
      </c>
      <c r="C86" s="144"/>
      <c r="D86" s="14">
        <f t="shared" si="5"/>
        <v>137048</v>
      </c>
      <c r="E86" s="17">
        <f>IF(F3="1",SUMIF(Data!A:A,'16'!$A$2,Data!ER:ER),0)</f>
        <v>356278</v>
      </c>
      <c r="F86" s="21">
        <f t="shared" si="4"/>
        <v>2.6</v>
      </c>
    </row>
    <row r="87" spans="1:6" ht="14.25" customHeight="1" x14ac:dyDescent="0.2">
      <c r="A87" s="19">
        <v>21</v>
      </c>
      <c r="B87" s="143" t="s">
        <v>461</v>
      </c>
      <c r="C87" s="144"/>
      <c r="D87" s="14">
        <f t="shared" si="5"/>
        <v>0</v>
      </c>
      <c r="E87" s="17">
        <f>IF(F3="1",SUMIF(Data!A:A,'16'!$A$2,Data!ES:ES),0)</f>
        <v>0</v>
      </c>
      <c r="F87" s="21" t="str">
        <f t="shared" si="4"/>
        <v/>
      </c>
    </row>
    <row r="88" spans="1:6" x14ac:dyDescent="0.2">
      <c r="A88" s="19">
        <v>22</v>
      </c>
      <c r="B88" s="143" t="s">
        <v>19</v>
      </c>
      <c r="C88" s="144"/>
      <c r="D88" s="14">
        <f t="shared" si="5"/>
        <v>33296</v>
      </c>
      <c r="E88" s="17">
        <f>IF(F3="1",SUMIF(Data!A:A,'16'!$A$2,Data!ET:ET),0)</f>
        <v>165871</v>
      </c>
      <c r="F88" s="21">
        <f t="shared" si="4"/>
        <v>4.9800000000000004</v>
      </c>
    </row>
    <row r="89" spans="1:6" x14ac:dyDescent="0.2">
      <c r="A89" s="19">
        <v>23</v>
      </c>
      <c r="B89" s="143" t="s">
        <v>20</v>
      </c>
      <c r="C89" s="144"/>
      <c r="D89" s="14">
        <f t="shared" si="5"/>
        <v>154672</v>
      </c>
      <c r="E89" s="17">
        <f>IF(F3="1",SUMIF(Data!A:A,'16'!$A$2,Data!EU:EU),0)</f>
        <v>409126</v>
      </c>
      <c r="F89" s="21">
        <f t="shared" si="4"/>
        <v>2.65</v>
      </c>
    </row>
    <row r="90" spans="1:6" x14ac:dyDescent="0.2">
      <c r="A90" s="19">
        <v>24</v>
      </c>
      <c r="B90" s="143" t="s">
        <v>21</v>
      </c>
      <c r="C90" s="144"/>
      <c r="D90" s="14">
        <f t="shared" si="5"/>
        <v>90080</v>
      </c>
      <c r="E90" s="17">
        <f>IF(F3="1",SUMIF(Data!A:A,'16'!$A$2,Data!EV:EV),0)</f>
        <v>283402</v>
      </c>
      <c r="F90" s="21">
        <f t="shared" si="4"/>
        <v>3.15</v>
      </c>
    </row>
    <row r="91" spans="1:6" x14ac:dyDescent="0.2">
      <c r="A91" s="19">
        <v>25</v>
      </c>
      <c r="B91" s="143" t="s">
        <v>22</v>
      </c>
      <c r="C91" s="144"/>
      <c r="D91" s="14">
        <f t="shared" si="5"/>
        <v>1097520</v>
      </c>
      <c r="E91" s="17">
        <f>IF(F3="1",SUMIF(Data!A:A,'16'!$A$2,Data!EW:EW),0)</f>
        <v>2437797</v>
      </c>
      <c r="F91" s="21">
        <f t="shared" si="4"/>
        <v>2.2200000000000002</v>
      </c>
    </row>
    <row r="92" spans="1:6" x14ac:dyDescent="0.2">
      <c r="A92" s="19">
        <v>26</v>
      </c>
      <c r="B92" s="143" t="s">
        <v>23</v>
      </c>
      <c r="C92" s="144"/>
      <c r="D92" s="14">
        <f t="shared" si="5"/>
        <v>183472</v>
      </c>
      <c r="E92" s="17">
        <f>IF(F3="1",SUMIF(Data!A:A,'16'!$A$2,Data!EX:EX),0)</f>
        <v>569863</v>
      </c>
      <c r="F92" s="21">
        <f t="shared" si="4"/>
        <v>3.11</v>
      </c>
    </row>
    <row r="93" spans="1:6" x14ac:dyDescent="0.2">
      <c r="A93" s="19">
        <v>28</v>
      </c>
      <c r="B93" s="143" t="s">
        <v>24</v>
      </c>
      <c r="C93" s="144"/>
      <c r="D93" s="14">
        <f t="shared" si="5"/>
        <v>0</v>
      </c>
      <c r="E93" s="17">
        <f>IF(F3="1",SUMIF(Data!A:A,'16'!$A$2,Data!EZ:EZ),0)</f>
        <v>0</v>
      </c>
      <c r="F93" s="21" t="str">
        <f t="shared" si="4"/>
        <v/>
      </c>
    </row>
    <row r="94" spans="1:6" ht="15.75" customHeight="1" thickBot="1" x14ac:dyDescent="0.25">
      <c r="A94" s="22">
        <v>29</v>
      </c>
      <c r="B94" s="147" t="s">
        <v>25</v>
      </c>
      <c r="C94" s="148"/>
      <c r="D94" s="23">
        <f t="shared" si="5"/>
        <v>0</v>
      </c>
      <c r="E94" s="24">
        <f>IF(F3="1",SUMIF(Data!A:A,'16'!$A$2,Data!FA:FA),0)</f>
        <v>0</v>
      </c>
      <c r="F94" s="25" t="str">
        <f t="shared" si="4"/>
        <v/>
      </c>
    </row>
    <row r="95" spans="1:6" x14ac:dyDescent="0.2">
      <c r="B95" s="30" t="s">
        <v>35</v>
      </c>
      <c r="C95" s="30"/>
      <c r="D95" s="59">
        <f>SUM(D67:D94)</f>
        <v>7756128</v>
      </c>
      <c r="E95" s="31">
        <f>SUM(E67:E94)</f>
        <v>21360670</v>
      </c>
      <c r="F95" s="32">
        <f t="shared" si="4"/>
        <v>2.75</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IF(F3="1",SUMIF(Data!A:A,'16'!$A$2,Data!AH:AH),0)</f>
        <v>11755161</v>
      </c>
      <c r="F98" s="20">
        <f>IF(OR(E98=0,E98=0),"",ROUND(E98/$D$105,2))</f>
        <v>1.52</v>
      </c>
    </row>
    <row r="99" spans="2:6" x14ac:dyDescent="0.2">
      <c r="B99" s="153" t="s">
        <v>31</v>
      </c>
      <c r="C99" s="154"/>
      <c r="D99" s="36"/>
      <c r="E99" s="17">
        <f>IF(F3="1",SUMIF(Data!A:A,'16'!$A$2,Data!AI:AI),0)</f>
        <v>5510271</v>
      </c>
      <c r="F99" s="21">
        <f t="shared" ref="F99:F104" si="6">IF(OR(E99=0,E99=0),"",ROUND(E99/$D$105,2))</f>
        <v>0.71</v>
      </c>
    </row>
    <row r="100" spans="2:6" x14ac:dyDescent="0.2">
      <c r="B100" s="153" t="s">
        <v>1078</v>
      </c>
      <c r="C100" s="154"/>
      <c r="D100" s="36"/>
      <c r="E100" s="17">
        <f>IF(F3="1",SUMIF(Data!A:A,'16'!$A$2,Data!AJ:AJ),0)</f>
        <v>2862709</v>
      </c>
      <c r="F100" s="21">
        <f t="shared" si="6"/>
        <v>0.37</v>
      </c>
    </row>
    <row r="101" spans="2:6" x14ac:dyDescent="0.2">
      <c r="B101" s="153" t="s">
        <v>1079</v>
      </c>
      <c r="C101" s="154"/>
      <c r="D101" s="36"/>
      <c r="E101" s="17">
        <f>IF(F3="1",SUMIF(Data!A:A,'16'!$A$2,Data!AK:AK),0)</f>
        <v>5146956</v>
      </c>
      <c r="F101" s="21">
        <f t="shared" si="6"/>
        <v>0.66</v>
      </c>
    </row>
    <row r="102" spans="2:6" x14ac:dyDescent="0.2">
      <c r="B102" s="153" t="s">
        <v>1080</v>
      </c>
      <c r="C102" s="154"/>
      <c r="D102" s="36"/>
      <c r="E102" s="17">
        <f>IF(F3="1",SUMIF(Data!A:A,'16'!$A$2,Data!AL:AL),0)</f>
        <v>84018</v>
      </c>
      <c r="F102" s="21">
        <f t="shared" si="6"/>
        <v>0.01</v>
      </c>
    </row>
    <row r="103" spans="2:6" x14ac:dyDescent="0.2">
      <c r="B103" s="155" t="s">
        <v>34</v>
      </c>
      <c r="C103" s="156"/>
      <c r="D103" s="36"/>
      <c r="E103" s="17">
        <f>IF(F3="1",SUMIF(Data!A:A,'16'!$A$2,Data!AM:AM),0)</f>
        <v>0</v>
      </c>
      <c r="F103" s="21" t="str">
        <f t="shared" si="6"/>
        <v/>
      </c>
    </row>
    <row r="104" spans="2:6" ht="15.75" customHeight="1" thickBot="1" x14ac:dyDescent="0.25">
      <c r="B104" s="149" t="s">
        <v>29</v>
      </c>
      <c r="C104" s="150"/>
      <c r="D104" s="37"/>
      <c r="E104" s="24">
        <f>IF(F3="1",SUMIF(Data!A:A,'16'!$A$2,Data!Q:Q),0)</f>
        <v>2907321</v>
      </c>
      <c r="F104" s="25">
        <f t="shared" si="6"/>
        <v>0.37</v>
      </c>
    </row>
    <row r="105" spans="2:6" x14ac:dyDescent="0.2">
      <c r="B105" s="30" t="s">
        <v>35</v>
      </c>
      <c r="C105" s="30"/>
      <c r="D105" s="34">
        <f>D95</f>
        <v>7756128</v>
      </c>
      <c r="E105" s="31">
        <f>SUM(E98:E104)</f>
        <v>28266436</v>
      </c>
      <c r="F105" s="32">
        <f>IF($D$105=0,"",ROUND(E105/$D$105,2))</f>
        <v>3.64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21360670</v>
      </c>
      <c r="D109" s="15">
        <f>IF(F3="1",SUMIF(Data!$A:$A,$A$2,Data!HJ:HJ),0)</f>
        <v>0</v>
      </c>
      <c r="E109" s="15">
        <f>IF(F3="1",SUMIF(Data!$A:$A,$A$2,Data!IN:IN),0)</f>
        <v>0</v>
      </c>
      <c r="F109" s="47">
        <f>SUM(C109:E109)</f>
        <v>21360670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84018</v>
      </c>
      <c r="F116" s="48">
        <f t="shared" si="7"/>
        <v>84018</v>
      </c>
    </row>
    <row r="117" spans="1:6" ht="15" thickBot="1" x14ac:dyDescent="0.25">
      <c r="B117" s="43" t="s">
        <v>933</v>
      </c>
      <c r="C117" s="52"/>
      <c r="D117" s="52">
        <f>IF(F3="1",SUMIF(Data!A:A,$A$2,Data!Q:Q),0)</f>
        <v>2907321</v>
      </c>
      <c r="E117" s="52"/>
      <c r="F117" s="49">
        <f>SUM(C117:E117)</f>
        <v>2907321</v>
      </c>
    </row>
    <row r="118" spans="1:6" x14ac:dyDescent="0.2">
      <c r="B118" s="13" t="s">
        <v>35</v>
      </c>
      <c r="C118" s="4">
        <f>SUM(C109:C116)</f>
        <v>21360670</v>
      </c>
      <c r="D118" s="4">
        <f>SUM(D109:D116)</f>
        <v>0</v>
      </c>
      <c r="E118" s="4">
        <f>SUM(E109:E116)</f>
        <v>84018</v>
      </c>
      <c r="F118" s="4">
        <f>SUM(F109:F116)</f>
        <v>21444688</v>
      </c>
    </row>
    <row r="119" spans="1:6" ht="15" thickBot="1" x14ac:dyDescent="0.25"/>
    <row r="120" spans="1:6" ht="15" thickBot="1" x14ac:dyDescent="0.25">
      <c r="B120" s="55" t="s">
        <v>934</v>
      </c>
      <c r="C120" s="53"/>
      <c r="D120" s="53"/>
      <c r="E120" s="53">
        <f>IF(F3="1",SUMIF(Data!A:A,'16'!$A$2,Data!AM:AM),0)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366</v>
      </c>
      <c r="B2" s="58" t="str">
        <f>VLOOKUP(A2,Data!A:G,7,0)</f>
        <v>Frank Phillips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22176</v>
      </c>
      <c r="E5" s="15">
        <f>E36+E67+IFERROR($E$105/$D$105*D5,0)</f>
        <v>182221.03453384308</v>
      </c>
      <c r="F5" s="20">
        <f>IF(OR(D5=0,E5=0),"",ROUND(E5/D5,2))</f>
        <v>8.2200000000000006</v>
      </c>
    </row>
    <row r="6" spans="1:6" x14ac:dyDescent="0.2">
      <c r="A6" s="19">
        <v>2</v>
      </c>
      <c r="B6" s="143" t="s">
        <v>1</v>
      </c>
      <c r="C6" s="144"/>
      <c r="D6" s="14">
        <f t="shared" ref="D6:D32" si="0">D37</f>
        <v>7464</v>
      </c>
      <c r="E6" s="17">
        <f t="shared" ref="E6:E32" si="1">E37+E68+IFERROR($E$105/$D$105*D6,0)</f>
        <v>36211.537597429866</v>
      </c>
      <c r="F6" s="21">
        <f t="shared" ref="F6:F33" si="2">IF(OR(D6=0,E6=0),"",ROUND(E6/D6,2))</f>
        <v>4.8499999999999996</v>
      </c>
    </row>
    <row r="7" spans="1:6" ht="14.25" customHeight="1" x14ac:dyDescent="0.2">
      <c r="A7" s="19">
        <v>3</v>
      </c>
      <c r="B7" s="143" t="s">
        <v>2</v>
      </c>
      <c r="C7" s="144"/>
      <c r="D7" s="14">
        <f t="shared" si="0"/>
        <v>64096</v>
      </c>
      <c r="E7" s="17">
        <f t="shared" si="1"/>
        <v>406513.33358050173</v>
      </c>
      <c r="F7" s="21">
        <f t="shared" si="2"/>
        <v>6.34</v>
      </c>
    </row>
    <row r="8" spans="1:6" ht="14.25" customHeight="1" x14ac:dyDescent="0.2">
      <c r="A8" s="19">
        <v>4</v>
      </c>
      <c r="B8" s="143" t="s">
        <v>3</v>
      </c>
      <c r="C8" s="144"/>
      <c r="D8" s="14">
        <f t="shared" si="0"/>
        <v>28424</v>
      </c>
      <c r="E8" s="17">
        <f t="shared" si="1"/>
        <v>195209.68712075916</v>
      </c>
      <c r="F8" s="21">
        <f t="shared" si="2"/>
        <v>6.87</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3360</v>
      </c>
      <c r="E10" s="17">
        <f t="shared" si="1"/>
        <v>34768.55068694592</v>
      </c>
      <c r="F10" s="21">
        <f t="shared" si="2"/>
        <v>10.35</v>
      </c>
    </row>
    <row r="11" spans="1:6" x14ac:dyDescent="0.2">
      <c r="A11" s="19">
        <v>7</v>
      </c>
      <c r="B11" s="143" t="s">
        <v>6</v>
      </c>
      <c r="C11" s="144"/>
      <c r="D11" s="14">
        <f t="shared" si="0"/>
        <v>60390</v>
      </c>
      <c r="E11" s="17">
        <f t="shared" si="1"/>
        <v>254811.5047573405</v>
      </c>
      <c r="F11" s="21">
        <f t="shared" si="2"/>
        <v>4.22</v>
      </c>
    </row>
    <row r="12" spans="1:6" x14ac:dyDescent="0.2">
      <c r="A12" s="19">
        <v>8</v>
      </c>
      <c r="B12" s="143" t="s">
        <v>7</v>
      </c>
      <c r="C12" s="144"/>
      <c r="D12" s="14">
        <f t="shared" si="0"/>
        <v>744</v>
      </c>
      <c r="E12" s="17">
        <f t="shared" si="1"/>
        <v>4211.4362235380249</v>
      </c>
      <c r="F12" s="21">
        <f t="shared" si="2"/>
        <v>5.66</v>
      </c>
    </row>
    <row r="13" spans="1:6" x14ac:dyDescent="0.2">
      <c r="A13" s="19">
        <v>9</v>
      </c>
      <c r="B13" s="143" t="s">
        <v>8</v>
      </c>
      <c r="C13" s="144"/>
      <c r="D13" s="14">
        <f t="shared" si="0"/>
        <v>48576</v>
      </c>
      <c r="E13" s="17">
        <f t="shared" si="1"/>
        <v>225333.93278841817</v>
      </c>
      <c r="F13" s="21">
        <f t="shared" si="2"/>
        <v>4.6399999999999997</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42646</v>
      </c>
      <c r="E15" s="17">
        <f t="shared" si="1"/>
        <v>189985.85374865943</v>
      </c>
      <c r="F15" s="21">
        <f t="shared" si="2"/>
        <v>4.45</v>
      </c>
    </row>
    <row r="16" spans="1:6" ht="14.25" customHeight="1" x14ac:dyDescent="0.2">
      <c r="A16" s="19">
        <v>12</v>
      </c>
      <c r="B16" s="143" t="s">
        <v>11</v>
      </c>
      <c r="C16" s="144"/>
      <c r="D16" s="14">
        <f t="shared" si="0"/>
        <v>84879</v>
      </c>
      <c r="E16" s="17">
        <f t="shared" si="1"/>
        <v>383449.31480871513</v>
      </c>
      <c r="F16" s="21">
        <f t="shared" si="2"/>
        <v>4.5199999999999996</v>
      </c>
    </row>
    <row r="17" spans="1:6" x14ac:dyDescent="0.2">
      <c r="A17" s="19">
        <v>13</v>
      </c>
      <c r="B17" s="143" t="s">
        <v>12</v>
      </c>
      <c r="C17" s="144"/>
      <c r="D17" s="14">
        <f t="shared" si="0"/>
        <v>3805</v>
      </c>
      <c r="E17" s="17">
        <f t="shared" si="1"/>
        <v>19080.17719161584</v>
      </c>
      <c r="F17" s="21">
        <f t="shared" si="2"/>
        <v>5.01</v>
      </c>
    </row>
    <row r="18" spans="1:6" ht="14.25" customHeight="1" x14ac:dyDescent="0.2">
      <c r="A18" s="19">
        <v>14</v>
      </c>
      <c r="B18" s="143" t="s">
        <v>464</v>
      </c>
      <c r="C18" s="144"/>
      <c r="D18" s="14">
        <f t="shared" si="0"/>
        <v>37080</v>
      </c>
      <c r="E18" s="17">
        <f t="shared" si="1"/>
        <v>242914.93436665321</v>
      </c>
      <c r="F18" s="21">
        <f t="shared" si="2"/>
        <v>6.55</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42209</v>
      </c>
      <c r="E20" s="17">
        <f t="shared" si="1"/>
        <v>233583.28569800605</v>
      </c>
      <c r="F20" s="21">
        <f t="shared" si="2"/>
        <v>5.53</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12528</v>
      </c>
      <c r="E22" s="17">
        <f t="shared" si="1"/>
        <v>65049.538989898356</v>
      </c>
      <c r="F22" s="21">
        <f t="shared" si="2"/>
        <v>5.19</v>
      </c>
    </row>
    <row r="23" spans="1:6" x14ac:dyDescent="0.2">
      <c r="A23" s="19">
        <v>19</v>
      </c>
      <c r="B23" s="143" t="s">
        <v>17</v>
      </c>
      <c r="C23" s="144"/>
      <c r="D23" s="14">
        <f t="shared" si="0"/>
        <v>41380</v>
      </c>
      <c r="E23" s="17">
        <f t="shared" si="1"/>
        <v>196476.85340054231</v>
      </c>
      <c r="F23" s="21">
        <f t="shared" si="2"/>
        <v>4.75</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24096</v>
      </c>
      <c r="E26" s="17">
        <f t="shared" si="1"/>
        <v>97378.063497812167</v>
      </c>
      <c r="F26" s="21">
        <f t="shared" si="2"/>
        <v>4.04</v>
      </c>
    </row>
    <row r="27" spans="1:6" x14ac:dyDescent="0.2">
      <c r="A27" s="19">
        <v>23</v>
      </c>
      <c r="B27" s="143" t="s">
        <v>20</v>
      </c>
      <c r="C27" s="144"/>
      <c r="D27" s="14">
        <f t="shared" si="0"/>
        <v>26912</v>
      </c>
      <c r="E27" s="17">
        <f t="shared" si="1"/>
        <v>206746.63931163351</v>
      </c>
      <c r="F27" s="21">
        <f t="shared" si="2"/>
        <v>7.68</v>
      </c>
    </row>
    <row r="28" spans="1:6" x14ac:dyDescent="0.2">
      <c r="A28" s="19">
        <v>24</v>
      </c>
      <c r="B28" s="143" t="s">
        <v>21</v>
      </c>
      <c r="C28" s="144"/>
      <c r="D28" s="14">
        <f t="shared" si="0"/>
        <v>4336</v>
      </c>
      <c r="E28" s="17">
        <f t="shared" si="1"/>
        <v>24437.682076963545</v>
      </c>
      <c r="F28" s="21">
        <f t="shared" si="2"/>
        <v>5.64</v>
      </c>
    </row>
    <row r="29" spans="1:6" x14ac:dyDescent="0.2">
      <c r="A29" s="19">
        <v>25</v>
      </c>
      <c r="B29" s="143" t="s">
        <v>22</v>
      </c>
      <c r="C29" s="144"/>
      <c r="D29" s="14">
        <f t="shared" si="0"/>
        <v>73008</v>
      </c>
      <c r="E29" s="17">
        <f t="shared" si="1"/>
        <v>383218.45135492494</v>
      </c>
      <c r="F29" s="21">
        <f t="shared" si="2"/>
        <v>5.25</v>
      </c>
    </row>
    <row r="30" spans="1:6" x14ac:dyDescent="0.2">
      <c r="A30" s="19">
        <v>26</v>
      </c>
      <c r="B30" s="143" t="s">
        <v>23</v>
      </c>
      <c r="C30" s="144"/>
      <c r="D30" s="14">
        <f t="shared" si="0"/>
        <v>12480</v>
      </c>
      <c r="E30" s="17">
        <f t="shared" si="1"/>
        <v>104235.18826579914</v>
      </c>
      <c r="F30" s="21">
        <f t="shared" si="2"/>
        <v>8.35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640589</v>
      </c>
      <c r="E33" s="31">
        <f>SUM(E5:E32)</f>
        <v>3485837</v>
      </c>
      <c r="F33" s="32">
        <f t="shared" si="2"/>
        <v>5.44</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IF(F3="1",SUMIF(Data!A:A,'17'!$A$2,Data!CU:CU),0)</f>
        <v>22176</v>
      </c>
      <c r="E36" s="15">
        <f>IF(F3="1",SUMIF(Data!$A:$A,$A$2,Data!IO:IO),0)</f>
        <v>12982</v>
      </c>
      <c r="F36" s="20">
        <f t="shared" ref="F36:F64" si="3">IF(OR(D36=0,E36=0),"",ROUND(E36/D36,2))</f>
        <v>0.59</v>
      </c>
    </row>
    <row r="37" spans="1:6" x14ac:dyDescent="0.2">
      <c r="A37" s="19">
        <v>2</v>
      </c>
      <c r="B37" s="143" t="s">
        <v>1</v>
      </c>
      <c r="C37" s="144"/>
      <c r="D37" s="14">
        <f>IF(F3="1",SUMIF(Data!A:A,'17'!$A$2,Data!CV:CV),0)</f>
        <v>7464</v>
      </c>
      <c r="E37" s="17">
        <f>IF(F3="1",SUMIF(Data!$A:$A,$A$2,Data!IP:IP),0)</f>
        <v>14698</v>
      </c>
      <c r="F37" s="21">
        <f t="shared" si="3"/>
        <v>1.97</v>
      </c>
    </row>
    <row r="38" spans="1:6" ht="14.25" customHeight="1" x14ac:dyDescent="0.2">
      <c r="A38" s="19">
        <v>3</v>
      </c>
      <c r="B38" s="143" t="s">
        <v>2</v>
      </c>
      <c r="C38" s="144"/>
      <c r="D38" s="14">
        <f>IF(F3="1",SUMIF(Data!A:A,'17'!$A$2,Data!CW:CW),0)</f>
        <v>64096</v>
      </c>
      <c r="E38" s="17">
        <f>IF($F$3="1",SUMIF(Data!$A:$A,$A$2,Data!IQ:IQ),0)</f>
        <v>34391</v>
      </c>
      <c r="F38" s="21">
        <f t="shared" si="3"/>
        <v>0.54</v>
      </c>
    </row>
    <row r="39" spans="1:6" ht="14.25" customHeight="1" x14ac:dyDescent="0.2">
      <c r="A39" s="19">
        <v>4</v>
      </c>
      <c r="B39" s="143" t="s">
        <v>3</v>
      </c>
      <c r="C39" s="144"/>
      <c r="D39" s="14">
        <f>IF(F3="1",SUMIF(Data!A:A,'17'!$A$2,Data!CX:CX),0)</f>
        <v>28424</v>
      </c>
      <c r="E39" s="17">
        <f>IF($F$3="1",SUMIF(Data!$A:$A,$A$2,Data!IR:IR),0)</f>
        <v>12386</v>
      </c>
      <c r="F39" s="21">
        <f t="shared" si="3"/>
        <v>0.44</v>
      </c>
    </row>
    <row r="40" spans="1:6" x14ac:dyDescent="0.2">
      <c r="A40" s="19">
        <v>5</v>
      </c>
      <c r="B40" s="143" t="s">
        <v>4</v>
      </c>
      <c r="C40" s="144"/>
      <c r="D40" s="14">
        <f>IF(F3="1",SUMIF(Data!A:A,'17'!$A$2,Data!CY:CY),0)</f>
        <v>0</v>
      </c>
      <c r="E40" s="17">
        <f>IF($F$3="1",SUMIF(Data!$A:$A,$A$2,Data!IS:IS),0)</f>
        <v>0</v>
      </c>
      <c r="F40" s="21" t="str">
        <f t="shared" si="3"/>
        <v/>
      </c>
    </row>
    <row r="41" spans="1:6" x14ac:dyDescent="0.2">
      <c r="A41" s="19">
        <v>6</v>
      </c>
      <c r="B41" s="143" t="s">
        <v>5</v>
      </c>
      <c r="C41" s="144"/>
      <c r="D41" s="14">
        <f>IF(F3="1",SUMIF(Data!A:A,'17'!$A$2,Data!CZ:CZ),0)</f>
        <v>3360</v>
      </c>
      <c r="E41" s="17">
        <f>IF($F$3="1",SUMIF(Data!$A:$A,$A$2,Data!IT:IT),0)</f>
        <v>25084</v>
      </c>
      <c r="F41" s="21">
        <f t="shared" si="3"/>
        <v>7.47</v>
      </c>
    </row>
    <row r="42" spans="1:6" x14ac:dyDescent="0.2">
      <c r="A42" s="19">
        <v>7</v>
      </c>
      <c r="B42" s="143" t="s">
        <v>6</v>
      </c>
      <c r="C42" s="144"/>
      <c r="D42" s="14">
        <f>IF(F3="1",SUMIF(Data!A:A,'17'!$A$2,Data!DA:DA),0)</f>
        <v>60390</v>
      </c>
      <c r="E42" s="17">
        <f>IF($F$3="1",SUMIF(Data!$A:$A,$A$2,Data!IU:IU),0)</f>
        <v>57591</v>
      </c>
      <c r="F42" s="21">
        <f t="shared" si="3"/>
        <v>0.95</v>
      </c>
    </row>
    <row r="43" spans="1:6" x14ac:dyDescent="0.2">
      <c r="A43" s="19">
        <v>8</v>
      </c>
      <c r="B43" s="143" t="s">
        <v>7</v>
      </c>
      <c r="C43" s="144"/>
      <c r="D43" s="14">
        <f>IF(F3="1",SUMIF(Data!A:A,'17'!$A$2,Data!DB:DB),0)</f>
        <v>744</v>
      </c>
      <c r="E43" s="17">
        <f>IF($F$3="1",SUMIF(Data!$A:$A,$A$2,Data!IV:IV),0)</f>
        <v>2067</v>
      </c>
      <c r="F43" s="21">
        <f t="shared" si="3"/>
        <v>2.78</v>
      </c>
    </row>
    <row r="44" spans="1:6" x14ac:dyDescent="0.2">
      <c r="A44" s="19">
        <v>9</v>
      </c>
      <c r="B44" s="143" t="s">
        <v>8</v>
      </c>
      <c r="C44" s="144"/>
      <c r="D44" s="14">
        <f>IF(F3="1",SUMIF(Data!A:A,'17'!$A$2,Data!DC:DC),0)</f>
        <v>48576</v>
      </c>
      <c r="E44" s="17">
        <f>IF($F$3="1",SUMIF(Data!$A:$A,$A$2,Data!IW:IW),0)</f>
        <v>47431</v>
      </c>
      <c r="F44" s="21">
        <f t="shared" si="3"/>
        <v>0.98</v>
      </c>
    </row>
    <row r="45" spans="1:6" x14ac:dyDescent="0.2">
      <c r="A45" s="19">
        <v>10</v>
      </c>
      <c r="B45" s="143" t="s">
        <v>9</v>
      </c>
      <c r="C45" s="144"/>
      <c r="D45" s="14">
        <f>IF(F3="1",SUMIF(Data!A:A,'17'!$A$2,Data!DD:DD),0)</f>
        <v>0</v>
      </c>
      <c r="E45" s="17">
        <f>IF($F$3="1",SUMIF(Data!$A:$A,$A$2,Data!IX:IX),0)</f>
        <v>0</v>
      </c>
      <c r="F45" s="21" t="str">
        <f t="shared" si="3"/>
        <v/>
      </c>
    </row>
    <row r="46" spans="1:6" x14ac:dyDescent="0.2">
      <c r="A46" s="19">
        <v>11</v>
      </c>
      <c r="B46" s="143" t="s">
        <v>10</v>
      </c>
      <c r="C46" s="144"/>
      <c r="D46" s="14">
        <f>IF(F3="1",SUMIF(Data!A:A,'17'!$A$2,Data!DE:DE),0)</f>
        <v>42646</v>
      </c>
      <c r="E46" s="17">
        <f>IF($F$3="1",SUMIF(Data!$A:$A,$A$2,Data!IY:IY),0)</f>
        <v>67067</v>
      </c>
      <c r="F46" s="21">
        <f t="shared" si="3"/>
        <v>1.57</v>
      </c>
    </row>
    <row r="47" spans="1:6" ht="14.25" customHeight="1" x14ac:dyDescent="0.2">
      <c r="A47" s="19">
        <v>12</v>
      </c>
      <c r="B47" s="143" t="s">
        <v>11</v>
      </c>
      <c r="C47" s="144"/>
      <c r="D47" s="14">
        <f>IF(F3="1",SUMIF(Data!A:A,'17'!$A$2,Data!DF:DF),0)</f>
        <v>84879</v>
      </c>
      <c r="E47" s="17">
        <f>IF($F$3="1",SUMIF(Data!$A:$A,$A$2,Data!IZ:IZ),0)</f>
        <v>34672</v>
      </c>
      <c r="F47" s="21">
        <f t="shared" si="3"/>
        <v>0.41</v>
      </c>
    </row>
    <row r="48" spans="1:6" x14ac:dyDescent="0.2">
      <c r="A48" s="19">
        <v>13</v>
      </c>
      <c r="B48" s="143" t="s">
        <v>12</v>
      </c>
      <c r="C48" s="144"/>
      <c r="D48" s="14">
        <f>IF(F3="1",SUMIF(Data!A:A,'17'!$A$2,Data!DG:DG),0)</f>
        <v>3805</v>
      </c>
      <c r="E48" s="17">
        <f>IF($F$3="1",SUMIF(Data!$A:$A,$A$2,Data!JA:JA),0)</f>
        <v>8113</v>
      </c>
      <c r="F48" s="21">
        <f t="shared" si="3"/>
        <v>2.13</v>
      </c>
    </row>
    <row r="49" spans="1:6" ht="14.25" customHeight="1" x14ac:dyDescent="0.2">
      <c r="A49" s="19">
        <v>14</v>
      </c>
      <c r="B49" s="143" t="s">
        <v>464</v>
      </c>
      <c r="C49" s="144"/>
      <c r="D49" s="14">
        <f>IF(F3="1",SUMIF(Data!A:A,'17'!$A$2,Data!DH:DH),0)</f>
        <v>37080</v>
      </c>
      <c r="E49" s="17">
        <f>IF($F$3="1",SUMIF(Data!$A:$A,$A$2,Data!JB:JB),0)</f>
        <v>43399</v>
      </c>
      <c r="F49" s="21">
        <f t="shared" si="3"/>
        <v>1.17</v>
      </c>
    </row>
    <row r="50" spans="1:6" x14ac:dyDescent="0.2">
      <c r="A50" s="19">
        <v>15</v>
      </c>
      <c r="B50" s="143" t="s">
        <v>13</v>
      </c>
      <c r="C50" s="144"/>
      <c r="D50" s="14">
        <f>IF(F3="1",SUMIF(Data!A:A,'17'!$A$2,Data!DI:DI),0)</f>
        <v>0</v>
      </c>
      <c r="E50" s="17">
        <f>IF($F$3="1",SUMIF(Data!$A:$A,$A$2,Data!JC:JC),0)</f>
        <v>0</v>
      </c>
      <c r="F50" s="21" t="str">
        <f t="shared" si="3"/>
        <v/>
      </c>
    </row>
    <row r="51" spans="1:6" x14ac:dyDescent="0.2">
      <c r="A51" s="19">
        <v>16</v>
      </c>
      <c r="B51" s="143" t="s">
        <v>14</v>
      </c>
      <c r="C51" s="144"/>
      <c r="D51" s="14">
        <f>IF(F3="1",SUMIF(Data!A:A,'17'!$A$2,Data!DJ:DJ),0)</f>
        <v>42209</v>
      </c>
      <c r="E51" s="17">
        <f>IF($F$3="1",SUMIF(Data!$A:$A,$A$2,Data!JD:JD),0)</f>
        <v>85653</v>
      </c>
      <c r="F51" s="21">
        <f t="shared" si="3"/>
        <v>2.0299999999999998</v>
      </c>
    </row>
    <row r="52" spans="1:6" x14ac:dyDescent="0.2">
      <c r="A52" s="19">
        <v>17</v>
      </c>
      <c r="B52" s="143" t="s">
        <v>15</v>
      </c>
      <c r="C52" s="144"/>
      <c r="D52" s="14">
        <f>IF(F3="1",SUMIF(Data!A:A,'17'!$A$2,Data!DK:DK),0)</f>
        <v>0</v>
      </c>
      <c r="E52" s="17">
        <f>IF($F$3="1",SUMIF(Data!$A:$A,$A$2,Data!JE:JE),0)</f>
        <v>0</v>
      </c>
      <c r="F52" s="21" t="str">
        <f t="shared" si="3"/>
        <v/>
      </c>
    </row>
    <row r="53" spans="1:6" x14ac:dyDescent="0.2">
      <c r="A53" s="19">
        <v>18</v>
      </c>
      <c r="B53" s="143" t="s">
        <v>16</v>
      </c>
      <c r="C53" s="144"/>
      <c r="D53" s="14">
        <f>IF(F3="1",SUMIF(Data!A:A,'17'!$A$2,Data!DL:DL),0)</f>
        <v>12528</v>
      </c>
      <c r="E53" s="17">
        <f>IF($F$3="1",SUMIF(Data!$A:$A,$A$2,Data!JF:JF),0)</f>
        <v>9582</v>
      </c>
      <c r="F53" s="21">
        <f t="shared" si="3"/>
        <v>0.76</v>
      </c>
    </row>
    <row r="54" spans="1:6" x14ac:dyDescent="0.2">
      <c r="A54" s="19">
        <v>19</v>
      </c>
      <c r="B54" s="143" t="s">
        <v>17</v>
      </c>
      <c r="C54" s="144"/>
      <c r="D54" s="14">
        <f>IF(F3="1",SUMIF(Data!A:A,'17'!$A$2,Data!DM:DM),0)</f>
        <v>41380</v>
      </c>
      <c r="E54" s="17">
        <f>IF($F$3="1",SUMIF(Data!$A:$A,$A$2,Data!JG:JG),0)</f>
        <v>44857</v>
      </c>
      <c r="F54" s="21">
        <f t="shared" si="3"/>
        <v>1.08</v>
      </c>
    </row>
    <row r="55" spans="1:6" x14ac:dyDescent="0.2">
      <c r="A55" s="19">
        <v>20</v>
      </c>
      <c r="B55" s="143" t="s">
        <v>18</v>
      </c>
      <c r="C55" s="144"/>
      <c r="D55" s="14">
        <f>IF(F3="1",SUMIF(Data!A:A,'17'!$A$2,Data!DN:DN),0)</f>
        <v>0</v>
      </c>
      <c r="E55" s="17">
        <f>IF($F$3="1",SUMIF(Data!$A:$A,$A$2,Data!JH:JH),0)</f>
        <v>0</v>
      </c>
      <c r="F55" s="21" t="str">
        <f t="shared" si="3"/>
        <v/>
      </c>
    </row>
    <row r="56" spans="1:6" ht="14.25" customHeight="1" x14ac:dyDescent="0.2">
      <c r="A56" s="19">
        <v>21</v>
      </c>
      <c r="B56" s="143" t="s">
        <v>461</v>
      </c>
      <c r="C56" s="144"/>
      <c r="D56" s="14">
        <f>IF(F3="1",SUMIF(Data!A:A,'17'!$A$2,Data!DO:DO),0)</f>
        <v>0</v>
      </c>
      <c r="E56" s="17">
        <f>IF($F$3="1",SUMIF(Data!$A:$A,$A$2,Data!JI:JI),0)</f>
        <v>0</v>
      </c>
      <c r="F56" s="21" t="str">
        <f t="shared" si="3"/>
        <v/>
      </c>
    </row>
    <row r="57" spans="1:6" x14ac:dyDescent="0.2">
      <c r="A57" s="19">
        <v>22</v>
      </c>
      <c r="B57" s="143" t="s">
        <v>19</v>
      </c>
      <c r="C57" s="144"/>
      <c r="D57" s="14">
        <f>IF(F3="1",SUMIF(Data!A:A,'17'!$A$2,Data!DP:DP),0)</f>
        <v>24096</v>
      </c>
      <c r="E57" s="17">
        <f>IF($F$3="1",SUMIF(Data!$A:$A,$A$2,Data!JJ:JJ),0)</f>
        <v>27926</v>
      </c>
      <c r="F57" s="21">
        <f t="shared" si="3"/>
        <v>1.1599999999999999</v>
      </c>
    </row>
    <row r="58" spans="1:6" x14ac:dyDescent="0.2">
      <c r="A58" s="19">
        <v>23</v>
      </c>
      <c r="B58" s="143" t="s">
        <v>20</v>
      </c>
      <c r="C58" s="144"/>
      <c r="D58" s="14">
        <f>IF(F3="1",SUMIF(Data!A:A,'17'!$A$2,Data!DQ:DQ),0)</f>
        <v>26912</v>
      </c>
      <c r="E58" s="17">
        <f>IF($F$3="1",SUMIF(Data!$A:$A,$A$2,Data!JK:JK),0)</f>
        <v>13996</v>
      </c>
      <c r="F58" s="21">
        <f t="shared" si="3"/>
        <v>0.52</v>
      </c>
    </row>
    <row r="59" spans="1:6" x14ac:dyDescent="0.2">
      <c r="A59" s="19">
        <v>24</v>
      </c>
      <c r="B59" s="143" t="s">
        <v>21</v>
      </c>
      <c r="C59" s="144"/>
      <c r="D59" s="14">
        <f>IF(F3="1",SUMIF(Data!A:A,'17'!$A$2,Data!DR:DR),0)</f>
        <v>4336</v>
      </c>
      <c r="E59" s="17">
        <f>IF($F$3="1",SUMIF(Data!$A:$A,$A$2,Data!JL:JL),0)</f>
        <v>11940</v>
      </c>
      <c r="F59" s="21">
        <f t="shared" si="3"/>
        <v>2.75</v>
      </c>
    </row>
    <row r="60" spans="1:6" x14ac:dyDescent="0.2">
      <c r="A60" s="19">
        <v>25</v>
      </c>
      <c r="B60" s="143" t="s">
        <v>22</v>
      </c>
      <c r="C60" s="144"/>
      <c r="D60" s="14">
        <f>IF(F3="1",SUMIF(Data!A:A,'17'!$A$2,Data!DS:DS),0)</f>
        <v>73008</v>
      </c>
      <c r="E60" s="17">
        <f>IF($F$3="1",SUMIF(Data!$A:$A,$A$2,Data!JM:JM),0)</f>
        <v>38340</v>
      </c>
      <c r="F60" s="21">
        <f t="shared" si="3"/>
        <v>0.53</v>
      </c>
    </row>
    <row r="61" spans="1:6" x14ac:dyDescent="0.2">
      <c r="A61" s="19">
        <v>26</v>
      </c>
      <c r="B61" s="143" t="s">
        <v>23</v>
      </c>
      <c r="C61" s="144"/>
      <c r="D61" s="14">
        <f>IF(F3="1",SUMIF(Data!A:A,'17'!$A$2,Data!DT:DT),0)</f>
        <v>12480</v>
      </c>
      <c r="E61" s="17">
        <f>IF($F$3="1",SUMIF(Data!$A:$A,$A$2,Data!JN:JN),0)</f>
        <v>26324</v>
      </c>
      <c r="F61" s="21">
        <f t="shared" si="3"/>
        <v>2.11</v>
      </c>
    </row>
    <row r="62" spans="1:6" x14ac:dyDescent="0.2">
      <c r="A62" s="19">
        <v>28</v>
      </c>
      <c r="B62" s="143" t="s">
        <v>24</v>
      </c>
      <c r="C62" s="144"/>
      <c r="D62" s="14">
        <f>IF(F3="1",SUMIF(Data!A:A,'17'!$A$2,Data!DV:DV),0)</f>
        <v>0</v>
      </c>
      <c r="E62" s="17">
        <f>IF($F$3="1",SUMIF(Data!$A:$A,$A$2,Data!JP:JP),0)</f>
        <v>0</v>
      </c>
      <c r="F62" s="21" t="str">
        <f t="shared" si="3"/>
        <v/>
      </c>
    </row>
    <row r="63" spans="1:6" ht="15.75" customHeight="1" thickBot="1" x14ac:dyDescent="0.25">
      <c r="A63" s="22">
        <v>29</v>
      </c>
      <c r="B63" s="147" t="s">
        <v>25</v>
      </c>
      <c r="C63" s="148"/>
      <c r="D63" s="23">
        <f>IF(F3="1",SUMIF(Data!A:A,'17'!$A$2,Data!DW:DW),0)</f>
        <v>0</v>
      </c>
      <c r="E63" s="24">
        <f>IF($F$3="1",SUMIF(Data!$A:$A,$A$2,Data!JQ:JQ),0)</f>
        <v>0</v>
      </c>
      <c r="F63" s="25" t="str">
        <f t="shared" si="3"/>
        <v/>
      </c>
    </row>
    <row r="64" spans="1:6" x14ac:dyDescent="0.2">
      <c r="B64" s="30" t="s">
        <v>35</v>
      </c>
      <c r="C64" s="30"/>
      <c r="D64" s="59">
        <f>SUM(D36:D63)</f>
        <v>640589</v>
      </c>
      <c r="E64" s="31">
        <f>SUM(E36:E63)</f>
        <v>618499</v>
      </c>
      <c r="F64" s="32">
        <f t="shared" si="3"/>
        <v>0.97</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22176</v>
      </c>
      <c r="E67" s="15">
        <f>IF(F3="1",SUMIF(Data!A:A,'17'!$A$2,Data!DY:DY),0)</f>
        <v>105321</v>
      </c>
      <c r="F67" s="20">
        <f t="shared" ref="F67:F95" si="4">IF(OR(D67=0,E67=0),"",ROUND(E67/D67,2))</f>
        <v>4.75</v>
      </c>
    </row>
    <row r="68" spans="1:6" x14ac:dyDescent="0.2">
      <c r="A68" s="19">
        <v>2</v>
      </c>
      <c r="B68" s="143" t="s">
        <v>1</v>
      </c>
      <c r="C68" s="144"/>
      <c r="D68" s="14">
        <f t="shared" ref="D68:D94" si="5">D37</f>
        <v>7464</v>
      </c>
      <c r="E68" s="17">
        <f>IF(F3="1",SUMIF(Data!A:A,'17'!$A$2,Data!DZ:DZ),0)</f>
        <v>0</v>
      </c>
      <c r="F68" s="21" t="str">
        <f t="shared" si="4"/>
        <v/>
      </c>
    </row>
    <row r="69" spans="1:6" ht="14.25" customHeight="1" x14ac:dyDescent="0.2">
      <c r="A69" s="19">
        <v>3</v>
      </c>
      <c r="B69" s="143" t="s">
        <v>2</v>
      </c>
      <c r="C69" s="144"/>
      <c r="D69" s="14">
        <f t="shared" si="5"/>
        <v>64096</v>
      </c>
      <c r="E69" s="17">
        <f>IF(F3="1",SUMIF(Data!A:A,'17'!$A$2,Data!EA:EA),0)</f>
        <v>187378</v>
      </c>
      <c r="F69" s="21">
        <f t="shared" si="4"/>
        <v>2.92</v>
      </c>
    </row>
    <row r="70" spans="1:6" ht="14.25" customHeight="1" x14ac:dyDescent="0.2">
      <c r="A70" s="19">
        <v>4</v>
      </c>
      <c r="B70" s="143" t="s">
        <v>3</v>
      </c>
      <c r="C70" s="144"/>
      <c r="D70" s="14">
        <f t="shared" si="5"/>
        <v>28424</v>
      </c>
      <c r="E70" s="17">
        <f>IF(F3="1",SUMIF(Data!A:A,'17'!$A$2,Data!EB:EB),0)</f>
        <v>100897</v>
      </c>
      <c r="F70" s="21">
        <f t="shared" si="4"/>
        <v>3.55</v>
      </c>
    </row>
    <row r="71" spans="1:6" x14ac:dyDescent="0.2">
      <c r="A71" s="19">
        <v>5</v>
      </c>
      <c r="B71" s="143" t="s">
        <v>4</v>
      </c>
      <c r="C71" s="144"/>
      <c r="D71" s="14">
        <f t="shared" si="5"/>
        <v>0</v>
      </c>
      <c r="E71" s="17">
        <f>IF(F3="1",SUMIF(Data!A:A,'17'!$A$2,Data!EC:EC),0)</f>
        <v>0</v>
      </c>
      <c r="F71" s="21" t="str">
        <f t="shared" si="4"/>
        <v/>
      </c>
    </row>
    <row r="72" spans="1:6" x14ac:dyDescent="0.2">
      <c r="A72" s="19">
        <v>6</v>
      </c>
      <c r="B72" s="143" t="s">
        <v>5</v>
      </c>
      <c r="C72" s="144"/>
      <c r="D72" s="14">
        <f t="shared" si="5"/>
        <v>3360</v>
      </c>
      <c r="E72" s="17">
        <f>IF(F3="1",SUMIF(Data!A:A,'17'!$A$2,Data!ED:ED),0)</f>
        <v>0</v>
      </c>
      <c r="F72" s="21" t="str">
        <f t="shared" si="4"/>
        <v/>
      </c>
    </row>
    <row r="73" spans="1:6" x14ac:dyDescent="0.2">
      <c r="A73" s="19">
        <v>7</v>
      </c>
      <c r="B73" s="143" t="s">
        <v>6</v>
      </c>
      <c r="C73" s="144"/>
      <c r="D73" s="14">
        <f t="shared" si="5"/>
        <v>60390</v>
      </c>
      <c r="E73" s="17">
        <f>IF(F3="1",SUMIF(Data!A:A,'17'!$A$2,Data!EE:EE),0)</f>
        <v>23158</v>
      </c>
      <c r="F73" s="21">
        <f t="shared" si="4"/>
        <v>0.38</v>
      </c>
    </row>
    <row r="74" spans="1:6" x14ac:dyDescent="0.2">
      <c r="A74" s="19">
        <v>8</v>
      </c>
      <c r="B74" s="143" t="s">
        <v>7</v>
      </c>
      <c r="C74" s="144"/>
      <c r="D74" s="14">
        <f t="shared" si="5"/>
        <v>744</v>
      </c>
      <c r="E74" s="17">
        <f>IF(F3="1",SUMIF(Data!A:A,'17'!$A$2,Data!EF:EF),0)</f>
        <v>0</v>
      </c>
      <c r="F74" s="21" t="str">
        <f t="shared" si="4"/>
        <v/>
      </c>
    </row>
    <row r="75" spans="1:6" x14ac:dyDescent="0.2">
      <c r="A75" s="19">
        <v>9</v>
      </c>
      <c r="B75" s="143" t="s">
        <v>8</v>
      </c>
      <c r="C75" s="144"/>
      <c r="D75" s="14">
        <f t="shared" si="5"/>
        <v>48576</v>
      </c>
      <c r="E75" s="17">
        <f>IF(F3="1",SUMIF(Data!A:A,'17'!$A$2,Data!EG:EG),0)</f>
        <v>37892</v>
      </c>
      <c r="F75" s="21">
        <f t="shared" si="4"/>
        <v>0.78</v>
      </c>
    </row>
    <row r="76" spans="1:6" x14ac:dyDescent="0.2">
      <c r="A76" s="19">
        <v>10</v>
      </c>
      <c r="B76" s="143" t="s">
        <v>9</v>
      </c>
      <c r="C76" s="144"/>
      <c r="D76" s="14">
        <f t="shared" si="5"/>
        <v>0</v>
      </c>
      <c r="E76" s="17">
        <f>IF(F3="1",SUMIF(Data!A:A,'17'!$A$2,Data!EH:EH),0)</f>
        <v>0</v>
      </c>
      <c r="F76" s="21" t="str">
        <f t="shared" si="4"/>
        <v/>
      </c>
    </row>
    <row r="77" spans="1:6" x14ac:dyDescent="0.2">
      <c r="A77" s="19">
        <v>11</v>
      </c>
      <c r="B77" s="143" t="s">
        <v>10</v>
      </c>
      <c r="C77" s="144"/>
      <c r="D77" s="14">
        <f t="shared" si="5"/>
        <v>42646</v>
      </c>
      <c r="E77" s="17">
        <f>IF(F3="1",SUMIF(Data!A:A,'17'!$A$2,Data!EI:EI),0)</f>
        <v>0</v>
      </c>
      <c r="F77" s="21" t="str">
        <f t="shared" si="4"/>
        <v/>
      </c>
    </row>
    <row r="78" spans="1:6" ht="14.25" customHeight="1" x14ac:dyDescent="0.2">
      <c r="A78" s="19">
        <v>12</v>
      </c>
      <c r="B78" s="143" t="s">
        <v>11</v>
      </c>
      <c r="C78" s="144"/>
      <c r="D78" s="14">
        <f t="shared" si="5"/>
        <v>84879</v>
      </c>
      <c r="E78" s="17">
        <f>IF(F3="1",SUMIF(Data!A:A,'17'!$A$2,Data!EJ:EJ),0)</f>
        <v>104130</v>
      </c>
      <c r="F78" s="21">
        <f t="shared" si="4"/>
        <v>1.23</v>
      </c>
    </row>
    <row r="79" spans="1:6" x14ac:dyDescent="0.2">
      <c r="A79" s="19">
        <v>13</v>
      </c>
      <c r="B79" s="143" t="s">
        <v>12</v>
      </c>
      <c r="C79" s="144"/>
      <c r="D79" s="14">
        <f t="shared" si="5"/>
        <v>3805</v>
      </c>
      <c r="E79" s="17">
        <f>IF(F3="1",SUMIF(Data!A:A,'17'!$A$2,Data!EK:EK),0)</f>
        <v>0</v>
      </c>
      <c r="F79" s="21" t="str">
        <f t="shared" si="4"/>
        <v/>
      </c>
    </row>
    <row r="80" spans="1:6" ht="14.25" customHeight="1" x14ac:dyDescent="0.2">
      <c r="A80" s="19">
        <v>14</v>
      </c>
      <c r="B80" s="143" t="s">
        <v>464</v>
      </c>
      <c r="C80" s="144"/>
      <c r="D80" s="14">
        <f t="shared" si="5"/>
        <v>37080</v>
      </c>
      <c r="E80" s="17">
        <f>IF(F3="1",SUMIF(Data!A:A,'17'!$A$2,Data!EL:EL),0)</f>
        <v>92640</v>
      </c>
      <c r="F80" s="21">
        <f t="shared" si="4"/>
        <v>2.5</v>
      </c>
    </row>
    <row r="81" spans="1:6" x14ac:dyDescent="0.2">
      <c r="A81" s="19">
        <v>15</v>
      </c>
      <c r="B81" s="143" t="s">
        <v>13</v>
      </c>
      <c r="C81" s="144"/>
      <c r="D81" s="14">
        <f t="shared" si="5"/>
        <v>0</v>
      </c>
      <c r="E81" s="17">
        <f>IF(F3="1",SUMIF(Data!A:A,'17'!$A$2,Data!EM:EM),0)</f>
        <v>0</v>
      </c>
      <c r="F81" s="21" t="str">
        <f t="shared" si="4"/>
        <v/>
      </c>
    </row>
    <row r="82" spans="1:6" x14ac:dyDescent="0.2">
      <c r="A82" s="19">
        <v>16</v>
      </c>
      <c r="B82" s="143" t="s">
        <v>14</v>
      </c>
      <c r="C82" s="144"/>
      <c r="D82" s="14">
        <f t="shared" si="5"/>
        <v>42209</v>
      </c>
      <c r="E82" s="17">
        <f>IF(F3="1",SUMIF(Data!A:A,'17'!$A$2,Data!EN:EN),0)</f>
        <v>26271</v>
      </c>
      <c r="F82" s="21">
        <f t="shared" si="4"/>
        <v>0.62</v>
      </c>
    </row>
    <row r="83" spans="1:6" x14ac:dyDescent="0.2">
      <c r="A83" s="19">
        <v>17</v>
      </c>
      <c r="B83" s="143" t="s">
        <v>15</v>
      </c>
      <c r="C83" s="144"/>
      <c r="D83" s="14">
        <f t="shared" si="5"/>
        <v>0</v>
      </c>
      <c r="E83" s="17">
        <f>IF(F3="1",SUMIF(Data!A:A,'17'!$A$2,Data!EO:EO),0)</f>
        <v>0</v>
      </c>
      <c r="F83" s="21" t="str">
        <f t="shared" si="4"/>
        <v/>
      </c>
    </row>
    <row r="84" spans="1:6" x14ac:dyDescent="0.2">
      <c r="A84" s="19">
        <v>18</v>
      </c>
      <c r="B84" s="143" t="s">
        <v>16</v>
      </c>
      <c r="C84" s="144"/>
      <c r="D84" s="14">
        <f t="shared" si="5"/>
        <v>12528</v>
      </c>
      <c r="E84" s="17">
        <f>IF(F3="1",SUMIF(Data!A:A,'17'!$A$2,Data!EP:EP),0)</f>
        <v>19358</v>
      </c>
      <c r="F84" s="21">
        <f t="shared" si="4"/>
        <v>1.55</v>
      </c>
    </row>
    <row r="85" spans="1:6" x14ac:dyDescent="0.2">
      <c r="A85" s="19">
        <v>19</v>
      </c>
      <c r="B85" s="143" t="s">
        <v>17</v>
      </c>
      <c r="C85" s="144"/>
      <c r="D85" s="14">
        <f t="shared" si="5"/>
        <v>41380</v>
      </c>
      <c r="E85" s="17">
        <f>IF(F3="1",SUMIF(Data!A:A,'17'!$A$2,Data!EQ:EQ),0)</f>
        <v>32350</v>
      </c>
      <c r="F85" s="21">
        <f t="shared" si="4"/>
        <v>0.78</v>
      </c>
    </row>
    <row r="86" spans="1:6" x14ac:dyDescent="0.2">
      <c r="A86" s="19">
        <v>20</v>
      </c>
      <c r="B86" s="143" t="s">
        <v>18</v>
      </c>
      <c r="C86" s="144"/>
      <c r="D86" s="14">
        <f t="shared" si="5"/>
        <v>0</v>
      </c>
      <c r="E86" s="17">
        <f>IF(F3="1",SUMIF(Data!A:A,'17'!$A$2,Data!ER:ER),0)</f>
        <v>0</v>
      </c>
      <c r="F86" s="21" t="str">
        <f t="shared" si="4"/>
        <v/>
      </c>
    </row>
    <row r="87" spans="1:6" ht="14.25" customHeight="1" x14ac:dyDescent="0.2">
      <c r="A87" s="19">
        <v>21</v>
      </c>
      <c r="B87" s="143" t="s">
        <v>461</v>
      </c>
      <c r="C87" s="144"/>
      <c r="D87" s="14">
        <f t="shared" si="5"/>
        <v>0</v>
      </c>
      <c r="E87" s="17">
        <f>IF(F3="1",SUMIF(Data!A:A,'17'!$A$2,Data!ES:ES),0)</f>
        <v>0</v>
      </c>
      <c r="F87" s="21" t="str">
        <f t="shared" si="4"/>
        <v/>
      </c>
    </row>
    <row r="88" spans="1:6" x14ac:dyDescent="0.2">
      <c r="A88" s="19">
        <v>22</v>
      </c>
      <c r="B88" s="143" t="s">
        <v>19</v>
      </c>
      <c r="C88" s="144"/>
      <c r="D88" s="14">
        <f t="shared" si="5"/>
        <v>24096</v>
      </c>
      <c r="E88" s="17">
        <f>IF(F3="1",SUMIF(Data!A:A,'17'!$A$2,Data!ET:ET),0)</f>
        <v>0</v>
      </c>
      <c r="F88" s="21" t="str">
        <f t="shared" si="4"/>
        <v/>
      </c>
    </row>
    <row r="89" spans="1:6" x14ac:dyDescent="0.2">
      <c r="A89" s="19">
        <v>23</v>
      </c>
      <c r="B89" s="143" t="s">
        <v>20</v>
      </c>
      <c r="C89" s="144"/>
      <c r="D89" s="14">
        <f t="shared" si="5"/>
        <v>26912</v>
      </c>
      <c r="E89" s="17">
        <f>IF(F3="1",SUMIF(Data!A:A,'17'!$A$2,Data!EU:EU),0)</f>
        <v>115182</v>
      </c>
      <c r="F89" s="21">
        <f t="shared" si="4"/>
        <v>4.28</v>
      </c>
    </row>
    <row r="90" spans="1:6" x14ac:dyDescent="0.2">
      <c r="A90" s="19">
        <v>24</v>
      </c>
      <c r="B90" s="143" t="s">
        <v>21</v>
      </c>
      <c r="C90" s="144"/>
      <c r="D90" s="14">
        <f t="shared" si="5"/>
        <v>4336</v>
      </c>
      <c r="E90" s="17">
        <f>IF(F3="1",SUMIF(Data!A:A,'17'!$A$2,Data!EV:EV),0)</f>
        <v>0</v>
      </c>
      <c r="F90" s="21" t="str">
        <f t="shared" si="4"/>
        <v/>
      </c>
    </row>
    <row r="91" spans="1:6" x14ac:dyDescent="0.2">
      <c r="A91" s="19">
        <v>25</v>
      </c>
      <c r="B91" s="143" t="s">
        <v>22</v>
      </c>
      <c r="C91" s="144"/>
      <c r="D91" s="14">
        <f t="shared" si="5"/>
        <v>73008</v>
      </c>
      <c r="E91" s="17">
        <f>IF(F3="1",SUMIF(Data!A:A,'17'!$A$2,Data!EW:EW),0)</f>
        <v>134447</v>
      </c>
      <c r="F91" s="21">
        <f t="shared" si="4"/>
        <v>1.84</v>
      </c>
    </row>
    <row r="92" spans="1:6" x14ac:dyDescent="0.2">
      <c r="A92" s="19">
        <v>26</v>
      </c>
      <c r="B92" s="143" t="s">
        <v>23</v>
      </c>
      <c r="C92" s="144"/>
      <c r="D92" s="14">
        <f t="shared" si="5"/>
        <v>12480</v>
      </c>
      <c r="E92" s="17">
        <f>IF(F3="1",SUMIF(Data!A:A,'17'!$A$2,Data!EX:EX),0)</f>
        <v>41940</v>
      </c>
      <c r="F92" s="21">
        <f t="shared" si="4"/>
        <v>3.36</v>
      </c>
    </row>
    <row r="93" spans="1:6" x14ac:dyDescent="0.2">
      <c r="A93" s="19">
        <v>28</v>
      </c>
      <c r="B93" s="143" t="s">
        <v>24</v>
      </c>
      <c r="C93" s="144"/>
      <c r="D93" s="14">
        <f t="shared" si="5"/>
        <v>0</v>
      </c>
      <c r="E93" s="17">
        <f>IF(F3="1",SUMIF(Data!A:A,'17'!$A$2,Data!EZ:EZ),0)</f>
        <v>0</v>
      </c>
      <c r="F93" s="21" t="str">
        <f t="shared" si="4"/>
        <v/>
      </c>
    </row>
    <row r="94" spans="1:6" ht="15.75" customHeight="1" thickBot="1" x14ac:dyDescent="0.25">
      <c r="A94" s="22">
        <v>29</v>
      </c>
      <c r="B94" s="147" t="s">
        <v>25</v>
      </c>
      <c r="C94" s="148"/>
      <c r="D94" s="23">
        <f t="shared" si="5"/>
        <v>0</v>
      </c>
      <c r="E94" s="24">
        <f>IF(F3="1",SUMIF(Data!A:A,'17'!$A$2,Data!FA:FA),0)</f>
        <v>0</v>
      </c>
      <c r="F94" s="25" t="str">
        <f t="shared" si="4"/>
        <v/>
      </c>
    </row>
    <row r="95" spans="1:6" x14ac:dyDescent="0.2">
      <c r="B95" s="30" t="s">
        <v>35</v>
      </c>
      <c r="C95" s="30"/>
      <c r="D95" s="59">
        <f>SUM(D67:D94)</f>
        <v>640589</v>
      </c>
      <c r="E95" s="31">
        <f>SUM(E67:E94)</f>
        <v>1020964</v>
      </c>
      <c r="F95" s="32">
        <f t="shared" si="4"/>
        <v>1.59</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IF(F3="1",SUMIF(Data!A:A,'17'!$A$2,Data!AH:AH),0)</f>
        <v>726336</v>
      </c>
      <c r="F98" s="20">
        <f>IF(OR(E98=0,E98=0),"",ROUND(E98/$D$105,2))</f>
        <v>1.1299999999999999</v>
      </c>
    </row>
    <row r="99" spans="2:6" x14ac:dyDescent="0.2">
      <c r="B99" s="153" t="s">
        <v>31</v>
      </c>
      <c r="C99" s="154"/>
      <c r="D99" s="36"/>
      <c r="E99" s="17">
        <f>IF(F3="1",SUMIF(Data!A:A,'17'!$A$2,Data!AI:AI),0)</f>
        <v>321927</v>
      </c>
      <c r="F99" s="21">
        <f t="shared" ref="F99:F104" si="6">IF(OR(E99=0,E99=0),"",ROUND(E99/$D$105,2))</f>
        <v>0.5</v>
      </c>
    </row>
    <row r="100" spans="2:6" x14ac:dyDescent="0.2">
      <c r="B100" s="153" t="s">
        <v>1078</v>
      </c>
      <c r="C100" s="154"/>
      <c r="D100" s="36"/>
      <c r="E100" s="17">
        <f>IF(F3="1",SUMIF(Data!A:A,'17'!$A$2,Data!AJ:AJ),0)</f>
        <v>129824</v>
      </c>
      <c r="F100" s="21">
        <f t="shared" si="6"/>
        <v>0.2</v>
      </c>
    </row>
    <row r="101" spans="2:6" x14ac:dyDescent="0.2">
      <c r="B101" s="153" t="s">
        <v>1079</v>
      </c>
      <c r="C101" s="154"/>
      <c r="D101" s="36"/>
      <c r="E101" s="17">
        <f>IF(F3="1",SUMIF(Data!A:A,'17'!$A$2,Data!AK:AK),0)</f>
        <v>475923</v>
      </c>
      <c r="F101" s="21">
        <f t="shared" si="6"/>
        <v>0.74</v>
      </c>
    </row>
    <row r="102" spans="2:6" x14ac:dyDescent="0.2">
      <c r="B102" s="153" t="s">
        <v>1080</v>
      </c>
      <c r="C102" s="154"/>
      <c r="D102" s="36"/>
      <c r="E102" s="17">
        <f>IF(F3="1",SUMIF(Data!A:A,'17'!$A$2,Data!AL:AL),0)</f>
        <v>36733</v>
      </c>
      <c r="F102" s="21">
        <f t="shared" si="6"/>
        <v>0.06</v>
      </c>
    </row>
    <row r="103" spans="2:6" x14ac:dyDescent="0.2">
      <c r="B103" s="155" t="s">
        <v>34</v>
      </c>
      <c r="C103" s="156"/>
      <c r="D103" s="36"/>
      <c r="E103" s="17">
        <f>IF(F3="1",SUMIF(Data!A:A,'17'!$A$2,Data!AM:AM),0)</f>
        <v>0</v>
      </c>
      <c r="F103" s="21" t="str">
        <f t="shared" si="6"/>
        <v/>
      </c>
    </row>
    <row r="104" spans="2:6" ht="15.75" customHeight="1" thickBot="1" x14ac:dyDescent="0.25">
      <c r="B104" s="149" t="s">
        <v>29</v>
      </c>
      <c r="C104" s="150"/>
      <c r="D104" s="37"/>
      <c r="E104" s="24">
        <f>IF(F3="1",SUMIF(Data!A:A,'17'!$A$2,Data!Q:Q),0)</f>
        <v>155631</v>
      </c>
      <c r="F104" s="25">
        <f t="shared" si="6"/>
        <v>0.24</v>
      </c>
    </row>
    <row r="105" spans="2:6" x14ac:dyDescent="0.2">
      <c r="B105" s="30" t="s">
        <v>35</v>
      </c>
      <c r="C105" s="30"/>
      <c r="D105" s="34">
        <f>D95</f>
        <v>640589</v>
      </c>
      <c r="E105" s="31">
        <f>SUM(E98:E104)</f>
        <v>1846374</v>
      </c>
      <c r="F105" s="32">
        <f>IF($D$105=0,"",ROUND(E105/$D$105,2))</f>
        <v>2.88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1020964</v>
      </c>
      <c r="D109" s="15">
        <f>IF(F3="1",SUMIF(Data!$A:$A,$A$2,Data!HJ:HJ),0)</f>
        <v>0</v>
      </c>
      <c r="E109" s="15">
        <f>IF(F3="1",SUMIF(Data!$A:$A,$A$2,Data!IN:IN),0)</f>
        <v>0</v>
      </c>
      <c r="F109" s="47">
        <f>SUM(C109:E109)</f>
        <v>1020964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36733</v>
      </c>
      <c r="F116" s="48">
        <f t="shared" si="7"/>
        <v>36733</v>
      </c>
    </row>
    <row r="117" spans="1:6" ht="15" thickBot="1" x14ac:dyDescent="0.25">
      <c r="B117" s="43" t="s">
        <v>933</v>
      </c>
      <c r="C117" s="52"/>
      <c r="D117" s="52">
        <f>IF(F3="1",SUMIF(Data!A:A,$A$2,Data!Q:Q),0)</f>
        <v>155631</v>
      </c>
      <c r="E117" s="52"/>
      <c r="F117" s="49">
        <f>SUM(C117:E117)</f>
        <v>155631</v>
      </c>
    </row>
    <row r="118" spans="1:6" x14ac:dyDescent="0.2">
      <c r="B118" s="13" t="s">
        <v>35</v>
      </c>
      <c r="C118" s="4">
        <f>SUM(C109:C116)</f>
        <v>1020964</v>
      </c>
      <c r="D118" s="4">
        <f>SUM(D109:D116)</f>
        <v>0</v>
      </c>
      <c r="E118" s="4">
        <f>SUM(E109:E116)</f>
        <v>36733</v>
      </c>
      <c r="F118" s="4">
        <f>SUM(F109:F116)</f>
        <v>1057697</v>
      </c>
    </row>
    <row r="119" spans="1:6" ht="15" thickBot="1" x14ac:dyDescent="0.25"/>
    <row r="120" spans="1:6" ht="15" thickBot="1" x14ac:dyDescent="0.25">
      <c r="B120" s="55" t="s">
        <v>934</v>
      </c>
      <c r="C120" s="53"/>
      <c r="D120" s="53"/>
      <c r="E120" s="53">
        <f>IF(F3="1",SUMIF(Data!A:A,'17'!$A$2,Data!AM:AM),0)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423</v>
      </c>
      <c r="B2" s="58" t="str">
        <f>VLOOKUP(A2,Data!A:G,7,0)</f>
        <v>Galveston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26760</v>
      </c>
      <c r="E6" s="17">
        <f t="shared" ref="E6:E32" si="1">E37+E68+IFERROR($E$105/$D$105*D6,0)</f>
        <v>146005.90041410431</v>
      </c>
      <c r="F6" s="21">
        <f t="shared" ref="F6:F33" si="2">IF(OR(D6=0,E6=0),"",ROUND(E6/D6,2))</f>
        <v>5.46</v>
      </c>
    </row>
    <row r="7" spans="1:6" ht="14.25" customHeight="1" x14ac:dyDescent="0.2">
      <c r="A7" s="19">
        <v>3</v>
      </c>
      <c r="B7" s="143" t="s">
        <v>2</v>
      </c>
      <c r="C7" s="144"/>
      <c r="D7" s="14">
        <f t="shared" si="0"/>
        <v>97056</v>
      </c>
      <c r="E7" s="17">
        <f t="shared" si="1"/>
        <v>766174.6540579712</v>
      </c>
      <c r="F7" s="21">
        <f t="shared" si="2"/>
        <v>7.89</v>
      </c>
    </row>
    <row r="8" spans="1:6" ht="14.25" customHeight="1" x14ac:dyDescent="0.2">
      <c r="A8" s="19">
        <v>4</v>
      </c>
      <c r="B8" s="143" t="s">
        <v>3</v>
      </c>
      <c r="C8" s="144"/>
      <c r="D8" s="14">
        <f t="shared" si="0"/>
        <v>159056</v>
      </c>
      <c r="E8" s="17">
        <f t="shared" si="1"/>
        <v>1055479.9584553726</v>
      </c>
      <c r="F8" s="21">
        <f t="shared" si="2"/>
        <v>6.64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53500</v>
      </c>
      <c r="E11" s="17">
        <f t="shared" si="1"/>
        <v>393009.7949235643</v>
      </c>
      <c r="F11" s="21">
        <f t="shared" si="2"/>
        <v>7.35</v>
      </c>
    </row>
    <row r="12" spans="1:6" x14ac:dyDescent="0.2">
      <c r="A12" s="19">
        <v>8</v>
      </c>
      <c r="B12" s="143" t="s">
        <v>7</v>
      </c>
      <c r="C12" s="144"/>
      <c r="D12" s="14">
        <f t="shared" si="0"/>
        <v>33436</v>
      </c>
      <c r="E12" s="17">
        <f t="shared" si="1"/>
        <v>239529.87138437937</v>
      </c>
      <c r="F12" s="21">
        <f t="shared" si="2"/>
        <v>7.16</v>
      </c>
    </row>
    <row r="13" spans="1:6" x14ac:dyDescent="0.2">
      <c r="A13" s="19">
        <v>9</v>
      </c>
      <c r="B13" s="143" t="s">
        <v>8</v>
      </c>
      <c r="C13" s="144"/>
      <c r="D13" s="14">
        <f t="shared" si="0"/>
        <v>53739</v>
      </c>
      <c r="E13" s="17">
        <f t="shared" si="1"/>
        <v>345532.86548406398</v>
      </c>
      <c r="F13" s="21">
        <f t="shared" si="2"/>
        <v>6.43</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11372</v>
      </c>
      <c r="E15" s="17">
        <f t="shared" si="1"/>
        <v>72366.357380762114</v>
      </c>
      <c r="F15" s="21">
        <f t="shared" si="2"/>
        <v>6.36</v>
      </c>
    </row>
    <row r="16" spans="1:6" ht="14.25" customHeight="1" x14ac:dyDescent="0.2">
      <c r="A16" s="19">
        <v>12</v>
      </c>
      <c r="B16" s="143" t="s">
        <v>11</v>
      </c>
      <c r="C16" s="144"/>
      <c r="D16" s="14">
        <f t="shared" si="0"/>
        <v>139088</v>
      </c>
      <c r="E16" s="17">
        <f t="shared" si="1"/>
        <v>921971.06325848063</v>
      </c>
      <c r="F16" s="21">
        <f t="shared" si="2"/>
        <v>6.63</v>
      </c>
    </row>
    <row r="17" spans="1:6" x14ac:dyDescent="0.2">
      <c r="A17" s="19">
        <v>13</v>
      </c>
      <c r="B17" s="143" t="s">
        <v>12</v>
      </c>
      <c r="C17" s="144"/>
      <c r="D17" s="14">
        <f t="shared" si="0"/>
        <v>12656</v>
      </c>
      <c r="E17" s="17">
        <f t="shared" si="1"/>
        <v>70513.736458927655</v>
      </c>
      <c r="F17" s="21">
        <f t="shared" si="2"/>
        <v>5.57</v>
      </c>
    </row>
    <row r="18" spans="1:6" ht="14.25" customHeight="1" x14ac:dyDescent="0.2">
      <c r="A18" s="19">
        <v>14</v>
      </c>
      <c r="B18" s="143" t="s">
        <v>464</v>
      </c>
      <c r="C18" s="144"/>
      <c r="D18" s="14">
        <f t="shared" si="0"/>
        <v>69161</v>
      </c>
      <c r="E18" s="17">
        <f t="shared" si="1"/>
        <v>724070.4185553015</v>
      </c>
      <c r="F18" s="21">
        <f t="shared" si="2"/>
        <v>10.47</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75003</v>
      </c>
      <c r="E20" s="17">
        <f t="shared" si="1"/>
        <v>617515.14330190828</v>
      </c>
      <c r="F20" s="21">
        <f t="shared" si="2"/>
        <v>8.23</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37981</v>
      </c>
      <c r="E22" s="17">
        <f t="shared" si="1"/>
        <v>263237.2132148018</v>
      </c>
      <c r="F22" s="21">
        <f t="shared" si="2"/>
        <v>6.93</v>
      </c>
    </row>
    <row r="23" spans="1:6" x14ac:dyDescent="0.2">
      <c r="A23" s="19">
        <v>19</v>
      </c>
      <c r="B23" s="143" t="s">
        <v>17</v>
      </c>
      <c r="C23" s="144"/>
      <c r="D23" s="14">
        <f t="shared" si="0"/>
        <v>99376</v>
      </c>
      <c r="E23" s="17">
        <f t="shared" si="1"/>
        <v>611987.33899671258</v>
      </c>
      <c r="F23" s="21">
        <f t="shared" si="2"/>
        <v>6.16</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48864</v>
      </c>
      <c r="E27" s="17">
        <f t="shared" si="1"/>
        <v>402720.4262270102</v>
      </c>
      <c r="F27" s="21">
        <f t="shared" si="2"/>
        <v>8.24</v>
      </c>
    </row>
    <row r="28" spans="1:6" x14ac:dyDescent="0.2">
      <c r="A28" s="19">
        <v>24</v>
      </c>
      <c r="B28" s="143" t="s">
        <v>21</v>
      </c>
      <c r="C28" s="144"/>
      <c r="D28" s="14">
        <f t="shared" si="0"/>
        <v>34372</v>
      </c>
      <c r="E28" s="17">
        <f t="shared" si="1"/>
        <v>212139.14772173369</v>
      </c>
      <c r="F28" s="21">
        <f t="shared" si="2"/>
        <v>6.17</v>
      </c>
    </row>
    <row r="29" spans="1:6" x14ac:dyDescent="0.2">
      <c r="A29" s="19">
        <v>25</v>
      </c>
      <c r="B29" s="143" t="s">
        <v>22</v>
      </c>
      <c r="C29" s="144"/>
      <c r="D29" s="14">
        <f t="shared" si="0"/>
        <v>146288</v>
      </c>
      <c r="E29" s="17">
        <f t="shared" si="1"/>
        <v>1103449.188930437</v>
      </c>
      <c r="F29" s="21">
        <f t="shared" si="2"/>
        <v>7.54</v>
      </c>
    </row>
    <row r="30" spans="1:6" x14ac:dyDescent="0.2">
      <c r="A30" s="19">
        <v>26</v>
      </c>
      <c r="B30" s="143" t="s">
        <v>23</v>
      </c>
      <c r="C30" s="144"/>
      <c r="D30" s="14">
        <f t="shared" si="0"/>
        <v>57315</v>
      </c>
      <c r="E30" s="17">
        <f t="shared" si="1"/>
        <v>515333.92123446893</v>
      </c>
      <c r="F30" s="21">
        <f t="shared" si="2"/>
        <v>8.99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1155023</v>
      </c>
      <c r="E33" s="31">
        <f>SUM(E5:E32)</f>
        <v>8461037</v>
      </c>
      <c r="F33" s="32">
        <f t="shared" si="2"/>
        <v>7.33</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IF(F3="1",SUMIF(Data!A:A,'18'!$A$2,Data!CU:CU),0)</f>
        <v>0</v>
      </c>
      <c r="E36" s="15">
        <f>IF(F3="1",SUMIF(Data!$A:$A,$A$2,Data!IO:IO),0)</f>
        <v>0</v>
      </c>
      <c r="F36" s="20" t="str">
        <f t="shared" ref="F36:F64" si="3">IF(OR(D36=0,E36=0),"",ROUND(E36/D36,2))</f>
        <v/>
      </c>
    </row>
    <row r="37" spans="1:6" x14ac:dyDescent="0.2">
      <c r="A37" s="19">
        <v>2</v>
      </c>
      <c r="B37" s="143" t="s">
        <v>1</v>
      </c>
      <c r="C37" s="144"/>
      <c r="D37" s="14">
        <f>IF(F3="1",SUMIF(Data!A:A,'18'!$A$2,Data!CV:CV),0)</f>
        <v>26760</v>
      </c>
      <c r="E37" s="17">
        <f>IF(F3="1",SUMIF(Data!$A:$A,$A$2,Data!IP:IP),0)</f>
        <v>27519</v>
      </c>
      <c r="F37" s="21">
        <f t="shared" si="3"/>
        <v>1.03</v>
      </c>
    </row>
    <row r="38" spans="1:6" ht="14.25" customHeight="1" x14ac:dyDescent="0.2">
      <c r="A38" s="19">
        <v>3</v>
      </c>
      <c r="B38" s="143" t="s">
        <v>2</v>
      </c>
      <c r="C38" s="144"/>
      <c r="D38" s="14">
        <f>IF(F3="1",SUMIF(Data!A:A,'18'!$A$2,Data!CW:CW),0)</f>
        <v>97056</v>
      </c>
      <c r="E38" s="17">
        <f>IF($F$3="1",SUMIF(Data!$A:$A,$A$2,Data!IQ:IQ),0)</f>
        <v>82303</v>
      </c>
      <c r="F38" s="21">
        <f t="shared" si="3"/>
        <v>0.85</v>
      </c>
    </row>
    <row r="39" spans="1:6" ht="14.25" customHeight="1" x14ac:dyDescent="0.2">
      <c r="A39" s="19">
        <v>4</v>
      </c>
      <c r="B39" s="143" t="s">
        <v>3</v>
      </c>
      <c r="C39" s="144"/>
      <c r="D39" s="14">
        <f>IF(F3="1",SUMIF(Data!A:A,'18'!$A$2,Data!CX:CX),0)</f>
        <v>159056</v>
      </c>
      <c r="E39" s="17">
        <f>IF($F$3="1",SUMIF(Data!$A:$A,$A$2,Data!IR:IR),0)</f>
        <v>116684</v>
      </c>
      <c r="F39" s="21">
        <f t="shared" si="3"/>
        <v>0.73</v>
      </c>
    </row>
    <row r="40" spans="1:6" x14ac:dyDescent="0.2">
      <c r="A40" s="19">
        <v>5</v>
      </c>
      <c r="B40" s="143" t="s">
        <v>4</v>
      </c>
      <c r="C40" s="144"/>
      <c r="D40" s="14">
        <f>IF(F3="1",SUMIF(Data!A:A,'18'!$A$2,Data!CY:CY),0)</f>
        <v>0</v>
      </c>
      <c r="E40" s="17">
        <f>IF($F$3="1",SUMIF(Data!$A:$A,$A$2,Data!IS:IS),0)</f>
        <v>0</v>
      </c>
      <c r="F40" s="21" t="str">
        <f t="shared" si="3"/>
        <v/>
      </c>
    </row>
    <row r="41" spans="1:6" x14ac:dyDescent="0.2">
      <c r="A41" s="19">
        <v>6</v>
      </c>
      <c r="B41" s="143" t="s">
        <v>5</v>
      </c>
      <c r="C41" s="144"/>
      <c r="D41" s="14">
        <f>IF(F3="1",SUMIF(Data!A:A,'18'!$A$2,Data!CZ:CZ),0)</f>
        <v>0</v>
      </c>
      <c r="E41" s="17">
        <f>IF($F$3="1",SUMIF(Data!$A:$A,$A$2,Data!IT:IT),0)</f>
        <v>0</v>
      </c>
      <c r="F41" s="21" t="str">
        <f t="shared" si="3"/>
        <v/>
      </c>
    </row>
    <row r="42" spans="1:6" x14ac:dyDescent="0.2">
      <c r="A42" s="19">
        <v>7</v>
      </c>
      <c r="B42" s="143" t="s">
        <v>6</v>
      </c>
      <c r="C42" s="144"/>
      <c r="D42" s="14">
        <f>IF(F3="1",SUMIF(Data!A:A,'18'!$A$2,Data!DA:DA),0)</f>
        <v>53500</v>
      </c>
      <c r="E42" s="17">
        <f>IF($F$3="1",SUMIF(Data!$A:$A,$A$2,Data!IU:IU),0)</f>
        <v>62796</v>
      </c>
      <c r="F42" s="21">
        <f t="shared" si="3"/>
        <v>1.17</v>
      </c>
    </row>
    <row r="43" spans="1:6" x14ac:dyDescent="0.2">
      <c r="A43" s="19">
        <v>8</v>
      </c>
      <c r="B43" s="143" t="s">
        <v>7</v>
      </c>
      <c r="C43" s="144"/>
      <c r="D43" s="14">
        <f>IF(F3="1",SUMIF(Data!A:A,'18'!$A$2,Data!DB:DB),0)</f>
        <v>33436</v>
      </c>
      <c r="E43" s="17">
        <f>IF($F$3="1",SUMIF(Data!$A:$A,$A$2,Data!IV:IV),0)</f>
        <v>27901</v>
      </c>
      <c r="F43" s="21">
        <f t="shared" si="3"/>
        <v>0.83</v>
      </c>
    </row>
    <row r="44" spans="1:6" x14ac:dyDescent="0.2">
      <c r="A44" s="19">
        <v>9</v>
      </c>
      <c r="B44" s="143" t="s">
        <v>8</v>
      </c>
      <c r="C44" s="144"/>
      <c r="D44" s="14">
        <f>IF(F3="1",SUMIF(Data!A:A,'18'!$A$2,Data!DC:DC),0)</f>
        <v>53739</v>
      </c>
      <c r="E44" s="17">
        <f>IF($F$3="1",SUMIF(Data!$A:$A,$A$2,Data!IW:IW),0)</f>
        <v>113075</v>
      </c>
      <c r="F44" s="21">
        <f t="shared" si="3"/>
        <v>2.1</v>
      </c>
    </row>
    <row r="45" spans="1:6" x14ac:dyDescent="0.2">
      <c r="A45" s="19">
        <v>10</v>
      </c>
      <c r="B45" s="143" t="s">
        <v>9</v>
      </c>
      <c r="C45" s="144"/>
      <c r="D45" s="14">
        <f>IF(F3="1",SUMIF(Data!A:A,'18'!$A$2,Data!DD:DD),0)</f>
        <v>0</v>
      </c>
      <c r="E45" s="17">
        <f>IF($F$3="1",SUMIF(Data!$A:$A,$A$2,Data!IX:IX),0)</f>
        <v>0</v>
      </c>
      <c r="F45" s="21" t="str">
        <f t="shared" si="3"/>
        <v/>
      </c>
    </row>
    <row r="46" spans="1:6" x14ac:dyDescent="0.2">
      <c r="A46" s="19">
        <v>11</v>
      </c>
      <c r="B46" s="143" t="s">
        <v>10</v>
      </c>
      <c r="C46" s="144"/>
      <c r="D46" s="14">
        <f>IF(F3="1",SUMIF(Data!A:A,'18'!$A$2,Data!DE:DE),0)</f>
        <v>11372</v>
      </c>
      <c r="E46" s="17">
        <f>IF($F$3="1",SUMIF(Data!$A:$A,$A$2,Data!IY:IY),0)</f>
        <v>26875</v>
      </c>
      <c r="F46" s="21">
        <f t="shared" si="3"/>
        <v>2.36</v>
      </c>
    </row>
    <row r="47" spans="1:6" ht="14.25" customHeight="1" x14ac:dyDescent="0.2">
      <c r="A47" s="19">
        <v>12</v>
      </c>
      <c r="B47" s="143" t="s">
        <v>11</v>
      </c>
      <c r="C47" s="144"/>
      <c r="D47" s="14">
        <f>IF(F3="1",SUMIF(Data!A:A,'18'!$A$2,Data!DF:DF),0)</f>
        <v>139088</v>
      </c>
      <c r="E47" s="17">
        <f>IF($F$3="1",SUMIF(Data!$A:$A,$A$2,Data!IZ:IZ),0)</f>
        <v>12406</v>
      </c>
      <c r="F47" s="21">
        <f t="shared" si="3"/>
        <v>0.09</v>
      </c>
    </row>
    <row r="48" spans="1:6" x14ac:dyDescent="0.2">
      <c r="A48" s="19">
        <v>13</v>
      </c>
      <c r="B48" s="143" t="s">
        <v>12</v>
      </c>
      <c r="C48" s="144"/>
      <c r="D48" s="14">
        <f>IF(F3="1",SUMIF(Data!A:A,'18'!$A$2,Data!DG:DG),0)</f>
        <v>12656</v>
      </c>
      <c r="E48" s="17">
        <f>IF($F$3="1",SUMIF(Data!$A:$A,$A$2,Data!JA:JA),0)</f>
        <v>529</v>
      </c>
      <c r="F48" s="21">
        <f t="shared" si="3"/>
        <v>0.04</v>
      </c>
    </row>
    <row r="49" spans="1:6" ht="14.25" customHeight="1" x14ac:dyDescent="0.2">
      <c r="A49" s="19">
        <v>14</v>
      </c>
      <c r="B49" s="143" t="s">
        <v>464</v>
      </c>
      <c r="C49" s="144"/>
      <c r="D49" s="14">
        <f>IF(F3="1",SUMIF(Data!A:A,'18'!$A$2,Data!DH:DH),0)</f>
        <v>69161</v>
      </c>
      <c r="E49" s="17">
        <f>IF($F$3="1",SUMIF(Data!$A:$A,$A$2,Data!JB:JB),0)</f>
        <v>24772</v>
      </c>
      <c r="F49" s="21">
        <f t="shared" si="3"/>
        <v>0.36</v>
      </c>
    </row>
    <row r="50" spans="1:6" x14ac:dyDescent="0.2">
      <c r="A50" s="19">
        <v>15</v>
      </c>
      <c r="B50" s="143" t="s">
        <v>13</v>
      </c>
      <c r="C50" s="144"/>
      <c r="D50" s="14">
        <f>IF(F3="1",SUMIF(Data!A:A,'18'!$A$2,Data!DI:DI),0)</f>
        <v>0</v>
      </c>
      <c r="E50" s="17">
        <f>IF($F$3="1",SUMIF(Data!$A:$A,$A$2,Data!JC:JC),0)</f>
        <v>0</v>
      </c>
      <c r="F50" s="21" t="str">
        <f t="shared" si="3"/>
        <v/>
      </c>
    </row>
    <row r="51" spans="1:6" x14ac:dyDescent="0.2">
      <c r="A51" s="19">
        <v>16</v>
      </c>
      <c r="B51" s="143" t="s">
        <v>14</v>
      </c>
      <c r="C51" s="144"/>
      <c r="D51" s="14">
        <f>IF(F3="1",SUMIF(Data!A:A,'18'!$A$2,Data!DJ:DJ),0)</f>
        <v>75003</v>
      </c>
      <c r="E51" s="17">
        <f>IF($F$3="1",SUMIF(Data!$A:$A,$A$2,Data!JD:JD),0)</f>
        <v>220249</v>
      </c>
      <c r="F51" s="21">
        <f t="shared" si="3"/>
        <v>2.94</v>
      </c>
    </row>
    <row r="52" spans="1:6" x14ac:dyDescent="0.2">
      <c r="A52" s="19">
        <v>17</v>
      </c>
      <c r="B52" s="143" t="s">
        <v>15</v>
      </c>
      <c r="C52" s="144"/>
      <c r="D52" s="14">
        <f>IF(F3="1",SUMIF(Data!A:A,'18'!$A$2,Data!DK:DK),0)</f>
        <v>0</v>
      </c>
      <c r="E52" s="17">
        <f>IF($F$3="1",SUMIF(Data!$A:$A,$A$2,Data!JE:JE),0)</f>
        <v>0</v>
      </c>
      <c r="F52" s="21" t="str">
        <f t="shared" si="3"/>
        <v/>
      </c>
    </row>
    <row r="53" spans="1:6" x14ac:dyDescent="0.2">
      <c r="A53" s="19">
        <v>18</v>
      </c>
      <c r="B53" s="143" t="s">
        <v>16</v>
      </c>
      <c r="C53" s="144"/>
      <c r="D53" s="14">
        <f>IF(F3="1",SUMIF(Data!A:A,'18'!$A$2,Data!DL:DL),0)</f>
        <v>37981</v>
      </c>
      <c r="E53" s="17">
        <f>IF($F$3="1",SUMIF(Data!$A:$A,$A$2,Data!JF:JF),0)</f>
        <v>3794</v>
      </c>
      <c r="F53" s="21">
        <f t="shared" si="3"/>
        <v>0.1</v>
      </c>
    </row>
    <row r="54" spans="1:6" x14ac:dyDescent="0.2">
      <c r="A54" s="19">
        <v>19</v>
      </c>
      <c r="B54" s="143" t="s">
        <v>17</v>
      </c>
      <c r="C54" s="144"/>
      <c r="D54" s="14">
        <f>IF(F3="1",SUMIF(Data!A:A,'18'!$A$2,Data!DM:DM),0)</f>
        <v>99376</v>
      </c>
      <c r="E54" s="17">
        <f>IF($F$3="1",SUMIF(Data!$A:$A,$A$2,Data!JG:JG),0)</f>
        <v>7629</v>
      </c>
      <c r="F54" s="21">
        <f t="shared" si="3"/>
        <v>0.08</v>
      </c>
    </row>
    <row r="55" spans="1:6" x14ac:dyDescent="0.2">
      <c r="A55" s="19">
        <v>20</v>
      </c>
      <c r="B55" s="143" t="s">
        <v>18</v>
      </c>
      <c r="C55" s="144"/>
      <c r="D55" s="14">
        <f>IF(F3="1",SUMIF(Data!A:A,'18'!$A$2,Data!DN:DN),0)</f>
        <v>0</v>
      </c>
      <c r="E55" s="17">
        <f>IF($F$3="1",SUMIF(Data!$A:$A,$A$2,Data!JH:JH),0)</f>
        <v>0</v>
      </c>
      <c r="F55" s="21" t="str">
        <f t="shared" si="3"/>
        <v/>
      </c>
    </row>
    <row r="56" spans="1:6" ht="14.25" customHeight="1" x14ac:dyDescent="0.2">
      <c r="A56" s="19">
        <v>21</v>
      </c>
      <c r="B56" s="143" t="s">
        <v>461</v>
      </c>
      <c r="C56" s="144"/>
      <c r="D56" s="14">
        <f>IF(F3="1",SUMIF(Data!A:A,'18'!$A$2,Data!DO:DO),0)</f>
        <v>0</v>
      </c>
      <c r="E56" s="17">
        <f>IF($F$3="1",SUMIF(Data!$A:$A,$A$2,Data!JI:JI),0)</f>
        <v>0</v>
      </c>
      <c r="F56" s="21" t="str">
        <f t="shared" si="3"/>
        <v/>
      </c>
    </row>
    <row r="57" spans="1:6" x14ac:dyDescent="0.2">
      <c r="A57" s="19">
        <v>22</v>
      </c>
      <c r="B57" s="143" t="s">
        <v>19</v>
      </c>
      <c r="C57" s="144"/>
      <c r="D57" s="14">
        <f>IF(F3="1",SUMIF(Data!A:A,'18'!$A$2,Data!DP:DP),0)</f>
        <v>0</v>
      </c>
      <c r="E57" s="17">
        <f>IF($F$3="1",SUMIF(Data!$A:$A,$A$2,Data!JJ:JJ),0)</f>
        <v>0</v>
      </c>
      <c r="F57" s="21" t="str">
        <f t="shared" si="3"/>
        <v/>
      </c>
    </row>
    <row r="58" spans="1:6" x14ac:dyDescent="0.2">
      <c r="A58" s="19">
        <v>23</v>
      </c>
      <c r="B58" s="143" t="s">
        <v>20</v>
      </c>
      <c r="C58" s="144"/>
      <c r="D58" s="14">
        <f>IF(F3="1",SUMIF(Data!A:A,'18'!$A$2,Data!DQ:DQ),0)</f>
        <v>48864</v>
      </c>
      <c r="E58" s="17">
        <f>IF($F$3="1",SUMIF(Data!$A:$A,$A$2,Data!JK:JK),0)</f>
        <v>24176</v>
      </c>
      <c r="F58" s="21">
        <f t="shared" si="3"/>
        <v>0.49</v>
      </c>
    </row>
    <row r="59" spans="1:6" x14ac:dyDescent="0.2">
      <c r="A59" s="19">
        <v>24</v>
      </c>
      <c r="B59" s="143" t="s">
        <v>21</v>
      </c>
      <c r="C59" s="144"/>
      <c r="D59" s="14">
        <f>IF(F3="1",SUMIF(Data!A:A,'18'!$A$2,Data!DR:DR),0)</f>
        <v>34372</v>
      </c>
      <c r="E59" s="17">
        <f>IF($F$3="1",SUMIF(Data!$A:$A,$A$2,Data!JL:JL),0)</f>
        <v>15036</v>
      </c>
      <c r="F59" s="21">
        <f t="shared" si="3"/>
        <v>0.44</v>
      </c>
    </row>
    <row r="60" spans="1:6" x14ac:dyDescent="0.2">
      <c r="A60" s="19">
        <v>25</v>
      </c>
      <c r="B60" s="143" t="s">
        <v>22</v>
      </c>
      <c r="C60" s="144"/>
      <c r="D60" s="14">
        <f>IF(F3="1",SUMIF(Data!A:A,'18'!$A$2,Data!DS:DS),0)</f>
        <v>146288</v>
      </c>
      <c r="E60" s="17">
        <f>IF($F$3="1",SUMIF(Data!$A:$A,$A$2,Data!JM:JM),0)</f>
        <v>35274</v>
      </c>
      <c r="F60" s="21">
        <f t="shared" si="3"/>
        <v>0.24</v>
      </c>
    </row>
    <row r="61" spans="1:6" x14ac:dyDescent="0.2">
      <c r="A61" s="19">
        <v>26</v>
      </c>
      <c r="B61" s="143" t="s">
        <v>23</v>
      </c>
      <c r="C61" s="144"/>
      <c r="D61" s="14">
        <f>IF(F3="1",SUMIF(Data!A:A,'18'!$A$2,Data!DT:DT),0)</f>
        <v>57315</v>
      </c>
      <c r="E61" s="17">
        <f>IF($F$3="1",SUMIF(Data!$A:$A,$A$2,Data!JN:JN),0)</f>
        <v>58598</v>
      </c>
      <c r="F61" s="21">
        <f t="shared" si="3"/>
        <v>1.02</v>
      </c>
    </row>
    <row r="62" spans="1:6" x14ac:dyDescent="0.2">
      <c r="A62" s="19">
        <v>28</v>
      </c>
      <c r="B62" s="143" t="s">
        <v>24</v>
      </c>
      <c r="C62" s="144"/>
      <c r="D62" s="14">
        <f>IF(F3="1",SUMIF(Data!A:A,'18'!$A$2,Data!DV:DV),0)</f>
        <v>0</v>
      </c>
      <c r="E62" s="17">
        <f>IF($F$3="1",SUMIF(Data!$A:$A,$A$2,Data!JP:JP),0)</f>
        <v>0</v>
      </c>
      <c r="F62" s="21" t="str">
        <f t="shared" si="3"/>
        <v/>
      </c>
    </row>
    <row r="63" spans="1:6" ht="15.75" customHeight="1" thickBot="1" x14ac:dyDescent="0.25">
      <c r="A63" s="22">
        <v>29</v>
      </c>
      <c r="B63" s="147" t="s">
        <v>25</v>
      </c>
      <c r="C63" s="148"/>
      <c r="D63" s="23">
        <f>IF(F3="1",SUMIF(Data!A:A,'18'!$A$2,Data!DW:DW),0)</f>
        <v>0</v>
      </c>
      <c r="E63" s="24">
        <f>IF($F$3="1",SUMIF(Data!$A:$A,$A$2,Data!JQ:JQ),0)</f>
        <v>0</v>
      </c>
      <c r="F63" s="25" t="str">
        <f t="shared" si="3"/>
        <v/>
      </c>
    </row>
    <row r="64" spans="1:6" x14ac:dyDescent="0.2">
      <c r="B64" s="30" t="s">
        <v>35</v>
      </c>
      <c r="C64" s="30"/>
      <c r="D64" s="59">
        <f>SUM(D36:D63)</f>
        <v>1155023</v>
      </c>
      <c r="E64" s="31">
        <f>SUM(E36:E63)</f>
        <v>859616</v>
      </c>
      <c r="F64" s="32">
        <f t="shared" si="3"/>
        <v>0.74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IF(F3="1",SUMIF(Data!A:A,'18'!$A$2,Data!DY:DY),0)</f>
        <v>0</v>
      </c>
      <c r="F67" s="20" t="str">
        <f t="shared" ref="F67:F95" si="4">IF(OR(D67=0,E67=0),"",ROUND(E67/D67,2))</f>
        <v/>
      </c>
    </row>
    <row r="68" spans="1:6" x14ac:dyDescent="0.2">
      <c r="A68" s="19">
        <v>2</v>
      </c>
      <c r="B68" s="143" t="s">
        <v>1</v>
      </c>
      <c r="C68" s="144"/>
      <c r="D68" s="14">
        <f t="shared" ref="D68:D94" si="5">D37</f>
        <v>26760</v>
      </c>
      <c r="E68" s="17">
        <f>IF(F3="1",SUMIF(Data!A:A,'18'!$A$2,Data!DZ:DZ),0)</f>
        <v>11439</v>
      </c>
      <c r="F68" s="21">
        <f t="shared" si="4"/>
        <v>0.43</v>
      </c>
    </row>
    <row r="69" spans="1:6" ht="14.25" customHeight="1" x14ac:dyDescent="0.2">
      <c r="A69" s="19">
        <v>3</v>
      </c>
      <c r="B69" s="143" t="s">
        <v>2</v>
      </c>
      <c r="C69" s="144"/>
      <c r="D69" s="14">
        <f t="shared" si="5"/>
        <v>97056</v>
      </c>
      <c r="E69" s="17">
        <f>IF(F3="1",SUMIF(Data!A:A,'18'!$A$2,Data!EA:EA),0)</f>
        <v>295619</v>
      </c>
      <c r="F69" s="21">
        <f t="shared" si="4"/>
        <v>3.05</v>
      </c>
    </row>
    <row r="70" spans="1:6" ht="14.25" customHeight="1" x14ac:dyDescent="0.2">
      <c r="A70" s="19">
        <v>4</v>
      </c>
      <c r="B70" s="143" t="s">
        <v>3</v>
      </c>
      <c r="C70" s="144"/>
      <c r="D70" s="14">
        <f t="shared" si="5"/>
        <v>159056</v>
      </c>
      <c r="E70" s="17">
        <f>IF(F3="1",SUMIF(Data!A:A,'18'!$A$2,Data!EB:EB),0)</f>
        <v>302525</v>
      </c>
      <c r="F70" s="21">
        <f t="shared" si="4"/>
        <v>1.9</v>
      </c>
    </row>
    <row r="71" spans="1:6" x14ac:dyDescent="0.2">
      <c r="A71" s="19">
        <v>5</v>
      </c>
      <c r="B71" s="143" t="s">
        <v>4</v>
      </c>
      <c r="C71" s="144"/>
      <c r="D71" s="14">
        <f t="shared" si="5"/>
        <v>0</v>
      </c>
      <c r="E71" s="17">
        <f>IF(F3="1",SUMIF(Data!A:A,'18'!$A$2,Data!EC:EC),0)</f>
        <v>0</v>
      </c>
      <c r="F71" s="21" t="str">
        <f t="shared" si="4"/>
        <v/>
      </c>
    </row>
    <row r="72" spans="1:6" x14ac:dyDescent="0.2">
      <c r="A72" s="19">
        <v>6</v>
      </c>
      <c r="B72" s="143" t="s">
        <v>5</v>
      </c>
      <c r="C72" s="144"/>
      <c r="D72" s="14">
        <f t="shared" si="5"/>
        <v>0</v>
      </c>
      <c r="E72" s="17">
        <f>IF(F3="1",SUMIF(Data!A:A,'18'!$A$2,Data!ED:ED),0)</f>
        <v>0</v>
      </c>
      <c r="F72" s="21" t="str">
        <f t="shared" si="4"/>
        <v/>
      </c>
    </row>
    <row r="73" spans="1:6" x14ac:dyDescent="0.2">
      <c r="A73" s="19">
        <v>7</v>
      </c>
      <c r="B73" s="143" t="s">
        <v>6</v>
      </c>
      <c r="C73" s="144"/>
      <c r="D73" s="14">
        <f t="shared" si="5"/>
        <v>53500</v>
      </c>
      <c r="E73" s="17">
        <f>IF(F3="1",SUMIF(Data!A:A,'18'!$A$2,Data!EE:EE),0)</f>
        <v>116198</v>
      </c>
      <c r="F73" s="21">
        <f t="shared" si="4"/>
        <v>2.17</v>
      </c>
    </row>
    <row r="74" spans="1:6" x14ac:dyDescent="0.2">
      <c r="A74" s="19">
        <v>8</v>
      </c>
      <c r="B74" s="143" t="s">
        <v>7</v>
      </c>
      <c r="C74" s="144"/>
      <c r="D74" s="14">
        <f t="shared" si="5"/>
        <v>33436</v>
      </c>
      <c r="E74" s="17">
        <f>IF(F3="1",SUMIF(Data!A:A,'18'!$A$2,Data!EF:EF),0)</f>
        <v>77875</v>
      </c>
      <c r="F74" s="21">
        <f t="shared" si="4"/>
        <v>2.33</v>
      </c>
    </row>
    <row r="75" spans="1:6" x14ac:dyDescent="0.2">
      <c r="A75" s="19">
        <v>9</v>
      </c>
      <c r="B75" s="143" t="s">
        <v>8</v>
      </c>
      <c r="C75" s="144"/>
      <c r="D75" s="14">
        <f t="shared" si="5"/>
        <v>53739</v>
      </c>
      <c r="E75" s="17">
        <f>IF(F3="1",SUMIF(Data!A:A,'18'!$A$2,Data!EG:EG),0)</f>
        <v>17486</v>
      </c>
      <c r="F75" s="21">
        <f t="shared" si="4"/>
        <v>0.33</v>
      </c>
    </row>
    <row r="76" spans="1:6" x14ac:dyDescent="0.2">
      <c r="A76" s="19">
        <v>10</v>
      </c>
      <c r="B76" s="143" t="s">
        <v>9</v>
      </c>
      <c r="C76" s="144"/>
      <c r="D76" s="14">
        <f t="shared" si="5"/>
        <v>0</v>
      </c>
      <c r="E76" s="17">
        <f>IF(F3="1",SUMIF(Data!A:A,'18'!$A$2,Data!EH:EH),0)</f>
        <v>0</v>
      </c>
      <c r="F76" s="21" t="str">
        <f t="shared" si="4"/>
        <v/>
      </c>
    </row>
    <row r="77" spans="1:6" x14ac:dyDescent="0.2">
      <c r="A77" s="19">
        <v>11</v>
      </c>
      <c r="B77" s="143" t="s">
        <v>10</v>
      </c>
      <c r="C77" s="144"/>
      <c r="D77" s="14">
        <f t="shared" si="5"/>
        <v>11372</v>
      </c>
      <c r="E77" s="17">
        <f>IF(F3="1",SUMIF(Data!A:A,'18'!$A$2,Data!EI:EI),0)</f>
        <v>0</v>
      </c>
      <c r="F77" s="21" t="str">
        <f t="shared" si="4"/>
        <v/>
      </c>
    </row>
    <row r="78" spans="1:6" ht="14.25" customHeight="1" x14ac:dyDescent="0.2">
      <c r="A78" s="19">
        <v>12</v>
      </c>
      <c r="B78" s="143" t="s">
        <v>11</v>
      </c>
      <c r="C78" s="144"/>
      <c r="D78" s="14">
        <f t="shared" si="5"/>
        <v>139088</v>
      </c>
      <c r="E78" s="17">
        <f>IF(F3="1",SUMIF(Data!A:A,'18'!$A$2,Data!EJ:EJ),0)</f>
        <v>353172</v>
      </c>
      <c r="F78" s="21">
        <f t="shared" si="4"/>
        <v>2.54</v>
      </c>
    </row>
    <row r="79" spans="1:6" x14ac:dyDescent="0.2">
      <c r="A79" s="19">
        <v>13</v>
      </c>
      <c r="B79" s="143" t="s">
        <v>12</v>
      </c>
      <c r="C79" s="144"/>
      <c r="D79" s="14">
        <f t="shared" si="5"/>
        <v>12656</v>
      </c>
      <c r="E79" s="17">
        <f>IF(F3="1",SUMIF(Data!A:A,'18'!$A$2,Data!EK:EK),0)</f>
        <v>19357</v>
      </c>
      <c r="F79" s="21">
        <f t="shared" si="4"/>
        <v>1.53</v>
      </c>
    </row>
    <row r="80" spans="1:6" ht="14.25" customHeight="1" x14ac:dyDescent="0.2">
      <c r="A80" s="19">
        <v>14</v>
      </c>
      <c r="B80" s="143" t="s">
        <v>464</v>
      </c>
      <c r="C80" s="144"/>
      <c r="D80" s="14">
        <f t="shared" si="5"/>
        <v>69161</v>
      </c>
      <c r="E80" s="17">
        <f>IF(F3="1",SUMIF(Data!A:A,'18'!$A$2,Data!EL:EL),0)</f>
        <v>422634</v>
      </c>
      <c r="F80" s="21">
        <f t="shared" si="4"/>
        <v>6.11</v>
      </c>
    </row>
    <row r="81" spans="1:6" x14ac:dyDescent="0.2">
      <c r="A81" s="19">
        <v>15</v>
      </c>
      <c r="B81" s="143" t="s">
        <v>13</v>
      </c>
      <c r="C81" s="144"/>
      <c r="D81" s="14">
        <f t="shared" si="5"/>
        <v>0</v>
      </c>
      <c r="E81" s="17">
        <f>IF(F3="1",SUMIF(Data!A:A,'18'!$A$2,Data!EM:EM),0)</f>
        <v>0</v>
      </c>
      <c r="F81" s="21" t="str">
        <f t="shared" si="4"/>
        <v/>
      </c>
    </row>
    <row r="82" spans="1:6" x14ac:dyDescent="0.2">
      <c r="A82" s="19">
        <v>16</v>
      </c>
      <c r="B82" s="143" t="s">
        <v>14</v>
      </c>
      <c r="C82" s="144"/>
      <c r="D82" s="14">
        <f t="shared" si="5"/>
        <v>75003</v>
      </c>
      <c r="E82" s="17">
        <f>IF(F3="1",SUMIF(Data!A:A,'18'!$A$2,Data!EN:EN),0)</f>
        <v>97232</v>
      </c>
      <c r="F82" s="21">
        <f t="shared" si="4"/>
        <v>1.3</v>
      </c>
    </row>
    <row r="83" spans="1:6" x14ac:dyDescent="0.2">
      <c r="A83" s="19">
        <v>17</v>
      </c>
      <c r="B83" s="143" t="s">
        <v>15</v>
      </c>
      <c r="C83" s="144"/>
      <c r="D83" s="14">
        <f t="shared" si="5"/>
        <v>0</v>
      </c>
      <c r="E83" s="17">
        <f>IF(F3="1",SUMIF(Data!A:A,'18'!$A$2,Data!EO:EO),0)</f>
        <v>0</v>
      </c>
      <c r="F83" s="21" t="str">
        <f t="shared" si="4"/>
        <v/>
      </c>
    </row>
    <row r="84" spans="1:6" x14ac:dyDescent="0.2">
      <c r="A84" s="19">
        <v>18</v>
      </c>
      <c r="B84" s="143" t="s">
        <v>16</v>
      </c>
      <c r="C84" s="144"/>
      <c r="D84" s="14">
        <f t="shared" si="5"/>
        <v>37981</v>
      </c>
      <c r="E84" s="17">
        <f>IF(F3="1",SUMIF(Data!A:A,'18'!$A$2,Data!EP:EP),0)</f>
        <v>107508</v>
      </c>
      <c r="F84" s="21">
        <f t="shared" si="4"/>
        <v>2.83</v>
      </c>
    </row>
    <row r="85" spans="1:6" x14ac:dyDescent="0.2">
      <c r="A85" s="19">
        <v>19</v>
      </c>
      <c r="B85" s="143" t="s">
        <v>17</v>
      </c>
      <c r="C85" s="144"/>
      <c r="D85" s="14">
        <f t="shared" si="5"/>
        <v>99376</v>
      </c>
      <c r="E85" s="17">
        <f>IF(F3="1",SUMIF(Data!A:A,'18'!$A$2,Data!EQ:EQ),0)</f>
        <v>206825</v>
      </c>
      <c r="F85" s="21">
        <f t="shared" si="4"/>
        <v>2.08</v>
      </c>
    </row>
    <row r="86" spans="1:6" x14ac:dyDescent="0.2">
      <c r="A86" s="19">
        <v>20</v>
      </c>
      <c r="B86" s="143" t="s">
        <v>18</v>
      </c>
      <c r="C86" s="144"/>
      <c r="D86" s="14">
        <f t="shared" si="5"/>
        <v>0</v>
      </c>
      <c r="E86" s="17">
        <f>IF(F3="1",SUMIF(Data!A:A,'18'!$A$2,Data!ER:ER),0)</f>
        <v>0</v>
      </c>
      <c r="F86" s="21" t="str">
        <f t="shared" si="4"/>
        <v/>
      </c>
    </row>
    <row r="87" spans="1:6" ht="14.25" customHeight="1" x14ac:dyDescent="0.2">
      <c r="A87" s="19">
        <v>21</v>
      </c>
      <c r="B87" s="143" t="s">
        <v>461</v>
      </c>
      <c r="C87" s="144"/>
      <c r="D87" s="14">
        <f t="shared" si="5"/>
        <v>0</v>
      </c>
      <c r="E87" s="17">
        <f>IF(F3="1",SUMIF(Data!A:A,'18'!$A$2,Data!ES:ES),0)</f>
        <v>0</v>
      </c>
      <c r="F87" s="21" t="str">
        <f t="shared" si="4"/>
        <v/>
      </c>
    </row>
    <row r="88" spans="1:6" x14ac:dyDescent="0.2">
      <c r="A88" s="19">
        <v>22</v>
      </c>
      <c r="B88" s="143" t="s">
        <v>19</v>
      </c>
      <c r="C88" s="144"/>
      <c r="D88" s="14">
        <f t="shared" si="5"/>
        <v>0</v>
      </c>
      <c r="E88" s="17">
        <f>IF(F3="1",SUMIF(Data!A:A,'18'!$A$2,Data!ET:ET),0)</f>
        <v>0</v>
      </c>
      <c r="F88" s="21" t="str">
        <f t="shared" si="4"/>
        <v/>
      </c>
    </row>
    <row r="89" spans="1:6" x14ac:dyDescent="0.2">
      <c r="A89" s="19">
        <v>23</v>
      </c>
      <c r="B89" s="143" t="s">
        <v>20</v>
      </c>
      <c r="C89" s="144"/>
      <c r="D89" s="14">
        <f t="shared" si="5"/>
        <v>48864</v>
      </c>
      <c r="E89" s="17">
        <f>IF(F3="1",SUMIF(Data!A:A,'18'!$A$2,Data!EU:EU),0)</f>
        <v>183074</v>
      </c>
      <c r="F89" s="21">
        <f t="shared" si="4"/>
        <v>3.75</v>
      </c>
    </row>
    <row r="90" spans="1:6" x14ac:dyDescent="0.2">
      <c r="A90" s="19">
        <v>24</v>
      </c>
      <c r="B90" s="143" t="s">
        <v>21</v>
      </c>
      <c r="C90" s="144"/>
      <c r="D90" s="14">
        <f t="shared" si="5"/>
        <v>34372</v>
      </c>
      <c r="E90" s="17">
        <f>IF(F3="1",SUMIF(Data!A:A,'18'!$A$2,Data!EV:EV),0)</f>
        <v>59605</v>
      </c>
      <c r="F90" s="21">
        <f t="shared" si="4"/>
        <v>1.73</v>
      </c>
    </row>
    <row r="91" spans="1:6" x14ac:dyDescent="0.2">
      <c r="A91" s="19">
        <v>25</v>
      </c>
      <c r="B91" s="143" t="s">
        <v>22</v>
      </c>
      <c r="C91" s="144"/>
      <c r="D91" s="14">
        <f t="shared" si="5"/>
        <v>146288</v>
      </c>
      <c r="E91" s="17">
        <f>IF(F3="1",SUMIF(Data!A:A,'18'!$A$2,Data!EW:EW),0)</f>
        <v>482980</v>
      </c>
      <c r="F91" s="21">
        <f t="shared" si="4"/>
        <v>3.3</v>
      </c>
    </row>
    <row r="92" spans="1:6" x14ac:dyDescent="0.2">
      <c r="A92" s="19">
        <v>26</v>
      </c>
      <c r="B92" s="143" t="s">
        <v>23</v>
      </c>
      <c r="C92" s="144"/>
      <c r="D92" s="14">
        <f t="shared" si="5"/>
        <v>57315</v>
      </c>
      <c r="E92" s="17">
        <f>IF(F3="1",SUMIF(Data!A:A,'18'!$A$2,Data!EX:EX),0)</f>
        <v>227459</v>
      </c>
      <c r="F92" s="21">
        <f t="shared" si="4"/>
        <v>3.97</v>
      </c>
    </row>
    <row r="93" spans="1:6" x14ac:dyDescent="0.2">
      <c r="A93" s="19">
        <v>28</v>
      </c>
      <c r="B93" s="143" t="s">
        <v>24</v>
      </c>
      <c r="C93" s="144"/>
      <c r="D93" s="14">
        <f t="shared" si="5"/>
        <v>0</v>
      </c>
      <c r="E93" s="17">
        <f>IF(F3="1",SUMIF(Data!A:A,'18'!$A$2,Data!EZ:EZ),0)</f>
        <v>0</v>
      </c>
      <c r="F93" s="21" t="str">
        <f t="shared" si="4"/>
        <v/>
      </c>
    </row>
    <row r="94" spans="1:6" ht="15.75" customHeight="1" thickBot="1" x14ac:dyDescent="0.25">
      <c r="A94" s="22">
        <v>29</v>
      </c>
      <c r="B94" s="147" t="s">
        <v>25</v>
      </c>
      <c r="C94" s="148"/>
      <c r="D94" s="23">
        <f t="shared" si="5"/>
        <v>0</v>
      </c>
      <c r="E94" s="24">
        <f>IF(F3="1",SUMIF(Data!A:A,'18'!$A$2,Data!FA:FA),0)</f>
        <v>0</v>
      </c>
      <c r="F94" s="25" t="str">
        <f t="shared" si="4"/>
        <v/>
      </c>
    </row>
    <row r="95" spans="1:6" x14ac:dyDescent="0.2">
      <c r="B95" s="30" t="s">
        <v>35</v>
      </c>
      <c r="C95" s="30"/>
      <c r="D95" s="59">
        <f>SUM(D67:D94)</f>
        <v>1155023</v>
      </c>
      <c r="E95" s="31">
        <f>SUM(E67:E94)</f>
        <v>2980988</v>
      </c>
      <c r="F95" s="32">
        <f t="shared" si="4"/>
        <v>2.58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IF(F3="1",SUMIF(Data!A:A,'18'!$A$2,Data!AH:AH),0)</f>
        <v>1869287</v>
      </c>
      <c r="F98" s="20">
        <f>IF(OR(E98=0,E98=0),"",ROUND(E98/$D$105,2))</f>
        <v>1.62</v>
      </c>
    </row>
    <row r="99" spans="2:6" x14ac:dyDescent="0.2">
      <c r="B99" s="153" t="s">
        <v>31</v>
      </c>
      <c r="C99" s="154"/>
      <c r="D99" s="36"/>
      <c r="E99" s="17">
        <f>IF(F3="1",SUMIF(Data!A:A,'18'!$A$2,Data!AI:AI),0)</f>
        <v>483535</v>
      </c>
      <c r="F99" s="21">
        <f t="shared" ref="F99:F104" si="6">IF(OR(E99=0,E99=0),"",ROUND(E99/$D$105,2))</f>
        <v>0.42</v>
      </c>
    </row>
    <row r="100" spans="2:6" x14ac:dyDescent="0.2">
      <c r="B100" s="153" t="s">
        <v>1078</v>
      </c>
      <c r="C100" s="154"/>
      <c r="D100" s="36"/>
      <c r="E100" s="17">
        <f>IF(F3="1",SUMIF(Data!A:A,'18'!$A$2,Data!AJ:AJ),0)</f>
        <v>313459</v>
      </c>
      <c r="F100" s="21">
        <f t="shared" si="6"/>
        <v>0.27</v>
      </c>
    </row>
    <row r="101" spans="2:6" x14ac:dyDescent="0.2">
      <c r="B101" s="153" t="s">
        <v>1079</v>
      </c>
      <c r="C101" s="154"/>
      <c r="D101" s="36"/>
      <c r="E101" s="17">
        <f>IF(F3="1",SUMIF(Data!A:A,'18'!$A$2,Data!AK:AK),0)</f>
        <v>975098</v>
      </c>
      <c r="F101" s="21">
        <f t="shared" si="6"/>
        <v>0.84</v>
      </c>
    </row>
    <row r="102" spans="2:6" x14ac:dyDescent="0.2">
      <c r="B102" s="153" t="s">
        <v>1080</v>
      </c>
      <c r="C102" s="154"/>
      <c r="D102" s="36"/>
      <c r="E102" s="17">
        <f>IF(F3="1",SUMIF(Data!A:A,'18'!$A$2,Data!AL:AL),0)</f>
        <v>160383</v>
      </c>
      <c r="F102" s="21">
        <f t="shared" si="6"/>
        <v>0.14000000000000001</v>
      </c>
    </row>
    <row r="103" spans="2:6" x14ac:dyDescent="0.2">
      <c r="B103" s="155" t="s">
        <v>34</v>
      </c>
      <c r="C103" s="156"/>
      <c r="D103" s="36"/>
      <c r="E103" s="17">
        <f>IF(F3="1",SUMIF(Data!A:A,'18'!$A$2,Data!AM:AM),0)</f>
        <v>0</v>
      </c>
      <c r="F103" s="21" t="str">
        <f t="shared" si="6"/>
        <v/>
      </c>
    </row>
    <row r="104" spans="2:6" ht="15.75" customHeight="1" thickBot="1" x14ac:dyDescent="0.25">
      <c r="B104" s="149" t="s">
        <v>29</v>
      </c>
      <c r="C104" s="150"/>
      <c r="D104" s="37"/>
      <c r="E104" s="24">
        <f>IF(F3="1",SUMIF(Data!A:A,'18'!$A$2,Data!Q:Q),0)</f>
        <v>818671</v>
      </c>
      <c r="F104" s="25">
        <f t="shared" si="6"/>
        <v>0.71</v>
      </c>
    </row>
    <row r="105" spans="2:6" x14ac:dyDescent="0.2">
      <c r="B105" s="30" t="s">
        <v>35</v>
      </c>
      <c r="C105" s="30"/>
      <c r="D105" s="34">
        <f>D95</f>
        <v>1155023</v>
      </c>
      <c r="E105" s="31">
        <f>SUM(E98:E104)</f>
        <v>4620433</v>
      </c>
      <c r="F105" s="32">
        <f>IF($D$105=0,"",ROUND(E105/$D$105,2))</f>
        <v>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2980988</v>
      </c>
      <c r="D109" s="15">
        <f>IF(F3="1",SUMIF(Data!$A:$A,$A$2,Data!HJ:HJ),0)</f>
        <v>0</v>
      </c>
      <c r="E109" s="15">
        <f>IF(F3="1",SUMIF(Data!$A:$A,$A$2,Data!IN:IN),0)</f>
        <v>0</v>
      </c>
      <c r="F109" s="47">
        <f>SUM(C109:E109)</f>
        <v>2980988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160383</v>
      </c>
      <c r="F116" s="48">
        <f t="shared" si="7"/>
        <v>160383</v>
      </c>
    </row>
    <row r="117" spans="1:6" ht="15" thickBot="1" x14ac:dyDescent="0.25">
      <c r="B117" s="43" t="s">
        <v>933</v>
      </c>
      <c r="C117" s="52"/>
      <c r="D117" s="52">
        <f>IF(F3="1",SUMIF(Data!A:A,$A$2,Data!Q:Q),0)</f>
        <v>818671</v>
      </c>
      <c r="E117" s="52"/>
      <c r="F117" s="49">
        <f>SUM(C117:E117)</f>
        <v>818671</v>
      </c>
    </row>
    <row r="118" spans="1:6" x14ac:dyDescent="0.2">
      <c r="B118" s="13" t="s">
        <v>35</v>
      </c>
      <c r="C118" s="4">
        <f>SUM(C109:C116)</f>
        <v>2980988</v>
      </c>
      <c r="D118" s="4">
        <f>SUM(D109:D116)</f>
        <v>0</v>
      </c>
      <c r="E118" s="4">
        <f>SUM(E109:E116)</f>
        <v>160383</v>
      </c>
      <c r="F118" s="4">
        <f>SUM(F109:F116)</f>
        <v>3141371</v>
      </c>
    </row>
    <row r="119" spans="1:6" ht="15" thickBot="1" x14ac:dyDescent="0.25"/>
    <row r="120" spans="1:6" ht="15" thickBot="1" x14ac:dyDescent="0.25">
      <c r="B120" s="55" t="s">
        <v>934</v>
      </c>
      <c r="C120" s="53"/>
      <c r="D120" s="53"/>
      <c r="E120" s="53">
        <f>IF(F3="1",SUMIF(Data!A:A,'18'!$A$2,Data!AM:AM),0)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368</v>
      </c>
      <c r="B2" s="58" t="str">
        <f>VLOOKUP(A2,Data!A:G,7,0)</f>
        <v>Grayson County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15912</v>
      </c>
      <c r="E5" s="15">
        <f>E36+E67+IFERROR($E$105/$D$105*D5,0)</f>
        <v>100368.88675070797</v>
      </c>
      <c r="F5" s="20">
        <f>IF(OR(D5=0,E5=0),"",ROUND(E5/D5,2))</f>
        <v>6.31</v>
      </c>
    </row>
    <row r="6" spans="1:6" x14ac:dyDescent="0.2">
      <c r="A6" s="19">
        <v>2</v>
      </c>
      <c r="B6" s="143" t="s">
        <v>1</v>
      </c>
      <c r="C6" s="144"/>
      <c r="D6" s="14">
        <f t="shared" ref="D6:D32" si="0">D37</f>
        <v>43861</v>
      </c>
      <c r="E6" s="17">
        <f t="shared" ref="E6:E32" si="1">E37+E68+IFERROR($E$105/$D$105*D6,0)</f>
        <v>352673.83853524399</v>
      </c>
      <c r="F6" s="21">
        <f t="shared" ref="F6:F33" si="2">IF(OR(D6=0,E6=0),"",ROUND(E6/D6,2))</f>
        <v>8.0399999999999991</v>
      </c>
    </row>
    <row r="7" spans="1:6" ht="14.25" customHeight="1" x14ac:dyDescent="0.2">
      <c r="A7" s="19">
        <v>3</v>
      </c>
      <c r="B7" s="143" t="s">
        <v>2</v>
      </c>
      <c r="C7" s="144"/>
      <c r="D7" s="14">
        <f t="shared" si="0"/>
        <v>154848</v>
      </c>
      <c r="E7" s="17">
        <f t="shared" si="1"/>
        <v>810015.7832813994</v>
      </c>
      <c r="F7" s="21">
        <f t="shared" si="2"/>
        <v>5.23</v>
      </c>
    </row>
    <row r="8" spans="1:6" ht="14.25" customHeight="1" x14ac:dyDescent="0.2">
      <c r="A8" s="19">
        <v>4</v>
      </c>
      <c r="B8" s="143" t="s">
        <v>3</v>
      </c>
      <c r="C8" s="144"/>
      <c r="D8" s="14">
        <f t="shared" si="0"/>
        <v>86778</v>
      </c>
      <c r="E8" s="17">
        <f t="shared" si="1"/>
        <v>493361.77830900811</v>
      </c>
      <c r="F8" s="21">
        <f t="shared" si="2"/>
        <v>5.69</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104161</v>
      </c>
      <c r="E11" s="17">
        <f t="shared" si="1"/>
        <v>680014.08357469155</v>
      </c>
      <c r="F11" s="21">
        <f t="shared" si="2"/>
        <v>6.53</v>
      </c>
    </row>
    <row r="12" spans="1:6" x14ac:dyDescent="0.2">
      <c r="A12" s="19">
        <v>8</v>
      </c>
      <c r="B12" s="143" t="s">
        <v>7</v>
      </c>
      <c r="C12" s="144"/>
      <c r="D12" s="14">
        <f t="shared" si="0"/>
        <v>4792</v>
      </c>
      <c r="E12" s="17">
        <f t="shared" si="1"/>
        <v>13965.113204461577</v>
      </c>
      <c r="F12" s="21">
        <f t="shared" si="2"/>
        <v>2.91</v>
      </c>
    </row>
    <row r="13" spans="1:6" x14ac:dyDescent="0.2">
      <c r="A13" s="19">
        <v>9</v>
      </c>
      <c r="B13" s="143" t="s">
        <v>8</v>
      </c>
      <c r="C13" s="144"/>
      <c r="D13" s="14">
        <f t="shared" si="0"/>
        <v>48944</v>
      </c>
      <c r="E13" s="17">
        <f t="shared" si="1"/>
        <v>260604.49680283124</v>
      </c>
      <c r="F13" s="21">
        <f t="shared" si="2"/>
        <v>5.32</v>
      </c>
    </row>
    <row r="14" spans="1:6" x14ac:dyDescent="0.2">
      <c r="A14" s="19">
        <v>10</v>
      </c>
      <c r="B14" s="143" t="s">
        <v>9</v>
      </c>
      <c r="C14" s="144"/>
      <c r="D14" s="14">
        <f t="shared" si="0"/>
        <v>272</v>
      </c>
      <c r="E14" s="17">
        <f t="shared" si="1"/>
        <v>1870.784388900991</v>
      </c>
      <c r="F14" s="21">
        <f t="shared" si="2"/>
        <v>6.88</v>
      </c>
    </row>
    <row r="15" spans="1:6" x14ac:dyDescent="0.2">
      <c r="A15" s="19">
        <v>11</v>
      </c>
      <c r="B15" s="143" t="s">
        <v>10</v>
      </c>
      <c r="C15" s="144"/>
      <c r="D15" s="14">
        <f t="shared" si="0"/>
        <v>46944</v>
      </c>
      <c r="E15" s="17">
        <f t="shared" si="1"/>
        <v>249909.84688444162</v>
      </c>
      <c r="F15" s="21">
        <f t="shared" si="2"/>
        <v>5.32</v>
      </c>
    </row>
    <row r="16" spans="1:6" ht="14.25" customHeight="1" x14ac:dyDescent="0.2">
      <c r="A16" s="19">
        <v>12</v>
      </c>
      <c r="B16" s="143" t="s">
        <v>11</v>
      </c>
      <c r="C16" s="144"/>
      <c r="D16" s="14">
        <f t="shared" si="0"/>
        <v>215024</v>
      </c>
      <c r="E16" s="17">
        <f t="shared" si="1"/>
        <v>1107681.906025907</v>
      </c>
      <c r="F16" s="21">
        <f t="shared" si="2"/>
        <v>5.15</v>
      </c>
    </row>
    <row r="17" spans="1:6" x14ac:dyDescent="0.2">
      <c r="A17" s="19">
        <v>13</v>
      </c>
      <c r="B17" s="143" t="s">
        <v>12</v>
      </c>
      <c r="C17" s="144"/>
      <c r="D17" s="14">
        <f t="shared" si="0"/>
        <v>16080</v>
      </c>
      <c r="E17" s="17">
        <f t="shared" si="1"/>
        <v>83043.665343852699</v>
      </c>
      <c r="F17" s="21">
        <f t="shared" si="2"/>
        <v>5.16</v>
      </c>
    </row>
    <row r="18" spans="1:6" ht="14.25" customHeight="1" x14ac:dyDescent="0.2">
      <c r="A18" s="19">
        <v>14</v>
      </c>
      <c r="B18" s="143" t="s">
        <v>464</v>
      </c>
      <c r="C18" s="144"/>
      <c r="D18" s="14">
        <f t="shared" si="0"/>
        <v>143334</v>
      </c>
      <c r="E18" s="17">
        <f t="shared" si="1"/>
        <v>1179090.8147012303</v>
      </c>
      <c r="F18" s="21">
        <f t="shared" si="2"/>
        <v>8.23</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68856</v>
      </c>
      <c r="E20" s="17">
        <f t="shared" si="1"/>
        <v>462745.68339031853</v>
      </c>
      <c r="F20" s="21">
        <f t="shared" si="2"/>
        <v>6.72</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64317</v>
      </c>
      <c r="E22" s="17">
        <f t="shared" si="1"/>
        <v>290675.59390053322</v>
      </c>
      <c r="F22" s="21">
        <f t="shared" si="2"/>
        <v>4.5199999999999996</v>
      </c>
    </row>
    <row r="23" spans="1:6" x14ac:dyDescent="0.2">
      <c r="A23" s="19">
        <v>19</v>
      </c>
      <c r="B23" s="143" t="s">
        <v>17</v>
      </c>
      <c r="C23" s="144"/>
      <c r="D23" s="14">
        <f t="shared" si="0"/>
        <v>155612</v>
      </c>
      <c r="E23" s="17">
        <f t="shared" si="1"/>
        <v>680191.63355022436</v>
      </c>
      <c r="F23" s="21">
        <f t="shared" si="2"/>
        <v>4.37</v>
      </c>
    </row>
    <row r="24" spans="1:6" x14ac:dyDescent="0.2">
      <c r="A24" s="19">
        <v>20</v>
      </c>
      <c r="B24" s="143" t="s">
        <v>18</v>
      </c>
      <c r="C24" s="144"/>
      <c r="D24" s="14">
        <f t="shared" si="0"/>
        <v>13184</v>
      </c>
      <c r="E24" s="17">
        <f t="shared" si="1"/>
        <v>97925.196262024503</v>
      </c>
      <c r="F24" s="21">
        <f t="shared" si="2"/>
        <v>7.43</v>
      </c>
    </row>
    <row r="25" spans="1:6" ht="14.25" customHeight="1" x14ac:dyDescent="0.2">
      <c r="A25" s="19">
        <v>21</v>
      </c>
      <c r="B25" s="143" t="s">
        <v>461</v>
      </c>
      <c r="C25" s="144"/>
      <c r="D25" s="14">
        <f t="shared" si="0"/>
        <v>10280</v>
      </c>
      <c r="E25" s="17">
        <f t="shared" si="1"/>
        <v>25025.880580522746</v>
      </c>
      <c r="F25" s="21">
        <f t="shared" si="2"/>
        <v>2.4300000000000002</v>
      </c>
    </row>
    <row r="26" spans="1:6" x14ac:dyDescent="0.2">
      <c r="A26" s="19">
        <v>22</v>
      </c>
      <c r="B26" s="143" t="s">
        <v>19</v>
      </c>
      <c r="C26" s="144"/>
      <c r="D26" s="14">
        <f t="shared" si="0"/>
        <v>25904</v>
      </c>
      <c r="E26" s="17">
        <f t="shared" si="1"/>
        <v>197529.2897429826</v>
      </c>
      <c r="F26" s="21">
        <f t="shared" si="2"/>
        <v>7.63</v>
      </c>
    </row>
    <row r="27" spans="1:6" x14ac:dyDescent="0.2">
      <c r="A27" s="19">
        <v>23</v>
      </c>
      <c r="B27" s="143" t="s">
        <v>20</v>
      </c>
      <c r="C27" s="144"/>
      <c r="D27" s="14">
        <f t="shared" si="0"/>
        <v>38448</v>
      </c>
      <c r="E27" s="17">
        <f t="shared" si="1"/>
        <v>245764.75803112244</v>
      </c>
      <c r="F27" s="21">
        <f t="shared" si="2"/>
        <v>6.39</v>
      </c>
    </row>
    <row r="28" spans="1:6" x14ac:dyDescent="0.2">
      <c r="A28" s="19">
        <v>24</v>
      </c>
      <c r="B28" s="143" t="s">
        <v>21</v>
      </c>
      <c r="C28" s="144"/>
      <c r="D28" s="14">
        <f t="shared" si="0"/>
        <v>60114</v>
      </c>
      <c r="E28" s="17">
        <f t="shared" si="1"/>
        <v>339997.06159703736</v>
      </c>
      <c r="F28" s="21">
        <f t="shared" si="2"/>
        <v>5.66</v>
      </c>
    </row>
    <row r="29" spans="1:6" x14ac:dyDescent="0.2">
      <c r="A29" s="19">
        <v>25</v>
      </c>
      <c r="B29" s="143" t="s">
        <v>22</v>
      </c>
      <c r="C29" s="144"/>
      <c r="D29" s="14">
        <f t="shared" si="0"/>
        <v>212816</v>
      </c>
      <c r="E29" s="17">
        <f t="shared" si="1"/>
        <v>989895.24451600481</v>
      </c>
      <c r="F29" s="21">
        <f t="shared" si="2"/>
        <v>4.6500000000000004</v>
      </c>
    </row>
    <row r="30" spans="1:6" x14ac:dyDescent="0.2">
      <c r="A30" s="19">
        <v>26</v>
      </c>
      <c r="B30" s="143" t="s">
        <v>23</v>
      </c>
      <c r="C30" s="144"/>
      <c r="D30" s="14">
        <f t="shared" si="0"/>
        <v>53264</v>
      </c>
      <c r="E30" s="17">
        <f t="shared" si="1"/>
        <v>359735.66062655288</v>
      </c>
      <c r="F30" s="21">
        <f t="shared" si="2"/>
        <v>6.75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1583745</v>
      </c>
      <c r="E33" s="31">
        <f>SUM(E5:E32)</f>
        <v>9022087</v>
      </c>
      <c r="F33" s="32">
        <f t="shared" si="2"/>
        <v>5.7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IF(F3="1",SUMIF(Data!A:A,'19'!$A$2,Data!CU:CU),0)</f>
        <v>15912</v>
      </c>
      <c r="E36" s="15">
        <f>IF(F3="1",SUMIF(Data!$A:$A,$A$2,Data!IO:IO),0)</f>
        <v>14671</v>
      </c>
      <c r="F36" s="20">
        <f t="shared" ref="F36:F64" si="3">IF(OR(D36=0,E36=0),"",ROUND(E36/D36,2))</f>
        <v>0.92</v>
      </c>
    </row>
    <row r="37" spans="1:6" x14ac:dyDescent="0.2">
      <c r="A37" s="19">
        <v>2</v>
      </c>
      <c r="B37" s="143" t="s">
        <v>1</v>
      </c>
      <c r="C37" s="144"/>
      <c r="D37" s="14">
        <f>IF(F3="1",SUMIF(Data!A:A,'19'!$A$2,Data!CV:CV),0)</f>
        <v>43861</v>
      </c>
      <c r="E37" s="17">
        <f>IF(F3="1",SUMIF(Data!$A:$A,$A$2,Data!IP:IP),0)</f>
        <v>94796</v>
      </c>
      <c r="F37" s="21">
        <f t="shared" si="3"/>
        <v>2.16</v>
      </c>
    </row>
    <row r="38" spans="1:6" ht="14.25" customHeight="1" x14ac:dyDescent="0.2">
      <c r="A38" s="19">
        <v>3</v>
      </c>
      <c r="B38" s="143" t="s">
        <v>2</v>
      </c>
      <c r="C38" s="144"/>
      <c r="D38" s="14">
        <f>IF(F3="1",SUMIF(Data!A:A,'19'!$A$2,Data!CW:CW),0)</f>
        <v>154848</v>
      </c>
      <c r="E38" s="17">
        <f>IF($F$3="1",SUMIF(Data!$A:$A,$A$2,Data!IQ:IQ),0)</f>
        <v>83268</v>
      </c>
      <c r="F38" s="21">
        <f t="shared" si="3"/>
        <v>0.54</v>
      </c>
    </row>
    <row r="39" spans="1:6" ht="14.25" customHeight="1" x14ac:dyDescent="0.2">
      <c r="A39" s="19">
        <v>4</v>
      </c>
      <c r="B39" s="143" t="s">
        <v>3</v>
      </c>
      <c r="C39" s="144"/>
      <c r="D39" s="14">
        <f>IF(F3="1",SUMIF(Data!A:A,'19'!$A$2,Data!CX:CX),0)</f>
        <v>86778</v>
      </c>
      <c r="E39" s="17">
        <f>IF($F$3="1",SUMIF(Data!$A:$A,$A$2,Data!IR:IR),0)</f>
        <v>14950</v>
      </c>
      <c r="F39" s="21">
        <f t="shared" si="3"/>
        <v>0.17</v>
      </c>
    </row>
    <row r="40" spans="1:6" x14ac:dyDescent="0.2">
      <c r="A40" s="19">
        <v>5</v>
      </c>
      <c r="B40" s="143" t="s">
        <v>4</v>
      </c>
      <c r="C40" s="144"/>
      <c r="D40" s="14">
        <f>IF(F3="1",SUMIF(Data!A:A,'19'!$A$2,Data!CY:CY),0)</f>
        <v>0</v>
      </c>
      <c r="E40" s="17">
        <f>IF($F$3="1",SUMIF(Data!$A:$A,$A$2,Data!IS:IS),0)</f>
        <v>0</v>
      </c>
      <c r="F40" s="21" t="str">
        <f t="shared" si="3"/>
        <v/>
      </c>
    </row>
    <row r="41" spans="1:6" x14ac:dyDescent="0.2">
      <c r="A41" s="19">
        <v>6</v>
      </c>
      <c r="B41" s="143" t="s">
        <v>5</v>
      </c>
      <c r="C41" s="144"/>
      <c r="D41" s="14">
        <f>IF(F3="1",SUMIF(Data!A:A,'19'!$A$2,Data!CZ:CZ),0)</f>
        <v>0</v>
      </c>
      <c r="E41" s="17">
        <f>IF($F$3="1",SUMIF(Data!$A:$A,$A$2,Data!IT:IT),0)</f>
        <v>0</v>
      </c>
      <c r="F41" s="21" t="str">
        <f t="shared" si="3"/>
        <v/>
      </c>
    </row>
    <row r="42" spans="1:6" x14ac:dyDescent="0.2">
      <c r="A42" s="19">
        <v>7</v>
      </c>
      <c r="B42" s="143" t="s">
        <v>6</v>
      </c>
      <c r="C42" s="144"/>
      <c r="D42" s="14">
        <f>IF(F3="1",SUMIF(Data!A:A,'19'!$A$2,Data!DA:DA),0)</f>
        <v>104161</v>
      </c>
      <c r="E42" s="17">
        <f>IF($F$3="1",SUMIF(Data!$A:$A,$A$2,Data!IU:IU),0)</f>
        <v>147130</v>
      </c>
      <c r="F42" s="21">
        <f t="shared" si="3"/>
        <v>1.41</v>
      </c>
    </row>
    <row r="43" spans="1:6" x14ac:dyDescent="0.2">
      <c r="A43" s="19">
        <v>8</v>
      </c>
      <c r="B43" s="143" t="s">
        <v>7</v>
      </c>
      <c r="C43" s="144"/>
      <c r="D43" s="14">
        <f>IF(F3="1",SUMIF(Data!A:A,'19'!$A$2,Data!DB:DB),0)</f>
        <v>4792</v>
      </c>
      <c r="E43" s="17">
        <f>IF($F$3="1",SUMIF(Data!$A:$A,$A$2,Data!IV:IV),0)</f>
        <v>2676</v>
      </c>
      <c r="F43" s="21">
        <f t="shared" si="3"/>
        <v>0.56000000000000005</v>
      </c>
    </row>
    <row r="44" spans="1:6" x14ac:dyDescent="0.2">
      <c r="A44" s="19">
        <v>9</v>
      </c>
      <c r="B44" s="143" t="s">
        <v>8</v>
      </c>
      <c r="C44" s="144"/>
      <c r="D44" s="14">
        <f>IF(F3="1",SUMIF(Data!A:A,'19'!$A$2,Data!DC:DC),0)</f>
        <v>48944</v>
      </c>
      <c r="E44" s="17">
        <f>IF($F$3="1",SUMIF(Data!$A:$A,$A$2,Data!IW:IW),0)</f>
        <v>22732</v>
      </c>
      <c r="F44" s="21">
        <f t="shared" si="3"/>
        <v>0.46</v>
      </c>
    </row>
    <row r="45" spans="1:6" x14ac:dyDescent="0.2">
      <c r="A45" s="19">
        <v>10</v>
      </c>
      <c r="B45" s="143" t="s">
        <v>9</v>
      </c>
      <c r="C45" s="144"/>
      <c r="D45" s="14">
        <f>IF(F3="1",SUMIF(Data!A:A,'19'!$A$2,Data!DD:DD),0)</f>
        <v>272</v>
      </c>
      <c r="E45" s="17">
        <f>IF($F$3="1",SUMIF(Data!$A:$A,$A$2,Data!IX:IX),0)</f>
        <v>0</v>
      </c>
      <c r="F45" s="21" t="str">
        <f t="shared" si="3"/>
        <v/>
      </c>
    </row>
    <row r="46" spans="1:6" x14ac:dyDescent="0.2">
      <c r="A46" s="19">
        <v>11</v>
      </c>
      <c r="B46" s="143" t="s">
        <v>10</v>
      </c>
      <c r="C46" s="144"/>
      <c r="D46" s="14">
        <f>IF(F3="1",SUMIF(Data!A:A,'19'!$A$2,Data!DE:DE),0)</f>
        <v>46944</v>
      </c>
      <c r="E46" s="17">
        <f>IF($F$3="1",SUMIF(Data!$A:$A,$A$2,Data!IY:IY),0)</f>
        <v>24358</v>
      </c>
      <c r="F46" s="21">
        <f t="shared" si="3"/>
        <v>0.52</v>
      </c>
    </row>
    <row r="47" spans="1:6" ht="14.25" customHeight="1" x14ac:dyDescent="0.2">
      <c r="A47" s="19">
        <v>12</v>
      </c>
      <c r="B47" s="143" t="s">
        <v>11</v>
      </c>
      <c r="C47" s="144"/>
      <c r="D47" s="14">
        <f>IF(F3="1",SUMIF(Data!A:A,'19'!$A$2,Data!DF:DF),0)</f>
        <v>215024</v>
      </c>
      <c r="E47" s="17">
        <f>IF($F$3="1",SUMIF(Data!$A:$A,$A$2,Data!IZ:IZ),0)</f>
        <v>102933</v>
      </c>
      <c r="F47" s="21">
        <f t="shared" si="3"/>
        <v>0.48</v>
      </c>
    </row>
    <row r="48" spans="1:6" x14ac:dyDescent="0.2">
      <c r="A48" s="19">
        <v>13</v>
      </c>
      <c r="B48" s="143" t="s">
        <v>12</v>
      </c>
      <c r="C48" s="144"/>
      <c r="D48" s="14">
        <f>IF(F3="1",SUMIF(Data!A:A,'19'!$A$2,Data!DG:DG),0)</f>
        <v>16080</v>
      </c>
      <c r="E48" s="17">
        <f>IF($F$3="1",SUMIF(Data!$A:$A,$A$2,Data!JA:JA),0)</f>
        <v>2642</v>
      </c>
      <c r="F48" s="21">
        <f t="shared" si="3"/>
        <v>0.16</v>
      </c>
    </row>
    <row r="49" spans="1:6" ht="14.25" customHeight="1" x14ac:dyDescent="0.2">
      <c r="A49" s="19">
        <v>14</v>
      </c>
      <c r="B49" s="143" t="s">
        <v>464</v>
      </c>
      <c r="C49" s="144"/>
      <c r="D49" s="14">
        <f>IF(F3="1",SUMIF(Data!A:A,'19'!$A$2,Data!DH:DH),0)</f>
        <v>143334</v>
      </c>
      <c r="E49" s="17">
        <f>IF($F$3="1",SUMIF(Data!$A:$A,$A$2,Data!JB:JB),0)</f>
        <v>71913</v>
      </c>
      <c r="F49" s="21">
        <f t="shared" si="3"/>
        <v>0.5</v>
      </c>
    </row>
    <row r="50" spans="1:6" x14ac:dyDescent="0.2">
      <c r="A50" s="19">
        <v>15</v>
      </c>
      <c r="B50" s="143" t="s">
        <v>13</v>
      </c>
      <c r="C50" s="144"/>
      <c r="D50" s="14">
        <f>IF(F3="1",SUMIF(Data!A:A,'19'!$A$2,Data!DI:DI),0)</f>
        <v>0</v>
      </c>
      <c r="E50" s="17">
        <f>IF($F$3="1",SUMIF(Data!$A:$A,$A$2,Data!JC:JC),0)</f>
        <v>0</v>
      </c>
      <c r="F50" s="21" t="str">
        <f t="shared" si="3"/>
        <v/>
      </c>
    </row>
    <row r="51" spans="1:6" x14ac:dyDescent="0.2">
      <c r="A51" s="19">
        <v>16</v>
      </c>
      <c r="B51" s="143" t="s">
        <v>14</v>
      </c>
      <c r="C51" s="144"/>
      <c r="D51" s="14">
        <f>IF(F3="1",SUMIF(Data!A:A,'19'!$A$2,Data!DJ:DJ),0)</f>
        <v>68856</v>
      </c>
      <c r="E51" s="17">
        <f>IF($F$3="1",SUMIF(Data!$A:$A,$A$2,Data!JD:JD),0)</f>
        <v>42032</v>
      </c>
      <c r="F51" s="21">
        <f t="shared" si="3"/>
        <v>0.61</v>
      </c>
    </row>
    <row r="52" spans="1:6" x14ac:dyDescent="0.2">
      <c r="A52" s="19">
        <v>17</v>
      </c>
      <c r="B52" s="143" t="s">
        <v>15</v>
      </c>
      <c r="C52" s="144"/>
      <c r="D52" s="14">
        <f>IF(F3="1",SUMIF(Data!A:A,'19'!$A$2,Data!DK:DK),0)</f>
        <v>0</v>
      </c>
      <c r="E52" s="17">
        <f>IF($F$3="1",SUMIF(Data!$A:$A,$A$2,Data!JE:JE),0)</f>
        <v>0</v>
      </c>
      <c r="F52" s="21" t="str">
        <f t="shared" si="3"/>
        <v/>
      </c>
    </row>
    <row r="53" spans="1:6" x14ac:dyDescent="0.2">
      <c r="A53" s="19">
        <v>18</v>
      </c>
      <c r="B53" s="143" t="s">
        <v>16</v>
      </c>
      <c r="C53" s="144"/>
      <c r="D53" s="14">
        <f>IF(F3="1",SUMIF(Data!A:A,'19'!$A$2,Data!DL:DL),0)</f>
        <v>64317</v>
      </c>
      <c r="E53" s="17">
        <f>IF($F$3="1",SUMIF(Data!$A:$A,$A$2,Data!JF:JF),0)</f>
        <v>6028</v>
      </c>
      <c r="F53" s="21">
        <f t="shared" si="3"/>
        <v>0.09</v>
      </c>
    </row>
    <row r="54" spans="1:6" x14ac:dyDescent="0.2">
      <c r="A54" s="19">
        <v>19</v>
      </c>
      <c r="B54" s="143" t="s">
        <v>17</v>
      </c>
      <c r="C54" s="144"/>
      <c r="D54" s="14">
        <f>IF(F3="1",SUMIF(Data!A:A,'19'!$A$2,Data!DM:DM),0)</f>
        <v>155612</v>
      </c>
      <c r="E54" s="17">
        <f>IF($F$3="1",SUMIF(Data!$A:$A,$A$2,Data!JG:JG),0)</f>
        <v>7585</v>
      </c>
      <c r="F54" s="21">
        <f t="shared" si="3"/>
        <v>0.05</v>
      </c>
    </row>
    <row r="55" spans="1:6" x14ac:dyDescent="0.2">
      <c r="A55" s="19">
        <v>20</v>
      </c>
      <c r="B55" s="143" t="s">
        <v>18</v>
      </c>
      <c r="C55" s="144"/>
      <c r="D55" s="14">
        <f>IF(F3="1",SUMIF(Data!A:A,'19'!$A$2,Data!DN:DN),0)</f>
        <v>13184</v>
      </c>
      <c r="E55" s="17">
        <f>IF($F$3="1",SUMIF(Data!$A:$A,$A$2,Data!JH:JH),0)</f>
        <v>16041</v>
      </c>
      <c r="F55" s="21">
        <f t="shared" si="3"/>
        <v>1.22</v>
      </c>
    </row>
    <row r="56" spans="1:6" ht="14.25" customHeight="1" x14ac:dyDescent="0.2">
      <c r="A56" s="19">
        <v>21</v>
      </c>
      <c r="B56" s="143" t="s">
        <v>461</v>
      </c>
      <c r="C56" s="144"/>
      <c r="D56" s="14">
        <f>IF(F3="1",SUMIF(Data!A:A,'19'!$A$2,Data!DO:DO),0)</f>
        <v>10280</v>
      </c>
      <c r="E56" s="17">
        <f>IF($F$3="1",SUMIF(Data!$A:$A,$A$2,Data!JI:JI),0)</f>
        <v>808</v>
      </c>
      <c r="F56" s="21">
        <f t="shared" si="3"/>
        <v>0.08</v>
      </c>
    </row>
    <row r="57" spans="1:6" x14ac:dyDescent="0.2">
      <c r="A57" s="19">
        <v>22</v>
      </c>
      <c r="B57" s="143" t="s">
        <v>19</v>
      </c>
      <c r="C57" s="144"/>
      <c r="D57" s="14">
        <f>IF(F3="1",SUMIF(Data!A:A,'19'!$A$2,Data!DP:DP),0)</f>
        <v>25904</v>
      </c>
      <c r="E57" s="17">
        <f>IF($F$3="1",SUMIF(Data!$A:$A,$A$2,Data!JJ:JJ),0)</f>
        <v>9766</v>
      </c>
      <c r="F57" s="21">
        <f t="shared" si="3"/>
        <v>0.38</v>
      </c>
    </row>
    <row r="58" spans="1:6" x14ac:dyDescent="0.2">
      <c r="A58" s="19">
        <v>23</v>
      </c>
      <c r="B58" s="143" t="s">
        <v>20</v>
      </c>
      <c r="C58" s="144"/>
      <c r="D58" s="14">
        <f>IF(F3="1",SUMIF(Data!A:A,'19'!$A$2,Data!DQ:DQ),0)</f>
        <v>38448</v>
      </c>
      <c r="E58" s="17">
        <f>IF($F$3="1",SUMIF(Data!$A:$A,$A$2,Data!JK:JK),0)</f>
        <v>4975</v>
      </c>
      <c r="F58" s="21">
        <f t="shared" si="3"/>
        <v>0.13</v>
      </c>
    </row>
    <row r="59" spans="1:6" x14ac:dyDescent="0.2">
      <c r="A59" s="19">
        <v>24</v>
      </c>
      <c r="B59" s="143" t="s">
        <v>21</v>
      </c>
      <c r="C59" s="144"/>
      <c r="D59" s="14">
        <f>IF(F3="1",SUMIF(Data!A:A,'19'!$A$2,Data!DR:DR),0)</f>
        <v>60114</v>
      </c>
      <c r="E59" s="17">
        <f>IF($F$3="1",SUMIF(Data!$A:$A,$A$2,Data!JL:JL),0)</f>
        <v>22118</v>
      </c>
      <c r="F59" s="21">
        <f t="shared" si="3"/>
        <v>0.37</v>
      </c>
    </row>
    <row r="60" spans="1:6" x14ac:dyDescent="0.2">
      <c r="A60" s="19">
        <v>25</v>
      </c>
      <c r="B60" s="143" t="s">
        <v>22</v>
      </c>
      <c r="C60" s="144"/>
      <c r="D60" s="14">
        <f>IF(F3="1",SUMIF(Data!A:A,'19'!$A$2,Data!DS:DS),0)</f>
        <v>212816</v>
      </c>
      <c r="E60" s="17">
        <f>IF($F$3="1",SUMIF(Data!$A:$A,$A$2,Data!JM:JM),0)</f>
        <v>15168</v>
      </c>
      <c r="F60" s="21">
        <f t="shared" si="3"/>
        <v>7.0000000000000007E-2</v>
      </c>
    </row>
    <row r="61" spans="1:6" x14ac:dyDescent="0.2">
      <c r="A61" s="19">
        <v>26</v>
      </c>
      <c r="B61" s="143" t="s">
        <v>23</v>
      </c>
      <c r="C61" s="144"/>
      <c r="D61" s="14">
        <f>IF(F3="1",SUMIF(Data!A:A,'19'!$A$2,Data!DT:DT),0)</f>
        <v>53264</v>
      </c>
      <c r="E61" s="17">
        <f>IF($F$3="1",SUMIF(Data!$A:$A,$A$2,Data!JN:JN),0)</f>
        <v>27944</v>
      </c>
      <c r="F61" s="21">
        <f t="shared" si="3"/>
        <v>0.52</v>
      </c>
    </row>
    <row r="62" spans="1:6" x14ac:dyDescent="0.2">
      <c r="A62" s="19">
        <v>28</v>
      </c>
      <c r="B62" s="143" t="s">
        <v>24</v>
      </c>
      <c r="C62" s="144"/>
      <c r="D62" s="14">
        <f>IF(F3="1",SUMIF(Data!A:A,'19'!$A$2,Data!DV:DV),0)</f>
        <v>0</v>
      </c>
      <c r="E62" s="17">
        <f>IF($F$3="1",SUMIF(Data!$A:$A,$A$2,Data!JP:JP),0)</f>
        <v>0</v>
      </c>
      <c r="F62" s="21" t="str">
        <f t="shared" si="3"/>
        <v/>
      </c>
    </row>
    <row r="63" spans="1:6" ht="15.75" customHeight="1" thickBot="1" x14ac:dyDescent="0.25">
      <c r="A63" s="22">
        <v>29</v>
      </c>
      <c r="B63" s="147" t="s">
        <v>25</v>
      </c>
      <c r="C63" s="148"/>
      <c r="D63" s="23">
        <f>IF(F3="1",SUMIF(Data!A:A,'19'!$A$2,Data!DW:DW),0)</f>
        <v>0</v>
      </c>
      <c r="E63" s="24">
        <f>IF($F$3="1",SUMIF(Data!$A:$A,$A$2,Data!JQ:JQ),0)</f>
        <v>0</v>
      </c>
      <c r="F63" s="25" t="str">
        <f t="shared" si="3"/>
        <v/>
      </c>
    </row>
    <row r="64" spans="1:6" x14ac:dyDescent="0.2">
      <c r="B64" s="30" t="s">
        <v>35</v>
      </c>
      <c r="C64" s="30"/>
      <c r="D64" s="59">
        <f>SUM(D36:D63)</f>
        <v>1583745</v>
      </c>
      <c r="E64" s="31">
        <f>SUM(E36:E63)</f>
        <v>734534</v>
      </c>
      <c r="F64" s="32">
        <f t="shared" si="3"/>
        <v>0.46</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15912</v>
      </c>
      <c r="E67" s="15">
        <f>IF(F3="1",SUMIF(Data!A:A,'19'!$A$2,Data!DY:DY),0)</f>
        <v>48212</v>
      </c>
      <c r="F67" s="20">
        <f t="shared" ref="F67:F95" si="4">IF(OR(D67=0,E67=0),"",ROUND(E67/D67,2))</f>
        <v>3.03</v>
      </c>
    </row>
    <row r="68" spans="1:6" x14ac:dyDescent="0.2">
      <c r="A68" s="19">
        <v>2</v>
      </c>
      <c r="B68" s="143" t="s">
        <v>1</v>
      </c>
      <c r="C68" s="144"/>
      <c r="D68" s="14">
        <f t="shared" ref="D68:D94" si="5">D37</f>
        <v>43861</v>
      </c>
      <c r="E68" s="17">
        <f>IF(F3="1",SUMIF(Data!A:A,'19'!$A$2,Data!DZ:DZ),0)</f>
        <v>154549</v>
      </c>
      <c r="F68" s="21">
        <f t="shared" si="4"/>
        <v>3.52</v>
      </c>
    </row>
    <row r="69" spans="1:6" ht="14.25" customHeight="1" x14ac:dyDescent="0.2">
      <c r="A69" s="19">
        <v>3</v>
      </c>
      <c r="B69" s="143" t="s">
        <v>2</v>
      </c>
      <c r="C69" s="144"/>
      <c r="D69" s="14">
        <f t="shared" si="5"/>
        <v>154848</v>
      </c>
      <c r="E69" s="17">
        <f>IF(F3="1",SUMIF(Data!A:A,'19'!$A$2,Data!EA:EA),0)</f>
        <v>361953</v>
      </c>
      <c r="F69" s="21">
        <f t="shared" si="4"/>
        <v>2.34</v>
      </c>
    </row>
    <row r="70" spans="1:6" ht="14.25" customHeight="1" x14ac:dyDescent="0.2">
      <c r="A70" s="19">
        <v>4</v>
      </c>
      <c r="B70" s="143" t="s">
        <v>3</v>
      </c>
      <c r="C70" s="144"/>
      <c r="D70" s="14">
        <f t="shared" si="5"/>
        <v>86778</v>
      </c>
      <c r="E70" s="17">
        <f>IF(F3="1",SUMIF(Data!A:A,'19'!$A$2,Data!EB:EB),0)</f>
        <v>273978</v>
      </c>
      <c r="F70" s="21">
        <f t="shared" si="4"/>
        <v>3.16</v>
      </c>
    </row>
    <row r="71" spans="1:6" x14ac:dyDescent="0.2">
      <c r="A71" s="19">
        <v>5</v>
      </c>
      <c r="B71" s="143" t="s">
        <v>4</v>
      </c>
      <c r="C71" s="144"/>
      <c r="D71" s="14">
        <f t="shared" si="5"/>
        <v>0</v>
      </c>
      <c r="E71" s="17">
        <f>IF(F3="1",SUMIF(Data!A:A,'19'!$A$2,Data!EC:EC),0)</f>
        <v>0</v>
      </c>
      <c r="F71" s="21" t="str">
        <f t="shared" si="4"/>
        <v/>
      </c>
    </row>
    <row r="72" spans="1:6" x14ac:dyDescent="0.2">
      <c r="A72" s="19">
        <v>6</v>
      </c>
      <c r="B72" s="143" t="s">
        <v>5</v>
      </c>
      <c r="C72" s="144"/>
      <c r="D72" s="14">
        <f t="shared" si="5"/>
        <v>0</v>
      </c>
      <c r="E72" s="17">
        <f>IF(F3="1",SUMIF(Data!A:A,'19'!$A$2,Data!ED:ED),0)</f>
        <v>0</v>
      </c>
      <c r="F72" s="21" t="str">
        <f t="shared" si="4"/>
        <v/>
      </c>
    </row>
    <row r="73" spans="1:6" x14ac:dyDescent="0.2">
      <c r="A73" s="19">
        <v>7</v>
      </c>
      <c r="B73" s="143" t="s">
        <v>6</v>
      </c>
      <c r="C73" s="144"/>
      <c r="D73" s="14">
        <f t="shared" si="5"/>
        <v>104161</v>
      </c>
      <c r="E73" s="17">
        <f>IF(F3="1",SUMIF(Data!A:A,'19'!$A$2,Data!EE:EE),0)</f>
        <v>287499</v>
      </c>
      <c r="F73" s="21">
        <f t="shared" si="4"/>
        <v>2.76</v>
      </c>
    </row>
    <row r="74" spans="1:6" x14ac:dyDescent="0.2">
      <c r="A74" s="19">
        <v>8</v>
      </c>
      <c r="B74" s="143" t="s">
        <v>7</v>
      </c>
      <c r="C74" s="144"/>
      <c r="D74" s="14">
        <f t="shared" si="5"/>
        <v>4792</v>
      </c>
      <c r="E74" s="17">
        <f>IF(F3="1",SUMIF(Data!A:A,'19'!$A$2,Data!EF:EF),0)</f>
        <v>0</v>
      </c>
      <c r="F74" s="21" t="str">
        <f t="shared" si="4"/>
        <v/>
      </c>
    </row>
    <row r="75" spans="1:6" x14ac:dyDescent="0.2">
      <c r="A75" s="19">
        <v>9</v>
      </c>
      <c r="B75" s="143" t="s">
        <v>8</v>
      </c>
      <c r="C75" s="144"/>
      <c r="D75" s="14">
        <f t="shared" si="5"/>
        <v>48944</v>
      </c>
      <c r="E75" s="17">
        <f>IF(F3="1",SUMIF(Data!A:A,'19'!$A$2,Data!EG:EG),0)</f>
        <v>122569</v>
      </c>
      <c r="F75" s="21">
        <f t="shared" si="4"/>
        <v>2.5</v>
      </c>
    </row>
    <row r="76" spans="1:6" x14ac:dyDescent="0.2">
      <c r="A76" s="19">
        <v>10</v>
      </c>
      <c r="B76" s="143" t="s">
        <v>9</v>
      </c>
      <c r="C76" s="144"/>
      <c r="D76" s="14">
        <f t="shared" si="5"/>
        <v>272</v>
      </c>
      <c r="E76" s="17">
        <f>IF(F3="1",SUMIF(Data!A:A,'19'!$A$2,Data!EH:EH),0)</f>
        <v>1230</v>
      </c>
      <c r="F76" s="21">
        <f t="shared" si="4"/>
        <v>4.5199999999999996</v>
      </c>
    </row>
    <row r="77" spans="1:6" x14ac:dyDescent="0.2">
      <c r="A77" s="19">
        <v>11</v>
      </c>
      <c r="B77" s="143" t="s">
        <v>10</v>
      </c>
      <c r="C77" s="144"/>
      <c r="D77" s="14">
        <f t="shared" si="5"/>
        <v>46944</v>
      </c>
      <c r="E77" s="17">
        <f>IF(F3="1",SUMIF(Data!A:A,'19'!$A$2,Data!EI:EI),0)</f>
        <v>114960</v>
      </c>
      <c r="F77" s="21">
        <f t="shared" si="4"/>
        <v>2.4500000000000002</v>
      </c>
    </row>
    <row r="78" spans="1:6" ht="14.25" customHeight="1" x14ac:dyDescent="0.2">
      <c r="A78" s="19">
        <v>12</v>
      </c>
      <c r="B78" s="143" t="s">
        <v>11</v>
      </c>
      <c r="C78" s="144"/>
      <c r="D78" s="14">
        <f t="shared" si="5"/>
        <v>215024</v>
      </c>
      <c r="E78" s="17">
        <f>IF(F3="1",SUMIF(Data!A:A,'19'!$A$2,Data!EJ:EJ),0)</f>
        <v>498190</v>
      </c>
      <c r="F78" s="21">
        <f t="shared" si="4"/>
        <v>2.3199999999999998</v>
      </c>
    </row>
    <row r="79" spans="1:6" x14ac:dyDescent="0.2">
      <c r="A79" s="19">
        <v>13</v>
      </c>
      <c r="B79" s="143" t="s">
        <v>12</v>
      </c>
      <c r="C79" s="144"/>
      <c r="D79" s="14">
        <f t="shared" si="5"/>
        <v>16080</v>
      </c>
      <c r="E79" s="17">
        <f>IF(F3="1",SUMIF(Data!A:A,'19'!$A$2,Data!EK:EK),0)</f>
        <v>42520</v>
      </c>
      <c r="F79" s="21">
        <f t="shared" si="4"/>
        <v>2.64</v>
      </c>
    </row>
    <row r="80" spans="1:6" ht="14.25" customHeight="1" x14ac:dyDescent="0.2">
      <c r="A80" s="19">
        <v>14</v>
      </c>
      <c r="B80" s="143" t="s">
        <v>464</v>
      </c>
      <c r="C80" s="144"/>
      <c r="D80" s="14">
        <f t="shared" si="5"/>
        <v>143334</v>
      </c>
      <c r="E80" s="17">
        <f>IF(F3="1",SUMIF(Data!A:A,'19'!$A$2,Data!EL:EL),0)</f>
        <v>769508</v>
      </c>
      <c r="F80" s="21">
        <f t="shared" si="4"/>
        <v>5.37</v>
      </c>
    </row>
    <row r="81" spans="1:6" x14ac:dyDescent="0.2">
      <c r="A81" s="19">
        <v>15</v>
      </c>
      <c r="B81" s="143" t="s">
        <v>13</v>
      </c>
      <c r="C81" s="144"/>
      <c r="D81" s="14">
        <f t="shared" si="5"/>
        <v>0</v>
      </c>
      <c r="E81" s="17">
        <f>IF(F3="1",SUMIF(Data!A:A,'19'!$A$2,Data!EM:EM),0)</f>
        <v>0</v>
      </c>
      <c r="F81" s="21" t="str">
        <f t="shared" si="4"/>
        <v/>
      </c>
    </row>
    <row r="82" spans="1:6" x14ac:dyDescent="0.2">
      <c r="A82" s="19">
        <v>16</v>
      </c>
      <c r="B82" s="143" t="s">
        <v>14</v>
      </c>
      <c r="C82" s="144"/>
      <c r="D82" s="14">
        <f t="shared" si="5"/>
        <v>68856</v>
      </c>
      <c r="E82" s="17">
        <f>IF(F3="1",SUMIF(Data!A:A,'19'!$A$2,Data!EN:EN),0)</f>
        <v>258501</v>
      </c>
      <c r="F82" s="21">
        <f t="shared" si="4"/>
        <v>3.75</v>
      </c>
    </row>
    <row r="83" spans="1:6" x14ac:dyDescent="0.2">
      <c r="A83" s="19">
        <v>17</v>
      </c>
      <c r="B83" s="143" t="s">
        <v>15</v>
      </c>
      <c r="C83" s="144"/>
      <c r="D83" s="14">
        <f t="shared" si="5"/>
        <v>0</v>
      </c>
      <c r="E83" s="17">
        <f>IF(F3="1",SUMIF(Data!A:A,'19'!$A$2,Data!EO:EO),0)</f>
        <v>0</v>
      </c>
      <c r="F83" s="21" t="str">
        <f t="shared" si="4"/>
        <v/>
      </c>
    </row>
    <row r="84" spans="1:6" x14ac:dyDescent="0.2">
      <c r="A84" s="19">
        <v>18</v>
      </c>
      <c r="B84" s="143" t="s">
        <v>16</v>
      </c>
      <c r="C84" s="144"/>
      <c r="D84" s="14">
        <f t="shared" si="5"/>
        <v>64317</v>
      </c>
      <c r="E84" s="17">
        <f>IF(F3="1",SUMIF(Data!A:A,'19'!$A$2,Data!EP:EP),0)</f>
        <v>133128</v>
      </c>
      <c r="F84" s="21">
        <f t="shared" si="4"/>
        <v>2.0699999999999998</v>
      </c>
    </row>
    <row r="85" spans="1:6" x14ac:dyDescent="0.2">
      <c r="A85" s="19">
        <v>19</v>
      </c>
      <c r="B85" s="143" t="s">
        <v>17</v>
      </c>
      <c r="C85" s="144"/>
      <c r="D85" s="14">
        <f t="shared" si="5"/>
        <v>155612</v>
      </c>
      <c r="E85" s="17">
        <f>IF(F3="1",SUMIF(Data!A:A,'19'!$A$2,Data!EQ:EQ),0)</f>
        <v>306012</v>
      </c>
      <c r="F85" s="21">
        <f t="shared" si="4"/>
        <v>1.97</v>
      </c>
    </row>
    <row r="86" spans="1:6" x14ac:dyDescent="0.2">
      <c r="A86" s="19">
        <v>20</v>
      </c>
      <c r="B86" s="143" t="s">
        <v>18</v>
      </c>
      <c r="C86" s="144"/>
      <c r="D86" s="14">
        <f t="shared" si="5"/>
        <v>13184</v>
      </c>
      <c r="E86" s="17">
        <f>IF(F3="1",SUMIF(Data!A:A,'19'!$A$2,Data!ER:ER),0)</f>
        <v>50825</v>
      </c>
      <c r="F86" s="21">
        <f t="shared" si="4"/>
        <v>3.86</v>
      </c>
    </row>
    <row r="87" spans="1:6" ht="14.25" customHeight="1" x14ac:dyDescent="0.2">
      <c r="A87" s="19">
        <v>21</v>
      </c>
      <c r="B87" s="143" t="s">
        <v>461</v>
      </c>
      <c r="C87" s="144"/>
      <c r="D87" s="14">
        <f t="shared" si="5"/>
        <v>10280</v>
      </c>
      <c r="E87" s="17">
        <f>IF(F3="1",SUMIF(Data!A:A,'19'!$A$2,Data!ES:ES),0)</f>
        <v>0</v>
      </c>
      <c r="F87" s="21" t="str">
        <f t="shared" si="4"/>
        <v/>
      </c>
    </row>
    <row r="88" spans="1:6" x14ac:dyDescent="0.2">
      <c r="A88" s="19">
        <v>22</v>
      </c>
      <c r="B88" s="143" t="s">
        <v>19</v>
      </c>
      <c r="C88" s="144"/>
      <c r="D88" s="14">
        <f t="shared" si="5"/>
        <v>25904</v>
      </c>
      <c r="E88" s="17">
        <f>IF(F3="1",SUMIF(Data!A:A,'19'!$A$2,Data!ET:ET),0)</f>
        <v>126738</v>
      </c>
      <c r="F88" s="21">
        <f t="shared" si="4"/>
        <v>4.8899999999999997</v>
      </c>
    </row>
    <row r="89" spans="1:6" x14ac:dyDescent="0.2">
      <c r="A89" s="19">
        <v>23</v>
      </c>
      <c r="B89" s="143" t="s">
        <v>20</v>
      </c>
      <c r="C89" s="144"/>
      <c r="D89" s="14">
        <f t="shared" si="5"/>
        <v>38448</v>
      </c>
      <c r="E89" s="17">
        <f>IF(F3="1",SUMIF(Data!A:A,'19'!$A$2,Data!EU:EU),0)</f>
        <v>150213</v>
      </c>
      <c r="F89" s="21">
        <f t="shared" si="4"/>
        <v>3.91</v>
      </c>
    </row>
    <row r="90" spans="1:6" x14ac:dyDescent="0.2">
      <c r="A90" s="19">
        <v>24</v>
      </c>
      <c r="B90" s="143" t="s">
        <v>21</v>
      </c>
      <c r="C90" s="144"/>
      <c r="D90" s="14">
        <f t="shared" si="5"/>
        <v>60114</v>
      </c>
      <c r="E90" s="17">
        <f>IF(F3="1",SUMIF(Data!A:A,'19'!$A$2,Data!EV:EV),0)</f>
        <v>176261</v>
      </c>
      <c r="F90" s="21">
        <f t="shared" si="4"/>
        <v>2.93</v>
      </c>
    </row>
    <row r="91" spans="1:6" x14ac:dyDescent="0.2">
      <c r="A91" s="19">
        <v>25</v>
      </c>
      <c r="B91" s="143" t="s">
        <v>22</v>
      </c>
      <c r="C91" s="144"/>
      <c r="D91" s="14">
        <f t="shared" si="5"/>
        <v>212816</v>
      </c>
      <c r="E91" s="17">
        <f>IF(F3="1",SUMIF(Data!A:A,'19'!$A$2,Data!EW:EW),0)</f>
        <v>473370</v>
      </c>
      <c r="F91" s="21">
        <f t="shared" si="4"/>
        <v>2.2200000000000002</v>
      </c>
    </row>
    <row r="92" spans="1:6" x14ac:dyDescent="0.2">
      <c r="A92" s="19">
        <v>26</v>
      </c>
      <c r="B92" s="143" t="s">
        <v>23</v>
      </c>
      <c r="C92" s="144"/>
      <c r="D92" s="14">
        <f t="shared" si="5"/>
        <v>53264</v>
      </c>
      <c r="E92" s="17">
        <f>IF(F3="1",SUMIF(Data!A:A,'19'!$A$2,Data!EX:EX),0)</f>
        <v>206311</v>
      </c>
      <c r="F92" s="21">
        <f t="shared" si="4"/>
        <v>3.87</v>
      </c>
    </row>
    <row r="93" spans="1:6" x14ac:dyDescent="0.2">
      <c r="A93" s="19">
        <v>28</v>
      </c>
      <c r="B93" s="143" t="s">
        <v>24</v>
      </c>
      <c r="C93" s="144"/>
      <c r="D93" s="14">
        <f t="shared" si="5"/>
        <v>0</v>
      </c>
      <c r="E93" s="17">
        <f>IF(F3="1",SUMIF(Data!A:A,'19'!$A$2,Data!EZ:EZ),0)</f>
        <v>0</v>
      </c>
      <c r="F93" s="21" t="str">
        <f t="shared" si="4"/>
        <v/>
      </c>
    </row>
    <row r="94" spans="1:6" ht="15.75" customHeight="1" thickBot="1" x14ac:dyDescent="0.25">
      <c r="A94" s="22">
        <v>29</v>
      </c>
      <c r="B94" s="147" t="s">
        <v>25</v>
      </c>
      <c r="C94" s="148"/>
      <c r="D94" s="23">
        <f t="shared" si="5"/>
        <v>0</v>
      </c>
      <c r="E94" s="24">
        <f>IF(F3="1",SUMIF(Data!A:A,'19'!$A$2,Data!FA:FA),0)</f>
        <v>0</v>
      </c>
      <c r="F94" s="25" t="str">
        <f t="shared" si="4"/>
        <v/>
      </c>
    </row>
    <row r="95" spans="1:6" x14ac:dyDescent="0.2">
      <c r="B95" s="30" t="s">
        <v>35</v>
      </c>
      <c r="C95" s="30"/>
      <c r="D95" s="59">
        <f>SUM(D67:D94)</f>
        <v>1583745</v>
      </c>
      <c r="E95" s="31">
        <f>SUM(E67:E94)</f>
        <v>4556527</v>
      </c>
      <c r="F95" s="32">
        <f t="shared" si="4"/>
        <v>2.88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IF(F3="1",SUMIF(Data!A:A,'19'!$A$2,Data!AH:AH),0)</f>
        <v>1545807</v>
      </c>
      <c r="F98" s="20">
        <f>IF(OR(E98=0,E98=0),"",ROUND(E98/$D$105,2))</f>
        <v>0.98</v>
      </c>
    </row>
    <row r="99" spans="2:6" x14ac:dyDescent="0.2">
      <c r="B99" s="153" t="s">
        <v>31</v>
      </c>
      <c r="C99" s="154"/>
      <c r="D99" s="36"/>
      <c r="E99" s="17">
        <f>IF(F3="1",SUMIF(Data!A:A,'19'!$A$2,Data!AI:AI),0)</f>
        <v>833614</v>
      </c>
      <c r="F99" s="21">
        <f t="shared" ref="F99:F104" si="6">IF(OR(E99=0,E99=0),"",ROUND(E99/$D$105,2))</f>
        <v>0.53</v>
      </c>
    </row>
    <row r="100" spans="2:6" x14ac:dyDescent="0.2">
      <c r="B100" s="153" t="s">
        <v>1078</v>
      </c>
      <c r="C100" s="154"/>
      <c r="D100" s="36"/>
      <c r="E100" s="17">
        <f>IF(F3="1",SUMIF(Data!A:A,'19'!$A$2,Data!AJ:AJ),0)</f>
        <v>258686</v>
      </c>
      <c r="F100" s="21">
        <f t="shared" si="6"/>
        <v>0.16</v>
      </c>
    </row>
    <row r="101" spans="2:6" x14ac:dyDescent="0.2">
      <c r="B101" s="153" t="s">
        <v>1079</v>
      </c>
      <c r="C101" s="154"/>
      <c r="D101" s="36"/>
      <c r="E101" s="17">
        <f>IF(F3="1",SUMIF(Data!A:A,'19'!$A$2,Data!AK:AK),0)</f>
        <v>340284</v>
      </c>
      <c r="F101" s="21">
        <f t="shared" si="6"/>
        <v>0.21</v>
      </c>
    </row>
    <row r="102" spans="2:6" x14ac:dyDescent="0.2">
      <c r="B102" s="153" t="s">
        <v>1080</v>
      </c>
      <c r="C102" s="154"/>
      <c r="D102" s="36"/>
      <c r="E102" s="17">
        <f>IF(F3="1",SUMIF(Data!A:A,'19'!$A$2,Data!AL:AL),0)</f>
        <v>42420</v>
      </c>
      <c r="F102" s="21">
        <f t="shared" si="6"/>
        <v>0.03</v>
      </c>
    </row>
    <row r="103" spans="2:6" x14ac:dyDescent="0.2">
      <c r="B103" s="155" t="s">
        <v>34</v>
      </c>
      <c r="C103" s="156"/>
      <c r="D103" s="36"/>
      <c r="E103" s="17">
        <f>IF(F3="1",SUMIF(Data!A:A,'19'!$A$2,Data!AM:AM),0)</f>
        <v>0</v>
      </c>
      <c r="F103" s="21" t="str">
        <f t="shared" si="6"/>
        <v/>
      </c>
    </row>
    <row r="104" spans="2:6" ht="15.75" customHeight="1" thickBot="1" x14ac:dyDescent="0.25">
      <c r="B104" s="149" t="s">
        <v>29</v>
      </c>
      <c r="C104" s="150"/>
      <c r="D104" s="37"/>
      <c r="E104" s="24">
        <f>IF(F3="1",SUMIF(Data!A:A,'19'!$A$2,Data!Q:Q),0)</f>
        <v>710215</v>
      </c>
      <c r="F104" s="25">
        <f t="shared" si="6"/>
        <v>0.45</v>
      </c>
    </row>
    <row r="105" spans="2:6" x14ac:dyDescent="0.2">
      <c r="B105" s="30" t="s">
        <v>35</v>
      </c>
      <c r="C105" s="30"/>
      <c r="D105" s="34">
        <f>D95</f>
        <v>1583745</v>
      </c>
      <c r="E105" s="31">
        <f>SUM(E98:E104)</f>
        <v>3731026</v>
      </c>
      <c r="F105" s="32">
        <f>IF($D$105=0,"",ROUND(E105/$D$105,2))</f>
        <v>2.36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4556527</v>
      </c>
      <c r="D109" s="15">
        <f>IF(F3="1",SUMIF(Data!$A:$A,$A$2,Data!HJ:HJ),0)</f>
        <v>0</v>
      </c>
      <c r="E109" s="15">
        <f>IF(F3="1",SUMIF(Data!$A:$A,$A$2,Data!IN:IN),0)</f>
        <v>0</v>
      </c>
      <c r="F109" s="47">
        <f>SUM(C109:E109)</f>
        <v>4556527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42420</v>
      </c>
      <c r="F116" s="48">
        <f t="shared" si="7"/>
        <v>42420</v>
      </c>
    </row>
    <row r="117" spans="1:6" ht="15" thickBot="1" x14ac:dyDescent="0.25">
      <c r="B117" s="43" t="s">
        <v>933</v>
      </c>
      <c r="C117" s="52"/>
      <c r="D117" s="52">
        <f>IF(F3="1",SUMIF(Data!A:A,$A$2,Data!Q:Q),0)</f>
        <v>710215</v>
      </c>
      <c r="E117" s="52"/>
      <c r="F117" s="49">
        <f>SUM(C117:E117)</f>
        <v>710215</v>
      </c>
    </row>
    <row r="118" spans="1:6" x14ac:dyDescent="0.2">
      <c r="B118" s="13" t="s">
        <v>35</v>
      </c>
      <c r="C118" s="4">
        <f>SUM(C109:C116)</f>
        <v>4556527</v>
      </c>
      <c r="D118" s="4">
        <f>SUM(D109:D116)</f>
        <v>0</v>
      </c>
      <c r="E118" s="4">
        <f>SUM(E109:E116)</f>
        <v>42420</v>
      </c>
      <c r="F118" s="4">
        <f>SUM(F109:F116)</f>
        <v>4598947</v>
      </c>
    </row>
    <row r="119" spans="1:6" ht="15" thickBot="1" x14ac:dyDescent="0.25"/>
    <row r="120" spans="1:6" ht="15" thickBot="1" x14ac:dyDescent="0.25">
      <c r="B120" s="55" t="s">
        <v>934</v>
      </c>
      <c r="C120" s="53"/>
      <c r="D120" s="53"/>
      <c r="E120" s="53">
        <f>IF(F3="1",SUMIF(Data!A:A,'19'!$A$2,Data!AM:AM),0)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372</v>
      </c>
      <c r="B2" s="58" t="str">
        <f>VLOOKUP(A2,Data!A:G,7,0)</f>
        <v>Hill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10200</v>
      </c>
      <c r="E5" s="15">
        <f>E36+E67+IFERROR($E$105/$D$105*D5,0)</f>
        <v>74205.989423492021</v>
      </c>
      <c r="F5" s="20">
        <f>IF(OR(D5=0,E5=0),"",ROUND(E5/D5,2))</f>
        <v>7.28</v>
      </c>
    </row>
    <row r="6" spans="1:6" x14ac:dyDescent="0.2">
      <c r="A6" s="19">
        <v>2</v>
      </c>
      <c r="B6" s="143" t="s">
        <v>1</v>
      </c>
      <c r="C6" s="144"/>
      <c r="D6" s="14">
        <f t="shared" ref="D6:D32" si="0">D37</f>
        <v>43752</v>
      </c>
      <c r="E6" s="17">
        <f t="shared" ref="E6:E32" si="1">E37+E68+IFERROR($E$105/$D$105*D6,0)</f>
        <v>329501.0863977081</v>
      </c>
      <c r="F6" s="21">
        <f t="shared" ref="F6:F33" si="2">IF(OR(D6=0,E6=0),"",ROUND(E6/D6,2))</f>
        <v>7.53</v>
      </c>
    </row>
    <row r="7" spans="1:6" ht="14.25" customHeight="1" x14ac:dyDescent="0.2">
      <c r="A7" s="19">
        <v>3</v>
      </c>
      <c r="B7" s="143" t="s">
        <v>2</v>
      </c>
      <c r="C7" s="144"/>
      <c r="D7" s="14">
        <f t="shared" si="0"/>
        <v>77120</v>
      </c>
      <c r="E7" s="17">
        <f t="shared" si="1"/>
        <v>414429.57101369649</v>
      </c>
      <c r="F7" s="21">
        <f t="shared" si="2"/>
        <v>5.37</v>
      </c>
    </row>
    <row r="8" spans="1:6" ht="14.25" customHeight="1" x14ac:dyDescent="0.2">
      <c r="A8" s="19">
        <v>4</v>
      </c>
      <c r="B8" s="143" t="s">
        <v>3</v>
      </c>
      <c r="C8" s="144"/>
      <c r="D8" s="14">
        <f t="shared" si="0"/>
        <v>90720</v>
      </c>
      <c r="E8" s="17">
        <f t="shared" si="1"/>
        <v>270514.22357835248</v>
      </c>
      <c r="F8" s="21">
        <f t="shared" si="2"/>
        <v>2.98</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112250</v>
      </c>
      <c r="E11" s="17">
        <f t="shared" si="1"/>
        <v>635611.70223401743</v>
      </c>
      <c r="F11" s="21">
        <f t="shared" si="2"/>
        <v>5.66</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98840</v>
      </c>
      <c r="E13" s="17">
        <f t="shared" si="1"/>
        <v>421323.16025666182</v>
      </c>
      <c r="F13" s="21">
        <f t="shared" si="2"/>
        <v>4.26</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22770</v>
      </c>
      <c r="E15" s="17">
        <f t="shared" si="1"/>
        <v>158481.77933067776</v>
      </c>
      <c r="F15" s="21">
        <f t="shared" si="2"/>
        <v>6.96</v>
      </c>
    </row>
    <row r="16" spans="1:6" ht="14.25" customHeight="1" x14ac:dyDescent="0.2">
      <c r="A16" s="19">
        <v>12</v>
      </c>
      <c r="B16" s="143" t="s">
        <v>11</v>
      </c>
      <c r="C16" s="144"/>
      <c r="D16" s="14">
        <f t="shared" si="0"/>
        <v>166416</v>
      </c>
      <c r="E16" s="17">
        <f t="shared" si="1"/>
        <v>712780.8815588085</v>
      </c>
      <c r="F16" s="21">
        <f t="shared" si="2"/>
        <v>4.28</v>
      </c>
    </row>
    <row r="17" spans="1:6" x14ac:dyDescent="0.2">
      <c r="A17" s="19">
        <v>13</v>
      </c>
      <c r="B17" s="143" t="s">
        <v>12</v>
      </c>
      <c r="C17" s="144"/>
      <c r="D17" s="14">
        <f t="shared" si="0"/>
        <v>24184</v>
      </c>
      <c r="E17" s="17">
        <f t="shared" si="1"/>
        <v>117133.52864879713</v>
      </c>
      <c r="F17" s="21">
        <f t="shared" si="2"/>
        <v>4.84</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5960</v>
      </c>
      <c r="E20" s="17">
        <f t="shared" si="1"/>
        <v>25512.574212158077</v>
      </c>
      <c r="F20" s="21">
        <f t="shared" si="2"/>
        <v>4.28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102368</v>
      </c>
      <c r="E22" s="17">
        <f t="shared" si="1"/>
        <v>625538.1189513756</v>
      </c>
      <c r="F22" s="21">
        <f t="shared" si="2"/>
        <v>6.11</v>
      </c>
    </row>
    <row r="23" spans="1:6" x14ac:dyDescent="0.2">
      <c r="A23" s="19">
        <v>19</v>
      </c>
      <c r="B23" s="143" t="s">
        <v>17</v>
      </c>
      <c r="C23" s="144"/>
      <c r="D23" s="14">
        <f t="shared" si="0"/>
        <v>112560</v>
      </c>
      <c r="E23" s="17">
        <f t="shared" si="1"/>
        <v>454109.77740277071</v>
      </c>
      <c r="F23" s="21">
        <f t="shared" si="2"/>
        <v>4.03</v>
      </c>
    </row>
    <row r="24" spans="1:6" x14ac:dyDescent="0.2">
      <c r="A24" s="19">
        <v>20</v>
      </c>
      <c r="B24" s="143" t="s">
        <v>18</v>
      </c>
      <c r="C24" s="144"/>
      <c r="D24" s="14">
        <f t="shared" si="0"/>
        <v>67900</v>
      </c>
      <c r="E24" s="17">
        <f t="shared" si="1"/>
        <v>413671.62567206938</v>
      </c>
      <c r="F24" s="21">
        <f t="shared" si="2"/>
        <v>6.09</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8240</v>
      </c>
      <c r="E26" s="17">
        <f t="shared" si="1"/>
        <v>60982.901259762177</v>
      </c>
      <c r="F26" s="21">
        <f t="shared" si="2"/>
        <v>7.4</v>
      </c>
    </row>
    <row r="27" spans="1:6" x14ac:dyDescent="0.2">
      <c r="A27" s="19">
        <v>23</v>
      </c>
      <c r="B27" s="143" t="s">
        <v>20</v>
      </c>
      <c r="C27" s="144"/>
      <c r="D27" s="14">
        <f t="shared" si="0"/>
        <v>60256</v>
      </c>
      <c r="E27" s="17">
        <f t="shared" si="1"/>
        <v>358529.88183352305</v>
      </c>
      <c r="F27" s="21">
        <f t="shared" si="2"/>
        <v>5.95</v>
      </c>
    </row>
    <row r="28" spans="1:6" x14ac:dyDescent="0.2">
      <c r="A28" s="19">
        <v>24</v>
      </c>
      <c r="B28" s="143" t="s">
        <v>21</v>
      </c>
      <c r="C28" s="144"/>
      <c r="D28" s="14">
        <f t="shared" si="0"/>
        <v>45824</v>
      </c>
      <c r="E28" s="17">
        <f t="shared" si="1"/>
        <v>250445.80817079393</v>
      </c>
      <c r="F28" s="21">
        <f t="shared" si="2"/>
        <v>5.47</v>
      </c>
    </row>
    <row r="29" spans="1:6" x14ac:dyDescent="0.2">
      <c r="A29" s="19">
        <v>25</v>
      </c>
      <c r="B29" s="143" t="s">
        <v>22</v>
      </c>
      <c r="C29" s="144"/>
      <c r="D29" s="14">
        <f t="shared" si="0"/>
        <v>101808</v>
      </c>
      <c r="E29" s="17">
        <f t="shared" si="1"/>
        <v>557407.95090459555</v>
      </c>
      <c r="F29" s="21">
        <f t="shared" si="2"/>
        <v>5.48</v>
      </c>
    </row>
    <row r="30" spans="1:6" x14ac:dyDescent="0.2">
      <c r="A30" s="19">
        <v>26</v>
      </c>
      <c r="B30" s="143" t="s">
        <v>23</v>
      </c>
      <c r="C30" s="144"/>
      <c r="D30" s="14">
        <f t="shared" si="0"/>
        <v>71920</v>
      </c>
      <c r="E30" s="17">
        <f t="shared" si="1"/>
        <v>386579.43915073975</v>
      </c>
      <c r="F30" s="21">
        <f t="shared" si="2"/>
        <v>5.38</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1223088</v>
      </c>
      <c r="E33" s="31">
        <f>SUM(E5:E32)</f>
        <v>6266759.9999999991</v>
      </c>
      <c r="F33" s="32">
        <f t="shared" si="2"/>
        <v>5.12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IF(F3="1",SUMIF(Data!A:A,'20'!$A$2,Data!CU:CU),0)</f>
        <v>10200</v>
      </c>
      <c r="E36" s="15">
        <f>IF(F3="1",SUMIF(Data!$A:$A,$A$2,Data!IO:IO),0)</f>
        <v>9525</v>
      </c>
      <c r="F36" s="20">
        <f t="shared" ref="F36:F64" si="3">IF(OR(D36=0,E36=0),"",ROUND(E36/D36,2))</f>
        <v>0.93</v>
      </c>
    </row>
    <row r="37" spans="1:6" x14ac:dyDescent="0.2">
      <c r="A37" s="19">
        <v>2</v>
      </c>
      <c r="B37" s="143" t="s">
        <v>1</v>
      </c>
      <c r="C37" s="144"/>
      <c r="D37" s="14">
        <f>IF(F3="1",SUMIF(Data!A:A,'20'!$A$2,Data!CV:CV),0)</f>
        <v>43752</v>
      </c>
      <c r="E37" s="17">
        <f>IF(F3="1",SUMIF(Data!$A:$A,$A$2,Data!IP:IP),0)</f>
        <v>38584</v>
      </c>
      <c r="F37" s="21">
        <f t="shared" si="3"/>
        <v>0.88</v>
      </c>
    </row>
    <row r="38" spans="1:6" ht="14.25" customHeight="1" x14ac:dyDescent="0.2">
      <c r="A38" s="19">
        <v>3</v>
      </c>
      <c r="B38" s="143" t="s">
        <v>2</v>
      </c>
      <c r="C38" s="144"/>
      <c r="D38" s="14">
        <f>IF(F3="1",SUMIF(Data!A:A,'20'!$A$2,Data!CW:CW),0)</f>
        <v>77120</v>
      </c>
      <c r="E38" s="17">
        <f>IF($F$3="1",SUMIF(Data!$A:$A,$A$2,Data!IQ:IQ),0)</f>
        <v>18943</v>
      </c>
      <c r="F38" s="21">
        <f t="shared" si="3"/>
        <v>0.25</v>
      </c>
    </row>
    <row r="39" spans="1:6" ht="14.25" customHeight="1" x14ac:dyDescent="0.2">
      <c r="A39" s="19">
        <v>4</v>
      </c>
      <c r="B39" s="143" t="s">
        <v>3</v>
      </c>
      <c r="C39" s="144"/>
      <c r="D39" s="14">
        <f>IF(F3="1",SUMIF(Data!A:A,'20'!$A$2,Data!CX:CX),0)</f>
        <v>90720</v>
      </c>
      <c r="E39" s="17">
        <f>IF($F$3="1",SUMIF(Data!$A:$A,$A$2,Data!IR:IR),0)</f>
        <v>4955</v>
      </c>
      <c r="F39" s="21">
        <f t="shared" si="3"/>
        <v>0.05</v>
      </c>
    </row>
    <row r="40" spans="1:6" x14ac:dyDescent="0.2">
      <c r="A40" s="19">
        <v>5</v>
      </c>
      <c r="B40" s="143" t="s">
        <v>4</v>
      </c>
      <c r="C40" s="144"/>
      <c r="D40" s="14">
        <f>IF(F3="1",SUMIF(Data!A:A,'20'!$A$2,Data!CY:CY),0)</f>
        <v>0</v>
      </c>
      <c r="E40" s="17">
        <f>IF($F$3="1",SUMIF(Data!$A:$A,$A$2,Data!IS:IS),0)</f>
        <v>0</v>
      </c>
      <c r="F40" s="21" t="str">
        <f t="shared" si="3"/>
        <v/>
      </c>
    </row>
    <row r="41" spans="1:6" x14ac:dyDescent="0.2">
      <c r="A41" s="19">
        <v>6</v>
      </c>
      <c r="B41" s="143" t="s">
        <v>5</v>
      </c>
      <c r="C41" s="144"/>
      <c r="D41" s="14">
        <f>IF(F3="1",SUMIF(Data!A:A,'20'!$A$2,Data!CZ:CZ),0)</f>
        <v>0</v>
      </c>
      <c r="E41" s="17">
        <f>IF($F$3="1",SUMIF(Data!$A:$A,$A$2,Data!IT:IT),0)</f>
        <v>0</v>
      </c>
      <c r="F41" s="21" t="str">
        <f t="shared" si="3"/>
        <v/>
      </c>
    </row>
    <row r="42" spans="1:6" x14ac:dyDescent="0.2">
      <c r="A42" s="19">
        <v>7</v>
      </c>
      <c r="B42" s="143" t="s">
        <v>6</v>
      </c>
      <c r="C42" s="144"/>
      <c r="D42" s="14">
        <f>IF(F3="1",SUMIF(Data!A:A,'20'!$A$2,Data!DA:DA),0)</f>
        <v>112250</v>
      </c>
      <c r="E42" s="17">
        <f>IF($F$3="1",SUMIF(Data!$A:$A,$A$2,Data!IU:IU),0)</f>
        <v>43676</v>
      </c>
      <c r="F42" s="21">
        <f t="shared" si="3"/>
        <v>0.39</v>
      </c>
    </row>
    <row r="43" spans="1:6" x14ac:dyDescent="0.2">
      <c r="A43" s="19">
        <v>8</v>
      </c>
      <c r="B43" s="143" t="s">
        <v>7</v>
      </c>
      <c r="C43" s="144"/>
      <c r="D43" s="14">
        <f>IF(F3="1",SUMIF(Data!A:A,'20'!$A$2,Data!DB:DB),0)</f>
        <v>0</v>
      </c>
      <c r="E43" s="17">
        <f>IF($F$3="1",SUMIF(Data!$A:$A,$A$2,Data!IV:IV),0)</f>
        <v>0</v>
      </c>
      <c r="F43" s="21" t="str">
        <f t="shared" si="3"/>
        <v/>
      </c>
    </row>
    <row r="44" spans="1:6" x14ac:dyDescent="0.2">
      <c r="A44" s="19">
        <v>9</v>
      </c>
      <c r="B44" s="143" t="s">
        <v>8</v>
      </c>
      <c r="C44" s="144"/>
      <c r="D44" s="14">
        <f>IF(F3="1",SUMIF(Data!A:A,'20'!$A$2,Data!DC:DC),0)</f>
        <v>98840</v>
      </c>
      <c r="E44" s="17">
        <f>IF($F$3="1",SUMIF(Data!$A:$A,$A$2,Data!IW:IW),0)</f>
        <v>17903</v>
      </c>
      <c r="F44" s="21">
        <f t="shared" si="3"/>
        <v>0.18</v>
      </c>
    </row>
    <row r="45" spans="1:6" x14ac:dyDescent="0.2">
      <c r="A45" s="19">
        <v>10</v>
      </c>
      <c r="B45" s="143" t="s">
        <v>9</v>
      </c>
      <c r="C45" s="144"/>
      <c r="D45" s="14">
        <f>IF(F3="1",SUMIF(Data!A:A,'20'!$A$2,Data!DD:DD),0)</f>
        <v>0</v>
      </c>
      <c r="E45" s="17">
        <f>IF($F$3="1",SUMIF(Data!$A:$A,$A$2,Data!IX:IX),0)</f>
        <v>0</v>
      </c>
      <c r="F45" s="21" t="str">
        <f t="shared" si="3"/>
        <v/>
      </c>
    </row>
    <row r="46" spans="1:6" x14ac:dyDescent="0.2">
      <c r="A46" s="19">
        <v>11</v>
      </c>
      <c r="B46" s="143" t="s">
        <v>10</v>
      </c>
      <c r="C46" s="144"/>
      <c r="D46" s="14">
        <f>IF(F3="1",SUMIF(Data!A:A,'20'!$A$2,Data!DE:DE),0)</f>
        <v>22770</v>
      </c>
      <c r="E46" s="17">
        <f>IF($F$3="1",SUMIF(Data!$A:$A,$A$2,Data!IY:IY),0)</f>
        <v>8438</v>
      </c>
      <c r="F46" s="21">
        <f t="shared" si="3"/>
        <v>0.37</v>
      </c>
    </row>
    <row r="47" spans="1:6" ht="14.25" customHeight="1" x14ac:dyDescent="0.2">
      <c r="A47" s="19">
        <v>12</v>
      </c>
      <c r="B47" s="143" t="s">
        <v>11</v>
      </c>
      <c r="C47" s="144"/>
      <c r="D47" s="14">
        <f>IF(F3="1",SUMIF(Data!A:A,'20'!$A$2,Data!DF:DF),0)</f>
        <v>166416</v>
      </c>
      <c r="E47" s="17">
        <f>IF($F$3="1",SUMIF(Data!$A:$A,$A$2,Data!IZ:IZ),0)</f>
        <v>27558</v>
      </c>
      <c r="F47" s="21">
        <f t="shared" si="3"/>
        <v>0.17</v>
      </c>
    </row>
    <row r="48" spans="1:6" x14ac:dyDescent="0.2">
      <c r="A48" s="19">
        <v>13</v>
      </c>
      <c r="B48" s="143" t="s">
        <v>12</v>
      </c>
      <c r="C48" s="144"/>
      <c r="D48" s="14">
        <f>IF(F3="1",SUMIF(Data!A:A,'20'!$A$2,Data!DG:DG),0)</f>
        <v>24184</v>
      </c>
      <c r="E48" s="17">
        <f>IF($F$3="1",SUMIF(Data!$A:$A,$A$2,Data!JA:JA),0)</f>
        <v>2530</v>
      </c>
      <c r="F48" s="21">
        <f t="shared" si="3"/>
        <v>0.1</v>
      </c>
    </row>
    <row r="49" spans="1:6" ht="14.25" customHeight="1" x14ac:dyDescent="0.2">
      <c r="A49" s="19">
        <v>14</v>
      </c>
      <c r="B49" s="143" t="s">
        <v>464</v>
      </c>
      <c r="C49" s="144"/>
      <c r="D49" s="14">
        <f>IF(F3="1",SUMIF(Data!A:A,'20'!$A$2,Data!DH:DH),0)</f>
        <v>0</v>
      </c>
      <c r="E49" s="17">
        <f>IF($F$3="1",SUMIF(Data!$A:$A,$A$2,Data!JB:JB),0)</f>
        <v>0</v>
      </c>
      <c r="F49" s="21" t="str">
        <f t="shared" si="3"/>
        <v/>
      </c>
    </row>
    <row r="50" spans="1:6" x14ac:dyDescent="0.2">
      <c r="A50" s="19">
        <v>15</v>
      </c>
      <c r="B50" s="143" t="s">
        <v>13</v>
      </c>
      <c r="C50" s="144"/>
      <c r="D50" s="14">
        <f>IF(F3="1",SUMIF(Data!A:A,'20'!$A$2,Data!DI:DI),0)</f>
        <v>0</v>
      </c>
      <c r="E50" s="17">
        <f>IF($F$3="1",SUMIF(Data!$A:$A,$A$2,Data!JC:JC),0)</f>
        <v>0</v>
      </c>
      <c r="F50" s="21" t="str">
        <f t="shared" si="3"/>
        <v/>
      </c>
    </row>
    <row r="51" spans="1:6" x14ac:dyDescent="0.2">
      <c r="A51" s="19">
        <v>16</v>
      </c>
      <c r="B51" s="143" t="s">
        <v>14</v>
      </c>
      <c r="C51" s="144"/>
      <c r="D51" s="14">
        <f>IF(F3="1",SUMIF(Data!A:A,'20'!$A$2,Data!DJ:DJ),0)</f>
        <v>5960</v>
      </c>
      <c r="E51" s="17">
        <f>IF($F$3="1",SUMIF(Data!$A:$A,$A$2,Data!JD:JD),0)</f>
        <v>2878</v>
      </c>
      <c r="F51" s="21">
        <f t="shared" si="3"/>
        <v>0.48</v>
      </c>
    </row>
    <row r="52" spans="1:6" x14ac:dyDescent="0.2">
      <c r="A52" s="19">
        <v>17</v>
      </c>
      <c r="B52" s="143" t="s">
        <v>15</v>
      </c>
      <c r="C52" s="144"/>
      <c r="D52" s="14">
        <f>IF(F3="1",SUMIF(Data!A:A,'20'!$A$2,Data!DK:DK),0)</f>
        <v>0</v>
      </c>
      <c r="E52" s="17">
        <f>IF($F$3="1",SUMIF(Data!$A:$A,$A$2,Data!JE:JE),0)</f>
        <v>0</v>
      </c>
      <c r="F52" s="21" t="str">
        <f t="shared" si="3"/>
        <v/>
      </c>
    </row>
    <row r="53" spans="1:6" x14ac:dyDescent="0.2">
      <c r="A53" s="19">
        <v>18</v>
      </c>
      <c r="B53" s="143" t="s">
        <v>16</v>
      </c>
      <c r="C53" s="144"/>
      <c r="D53" s="14">
        <f>IF(F3="1",SUMIF(Data!A:A,'20'!$A$2,Data!DL:DL),0)</f>
        <v>102368</v>
      </c>
      <c r="E53" s="17">
        <f>IF($F$3="1",SUMIF(Data!$A:$A,$A$2,Data!JF:JF),0)</f>
        <v>33780</v>
      </c>
      <c r="F53" s="21">
        <f t="shared" si="3"/>
        <v>0.33</v>
      </c>
    </row>
    <row r="54" spans="1:6" x14ac:dyDescent="0.2">
      <c r="A54" s="19">
        <v>19</v>
      </c>
      <c r="B54" s="143" t="s">
        <v>17</v>
      </c>
      <c r="C54" s="144"/>
      <c r="D54" s="14">
        <f>IF(F3="1",SUMIF(Data!A:A,'20'!$A$2,Data!DM:DM),0)</f>
        <v>112560</v>
      </c>
      <c r="E54" s="17">
        <f>IF($F$3="1",SUMIF(Data!$A:$A,$A$2,Data!JG:JG),0)</f>
        <v>7288</v>
      </c>
      <c r="F54" s="21">
        <f t="shared" si="3"/>
        <v>0.06</v>
      </c>
    </row>
    <row r="55" spans="1:6" x14ac:dyDescent="0.2">
      <c r="A55" s="19">
        <v>20</v>
      </c>
      <c r="B55" s="143" t="s">
        <v>18</v>
      </c>
      <c r="C55" s="144"/>
      <c r="D55" s="14">
        <f>IF(F3="1",SUMIF(Data!A:A,'20'!$A$2,Data!DN:DN),0)</f>
        <v>67900</v>
      </c>
      <c r="E55" s="17">
        <f>IF($F$3="1",SUMIF(Data!$A:$A,$A$2,Data!JH:JH),0)</f>
        <v>45876</v>
      </c>
      <c r="F55" s="21">
        <f t="shared" si="3"/>
        <v>0.68</v>
      </c>
    </row>
    <row r="56" spans="1:6" ht="14.25" customHeight="1" x14ac:dyDescent="0.2">
      <c r="A56" s="19">
        <v>21</v>
      </c>
      <c r="B56" s="143" t="s">
        <v>461</v>
      </c>
      <c r="C56" s="144"/>
      <c r="D56" s="14">
        <f>IF(F3="1",SUMIF(Data!A:A,'20'!$A$2,Data!DO:DO),0)</f>
        <v>0</v>
      </c>
      <c r="E56" s="17">
        <f>IF($F$3="1",SUMIF(Data!$A:$A,$A$2,Data!JI:JI),0)</f>
        <v>0</v>
      </c>
      <c r="F56" s="21" t="str">
        <f t="shared" si="3"/>
        <v/>
      </c>
    </row>
    <row r="57" spans="1:6" x14ac:dyDescent="0.2">
      <c r="A57" s="19">
        <v>22</v>
      </c>
      <c r="B57" s="143" t="s">
        <v>19</v>
      </c>
      <c r="C57" s="144"/>
      <c r="D57" s="14">
        <f>IF(F3="1",SUMIF(Data!A:A,'20'!$A$2,Data!DP:DP),0)</f>
        <v>8240</v>
      </c>
      <c r="E57" s="17">
        <f>IF($F$3="1",SUMIF(Data!$A:$A,$A$2,Data!JJ:JJ),0)</f>
        <v>3654</v>
      </c>
      <c r="F57" s="21">
        <f t="shared" si="3"/>
        <v>0.44</v>
      </c>
    </row>
    <row r="58" spans="1:6" x14ac:dyDescent="0.2">
      <c r="A58" s="19">
        <v>23</v>
      </c>
      <c r="B58" s="143" t="s">
        <v>20</v>
      </c>
      <c r="C58" s="144"/>
      <c r="D58" s="14">
        <f>IF(F3="1",SUMIF(Data!A:A,'20'!$A$2,Data!DQ:DQ),0)</f>
        <v>60256</v>
      </c>
      <c r="E58" s="17">
        <f>IF($F$3="1",SUMIF(Data!$A:$A,$A$2,Data!JK:JK),0)</f>
        <v>5447</v>
      </c>
      <c r="F58" s="21">
        <f t="shared" si="3"/>
        <v>0.09</v>
      </c>
    </row>
    <row r="59" spans="1:6" x14ac:dyDescent="0.2">
      <c r="A59" s="19">
        <v>24</v>
      </c>
      <c r="B59" s="143" t="s">
        <v>21</v>
      </c>
      <c r="C59" s="144"/>
      <c r="D59" s="14">
        <f>IF(F3="1",SUMIF(Data!A:A,'20'!$A$2,Data!DR:DR),0)</f>
        <v>45824</v>
      </c>
      <c r="E59" s="17">
        <f>IF($F$3="1",SUMIF(Data!$A:$A,$A$2,Data!JL:JL),0)</f>
        <v>13468</v>
      </c>
      <c r="F59" s="21">
        <f t="shared" si="3"/>
        <v>0.28999999999999998</v>
      </c>
    </row>
    <row r="60" spans="1:6" x14ac:dyDescent="0.2">
      <c r="A60" s="19">
        <v>25</v>
      </c>
      <c r="B60" s="143" t="s">
        <v>22</v>
      </c>
      <c r="C60" s="144"/>
      <c r="D60" s="14">
        <f>IF(F3="1",SUMIF(Data!A:A,'20'!$A$2,Data!DS:DS),0)</f>
        <v>101808</v>
      </c>
      <c r="E60" s="17">
        <f>IF($F$3="1",SUMIF(Data!$A:$A,$A$2,Data!JM:JM),0)</f>
        <v>20413</v>
      </c>
      <c r="F60" s="21">
        <f t="shared" si="3"/>
        <v>0.2</v>
      </c>
    </row>
    <row r="61" spans="1:6" x14ac:dyDescent="0.2">
      <c r="A61" s="19">
        <v>26</v>
      </c>
      <c r="B61" s="143" t="s">
        <v>23</v>
      </c>
      <c r="C61" s="144"/>
      <c r="D61" s="14">
        <f>IF(F3="1",SUMIF(Data!A:A,'20'!$A$2,Data!DT:DT),0)</f>
        <v>71920</v>
      </c>
      <c r="E61" s="17">
        <f>IF($F$3="1",SUMIF(Data!$A:$A,$A$2,Data!JN:JN),0)</f>
        <v>37488</v>
      </c>
      <c r="F61" s="21">
        <f t="shared" si="3"/>
        <v>0.52</v>
      </c>
    </row>
    <row r="62" spans="1:6" x14ac:dyDescent="0.2">
      <c r="A62" s="19">
        <v>28</v>
      </c>
      <c r="B62" s="143" t="s">
        <v>24</v>
      </c>
      <c r="C62" s="144"/>
      <c r="D62" s="14">
        <f>IF(F3="1",SUMIF(Data!A:A,'20'!$A$2,Data!DV:DV),0)</f>
        <v>0</v>
      </c>
      <c r="E62" s="17">
        <f>IF($F$3="1",SUMIF(Data!$A:$A,$A$2,Data!JP:JP),0)</f>
        <v>0</v>
      </c>
      <c r="F62" s="21" t="str">
        <f t="shared" si="3"/>
        <v/>
      </c>
    </row>
    <row r="63" spans="1:6" ht="15.75" customHeight="1" thickBot="1" x14ac:dyDescent="0.25">
      <c r="A63" s="22">
        <v>29</v>
      </c>
      <c r="B63" s="147" t="s">
        <v>25</v>
      </c>
      <c r="C63" s="148"/>
      <c r="D63" s="23">
        <f>IF(F3="1",SUMIF(Data!A:A,'20'!$A$2,Data!DW:DW),0)</f>
        <v>0</v>
      </c>
      <c r="E63" s="24">
        <f>IF($F$3="1",SUMIF(Data!$A:$A,$A$2,Data!JQ:JQ),0)</f>
        <v>0</v>
      </c>
      <c r="F63" s="25" t="str">
        <f t="shared" si="3"/>
        <v/>
      </c>
    </row>
    <row r="64" spans="1:6" x14ac:dyDescent="0.2">
      <c r="B64" s="30" t="s">
        <v>35</v>
      </c>
      <c r="C64" s="30"/>
      <c r="D64" s="59">
        <f>SUM(D36:D63)</f>
        <v>1223088</v>
      </c>
      <c r="E64" s="31">
        <f>SUM(E36:E63)</f>
        <v>342404</v>
      </c>
      <c r="F64" s="32">
        <f t="shared" si="3"/>
        <v>0.28000000000000003</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10200</v>
      </c>
      <c r="E67" s="15">
        <f>IF(F3="1",SUMIF(Data!A:A,'20'!$A$2,Data!DY:DY),0)</f>
        <v>40034</v>
      </c>
      <c r="F67" s="20">
        <f t="shared" ref="F67:F95" si="4">IF(OR(D67=0,E67=0),"",ROUND(E67/D67,2))</f>
        <v>3.92</v>
      </c>
    </row>
    <row r="68" spans="1:6" x14ac:dyDescent="0.2">
      <c r="A68" s="19">
        <v>2</v>
      </c>
      <c r="B68" s="143" t="s">
        <v>1</v>
      </c>
      <c r="C68" s="144"/>
      <c r="D68" s="14">
        <f t="shared" ref="D68:D94" si="5">D37</f>
        <v>43752</v>
      </c>
      <c r="E68" s="17">
        <f>IF(F3="1",SUMIF(Data!A:A,'20'!$A$2,Data!DZ:DZ),0)</f>
        <v>185196</v>
      </c>
      <c r="F68" s="21">
        <f t="shared" si="4"/>
        <v>4.2300000000000004</v>
      </c>
    </row>
    <row r="69" spans="1:6" ht="14.25" customHeight="1" x14ac:dyDescent="0.2">
      <c r="A69" s="19">
        <v>3</v>
      </c>
      <c r="B69" s="143" t="s">
        <v>2</v>
      </c>
      <c r="C69" s="144"/>
      <c r="D69" s="14">
        <f t="shared" si="5"/>
        <v>77120</v>
      </c>
      <c r="E69" s="17">
        <f>IF(F3="1",SUMIF(Data!A:A,'20'!$A$2,Data!EA:EA),0)</f>
        <v>209136</v>
      </c>
      <c r="F69" s="21">
        <f t="shared" si="4"/>
        <v>2.71</v>
      </c>
    </row>
    <row r="70" spans="1:6" ht="14.25" customHeight="1" x14ac:dyDescent="0.2">
      <c r="A70" s="19">
        <v>4</v>
      </c>
      <c r="B70" s="143" t="s">
        <v>3</v>
      </c>
      <c r="C70" s="144"/>
      <c r="D70" s="14">
        <f t="shared" si="5"/>
        <v>90720</v>
      </c>
      <c r="E70" s="17">
        <f>IF(F3="1",SUMIF(Data!A:A,'20'!$A$2,Data!EB:EB),0)</f>
        <v>46346</v>
      </c>
      <c r="F70" s="21">
        <f t="shared" si="4"/>
        <v>0.51</v>
      </c>
    </row>
    <row r="71" spans="1:6" x14ac:dyDescent="0.2">
      <c r="A71" s="19">
        <v>5</v>
      </c>
      <c r="B71" s="143" t="s">
        <v>4</v>
      </c>
      <c r="C71" s="144"/>
      <c r="D71" s="14">
        <f t="shared" si="5"/>
        <v>0</v>
      </c>
      <c r="E71" s="17">
        <f>IF(F3="1",SUMIF(Data!A:A,'20'!$A$2,Data!EC:EC),0)</f>
        <v>0</v>
      </c>
      <c r="F71" s="21" t="str">
        <f t="shared" si="4"/>
        <v/>
      </c>
    </row>
    <row r="72" spans="1:6" x14ac:dyDescent="0.2">
      <c r="A72" s="19">
        <v>6</v>
      </c>
      <c r="B72" s="143" t="s">
        <v>5</v>
      </c>
      <c r="C72" s="144"/>
      <c r="D72" s="14">
        <f t="shared" si="5"/>
        <v>0</v>
      </c>
      <c r="E72" s="17">
        <f>IF(F3="1",SUMIF(Data!A:A,'20'!$A$2,Data!ED:ED),0)</f>
        <v>0</v>
      </c>
      <c r="F72" s="21" t="str">
        <f t="shared" si="4"/>
        <v/>
      </c>
    </row>
    <row r="73" spans="1:6" x14ac:dyDescent="0.2">
      <c r="A73" s="19">
        <v>7</v>
      </c>
      <c r="B73" s="143" t="s">
        <v>6</v>
      </c>
      <c r="C73" s="144"/>
      <c r="D73" s="14">
        <f t="shared" si="5"/>
        <v>112250</v>
      </c>
      <c r="E73" s="17">
        <f>IF(F3="1",SUMIF(Data!A:A,'20'!$A$2,Data!EE:EE),0)</f>
        <v>320698</v>
      </c>
      <c r="F73" s="21">
        <f t="shared" si="4"/>
        <v>2.86</v>
      </c>
    </row>
    <row r="74" spans="1:6" x14ac:dyDescent="0.2">
      <c r="A74" s="19">
        <v>8</v>
      </c>
      <c r="B74" s="143" t="s">
        <v>7</v>
      </c>
      <c r="C74" s="144"/>
      <c r="D74" s="14">
        <f t="shared" si="5"/>
        <v>0</v>
      </c>
      <c r="E74" s="17">
        <f>IF(F3="1",SUMIF(Data!A:A,'20'!$A$2,Data!EF:EF),0)</f>
        <v>0</v>
      </c>
      <c r="F74" s="21" t="str">
        <f t="shared" si="4"/>
        <v/>
      </c>
    </row>
    <row r="75" spans="1:6" x14ac:dyDescent="0.2">
      <c r="A75" s="19">
        <v>9</v>
      </c>
      <c r="B75" s="143" t="s">
        <v>8</v>
      </c>
      <c r="C75" s="144"/>
      <c r="D75" s="14">
        <f t="shared" si="5"/>
        <v>98840</v>
      </c>
      <c r="E75" s="17">
        <f>IF(F3="1",SUMIF(Data!A:A,'20'!$A$2,Data!EG:EG),0)</f>
        <v>164586</v>
      </c>
      <c r="F75" s="21">
        <f t="shared" si="4"/>
        <v>1.67</v>
      </c>
    </row>
    <row r="76" spans="1:6" x14ac:dyDescent="0.2">
      <c r="A76" s="19">
        <v>10</v>
      </c>
      <c r="B76" s="143" t="s">
        <v>9</v>
      </c>
      <c r="C76" s="144"/>
      <c r="D76" s="14">
        <f t="shared" si="5"/>
        <v>0</v>
      </c>
      <c r="E76" s="17">
        <f>IF(F3="1",SUMIF(Data!A:A,'20'!$A$2,Data!EH:EH),0)</f>
        <v>0</v>
      </c>
      <c r="F76" s="21" t="str">
        <f t="shared" si="4"/>
        <v/>
      </c>
    </row>
    <row r="77" spans="1:6" x14ac:dyDescent="0.2">
      <c r="A77" s="19">
        <v>11</v>
      </c>
      <c r="B77" s="143" t="s">
        <v>10</v>
      </c>
      <c r="C77" s="144"/>
      <c r="D77" s="14">
        <f t="shared" si="5"/>
        <v>22770</v>
      </c>
      <c r="E77" s="17">
        <f>IF(F3="1",SUMIF(Data!A:A,'20'!$A$2,Data!EI:EI),0)</f>
        <v>95023</v>
      </c>
      <c r="F77" s="21">
        <f t="shared" si="4"/>
        <v>4.17</v>
      </c>
    </row>
    <row r="78" spans="1:6" ht="14.25" customHeight="1" x14ac:dyDescent="0.2">
      <c r="A78" s="19">
        <v>12</v>
      </c>
      <c r="B78" s="143" t="s">
        <v>11</v>
      </c>
      <c r="C78" s="144"/>
      <c r="D78" s="14">
        <f t="shared" si="5"/>
        <v>166416</v>
      </c>
      <c r="E78" s="17">
        <f>IF(F3="1",SUMIF(Data!A:A,'20'!$A$2,Data!EJ:EJ),0)</f>
        <v>283100</v>
      </c>
      <c r="F78" s="21">
        <f t="shared" si="4"/>
        <v>1.7</v>
      </c>
    </row>
    <row r="79" spans="1:6" x14ac:dyDescent="0.2">
      <c r="A79" s="19">
        <v>13</v>
      </c>
      <c r="B79" s="143" t="s">
        <v>12</v>
      </c>
      <c r="C79" s="144"/>
      <c r="D79" s="14">
        <f t="shared" si="5"/>
        <v>24184</v>
      </c>
      <c r="E79" s="17">
        <f>IF(F3="1",SUMIF(Data!A:A,'20'!$A$2,Data!EK:EK),0)</f>
        <v>56166</v>
      </c>
      <c r="F79" s="21">
        <f t="shared" si="4"/>
        <v>2.3199999999999998</v>
      </c>
    </row>
    <row r="80" spans="1:6" ht="14.25" customHeight="1" x14ac:dyDescent="0.2">
      <c r="A80" s="19">
        <v>14</v>
      </c>
      <c r="B80" s="143" t="s">
        <v>464</v>
      </c>
      <c r="C80" s="144"/>
      <c r="D80" s="14">
        <f t="shared" si="5"/>
        <v>0</v>
      </c>
      <c r="E80" s="17">
        <f>IF(F3="1",SUMIF(Data!A:A,'20'!$A$2,Data!EL:EL),0)</f>
        <v>0</v>
      </c>
      <c r="F80" s="21" t="str">
        <f t="shared" si="4"/>
        <v/>
      </c>
    </row>
    <row r="81" spans="1:6" x14ac:dyDescent="0.2">
      <c r="A81" s="19">
        <v>15</v>
      </c>
      <c r="B81" s="143" t="s">
        <v>13</v>
      </c>
      <c r="C81" s="144"/>
      <c r="D81" s="14">
        <f t="shared" si="5"/>
        <v>0</v>
      </c>
      <c r="E81" s="17">
        <f>IF(F3="1",SUMIF(Data!A:A,'20'!$A$2,Data!EM:EM),0)</f>
        <v>0</v>
      </c>
      <c r="F81" s="21" t="str">
        <f t="shared" si="4"/>
        <v/>
      </c>
    </row>
    <row r="82" spans="1:6" x14ac:dyDescent="0.2">
      <c r="A82" s="19">
        <v>16</v>
      </c>
      <c r="B82" s="143" t="s">
        <v>14</v>
      </c>
      <c r="C82" s="144"/>
      <c r="D82" s="14">
        <f t="shared" si="5"/>
        <v>5960</v>
      </c>
      <c r="E82" s="17">
        <f>IF(F3="1",SUMIF(Data!A:A,'20'!$A$2,Data!EN:EN),0)</f>
        <v>8233</v>
      </c>
      <c r="F82" s="21">
        <f t="shared" si="4"/>
        <v>1.38</v>
      </c>
    </row>
    <row r="83" spans="1:6" x14ac:dyDescent="0.2">
      <c r="A83" s="19">
        <v>17</v>
      </c>
      <c r="B83" s="143" t="s">
        <v>15</v>
      </c>
      <c r="C83" s="144"/>
      <c r="D83" s="14">
        <f t="shared" si="5"/>
        <v>0</v>
      </c>
      <c r="E83" s="17">
        <f>IF(F3="1",SUMIF(Data!A:A,'20'!$A$2,Data!EO:EO),0)</f>
        <v>0</v>
      </c>
      <c r="F83" s="21" t="str">
        <f t="shared" si="4"/>
        <v/>
      </c>
    </row>
    <row r="84" spans="1:6" x14ac:dyDescent="0.2">
      <c r="A84" s="19">
        <v>18</v>
      </c>
      <c r="B84" s="143" t="s">
        <v>16</v>
      </c>
      <c r="C84" s="144"/>
      <c r="D84" s="14">
        <f t="shared" si="5"/>
        <v>102368</v>
      </c>
      <c r="E84" s="17">
        <f>IF(F3="1",SUMIF(Data!A:A,'20'!$A$2,Data!EP:EP),0)</f>
        <v>344399</v>
      </c>
      <c r="F84" s="21">
        <f t="shared" si="4"/>
        <v>3.36</v>
      </c>
    </row>
    <row r="85" spans="1:6" x14ac:dyDescent="0.2">
      <c r="A85" s="19">
        <v>19</v>
      </c>
      <c r="B85" s="143" t="s">
        <v>17</v>
      </c>
      <c r="C85" s="144"/>
      <c r="D85" s="14">
        <f t="shared" si="5"/>
        <v>112560</v>
      </c>
      <c r="E85" s="17">
        <f>IF(F3="1",SUMIF(Data!A:A,'20'!$A$2,Data!EQ:EQ),0)</f>
        <v>174835</v>
      </c>
      <c r="F85" s="21">
        <f t="shared" si="4"/>
        <v>1.55</v>
      </c>
    </row>
    <row r="86" spans="1:6" x14ac:dyDescent="0.2">
      <c r="A86" s="19">
        <v>20</v>
      </c>
      <c r="B86" s="143" t="s">
        <v>18</v>
      </c>
      <c r="C86" s="144"/>
      <c r="D86" s="14">
        <f t="shared" si="5"/>
        <v>67900</v>
      </c>
      <c r="E86" s="17">
        <f>IF(F3="1",SUMIF(Data!A:A,'20'!$A$2,Data!ER:ER),0)</f>
        <v>203724</v>
      </c>
      <c r="F86" s="21">
        <f t="shared" si="4"/>
        <v>3</v>
      </c>
    </row>
    <row r="87" spans="1:6" ht="14.25" customHeight="1" x14ac:dyDescent="0.2">
      <c r="A87" s="19">
        <v>21</v>
      </c>
      <c r="B87" s="143" t="s">
        <v>461</v>
      </c>
      <c r="C87" s="144"/>
      <c r="D87" s="14">
        <f t="shared" si="5"/>
        <v>0</v>
      </c>
      <c r="E87" s="17">
        <f>IF(F3="1",SUMIF(Data!A:A,'20'!$A$2,Data!ES:ES),0)</f>
        <v>0</v>
      </c>
      <c r="F87" s="21" t="str">
        <f t="shared" si="4"/>
        <v/>
      </c>
    </row>
    <row r="88" spans="1:6" x14ac:dyDescent="0.2">
      <c r="A88" s="19">
        <v>22</v>
      </c>
      <c r="B88" s="143" t="s">
        <v>19</v>
      </c>
      <c r="C88" s="144"/>
      <c r="D88" s="14">
        <f t="shared" si="5"/>
        <v>8240</v>
      </c>
      <c r="E88" s="17">
        <f>IF(F3="1",SUMIF(Data!A:A,'20'!$A$2,Data!ET:ET),0)</f>
        <v>37418</v>
      </c>
      <c r="F88" s="21">
        <f t="shared" si="4"/>
        <v>4.54</v>
      </c>
    </row>
    <row r="89" spans="1:6" x14ac:dyDescent="0.2">
      <c r="A89" s="19">
        <v>23</v>
      </c>
      <c r="B89" s="143" t="s">
        <v>20</v>
      </c>
      <c r="C89" s="144"/>
      <c r="D89" s="14">
        <f t="shared" si="5"/>
        <v>60256</v>
      </c>
      <c r="E89" s="17">
        <f>IF(F3="1",SUMIF(Data!A:A,'20'!$A$2,Data!EU:EU),0)</f>
        <v>207482</v>
      </c>
      <c r="F89" s="21">
        <f t="shared" si="4"/>
        <v>3.44</v>
      </c>
    </row>
    <row r="90" spans="1:6" x14ac:dyDescent="0.2">
      <c r="A90" s="19">
        <v>24</v>
      </c>
      <c r="B90" s="143" t="s">
        <v>21</v>
      </c>
      <c r="C90" s="144"/>
      <c r="D90" s="14">
        <f t="shared" si="5"/>
        <v>45824</v>
      </c>
      <c r="E90" s="17">
        <f>IF(F3="1",SUMIF(Data!A:A,'20'!$A$2,Data!EV:EV),0)</f>
        <v>126250</v>
      </c>
      <c r="F90" s="21">
        <f t="shared" si="4"/>
        <v>2.76</v>
      </c>
    </row>
    <row r="91" spans="1:6" x14ac:dyDescent="0.2">
      <c r="A91" s="19">
        <v>25</v>
      </c>
      <c r="B91" s="143" t="s">
        <v>22</v>
      </c>
      <c r="C91" s="144"/>
      <c r="D91" s="14">
        <f t="shared" si="5"/>
        <v>101808</v>
      </c>
      <c r="E91" s="17">
        <f>IF(F3="1",SUMIF(Data!A:A,'20'!$A$2,Data!EW:EW),0)</f>
        <v>290989</v>
      </c>
      <c r="F91" s="21">
        <f t="shared" si="4"/>
        <v>2.86</v>
      </c>
    </row>
    <row r="92" spans="1:6" x14ac:dyDescent="0.2">
      <c r="A92" s="19">
        <v>26</v>
      </c>
      <c r="B92" s="143" t="s">
        <v>23</v>
      </c>
      <c r="C92" s="144"/>
      <c r="D92" s="14">
        <f t="shared" si="5"/>
        <v>71920</v>
      </c>
      <c r="E92" s="17">
        <f>IF(F3="1",SUMIF(Data!A:A,'20'!$A$2,Data!EX:EX),0)</f>
        <v>175306</v>
      </c>
      <c r="F92" s="21">
        <f t="shared" si="4"/>
        <v>2.44</v>
      </c>
    </row>
    <row r="93" spans="1:6" x14ac:dyDescent="0.2">
      <c r="A93" s="19">
        <v>28</v>
      </c>
      <c r="B93" s="143" t="s">
        <v>24</v>
      </c>
      <c r="C93" s="144"/>
      <c r="D93" s="14">
        <f t="shared" si="5"/>
        <v>0</v>
      </c>
      <c r="E93" s="17">
        <f>IF(F3="1",SUMIF(Data!A:A,'20'!$A$2,Data!EZ:EZ),0)</f>
        <v>0</v>
      </c>
      <c r="F93" s="21" t="str">
        <f t="shared" si="4"/>
        <v/>
      </c>
    </row>
    <row r="94" spans="1:6" ht="15.75" customHeight="1" thickBot="1" x14ac:dyDescent="0.25">
      <c r="A94" s="22">
        <v>29</v>
      </c>
      <c r="B94" s="147" t="s">
        <v>25</v>
      </c>
      <c r="C94" s="148"/>
      <c r="D94" s="23">
        <f t="shared" si="5"/>
        <v>0</v>
      </c>
      <c r="E94" s="24">
        <f>IF(F3="1",SUMIF(Data!A:A,'20'!$A$2,Data!FA:FA),0)</f>
        <v>0</v>
      </c>
      <c r="F94" s="25" t="str">
        <f t="shared" si="4"/>
        <v/>
      </c>
    </row>
    <row r="95" spans="1:6" x14ac:dyDescent="0.2">
      <c r="B95" s="30" t="s">
        <v>35</v>
      </c>
      <c r="C95" s="30"/>
      <c r="D95" s="59">
        <f>SUM(D67:D94)</f>
        <v>1223088</v>
      </c>
      <c r="E95" s="31">
        <f>SUM(E67:E94)</f>
        <v>2968921</v>
      </c>
      <c r="F95" s="32">
        <f t="shared" si="4"/>
        <v>2.4300000000000002</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IF(F3="1",SUMIF(Data!A:A,'20'!$A$2,Data!AH:AH),0)</f>
        <v>1123805</v>
      </c>
      <c r="F98" s="20">
        <f>IF(OR(E98=0,E98=0),"",ROUND(E98/$D$105,2))</f>
        <v>0.92</v>
      </c>
    </row>
    <row r="99" spans="2:6" x14ac:dyDescent="0.2">
      <c r="B99" s="153" t="s">
        <v>31</v>
      </c>
      <c r="C99" s="154"/>
      <c r="D99" s="36"/>
      <c r="E99" s="17">
        <f>IF(F3="1",SUMIF(Data!A:A,'20'!$A$2,Data!AI:AI),0)</f>
        <v>598251</v>
      </c>
      <c r="F99" s="21">
        <f t="shared" ref="F99:F104" si="6">IF(OR(E99=0,E99=0),"",ROUND(E99/$D$105,2))</f>
        <v>0.49</v>
      </c>
    </row>
    <row r="100" spans="2:6" x14ac:dyDescent="0.2">
      <c r="B100" s="153" t="s">
        <v>1078</v>
      </c>
      <c r="C100" s="154"/>
      <c r="D100" s="36"/>
      <c r="E100" s="17">
        <f>IF(F3="1",SUMIF(Data!A:A,'20'!$A$2,Data!AJ:AJ),0)</f>
        <v>713543</v>
      </c>
      <c r="F100" s="21">
        <f t="shared" si="6"/>
        <v>0.57999999999999996</v>
      </c>
    </row>
    <row r="101" spans="2:6" x14ac:dyDescent="0.2">
      <c r="B101" s="153" t="s">
        <v>1079</v>
      </c>
      <c r="C101" s="154"/>
      <c r="D101" s="36"/>
      <c r="E101" s="17">
        <f>IF(F3="1",SUMIF(Data!A:A,'20'!$A$2,Data!AK:AK),0)</f>
        <v>357064</v>
      </c>
      <c r="F101" s="21">
        <f t="shared" si="6"/>
        <v>0.28999999999999998</v>
      </c>
    </row>
    <row r="102" spans="2:6" x14ac:dyDescent="0.2">
      <c r="B102" s="153" t="s">
        <v>1080</v>
      </c>
      <c r="C102" s="154"/>
      <c r="D102" s="36"/>
      <c r="E102" s="17">
        <f>IF(F3="1",SUMIF(Data!A:A,'20'!$A$2,Data!AL:AL),0)</f>
        <v>0</v>
      </c>
      <c r="F102" s="21" t="str">
        <f t="shared" si="6"/>
        <v/>
      </c>
    </row>
    <row r="103" spans="2:6" x14ac:dyDescent="0.2">
      <c r="B103" s="155" t="s">
        <v>34</v>
      </c>
      <c r="C103" s="156"/>
      <c r="D103" s="36"/>
      <c r="E103" s="17">
        <f>IF(F3="1",SUMIF(Data!A:A,'20'!$A$2,Data!AM:AM),0)</f>
        <v>0</v>
      </c>
      <c r="F103" s="21" t="str">
        <f t="shared" si="6"/>
        <v/>
      </c>
    </row>
    <row r="104" spans="2:6" ht="15.75" customHeight="1" thickBot="1" x14ac:dyDescent="0.25">
      <c r="B104" s="149" t="s">
        <v>29</v>
      </c>
      <c r="C104" s="150"/>
      <c r="D104" s="37"/>
      <c r="E104" s="24">
        <f>IF(F3="1",SUMIF(Data!A:A,'20'!$A$2,Data!Q:Q),0)</f>
        <v>162772</v>
      </c>
      <c r="F104" s="25">
        <f t="shared" si="6"/>
        <v>0.13</v>
      </c>
    </row>
    <row r="105" spans="2:6" x14ac:dyDescent="0.2">
      <c r="B105" s="30" t="s">
        <v>35</v>
      </c>
      <c r="C105" s="30"/>
      <c r="D105" s="34">
        <f>D95</f>
        <v>1223088</v>
      </c>
      <c r="E105" s="31">
        <f>SUM(E98:E104)</f>
        <v>2955435</v>
      </c>
      <c r="F105" s="32">
        <f>IF($D$105=0,"",ROUND(E105/$D$105,2))</f>
        <v>2.42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2968921</v>
      </c>
      <c r="D109" s="15">
        <f>IF(F3="1",SUMIF(Data!$A:$A,$A$2,Data!HJ:HJ),0)</f>
        <v>0</v>
      </c>
      <c r="E109" s="15">
        <f>IF(F3="1",SUMIF(Data!$A:$A,$A$2,Data!IN:IN),0)</f>
        <v>0</v>
      </c>
      <c r="F109" s="47">
        <f>SUM(C109:E109)</f>
        <v>2968921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162772</v>
      </c>
      <c r="E117" s="52"/>
      <c r="F117" s="49">
        <f>SUM(C117:E117)</f>
        <v>162772</v>
      </c>
    </row>
    <row r="118" spans="1:6" x14ac:dyDescent="0.2">
      <c r="B118" s="13" t="s">
        <v>35</v>
      </c>
      <c r="C118" s="4">
        <f>SUM(C109:C116)</f>
        <v>2968921</v>
      </c>
      <c r="D118" s="4">
        <f>SUM(D109:D116)</f>
        <v>0</v>
      </c>
      <c r="E118" s="4">
        <f>SUM(E109:E116)</f>
        <v>0</v>
      </c>
      <c r="F118" s="4">
        <f>SUM(F109:F116)</f>
        <v>2968921</v>
      </c>
    </row>
    <row r="119" spans="1:6" ht="15" thickBot="1" x14ac:dyDescent="0.25"/>
    <row r="120" spans="1:6" ht="15" thickBot="1" x14ac:dyDescent="0.25">
      <c r="B120" s="55" t="s">
        <v>934</v>
      </c>
      <c r="C120" s="53"/>
      <c r="D120" s="53"/>
      <c r="E120" s="53">
        <f>IF(F3="1",SUMIF(Data!A:A,'20'!$A$2,Data!AM:AM),0)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441</v>
      </c>
      <c r="B2" s="58" t="str">
        <f>VLOOKUP(A2,Data!A:G,7,0)</f>
        <v>Houston Community College System</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129567</v>
      </c>
      <c r="E5" s="15">
        <f>E36+E67+IFERROR($E$105/$D$105*D5,0)</f>
        <v>749535.28790987819</v>
      </c>
      <c r="F5" s="20">
        <f>IF(OR(D5=0,E5=0),"",ROUND(E5/D5,2))</f>
        <v>5.78</v>
      </c>
    </row>
    <row r="6" spans="1:6" x14ac:dyDescent="0.2">
      <c r="A6" s="19">
        <v>2</v>
      </c>
      <c r="B6" s="143" t="s">
        <v>1</v>
      </c>
      <c r="C6" s="144"/>
      <c r="D6" s="14">
        <f t="shared" ref="D6:D32" si="0">D37</f>
        <v>692243</v>
      </c>
      <c r="E6" s="17">
        <f t="shared" ref="E6:E32" si="1">E37+E68+IFERROR($E$105/$D$105*D6,0)</f>
        <v>3738446.7134424495</v>
      </c>
      <c r="F6" s="21">
        <f t="shared" ref="F6:F33" si="2">IF(OR(D6=0,E6=0),"",ROUND(E6/D6,2))</f>
        <v>5.4</v>
      </c>
    </row>
    <row r="7" spans="1:6" ht="14.25" customHeight="1" x14ac:dyDescent="0.2">
      <c r="A7" s="19">
        <v>3</v>
      </c>
      <c r="B7" s="143" t="s">
        <v>2</v>
      </c>
      <c r="C7" s="144"/>
      <c r="D7" s="14">
        <f t="shared" si="0"/>
        <v>1514946</v>
      </c>
      <c r="E7" s="17">
        <f t="shared" si="1"/>
        <v>9019750.200891573</v>
      </c>
      <c r="F7" s="21">
        <f t="shared" si="2"/>
        <v>5.95</v>
      </c>
    </row>
    <row r="8" spans="1:6" ht="14.25" customHeight="1" x14ac:dyDescent="0.2">
      <c r="A8" s="19">
        <v>4</v>
      </c>
      <c r="B8" s="143" t="s">
        <v>3</v>
      </c>
      <c r="C8" s="144"/>
      <c r="D8" s="14">
        <f t="shared" si="0"/>
        <v>1437537</v>
      </c>
      <c r="E8" s="17">
        <f t="shared" si="1"/>
        <v>10119459.748185128</v>
      </c>
      <c r="F8" s="21">
        <f t="shared" si="2"/>
        <v>7.04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77372</v>
      </c>
      <c r="E10" s="17">
        <f t="shared" si="1"/>
        <v>639819.43144599395</v>
      </c>
      <c r="F10" s="21">
        <f t="shared" si="2"/>
        <v>8.27</v>
      </c>
    </row>
    <row r="11" spans="1:6" x14ac:dyDescent="0.2">
      <c r="A11" s="19">
        <v>7</v>
      </c>
      <c r="B11" s="143" t="s">
        <v>6</v>
      </c>
      <c r="C11" s="144"/>
      <c r="D11" s="14">
        <f t="shared" si="0"/>
        <v>500695</v>
      </c>
      <c r="E11" s="17">
        <f t="shared" si="1"/>
        <v>3778757.2432643846</v>
      </c>
      <c r="F11" s="21">
        <f t="shared" si="2"/>
        <v>7.55</v>
      </c>
    </row>
    <row r="12" spans="1:6" x14ac:dyDescent="0.2">
      <c r="A12" s="19">
        <v>8</v>
      </c>
      <c r="B12" s="143" t="s">
        <v>7</v>
      </c>
      <c r="C12" s="144"/>
      <c r="D12" s="14">
        <f t="shared" si="0"/>
        <v>476469</v>
      </c>
      <c r="E12" s="17">
        <f t="shared" si="1"/>
        <v>3178827.674192748</v>
      </c>
      <c r="F12" s="21">
        <f t="shared" si="2"/>
        <v>6.67</v>
      </c>
    </row>
    <row r="13" spans="1:6" x14ac:dyDescent="0.2">
      <c r="A13" s="19">
        <v>9</v>
      </c>
      <c r="B13" s="143" t="s">
        <v>8</v>
      </c>
      <c r="C13" s="144"/>
      <c r="D13" s="14">
        <f t="shared" si="0"/>
        <v>509226</v>
      </c>
      <c r="E13" s="17">
        <f t="shared" si="1"/>
        <v>3369478.6317210067</v>
      </c>
      <c r="F13" s="21">
        <f t="shared" si="2"/>
        <v>6.62</v>
      </c>
    </row>
    <row r="14" spans="1:6" x14ac:dyDescent="0.2">
      <c r="A14" s="19">
        <v>10</v>
      </c>
      <c r="B14" s="143" t="s">
        <v>9</v>
      </c>
      <c r="C14" s="144"/>
      <c r="D14" s="14">
        <f t="shared" si="0"/>
        <v>12020</v>
      </c>
      <c r="E14" s="17">
        <f t="shared" si="1"/>
        <v>88925.93380009367</v>
      </c>
      <c r="F14" s="21">
        <f t="shared" si="2"/>
        <v>7.4</v>
      </c>
    </row>
    <row r="15" spans="1:6" x14ac:dyDescent="0.2">
      <c r="A15" s="19">
        <v>11</v>
      </c>
      <c r="B15" s="143" t="s">
        <v>10</v>
      </c>
      <c r="C15" s="144"/>
      <c r="D15" s="14">
        <f t="shared" si="0"/>
        <v>277844</v>
      </c>
      <c r="E15" s="17">
        <f t="shared" si="1"/>
        <v>2073845.1915768073</v>
      </c>
      <c r="F15" s="21">
        <f t="shared" si="2"/>
        <v>7.46</v>
      </c>
    </row>
    <row r="16" spans="1:6" ht="14.25" customHeight="1" x14ac:dyDescent="0.2">
      <c r="A16" s="19">
        <v>12</v>
      </c>
      <c r="B16" s="143" t="s">
        <v>11</v>
      </c>
      <c r="C16" s="144"/>
      <c r="D16" s="14">
        <f t="shared" si="0"/>
        <v>3108953</v>
      </c>
      <c r="E16" s="17">
        <f t="shared" si="1"/>
        <v>19082342.074010201</v>
      </c>
      <c r="F16" s="21">
        <f t="shared" si="2"/>
        <v>6.14</v>
      </c>
    </row>
    <row r="17" spans="1:6" x14ac:dyDescent="0.2">
      <c r="A17" s="19">
        <v>13</v>
      </c>
      <c r="B17" s="143" t="s">
        <v>12</v>
      </c>
      <c r="C17" s="144"/>
      <c r="D17" s="14">
        <f t="shared" si="0"/>
        <v>221600</v>
      </c>
      <c r="E17" s="17">
        <f t="shared" si="1"/>
        <v>1516244.495016702</v>
      </c>
      <c r="F17" s="21">
        <f t="shared" si="2"/>
        <v>6.84</v>
      </c>
    </row>
    <row r="18" spans="1:6" ht="14.25" customHeight="1" x14ac:dyDescent="0.2">
      <c r="A18" s="19">
        <v>14</v>
      </c>
      <c r="B18" s="143" t="s">
        <v>464</v>
      </c>
      <c r="C18" s="144"/>
      <c r="D18" s="14">
        <f t="shared" si="0"/>
        <v>212448</v>
      </c>
      <c r="E18" s="17">
        <f t="shared" si="1"/>
        <v>2464066.506486048</v>
      </c>
      <c r="F18" s="21">
        <f t="shared" si="2"/>
        <v>11.6</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554548</v>
      </c>
      <c r="E20" s="17">
        <f t="shared" si="1"/>
        <v>4864067.8902640883</v>
      </c>
      <c r="F20" s="21">
        <f t="shared" si="2"/>
        <v>8.77</v>
      </c>
    </row>
    <row r="21" spans="1:6" x14ac:dyDescent="0.2">
      <c r="A21" s="19">
        <v>17</v>
      </c>
      <c r="B21" s="143" t="s">
        <v>15</v>
      </c>
      <c r="C21" s="144"/>
      <c r="D21" s="14">
        <f t="shared" si="0"/>
        <v>74112</v>
      </c>
      <c r="E21" s="17">
        <f t="shared" si="1"/>
        <v>846065.17984962906</v>
      </c>
      <c r="F21" s="21">
        <f t="shared" si="2"/>
        <v>11.42</v>
      </c>
    </row>
    <row r="22" spans="1:6" x14ac:dyDescent="0.2">
      <c r="A22" s="19">
        <v>18</v>
      </c>
      <c r="B22" s="143" t="s">
        <v>16</v>
      </c>
      <c r="C22" s="144"/>
      <c r="D22" s="14">
        <f t="shared" si="0"/>
        <v>128640</v>
      </c>
      <c r="E22" s="17">
        <f t="shared" si="1"/>
        <v>1065629.5660602371</v>
      </c>
      <c r="F22" s="21">
        <f t="shared" si="2"/>
        <v>8.2799999999999994</v>
      </c>
    </row>
    <row r="23" spans="1:6" x14ac:dyDescent="0.2">
      <c r="A23" s="19">
        <v>19</v>
      </c>
      <c r="B23" s="143" t="s">
        <v>17</v>
      </c>
      <c r="C23" s="144"/>
      <c r="D23" s="14">
        <f t="shared" si="0"/>
        <v>1769936</v>
      </c>
      <c r="E23" s="17">
        <f t="shared" si="1"/>
        <v>10299593.395540981</v>
      </c>
      <c r="F23" s="21">
        <f t="shared" si="2"/>
        <v>5.82</v>
      </c>
    </row>
    <row r="24" spans="1:6" x14ac:dyDescent="0.2">
      <c r="A24" s="19">
        <v>20</v>
      </c>
      <c r="B24" s="143" t="s">
        <v>18</v>
      </c>
      <c r="C24" s="144"/>
      <c r="D24" s="14">
        <f t="shared" si="0"/>
        <v>271480</v>
      </c>
      <c r="E24" s="17">
        <f t="shared" si="1"/>
        <v>3017359.5347794867</v>
      </c>
      <c r="F24" s="21">
        <f t="shared" si="2"/>
        <v>11.11</v>
      </c>
    </row>
    <row r="25" spans="1:6" ht="14.25" customHeight="1" x14ac:dyDescent="0.2">
      <c r="A25" s="19">
        <v>21</v>
      </c>
      <c r="B25" s="143" t="s">
        <v>461</v>
      </c>
      <c r="C25" s="144"/>
      <c r="D25" s="14">
        <f t="shared" si="0"/>
        <v>635408</v>
      </c>
      <c r="E25" s="17">
        <f t="shared" si="1"/>
        <v>6498645.271884352</v>
      </c>
      <c r="F25" s="21">
        <f t="shared" si="2"/>
        <v>10.23</v>
      </c>
    </row>
    <row r="26" spans="1:6" x14ac:dyDescent="0.2">
      <c r="A26" s="19">
        <v>22</v>
      </c>
      <c r="B26" s="143" t="s">
        <v>19</v>
      </c>
      <c r="C26" s="144"/>
      <c r="D26" s="14">
        <f t="shared" si="0"/>
        <v>187664</v>
      </c>
      <c r="E26" s="17">
        <f t="shared" si="1"/>
        <v>851671.83300006471</v>
      </c>
      <c r="F26" s="21">
        <f t="shared" si="2"/>
        <v>4.54</v>
      </c>
    </row>
    <row r="27" spans="1:6" x14ac:dyDescent="0.2">
      <c r="A27" s="19">
        <v>23</v>
      </c>
      <c r="B27" s="143" t="s">
        <v>20</v>
      </c>
      <c r="C27" s="144"/>
      <c r="D27" s="14">
        <f t="shared" si="0"/>
        <v>102888</v>
      </c>
      <c r="E27" s="17">
        <f t="shared" si="1"/>
        <v>592734.76878735749</v>
      </c>
      <c r="F27" s="21">
        <f t="shared" si="2"/>
        <v>5.76</v>
      </c>
    </row>
    <row r="28" spans="1:6" x14ac:dyDescent="0.2">
      <c r="A28" s="19">
        <v>24</v>
      </c>
      <c r="B28" s="143" t="s">
        <v>21</v>
      </c>
      <c r="C28" s="144"/>
      <c r="D28" s="14">
        <f t="shared" si="0"/>
        <v>314326</v>
      </c>
      <c r="E28" s="17">
        <f t="shared" si="1"/>
        <v>2071811.1543800535</v>
      </c>
      <c r="F28" s="21">
        <f t="shared" si="2"/>
        <v>6.59</v>
      </c>
    </row>
    <row r="29" spans="1:6" x14ac:dyDescent="0.2">
      <c r="A29" s="19">
        <v>25</v>
      </c>
      <c r="B29" s="143" t="s">
        <v>22</v>
      </c>
      <c r="C29" s="144"/>
      <c r="D29" s="14">
        <f t="shared" si="0"/>
        <v>2471704</v>
      </c>
      <c r="E29" s="17">
        <f t="shared" si="1"/>
        <v>14574796.095626183</v>
      </c>
      <c r="F29" s="21">
        <f t="shared" si="2"/>
        <v>5.9</v>
      </c>
    </row>
    <row r="30" spans="1:6" x14ac:dyDescent="0.2">
      <c r="A30" s="19">
        <v>26</v>
      </c>
      <c r="B30" s="143" t="s">
        <v>23</v>
      </c>
      <c r="C30" s="144"/>
      <c r="D30" s="14">
        <f t="shared" si="0"/>
        <v>592536</v>
      </c>
      <c r="E30" s="17">
        <f t="shared" si="1"/>
        <v>4711487.1778845508</v>
      </c>
      <c r="F30" s="21">
        <f t="shared" si="2"/>
        <v>7.95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16274162</v>
      </c>
      <c r="E33" s="31">
        <f>SUM(E5:E32)</f>
        <v>109213361</v>
      </c>
      <c r="F33" s="32">
        <f t="shared" si="2"/>
        <v>6.71</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IF(F3="1",SUMIF(Data!A:A,'21'!$A$2,Data!CU:CU),0)</f>
        <v>129567</v>
      </c>
      <c r="E36" s="15">
        <f>IF(F3="1",SUMIF(Data!$A:$A,$A$2,Data!IO:IO),0)</f>
        <v>95665</v>
      </c>
      <c r="F36" s="20">
        <f t="shared" ref="F36:F64" si="3">IF(OR(D36=0,E36=0),"",ROUND(E36/D36,2))</f>
        <v>0.74</v>
      </c>
    </row>
    <row r="37" spans="1:6" x14ac:dyDescent="0.2">
      <c r="A37" s="19">
        <v>2</v>
      </c>
      <c r="B37" s="143" t="s">
        <v>1</v>
      </c>
      <c r="C37" s="144"/>
      <c r="D37" s="14">
        <f>IF(F3="1",SUMIF(Data!A:A,'21'!$A$2,Data!CV:CV),0)</f>
        <v>692243</v>
      </c>
      <c r="E37" s="17">
        <f>IF(F3="1",SUMIF(Data!$A:$A,$A$2,Data!IP:IP),0)</f>
        <v>240169</v>
      </c>
      <c r="F37" s="21">
        <f t="shared" si="3"/>
        <v>0.35</v>
      </c>
    </row>
    <row r="38" spans="1:6" ht="14.25" customHeight="1" x14ac:dyDescent="0.2">
      <c r="A38" s="19">
        <v>3</v>
      </c>
      <c r="B38" s="143" t="s">
        <v>2</v>
      </c>
      <c r="C38" s="144"/>
      <c r="D38" s="14">
        <f>IF(F3="1",SUMIF(Data!A:A,'21'!$A$2,Data!CW:CW),0)</f>
        <v>1514946</v>
      </c>
      <c r="E38" s="17">
        <f>IF($F$3="1",SUMIF(Data!$A:$A,$A$2,Data!IQ:IQ),0)</f>
        <v>374705</v>
      </c>
      <c r="F38" s="21">
        <f t="shared" si="3"/>
        <v>0.25</v>
      </c>
    </row>
    <row r="39" spans="1:6" ht="14.25" customHeight="1" x14ac:dyDescent="0.2">
      <c r="A39" s="19">
        <v>4</v>
      </c>
      <c r="B39" s="143" t="s">
        <v>3</v>
      </c>
      <c r="C39" s="144"/>
      <c r="D39" s="14">
        <f>IF(F3="1",SUMIF(Data!A:A,'21'!$A$2,Data!CX:CX),0)</f>
        <v>1437537</v>
      </c>
      <c r="E39" s="17">
        <f>IF($F$3="1",SUMIF(Data!$A:$A,$A$2,Data!IR:IR),0)</f>
        <v>637330</v>
      </c>
      <c r="F39" s="21">
        <f t="shared" si="3"/>
        <v>0.44</v>
      </c>
    </row>
    <row r="40" spans="1:6" x14ac:dyDescent="0.2">
      <c r="A40" s="19">
        <v>5</v>
      </c>
      <c r="B40" s="143" t="s">
        <v>4</v>
      </c>
      <c r="C40" s="144"/>
      <c r="D40" s="14">
        <f>IF(F3="1",SUMIF(Data!A:A,'21'!$A$2,Data!CY:CY),0)</f>
        <v>0</v>
      </c>
      <c r="E40" s="17">
        <f>IF($F$3="1",SUMIF(Data!$A:$A,$A$2,Data!IS:IS),0)</f>
        <v>0</v>
      </c>
      <c r="F40" s="21" t="str">
        <f t="shared" si="3"/>
        <v/>
      </c>
    </row>
    <row r="41" spans="1:6" x14ac:dyDescent="0.2">
      <c r="A41" s="19">
        <v>6</v>
      </c>
      <c r="B41" s="143" t="s">
        <v>5</v>
      </c>
      <c r="C41" s="144"/>
      <c r="D41" s="14">
        <f>IF(F3="1",SUMIF(Data!A:A,'21'!$A$2,Data!CZ:CZ),0)</f>
        <v>77372</v>
      </c>
      <c r="E41" s="17">
        <f>IF($F$3="1",SUMIF(Data!$A:$A,$A$2,Data!IT:IT),0)</f>
        <v>78985</v>
      </c>
      <c r="F41" s="21">
        <f t="shared" si="3"/>
        <v>1.02</v>
      </c>
    </row>
    <row r="42" spans="1:6" x14ac:dyDescent="0.2">
      <c r="A42" s="19">
        <v>7</v>
      </c>
      <c r="B42" s="143" t="s">
        <v>6</v>
      </c>
      <c r="C42" s="144"/>
      <c r="D42" s="14">
        <f>IF(F3="1",SUMIF(Data!A:A,'21'!$A$2,Data!DA:DA),0)</f>
        <v>500695</v>
      </c>
      <c r="E42" s="17">
        <f>IF($F$3="1",SUMIF(Data!$A:$A,$A$2,Data!IU:IU),0)</f>
        <v>256793</v>
      </c>
      <c r="F42" s="21">
        <f t="shared" si="3"/>
        <v>0.51</v>
      </c>
    </row>
    <row r="43" spans="1:6" x14ac:dyDescent="0.2">
      <c r="A43" s="19">
        <v>8</v>
      </c>
      <c r="B43" s="143" t="s">
        <v>7</v>
      </c>
      <c r="C43" s="144"/>
      <c r="D43" s="14">
        <f>IF(F3="1",SUMIF(Data!A:A,'21'!$A$2,Data!DB:DB),0)</f>
        <v>476469</v>
      </c>
      <c r="E43" s="17">
        <f>IF($F$3="1",SUMIF(Data!$A:$A,$A$2,Data!IV:IV),0)</f>
        <v>240526</v>
      </c>
      <c r="F43" s="21">
        <f t="shared" si="3"/>
        <v>0.5</v>
      </c>
    </row>
    <row r="44" spans="1:6" x14ac:dyDescent="0.2">
      <c r="A44" s="19">
        <v>9</v>
      </c>
      <c r="B44" s="143" t="s">
        <v>8</v>
      </c>
      <c r="C44" s="144"/>
      <c r="D44" s="14">
        <f>IF(F3="1",SUMIF(Data!A:A,'21'!$A$2,Data!DC:DC),0)</f>
        <v>509226</v>
      </c>
      <c r="E44" s="17">
        <f>IF($F$3="1",SUMIF(Data!$A:$A,$A$2,Data!IW:IW),0)</f>
        <v>242652</v>
      </c>
      <c r="F44" s="21">
        <f t="shared" si="3"/>
        <v>0.48</v>
      </c>
    </row>
    <row r="45" spans="1:6" x14ac:dyDescent="0.2">
      <c r="A45" s="19">
        <v>10</v>
      </c>
      <c r="B45" s="143" t="s">
        <v>9</v>
      </c>
      <c r="C45" s="144"/>
      <c r="D45" s="14">
        <f>IF(F3="1",SUMIF(Data!A:A,'21'!$A$2,Data!DD:DD),0)</f>
        <v>12020</v>
      </c>
      <c r="E45" s="17">
        <f>IF($F$3="1",SUMIF(Data!$A:$A,$A$2,Data!IX:IX),0)</f>
        <v>6031</v>
      </c>
      <c r="F45" s="21">
        <f t="shared" si="3"/>
        <v>0.5</v>
      </c>
    </row>
    <row r="46" spans="1:6" x14ac:dyDescent="0.2">
      <c r="A46" s="19">
        <v>11</v>
      </c>
      <c r="B46" s="143" t="s">
        <v>10</v>
      </c>
      <c r="C46" s="144"/>
      <c r="D46" s="14">
        <f>IF(F3="1",SUMIF(Data!A:A,'21'!$A$2,Data!DE:DE),0)</f>
        <v>277844</v>
      </c>
      <c r="E46" s="17">
        <f>IF($F$3="1",SUMIF(Data!$A:$A,$A$2,Data!IY:IY),0)</f>
        <v>148349</v>
      </c>
      <c r="F46" s="21">
        <f t="shared" si="3"/>
        <v>0.53</v>
      </c>
    </row>
    <row r="47" spans="1:6" ht="14.25" customHeight="1" x14ac:dyDescent="0.2">
      <c r="A47" s="19">
        <v>12</v>
      </c>
      <c r="B47" s="143" t="s">
        <v>11</v>
      </c>
      <c r="C47" s="144"/>
      <c r="D47" s="14">
        <f>IF(F3="1",SUMIF(Data!A:A,'21'!$A$2,Data!DF:DF),0)</f>
        <v>3108953</v>
      </c>
      <c r="E47" s="17">
        <f>IF($F$3="1",SUMIF(Data!$A:$A,$A$2,Data!IZ:IZ),0)</f>
        <v>574760</v>
      </c>
      <c r="F47" s="21">
        <f t="shared" si="3"/>
        <v>0.18</v>
      </c>
    </row>
    <row r="48" spans="1:6" x14ac:dyDescent="0.2">
      <c r="A48" s="19">
        <v>13</v>
      </c>
      <c r="B48" s="143" t="s">
        <v>12</v>
      </c>
      <c r="C48" s="144"/>
      <c r="D48" s="14">
        <f>IF(F3="1",SUMIF(Data!A:A,'21'!$A$2,Data!DG:DG),0)</f>
        <v>221600</v>
      </c>
      <c r="E48" s="17">
        <f>IF($F$3="1",SUMIF(Data!$A:$A,$A$2,Data!JA:JA),0)</f>
        <v>63726</v>
      </c>
      <c r="F48" s="21">
        <f t="shared" si="3"/>
        <v>0.28999999999999998</v>
      </c>
    </row>
    <row r="49" spans="1:6" ht="14.25" customHeight="1" x14ac:dyDescent="0.2">
      <c r="A49" s="19">
        <v>14</v>
      </c>
      <c r="B49" s="143" t="s">
        <v>464</v>
      </c>
      <c r="C49" s="144"/>
      <c r="D49" s="14">
        <f>IF(F3="1",SUMIF(Data!A:A,'21'!$A$2,Data!DH:DH),0)</f>
        <v>212448</v>
      </c>
      <c r="E49" s="17">
        <f>IF($F$3="1",SUMIF(Data!$A:$A,$A$2,Data!JB:JB),0)</f>
        <v>237556</v>
      </c>
      <c r="F49" s="21">
        <f t="shared" si="3"/>
        <v>1.1200000000000001</v>
      </c>
    </row>
    <row r="50" spans="1:6" x14ac:dyDescent="0.2">
      <c r="A50" s="19">
        <v>15</v>
      </c>
      <c r="B50" s="143" t="s">
        <v>13</v>
      </c>
      <c r="C50" s="144"/>
      <c r="D50" s="14">
        <f>IF(F3="1",SUMIF(Data!A:A,'21'!$A$2,Data!DI:DI),0)</f>
        <v>0</v>
      </c>
      <c r="E50" s="17">
        <f>IF($F$3="1",SUMIF(Data!$A:$A,$A$2,Data!JC:JC),0)</f>
        <v>0</v>
      </c>
      <c r="F50" s="21" t="str">
        <f t="shared" si="3"/>
        <v/>
      </c>
    </row>
    <row r="51" spans="1:6" x14ac:dyDescent="0.2">
      <c r="A51" s="19">
        <v>16</v>
      </c>
      <c r="B51" s="143" t="s">
        <v>14</v>
      </c>
      <c r="C51" s="144"/>
      <c r="D51" s="14">
        <f>IF(F3="1",SUMIF(Data!A:A,'21'!$A$2,Data!DJ:DJ),0)</f>
        <v>554548</v>
      </c>
      <c r="E51" s="17">
        <f>IF($F$3="1",SUMIF(Data!$A:$A,$A$2,Data!JD:JD),0)</f>
        <v>435377</v>
      </c>
      <c r="F51" s="21">
        <f t="shared" si="3"/>
        <v>0.79</v>
      </c>
    </row>
    <row r="52" spans="1:6" x14ac:dyDescent="0.2">
      <c r="A52" s="19">
        <v>17</v>
      </c>
      <c r="B52" s="143" t="s">
        <v>15</v>
      </c>
      <c r="C52" s="144"/>
      <c r="D52" s="14">
        <f>IF(F3="1",SUMIF(Data!A:A,'21'!$A$2,Data!DK:DK),0)</f>
        <v>74112</v>
      </c>
      <c r="E52" s="17">
        <f>IF($F$3="1",SUMIF(Data!$A:$A,$A$2,Data!JE:JE),0)</f>
        <v>59144</v>
      </c>
      <c r="F52" s="21">
        <f t="shared" si="3"/>
        <v>0.8</v>
      </c>
    </row>
    <row r="53" spans="1:6" x14ac:dyDescent="0.2">
      <c r="A53" s="19">
        <v>18</v>
      </c>
      <c r="B53" s="143" t="s">
        <v>16</v>
      </c>
      <c r="C53" s="144"/>
      <c r="D53" s="14">
        <f>IF(F3="1",SUMIF(Data!A:A,'21'!$A$2,Data!DL:DL),0)</f>
        <v>128640</v>
      </c>
      <c r="E53" s="17">
        <f>IF($F$3="1",SUMIF(Data!$A:$A,$A$2,Data!JF:JF),0)</f>
        <v>63211</v>
      </c>
      <c r="F53" s="21">
        <f t="shared" si="3"/>
        <v>0.49</v>
      </c>
    </row>
    <row r="54" spans="1:6" x14ac:dyDescent="0.2">
      <c r="A54" s="19">
        <v>19</v>
      </c>
      <c r="B54" s="143" t="s">
        <v>17</v>
      </c>
      <c r="C54" s="144"/>
      <c r="D54" s="14">
        <f>IF(F3="1",SUMIF(Data!A:A,'21'!$A$2,Data!DM:DM),0)</f>
        <v>1769936</v>
      </c>
      <c r="E54" s="17">
        <f>IF($F$3="1",SUMIF(Data!$A:$A,$A$2,Data!JG:JG),0)</f>
        <v>209916</v>
      </c>
      <c r="F54" s="21">
        <f t="shared" si="3"/>
        <v>0.12</v>
      </c>
    </row>
    <row r="55" spans="1:6" x14ac:dyDescent="0.2">
      <c r="A55" s="19">
        <v>20</v>
      </c>
      <c r="B55" s="143" t="s">
        <v>18</v>
      </c>
      <c r="C55" s="144"/>
      <c r="D55" s="14">
        <f>IF(F3="1",SUMIF(Data!A:A,'21'!$A$2,Data!DN:DN),0)</f>
        <v>271480</v>
      </c>
      <c r="E55" s="17">
        <f>IF($F$3="1",SUMIF(Data!$A:$A,$A$2,Data!JH:JH),0)</f>
        <v>276032</v>
      </c>
      <c r="F55" s="21">
        <f t="shared" si="3"/>
        <v>1.02</v>
      </c>
    </row>
    <row r="56" spans="1:6" ht="14.25" customHeight="1" x14ac:dyDescent="0.2">
      <c r="A56" s="19">
        <v>21</v>
      </c>
      <c r="B56" s="143" t="s">
        <v>461</v>
      </c>
      <c r="C56" s="144"/>
      <c r="D56" s="14">
        <f>IF(F3="1",SUMIF(Data!A:A,'21'!$A$2,Data!DO:DO),0)</f>
        <v>635408</v>
      </c>
      <c r="E56" s="17">
        <f>IF($F$3="1",SUMIF(Data!$A:$A,$A$2,Data!JI:JI),0)</f>
        <v>685288</v>
      </c>
      <c r="F56" s="21">
        <f t="shared" si="3"/>
        <v>1.08</v>
      </c>
    </row>
    <row r="57" spans="1:6" x14ac:dyDescent="0.2">
      <c r="A57" s="19">
        <v>22</v>
      </c>
      <c r="B57" s="143" t="s">
        <v>19</v>
      </c>
      <c r="C57" s="144"/>
      <c r="D57" s="14">
        <f>IF(F3="1",SUMIF(Data!A:A,'21'!$A$2,Data!DP:DP),0)</f>
        <v>187664</v>
      </c>
      <c r="E57" s="17">
        <f>IF($F$3="1",SUMIF(Data!$A:$A,$A$2,Data!JJ:JJ),0)</f>
        <v>24674</v>
      </c>
      <c r="F57" s="21">
        <f t="shared" si="3"/>
        <v>0.13</v>
      </c>
    </row>
    <row r="58" spans="1:6" x14ac:dyDescent="0.2">
      <c r="A58" s="19">
        <v>23</v>
      </c>
      <c r="B58" s="143" t="s">
        <v>20</v>
      </c>
      <c r="C58" s="144"/>
      <c r="D58" s="14">
        <f>IF(F3="1",SUMIF(Data!A:A,'21'!$A$2,Data!DQ:DQ),0)</f>
        <v>102888</v>
      </c>
      <c r="E58" s="17">
        <f>IF($F$3="1",SUMIF(Data!$A:$A,$A$2,Data!JK:JK),0)</f>
        <v>30733</v>
      </c>
      <c r="F58" s="21">
        <f t="shared" si="3"/>
        <v>0.3</v>
      </c>
    </row>
    <row r="59" spans="1:6" x14ac:dyDescent="0.2">
      <c r="A59" s="19">
        <v>24</v>
      </c>
      <c r="B59" s="143" t="s">
        <v>21</v>
      </c>
      <c r="C59" s="144"/>
      <c r="D59" s="14">
        <f>IF(F3="1",SUMIF(Data!A:A,'21'!$A$2,Data!DR:DR),0)</f>
        <v>314326</v>
      </c>
      <c r="E59" s="17">
        <f>IF($F$3="1",SUMIF(Data!$A:$A,$A$2,Data!JL:JL),0)</f>
        <v>178993</v>
      </c>
      <c r="F59" s="21">
        <f t="shared" si="3"/>
        <v>0.56999999999999995</v>
      </c>
    </row>
    <row r="60" spans="1:6" x14ac:dyDescent="0.2">
      <c r="A60" s="19">
        <v>25</v>
      </c>
      <c r="B60" s="143" t="s">
        <v>22</v>
      </c>
      <c r="C60" s="144"/>
      <c r="D60" s="14">
        <f>IF(F3="1",SUMIF(Data!A:A,'21'!$A$2,Data!DS:DS),0)</f>
        <v>2471704</v>
      </c>
      <c r="E60" s="17">
        <f>IF($F$3="1",SUMIF(Data!$A:$A,$A$2,Data!JM:JM),0)</f>
        <v>339256</v>
      </c>
      <c r="F60" s="21">
        <f t="shared" si="3"/>
        <v>0.14000000000000001</v>
      </c>
    </row>
    <row r="61" spans="1:6" x14ac:dyDescent="0.2">
      <c r="A61" s="19">
        <v>26</v>
      </c>
      <c r="B61" s="143" t="s">
        <v>23</v>
      </c>
      <c r="C61" s="144"/>
      <c r="D61" s="14">
        <f>IF(F3="1",SUMIF(Data!A:A,'21'!$A$2,Data!DT:DT),0)</f>
        <v>592536</v>
      </c>
      <c r="E61" s="17">
        <f>IF($F$3="1",SUMIF(Data!$A:$A,$A$2,Data!JN:JN),0)</f>
        <v>482526</v>
      </c>
      <c r="F61" s="21">
        <f t="shared" si="3"/>
        <v>0.81</v>
      </c>
    </row>
    <row r="62" spans="1:6" x14ac:dyDescent="0.2">
      <c r="A62" s="19">
        <v>28</v>
      </c>
      <c r="B62" s="143" t="s">
        <v>24</v>
      </c>
      <c r="C62" s="144"/>
      <c r="D62" s="14">
        <f>IF(F3="1",SUMIF(Data!A:A,'21'!$A$2,Data!DV:DV),0)</f>
        <v>0</v>
      </c>
      <c r="E62" s="17">
        <f>IF($F$3="1",SUMIF(Data!$A:$A,$A$2,Data!JP:JP),0)</f>
        <v>0</v>
      </c>
      <c r="F62" s="21" t="str">
        <f t="shared" si="3"/>
        <v/>
      </c>
    </row>
    <row r="63" spans="1:6" ht="15.75" customHeight="1" thickBot="1" x14ac:dyDescent="0.25">
      <c r="A63" s="22">
        <v>29</v>
      </c>
      <c r="B63" s="147" t="s">
        <v>25</v>
      </c>
      <c r="C63" s="148"/>
      <c r="D63" s="23">
        <f>IF(F3="1",SUMIF(Data!A:A,'21'!$A$2,Data!DW:DW),0)</f>
        <v>0</v>
      </c>
      <c r="E63" s="24">
        <f>IF($F$3="1",SUMIF(Data!$A:$A,$A$2,Data!JQ:JQ),0)</f>
        <v>0</v>
      </c>
      <c r="F63" s="25" t="str">
        <f t="shared" si="3"/>
        <v/>
      </c>
    </row>
    <row r="64" spans="1:6" x14ac:dyDescent="0.2">
      <c r="B64" s="30" t="s">
        <v>35</v>
      </c>
      <c r="C64" s="30"/>
      <c r="D64" s="59">
        <f>SUM(D36:D63)</f>
        <v>16274162</v>
      </c>
      <c r="E64" s="31">
        <f>SUM(E36:E63)</f>
        <v>5982397</v>
      </c>
      <c r="F64" s="32">
        <f t="shared" si="3"/>
        <v>0.37</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129567</v>
      </c>
      <c r="E67" s="15">
        <f>IF(F3="1",SUMIF(Data!A:A,'21'!$A$2,Data!DY:DY),0)</f>
        <v>188055</v>
      </c>
      <c r="F67" s="20">
        <f t="shared" ref="F67:F95" si="4">IF(OR(D67=0,E67=0),"",ROUND(E67/D67,2))</f>
        <v>1.45</v>
      </c>
    </row>
    <row r="68" spans="1:6" x14ac:dyDescent="0.2">
      <c r="A68" s="19">
        <v>2</v>
      </c>
      <c r="B68" s="143" t="s">
        <v>1</v>
      </c>
      <c r="C68" s="144"/>
      <c r="D68" s="14">
        <f t="shared" ref="D68:D94" si="5">D37</f>
        <v>692243</v>
      </c>
      <c r="E68" s="17">
        <f>IF(F3="1",SUMIF(Data!A:A,'21'!$A$2,Data!DZ:DZ),0)</f>
        <v>1009547</v>
      </c>
      <c r="F68" s="21">
        <f t="shared" si="4"/>
        <v>1.46</v>
      </c>
    </row>
    <row r="69" spans="1:6" ht="14.25" customHeight="1" x14ac:dyDescent="0.2">
      <c r="A69" s="19">
        <v>3</v>
      </c>
      <c r="B69" s="143" t="s">
        <v>2</v>
      </c>
      <c r="C69" s="144"/>
      <c r="D69" s="14">
        <f t="shared" si="5"/>
        <v>1514946</v>
      </c>
      <c r="E69" s="17">
        <f>IF(F3="1",SUMIF(Data!A:A,'21'!$A$2,Data!EA:EA),0)</f>
        <v>3198558</v>
      </c>
      <c r="F69" s="21">
        <f t="shared" si="4"/>
        <v>2.11</v>
      </c>
    </row>
    <row r="70" spans="1:6" ht="14.25" customHeight="1" x14ac:dyDescent="0.2">
      <c r="A70" s="19">
        <v>4</v>
      </c>
      <c r="B70" s="143" t="s">
        <v>3</v>
      </c>
      <c r="C70" s="144"/>
      <c r="D70" s="14">
        <f t="shared" si="5"/>
        <v>1437537</v>
      </c>
      <c r="E70" s="17">
        <f>IF(F3="1",SUMIF(Data!A:A,'21'!$A$2,Data!EB:EB),0)</f>
        <v>4313941</v>
      </c>
      <c r="F70" s="21">
        <f t="shared" si="4"/>
        <v>3</v>
      </c>
    </row>
    <row r="71" spans="1:6" x14ac:dyDescent="0.2">
      <c r="A71" s="19">
        <v>5</v>
      </c>
      <c r="B71" s="143" t="s">
        <v>4</v>
      </c>
      <c r="C71" s="144"/>
      <c r="D71" s="14">
        <f t="shared" si="5"/>
        <v>0</v>
      </c>
      <c r="E71" s="17">
        <f>IF(F3="1",SUMIF(Data!A:A,'21'!$A$2,Data!EC:EC),0)</f>
        <v>0</v>
      </c>
      <c r="F71" s="21" t="str">
        <f t="shared" si="4"/>
        <v/>
      </c>
    </row>
    <row r="72" spans="1:6" x14ac:dyDescent="0.2">
      <c r="A72" s="19">
        <v>6</v>
      </c>
      <c r="B72" s="143" t="s">
        <v>5</v>
      </c>
      <c r="C72" s="144"/>
      <c r="D72" s="14">
        <f t="shared" si="5"/>
        <v>77372</v>
      </c>
      <c r="E72" s="17">
        <f>IF(F3="1",SUMIF(Data!A:A,'21'!$A$2,Data!ED:ED),0)</f>
        <v>282669</v>
      </c>
      <c r="F72" s="21">
        <f t="shared" si="4"/>
        <v>3.65</v>
      </c>
    </row>
    <row r="73" spans="1:6" x14ac:dyDescent="0.2">
      <c r="A73" s="19">
        <v>7</v>
      </c>
      <c r="B73" s="143" t="s">
        <v>6</v>
      </c>
      <c r="C73" s="144"/>
      <c r="D73" s="14">
        <f t="shared" si="5"/>
        <v>500695</v>
      </c>
      <c r="E73" s="17">
        <f>IF(F3="1",SUMIF(Data!A:A,'21'!$A$2,Data!EE:EE),0)</f>
        <v>1721881</v>
      </c>
      <c r="F73" s="21">
        <f t="shared" si="4"/>
        <v>3.44</v>
      </c>
    </row>
    <row r="74" spans="1:6" x14ac:dyDescent="0.2">
      <c r="A74" s="19">
        <v>8</v>
      </c>
      <c r="B74" s="143" t="s">
        <v>7</v>
      </c>
      <c r="C74" s="144"/>
      <c r="D74" s="14">
        <f t="shared" si="5"/>
        <v>476469</v>
      </c>
      <c r="E74" s="17">
        <f>IF(F3="1",SUMIF(Data!A:A,'21'!$A$2,Data!EF:EF),0)</f>
        <v>1225315</v>
      </c>
      <c r="F74" s="21">
        <f t="shared" si="4"/>
        <v>2.57</v>
      </c>
    </row>
    <row r="75" spans="1:6" x14ac:dyDescent="0.2">
      <c r="A75" s="19">
        <v>9</v>
      </c>
      <c r="B75" s="143" t="s">
        <v>8</v>
      </c>
      <c r="C75" s="144"/>
      <c r="D75" s="14">
        <f t="shared" si="5"/>
        <v>509226</v>
      </c>
      <c r="E75" s="17">
        <f>IF(F3="1",SUMIF(Data!A:A,'21'!$A$2,Data!EG:EG),0)</f>
        <v>1296073</v>
      </c>
      <c r="F75" s="21">
        <f t="shared" si="4"/>
        <v>2.5499999999999998</v>
      </c>
    </row>
    <row r="76" spans="1:6" x14ac:dyDescent="0.2">
      <c r="A76" s="19">
        <v>10</v>
      </c>
      <c r="B76" s="143" t="s">
        <v>9</v>
      </c>
      <c r="C76" s="144"/>
      <c r="D76" s="14">
        <f t="shared" si="5"/>
        <v>12020</v>
      </c>
      <c r="E76" s="17">
        <f>IF(F3="1",SUMIF(Data!A:A,'21'!$A$2,Data!EH:EH),0)</f>
        <v>39681</v>
      </c>
      <c r="F76" s="21">
        <f t="shared" si="4"/>
        <v>3.3</v>
      </c>
    </row>
    <row r="77" spans="1:6" x14ac:dyDescent="0.2">
      <c r="A77" s="19">
        <v>11</v>
      </c>
      <c r="B77" s="143" t="s">
        <v>10</v>
      </c>
      <c r="C77" s="144"/>
      <c r="D77" s="14">
        <f t="shared" si="5"/>
        <v>277844</v>
      </c>
      <c r="E77" s="17">
        <f>IF(F3="1",SUMIF(Data!A:A,'21'!$A$2,Data!EI:EI),0)</f>
        <v>926600</v>
      </c>
      <c r="F77" s="21">
        <f t="shared" si="4"/>
        <v>3.33</v>
      </c>
    </row>
    <row r="78" spans="1:6" ht="14.25" customHeight="1" x14ac:dyDescent="0.2">
      <c r="A78" s="19">
        <v>12</v>
      </c>
      <c r="B78" s="143" t="s">
        <v>11</v>
      </c>
      <c r="C78" s="144"/>
      <c r="D78" s="14">
        <f t="shared" si="5"/>
        <v>3108953</v>
      </c>
      <c r="E78" s="17">
        <f>IF(F3="1",SUMIF(Data!A:A,'21'!$A$2,Data!EJ:EJ),0)</f>
        <v>7330370</v>
      </c>
      <c r="F78" s="21">
        <f t="shared" si="4"/>
        <v>2.36</v>
      </c>
    </row>
    <row r="79" spans="1:6" x14ac:dyDescent="0.2">
      <c r="A79" s="19">
        <v>13</v>
      </c>
      <c r="B79" s="143" t="s">
        <v>12</v>
      </c>
      <c r="C79" s="144"/>
      <c r="D79" s="14">
        <f t="shared" si="5"/>
        <v>221600</v>
      </c>
      <c r="E79" s="17">
        <f>IF(F3="1",SUMIF(Data!A:A,'21'!$A$2,Data!EK:EK),0)</f>
        <v>655829</v>
      </c>
      <c r="F79" s="21">
        <f t="shared" si="4"/>
        <v>2.96</v>
      </c>
    </row>
    <row r="80" spans="1:6" ht="14.25" customHeight="1" x14ac:dyDescent="0.2">
      <c r="A80" s="19">
        <v>14</v>
      </c>
      <c r="B80" s="143" t="s">
        <v>464</v>
      </c>
      <c r="C80" s="144"/>
      <c r="D80" s="14">
        <f t="shared" si="5"/>
        <v>212448</v>
      </c>
      <c r="E80" s="17">
        <f>IF(F3="1",SUMIF(Data!A:A,'21'!$A$2,Data!EL:EL),0)</f>
        <v>1462724</v>
      </c>
      <c r="F80" s="21">
        <f t="shared" si="4"/>
        <v>6.89</v>
      </c>
    </row>
    <row r="81" spans="1:6" x14ac:dyDescent="0.2">
      <c r="A81" s="19">
        <v>15</v>
      </c>
      <c r="B81" s="143" t="s">
        <v>13</v>
      </c>
      <c r="C81" s="144"/>
      <c r="D81" s="14">
        <f t="shared" si="5"/>
        <v>0</v>
      </c>
      <c r="E81" s="17">
        <f>IF(F3="1",SUMIF(Data!A:A,'21'!$A$2,Data!EM:EM),0)</f>
        <v>0</v>
      </c>
      <c r="F81" s="21" t="str">
        <f t="shared" si="4"/>
        <v/>
      </c>
    </row>
    <row r="82" spans="1:6" x14ac:dyDescent="0.2">
      <c r="A82" s="19">
        <v>16</v>
      </c>
      <c r="B82" s="143" t="s">
        <v>14</v>
      </c>
      <c r="C82" s="144"/>
      <c r="D82" s="14">
        <f t="shared" si="5"/>
        <v>554548</v>
      </c>
      <c r="E82" s="17">
        <f>IF(F3="1",SUMIF(Data!A:A,'21'!$A$2,Data!EN:EN),0)</f>
        <v>2434997</v>
      </c>
      <c r="F82" s="21">
        <f t="shared" si="4"/>
        <v>4.3899999999999997</v>
      </c>
    </row>
    <row r="83" spans="1:6" x14ac:dyDescent="0.2">
      <c r="A83" s="19">
        <v>17</v>
      </c>
      <c r="B83" s="143" t="s">
        <v>15</v>
      </c>
      <c r="C83" s="144"/>
      <c r="D83" s="14">
        <f t="shared" si="5"/>
        <v>74112</v>
      </c>
      <c r="E83" s="17">
        <f>IF(F3="1",SUMIF(Data!A:A,'21'!$A$2,Data!EO:EO),0)</f>
        <v>520476</v>
      </c>
      <c r="F83" s="21">
        <f t="shared" si="4"/>
        <v>7.02</v>
      </c>
    </row>
    <row r="84" spans="1:6" x14ac:dyDescent="0.2">
      <c r="A84" s="19">
        <v>18</v>
      </c>
      <c r="B84" s="143" t="s">
        <v>16</v>
      </c>
      <c r="C84" s="144"/>
      <c r="D84" s="14">
        <f t="shared" si="5"/>
        <v>128640</v>
      </c>
      <c r="E84" s="17">
        <f>IF(F3="1",SUMIF(Data!A:A,'21'!$A$2,Data!EP:EP),0)</f>
        <v>539936</v>
      </c>
      <c r="F84" s="21">
        <f t="shared" si="4"/>
        <v>4.2</v>
      </c>
    </row>
    <row r="85" spans="1:6" x14ac:dyDescent="0.2">
      <c r="A85" s="19">
        <v>19</v>
      </c>
      <c r="B85" s="143" t="s">
        <v>17</v>
      </c>
      <c r="C85" s="144"/>
      <c r="D85" s="14">
        <f t="shared" si="5"/>
        <v>1769936</v>
      </c>
      <c r="E85" s="17">
        <f>IF(F3="1",SUMIF(Data!A:A,'21'!$A$2,Data!EQ:EQ),0)</f>
        <v>3726458</v>
      </c>
      <c r="F85" s="21">
        <f t="shared" si="4"/>
        <v>2.11</v>
      </c>
    </row>
    <row r="86" spans="1:6" x14ac:dyDescent="0.2">
      <c r="A86" s="19">
        <v>20</v>
      </c>
      <c r="B86" s="143" t="s">
        <v>18</v>
      </c>
      <c r="C86" s="144"/>
      <c r="D86" s="14">
        <f t="shared" si="5"/>
        <v>271480</v>
      </c>
      <c r="E86" s="17">
        <f>IF(F3="1",SUMIF(Data!A:A,'21'!$A$2,Data!ER:ER),0)</f>
        <v>1765311</v>
      </c>
      <c r="F86" s="21">
        <f t="shared" si="4"/>
        <v>6.5</v>
      </c>
    </row>
    <row r="87" spans="1:6" ht="14.25" customHeight="1" x14ac:dyDescent="0.2">
      <c r="A87" s="19">
        <v>21</v>
      </c>
      <c r="B87" s="143" t="s">
        <v>461</v>
      </c>
      <c r="C87" s="144"/>
      <c r="D87" s="14">
        <f t="shared" si="5"/>
        <v>635408</v>
      </c>
      <c r="E87" s="17">
        <f>IF(F3="1",SUMIF(Data!A:A,'21'!$A$2,Data!ES:ES),0)</f>
        <v>3528958</v>
      </c>
      <c r="F87" s="21">
        <f t="shared" si="4"/>
        <v>5.55</v>
      </c>
    </row>
    <row r="88" spans="1:6" x14ac:dyDescent="0.2">
      <c r="A88" s="19">
        <v>22</v>
      </c>
      <c r="B88" s="143" t="s">
        <v>19</v>
      </c>
      <c r="C88" s="144"/>
      <c r="D88" s="14">
        <f t="shared" si="5"/>
        <v>187664</v>
      </c>
      <c r="E88" s="17">
        <f>IF(F3="1",SUMIF(Data!A:A,'21'!$A$2,Data!ET:ET),0)</f>
        <v>152314</v>
      </c>
      <c r="F88" s="21">
        <f t="shared" si="4"/>
        <v>0.81</v>
      </c>
    </row>
    <row r="89" spans="1:6" x14ac:dyDescent="0.2">
      <c r="A89" s="19">
        <v>23</v>
      </c>
      <c r="B89" s="143" t="s">
        <v>20</v>
      </c>
      <c r="C89" s="144"/>
      <c r="D89" s="14">
        <f t="shared" si="5"/>
        <v>102888</v>
      </c>
      <c r="E89" s="17">
        <f>IF(F3="1",SUMIF(Data!A:A,'21'!$A$2,Data!EU:EU),0)</f>
        <v>192102</v>
      </c>
      <c r="F89" s="21">
        <f t="shared" si="4"/>
        <v>1.87</v>
      </c>
    </row>
    <row r="90" spans="1:6" x14ac:dyDescent="0.2">
      <c r="A90" s="19">
        <v>24</v>
      </c>
      <c r="B90" s="143" t="s">
        <v>21</v>
      </c>
      <c r="C90" s="144"/>
      <c r="D90" s="14">
        <f t="shared" si="5"/>
        <v>314326</v>
      </c>
      <c r="E90" s="17">
        <f>IF(F3="1",SUMIF(Data!A:A,'21'!$A$2,Data!EV:EV),0)</f>
        <v>762763</v>
      </c>
      <c r="F90" s="21">
        <f t="shared" si="4"/>
        <v>2.4300000000000002</v>
      </c>
    </row>
    <row r="91" spans="1:6" x14ac:dyDescent="0.2">
      <c r="A91" s="19">
        <v>25</v>
      </c>
      <c r="B91" s="143" t="s">
        <v>22</v>
      </c>
      <c r="C91" s="144"/>
      <c r="D91" s="14">
        <f t="shared" si="5"/>
        <v>2471704</v>
      </c>
      <c r="E91" s="17">
        <f>IF(F3="1",SUMIF(Data!A:A,'21'!$A$2,Data!EW:EW),0)</f>
        <v>5349346</v>
      </c>
      <c r="F91" s="21">
        <f t="shared" si="4"/>
        <v>2.16</v>
      </c>
    </row>
    <row r="92" spans="1:6" x14ac:dyDescent="0.2">
      <c r="A92" s="19">
        <v>26</v>
      </c>
      <c r="B92" s="143" t="s">
        <v>23</v>
      </c>
      <c r="C92" s="144"/>
      <c r="D92" s="14">
        <f t="shared" si="5"/>
        <v>592536</v>
      </c>
      <c r="E92" s="17">
        <f>IF(F3="1",SUMIF(Data!A:A,'21'!$A$2,Data!EX:EX),0)</f>
        <v>2098694</v>
      </c>
      <c r="F92" s="21">
        <f t="shared" si="4"/>
        <v>3.54</v>
      </c>
    </row>
    <row r="93" spans="1:6" x14ac:dyDescent="0.2">
      <c r="A93" s="19">
        <v>28</v>
      </c>
      <c r="B93" s="143" t="s">
        <v>24</v>
      </c>
      <c r="C93" s="144"/>
      <c r="D93" s="14">
        <f t="shared" si="5"/>
        <v>0</v>
      </c>
      <c r="E93" s="17">
        <f>IF(F3="1",SUMIF(Data!A:A,'21'!$A$2,Data!EZ:EZ),0)</f>
        <v>0</v>
      </c>
      <c r="F93" s="21" t="str">
        <f t="shared" si="4"/>
        <v/>
      </c>
    </row>
    <row r="94" spans="1:6" ht="15.75" customHeight="1" thickBot="1" x14ac:dyDescent="0.25">
      <c r="A94" s="22">
        <v>29</v>
      </c>
      <c r="B94" s="147" t="s">
        <v>25</v>
      </c>
      <c r="C94" s="148"/>
      <c r="D94" s="23">
        <f t="shared" si="5"/>
        <v>0</v>
      </c>
      <c r="E94" s="24">
        <f>IF(F3="1",SUMIF(Data!A:A,'21'!$A$2,Data!FA:FA),0)</f>
        <v>0</v>
      </c>
      <c r="F94" s="25" t="str">
        <f t="shared" si="4"/>
        <v/>
      </c>
    </row>
    <row r="95" spans="1:6" x14ac:dyDescent="0.2">
      <c r="B95" s="30" t="s">
        <v>35</v>
      </c>
      <c r="C95" s="30"/>
      <c r="D95" s="59">
        <f>SUM(D67:D94)</f>
        <v>16274162</v>
      </c>
      <c r="E95" s="31">
        <f>SUM(E67:E94)</f>
        <v>44722598</v>
      </c>
      <c r="F95" s="32">
        <f t="shared" si="4"/>
        <v>2.75</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IF(F3="1",SUMIF(Data!A:A,'21'!$A$2,Data!AH:AH),0)</f>
        <v>33968913</v>
      </c>
      <c r="F98" s="20">
        <f>IF(OR(E98=0,E98=0),"",ROUND(E98/$D$105,2))</f>
        <v>2.09</v>
      </c>
    </row>
    <row r="99" spans="2:6" x14ac:dyDescent="0.2">
      <c r="B99" s="153" t="s">
        <v>31</v>
      </c>
      <c r="C99" s="154"/>
      <c r="D99" s="36"/>
      <c r="E99" s="17">
        <f>IF(F3="1",SUMIF(Data!A:A,'21'!$A$2,Data!AI:AI),0)</f>
        <v>10359740</v>
      </c>
      <c r="F99" s="21">
        <f t="shared" ref="F99:F104" si="6">IF(OR(E99=0,E99=0),"",ROUND(E99/$D$105,2))</f>
        <v>0.64</v>
      </c>
    </row>
    <row r="100" spans="2:6" x14ac:dyDescent="0.2">
      <c r="B100" s="153" t="s">
        <v>1078</v>
      </c>
      <c r="C100" s="154"/>
      <c r="D100" s="36"/>
      <c r="E100" s="17">
        <f>IF(F3="1",SUMIF(Data!A:A,'21'!$A$2,Data!AJ:AJ),0)</f>
        <v>2863903</v>
      </c>
      <c r="F100" s="21">
        <f t="shared" si="6"/>
        <v>0.18</v>
      </c>
    </row>
    <row r="101" spans="2:6" x14ac:dyDescent="0.2">
      <c r="B101" s="153" t="s">
        <v>1079</v>
      </c>
      <c r="C101" s="154"/>
      <c r="D101" s="36"/>
      <c r="E101" s="17">
        <f>IF(F3="1",SUMIF(Data!A:A,'21'!$A$2,Data!AK:AK),0)</f>
        <v>8496427</v>
      </c>
      <c r="F101" s="21">
        <f t="shared" si="6"/>
        <v>0.52</v>
      </c>
    </row>
    <row r="102" spans="2:6" x14ac:dyDescent="0.2">
      <c r="B102" s="153" t="s">
        <v>1080</v>
      </c>
      <c r="C102" s="154"/>
      <c r="D102" s="36"/>
      <c r="E102" s="17">
        <f>IF(F3="1",SUMIF(Data!A:A,'21'!$A$2,Data!AL:AL),0)</f>
        <v>118455</v>
      </c>
      <c r="F102" s="21">
        <f t="shared" si="6"/>
        <v>0.01</v>
      </c>
    </row>
    <row r="103" spans="2:6" x14ac:dyDescent="0.2">
      <c r="B103" s="155" t="s">
        <v>34</v>
      </c>
      <c r="C103" s="156"/>
      <c r="D103" s="36"/>
      <c r="E103" s="17">
        <f>IF(F3="1",SUMIF(Data!A:A,'21'!$A$2,Data!AM:AM),0)</f>
        <v>0</v>
      </c>
      <c r="F103" s="21" t="str">
        <f t="shared" si="6"/>
        <v/>
      </c>
    </row>
    <row r="104" spans="2:6" ht="15.75" customHeight="1" thickBot="1" x14ac:dyDescent="0.25">
      <c r="B104" s="149" t="s">
        <v>29</v>
      </c>
      <c r="C104" s="150"/>
      <c r="D104" s="37"/>
      <c r="E104" s="24">
        <f>IF(F3="1",SUMIF(Data!A:A,'21'!$A$2,Data!Q:Q),0)</f>
        <v>2700928</v>
      </c>
      <c r="F104" s="25">
        <f t="shared" si="6"/>
        <v>0.17</v>
      </c>
    </row>
    <row r="105" spans="2:6" x14ac:dyDescent="0.2">
      <c r="B105" s="30" t="s">
        <v>35</v>
      </c>
      <c r="C105" s="30"/>
      <c r="D105" s="34">
        <f>D95</f>
        <v>16274162</v>
      </c>
      <c r="E105" s="31">
        <f>SUM(E98:E104)</f>
        <v>58508366</v>
      </c>
      <c r="F105" s="32">
        <f>IF($D$105=0,"",ROUND(E105/$D$105,2))</f>
        <v>3.6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44722598</v>
      </c>
      <c r="D109" s="15">
        <f>IF(F3="1",SUMIF(Data!$A:$A,$A$2,Data!HJ:HJ),0)</f>
        <v>0</v>
      </c>
      <c r="E109" s="15">
        <f>IF(F3="1",SUMIF(Data!$A:$A,$A$2,Data!IN:IN),0)</f>
        <v>0</v>
      </c>
      <c r="F109" s="47">
        <f>SUM(C109:E109)</f>
        <v>44722598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118455</v>
      </c>
      <c r="F116" s="48">
        <f t="shared" si="7"/>
        <v>118455</v>
      </c>
    </row>
    <row r="117" spans="1:6" ht="15" thickBot="1" x14ac:dyDescent="0.25">
      <c r="B117" s="43" t="s">
        <v>933</v>
      </c>
      <c r="C117" s="52"/>
      <c r="D117" s="52">
        <f>IF(F3="1",SUMIF(Data!A:A,$A$2,Data!Q:Q),0)</f>
        <v>2700928</v>
      </c>
      <c r="E117" s="52"/>
      <c r="F117" s="49">
        <f>SUM(C117:E117)</f>
        <v>2700928</v>
      </c>
    </row>
    <row r="118" spans="1:6" x14ac:dyDescent="0.2">
      <c r="B118" s="13" t="s">
        <v>35</v>
      </c>
      <c r="C118" s="4">
        <f>SUM(C109:C116)</f>
        <v>44722598</v>
      </c>
      <c r="D118" s="4">
        <f>SUM(D109:D116)</f>
        <v>0</v>
      </c>
      <c r="E118" s="4">
        <f>SUM(E109:E116)</f>
        <v>118455</v>
      </c>
      <c r="F118" s="4">
        <f>SUM(F109:F116)</f>
        <v>44841053</v>
      </c>
    </row>
    <row r="119" spans="1:6" ht="15" thickBot="1" x14ac:dyDescent="0.25"/>
    <row r="120" spans="1:6" ht="15" thickBot="1" x14ac:dyDescent="0.25">
      <c r="B120" s="55" t="s">
        <v>934</v>
      </c>
      <c r="C120" s="53"/>
      <c r="D120" s="53"/>
      <c r="E120" s="53">
        <f>IF(F3="1",SUMIF(Data!A:A,'21'!$A$2,Data!AM:AM),0)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374</v>
      </c>
      <c r="B2" s="58" t="str">
        <f>VLOOKUP(A2,Data!A:G,7,0)</f>
        <v>Howard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63769</v>
      </c>
      <c r="E5" s="15">
        <f>E36+E67+IFERROR($E$105/$D$105*D5,0)</f>
        <v>303356.88017072884</v>
      </c>
      <c r="F5" s="20">
        <f>IF(OR(D5=0,E5=0),"",ROUND(E5/D5,2))</f>
        <v>4.76</v>
      </c>
    </row>
    <row r="6" spans="1:6" x14ac:dyDescent="0.2">
      <c r="A6" s="19">
        <v>2</v>
      </c>
      <c r="B6" s="143" t="s">
        <v>1</v>
      </c>
      <c r="C6" s="144"/>
      <c r="D6" s="14">
        <f t="shared" ref="D6:D32" si="0">D37</f>
        <v>25988</v>
      </c>
      <c r="E6" s="17">
        <f t="shared" ref="E6:E32" si="1">E37+E68+IFERROR($E$105/$D$105*D6,0)</f>
        <v>128939.2636685051</v>
      </c>
      <c r="F6" s="21">
        <f t="shared" ref="F6:F33" si="2">IF(OR(D6=0,E6=0),"",ROUND(E6/D6,2))</f>
        <v>4.96</v>
      </c>
    </row>
    <row r="7" spans="1:6" ht="14.25" customHeight="1" x14ac:dyDescent="0.2">
      <c r="A7" s="19">
        <v>3</v>
      </c>
      <c r="B7" s="143" t="s">
        <v>2</v>
      </c>
      <c r="C7" s="144"/>
      <c r="D7" s="14">
        <f t="shared" si="0"/>
        <v>98062</v>
      </c>
      <c r="E7" s="17">
        <f t="shared" si="1"/>
        <v>488478.90287290083</v>
      </c>
      <c r="F7" s="21">
        <f t="shared" si="2"/>
        <v>4.9800000000000004</v>
      </c>
    </row>
    <row r="8" spans="1:6" ht="14.25" customHeight="1" x14ac:dyDescent="0.2">
      <c r="A8" s="19">
        <v>4</v>
      </c>
      <c r="B8" s="143" t="s">
        <v>3</v>
      </c>
      <c r="C8" s="144"/>
      <c r="D8" s="14">
        <f t="shared" si="0"/>
        <v>272892</v>
      </c>
      <c r="E8" s="17">
        <f t="shared" si="1"/>
        <v>1094021.0674551982</v>
      </c>
      <c r="F8" s="21">
        <f t="shared" si="2"/>
        <v>4.01</v>
      </c>
    </row>
    <row r="9" spans="1:6" x14ac:dyDescent="0.2">
      <c r="A9" s="19">
        <v>5</v>
      </c>
      <c r="B9" s="143" t="s">
        <v>4</v>
      </c>
      <c r="C9" s="144"/>
      <c r="D9" s="14">
        <f t="shared" si="0"/>
        <v>3744</v>
      </c>
      <c r="E9" s="17">
        <f t="shared" si="1"/>
        <v>12187.178666110631</v>
      </c>
      <c r="F9" s="21">
        <f t="shared" si="2"/>
        <v>3.26</v>
      </c>
    </row>
    <row r="10" spans="1:6" x14ac:dyDescent="0.2">
      <c r="A10" s="19">
        <v>6</v>
      </c>
      <c r="B10" s="143" t="s">
        <v>5</v>
      </c>
      <c r="C10" s="144"/>
      <c r="D10" s="14">
        <f t="shared" si="0"/>
        <v>1552</v>
      </c>
      <c r="E10" s="17">
        <f t="shared" si="1"/>
        <v>6027.1082504817568</v>
      </c>
      <c r="F10" s="21">
        <f t="shared" si="2"/>
        <v>3.88</v>
      </c>
    </row>
    <row r="11" spans="1:6" x14ac:dyDescent="0.2">
      <c r="A11" s="19">
        <v>7</v>
      </c>
      <c r="B11" s="143" t="s">
        <v>6</v>
      </c>
      <c r="C11" s="144"/>
      <c r="D11" s="14">
        <f t="shared" si="0"/>
        <v>124779</v>
      </c>
      <c r="E11" s="17">
        <f t="shared" si="1"/>
        <v>927902.77344514383</v>
      </c>
      <c r="F11" s="21">
        <f t="shared" si="2"/>
        <v>7.44</v>
      </c>
    </row>
    <row r="12" spans="1:6" x14ac:dyDescent="0.2">
      <c r="A12" s="19">
        <v>8</v>
      </c>
      <c r="B12" s="143" t="s">
        <v>7</v>
      </c>
      <c r="C12" s="144"/>
      <c r="D12" s="14">
        <f t="shared" si="0"/>
        <v>188583</v>
      </c>
      <c r="E12" s="17">
        <f t="shared" si="1"/>
        <v>618719.40154677909</v>
      </c>
      <c r="F12" s="21">
        <f t="shared" si="2"/>
        <v>3.28</v>
      </c>
    </row>
    <row r="13" spans="1:6" x14ac:dyDescent="0.2">
      <c r="A13" s="19">
        <v>9</v>
      </c>
      <c r="B13" s="143" t="s">
        <v>8</v>
      </c>
      <c r="C13" s="144"/>
      <c r="D13" s="14">
        <f t="shared" si="0"/>
        <v>96145</v>
      </c>
      <c r="E13" s="17">
        <f t="shared" si="1"/>
        <v>338409.56620010862</v>
      </c>
      <c r="F13" s="21">
        <f t="shared" si="2"/>
        <v>3.52</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32137</v>
      </c>
      <c r="E15" s="17">
        <f t="shared" si="1"/>
        <v>214471.55015833263</v>
      </c>
      <c r="F15" s="21">
        <f t="shared" si="2"/>
        <v>6.67</v>
      </c>
    </row>
    <row r="16" spans="1:6" ht="14.25" customHeight="1" x14ac:dyDescent="0.2">
      <c r="A16" s="19">
        <v>12</v>
      </c>
      <c r="B16" s="143" t="s">
        <v>11</v>
      </c>
      <c r="C16" s="144"/>
      <c r="D16" s="14">
        <f t="shared" si="0"/>
        <v>253154</v>
      </c>
      <c r="E16" s="17">
        <f t="shared" si="1"/>
        <v>973667.93430570792</v>
      </c>
      <c r="F16" s="21">
        <f t="shared" si="2"/>
        <v>3.85</v>
      </c>
    </row>
    <row r="17" spans="1:6" x14ac:dyDescent="0.2">
      <c r="A17" s="19">
        <v>13</v>
      </c>
      <c r="B17" s="143" t="s">
        <v>12</v>
      </c>
      <c r="C17" s="144"/>
      <c r="D17" s="14">
        <f t="shared" si="0"/>
        <v>22494</v>
      </c>
      <c r="E17" s="17">
        <f t="shared" si="1"/>
        <v>54704.570223155053</v>
      </c>
      <c r="F17" s="21">
        <f t="shared" si="2"/>
        <v>2.4300000000000002</v>
      </c>
    </row>
    <row r="18" spans="1:6" ht="14.25" customHeight="1" x14ac:dyDescent="0.2">
      <c r="A18" s="19">
        <v>14</v>
      </c>
      <c r="B18" s="143" t="s">
        <v>464</v>
      </c>
      <c r="C18" s="144"/>
      <c r="D18" s="14">
        <f t="shared" si="0"/>
        <v>80804</v>
      </c>
      <c r="E18" s="17">
        <f t="shared" si="1"/>
        <v>435861.6231133556</v>
      </c>
      <c r="F18" s="21">
        <f t="shared" si="2"/>
        <v>5.39</v>
      </c>
    </row>
    <row r="19" spans="1:6" x14ac:dyDescent="0.2">
      <c r="A19" s="19">
        <v>15</v>
      </c>
      <c r="B19" s="143" t="s">
        <v>13</v>
      </c>
      <c r="C19" s="144"/>
      <c r="D19" s="14">
        <f t="shared" si="0"/>
        <v>19392</v>
      </c>
      <c r="E19" s="17">
        <f t="shared" si="1"/>
        <v>233729.05360395764</v>
      </c>
      <c r="F19" s="21">
        <f t="shared" si="2"/>
        <v>12.05</v>
      </c>
    </row>
    <row r="20" spans="1:6" x14ac:dyDescent="0.2">
      <c r="A20" s="19">
        <v>16</v>
      </c>
      <c r="B20" s="143" t="s">
        <v>14</v>
      </c>
      <c r="C20" s="144"/>
      <c r="D20" s="14">
        <f t="shared" si="0"/>
        <v>50416</v>
      </c>
      <c r="E20" s="17">
        <f t="shared" si="1"/>
        <v>241461.6195594641</v>
      </c>
      <c r="F20" s="21">
        <f t="shared" si="2"/>
        <v>4.79</v>
      </c>
    </row>
    <row r="21" spans="1:6" x14ac:dyDescent="0.2">
      <c r="A21" s="19">
        <v>17</v>
      </c>
      <c r="B21" s="143" t="s">
        <v>15</v>
      </c>
      <c r="C21" s="144"/>
      <c r="D21" s="14">
        <f t="shared" si="0"/>
        <v>23264</v>
      </c>
      <c r="E21" s="17">
        <f t="shared" si="1"/>
        <v>159950.02470309768</v>
      </c>
      <c r="F21" s="21">
        <f t="shared" si="2"/>
        <v>6.88</v>
      </c>
    </row>
    <row r="22" spans="1:6" x14ac:dyDescent="0.2">
      <c r="A22" s="19">
        <v>18</v>
      </c>
      <c r="B22" s="143" t="s">
        <v>16</v>
      </c>
      <c r="C22" s="144"/>
      <c r="D22" s="14">
        <f t="shared" si="0"/>
        <v>27640</v>
      </c>
      <c r="E22" s="17">
        <f t="shared" si="1"/>
        <v>327378.36600729107</v>
      </c>
      <c r="F22" s="21">
        <f t="shared" si="2"/>
        <v>11.84</v>
      </c>
    </row>
    <row r="23" spans="1:6" x14ac:dyDescent="0.2">
      <c r="A23" s="19">
        <v>19</v>
      </c>
      <c r="B23" s="143" t="s">
        <v>17</v>
      </c>
      <c r="C23" s="144"/>
      <c r="D23" s="14">
        <f t="shared" si="0"/>
        <v>109072</v>
      </c>
      <c r="E23" s="17">
        <f t="shared" si="1"/>
        <v>469831.75199519732</v>
      </c>
      <c r="F23" s="21">
        <f t="shared" si="2"/>
        <v>4.3099999999999996</v>
      </c>
    </row>
    <row r="24" spans="1:6" x14ac:dyDescent="0.2">
      <c r="A24" s="19">
        <v>20</v>
      </c>
      <c r="B24" s="143" t="s">
        <v>18</v>
      </c>
      <c r="C24" s="144"/>
      <c r="D24" s="14">
        <f t="shared" si="0"/>
        <v>9256</v>
      </c>
      <c r="E24" s="17">
        <f t="shared" si="1"/>
        <v>20810.052813440172</v>
      </c>
      <c r="F24" s="21">
        <f t="shared" si="2"/>
        <v>2.25</v>
      </c>
    </row>
    <row r="25" spans="1:6" ht="14.25" customHeight="1" x14ac:dyDescent="0.2">
      <c r="A25" s="19">
        <v>21</v>
      </c>
      <c r="B25" s="143" t="s">
        <v>461</v>
      </c>
      <c r="C25" s="144"/>
      <c r="D25" s="14">
        <f t="shared" si="0"/>
        <v>9659</v>
      </c>
      <c r="E25" s="17">
        <f t="shared" si="1"/>
        <v>26717.578989306247</v>
      </c>
      <c r="F25" s="21">
        <f t="shared" si="2"/>
        <v>2.77</v>
      </c>
    </row>
    <row r="26" spans="1:6" x14ac:dyDescent="0.2">
      <c r="A26" s="19">
        <v>22</v>
      </c>
      <c r="B26" s="143" t="s">
        <v>19</v>
      </c>
      <c r="C26" s="144"/>
      <c r="D26" s="14">
        <f t="shared" si="0"/>
        <v>13849</v>
      </c>
      <c r="E26" s="17">
        <f t="shared" si="1"/>
        <v>54767.831289253772</v>
      </c>
      <c r="F26" s="21">
        <f t="shared" si="2"/>
        <v>3.95</v>
      </c>
    </row>
    <row r="27" spans="1:6" x14ac:dyDescent="0.2">
      <c r="A27" s="19">
        <v>23</v>
      </c>
      <c r="B27" s="143" t="s">
        <v>20</v>
      </c>
      <c r="C27" s="144"/>
      <c r="D27" s="14">
        <f t="shared" si="0"/>
        <v>1872</v>
      </c>
      <c r="E27" s="17">
        <f t="shared" si="1"/>
        <v>18236.089333055315</v>
      </c>
      <c r="F27" s="21">
        <f t="shared" si="2"/>
        <v>9.74</v>
      </c>
    </row>
    <row r="28" spans="1:6" x14ac:dyDescent="0.2">
      <c r="A28" s="19">
        <v>24</v>
      </c>
      <c r="B28" s="143" t="s">
        <v>21</v>
      </c>
      <c r="C28" s="144"/>
      <c r="D28" s="14">
        <f t="shared" si="0"/>
        <v>70481</v>
      </c>
      <c r="E28" s="17">
        <f t="shared" si="1"/>
        <v>196947.68337770924</v>
      </c>
      <c r="F28" s="21">
        <f t="shared" si="2"/>
        <v>2.79</v>
      </c>
    </row>
    <row r="29" spans="1:6" x14ac:dyDescent="0.2">
      <c r="A29" s="19">
        <v>25</v>
      </c>
      <c r="B29" s="143" t="s">
        <v>22</v>
      </c>
      <c r="C29" s="144"/>
      <c r="D29" s="14">
        <f t="shared" si="0"/>
        <v>123504</v>
      </c>
      <c r="E29" s="17">
        <f t="shared" si="1"/>
        <v>596329.09881926479</v>
      </c>
      <c r="F29" s="21">
        <f t="shared" si="2"/>
        <v>4.83</v>
      </c>
    </row>
    <row r="30" spans="1:6" x14ac:dyDescent="0.2">
      <c r="A30" s="19">
        <v>26</v>
      </c>
      <c r="B30" s="143" t="s">
        <v>23</v>
      </c>
      <c r="C30" s="144"/>
      <c r="D30" s="14">
        <f t="shared" si="0"/>
        <v>23184</v>
      </c>
      <c r="E30" s="17">
        <f t="shared" si="1"/>
        <v>183060.02943245429</v>
      </c>
      <c r="F30" s="21">
        <f t="shared" si="2"/>
        <v>7.9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1745692</v>
      </c>
      <c r="E33" s="31">
        <f>SUM(E5:E32)</f>
        <v>8125967.0000000009</v>
      </c>
      <c r="F33" s="32">
        <f t="shared" si="2"/>
        <v>4.6500000000000004</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IF(F3="1",SUMIF(Data!A:A,'22'!$A$2,Data!CU:CU),0)</f>
        <v>63769</v>
      </c>
      <c r="E36" s="15">
        <f>IF(F3="1",SUMIF(Data!$A:$A,$A$2,Data!IO:IO),0)</f>
        <v>30404</v>
      </c>
      <c r="F36" s="20">
        <f t="shared" ref="F36:F64" si="3">IF(OR(D36=0,E36=0),"",ROUND(E36/D36,2))</f>
        <v>0.48</v>
      </c>
    </row>
    <row r="37" spans="1:6" x14ac:dyDescent="0.2">
      <c r="A37" s="19">
        <v>2</v>
      </c>
      <c r="B37" s="143" t="s">
        <v>1</v>
      </c>
      <c r="C37" s="144"/>
      <c r="D37" s="14">
        <f>IF(F3="1",SUMIF(Data!A:A,'22'!$A$2,Data!CV:CV),0)</f>
        <v>25988</v>
      </c>
      <c r="E37" s="17">
        <f>IF(F3="1",SUMIF(Data!$A:$A,$A$2,Data!IP:IP),0)</f>
        <v>10966</v>
      </c>
      <c r="F37" s="21">
        <f t="shared" si="3"/>
        <v>0.42</v>
      </c>
    </row>
    <row r="38" spans="1:6" ht="14.25" customHeight="1" x14ac:dyDescent="0.2">
      <c r="A38" s="19">
        <v>3</v>
      </c>
      <c r="B38" s="143" t="s">
        <v>2</v>
      </c>
      <c r="C38" s="144"/>
      <c r="D38" s="14">
        <f>IF(F3="1",SUMIF(Data!A:A,'22'!$A$2,Data!CW:CW),0)</f>
        <v>98062</v>
      </c>
      <c r="E38" s="17">
        <f>IF($F$3="1",SUMIF(Data!$A:$A,$A$2,Data!IQ:IQ),0)</f>
        <v>51849</v>
      </c>
      <c r="F38" s="21">
        <f t="shared" si="3"/>
        <v>0.53</v>
      </c>
    </row>
    <row r="39" spans="1:6" ht="14.25" customHeight="1" x14ac:dyDescent="0.2">
      <c r="A39" s="19">
        <v>4</v>
      </c>
      <c r="B39" s="143" t="s">
        <v>3</v>
      </c>
      <c r="C39" s="144"/>
      <c r="D39" s="14">
        <f>IF(F3="1",SUMIF(Data!A:A,'22'!$A$2,Data!CX:CX),0)</f>
        <v>272892</v>
      </c>
      <c r="E39" s="17">
        <f>IF($F$3="1",SUMIF(Data!$A:$A,$A$2,Data!IR:IR),0)</f>
        <v>276744</v>
      </c>
      <c r="F39" s="21">
        <f t="shared" si="3"/>
        <v>1.01</v>
      </c>
    </row>
    <row r="40" spans="1:6" x14ac:dyDescent="0.2">
      <c r="A40" s="19">
        <v>5</v>
      </c>
      <c r="B40" s="143" t="s">
        <v>4</v>
      </c>
      <c r="C40" s="144"/>
      <c r="D40" s="14">
        <f>IF(F3="1",SUMIF(Data!A:A,'22'!$A$2,Data!CY:CY),0)</f>
        <v>3744</v>
      </c>
      <c r="E40" s="17">
        <f>IF($F$3="1",SUMIF(Data!$A:$A,$A$2,Data!IS:IS),0)</f>
        <v>0</v>
      </c>
      <c r="F40" s="21" t="str">
        <f t="shared" si="3"/>
        <v/>
      </c>
    </row>
    <row r="41" spans="1:6" x14ac:dyDescent="0.2">
      <c r="A41" s="19">
        <v>6</v>
      </c>
      <c r="B41" s="143" t="s">
        <v>5</v>
      </c>
      <c r="C41" s="144"/>
      <c r="D41" s="14">
        <f>IF(F3="1",SUMIF(Data!A:A,'22'!$A$2,Data!CZ:CZ),0)</f>
        <v>1552</v>
      </c>
      <c r="E41" s="17">
        <f>IF($F$3="1",SUMIF(Data!$A:$A,$A$2,Data!IT:IT),0)</f>
        <v>0</v>
      </c>
      <c r="F41" s="21" t="str">
        <f t="shared" si="3"/>
        <v/>
      </c>
    </row>
    <row r="42" spans="1:6" x14ac:dyDescent="0.2">
      <c r="A42" s="19">
        <v>7</v>
      </c>
      <c r="B42" s="143" t="s">
        <v>6</v>
      </c>
      <c r="C42" s="144"/>
      <c r="D42" s="14">
        <f>IF(F3="1",SUMIF(Data!A:A,'22'!$A$2,Data!DA:DA),0)</f>
        <v>124779</v>
      </c>
      <c r="E42" s="17">
        <f>IF($F$3="1",SUMIF(Data!$A:$A,$A$2,Data!IU:IU),0)</f>
        <v>315987</v>
      </c>
      <c r="F42" s="21">
        <f t="shared" si="3"/>
        <v>2.5299999999999998</v>
      </c>
    </row>
    <row r="43" spans="1:6" x14ac:dyDescent="0.2">
      <c r="A43" s="19">
        <v>8</v>
      </c>
      <c r="B43" s="143" t="s">
        <v>7</v>
      </c>
      <c r="C43" s="144"/>
      <c r="D43" s="14">
        <f>IF(F3="1",SUMIF(Data!A:A,'22'!$A$2,Data!DB:DB),0)</f>
        <v>188583</v>
      </c>
      <c r="E43" s="17">
        <f>IF($F$3="1",SUMIF(Data!$A:$A,$A$2,Data!IV:IV),0)</f>
        <v>18801</v>
      </c>
      <c r="F43" s="21">
        <f t="shared" si="3"/>
        <v>0.1</v>
      </c>
    </row>
    <row r="44" spans="1:6" x14ac:dyDescent="0.2">
      <c r="A44" s="19">
        <v>9</v>
      </c>
      <c r="B44" s="143" t="s">
        <v>8</v>
      </c>
      <c r="C44" s="144"/>
      <c r="D44" s="14">
        <f>IF(F3="1",SUMIF(Data!A:A,'22'!$A$2,Data!DC:DC),0)</f>
        <v>96145</v>
      </c>
      <c r="E44" s="17">
        <f>IF($F$3="1",SUMIF(Data!$A:$A,$A$2,Data!IW:IW),0)</f>
        <v>37312</v>
      </c>
      <c r="F44" s="21">
        <f t="shared" si="3"/>
        <v>0.39</v>
      </c>
    </row>
    <row r="45" spans="1:6" x14ac:dyDescent="0.2">
      <c r="A45" s="19">
        <v>10</v>
      </c>
      <c r="B45" s="143" t="s">
        <v>9</v>
      </c>
      <c r="C45" s="144"/>
      <c r="D45" s="14">
        <f>IF(F3="1",SUMIF(Data!A:A,'22'!$A$2,Data!DD:DD),0)</f>
        <v>0</v>
      </c>
      <c r="E45" s="17">
        <f>IF($F$3="1",SUMIF(Data!$A:$A,$A$2,Data!IX:IX),0)</f>
        <v>0</v>
      </c>
      <c r="F45" s="21" t="str">
        <f t="shared" si="3"/>
        <v/>
      </c>
    </row>
    <row r="46" spans="1:6" x14ac:dyDescent="0.2">
      <c r="A46" s="19">
        <v>11</v>
      </c>
      <c r="B46" s="143" t="s">
        <v>10</v>
      </c>
      <c r="C46" s="144"/>
      <c r="D46" s="14">
        <f>IF(F3="1",SUMIF(Data!A:A,'22'!$A$2,Data!DE:DE),0)</f>
        <v>32137</v>
      </c>
      <c r="E46" s="17">
        <f>IF($F$3="1",SUMIF(Data!$A:$A,$A$2,Data!IY:IY),0)</f>
        <v>18452</v>
      </c>
      <c r="F46" s="21">
        <f t="shared" si="3"/>
        <v>0.56999999999999995</v>
      </c>
    </row>
    <row r="47" spans="1:6" ht="14.25" customHeight="1" x14ac:dyDescent="0.2">
      <c r="A47" s="19">
        <v>12</v>
      </c>
      <c r="B47" s="143" t="s">
        <v>11</v>
      </c>
      <c r="C47" s="144"/>
      <c r="D47" s="14">
        <f>IF(F3="1",SUMIF(Data!A:A,'22'!$A$2,Data!DF:DF),0)</f>
        <v>253154</v>
      </c>
      <c r="E47" s="17">
        <f>IF($F$3="1",SUMIF(Data!$A:$A,$A$2,Data!IZ:IZ),0)</f>
        <v>42582</v>
      </c>
      <c r="F47" s="21">
        <f t="shared" si="3"/>
        <v>0.17</v>
      </c>
    </row>
    <row r="48" spans="1:6" x14ac:dyDescent="0.2">
      <c r="A48" s="19">
        <v>13</v>
      </c>
      <c r="B48" s="143" t="s">
        <v>12</v>
      </c>
      <c r="C48" s="144"/>
      <c r="D48" s="14">
        <f>IF(F3="1",SUMIF(Data!A:A,'22'!$A$2,Data!DG:DG),0)</f>
        <v>22494</v>
      </c>
      <c r="E48" s="17">
        <f>IF($F$3="1",SUMIF(Data!$A:$A,$A$2,Data!JA:JA),0)</f>
        <v>3519</v>
      </c>
      <c r="F48" s="21">
        <f t="shared" si="3"/>
        <v>0.16</v>
      </c>
    </row>
    <row r="49" spans="1:6" ht="14.25" customHeight="1" x14ac:dyDescent="0.2">
      <c r="A49" s="19">
        <v>14</v>
      </c>
      <c r="B49" s="143" t="s">
        <v>464</v>
      </c>
      <c r="C49" s="144"/>
      <c r="D49" s="14">
        <f>IF(F3="1",SUMIF(Data!A:A,'22'!$A$2,Data!DH:DH),0)</f>
        <v>80804</v>
      </c>
      <c r="E49" s="17">
        <f>IF($F$3="1",SUMIF(Data!$A:$A,$A$2,Data!JB:JB),0)</f>
        <v>68998</v>
      </c>
      <c r="F49" s="21">
        <f t="shared" si="3"/>
        <v>0.85</v>
      </c>
    </row>
    <row r="50" spans="1:6" x14ac:dyDescent="0.2">
      <c r="A50" s="19">
        <v>15</v>
      </c>
      <c r="B50" s="143" t="s">
        <v>13</v>
      </c>
      <c r="C50" s="144"/>
      <c r="D50" s="14">
        <f>IF(F3="1",SUMIF(Data!A:A,'22'!$A$2,Data!DI:DI),0)</f>
        <v>19392</v>
      </c>
      <c r="E50" s="17">
        <f>IF($F$3="1",SUMIF(Data!$A:$A,$A$2,Data!JC:JC),0)</f>
        <v>76698</v>
      </c>
      <c r="F50" s="21">
        <f t="shared" si="3"/>
        <v>3.96</v>
      </c>
    </row>
    <row r="51" spans="1:6" x14ac:dyDescent="0.2">
      <c r="A51" s="19">
        <v>16</v>
      </c>
      <c r="B51" s="143" t="s">
        <v>14</v>
      </c>
      <c r="C51" s="144"/>
      <c r="D51" s="14">
        <f>IF(F3="1",SUMIF(Data!A:A,'22'!$A$2,Data!DJ:DJ),0)</f>
        <v>50416</v>
      </c>
      <c r="E51" s="17">
        <f>IF($F$3="1",SUMIF(Data!$A:$A,$A$2,Data!JD:JD),0)</f>
        <v>47401</v>
      </c>
      <c r="F51" s="21">
        <f t="shared" si="3"/>
        <v>0.94</v>
      </c>
    </row>
    <row r="52" spans="1:6" x14ac:dyDescent="0.2">
      <c r="A52" s="19">
        <v>17</v>
      </c>
      <c r="B52" s="143" t="s">
        <v>15</v>
      </c>
      <c r="C52" s="144"/>
      <c r="D52" s="14">
        <f>IF(F3="1",SUMIF(Data!A:A,'22'!$A$2,Data!DK:DK),0)</f>
        <v>23264</v>
      </c>
      <c r="E52" s="17">
        <f>IF($F$3="1",SUMIF(Data!$A:$A,$A$2,Data!JE:JE),0)</f>
        <v>17260</v>
      </c>
      <c r="F52" s="21">
        <f t="shared" si="3"/>
        <v>0.74</v>
      </c>
    </row>
    <row r="53" spans="1:6" x14ac:dyDescent="0.2">
      <c r="A53" s="19">
        <v>18</v>
      </c>
      <c r="B53" s="143" t="s">
        <v>16</v>
      </c>
      <c r="C53" s="144"/>
      <c r="D53" s="14">
        <f>IF(F3="1",SUMIF(Data!A:A,'22'!$A$2,Data!DL:DL),0)</f>
        <v>27640</v>
      </c>
      <c r="E53" s="17">
        <f>IF($F$3="1",SUMIF(Data!$A:$A,$A$2,Data!JF:JF),0)</f>
        <v>68394</v>
      </c>
      <c r="F53" s="21">
        <f t="shared" si="3"/>
        <v>2.4700000000000002</v>
      </c>
    </row>
    <row r="54" spans="1:6" x14ac:dyDescent="0.2">
      <c r="A54" s="19">
        <v>19</v>
      </c>
      <c r="B54" s="143" t="s">
        <v>17</v>
      </c>
      <c r="C54" s="144"/>
      <c r="D54" s="14">
        <f>IF(F3="1",SUMIF(Data!A:A,'22'!$A$2,Data!DM:DM),0)</f>
        <v>109072</v>
      </c>
      <c r="E54" s="17">
        <f>IF($F$3="1",SUMIF(Data!$A:$A,$A$2,Data!JG:JG),0)</f>
        <v>7803</v>
      </c>
      <c r="F54" s="21">
        <f t="shared" si="3"/>
        <v>7.0000000000000007E-2</v>
      </c>
    </row>
    <row r="55" spans="1:6" x14ac:dyDescent="0.2">
      <c r="A55" s="19">
        <v>20</v>
      </c>
      <c r="B55" s="143" t="s">
        <v>18</v>
      </c>
      <c r="C55" s="144"/>
      <c r="D55" s="14">
        <f>IF(F3="1",SUMIF(Data!A:A,'22'!$A$2,Data!DN:DN),0)</f>
        <v>9256</v>
      </c>
      <c r="E55" s="17">
        <f>IF($F$3="1",SUMIF(Data!$A:$A,$A$2,Data!JH:JH),0)</f>
        <v>0</v>
      </c>
      <c r="F55" s="21" t="str">
        <f t="shared" si="3"/>
        <v/>
      </c>
    </row>
    <row r="56" spans="1:6" ht="14.25" customHeight="1" x14ac:dyDescent="0.2">
      <c r="A56" s="19">
        <v>21</v>
      </c>
      <c r="B56" s="143" t="s">
        <v>461</v>
      </c>
      <c r="C56" s="144"/>
      <c r="D56" s="14">
        <f>IF(F3="1",SUMIF(Data!A:A,'22'!$A$2,Data!DO:DO),0)</f>
        <v>9659</v>
      </c>
      <c r="E56" s="17">
        <f>IF($F$3="1",SUMIF(Data!$A:$A,$A$2,Data!JI:JI),0)</f>
        <v>0</v>
      </c>
      <c r="F56" s="21" t="str">
        <f t="shared" si="3"/>
        <v/>
      </c>
    </row>
    <row r="57" spans="1:6" x14ac:dyDescent="0.2">
      <c r="A57" s="19">
        <v>22</v>
      </c>
      <c r="B57" s="143" t="s">
        <v>19</v>
      </c>
      <c r="C57" s="144"/>
      <c r="D57" s="14">
        <f>IF(F3="1",SUMIF(Data!A:A,'22'!$A$2,Data!DP:DP),0)</f>
        <v>13849</v>
      </c>
      <c r="E57" s="17">
        <f>IF($F$3="1",SUMIF(Data!$A:$A,$A$2,Data!JJ:JJ),0)</f>
        <v>4812</v>
      </c>
      <c r="F57" s="21">
        <f t="shared" si="3"/>
        <v>0.35</v>
      </c>
    </row>
    <row r="58" spans="1:6" x14ac:dyDescent="0.2">
      <c r="A58" s="19">
        <v>23</v>
      </c>
      <c r="B58" s="143" t="s">
        <v>20</v>
      </c>
      <c r="C58" s="144"/>
      <c r="D58" s="14">
        <f>IF(F3="1",SUMIF(Data!A:A,'22'!$A$2,Data!DQ:DQ),0)</f>
        <v>1872</v>
      </c>
      <c r="E58" s="17">
        <f>IF($F$3="1",SUMIF(Data!$A:$A,$A$2,Data!JK:JK),0)</f>
        <v>0</v>
      </c>
      <c r="F58" s="21" t="str">
        <f t="shared" si="3"/>
        <v/>
      </c>
    </row>
    <row r="59" spans="1:6" x14ac:dyDescent="0.2">
      <c r="A59" s="19">
        <v>24</v>
      </c>
      <c r="B59" s="143" t="s">
        <v>21</v>
      </c>
      <c r="C59" s="144"/>
      <c r="D59" s="14">
        <f>IF(F3="1",SUMIF(Data!A:A,'22'!$A$2,Data!DR:DR),0)</f>
        <v>70481</v>
      </c>
      <c r="E59" s="17">
        <f>IF($F$3="1",SUMIF(Data!$A:$A,$A$2,Data!JL:JL),0)</f>
        <v>14207</v>
      </c>
      <c r="F59" s="21">
        <f t="shared" si="3"/>
        <v>0.2</v>
      </c>
    </row>
    <row r="60" spans="1:6" x14ac:dyDescent="0.2">
      <c r="A60" s="19">
        <v>25</v>
      </c>
      <c r="B60" s="143" t="s">
        <v>22</v>
      </c>
      <c r="C60" s="144"/>
      <c r="D60" s="14">
        <f>IF(F3="1",SUMIF(Data!A:A,'22'!$A$2,Data!DS:DS),0)</f>
        <v>123504</v>
      </c>
      <c r="E60" s="17">
        <f>IF($F$3="1",SUMIF(Data!$A:$A,$A$2,Data!JM:JM),0)</f>
        <v>8635</v>
      </c>
      <c r="F60" s="21">
        <f t="shared" si="3"/>
        <v>7.0000000000000007E-2</v>
      </c>
    </row>
    <row r="61" spans="1:6" x14ac:dyDescent="0.2">
      <c r="A61" s="19">
        <v>26</v>
      </c>
      <c r="B61" s="143" t="s">
        <v>23</v>
      </c>
      <c r="C61" s="144"/>
      <c r="D61" s="14">
        <f>IF(F3="1",SUMIF(Data!A:A,'22'!$A$2,Data!DT:DT),0)</f>
        <v>23184</v>
      </c>
      <c r="E61" s="17">
        <f>IF($F$3="1",SUMIF(Data!$A:$A,$A$2,Data!JN:JN),0)</f>
        <v>38806</v>
      </c>
      <c r="F61" s="21">
        <f t="shared" si="3"/>
        <v>1.67</v>
      </c>
    </row>
    <row r="62" spans="1:6" x14ac:dyDescent="0.2">
      <c r="A62" s="19">
        <v>28</v>
      </c>
      <c r="B62" s="143" t="s">
        <v>24</v>
      </c>
      <c r="C62" s="144"/>
      <c r="D62" s="14">
        <f>IF(F3="1",SUMIF(Data!A:A,'22'!$A$2,Data!DV:DV),0)</f>
        <v>0</v>
      </c>
      <c r="E62" s="17">
        <f>IF($F$3="1",SUMIF(Data!$A:$A,$A$2,Data!JP:JP),0)</f>
        <v>0</v>
      </c>
      <c r="F62" s="21" t="str">
        <f t="shared" si="3"/>
        <v/>
      </c>
    </row>
    <row r="63" spans="1:6" ht="15.75" customHeight="1" thickBot="1" x14ac:dyDescent="0.25">
      <c r="A63" s="22">
        <v>29</v>
      </c>
      <c r="B63" s="147" t="s">
        <v>25</v>
      </c>
      <c r="C63" s="148"/>
      <c r="D63" s="23">
        <f>IF(F3="1",SUMIF(Data!A:A,'22'!$A$2,Data!DW:DW),0)</f>
        <v>0</v>
      </c>
      <c r="E63" s="24">
        <f>IF($F$3="1",SUMIF(Data!$A:$A,$A$2,Data!JQ:JQ),0)</f>
        <v>0</v>
      </c>
      <c r="F63" s="25" t="str">
        <f t="shared" si="3"/>
        <v/>
      </c>
    </row>
    <row r="64" spans="1:6" x14ac:dyDescent="0.2">
      <c r="B64" s="30" t="s">
        <v>35</v>
      </c>
      <c r="C64" s="30"/>
      <c r="D64" s="59">
        <f>SUM(D36:D63)</f>
        <v>1745692</v>
      </c>
      <c r="E64" s="31">
        <f>SUM(E36:E63)</f>
        <v>1159630</v>
      </c>
      <c r="F64" s="32">
        <f t="shared" si="3"/>
        <v>0.66</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63769</v>
      </c>
      <c r="E67" s="15">
        <f>IF(F3="1",SUMIF(Data!A:A,'22'!$A$2,Data!DY:DY),0)</f>
        <v>154984</v>
      </c>
      <c r="F67" s="20">
        <f t="shared" ref="F67:F95" si="4">IF(OR(D67=0,E67=0),"",ROUND(E67/D67,2))</f>
        <v>2.4300000000000002</v>
      </c>
    </row>
    <row r="68" spans="1:6" x14ac:dyDescent="0.2">
      <c r="A68" s="19">
        <v>2</v>
      </c>
      <c r="B68" s="143" t="s">
        <v>1</v>
      </c>
      <c r="C68" s="144"/>
      <c r="D68" s="14">
        <f t="shared" ref="D68:D94" si="5">D37</f>
        <v>25988</v>
      </c>
      <c r="E68" s="17">
        <f>IF(F3="1",SUMIF(Data!A:A,'22'!$A$2,Data!DZ:DZ),0)</f>
        <v>69897</v>
      </c>
      <c r="F68" s="21">
        <f t="shared" si="4"/>
        <v>2.69</v>
      </c>
    </row>
    <row r="69" spans="1:6" ht="14.25" customHeight="1" x14ac:dyDescent="0.2">
      <c r="A69" s="19">
        <v>3</v>
      </c>
      <c r="B69" s="143" t="s">
        <v>2</v>
      </c>
      <c r="C69" s="144"/>
      <c r="D69" s="14">
        <f t="shared" si="5"/>
        <v>98062</v>
      </c>
      <c r="E69" s="17">
        <f>IF(F3="1",SUMIF(Data!A:A,'22'!$A$2,Data!EA:EA),0)</f>
        <v>255221</v>
      </c>
      <c r="F69" s="21">
        <f t="shared" si="4"/>
        <v>2.6</v>
      </c>
    </row>
    <row r="70" spans="1:6" ht="14.25" customHeight="1" x14ac:dyDescent="0.2">
      <c r="A70" s="19">
        <v>4</v>
      </c>
      <c r="B70" s="143" t="s">
        <v>3</v>
      </c>
      <c r="C70" s="144"/>
      <c r="D70" s="14">
        <f t="shared" si="5"/>
        <v>272892</v>
      </c>
      <c r="E70" s="17">
        <f>IF(F3="1",SUMIF(Data!A:A,'22'!$A$2,Data!EB:EB),0)</f>
        <v>312443</v>
      </c>
      <c r="F70" s="21">
        <f t="shared" si="4"/>
        <v>1.1399999999999999</v>
      </c>
    </row>
    <row r="71" spans="1:6" x14ac:dyDescent="0.2">
      <c r="A71" s="19">
        <v>5</v>
      </c>
      <c r="B71" s="143" t="s">
        <v>4</v>
      </c>
      <c r="C71" s="144"/>
      <c r="D71" s="14">
        <f t="shared" si="5"/>
        <v>3744</v>
      </c>
      <c r="E71" s="17">
        <f>IF(F3="1",SUMIF(Data!A:A,'22'!$A$2,Data!EC:EC),0)</f>
        <v>5261</v>
      </c>
      <c r="F71" s="21">
        <f t="shared" si="4"/>
        <v>1.41</v>
      </c>
    </row>
    <row r="72" spans="1:6" x14ac:dyDescent="0.2">
      <c r="A72" s="19">
        <v>6</v>
      </c>
      <c r="B72" s="143" t="s">
        <v>5</v>
      </c>
      <c r="C72" s="144"/>
      <c r="D72" s="14">
        <f t="shared" si="5"/>
        <v>1552</v>
      </c>
      <c r="E72" s="17">
        <f>IF(F3="1",SUMIF(Data!A:A,'22'!$A$2,Data!ED:ED),0)</f>
        <v>3156</v>
      </c>
      <c r="F72" s="21">
        <f t="shared" si="4"/>
        <v>2.0299999999999998</v>
      </c>
    </row>
    <row r="73" spans="1:6" x14ac:dyDescent="0.2">
      <c r="A73" s="19">
        <v>7</v>
      </c>
      <c r="B73" s="143" t="s">
        <v>6</v>
      </c>
      <c r="C73" s="144"/>
      <c r="D73" s="14">
        <f t="shared" si="5"/>
        <v>124779</v>
      </c>
      <c r="E73" s="17">
        <f>IF(F3="1",SUMIF(Data!A:A,'22'!$A$2,Data!EE:EE),0)</f>
        <v>381082</v>
      </c>
      <c r="F73" s="21">
        <f t="shared" si="4"/>
        <v>3.05</v>
      </c>
    </row>
    <row r="74" spans="1:6" x14ac:dyDescent="0.2">
      <c r="A74" s="19">
        <v>8</v>
      </c>
      <c r="B74" s="143" t="s">
        <v>7</v>
      </c>
      <c r="C74" s="144"/>
      <c r="D74" s="14">
        <f t="shared" si="5"/>
        <v>188583</v>
      </c>
      <c r="E74" s="17">
        <f>IF(F3="1",SUMIF(Data!A:A,'22'!$A$2,Data!EF:EF),0)</f>
        <v>251051</v>
      </c>
      <c r="F74" s="21">
        <f t="shared" si="4"/>
        <v>1.33</v>
      </c>
    </row>
    <row r="75" spans="1:6" x14ac:dyDescent="0.2">
      <c r="A75" s="19">
        <v>9</v>
      </c>
      <c r="B75" s="143" t="s">
        <v>8</v>
      </c>
      <c r="C75" s="144"/>
      <c r="D75" s="14">
        <f t="shared" si="5"/>
        <v>96145</v>
      </c>
      <c r="E75" s="17">
        <f>IF(F3="1",SUMIF(Data!A:A,'22'!$A$2,Data!EG:EG),0)</f>
        <v>123235</v>
      </c>
      <c r="F75" s="21">
        <f t="shared" si="4"/>
        <v>1.28</v>
      </c>
    </row>
    <row r="76" spans="1:6" x14ac:dyDescent="0.2">
      <c r="A76" s="19">
        <v>10</v>
      </c>
      <c r="B76" s="143" t="s">
        <v>9</v>
      </c>
      <c r="C76" s="144"/>
      <c r="D76" s="14">
        <f t="shared" si="5"/>
        <v>0</v>
      </c>
      <c r="E76" s="17">
        <f>IF(F3="1",SUMIF(Data!A:A,'22'!$A$2,Data!EH:EH),0)</f>
        <v>0</v>
      </c>
      <c r="F76" s="21" t="str">
        <f t="shared" si="4"/>
        <v/>
      </c>
    </row>
    <row r="77" spans="1:6" x14ac:dyDescent="0.2">
      <c r="A77" s="19">
        <v>11</v>
      </c>
      <c r="B77" s="143" t="s">
        <v>10</v>
      </c>
      <c r="C77" s="144"/>
      <c r="D77" s="14">
        <f t="shared" si="5"/>
        <v>32137</v>
      </c>
      <c r="E77" s="17">
        <f>IF(F3="1",SUMIF(Data!A:A,'22'!$A$2,Data!EI:EI),0)</f>
        <v>136568</v>
      </c>
      <c r="F77" s="21">
        <f t="shared" si="4"/>
        <v>4.25</v>
      </c>
    </row>
    <row r="78" spans="1:6" ht="14.25" customHeight="1" x14ac:dyDescent="0.2">
      <c r="A78" s="19">
        <v>12</v>
      </c>
      <c r="B78" s="143" t="s">
        <v>11</v>
      </c>
      <c r="C78" s="144"/>
      <c r="D78" s="14">
        <f t="shared" si="5"/>
        <v>253154</v>
      </c>
      <c r="E78" s="17">
        <f>IF(F3="1",SUMIF(Data!A:A,'22'!$A$2,Data!EJ:EJ),0)</f>
        <v>462766</v>
      </c>
      <c r="F78" s="21">
        <f t="shared" si="4"/>
        <v>1.83</v>
      </c>
    </row>
    <row r="79" spans="1:6" x14ac:dyDescent="0.2">
      <c r="A79" s="19">
        <v>13</v>
      </c>
      <c r="B79" s="143" t="s">
        <v>12</v>
      </c>
      <c r="C79" s="144"/>
      <c r="D79" s="14">
        <f t="shared" si="5"/>
        <v>22494</v>
      </c>
      <c r="E79" s="17">
        <f>IF(F3="1",SUMIF(Data!A:A,'22'!$A$2,Data!EK:EK),0)</f>
        <v>9573</v>
      </c>
      <c r="F79" s="21">
        <f t="shared" si="4"/>
        <v>0.43</v>
      </c>
    </row>
    <row r="80" spans="1:6" ht="14.25" customHeight="1" x14ac:dyDescent="0.2">
      <c r="A80" s="19">
        <v>14</v>
      </c>
      <c r="B80" s="143" t="s">
        <v>464</v>
      </c>
      <c r="C80" s="144"/>
      <c r="D80" s="14">
        <f t="shared" si="5"/>
        <v>80804</v>
      </c>
      <c r="E80" s="17">
        <f>IF(F3="1",SUMIF(Data!A:A,'22'!$A$2,Data!EL:EL),0)</f>
        <v>217381</v>
      </c>
      <c r="F80" s="21">
        <f t="shared" si="4"/>
        <v>2.69</v>
      </c>
    </row>
    <row r="81" spans="1:6" x14ac:dyDescent="0.2">
      <c r="A81" s="19">
        <v>15</v>
      </c>
      <c r="B81" s="143" t="s">
        <v>13</v>
      </c>
      <c r="C81" s="144"/>
      <c r="D81" s="14">
        <f t="shared" si="5"/>
        <v>19392</v>
      </c>
      <c r="E81" s="17">
        <f>IF(F3="1",SUMIF(Data!A:A,'22'!$A$2,Data!EM:EM),0)</f>
        <v>121157</v>
      </c>
      <c r="F81" s="21">
        <f t="shared" si="4"/>
        <v>6.25</v>
      </c>
    </row>
    <row r="82" spans="1:6" x14ac:dyDescent="0.2">
      <c r="A82" s="19">
        <v>16</v>
      </c>
      <c r="B82" s="143" t="s">
        <v>14</v>
      </c>
      <c r="C82" s="144"/>
      <c r="D82" s="14">
        <f t="shared" si="5"/>
        <v>50416</v>
      </c>
      <c r="E82" s="17">
        <f>IF(F3="1",SUMIF(Data!A:A,'22'!$A$2,Data!EN:EN),0)</f>
        <v>100794</v>
      </c>
      <c r="F82" s="21">
        <f t="shared" si="4"/>
        <v>2</v>
      </c>
    </row>
    <row r="83" spans="1:6" x14ac:dyDescent="0.2">
      <c r="A83" s="19">
        <v>17</v>
      </c>
      <c r="B83" s="143" t="s">
        <v>15</v>
      </c>
      <c r="C83" s="144"/>
      <c r="D83" s="14">
        <f t="shared" si="5"/>
        <v>23264</v>
      </c>
      <c r="E83" s="17">
        <f>IF(F3="1",SUMIF(Data!A:A,'22'!$A$2,Data!EO:EO),0)</f>
        <v>99653</v>
      </c>
      <c r="F83" s="21">
        <f t="shared" si="4"/>
        <v>4.28</v>
      </c>
    </row>
    <row r="84" spans="1:6" x14ac:dyDescent="0.2">
      <c r="A84" s="19">
        <v>18</v>
      </c>
      <c r="B84" s="143" t="s">
        <v>16</v>
      </c>
      <c r="C84" s="144"/>
      <c r="D84" s="14">
        <f t="shared" si="5"/>
        <v>27640</v>
      </c>
      <c r="E84" s="17">
        <f>IF(F3="1",SUMIF(Data!A:A,'22'!$A$2,Data!EP:EP),0)</f>
        <v>207852</v>
      </c>
      <c r="F84" s="21">
        <f t="shared" si="4"/>
        <v>7.52</v>
      </c>
    </row>
    <row r="85" spans="1:6" x14ac:dyDescent="0.2">
      <c r="A85" s="19">
        <v>19</v>
      </c>
      <c r="B85" s="143" t="s">
        <v>17</v>
      </c>
      <c r="C85" s="144"/>
      <c r="D85" s="14">
        <f t="shared" si="5"/>
        <v>109072</v>
      </c>
      <c r="E85" s="17">
        <f>IF(F3="1",SUMIF(Data!A:A,'22'!$A$2,Data!EQ:EQ),0)</f>
        <v>260252</v>
      </c>
      <c r="F85" s="21">
        <f t="shared" si="4"/>
        <v>2.39</v>
      </c>
    </row>
    <row r="86" spans="1:6" x14ac:dyDescent="0.2">
      <c r="A86" s="19">
        <v>20</v>
      </c>
      <c r="B86" s="143" t="s">
        <v>18</v>
      </c>
      <c r="C86" s="144"/>
      <c r="D86" s="14">
        <f t="shared" si="5"/>
        <v>9256</v>
      </c>
      <c r="E86" s="17">
        <f>IF(F3="1",SUMIF(Data!A:A,'22'!$A$2,Data!ER:ER),0)</f>
        <v>3687</v>
      </c>
      <c r="F86" s="21">
        <f t="shared" si="4"/>
        <v>0.4</v>
      </c>
    </row>
    <row r="87" spans="1:6" ht="14.25" customHeight="1" x14ac:dyDescent="0.2">
      <c r="A87" s="19">
        <v>21</v>
      </c>
      <c r="B87" s="143" t="s">
        <v>461</v>
      </c>
      <c r="C87" s="144"/>
      <c r="D87" s="14">
        <f t="shared" si="5"/>
        <v>9659</v>
      </c>
      <c r="E87" s="17">
        <f>IF(F3="1",SUMIF(Data!A:A,'22'!$A$2,Data!ES:ES),0)</f>
        <v>8849</v>
      </c>
      <c r="F87" s="21">
        <f t="shared" si="4"/>
        <v>0.92</v>
      </c>
    </row>
    <row r="88" spans="1:6" x14ac:dyDescent="0.2">
      <c r="A88" s="19">
        <v>22</v>
      </c>
      <c r="B88" s="143" t="s">
        <v>19</v>
      </c>
      <c r="C88" s="144"/>
      <c r="D88" s="14">
        <f t="shared" si="5"/>
        <v>13849</v>
      </c>
      <c r="E88" s="17">
        <f>IF(F3="1",SUMIF(Data!A:A,'22'!$A$2,Data!ET:ET),0)</f>
        <v>24336</v>
      </c>
      <c r="F88" s="21">
        <f t="shared" si="4"/>
        <v>1.76</v>
      </c>
    </row>
    <row r="89" spans="1:6" x14ac:dyDescent="0.2">
      <c r="A89" s="19">
        <v>23</v>
      </c>
      <c r="B89" s="143" t="s">
        <v>20</v>
      </c>
      <c r="C89" s="144"/>
      <c r="D89" s="14">
        <f t="shared" si="5"/>
        <v>1872</v>
      </c>
      <c r="E89" s="17">
        <f>IF(F3="1",SUMIF(Data!A:A,'22'!$A$2,Data!EU:EU),0)</f>
        <v>14773</v>
      </c>
      <c r="F89" s="21">
        <f t="shared" si="4"/>
        <v>7.89</v>
      </c>
    </row>
    <row r="90" spans="1:6" x14ac:dyDescent="0.2">
      <c r="A90" s="19">
        <v>24</v>
      </c>
      <c r="B90" s="143" t="s">
        <v>21</v>
      </c>
      <c r="C90" s="144"/>
      <c r="D90" s="14">
        <f t="shared" si="5"/>
        <v>70481</v>
      </c>
      <c r="E90" s="17">
        <f>IF(F3="1",SUMIF(Data!A:A,'22'!$A$2,Data!EV:EV),0)</f>
        <v>52355</v>
      </c>
      <c r="F90" s="21">
        <f t="shared" si="4"/>
        <v>0.74</v>
      </c>
    </row>
    <row r="91" spans="1:6" x14ac:dyDescent="0.2">
      <c r="A91" s="19">
        <v>25</v>
      </c>
      <c r="B91" s="143" t="s">
        <v>22</v>
      </c>
      <c r="C91" s="144"/>
      <c r="D91" s="14">
        <f t="shared" si="5"/>
        <v>123504</v>
      </c>
      <c r="E91" s="17">
        <f>IF(F3="1",SUMIF(Data!A:A,'22'!$A$2,Data!EW:EW),0)</f>
        <v>359219</v>
      </c>
      <c r="F91" s="21">
        <f t="shared" si="4"/>
        <v>2.91</v>
      </c>
    </row>
    <row r="92" spans="1:6" x14ac:dyDescent="0.2">
      <c r="A92" s="19">
        <v>26</v>
      </c>
      <c r="B92" s="143" t="s">
        <v>23</v>
      </c>
      <c r="C92" s="144"/>
      <c r="D92" s="14">
        <f t="shared" si="5"/>
        <v>23184</v>
      </c>
      <c r="E92" s="17">
        <f>IF(F3="1",SUMIF(Data!A:A,'22'!$A$2,Data!EX:EX),0)</f>
        <v>101365</v>
      </c>
      <c r="F92" s="21">
        <f t="shared" si="4"/>
        <v>4.37</v>
      </c>
    </row>
    <row r="93" spans="1:6" x14ac:dyDescent="0.2">
      <c r="A93" s="19">
        <v>28</v>
      </c>
      <c r="B93" s="143" t="s">
        <v>24</v>
      </c>
      <c r="C93" s="144"/>
      <c r="D93" s="14">
        <f t="shared" si="5"/>
        <v>0</v>
      </c>
      <c r="E93" s="17">
        <f>IF(F3="1",SUMIF(Data!A:A,'22'!$A$2,Data!EZ:EZ),0)</f>
        <v>0</v>
      </c>
      <c r="F93" s="21" t="str">
        <f t="shared" si="4"/>
        <v/>
      </c>
    </row>
    <row r="94" spans="1:6" ht="15.75" customHeight="1" thickBot="1" x14ac:dyDescent="0.25">
      <c r="A94" s="22">
        <v>29</v>
      </c>
      <c r="B94" s="147" t="s">
        <v>25</v>
      </c>
      <c r="C94" s="148"/>
      <c r="D94" s="23">
        <f t="shared" si="5"/>
        <v>0</v>
      </c>
      <c r="E94" s="24">
        <f>IF(F3="1",SUMIF(Data!A:A,'22'!$A$2,Data!FA:FA),0)</f>
        <v>0</v>
      </c>
      <c r="F94" s="25" t="str">
        <f t="shared" si="4"/>
        <v/>
      </c>
    </row>
    <row r="95" spans="1:6" x14ac:dyDescent="0.2">
      <c r="B95" s="30" t="s">
        <v>35</v>
      </c>
      <c r="C95" s="30"/>
      <c r="D95" s="59">
        <f>SUM(D67:D94)</f>
        <v>1745692</v>
      </c>
      <c r="E95" s="31">
        <f>SUM(E67:E94)</f>
        <v>3736910</v>
      </c>
      <c r="F95" s="32">
        <f t="shared" si="4"/>
        <v>2.14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IF(F3="1",SUMIF(Data!A:A,'22'!$A$2,Data!AH:AH),0)</f>
        <v>1296325</v>
      </c>
      <c r="F98" s="20">
        <f>IF(OR(E98=0,E98=0),"",ROUND(E98/$D$105,2))</f>
        <v>0.74</v>
      </c>
    </row>
    <row r="99" spans="2:6" x14ac:dyDescent="0.2">
      <c r="B99" s="153" t="s">
        <v>31</v>
      </c>
      <c r="C99" s="154"/>
      <c r="D99" s="36"/>
      <c r="E99" s="17">
        <f>IF(F3="1",SUMIF(Data!A:A,'22'!$A$2,Data!AI:AI),0)</f>
        <v>712355</v>
      </c>
      <c r="F99" s="21">
        <f t="shared" ref="F99:F104" si="6">IF(OR(E99=0,E99=0),"",ROUND(E99/$D$105,2))</f>
        <v>0.41</v>
      </c>
    </row>
    <row r="100" spans="2:6" x14ac:dyDescent="0.2">
      <c r="B100" s="153" t="s">
        <v>1078</v>
      </c>
      <c r="C100" s="154"/>
      <c r="D100" s="36"/>
      <c r="E100" s="17">
        <f>IF(F3="1",SUMIF(Data!A:A,'22'!$A$2,Data!AJ:AJ),0)</f>
        <v>184580</v>
      </c>
      <c r="F100" s="21">
        <f t="shared" si="6"/>
        <v>0.11</v>
      </c>
    </row>
    <row r="101" spans="2:6" x14ac:dyDescent="0.2">
      <c r="B101" s="153" t="s">
        <v>1079</v>
      </c>
      <c r="C101" s="154"/>
      <c r="D101" s="36"/>
      <c r="E101" s="17">
        <f>IF(F3="1",SUMIF(Data!A:A,'22'!$A$2,Data!AK:AK),0)</f>
        <v>485961</v>
      </c>
      <c r="F101" s="21">
        <f t="shared" si="6"/>
        <v>0.28000000000000003</v>
      </c>
    </row>
    <row r="102" spans="2:6" x14ac:dyDescent="0.2">
      <c r="B102" s="153" t="s">
        <v>1080</v>
      </c>
      <c r="C102" s="154"/>
      <c r="D102" s="36"/>
      <c r="E102" s="17">
        <f>IF(F3="1",SUMIF(Data!A:A,'22'!$A$2,Data!AL:AL),0)</f>
        <v>0</v>
      </c>
      <c r="F102" s="21" t="str">
        <f t="shared" si="6"/>
        <v/>
      </c>
    </row>
    <row r="103" spans="2:6" x14ac:dyDescent="0.2">
      <c r="B103" s="155" t="s">
        <v>34</v>
      </c>
      <c r="C103" s="156"/>
      <c r="D103" s="36"/>
      <c r="E103" s="17">
        <f>IF(F3="1",SUMIF(Data!A:A,'22'!$A$2,Data!AM:AM),0)</f>
        <v>0</v>
      </c>
      <c r="F103" s="21" t="str">
        <f t="shared" si="6"/>
        <v/>
      </c>
    </row>
    <row r="104" spans="2:6" ht="15.75" customHeight="1" thickBot="1" x14ac:dyDescent="0.25">
      <c r="B104" s="149" t="s">
        <v>29</v>
      </c>
      <c r="C104" s="150"/>
      <c r="D104" s="37"/>
      <c r="E104" s="24">
        <f>IF(F3="1",SUMIF(Data!A:A,'22'!$A$2,Data!Q:Q),0)</f>
        <v>550206</v>
      </c>
      <c r="F104" s="25">
        <f t="shared" si="6"/>
        <v>0.32</v>
      </c>
    </row>
    <row r="105" spans="2:6" x14ac:dyDescent="0.2">
      <c r="B105" s="30" t="s">
        <v>35</v>
      </c>
      <c r="C105" s="30"/>
      <c r="D105" s="34">
        <f>D95</f>
        <v>1745692</v>
      </c>
      <c r="E105" s="31">
        <f>SUM(E98:E104)</f>
        <v>3229427</v>
      </c>
      <c r="F105" s="32">
        <f>IF($D$105=0,"",ROUND(E105/$D$105,2))</f>
        <v>1.85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3736910</v>
      </c>
      <c r="D109" s="15">
        <f>IF(F3="1",SUMIF(Data!$A:$A,$A$2,Data!HJ:HJ),0)</f>
        <v>0</v>
      </c>
      <c r="E109" s="15">
        <f>IF(F3="1",SUMIF(Data!$A:$A,$A$2,Data!IN:IN),0)</f>
        <v>0</v>
      </c>
      <c r="F109" s="47">
        <f>SUM(C109:E109)</f>
        <v>3736910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550206</v>
      </c>
      <c r="E117" s="52"/>
      <c r="F117" s="49">
        <f>SUM(C117:E117)</f>
        <v>550206</v>
      </c>
    </row>
    <row r="118" spans="1:6" x14ac:dyDescent="0.2">
      <c r="B118" s="13" t="s">
        <v>35</v>
      </c>
      <c r="C118" s="4">
        <f>SUM(C109:C116)</f>
        <v>3736910</v>
      </c>
      <c r="D118" s="4">
        <f>SUM(D109:D116)</f>
        <v>0</v>
      </c>
      <c r="E118" s="4">
        <f>SUM(E109:E116)</f>
        <v>0</v>
      </c>
      <c r="F118" s="4">
        <f>SUM(F109:F116)</f>
        <v>3736910</v>
      </c>
    </row>
    <row r="119" spans="1:6" ht="15" thickBot="1" x14ac:dyDescent="0.25"/>
    <row r="120" spans="1:6" ht="15" thickBot="1" x14ac:dyDescent="0.25">
      <c r="B120" s="55" t="s">
        <v>934</v>
      </c>
      <c r="C120" s="53"/>
      <c r="D120" s="53"/>
      <c r="E120" s="53">
        <f>IF(F3="1",SUMIF(Data!A:A,'22'!$A$2,Data!AM:AM),0)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376</v>
      </c>
      <c r="B2" s="58" t="str">
        <f>VLOOKUP(A2,Data!A:G,7,0)</f>
        <v>Kilgore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0</v>
      </c>
      <c r="E7" s="17">
        <f t="shared" si="1"/>
        <v>0</v>
      </c>
      <c r="F7" s="21" t="str">
        <f t="shared" si="2"/>
        <v/>
      </c>
    </row>
    <row r="8" spans="1:6" ht="14.25" customHeight="1" x14ac:dyDescent="0.2">
      <c r="A8" s="19">
        <v>4</v>
      </c>
      <c r="B8" s="143" t="s">
        <v>3</v>
      </c>
      <c r="C8" s="144"/>
      <c r="D8" s="14">
        <f t="shared" si="0"/>
        <v>0</v>
      </c>
      <c r="E8" s="17">
        <f t="shared" si="1"/>
        <v>0</v>
      </c>
      <c r="F8" s="21" t="str">
        <f t="shared" si="2"/>
        <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0</v>
      </c>
      <c r="E11" s="17">
        <f t="shared" si="1"/>
        <v>0</v>
      </c>
      <c r="F11" s="21" t="str">
        <f t="shared" si="2"/>
        <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0</v>
      </c>
      <c r="E13" s="17">
        <f t="shared" si="1"/>
        <v>0</v>
      </c>
      <c r="F13" s="21" t="str">
        <f t="shared" si="2"/>
        <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0</v>
      </c>
      <c r="E16" s="17">
        <f t="shared" si="1"/>
        <v>0</v>
      </c>
      <c r="F16" s="21" t="str">
        <f t="shared" si="2"/>
        <v/>
      </c>
    </row>
    <row r="17" spans="1:6" x14ac:dyDescent="0.2">
      <c r="A17" s="19">
        <v>13</v>
      </c>
      <c r="B17" s="143" t="s">
        <v>12</v>
      </c>
      <c r="C17" s="144"/>
      <c r="D17" s="14">
        <f t="shared" si="0"/>
        <v>0</v>
      </c>
      <c r="E17" s="17">
        <f t="shared" si="1"/>
        <v>0</v>
      </c>
      <c r="F17" s="21" t="str">
        <f t="shared" si="2"/>
        <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0</v>
      </c>
      <c r="E20" s="17">
        <f t="shared" si="1"/>
        <v>0</v>
      </c>
      <c r="F20" s="21" t="str">
        <f t="shared" si="2"/>
        <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0</v>
      </c>
      <c r="E23" s="17">
        <f t="shared" si="1"/>
        <v>0</v>
      </c>
      <c r="F23" s="21" t="str">
        <f t="shared" si="2"/>
        <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0</v>
      </c>
      <c r="E27" s="17">
        <f t="shared" si="1"/>
        <v>0</v>
      </c>
      <c r="F27" s="21" t="str">
        <f t="shared" si="2"/>
        <v/>
      </c>
    </row>
    <row r="28" spans="1:6" x14ac:dyDescent="0.2">
      <c r="A28" s="19">
        <v>24</v>
      </c>
      <c r="B28" s="143" t="s">
        <v>21</v>
      </c>
      <c r="C28" s="144"/>
      <c r="D28" s="14">
        <f t="shared" si="0"/>
        <v>0</v>
      </c>
      <c r="E28" s="17">
        <f t="shared" si="1"/>
        <v>0</v>
      </c>
      <c r="F28" s="21" t="str">
        <f t="shared" si="2"/>
        <v/>
      </c>
    </row>
    <row r="29" spans="1:6" x14ac:dyDescent="0.2">
      <c r="A29" s="19">
        <v>25</v>
      </c>
      <c r="B29" s="143" t="s">
        <v>22</v>
      </c>
      <c r="C29" s="144"/>
      <c r="D29" s="14">
        <f t="shared" si="0"/>
        <v>0</v>
      </c>
      <c r="E29" s="17">
        <f t="shared" si="1"/>
        <v>0</v>
      </c>
      <c r="F29" s="21" t="str">
        <f t="shared" si="2"/>
        <v/>
      </c>
    </row>
    <row r="30" spans="1:6" x14ac:dyDescent="0.2">
      <c r="A30" s="19">
        <v>26</v>
      </c>
      <c r="B30" s="143" t="s">
        <v>23</v>
      </c>
      <c r="C30" s="144"/>
      <c r="D30" s="14">
        <f t="shared" si="0"/>
        <v>0</v>
      </c>
      <c r="E30" s="17">
        <f t="shared" si="1"/>
        <v>0</v>
      </c>
      <c r="F30" s="21" t="str">
        <f t="shared" si="2"/>
        <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0</v>
      </c>
      <c r="E33" s="31">
        <f>SUM(E5:E32)</f>
        <v>0</v>
      </c>
      <c r="F33" s="32" t="str">
        <f t="shared" si="2"/>
        <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IF(F3="1",SUMIF(Data!A:A,'23'!$A$2,Data!CU:CU),0)</f>
        <v>0</v>
      </c>
      <c r="E36" s="15">
        <f>IF(F3="1",SUMIF(Data!$A:$A,$A$2,Data!IO:IO),0)</f>
        <v>0</v>
      </c>
      <c r="F36" s="20" t="str">
        <f t="shared" ref="F36:F64" si="3">IF(OR(D36=0,E36=0),"",ROUND(E36/D36,2))</f>
        <v/>
      </c>
    </row>
    <row r="37" spans="1:6" x14ac:dyDescent="0.2">
      <c r="A37" s="19">
        <v>2</v>
      </c>
      <c r="B37" s="143" t="s">
        <v>1</v>
      </c>
      <c r="C37" s="144"/>
      <c r="D37" s="14">
        <f>IF(F3="1",SUMIF(Data!A:A,'23'!$A$2,Data!CV:CV),0)</f>
        <v>0</v>
      </c>
      <c r="E37" s="17">
        <f>IF(F3="1",SUMIF(Data!$A:$A,$A$2,Data!IP:IP),0)</f>
        <v>0</v>
      </c>
      <c r="F37" s="21" t="str">
        <f t="shared" si="3"/>
        <v/>
      </c>
    </row>
    <row r="38" spans="1:6" ht="14.25" customHeight="1" x14ac:dyDescent="0.2">
      <c r="A38" s="19">
        <v>3</v>
      </c>
      <c r="B38" s="143" t="s">
        <v>2</v>
      </c>
      <c r="C38" s="144"/>
      <c r="D38" s="14">
        <f>IF(F3="1",SUMIF(Data!A:A,'23'!$A$2,Data!CW:CW),0)</f>
        <v>0</v>
      </c>
      <c r="E38" s="17">
        <f>IF($F$3="1",SUMIF(Data!$A:$A,$A$2,Data!IQ:IQ),0)</f>
        <v>0</v>
      </c>
      <c r="F38" s="21" t="str">
        <f t="shared" si="3"/>
        <v/>
      </c>
    </row>
    <row r="39" spans="1:6" ht="14.25" customHeight="1" x14ac:dyDescent="0.2">
      <c r="A39" s="19">
        <v>4</v>
      </c>
      <c r="B39" s="143" t="s">
        <v>3</v>
      </c>
      <c r="C39" s="144"/>
      <c r="D39" s="14">
        <f>IF(F3="1",SUMIF(Data!A:A,'23'!$A$2,Data!CX:CX),0)</f>
        <v>0</v>
      </c>
      <c r="E39" s="17">
        <f>IF($F$3="1",SUMIF(Data!$A:$A,$A$2,Data!IR:IR),0)</f>
        <v>0</v>
      </c>
      <c r="F39" s="21" t="str">
        <f t="shared" si="3"/>
        <v/>
      </c>
    </row>
    <row r="40" spans="1:6" x14ac:dyDescent="0.2">
      <c r="A40" s="19">
        <v>5</v>
      </c>
      <c r="B40" s="143" t="s">
        <v>4</v>
      </c>
      <c r="C40" s="144"/>
      <c r="D40" s="14">
        <f>IF(F3="1",SUMIF(Data!A:A,'23'!$A$2,Data!CY:CY),0)</f>
        <v>0</v>
      </c>
      <c r="E40" s="17">
        <f>IF($F$3="1",SUMIF(Data!$A:$A,$A$2,Data!IS:IS),0)</f>
        <v>0</v>
      </c>
      <c r="F40" s="21" t="str">
        <f t="shared" si="3"/>
        <v/>
      </c>
    </row>
    <row r="41" spans="1:6" x14ac:dyDescent="0.2">
      <c r="A41" s="19">
        <v>6</v>
      </c>
      <c r="B41" s="143" t="s">
        <v>5</v>
      </c>
      <c r="C41" s="144"/>
      <c r="D41" s="14">
        <f>IF(F3="1",SUMIF(Data!A:A,'23'!$A$2,Data!CZ:CZ),0)</f>
        <v>0</v>
      </c>
      <c r="E41" s="17">
        <f>IF($F$3="1",SUMIF(Data!$A:$A,$A$2,Data!IT:IT),0)</f>
        <v>0</v>
      </c>
      <c r="F41" s="21" t="str">
        <f t="shared" si="3"/>
        <v/>
      </c>
    </row>
    <row r="42" spans="1:6" x14ac:dyDescent="0.2">
      <c r="A42" s="19">
        <v>7</v>
      </c>
      <c r="B42" s="143" t="s">
        <v>6</v>
      </c>
      <c r="C42" s="144"/>
      <c r="D42" s="14">
        <f>IF(F3="1",SUMIF(Data!A:A,'23'!$A$2,Data!DA:DA),0)</f>
        <v>0</v>
      </c>
      <c r="E42" s="17">
        <f>IF($F$3="1",SUMIF(Data!$A:$A,$A$2,Data!IU:IU),0)</f>
        <v>0</v>
      </c>
      <c r="F42" s="21" t="str">
        <f t="shared" si="3"/>
        <v/>
      </c>
    </row>
    <row r="43" spans="1:6" x14ac:dyDescent="0.2">
      <c r="A43" s="19">
        <v>8</v>
      </c>
      <c r="B43" s="143" t="s">
        <v>7</v>
      </c>
      <c r="C43" s="144"/>
      <c r="D43" s="14">
        <f>IF(F3="1",SUMIF(Data!A:A,'23'!$A$2,Data!DB:DB),0)</f>
        <v>0</v>
      </c>
      <c r="E43" s="17">
        <f>IF($F$3="1",SUMIF(Data!$A:$A,$A$2,Data!IV:IV),0)</f>
        <v>0</v>
      </c>
      <c r="F43" s="21" t="str">
        <f t="shared" si="3"/>
        <v/>
      </c>
    </row>
    <row r="44" spans="1:6" x14ac:dyDescent="0.2">
      <c r="A44" s="19">
        <v>9</v>
      </c>
      <c r="B44" s="143" t="s">
        <v>8</v>
      </c>
      <c r="C44" s="144"/>
      <c r="D44" s="14">
        <f>IF(F3="1",SUMIF(Data!A:A,'23'!$A$2,Data!DC:DC),0)</f>
        <v>0</v>
      </c>
      <c r="E44" s="17">
        <f>IF($F$3="1",SUMIF(Data!$A:$A,$A$2,Data!IW:IW),0)</f>
        <v>0</v>
      </c>
      <c r="F44" s="21" t="str">
        <f t="shared" si="3"/>
        <v/>
      </c>
    </row>
    <row r="45" spans="1:6" x14ac:dyDescent="0.2">
      <c r="A45" s="19">
        <v>10</v>
      </c>
      <c r="B45" s="143" t="s">
        <v>9</v>
      </c>
      <c r="C45" s="144"/>
      <c r="D45" s="14">
        <f>IF(F3="1",SUMIF(Data!A:A,'23'!$A$2,Data!DD:DD),0)</f>
        <v>0</v>
      </c>
      <c r="E45" s="17">
        <f>IF($F$3="1",SUMIF(Data!$A:$A,$A$2,Data!IX:IX),0)</f>
        <v>0</v>
      </c>
      <c r="F45" s="21" t="str">
        <f t="shared" si="3"/>
        <v/>
      </c>
    </row>
    <row r="46" spans="1:6" x14ac:dyDescent="0.2">
      <c r="A46" s="19">
        <v>11</v>
      </c>
      <c r="B46" s="143" t="s">
        <v>10</v>
      </c>
      <c r="C46" s="144"/>
      <c r="D46" s="14">
        <f>IF(F3="1",SUMIF(Data!A:A,'23'!$A$2,Data!DE:DE),0)</f>
        <v>0</v>
      </c>
      <c r="E46" s="17">
        <f>IF($F$3="1",SUMIF(Data!$A:$A,$A$2,Data!IY:IY),0)</f>
        <v>0</v>
      </c>
      <c r="F46" s="21" t="str">
        <f t="shared" si="3"/>
        <v/>
      </c>
    </row>
    <row r="47" spans="1:6" ht="14.25" customHeight="1" x14ac:dyDescent="0.2">
      <c r="A47" s="19">
        <v>12</v>
      </c>
      <c r="B47" s="143" t="s">
        <v>11</v>
      </c>
      <c r="C47" s="144"/>
      <c r="D47" s="14">
        <f>IF(F3="1",SUMIF(Data!A:A,'23'!$A$2,Data!DF:DF),0)</f>
        <v>0</v>
      </c>
      <c r="E47" s="17">
        <f>IF($F$3="1",SUMIF(Data!$A:$A,$A$2,Data!IZ:IZ),0)</f>
        <v>0</v>
      </c>
      <c r="F47" s="21" t="str">
        <f t="shared" si="3"/>
        <v/>
      </c>
    </row>
    <row r="48" spans="1:6" x14ac:dyDescent="0.2">
      <c r="A48" s="19">
        <v>13</v>
      </c>
      <c r="B48" s="143" t="s">
        <v>12</v>
      </c>
      <c r="C48" s="144"/>
      <c r="D48" s="14">
        <f>IF(F3="1",SUMIF(Data!A:A,'23'!$A$2,Data!DG:DG),0)</f>
        <v>0</v>
      </c>
      <c r="E48" s="17">
        <f>IF($F$3="1",SUMIF(Data!$A:$A,$A$2,Data!JA:JA),0)</f>
        <v>0</v>
      </c>
      <c r="F48" s="21" t="str">
        <f t="shared" si="3"/>
        <v/>
      </c>
    </row>
    <row r="49" spans="1:6" ht="14.25" customHeight="1" x14ac:dyDescent="0.2">
      <c r="A49" s="19">
        <v>14</v>
      </c>
      <c r="B49" s="143" t="s">
        <v>464</v>
      </c>
      <c r="C49" s="144"/>
      <c r="D49" s="14">
        <f>IF(F3="1",SUMIF(Data!A:A,'23'!$A$2,Data!DH:DH),0)</f>
        <v>0</v>
      </c>
      <c r="E49" s="17">
        <f>IF($F$3="1",SUMIF(Data!$A:$A,$A$2,Data!JB:JB),0)</f>
        <v>0</v>
      </c>
      <c r="F49" s="21" t="str">
        <f t="shared" si="3"/>
        <v/>
      </c>
    </row>
    <row r="50" spans="1:6" x14ac:dyDescent="0.2">
      <c r="A50" s="19">
        <v>15</v>
      </c>
      <c r="B50" s="143" t="s">
        <v>13</v>
      </c>
      <c r="C50" s="144"/>
      <c r="D50" s="14">
        <f>IF(F3="1",SUMIF(Data!A:A,'23'!$A$2,Data!DI:DI),0)</f>
        <v>0</v>
      </c>
      <c r="E50" s="17">
        <f>IF($F$3="1",SUMIF(Data!$A:$A,$A$2,Data!JC:JC),0)</f>
        <v>0</v>
      </c>
      <c r="F50" s="21" t="str">
        <f t="shared" si="3"/>
        <v/>
      </c>
    </row>
    <row r="51" spans="1:6" x14ac:dyDescent="0.2">
      <c r="A51" s="19">
        <v>16</v>
      </c>
      <c r="B51" s="143" t="s">
        <v>14</v>
      </c>
      <c r="C51" s="144"/>
      <c r="D51" s="14">
        <f>IF(F3="1",SUMIF(Data!A:A,'23'!$A$2,Data!DJ:DJ),0)</f>
        <v>0</v>
      </c>
      <c r="E51" s="17">
        <f>IF($F$3="1",SUMIF(Data!$A:$A,$A$2,Data!JD:JD),0)</f>
        <v>0</v>
      </c>
      <c r="F51" s="21" t="str">
        <f t="shared" si="3"/>
        <v/>
      </c>
    </row>
    <row r="52" spans="1:6" x14ac:dyDescent="0.2">
      <c r="A52" s="19">
        <v>17</v>
      </c>
      <c r="B52" s="143" t="s">
        <v>15</v>
      </c>
      <c r="C52" s="144"/>
      <c r="D52" s="14">
        <f>IF(F3="1",SUMIF(Data!A:A,'23'!$A$2,Data!DK:DK),0)</f>
        <v>0</v>
      </c>
      <c r="E52" s="17">
        <f>IF($F$3="1",SUMIF(Data!$A:$A,$A$2,Data!JE:JE),0)</f>
        <v>0</v>
      </c>
      <c r="F52" s="21" t="str">
        <f t="shared" si="3"/>
        <v/>
      </c>
    </row>
    <row r="53" spans="1:6" x14ac:dyDescent="0.2">
      <c r="A53" s="19">
        <v>18</v>
      </c>
      <c r="B53" s="143" t="s">
        <v>16</v>
      </c>
      <c r="C53" s="144"/>
      <c r="D53" s="14">
        <f>IF(F3="1",SUMIF(Data!A:A,'23'!$A$2,Data!DL:DL),0)</f>
        <v>0</v>
      </c>
      <c r="E53" s="17">
        <f>IF($F$3="1",SUMIF(Data!$A:$A,$A$2,Data!JF:JF),0)</f>
        <v>0</v>
      </c>
      <c r="F53" s="21" t="str">
        <f t="shared" si="3"/>
        <v/>
      </c>
    </row>
    <row r="54" spans="1:6" x14ac:dyDescent="0.2">
      <c r="A54" s="19">
        <v>19</v>
      </c>
      <c r="B54" s="143" t="s">
        <v>17</v>
      </c>
      <c r="C54" s="144"/>
      <c r="D54" s="14">
        <f>IF(F3="1",SUMIF(Data!A:A,'23'!$A$2,Data!DM:DM),0)</f>
        <v>0</v>
      </c>
      <c r="E54" s="17">
        <f>IF($F$3="1",SUMIF(Data!$A:$A,$A$2,Data!JG:JG),0)</f>
        <v>0</v>
      </c>
      <c r="F54" s="21" t="str">
        <f t="shared" si="3"/>
        <v/>
      </c>
    </row>
    <row r="55" spans="1:6" x14ac:dyDescent="0.2">
      <c r="A55" s="19">
        <v>20</v>
      </c>
      <c r="B55" s="143" t="s">
        <v>18</v>
      </c>
      <c r="C55" s="144"/>
      <c r="D55" s="14">
        <f>IF(F3="1",SUMIF(Data!A:A,'23'!$A$2,Data!DN:DN),0)</f>
        <v>0</v>
      </c>
      <c r="E55" s="17">
        <f>IF($F$3="1",SUMIF(Data!$A:$A,$A$2,Data!JH:JH),0)</f>
        <v>0</v>
      </c>
      <c r="F55" s="21" t="str">
        <f t="shared" si="3"/>
        <v/>
      </c>
    </row>
    <row r="56" spans="1:6" ht="14.25" customHeight="1" x14ac:dyDescent="0.2">
      <c r="A56" s="19">
        <v>21</v>
      </c>
      <c r="B56" s="143" t="s">
        <v>461</v>
      </c>
      <c r="C56" s="144"/>
      <c r="D56" s="14">
        <f>IF(F3="1",SUMIF(Data!A:A,'23'!$A$2,Data!DO:DO),0)</f>
        <v>0</v>
      </c>
      <c r="E56" s="17">
        <f>IF($F$3="1",SUMIF(Data!$A:$A,$A$2,Data!JI:JI),0)</f>
        <v>0</v>
      </c>
      <c r="F56" s="21" t="str">
        <f t="shared" si="3"/>
        <v/>
      </c>
    </row>
    <row r="57" spans="1:6" x14ac:dyDescent="0.2">
      <c r="A57" s="19">
        <v>22</v>
      </c>
      <c r="B57" s="143" t="s">
        <v>19</v>
      </c>
      <c r="C57" s="144"/>
      <c r="D57" s="14">
        <f>IF(F3="1",SUMIF(Data!A:A,'23'!$A$2,Data!DP:DP),0)</f>
        <v>0</v>
      </c>
      <c r="E57" s="17">
        <f>IF($F$3="1",SUMIF(Data!$A:$A,$A$2,Data!JJ:JJ),0)</f>
        <v>0</v>
      </c>
      <c r="F57" s="21" t="str">
        <f t="shared" si="3"/>
        <v/>
      </c>
    </row>
    <row r="58" spans="1:6" x14ac:dyDescent="0.2">
      <c r="A58" s="19">
        <v>23</v>
      </c>
      <c r="B58" s="143" t="s">
        <v>20</v>
      </c>
      <c r="C58" s="144"/>
      <c r="D58" s="14">
        <f>IF(F3="1",SUMIF(Data!A:A,'23'!$A$2,Data!DQ:DQ),0)</f>
        <v>0</v>
      </c>
      <c r="E58" s="17">
        <f>IF($F$3="1",SUMIF(Data!$A:$A,$A$2,Data!JK:JK),0)</f>
        <v>0</v>
      </c>
      <c r="F58" s="21" t="str">
        <f t="shared" si="3"/>
        <v/>
      </c>
    </row>
    <row r="59" spans="1:6" x14ac:dyDescent="0.2">
      <c r="A59" s="19">
        <v>24</v>
      </c>
      <c r="B59" s="143" t="s">
        <v>21</v>
      </c>
      <c r="C59" s="144"/>
      <c r="D59" s="14">
        <f>IF(F3="1",SUMIF(Data!A:A,'23'!$A$2,Data!DR:DR),0)</f>
        <v>0</v>
      </c>
      <c r="E59" s="17">
        <f>IF($F$3="1",SUMIF(Data!$A:$A,$A$2,Data!JL:JL),0)</f>
        <v>0</v>
      </c>
      <c r="F59" s="21" t="str">
        <f t="shared" si="3"/>
        <v/>
      </c>
    </row>
    <row r="60" spans="1:6" x14ac:dyDescent="0.2">
      <c r="A60" s="19">
        <v>25</v>
      </c>
      <c r="B60" s="143" t="s">
        <v>22</v>
      </c>
      <c r="C60" s="144"/>
      <c r="D60" s="14">
        <f>IF(F3="1",SUMIF(Data!A:A,'23'!$A$2,Data!DS:DS),0)</f>
        <v>0</v>
      </c>
      <c r="E60" s="17">
        <f>IF($F$3="1",SUMIF(Data!$A:$A,$A$2,Data!JM:JM),0)</f>
        <v>0</v>
      </c>
      <c r="F60" s="21" t="str">
        <f t="shared" si="3"/>
        <v/>
      </c>
    </row>
    <row r="61" spans="1:6" x14ac:dyDescent="0.2">
      <c r="A61" s="19">
        <v>26</v>
      </c>
      <c r="B61" s="143" t="s">
        <v>23</v>
      </c>
      <c r="C61" s="144"/>
      <c r="D61" s="14">
        <f>IF(F3="1",SUMIF(Data!A:A,'23'!$A$2,Data!DT:DT),0)</f>
        <v>0</v>
      </c>
      <c r="E61" s="17">
        <f>IF($F$3="1",SUMIF(Data!$A:$A,$A$2,Data!JN:JN),0)</f>
        <v>0</v>
      </c>
      <c r="F61" s="21" t="str">
        <f t="shared" si="3"/>
        <v/>
      </c>
    </row>
    <row r="62" spans="1:6" x14ac:dyDescent="0.2">
      <c r="A62" s="19">
        <v>28</v>
      </c>
      <c r="B62" s="143" t="s">
        <v>24</v>
      </c>
      <c r="C62" s="144"/>
      <c r="D62" s="14">
        <f>IF(F3="1",SUMIF(Data!A:A,'23'!$A$2,Data!DV:DV),0)</f>
        <v>0</v>
      </c>
      <c r="E62" s="17">
        <f>IF($F$3="1",SUMIF(Data!$A:$A,$A$2,Data!JP:JP),0)</f>
        <v>0</v>
      </c>
      <c r="F62" s="21" t="str">
        <f t="shared" si="3"/>
        <v/>
      </c>
    </row>
    <row r="63" spans="1:6" ht="15.75" customHeight="1" thickBot="1" x14ac:dyDescent="0.25">
      <c r="A63" s="22">
        <v>29</v>
      </c>
      <c r="B63" s="147" t="s">
        <v>25</v>
      </c>
      <c r="C63" s="148"/>
      <c r="D63" s="23">
        <f>IF(F3="1",SUMIF(Data!A:A,'23'!$A$2,Data!DW:DW),0)</f>
        <v>0</v>
      </c>
      <c r="E63" s="24">
        <f>IF($F$3="1",SUMIF(Data!$A:$A,$A$2,Data!JQ:JQ),0)</f>
        <v>0</v>
      </c>
      <c r="F63" s="25" t="str">
        <f t="shared" si="3"/>
        <v/>
      </c>
    </row>
    <row r="64" spans="1:6" x14ac:dyDescent="0.2">
      <c r="B64" s="30" t="s">
        <v>35</v>
      </c>
      <c r="C64" s="30"/>
      <c r="D64" s="59">
        <f>SUM(D36:D63)</f>
        <v>0</v>
      </c>
      <c r="E64" s="31">
        <f>SUM(E36:E63)</f>
        <v>0</v>
      </c>
      <c r="F64" s="32" t="str">
        <f t="shared" si="3"/>
        <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IF(F3="1",SUMIF(Data!A:A,'23'!$A$2,Data!DY:DY),0)</f>
        <v>0</v>
      </c>
      <c r="F67" s="20" t="str">
        <f t="shared" ref="F67:F95" si="4">IF(OR(D67=0,E67=0),"",ROUND(E67/D67,2))</f>
        <v/>
      </c>
    </row>
    <row r="68" spans="1:6" x14ac:dyDescent="0.2">
      <c r="A68" s="19">
        <v>2</v>
      </c>
      <c r="B68" s="143" t="s">
        <v>1</v>
      </c>
      <c r="C68" s="144"/>
      <c r="D68" s="14">
        <f t="shared" ref="D68:D94" si="5">D37</f>
        <v>0</v>
      </c>
      <c r="E68" s="17">
        <f>IF(F3="1",SUMIF(Data!A:A,'23'!$A$2,Data!DZ:DZ),0)</f>
        <v>0</v>
      </c>
      <c r="F68" s="21" t="str">
        <f t="shared" si="4"/>
        <v/>
      </c>
    </row>
    <row r="69" spans="1:6" ht="14.25" customHeight="1" x14ac:dyDescent="0.2">
      <c r="A69" s="19">
        <v>3</v>
      </c>
      <c r="B69" s="143" t="s">
        <v>2</v>
      </c>
      <c r="C69" s="144"/>
      <c r="D69" s="14">
        <f t="shared" si="5"/>
        <v>0</v>
      </c>
      <c r="E69" s="17">
        <f>IF(F3="1",SUMIF(Data!A:A,'23'!$A$2,Data!EA:EA),0)</f>
        <v>0</v>
      </c>
      <c r="F69" s="21" t="str">
        <f t="shared" si="4"/>
        <v/>
      </c>
    </row>
    <row r="70" spans="1:6" ht="14.25" customHeight="1" x14ac:dyDescent="0.2">
      <c r="A70" s="19">
        <v>4</v>
      </c>
      <c r="B70" s="143" t="s">
        <v>3</v>
      </c>
      <c r="C70" s="144"/>
      <c r="D70" s="14">
        <f t="shared" si="5"/>
        <v>0</v>
      </c>
      <c r="E70" s="17">
        <f>IF(F3="1",SUMIF(Data!A:A,'23'!$A$2,Data!EB:EB),0)</f>
        <v>0</v>
      </c>
      <c r="F70" s="21" t="str">
        <f t="shared" si="4"/>
        <v/>
      </c>
    </row>
    <row r="71" spans="1:6" x14ac:dyDescent="0.2">
      <c r="A71" s="19">
        <v>5</v>
      </c>
      <c r="B71" s="143" t="s">
        <v>4</v>
      </c>
      <c r="C71" s="144"/>
      <c r="D71" s="14">
        <f t="shared" si="5"/>
        <v>0</v>
      </c>
      <c r="E71" s="17">
        <f>IF(F3="1",SUMIF(Data!A:A,'23'!$A$2,Data!EC:EC),0)</f>
        <v>0</v>
      </c>
      <c r="F71" s="21" t="str">
        <f t="shared" si="4"/>
        <v/>
      </c>
    </row>
    <row r="72" spans="1:6" x14ac:dyDescent="0.2">
      <c r="A72" s="19">
        <v>6</v>
      </c>
      <c r="B72" s="143" t="s">
        <v>5</v>
      </c>
      <c r="C72" s="144"/>
      <c r="D72" s="14">
        <f t="shared" si="5"/>
        <v>0</v>
      </c>
      <c r="E72" s="17">
        <f>IF(F3="1",SUMIF(Data!A:A,'23'!$A$2,Data!ED:ED),0)</f>
        <v>0</v>
      </c>
      <c r="F72" s="21" t="str">
        <f t="shared" si="4"/>
        <v/>
      </c>
    </row>
    <row r="73" spans="1:6" x14ac:dyDescent="0.2">
      <c r="A73" s="19">
        <v>7</v>
      </c>
      <c r="B73" s="143" t="s">
        <v>6</v>
      </c>
      <c r="C73" s="144"/>
      <c r="D73" s="14">
        <f t="shared" si="5"/>
        <v>0</v>
      </c>
      <c r="E73" s="17">
        <f>IF(F3="1",SUMIF(Data!A:A,'23'!$A$2,Data!EE:EE),0)</f>
        <v>0</v>
      </c>
      <c r="F73" s="21" t="str">
        <f t="shared" si="4"/>
        <v/>
      </c>
    </row>
    <row r="74" spans="1:6" x14ac:dyDescent="0.2">
      <c r="A74" s="19">
        <v>8</v>
      </c>
      <c r="B74" s="143" t="s">
        <v>7</v>
      </c>
      <c r="C74" s="144"/>
      <c r="D74" s="14">
        <f t="shared" si="5"/>
        <v>0</v>
      </c>
      <c r="E74" s="17">
        <f>IF(F3="1",SUMIF(Data!A:A,'23'!$A$2,Data!EF:EF),0)</f>
        <v>0</v>
      </c>
      <c r="F74" s="21" t="str">
        <f t="shared" si="4"/>
        <v/>
      </c>
    </row>
    <row r="75" spans="1:6" x14ac:dyDescent="0.2">
      <c r="A75" s="19">
        <v>9</v>
      </c>
      <c r="B75" s="143" t="s">
        <v>8</v>
      </c>
      <c r="C75" s="144"/>
      <c r="D75" s="14">
        <f t="shared" si="5"/>
        <v>0</v>
      </c>
      <c r="E75" s="17">
        <f>IF(F3="1",SUMIF(Data!A:A,'23'!$A$2,Data!EG:EG),0)</f>
        <v>0</v>
      </c>
      <c r="F75" s="21" t="str">
        <f t="shared" si="4"/>
        <v/>
      </c>
    </row>
    <row r="76" spans="1:6" x14ac:dyDescent="0.2">
      <c r="A76" s="19">
        <v>10</v>
      </c>
      <c r="B76" s="143" t="s">
        <v>9</v>
      </c>
      <c r="C76" s="144"/>
      <c r="D76" s="14">
        <f t="shared" si="5"/>
        <v>0</v>
      </c>
      <c r="E76" s="17">
        <f>IF(F3="1",SUMIF(Data!A:A,'23'!$A$2,Data!EH:EH),0)</f>
        <v>0</v>
      </c>
      <c r="F76" s="21" t="str">
        <f t="shared" si="4"/>
        <v/>
      </c>
    </row>
    <row r="77" spans="1:6" x14ac:dyDescent="0.2">
      <c r="A77" s="19">
        <v>11</v>
      </c>
      <c r="B77" s="143" t="s">
        <v>10</v>
      </c>
      <c r="C77" s="144"/>
      <c r="D77" s="14">
        <f t="shared" si="5"/>
        <v>0</v>
      </c>
      <c r="E77" s="17">
        <f>IF(F3="1",SUMIF(Data!A:A,'23'!$A$2,Data!EI:EI),0)</f>
        <v>0</v>
      </c>
      <c r="F77" s="21" t="str">
        <f t="shared" si="4"/>
        <v/>
      </c>
    </row>
    <row r="78" spans="1:6" ht="14.25" customHeight="1" x14ac:dyDescent="0.2">
      <c r="A78" s="19">
        <v>12</v>
      </c>
      <c r="B78" s="143" t="s">
        <v>11</v>
      </c>
      <c r="C78" s="144"/>
      <c r="D78" s="14">
        <f t="shared" si="5"/>
        <v>0</v>
      </c>
      <c r="E78" s="17">
        <f>IF(F3="1",SUMIF(Data!A:A,'23'!$A$2,Data!EJ:EJ),0)</f>
        <v>0</v>
      </c>
      <c r="F78" s="21" t="str">
        <f t="shared" si="4"/>
        <v/>
      </c>
    </row>
    <row r="79" spans="1:6" x14ac:dyDescent="0.2">
      <c r="A79" s="19">
        <v>13</v>
      </c>
      <c r="B79" s="143" t="s">
        <v>12</v>
      </c>
      <c r="C79" s="144"/>
      <c r="D79" s="14">
        <f t="shared" si="5"/>
        <v>0</v>
      </c>
      <c r="E79" s="17">
        <f>IF(F3="1",SUMIF(Data!A:A,'23'!$A$2,Data!EK:EK),0)</f>
        <v>0</v>
      </c>
      <c r="F79" s="21" t="str">
        <f t="shared" si="4"/>
        <v/>
      </c>
    </row>
    <row r="80" spans="1:6" ht="14.25" customHeight="1" x14ac:dyDescent="0.2">
      <c r="A80" s="19">
        <v>14</v>
      </c>
      <c r="B80" s="143" t="s">
        <v>464</v>
      </c>
      <c r="C80" s="144"/>
      <c r="D80" s="14">
        <f t="shared" si="5"/>
        <v>0</v>
      </c>
      <c r="E80" s="17">
        <f>IF(F3="1",SUMIF(Data!A:A,'23'!$A$2,Data!EL:EL),0)</f>
        <v>0</v>
      </c>
      <c r="F80" s="21" t="str">
        <f t="shared" si="4"/>
        <v/>
      </c>
    </row>
    <row r="81" spans="1:6" x14ac:dyDescent="0.2">
      <c r="A81" s="19">
        <v>15</v>
      </c>
      <c r="B81" s="143" t="s">
        <v>13</v>
      </c>
      <c r="C81" s="144"/>
      <c r="D81" s="14">
        <f t="shared" si="5"/>
        <v>0</v>
      </c>
      <c r="E81" s="17">
        <f>IF(F3="1",SUMIF(Data!A:A,'23'!$A$2,Data!EM:EM),0)</f>
        <v>0</v>
      </c>
      <c r="F81" s="21" t="str">
        <f t="shared" si="4"/>
        <v/>
      </c>
    </row>
    <row r="82" spans="1:6" x14ac:dyDescent="0.2">
      <c r="A82" s="19">
        <v>16</v>
      </c>
      <c r="B82" s="143" t="s">
        <v>14</v>
      </c>
      <c r="C82" s="144"/>
      <c r="D82" s="14">
        <f t="shared" si="5"/>
        <v>0</v>
      </c>
      <c r="E82" s="17">
        <f>IF(F3="1",SUMIF(Data!A:A,'23'!$A$2,Data!EN:EN),0)</f>
        <v>0</v>
      </c>
      <c r="F82" s="21" t="str">
        <f t="shared" si="4"/>
        <v/>
      </c>
    </row>
    <row r="83" spans="1:6" x14ac:dyDescent="0.2">
      <c r="A83" s="19">
        <v>17</v>
      </c>
      <c r="B83" s="143" t="s">
        <v>15</v>
      </c>
      <c r="C83" s="144"/>
      <c r="D83" s="14">
        <f t="shared" si="5"/>
        <v>0</v>
      </c>
      <c r="E83" s="17">
        <f>IF(F3="1",SUMIF(Data!A:A,'23'!$A$2,Data!EO:EO),0)</f>
        <v>0</v>
      </c>
      <c r="F83" s="21" t="str">
        <f t="shared" si="4"/>
        <v/>
      </c>
    </row>
    <row r="84" spans="1:6" x14ac:dyDescent="0.2">
      <c r="A84" s="19">
        <v>18</v>
      </c>
      <c r="B84" s="143" t="s">
        <v>16</v>
      </c>
      <c r="C84" s="144"/>
      <c r="D84" s="14">
        <f t="shared" si="5"/>
        <v>0</v>
      </c>
      <c r="E84" s="17">
        <f>IF(F3="1",SUMIF(Data!A:A,'23'!$A$2,Data!EP:EP),0)</f>
        <v>0</v>
      </c>
      <c r="F84" s="21" t="str">
        <f t="shared" si="4"/>
        <v/>
      </c>
    </row>
    <row r="85" spans="1:6" x14ac:dyDescent="0.2">
      <c r="A85" s="19">
        <v>19</v>
      </c>
      <c r="B85" s="143" t="s">
        <v>17</v>
      </c>
      <c r="C85" s="144"/>
      <c r="D85" s="14">
        <f t="shared" si="5"/>
        <v>0</v>
      </c>
      <c r="E85" s="17">
        <f>IF(F3="1",SUMIF(Data!A:A,'23'!$A$2,Data!EQ:EQ),0)</f>
        <v>0</v>
      </c>
      <c r="F85" s="21" t="str">
        <f t="shared" si="4"/>
        <v/>
      </c>
    </row>
    <row r="86" spans="1:6" x14ac:dyDescent="0.2">
      <c r="A86" s="19">
        <v>20</v>
      </c>
      <c r="B86" s="143" t="s">
        <v>18</v>
      </c>
      <c r="C86" s="144"/>
      <c r="D86" s="14">
        <f t="shared" si="5"/>
        <v>0</v>
      </c>
      <c r="E86" s="17">
        <f>IF(F3="1",SUMIF(Data!A:A,'23'!$A$2,Data!ER:ER),0)</f>
        <v>0</v>
      </c>
      <c r="F86" s="21" t="str">
        <f t="shared" si="4"/>
        <v/>
      </c>
    </row>
    <row r="87" spans="1:6" ht="14.25" customHeight="1" x14ac:dyDescent="0.2">
      <c r="A87" s="19">
        <v>21</v>
      </c>
      <c r="B87" s="143" t="s">
        <v>461</v>
      </c>
      <c r="C87" s="144"/>
      <c r="D87" s="14">
        <f t="shared" si="5"/>
        <v>0</v>
      </c>
      <c r="E87" s="17">
        <f>IF(F3="1",SUMIF(Data!A:A,'23'!$A$2,Data!ES:ES),0)</f>
        <v>0</v>
      </c>
      <c r="F87" s="21" t="str">
        <f t="shared" si="4"/>
        <v/>
      </c>
    </row>
    <row r="88" spans="1:6" x14ac:dyDescent="0.2">
      <c r="A88" s="19">
        <v>22</v>
      </c>
      <c r="B88" s="143" t="s">
        <v>19</v>
      </c>
      <c r="C88" s="144"/>
      <c r="D88" s="14">
        <f t="shared" si="5"/>
        <v>0</v>
      </c>
      <c r="E88" s="17">
        <f>IF(F3="1",SUMIF(Data!A:A,'23'!$A$2,Data!ET:ET),0)</f>
        <v>0</v>
      </c>
      <c r="F88" s="21" t="str">
        <f t="shared" si="4"/>
        <v/>
      </c>
    </row>
    <row r="89" spans="1:6" x14ac:dyDescent="0.2">
      <c r="A89" s="19">
        <v>23</v>
      </c>
      <c r="B89" s="143" t="s">
        <v>20</v>
      </c>
      <c r="C89" s="144"/>
      <c r="D89" s="14">
        <f t="shared" si="5"/>
        <v>0</v>
      </c>
      <c r="E89" s="17">
        <f>IF(F3="1",SUMIF(Data!A:A,'23'!$A$2,Data!EU:EU),0)</f>
        <v>0</v>
      </c>
      <c r="F89" s="21" t="str">
        <f t="shared" si="4"/>
        <v/>
      </c>
    </row>
    <row r="90" spans="1:6" x14ac:dyDescent="0.2">
      <c r="A90" s="19">
        <v>24</v>
      </c>
      <c r="B90" s="143" t="s">
        <v>21</v>
      </c>
      <c r="C90" s="144"/>
      <c r="D90" s="14">
        <f t="shared" si="5"/>
        <v>0</v>
      </c>
      <c r="E90" s="17">
        <f>IF(F3="1",SUMIF(Data!A:A,'23'!$A$2,Data!EV:EV),0)</f>
        <v>0</v>
      </c>
      <c r="F90" s="21" t="str">
        <f t="shared" si="4"/>
        <v/>
      </c>
    </row>
    <row r="91" spans="1:6" x14ac:dyDescent="0.2">
      <c r="A91" s="19">
        <v>25</v>
      </c>
      <c r="B91" s="143" t="s">
        <v>22</v>
      </c>
      <c r="C91" s="144"/>
      <c r="D91" s="14">
        <f t="shared" si="5"/>
        <v>0</v>
      </c>
      <c r="E91" s="17">
        <f>IF(F3="1",SUMIF(Data!A:A,'23'!$A$2,Data!EW:EW),0)</f>
        <v>0</v>
      </c>
      <c r="F91" s="21" t="str">
        <f t="shared" si="4"/>
        <v/>
      </c>
    </row>
    <row r="92" spans="1:6" x14ac:dyDescent="0.2">
      <c r="A92" s="19">
        <v>26</v>
      </c>
      <c r="B92" s="143" t="s">
        <v>23</v>
      </c>
      <c r="C92" s="144"/>
      <c r="D92" s="14">
        <f t="shared" si="5"/>
        <v>0</v>
      </c>
      <c r="E92" s="17">
        <f>IF(F3="1",SUMIF(Data!A:A,'23'!$A$2,Data!EX:EX),0)</f>
        <v>0</v>
      </c>
      <c r="F92" s="21" t="str">
        <f t="shared" si="4"/>
        <v/>
      </c>
    </row>
    <row r="93" spans="1:6" x14ac:dyDescent="0.2">
      <c r="A93" s="19">
        <v>28</v>
      </c>
      <c r="B93" s="143" t="s">
        <v>24</v>
      </c>
      <c r="C93" s="144"/>
      <c r="D93" s="14">
        <f t="shared" si="5"/>
        <v>0</v>
      </c>
      <c r="E93" s="17">
        <f>IF(F3="1",SUMIF(Data!A:A,'23'!$A$2,Data!EZ:EZ),0)</f>
        <v>0</v>
      </c>
      <c r="F93" s="21" t="str">
        <f t="shared" si="4"/>
        <v/>
      </c>
    </row>
    <row r="94" spans="1:6" ht="15.75" customHeight="1" thickBot="1" x14ac:dyDescent="0.25">
      <c r="A94" s="22">
        <v>29</v>
      </c>
      <c r="B94" s="147" t="s">
        <v>25</v>
      </c>
      <c r="C94" s="148"/>
      <c r="D94" s="23">
        <f t="shared" si="5"/>
        <v>0</v>
      </c>
      <c r="E94" s="24">
        <f>IF(F3="1",SUMIF(Data!A:A,'23'!$A$2,Data!FA:FA),0)</f>
        <v>0</v>
      </c>
      <c r="F94" s="25" t="str">
        <f t="shared" si="4"/>
        <v/>
      </c>
    </row>
    <row r="95" spans="1:6" x14ac:dyDescent="0.2">
      <c r="B95" s="30" t="s">
        <v>35</v>
      </c>
      <c r="C95" s="30"/>
      <c r="D95" s="59">
        <f>SUM(D67:D94)</f>
        <v>0</v>
      </c>
      <c r="E95" s="31">
        <f>SUM(E67:E94)</f>
        <v>0</v>
      </c>
      <c r="F95" s="32" t="str">
        <f t="shared" si="4"/>
        <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IF(F3="1",SUMIF(Data!A:A,'23'!$A$2,Data!AH:AH),0)</f>
        <v>0</v>
      </c>
      <c r="F98" s="20" t="str">
        <f>IF(OR(E98=0,E98=0),"",ROUND(E98/$D$105,2))</f>
        <v/>
      </c>
    </row>
    <row r="99" spans="2:6" x14ac:dyDescent="0.2">
      <c r="B99" s="153" t="s">
        <v>31</v>
      </c>
      <c r="C99" s="154"/>
      <c r="D99" s="36"/>
      <c r="E99" s="17">
        <f>IF(F3="1",SUMIF(Data!A:A,'23'!$A$2,Data!AI:AI),0)</f>
        <v>0</v>
      </c>
      <c r="F99" s="21" t="str">
        <f t="shared" ref="F99:F104" si="6">IF(OR(E99=0,E99=0),"",ROUND(E99/$D$105,2))</f>
        <v/>
      </c>
    </row>
    <row r="100" spans="2:6" x14ac:dyDescent="0.2">
      <c r="B100" s="153" t="s">
        <v>1078</v>
      </c>
      <c r="C100" s="154"/>
      <c r="D100" s="36"/>
      <c r="E100" s="17">
        <f>IF(F3="1",SUMIF(Data!A:A,'23'!$A$2,Data!AJ:AJ),0)</f>
        <v>0</v>
      </c>
      <c r="F100" s="21" t="str">
        <f t="shared" si="6"/>
        <v/>
      </c>
    </row>
    <row r="101" spans="2:6" x14ac:dyDescent="0.2">
      <c r="B101" s="153" t="s">
        <v>1079</v>
      </c>
      <c r="C101" s="154"/>
      <c r="D101" s="36"/>
      <c r="E101" s="17">
        <f>IF(F3="1",SUMIF(Data!A:A,'23'!$A$2,Data!AK:AK),0)</f>
        <v>0</v>
      </c>
      <c r="F101" s="21" t="str">
        <f t="shared" si="6"/>
        <v/>
      </c>
    </row>
    <row r="102" spans="2:6" x14ac:dyDescent="0.2">
      <c r="B102" s="153" t="s">
        <v>1080</v>
      </c>
      <c r="C102" s="154"/>
      <c r="D102" s="36"/>
      <c r="E102" s="17">
        <f>IF(F3="1",SUMIF(Data!A:A,'23'!$A$2,Data!AL:AL),0)</f>
        <v>0</v>
      </c>
      <c r="F102" s="21" t="str">
        <f t="shared" si="6"/>
        <v/>
      </c>
    </row>
    <row r="103" spans="2:6" x14ac:dyDescent="0.2">
      <c r="B103" s="155" t="s">
        <v>34</v>
      </c>
      <c r="C103" s="156"/>
      <c r="D103" s="36"/>
      <c r="E103" s="17">
        <f>IF(F3="1",SUMIF(Data!A:A,'23'!$A$2,Data!AM:AM),0)</f>
        <v>0</v>
      </c>
      <c r="F103" s="21" t="str">
        <f t="shared" si="6"/>
        <v/>
      </c>
    </row>
    <row r="104" spans="2:6" ht="15.75" customHeight="1" thickBot="1" x14ac:dyDescent="0.25">
      <c r="B104" s="149" t="s">
        <v>29</v>
      </c>
      <c r="C104" s="150"/>
      <c r="D104" s="37"/>
      <c r="E104" s="24">
        <f>IF(F3="1",SUMIF(Data!A:A,'23'!$A$2,Data!Q:Q),0)</f>
        <v>0</v>
      </c>
      <c r="F104" s="25" t="str">
        <f t="shared" si="6"/>
        <v/>
      </c>
    </row>
    <row r="105" spans="2:6" x14ac:dyDescent="0.2">
      <c r="B105" s="30" t="s">
        <v>35</v>
      </c>
      <c r="C105" s="30"/>
      <c r="D105" s="34">
        <f>D95</f>
        <v>0</v>
      </c>
      <c r="E105" s="31">
        <f>SUM(E98:E104)</f>
        <v>0</v>
      </c>
      <c r="F105" s="32" t="str">
        <f>IF($D$105=0,"",ROUND(E105/$D$105,2))</f>
        <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0</v>
      </c>
      <c r="D109" s="15">
        <f>IF(F3="1",SUMIF(Data!$A:$A,$A$2,Data!HJ:HJ),0)</f>
        <v>0</v>
      </c>
      <c r="E109" s="15">
        <f>IF(F3="1",SUMIF(Data!$A:$A,$A$2,Data!IN:IN),0)</f>
        <v>0</v>
      </c>
      <c r="F109" s="47">
        <f>SUM(C109:E109)</f>
        <v>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0</v>
      </c>
      <c r="D118" s="4">
        <f>SUM(D109:D116)</f>
        <v>0</v>
      </c>
      <c r="E118" s="4">
        <f>SUM(E109:E116)</f>
        <v>0</v>
      </c>
      <c r="F118" s="4">
        <f>SUM(F109:F116)</f>
        <v>0</v>
      </c>
    </row>
    <row r="119" spans="1:6" ht="15" thickBot="1" x14ac:dyDescent="0.25"/>
    <row r="120" spans="1:6" ht="15" thickBot="1" x14ac:dyDescent="0.25">
      <c r="B120" s="55" t="s">
        <v>934</v>
      </c>
      <c r="C120" s="53"/>
      <c r="D120" s="53"/>
      <c r="E120" s="53">
        <f>IF(F3="1",SUMIF(Data!A:A,'23'!$A$2,Data!AM:AM),0)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378</v>
      </c>
      <c r="B2" s="58" t="str">
        <f>VLOOKUP(A2,Data!A:G,7,0)</f>
        <v>Laredo Community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46493</v>
      </c>
      <c r="E6" s="17">
        <f t="shared" ref="E6:E32" si="1">E37+E68+IFERROR($E$105/$D$105*D6,0)</f>
        <v>314433.77603558416</v>
      </c>
      <c r="F6" s="21">
        <f t="shared" ref="F6:F33" si="2">IF(OR(D6=0,E6=0),"",ROUND(E6/D6,2))</f>
        <v>6.76</v>
      </c>
    </row>
    <row r="7" spans="1:6" ht="14.25" customHeight="1" x14ac:dyDescent="0.2">
      <c r="A7" s="19">
        <v>3</v>
      </c>
      <c r="B7" s="143" t="s">
        <v>2</v>
      </c>
      <c r="C7" s="144"/>
      <c r="D7" s="14">
        <f t="shared" si="0"/>
        <v>211536</v>
      </c>
      <c r="E7" s="17">
        <f t="shared" si="1"/>
        <v>1482846.6229424502</v>
      </c>
      <c r="F7" s="21">
        <f t="shared" si="2"/>
        <v>7.01</v>
      </c>
    </row>
    <row r="8" spans="1:6" ht="14.25" customHeight="1" x14ac:dyDescent="0.2">
      <c r="A8" s="19">
        <v>4</v>
      </c>
      <c r="B8" s="143" t="s">
        <v>3</v>
      </c>
      <c r="C8" s="144"/>
      <c r="D8" s="14">
        <f t="shared" si="0"/>
        <v>317422</v>
      </c>
      <c r="E8" s="17">
        <f t="shared" si="1"/>
        <v>2156677.6926368959</v>
      </c>
      <c r="F8" s="21">
        <f t="shared" si="2"/>
        <v>6.79</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257324</v>
      </c>
      <c r="E11" s="17">
        <f t="shared" si="1"/>
        <v>1557568.9578986228</v>
      </c>
      <c r="F11" s="21">
        <f t="shared" si="2"/>
        <v>6.05</v>
      </c>
    </row>
    <row r="12" spans="1:6" x14ac:dyDescent="0.2">
      <c r="A12" s="19">
        <v>8</v>
      </c>
      <c r="B12" s="143" t="s">
        <v>7</v>
      </c>
      <c r="C12" s="144"/>
      <c r="D12" s="14">
        <f t="shared" si="0"/>
        <v>15730</v>
      </c>
      <c r="E12" s="17">
        <f t="shared" si="1"/>
        <v>176468.64280729872</v>
      </c>
      <c r="F12" s="21">
        <f t="shared" si="2"/>
        <v>11.22</v>
      </c>
    </row>
    <row r="13" spans="1:6" x14ac:dyDescent="0.2">
      <c r="A13" s="19">
        <v>9</v>
      </c>
      <c r="B13" s="143" t="s">
        <v>8</v>
      </c>
      <c r="C13" s="144"/>
      <c r="D13" s="14">
        <f t="shared" si="0"/>
        <v>84864</v>
      </c>
      <c r="E13" s="17">
        <f t="shared" si="1"/>
        <v>534630.45640169096</v>
      </c>
      <c r="F13" s="21">
        <f t="shared" si="2"/>
        <v>6.3</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50060</v>
      </c>
      <c r="E15" s="17">
        <f t="shared" si="1"/>
        <v>263847.497071416</v>
      </c>
      <c r="F15" s="21">
        <f t="shared" si="2"/>
        <v>5.27</v>
      </c>
    </row>
    <row r="16" spans="1:6" ht="14.25" customHeight="1" x14ac:dyDescent="0.2">
      <c r="A16" s="19">
        <v>12</v>
      </c>
      <c r="B16" s="143" t="s">
        <v>11</v>
      </c>
      <c r="C16" s="144"/>
      <c r="D16" s="14">
        <f t="shared" si="0"/>
        <v>634199</v>
      </c>
      <c r="E16" s="17">
        <f t="shared" si="1"/>
        <v>3853545.1093926281</v>
      </c>
      <c r="F16" s="21">
        <f t="shared" si="2"/>
        <v>6.08</v>
      </c>
    </row>
    <row r="17" spans="1:6" x14ac:dyDescent="0.2">
      <c r="A17" s="19">
        <v>13</v>
      </c>
      <c r="B17" s="143" t="s">
        <v>12</v>
      </c>
      <c r="C17" s="144"/>
      <c r="D17" s="14">
        <f t="shared" si="0"/>
        <v>26016</v>
      </c>
      <c r="E17" s="17">
        <f t="shared" si="1"/>
        <v>571514.82996024692</v>
      </c>
      <c r="F17" s="21">
        <f t="shared" si="2"/>
        <v>21.97</v>
      </c>
    </row>
    <row r="18" spans="1:6" ht="14.25" customHeight="1" x14ac:dyDescent="0.2">
      <c r="A18" s="19">
        <v>14</v>
      </c>
      <c r="B18" s="143" t="s">
        <v>464</v>
      </c>
      <c r="C18" s="144"/>
      <c r="D18" s="14">
        <f t="shared" si="0"/>
        <v>67443</v>
      </c>
      <c r="E18" s="17">
        <f t="shared" si="1"/>
        <v>872413.79109044163</v>
      </c>
      <c r="F18" s="21">
        <f t="shared" si="2"/>
        <v>12.94</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178330</v>
      </c>
      <c r="E20" s="17">
        <f t="shared" si="1"/>
        <v>1098514.3300588417</v>
      </c>
      <c r="F20" s="21">
        <f t="shared" si="2"/>
        <v>6.16</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40346</v>
      </c>
      <c r="E22" s="17">
        <f t="shared" si="1"/>
        <v>406476.95147509687</v>
      </c>
      <c r="F22" s="21">
        <f t="shared" si="2"/>
        <v>10.07</v>
      </c>
    </row>
    <row r="23" spans="1:6" x14ac:dyDescent="0.2">
      <c r="A23" s="19">
        <v>19</v>
      </c>
      <c r="B23" s="143" t="s">
        <v>17</v>
      </c>
      <c r="C23" s="144"/>
      <c r="D23" s="14">
        <f t="shared" si="0"/>
        <v>393440</v>
      </c>
      <c r="E23" s="17">
        <f t="shared" si="1"/>
        <v>2164242.9266435858</v>
      </c>
      <c r="F23" s="21">
        <f t="shared" si="2"/>
        <v>5.5</v>
      </c>
    </row>
    <row r="24" spans="1:6" x14ac:dyDescent="0.2">
      <c r="A24" s="19">
        <v>20</v>
      </c>
      <c r="B24" s="143" t="s">
        <v>18</v>
      </c>
      <c r="C24" s="144"/>
      <c r="D24" s="14">
        <f t="shared" si="0"/>
        <v>13488</v>
      </c>
      <c r="E24" s="17">
        <f t="shared" si="1"/>
        <v>161046.73656610586</v>
      </c>
      <c r="F24" s="21">
        <f t="shared" si="2"/>
        <v>11.94</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65924</v>
      </c>
      <c r="E26" s="17">
        <f t="shared" si="1"/>
        <v>517254.97548813483</v>
      </c>
      <c r="F26" s="21">
        <f t="shared" si="2"/>
        <v>7.85</v>
      </c>
    </row>
    <row r="27" spans="1:6" x14ac:dyDescent="0.2">
      <c r="A27" s="19">
        <v>23</v>
      </c>
      <c r="B27" s="143" t="s">
        <v>20</v>
      </c>
      <c r="C27" s="144"/>
      <c r="D27" s="14">
        <f t="shared" si="0"/>
        <v>118784</v>
      </c>
      <c r="E27" s="17">
        <f t="shared" si="1"/>
        <v>675494.51514444826</v>
      </c>
      <c r="F27" s="21">
        <f t="shared" si="2"/>
        <v>5.69</v>
      </c>
    </row>
    <row r="28" spans="1:6" x14ac:dyDescent="0.2">
      <c r="A28" s="19">
        <v>24</v>
      </c>
      <c r="B28" s="143" t="s">
        <v>21</v>
      </c>
      <c r="C28" s="144"/>
      <c r="D28" s="14">
        <f t="shared" si="0"/>
        <v>232368</v>
      </c>
      <c r="E28" s="17">
        <f t="shared" si="1"/>
        <v>1115093.3797740871</v>
      </c>
      <c r="F28" s="21">
        <f t="shared" si="2"/>
        <v>4.8</v>
      </c>
    </row>
    <row r="29" spans="1:6" x14ac:dyDescent="0.2">
      <c r="A29" s="19">
        <v>25</v>
      </c>
      <c r="B29" s="143" t="s">
        <v>22</v>
      </c>
      <c r="C29" s="144"/>
      <c r="D29" s="14">
        <f t="shared" si="0"/>
        <v>420960</v>
      </c>
      <c r="E29" s="17">
        <f t="shared" si="1"/>
        <v>2249934.0309065776</v>
      </c>
      <c r="F29" s="21">
        <f t="shared" si="2"/>
        <v>5.34</v>
      </c>
    </row>
    <row r="30" spans="1:6" x14ac:dyDescent="0.2">
      <c r="A30" s="19">
        <v>26</v>
      </c>
      <c r="B30" s="143" t="s">
        <v>23</v>
      </c>
      <c r="C30" s="144"/>
      <c r="D30" s="14">
        <f t="shared" si="0"/>
        <v>157088</v>
      </c>
      <c r="E30" s="17">
        <f t="shared" si="1"/>
        <v>1347865.777705845</v>
      </c>
      <c r="F30" s="21">
        <f t="shared" si="2"/>
        <v>8.58</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3331815</v>
      </c>
      <c r="E33" s="31">
        <f>SUM(E5:E32)</f>
        <v>21519870.999999996</v>
      </c>
      <c r="F33" s="32">
        <f t="shared" si="2"/>
        <v>6.46</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IF(F3="1",SUMIF(Data!A:A,'24'!$A$2,Data!CU:CU),0)</f>
        <v>0</v>
      </c>
      <c r="E36" s="15">
        <f>IF(F3="1",SUMIF(Data!$A:$A,$A$2,Data!IO:IO),0)</f>
        <v>0</v>
      </c>
      <c r="F36" s="20" t="str">
        <f t="shared" ref="F36:F64" si="3">IF(OR(D36=0,E36=0),"",ROUND(E36/D36,2))</f>
        <v/>
      </c>
    </row>
    <row r="37" spans="1:6" x14ac:dyDescent="0.2">
      <c r="A37" s="19">
        <v>2</v>
      </c>
      <c r="B37" s="143" t="s">
        <v>1</v>
      </c>
      <c r="C37" s="144"/>
      <c r="D37" s="14">
        <f>IF(F3="1",SUMIF(Data!A:A,'24'!$A$2,Data!CV:CV),0)</f>
        <v>46493</v>
      </c>
      <c r="E37" s="17">
        <f>IF(F3="1",SUMIF(Data!$A:$A,$A$2,Data!IP:IP),0)</f>
        <v>41670</v>
      </c>
      <c r="F37" s="21">
        <f t="shared" si="3"/>
        <v>0.9</v>
      </c>
    </row>
    <row r="38" spans="1:6" ht="14.25" customHeight="1" x14ac:dyDescent="0.2">
      <c r="A38" s="19">
        <v>3</v>
      </c>
      <c r="B38" s="143" t="s">
        <v>2</v>
      </c>
      <c r="C38" s="144"/>
      <c r="D38" s="14">
        <f>IF(F3="1",SUMIF(Data!A:A,'24'!$A$2,Data!CW:CW),0)</f>
        <v>211536</v>
      </c>
      <c r="E38" s="17">
        <f>IF($F$3="1",SUMIF(Data!$A:$A,$A$2,Data!IQ:IQ),0)</f>
        <v>165196</v>
      </c>
      <c r="F38" s="21">
        <f t="shared" si="3"/>
        <v>0.78</v>
      </c>
    </row>
    <row r="39" spans="1:6" ht="14.25" customHeight="1" x14ac:dyDescent="0.2">
      <c r="A39" s="19">
        <v>4</v>
      </c>
      <c r="B39" s="143" t="s">
        <v>3</v>
      </c>
      <c r="C39" s="144"/>
      <c r="D39" s="14">
        <f>IF(F3="1",SUMIF(Data!A:A,'24'!$A$2,Data!CX:CX),0)</f>
        <v>317422</v>
      </c>
      <c r="E39" s="17">
        <f>IF($F$3="1",SUMIF(Data!$A:$A,$A$2,Data!IR:IR),0)</f>
        <v>73588</v>
      </c>
      <c r="F39" s="21">
        <f t="shared" si="3"/>
        <v>0.23</v>
      </c>
    </row>
    <row r="40" spans="1:6" x14ac:dyDescent="0.2">
      <c r="A40" s="19">
        <v>5</v>
      </c>
      <c r="B40" s="143" t="s">
        <v>4</v>
      </c>
      <c r="C40" s="144"/>
      <c r="D40" s="14">
        <f>IF(F3="1",SUMIF(Data!A:A,'24'!$A$2,Data!CY:CY),0)</f>
        <v>0</v>
      </c>
      <c r="E40" s="17">
        <f>IF($F$3="1",SUMIF(Data!$A:$A,$A$2,Data!IS:IS),0)</f>
        <v>0</v>
      </c>
      <c r="F40" s="21" t="str">
        <f t="shared" si="3"/>
        <v/>
      </c>
    </row>
    <row r="41" spans="1:6" x14ac:dyDescent="0.2">
      <c r="A41" s="19">
        <v>6</v>
      </c>
      <c r="B41" s="143" t="s">
        <v>5</v>
      </c>
      <c r="C41" s="144"/>
      <c r="D41" s="14">
        <f>IF(F3="1",SUMIF(Data!A:A,'24'!$A$2,Data!CZ:CZ),0)</f>
        <v>0</v>
      </c>
      <c r="E41" s="17">
        <f>IF($F$3="1",SUMIF(Data!$A:$A,$A$2,Data!IT:IT),0)</f>
        <v>0</v>
      </c>
      <c r="F41" s="21" t="str">
        <f t="shared" si="3"/>
        <v/>
      </c>
    </row>
    <row r="42" spans="1:6" x14ac:dyDescent="0.2">
      <c r="A42" s="19">
        <v>7</v>
      </c>
      <c r="B42" s="143" t="s">
        <v>6</v>
      </c>
      <c r="C42" s="144"/>
      <c r="D42" s="14">
        <f>IF(F3="1",SUMIF(Data!A:A,'24'!$A$2,Data!DA:DA),0)</f>
        <v>257324</v>
      </c>
      <c r="E42" s="17">
        <f>IF($F$3="1",SUMIF(Data!$A:$A,$A$2,Data!IU:IU),0)</f>
        <v>98573</v>
      </c>
      <c r="F42" s="21">
        <f t="shared" si="3"/>
        <v>0.38</v>
      </c>
    </row>
    <row r="43" spans="1:6" x14ac:dyDescent="0.2">
      <c r="A43" s="19">
        <v>8</v>
      </c>
      <c r="B43" s="143" t="s">
        <v>7</v>
      </c>
      <c r="C43" s="144"/>
      <c r="D43" s="14">
        <f>IF(F3="1",SUMIF(Data!A:A,'24'!$A$2,Data!DB:DB),0)</f>
        <v>15730</v>
      </c>
      <c r="E43" s="17">
        <f>IF($F$3="1",SUMIF(Data!$A:$A,$A$2,Data!IV:IV),0)</f>
        <v>38643</v>
      </c>
      <c r="F43" s="21">
        <f t="shared" si="3"/>
        <v>2.46</v>
      </c>
    </row>
    <row r="44" spans="1:6" x14ac:dyDescent="0.2">
      <c r="A44" s="19">
        <v>9</v>
      </c>
      <c r="B44" s="143" t="s">
        <v>8</v>
      </c>
      <c r="C44" s="144"/>
      <c r="D44" s="14">
        <f>IF(F3="1",SUMIF(Data!A:A,'24'!$A$2,Data!DC:DC),0)</f>
        <v>84864</v>
      </c>
      <c r="E44" s="17">
        <f>IF($F$3="1",SUMIF(Data!$A:$A,$A$2,Data!IW:IW),0)</f>
        <v>61241</v>
      </c>
      <c r="F44" s="21">
        <f t="shared" si="3"/>
        <v>0.72</v>
      </c>
    </row>
    <row r="45" spans="1:6" x14ac:dyDescent="0.2">
      <c r="A45" s="19">
        <v>10</v>
      </c>
      <c r="B45" s="143" t="s">
        <v>9</v>
      </c>
      <c r="C45" s="144"/>
      <c r="D45" s="14">
        <f>IF(F3="1",SUMIF(Data!A:A,'24'!$A$2,Data!DD:DD),0)</f>
        <v>0</v>
      </c>
      <c r="E45" s="17">
        <f>IF($F$3="1",SUMIF(Data!$A:$A,$A$2,Data!IX:IX),0)</f>
        <v>0</v>
      </c>
      <c r="F45" s="21" t="str">
        <f t="shared" si="3"/>
        <v/>
      </c>
    </row>
    <row r="46" spans="1:6" x14ac:dyDescent="0.2">
      <c r="A46" s="19">
        <v>11</v>
      </c>
      <c r="B46" s="143" t="s">
        <v>10</v>
      </c>
      <c r="C46" s="144"/>
      <c r="D46" s="14">
        <f>IF(F3="1",SUMIF(Data!A:A,'24'!$A$2,Data!DE:DE),0)</f>
        <v>50060</v>
      </c>
      <c r="E46" s="17">
        <f>IF($F$3="1",SUMIF(Data!$A:$A,$A$2,Data!IY:IY),0)</f>
        <v>37799</v>
      </c>
      <c r="F46" s="21">
        <f t="shared" si="3"/>
        <v>0.76</v>
      </c>
    </row>
    <row r="47" spans="1:6" ht="14.25" customHeight="1" x14ac:dyDescent="0.2">
      <c r="A47" s="19">
        <v>12</v>
      </c>
      <c r="B47" s="143" t="s">
        <v>11</v>
      </c>
      <c r="C47" s="144"/>
      <c r="D47" s="14">
        <f>IF(F3="1",SUMIF(Data!A:A,'24'!$A$2,Data!DF:DF),0)</f>
        <v>634199</v>
      </c>
      <c r="E47" s="17">
        <f>IF($F$3="1",SUMIF(Data!$A:$A,$A$2,Data!IZ:IZ),0)</f>
        <v>124173</v>
      </c>
      <c r="F47" s="21">
        <f t="shared" si="3"/>
        <v>0.2</v>
      </c>
    </row>
    <row r="48" spans="1:6" x14ac:dyDescent="0.2">
      <c r="A48" s="19">
        <v>13</v>
      </c>
      <c r="B48" s="143" t="s">
        <v>12</v>
      </c>
      <c r="C48" s="144"/>
      <c r="D48" s="14">
        <f>IF(F3="1",SUMIF(Data!A:A,'24'!$A$2,Data!DG:DG),0)</f>
        <v>26016</v>
      </c>
      <c r="E48" s="17">
        <f>IF($F$3="1",SUMIF(Data!$A:$A,$A$2,Data!JA:JA),0)</f>
        <v>76612</v>
      </c>
      <c r="F48" s="21">
        <f t="shared" si="3"/>
        <v>2.94</v>
      </c>
    </row>
    <row r="49" spans="1:6" ht="14.25" customHeight="1" x14ac:dyDescent="0.2">
      <c r="A49" s="19">
        <v>14</v>
      </c>
      <c r="B49" s="143" t="s">
        <v>464</v>
      </c>
      <c r="C49" s="144"/>
      <c r="D49" s="14">
        <f>IF(F3="1",SUMIF(Data!A:A,'24'!$A$2,Data!DH:DH),0)</f>
        <v>67443</v>
      </c>
      <c r="E49" s="17">
        <f>IF($F$3="1",SUMIF(Data!$A:$A,$A$2,Data!JB:JB),0)</f>
        <v>58114</v>
      </c>
      <c r="F49" s="21">
        <f t="shared" si="3"/>
        <v>0.86</v>
      </c>
    </row>
    <row r="50" spans="1:6" x14ac:dyDescent="0.2">
      <c r="A50" s="19">
        <v>15</v>
      </c>
      <c r="B50" s="143" t="s">
        <v>13</v>
      </c>
      <c r="C50" s="144"/>
      <c r="D50" s="14">
        <f>IF(F3="1",SUMIF(Data!A:A,'24'!$A$2,Data!DI:DI),0)</f>
        <v>0</v>
      </c>
      <c r="E50" s="17">
        <f>IF($F$3="1",SUMIF(Data!$A:$A,$A$2,Data!JC:JC),0)</f>
        <v>0</v>
      </c>
      <c r="F50" s="21" t="str">
        <f t="shared" si="3"/>
        <v/>
      </c>
    </row>
    <row r="51" spans="1:6" x14ac:dyDescent="0.2">
      <c r="A51" s="19">
        <v>16</v>
      </c>
      <c r="B51" s="143" t="s">
        <v>14</v>
      </c>
      <c r="C51" s="144"/>
      <c r="D51" s="14">
        <f>IF(F3="1",SUMIF(Data!A:A,'24'!$A$2,Data!DJ:DJ),0)</f>
        <v>178330</v>
      </c>
      <c r="E51" s="17">
        <f>IF($F$3="1",SUMIF(Data!$A:$A,$A$2,Data!JD:JD),0)</f>
        <v>31477</v>
      </c>
      <c r="F51" s="21">
        <f t="shared" si="3"/>
        <v>0.18</v>
      </c>
    </row>
    <row r="52" spans="1:6" x14ac:dyDescent="0.2">
      <c r="A52" s="19">
        <v>17</v>
      </c>
      <c r="B52" s="143" t="s">
        <v>15</v>
      </c>
      <c r="C52" s="144"/>
      <c r="D52" s="14">
        <f>IF(F3="1",SUMIF(Data!A:A,'24'!$A$2,Data!DK:DK),0)</f>
        <v>0</v>
      </c>
      <c r="E52" s="17">
        <f>IF($F$3="1",SUMIF(Data!$A:$A,$A$2,Data!JE:JE),0)</f>
        <v>0</v>
      </c>
      <c r="F52" s="21" t="str">
        <f t="shared" si="3"/>
        <v/>
      </c>
    </row>
    <row r="53" spans="1:6" x14ac:dyDescent="0.2">
      <c r="A53" s="19">
        <v>18</v>
      </c>
      <c r="B53" s="143" t="s">
        <v>16</v>
      </c>
      <c r="C53" s="144"/>
      <c r="D53" s="14">
        <f>IF(F3="1",SUMIF(Data!A:A,'24'!$A$2,Data!DL:DL),0)</f>
        <v>40346</v>
      </c>
      <c r="E53" s="17">
        <f>IF($F$3="1",SUMIF(Data!$A:$A,$A$2,Data!JF:JF),0)</f>
        <v>33434</v>
      </c>
      <c r="F53" s="21">
        <f t="shared" si="3"/>
        <v>0.83</v>
      </c>
    </row>
    <row r="54" spans="1:6" x14ac:dyDescent="0.2">
      <c r="A54" s="19">
        <v>19</v>
      </c>
      <c r="B54" s="143" t="s">
        <v>17</v>
      </c>
      <c r="C54" s="144"/>
      <c r="D54" s="14">
        <f>IF(F3="1",SUMIF(Data!A:A,'24'!$A$2,Data!DM:DM),0)</f>
        <v>393440</v>
      </c>
      <c r="E54" s="17">
        <f>IF($F$3="1",SUMIF(Data!$A:$A,$A$2,Data!JG:JG),0)</f>
        <v>90036</v>
      </c>
      <c r="F54" s="21">
        <f t="shared" si="3"/>
        <v>0.23</v>
      </c>
    </row>
    <row r="55" spans="1:6" x14ac:dyDescent="0.2">
      <c r="A55" s="19">
        <v>20</v>
      </c>
      <c r="B55" s="143" t="s">
        <v>18</v>
      </c>
      <c r="C55" s="144"/>
      <c r="D55" s="14">
        <f>IF(F3="1",SUMIF(Data!A:A,'24'!$A$2,Data!DN:DN),0)</f>
        <v>13488</v>
      </c>
      <c r="E55" s="17">
        <f>IF($F$3="1",SUMIF(Data!$A:$A,$A$2,Data!JH:JH),0)</f>
        <v>13247</v>
      </c>
      <c r="F55" s="21">
        <f t="shared" si="3"/>
        <v>0.98</v>
      </c>
    </row>
    <row r="56" spans="1:6" ht="14.25" customHeight="1" x14ac:dyDescent="0.2">
      <c r="A56" s="19">
        <v>21</v>
      </c>
      <c r="B56" s="143" t="s">
        <v>461</v>
      </c>
      <c r="C56" s="144"/>
      <c r="D56" s="14">
        <f>IF(F3="1",SUMIF(Data!A:A,'24'!$A$2,Data!DO:DO),0)</f>
        <v>0</v>
      </c>
      <c r="E56" s="17">
        <f>IF($F$3="1",SUMIF(Data!$A:$A,$A$2,Data!JI:JI),0)</f>
        <v>0</v>
      </c>
      <c r="F56" s="21" t="str">
        <f t="shared" si="3"/>
        <v/>
      </c>
    </row>
    <row r="57" spans="1:6" x14ac:dyDescent="0.2">
      <c r="A57" s="19">
        <v>22</v>
      </c>
      <c r="B57" s="143" t="s">
        <v>19</v>
      </c>
      <c r="C57" s="144"/>
      <c r="D57" s="14">
        <f>IF(F3="1",SUMIF(Data!A:A,'24'!$A$2,Data!DP:DP),0)</f>
        <v>65924</v>
      </c>
      <c r="E57" s="17">
        <f>IF($F$3="1",SUMIF(Data!$A:$A,$A$2,Data!JJ:JJ),0)</f>
        <v>38633</v>
      </c>
      <c r="F57" s="21">
        <f t="shared" si="3"/>
        <v>0.59</v>
      </c>
    </row>
    <row r="58" spans="1:6" x14ac:dyDescent="0.2">
      <c r="A58" s="19">
        <v>23</v>
      </c>
      <c r="B58" s="143" t="s">
        <v>20</v>
      </c>
      <c r="C58" s="144"/>
      <c r="D58" s="14">
        <f>IF(F3="1",SUMIF(Data!A:A,'24'!$A$2,Data!DQ:DQ),0)</f>
        <v>118784</v>
      </c>
      <c r="E58" s="17">
        <f>IF($F$3="1",SUMIF(Data!$A:$A,$A$2,Data!JK:JK),0)</f>
        <v>20473</v>
      </c>
      <c r="F58" s="21">
        <f t="shared" si="3"/>
        <v>0.17</v>
      </c>
    </row>
    <row r="59" spans="1:6" x14ac:dyDescent="0.2">
      <c r="A59" s="19">
        <v>24</v>
      </c>
      <c r="B59" s="143" t="s">
        <v>21</v>
      </c>
      <c r="C59" s="144"/>
      <c r="D59" s="14">
        <f>IF(F3="1",SUMIF(Data!A:A,'24'!$A$2,Data!DR:DR),0)</f>
        <v>232368</v>
      </c>
      <c r="E59" s="17">
        <f>IF($F$3="1",SUMIF(Data!$A:$A,$A$2,Data!JL:JL),0)</f>
        <v>65441</v>
      </c>
      <c r="F59" s="21">
        <f t="shared" si="3"/>
        <v>0.28000000000000003</v>
      </c>
    </row>
    <row r="60" spans="1:6" x14ac:dyDescent="0.2">
      <c r="A60" s="19">
        <v>25</v>
      </c>
      <c r="B60" s="143" t="s">
        <v>22</v>
      </c>
      <c r="C60" s="144"/>
      <c r="D60" s="14">
        <f>IF(F3="1",SUMIF(Data!A:A,'24'!$A$2,Data!DS:DS),0)</f>
        <v>420960</v>
      </c>
      <c r="E60" s="17">
        <f>IF($F$3="1",SUMIF(Data!$A:$A,$A$2,Data!JM:JM),0)</f>
        <v>50825</v>
      </c>
      <c r="F60" s="21">
        <f t="shared" si="3"/>
        <v>0.12</v>
      </c>
    </row>
    <row r="61" spans="1:6" x14ac:dyDescent="0.2">
      <c r="A61" s="19">
        <v>26</v>
      </c>
      <c r="B61" s="143" t="s">
        <v>23</v>
      </c>
      <c r="C61" s="144"/>
      <c r="D61" s="14">
        <f>IF(F3="1",SUMIF(Data!A:A,'24'!$A$2,Data!DT:DT),0)</f>
        <v>157088</v>
      </c>
      <c r="E61" s="17">
        <f>IF($F$3="1",SUMIF(Data!$A:$A,$A$2,Data!JN:JN),0)</f>
        <v>204581</v>
      </c>
      <c r="F61" s="21">
        <f t="shared" si="3"/>
        <v>1.3</v>
      </c>
    </row>
    <row r="62" spans="1:6" x14ac:dyDescent="0.2">
      <c r="A62" s="19">
        <v>28</v>
      </c>
      <c r="B62" s="143" t="s">
        <v>24</v>
      </c>
      <c r="C62" s="144"/>
      <c r="D62" s="14">
        <f>IF(F3="1",SUMIF(Data!A:A,'24'!$A$2,Data!DV:DV),0)</f>
        <v>0</v>
      </c>
      <c r="E62" s="17">
        <f>IF($F$3="1",SUMIF(Data!$A:$A,$A$2,Data!JP:JP),0)</f>
        <v>0</v>
      </c>
      <c r="F62" s="21" t="str">
        <f t="shared" si="3"/>
        <v/>
      </c>
    </row>
    <row r="63" spans="1:6" ht="15.75" customHeight="1" thickBot="1" x14ac:dyDescent="0.25">
      <c r="A63" s="22">
        <v>29</v>
      </c>
      <c r="B63" s="147" t="s">
        <v>25</v>
      </c>
      <c r="C63" s="148"/>
      <c r="D63" s="23">
        <f>IF(F3="1",SUMIF(Data!A:A,'24'!$A$2,Data!DW:DW),0)</f>
        <v>0</v>
      </c>
      <c r="E63" s="24">
        <f>IF($F$3="1",SUMIF(Data!$A:$A,$A$2,Data!JQ:JQ),0)</f>
        <v>0</v>
      </c>
      <c r="F63" s="25" t="str">
        <f t="shared" si="3"/>
        <v/>
      </c>
    </row>
    <row r="64" spans="1:6" x14ac:dyDescent="0.2">
      <c r="B64" s="30" t="s">
        <v>35</v>
      </c>
      <c r="C64" s="30"/>
      <c r="D64" s="59">
        <f>SUM(D36:D63)</f>
        <v>3331815</v>
      </c>
      <c r="E64" s="31">
        <f>SUM(E36:E63)</f>
        <v>1323756</v>
      </c>
      <c r="F64" s="32">
        <f t="shared" si="3"/>
        <v>0.4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IF(F3="1",SUMIF(Data!A:A,'24'!$A$2,Data!DY:DY),0)</f>
        <v>0</v>
      </c>
      <c r="F67" s="20" t="str">
        <f t="shared" ref="F67:F95" si="4">IF(OR(D67=0,E67=0),"",ROUND(E67/D67,2))</f>
        <v/>
      </c>
    </row>
    <row r="68" spans="1:6" x14ac:dyDescent="0.2">
      <c r="A68" s="19">
        <v>2</v>
      </c>
      <c r="B68" s="143" t="s">
        <v>1</v>
      </c>
      <c r="C68" s="144"/>
      <c r="D68" s="14">
        <f t="shared" ref="D68:D94" si="5">D37</f>
        <v>46493</v>
      </c>
      <c r="E68" s="17">
        <f>IF(F3="1",SUMIF(Data!A:A,'24'!$A$2,Data!DZ:DZ),0)</f>
        <v>131607</v>
      </c>
      <c r="F68" s="21">
        <f t="shared" si="4"/>
        <v>2.83</v>
      </c>
    </row>
    <row r="69" spans="1:6" ht="14.25" customHeight="1" x14ac:dyDescent="0.2">
      <c r="A69" s="19">
        <v>3</v>
      </c>
      <c r="B69" s="143" t="s">
        <v>2</v>
      </c>
      <c r="C69" s="144"/>
      <c r="D69" s="14">
        <f t="shared" si="5"/>
        <v>211536</v>
      </c>
      <c r="E69" s="17">
        <f>IF(F3="1",SUMIF(Data!A:A,'24'!$A$2,Data!EA:EA),0)</f>
        <v>675409</v>
      </c>
      <c r="F69" s="21">
        <f t="shared" si="4"/>
        <v>3.19</v>
      </c>
    </row>
    <row r="70" spans="1:6" ht="14.25" customHeight="1" x14ac:dyDescent="0.2">
      <c r="A70" s="19">
        <v>4</v>
      </c>
      <c r="B70" s="143" t="s">
        <v>3</v>
      </c>
      <c r="C70" s="144"/>
      <c r="D70" s="14">
        <f t="shared" si="5"/>
        <v>317422</v>
      </c>
      <c r="E70" s="17">
        <f>IF(F3="1",SUMIF(Data!A:A,'24'!$A$2,Data!EB:EB),0)</f>
        <v>1119369</v>
      </c>
      <c r="F70" s="21">
        <f t="shared" si="4"/>
        <v>3.53</v>
      </c>
    </row>
    <row r="71" spans="1:6" x14ac:dyDescent="0.2">
      <c r="A71" s="19">
        <v>5</v>
      </c>
      <c r="B71" s="143" t="s">
        <v>4</v>
      </c>
      <c r="C71" s="144"/>
      <c r="D71" s="14">
        <f t="shared" si="5"/>
        <v>0</v>
      </c>
      <c r="E71" s="17">
        <f>IF(F3="1",SUMIF(Data!A:A,'24'!$A$2,Data!EC:EC),0)</f>
        <v>0</v>
      </c>
      <c r="F71" s="21" t="str">
        <f t="shared" si="4"/>
        <v/>
      </c>
    </row>
    <row r="72" spans="1:6" x14ac:dyDescent="0.2">
      <c r="A72" s="19">
        <v>6</v>
      </c>
      <c r="B72" s="143" t="s">
        <v>5</v>
      </c>
      <c r="C72" s="144"/>
      <c r="D72" s="14">
        <f t="shared" si="5"/>
        <v>0</v>
      </c>
      <c r="E72" s="17">
        <f>IF(F3="1",SUMIF(Data!A:A,'24'!$A$2,Data!ED:ED),0)</f>
        <v>0</v>
      </c>
      <c r="F72" s="21" t="str">
        <f t="shared" si="4"/>
        <v/>
      </c>
    </row>
    <row r="73" spans="1:6" x14ac:dyDescent="0.2">
      <c r="A73" s="19">
        <v>7</v>
      </c>
      <c r="B73" s="143" t="s">
        <v>6</v>
      </c>
      <c r="C73" s="144"/>
      <c r="D73" s="14">
        <f t="shared" si="5"/>
        <v>257324</v>
      </c>
      <c r="E73" s="17">
        <f>IF(F3="1",SUMIF(Data!A:A,'24'!$A$2,Data!EE:EE),0)</f>
        <v>677738</v>
      </c>
      <c r="F73" s="21">
        <f t="shared" si="4"/>
        <v>2.63</v>
      </c>
    </row>
    <row r="74" spans="1:6" x14ac:dyDescent="0.2">
      <c r="A74" s="19">
        <v>8</v>
      </c>
      <c r="B74" s="143" t="s">
        <v>7</v>
      </c>
      <c r="C74" s="144"/>
      <c r="D74" s="14">
        <f t="shared" si="5"/>
        <v>15730</v>
      </c>
      <c r="E74" s="17">
        <f>IF(F3="1",SUMIF(Data!A:A,'24'!$A$2,Data!EF:EF),0)</f>
        <v>90068</v>
      </c>
      <c r="F74" s="21">
        <f t="shared" si="4"/>
        <v>5.73</v>
      </c>
    </row>
    <row r="75" spans="1:6" x14ac:dyDescent="0.2">
      <c r="A75" s="19">
        <v>9</v>
      </c>
      <c r="B75" s="143" t="s">
        <v>8</v>
      </c>
      <c r="C75" s="144"/>
      <c r="D75" s="14">
        <f t="shared" si="5"/>
        <v>84864</v>
      </c>
      <c r="E75" s="17">
        <f>IF(F3="1",SUMIF(Data!A:A,'24'!$A$2,Data!EG:EG),0)</f>
        <v>215735</v>
      </c>
      <c r="F75" s="21">
        <f t="shared" si="4"/>
        <v>2.54</v>
      </c>
    </row>
    <row r="76" spans="1:6" x14ac:dyDescent="0.2">
      <c r="A76" s="19">
        <v>10</v>
      </c>
      <c r="B76" s="143" t="s">
        <v>9</v>
      </c>
      <c r="C76" s="144"/>
      <c r="D76" s="14">
        <f t="shared" si="5"/>
        <v>0</v>
      </c>
      <c r="E76" s="17">
        <f>IF(F3="1",SUMIF(Data!A:A,'24'!$A$2,Data!EH:EH),0)</f>
        <v>0</v>
      </c>
      <c r="F76" s="21" t="str">
        <f t="shared" si="4"/>
        <v/>
      </c>
    </row>
    <row r="77" spans="1:6" x14ac:dyDescent="0.2">
      <c r="A77" s="19">
        <v>11</v>
      </c>
      <c r="B77" s="143" t="s">
        <v>10</v>
      </c>
      <c r="C77" s="144"/>
      <c r="D77" s="14">
        <f t="shared" si="5"/>
        <v>50060</v>
      </c>
      <c r="E77" s="17">
        <f>IF(F3="1",SUMIF(Data!A:A,'24'!$A$2,Data!EI:EI),0)</f>
        <v>74062</v>
      </c>
      <c r="F77" s="21">
        <f t="shared" si="4"/>
        <v>1.48</v>
      </c>
    </row>
    <row r="78" spans="1:6" ht="14.25" customHeight="1" x14ac:dyDescent="0.2">
      <c r="A78" s="19">
        <v>12</v>
      </c>
      <c r="B78" s="143" t="s">
        <v>11</v>
      </c>
      <c r="C78" s="144"/>
      <c r="D78" s="14">
        <f t="shared" si="5"/>
        <v>634199</v>
      </c>
      <c r="E78" s="17">
        <f>IF(F3="1",SUMIF(Data!A:A,'24'!$A$2,Data!EJ:EJ),0)</f>
        <v>1803889</v>
      </c>
      <c r="F78" s="21">
        <f t="shared" si="4"/>
        <v>2.84</v>
      </c>
    </row>
    <row r="79" spans="1:6" x14ac:dyDescent="0.2">
      <c r="A79" s="19">
        <v>13</v>
      </c>
      <c r="B79" s="143" t="s">
        <v>12</v>
      </c>
      <c r="C79" s="144"/>
      <c r="D79" s="14">
        <f t="shared" si="5"/>
        <v>26016</v>
      </c>
      <c r="E79" s="17">
        <f>IF(F3="1",SUMIF(Data!A:A,'24'!$A$2,Data!EK:EK),0)</f>
        <v>415916</v>
      </c>
      <c r="F79" s="21">
        <f t="shared" si="4"/>
        <v>15.99</v>
      </c>
    </row>
    <row r="80" spans="1:6" ht="14.25" customHeight="1" x14ac:dyDescent="0.2">
      <c r="A80" s="19">
        <v>14</v>
      </c>
      <c r="B80" s="143" t="s">
        <v>464</v>
      </c>
      <c r="C80" s="144"/>
      <c r="D80" s="14">
        <f t="shared" si="5"/>
        <v>67443</v>
      </c>
      <c r="E80" s="17">
        <f>IF(F3="1",SUMIF(Data!A:A,'24'!$A$2,Data!EL:EL),0)</f>
        <v>609537</v>
      </c>
      <c r="F80" s="21">
        <f t="shared" si="4"/>
        <v>9.0399999999999991</v>
      </c>
    </row>
    <row r="81" spans="1:6" x14ac:dyDescent="0.2">
      <c r="A81" s="19">
        <v>15</v>
      </c>
      <c r="B81" s="143" t="s">
        <v>13</v>
      </c>
      <c r="C81" s="144"/>
      <c r="D81" s="14">
        <f t="shared" si="5"/>
        <v>0</v>
      </c>
      <c r="E81" s="17">
        <f>IF(F3="1",SUMIF(Data!A:A,'24'!$A$2,Data!EM:EM),0)</f>
        <v>0</v>
      </c>
      <c r="F81" s="21" t="str">
        <f t="shared" si="4"/>
        <v/>
      </c>
    </row>
    <row r="82" spans="1:6" x14ac:dyDescent="0.2">
      <c r="A82" s="19">
        <v>16</v>
      </c>
      <c r="B82" s="143" t="s">
        <v>14</v>
      </c>
      <c r="C82" s="144"/>
      <c r="D82" s="14">
        <f t="shared" si="5"/>
        <v>178330</v>
      </c>
      <c r="E82" s="17">
        <f>IF(F3="1",SUMIF(Data!A:A,'24'!$A$2,Data!EN:EN),0)</f>
        <v>525612</v>
      </c>
      <c r="F82" s="21">
        <f t="shared" si="4"/>
        <v>2.95</v>
      </c>
    </row>
    <row r="83" spans="1:6" x14ac:dyDescent="0.2">
      <c r="A83" s="19">
        <v>17</v>
      </c>
      <c r="B83" s="143" t="s">
        <v>15</v>
      </c>
      <c r="C83" s="144"/>
      <c r="D83" s="14">
        <f t="shared" si="5"/>
        <v>0</v>
      </c>
      <c r="E83" s="17">
        <f>IF(F3="1",SUMIF(Data!A:A,'24'!$A$2,Data!EO:EO),0)</f>
        <v>0</v>
      </c>
      <c r="F83" s="21" t="str">
        <f t="shared" si="4"/>
        <v/>
      </c>
    </row>
    <row r="84" spans="1:6" x14ac:dyDescent="0.2">
      <c r="A84" s="19">
        <v>18</v>
      </c>
      <c r="B84" s="143" t="s">
        <v>16</v>
      </c>
      <c r="C84" s="144"/>
      <c r="D84" s="14">
        <f t="shared" si="5"/>
        <v>40346</v>
      </c>
      <c r="E84" s="17">
        <f>IF(F3="1",SUMIF(Data!A:A,'24'!$A$2,Data!EP:EP),0)</f>
        <v>250549</v>
      </c>
      <c r="F84" s="21">
        <f t="shared" si="4"/>
        <v>6.21</v>
      </c>
    </row>
    <row r="85" spans="1:6" x14ac:dyDescent="0.2">
      <c r="A85" s="19">
        <v>19</v>
      </c>
      <c r="B85" s="143" t="s">
        <v>17</v>
      </c>
      <c r="C85" s="144"/>
      <c r="D85" s="14">
        <f t="shared" si="5"/>
        <v>393440</v>
      </c>
      <c r="E85" s="17">
        <f>IF(F3="1",SUMIF(Data!A:A,'24'!$A$2,Data!EQ:EQ),0)</f>
        <v>879689</v>
      </c>
      <c r="F85" s="21">
        <f t="shared" si="4"/>
        <v>2.2400000000000002</v>
      </c>
    </row>
    <row r="86" spans="1:6" x14ac:dyDescent="0.2">
      <c r="A86" s="19">
        <v>20</v>
      </c>
      <c r="B86" s="143" t="s">
        <v>18</v>
      </c>
      <c r="C86" s="144"/>
      <c r="D86" s="14">
        <f t="shared" si="5"/>
        <v>13488</v>
      </c>
      <c r="E86" s="17">
        <f>IF(F3="1",SUMIF(Data!A:A,'24'!$A$2,Data!ER:ER),0)</f>
        <v>106849</v>
      </c>
      <c r="F86" s="21">
        <f t="shared" si="4"/>
        <v>7.92</v>
      </c>
    </row>
    <row r="87" spans="1:6" ht="14.25" customHeight="1" x14ac:dyDescent="0.2">
      <c r="A87" s="19">
        <v>21</v>
      </c>
      <c r="B87" s="143" t="s">
        <v>461</v>
      </c>
      <c r="C87" s="144"/>
      <c r="D87" s="14">
        <f t="shared" si="5"/>
        <v>0</v>
      </c>
      <c r="E87" s="17">
        <f>IF(F3="1",SUMIF(Data!A:A,'24'!$A$2,Data!ES:ES),0)</f>
        <v>0</v>
      </c>
      <c r="F87" s="21" t="str">
        <f t="shared" si="4"/>
        <v/>
      </c>
    </row>
    <row r="88" spans="1:6" x14ac:dyDescent="0.2">
      <c r="A88" s="19">
        <v>22</v>
      </c>
      <c r="B88" s="143" t="s">
        <v>19</v>
      </c>
      <c r="C88" s="144"/>
      <c r="D88" s="14">
        <f t="shared" si="5"/>
        <v>65924</v>
      </c>
      <c r="E88" s="17">
        <f>IF(F3="1",SUMIF(Data!A:A,'24'!$A$2,Data!ET:ET),0)</f>
        <v>278471</v>
      </c>
      <c r="F88" s="21">
        <f t="shared" si="4"/>
        <v>4.22</v>
      </c>
    </row>
    <row r="89" spans="1:6" x14ac:dyDescent="0.2">
      <c r="A89" s="19">
        <v>23</v>
      </c>
      <c r="B89" s="143" t="s">
        <v>20</v>
      </c>
      <c r="C89" s="144"/>
      <c r="D89" s="14">
        <f t="shared" si="5"/>
        <v>118784</v>
      </c>
      <c r="E89" s="17">
        <f>IF(F3="1",SUMIF(Data!A:A,'24'!$A$2,Data!EU:EU),0)</f>
        <v>294383</v>
      </c>
      <c r="F89" s="21">
        <f t="shared" si="4"/>
        <v>2.48</v>
      </c>
    </row>
    <row r="90" spans="1:6" x14ac:dyDescent="0.2">
      <c r="A90" s="19">
        <v>24</v>
      </c>
      <c r="B90" s="143" t="s">
        <v>21</v>
      </c>
      <c r="C90" s="144"/>
      <c r="D90" s="14">
        <f t="shared" si="5"/>
        <v>232368</v>
      </c>
      <c r="E90" s="17">
        <f>IF(F3="1",SUMIF(Data!A:A,'24'!$A$2,Data!EV:EV),0)</f>
        <v>344163</v>
      </c>
      <c r="F90" s="21">
        <f t="shared" si="4"/>
        <v>1.48</v>
      </c>
    </row>
    <row r="91" spans="1:6" x14ac:dyDescent="0.2">
      <c r="A91" s="19">
        <v>25</v>
      </c>
      <c r="B91" s="143" t="s">
        <v>22</v>
      </c>
      <c r="C91" s="144"/>
      <c r="D91" s="14">
        <f t="shared" si="5"/>
        <v>420960</v>
      </c>
      <c r="E91" s="17">
        <f>IF(F3="1",SUMIF(Data!A:A,'24'!$A$2,Data!EW:EW),0)</f>
        <v>921038</v>
      </c>
      <c r="F91" s="21">
        <f t="shared" si="4"/>
        <v>2.19</v>
      </c>
    </row>
    <row r="92" spans="1:6" x14ac:dyDescent="0.2">
      <c r="A92" s="19">
        <v>26</v>
      </c>
      <c r="B92" s="143" t="s">
        <v>23</v>
      </c>
      <c r="C92" s="144"/>
      <c r="D92" s="14">
        <f t="shared" si="5"/>
        <v>157088</v>
      </c>
      <c r="E92" s="17">
        <f>IF(F3="1",SUMIF(Data!A:A,'24'!$A$2,Data!EX:EX),0)</f>
        <v>666352</v>
      </c>
      <c r="F92" s="21">
        <f t="shared" si="4"/>
        <v>4.24</v>
      </c>
    </row>
    <row r="93" spans="1:6" x14ac:dyDescent="0.2">
      <c r="A93" s="19">
        <v>28</v>
      </c>
      <c r="B93" s="143" t="s">
        <v>24</v>
      </c>
      <c r="C93" s="144"/>
      <c r="D93" s="14">
        <f t="shared" si="5"/>
        <v>0</v>
      </c>
      <c r="E93" s="17">
        <f>IF(F3="1",SUMIF(Data!A:A,'24'!$A$2,Data!EZ:EZ),0)</f>
        <v>0</v>
      </c>
      <c r="F93" s="21" t="str">
        <f t="shared" si="4"/>
        <v/>
      </c>
    </row>
    <row r="94" spans="1:6" ht="15.75" customHeight="1" thickBot="1" x14ac:dyDescent="0.25">
      <c r="A94" s="22">
        <v>29</v>
      </c>
      <c r="B94" s="147" t="s">
        <v>25</v>
      </c>
      <c r="C94" s="148"/>
      <c r="D94" s="23">
        <f t="shared" si="5"/>
        <v>0</v>
      </c>
      <c r="E94" s="24">
        <f>IF(F3="1",SUMIF(Data!A:A,'24'!$A$2,Data!FA:FA),0)</f>
        <v>0</v>
      </c>
      <c r="F94" s="25" t="str">
        <f t="shared" si="4"/>
        <v/>
      </c>
    </row>
    <row r="95" spans="1:6" x14ac:dyDescent="0.2">
      <c r="B95" s="30" t="s">
        <v>35</v>
      </c>
      <c r="C95" s="30"/>
      <c r="D95" s="59">
        <f>SUM(D67:D94)</f>
        <v>3331815</v>
      </c>
      <c r="E95" s="31">
        <f>SUM(E67:E94)</f>
        <v>10080436</v>
      </c>
      <c r="F95" s="32">
        <f t="shared" si="4"/>
        <v>3.03</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IF(F3="1",SUMIF(Data!A:A,'24'!$A$2,Data!AH:AH),0)</f>
        <v>4128804</v>
      </c>
      <c r="F98" s="20">
        <f>IF(OR(E98=0,E98=0),"",ROUND(E98/$D$105,2))</f>
        <v>1.24</v>
      </c>
    </row>
    <row r="99" spans="2:6" x14ac:dyDescent="0.2">
      <c r="B99" s="153" t="s">
        <v>31</v>
      </c>
      <c r="C99" s="154"/>
      <c r="D99" s="36"/>
      <c r="E99" s="17">
        <f>IF(F3="1",SUMIF(Data!A:A,'24'!$A$2,Data!AI:AI),0)</f>
        <v>2159383</v>
      </c>
      <c r="F99" s="21">
        <f t="shared" ref="F99:F104" si="6">IF(OR(E99=0,E99=0),"",ROUND(E99/$D$105,2))</f>
        <v>0.65</v>
      </c>
    </row>
    <row r="100" spans="2:6" x14ac:dyDescent="0.2">
      <c r="B100" s="153" t="s">
        <v>1078</v>
      </c>
      <c r="C100" s="154"/>
      <c r="D100" s="36"/>
      <c r="E100" s="17">
        <f>IF(F3="1",SUMIF(Data!A:A,'24'!$A$2,Data!AJ:AJ),0)</f>
        <v>1113957</v>
      </c>
      <c r="F100" s="21">
        <f t="shared" si="6"/>
        <v>0.33</v>
      </c>
    </row>
    <row r="101" spans="2:6" x14ac:dyDescent="0.2">
      <c r="B101" s="153" t="s">
        <v>1079</v>
      </c>
      <c r="C101" s="154"/>
      <c r="D101" s="36"/>
      <c r="E101" s="17">
        <f>IF(F3="1",SUMIF(Data!A:A,'24'!$A$2,Data!AK:AK),0)</f>
        <v>504570</v>
      </c>
      <c r="F101" s="21">
        <f t="shared" si="6"/>
        <v>0.15</v>
      </c>
    </row>
    <row r="102" spans="2:6" x14ac:dyDescent="0.2">
      <c r="B102" s="153" t="s">
        <v>1080</v>
      </c>
      <c r="C102" s="154"/>
      <c r="D102" s="36"/>
      <c r="E102" s="17">
        <f>IF(F3="1",SUMIF(Data!A:A,'24'!$A$2,Data!AL:AL),0)</f>
        <v>0</v>
      </c>
      <c r="F102" s="21" t="str">
        <f t="shared" si="6"/>
        <v/>
      </c>
    </row>
    <row r="103" spans="2:6" x14ac:dyDescent="0.2">
      <c r="B103" s="155" t="s">
        <v>34</v>
      </c>
      <c r="C103" s="156"/>
      <c r="D103" s="36"/>
      <c r="E103" s="17">
        <f>IF(F3="1",SUMIF(Data!A:A,'24'!$A$2,Data!AM:AM),0)</f>
        <v>0</v>
      </c>
      <c r="F103" s="21" t="str">
        <f t="shared" si="6"/>
        <v/>
      </c>
    </row>
    <row r="104" spans="2:6" ht="15.75" customHeight="1" thickBot="1" x14ac:dyDescent="0.25">
      <c r="B104" s="149" t="s">
        <v>29</v>
      </c>
      <c r="C104" s="150"/>
      <c r="D104" s="37"/>
      <c r="E104" s="24">
        <f>IF(F3="1",SUMIF(Data!A:A,'24'!$A$2,Data!Q:Q),0)</f>
        <v>2208965</v>
      </c>
      <c r="F104" s="25">
        <f t="shared" si="6"/>
        <v>0.66</v>
      </c>
    </row>
    <row r="105" spans="2:6" x14ac:dyDescent="0.2">
      <c r="B105" s="30" t="s">
        <v>35</v>
      </c>
      <c r="C105" s="30"/>
      <c r="D105" s="34">
        <f>D95</f>
        <v>3331815</v>
      </c>
      <c r="E105" s="31">
        <f>SUM(E98:E104)</f>
        <v>10115679</v>
      </c>
      <c r="F105" s="32">
        <f>IF($D$105=0,"",ROUND(E105/$D$105,2))</f>
        <v>3.04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10080436</v>
      </c>
      <c r="D109" s="15">
        <f>IF(F3="1",SUMIF(Data!$A:$A,$A$2,Data!HJ:HJ),0)</f>
        <v>0</v>
      </c>
      <c r="E109" s="15">
        <f>IF(F3="1",SUMIF(Data!$A:$A,$A$2,Data!IN:IN),0)</f>
        <v>0</v>
      </c>
      <c r="F109" s="47">
        <f>SUM(C109:E109)</f>
        <v>10080436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2208965</v>
      </c>
      <c r="E117" s="52"/>
      <c r="F117" s="49">
        <f>SUM(C117:E117)</f>
        <v>2208965</v>
      </c>
    </row>
    <row r="118" spans="1:6" x14ac:dyDescent="0.2">
      <c r="B118" s="13" t="s">
        <v>35</v>
      </c>
      <c r="C118" s="4">
        <f>SUM(C109:C116)</f>
        <v>10080436</v>
      </c>
      <c r="D118" s="4">
        <f>SUM(D109:D116)</f>
        <v>0</v>
      </c>
      <c r="E118" s="4">
        <f>SUM(E109:E116)</f>
        <v>0</v>
      </c>
      <c r="F118" s="4">
        <f>SUM(F109:F116)</f>
        <v>10080436</v>
      </c>
    </row>
    <row r="119" spans="1:6" ht="15" thickBot="1" x14ac:dyDescent="0.25"/>
    <row r="120" spans="1:6" ht="15" thickBot="1" x14ac:dyDescent="0.25">
      <c r="B120" s="55" t="s">
        <v>934</v>
      </c>
      <c r="C120" s="53"/>
      <c r="D120" s="53"/>
      <c r="E120" s="53">
        <f>IF(F3="1",SUMIF(Data!A:A,'24'!$A$2,Data!AM:AM),0)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380</v>
      </c>
      <c r="B2" s="58" t="str">
        <f>VLOOKUP(A2,Data!A:G,7,0)</f>
        <v>Lee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64800</v>
      </c>
      <c r="E5" s="15">
        <f>E36+E67+IFERROR($E$105/$D$105*D5,0)</f>
        <v>390646.00179362961</v>
      </c>
      <c r="F5" s="20">
        <f>IF(OR(D5=0,E5=0),"",ROUND(E5/D5,2))</f>
        <v>6.03</v>
      </c>
    </row>
    <row r="6" spans="1:6" x14ac:dyDescent="0.2">
      <c r="A6" s="19">
        <v>2</v>
      </c>
      <c r="B6" s="143" t="s">
        <v>1</v>
      </c>
      <c r="C6" s="144"/>
      <c r="D6" s="14">
        <f t="shared" ref="D6:D32" si="0">D37</f>
        <v>381010</v>
      </c>
      <c r="E6" s="17">
        <f t="shared" ref="E6:E32" si="1">E37+E68+IFERROR($E$105/$D$105*D6,0)</f>
        <v>2372309.359002945</v>
      </c>
      <c r="F6" s="21">
        <f t="shared" ref="F6:F33" si="2">IF(OR(D6=0,E6=0),"",ROUND(E6/D6,2))</f>
        <v>6.23</v>
      </c>
    </row>
    <row r="7" spans="1:6" ht="14.25" customHeight="1" x14ac:dyDescent="0.2">
      <c r="A7" s="19">
        <v>3</v>
      </c>
      <c r="B7" s="143" t="s">
        <v>2</v>
      </c>
      <c r="C7" s="144"/>
      <c r="D7" s="14">
        <f t="shared" si="0"/>
        <v>198672</v>
      </c>
      <c r="E7" s="17">
        <f t="shared" si="1"/>
        <v>1882287.310684321</v>
      </c>
      <c r="F7" s="21">
        <f t="shared" si="2"/>
        <v>9.4700000000000006</v>
      </c>
    </row>
    <row r="8" spans="1:6" ht="14.25" customHeight="1" x14ac:dyDescent="0.2">
      <c r="A8" s="19">
        <v>4</v>
      </c>
      <c r="B8" s="143" t="s">
        <v>3</v>
      </c>
      <c r="C8" s="144"/>
      <c r="D8" s="14">
        <f t="shared" si="0"/>
        <v>274030</v>
      </c>
      <c r="E8" s="17">
        <f t="shared" si="1"/>
        <v>2242747.1208566101</v>
      </c>
      <c r="F8" s="21">
        <f t="shared" si="2"/>
        <v>8.18</v>
      </c>
    </row>
    <row r="9" spans="1:6" x14ac:dyDescent="0.2">
      <c r="A9" s="19">
        <v>5</v>
      </c>
      <c r="B9" s="143" t="s">
        <v>4</v>
      </c>
      <c r="C9" s="144"/>
      <c r="D9" s="14">
        <f t="shared" si="0"/>
        <v>9616</v>
      </c>
      <c r="E9" s="17">
        <f t="shared" si="1"/>
        <v>106563.70594517814</v>
      </c>
      <c r="F9" s="21">
        <f t="shared" si="2"/>
        <v>11.08</v>
      </c>
    </row>
    <row r="10" spans="1:6" x14ac:dyDescent="0.2">
      <c r="A10" s="19">
        <v>6</v>
      </c>
      <c r="B10" s="143" t="s">
        <v>5</v>
      </c>
      <c r="C10" s="144"/>
      <c r="D10" s="14">
        <f t="shared" si="0"/>
        <v>5760</v>
      </c>
      <c r="E10" s="17">
        <f t="shared" si="1"/>
        <v>114024.37793721152</v>
      </c>
      <c r="F10" s="21">
        <f t="shared" si="2"/>
        <v>19.8</v>
      </c>
    </row>
    <row r="11" spans="1:6" x14ac:dyDescent="0.2">
      <c r="A11" s="19">
        <v>7</v>
      </c>
      <c r="B11" s="143" t="s">
        <v>6</v>
      </c>
      <c r="C11" s="144"/>
      <c r="D11" s="14">
        <f t="shared" si="0"/>
        <v>220794</v>
      </c>
      <c r="E11" s="17">
        <f t="shared" si="1"/>
        <v>1560211.3340744239</v>
      </c>
      <c r="F11" s="21">
        <f t="shared" si="2"/>
        <v>7.07</v>
      </c>
    </row>
    <row r="12" spans="1:6" x14ac:dyDescent="0.2">
      <c r="A12" s="19">
        <v>8</v>
      </c>
      <c r="B12" s="143" t="s">
        <v>7</v>
      </c>
      <c r="C12" s="144"/>
      <c r="D12" s="14">
        <f t="shared" si="0"/>
        <v>2368</v>
      </c>
      <c r="E12" s="17">
        <f t="shared" si="1"/>
        <v>15459.25537418696</v>
      </c>
      <c r="F12" s="21">
        <f t="shared" si="2"/>
        <v>6.53</v>
      </c>
    </row>
    <row r="13" spans="1:6" x14ac:dyDescent="0.2">
      <c r="A13" s="19">
        <v>9</v>
      </c>
      <c r="B13" s="143" t="s">
        <v>8</v>
      </c>
      <c r="C13" s="144"/>
      <c r="D13" s="14">
        <f t="shared" si="0"/>
        <v>57646</v>
      </c>
      <c r="E13" s="17">
        <f t="shared" si="1"/>
        <v>402283.62301536382</v>
      </c>
      <c r="F13" s="21">
        <f t="shared" si="2"/>
        <v>6.98</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131332</v>
      </c>
      <c r="E15" s="17">
        <f t="shared" si="1"/>
        <v>887559.98598087917</v>
      </c>
      <c r="F15" s="21">
        <f t="shared" si="2"/>
        <v>6.76</v>
      </c>
    </row>
    <row r="16" spans="1:6" ht="14.25" customHeight="1" x14ac:dyDescent="0.2">
      <c r="A16" s="19">
        <v>12</v>
      </c>
      <c r="B16" s="143" t="s">
        <v>11</v>
      </c>
      <c r="C16" s="144"/>
      <c r="D16" s="14">
        <f t="shared" si="0"/>
        <v>282256</v>
      </c>
      <c r="E16" s="17">
        <f t="shared" si="1"/>
        <v>2516052.5949731902</v>
      </c>
      <c r="F16" s="21">
        <f t="shared" si="2"/>
        <v>8.91</v>
      </c>
    </row>
    <row r="17" spans="1:6" x14ac:dyDescent="0.2">
      <c r="A17" s="19">
        <v>13</v>
      </c>
      <c r="B17" s="143" t="s">
        <v>12</v>
      </c>
      <c r="C17" s="144"/>
      <c r="D17" s="14">
        <f t="shared" si="0"/>
        <v>45216</v>
      </c>
      <c r="E17" s="17">
        <f t="shared" si="1"/>
        <v>380950.91680711048</v>
      </c>
      <c r="F17" s="21">
        <f t="shared" si="2"/>
        <v>8.43</v>
      </c>
    </row>
    <row r="18" spans="1:6" ht="14.25" customHeight="1" x14ac:dyDescent="0.2">
      <c r="A18" s="19">
        <v>14</v>
      </c>
      <c r="B18" s="143" t="s">
        <v>464</v>
      </c>
      <c r="C18" s="144"/>
      <c r="D18" s="14">
        <f t="shared" si="0"/>
        <v>59744</v>
      </c>
      <c r="E18" s="17">
        <f t="shared" si="1"/>
        <v>757811.970048744</v>
      </c>
      <c r="F18" s="21">
        <f t="shared" si="2"/>
        <v>12.68</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56867</v>
      </c>
      <c r="E20" s="17">
        <f t="shared" si="1"/>
        <v>413795.35783948051</v>
      </c>
      <c r="F20" s="21">
        <f t="shared" si="2"/>
        <v>7.28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58800</v>
      </c>
      <c r="E22" s="17">
        <f t="shared" si="1"/>
        <v>471747.48310903431</v>
      </c>
      <c r="F22" s="21">
        <f t="shared" si="2"/>
        <v>8.02</v>
      </c>
    </row>
    <row r="23" spans="1:6" x14ac:dyDescent="0.2">
      <c r="A23" s="19">
        <v>19</v>
      </c>
      <c r="B23" s="143" t="s">
        <v>17</v>
      </c>
      <c r="C23" s="144"/>
      <c r="D23" s="14">
        <f t="shared" si="0"/>
        <v>270944</v>
      </c>
      <c r="E23" s="17">
        <f t="shared" si="1"/>
        <v>1984802.8277464998</v>
      </c>
      <c r="F23" s="21">
        <f t="shared" si="2"/>
        <v>7.33</v>
      </c>
    </row>
    <row r="24" spans="1:6" x14ac:dyDescent="0.2">
      <c r="A24" s="19">
        <v>20</v>
      </c>
      <c r="B24" s="143" t="s">
        <v>18</v>
      </c>
      <c r="C24" s="144"/>
      <c r="D24" s="14">
        <f t="shared" si="0"/>
        <v>87480</v>
      </c>
      <c r="E24" s="17">
        <f t="shared" si="1"/>
        <v>530522.30242140009</v>
      </c>
      <c r="F24" s="21">
        <f t="shared" si="2"/>
        <v>6.06</v>
      </c>
    </row>
    <row r="25" spans="1:6" ht="14.25" customHeight="1" x14ac:dyDescent="0.2">
      <c r="A25" s="19">
        <v>21</v>
      </c>
      <c r="B25" s="143" t="s">
        <v>461</v>
      </c>
      <c r="C25" s="144"/>
      <c r="D25" s="14">
        <f t="shared" si="0"/>
        <v>31440</v>
      </c>
      <c r="E25" s="17">
        <f t="shared" si="1"/>
        <v>345987.43790727959</v>
      </c>
      <c r="F25" s="21">
        <f t="shared" si="2"/>
        <v>11</v>
      </c>
    </row>
    <row r="26" spans="1:6" x14ac:dyDescent="0.2">
      <c r="A26" s="19">
        <v>22</v>
      </c>
      <c r="B26" s="143" t="s">
        <v>19</v>
      </c>
      <c r="C26" s="144"/>
      <c r="D26" s="14">
        <f t="shared" si="0"/>
        <v>126728</v>
      </c>
      <c r="E26" s="17">
        <f t="shared" si="1"/>
        <v>1099489.8526435662</v>
      </c>
      <c r="F26" s="21">
        <f t="shared" si="2"/>
        <v>8.68</v>
      </c>
    </row>
    <row r="27" spans="1:6" x14ac:dyDescent="0.2">
      <c r="A27" s="19">
        <v>23</v>
      </c>
      <c r="B27" s="143" t="s">
        <v>20</v>
      </c>
      <c r="C27" s="144"/>
      <c r="D27" s="14">
        <f t="shared" si="0"/>
        <v>111594</v>
      </c>
      <c r="E27" s="17">
        <f t="shared" si="1"/>
        <v>924486.2940147887</v>
      </c>
      <c r="F27" s="21">
        <f t="shared" si="2"/>
        <v>8.2799999999999994</v>
      </c>
    </row>
    <row r="28" spans="1:6" x14ac:dyDescent="0.2">
      <c r="A28" s="19">
        <v>24</v>
      </c>
      <c r="B28" s="143" t="s">
        <v>21</v>
      </c>
      <c r="C28" s="144"/>
      <c r="D28" s="14">
        <f t="shared" si="0"/>
        <v>26342</v>
      </c>
      <c r="E28" s="17">
        <f t="shared" si="1"/>
        <v>197106.33153160173</v>
      </c>
      <c r="F28" s="21">
        <f t="shared" si="2"/>
        <v>7.48</v>
      </c>
    </row>
    <row r="29" spans="1:6" x14ac:dyDescent="0.2">
      <c r="A29" s="19">
        <v>25</v>
      </c>
      <c r="B29" s="143" t="s">
        <v>22</v>
      </c>
      <c r="C29" s="144"/>
      <c r="D29" s="14">
        <f t="shared" si="0"/>
        <v>260208</v>
      </c>
      <c r="E29" s="17">
        <f t="shared" si="1"/>
        <v>2153407.7983135306</v>
      </c>
      <c r="F29" s="21">
        <f t="shared" si="2"/>
        <v>8.2799999999999994</v>
      </c>
    </row>
    <row r="30" spans="1:6" x14ac:dyDescent="0.2">
      <c r="A30" s="19">
        <v>26</v>
      </c>
      <c r="B30" s="143" t="s">
        <v>23</v>
      </c>
      <c r="C30" s="144"/>
      <c r="D30" s="14">
        <f t="shared" si="0"/>
        <v>34032</v>
      </c>
      <c r="E30" s="17">
        <f t="shared" si="1"/>
        <v>675688.75797902478</v>
      </c>
      <c r="F30" s="21">
        <f t="shared" si="2"/>
        <v>19.850000000000001</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2797679</v>
      </c>
      <c r="E33" s="31">
        <f>SUM(E5:E32)</f>
        <v>22425942.000000004</v>
      </c>
      <c r="F33" s="32">
        <f t="shared" si="2"/>
        <v>8.02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IF(F3="1",SUMIF(Data!A:A,'25'!$A$2,Data!CU:CU),0)</f>
        <v>64800</v>
      </c>
      <c r="E36" s="15">
        <f>IF(F3="1",SUMIF(Data!$A:$A,$A$2,Data!IO:IO),0)</f>
        <v>37032</v>
      </c>
      <c r="F36" s="20">
        <f t="shared" ref="F36:F64" si="3">IF(OR(D36=0,E36=0),"",ROUND(E36/D36,2))</f>
        <v>0.56999999999999995</v>
      </c>
    </row>
    <row r="37" spans="1:6" x14ac:dyDescent="0.2">
      <c r="A37" s="19">
        <v>2</v>
      </c>
      <c r="B37" s="143" t="s">
        <v>1</v>
      </c>
      <c r="C37" s="144"/>
      <c r="D37" s="14">
        <f>IF(F3="1",SUMIF(Data!A:A,'25'!$A$2,Data!CV:CV),0)</f>
        <v>381010</v>
      </c>
      <c r="E37" s="17">
        <f>IF(F3="1",SUMIF(Data!$A:$A,$A$2,Data!IP:IP),0)</f>
        <v>290845</v>
      </c>
      <c r="F37" s="21">
        <f t="shared" si="3"/>
        <v>0.76</v>
      </c>
    </row>
    <row r="38" spans="1:6" ht="14.25" customHeight="1" x14ac:dyDescent="0.2">
      <c r="A38" s="19">
        <v>3</v>
      </c>
      <c r="B38" s="143" t="s">
        <v>2</v>
      </c>
      <c r="C38" s="144"/>
      <c r="D38" s="14">
        <f>IF(F3="1",SUMIF(Data!A:A,'25'!$A$2,Data!CW:CW),0)</f>
        <v>198672</v>
      </c>
      <c r="E38" s="17">
        <f>IF($F$3="1",SUMIF(Data!$A:$A,$A$2,Data!IQ:IQ),0)</f>
        <v>279565</v>
      </c>
      <c r="F38" s="21">
        <f t="shared" si="3"/>
        <v>1.41</v>
      </c>
    </row>
    <row r="39" spans="1:6" ht="14.25" customHeight="1" x14ac:dyDescent="0.2">
      <c r="A39" s="19">
        <v>4</v>
      </c>
      <c r="B39" s="143" t="s">
        <v>3</v>
      </c>
      <c r="C39" s="144"/>
      <c r="D39" s="14">
        <f>IF(F3="1",SUMIF(Data!A:A,'25'!$A$2,Data!CX:CX),0)</f>
        <v>274030</v>
      </c>
      <c r="E39" s="17">
        <f>IF($F$3="1",SUMIF(Data!$A:$A,$A$2,Data!IR:IR),0)</f>
        <v>307119</v>
      </c>
      <c r="F39" s="21">
        <f t="shared" si="3"/>
        <v>1.1200000000000001</v>
      </c>
    </row>
    <row r="40" spans="1:6" x14ac:dyDescent="0.2">
      <c r="A40" s="19">
        <v>5</v>
      </c>
      <c r="B40" s="143" t="s">
        <v>4</v>
      </c>
      <c r="C40" s="144"/>
      <c r="D40" s="14">
        <f>IF(F3="1",SUMIF(Data!A:A,'25'!$A$2,Data!CY:CY),0)</f>
        <v>9616</v>
      </c>
      <c r="E40" s="17">
        <f>IF($F$3="1",SUMIF(Data!$A:$A,$A$2,Data!IS:IS),0)</f>
        <v>0</v>
      </c>
      <c r="F40" s="21" t="str">
        <f t="shared" si="3"/>
        <v/>
      </c>
    </row>
    <row r="41" spans="1:6" x14ac:dyDescent="0.2">
      <c r="A41" s="19">
        <v>6</v>
      </c>
      <c r="B41" s="143" t="s">
        <v>5</v>
      </c>
      <c r="C41" s="144"/>
      <c r="D41" s="14">
        <f>IF(F3="1",SUMIF(Data!A:A,'25'!$A$2,Data!CZ:CZ),0)</f>
        <v>5760</v>
      </c>
      <c r="E41" s="17">
        <f>IF($F$3="1",SUMIF(Data!$A:$A,$A$2,Data!IT:IT),0)</f>
        <v>28443</v>
      </c>
      <c r="F41" s="21">
        <f t="shared" si="3"/>
        <v>4.9400000000000004</v>
      </c>
    </row>
    <row r="42" spans="1:6" x14ac:dyDescent="0.2">
      <c r="A42" s="19">
        <v>7</v>
      </c>
      <c r="B42" s="143" t="s">
        <v>6</v>
      </c>
      <c r="C42" s="144"/>
      <c r="D42" s="14">
        <f>IF(F3="1",SUMIF(Data!A:A,'25'!$A$2,Data!DA:DA),0)</f>
        <v>220794</v>
      </c>
      <c r="E42" s="17">
        <f>IF($F$3="1",SUMIF(Data!$A:$A,$A$2,Data!IU:IU),0)</f>
        <v>198755</v>
      </c>
      <c r="F42" s="21">
        <f t="shared" si="3"/>
        <v>0.9</v>
      </c>
    </row>
    <row r="43" spans="1:6" x14ac:dyDescent="0.2">
      <c r="A43" s="19">
        <v>8</v>
      </c>
      <c r="B43" s="143" t="s">
        <v>7</v>
      </c>
      <c r="C43" s="144"/>
      <c r="D43" s="14">
        <f>IF(F3="1",SUMIF(Data!A:A,'25'!$A$2,Data!DB:DB),0)</f>
        <v>2368</v>
      </c>
      <c r="E43" s="17">
        <f>IF($F$3="1",SUMIF(Data!$A:$A,$A$2,Data!IV:IV),0)</f>
        <v>693</v>
      </c>
      <c r="F43" s="21">
        <f t="shared" si="3"/>
        <v>0.28999999999999998</v>
      </c>
    </row>
    <row r="44" spans="1:6" x14ac:dyDescent="0.2">
      <c r="A44" s="19">
        <v>9</v>
      </c>
      <c r="B44" s="143" t="s">
        <v>8</v>
      </c>
      <c r="C44" s="144"/>
      <c r="D44" s="14">
        <f>IF(F3="1",SUMIF(Data!A:A,'25'!$A$2,Data!DC:DC),0)</f>
        <v>57646</v>
      </c>
      <c r="E44" s="17">
        <f>IF($F$3="1",SUMIF(Data!$A:$A,$A$2,Data!IW:IW),0)</f>
        <v>61938</v>
      </c>
      <c r="F44" s="21">
        <f t="shared" si="3"/>
        <v>1.07</v>
      </c>
    </row>
    <row r="45" spans="1:6" x14ac:dyDescent="0.2">
      <c r="A45" s="19">
        <v>10</v>
      </c>
      <c r="B45" s="143" t="s">
        <v>9</v>
      </c>
      <c r="C45" s="144"/>
      <c r="D45" s="14">
        <f>IF(F3="1",SUMIF(Data!A:A,'25'!$A$2,Data!DD:DD),0)</f>
        <v>0</v>
      </c>
      <c r="E45" s="17">
        <f>IF($F$3="1",SUMIF(Data!$A:$A,$A$2,Data!IX:IX),0)</f>
        <v>0</v>
      </c>
      <c r="F45" s="21" t="str">
        <f t="shared" si="3"/>
        <v/>
      </c>
    </row>
    <row r="46" spans="1:6" x14ac:dyDescent="0.2">
      <c r="A46" s="19">
        <v>11</v>
      </c>
      <c r="B46" s="143" t="s">
        <v>10</v>
      </c>
      <c r="C46" s="144"/>
      <c r="D46" s="14">
        <f>IF(F3="1",SUMIF(Data!A:A,'25'!$A$2,Data!DE:DE),0)</f>
        <v>131332</v>
      </c>
      <c r="E46" s="17">
        <f>IF($F$3="1",SUMIF(Data!$A:$A,$A$2,Data!IY:IY),0)</f>
        <v>57554</v>
      </c>
      <c r="F46" s="21">
        <f t="shared" si="3"/>
        <v>0.44</v>
      </c>
    </row>
    <row r="47" spans="1:6" ht="14.25" customHeight="1" x14ac:dyDescent="0.2">
      <c r="A47" s="19">
        <v>12</v>
      </c>
      <c r="B47" s="143" t="s">
        <v>11</v>
      </c>
      <c r="C47" s="144"/>
      <c r="D47" s="14">
        <f>IF(F3="1",SUMIF(Data!A:A,'25'!$A$2,Data!DF:DF),0)</f>
        <v>282256</v>
      </c>
      <c r="E47" s="17">
        <f>IF($F$3="1",SUMIF(Data!$A:$A,$A$2,Data!IZ:IZ),0)</f>
        <v>252045</v>
      </c>
      <c r="F47" s="21">
        <f t="shared" si="3"/>
        <v>0.89</v>
      </c>
    </row>
    <row r="48" spans="1:6" x14ac:dyDescent="0.2">
      <c r="A48" s="19">
        <v>13</v>
      </c>
      <c r="B48" s="143" t="s">
        <v>12</v>
      </c>
      <c r="C48" s="144"/>
      <c r="D48" s="14">
        <f>IF(F3="1",SUMIF(Data!A:A,'25'!$A$2,Data!DG:DG),0)</f>
        <v>45216</v>
      </c>
      <c r="E48" s="17">
        <f>IF($F$3="1",SUMIF(Data!$A:$A,$A$2,Data!JA:JA),0)</f>
        <v>29119</v>
      </c>
      <c r="F48" s="21">
        <f t="shared" si="3"/>
        <v>0.64</v>
      </c>
    </row>
    <row r="49" spans="1:6" ht="14.25" customHeight="1" x14ac:dyDescent="0.2">
      <c r="A49" s="19">
        <v>14</v>
      </c>
      <c r="B49" s="143" t="s">
        <v>464</v>
      </c>
      <c r="C49" s="144"/>
      <c r="D49" s="14">
        <f>IF(F3="1",SUMIF(Data!A:A,'25'!$A$2,Data!DH:DH),0)</f>
        <v>59744</v>
      </c>
      <c r="E49" s="17">
        <f>IF($F$3="1",SUMIF(Data!$A:$A,$A$2,Data!JB:JB),0)</f>
        <v>83884</v>
      </c>
      <c r="F49" s="21">
        <f t="shared" si="3"/>
        <v>1.4</v>
      </c>
    </row>
    <row r="50" spans="1:6" x14ac:dyDescent="0.2">
      <c r="A50" s="19">
        <v>15</v>
      </c>
      <c r="B50" s="143" t="s">
        <v>13</v>
      </c>
      <c r="C50" s="144"/>
      <c r="D50" s="14">
        <f>IF(F3="1",SUMIF(Data!A:A,'25'!$A$2,Data!DI:DI),0)</f>
        <v>0</v>
      </c>
      <c r="E50" s="17">
        <f>IF($F$3="1",SUMIF(Data!$A:$A,$A$2,Data!JC:JC),0)</f>
        <v>0</v>
      </c>
      <c r="F50" s="21" t="str">
        <f t="shared" si="3"/>
        <v/>
      </c>
    </row>
    <row r="51" spans="1:6" x14ac:dyDescent="0.2">
      <c r="A51" s="19">
        <v>16</v>
      </c>
      <c r="B51" s="143" t="s">
        <v>14</v>
      </c>
      <c r="C51" s="144"/>
      <c r="D51" s="14">
        <f>IF(F3="1",SUMIF(Data!A:A,'25'!$A$2,Data!DJ:DJ),0)</f>
        <v>56867</v>
      </c>
      <c r="E51" s="17">
        <f>IF($F$3="1",SUMIF(Data!$A:$A,$A$2,Data!JD:JD),0)</f>
        <v>44502</v>
      </c>
      <c r="F51" s="21">
        <f t="shared" si="3"/>
        <v>0.78</v>
      </c>
    </row>
    <row r="52" spans="1:6" x14ac:dyDescent="0.2">
      <c r="A52" s="19">
        <v>17</v>
      </c>
      <c r="B52" s="143" t="s">
        <v>15</v>
      </c>
      <c r="C52" s="144"/>
      <c r="D52" s="14">
        <f>IF(F3="1",SUMIF(Data!A:A,'25'!$A$2,Data!DK:DK),0)</f>
        <v>0</v>
      </c>
      <c r="E52" s="17">
        <f>IF($F$3="1",SUMIF(Data!$A:$A,$A$2,Data!JE:JE),0)</f>
        <v>0</v>
      </c>
      <c r="F52" s="21" t="str">
        <f t="shared" si="3"/>
        <v/>
      </c>
    </row>
    <row r="53" spans="1:6" x14ac:dyDescent="0.2">
      <c r="A53" s="19">
        <v>18</v>
      </c>
      <c r="B53" s="143" t="s">
        <v>16</v>
      </c>
      <c r="C53" s="144"/>
      <c r="D53" s="14">
        <f>IF(F3="1",SUMIF(Data!A:A,'25'!$A$2,Data!DL:DL),0)</f>
        <v>58800</v>
      </c>
      <c r="E53" s="17">
        <f>IF($F$3="1",SUMIF(Data!$A:$A,$A$2,Data!JF:JF),0)</f>
        <v>43356</v>
      </c>
      <c r="F53" s="21">
        <f t="shared" si="3"/>
        <v>0.74</v>
      </c>
    </row>
    <row r="54" spans="1:6" x14ac:dyDescent="0.2">
      <c r="A54" s="19">
        <v>19</v>
      </c>
      <c r="B54" s="143" t="s">
        <v>17</v>
      </c>
      <c r="C54" s="144"/>
      <c r="D54" s="14">
        <f>IF(F3="1",SUMIF(Data!A:A,'25'!$A$2,Data!DM:DM),0)</f>
        <v>270944</v>
      </c>
      <c r="E54" s="17">
        <f>IF($F$3="1",SUMIF(Data!$A:$A,$A$2,Data!JG:JG),0)</f>
        <v>212489</v>
      </c>
      <c r="F54" s="21">
        <f t="shared" si="3"/>
        <v>0.78</v>
      </c>
    </row>
    <row r="55" spans="1:6" x14ac:dyDescent="0.2">
      <c r="A55" s="19">
        <v>20</v>
      </c>
      <c r="B55" s="143" t="s">
        <v>18</v>
      </c>
      <c r="C55" s="144"/>
      <c r="D55" s="14">
        <f>IF(F3="1",SUMIF(Data!A:A,'25'!$A$2,Data!DN:DN),0)</f>
        <v>87480</v>
      </c>
      <c r="E55" s="17">
        <f>IF($F$3="1",SUMIF(Data!$A:$A,$A$2,Data!JH:JH),0)</f>
        <v>35080</v>
      </c>
      <c r="F55" s="21">
        <f t="shared" si="3"/>
        <v>0.4</v>
      </c>
    </row>
    <row r="56" spans="1:6" ht="14.25" customHeight="1" x14ac:dyDescent="0.2">
      <c r="A56" s="19">
        <v>21</v>
      </c>
      <c r="B56" s="143" t="s">
        <v>461</v>
      </c>
      <c r="C56" s="144"/>
      <c r="D56" s="14">
        <f>IF(F3="1",SUMIF(Data!A:A,'25'!$A$2,Data!DO:DO),0)</f>
        <v>31440</v>
      </c>
      <c r="E56" s="17">
        <f>IF($F$3="1",SUMIF(Data!$A:$A,$A$2,Data!JI:JI),0)</f>
        <v>64927</v>
      </c>
      <c r="F56" s="21">
        <f t="shared" si="3"/>
        <v>2.0699999999999998</v>
      </c>
    </row>
    <row r="57" spans="1:6" x14ac:dyDescent="0.2">
      <c r="A57" s="19">
        <v>22</v>
      </c>
      <c r="B57" s="143" t="s">
        <v>19</v>
      </c>
      <c r="C57" s="144"/>
      <c r="D57" s="14">
        <f>IF(F3="1",SUMIF(Data!A:A,'25'!$A$2,Data!DP:DP),0)</f>
        <v>126728</v>
      </c>
      <c r="E57" s="17">
        <f>IF($F$3="1",SUMIF(Data!$A:$A,$A$2,Data!JJ:JJ),0)</f>
        <v>144154</v>
      </c>
      <c r="F57" s="21">
        <f t="shared" si="3"/>
        <v>1.1399999999999999</v>
      </c>
    </row>
    <row r="58" spans="1:6" x14ac:dyDescent="0.2">
      <c r="A58" s="19">
        <v>23</v>
      </c>
      <c r="B58" s="143" t="s">
        <v>20</v>
      </c>
      <c r="C58" s="144"/>
      <c r="D58" s="14">
        <f>IF(F3="1",SUMIF(Data!A:A,'25'!$A$2,Data!DQ:DQ),0)</f>
        <v>111594</v>
      </c>
      <c r="E58" s="17">
        <f>IF($F$3="1",SUMIF(Data!$A:$A,$A$2,Data!JK:JK),0)</f>
        <v>193859</v>
      </c>
      <c r="F58" s="21">
        <f t="shared" si="3"/>
        <v>1.74</v>
      </c>
    </row>
    <row r="59" spans="1:6" x14ac:dyDescent="0.2">
      <c r="A59" s="19">
        <v>24</v>
      </c>
      <c r="B59" s="143" t="s">
        <v>21</v>
      </c>
      <c r="C59" s="144"/>
      <c r="D59" s="14">
        <f>IF(F3="1",SUMIF(Data!A:A,'25'!$A$2,Data!DR:DR),0)</f>
        <v>26342</v>
      </c>
      <c r="E59" s="17">
        <f>IF($F$3="1",SUMIF(Data!$A:$A,$A$2,Data!JL:JL),0)</f>
        <v>10828</v>
      </c>
      <c r="F59" s="21">
        <f t="shared" si="3"/>
        <v>0.41</v>
      </c>
    </row>
    <row r="60" spans="1:6" x14ac:dyDescent="0.2">
      <c r="A60" s="19">
        <v>25</v>
      </c>
      <c r="B60" s="143" t="s">
        <v>22</v>
      </c>
      <c r="C60" s="144"/>
      <c r="D60" s="14">
        <f>IF(F3="1",SUMIF(Data!A:A,'25'!$A$2,Data!DS:DS),0)</f>
        <v>260208</v>
      </c>
      <c r="E60" s="17">
        <f>IF($F$3="1",SUMIF(Data!$A:$A,$A$2,Data!JM:JM),0)</f>
        <v>170943</v>
      </c>
      <c r="F60" s="21">
        <f t="shared" si="3"/>
        <v>0.66</v>
      </c>
    </row>
    <row r="61" spans="1:6" x14ac:dyDescent="0.2">
      <c r="A61" s="19">
        <v>26</v>
      </c>
      <c r="B61" s="143" t="s">
        <v>23</v>
      </c>
      <c r="C61" s="144"/>
      <c r="D61" s="14">
        <f>IF(F3="1",SUMIF(Data!A:A,'25'!$A$2,Data!DT:DT),0)</f>
        <v>34032</v>
      </c>
      <c r="E61" s="17">
        <f>IF($F$3="1",SUMIF(Data!$A:$A,$A$2,Data!JN:JN),0)</f>
        <v>142806</v>
      </c>
      <c r="F61" s="21">
        <f t="shared" si="3"/>
        <v>4.2</v>
      </c>
    </row>
    <row r="62" spans="1:6" x14ac:dyDescent="0.2">
      <c r="A62" s="19">
        <v>28</v>
      </c>
      <c r="B62" s="143" t="s">
        <v>24</v>
      </c>
      <c r="C62" s="144"/>
      <c r="D62" s="14">
        <f>IF(F3="1",SUMIF(Data!A:A,'25'!$A$2,Data!DV:DV),0)</f>
        <v>0</v>
      </c>
      <c r="E62" s="17">
        <f>IF($F$3="1",SUMIF(Data!$A:$A,$A$2,Data!JP:JP),0)</f>
        <v>0</v>
      </c>
      <c r="F62" s="21" t="str">
        <f t="shared" si="3"/>
        <v/>
      </c>
    </row>
    <row r="63" spans="1:6" ht="15.75" customHeight="1" thickBot="1" x14ac:dyDescent="0.25">
      <c r="A63" s="22">
        <v>29</v>
      </c>
      <c r="B63" s="147" t="s">
        <v>25</v>
      </c>
      <c r="C63" s="148"/>
      <c r="D63" s="23">
        <f>IF(F3="1",SUMIF(Data!A:A,'25'!$A$2,Data!DW:DW),0)</f>
        <v>0</v>
      </c>
      <c r="E63" s="24">
        <f>IF($F$3="1",SUMIF(Data!$A:$A,$A$2,Data!JQ:JQ),0)</f>
        <v>0</v>
      </c>
      <c r="F63" s="25" t="str">
        <f t="shared" si="3"/>
        <v/>
      </c>
    </row>
    <row r="64" spans="1:6" x14ac:dyDescent="0.2">
      <c r="B64" s="30" t="s">
        <v>35</v>
      </c>
      <c r="C64" s="30"/>
      <c r="D64" s="59">
        <f>SUM(D36:D63)</f>
        <v>2797679</v>
      </c>
      <c r="E64" s="31">
        <f>SUM(E36:E63)</f>
        <v>2689936</v>
      </c>
      <c r="F64" s="32">
        <f t="shared" si="3"/>
        <v>0.96</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64800</v>
      </c>
      <c r="E67" s="15">
        <f>IF(F3="1",SUMIF(Data!A:A,'25'!$A$2,Data!DY:DY),0)</f>
        <v>114356</v>
      </c>
      <c r="F67" s="20">
        <f t="shared" ref="F67:F95" si="4">IF(OR(D67=0,E67=0),"",ROUND(E67/D67,2))</f>
        <v>1.76</v>
      </c>
    </row>
    <row r="68" spans="1:6" x14ac:dyDescent="0.2">
      <c r="A68" s="19">
        <v>2</v>
      </c>
      <c r="B68" s="143" t="s">
        <v>1</v>
      </c>
      <c r="C68" s="144"/>
      <c r="D68" s="14">
        <f t="shared" ref="D68:D94" si="5">D37</f>
        <v>381010</v>
      </c>
      <c r="E68" s="17">
        <f>IF(F3="1",SUMIF(Data!A:A,'25'!$A$2,Data!DZ:DZ),0)</f>
        <v>674679</v>
      </c>
      <c r="F68" s="21">
        <f t="shared" si="4"/>
        <v>1.77</v>
      </c>
    </row>
    <row r="69" spans="1:6" ht="14.25" customHeight="1" x14ac:dyDescent="0.2">
      <c r="A69" s="19">
        <v>3</v>
      </c>
      <c r="B69" s="143" t="s">
        <v>2</v>
      </c>
      <c r="C69" s="144"/>
      <c r="D69" s="14">
        <f t="shared" si="5"/>
        <v>198672</v>
      </c>
      <c r="E69" s="17">
        <f>IF(F3="1",SUMIF(Data!A:A,'25'!$A$2,Data!EA:EA),0)</f>
        <v>869175</v>
      </c>
      <c r="F69" s="21">
        <f t="shared" si="4"/>
        <v>4.37</v>
      </c>
    </row>
    <row r="70" spans="1:6" ht="14.25" customHeight="1" x14ac:dyDescent="0.2">
      <c r="A70" s="19">
        <v>4</v>
      </c>
      <c r="B70" s="143" t="s">
        <v>3</v>
      </c>
      <c r="C70" s="144"/>
      <c r="D70" s="14">
        <f t="shared" si="5"/>
        <v>274030</v>
      </c>
      <c r="E70" s="17">
        <f>IF(F3="1",SUMIF(Data!A:A,'25'!$A$2,Data!EB:EB),0)</f>
        <v>923840</v>
      </c>
      <c r="F70" s="21">
        <f t="shared" si="4"/>
        <v>3.37</v>
      </c>
    </row>
    <row r="71" spans="1:6" x14ac:dyDescent="0.2">
      <c r="A71" s="19">
        <v>5</v>
      </c>
      <c r="B71" s="143" t="s">
        <v>4</v>
      </c>
      <c r="C71" s="144"/>
      <c r="D71" s="14">
        <f t="shared" si="5"/>
        <v>9616</v>
      </c>
      <c r="E71" s="17">
        <f>IF(F3="1",SUMIF(Data!A:A,'25'!$A$2,Data!EC:EC),0)</f>
        <v>71059</v>
      </c>
      <c r="F71" s="21">
        <f t="shared" si="4"/>
        <v>7.39</v>
      </c>
    </row>
    <row r="72" spans="1:6" x14ac:dyDescent="0.2">
      <c r="A72" s="19">
        <v>6</v>
      </c>
      <c r="B72" s="143" t="s">
        <v>5</v>
      </c>
      <c r="C72" s="144"/>
      <c r="D72" s="14">
        <f t="shared" si="5"/>
        <v>5760</v>
      </c>
      <c r="E72" s="17">
        <f>IF(F3="1",SUMIF(Data!A:A,'25'!$A$2,Data!ED:ED),0)</f>
        <v>64314</v>
      </c>
      <c r="F72" s="21">
        <f t="shared" si="4"/>
        <v>11.17</v>
      </c>
    </row>
    <row r="73" spans="1:6" x14ac:dyDescent="0.2">
      <c r="A73" s="19">
        <v>7</v>
      </c>
      <c r="B73" s="143" t="s">
        <v>6</v>
      </c>
      <c r="C73" s="144"/>
      <c r="D73" s="14">
        <f t="shared" si="5"/>
        <v>220794</v>
      </c>
      <c r="E73" s="17">
        <f>IF(F3="1",SUMIF(Data!A:A,'25'!$A$2,Data!EE:EE),0)</f>
        <v>546229</v>
      </c>
      <c r="F73" s="21">
        <f t="shared" si="4"/>
        <v>2.4700000000000002</v>
      </c>
    </row>
    <row r="74" spans="1:6" x14ac:dyDescent="0.2">
      <c r="A74" s="19">
        <v>8</v>
      </c>
      <c r="B74" s="143" t="s">
        <v>7</v>
      </c>
      <c r="C74" s="144"/>
      <c r="D74" s="14">
        <f t="shared" si="5"/>
        <v>2368</v>
      </c>
      <c r="E74" s="17">
        <f>IF(F3="1",SUMIF(Data!A:A,'25'!$A$2,Data!EF:EF),0)</f>
        <v>6023</v>
      </c>
      <c r="F74" s="21">
        <f t="shared" si="4"/>
        <v>2.54</v>
      </c>
    </row>
    <row r="75" spans="1:6" x14ac:dyDescent="0.2">
      <c r="A75" s="19">
        <v>9</v>
      </c>
      <c r="B75" s="143" t="s">
        <v>8</v>
      </c>
      <c r="C75" s="144"/>
      <c r="D75" s="14">
        <f t="shared" si="5"/>
        <v>57646</v>
      </c>
      <c r="E75" s="17">
        <f>IF(F3="1",SUMIF(Data!A:A,'25'!$A$2,Data!EG:EG),0)</f>
        <v>127502</v>
      </c>
      <c r="F75" s="21">
        <f t="shared" si="4"/>
        <v>2.21</v>
      </c>
    </row>
    <row r="76" spans="1:6" x14ac:dyDescent="0.2">
      <c r="A76" s="19">
        <v>10</v>
      </c>
      <c r="B76" s="143" t="s">
        <v>9</v>
      </c>
      <c r="C76" s="144"/>
      <c r="D76" s="14">
        <f t="shared" si="5"/>
        <v>0</v>
      </c>
      <c r="E76" s="17">
        <f>IF(F3="1",SUMIF(Data!A:A,'25'!$A$2,Data!EH:EH),0)</f>
        <v>0</v>
      </c>
      <c r="F76" s="21" t="str">
        <f t="shared" si="4"/>
        <v/>
      </c>
    </row>
    <row r="77" spans="1:6" x14ac:dyDescent="0.2">
      <c r="A77" s="19">
        <v>11</v>
      </c>
      <c r="B77" s="143" t="s">
        <v>10</v>
      </c>
      <c r="C77" s="144"/>
      <c r="D77" s="14">
        <f t="shared" si="5"/>
        <v>131332</v>
      </c>
      <c r="E77" s="17">
        <f>IF(F3="1",SUMIF(Data!A:A,'25'!$A$2,Data!EI:EI),0)</f>
        <v>345095</v>
      </c>
      <c r="F77" s="21">
        <f t="shared" si="4"/>
        <v>2.63</v>
      </c>
    </row>
    <row r="78" spans="1:6" ht="14.25" customHeight="1" x14ac:dyDescent="0.2">
      <c r="A78" s="19">
        <v>12</v>
      </c>
      <c r="B78" s="143" t="s">
        <v>11</v>
      </c>
      <c r="C78" s="144"/>
      <c r="D78" s="14">
        <f t="shared" si="5"/>
        <v>282256</v>
      </c>
      <c r="E78" s="17">
        <f>IF(F3="1",SUMIF(Data!A:A,'25'!$A$2,Data!EJ:EJ),0)</f>
        <v>1221847</v>
      </c>
      <c r="F78" s="21">
        <f t="shared" si="4"/>
        <v>4.33</v>
      </c>
    </row>
    <row r="79" spans="1:6" x14ac:dyDescent="0.2">
      <c r="A79" s="19">
        <v>13</v>
      </c>
      <c r="B79" s="143" t="s">
        <v>12</v>
      </c>
      <c r="C79" s="144"/>
      <c r="D79" s="14">
        <f t="shared" si="5"/>
        <v>45216</v>
      </c>
      <c r="E79" s="17">
        <f>IF(F3="1",SUMIF(Data!A:A,'25'!$A$2,Data!EK:EK),0)</f>
        <v>184883</v>
      </c>
      <c r="F79" s="21">
        <f t="shared" si="4"/>
        <v>4.09</v>
      </c>
    </row>
    <row r="80" spans="1:6" ht="14.25" customHeight="1" x14ac:dyDescent="0.2">
      <c r="A80" s="19">
        <v>14</v>
      </c>
      <c r="B80" s="143" t="s">
        <v>464</v>
      </c>
      <c r="C80" s="144"/>
      <c r="D80" s="14">
        <f t="shared" si="5"/>
        <v>59744</v>
      </c>
      <c r="E80" s="17">
        <f>IF(F3="1",SUMIF(Data!A:A,'25'!$A$2,Data!EL:EL),0)</f>
        <v>453338</v>
      </c>
      <c r="F80" s="21">
        <f t="shared" si="4"/>
        <v>7.59</v>
      </c>
    </row>
    <row r="81" spans="1:6" x14ac:dyDescent="0.2">
      <c r="A81" s="19">
        <v>15</v>
      </c>
      <c r="B81" s="143" t="s">
        <v>13</v>
      </c>
      <c r="C81" s="144"/>
      <c r="D81" s="14">
        <f t="shared" si="5"/>
        <v>0</v>
      </c>
      <c r="E81" s="17">
        <f>IF(F3="1",SUMIF(Data!A:A,'25'!$A$2,Data!EM:EM),0)</f>
        <v>0</v>
      </c>
      <c r="F81" s="21" t="str">
        <f t="shared" si="4"/>
        <v/>
      </c>
    </row>
    <row r="82" spans="1:6" x14ac:dyDescent="0.2">
      <c r="A82" s="19">
        <v>16</v>
      </c>
      <c r="B82" s="143" t="s">
        <v>14</v>
      </c>
      <c r="C82" s="144"/>
      <c r="D82" s="14">
        <f t="shared" si="5"/>
        <v>56867</v>
      </c>
      <c r="E82" s="17">
        <f>IF(F3="1",SUMIF(Data!A:A,'25'!$A$2,Data!EN:EN),0)</f>
        <v>159326</v>
      </c>
      <c r="F82" s="21">
        <f t="shared" si="4"/>
        <v>2.8</v>
      </c>
    </row>
    <row r="83" spans="1:6" x14ac:dyDescent="0.2">
      <c r="A83" s="19">
        <v>17</v>
      </c>
      <c r="B83" s="143" t="s">
        <v>15</v>
      </c>
      <c r="C83" s="144"/>
      <c r="D83" s="14">
        <f t="shared" si="5"/>
        <v>0</v>
      </c>
      <c r="E83" s="17">
        <f>IF(F3="1",SUMIF(Data!A:A,'25'!$A$2,Data!EO:EO),0)</f>
        <v>0</v>
      </c>
      <c r="F83" s="21" t="str">
        <f t="shared" si="4"/>
        <v/>
      </c>
    </row>
    <row r="84" spans="1:6" x14ac:dyDescent="0.2">
      <c r="A84" s="19">
        <v>18</v>
      </c>
      <c r="B84" s="143" t="s">
        <v>16</v>
      </c>
      <c r="C84" s="144"/>
      <c r="D84" s="14">
        <f t="shared" si="5"/>
        <v>58800</v>
      </c>
      <c r="E84" s="17">
        <f>IF(F3="1",SUMIF(Data!A:A,'25'!$A$2,Data!EP:EP),0)</f>
        <v>211287</v>
      </c>
      <c r="F84" s="21">
        <f t="shared" si="4"/>
        <v>3.59</v>
      </c>
    </row>
    <row r="85" spans="1:6" x14ac:dyDescent="0.2">
      <c r="A85" s="19">
        <v>19</v>
      </c>
      <c r="B85" s="143" t="s">
        <v>17</v>
      </c>
      <c r="C85" s="144"/>
      <c r="D85" s="14">
        <f t="shared" si="5"/>
        <v>270944</v>
      </c>
      <c r="E85" s="17">
        <f>IF(F3="1",SUMIF(Data!A:A,'25'!$A$2,Data!EQ:EQ),0)</f>
        <v>771920</v>
      </c>
      <c r="F85" s="21">
        <f t="shared" si="4"/>
        <v>2.85</v>
      </c>
    </row>
    <row r="86" spans="1:6" x14ac:dyDescent="0.2">
      <c r="A86" s="19">
        <v>20</v>
      </c>
      <c r="B86" s="143" t="s">
        <v>18</v>
      </c>
      <c r="C86" s="144"/>
      <c r="D86" s="14">
        <f t="shared" si="5"/>
        <v>87480</v>
      </c>
      <c r="E86" s="17">
        <f>IF(F3="1",SUMIF(Data!A:A,'25'!$A$2,Data!ER:ER),0)</f>
        <v>172444</v>
      </c>
      <c r="F86" s="21">
        <f t="shared" si="4"/>
        <v>1.97</v>
      </c>
    </row>
    <row r="87" spans="1:6" ht="14.25" customHeight="1" x14ac:dyDescent="0.2">
      <c r="A87" s="19">
        <v>21</v>
      </c>
      <c r="B87" s="143" t="s">
        <v>461</v>
      </c>
      <c r="C87" s="144"/>
      <c r="D87" s="14">
        <f t="shared" si="5"/>
        <v>31440</v>
      </c>
      <c r="E87" s="17">
        <f>IF(F3="1",SUMIF(Data!A:A,'25'!$A$2,Data!ES:ES),0)</f>
        <v>164976</v>
      </c>
      <c r="F87" s="21">
        <f t="shared" si="4"/>
        <v>5.25</v>
      </c>
    </row>
    <row r="88" spans="1:6" x14ac:dyDescent="0.2">
      <c r="A88" s="19">
        <v>22</v>
      </c>
      <c r="B88" s="143" t="s">
        <v>19</v>
      </c>
      <c r="C88" s="144"/>
      <c r="D88" s="14">
        <f t="shared" si="5"/>
        <v>126728</v>
      </c>
      <c r="E88" s="17">
        <f>IF(F3="1",SUMIF(Data!A:A,'25'!$A$2,Data!ET:ET),0)</f>
        <v>487424</v>
      </c>
      <c r="F88" s="21">
        <f t="shared" si="4"/>
        <v>3.85</v>
      </c>
    </row>
    <row r="89" spans="1:6" x14ac:dyDescent="0.2">
      <c r="A89" s="19">
        <v>23</v>
      </c>
      <c r="B89" s="143" t="s">
        <v>20</v>
      </c>
      <c r="C89" s="144"/>
      <c r="D89" s="14">
        <f t="shared" si="5"/>
        <v>111594</v>
      </c>
      <c r="E89" s="17">
        <f>IF(F3="1",SUMIF(Data!A:A,'25'!$A$2,Data!EU:EU),0)</f>
        <v>318594</v>
      </c>
      <c r="F89" s="21">
        <f t="shared" si="4"/>
        <v>2.85</v>
      </c>
    </row>
    <row r="90" spans="1:6" x14ac:dyDescent="0.2">
      <c r="A90" s="19">
        <v>24</v>
      </c>
      <c r="B90" s="143" t="s">
        <v>21</v>
      </c>
      <c r="C90" s="144"/>
      <c r="D90" s="14">
        <f t="shared" si="5"/>
        <v>26342</v>
      </c>
      <c r="E90" s="17">
        <f>IF(F3="1",SUMIF(Data!A:A,'25'!$A$2,Data!EV:EV),0)</f>
        <v>89017</v>
      </c>
      <c r="F90" s="21">
        <f t="shared" si="4"/>
        <v>3.38</v>
      </c>
    </row>
    <row r="91" spans="1:6" x14ac:dyDescent="0.2">
      <c r="A91" s="19">
        <v>25</v>
      </c>
      <c r="B91" s="143" t="s">
        <v>22</v>
      </c>
      <c r="C91" s="144"/>
      <c r="D91" s="14">
        <f t="shared" si="5"/>
        <v>260208</v>
      </c>
      <c r="E91" s="17">
        <f>IF(F3="1",SUMIF(Data!A:A,'25'!$A$2,Data!EW:EW),0)</f>
        <v>1021711</v>
      </c>
      <c r="F91" s="21">
        <f t="shared" si="4"/>
        <v>3.93</v>
      </c>
    </row>
    <row r="92" spans="1:6" x14ac:dyDescent="0.2">
      <c r="A92" s="19">
        <v>26</v>
      </c>
      <c r="B92" s="143" t="s">
        <v>23</v>
      </c>
      <c r="C92" s="144"/>
      <c r="D92" s="14">
        <f t="shared" si="5"/>
        <v>34032</v>
      </c>
      <c r="E92" s="17">
        <f>IF(F3="1",SUMIF(Data!A:A,'25'!$A$2,Data!EX:EX),0)</f>
        <v>407228</v>
      </c>
      <c r="F92" s="21">
        <f t="shared" si="4"/>
        <v>11.97</v>
      </c>
    </row>
    <row r="93" spans="1:6" x14ac:dyDescent="0.2">
      <c r="A93" s="19">
        <v>28</v>
      </c>
      <c r="B93" s="143" t="s">
        <v>24</v>
      </c>
      <c r="C93" s="144"/>
      <c r="D93" s="14">
        <f t="shared" si="5"/>
        <v>0</v>
      </c>
      <c r="E93" s="17">
        <f>IF(F3="1",SUMIF(Data!A:A,'25'!$A$2,Data!EZ:EZ),0)</f>
        <v>0</v>
      </c>
      <c r="F93" s="21" t="str">
        <f t="shared" si="4"/>
        <v/>
      </c>
    </row>
    <row r="94" spans="1:6" ht="15.75" customHeight="1" thickBot="1" x14ac:dyDescent="0.25">
      <c r="A94" s="22">
        <v>29</v>
      </c>
      <c r="B94" s="147" t="s">
        <v>25</v>
      </c>
      <c r="C94" s="148"/>
      <c r="D94" s="23">
        <f t="shared" si="5"/>
        <v>0</v>
      </c>
      <c r="E94" s="24">
        <f>IF(F3="1",SUMIF(Data!A:A,'25'!$A$2,Data!FA:FA),0)</f>
        <v>0</v>
      </c>
      <c r="F94" s="25" t="str">
        <f t="shared" si="4"/>
        <v/>
      </c>
    </row>
    <row r="95" spans="1:6" x14ac:dyDescent="0.2">
      <c r="B95" s="30" t="s">
        <v>35</v>
      </c>
      <c r="C95" s="30"/>
      <c r="D95" s="59">
        <f>SUM(D67:D94)</f>
        <v>2797679</v>
      </c>
      <c r="E95" s="31">
        <f>SUM(E67:E94)</f>
        <v>9406267</v>
      </c>
      <c r="F95" s="32">
        <f t="shared" si="4"/>
        <v>3.36</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IF(F3="1",SUMIF(Data!A:A,'25'!$A$2,Data!AH:AH),0)</f>
        <v>5013138</v>
      </c>
      <c r="F98" s="20">
        <f>IF(OR(E98=0,E98=0),"",ROUND(E98/$D$105,2))</f>
        <v>1.79</v>
      </c>
    </row>
    <row r="99" spans="2:6" x14ac:dyDescent="0.2">
      <c r="B99" s="153" t="s">
        <v>31</v>
      </c>
      <c r="C99" s="154"/>
      <c r="D99" s="36"/>
      <c r="E99" s="17">
        <f>IF(F3="1",SUMIF(Data!A:A,'25'!$A$2,Data!AI:AI),0)</f>
        <v>1265158</v>
      </c>
      <c r="F99" s="21">
        <f t="shared" ref="F99:F104" si="6">IF(OR(E99=0,E99=0),"",ROUND(E99/$D$105,2))</f>
        <v>0.45</v>
      </c>
    </row>
    <row r="100" spans="2:6" x14ac:dyDescent="0.2">
      <c r="B100" s="153" t="s">
        <v>1078</v>
      </c>
      <c r="C100" s="154"/>
      <c r="D100" s="36"/>
      <c r="E100" s="17">
        <f>IF(F3="1",SUMIF(Data!A:A,'25'!$A$2,Data!AJ:AJ),0)</f>
        <v>674446</v>
      </c>
      <c r="F100" s="21">
        <f t="shared" si="6"/>
        <v>0.24</v>
      </c>
    </row>
    <row r="101" spans="2:6" x14ac:dyDescent="0.2">
      <c r="B101" s="153" t="s">
        <v>1079</v>
      </c>
      <c r="C101" s="154"/>
      <c r="D101" s="36"/>
      <c r="E101" s="17">
        <f>IF(F3="1",SUMIF(Data!A:A,'25'!$A$2,Data!AK:AK),0)</f>
        <v>1643480</v>
      </c>
      <c r="F101" s="21">
        <f t="shared" si="6"/>
        <v>0.59</v>
      </c>
    </row>
    <row r="102" spans="2:6" x14ac:dyDescent="0.2">
      <c r="B102" s="153" t="s">
        <v>1080</v>
      </c>
      <c r="C102" s="154"/>
      <c r="D102" s="36"/>
      <c r="E102" s="17">
        <f>IF(F3="1",SUMIF(Data!A:A,'25'!$A$2,Data!AL:AL),0)</f>
        <v>0</v>
      </c>
      <c r="F102" s="21" t="str">
        <f t="shared" si="6"/>
        <v/>
      </c>
    </row>
    <row r="103" spans="2:6" x14ac:dyDescent="0.2">
      <c r="B103" s="155" t="s">
        <v>34</v>
      </c>
      <c r="C103" s="156"/>
      <c r="D103" s="36"/>
      <c r="E103" s="17">
        <f>IF(F3="1",SUMIF(Data!A:A,'25'!$A$2,Data!AM:AM),0)</f>
        <v>0</v>
      </c>
      <c r="F103" s="21" t="str">
        <f t="shared" si="6"/>
        <v/>
      </c>
    </row>
    <row r="104" spans="2:6" ht="15.75" customHeight="1" thickBot="1" x14ac:dyDescent="0.25">
      <c r="B104" s="149" t="s">
        <v>29</v>
      </c>
      <c r="C104" s="150"/>
      <c r="D104" s="37"/>
      <c r="E104" s="24">
        <f>IF(F3="1",SUMIF(Data!A:A,'25'!$A$2,Data!Q:Q),0)</f>
        <v>1733517</v>
      </c>
      <c r="F104" s="25">
        <f t="shared" si="6"/>
        <v>0.62</v>
      </c>
    </row>
    <row r="105" spans="2:6" x14ac:dyDescent="0.2">
      <c r="B105" s="30" t="s">
        <v>35</v>
      </c>
      <c r="C105" s="30"/>
      <c r="D105" s="34">
        <f>D95</f>
        <v>2797679</v>
      </c>
      <c r="E105" s="31">
        <f>SUM(E98:E104)</f>
        <v>10329739</v>
      </c>
      <c r="F105" s="32">
        <f>IF($D$105=0,"",ROUND(E105/$D$105,2))</f>
        <v>3.69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9406267</v>
      </c>
      <c r="D109" s="15">
        <f>IF(F3="1",SUMIF(Data!$A:$A,$A$2,Data!HJ:HJ),0)</f>
        <v>0</v>
      </c>
      <c r="E109" s="15">
        <f>IF(F3="1",SUMIF(Data!$A:$A,$A$2,Data!IN:IN),0)</f>
        <v>0</v>
      </c>
      <c r="F109" s="47">
        <f>SUM(C109:E109)</f>
        <v>9406267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1733517</v>
      </c>
      <c r="E117" s="52"/>
      <c r="F117" s="49">
        <f>SUM(C117:E117)</f>
        <v>1733517</v>
      </c>
    </row>
    <row r="118" spans="1:6" x14ac:dyDescent="0.2">
      <c r="B118" s="13" t="s">
        <v>35</v>
      </c>
      <c r="C118" s="4">
        <f>SUM(C109:C116)</f>
        <v>9406267</v>
      </c>
      <c r="D118" s="4">
        <f>SUM(D109:D116)</f>
        <v>0</v>
      </c>
      <c r="E118" s="4">
        <f>SUM(E109:E116)</f>
        <v>0</v>
      </c>
      <c r="F118" s="4">
        <f>SUM(F109:F116)</f>
        <v>9406267</v>
      </c>
    </row>
    <row r="119" spans="1:6" ht="15" thickBot="1" x14ac:dyDescent="0.25"/>
    <row r="120" spans="1:6" ht="15" thickBot="1" x14ac:dyDescent="0.25">
      <c r="B120" s="55" t="s">
        <v>934</v>
      </c>
      <c r="C120" s="53"/>
      <c r="D120" s="53"/>
      <c r="E120" s="53">
        <f>IF(F3="1",SUMIF(Data!A:A,'25'!$A$2,Data!AM:AM),0)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443</v>
      </c>
      <c r="B2" s="58" t="str">
        <f>VLOOKUP(A2,Data!A:G,7,0)</f>
        <v>North Harris Montgomery Community College District</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30084</v>
      </c>
      <c r="E5" s="15">
        <f>E36+E67+IFERROR($E$105/$D$105*D5,0)</f>
        <v>337089.94944350951</v>
      </c>
      <c r="F5" s="20">
        <f>IF(OR(D5=0,E5=0),"",ROUND(E5/D5,2))</f>
        <v>11.2</v>
      </c>
    </row>
    <row r="6" spans="1:6" x14ac:dyDescent="0.2">
      <c r="A6" s="19">
        <v>2</v>
      </c>
      <c r="B6" s="143" t="s">
        <v>1</v>
      </c>
      <c r="C6" s="144"/>
      <c r="D6" s="14">
        <f t="shared" ref="D6:D32" si="0">D37</f>
        <v>317042</v>
      </c>
      <c r="E6" s="17">
        <f t="shared" ref="E6:E32" si="1">E37+E68+IFERROR($E$105/$D$105*D6,0)</f>
        <v>2328425.6863272553</v>
      </c>
      <c r="F6" s="21">
        <f t="shared" ref="F6:F33" si="2">IF(OR(D6=0,E6=0),"",ROUND(E6/D6,2))</f>
        <v>7.34</v>
      </c>
    </row>
    <row r="7" spans="1:6" ht="14.25" customHeight="1" x14ac:dyDescent="0.2">
      <c r="A7" s="19">
        <v>3</v>
      </c>
      <c r="B7" s="143" t="s">
        <v>2</v>
      </c>
      <c r="C7" s="144"/>
      <c r="D7" s="14">
        <f t="shared" si="0"/>
        <v>930128</v>
      </c>
      <c r="E7" s="17">
        <f t="shared" si="1"/>
        <v>6278086.2519609295</v>
      </c>
      <c r="F7" s="21">
        <f t="shared" si="2"/>
        <v>6.75</v>
      </c>
    </row>
    <row r="8" spans="1:6" ht="14.25" customHeight="1" x14ac:dyDescent="0.2">
      <c r="A8" s="19">
        <v>4</v>
      </c>
      <c r="B8" s="143" t="s">
        <v>3</v>
      </c>
      <c r="C8" s="144"/>
      <c r="D8" s="14">
        <f t="shared" si="0"/>
        <v>722536</v>
      </c>
      <c r="E8" s="17">
        <f t="shared" si="1"/>
        <v>4998341.6081344103</v>
      </c>
      <c r="F8" s="21">
        <f t="shared" si="2"/>
        <v>6.92</v>
      </c>
    </row>
    <row r="9" spans="1:6" x14ac:dyDescent="0.2">
      <c r="A9" s="19">
        <v>5</v>
      </c>
      <c r="B9" s="143" t="s">
        <v>4</v>
      </c>
      <c r="C9" s="144"/>
      <c r="D9" s="14">
        <f t="shared" si="0"/>
        <v>816</v>
      </c>
      <c r="E9" s="17">
        <f t="shared" si="1"/>
        <v>14118.904492285061</v>
      </c>
      <c r="F9" s="21">
        <f t="shared" si="2"/>
        <v>17.3</v>
      </c>
    </row>
    <row r="10" spans="1:6" x14ac:dyDescent="0.2">
      <c r="A10" s="19">
        <v>6</v>
      </c>
      <c r="B10" s="143" t="s">
        <v>5</v>
      </c>
      <c r="C10" s="144"/>
      <c r="D10" s="14">
        <f t="shared" si="0"/>
        <v>7328</v>
      </c>
      <c r="E10" s="17">
        <f t="shared" si="1"/>
        <v>74013.730538559961</v>
      </c>
      <c r="F10" s="21">
        <f t="shared" si="2"/>
        <v>10.1</v>
      </c>
    </row>
    <row r="11" spans="1:6" x14ac:dyDescent="0.2">
      <c r="A11" s="19">
        <v>7</v>
      </c>
      <c r="B11" s="143" t="s">
        <v>6</v>
      </c>
      <c r="C11" s="144"/>
      <c r="D11" s="14">
        <f t="shared" si="0"/>
        <v>911120</v>
      </c>
      <c r="E11" s="17">
        <f t="shared" si="1"/>
        <v>6436715.30025829</v>
      </c>
      <c r="F11" s="21">
        <f t="shared" si="2"/>
        <v>7.06</v>
      </c>
    </row>
    <row r="12" spans="1:6" x14ac:dyDescent="0.2">
      <c r="A12" s="19">
        <v>8</v>
      </c>
      <c r="B12" s="143" t="s">
        <v>7</v>
      </c>
      <c r="C12" s="144"/>
      <c r="D12" s="14">
        <f t="shared" si="0"/>
        <v>3860</v>
      </c>
      <c r="E12" s="17">
        <f t="shared" si="1"/>
        <v>30449.13644634845</v>
      </c>
      <c r="F12" s="21">
        <f t="shared" si="2"/>
        <v>7.89</v>
      </c>
    </row>
    <row r="13" spans="1:6" x14ac:dyDescent="0.2">
      <c r="A13" s="19">
        <v>9</v>
      </c>
      <c r="B13" s="143" t="s">
        <v>8</v>
      </c>
      <c r="C13" s="144"/>
      <c r="D13" s="14">
        <f t="shared" si="0"/>
        <v>180174</v>
      </c>
      <c r="E13" s="17">
        <f t="shared" si="1"/>
        <v>1240052.1176384417</v>
      </c>
      <c r="F13" s="21">
        <f t="shared" si="2"/>
        <v>6.88</v>
      </c>
    </row>
    <row r="14" spans="1:6" x14ac:dyDescent="0.2">
      <c r="A14" s="19">
        <v>10</v>
      </c>
      <c r="B14" s="143" t="s">
        <v>9</v>
      </c>
      <c r="C14" s="144"/>
      <c r="D14" s="14">
        <f t="shared" si="0"/>
        <v>4128</v>
      </c>
      <c r="E14" s="17">
        <f t="shared" si="1"/>
        <v>36328.752137442076</v>
      </c>
      <c r="F14" s="21">
        <f t="shared" si="2"/>
        <v>8.8000000000000007</v>
      </c>
    </row>
    <row r="15" spans="1:6" x14ac:dyDescent="0.2">
      <c r="A15" s="19">
        <v>11</v>
      </c>
      <c r="B15" s="143" t="s">
        <v>10</v>
      </c>
      <c r="C15" s="144"/>
      <c r="D15" s="14">
        <f t="shared" si="0"/>
        <v>139132</v>
      </c>
      <c r="E15" s="17">
        <f t="shared" si="1"/>
        <v>1089439.0684076042</v>
      </c>
      <c r="F15" s="21">
        <f t="shared" si="2"/>
        <v>7.83</v>
      </c>
    </row>
    <row r="16" spans="1:6" ht="14.25" customHeight="1" x14ac:dyDescent="0.2">
      <c r="A16" s="19">
        <v>12</v>
      </c>
      <c r="B16" s="143" t="s">
        <v>11</v>
      </c>
      <c r="C16" s="144"/>
      <c r="D16" s="14">
        <f t="shared" si="0"/>
        <v>1566666</v>
      </c>
      <c r="E16" s="17">
        <f t="shared" si="1"/>
        <v>10392814.366801798</v>
      </c>
      <c r="F16" s="21">
        <f t="shared" si="2"/>
        <v>6.63</v>
      </c>
    </row>
    <row r="17" spans="1:6" x14ac:dyDescent="0.2">
      <c r="A17" s="19">
        <v>13</v>
      </c>
      <c r="B17" s="143" t="s">
        <v>12</v>
      </c>
      <c r="C17" s="144"/>
      <c r="D17" s="14">
        <f t="shared" si="0"/>
        <v>164052</v>
      </c>
      <c r="E17" s="17">
        <f t="shared" si="1"/>
        <v>1033652.9752063098</v>
      </c>
      <c r="F17" s="21">
        <f t="shared" si="2"/>
        <v>6.3</v>
      </c>
    </row>
    <row r="18" spans="1:6" ht="14.25" customHeight="1" x14ac:dyDescent="0.2">
      <c r="A18" s="19">
        <v>14</v>
      </c>
      <c r="B18" s="143" t="s">
        <v>464</v>
      </c>
      <c r="C18" s="144"/>
      <c r="D18" s="14">
        <f t="shared" si="0"/>
        <v>153850</v>
      </c>
      <c r="E18" s="17">
        <f t="shared" si="1"/>
        <v>1483033.4928162459</v>
      </c>
      <c r="F18" s="21">
        <f t="shared" si="2"/>
        <v>9.64</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204359</v>
      </c>
      <c r="E20" s="17">
        <f t="shared" si="1"/>
        <v>1509044.5075231406</v>
      </c>
      <c r="F20" s="21">
        <f t="shared" si="2"/>
        <v>7.38</v>
      </c>
    </row>
    <row r="21" spans="1:6" x14ac:dyDescent="0.2">
      <c r="A21" s="19">
        <v>17</v>
      </c>
      <c r="B21" s="143" t="s">
        <v>15</v>
      </c>
      <c r="C21" s="144"/>
      <c r="D21" s="14">
        <f t="shared" si="0"/>
        <v>31072</v>
      </c>
      <c r="E21" s="17">
        <f t="shared" si="1"/>
        <v>273708.01027485466</v>
      </c>
      <c r="F21" s="21">
        <f t="shared" si="2"/>
        <v>8.81</v>
      </c>
    </row>
    <row r="22" spans="1:6" x14ac:dyDescent="0.2">
      <c r="A22" s="19">
        <v>18</v>
      </c>
      <c r="B22" s="143" t="s">
        <v>16</v>
      </c>
      <c r="C22" s="144"/>
      <c r="D22" s="14">
        <f t="shared" si="0"/>
        <v>176327</v>
      </c>
      <c r="E22" s="17">
        <f t="shared" si="1"/>
        <v>1228583.376729348</v>
      </c>
      <c r="F22" s="21">
        <f t="shared" si="2"/>
        <v>6.97</v>
      </c>
    </row>
    <row r="23" spans="1:6" x14ac:dyDescent="0.2">
      <c r="A23" s="19">
        <v>19</v>
      </c>
      <c r="B23" s="143" t="s">
        <v>17</v>
      </c>
      <c r="C23" s="144"/>
      <c r="D23" s="14">
        <f t="shared" si="0"/>
        <v>1206304</v>
      </c>
      <c r="E23" s="17">
        <f t="shared" si="1"/>
        <v>7318891.3978694091</v>
      </c>
      <c r="F23" s="21">
        <f t="shared" si="2"/>
        <v>6.07</v>
      </c>
    </row>
    <row r="24" spans="1:6" x14ac:dyDescent="0.2">
      <c r="A24" s="19">
        <v>20</v>
      </c>
      <c r="B24" s="143" t="s">
        <v>18</v>
      </c>
      <c r="C24" s="144"/>
      <c r="D24" s="14">
        <f t="shared" si="0"/>
        <v>41344</v>
      </c>
      <c r="E24" s="17">
        <f t="shared" si="1"/>
        <v>342094.16094244306</v>
      </c>
      <c r="F24" s="21">
        <f t="shared" si="2"/>
        <v>8.27</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36080</v>
      </c>
      <c r="E26" s="17">
        <f t="shared" si="1"/>
        <v>315115.30647260416</v>
      </c>
      <c r="F26" s="21">
        <f t="shared" si="2"/>
        <v>8.73</v>
      </c>
    </row>
    <row r="27" spans="1:6" x14ac:dyDescent="0.2">
      <c r="A27" s="19">
        <v>23</v>
      </c>
      <c r="B27" s="143" t="s">
        <v>20</v>
      </c>
      <c r="C27" s="144"/>
      <c r="D27" s="14">
        <f t="shared" si="0"/>
        <v>322896</v>
      </c>
      <c r="E27" s="17">
        <f t="shared" si="1"/>
        <v>2332227.0305647999</v>
      </c>
      <c r="F27" s="21">
        <f t="shared" si="2"/>
        <v>7.22</v>
      </c>
    </row>
    <row r="28" spans="1:6" x14ac:dyDescent="0.2">
      <c r="A28" s="19">
        <v>24</v>
      </c>
      <c r="B28" s="143" t="s">
        <v>21</v>
      </c>
      <c r="C28" s="144"/>
      <c r="D28" s="14">
        <f t="shared" si="0"/>
        <v>112348</v>
      </c>
      <c r="E28" s="17">
        <f t="shared" si="1"/>
        <v>640440.90919024753</v>
      </c>
      <c r="F28" s="21">
        <f t="shared" si="2"/>
        <v>5.7</v>
      </c>
    </row>
    <row r="29" spans="1:6" x14ac:dyDescent="0.2">
      <c r="A29" s="19">
        <v>25</v>
      </c>
      <c r="B29" s="143" t="s">
        <v>22</v>
      </c>
      <c r="C29" s="144"/>
      <c r="D29" s="14">
        <f t="shared" si="0"/>
        <v>1519696</v>
      </c>
      <c r="E29" s="17">
        <f t="shared" si="1"/>
        <v>9671789.9525828883</v>
      </c>
      <c r="F29" s="21">
        <f t="shared" si="2"/>
        <v>6.36</v>
      </c>
    </row>
    <row r="30" spans="1:6" x14ac:dyDescent="0.2">
      <c r="A30" s="19">
        <v>26</v>
      </c>
      <c r="B30" s="143" t="s">
        <v>23</v>
      </c>
      <c r="C30" s="144"/>
      <c r="D30" s="14">
        <f t="shared" si="0"/>
        <v>311536</v>
      </c>
      <c r="E30" s="17">
        <f t="shared" si="1"/>
        <v>2638332.0072408319</v>
      </c>
      <c r="F30" s="21">
        <f t="shared" si="2"/>
        <v>8.4700000000000006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9092878</v>
      </c>
      <c r="E33" s="31">
        <f>SUM(E5:E32)</f>
        <v>62042788</v>
      </c>
      <c r="F33" s="32">
        <f t="shared" si="2"/>
        <v>6.82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IF(F3="1",SUMIF(Data!A:A,'26'!$A$2,Data!CU:CU),0)</f>
        <v>30084</v>
      </c>
      <c r="E36" s="15">
        <f>IF(F3="1",SUMIF(Data!$A:$A,$A$2,Data!IO:IO),0)</f>
        <v>104601</v>
      </c>
      <c r="F36" s="20">
        <f t="shared" ref="F36:F64" si="3">IF(OR(D36=0,E36=0),"",ROUND(E36/D36,2))</f>
        <v>3.48</v>
      </c>
    </row>
    <row r="37" spans="1:6" x14ac:dyDescent="0.2">
      <c r="A37" s="19">
        <v>2</v>
      </c>
      <c r="B37" s="143" t="s">
        <v>1</v>
      </c>
      <c r="C37" s="144"/>
      <c r="D37" s="14">
        <f>IF(F3="1",SUMIF(Data!A:A,'26'!$A$2,Data!CV:CV),0)</f>
        <v>317042</v>
      </c>
      <c r="E37" s="17">
        <f>IF(F3="1",SUMIF(Data!$A:$A,$A$2,Data!IP:IP),0)</f>
        <v>405690</v>
      </c>
      <c r="F37" s="21">
        <f t="shared" si="3"/>
        <v>1.28</v>
      </c>
    </row>
    <row r="38" spans="1:6" ht="14.25" customHeight="1" x14ac:dyDescent="0.2">
      <c r="A38" s="19">
        <v>3</v>
      </c>
      <c r="B38" s="143" t="s">
        <v>2</v>
      </c>
      <c r="C38" s="144"/>
      <c r="D38" s="14">
        <f>IF(F3="1",SUMIF(Data!A:A,'26'!$A$2,Data!CW:CW),0)</f>
        <v>930128</v>
      </c>
      <c r="E38" s="17">
        <f>IF($F$3="1",SUMIF(Data!$A:$A,$A$2,Data!IQ:IQ),0)</f>
        <v>757489</v>
      </c>
      <c r="F38" s="21">
        <f t="shared" si="3"/>
        <v>0.81</v>
      </c>
    </row>
    <row r="39" spans="1:6" ht="14.25" customHeight="1" x14ac:dyDescent="0.2">
      <c r="A39" s="19">
        <v>4</v>
      </c>
      <c r="B39" s="143" t="s">
        <v>3</v>
      </c>
      <c r="C39" s="144"/>
      <c r="D39" s="14">
        <f>IF(F3="1",SUMIF(Data!A:A,'26'!$A$2,Data!CX:CX),0)</f>
        <v>722536</v>
      </c>
      <c r="E39" s="17">
        <f>IF($F$3="1",SUMIF(Data!$A:$A,$A$2,Data!IR:IR),0)</f>
        <v>614048</v>
      </c>
      <c r="F39" s="21">
        <f t="shared" si="3"/>
        <v>0.85</v>
      </c>
    </row>
    <row r="40" spans="1:6" x14ac:dyDescent="0.2">
      <c r="A40" s="19">
        <v>5</v>
      </c>
      <c r="B40" s="143" t="s">
        <v>4</v>
      </c>
      <c r="C40" s="144"/>
      <c r="D40" s="14">
        <f>IF(F3="1",SUMIF(Data!A:A,'26'!$A$2,Data!CY:CY),0)</f>
        <v>816</v>
      </c>
      <c r="E40" s="17">
        <f>IF($F$3="1",SUMIF(Data!$A:$A,$A$2,Data!IS:IS),0)</f>
        <v>409</v>
      </c>
      <c r="F40" s="21">
        <f t="shared" si="3"/>
        <v>0.5</v>
      </c>
    </row>
    <row r="41" spans="1:6" x14ac:dyDescent="0.2">
      <c r="A41" s="19">
        <v>6</v>
      </c>
      <c r="B41" s="143" t="s">
        <v>5</v>
      </c>
      <c r="C41" s="144"/>
      <c r="D41" s="14">
        <f>IF(F3="1",SUMIF(Data!A:A,'26'!$A$2,Data!CZ:CZ),0)</f>
        <v>7328</v>
      </c>
      <c r="E41" s="17">
        <f>IF($F$3="1",SUMIF(Data!$A:$A,$A$2,Data!IT:IT),0)</f>
        <v>10876</v>
      </c>
      <c r="F41" s="21">
        <f t="shared" si="3"/>
        <v>1.48</v>
      </c>
    </row>
    <row r="42" spans="1:6" x14ac:dyDescent="0.2">
      <c r="A42" s="19">
        <v>7</v>
      </c>
      <c r="B42" s="143" t="s">
        <v>6</v>
      </c>
      <c r="C42" s="144"/>
      <c r="D42" s="14">
        <f>IF(F3="1",SUMIF(Data!A:A,'26'!$A$2,Data!DA:DA),0)</f>
        <v>911120</v>
      </c>
      <c r="E42" s="17">
        <f>IF($F$3="1",SUMIF(Data!$A:$A,$A$2,Data!IU:IU),0)</f>
        <v>1735734</v>
      </c>
      <c r="F42" s="21">
        <f t="shared" si="3"/>
        <v>1.91</v>
      </c>
    </row>
    <row r="43" spans="1:6" x14ac:dyDescent="0.2">
      <c r="A43" s="19">
        <v>8</v>
      </c>
      <c r="B43" s="143" t="s">
        <v>7</v>
      </c>
      <c r="C43" s="144"/>
      <c r="D43" s="14">
        <f>IF(F3="1",SUMIF(Data!A:A,'26'!$A$2,Data!DB:DB),0)</f>
        <v>3860</v>
      </c>
      <c r="E43" s="17">
        <f>IF($F$3="1",SUMIF(Data!$A:$A,$A$2,Data!IV:IV),0)</f>
        <v>847</v>
      </c>
      <c r="F43" s="21">
        <f t="shared" si="3"/>
        <v>0.22</v>
      </c>
    </row>
    <row r="44" spans="1:6" x14ac:dyDescent="0.2">
      <c r="A44" s="19">
        <v>9</v>
      </c>
      <c r="B44" s="143" t="s">
        <v>8</v>
      </c>
      <c r="C44" s="144"/>
      <c r="D44" s="14">
        <f>IF(F3="1",SUMIF(Data!A:A,'26'!$A$2,Data!DC:DC),0)</f>
        <v>180174</v>
      </c>
      <c r="E44" s="17">
        <f>IF($F$3="1",SUMIF(Data!$A:$A,$A$2,Data!IW:IW),0)</f>
        <v>129822</v>
      </c>
      <c r="F44" s="21">
        <f t="shared" si="3"/>
        <v>0.72</v>
      </c>
    </row>
    <row r="45" spans="1:6" x14ac:dyDescent="0.2">
      <c r="A45" s="19">
        <v>10</v>
      </c>
      <c r="B45" s="143" t="s">
        <v>9</v>
      </c>
      <c r="C45" s="144"/>
      <c r="D45" s="14">
        <f>IF(F3="1",SUMIF(Data!A:A,'26'!$A$2,Data!DD:DD),0)</f>
        <v>4128</v>
      </c>
      <c r="E45" s="17">
        <f>IF($F$3="1",SUMIF(Data!$A:$A,$A$2,Data!IX:IX),0)</f>
        <v>770</v>
      </c>
      <c r="F45" s="21">
        <f t="shared" si="3"/>
        <v>0.19</v>
      </c>
    </row>
    <row r="46" spans="1:6" x14ac:dyDescent="0.2">
      <c r="A46" s="19">
        <v>11</v>
      </c>
      <c r="B46" s="143" t="s">
        <v>10</v>
      </c>
      <c r="C46" s="144"/>
      <c r="D46" s="14">
        <f>IF(F3="1",SUMIF(Data!A:A,'26'!$A$2,Data!DE:DE),0)</f>
        <v>139132</v>
      </c>
      <c r="E46" s="17">
        <f>IF($F$3="1",SUMIF(Data!$A:$A,$A$2,Data!IY:IY),0)</f>
        <v>225417</v>
      </c>
      <c r="F46" s="21">
        <f t="shared" si="3"/>
        <v>1.62</v>
      </c>
    </row>
    <row r="47" spans="1:6" ht="14.25" customHeight="1" x14ac:dyDescent="0.2">
      <c r="A47" s="19">
        <v>12</v>
      </c>
      <c r="B47" s="143" t="s">
        <v>11</v>
      </c>
      <c r="C47" s="144"/>
      <c r="D47" s="14">
        <f>IF(F3="1",SUMIF(Data!A:A,'26'!$A$2,Data!DF:DF),0)</f>
        <v>1566666</v>
      </c>
      <c r="E47" s="17">
        <f>IF($F$3="1",SUMIF(Data!$A:$A,$A$2,Data!IZ:IZ),0)</f>
        <v>875374</v>
      </c>
      <c r="F47" s="21">
        <f t="shared" si="3"/>
        <v>0.56000000000000005</v>
      </c>
    </row>
    <row r="48" spans="1:6" x14ac:dyDescent="0.2">
      <c r="A48" s="19">
        <v>13</v>
      </c>
      <c r="B48" s="143" t="s">
        <v>12</v>
      </c>
      <c r="C48" s="144"/>
      <c r="D48" s="14">
        <f>IF(F3="1",SUMIF(Data!A:A,'26'!$A$2,Data!DG:DG),0)</f>
        <v>164052</v>
      </c>
      <c r="E48" s="17">
        <f>IF($F$3="1",SUMIF(Data!$A:$A,$A$2,Data!JA:JA),0)</f>
        <v>76856</v>
      </c>
      <c r="F48" s="21">
        <f t="shared" si="3"/>
        <v>0.47</v>
      </c>
    </row>
    <row r="49" spans="1:6" ht="14.25" customHeight="1" x14ac:dyDescent="0.2">
      <c r="A49" s="19">
        <v>14</v>
      </c>
      <c r="B49" s="143" t="s">
        <v>464</v>
      </c>
      <c r="C49" s="144"/>
      <c r="D49" s="14">
        <f>IF(F3="1",SUMIF(Data!A:A,'26'!$A$2,Data!DH:DH),0)</f>
        <v>153850</v>
      </c>
      <c r="E49" s="17">
        <f>IF($F$3="1",SUMIF(Data!$A:$A,$A$2,Data!JB:JB),0)</f>
        <v>136778</v>
      </c>
      <c r="F49" s="21">
        <f t="shared" si="3"/>
        <v>0.89</v>
      </c>
    </row>
    <row r="50" spans="1:6" x14ac:dyDescent="0.2">
      <c r="A50" s="19">
        <v>15</v>
      </c>
      <c r="B50" s="143" t="s">
        <v>13</v>
      </c>
      <c r="C50" s="144"/>
      <c r="D50" s="14">
        <f>IF(F3="1",SUMIF(Data!A:A,'26'!$A$2,Data!DI:DI),0)</f>
        <v>0</v>
      </c>
      <c r="E50" s="17">
        <f>IF($F$3="1",SUMIF(Data!$A:$A,$A$2,Data!JC:JC),0)</f>
        <v>0</v>
      </c>
      <c r="F50" s="21" t="str">
        <f t="shared" si="3"/>
        <v/>
      </c>
    </row>
    <row r="51" spans="1:6" x14ac:dyDescent="0.2">
      <c r="A51" s="19">
        <v>16</v>
      </c>
      <c r="B51" s="143" t="s">
        <v>14</v>
      </c>
      <c r="C51" s="144"/>
      <c r="D51" s="14">
        <f>IF(F3="1",SUMIF(Data!A:A,'26'!$A$2,Data!DJ:DJ),0)</f>
        <v>204359</v>
      </c>
      <c r="E51" s="17">
        <f>IF($F$3="1",SUMIF(Data!$A:$A,$A$2,Data!JD:JD),0)</f>
        <v>256898</v>
      </c>
      <c r="F51" s="21">
        <f t="shared" si="3"/>
        <v>1.26</v>
      </c>
    </row>
    <row r="52" spans="1:6" x14ac:dyDescent="0.2">
      <c r="A52" s="19">
        <v>17</v>
      </c>
      <c r="B52" s="143" t="s">
        <v>15</v>
      </c>
      <c r="C52" s="144"/>
      <c r="D52" s="14">
        <f>IF(F3="1",SUMIF(Data!A:A,'26'!$A$2,Data!DK:DK),0)</f>
        <v>31072</v>
      </c>
      <c r="E52" s="17">
        <f>IF($F$3="1",SUMIF(Data!$A:$A,$A$2,Data!JE:JE),0)</f>
        <v>20377</v>
      </c>
      <c r="F52" s="21">
        <f t="shared" si="3"/>
        <v>0.66</v>
      </c>
    </row>
    <row r="53" spans="1:6" x14ac:dyDescent="0.2">
      <c r="A53" s="19">
        <v>18</v>
      </c>
      <c r="B53" s="143" t="s">
        <v>16</v>
      </c>
      <c r="C53" s="144"/>
      <c r="D53" s="14">
        <f>IF(F3="1",SUMIF(Data!A:A,'26'!$A$2,Data!DL:DL),0)</f>
        <v>176327</v>
      </c>
      <c r="E53" s="17">
        <f>IF($F$3="1",SUMIF(Data!$A:$A,$A$2,Data!JF:JF),0)</f>
        <v>126700</v>
      </c>
      <c r="F53" s="21">
        <f t="shared" si="3"/>
        <v>0.72</v>
      </c>
    </row>
    <row r="54" spans="1:6" x14ac:dyDescent="0.2">
      <c r="A54" s="19">
        <v>19</v>
      </c>
      <c r="B54" s="143" t="s">
        <v>17</v>
      </c>
      <c r="C54" s="144"/>
      <c r="D54" s="14">
        <f>IF(F3="1",SUMIF(Data!A:A,'26'!$A$2,Data!DM:DM),0)</f>
        <v>1206304</v>
      </c>
      <c r="E54" s="17">
        <f>IF($F$3="1",SUMIF(Data!$A:$A,$A$2,Data!JG:JG),0)</f>
        <v>697739</v>
      </c>
      <c r="F54" s="21">
        <f t="shared" si="3"/>
        <v>0.57999999999999996</v>
      </c>
    </row>
    <row r="55" spans="1:6" x14ac:dyDescent="0.2">
      <c r="A55" s="19">
        <v>20</v>
      </c>
      <c r="B55" s="143" t="s">
        <v>18</v>
      </c>
      <c r="C55" s="144"/>
      <c r="D55" s="14">
        <f>IF(F3="1",SUMIF(Data!A:A,'26'!$A$2,Data!DN:DN),0)</f>
        <v>41344</v>
      </c>
      <c r="E55" s="17">
        <f>IF($F$3="1",SUMIF(Data!$A:$A,$A$2,Data!JH:JH),0)</f>
        <v>45631</v>
      </c>
      <c r="F55" s="21">
        <f t="shared" si="3"/>
        <v>1.1000000000000001</v>
      </c>
    </row>
    <row r="56" spans="1:6" ht="14.25" customHeight="1" x14ac:dyDescent="0.2">
      <c r="A56" s="19">
        <v>21</v>
      </c>
      <c r="B56" s="143" t="s">
        <v>461</v>
      </c>
      <c r="C56" s="144"/>
      <c r="D56" s="14">
        <f>IF(F3="1",SUMIF(Data!A:A,'26'!$A$2,Data!DO:DO),0)</f>
        <v>0</v>
      </c>
      <c r="E56" s="17">
        <f>IF($F$3="1",SUMIF(Data!$A:$A,$A$2,Data!JI:JI),0)</f>
        <v>0</v>
      </c>
      <c r="F56" s="21" t="str">
        <f t="shared" si="3"/>
        <v/>
      </c>
    </row>
    <row r="57" spans="1:6" x14ac:dyDescent="0.2">
      <c r="A57" s="19">
        <v>22</v>
      </c>
      <c r="B57" s="143" t="s">
        <v>19</v>
      </c>
      <c r="C57" s="144"/>
      <c r="D57" s="14">
        <f>IF(F3="1",SUMIF(Data!A:A,'26'!$A$2,Data!DP:DP),0)</f>
        <v>36080</v>
      </c>
      <c r="E57" s="17">
        <f>IF($F$3="1",SUMIF(Data!$A:$A,$A$2,Data!JJ:JJ),0)</f>
        <v>36900</v>
      </c>
      <c r="F57" s="21">
        <f t="shared" si="3"/>
        <v>1.02</v>
      </c>
    </row>
    <row r="58" spans="1:6" x14ac:dyDescent="0.2">
      <c r="A58" s="19">
        <v>23</v>
      </c>
      <c r="B58" s="143" t="s">
        <v>20</v>
      </c>
      <c r="C58" s="144"/>
      <c r="D58" s="14">
        <f>IF(F3="1",SUMIF(Data!A:A,'26'!$A$2,Data!DQ:DQ),0)</f>
        <v>322896</v>
      </c>
      <c r="E58" s="17">
        <f>IF($F$3="1",SUMIF(Data!$A:$A,$A$2,Data!JK:JK),0)</f>
        <v>296656</v>
      </c>
      <c r="F58" s="21">
        <f t="shared" si="3"/>
        <v>0.92</v>
      </c>
    </row>
    <row r="59" spans="1:6" x14ac:dyDescent="0.2">
      <c r="A59" s="19">
        <v>24</v>
      </c>
      <c r="B59" s="143" t="s">
        <v>21</v>
      </c>
      <c r="C59" s="144"/>
      <c r="D59" s="14">
        <f>IF(F3="1",SUMIF(Data!A:A,'26'!$A$2,Data!DR:DR),0)</f>
        <v>112348</v>
      </c>
      <c r="E59" s="17">
        <f>IF($F$3="1",SUMIF(Data!$A:$A,$A$2,Data!JL:JL),0)</f>
        <v>51809</v>
      </c>
      <c r="F59" s="21">
        <f t="shared" si="3"/>
        <v>0.46</v>
      </c>
    </row>
    <row r="60" spans="1:6" x14ac:dyDescent="0.2">
      <c r="A60" s="19">
        <v>25</v>
      </c>
      <c r="B60" s="143" t="s">
        <v>22</v>
      </c>
      <c r="C60" s="144"/>
      <c r="D60" s="14">
        <f>IF(F3="1",SUMIF(Data!A:A,'26'!$A$2,Data!DS:DS),0)</f>
        <v>1519696</v>
      </c>
      <c r="E60" s="17">
        <f>IF($F$3="1",SUMIF(Data!$A:$A,$A$2,Data!JM:JM),0)</f>
        <v>701430</v>
      </c>
      <c r="F60" s="21">
        <f t="shared" si="3"/>
        <v>0.46</v>
      </c>
    </row>
    <row r="61" spans="1:6" x14ac:dyDescent="0.2">
      <c r="A61" s="19">
        <v>26</v>
      </c>
      <c r="B61" s="143" t="s">
        <v>23</v>
      </c>
      <c r="C61" s="144"/>
      <c r="D61" s="14">
        <f>IF(F3="1",SUMIF(Data!A:A,'26'!$A$2,Data!DT:DT),0)</f>
        <v>311536</v>
      </c>
      <c r="E61" s="17">
        <f>IF($F$3="1",SUMIF(Data!$A:$A,$A$2,Data!JN:JN),0)</f>
        <v>356615</v>
      </c>
      <c r="F61" s="21">
        <f t="shared" si="3"/>
        <v>1.1399999999999999</v>
      </c>
    </row>
    <row r="62" spans="1:6" x14ac:dyDescent="0.2">
      <c r="A62" s="19">
        <v>28</v>
      </c>
      <c r="B62" s="143" t="s">
        <v>24</v>
      </c>
      <c r="C62" s="144"/>
      <c r="D62" s="14">
        <f>IF(F3="1",SUMIF(Data!A:A,'26'!$A$2,Data!DV:DV),0)</f>
        <v>0</v>
      </c>
      <c r="E62" s="17">
        <f>IF($F$3="1",SUMIF(Data!$A:$A,$A$2,Data!JP:JP),0)</f>
        <v>0</v>
      </c>
      <c r="F62" s="21" t="str">
        <f t="shared" si="3"/>
        <v/>
      </c>
    </row>
    <row r="63" spans="1:6" ht="15.75" customHeight="1" thickBot="1" x14ac:dyDescent="0.25">
      <c r="A63" s="22">
        <v>29</v>
      </c>
      <c r="B63" s="147" t="s">
        <v>25</v>
      </c>
      <c r="C63" s="148"/>
      <c r="D63" s="23">
        <f>IF(F3="1",SUMIF(Data!A:A,'26'!$A$2,Data!DW:DW),0)</f>
        <v>0</v>
      </c>
      <c r="E63" s="24">
        <f>IF($F$3="1",SUMIF(Data!$A:$A,$A$2,Data!JQ:JQ),0)</f>
        <v>0</v>
      </c>
      <c r="F63" s="25" t="str">
        <f t="shared" si="3"/>
        <v/>
      </c>
    </row>
    <row r="64" spans="1:6" x14ac:dyDescent="0.2">
      <c r="B64" s="30" t="s">
        <v>35</v>
      </c>
      <c r="C64" s="30"/>
      <c r="D64" s="59">
        <f>SUM(D36:D63)</f>
        <v>9092878</v>
      </c>
      <c r="E64" s="31">
        <f>SUM(E36:E63)</f>
        <v>7665466</v>
      </c>
      <c r="F64" s="32">
        <f t="shared" si="3"/>
        <v>0.84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30084</v>
      </c>
      <c r="E67" s="15">
        <f>IF(F3="1",SUMIF(Data!A:A,'26'!$A$2,Data!DY:DY),0)</f>
        <v>132065</v>
      </c>
      <c r="F67" s="20">
        <f t="shared" ref="F67:F95" si="4">IF(OR(D67=0,E67=0),"",ROUND(E67/D67,2))</f>
        <v>4.3899999999999997</v>
      </c>
    </row>
    <row r="68" spans="1:6" x14ac:dyDescent="0.2">
      <c r="A68" s="19">
        <v>2</v>
      </c>
      <c r="B68" s="143" t="s">
        <v>1</v>
      </c>
      <c r="C68" s="144"/>
      <c r="D68" s="14">
        <f t="shared" ref="D68:D94" si="5">D37</f>
        <v>317042</v>
      </c>
      <c r="E68" s="17">
        <f>IF(F3="1",SUMIF(Data!A:A,'26'!$A$2,Data!DZ:DZ),0)</f>
        <v>864412</v>
      </c>
      <c r="F68" s="21">
        <f t="shared" si="4"/>
        <v>2.73</v>
      </c>
    </row>
    <row r="69" spans="1:6" ht="14.25" customHeight="1" x14ac:dyDescent="0.2">
      <c r="A69" s="19">
        <v>3</v>
      </c>
      <c r="B69" s="143" t="s">
        <v>2</v>
      </c>
      <c r="C69" s="144"/>
      <c r="D69" s="14">
        <f t="shared" si="5"/>
        <v>930128</v>
      </c>
      <c r="E69" s="17">
        <f>IF(F3="1",SUMIF(Data!A:A,'26'!$A$2,Data!EA:EA),0)</f>
        <v>2415720</v>
      </c>
      <c r="F69" s="21">
        <f t="shared" si="4"/>
        <v>2.6</v>
      </c>
    </row>
    <row r="70" spans="1:6" ht="14.25" customHeight="1" x14ac:dyDescent="0.2">
      <c r="A70" s="19">
        <v>4</v>
      </c>
      <c r="B70" s="143" t="s">
        <v>3</v>
      </c>
      <c r="C70" s="144"/>
      <c r="D70" s="14">
        <f t="shared" si="5"/>
        <v>722536</v>
      </c>
      <c r="E70" s="17">
        <f>IF(F3="1",SUMIF(Data!A:A,'26'!$A$2,Data!EB:EB),0)</f>
        <v>1972383</v>
      </c>
      <c r="F70" s="21">
        <f t="shared" si="4"/>
        <v>2.73</v>
      </c>
    </row>
    <row r="71" spans="1:6" x14ac:dyDescent="0.2">
      <c r="A71" s="19">
        <v>5</v>
      </c>
      <c r="B71" s="143" t="s">
        <v>4</v>
      </c>
      <c r="C71" s="144"/>
      <c r="D71" s="14">
        <f t="shared" si="5"/>
        <v>816</v>
      </c>
      <c r="E71" s="17">
        <f>IF(F3="1",SUMIF(Data!A:A,'26'!$A$2,Data!EC:EC),0)</f>
        <v>10986</v>
      </c>
      <c r="F71" s="21">
        <f t="shared" si="4"/>
        <v>13.46</v>
      </c>
    </row>
    <row r="72" spans="1:6" x14ac:dyDescent="0.2">
      <c r="A72" s="19">
        <v>6</v>
      </c>
      <c r="B72" s="143" t="s">
        <v>5</v>
      </c>
      <c r="C72" s="144"/>
      <c r="D72" s="14">
        <f t="shared" si="5"/>
        <v>7328</v>
      </c>
      <c r="E72" s="17">
        <f>IF(F3="1",SUMIF(Data!A:A,'26'!$A$2,Data!ED:ED),0)</f>
        <v>38676</v>
      </c>
      <c r="F72" s="21">
        <f t="shared" si="4"/>
        <v>5.28</v>
      </c>
    </row>
    <row r="73" spans="1:6" x14ac:dyDescent="0.2">
      <c r="A73" s="19">
        <v>7</v>
      </c>
      <c r="B73" s="143" t="s">
        <v>6</v>
      </c>
      <c r="C73" s="144"/>
      <c r="D73" s="14">
        <f t="shared" si="5"/>
        <v>911120</v>
      </c>
      <c r="E73" s="17">
        <f>IF(F3="1",SUMIF(Data!A:A,'26'!$A$2,Data!EE:EE),0)</f>
        <v>1659555</v>
      </c>
      <c r="F73" s="21">
        <f t="shared" si="4"/>
        <v>1.82</v>
      </c>
    </row>
    <row r="74" spans="1:6" x14ac:dyDescent="0.2">
      <c r="A74" s="19">
        <v>8</v>
      </c>
      <c r="B74" s="143" t="s">
        <v>7</v>
      </c>
      <c r="C74" s="144"/>
      <c r="D74" s="14">
        <f t="shared" si="5"/>
        <v>3860</v>
      </c>
      <c r="E74" s="17">
        <f>IF(F3="1",SUMIF(Data!A:A,'26'!$A$2,Data!EF:EF),0)</f>
        <v>16717</v>
      </c>
      <c r="F74" s="21">
        <f t="shared" si="4"/>
        <v>4.33</v>
      </c>
    </row>
    <row r="75" spans="1:6" x14ac:dyDescent="0.2">
      <c r="A75" s="19">
        <v>9</v>
      </c>
      <c r="B75" s="143" t="s">
        <v>8</v>
      </c>
      <c r="C75" s="144"/>
      <c r="D75" s="14">
        <f t="shared" si="5"/>
        <v>180174</v>
      </c>
      <c r="E75" s="17">
        <f>IF(F3="1",SUMIF(Data!A:A,'26'!$A$2,Data!EG:EG),0)</f>
        <v>508788</v>
      </c>
      <c r="F75" s="21">
        <f t="shared" si="4"/>
        <v>2.82</v>
      </c>
    </row>
    <row r="76" spans="1:6" x14ac:dyDescent="0.2">
      <c r="A76" s="19">
        <v>10</v>
      </c>
      <c r="B76" s="143" t="s">
        <v>9</v>
      </c>
      <c r="C76" s="144"/>
      <c r="D76" s="14">
        <f t="shared" si="5"/>
        <v>4128</v>
      </c>
      <c r="E76" s="17">
        <f>IF(F3="1",SUMIF(Data!A:A,'26'!$A$2,Data!EH:EH),0)</f>
        <v>21779</v>
      </c>
      <c r="F76" s="21">
        <f t="shared" si="4"/>
        <v>5.28</v>
      </c>
    </row>
    <row r="77" spans="1:6" x14ac:dyDescent="0.2">
      <c r="A77" s="19">
        <v>11</v>
      </c>
      <c r="B77" s="143" t="s">
        <v>10</v>
      </c>
      <c r="C77" s="144"/>
      <c r="D77" s="14">
        <f t="shared" si="5"/>
        <v>139132</v>
      </c>
      <c r="E77" s="17">
        <f>IF(F3="1",SUMIF(Data!A:A,'26'!$A$2,Data!EI:EI),0)</f>
        <v>399583</v>
      </c>
      <c r="F77" s="21">
        <f t="shared" si="4"/>
        <v>2.87</v>
      </c>
    </row>
    <row r="78" spans="1:6" ht="14.25" customHeight="1" x14ac:dyDescent="0.2">
      <c r="A78" s="19">
        <v>12</v>
      </c>
      <c r="B78" s="143" t="s">
        <v>11</v>
      </c>
      <c r="C78" s="144"/>
      <c r="D78" s="14">
        <f t="shared" si="5"/>
        <v>1566666</v>
      </c>
      <c r="E78" s="17">
        <f>IF(F3="1",SUMIF(Data!A:A,'26'!$A$2,Data!EJ:EJ),0)</f>
        <v>4287724</v>
      </c>
      <c r="F78" s="21">
        <f t="shared" si="4"/>
        <v>2.74</v>
      </c>
    </row>
    <row r="79" spans="1:6" x14ac:dyDescent="0.2">
      <c r="A79" s="19">
        <v>13</v>
      </c>
      <c r="B79" s="143" t="s">
        <v>12</v>
      </c>
      <c r="C79" s="144"/>
      <c r="D79" s="14">
        <f t="shared" si="5"/>
        <v>164052</v>
      </c>
      <c r="E79" s="17">
        <f>IF(F3="1",SUMIF(Data!A:A,'26'!$A$2,Data!EK:EK),0)</f>
        <v>409172</v>
      </c>
      <c r="F79" s="21">
        <f t="shared" si="4"/>
        <v>2.4900000000000002</v>
      </c>
    </row>
    <row r="80" spans="1:6" ht="14.25" customHeight="1" x14ac:dyDescent="0.2">
      <c r="A80" s="19">
        <v>14</v>
      </c>
      <c r="B80" s="143" t="s">
        <v>464</v>
      </c>
      <c r="C80" s="144"/>
      <c r="D80" s="14">
        <f t="shared" si="5"/>
        <v>153850</v>
      </c>
      <c r="E80" s="17">
        <f>IF(F3="1",SUMIF(Data!A:A,'26'!$A$2,Data!EL:EL),0)</f>
        <v>832686</v>
      </c>
      <c r="F80" s="21">
        <f t="shared" si="4"/>
        <v>5.41</v>
      </c>
    </row>
    <row r="81" spans="1:6" x14ac:dyDescent="0.2">
      <c r="A81" s="19">
        <v>15</v>
      </c>
      <c r="B81" s="143" t="s">
        <v>13</v>
      </c>
      <c r="C81" s="144"/>
      <c r="D81" s="14">
        <f t="shared" si="5"/>
        <v>0</v>
      </c>
      <c r="E81" s="17">
        <f>IF(F3="1",SUMIF(Data!A:A,'26'!$A$2,Data!EM:EM),0)</f>
        <v>0</v>
      </c>
      <c r="F81" s="21" t="str">
        <f t="shared" si="4"/>
        <v/>
      </c>
    </row>
    <row r="82" spans="1:6" x14ac:dyDescent="0.2">
      <c r="A82" s="19">
        <v>16</v>
      </c>
      <c r="B82" s="143" t="s">
        <v>14</v>
      </c>
      <c r="C82" s="144"/>
      <c r="D82" s="14">
        <f t="shared" si="5"/>
        <v>204359</v>
      </c>
      <c r="E82" s="17">
        <f>IF(F3="1",SUMIF(Data!A:A,'26'!$A$2,Data!EN:EN),0)</f>
        <v>569972</v>
      </c>
      <c r="F82" s="21">
        <f t="shared" si="4"/>
        <v>2.79</v>
      </c>
    </row>
    <row r="83" spans="1:6" x14ac:dyDescent="0.2">
      <c r="A83" s="19">
        <v>17</v>
      </c>
      <c r="B83" s="143" t="s">
        <v>15</v>
      </c>
      <c r="C83" s="144"/>
      <c r="D83" s="14">
        <f t="shared" si="5"/>
        <v>31072</v>
      </c>
      <c r="E83" s="17">
        <f>IF(F3="1",SUMIF(Data!A:A,'26'!$A$2,Data!EO:EO),0)</f>
        <v>149609</v>
      </c>
      <c r="F83" s="21">
        <f t="shared" si="4"/>
        <v>4.8099999999999996</v>
      </c>
    </row>
    <row r="84" spans="1:6" x14ac:dyDescent="0.2">
      <c r="A84" s="19">
        <v>18</v>
      </c>
      <c r="B84" s="143" t="s">
        <v>16</v>
      </c>
      <c r="C84" s="144"/>
      <c r="D84" s="14">
        <f t="shared" si="5"/>
        <v>176327</v>
      </c>
      <c r="E84" s="17">
        <f>IF(F3="1",SUMIF(Data!A:A,'26'!$A$2,Data!EP:EP),0)</f>
        <v>513283</v>
      </c>
      <c r="F84" s="21">
        <f t="shared" si="4"/>
        <v>2.91</v>
      </c>
    </row>
    <row r="85" spans="1:6" x14ac:dyDescent="0.2">
      <c r="A85" s="19">
        <v>19</v>
      </c>
      <c r="B85" s="143" t="s">
        <v>17</v>
      </c>
      <c r="C85" s="144"/>
      <c r="D85" s="14">
        <f t="shared" si="5"/>
        <v>1206304</v>
      </c>
      <c r="E85" s="17">
        <f>IF(F3="1",SUMIF(Data!A:A,'26'!$A$2,Data!EQ:EQ),0)</f>
        <v>2594367</v>
      </c>
      <c r="F85" s="21">
        <f t="shared" si="4"/>
        <v>2.15</v>
      </c>
    </row>
    <row r="86" spans="1:6" x14ac:dyDescent="0.2">
      <c r="A86" s="19">
        <v>20</v>
      </c>
      <c r="B86" s="143" t="s">
        <v>18</v>
      </c>
      <c r="C86" s="144"/>
      <c r="D86" s="14">
        <f t="shared" si="5"/>
        <v>41344</v>
      </c>
      <c r="E86" s="17">
        <f>IF(F3="1",SUMIF(Data!A:A,'26'!$A$2,Data!ER:ER),0)</f>
        <v>158452</v>
      </c>
      <c r="F86" s="21">
        <f t="shared" si="4"/>
        <v>3.83</v>
      </c>
    </row>
    <row r="87" spans="1:6" ht="14.25" customHeight="1" x14ac:dyDescent="0.2">
      <c r="A87" s="19">
        <v>21</v>
      </c>
      <c r="B87" s="143" t="s">
        <v>461</v>
      </c>
      <c r="C87" s="144"/>
      <c r="D87" s="14">
        <f t="shared" si="5"/>
        <v>0</v>
      </c>
      <c r="E87" s="17">
        <f>IF(F3="1",SUMIF(Data!A:A,'26'!$A$2,Data!ES:ES),0)</f>
        <v>0</v>
      </c>
      <c r="F87" s="21" t="str">
        <f t="shared" si="4"/>
        <v/>
      </c>
    </row>
    <row r="88" spans="1:6" x14ac:dyDescent="0.2">
      <c r="A88" s="19">
        <v>22</v>
      </c>
      <c r="B88" s="143" t="s">
        <v>19</v>
      </c>
      <c r="C88" s="144"/>
      <c r="D88" s="14">
        <f t="shared" si="5"/>
        <v>36080</v>
      </c>
      <c r="E88" s="17">
        <f>IF(F3="1",SUMIF(Data!A:A,'26'!$A$2,Data!ET:ET),0)</f>
        <v>157776</v>
      </c>
      <c r="F88" s="21">
        <f t="shared" si="4"/>
        <v>4.37</v>
      </c>
    </row>
    <row r="89" spans="1:6" x14ac:dyDescent="0.2">
      <c r="A89" s="19">
        <v>23</v>
      </c>
      <c r="B89" s="143" t="s">
        <v>20</v>
      </c>
      <c r="C89" s="144"/>
      <c r="D89" s="14">
        <f t="shared" si="5"/>
        <v>322896</v>
      </c>
      <c r="E89" s="17">
        <f>IF(F3="1",SUMIF(Data!A:A,'26'!$A$2,Data!EU:EU),0)</f>
        <v>957706</v>
      </c>
      <c r="F89" s="21">
        <f t="shared" si="4"/>
        <v>2.97</v>
      </c>
    </row>
    <row r="90" spans="1:6" x14ac:dyDescent="0.2">
      <c r="A90" s="19">
        <v>24</v>
      </c>
      <c r="B90" s="143" t="s">
        <v>21</v>
      </c>
      <c r="C90" s="144"/>
      <c r="D90" s="14">
        <f t="shared" si="5"/>
        <v>112348</v>
      </c>
      <c r="E90" s="17">
        <f>IF(F3="1",SUMIF(Data!A:A,'26'!$A$2,Data!EV:EV),0)</f>
        <v>213601</v>
      </c>
      <c r="F90" s="21">
        <f t="shared" si="4"/>
        <v>1.9</v>
      </c>
    </row>
    <row r="91" spans="1:6" x14ac:dyDescent="0.2">
      <c r="A91" s="19">
        <v>25</v>
      </c>
      <c r="B91" s="143" t="s">
        <v>22</v>
      </c>
      <c r="C91" s="144"/>
      <c r="D91" s="14">
        <f t="shared" si="5"/>
        <v>1519696</v>
      </c>
      <c r="E91" s="17">
        <f>IF(F3="1",SUMIF(Data!A:A,'26'!$A$2,Data!EW:EW),0)</f>
        <v>3897435</v>
      </c>
      <c r="F91" s="21">
        <f t="shared" si="4"/>
        <v>2.56</v>
      </c>
    </row>
    <row r="92" spans="1:6" x14ac:dyDescent="0.2">
      <c r="A92" s="19">
        <v>26</v>
      </c>
      <c r="B92" s="143" t="s">
        <v>23</v>
      </c>
      <c r="C92" s="144"/>
      <c r="D92" s="14">
        <f t="shared" si="5"/>
        <v>311536</v>
      </c>
      <c r="E92" s="17">
        <f>IF(F3="1",SUMIF(Data!A:A,'26'!$A$2,Data!EX:EX),0)</f>
        <v>1241773</v>
      </c>
      <c r="F92" s="21">
        <f t="shared" si="4"/>
        <v>3.99</v>
      </c>
    </row>
    <row r="93" spans="1:6" x14ac:dyDescent="0.2">
      <c r="A93" s="19">
        <v>28</v>
      </c>
      <c r="B93" s="143" t="s">
        <v>24</v>
      </c>
      <c r="C93" s="144"/>
      <c r="D93" s="14">
        <f t="shared" si="5"/>
        <v>0</v>
      </c>
      <c r="E93" s="17">
        <f>IF(F3="1",SUMIF(Data!A:A,'26'!$A$2,Data!EZ:EZ),0)</f>
        <v>0</v>
      </c>
      <c r="F93" s="21" t="str">
        <f t="shared" si="4"/>
        <v/>
      </c>
    </row>
    <row r="94" spans="1:6" ht="15.75" customHeight="1" thickBot="1" x14ac:dyDescent="0.25">
      <c r="A94" s="22">
        <v>29</v>
      </c>
      <c r="B94" s="147" t="s">
        <v>25</v>
      </c>
      <c r="C94" s="148"/>
      <c r="D94" s="23">
        <f t="shared" si="5"/>
        <v>0</v>
      </c>
      <c r="E94" s="24">
        <f>IF(F3="1",SUMIF(Data!A:A,'26'!$A$2,Data!FA:FA),0)</f>
        <v>0</v>
      </c>
      <c r="F94" s="25" t="str">
        <f t="shared" si="4"/>
        <v/>
      </c>
    </row>
    <row r="95" spans="1:6" x14ac:dyDescent="0.2">
      <c r="B95" s="30" t="s">
        <v>35</v>
      </c>
      <c r="C95" s="30"/>
      <c r="D95" s="59">
        <f>SUM(D67:D94)</f>
        <v>9092878</v>
      </c>
      <c r="E95" s="31">
        <f>SUM(E67:E94)</f>
        <v>24024220</v>
      </c>
      <c r="F95" s="32">
        <f t="shared" si="4"/>
        <v>2.64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IF(F3="1",SUMIF(Data!A:A,'26'!$A$2,Data!AH:AH),0)</f>
        <v>9836033</v>
      </c>
      <c r="F98" s="20">
        <f>IF(OR(E98=0,E98=0),"",ROUND(E98/$D$105,2))</f>
        <v>1.08</v>
      </c>
    </row>
    <row r="99" spans="2:6" x14ac:dyDescent="0.2">
      <c r="B99" s="153" t="s">
        <v>31</v>
      </c>
      <c r="C99" s="154"/>
      <c r="D99" s="36"/>
      <c r="E99" s="17">
        <f>IF(F3="1",SUMIF(Data!A:A,'26'!$A$2,Data!AI:AI),0)</f>
        <v>6233787</v>
      </c>
      <c r="F99" s="21">
        <f t="shared" ref="F99:F104" si="6">IF(OR(E99=0,E99=0),"",ROUND(E99/$D$105,2))</f>
        <v>0.69</v>
      </c>
    </row>
    <row r="100" spans="2:6" x14ac:dyDescent="0.2">
      <c r="B100" s="153" t="s">
        <v>1078</v>
      </c>
      <c r="C100" s="154"/>
      <c r="D100" s="36"/>
      <c r="E100" s="17">
        <f>IF(F3="1",SUMIF(Data!A:A,'26'!$A$2,Data!AJ:AJ),0)</f>
        <v>3629805</v>
      </c>
      <c r="F100" s="21">
        <f t="shared" si="6"/>
        <v>0.4</v>
      </c>
    </row>
    <row r="101" spans="2:6" x14ac:dyDescent="0.2">
      <c r="B101" s="153" t="s">
        <v>1079</v>
      </c>
      <c r="C101" s="154"/>
      <c r="D101" s="36"/>
      <c r="E101" s="17">
        <f>IF(F3="1",SUMIF(Data!A:A,'26'!$A$2,Data!AK:AK),0)</f>
        <v>8054280</v>
      </c>
      <c r="F101" s="21">
        <f t="shared" si="6"/>
        <v>0.89</v>
      </c>
    </row>
    <row r="102" spans="2:6" x14ac:dyDescent="0.2">
      <c r="B102" s="153" t="s">
        <v>1080</v>
      </c>
      <c r="C102" s="154"/>
      <c r="D102" s="36"/>
      <c r="E102" s="17">
        <f>IF(F3="1",SUMIF(Data!A:A,'26'!$A$2,Data!AL:AL),0)</f>
        <v>13379</v>
      </c>
      <c r="F102" s="21">
        <f t="shared" si="6"/>
        <v>0</v>
      </c>
    </row>
    <row r="103" spans="2:6" x14ac:dyDescent="0.2">
      <c r="B103" s="155" t="s">
        <v>34</v>
      </c>
      <c r="C103" s="156"/>
      <c r="D103" s="36"/>
      <c r="E103" s="17">
        <f>IF(F3="1",SUMIF(Data!A:A,'26'!$A$2,Data!AM:AM),0)</f>
        <v>0</v>
      </c>
      <c r="F103" s="21" t="str">
        <f t="shared" si="6"/>
        <v/>
      </c>
    </row>
    <row r="104" spans="2:6" ht="15.75" customHeight="1" thickBot="1" x14ac:dyDescent="0.25">
      <c r="B104" s="149" t="s">
        <v>29</v>
      </c>
      <c r="C104" s="150"/>
      <c r="D104" s="37"/>
      <c r="E104" s="24">
        <f>IF(F3="1",SUMIF(Data!A:A,'26'!$A$2,Data!Q:Q),0)</f>
        <v>2585818</v>
      </c>
      <c r="F104" s="25">
        <f t="shared" si="6"/>
        <v>0.28000000000000003</v>
      </c>
    </row>
    <row r="105" spans="2:6" x14ac:dyDescent="0.2">
      <c r="B105" s="30" t="s">
        <v>35</v>
      </c>
      <c r="C105" s="30"/>
      <c r="D105" s="34">
        <f>D95</f>
        <v>9092878</v>
      </c>
      <c r="E105" s="31">
        <f>SUM(E98:E104)</f>
        <v>30353102</v>
      </c>
      <c r="F105" s="32">
        <f>IF($D$105=0,"",ROUND(E105/$D$105,2))</f>
        <v>3.34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24024220</v>
      </c>
      <c r="D109" s="15">
        <f>IF(F3="1",SUMIF(Data!$A:$A,$A$2,Data!HJ:HJ),0)</f>
        <v>0</v>
      </c>
      <c r="E109" s="15">
        <f>IF(F3="1",SUMIF(Data!$A:$A,$A$2,Data!IN:IN),0)</f>
        <v>0</v>
      </c>
      <c r="F109" s="47">
        <f>SUM(C109:E109)</f>
        <v>24024220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13379</v>
      </c>
      <c r="F116" s="48">
        <f t="shared" si="7"/>
        <v>13379</v>
      </c>
    </row>
    <row r="117" spans="1:6" ht="15" thickBot="1" x14ac:dyDescent="0.25">
      <c r="B117" s="43" t="s">
        <v>933</v>
      </c>
      <c r="C117" s="52"/>
      <c r="D117" s="52">
        <f>IF(F3="1",SUMIF(Data!A:A,$A$2,Data!Q:Q),0)</f>
        <v>2585818</v>
      </c>
      <c r="E117" s="52"/>
      <c r="F117" s="49">
        <f>SUM(C117:E117)</f>
        <v>2585818</v>
      </c>
    </row>
    <row r="118" spans="1:6" x14ac:dyDescent="0.2">
      <c r="B118" s="13" t="s">
        <v>35</v>
      </c>
      <c r="C118" s="4">
        <f>SUM(C109:C116)</f>
        <v>24024220</v>
      </c>
      <c r="D118" s="4">
        <f>SUM(D109:D116)</f>
        <v>0</v>
      </c>
      <c r="E118" s="4">
        <f>SUM(E109:E116)</f>
        <v>13379</v>
      </c>
      <c r="F118" s="4">
        <f>SUM(F109:F116)</f>
        <v>24037599</v>
      </c>
    </row>
    <row r="119" spans="1:6" ht="15" thickBot="1" x14ac:dyDescent="0.25"/>
    <row r="120" spans="1:6" ht="15" thickBot="1" x14ac:dyDescent="0.25">
      <c r="B120" s="55" t="s">
        <v>934</v>
      </c>
      <c r="C120" s="53"/>
      <c r="D120" s="53"/>
      <c r="E120" s="53">
        <f>IF(F3="1",SUMIF(Data!A:A,'26'!$A$2,Data!AM:AM),0)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382</v>
      </c>
      <c r="B2" s="58" t="str">
        <f>VLOOKUP(A2,Data!A:G,7,0)</f>
        <v>McLennan Community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51096</v>
      </c>
      <c r="E6" s="17">
        <f t="shared" ref="E6:E32" si="1">E37+E68+IFERROR($E$105/$D$105*D6,0)</f>
        <v>542326.92189995688</v>
      </c>
      <c r="F6" s="21">
        <f t="shared" ref="F6:F33" si="2">IF(OR(D6=0,E6=0),"",ROUND(E6/D6,2))</f>
        <v>10.61</v>
      </c>
    </row>
    <row r="7" spans="1:6" ht="14.25" customHeight="1" x14ac:dyDescent="0.2">
      <c r="A7" s="19">
        <v>3</v>
      </c>
      <c r="B7" s="143" t="s">
        <v>2</v>
      </c>
      <c r="C7" s="144"/>
      <c r="D7" s="14">
        <f t="shared" si="0"/>
        <v>226080</v>
      </c>
      <c r="E7" s="17">
        <f t="shared" si="1"/>
        <v>1111329.3707363051</v>
      </c>
      <c r="F7" s="21">
        <f t="shared" si="2"/>
        <v>4.92</v>
      </c>
    </row>
    <row r="8" spans="1:6" ht="14.25" customHeight="1" x14ac:dyDescent="0.2">
      <c r="A8" s="19">
        <v>4</v>
      </c>
      <c r="B8" s="143" t="s">
        <v>3</v>
      </c>
      <c r="C8" s="144"/>
      <c r="D8" s="14">
        <f t="shared" si="0"/>
        <v>320658</v>
      </c>
      <c r="E8" s="17">
        <f t="shared" si="1"/>
        <v>1711274.789231963</v>
      </c>
      <c r="F8" s="21">
        <f t="shared" si="2"/>
        <v>5.34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12480</v>
      </c>
      <c r="E10" s="17">
        <f t="shared" si="1"/>
        <v>91903.738087354432</v>
      </c>
      <c r="F10" s="21">
        <f t="shared" si="2"/>
        <v>7.36</v>
      </c>
    </row>
    <row r="11" spans="1:6" x14ac:dyDescent="0.2">
      <c r="A11" s="19">
        <v>7</v>
      </c>
      <c r="B11" s="143" t="s">
        <v>6</v>
      </c>
      <c r="C11" s="144"/>
      <c r="D11" s="14">
        <f t="shared" si="0"/>
        <v>194413</v>
      </c>
      <c r="E11" s="17">
        <f t="shared" si="1"/>
        <v>1416677.2603987851</v>
      </c>
      <c r="F11" s="21">
        <f t="shared" si="2"/>
        <v>7.29</v>
      </c>
    </row>
    <row r="12" spans="1:6" x14ac:dyDescent="0.2">
      <c r="A12" s="19">
        <v>8</v>
      </c>
      <c r="B12" s="143" t="s">
        <v>7</v>
      </c>
      <c r="C12" s="144"/>
      <c r="D12" s="14">
        <f t="shared" si="0"/>
        <v>5170</v>
      </c>
      <c r="E12" s="17">
        <f t="shared" si="1"/>
        <v>53414.930762149233</v>
      </c>
      <c r="F12" s="21">
        <f t="shared" si="2"/>
        <v>10.33</v>
      </c>
    </row>
    <row r="13" spans="1:6" x14ac:dyDescent="0.2">
      <c r="A13" s="19">
        <v>9</v>
      </c>
      <c r="B13" s="143" t="s">
        <v>8</v>
      </c>
      <c r="C13" s="144"/>
      <c r="D13" s="14">
        <f t="shared" si="0"/>
        <v>137125</v>
      </c>
      <c r="E13" s="17">
        <f t="shared" si="1"/>
        <v>1279121.1722939485</v>
      </c>
      <c r="F13" s="21">
        <f t="shared" si="2"/>
        <v>9.33</v>
      </c>
    </row>
    <row r="14" spans="1:6" x14ac:dyDescent="0.2">
      <c r="A14" s="19">
        <v>10</v>
      </c>
      <c r="B14" s="143" t="s">
        <v>9</v>
      </c>
      <c r="C14" s="144"/>
      <c r="D14" s="14">
        <f t="shared" si="0"/>
        <v>1376</v>
      </c>
      <c r="E14" s="17">
        <f t="shared" si="1"/>
        <v>16090.481378862154</v>
      </c>
      <c r="F14" s="21">
        <f t="shared" si="2"/>
        <v>11.69</v>
      </c>
    </row>
    <row r="15" spans="1:6" x14ac:dyDescent="0.2">
      <c r="A15" s="19">
        <v>11</v>
      </c>
      <c r="B15" s="143" t="s">
        <v>10</v>
      </c>
      <c r="C15" s="144"/>
      <c r="D15" s="14">
        <f t="shared" si="0"/>
        <v>9600</v>
      </c>
      <c r="E15" s="17">
        <f t="shared" si="1"/>
        <v>36682.567759503407</v>
      </c>
      <c r="F15" s="21">
        <f t="shared" si="2"/>
        <v>3.82</v>
      </c>
    </row>
    <row r="16" spans="1:6" ht="14.25" customHeight="1" x14ac:dyDescent="0.2">
      <c r="A16" s="19">
        <v>12</v>
      </c>
      <c r="B16" s="143" t="s">
        <v>11</v>
      </c>
      <c r="C16" s="144"/>
      <c r="D16" s="14">
        <f t="shared" si="0"/>
        <v>417024</v>
      </c>
      <c r="E16" s="17">
        <f t="shared" si="1"/>
        <v>2305563.2634728281</v>
      </c>
      <c r="F16" s="21">
        <f t="shared" si="2"/>
        <v>5.53</v>
      </c>
    </row>
    <row r="17" spans="1:6" x14ac:dyDescent="0.2">
      <c r="A17" s="19">
        <v>13</v>
      </c>
      <c r="B17" s="143" t="s">
        <v>12</v>
      </c>
      <c r="C17" s="144"/>
      <c r="D17" s="14">
        <f t="shared" si="0"/>
        <v>56368</v>
      </c>
      <c r="E17" s="17">
        <f t="shared" si="1"/>
        <v>258269.53369455083</v>
      </c>
      <c r="F17" s="21">
        <f t="shared" si="2"/>
        <v>4.58</v>
      </c>
    </row>
    <row r="18" spans="1:6" ht="14.25" customHeight="1" x14ac:dyDescent="0.2">
      <c r="A18" s="19">
        <v>14</v>
      </c>
      <c r="B18" s="143" t="s">
        <v>464</v>
      </c>
      <c r="C18" s="144"/>
      <c r="D18" s="14">
        <f t="shared" si="0"/>
        <v>160152</v>
      </c>
      <c r="E18" s="17">
        <f t="shared" si="1"/>
        <v>1528325.7716479157</v>
      </c>
      <c r="F18" s="21">
        <f t="shared" si="2"/>
        <v>9.5399999999999991</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209989</v>
      </c>
      <c r="E20" s="17">
        <f t="shared" si="1"/>
        <v>1558262.0815885793</v>
      </c>
      <c r="F20" s="21">
        <f t="shared" si="2"/>
        <v>7.42</v>
      </c>
    </row>
    <row r="21" spans="1:6" x14ac:dyDescent="0.2">
      <c r="A21" s="19">
        <v>17</v>
      </c>
      <c r="B21" s="143" t="s">
        <v>15</v>
      </c>
      <c r="C21" s="144"/>
      <c r="D21" s="14">
        <f t="shared" si="0"/>
        <v>20672</v>
      </c>
      <c r="E21" s="17">
        <f t="shared" si="1"/>
        <v>179407.02257546401</v>
      </c>
      <c r="F21" s="21">
        <f t="shared" si="2"/>
        <v>8.68</v>
      </c>
    </row>
    <row r="22" spans="1:6" x14ac:dyDescent="0.2">
      <c r="A22" s="19">
        <v>18</v>
      </c>
      <c r="B22" s="143" t="s">
        <v>16</v>
      </c>
      <c r="C22" s="144"/>
      <c r="D22" s="14">
        <f t="shared" si="0"/>
        <v>127538</v>
      </c>
      <c r="E22" s="17">
        <f t="shared" si="1"/>
        <v>555624.36780328606</v>
      </c>
      <c r="F22" s="21">
        <f t="shared" si="2"/>
        <v>4.3600000000000003</v>
      </c>
    </row>
    <row r="23" spans="1:6" x14ac:dyDescent="0.2">
      <c r="A23" s="19">
        <v>19</v>
      </c>
      <c r="B23" s="143" t="s">
        <v>17</v>
      </c>
      <c r="C23" s="144"/>
      <c r="D23" s="14">
        <f t="shared" si="0"/>
        <v>243728</v>
      </c>
      <c r="E23" s="17">
        <f t="shared" si="1"/>
        <v>1260326.6144675256</v>
      </c>
      <c r="F23" s="21">
        <f t="shared" si="2"/>
        <v>5.17</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110457</v>
      </c>
      <c r="E27" s="17">
        <f t="shared" si="1"/>
        <v>785884.64510536124</v>
      </c>
      <c r="F27" s="21">
        <f t="shared" si="2"/>
        <v>7.11</v>
      </c>
    </row>
    <row r="28" spans="1:6" x14ac:dyDescent="0.2">
      <c r="A28" s="19">
        <v>24</v>
      </c>
      <c r="B28" s="143" t="s">
        <v>21</v>
      </c>
      <c r="C28" s="144"/>
      <c r="D28" s="14">
        <f t="shared" si="0"/>
        <v>71693</v>
      </c>
      <c r="E28" s="17">
        <f t="shared" si="1"/>
        <v>394398.00253979978</v>
      </c>
      <c r="F28" s="21">
        <f t="shared" si="2"/>
        <v>5.5</v>
      </c>
    </row>
    <row r="29" spans="1:6" x14ac:dyDescent="0.2">
      <c r="A29" s="19">
        <v>25</v>
      </c>
      <c r="B29" s="143" t="s">
        <v>22</v>
      </c>
      <c r="C29" s="144"/>
      <c r="D29" s="14">
        <f t="shared" si="0"/>
        <v>393600</v>
      </c>
      <c r="E29" s="17">
        <f t="shared" si="1"/>
        <v>1505842.2781396396</v>
      </c>
      <c r="F29" s="21">
        <f t="shared" si="2"/>
        <v>3.83</v>
      </c>
    </row>
    <row r="30" spans="1:6" x14ac:dyDescent="0.2">
      <c r="A30" s="19">
        <v>26</v>
      </c>
      <c r="B30" s="143" t="s">
        <v>23</v>
      </c>
      <c r="C30" s="144"/>
      <c r="D30" s="14">
        <f t="shared" si="0"/>
        <v>145184</v>
      </c>
      <c r="E30" s="17">
        <f t="shared" si="1"/>
        <v>1257394.1864162232</v>
      </c>
      <c r="F30" s="21">
        <f t="shared" si="2"/>
        <v>8.66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2914403</v>
      </c>
      <c r="E33" s="31">
        <f>SUM(E5:E32)</f>
        <v>17848119</v>
      </c>
      <c r="F33" s="32">
        <f t="shared" si="2"/>
        <v>6.12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IF(F3="1",SUMIF(Data!A:A,'27'!$A$2,Data!CU:CU),0)</f>
        <v>0</v>
      </c>
      <c r="E36" s="15">
        <f>IF(F3="1",SUMIF(Data!$A:$A,$A$2,Data!IO:IO),0)</f>
        <v>0</v>
      </c>
      <c r="F36" s="20" t="str">
        <f t="shared" ref="F36:F64" si="3">IF(OR(D36=0,E36=0),"",ROUND(E36/D36,2))</f>
        <v/>
      </c>
    </row>
    <row r="37" spans="1:6" x14ac:dyDescent="0.2">
      <c r="A37" s="19">
        <v>2</v>
      </c>
      <c r="B37" s="143" t="s">
        <v>1</v>
      </c>
      <c r="C37" s="144"/>
      <c r="D37" s="14">
        <f>IF(F3="1",SUMIF(Data!A:A,'27'!$A$2,Data!CV:CV),0)</f>
        <v>51096</v>
      </c>
      <c r="E37" s="17">
        <f>IF(F3="1",SUMIF(Data!$A:$A,$A$2,Data!IP:IP),0)</f>
        <v>77637</v>
      </c>
      <c r="F37" s="21">
        <f t="shared" si="3"/>
        <v>1.52</v>
      </c>
    </row>
    <row r="38" spans="1:6" ht="14.25" customHeight="1" x14ac:dyDescent="0.2">
      <c r="A38" s="19">
        <v>3</v>
      </c>
      <c r="B38" s="143" t="s">
        <v>2</v>
      </c>
      <c r="C38" s="144"/>
      <c r="D38" s="14">
        <f>IF(F3="1",SUMIF(Data!A:A,'27'!$A$2,Data!CW:CW),0)</f>
        <v>226080</v>
      </c>
      <c r="E38" s="17">
        <f>IF($F$3="1",SUMIF(Data!$A:$A,$A$2,Data!IQ:IQ),0)</f>
        <v>70134</v>
      </c>
      <c r="F38" s="21">
        <f t="shared" si="3"/>
        <v>0.31</v>
      </c>
    </row>
    <row r="39" spans="1:6" ht="14.25" customHeight="1" x14ac:dyDescent="0.2">
      <c r="A39" s="19">
        <v>4</v>
      </c>
      <c r="B39" s="143" t="s">
        <v>3</v>
      </c>
      <c r="C39" s="144"/>
      <c r="D39" s="14">
        <f>IF(F3="1",SUMIF(Data!A:A,'27'!$A$2,Data!CX:CX),0)</f>
        <v>320658</v>
      </c>
      <c r="E39" s="17">
        <f>IF($F$3="1",SUMIF(Data!$A:$A,$A$2,Data!IR:IR),0)</f>
        <v>278668</v>
      </c>
      <c r="F39" s="21">
        <f t="shared" si="3"/>
        <v>0.87</v>
      </c>
    </row>
    <row r="40" spans="1:6" x14ac:dyDescent="0.2">
      <c r="A40" s="19">
        <v>5</v>
      </c>
      <c r="B40" s="143" t="s">
        <v>4</v>
      </c>
      <c r="C40" s="144"/>
      <c r="D40" s="14">
        <f>IF(F3="1",SUMIF(Data!A:A,'27'!$A$2,Data!CY:CY),0)</f>
        <v>0</v>
      </c>
      <c r="E40" s="17">
        <f>IF($F$3="1",SUMIF(Data!$A:$A,$A$2,Data!IS:IS),0)</f>
        <v>0</v>
      </c>
      <c r="F40" s="21" t="str">
        <f t="shared" si="3"/>
        <v/>
      </c>
    </row>
    <row r="41" spans="1:6" x14ac:dyDescent="0.2">
      <c r="A41" s="19">
        <v>6</v>
      </c>
      <c r="B41" s="143" t="s">
        <v>5</v>
      </c>
      <c r="C41" s="144"/>
      <c r="D41" s="14">
        <f>IF(F3="1",SUMIF(Data!A:A,'27'!$A$2,Data!CZ:CZ),0)</f>
        <v>12480</v>
      </c>
      <c r="E41" s="17">
        <f>IF($F$3="1",SUMIF(Data!$A:$A,$A$2,Data!IT:IT),0)</f>
        <v>4966</v>
      </c>
      <c r="F41" s="21">
        <f t="shared" si="3"/>
        <v>0.4</v>
      </c>
    </row>
    <row r="42" spans="1:6" x14ac:dyDescent="0.2">
      <c r="A42" s="19">
        <v>7</v>
      </c>
      <c r="B42" s="143" t="s">
        <v>6</v>
      </c>
      <c r="C42" s="144"/>
      <c r="D42" s="14">
        <f>IF(F3="1",SUMIF(Data!A:A,'27'!$A$2,Data!DA:DA),0)</f>
        <v>194413</v>
      </c>
      <c r="E42" s="17">
        <f>IF($F$3="1",SUMIF(Data!$A:$A,$A$2,Data!IU:IU),0)</f>
        <v>210103</v>
      </c>
      <c r="F42" s="21">
        <f t="shared" si="3"/>
        <v>1.08</v>
      </c>
    </row>
    <row r="43" spans="1:6" x14ac:dyDescent="0.2">
      <c r="A43" s="19">
        <v>8</v>
      </c>
      <c r="B43" s="143" t="s">
        <v>7</v>
      </c>
      <c r="C43" s="144"/>
      <c r="D43" s="14">
        <f>IF(F3="1",SUMIF(Data!A:A,'27'!$A$2,Data!DB:DB),0)</f>
        <v>5170</v>
      </c>
      <c r="E43" s="17">
        <f>IF($F$3="1",SUMIF(Data!$A:$A,$A$2,Data!IV:IV),0)</f>
        <v>8080</v>
      </c>
      <c r="F43" s="21">
        <f t="shared" si="3"/>
        <v>1.56</v>
      </c>
    </row>
    <row r="44" spans="1:6" x14ac:dyDescent="0.2">
      <c r="A44" s="19">
        <v>9</v>
      </c>
      <c r="B44" s="143" t="s">
        <v>8</v>
      </c>
      <c r="C44" s="144"/>
      <c r="D44" s="14">
        <f>IF(F3="1",SUMIF(Data!A:A,'27'!$A$2,Data!DC:DC),0)</f>
        <v>137125</v>
      </c>
      <c r="E44" s="17">
        <f>IF($F$3="1",SUMIF(Data!$A:$A,$A$2,Data!IW:IW),0)</f>
        <v>681850</v>
      </c>
      <c r="F44" s="21">
        <f t="shared" si="3"/>
        <v>4.97</v>
      </c>
    </row>
    <row r="45" spans="1:6" x14ac:dyDescent="0.2">
      <c r="A45" s="19">
        <v>10</v>
      </c>
      <c r="B45" s="143" t="s">
        <v>9</v>
      </c>
      <c r="C45" s="144"/>
      <c r="D45" s="14">
        <f>IF(F3="1",SUMIF(Data!A:A,'27'!$A$2,Data!DD:DD),0)</f>
        <v>1376</v>
      </c>
      <c r="E45" s="17">
        <f>IF($F$3="1",SUMIF(Data!$A:$A,$A$2,Data!IX:IX),0)</f>
        <v>28</v>
      </c>
      <c r="F45" s="21">
        <f t="shared" si="3"/>
        <v>0.02</v>
      </c>
    </row>
    <row r="46" spans="1:6" x14ac:dyDescent="0.2">
      <c r="A46" s="19">
        <v>11</v>
      </c>
      <c r="B46" s="143" t="s">
        <v>10</v>
      </c>
      <c r="C46" s="144"/>
      <c r="D46" s="14">
        <f>IF(F3="1",SUMIF(Data!A:A,'27'!$A$2,Data!DE:DE),0)</f>
        <v>9600</v>
      </c>
      <c r="E46" s="17">
        <f>IF($F$3="1",SUMIF(Data!$A:$A,$A$2,Data!IY:IY),0)</f>
        <v>684</v>
      </c>
      <c r="F46" s="21">
        <f t="shared" si="3"/>
        <v>7.0000000000000007E-2</v>
      </c>
    </row>
    <row r="47" spans="1:6" ht="14.25" customHeight="1" x14ac:dyDescent="0.2">
      <c r="A47" s="19">
        <v>12</v>
      </c>
      <c r="B47" s="143" t="s">
        <v>11</v>
      </c>
      <c r="C47" s="144"/>
      <c r="D47" s="14">
        <f>IF(F3="1",SUMIF(Data!A:A,'27'!$A$2,Data!DF:DF),0)</f>
        <v>417024</v>
      </c>
      <c r="E47" s="17">
        <f>IF($F$3="1",SUMIF(Data!$A:$A,$A$2,Data!IZ:IZ),0)</f>
        <v>86556</v>
      </c>
      <c r="F47" s="21">
        <f t="shared" si="3"/>
        <v>0.21</v>
      </c>
    </row>
    <row r="48" spans="1:6" x14ac:dyDescent="0.2">
      <c r="A48" s="19">
        <v>13</v>
      </c>
      <c r="B48" s="143" t="s">
        <v>12</v>
      </c>
      <c r="C48" s="144"/>
      <c r="D48" s="14">
        <f>IF(F3="1",SUMIF(Data!A:A,'27'!$A$2,Data!DG:DG),0)</f>
        <v>56368</v>
      </c>
      <c r="E48" s="17">
        <f>IF($F$3="1",SUMIF(Data!$A:$A,$A$2,Data!JA:JA),0)</f>
        <v>15580</v>
      </c>
      <c r="F48" s="21">
        <f t="shared" si="3"/>
        <v>0.28000000000000003</v>
      </c>
    </row>
    <row r="49" spans="1:6" ht="14.25" customHeight="1" x14ac:dyDescent="0.2">
      <c r="A49" s="19">
        <v>14</v>
      </c>
      <c r="B49" s="143" t="s">
        <v>464</v>
      </c>
      <c r="C49" s="144"/>
      <c r="D49" s="14">
        <f>IF(F3="1",SUMIF(Data!A:A,'27'!$A$2,Data!DH:DH),0)</f>
        <v>160152</v>
      </c>
      <c r="E49" s="17">
        <f>IF($F$3="1",SUMIF(Data!$A:$A,$A$2,Data!JB:JB),0)</f>
        <v>144121</v>
      </c>
      <c r="F49" s="21">
        <f t="shared" si="3"/>
        <v>0.9</v>
      </c>
    </row>
    <row r="50" spans="1:6" x14ac:dyDescent="0.2">
      <c r="A50" s="19">
        <v>15</v>
      </c>
      <c r="B50" s="143" t="s">
        <v>13</v>
      </c>
      <c r="C50" s="144"/>
      <c r="D50" s="14">
        <f>IF(F3="1",SUMIF(Data!A:A,'27'!$A$2,Data!DI:DI),0)</f>
        <v>0</v>
      </c>
      <c r="E50" s="17">
        <f>IF($F$3="1",SUMIF(Data!$A:$A,$A$2,Data!JC:JC),0)</f>
        <v>0</v>
      </c>
      <c r="F50" s="21" t="str">
        <f t="shared" si="3"/>
        <v/>
      </c>
    </row>
    <row r="51" spans="1:6" x14ac:dyDescent="0.2">
      <c r="A51" s="19">
        <v>16</v>
      </c>
      <c r="B51" s="143" t="s">
        <v>14</v>
      </c>
      <c r="C51" s="144"/>
      <c r="D51" s="14">
        <f>IF(F3="1",SUMIF(Data!A:A,'27'!$A$2,Data!DJ:DJ),0)</f>
        <v>209989</v>
      </c>
      <c r="E51" s="17">
        <f>IF($F$3="1",SUMIF(Data!$A:$A,$A$2,Data!JD:JD),0)</f>
        <v>206510</v>
      </c>
      <c r="F51" s="21">
        <f t="shared" si="3"/>
        <v>0.98</v>
      </c>
    </row>
    <row r="52" spans="1:6" x14ac:dyDescent="0.2">
      <c r="A52" s="19">
        <v>17</v>
      </c>
      <c r="B52" s="143" t="s">
        <v>15</v>
      </c>
      <c r="C52" s="144"/>
      <c r="D52" s="14">
        <f>IF(F3="1",SUMIF(Data!A:A,'27'!$A$2,Data!DK:DK),0)</f>
        <v>20672</v>
      </c>
      <c r="E52" s="17">
        <f>IF($F$3="1",SUMIF(Data!$A:$A,$A$2,Data!JE:JE),0)</f>
        <v>21864</v>
      </c>
      <c r="F52" s="21">
        <f t="shared" si="3"/>
        <v>1.06</v>
      </c>
    </row>
    <row r="53" spans="1:6" x14ac:dyDescent="0.2">
      <c r="A53" s="19">
        <v>18</v>
      </c>
      <c r="B53" s="143" t="s">
        <v>16</v>
      </c>
      <c r="C53" s="144"/>
      <c r="D53" s="14">
        <f>IF(F3="1",SUMIF(Data!A:A,'27'!$A$2,Data!DL:DL),0)</f>
        <v>127538</v>
      </c>
      <c r="E53" s="17">
        <f>IF($F$3="1",SUMIF(Data!$A:$A,$A$2,Data!JF:JF),0)</f>
        <v>23541</v>
      </c>
      <c r="F53" s="21">
        <f t="shared" si="3"/>
        <v>0.18</v>
      </c>
    </row>
    <row r="54" spans="1:6" x14ac:dyDescent="0.2">
      <c r="A54" s="19">
        <v>19</v>
      </c>
      <c r="B54" s="143" t="s">
        <v>17</v>
      </c>
      <c r="C54" s="144"/>
      <c r="D54" s="14">
        <f>IF(F3="1",SUMIF(Data!A:A,'27'!$A$2,Data!DM:DM),0)</f>
        <v>243728</v>
      </c>
      <c r="E54" s="17">
        <f>IF($F$3="1",SUMIF(Data!$A:$A,$A$2,Data!JG:JG),0)</f>
        <v>161400</v>
      </c>
      <c r="F54" s="21">
        <f t="shared" si="3"/>
        <v>0.66</v>
      </c>
    </row>
    <row r="55" spans="1:6" x14ac:dyDescent="0.2">
      <c r="A55" s="19">
        <v>20</v>
      </c>
      <c r="B55" s="143" t="s">
        <v>18</v>
      </c>
      <c r="C55" s="144"/>
      <c r="D55" s="14">
        <f>IF(F3="1",SUMIF(Data!A:A,'27'!$A$2,Data!DN:DN),0)</f>
        <v>0</v>
      </c>
      <c r="E55" s="17">
        <f>IF($F$3="1",SUMIF(Data!$A:$A,$A$2,Data!JH:JH),0)</f>
        <v>0</v>
      </c>
      <c r="F55" s="21" t="str">
        <f t="shared" si="3"/>
        <v/>
      </c>
    </row>
    <row r="56" spans="1:6" ht="14.25" customHeight="1" x14ac:dyDescent="0.2">
      <c r="A56" s="19">
        <v>21</v>
      </c>
      <c r="B56" s="143" t="s">
        <v>461</v>
      </c>
      <c r="C56" s="144"/>
      <c r="D56" s="14">
        <f>IF(F3="1",SUMIF(Data!A:A,'27'!$A$2,Data!DO:DO),0)</f>
        <v>0</v>
      </c>
      <c r="E56" s="17">
        <f>IF($F$3="1",SUMIF(Data!$A:$A,$A$2,Data!JI:JI),0)</f>
        <v>0</v>
      </c>
      <c r="F56" s="21" t="str">
        <f t="shared" si="3"/>
        <v/>
      </c>
    </row>
    <row r="57" spans="1:6" x14ac:dyDescent="0.2">
      <c r="A57" s="19">
        <v>22</v>
      </c>
      <c r="B57" s="143" t="s">
        <v>19</v>
      </c>
      <c r="C57" s="144"/>
      <c r="D57" s="14">
        <f>IF(F3="1",SUMIF(Data!A:A,'27'!$A$2,Data!DP:DP),0)</f>
        <v>0</v>
      </c>
      <c r="E57" s="17">
        <f>IF($F$3="1",SUMIF(Data!$A:$A,$A$2,Data!JJ:JJ),0)</f>
        <v>0</v>
      </c>
      <c r="F57" s="21" t="str">
        <f t="shared" si="3"/>
        <v/>
      </c>
    </row>
    <row r="58" spans="1:6" x14ac:dyDescent="0.2">
      <c r="A58" s="19">
        <v>23</v>
      </c>
      <c r="B58" s="143" t="s">
        <v>20</v>
      </c>
      <c r="C58" s="144"/>
      <c r="D58" s="14">
        <f>IF(F3="1",SUMIF(Data!A:A,'27'!$A$2,Data!DQ:DQ),0)</f>
        <v>110457</v>
      </c>
      <c r="E58" s="17">
        <f>IF($F$3="1",SUMIF(Data!$A:$A,$A$2,Data!JK:JK),0)</f>
        <v>67046</v>
      </c>
      <c r="F58" s="21">
        <f t="shared" si="3"/>
        <v>0.61</v>
      </c>
    </row>
    <row r="59" spans="1:6" x14ac:dyDescent="0.2">
      <c r="A59" s="19">
        <v>24</v>
      </c>
      <c r="B59" s="143" t="s">
        <v>21</v>
      </c>
      <c r="C59" s="144"/>
      <c r="D59" s="14">
        <f>IF(F3="1",SUMIF(Data!A:A,'27'!$A$2,Data!DR:DR),0)</f>
        <v>71693</v>
      </c>
      <c r="E59" s="17">
        <f>IF($F$3="1",SUMIF(Data!$A:$A,$A$2,Data!JL:JL),0)</f>
        <v>118649</v>
      </c>
      <c r="F59" s="21">
        <f t="shared" si="3"/>
        <v>1.65</v>
      </c>
    </row>
    <row r="60" spans="1:6" x14ac:dyDescent="0.2">
      <c r="A60" s="19">
        <v>25</v>
      </c>
      <c r="B60" s="143" t="s">
        <v>22</v>
      </c>
      <c r="C60" s="144"/>
      <c r="D60" s="14">
        <f>IF(F3="1",SUMIF(Data!A:A,'27'!$A$2,Data!DS:DS),0)</f>
        <v>393600</v>
      </c>
      <c r="E60" s="17">
        <f>IF($F$3="1",SUMIF(Data!$A:$A,$A$2,Data!JM:JM),0)</f>
        <v>43568</v>
      </c>
      <c r="F60" s="21">
        <f t="shared" si="3"/>
        <v>0.11</v>
      </c>
    </row>
    <row r="61" spans="1:6" x14ac:dyDescent="0.2">
      <c r="A61" s="19">
        <v>26</v>
      </c>
      <c r="B61" s="143" t="s">
        <v>23</v>
      </c>
      <c r="C61" s="144"/>
      <c r="D61" s="14">
        <f>IF(F3="1",SUMIF(Data!A:A,'27'!$A$2,Data!DT:DT),0)</f>
        <v>145184</v>
      </c>
      <c r="E61" s="17">
        <f>IF($F$3="1",SUMIF(Data!$A:$A,$A$2,Data!JN:JN),0)</f>
        <v>182142</v>
      </c>
      <c r="F61" s="21">
        <f t="shared" si="3"/>
        <v>1.25</v>
      </c>
    </row>
    <row r="62" spans="1:6" x14ac:dyDescent="0.2">
      <c r="A62" s="19">
        <v>28</v>
      </c>
      <c r="B62" s="143" t="s">
        <v>24</v>
      </c>
      <c r="C62" s="144"/>
      <c r="D62" s="14">
        <f>IF(F3="1",SUMIF(Data!A:A,'27'!$A$2,Data!DV:DV),0)</f>
        <v>0</v>
      </c>
      <c r="E62" s="17">
        <f>IF($F$3="1",SUMIF(Data!$A:$A,$A$2,Data!JP:JP),0)</f>
        <v>0</v>
      </c>
      <c r="F62" s="21" t="str">
        <f t="shared" si="3"/>
        <v/>
      </c>
    </row>
    <row r="63" spans="1:6" ht="15.75" customHeight="1" thickBot="1" x14ac:dyDescent="0.25">
      <c r="A63" s="22">
        <v>29</v>
      </c>
      <c r="B63" s="147" t="s">
        <v>25</v>
      </c>
      <c r="C63" s="148"/>
      <c r="D63" s="23">
        <f>IF(F3="1",SUMIF(Data!A:A,'27'!$A$2,Data!DW:DW),0)</f>
        <v>0</v>
      </c>
      <c r="E63" s="24">
        <f>IF($F$3="1",SUMIF(Data!$A:$A,$A$2,Data!JQ:JQ),0)</f>
        <v>0</v>
      </c>
      <c r="F63" s="25" t="str">
        <f t="shared" si="3"/>
        <v/>
      </c>
    </row>
    <row r="64" spans="1:6" x14ac:dyDescent="0.2">
      <c r="B64" s="30" t="s">
        <v>35</v>
      </c>
      <c r="C64" s="30"/>
      <c r="D64" s="59">
        <f>SUM(D36:D63)</f>
        <v>2914403</v>
      </c>
      <c r="E64" s="31">
        <f>SUM(E36:E63)</f>
        <v>2403127</v>
      </c>
      <c r="F64" s="32">
        <f t="shared" si="3"/>
        <v>0.82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IF(F3="1",SUMIF(Data!A:A,'27'!$A$2,Data!DY:DY),0)</f>
        <v>0</v>
      </c>
      <c r="F67" s="20" t="str">
        <f t="shared" ref="F67:F95" si="4">IF(OR(D67=0,E67=0),"",ROUND(E67/D67,2))</f>
        <v/>
      </c>
    </row>
    <row r="68" spans="1:6" x14ac:dyDescent="0.2">
      <c r="A68" s="19">
        <v>2</v>
      </c>
      <c r="B68" s="143" t="s">
        <v>1</v>
      </c>
      <c r="C68" s="144"/>
      <c r="D68" s="14">
        <f t="shared" ref="D68:D94" si="5">D37</f>
        <v>51096</v>
      </c>
      <c r="E68" s="17">
        <f>IF(F3="1",SUMIF(Data!A:A,'27'!$A$2,Data!DZ:DZ),0)</f>
        <v>351637</v>
      </c>
      <c r="F68" s="21">
        <f t="shared" si="4"/>
        <v>6.88</v>
      </c>
    </row>
    <row r="69" spans="1:6" ht="14.25" customHeight="1" x14ac:dyDescent="0.2">
      <c r="A69" s="19">
        <v>3</v>
      </c>
      <c r="B69" s="143" t="s">
        <v>2</v>
      </c>
      <c r="C69" s="144"/>
      <c r="D69" s="14">
        <f t="shared" si="5"/>
        <v>226080</v>
      </c>
      <c r="E69" s="17">
        <f>IF(F3="1",SUMIF(Data!A:A,'27'!$A$2,Data!EA:EA),0)</f>
        <v>540980</v>
      </c>
      <c r="F69" s="21">
        <f t="shared" si="4"/>
        <v>2.39</v>
      </c>
    </row>
    <row r="70" spans="1:6" ht="14.25" customHeight="1" x14ac:dyDescent="0.2">
      <c r="A70" s="19">
        <v>4</v>
      </c>
      <c r="B70" s="143" t="s">
        <v>3</v>
      </c>
      <c r="C70" s="144"/>
      <c r="D70" s="14">
        <f t="shared" si="5"/>
        <v>320658</v>
      </c>
      <c r="E70" s="17">
        <f>IF(F3="1",SUMIF(Data!A:A,'27'!$A$2,Data!EB:EB),0)</f>
        <v>723132</v>
      </c>
      <c r="F70" s="21">
        <f t="shared" si="4"/>
        <v>2.2599999999999998</v>
      </c>
    </row>
    <row r="71" spans="1:6" x14ac:dyDescent="0.2">
      <c r="A71" s="19">
        <v>5</v>
      </c>
      <c r="B71" s="143" t="s">
        <v>4</v>
      </c>
      <c r="C71" s="144"/>
      <c r="D71" s="14">
        <f t="shared" si="5"/>
        <v>0</v>
      </c>
      <c r="E71" s="17">
        <f>IF(F3="1",SUMIF(Data!A:A,'27'!$A$2,Data!EC:EC),0)</f>
        <v>0</v>
      </c>
      <c r="F71" s="21" t="str">
        <f t="shared" si="4"/>
        <v/>
      </c>
    </row>
    <row r="72" spans="1:6" x14ac:dyDescent="0.2">
      <c r="A72" s="19">
        <v>6</v>
      </c>
      <c r="B72" s="143" t="s">
        <v>5</v>
      </c>
      <c r="C72" s="144"/>
      <c r="D72" s="14">
        <f t="shared" si="5"/>
        <v>12480</v>
      </c>
      <c r="E72" s="17">
        <f>IF(F3="1",SUMIF(Data!A:A,'27'!$A$2,Data!ED:ED),0)</f>
        <v>59325</v>
      </c>
      <c r="F72" s="21">
        <f t="shared" si="4"/>
        <v>4.75</v>
      </c>
    </row>
    <row r="73" spans="1:6" x14ac:dyDescent="0.2">
      <c r="A73" s="19">
        <v>7</v>
      </c>
      <c r="B73" s="143" t="s">
        <v>6</v>
      </c>
      <c r="C73" s="144"/>
      <c r="D73" s="14">
        <f t="shared" si="5"/>
        <v>194413</v>
      </c>
      <c r="E73" s="17">
        <f>IF(F3="1",SUMIF(Data!A:A,'27'!$A$2,Data!EE:EE),0)</f>
        <v>776424</v>
      </c>
      <c r="F73" s="21">
        <f t="shared" si="4"/>
        <v>3.99</v>
      </c>
    </row>
    <row r="74" spans="1:6" x14ac:dyDescent="0.2">
      <c r="A74" s="19">
        <v>8</v>
      </c>
      <c r="B74" s="143" t="s">
        <v>7</v>
      </c>
      <c r="C74" s="144"/>
      <c r="D74" s="14">
        <f t="shared" si="5"/>
        <v>5170</v>
      </c>
      <c r="E74" s="17">
        <f>IF(F3="1",SUMIF(Data!A:A,'27'!$A$2,Data!EF:EF),0)</f>
        <v>33896</v>
      </c>
      <c r="F74" s="21">
        <f t="shared" si="4"/>
        <v>6.56</v>
      </c>
    </row>
    <row r="75" spans="1:6" x14ac:dyDescent="0.2">
      <c r="A75" s="19">
        <v>9</v>
      </c>
      <c r="B75" s="143" t="s">
        <v>8</v>
      </c>
      <c r="C75" s="144"/>
      <c r="D75" s="14">
        <f t="shared" si="5"/>
        <v>137125</v>
      </c>
      <c r="E75" s="17">
        <f>IF(F3="1",SUMIF(Data!A:A,'27'!$A$2,Data!EG:EG),0)</f>
        <v>293874</v>
      </c>
      <c r="F75" s="21">
        <f t="shared" si="4"/>
        <v>2.14</v>
      </c>
    </row>
    <row r="76" spans="1:6" x14ac:dyDescent="0.2">
      <c r="A76" s="19">
        <v>10</v>
      </c>
      <c r="B76" s="143" t="s">
        <v>9</v>
      </c>
      <c r="C76" s="144"/>
      <c r="D76" s="14">
        <f t="shared" si="5"/>
        <v>1376</v>
      </c>
      <c r="E76" s="17">
        <f>IF(F3="1",SUMIF(Data!A:A,'27'!$A$2,Data!EH:EH),0)</f>
        <v>13018</v>
      </c>
      <c r="F76" s="21">
        <f t="shared" si="4"/>
        <v>9.4600000000000009</v>
      </c>
    </row>
    <row r="77" spans="1:6" x14ac:dyDescent="0.2">
      <c r="A77" s="19">
        <v>11</v>
      </c>
      <c r="B77" s="143" t="s">
        <v>10</v>
      </c>
      <c r="C77" s="144"/>
      <c r="D77" s="14">
        <f t="shared" si="5"/>
        <v>9600</v>
      </c>
      <c r="E77" s="17">
        <f>IF(F3="1",SUMIF(Data!A:A,'27'!$A$2,Data!EI:EI),0)</f>
        <v>14758</v>
      </c>
      <c r="F77" s="21">
        <f t="shared" si="4"/>
        <v>1.54</v>
      </c>
    </row>
    <row r="78" spans="1:6" ht="14.25" customHeight="1" x14ac:dyDescent="0.2">
      <c r="A78" s="19">
        <v>12</v>
      </c>
      <c r="B78" s="143" t="s">
        <v>11</v>
      </c>
      <c r="C78" s="144"/>
      <c r="D78" s="14">
        <f t="shared" si="5"/>
        <v>417024</v>
      </c>
      <c r="E78" s="17">
        <f>IF(F3="1",SUMIF(Data!A:A,'27'!$A$2,Data!EJ:EJ),0)</f>
        <v>1296317</v>
      </c>
      <c r="F78" s="21">
        <f t="shared" si="4"/>
        <v>3.11</v>
      </c>
    </row>
    <row r="79" spans="1:6" x14ac:dyDescent="0.2">
      <c r="A79" s="19">
        <v>13</v>
      </c>
      <c r="B79" s="143" t="s">
        <v>12</v>
      </c>
      <c r="C79" s="144"/>
      <c r="D79" s="14">
        <f t="shared" si="5"/>
        <v>56368</v>
      </c>
      <c r="E79" s="17">
        <f>IF(F3="1",SUMIF(Data!A:A,'27'!$A$2,Data!EK:EK),0)</f>
        <v>117972</v>
      </c>
      <c r="F79" s="21">
        <f t="shared" si="4"/>
        <v>2.09</v>
      </c>
    </row>
    <row r="80" spans="1:6" ht="14.25" customHeight="1" x14ac:dyDescent="0.2">
      <c r="A80" s="19">
        <v>14</v>
      </c>
      <c r="B80" s="143" t="s">
        <v>464</v>
      </c>
      <c r="C80" s="144"/>
      <c r="D80" s="14">
        <f t="shared" si="5"/>
        <v>160152</v>
      </c>
      <c r="E80" s="17">
        <f>IF(F3="1",SUMIF(Data!A:A,'27'!$A$2,Data!EL:EL),0)</f>
        <v>1029859</v>
      </c>
      <c r="F80" s="21">
        <f t="shared" si="4"/>
        <v>6.43</v>
      </c>
    </row>
    <row r="81" spans="1:6" x14ac:dyDescent="0.2">
      <c r="A81" s="19">
        <v>15</v>
      </c>
      <c r="B81" s="143" t="s">
        <v>13</v>
      </c>
      <c r="C81" s="144"/>
      <c r="D81" s="14">
        <f t="shared" si="5"/>
        <v>0</v>
      </c>
      <c r="E81" s="17">
        <f>IF(F3="1",SUMIF(Data!A:A,'27'!$A$2,Data!EM:EM),0)</f>
        <v>0</v>
      </c>
      <c r="F81" s="21" t="str">
        <f t="shared" si="4"/>
        <v/>
      </c>
    </row>
    <row r="82" spans="1:6" x14ac:dyDescent="0.2">
      <c r="A82" s="19">
        <v>16</v>
      </c>
      <c r="B82" s="143" t="s">
        <v>14</v>
      </c>
      <c r="C82" s="144"/>
      <c r="D82" s="14">
        <f t="shared" si="5"/>
        <v>209989</v>
      </c>
      <c r="E82" s="17">
        <f>IF(F3="1",SUMIF(Data!A:A,'27'!$A$2,Data!EN:EN),0)</f>
        <v>887139</v>
      </c>
      <c r="F82" s="21">
        <f t="shared" si="4"/>
        <v>4.22</v>
      </c>
    </row>
    <row r="83" spans="1:6" x14ac:dyDescent="0.2">
      <c r="A83" s="19">
        <v>17</v>
      </c>
      <c r="B83" s="143" t="s">
        <v>15</v>
      </c>
      <c r="C83" s="144"/>
      <c r="D83" s="14">
        <f t="shared" si="5"/>
        <v>20672</v>
      </c>
      <c r="E83" s="17">
        <f>IF(F3="1",SUMIF(Data!A:A,'27'!$A$2,Data!EO:EO),0)</f>
        <v>111805</v>
      </c>
      <c r="F83" s="21">
        <f t="shared" si="4"/>
        <v>5.41</v>
      </c>
    </row>
    <row r="84" spans="1:6" x14ac:dyDescent="0.2">
      <c r="A84" s="19">
        <v>18</v>
      </c>
      <c r="B84" s="143" t="s">
        <v>16</v>
      </c>
      <c r="C84" s="144"/>
      <c r="D84" s="14">
        <f t="shared" si="5"/>
        <v>127538</v>
      </c>
      <c r="E84" s="17">
        <f>IF(F3="1",SUMIF(Data!A:A,'27'!$A$2,Data!EP:EP),0)</f>
        <v>249898</v>
      </c>
      <c r="F84" s="21">
        <f t="shared" si="4"/>
        <v>1.96</v>
      </c>
    </row>
    <row r="85" spans="1:6" x14ac:dyDescent="0.2">
      <c r="A85" s="19">
        <v>19</v>
      </c>
      <c r="B85" s="143" t="s">
        <v>17</v>
      </c>
      <c r="C85" s="144"/>
      <c r="D85" s="14">
        <f t="shared" si="5"/>
        <v>243728</v>
      </c>
      <c r="E85" s="17">
        <f>IF(F3="1",SUMIF(Data!A:A,'27'!$A$2,Data!EQ:EQ),0)</f>
        <v>559664</v>
      </c>
      <c r="F85" s="21">
        <f t="shared" si="4"/>
        <v>2.2999999999999998</v>
      </c>
    </row>
    <row r="86" spans="1:6" x14ac:dyDescent="0.2">
      <c r="A86" s="19">
        <v>20</v>
      </c>
      <c r="B86" s="143" t="s">
        <v>18</v>
      </c>
      <c r="C86" s="144"/>
      <c r="D86" s="14">
        <f t="shared" si="5"/>
        <v>0</v>
      </c>
      <c r="E86" s="17">
        <f>IF(F3="1",SUMIF(Data!A:A,'27'!$A$2,Data!ER:ER),0)</f>
        <v>0</v>
      </c>
      <c r="F86" s="21" t="str">
        <f t="shared" si="4"/>
        <v/>
      </c>
    </row>
    <row r="87" spans="1:6" ht="14.25" customHeight="1" x14ac:dyDescent="0.2">
      <c r="A87" s="19">
        <v>21</v>
      </c>
      <c r="B87" s="143" t="s">
        <v>461</v>
      </c>
      <c r="C87" s="144"/>
      <c r="D87" s="14">
        <f t="shared" si="5"/>
        <v>0</v>
      </c>
      <c r="E87" s="17">
        <f>IF(F3="1",SUMIF(Data!A:A,'27'!$A$2,Data!ES:ES),0)</f>
        <v>0</v>
      </c>
      <c r="F87" s="21" t="str">
        <f t="shared" si="4"/>
        <v/>
      </c>
    </row>
    <row r="88" spans="1:6" x14ac:dyDescent="0.2">
      <c r="A88" s="19">
        <v>22</v>
      </c>
      <c r="B88" s="143" t="s">
        <v>19</v>
      </c>
      <c r="C88" s="144"/>
      <c r="D88" s="14">
        <f t="shared" si="5"/>
        <v>0</v>
      </c>
      <c r="E88" s="17">
        <f>IF(F3="1",SUMIF(Data!A:A,'27'!$A$2,Data!ET:ET),0)</f>
        <v>0</v>
      </c>
      <c r="F88" s="21" t="str">
        <f t="shared" si="4"/>
        <v/>
      </c>
    </row>
    <row r="89" spans="1:6" x14ac:dyDescent="0.2">
      <c r="A89" s="19">
        <v>23</v>
      </c>
      <c r="B89" s="143" t="s">
        <v>20</v>
      </c>
      <c r="C89" s="144"/>
      <c r="D89" s="14">
        <f t="shared" si="5"/>
        <v>110457</v>
      </c>
      <c r="E89" s="17">
        <f>IF(F3="1",SUMIF(Data!A:A,'27'!$A$2,Data!EU:EU),0)</f>
        <v>474446</v>
      </c>
      <c r="F89" s="21">
        <f t="shared" si="4"/>
        <v>4.3</v>
      </c>
    </row>
    <row r="90" spans="1:6" x14ac:dyDescent="0.2">
      <c r="A90" s="19">
        <v>24</v>
      </c>
      <c r="B90" s="143" t="s">
        <v>21</v>
      </c>
      <c r="C90" s="144"/>
      <c r="D90" s="14">
        <f t="shared" si="5"/>
        <v>71693</v>
      </c>
      <c r="E90" s="17">
        <f>IF(F3="1",SUMIF(Data!A:A,'27'!$A$2,Data!EV:EV),0)</f>
        <v>117124</v>
      </c>
      <c r="F90" s="21">
        <f t="shared" si="4"/>
        <v>1.63</v>
      </c>
    </row>
    <row r="91" spans="1:6" x14ac:dyDescent="0.2">
      <c r="A91" s="19">
        <v>25</v>
      </c>
      <c r="B91" s="143" t="s">
        <v>22</v>
      </c>
      <c r="C91" s="144"/>
      <c r="D91" s="14">
        <f t="shared" si="5"/>
        <v>393600</v>
      </c>
      <c r="E91" s="17">
        <f>IF(F3="1",SUMIF(Data!A:A,'27'!$A$2,Data!EW:EW),0)</f>
        <v>591411</v>
      </c>
      <c r="F91" s="21">
        <f t="shared" si="4"/>
        <v>1.5</v>
      </c>
    </row>
    <row r="92" spans="1:6" x14ac:dyDescent="0.2">
      <c r="A92" s="19">
        <v>26</v>
      </c>
      <c r="B92" s="143" t="s">
        <v>23</v>
      </c>
      <c r="C92" s="144"/>
      <c r="D92" s="14">
        <f t="shared" si="5"/>
        <v>145184</v>
      </c>
      <c r="E92" s="17">
        <f>IF(F3="1",SUMIF(Data!A:A,'27'!$A$2,Data!EX:EX),0)</f>
        <v>754024</v>
      </c>
      <c r="F92" s="21">
        <f t="shared" si="4"/>
        <v>5.19</v>
      </c>
    </row>
    <row r="93" spans="1:6" x14ac:dyDescent="0.2">
      <c r="A93" s="19">
        <v>28</v>
      </c>
      <c r="B93" s="143" t="s">
        <v>24</v>
      </c>
      <c r="C93" s="144"/>
      <c r="D93" s="14">
        <f t="shared" si="5"/>
        <v>0</v>
      </c>
      <c r="E93" s="17">
        <f>IF(F3="1",SUMIF(Data!A:A,'27'!$A$2,Data!EZ:EZ),0)</f>
        <v>0</v>
      </c>
      <c r="F93" s="21" t="str">
        <f t="shared" si="4"/>
        <v/>
      </c>
    </row>
    <row r="94" spans="1:6" ht="15.75" customHeight="1" thickBot="1" x14ac:dyDescent="0.25">
      <c r="A94" s="22">
        <v>29</v>
      </c>
      <c r="B94" s="147" t="s">
        <v>25</v>
      </c>
      <c r="C94" s="148"/>
      <c r="D94" s="23">
        <f t="shared" si="5"/>
        <v>0</v>
      </c>
      <c r="E94" s="24">
        <f>IF(F3="1",SUMIF(Data!A:A,'27'!$A$2,Data!FA:FA),0)</f>
        <v>0</v>
      </c>
      <c r="F94" s="25" t="str">
        <f t="shared" si="4"/>
        <v/>
      </c>
    </row>
    <row r="95" spans="1:6" x14ac:dyDescent="0.2">
      <c r="B95" s="30" t="s">
        <v>35</v>
      </c>
      <c r="C95" s="30"/>
      <c r="D95" s="59">
        <f>SUM(D67:D94)</f>
        <v>2914403</v>
      </c>
      <c r="E95" s="31">
        <f>SUM(E67:E94)</f>
        <v>8996703</v>
      </c>
      <c r="F95" s="32">
        <f t="shared" si="4"/>
        <v>3.09</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IF(F3="1",SUMIF(Data!A:A,'27'!$A$2,Data!AH:AH),0)</f>
        <v>3524392</v>
      </c>
      <c r="F98" s="20">
        <f>IF(OR(E98=0,E98=0),"",ROUND(E98/$D$105,2))</f>
        <v>1.21</v>
      </c>
    </row>
    <row r="99" spans="2:6" x14ac:dyDescent="0.2">
      <c r="B99" s="153" t="s">
        <v>31</v>
      </c>
      <c r="C99" s="154"/>
      <c r="D99" s="36"/>
      <c r="E99" s="17">
        <f>IF(F3="1",SUMIF(Data!A:A,'27'!$A$2,Data!AI:AI),0)</f>
        <v>1281284</v>
      </c>
      <c r="F99" s="21">
        <f t="shared" ref="F99:F104" si="6">IF(OR(E99=0,E99=0),"",ROUND(E99/$D$105,2))</f>
        <v>0.44</v>
      </c>
    </row>
    <row r="100" spans="2:6" x14ac:dyDescent="0.2">
      <c r="B100" s="153" t="s">
        <v>1078</v>
      </c>
      <c r="C100" s="154"/>
      <c r="D100" s="36"/>
      <c r="E100" s="17">
        <f>IF(F3="1",SUMIF(Data!A:A,'27'!$A$2,Data!AJ:AJ),0)</f>
        <v>1240613</v>
      </c>
      <c r="F100" s="21">
        <f t="shared" si="6"/>
        <v>0.43</v>
      </c>
    </row>
    <row r="101" spans="2:6" x14ac:dyDescent="0.2">
      <c r="B101" s="153" t="s">
        <v>1079</v>
      </c>
      <c r="C101" s="154"/>
      <c r="D101" s="36"/>
      <c r="E101" s="17">
        <f>IF(F3="1",SUMIF(Data!A:A,'27'!$A$2,Data!AK:AK),0)</f>
        <v>87748</v>
      </c>
      <c r="F101" s="21">
        <f t="shared" si="6"/>
        <v>0.03</v>
      </c>
    </row>
    <row r="102" spans="2:6" x14ac:dyDescent="0.2">
      <c r="B102" s="153" t="s">
        <v>1080</v>
      </c>
      <c r="C102" s="154"/>
      <c r="D102" s="36"/>
      <c r="E102" s="17">
        <f>IF(F3="1",SUMIF(Data!A:A,'27'!$A$2,Data!AL:AL),0)</f>
        <v>314252</v>
      </c>
      <c r="F102" s="21">
        <f t="shared" si="6"/>
        <v>0.11</v>
      </c>
    </row>
    <row r="103" spans="2:6" x14ac:dyDescent="0.2">
      <c r="B103" s="155" t="s">
        <v>34</v>
      </c>
      <c r="C103" s="156"/>
      <c r="D103" s="36"/>
      <c r="E103" s="17">
        <f>IF(F3="1",SUMIF(Data!A:A,'27'!$A$2,Data!AM:AM),0)</f>
        <v>0</v>
      </c>
      <c r="F103" s="21" t="str">
        <f t="shared" si="6"/>
        <v/>
      </c>
    </row>
    <row r="104" spans="2:6" ht="15.75" customHeight="1" thickBot="1" x14ac:dyDescent="0.25">
      <c r="B104" s="149" t="s">
        <v>29</v>
      </c>
      <c r="C104" s="150"/>
      <c r="D104" s="37"/>
      <c r="E104" s="24">
        <f>IF(F3="1",SUMIF(Data!A:A,'27'!$A$2,Data!Q:Q),0)</f>
        <v>0</v>
      </c>
      <c r="F104" s="25" t="str">
        <f t="shared" si="6"/>
        <v/>
      </c>
    </row>
    <row r="105" spans="2:6" x14ac:dyDescent="0.2">
      <c r="B105" s="30" t="s">
        <v>35</v>
      </c>
      <c r="C105" s="30"/>
      <c r="D105" s="34">
        <f>D95</f>
        <v>2914403</v>
      </c>
      <c r="E105" s="31">
        <f>SUM(E98:E104)</f>
        <v>6448289</v>
      </c>
      <c r="F105" s="32">
        <f>IF($D$105=0,"",ROUND(E105/$D$105,2))</f>
        <v>2.21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8996703</v>
      </c>
      <c r="D109" s="15">
        <f>IF(F3="1",SUMIF(Data!$A:$A,$A$2,Data!HJ:HJ),0)</f>
        <v>0</v>
      </c>
      <c r="E109" s="15">
        <f>IF(F3="1",SUMIF(Data!$A:$A,$A$2,Data!IN:IN),0)</f>
        <v>0</v>
      </c>
      <c r="F109" s="47">
        <f>SUM(C109:E109)</f>
        <v>8996703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314252</v>
      </c>
      <c r="F116" s="48">
        <f t="shared" si="7"/>
        <v>314252</v>
      </c>
    </row>
    <row r="117" spans="1:6" ht="15" thickBot="1" x14ac:dyDescent="0.25">
      <c r="B117" s="43" t="s">
        <v>933</v>
      </c>
      <c r="C117" s="52"/>
      <c r="D117" s="52">
        <f>IF(F3="1",SUMIF(Data!A:A,$A$2,Data!Q:Q),0)</f>
        <v>0</v>
      </c>
      <c r="E117" s="52"/>
      <c r="F117" s="49">
        <f>SUM(C117:E117)</f>
        <v>0</v>
      </c>
    </row>
    <row r="118" spans="1:6" x14ac:dyDescent="0.2">
      <c r="B118" s="13" t="s">
        <v>35</v>
      </c>
      <c r="C118" s="4">
        <f>SUM(C109:C116)</f>
        <v>8996703</v>
      </c>
      <c r="D118" s="4">
        <f>SUM(D109:D116)</f>
        <v>0</v>
      </c>
      <c r="E118" s="4">
        <f>SUM(E109:E116)</f>
        <v>314252</v>
      </c>
      <c r="F118" s="4">
        <f>SUM(F109:F116)</f>
        <v>9310955</v>
      </c>
    </row>
    <row r="119" spans="1:6" ht="15" thickBot="1" x14ac:dyDescent="0.25"/>
    <row r="120" spans="1:6" ht="15" thickBot="1" x14ac:dyDescent="0.25">
      <c r="B120" s="55" t="s">
        <v>934</v>
      </c>
      <c r="C120" s="53"/>
      <c r="D120" s="53"/>
      <c r="E120" s="53">
        <f>IF(F3="1",SUMIF(Data!A:A,'27'!$A$2,Data!AM:AM),0)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433</v>
      </c>
      <c r="B2" s="58" t="str">
        <f>VLOOKUP(A2,Data!A:G,7,0)</f>
        <v>Midland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11184</v>
      </c>
      <c r="E5" s="15">
        <f>E36+E67+IFERROR($E$105/$D$105*D5,0)</f>
        <v>177555.22058184727</v>
      </c>
      <c r="F5" s="20">
        <f>IF(OR(D5=0,E5=0),"",ROUND(E5/D5,2))</f>
        <v>15.88</v>
      </c>
    </row>
    <row r="6" spans="1:6" x14ac:dyDescent="0.2">
      <c r="A6" s="19">
        <v>2</v>
      </c>
      <c r="B6" s="143" t="s">
        <v>1</v>
      </c>
      <c r="C6" s="144"/>
      <c r="D6" s="14">
        <f t="shared" ref="D6:D32" si="0">D37</f>
        <v>89724</v>
      </c>
      <c r="E6" s="17">
        <f t="shared" ref="E6:E32" si="1">E37+E68+IFERROR($E$105/$D$105*D6,0)</f>
        <v>610837.38335887552</v>
      </c>
      <c r="F6" s="21">
        <f t="shared" ref="F6:F33" si="2">IF(OR(D6=0,E6=0),"",ROUND(E6/D6,2))</f>
        <v>6.81</v>
      </c>
    </row>
    <row r="7" spans="1:6" ht="14.25" customHeight="1" x14ac:dyDescent="0.2">
      <c r="A7" s="19">
        <v>3</v>
      </c>
      <c r="B7" s="143" t="s">
        <v>2</v>
      </c>
      <c r="C7" s="144"/>
      <c r="D7" s="14">
        <f t="shared" si="0"/>
        <v>255488</v>
      </c>
      <c r="E7" s="17">
        <f t="shared" si="1"/>
        <v>1432963.6169541306</v>
      </c>
      <c r="F7" s="21">
        <f t="shared" si="2"/>
        <v>5.61</v>
      </c>
    </row>
    <row r="8" spans="1:6" ht="14.25" customHeight="1" x14ac:dyDescent="0.2">
      <c r="A8" s="19">
        <v>4</v>
      </c>
      <c r="B8" s="143" t="s">
        <v>3</v>
      </c>
      <c r="C8" s="144"/>
      <c r="D8" s="14">
        <f t="shared" si="0"/>
        <v>162303</v>
      </c>
      <c r="E8" s="17">
        <f t="shared" si="1"/>
        <v>879280.85131398053</v>
      </c>
      <c r="F8" s="21">
        <f t="shared" si="2"/>
        <v>5.42</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17692</v>
      </c>
      <c r="E10" s="17">
        <f t="shared" si="1"/>
        <v>171032.18298766471</v>
      </c>
      <c r="F10" s="21">
        <f t="shared" si="2"/>
        <v>9.67</v>
      </c>
    </row>
    <row r="11" spans="1:6" x14ac:dyDescent="0.2">
      <c r="A11" s="19">
        <v>7</v>
      </c>
      <c r="B11" s="143" t="s">
        <v>6</v>
      </c>
      <c r="C11" s="144"/>
      <c r="D11" s="14">
        <f t="shared" si="0"/>
        <v>153653</v>
      </c>
      <c r="E11" s="17">
        <f t="shared" si="1"/>
        <v>803122.12992333504</v>
      </c>
      <c r="F11" s="21">
        <f t="shared" si="2"/>
        <v>5.23</v>
      </c>
    </row>
    <row r="12" spans="1:6" x14ac:dyDescent="0.2">
      <c r="A12" s="19">
        <v>8</v>
      </c>
      <c r="B12" s="143" t="s">
        <v>7</v>
      </c>
      <c r="C12" s="144"/>
      <c r="D12" s="14">
        <f t="shared" si="0"/>
        <v>10680</v>
      </c>
      <c r="E12" s="17">
        <f t="shared" si="1"/>
        <v>68104.983173652436</v>
      </c>
      <c r="F12" s="21">
        <f t="shared" si="2"/>
        <v>6.38</v>
      </c>
    </row>
    <row r="13" spans="1:6" x14ac:dyDescent="0.2">
      <c r="A13" s="19">
        <v>9</v>
      </c>
      <c r="B13" s="143" t="s">
        <v>8</v>
      </c>
      <c r="C13" s="144"/>
      <c r="D13" s="14">
        <f t="shared" si="0"/>
        <v>47829</v>
      </c>
      <c r="E13" s="17">
        <f t="shared" si="1"/>
        <v>297369.77380267996</v>
      </c>
      <c r="F13" s="21">
        <f t="shared" si="2"/>
        <v>6.22</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38368</v>
      </c>
      <c r="E15" s="17">
        <f t="shared" si="1"/>
        <v>419713.04142384802</v>
      </c>
      <c r="F15" s="21">
        <f t="shared" si="2"/>
        <v>10.94</v>
      </c>
    </row>
    <row r="16" spans="1:6" ht="14.25" customHeight="1" x14ac:dyDescent="0.2">
      <c r="A16" s="19">
        <v>12</v>
      </c>
      <c r="B16" s="143" t="s">
        <v>11</v>
      </c>
      <c r="C16" s="144"/>
      <c r="D16" s="14">
        <f t="shared" si="0"/>
        <v>349160</v>
      </c>
      <c r="E16" s="17">
        <f t="shared" si="1"/>
        <v>2437886.0266771987</v>
      </c>
      <c r="F16" s="21">
        <f t="shared" si="2"/>
        <v>6.98</v>
      </c>
    </row>
    <row r="17" spans="1:6" x14ac:dyDescent="0.2">
      <c r="A17" s="19">
        <v>13</v>
      </c>
      <c r="B17" s="143" t="s">
        <v>12</v>
      </c>
      <c r="C17" s="144"/>
      <c r="D17" s="14">
        <f t="shared" si="0"/>
        <v>61872</v>
      </c>
      <c r="E17" s="17">
        <f t="shared" si="1"/>
        <v>326782.95420601347</v>
      </c>
      <c r="F17" s="21">
        <f t="shared" si="2"/>
        <v>5.28</v>
      </c>
    </row>
    <row r="18" spans="1:6" ht="14.25" customHeight="1" x14ac:dyDescent="0.2">
      <c r="A18" s="19">
        <v>14</v>
      </c>
      <c r="B18" s="143" t="s">
        <v>464</v>
      </c>
      <c r="C18" s="144"/>
      <c r="D18" s="14">
        <f t="shared" si="0"/>
        <v>11568</v>
      </c>
      <c r="E18" s="17">
        <f t="shared" si="1"/>
        <v>110451.21098809096</v>
      </c>
      <c r="F18" s="21">
        <f t="shared" si="2"/>
        <v>9.5500000000000007</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217230</v>
      </c>
      <c r="E20" s="17">
        <f t="shared" si="1"/>
        <v>1686011.8852820711</v>
      </c>
      <c r="F20" s="21">
        <f t="shared" si="2"/>
        <v>7.76</v>
      </c>
    </row>
    <row r="21" spans="1:6" x14ac:dyDescent="0.2">
      <c r="A21" s="19">
        <v>17</v>
      </c>
      <c r="B21" s="143" t="s">
        <v>15</v>
      </c>
      <c r="C21" s="144"/>
      <c r="D21" s="14">
        <f t="shared" si="0"/>
        <v>19664</v>
      </c>
      <c r="E21" s="17">
        <f t="shared" si="1"/>
        <v>199693.00871972862</v>
      </c>
      <c r="F21" s="21">
        <f t="shared" si="2"/>
        <v>10.16</v>
      </c>
    </row>
    <row r="22" spans="1:6" x14ac:dyDescent="0.2">
      <c r="A22" s="19">
        <v>18</v>
      </c>
      <c r="B22" s="143" t="s">
        <v>16</v>
      </c>
      <c r="C22" s="144"/>
      <c r="D22" s="14">
        <f t="shared" si="0"/>
        <v>23396</v>
      </c>
      <c r="E22" s="17">
        <f t="shared" si="1"/>
        <v>319939.7904804094</v>
      </c>
      <c r="F22" s="21">
        <f t="shared" si="2"/>
        <v>13.67</v>
      </c>
    </row>
    <row r="23" spans="1:6" x14ac:dyDescent="0.2">
      <c r="A23" s="19">
        <v>19</v>
      </c>
      <c r="B23" s="143" t="s">
        <v>17</v>
      </c>
      <c r="C23" s="144"/>
      <c r="D23" s="14">
        <f t="shared" si="0"/>
        <v>108304</v>
      </c>
      <c r="E23" s="17">
        <f t="shared" si="1"/>
        <v>586540.79416097887</v>
      </c>
      <c r="F23" s="21">
        <f t="shared" si="2"/>
        <v>5.42</v>
      </c>
    </row>
    <row r="24" spans="1:6" x14ac:dyDescent="0.2">
      <c r="A24" s="19">
        <v>20</v>
      </c>
      <c r="B24" s="143" t="s">
        <v>18</v>
      </c>
      <c r="C24" s="144"/>
      <c r="D24" s="14">
        <f t="shared" si="0"/>
        <v>33264</v>
      </c>
      <c r="E24" s="17">
        <f t="shared" si="1"/>
        <v>251931.66894085903</v>
      </c>
      <c r="F24" s="21">
        <f t="shared" si="2"/>
        <v>7.57</v>
      </c>
    </row>
    <row r="25" spans="1:6" ht="14.25" customHeight="1" x14ac:dyDescent="0.2">
      <c r="A25" s="19">
        <v>21</v>
      </c>
      <c r="B25" s="143" t="s">
        <v>461</v>
      </c>
      <c r="C25" s="144"/>
      <c r="D25" s="14">
        <f t="shared" si="0"/>
        <v>59344</v>
      </c>
      <c r="E25" s="17">
        <f t="shared" si="1"/>
        <v>626615.01736490917</v>
      </c>
      <c r="F25" s="21">
        <f t="shared" si="2"/>
        <v>10.56</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1264</v>
      </c>
      <c r="E27" s="17">
        <f t="shared" si="1"/>
        <v>10924.468420552123</v>
      </c>
      <c r="F27" s="21">
        <f t="shared" si="2"/>
        <v>8.64</v>
      </c>
    </row>
    <row r="28" spans="1:6" x14ac:dyDescent="0.2">
      <c r="A28" s="19">
        <v>24</v>
      </c>
      <c r="B28" s="143" t="s">
        <v>21</v>
      </c>
      <c r="C28" s="144"/>
      <c r="D28" s="14">
        <f t="shared" si="0"/>
        <v>74746</v>
      </c>
      <c r="E28" s="17">
        <f t="shared" si="1"/>
        <v>526349.57006533945</v>
      </c>
      <c r="F28" s="21">
        <f t="shared" si="2"/>
        <v>7.04</v>
      </c>
    </row>
    <row r="29" spans="1:6" x14ac:dyDescent="0.2">
      <c r="A29" s="19">
        <v>25</v>
      </c>
      <c r="B29" s="143" t="s">
        <v>22</v>
      </c>
      <c r="C29" s="144"/>
      <c r="D29" s="14">
        <f t="shared" si="0"/>
        <v>266070</v>
      </c>
      <c r="E29" s="17">
        <f t="shared" si="1"/>
        <v>1553907.4150761897</v>
      </c>
      <c r="F29" s="21">
        <f t="shared" si="2"/>
        <v>5.84</v>
      </c>
    </row>
    <row r="30" spans="1:6" x14ac:dyDescent="0.2">
      <c r="A30" s="19">
        <v>26</v>
      </c>
      <c r="B30" s="143" t="s">
        <v>23</v>
      </c>
      <c r="C30" s="144"/>
      <c r="D30" s="14">
        <f t="shared" si="0"/>
        <v>79808</v>
      </c>
      <c r="E30" s="17">
        <f t="shared" si="1"/>
        <v>675376.0060976455</v>
      </c>
      <c r="F30" s="21">
        <f t="shared" si="2"/>
        <v>8.4600000000000009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2092611</v>
      </c>
      <c r="E33" s="31">
        <f>SUM(E5:E32)</f>
        <v>14172389</v>
      </c>
      <c r="F33" s="32">
        <f t="shared" si="2"/>
        <v>6.77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IF(F3="1",SUMIF(Data!A:A,'28'!$A$2,Data!CU:CU),0)</f>
        <v>11184</v>
      </c>
      <c r="E36" s="15">
        <f>IF(F3="1",SUMIF(Data!$A:$A,$A$2,Data!IO:IO),0)</f>
        <v>72732</v>
      </c>
      <c r="F36" s="20">
        <f t="shared" ref="F36:F64" si="3">IF(OR(D36=0,E36=0),"",ROUND(E36/D36,2))</f>
        <v>6.5</v>
      </c>
    </row>
    <row r="37" spans="1:6" x14ac:dyDescent="0.2">
      <c r="A37" s="19">
        <v>2</v>
      </c>
      <c r="B37" s="143" t="s">
        <v>1</v>
      </c>
      <c r="C37" s="144"/>
      <c r="D37" s="14">
        <f>IF(F3="1",SUMIF(Data!A:A,'28'!$A$2,Data!CV:CV),0)</f>
        <v>89724</v>
      </c>
      <c r="E37" s="17">
        <f>IF(F3="1",SUMIF(Data!$A:$A,$A$2,Data!IP:IP),0)</f>
        <v>122733</v>
      </c>
      <c r="F37" s="21">
        <f t="shared" si="3"/>
        <v>1.37</v>
      </c>
    </row>
    <row r="38" spans="1:6" ht="14.25" customHeight="1" x14ac:dyDescent="0.2">
      <c r="A38" s="19">
        <v>3</v>
      </c>
      <c r="B38" s="143" t="s">
        <v>2</v>
      </c>
      <c r="C38" s="144"/>
      <c r="D38" s="14">
        <f>IF(F3="1",SUMIF(Data!A:A,'28'!$A$2,Data!CW:CW),0)</f>
        <v>255488</v>
      </c>
      <c r="E38" s="17">
        <f>IF($F$3="1",SUMIF(Data!$A:$A,$A$2,Data!IQ:IQ),0)</f>
        <v>343776</v>
      </c>
      <c r="F38" s="21">
        <f t="shared" si="3"/>
        <v>1.35</v>
      </c>
    </row>
    <row r="39" spans="1:6" ht="14.25" customHeight="1" x14ac:dyDescent="0.2">
      <c r="A39" s="19">
        <v>4</v>
      </c>
      <c r="B39" s="143" t="s">
        <v>3</v>
      </c>
      <c r="C39" s="144"/>
      <c r="D39" s="14">
        <f>IF(F3="1",SUMIF(Data!A:A,'28'!$A$2,Data!CX:CX),0)</f>
        <v>162303</v>
      </c>
      <c r="E39" s="17">
        <f>IF($F$3="1",SUMIF(Data!$A:$A,$A$2,Data!IR:IR),0)</f>
        <v>121495</v>
      </c>
      <c r="F39" s="21">
        <f t="shared" si="3"/>
        <v>0.75</v>
      </c>
    </row>
    <row r="40" spans="1:6" x14ac:dyDescent="0.2">
      <c r="A40" s="19">
        <v>5</v>
      </c>
      <c r="B40" s="143" t="s">
        <v>4</v>
      </c>
      <c r="C40" s="144"/>
      <c r="D40" s="14">
        <f>IF(F3="1",SUMIF(Data!A:A,'28'!$A$2,Data!CY:CY),0)</f>
        <v>0</v>
      </c>
      <c r="E40" s="17">
        <f>IF($F$3="1",SUMIF(Data!$A:$A,$A$2,Data!IS:IS),0)</f>
        <v>0</v>
      </c>
      <c r="F40" s="21" t="str">
        <f t="shared" si="3"/>
        <v/>
      </c>
    </row>
    <row r="41" spans="1:6" x14ac:dyDescent="0.2">
      <c r="A41" s="19">
        <v>6</v>
      </c>
      <c r="B41" s="143" t="s">
        <v>5</v>
      </c>
      <c r="C41" s="144"/>
      <c r="D41" s="14">
        <f>IF(F3="1",SUMIF(Data!A:A,'28'!$A$2,Data!CZ:CZ),0)</f>
        <v>17692</v>
      </c>
      <c r="E41" s="17">
        <f>IF($F$3="1",SUMIF(Data!$A:$A,$A$2,Data!IT:IT),0)</f>
        <v>39743</v>
      </c>
      <c r="F41" s="21">
        <f t="shared" si="3"/>
        <v>2.25</v>
      </c>
    </row>
    <row r="42" spans="1:6" x14ac:dyDescent="0.2">
      <c r="A42" s="19">
        <v>7</v>
      </c>
      <c r="B42" s="143" t="s">
        <v>6</v>
      </c>
      <c r="C42" s="144"/>
      <c r="D42" s="14">
        <f>IF(F3="1",SUMIF(Data!A:A,'28'!$A$2,Data!DA:DA),0)</f>
        <v>153653</v>
      </c>
      <c r="E42" s="17">
        <f>IF($F$3="1",SUMIF(Data!$A:$A,$A$2,Data!IU:IU),0)</f>
        <v>147894</v>
      </c>
      <c r="F42" s="21">
        <f t="shared" si="3"/>
        <v>0.96</v>
      </c>
    </row>
    <row r="43" spans="1:6" x14ac:dyDescent="0.2">
      <c r="A43" s="19">
        <v>8</v>
      </c>
      <c r="B43" s="143" t="s">
        <v>7</v>
      </c>
      <c r="C43" s="144"/>
      <c r="D43" s="14">
        <f>IF(F3="1",SUMIF(Data!A:A,'28'!$A$2,Data!DB:DB),0)</f>
        <v>10680</v>
      </c>
      <c r="E43" s="17">
        <f>IF($F$3="1",SUMIF(Data!$A:$A,$A$2,Data!IV:IV),0)</f>
        <v>19414</v>
      </c>
      <c r="F43" s="21">
        <f t="shared" si="3"/>
        <v>1.82</v>
      </c>
    </row>
    <row r="44" spans="1:6" x14ac:dyDescent="0.2">
      <c r="A44" s="19">
        <v>9</v>
      </c>
      <c r="B44" s="143" t="s">
        <v>8</v>
      </c>
      <c r="C44" s="144"/>
      <c r="D44" s="14">
        <f>IF(F3="1",SUMIF(Data!A:A,'28'!$A$2,Data!DC:DC),0)</f>
        <v>47829</v>
      </c>
      <c r="E44" s="17">
        <f>IF($F$3="1",SUMIF(Data!$A:$A,$A$2,Data!IW:IW),0)</f>
        <v>72941</v>
      </c>
      <c r="F44" s="21">
        <f t="shared" si="3"/>
        <v>1.53</v>
      </c>
    </row>
    <row r="45" spans="1:6" x14ac:dyDescent="0.2">
      <c r="A45" s="19">
        <v>10</v>
      </c>
      <c r="B45" s="143" t="s">
        <v>9</v>
      </c>
      <c r="C45" s="144"/>
      <c r="D45" s="14">
        <f>IF(F3="1",SUMIF(Data!A:A,'28'!$A$2,Data!DD:DD),0)</f>
        <v>0</v>
      </c>
      <c r="E45" s="17">
        <f>IF($F$3="1",SUMIF(Data!$A:$A,$A$2,Data!IX:IX),0)</f>
        <v>0</v>
      </c>
      <c r="F45" s="21" t="str">
        <f t="shared" si="3"/>
        <v/>
      </c>
    </row>
    <row r="46" spans="1:6" x14ac:dyDescent="0.2">
      <c r="A46" s="19">
        <v>11</v>
      </c>
      <c r="B46" s="143" t="s">
        <v>10</v>
      </c>
      <c r="C46" s="144"/>
      <c r="D46" s="14">
        <f>IF(F3="1",SUMIF(Data!A:A,'28'!$A$2,Data!DE:DE),0)</f>
        <v>38368</v>
      </c>
      <c r="E46" s="17">
        <f>IF($F$3="1",SUMIF(Data!$A:$A,$A$2,Data!IY:IY),0)</f>
        <v>101767</v>
      </c>
      <c r="F46" s="21">
        <f t="shared" si="3"/>
        <v>2.65</v>
      </c>
    </row>
    <row r="47" spans="1:6" ht="14.25" customHeight="1" x14ac:dyDescent="0.2">
      <c r="A47" s="19">
        <v>12</v>
      </c>
      <c r="B47" s="143" t="s">
        <v>11</v>
      </c>
      <c r="C47" s="144"/>
      <c r="D47" s="14">
        <f>IF(F3="1",SUMIF(Data!A:A,'28'!$A$2,Data!DF:DF),0)</f>
        <v>349160</v>
      </c>
      <c r="E47" s="17">
        <f>IF($F$3="1",SUMIF(Data!$A:$A,$A$2,Data!IZ:IZ),0)</f>
        <v>448692</v>
      </c>
      <c r="F47" s="21">
        <f t="shared" si="3"/>
        <v>1.29</v>
      </c>
    </row>
    <row r="48" spans="1:6" x14ac:dyDescent="0.2">
      <c r="A48" s="19">
        <v>13</v>
      </c>
      <c r="B48" s="143" t="s">
        <v>12</v>
      </c>
      <c r="C48" s="144"/>
      <c r="D48" s="14">
        <f>IF(F3="1",SUMIF(Data!A:A,'28'!$A$2,Data!DG:DG),0)</f>
        <v>61872</v>
      </c>
      <c r="E48" s="17">
        <f>IF($F$3="1",SUMIF(Data!$A:$A,$A$2,Data!JA:JA),0)</f>
        <v>50401</v>
      </c>
      <c r="F48" s="21">
        <f t="shared" si="3"/>
        <v>0.81</v>
      </c>
    </row>
    <row r="49" spans="1:6" ht="14.25" customHeight="1" x14ac:dyDescent="0.2">
      <c r="A49" s="19">
        <v>14</v>
      </c>
      <c r="B49" s="143" t="s">
        <v>464</v>
      </c>
      <c r="C49" s="144"/>
      <c r="D49" s="14">
        <f>IF(F3="1",SUMIF(Data!A:A,'28'!$A$2,Data!DH:DH),0)</f>
        <v>11568</v>
      </c>
      <c r="E49" s="17">
        <f>IF($F$3="1",SUMIF(Data!$A:$A,$A$2,Data!JB:JB),0)</f>
        <v>18331</v>
      </c>
      <c r="F49" s="21">
        <f t="shared" si="3"/>
        <v>1.58</v>
      </c>
    </row>
    <row r="50" spans="1:6" x14ac:dyDescent="0.2">
      <c r="A50" s="19">
        <v>15</v>
      </c>
      <c r="B50" s="143" t="s">
        <v>13</v>
      </c>
      <c r="C50" s="144"/>
      <c r="D50" s="14">
        <f>IF(F3="1",SUMIF(Data!A:A,'28'!$A$2,Data!DI:DI),0)</f>
        <v>0</v>
      </c>
      <c r="E50" s="17">
        <f>IF($F$3="1",SUMIF(Data!$A:$A,$A$2,Data!JC:JC),0)</f>
        <v>0</v>
      </c>
      <c r="F50" s="21" t="str">
        <f t="shared" si="3"/>
        <v/>
      </c>
    </row>
    <row r="51" spans="1:6" x14ac:dyDescent="0.2">
      <c r="A51" s="19">
        <v>16</v>
      </c>
      <c r="B51" s="143" t="s">
        <v>14</v>
      </c>
      <c r="C51" s="144"/>
      <c r="D51" s="14">
        <f>IF(F3="1",SUMIF(Data!A:A,'28'!$A$2,Data!DJ:DJ),0)</f>
        <v>217230</v>
      </c>
      <c r="E51" s="17">
        <f>IF($F$3="1",SUMIF(Data!$A:$A,$A$2,Data!JD:JD),0)</f>
        <v>304338</v>
      </c>
      <c r="F51" s="21">
        <f t="shared" si="3"/>
        <v>1.4</v>
      </c>
    </row>
    <row r="52" spans="1:6" x14ac:dyDescent="0.2">
      <c r="A52" s="19">
        <v>17</v>
      </c>
      <c r="B52" s="143" t="s">
        <v>15</v>
      </c>
      <c r="C52" s="144"/>
      <c r="D52" s="14">
        <f>IF(F3="1",SUMIF(Data!A:A,'28'!$A$2,Data!DK:DK),0)</f>
        <v>19664</v>
      </c>
      <c r="E52" s="17">
        <f>IF($F$3="1",SUMIF(Data!$A:$A,$A$2,Data!JE:JE),0)</f>
        <v>30646</v>
      </c>
      <c r="F52" s="21">
        <f t="shared" si="3"/>
        <v>1.56</v>
      </c>
    </row>
    <row r="53" spans="1:6" x14ac:dyDescent="0.2">
      <c r="A53" s="19">
        <v>18</v>
      </c>
      <c r="B53" s="143" t="s">
        <v>16</v>
      </c>
      <c r="C53" s="144"/>
      <c r="D53" s="14">
        <f>IF(F3="1",SUMIF(Data!A:A,'28'!$A$2,Data!DL:DL),0)</f>
        <v>23396</v>
      </c>
      <c r="E53" s="17">
        <f>IF($F$3="1",SUMIF(Data!$A:$A,$A$2,Data!JF:JF),0)</f>
        <v>47057</v>
      </c>
      <c r="F53" s="21">
        <f t="shared" si="3"/>
        <v>2.0099999999999998</v>
      </c>
    </row>
    <row r="54" spans="1:6" x14ac:dyDescent="0.2">
      <c r="A54" s="19">
        <v>19</v>
      </c>
      <c r="B54" s="143" t="s">
        <v>17</v>
      </c>
      <c r="C54" s="144"/>
      <c r="D54" s="14">
        <f>IF(F3="1",SUMIF(Data!A:A,'28'!$A$2,Data!DM:DM),0)</f>
        <v>108304</v>
      </c>
      <c r="E54" s="17">
        <f>IF($F$3="1",SUMIF(Data!$A:$A,$A$2,Data!JG:JG),0)</f>
        <v>59014</v>
      </c>
      <c r="F54" s="21">
        <f t="shared" si="3"/>
        <v>0.54</v>
      </c>
    </row>
    <row r="55" spans="1:6" x14ac:dyDescent="0.2">
      <c r="A55" s="19">
        <v>20</v>
      </c>
      <c r="B55" s="143" t="s">
        <v>18</v>
      </c>
      <c r="C55" s="144"/>
      <c r="D55" s="14">
        <f>IF(F3="1",SUMIF(Data!A:A,'28'!$A$2,Data!DN:DN),0)</f>
        <v>33264</v>
      </c>
      <c r="E55" s="17">
        <f>IF($F$3="1",SUMIF(Data!$A:$A,$A$2,Data!JH:JH),0)</f>
        <v>59806</v>
      </c>
      <c r="F55" s="21">
        <f t="shared" si="3"/>
        <v>1.8</v>
      </c>
    </row>
    <row r="56" spans="1:6" ht="14.25" customHeight="1" x14ac:dyDescent="0.2">
      <c r="A56" s="19">
        <v>21</v>
      </c>
      <c r="B56" s="143" t="s">
        <v>461</v>
      </c>
      <c r="C56" s="144"/>
      <c r="D56" s="14">
        <f>IF(F3="1",SUMIF(Data!A:A,'28'!$A$2,Data!DO:DO),0)</f>
        <v>59344</v>
      </c>
      <c r="E56" s="17">
        <f>IF($F$3="1",SUMIF(Data!$A:$A,$A$2,Data!JI:JI),0)</f>
        <v>75717</v>
      </c>
      <c r="F56" s="21">
        <f t="shared" si="3"/>
        <v>1.28</v>
      </c>
    </row>
    <row r="57" spans="1:6" x14ac:dyDescent="0.2">
      <c r="A57" s="19">
        <v>22</v>
      </c>
      <c r="B57" s="143" t="s">
        <v>19</v>
      </c>
      <c r="C57" s="144"/>
      <c r="D57" s="14">
        <f>IF(F3="1",SUMIF(Data!A:A,'28'!$A$2,Data!DP:DP),0)</f>
        <v>0</v>
      </c>
      <c r="E57" s="17">
        <f>IF($F$3="1",SUMIF(Data!$A:$A,$A$2,Data!JJ:JJ),0)</f>
        <v>0</v>
      </c>
      <c r="F57" s="21" t="str">
        <f t="shared" si="3"/>
        <v/>
      </c>
    </row>
    <row r="58" spans="1:6" x14ac:dyDescent="0.2">
      <c r="A58" s="19">
        <v>23</v>
      </c>
      <c r="B58" s="143" t="s">
        <v>20</v>
      </c>
      <c r="C58" s="144"/>
      <c r="D58" s="14">
        <f>IF(F3="1",SUMIF(Data!A:A,'28'!$A$2,Data!DQ:DQ),0)</f>
        <v>1264</v>
      </c>
      <c r="E58" s="17">
        <f>IF($F$3="1",SUMIF(Data!$A:$A,$A$2,Data!JK:JK),0)</f>
        <v>1128</v>
      </c>
      <c r="F58" s="21">
        <f t="shared" si="3"/>
        <v>0.89</v>
      </c>
    </row>
    <row r="59" spans="1:6" x14ac:dyDescent="0.2">
      <c r="A59" s="19">
        <v>24</v>
      </c>
      <c r="B59" s="143" t="s">
        <v>21</v>
      </c>
      <c r="C59" s="144"/>
      <c r="D59" s="14">
        <f>IF(F3="1",SUMIF(Data!A:A,'28'!$A$2,Data!DR:DR),0)</f>
        <v>74746</v>
      </c>
      <c r="E59" s="17">
        <f>IF($F$3="1",SUMIF(Data!$A:$A,$A$2,Data!JL:JL),0)</f>
        <v>93598</v>
      </c>
      <c r="F59" s="21">
        <f t="shared" si="3"/>
        <v>1.25</v>
      </c>
    </row>
    <row r="60" spans="1:6" x14ac:dyDescent="0.2">
      <c r="A60" s="19">
        <v>25</v>
      </c>
      <c r="B60" s="143" t="s">
        <v>22</v>
      </c>
      <c r="C60" s="144"/>
      <c r="D60" s="14">
        <f>IF(F3="1",SUMIF(Data!A:A,'28'!$A$2,Data!DS:DS),0)</f>
        <v>266070</v>
      </c>
      <c r="E60" s="17">
        <f>IF($F$3="1",SUMIF(Data!$A:$A,$A$2,Data!JM:JM),0)</f>
        <v>91516</v>
      </c>
      <c r="F60" s="21">
        <f t="shared" si="3"/>
        <v>0.34</v>
      </c>
    </row>
    <row r="61" spans="1:6" x14ac:dyDescent="0.2">
      <c r="A61" s="19">
        <v>26</v>
      </c>
      <c r="B61" s="143" t="s">
        <v>23</v>
      </c>
      <c r="C61" s="144"/>
      <c r="D61" s="14">
        <f>IF(F3="1",SUMIF(Data!A:A,'28'!$A$2,Data!DT:DT),0)</f>
        <v>79808</v>
      </c>
      <c r="E61" s="17">
        <f>IF($F$3="1",SUMIF(Data!$A:$A,$A$2,Data!JN:JN),0)</f>
        <v>64374</v>
      </c>
      <c r="F61" s="21">
        <f t="shared" si="3"/>
        <v>0.81</v>
      </c>
    </row>
    <row r="62" spans="1:6" x14ac:dyDescent="0.2">
      <c r="A62" s="19">
        <v>28</v>
      </c>
      <c r="B62" s="143" t="s">
        <v>24</v>
      </c>
      <c r="C62" s="144"/>
      <c r="D62" s="14">
        <f>IF(F3="1",SUMIF(Data!A:A,'28'!$A$2,Data!DV:DV),0)</f>
        <v>0</v>
      </c>
      <c r="E62" s="17">
        <f>IF($F$3="1",SUMIF(Data!$A:$A,$A$2,Data!JP:JP),0)</f>
        <v>0</v>
      </c>
      <c r="F62" s="21" t="str">
        <f t="shared" si="3"/>
        <v/>
      </c>
    </row>
    <row r="63" spans="1:6" ht="15.75" customHeight="1" thickBot="1" x14ac:dyDescent="0.25">
      <c r="A63" s="22">
        <v>29</v>
      </c>
      <c r="B63" s="147" t="s">
        <v>25</v>
      </c>
      <c r="C63" s="148"/>
      <c r="D63" s="23">
        <f>IF(F3="1",SUMIF(Data!A:A,'28'!$A$2,Data!DW:DW),0)</f>
        <v>0</v>
      </c>
      <c r="E63" s="24">
        <f>IF($F$3="1",SUMIF(Data!$A:$A,$A$2,Data!JQ:JQ),0)</f>
        <v>0</v>
      </c>
      <c r="F63" s="25" t="str">
        <f t="shared" si="3"/>
        <v/>
      </c>
    </row>
    <row r="64" spans="1:6" x14ac:dyDescent="0.2">
      <c r="B64" s="30" t="s">
        <v>35</v>
      </c>
      <c r="C64" s="30"/>
      <c r="D64" s="59">
        <f>SUM(D36:D63)</f>
        <v>2092611</v>
      </c>
      <c r="E64" s="31">
        <f>SUM(E36:E63)</f>
        <v>2387113</v>
      </c>
      <c r="F64" s="32">
        <f t="shared" si="3"/>
        <v>1.1399999999999999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11184</v>
      </c>
      <c r="E67" s="15">
        <f>IF(F3="1",SUMIF(Data!A:A,'28'!$A$2,Data!DY:DY),0)</f>
        <v>70223</v>
      </c>
      <c r="F67" s="20">
        <f t="shared" ref="F67:F95" si="4">IF(OR(D67=0,E67=0),"",ROUND(E67/D67,2))</f>
        <v>6.28</v>
      </c>
    </row>
    <row r="68" spans="1:6" x14ac:dyDescent="0.2">
      <c r="A68" s="19">
        <v>2</v>
      </c>
      <c r="B68" s="143" t="s">
        <v>1</v>
      </c>
      <c r="C68" s="144"/>
      <c r="D68" s="14">
        <f t="shared" ref="D68:D94" si="5">D37</f>
        <v>89724</v>
      </c>
      <c r="E68" s="17">
        <f>IF(F3="1",SUMIF(Data!A:A,'28'!$A$2,Data!DZ:DZ),0)</f>
        <v>210523</v>
      </c>
      <c r="F68" s="21">
        <f t="shared" si="4"/>
        <v>2.35</v>
      </c>
    </row>
    <row r="69" spans="1:6" ht="14.25" customHeight="1" x14ac:dyDescent="0.2">
      <c r="A69" s="19">
        <v>3</v>
      </c>
      <c r="B69" s="143" t="s">
        <v>2</v>
      </c>
      <c r="C69" s="144"/>
      <c r="D69" s="14">
        <f t="shared" si="5"/>
        <v>255488</v>
      </c>
      <c r="E69" s="17">
        <f>IF(F3="1",SUMIF(Data!A:A,'28'!$A$2,Data!EA:EA),0)</f>
        <v>298778</v>
      </c>
      <c r="F69" s="21">
        <f t="shared" si="4"/>
        <v>1.17</v>
      </c>
    </row>
    <row r="70" spans="1:6" ht="14.25" customHeight="1" x14ac:dyDescent="0.2">
      <c r="A70" s="19">
        <v>4</v>
      </c>
      <c r="B70" s="143" t="s">
        <v>3</v>
      </c>
      <c r="C70" s="144"/>
      <c r="D70" s="14">
        <f t="shared" si="5"/>
        <v>162303</v>
      </c>
      <c r="E70" s="17">
        <f>IF(F3="1",SUMIF(Data!A:A,'28'!$A$2,Data!EB:EB),0)</f>
        <v>255665</v>
      </c>
      <c r="F70" s="21">
        <f t="shared" si="4"/>
        <v>1.58</v>
      </c>
    </row>
    <row r="71" spans="1:6" x14ac:dyDescent="0.2">
      <c r="A71" s="19">
        <v>5</v>
      </c>
      <c r="B71" s="143" t="s">
        <v>4</v>
      </c>
      <c r="C71" s="144"/>
      <c r="D71" s="14">
        <f t="shared" si="5"/>
        <v>0</v>
      </c>
      <c r="E71" s="17">
        <f>IF(F3="1",SUMIF(Data!A:A,'28'!$A$2,Data!EC:EC),0)</f>
        <v>0</v>
      </c>
      <c r="F71" s="21" t="str">
        <f t="shared" si="4"/>
        <v/>
      </c>
    </row>
    <row r="72" spans="1:6" x14ac:dyDescent="0.2">
      <c r="A72" s="19">
        <v>6</v>
      </c>
      <c r="B72" s="143" t="s">
        <v>5</v>
      </c>
      <c r="C72" s="144"/>
      <c r="D72" s="14">
        <f t="shared" si="5"/>
        <v>17692</v>
      </c>
      <c r="E72" s="17">
        <f>IF(F3="1",SUMIF(Data!A:A,'28'!$A$2,Data!ED:ED),0)</f>
        <v>76555</v>
      </c>
      <c r="F72" s="21">
        <f t="shared" si="4"/>
        <v>4.33</v>
      </c>
    </row>
    <row r="73" spans="1:6" x14ac:dyDescent="0.2">
      <c r="A73" s="19">
        <v>7</v>
      </c>
      <c r="B73" s="143" t="s">
        <v>6</v>
      </c>
      <c r="C73" s="144"/>
      <c r="D73" s="14">
        <f t="shared" si="5"/>
        <v>153653</v>
      </c>
      <c r="E73" s="17">
        <f>IF(F3="1",SUMIF(Data!A:A,'28'!$A$2,Data!EE:EE),0)</f>
        <v>179868</v>
      </c>
      <c r="F73" s="21">
        <f t="shared" si="4"/>
        <v>1.17</v>
      </c>
    </row>
    <row r="74" spans="1:6" x14ac:dyDescent="0.2">
      <c r="A74" s="19">
        <v>8</v>
      </c>
      <c r="B74" s="143" t="s">
        <v>7</v>
      </c>
      <c r="C74" s="144"/>
      <c r="D74" s="14">
        <f t="shared" si="5"/>
        <v>10680</v>
      </c>
      <c r="E74" s="17">
        <f>IF(F3="1",SUMIF(Data!A:A,'28'!$A$2,Data!EF:EF),0)</f>
        <v>15650</v>
      </c>
      <c r="F74" s="21">
        <f t="shared" si="4"/>
        <v>1.47</v>
      </c>
    </row>
    <row r="75" spans="1:6" x14ac:dyDescent="0.2">
      <c r="A75" s="19">
        <v>9</v>
      </c>
      <c r="B75" s="143" t="s">
        <v>8</v>
      </c>
      <c r="C75" s="144"/>
      <c r="D75" s="14">
        <f t="shared" si="5"/>
        <v>47829</v>
      </c>
      <c r="E75" s="17">
        <f>IF(F3="1",SUMIF(Data!A:A,'28'!$A$2,Data!EG:EG),0)</f>
        <v>76459</v>
      </c>
      <c r="F75" s="21">
        <f t="shared" si="4"/>
        <v>1.6</v>
      </c>
    </row>
    <row r="76" spans="1:6" x14ac:dyDescent="0.2">
      <c r="A76" s="19">
        <v>10</v>
      </c>
      <c r="B76" s="143" t="s">
        <v>9</v>
      </c>
      <c r="C76" s="144"/>
      <c r="D76" s="14">
        <f t="shared" si="5"/>
        <v>0</v>
      </c>
      <c r="E76" s="17">
        <f>IF(F3="1",SUMIF(Data!A:A,'28'!$A$2,Data!EH:EH),0)</f>
        <v>0</v>
      </c>
      <c r="F76" s="21" t="str">
        <f t="shared" si="4"/>
        <v/>
      </c>
    </row>
    <row r="77" spans="1:6" x14ac:dyDescent="0.2">
      <c r="A77" s="19">
        <v>11</v>
      </c>
      <c r="B77" s="143" t="s">
        <v>10</v>
      </c>
      <c r="C77" s="144"/>
      <c r="D77" s="14">
        <f t="shared" si="5"/>
        <v>38368</v>
      </c>
      <c r="E77" s="17">
        <f>IF(F3="1",SUMIF(Data!A:A,'28'!$A$2,Data!EI:EI),0)</f>
        <v>199246</v>
      </c>
      <c r="F77" s="21">
        <f t="shared" si="4"/>
        <v>5.19</v>
      </c>
    </row>
    <row r="78" spans="1:6" ht="14.25" customHeight="1" x14ac:dyDescent="0.2">
      <c r="A78" s="19">
        <v>12</v>
      </c>
      <c r="B78" s="143" t="s">
        <v>11</v>
      </c>
      <c r="C78" s="144"/>
      <c r="D78" s="14">
        <f t="shared" si="5"/>
        <v>349160</v>
      </c>
      <c r="E78" s="17">
        <f>IF(F3="1",SUMIF(Data!A:A,'28'!$A$2,Data!EJ:EJ),0)</f>
        <v>908989</v>
      </c>
      <c r="F78" s="21">
        <f t="shared" si="4"/>
        <v>2.6</v>
      </c>
    </row>
    <row r="79" spans="1:6" x14ac:dyDescent="0.2">
      <c r="A79" s="19">
        <v>13</v>
      </c>
      <c r="B79" s="143" t="s">
        <v>12</v>
      </c>
      <c r="C79" s="144"/>
      <c r="D79" s="14">
        <f t="shared" si="5"/>
        <v>61872</v>
      </c>
      <c r="E79" s="17">
        <f>IF(F3="1",SUMIF(Data!A:A,'28'!$A$2,Data!EK:EK),0)</f>
        <v>84967</v>
      </c>
      <c r="F79" s="21">
        <f t="shared" si="4"/>
        <v>1.37</v>
      </c>
    </row>
    <row r="80" spans="1:6" ht="14.25" customHeight="1" x14ac:dyDescent="0.2">
      <c r="A80" s="19">
        <v>14</v>
      </c>
      <c r="B80" s="143" t="s">
        <v>464</v>
      </c>
      <c r="C80" s="144"/>
      <c r="D80" s="14">
        <f t="shared" si="5"/>
        <v>11568</v>
      </c>
      <c r="E80" s="17">
        <f>IF(F3="1",SUMIF(Data!A:A,'28'!$A$2,Data!EL:EL),0)</f>
        <v>56332</v>
      </c>
      <c r="F80" s="21">
        <f t="shared" si="4"/>
        <v>4.87</v>
      </c>
    </row>
    <row r="81" spans="1:6" x14ac:dyDescent="0.2">
      <c r="A81" s="19">
        <v>15</v>
      </c>
      <c r="B81" s="143" t="s">
        <v>13</v>
      </c>
      <c r="C81" s="144"/>
      <c r="D81" s="14">
        <f t="shared" si="5"/>
        <v>0</v>
      </c>
      <c r="E81" s="17">
        <f>IF(F3="1",SUMIF(Data!A:A,'28'!$A$2,Data!EM:EM),0)</f>
        <v>0</v>
      </c>
      <c r="F81" s="21" t="str">
        <f t="shared" si="4"/>
        <v/>
      </c>
    </row>
    <row r="82" spans="1:6" x14ac:dyDescent="0.2">
      <c r="A82" s="19">
        <v>16</v>
      </c>
      <c r="B82" s="143" t="s">
        <v>14</v>
      </c>
      <c r="C82" s="144"/>
      <c r="D82" s="14">
        <f t="shared" si="5"/>
        <v>217230</v>
      </c>
      <c r="E82" s="17">
        <f>IF(F3="1",SUMIF(Data!A:A,'28'!$A$2,Data!EN:EN),0)</f>
        <v>709624</v>
      </c>
      <c r="F82" s="21">
        <f t="shared" si="4"/>
        <v>3.27</v>
      </c>
    </row>
    <row r="83" spans="1:6" x14ac:dyDescent="0.2">
      <c r="A83" s="19">
        <v>17</v>
      </c>
      <c r="B83" s="143" t="s">
        <v>15</v>
      </c>
      <c r="C83" s="144"/>
      <c r="D83" s="14">
        <f t="shared" si="5"/>
        <v>19664</v>
      </c>
      <c r="E83" s="17">
        <f>IF(F3="1",SUMIF(Data!A:A,'28'!$A$2,Data!EO:EO),0)</f>
        <v>108212</v>
      </c>
      <c r="F83" s="21">
        <f t="shared" si="4"/>
        <v>5.5</v>
      </c>
    </row>
    <row r="84" spans="1:6" x14ac:dyDescent="0.2">
      <c r="A84" s="19">
        <v>18</v>
      </c>
      <c r="B84" s="143" t="s">
        <v>16</v>
      </c>
      <c r="C84" s="144"/>
      <c r="D84" s="14">
        <f t="shared" si="5"/>
        <v>23396</v>
      </c>
      <c r="E84" s="17">
        <f>IF(F3="1",SUMIF(Data!A:A,'28'!$A$2,Data!EP:EP),0)</f>
        <v>200502</v>
      </c>
      <c r="F84" s="21">
        <f t="shared" si="4"/>
        <v>8.57</v>
      </c>
    </row>
    <row r="85" spans="1:6" x14ac:dyDescent="0.2">
      <c r="A85" s="19">
        <v>19</v>
      </c>
      <c r="B85" s="143" t="s">
        <v>17</v>
      </c>
      <c r="C85" s="144"/>
      <c r="D85" s="14">
        <f t="shared" si="5"/>
        <v>108304</v>
      </c>
      <c r="E85" s="17">
        <f>IF(F3="1",SUMIF(Data!A:A,'28'!$A$2,Data!EQ:EQ),0)</f>
        <v>192464</v>
      </c>
      <c r="F85" s="21">
        <f t="shared" si="4"/>
        <v>1.78</v>
      </c>
    </row>
    <row r="86" spans="1:6" x14ac:dyDescent="0.2">
      <c r="A86" s="19">
        <v>20</v>
      </c>
      <c r="B86" s="143" t="s">
        <v>18</v>
      </c>
      <c r="C86" s="144"/>
      <c r="D86" s="14">
        <f t="shared" si="5"/>
        <v>33264</v>
      </c>
      <c r="E86" s="17">
        <f>IF(F3="1",SUMIF(Data!A:A,'28'!$A$2,Data!ER:ER),0)</f>
        <v>89216</v>
      </c>
      <c r="F86" s="21">
        <f t="shared" si="4"/>
        <v>2.68</v>
      </c>
    </row>
    <row r="87" spans="1:6" ht="14.25" customHeight="1" x14ac:dyDescent="0.2">
      <c r="A87" s="19">
        <v>21</v>
      </c>
      <c r="B87" s="143" t="s">
        <v>461</v>
      </c>
      <c r="C87" s="144"/>
      <c r="D87" s="14">
        <f t="shared" si="5"/>
        <v>59344</v>
      </c>
      <c r="E87" s="17">
        <f>IF(F3="1",SUMIF(Data!A:A,'28'!$A$2,Data!ES:ES),0)</f>
        <v>367304</v>
      </c>
      <c r="F87" s="21">
        <f t="shared" si="4"/>
        <v>6.19</v>
      </c>
    </row>
    <row r="88" spans="1:6" x14ac:dyDescent="0.2">
      <c r="A88" s="19">
        <v>22</v>
      </c>
      <c r="B88" s="143" t="s">
        <v>19</v>
      </c>
      <c r="C88" s="144"/>
      <c r="D88" s="14">
        <f t="shared" si="5"/>
        <v>0</v>
      </c>
      <c r="E88" s="17">
        <f>IF(F3="1",SUMIF(Data!A:A,'28'!$A$2,Data!ET:ET),0)</f>
        <v>0</v>
      </c>
      <c r="F88" s="21" t="str">
        <f t="shared" si="4"/>
        <v/>
      </c>
    </row>
    <row r="89" spans="1:6" x14ac:dyDescent="0.2">
      <c r="A89" s="19">
        <v>23</v>
      </c>
      <c r="B89" s="143" t="s">
        <v>20</v>
      </c>
      <c r="C89" s="144"/>
      <c r="D89" s="14">
        <f t="shared" si="5"/>
        <v>1264</v>
      </c>
      <c r="E89" s="17">
        <f>IF(F3="1",SUMIF(Data!A:A,'28'!$A$2,Data!EU:EU),0)</f>
        <v>5886</v>
      </c>
      <c r="F89" s="21">
        <f t="shared" si="4"/>
        <v>4.66</v>
      </c>
    </row>
    <row r="90" spans="1:6" x14ac:dyDescent="0.2">
      <c r="A90" s="19">
        <v>24</v>
      </c>
      <c r="B90" s="143" t="s">
        <v>21</v>
      </c>
      <c r="C90" s="144"/>
      <c r="D90" s="14">
        <f t="shared" si="5"/>
        <v>74746</v>
      </c>
      <c r="E90" s="17">
        <f>IF(F3="1",SUMIF(Data!A:A,'28'!$A$2,Data!EV:EV),0)</f>
        <v>201508</v>
      </c>
      <c r="F90" s="21">
        <f t="shared" si="4"/>
        <v>2.7</v>
      </c>
    </row>
    <row r="91" spans="1:6" x14ac:dyDescent="0.2">
      <c r="A91" s="19">
        <v>25</v>
      </c>
      <c r="B91" s="143" t="s">
        <v>22</v>
      </c>
      <c r="C91" s="144"/>
      <c r="D91" s="14">
        <f t="shared" si="5"/>
        <v>266070</v>
      </c>
      <c r="E91" s="17">
        <f>IF(F3="1",SUMIF(Data!A:A,'28'!$A$2,Data!EW:EW),0)</f>
        <v>639244</v>
      </c>
      <c r="F91" s="21">
        <f t="shared" si="4"/>
        <v>2.4</v>
      </c>
    </row>
    <row r="92" spans="1:6" x14ac:dyDescent="0.2">
      <c r="A92" s="19">
        <v>26</v>
      </c>
      <c r="B92" s="143" t="s">
        <v>23</v>
      </c>
      <c r="C92" s="144"/>
      <c r="D92" s="14">
        <f t="shared" si="5"/>
        <v>79808</v>
      </c>
      <c r="E92" s="17">
        <f>IF(F3="1",SUMIF(Data!A:A,'28'!$A$2,Data!EX:EX),0)</f>
        <v>364098</v>
      </c>
      <c r="F92" s="21">
        <f t="shared" si="4"/>
        <v>4.5599999999999996</v>
      </c>
    </row>
    <row r="93" spans="1:6" x14ac:dyDescent="0.2">
      <c r="A93" s="19">
        <v>28</v>
      </c>
      <c r="B93" s="143" t="s">
        <v>24</v>
      </c>
      <c r="C93" s="144"/>
      <c r="D93" s="14">
        <f t="shared" si="5"/>
        <v>0</v>
      </c>
      <c r="E93" s="17">
        <f>IF(F3="1",SUMIF(Data!A:A,'28'!$A$2,Data!EZ:EZ),0)</f>
        <v>0</v>
      </c>
      <c r="F93" s="21" t="str">
        <f t="shared" si="4"/>
        <v/>
      </c>
    </row>
    <row r="94" spans="1:6" ht="15.75" customHeight="1" thickBot="1" x14ac:dyDescent="0.25">
      <c r="A94" s="22">
        <v>29</v>
      </c>
      <c r="B94" s="147" t="s">
        <v>25</v>
      </c>
      <c r="C94" s="148"/>
      <c r="D94" s="23">
        <f t="shared" si="5"/>
        <v>0</v>
      </c>
      <c r="E94" s="24">
        <f>IF(F3="1",SUMIF(Data!A:A,'28'!$A$2,Data!FA:FA),0)</f>
        <v>0</v>
      </c>
      <c r="F94" s="25" t="str">
        <f t="shared" si="4"/>
        <v/>
      </c>
    </row>
    <row r="95" spans="1:6" x14ac:dyDescent="0.2">
      <c r="B95" s="30" t="s">
        <v>35</v>
      </c>
      <c r="C95" s="30"/>
      <c r="D95" s="59">
        <f>SUM(D67:D94)</f>
        <v>2092611</v>
      </c>
      <c r="E95" s="31">
        <f>SUM(E67:E94)</f>
        <v>5311313</v>
      </c>
      <c r="F95" s="32">
        <f t="shared" si="4"/>
        <v>2.54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IF(F3="1",SUMIF(Data!A:A,'28'!$A$2,Data!AH:AH),0)</f>
        <v>1870422</v>
      </c>
      <c r="F98" s="20">
        <f>IF(OR(E98=0,E98=0),"",ROUND(E98/$D$105,2))</f>
        <v>0.89</v>
      </c>
    </row>
    <row r="99" spans="2:6" x14ac:dyDescent="0.2">
      <c r="B99" s="153" t="s">
        <v>31</v>
      </c>
      <c r="C99" s="154"/>
      <c r="D99" s="36"/>
      <c r="E99" s="17">
        <f>IF(F3="1",SUMIF(Data!A:A,'28'!$A$2,Data!AI:AI),0)</f>
        <v>1236872</v>
      </c>
      <c r="F99" s="21">
        <f t="shared" ref="F99:F104" si="6">IF(OR(E99=0,E99=0),"",ROUND(E99/$D$105,2))</f>
        <v>0.59</v>
      </c>
    </row>
    <row r="100" spans="2:6" x14ac:dyDescent="0.2">
      <c r="B100" s="153" t="s">
        <v>1078</v>
      </c>
      <c r="C100" s="154"/>
      <c r="D100" s="36"/>
      <c r="E100" s="17">
        <f>IF(F3="1",SUMIF(Data!A:A,'28'!$A$2,Data!AJ:AJ),0)</f>
        <v>477451</v>
      </c>
      <c r="F100" s="21">
        <f t="shared" si="6"/>
        <v>0.23</v>
      </c>
    </row>
    <row r="101" spans="2:6" x14ac:dyDescent="0.2">
      <c r="B101" s="153" t="s">
        <v>1079</v>
      </c>
      <c r="C101" s="154"/>
      <c r="D101" s="36"/>
      <c r="E101" s="17">
        <f>IF(F3="1",SUMIF(Data!A:A,'28'!$A$2,Data!AK:AK),0)</f>
        <v>1373032</v>
      </c>
      <c r="F101" s="21">
        <f t="shared" si="6"/>
        <v>0.66</v>
      </c>
    </row>
    <row r="102" spans="2:6" x14ac:dyDescent="0.2">
      <c r="B102" s="153" t="s">
        <v>1080</v>
      </c>
      <c r="C102" s="154"/>
      <c r="D102" s="36"/>
      <c r="E102" s="17">
        <f>IF(F3="1",SUMIF(Data!A:A,'28'!$A$2,Data!AL:AL),0)</f>
        <v>168319</v>
      </c>
      <c r="F102" s="21">
        <f t="shared" si="6"/>
        <v>0.08</v>
      </c>
    </row>
    <row r="103" spans="2:6" x14ac:dyDescent="0.2">
      <c r="B103" s="155" t="s">
        <v>34</v>
      </c>
      <c r="C103" s="156"/>
      <c r="D103" s="36"/>
      <c r="E103" s="17">
        <f>IF(F3="1",SUMIF(Data!A:A,'28'!$A$2,Data!AM:AM),0)</f>
        <v>0</v>
      </c>
      <c r="F103" s="21" t="str">
        <f t="shared" si="6"/>
        <v/>
      </c>
    </row>
    <row r="104" spans="2:6" ht="15.75" customHeight="1" thickBot="1" x14ac:dyDescent="0.25">
      <c r="B104" s="149" t="s">
        <v>29</v>
      </c>
      <c r="C104" s="150"/>
      <c r="D104" s="37"/>
      <c r="E104" s="24">
        <f>IF(F3="1",SUMIF(Data!A:A,'28'!$A$2,Data!Q:Q),0)</f>
        <v>1347867</v>
      </c>
      <c r="F104" s="25">
        <f t="shared" si="6"/>
        <v>0.64</v>
      </c>
    </row>
    <row r="105" spans="2:6" x14ac:dyDescent="0.2">
      <c r="B105" s="30" t="s">
        <v>35</v>
      </c>
      <c r="C105" s="30"/>
      <c r="D105" s="34">
        <f>D95</f>
        <v>2092611</v>
      </c>
      <c r="E105" s="31">
        <f>SUM(E98:E104)</f>
        <v>6473963</v>
      </c>
      <c r="F105" s="32">
        <f>IF($D$105=0,"",ROUND(E105/$D$105,2))</f>
        <v>3.09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5311313</v>
      </c>
      <c r="D109" s="15">
        <f>IF(F3="1",SUMIF(Data!$A:$A,$A$2,Data!HJ:HJ),0)</f>
        <v>0</v>
      </c>
      <c r="E109" s="15">
        <f>IF(F3="1",SUMIF(Data!$A:$A,$A$2,Data!IN:IN),0)</f>
        <v>0</v>
      </c>
      <c r="F109" s="47">
        <f>SUM(C109:E109)</f>
        <v>5311313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168319</v>
      </c>
      <c r="F116" s="48">
        <f t="shared" si="7"/>
        <v>168319</v>
      </c>
    </row>
    <row r="117" spans="1:6" ht="15" thickBot="1" x14ac:dyDescent="0.25">
      <c r="B117" s="43" t="s">
        <v>933</v>
      </c>
      <c r="C117" s="52"/>
      <c r="D117" s="52">
        <f>IF(F3="1",SUMIF(Data!A:A,$A$2,Data!Q:Q),0)</f>
        <v>1347867</v>
      </c>
      <c r="E117" s="52"/>
      <c r="F117" s="49">
        <f>SUM(C117:E117)</f>
        <v>1347867</v>
      </c>
    </row>
    <row r="118" spans="1:6" x14ac:dyDescent="0.2">
      <c r="B118" s="13" t="s">
        <v>35</v>
      </c>
      <c r="C118" s="4">
        <f>SUM(C109:C116)</f>
        <v>5311313</v>
      </c>
      <c r="D118" s="4">
        <f>SUM(D109:D116)</f>
        <v>0</v>
      </c>
      <c r="E118" s="4">
        <f>SUM(E109:E116)</f>
        <v>168319</v>
      </c>
      <c r="F118" s="4">
        <f>SUM(F109:F116)</f>
        <v>5479632</v>
      </c>
    </row>
    <row r="119" spans="1:6" ht="15" thickBot="1" x14ac:dyDescent="0.25"/>
    <row r="120" spans="1:6" ht="15" thickBot="1" x14ac:dyDescent="0.25">
      <c r="B120" s="55" t="s">
        <v>934</v>
      </c>
      <c r="C120" s="53"/>
      <c r="D120" s="53"/>
      <c r="E120" s="53">
        <f>IF(F3="1",SUMIF(Data!A:A,'28'!$A$2,Data!AM:AM),0)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384</v>
      </c>
      <c r="B2" s="58" t="str">
        <f>VLOOKUP(A2,Data!A:G,7,0)</f>
        <v>Navarro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2832</v>
      </c>
      <c r="E5" s="15">
        <f>E36+E67+IFERROR($E$105/$D$105*D5,0)</f>
        <v>9226.821682873262</v>
      </c>
      <c r="F5" s="20">
        <f>IF(OR(D5=0,E5=0),"",ROUND(E5/D5,2))</f>
        <v>3.26</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186152</v>
      </c>
      <c r="E7" s="17">
        <f t="shared" si="1"/>
        <v>861732.27327338408</v>
      </c>
      <c r="F7" s="21">
        <f t="shared" si="2"/>
        <v>4.63</v>
      </c>
    </row>
    <row r="8" spans="1:6" ht="14.25" customHeight="1" x14ac:dyDescent="0.2">
      <c r="A8" s="19">
        <v>4</v>
      </c>
      <c r="B8" s="143" t="s">
        <v>3</v>
      </c>
      <c r="C8" s="144"/>
      <c r="D8" s="14">
        <f t="shared" si="0"/>
        <v>129738</v>
      </c>
      <c r="E8" s="17">
        <f t="shared" si="1"/>
        <v>828579.11917111988</v>
      </c>
      <c r="F8" s="21">
        <f t="shared" si="2"/>
        <v>6.39</v>
      </c>
    </row>
    <row r="9" spans="1:6" x14ac:dyDescent="0.2">
      <c r="A9" s="19">
        <v>5</v>
      </c>
      <c r="B9" s="143" t="s">
        <v>4</v>
      </c>
      <c r="C9" s="144"/>
      <c r="D9" s="14">
        <f t="shared" si="0"/>
        <v>3872</v>
      </c>
      <c r="E9" s="17">
        <f t="shared" si="1"/>
        <v>118298.86919353294</v>
      </c>
      <c r="F9" s="21">
        <f t="shared" si="2"/>
        <v>30.55</v>
      </c>
    </row>
    <row r="10" spans="1:6" x14ac:dyDescent="0.2">
      <c r="A10" s="19">
        <v>6</v>
      </c>
      <c r="B10" s="143" t="s">
        <v>5</v>
      </c>
      <c r="C10" s="144"/>
      <c r="D10" s="14">
        <f t="shared" si="0"/>
        <v>7744</v>
      </c>
      <c r="E10" s="17">
        <f t="shared" si="1"/>
        <v>242792.73838706588</v>
      </c>
      <c r="F10" s="21">
        <f t="shared" si="2"/>
        <v>31.35</v>
      </c>
    </row>
    <row r="11" spans="1:6" x14ac:dyDescent="0.2">
      <c r="A11" s="19">
        <v>7</v>
      </c>
      <c r="B11" s="143" t="s">
        <v>6</v>
      </c>
      <c r="C11" s="144"/>
      <c r="D11" s="14">
        <f t="shared" si="0"/>
        <v>228334</v>
      </c>
      <c r="E11" s="17">
        <f t="shared" si="1"/>
        <v>1000849.2387490055</v>
      </c>
      <c r="F11" s="21">
        <f t="shared" si="2"/>
        <v>4.38</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27682</v>
      </c>
      <c r="E13" s="17">
        <f t="shared" si="1"/>
        <v>105431.53383661641</v>
      </c>
      <c r="F13" s="21">
        <f t="shared" si="2"/>
        <v>3.81</v>
      </c>
    </row>
    <row r="14" spans="1:6" x14ac:dyDescent="0.2">
      <c r="A14" s="19">
        <v>10</v>
      </c>
      <c r="B14" s="143" t="s">
        <v>9</v>
      </c>
      <c r="C14" s="144"/>
      <c r="D14" s="14">
        <f t="shared" si="0"/>
        <v>672</v>
      </c>
      <c r="E14" s="17">
        <f t="shared" si="1"/>
        <v>2858.4153145800965</v>
      </c>
      <c r="F14" s="21">
        <f t="shared" si="2"/>
        <v>4.25</v>
      </c>
    </row>
    <row r="15" spans="1:6" x14ac:dyDescent="0.2">
      <c r="A15" s="19">
        <v>11</v>
      </c>
      <c r="B15" s="143" t="s">
        <v>10</v>
      </c>
      <c r="C15" s="144"/>
      <c r="D15" s="14">
        <f t="shared" si="0"/>
        <v>14694</v>
      </c>
      <c r="E15" s="17">
        <f t="shared" si="1"/>
        <v>90374.786655416567</v>
      </c>
      <c r="F15" s="21">
        <f t="shared" si="2"/>
        <v>6.15</v>
      </c>
    </row>
    <row r="16" spans="1:6" ht="14.25" customHeight="1" x14ac:dyDescent="0.2">
      <c r="A16" s="19">
        <v>12</v>
      </c>
      <c r="B16" s="143" t="s">
        <v>11</v>
      </c>
      <c r="C16" s="144"/>
      <c r="D16" s="14">
        <f t="shared" si="0"/>
        <v>310256</v>
      </c>
      <c r="E16" s="17">
        <f t="shared" si="1"/>
        <v>1394729.8658338725</v>
      </c>
      <c r="F16" s="21">
        <f t="shared" si="2"/>
        <v>4.5</v>
      </c>
    </row>
    <row r="17" spans="1:6" x14ac:dyDescent="0.2">
      <c r="A17" s="19">
        <v>13</v>
      </c>
      <c r="B17" s="143" t="s">
        <v>12</v>
      </c>
      <c r="C17" s="144"/>
      <c r="D17" s="14">
        <f t="shared" si="0"/>
        <v>18438</v>
      </c>
      <c r="E17" s="17">
        <f t="shared" si="1"/>
        <v>68392.957693791395</v>
      </c>
      <c r="F17" s="21">
        <f t="shared" si="2"/>
        <v>3.71</v>
      </c>
    </row>
    <row r="18" spans="1:6" ht="14.25" customHeight="1" x14ac:dyDescent="0.2">
      <c r="A18" s="19">
        <v>14</v>
      </c>
      <c r="B18" s="143" t="s">
        <v>464</v>
      </c>
      <c r="C18" s="144"/>
      <c r="D18" s="14">
        <f t="shared" si="0"/>
        <v>46400</v>
      </c>
      <c r="E18" s="17">
        <f t="shared" si="1"/>
        <v>612740.58124481619</v>
      </c>
      <c r="F18" s="21">
        <f t="shared" si="2"/>
        <v>13.21</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67822</v>
      </c>
      <c r="E20" s="17">
        <f t="shared" si="1"/>
        <v>340346.7521807311</v>
      </c>
      <c r="F20" s="21">
        <f t="shared" si="2"/>
        <v>5.0199999999999996</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135360</v>
      </c>
      <c r="E22" s="17">
        <f t="shared" si="1"/>
        <v>638165.79907970515</v>
      </c>
      <c r="F22" s="21">
        <f t="shared" si="2"/>
        <v>4.71</v>
      </c>
    </row>
    <row r="23" spans="1:6" x14ac:dyDescent="0.2">
      <c r="A23" s="19">
        <v>19</v>
      </c>
      <c r="B23" s="143" t="s">
        <v>17</v>
      </c>
      <c r="C23" s="144"/>
      <c r="D23" s="14">
        <f t="shared" si="0"/>
        <v>184688</v>
      </c>
      <c r="E23" s="17">
        <f t="shared" si="1"/>
        <v>838143.97562376317</v>
      </c>
      <c r="F23" s="21">
        <f t="shared" si="2"/>
        <v>4.54</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17584</v>
      </c>
      <c r="E25" s="17">
        <f t="shared" si="1"/>
        <v>291513.03406484588</v>
      </c>
      <c r="F25" s="21">
        <f t="shared" si="2"/>
        <v>16.579999999999998</v>
      </c>
    </row>
    <row r="26" spans="1:6" x14ac:dyDescent="0.2">
      <c r="A26" s="19">
        <v>22</v>
      </c>
      <c r="B26" s="143" t="s">
        <v>19</v>
      </c>
      <c r="C26" s="144"/>
      <c r="D26" s="14">
        <f t="shared" si="0"/>
        <v>1280</v>
      </c>
      <c r="E26" s="17">
        <f t="shared" si="1"/>
        <v>3630.981551581136</v>
      </c>
      <c r="F26" s="21">
        <f t="shared" si="2"/>
        <v>2.84</v>
      </c>
    </row>
    <row r="27" spans="1:6" x14ac:dyDescent="0.2">
      <c r="A27" s="19">
        <v>23</v>
      </c>
      <c r="B27" s="143" t="s">
        <v>20</v>
      </c>
      <c r="C27" s="144"/>
      <c r="D27" s="14">
        <f t="shared" si="0"/>
        <v>102672</v>
      </c>
      <c r="E27" s="17">
        <f t="shared" si="1"/>
        <v>579026.38270620187</v>
      </c>
      <c r="F27" s="21">
        <f t="shared" si="2"/>
        <v>5.64</v>
      </c>
    </row>
    <row r="28" spans="1:6" x14ac:dyDescent="0.2">
      <c r="A28" s="19">
        <v>24</v>
      </c>
      <c r="B28" s="143" t="s">
        <v>21</v>
      </c>
      <c r="C28" s="144"/>
      <c r="D28" s="14">
        <f t="shared" si="0"/>
        <v>89171</v>
      </c>
      <c r="E28" s="17">
        <f t="shared" si="1"/>
        <v>366619.43901253241</v>
      </c>
      <c r="F28" s="21">
        <f t="shared" si="2"/>
        <v>4.1100000000000003</v>
      </c>
    </row>
    <row r="29" spans="1:6" x14ac:dyDescent="0.2">
      <c r="A29" s="19">
        <v>25</v>
      </c>
      <c r="B29" s="143" t="s">
        <v>22</v>
      </c>
      <c r="C29" s="144"/>
      <c r="D29" s="14">
        <f t="shared" si="0"/>
        <v>280400</v>
      </c>
      <c r="E29" s="17">
        <f t="shared" si="1"/>
        <v>1103783.2711432427</v>
      </c>
      <c r="F29" s="21">
        <f t="shared" si="2"/>
        <v>3.94</v>
      </c>
    </row>
    <row r="30" spans="1:6" x14ac:dyDescent="0.2">
      <c r="A30" s="19">
        <v>26</v>
      </c>
      <c r="B30" s="143" t="s">
        <v>23</v>
      </c>
      <c r="C30" s="144"/>
      <c r="D30" s="14">
        <f t="shared" si="0"/>
        <v>96192</v>
      </c>
      <c r="E30" s="17">
        <f t="shared" si="1"/>
        <v>585623.16360132233</v>
      </c>
      <c r="F30" s="21">
        <f t="shared" si="2"/>
        <v>6.09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1951983</v>
      </c>
      <c r="E33" s="31">
        <f>SUM(E5:E32)</f>
        <v>10082860</v>
      </c>
      <c r="F33" s="32">
        <f t="shared" si="2"/>
        <v>5.17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IF(F3="1",SUMIF(Data!A:A,'29'!$A$2,Data!CU:CU),0)</f>
        <v>2832</v>
      </c>
      <c r="E36" s="15">
        <f>IF(F3="1",SUMIF(Data!$A:$A,$A$2,Data!IO:IO),0)</f>
        <v>819</v>
      </c>
      <c r="F36" s="20">
        <f t="shared" ref="F36:F64" si="3">IF(OR(D36=0,E36=0),"",ROUND(E36/D36,2))</f>
        <v>0.28999999999999998</v>
      </c>
    </row>
    <row r="37" spans="1:6" x14ac:dyDescent="0.2">
      <c r="A37" s="19">
        <v>2</v>
      </c>
      <c r="B37" s="143" t="s">
        <v>1</v>
      </c>
      <c r="C37" s="144"/>
      <c r="D37" s="14">
        <f>IF(F3="1",SUMIF(Data!A:A,'29'!$A$2,Data!CV:CV),0)</f>
        <v>0</v>
      </c>
      <c r="E37" s="17">
        <f>IF(F3="1",SUMIF(Data!$A:$A,$A$2,Data!IP:IP),0)</f>
        <v>0</v>
      </c>
      <c r="F37" s="21" t="str">
        <f t="shared" si="3"/>
        <v/>
      </c>
    </row>
    <row r="38" spans="1:6" ht="14.25" customHeight="1" x14ac:dyDescent="0.2">
      <c r="A38" s="19">
        <v>3</v>
      </c>
      <c r="B38" s="143" t="s">
        <v>2</v>
      </c>
      <c r="C38" s="144"/>
      <c r="D38" s="14">
        <f>IF(F3="1",SUMIF(Data!A:A,'29'!$A$2,Data!CW:CW),0)</f>
        <v>186152</v>
      </c>
      <c r="E38" s="17">
        <f>IF($F$3="1",SUMIF(Data!$A:$A,$A$2,Data!IQ:IQ),0)</f>
        <v>70243</v>
      </c>
      <c r="F38" s="21">
        <f t="shared" si="3"/>
        <v>0.38</v>
      </c>
    </row>
    <row r="39" spans="1:6" ht="14.25" customHeight="1" x14ac:dyDescent="0.2">
      <c r="A39" s="19">
        <v>4</v>
      </c>
      <c r="B39" s="143" t="s">
        <v>3</v>
      </c>
      <c r="C39" s="144"/>
      <c r="D39" s="14">
        <f>IF(F3="1",SUMIF(Data!A:A,'29'!$A$2,Data!CX:CX),0)</f>
        <v>129738</v>
      </c>
      <c r="E39" s="17">
        <f>IF($F$3="1",SUMIF(Data!$A:$A,$A$2,Data!IR:IR),0)</f>
        <v>75061</v>
      </c>
      <c r="F39" s="21">
        <f t="shared" si="3"/>
        <v>0.57999999999999996</v>
      </c>
    </row>
    <row r="40" spans="1:6" x14ac:dyDescent="0.2">
      <c r="A40" s="19">
        <v>5</v>
      </c>
      <c r="B40" s="143" t="s">
        <v>4</v>
      </c>
      <c r="C40" s="144"/>
      <c r="D40" s="14">
        <f>IF(F3="1",SUMIF(Data!A:A,'29'!$A$2,Data!CY:CY),0)</f>
        <v>3872</v>
      </c>
      <c r="E40" s="17">
        <f>IF($F$3="1",SUMIF(Data!$A:$A,$A$2,Data!IS:IS),0)</f>
        <v>43857</v>
      </c>
      <c r="F40" s="21">
        <f t="shared" si="3"/>
        <v>11.33</v>
      </c>
    </row>
    <row r="41" spans="1:6" x14ac:dyDescent="0.2">
      <c r="A41" s="19">
        <v>6</v>
      </c>
      <c r="B41" s="143" t="s">
        <v>5</v>
      </c>
      <c r="C41" s="144"/>
      <c r="D41" s="14">
        <f>IF(F3="1",SUMIF(Data!A:A,'29'!$A$2,Data!CZ:CZ),0)</f>
        <v>7744</v>
      </c>
      <c r="E41" s="17">
        <f>IF($F$3="1",SUMIF(Data!$A:$A,$A$2,Data!IT:IT),0)</f>
        <v>183462</v>
      </c>
      <c r="F41" s="21">
        <f t="shared" si="3"/>
        <v>23.69</v>
      </c>
    </row>
    <row r="42" spans="1:6" x14ac:dyDescent="0.2">
      <c r="A42" s="19">
        <v>7</v>
      </c>
      <c r="B42" s="143" t="s">
        <v>6</v>
      </c>
      <c r="C42" s="144"/>
      <c r="D42" s="14">
        <f>IF(F3="1",SUMIF(Data!A:A,'29'!$A$2,Data!DA:DA),0)</f>
        <v>228334</v>
      </c>
      <c r="E42" s="17">
        <f>IF($F$3="1",SUMIF(Data!$A:$A,$A$2,Data!IU:IU),0)</f>
        <v>91137</v>
      </c>
      <c r="F42" s="21">
        <f t="shared" si="3"/>
        <v>0.4</v>
      </c>
    </row>
    <row r="43" spans="1:6" x14ac:dyDescent="0.2">
      <c r="A43" s="19">
        <v>8</v>
      </c>
      <c r="B43" s="143" t="s">
        <v>7</v>
      </c>
      <c r="C43" s="144"/>
      <c r="D43" s="14">
        <f>IF(F3="1",SUMIF(Data!A:A,'29'!$A$2,Data!DB:DB),0)</f>
        <v>0</v>
      </c>
      <c r="E43" s="17">
        <f>IF($F$3="1",SUMIF(Data!$A:$A,$A$2,Data!IV:IV),0)</f>
        <v>0</v>
      </c>
      <c r="F43" s="21" t="str">
        <f t="shared" si="3"/>
        <v/>
      </c>
    </row>
    <row r="44" spans="1:6" x14ac:dyDescent="0.2">
      <c r="A44" s="19">
        <v>9</v>
      </c>
      <c r="B44" s="143" t="s">
        <v>8</v>
      </c>
      <c r="C44" s="144"/>
      <c r="D44" s="14">
        <f>IF(F3="1",SUMIF(Data!A:A,'29'!$A$2,Data!DC:DC),0)</f>
        <v>27682</v>
      </c>
      <c r="E44" s="17">
        <f>IF($F$3="1",SUMIF(Data!$A:$A,$A$2,Data!IW:IW),0)</f>
        <v>4290</v>
      </c>
      <c r="F44" s="21">
        <f t="shared" si="3"/>
        <v>0.15</v>
      </c>
    </row>
    <row r="45" spans="1:6" x14ac:dyDescent="0.2">
      <c r="A45" s="19">
        <v>10</v>
      </c>
      <c r="B45" s="143" t="s">
        <v>9</v>
      </c>
      <c r="C45" s="144"/>
      <c r="D45" s="14">
        <f>IF(F3="1",SUMIF(Data!A:A,'29'!$A$2,Data!DD:DD),0)</f>
        <v>672</v>
      </c>
      <c r="E45" s="17">
        <f>IF($F$3="1",SUMIF(Data!$A:$A,$A$2,Data!IX:IX),0)</f>
        <v>0</v>
      </c>
      <c r="F45" s="21" t="str">
        <f t="shared" si="3"/>
        <v/>
      </c>
    </row>
    <row r="46" spans="1:6" x14ac:dyDescent="0.2">
      <c r="A46" s="19">
        <v>11</v>
      </c>
      <c r="B46" s="143" t="s">
        <v>10</v>
      </c>
      <c r="C46" s="144"/>
      <c r="D46" s="14">
        <f>IF(F3="1",SUMIF(Data!A:A,'29'!$A$2,Data!DE:DE),0)</f>
        <v>14694</v>
      </c>
      <c r="E46" s="17">
        <f>IF($F$3="1",SUMIF(Data!$A:$A,$A$2,Data!IY:IY),0)</f>
        <v>5771</v>
      </c>
      <c r="F46" s="21">
        <f t="shared" si="3"/>
        <v>0.39</v>
      </c>
    </row>
    <row r="47" spans="1:6" ht="14.25" customHeight="1" x14ac:dyDescent="0.2">
      <c r="A47" s="19">
        <v>12</v>
      </c>
      <c r="B47" s="143" t="s">
        <v>11</v>
      </c>
      <c r="C47" s="144"/>
      <c r="D47" s="14">
        <f>IF(F3="1",SUMIF(Data!A:A,'29'!$A$2,Data!DF:DF),0)</f>
        <v>310256</v>
      </c>
      <c r="E47" s="17">
        <f>IF($F$3="1",SUMIF(Data!$A:$A,$A$2,Data!IZ:IZ),0)</f>
        <v>66245</v>
      </c>
      <c r="F47" s="21">
        <f t="shared" si="3"/>
        <v>0.21</v>
      </c>
    </row>
    <row r="48" spans="1:6" x14ac:dyDescent="0.2">
      <c r="A48" s="19">
        <v>13</v>
      </c>
      <c r="B48" s="143" t="s">
        <v>12</v>
      </c>
      <c r="C48" s="144"/>
      <c r="D48" s="14">
        <f>IF(F3="1",SUMIF(Data!A:A,'29'!$A$2,Data!DG:DG),0)</f>
        <v>18438</v>
      </c>
      <c r="E48" s="17">
        <f>IF($F$3="1",SUMIF(Data!$A:$A,$A$2,Data!JA:JA),0)</f>
        <v>743</v>
      </c>
      <c r="F48" s="21">
        <f t="shared" si="3"/>
        <v>0.04</v>
      </c>
    </row>
    <row r="49" spans="1:6" ht="14.25" customHeight="1" x14ac:dyDescent="0.2">
      <c r="A49" s="19">
        <v>14</v>
      </c>
      <c r="B49" s="143" t="s">
        <v>464</v>
      </c>
      <c r="C49" s="144"/>
      <c r="D49" s="14">
        <f>IF(F3="1",SUMIF(Data!A:A,'29'!$A$2,Data!DH:DH),0)</f>
        <v>46400</v>
      </c>
      <c r="E49" s="17">
        <f>IF($F$3="1",SUMIF(Data!$A:$A,$A$2,Data!JB:JB),0)</f>
        <v>59447</v>
      </c>
      <c r="F49" s="21">
        <f t="shared" si="3"/>
        <v>1.28</v>
      </c>
    </row>
    <row r="50" spans="1:6" x14ac:dyDescent="0.2">
      <c r="A50" s="19">
        <v>15</v>
      </c>
      <c r="B50" s="143" t="s">
        <v>13</v>
      </c>
      <c r="C50" s="144"/>
      <c r="D50" s="14">
        <f>IF(F3="1",SUMIF(Data!A:A,'29'!$A$2,Data!DI:DI),0)</f>
        <v>0</v>
      </c>
      <c r="E50" s="17">
        <f>IF($F$3="1",SUMIF(Data!$A:$A,$A$2,Data!JC:JC),0)</f>
        <v>0</v>
      </c>
      <c r="F50" s="21" t="str">
        <f t="shared" si="3"/>
        <v/>
      </c>
    </row>
    <row r="51" spans="1:6" x14ac:dyDescent="0.2">
      <c r="A51" s="19">
        <v>16</v>
      </c>
      <c r="B51" s="143" t="s">
        <v>14</v>
      </c>
      <c r="C51" s="144"/>
      <c r="D51" s="14">
        <f>IF(F3="1",SUMIF(Data!A:A,'29'!$A$2,Data!DJ:DJ),0)</f>
        <v>67822</v>
      </c>
      <c r="E51" s="17">
        <f>IF($F$3="1",SUMIF(Data!$A:$A,$A$2,Data!JD:JD),0)</f>
        <v>54493</v>
      </c>
      <c r="F51" s="21">
        <f t="shared" si="3"/>
        <v>0.8</v>
      </c>
    </row>
    <row r="52" spans="1:6" x14ac:dyDescent="0.2">
      <c r="A52" s="19">
        <v>17</v>
      </c>
      <c r="B52" s="143" t="s">
        <v>15</v>
      </c>
      <c r="C52" s="144"/>
      <c r="D52" s="14">
        <f>IF(F3="1",SUMIF(Data!A:A,'29'!$A$2,Data!DK:DK),0)</f>
        <v>0</v>
      </c>
      <c r="E52" s="17">
        <f>IF($F$3="1",SUMIF(Data!$A:$A,$A$2,Data!JE:JE),0)</f>
        <v>0</v>
      </c>
      <c r="F52" s="21" t="str">
        <f t="shared" si="3"/>
        <v/>
      </c>
    </row>
    <row r="53" spans="1:6" x14ac:dyDescent="0.2">
      <c r="A53" s="19">
        <v>18</v>
      </c>
      <c r="B53" s="143" t="s">
        <v>16</v>
      </c>
      <c r="C53" s="144"/>
      <c r="D53" s="14">
        <f>IF(F3="1",SUMIF(Data!A:A,'29'!$A$2,Data!DL:DL),0)</f>
        <v>135360</v>
      </c>
      <c r="E53" s="17">
        <f>IF($F$3="1",SUMIF(Data!$A:$A,$A$2,Data!JF:JF),0)</f>
        <v>38086</v>
      </c>
      <c r="F53" s="21">
        <f t="shared" si="3"/>
        <v>0.28000000000000003</v>
      </c>
    </row>
    <row r="54" spans="1:6" x14ac:dyDescent="0.2">
      <c r="A54" s="19">
        <v>19</v>
      </c>
      <c r="B54" s="143" t="s">
        <v>17</v>
      </c>
      <c r="C54" s="144"/>
      <c r="D54" s="14">
        <f>IF(F3="1",SUMIF(Data!A:A,'29'!$A$2,Data!DM:DM),0)</f>
        <v>184688</v>
      </c>
      <c r="E54" s="17">
        <f>IF($F$3="1",SUMIF(Data!$A:$A,$A$2,Data!JG:JG),0)</f>
        <v>12379</v>
      </c>
      <c r="F54" s="21">
        <f t="shared" si="3"/>
        <v>7.0000000000000007E-2</v>
      </c>
    </row>
    <row r="55" spans="1:6" x14ac:dyDescent="0.2">
      <c r="A55" s="19">
        <v>20</v>
      </c>
      <c r="B55" s="143" t="s">
        <v>18</v>
      </c>
      <c r="C55" s="144"/>
      <c r="D55" s="14">
        <f>IF(F3="1",SUMIF(Data!A:A,'29'!$A$2,Data!DN:DN),0)</f>
        <v>0</v>
      </c>
      <c r="E55" s="17">
        <f>IF($F$3="1",SUMIF(Data!$A:$A,$A$2,Data!JH:JH),0)</f>
        <v>0</v>
      </c>
      <c r="F55" s="21" t="str">
        <f t="shared" si="3"/>
        <v/>
      </c>
    </row>
    <row r="56" spans="1:6" ht="14.25" customHeight="1" x14ac:dyDescent="0.2">
      <c r="A56" s="19">
        <v>21</v>
      </c>
      <c r="B56" s="143" t="s">
        <v>461</v>
      </c>
      <c r="C56" s="144"/>
      <c r="D56" s="14">
        <f>IF(F3="1",SUMIF(Data!A:A,'29'!$A$2,Data!DO:DO),0)</f>
        <v>17584</v>
      </c>
      <c r="E56" s="17">
        <f>IF($F$3="1",SUMIF(Data!$A:$A,$A$2,Data!JI:JI),0)</f>
        <v>58047</v>
      </c>
      <c r="F56" s="21">
        <f t="shared" si="3"/>
        <v>3.3</v>
      </c>
    </row>
    <row r="57" spans="1:6" x14ac:dyDescent="0.2">
      <c r="A57" s="19">
        <v>22</v>
      </c>
      <c r="B57" s="143" t="s">
        <v>19</v>
      </c>
      <c r="C57" s="144"/>
      <c r="D57" s="14">
        <f>IF(F3="1",SUMIF(Data!A:A,'29'!$A$2,Data!DP:DP),0)</f>
        <v>1280</v>
      </c>
      <c r="E57" s="17">
        <f>IF($F$3="1",SUMIF(Data!$A:$A,$A$2,Data!JJ:JJ),0)</f>
        <v>0</v>
      </c>
      <c r="F57" s="21" t="str">
        <f t="shared" si="3"/>
        <v/>
      </c>
    </row>
    <row r="58" spans="1:6" x14ac:dyDescent="0.2">
      <c r="A58" s="19">
        <v>23</v>
      </c>
      <c r="B58" s="143" t="s">
        <v>20</v>
      </c>
      <c r="C58" s="144"/>
      <c r="D58" s="14">
        <f>IF(F3="1",SUMIF(Data!A:A,'29'!$A$2,Data!DQ:DQ),0)</f>
        <v>102672</v>
      </c>
      <c r="E58" s="17">
        <f>IF($F$3="1",SUMIF(Data!$A:$A,$A$2,Data!JK:JK),0)</f>
        <v>35334</v>
      </c>
      <c r="F58" s="21">
        <f t="shared" si="3"/>
        <v>0.34</v>
      </c>
    </row>
    <row r="59" spans="1:6" x14ac:dyDescent="0.2">
      <c r="A59" s="19">
        <v>24</v>
      </c>
      <c r="B59" s="143" t="s">
        <v>21</v>
      </c>
      <c r="C59" s="144"/>
      <c r="D59" s="14">
        <f>IF(F3="1",SUMIF(Data!A:A,'29'!$A$2,Data!DR:DR),0)</f>
        <v>89171</v>
      </c>
      <c r="E59" s="17">
        <f>IF($F$3="1",SUMIF(Data!$A:$A,$A$2,Data!JL:JL),0)</f>
        <v>29675</v>
      </c>
      <c r="F59" s="21">
        <f t="shared" si="3"/>
        <v>0.33</v>
      </c>
    </row>
    <row r="60" spans="1:6" x14ac:dyDescent="0.2">
      <c r="A60" s="19">
        <v>25</v>
      </c>
      <c r="B60" s="143" t="s">
        <v>22</v>
      </c>
      <c r="C60" s="144"/>
      <c r="D60" s="14">
        <f>IF(F3="1",SUMIF(Data!A:A,'29'!$A$2,Data!DS:DS),0)</f>
        <v>280400</v>
      </c>
      <c r="E60" s="17">
        <f>IF($F$3="1",SUMIF(Data!$A:$A,$A$2,Data!JM:JM),0)</f>
        <v>34499</v>
      </c>
      <c r="F60" s="21">
        <f t="shared" si="3"/>
        <v>0.12</v>
      </c>
    </row>
    <row r="61" spans="1:6" x14ac:dyDescent="0.2">
      <c r="A61" s="19">
        <v>26</v>
      </c>
      <c r="B61" s="143" t="s">
        <v>23</v>
      </c>
      <c r="C61" s="144"/>
      <c r="D61" s="14">
        <f>IF(F3="1",SUMIF(Data!A:A,'29'!$A$2,Data!DT:DT),0)</f>
        <v>96192</v>
      </c>
      <c r="E61" s="17">
        <f>IF($F$3="1",SUMIF(Data!$A:$A,$A$2,Data!JN:JN),0)</f>
        <v>100458</v>
      </c>
      <c r="F61" s="21">
        <f t="shared" si="3"/>
        <v>1.04</v>
      </c>
    </row>
    <row r="62" spans="1:6" x14ac:dyDescent="0.2">
      <c r="A62" s="19">
        <v>28</v>
      </c>
      <c r="B62" s="143" t="s">
        <v>24</v>
      </c>
      <c r="C62" s="144"/>
      <c r="D62" s="14">
        <f>IF(F3="1",SUMIF(Data!A:A,'29'!$A$2,Data!DV:DV),0)</f>
        <v>0</v>
      </c>
      <c r="E62" s="17">
        <f>IF($F$3="1",SUMIF(Data!$A:$A,$A$2,Data!JP:JP),0)</f>
        <v>0</v>
      </c>
      <c r="F62" s="21" t="str">
        <f t="shared" si="3"/>
        <v/>
      </c>
    </row>
    <row r="63" spans="1:6" ht="15.75" customHeight="1" thickBot="1" x14ac:dyDescent="0.25">
      <c r="A63" s="22">
        <v>29</v>
      </c>
      <c r="B63" s="147" t="s">
        <v>25</v>
      </c>
      <c r="C63" s="148"/>
      <c r="D63" s="23">
        <f>IF(F3="1",SUMIF(Data!A:A,'29'!$A$2,Data!DW:DW),0)</f>
        <v>0</v>
      </c>
      <c r="E63" s="24">
        <f>IF($F$3="1",SUMIF(Data!$A:$A,$A$2,Data!JQ:JQ),0)</f>
        <v>0</v>
      </c>
      <c r="F63" s="25" t="str">
        <f t="shared" si="3"/>
        <v/>
      </c>
    </row>
    <row r="64" spans="1:6" x14ac:dyDescent="0.2">
      <c r="B64" s="30" t="s">
        <v>35</v>
      </c>
      <c r="C64" s="30"/>
      <c r="D64" s="59">
        <f>SUM(D36:D63)</f>
        <v>1951983</v>
      </c>
      <c r="E64" s="31">
        <f>SUM(E36:E63)</f>
        <v>964046</v>
      </c>
      <c r="F64" s="32">
        <f t="shared" si="3"/>
        <v>0.49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2832</v>
      </c>
      <c r="E67" s="15">
        <f>IF(F3="1",SUMIF(Data!A:A,'29'!$A$2,Data!DY:DY),0)</f>
        <v>1600</v>
      </c>
      <c r="F67" s="20">
        <f t="shared" ref="F67:F95" si="4">IF(OR(D67=0,E67=0),"",ROUND(E67/D67,2))</f>
        <v>0.56000000000000005</v>
      </c>
    </row>
    <row r="68" spans="1:6" x14ac:dyDescent="0.2">
      <c r="A68" s="19">
        <v>2</v>
      </c>
      <c r="B68" s="143" t="s">
        <v>1</v>
      </c>
      <c r="C68" s="144"/>
      <c r="D68" s="14">
        <f t="shared" ref="D68:D94" si="5">D37</f>
        <v>0</v>
      </c>
      <c r="E68" s="17">
        <f>IF(F3="1",SUMIF(Data!A:A,'29'!$A$2,Data!DZ:DZ),0)</f>
        <v>0</v>
      </c>
      <c r="F68" s="21" t="str">
        <f t="shared" si="4"/>
        <v/>
      </c>
    </row>
    <row r="69" spans="1:6" ht="14.25" customHeight="1" x14ac:dyDescent="0.2">
      <c r="A69" s="19">
        <v>3</v>
      </c>
      <c r="B69" s="143" t="s">
        <v>2</v>
      </c>
      <c r="C69" s="144"/>
      <c r="D69" s="14">
        <f t="shared" si="5"/>
        <v>186152</v>
      </c>
      <c r="E69" s="17">
        <f>IF(F3="1",SUMIF(Data!A:A,'29'!$A$2,Data!EA:EA),0)</f>
        <v>344000</v>
      </c>
      <c r="F69" s="21">
        <f t="shared" si="4"/>
        <v>1.85</v>
      </c>
    </row>
    <row r="70" spans="1:6" ht="14.25" customHeight="1" x14ac:dyDescent="0.2">
      <c r="A70" s="19">
        <v>4</v>
      </c>
      <c r="B70" s="143" t="s">
        <v>3</v>
      </c>
      <c r="C70" s="144"/>
      <c r="D70" s="14">
        <f t="shared" si="5"/>
        <v>129738</v>
      </c>
      <c r="E70" s="17">
        <f>IF(F3="1",SUMIF(Data!A:A,'29'!$A$2,Data!EB:EB),0)</f>
        <v>441642</v>
      </c>
      <c r="F70" s="21">
        <f t="shared" si="4"/>
        <v>3.4</v>
      </c>
    </row>
    <row r="71" spans="1:6" x14ac:dyDescent="0.2">
      <c r="A71" s="19">
        <v>5</v>
      </c>
      <c r="B71" s="143" t="s">
        <v>4</v>
      </c>
      <c r="C71" s="144"/>
      <c r="D71" s="14">
        <f t="shared" si="5"/>
        <v>3872</v>
      </c>
      <c r="E71" s="17">
        <f>IF(F3="1",SUMIF(Data!A:A,'29'!$A$2,Data!EC:EC),0)</f>
        <v>65134</v>
      </c>
      <c r="F71" s="21">
        <f t="shared" si="4"/>
        <v>16.82</v>
      </c>
    </row>
    <row r="72" spans="1:6" x14ac:dyDescent="0.2">
      <c r="A72" s="19">
        <v>6</v>
      </c>
      <c r="B72" s="143" t="s">
        <v>5</v>
      </c>
      <c r="C72" s="144"/>
      <c r="D72" s="14">
        <f t="shared" si="5"/>
        <v>7744</v>
      </c>
      <c r="E72" s="17">
        <f>IF(F3="1",SUMIF(Data!A:A,'29'!$A$2,Data!ED:ED),0)</f>
        <v>40715</v>
      </c>
      <c r="F72" s="21">
        <f t="shared" si="4"/>
        <v>5.26</v>
      </c>
    </row>
    <row r="73" spans="1:6" x14ac:dyDescent="0.2">
      <c r="A73" s="19">
        <v>7</v>
      </c>
      <c r="B73" s="143" t="s">
        <v>6</v>
      </c>
      <c r="C73" s="144"/>
      <c r="D73" s="14">
        <f t="shared" si="5"/>
        <v>228334</v>
      </c>
      <c r="E73" s="17">
        <f>IF(F3="1",SUMIF(Data!A:A,'29'!$A$2,Data!EE:EE),0)</f>
        <v>360822</v>
      </c>
      <c r="F73" s="21">
        <f t="shared" si="4"/>
        <v>1.58</v>
      </c>
    </row>
    <row r="74" spans="1:6" x14ac:dyDescent="0.2">
      <c r="A74" s="19">
        <v>8</v>
      </c>
      <c r="B74" s="143" t="s">
        <v>7</v>
      </c>
      <c r="C74" s="144"/>
      <c r="D74" s="14">
        <f t="shared" si="5"/>
        <v>0</v>
      </c>
      <c r="E74" s="17">
        <f>IF(F3="1",SUMIF(Data!A:A,'29'!$A$2,Data!EF:EF),0)</f>
        <v>0</v>
      </c>
      <c r="F74" s="21" t="str">
        <f t="shared" si="4"/>
        <v/>
      </c>
    </row>
    <row r="75" spans="1:6" x14ac:dyDescent="0.2">
      <c r="A75" s="19">
        <v>9</v>
      </c>
      <c r="B75" s="143" t="s">
        <v>8</v>
      </c>
      <c r="C75" s="144"/>
      <c r="D75" s="14">
        <f t="shared" si="5"/>
        <v>27682</v>
      </c>
      <c r="E75" s="17">
        <f>IF(F3="1",SUMIF(Data!A:A,'29'!$A$2,Data!EG:EG),0)</f>
        <v>34597</v>
      </c>
      <c r="F75" s="21">
        <f t="shared" si="4"/>
        <v>1.25</v>
      </c>
    </row>
    <row r="76" spans="1:6" x14ac:dyDescent="0.2">
      <c r="A76" s="19">
        <v>10</v>
      </c>
      <c r="B76" s="143" t="s">
        <v>9</v>
      </c>
      <c r="C76" s="144"/>
      <c r="D76" s="14">
        <f t="shared" si="5"/>
        <v>672</v>
      </c>
      <c r="E76" s="17">
        <f>IF(F3="1",SUMIF(Data!A:A,'29'!$A$2,Data!EH:EH),0)</f>
        <v>1243</v>
      </c>
      <c r="F76" s="21">
        <f t="shared" si="4"/>
        <v>1.85</v>
      </c>
    </row>
    <row r="77" spans="1:6" x14ac:dyDescent="0.2">
      <c r="A77" s="19">
        <v>11</v>
      </c>
      <c r="B77" s="143" t="s">
        <v>10</v>
      </c>
      <c r="C77" s="144"/>
      <c r="D77" s="14">
        <f t="shared" si="5"/>
        <v>14694</v>
      </c>
      <c r="E77" s="17">
        <f>IF(F3="1",SUMIF(Data!A:A,'29'!$A$2,Data!EI:EI),0)</f>
        <v>49281</v>
      </c>
      <c r="F77" s="21">
        <f t="shared" si="4"/>
        <v>3.35</v>
      </c>
    </row>
    <row r="78" spans="1:6" ht="14.25" customHeight="1" x14ac:dyDescent="0.2">
      <c r="A78" s="19">
        <v>12</v>
      </c>
      <c r="B78" s="143" t="s">
        <v>11</v>
      </c>
      <c r="C78" s="144"/>
      <c r="D78" s="14">
        <f t="shared" si="5"/>
        <v>310256</v>
      </c>
      <c r="E78" s="17">
        <f>IF(F3="1",SUMIF(Data!A:A,'29'!$A$2,Data!EJ:EJ),0)</f>
        <v>582663</v>
      </c>
      <c r="F78" s="21">
        <f t="shared" si="4"/>
        <v>1.88</v>
      </c>
    </row>
    <row r="79" spans="1:6" x14ac:dyDescent="0.2">
      <c r="A79" s="19">
        <v>13</v>
      </c>
      <c r="B79" s="143" t="s">
        <v>12</v>
      </c>
      <c r="C79" s="144"/>
      <c r="D79" s="14">
        <f t="shared" si="5"/>
        <v>18438</v>
      </c>
      <c r="E79" s="17">
        <f>IF(F3="1",SUMIF(Data!A:A,'29'!$A$2,Data!EK:EK),0)</f>
        <v>23327</v>
      </c>
      <c r="F79" s="21">
        <f t="shared" si="4"/>
        <v>1.27</v>
      </c>
    </row>
    <row r="80" spans="1:6" ht="14.25" customHeight="1" x14ac:dyDescent="0.2">
      <c r="A80" s="19">
        <v>14</v>
      </c>
      <c r="B80" s="143" t="s">
        <v>464</v>
      </c>
      <c r="C80" s="144"/>
      <c r="D80" s="14">
        <f t="shared" si="5"/>
        <v>46400</v>
      </c>
      <c r="E80" s="17">
        <f>IF(F3="1",SUMIF(Data!A:A,'29'!$A$2,Data!EL:EL),0)</f>
        <v>441753</v>
      </c>
      <c r="F80" s="21">
        <f t="shared" si="4"/>
        <v>9.52</v>
      </c>
    </row>
    <row r="81" spans="1:6" x14ac:dyDescent="0.2">
      <c r="A81" s="19">
        <v>15</v>
      </c>
      <c r="B81" s="143" t="s">
        <v>13</v>
      </c>
      <c r="C81" s="144"/>
      <c r="D81" s="14">
        <f t="shared" si="5"/>
        <v>0</v>
      </c>
      <c r="E81" s="17">
        <f>IF(F3="1",SUMIF(Data!A:A,'29'!$A$2,Data!EM:EM),0)</f>
        <v>0</v>
      </c>
      <c r="F81" s="21" t="str">
        <f t="shared" si="4"/>
        <v/>
      </c>
    </row>
    <row r="82" spans="1:6" x14ac:dyDescent="0.2">
      <c r="A82" s="19">
        <v>16</v>
      </c>
      <c r="B82" s="143" t="s">
        <v>14</v>
      </c>
      <c r="C82" s="144"/>
      <c r="D82" s="14">
        <f t="shared" si="5"/>
        <v>67822</v>
      </c>
      <c r="E82" s="17">
        <f>IF(F3="1",SUMIF(Data!A:A,'29'!$A$2,Data!EN:EN),0)</f>
        <v>122817</v>
      </c>
      <c r="F82" s="21">
        <f t="shared" si="4"/>
        <v>1.81</v>
      </c>
    </row>
    <row r="83" spans="1:6" x14ac:dyDescent="0.2">
      <c r="A83" s="19">
        <v>17</v>
      </c>
      <c r="B83" s="143" t="s">
        <v>15</v>
      </c>
      <c r="C83" s="144"/>
      <c r="D83" s="14">
        <f t="shared" si="5"/>
        <v>0</v>
      </c>
      <c r="E83" s="17">
        <f>IF(F3="1",SUMIF(Data!A:A,'29'!$A$2,Data!EO:EO),0)</f>
        <v>0</v>
      </c>
      <c r="F83" s="21" t="str">
        <f t="shared" si="4"/>
        <v/>
      </c>
    </row>
    <row r="84" spans="1:6" x14ac:dyDescent="0.2">
      <c r="A84" s="19">
        <v>18</v>
      </c>
      <c r="B84" s="143" t="s">
        <v>16</v>
      </c>
      <c r="C84" s="144"/>
      <c r="D84" s="14">
        <f t="shared" si="5"/>
        <v>135360</v>
      </c>
      <c r="E84" s="17">
        <f>IF(F3="1",SUMIF(Data!A:A,'29'!$A$2,Data!EP:EP),0)</f>
        <v>274689</v>
      </c>
      <c r="F84" s="21">
        <f t="shared" si="4"/>
        <v>2.0299999999999998</v>
      </c>
    </row>
    <row r="85" spans="1:6" x14ac:dyDescent="0.2">
      <c r="A85" s="19">
        <v>19</v>
      </c>
      <c r="B85" s="143" t="s">
        <v>17</v>
      </c>
      <c r="C85" s="144"/>
      <c r="D85" s="14">
        <f t="shared" si="5"/>
        <v>184688</v>
      </c>
      <c r="E85" s="17">
        <f>IF(F3="1",SUMIF(Data!A:A,'29'!$A$2,Data!EQ:EQ),0)</f>
        <v>381795</v>
      </c>
      <c r="F85" s="21">
        <f t="shared" si="4"/>
        <v>2.0699999999999998</v>
      </c>
    </row>
    <row r="86" spans="1:6" x14ac:dyDescent="0.2">
      <c r="A86" s="19">
        <v>20</v>
      </c>
      <c r="B86" s="143" t="s">
        <v>18</v>
      </c>
      <c r="C86" s="144"/>
      <c r="D86" s="14">
        <f t="shared" si="5"/>
        <v>0</v>
      </c>
      <c r="E86" s="17">
        <f>IF(F3="1",SUMIF(Data!A:A,'29'!$A$2,Data!ER:ER),0)</f>
        <v>0</v>
      </c>
      <c r="F86" s="21" t="str">
        <f t="shared" si="4"/>
        <v/>
      </c>
    </row>
    <row r="87" spans="1:6" ht="14.25" customHeight="1" x14ac:dyDescent="0.2">
      <c r="A87" s="19">
        <v>21</v>
      </c>
      <c r="B87" s="143" t="s">
        <v>461</v>
      </c>
      <c r="C87" s="144"/>
      <c r="D87" s="14">
        <f t="shared" si="5"/>
        <v>17584</v>
      </c>
      <c r="E87" s="17">
        <f>IF(F3="1",SUMIF(Data!A:A,'29'!$A$2,Data!ES:ES),0)</f>
        <v>191196</v>
      </c>
      <c r="F87" s="21">
        <f t="shared" si="4"/>
        <v>10.87</v>
      </c>
    </row>
    <row r="88" spans="1:6" x14ac:dyDescent="0.2">
      <c r="A88" s="19">
        <v>22</v>
      </c>
      <c r="B88" s="143" t="s">
        <v>19</v>
      </c>
      <c r="C88" s="144"/>
      <c r="D88" s="14">
        <f t="shared" si="5"/>
        <v>1280</v>
      </c>
      <c r="E88" s="17">
        <f>IF(F3="1",SUMIF(Data!A:A,'29'!$A$2,Data!ET:ET),0)</f>
        <v>554</v>
      </c>
      <c r="F88" s="21">
        <f t="shared" si="4"/>
        <v>0.43</v>
      </c>
    </row>
    <row r="89" spans="1:6" x14ac:dyDescent="0.2">
      <c r="A89" s="19">
        <v>23</v>
      </c>
      <c r="B89" s="143" t="s">
        <v>20</v>
      </c>
      <c r="C89" s="144"/>
      <c r="D89" s="14">
        <f t="shared" si="5"/>
        <v>102672</v>
      </c>
      <c r="E89" s="17">
        <f>IF(F3="1",SUMIF(Data!A:A,'29'!$A$2,Data!EU:EU),0)</f>
        <v>296880</v>
      </c>
      <c r="F89" s="21">
        <f t="shared" si="4"/>
        <v>2.89</v>
      </c>
    </row>
    <row r="90" spans="1:6" x14ac:dyDescent="0.2">
      <c r="A90" s="19">
        <v>24</v>
      </c>
      <c r="B90" s="143" t="s">
        <v>21</v>
      </c>
      <c r="C90" s="144"/>
      <c r="D90" s="14">
        <f t="shared" si="5"/>
        <v>89171</v>
      </c>
      <c r="E90" s="17">
        <f>IF(F3="1",SUMIF(Data!A:A,'29'!$A$2,Data!EV:EV),0)</f>
        <v>122587</v>
      </c>
      <c r="F90" s="21">
        <f t="shared" si="4"/>
        <v>1.37</v>
      </c>
    </row>
    <row r="91" spans="1:6" x14ac:dyDescent="0.2">
      <c r="A91" s="19">
        <v>25</v>
      </c>
      <c r="B91" s="143" t="s">
        <v>22</v>
      </c>
      <c r="C91" s="144"/>
      <c r="D91" s="14">
        <f t="shared" si="5"/>
        <v>280400</v>
      </c>
      <c r="E91" s="17">
        <f>IF(F3="1",SUMIF(Data!A:A,'29'!$A$2,Data!EW:EW),0)</f>
        <v>395233</v>
      </c>
      <c r="F91" s="21">
        <f t="shared" si="4"/>
        <v>1.41</v>
      </c>
    </row>
    <row r="92" spans="1:6" x14ac:dyDescent="0.2">
      <c r="A92" s="19">
        <v>26</v>
      </c>
      <c r="B92" s="143" t="s">
        <v>23</v>
      </c>
      <c r="C92" s="144"/>
      <c r="D92" s="14">
        <f t="shared" si="5"/>
        <v>96192</v>
      </c>
      <c r="E92" s="17">
        <f>IF(F3="1",SUMIF(Data!A:A,'29'!$A$2,Data!EX:EX),0)</f>
        <v>253930</v>
      </c>
      <c r="F92" s="21">
        <f t="shared" si="4"/>
        <v>2.64</v>
      </c>
    </row>
    <row r="93" spans="1:6" x14ac:dyDescent="0.2">
      <c r="A93" s="19">
        <v>28</v>
      </c>
      <c r="B93" s="143" t="s">
        <v>24</v>
      </c>
      <c r="C93" s="144"/>
      <c r="D93" s="14">
        <f t="shared" si="5"/>
        <v>0</v>
      </c>
      <c r="E93" s="17">
        <f>IF(F3="1",SUMIF(Data!A:A,'29'!$A$2,Data!EZ:EZ),0)</f>
        <v>0</v>
      </c>
      <c r="F93" s="21" t="str">
        <f t="shared" si="4"/>
        <v/>
      </c>
    </row>
    <row r="94" spans="1:6" ht="15.75" customHeight="1" thickBot="1" x14ac:dyDescent="0.25">
      <c r="A94" s="22">
        <v>29</v>
      </c>
      <c r="B94" s="147" t="s">
        <v>25</v>
      </c>
      <c r="C94" s="148"/>
      <c r="D94" s="23">
        <f t="shared" si="5"/>
        <v>0</v>
      </c>
      <c r="E94" s="24">
        <f>IF(F3="1",SUMIF(Data!A:A,'29'!$A$2,Data!FA:FA),0)</f>
        <v>0</v>
      </c>
      <c r="F94" s="25" t="str">
        <f t="shared" si="4"/>
        <v/>
      </c>
    </row>
    <row r="95" spans="1:6" x14ac:dyDescent="0.2">
      <c r="B95" s="30" t="s">
        <v>35</v>
      </c>
      <c r="C95" s="30"/>
      <c r="D95" s="59">
        <f>SUM(D67:D94)</f>
        <v>1951983</v>
      </c>
      <c r="E95" s="31">
        <f>SUM(E67:E94)</f>
        <v>4426458</v>
      </c>
      <c r="F95" s="32">
        <f t="shared" si="4"/>
        <v>2.27</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IF(F3="1",SUMIF(Data!A:A,'29'!$A$2,Data!AH:AH),0)</f>
        <v>1741581</v>
      </c>
      <c r="F98" s="20">
        <f>IF(OR(E98=0,E98=0),"",ROUND(E98/$D$105,2))</f>
        <v>0.89</v>
      </c>
    </row>
    <row r="99" spans="2:6" x14ac:dyDescent="0.2">
      <c r="B99" s="153" t="s">
        <v>31</v>
      </c>
      <c r="C99" s="154"/>
      <c r="D99" s="36"/>
      <c r="E99" s="17">
        <f>IF(F3="1",SUMIF(Data!A:A,'29'!$A$2,Data!AI:AI),0)</f>
        <v>868009</v>
      </c>
      <c r="F99" s="21">
        <f t="shared" ref="F99:F104" si="6">IF(OR(E99=0,E99=0),"",ROUND(E99/$D$105,2))</f>
        <v>0.44</v>
      </c>
    </row>
    <row r="100" spans="2:6" x14ac:dyDescent="0.2">
      <c r="B100" s="153" t="s">
        <v>1078</v>
      </c>
      <c r="C100" s="154"/>
      <c r="D100" s="36"/>
      <c r="E100" s="17">
        <f>IF(F3="1",SUMIF(Data!A:A,'29'!$A$2,Data!AJ:AJ),0)</f>
        <v>532294</v>
      </c>
      <c r="F100" s="21">
        <f t="shared" si="6"/>
        <v>0.27</v>
      </c>
    </row>
    <row r="101" spans="2:6" x14ac:dyDescent="0.2">
      <c r="B101" s="153" t="s">
        <v>1079</v>
      </c>
      <c r="C101" s="154"/>
      <c r="D101" s="36"/>
      <c r="E101" s="17">
        <f>IF(F3="1",SUMIF(Data!A:A,'29'!$A$2,Data!AK:AK),0)</f>
        <v>599905</v>
      </c>
      <c r="F101" s="21">
        <f t="shared" si="6"/>
        <v>0.31</v>
      </c>
    </row>
    <row r="102" spans="2:6" x14ac:dyDescent="0.2">
      <c r="B102" s="153" t="s">
        <v>1080</v>
      </c>
      <c r="C102" s="154"/>
      <c r="D102" s="36"/>
      <c r="E102" s="17">
        <f>IF(F3="1",SUMIF(Data!A:A,'29'!$A$2,Data!AL:AL),0)</f>
        <v>0</v>
      </c>
      <c r="F102" s="21" t="str">
        <f t="shared" si="6"/>
        <v/>
      </c>
    </row>
    <row r="103" spans="2:6" x14ac:dyDescent="0.2">
      <c r="B103" s="155" t="s">
        <v>34</v>
      </c>
      <c r="C103" s="156"/>
      <c r="D103" s="36"/>
      <c r="E103" s="17">
        <f>IF(F3="1",SUMIF(Data!A:A,'29'!$A$2,Data!AM:AM),0)</f>
        <v>0</v>
      </c>
      <c r="F103" s="21" t="str">
        <f t="shared" si="6"/>
        <v/>
      </c>
    </row>
    <row r="104" spans="2:6" ht="15.75" customHeight="1" thickBot="1" x14ac:dyDescent="0.25">
      <c r="B104" s="149" t="s">
        <v>29</v>
      </c>
      <c r="C104" s="150"/>
      <c r="D104" s="37"/>
      <c r="E104" s="24">
        <f>IF(F3="1",SUMIF(Data!A:A,'29'!$A$2,Data!Q:Q),0)</f>
        <v>950567</v>
      </c>
      <c r="F104" s="25">
        <f t="shared" si="6"/>
        <v>0.49</v>
      </c>
    </row>
    <row r="105" spans="2:6" x14ac:dyDescent="0.2">
      <c r="B105" s="30" t="s">
        <v>35</v>
      </c>
      <c r="C105" s="30"/>
      <c r="D105" s="34">
        <f>D95</f>
        <v>1951983</v>
      </c>
      <c r="E105" s="31">
        <f>SUM(E98:E104)</f>
        <v>4692356</v>
      </c>
      <c r="F105" s="32">
        <f>IF($D$105=0,"",ROUND(E105/$D$105,2))</f>
        <v>2.4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4426458</v>
      </c>
      <c r="D109" s="15">
        <f>IF(F3="1",SUMIF(Data!$A:$A,$A$2,Data!HJ:HJ),0)</f>
        <v>0</v>
      </c>
      <c r="E109" s="15">
        <f>IF(F3="1",SUMIF(Data!$A:$A,$A$2,Data!IN:IN),0)</f>
        <v>0</v>
      </c>
      <c r="F109" s="47">
        <f>SUM(C109:E109)</f>
        <v>4426458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950567</v>
      </c>
      <c r="E117" s="52"/>
      <c r="F117" s="49">
        <f>SUM(C117:E117)</f>
        <v>950567</v>
      </c>
    </row>
    <row r="118" spans="1:6" x14ac:dyDescent="0.2">
      <c r="B118" s="13" t="s">
        <v>35</v>
      </c>
      <c r="C118" s="4">
        <f>SUM(C109:C116)</f>
        <v>4426458</v>
      </c>
      <c r="D118" s="4">
        <f>SUM(D109:D116)</f>
        <v>0</v>
      </c>
      <c r="E118" s="4">
        <f>SUM(E109:E116)</f>
        <v>0</v>
      </c>
      <c r="F118" s="4">
        <f>SUM(F109:F116)</f>
        <v>4426458</v>
      </c>
    </row>
    <row r="119" spans="1:6" ht="15" thickBot="1" x14ac:dyDescent="0.25"/>
    <row r="120" spans="1:6" ht="15" thickBot="1" x14ac:dyDescent="0.25">
      <c r="B120" s="55" t="s">
        <v>934</v>
      </c>
      <c r="C120" s="53"/>
      <c r="D120" s="53"/>
      <c r="E120" s="53">
        <f>IF(F3="1",SUMIF(Data!A:A,'29'!$A$2,Data!AM:AM),0)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362</v>
      </c>
      <c r="B2" s="58" t="str">
        <f>VLOOKUP(A2,Data!A:G,7,0)</f>
        <v>North Central Texas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43972</v>
      </c>
      <c r="E5" s="15">
        <f>E36+E67+IFERROR($E$105/$D$105*D5,0)</f>
        <v>354452.14295319357</v>
      </c>
      <c r="F5" s="20">
        <f>IF(OR(D5=0,E5=0),"",ROUND(E5/D5,2))</f>
        <v>8.06</v>
      </c>
    </row>
    <row r="6" spans="1:6" x14ac:dyDescent="0.2">
      <c r="A6" s="19">
        <v>2</v>
      </c>
      <c r="B6" s="143" t="s">
        <v>1</v>
      </c>
      <c r="C6" s="144"/>
      <c r="D6" s="14">
        <f t="shared" ref="D6:D32" si="0">D37</f>
        <v>48390</v>
      </c>
      <c r="E6" s="17">
        <f t="shared" ref="E6:E32" si="1">E37+E68+IFERROR($E$105/$D$105*D6,0)</f>
        <v>319345.96701321378</v>
      </c>
      <c r="F6" s="21">
        <f t="shared" ref="F6:F33" si="2">IF(OR(D6=0,E6=0),"",ROUND(E6/D6,2))</f>
        <v>6.6</v>
      </c>
    </row>
    <row r="7" spans="1:6" ht="14.25" customHeight="1" x14ac:dyDescent="0.2">
      <c r="A7" s="19">
        <v>3</v>
      </c>
      <c r="B7" s="143" t="s">
        <v>2</v>
      </c>
      <c r="C7" s="144"/>
      <c r="D7" s="14">
        <f t="shared" si="0"/>
        <v>120368</v>
      </c>
      <c r="E7" s="17">
        <f t="shared" si="1"/>
        <v>534641.50757277361</v>
      </c>
      <c r="F7" s="21">
        <f t="shared" si="2"/>
        <v>4.4400000000000004</v>
      </c>
    </row>
    <row r="8" spans="1:6" ht="14.25" customHeight="1" x14ac:dyDescent="0.2">
      <c r="A8" s="19">
        <v>4</v>
      </c>
      <c r="B8" s="143" t="s">
        <v>3</v>
      </c>
      <c r="C8" s="144"/>
      <c r="D8" s="14">
        <f t="shared" si="0"/>
        <v>68294</v>
      </c>
      <c r="E8" s="17">
        <f t="shared" si="1"/>
        <v>349977.31108081056</v>
      </c>
      <c r="F8" s="21">
        <f t="shared" si="2"/>
        <v>5.12</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912</v>
      </c>
      <c r="E10" s="17">
        <f t="shared" si="1"/>
        <v>4910.4281445763791</v>
      </c>
      <c r="F10" s="21">
        <f t="shared" si="2"/>
        <v>5.38</v>
      </c>
    </row>
    <row r="11" spans="1:6" x14ac:dyDescent="0.2">
      <c r="A11" s="19">
        <v>7</v>
      </c>
      <c r="B11" s="143" t="s">
        <v>6</v>
      </c>
      <c r="C11" s="144"/>
      <c r="D11" s="14">
        <f t="shared" si="0"/>
        <v>114316</v>
      </c>
      <c r="E11" s="17">
        <f t="shared" si="1"/>
        <v>731124.16642038734</v>
      </c>
      <c r="F11" s="21">
        <f t="shared" si="2"/>
        <v>6.4</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52240</v>
      </c>
      <c r="E13" s="17">
        <f t="shared" si="1"/>
        <v>194120.5244217873</v>
      </c>
      <c r="F13" s="21">
        <f t="shared" si="2"/>
        <v>3.72</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4258</v>
      </c>
      <c r="E15" s="17">
        <f t="shared" si="1"/>
        <v>88274.748946936641</v>
      </c>
      <c r="F15" s="21">
        <f t="shared" si="2"/>
        <v>20.73</v>
      </c>
    </row>
    <row r="16" spans="1:6" ht="14.25" customHeight="1" x14ac:dyDescent="0.2">
      <c r="A16" s="19">
        <v>12</v>
      </c>
      <c r="B16" s="143" t="s">
        <v>11</v>
      </c>
      <c r="C16" s="144"/>
      <c r="D16" s="14">
        <f t="shared" si="0"/>
        <v>236496</v>
      </c>
      <c r="E16" s="17">
        <f t="shared" si="1"/>
        <v>1042331.0246488325</v>
      </c>
      <c r="F16" s="21">
        <f t="shared" si="2"/>
        <v>4.41</v>
      </c>
    </row>
    <row r="17" spans="1:6" x14ac:dyDescent="0.2">
      <c r="A17" s="19">
        <v>13</v>
      </c>
      <c r="B17" s="143" t="s">
        <v>12</v>
      </c>
      <c r="C17" s="144"/>
      <c r="D17" s="14">
        <f t="shared" si="0"/>
        <v>31184</v>
      </c>
      <c r="E17" s="17">
        <f t="shared" si="1"/>
        <v>147523.63953998883</v>
      </c>
      <c r="F17" s="21">
        <f t="shared" si="2"/>
        <v>4.7300000000000004</v>
      </c>
    </row>
    <row r="18" spans="1:6" ht="14.25" customHeight="1" x14ac:dyDescent="0.2">
      <c r="A18" s="19">
        <v>14</v>
      </c>
      <c r="B18" s="143" t="s">
        <v>464</v>
      </c>
      <c r="C18" s="144"/>
      <c r="D18" s="14">
        <f t="shared" si="0"/>
        <v>73056</v>
      </c>
      <c r="E18" s="17">
        <f t="shared" si="1"/>
        <v>485489.29663396045</v>
      </c>
      <c r="F18" s="21">
        <f t="shared" si="2"/>
        <v>6.65</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74626</v>
      </c>
      <c r="E20" s="17">
        <f t="shared" si="1"/>
        <v>644078.78368109302</v>
      </c>
      <c r="F20" s="21">
        <f t="shared" si="2"/>
        <v>8.6300000000000008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119052</v>
      </c>
      <c r="E22" s="17">
        <f t="shared" si="1"/>
        <v>673357.38976766123</v>
      </c>
      <c r="F22" s="21">
        <f t="shared" si="2"/>
        <v>5.66</v>
      </c>
    </row>
    <row r="23" spans="1:6" x14ac:dyDescent="0.2">
      <c r="A23" s="19">
        <v>19</v>
      </c>
      <c r="B23" s="143" t="s">
        <v>17</v>
      </c>
      <c r="C23" s="144"/>
      <c r="D23" s="14">
        <f t="shared" si="0"/>
        <v>166672</v>
      </c>
      <c r="E23" s="17">
        <f t="shared" si="1"/>
        <v>586113.24529916025</v>
      </c>
      <c r="F23" s="21">
        <f t="shared" si="2"/>
        <v>3.52</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8512</v>
      </c>
      <c r="E26" s="17">
        <f t="shared" si="1"/>
        <v>53969.9960160462</v>
      </c>
      <c r="F26" s="21">
        <f t="shared" si="2"/>
        <v>6.34</v>
      </c>
    </row>
    <row r="27" spans="1:6" x14ac:dyDescent="0.2">
      <c r="A27" s="19">
        <v>23</v>
      </c>
      <c r="B27" s="143" t="s">
        <v>20</v>
      </c>
      <c r="C27" s="144"/>
      <c r="D27" s="14">
        <f t="shared" si="0"/>
        <v>54960</v>
      </c>
      <c r="E27" s="17">
        <f t="shared" si="1"/>
        <v>296843.80134420807</v>
      </c>
      <c r="F27" s="21">
        <f t="shared" si="2"/>
        <v>5.4</v>
      </c>
    </row>
    <row r="28" spans="1:6" x14ac:dyDescent="0.2">
      <c r="A28" s="19">
        <v>24</v>
      </c>
      <c r="B28" s="143" t="s">
        <v>21</v>
      </c>
      <c r="C28" s="144"/>
      <c r="D28" s="14">
        <f t="shared" si="0"/>
        <v>27360</v>
      </c>
      <c r="E28" s="17">
        <f t="shared" si="1"/>
        <v>128785.84433729136</v>
      </c>
      <c r="F28" s="21">
        <f t="shared" si="2"/>
        <v>4.71</v>
      </c>
    </row>
    <row r="29" spans="1:6" x14ac:dyDescent="0.2">
      <c r="A29" s="19">
        <v>25</v>
      </c>
      <c r="B29" s="143" t="s">
        <v>22</v>
      </c>
      <c r="C29" s="144"/>
      <c r="D29" s="14">
        <f t="shared" si="0"/>
        <v>299808</v>
      </c>
      <c r="E29" s="17">
        <f t="shared" si="1"/>
        <v>1126672.7468960034</v>
      </c>
      <c r="F29" s="21">
        <f t="shared" si="2"/>
        <v>3.76</v>
      </c>
    </row>
    <row r="30" spans="1:6" x14ac:dyDescent="0.2">
      <c r="A30" s="19">
        <v>26</v>
      </c>
      <c r="B30" s="143" t="s">
        <v>23</v>
      </c>
      <c r="C30" s="144"/>
      <c r="D30" s="14">
        <f t="shared" si="0"/>
        <v>49920</v>
      </c>
      <c r="E30" s="17">
        <f t="shared" si="1"/>
        <v>291589.43528207549</v>
      </c>
      <c r="F30" s="21">
        <f t="shared" si="2"/>
        <v>5.84</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1594396</v>
      </c>
      <c r="E33" s="31">
        <f>SUM(E5:E32)</f>
        <v>8053602</v>
      </c>
      <c r="F33" s="32">
        <f t="shared" si="2"/>
        <v>5.05</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IF(F3="1",SUMIF(Data!A:A,'30'!$A$2,Data!CU:CU),0)</f>
        <v>43972</v>
      </c>
      <c r="E36" s="15">
        <f>IF(F3="1",SUMIF(Data!$A:$A,$A$2,Data!IO:IO),0)</f>
        <v>114227</v>
      </c>
      <c r="F36" s="20">
        <f t="shared" ref="F36:F64" si="3">IF(OR(D36=0,E36=0),"",ROUND(E36/D36,2))</f>
        <v>2.6</v>
      </c>
    </row>
    <row r="37" spans="1:6" x14ac:dyDescent="0.2">
      <c r="A37" s="19">
        <v>2</v>
      </c>
      <c r="B37" s="143" t="s">
        <v>1</v>
      </c>
      <c r="C37" s="144"/>
      <c r="D37" s="14">
        <f>IF(F3="1",SUMIF(Data!A:A,'30'!$A$2,Data!CV:CV),0)</f>
        <v>48390</v>
      </c>
      <c r="E37" s="17">
        <f>IF(F3="1",SUMIF(Data!$A:$A,$A$2,Data!IP:IP),0)</f>
        <v>84884</v>
      </c>
      <c r="F37" s="21">
        <f t="shared" si="3"/>
        <v>1.75</v>
      </c>
    </row>
    <row r="38" spans="1:6" ht="14.25" customHeight="1" x14ac:dyDescent="0.2">
      <c r="A38" s="19">
        <v>3</v>
      </c>
      <c r="B38" s="143" t="s">
        <v>2</v>
      </c>
      <c r="C38" s="144"/>
      <c r="D38" s="14">
        <f>IF(F3="1",SUMIF(Data!A:A,'30'!$A$2,Data!CW:CW),0)</f>
        <v>120368</v>
      </c>
      <c r="E38" s="17">
        <f>IF($F$3="1",SUMIF(Data!$A:$A,$A$2,Data!IQ:IQ),0)</f>
        <v>34436</v>
      </c>
      <c r="F38" s="21">
        <f t="shared" si="3"/>
        <v>0.28999999999999998</v>
      </c>
    </row>
    <row r="39" spans="1:6" ht="14.25" customHeight="1" x14ac:dyDescent="0.2">
      <c r="A39" s="19">
        <v>4</v>
      </c>
      <c r="B39" s="143" t="s">
        <v>3</v>
      </c>
      <c r="C39" s="144"/>
      <c r="D39" s="14">
        <f>IF(F3="1",SUMIF(Data!A:A,'30'!$A$2,Data!CX:CX),0)</f>
        <v>68294</v>
      </c>
      <c r="E39" s="17">
        <f>IF($F$3="1",SUMIF(Data!$A:$A,$A$2,Data!IR:IR),0)</f>
        <v>14854</v>
      </c>
      <c r="F39" s="21">
        <f t="shared" si="3"/>
        <v>0.22</v>
      </c>
    </row>
    <row r="40" spans="1:6" x14ac:dyDescent="0.2">
      <c r="A40" s="19">
        <v>5</v>
      </c>
      <c r="B40" s="143" t="s">
        <v>4</v>
      </c>
      <c r="C40" s="144"/>
      <c r="D40" s="14">
        <f>IF(F3="1",SUMIF(Data!A:A,'30'!$A$2,Data!CY:CY),0)</f>
        <v>0</v>
      </c>
      <c r="E40" s="17">
        <f>IF($F$3="1",SUMIF(Data!$A:$A,$A$2,Data!IS:IS),0)</f>
        <v>0</v>
      </c>
      <c r="F40" s="21" t="str">
        <f t="shared" si="3"/>
        <v/>
      </c>
    </row>
    <row r="41" spans="1:6" x14ac:dyDescent="0.2">
      <c r="A41" s="19">
        <v>6</v>
      </c>
      <c r="B41" s="143" t="s">
        <v>5</v>
      </c>
      <c r="C41" s="144"/>
      <c r="D41" s="14">
        <f>IF(F3="1",SUMIF(Data!A:A,'30'!$A$2,Data!CZ:CZ),0)</f>
        <v>912</v>
      </c>
      <c r="E41" s="17">
        <f>IF($F$3="1",SUMIF(Data!$A:$A,$A$2,Data!IT:IT),0)</f>
        <v>200</v>
      </c>
      <c r="F41" s="21">
        <f t="shared" si="3"/>
        <v>0.22</v>
      </c>
    </row>
    <row r="42" spans="1:6" x14ac:dyDescent="0.2">
      <c r="A42" s="19">
        <v>7</v>
      </c>
      <c r="B42" s="143" t="s">
        <v>6</v>
      </c>
      <c r="C42" s="144"/>
      <c r="D42" s="14">
        <f>IF(F3="1",SUMIF(Data!A:A,'30'!$A$2,Data!DA:DA),0)</f>
        <v>114316</v>
      </c>
      <c r="E42" s="17">
        <f>IF($F$3="1",SUMIF(Data!$A:$A,$A$2,Data!IU:IU),0)</f>
        <v>270298</v>
      </c>
      <c r="F42" s="21">
        <f t="shared" si="3"/>
        <v>2.36</v>
      </c>
    </row>
    <row r="43" spans="1:6" x14ac:dyDescent="0.2">
      <c r="A43" s="19">
        <v>8</v>
      </c>
      <c r="B43" s="143" t="s">
        <v>7</v>
      </c>
      <c r="C43" s="144"/>
      <c r="D43" s="14">
        <f>IF(F3="1",SUMIF(Data!A:A,'30'!$A$2,Data!DB:DB),0)</f>
        <v>0</v>
      </c>
      <c r="E43" s="17">
        <f>IF($F$3="1",SUMIF(Data!$A:$A,$A$2,Data!IV:IV),0)</f>
        <v>0</v>
      </c>
      <c r="F43" s="21" t="str">
        <f t="shared" si="3"/>
        <v/>
      </c>
    </row>
    <row r="44" spans="1:6" x14ac:dyDescent="0.2">
      <c r="A44" s="19">
        <v>9</v>
      </c>
      <c r="B44" s="143" t="s">
        <v>8</v>
      </c>
      <c r="C44" s="144"/>
      <c r="D44" s="14">
        <f>IF(F3="1",SUMIF(Data!A:A,'30'!$A$2,Data!DC:DC),0)</f>
        <v>52240</v>
      </c>
      <c r="E44" s="17">
        <f>IF($F$3="1",SUMIF(Data!$A:$A,$A$2,Data!IW:IW),0)</f>
        <v>18597</v>
      </c>
      <c r="F44" s="21">
        <f t="shared" si="3"/>
        <v>0.36</v>
      </c>
    </row>
    <row r="45" spans="1:6" x14ac:dyDescent="0.2">
      <c r="A45" s="19">
        <v>10</v>
      </c>
      <c r="B45" s="143" t="s">
        <v>9</v>
      </c>
      <c r="C45" s="144"/>
      <c r="D45" s="14">
        <f>IF(F3="1",SUMIF(Data!A:A,'30'!$A$2,Data!DD:DD),0)</f>
        <v>0</v>
      </c>
      <c r="E45" s="17">
        <f>IF($F$3="1",SUMIF(Data!$A:$A,$A$2,Data!IX:IX),0)</f>
        <v>0</v>
      </c>
      <c r="F45" s="21" t="str">
        <f t="shared" si="3"/>
        <v/>
      </c>
    </row>
    <row r="46" spans="1:6" x14ac:dyDescent="0.2">
      <c r="A46" s="19">
        <v>11</v>
      </c>
      <c r="B46" s="143" t="s">
        <v>10</v>
      </c>
      <c r="C46" s="144"/>
      <c r="D46" s="14">
        <f>IF(F3="1",SUMIF(Data!A:A,'30'!$A$2,Data!DE:DE),0)</f>
        <v>4258</v>
      </c>
      <c r="E46" s="17">
        <f>IF($F$3="1",SUMIF(Data!$A:$A,$A$2,Data!IY:IY),0)</f>
        <v>40581</v>
      </c>
      <c r="F46" s="21">
        <f t="shared" si="3"/>
        <v>9.5299999999999994</v>
      </c>
    </row>
    <row r="47" spans="1:6" ht="14.25" customHeight="1" x14ac:dyDescent="0.2">
      <c r="A47" s="19">
        <v>12</v>
      </c>
      <c r="B47" s="143" t="s">
        <v>11</v>
      </c>
      <c r="C47" s="144"/>
      <c r="D47" s="14">
        <f>IF(F3="1",SUMIF(Data!A:A,'30'!$A$2,Data!DF:DF),0)</f>
        <v>236496</v>
      </c>
      <c r="E47" s="17">
        <f>IF($F$3="1",SUMIF(Data!$A:$A,$A$2,Data!IZ:IZ),0)</f>
        <v>34330</v>
      </c>
      <c r="F47" s="21">
        <f t="shared" si="3"/>
        <v>0.15</v>
      </c>
    </row>
    <row r="48" spans="1:6" x14ac:dyDescent="0.2">
      <c r="A48" s="19">
        <v>13</v>
      </c>
      <c r="B48" s="143" t="s">
        <v>12</v>
      </c>
      <c r="C48" s="144"/>
      <c r="D48" s="14">
        <f>IF(F3="1",SUMIF(Data!A:A,'30'!$A$2,Data!DG:DG),0)</f>
        <v>31184</v>
      </c>
      <c r="E48" s="17">
        <f>IF($F$3="1",SUMIF(Data!$A:$A,$A$2,Data!JA:JA),0)</f>
        <v>1733</v>
      </c>
      <c r="F48" s="21">
        <f t="shared" si="3"/>
        <v>0.06</v>
      </c>
    </row>
    <row r="49" spans="1:6" ht="14.25" customHeight="1" x14ac:dyDescent="0.2">
      <c r="A49" s="19">
        <v>14</v>
      </c>
      <c r="B49" s="143" t="s">
        <v>464</v>
      </c>
      <c r="C49" s="144"/>
      <c r="D49" s="14">
        <f>IF(F3="1",SUMIF(Data!A:A,'30'!$A$2,Data!DH:DH),0)</f>
        <v>73056</v>
      </c>
      <c r="E49" s="17">
        <f>IF($F$3="1",SUMIF(Data!$A:$A,$A$2,Data!JB:JB),0)</f>
        <v>28367</v>
      </c>
      <c r="F49" s="21">
        <f t="shared" si="3"/>
        <v>0.39</v>
      </c>
    </row>
    <row r="50" spans="1:6" x14ac:dyDescent="0.2">
      <c r="A50" s="19">
        <v>15</v>
      </c>
      <c r="B50" s="143" t="s">
        <v>13</v>
      </c>
      <c r="C50" s="144"/>
      <c r="D50" s="14">
        <f>IF(F3="1",SUMIF(Data!A:A,'30'!$A$2,Data!DI:DI),0)</f>
        <v>0</v>
      </c>
      <c r="E50" s="17">
        <f>IF($F$3="1",SUMIF(Data!$A:$A,$A$2,Data!JC:JC),0)</f>
        <v>0</v>
      </c>
      <c r="F50" s="21" t="str">
        <f t="shared" si="3"/>
        <v/>
      </c>
    </row>
    <row r="51" spans="1:6" x14ac:dyDescent="0.2">
      <c r="A51" s="19">
        <v>16</v>
      </c>
      <c r="B51" s="143" t="s">
        <v>14</v>
      </c>
      <c r="C51" s="144"/>
      <c r="D51" s="14">
        <f>IF(F3="1",SUMIF(Data!A:A,'30'!$A$2,Data!DJ:DJ),0)</f>
        <v>74626</v>
      </c>
      <c r="E51" s="17">
        <f>IF($F$3="1",SUMIF(Data!$A:$A,$A$2,Data!JD:JD),0)</f>
        <v>134365</v>
      </c>
      <c r="F51" s="21">
        <f t="shared" si="3"/>
        <v>1.8</v>
      </c>
    </row>
    <row r="52" spans="1:6" x14ac:dyDescent="0.2">
      <c r="A52" s="19">
        <v>17</v>
      </c>
      <c r="B52" s="143" t="s">
        <v>15</v>
      </c>
      <c r="C52" s="144"/>
      <c r="D52" s="14">
        <f>IF(F3="1",SUMIF(Data!A:A,'30'!$A$2,Data!DK:DK),0)</f>
        <v>0</v>
      </c>
      <c r="E52" s="17">
        <f>IF($F$3="1",SUMIF(Data!$A:$A,$A$2,Data!JE:JE),0)</f>
        <v>0</v>
      </c>
      <c r="F52" s="21" t="str">
        <f t="shared" si="3"/>
        <v/>
      </c>
    </row>
    <row r="53" spans="1:6" x14ac:dyDescent="0.2">
      <c r="A53" s="19">
        <v>18</v>
      </c>
      <c r="B53" s="143" t="s">
        <v>16</v>
      </c>
      <c r="C53" s="144"/>
      <c r="D53" s="14">
        <f>IF(F3="1",SUMIF(Data!A:A,'30'!$A$2,Data!DL:DL),0)</f>
        <v>119052</v>
      </c>
      <c r="E53" s="17">
        <f>IF($F$3="1",SUMIF(Data!$A:$A,$A$2,Data!JF:JF),0)</f>
        <v>101288</v>
      </c>
      <c r="F53" s="21">
        <f t="shared" si="3"/>
        <v>0.85</v>
      </c>
    </row>
    <row r="54" spans="1:6" x14ac:dyDescent="0.2">
      <c r="A54" s="19">
        <v>19</v>
      </c>
      <c r="B54" s="143" t="s">
        <v>17</v>
      </c>
      <c r="C54" s="144"/>
      <c r="D54" s="14">
        <f>IF(F3="1",SUMIF(Data!A:A,'30'!$A$2,Data!DM:DM),0)</f>
        <v>166672</v>
      </c>
      <c r="E54" s="17">
        <f>IF($F$3="1",SUMIF(Data!$A:$A,$A$2,Data!JG:JG),0)</f>
        <v>18459</v>
      </c>
      <c r="F54" s="21">
        <f t="shared" si="3"/>
        <v>0.11</v>
      </c>
    </row>
    <row r="55" spans="1:6" x14ac:dyDescent="0.2">
      <c r="A55" s="19">
        <v>20</v>
      </c>
      <c r="B55" s="143" t="s">
        <v>18</v>
      </c>
      <c r="C55" s="144"/>
      <c r="D55" s="14">
        <f>IF(F3="1",SUMIF(Data!A:A,'30'!$A$2,Data!DN:DN),0)</f>
        <v>0</v>
      </c>
      <c r="E55" s="17">
        <f>IF($F$3="1",SUMIF(Data!$A:$A,$A$2,Data!JH:JH),0)</f>
        <v>0</v>
      </c>
      <c r="F55" s="21" t="str">
        <f t="shared" si="3"/>
        <v/>
      </c>
    </row>
    <row r="56" spans="1:6" ht="14.25" customHeight="1" x14ac:dyDescent="0.2">
      <c r="A56" s="19">
        <v>21</v>
      </c>
      <c r="B56" s="143" t="s">
        <v>461</v>
      </c>
      <c r="C56" s="144"/>
      <c r="D56" s="14">
        <f>IF(F3="1",SUMIF(Data!A:A,'30'!$A$2,Data!DO:DO),0)</f>
        <v>0</v>
      </c>
      <c r="E56" s="17">
        <f>IF($F$3="1",SUMIF(Data!$A:$A,$A$2,Data!JI:JI),0)</f>
        <v>0</v>
      </c>
      <c r="F56" s="21" t="str">
        <f t="shared" si="3"/>
        <v/>
      </c>
    </row>
    <row r="57" spans="1:6" x14ac:dyDescent="0.2">
      <c r="A57" s="19">
        <v>22</v>
      </c>
      <c r="B57" s="143" t="s">
        <v>19</v>
      </c>
      <c r="C57" s="144"/>
      <c r="D57" s="14">
        <f>IF(F3="1",SUMIF(Data!A:A,'30'!$A$2,Data!DP:DP),0)</f>
        <v>8512</v>
      </c>
      <c r="E57" s="17">
        <f>IF($F$3="1",SUMIF(Data!$A:$A,$A$2,Data!JJ:JJ),0)</f>
        <v>3230</v>
      </c>
      <c r="F57" s="21">
        <f t="shared" si="3"/>
        <v>0.38</v>
      </c>
    </row>
    <row r="58" spans="1:6" x14ac:dyDescent="0.2">
      <c r="A58" s="19">
        <v>23</v>
      </c>
      <c r="B58" s="143" t="s">
        <v>20</v>
      </c>
      <c r="C58" s="144"/>
      <c r="D58" s="14">
        <f>IF(F3="1",SUMIF(Data!A:A,'30'!$A$2,Data!DQ:DQ),0)</f>
        <v>54960</v>
      </c>
      <c r="E58" s="17">
        <f>IF($F$3="1",SUMIF(Data!$A:$A,$A$2,Data!JK:JK),0)</f>
        <v>12935</v>
      </c>
      <c r="F58" s="21">
        <f t="shared" si="3"/>
        <v>0.24</v>
      </c>
    </row>
    <row r="59" spans="1:6" x14ac:dyDescent="0.2">
      <c r="A59" s="19">
        <v>24</v>
      </c>
      <c r="B59" s="143" t="s">
        <v>21</v>
      </c>
      <c r="C59" s="144"/>
      <c r="D59" s="14">
        <f>IF(F3="1",SUMIF(Data!A:A,'30'!$A$2,Data!DR:DR),0)</f>
        <v>27360</v>
      </c>
      <c r="E59" s="17">
        <f>IF($F$3="1",SUMIF(Data!$A:$A,$A$2,Data!JL:JL),0)</f>
        <v>3789</v>
      </c>
      <c r="F59" s="21">
        <f t="shared" si="3"/>
        <v>0.14000000000000001</v>
      </c>
    </row>
    <row r="60" spans="1:6" x14ac:dyDescent="0.2">
      <c r="A60" s="19">
        <v>25</v>
      </c>
      <c r="B60" s="143" t="s">
        <v>22</v>
      </c>
      <c r="C60" s="144"/>
      <c r="D60" s="14">
        <f>IF(F3="1",SUMIF(Data!A:A,'30'!$A$2,Data!DS:DS),0)</f>
        <v>299808</v>
      </c>
      <c r="E60" s="17">
        <f>IF($F$3="1",SUMIF(Data!$A:$A,$A$2,Data!JM:JM),0)</f>
        <v>34139</v>
      </c>
      <c r="F60" s="21">
        <f t="shared" si="3"/>
        <v>0.11</v>
      </c>
    </row>
    <row r="61" spans="1:6" x14ac:dyDescent="0.2">
      <c r="A61" s="19">
        <v>26</v>
      </c>
      <c r="B61" s="143" t="s">
        <v>23</v>
      </c>
      <c r="C61" s="144"/>
      <c r="D61" s="14">
        <f>IF(F3="1",SUMIF(Data!A:A,'30'!$A$2,Data!DT:DT),0)</f>
        <v>49920</v>
      </c>
      <c r="E61" s="17">
        <f>IF($F$3="1",SUMIF(Data!$A:$A,$A$2,Data!JN:JN),0)</f>
        <v>40021</v>
      </c>
      <c r="F61" s="21">
        <f t="shared" si="3"/>
        <v>0.8</v>
      </c>
    </row>
    <row r="62" spans="1:6" x14ac:dyDescent="0.2">
      <c r="A62" s="19">
        <v>28</v>
      </c>
      <c r="B62" s="143" t="s">
        <v>24</v>
      </c>
      <c r="C62" s="144"/>
      <c r="D62" s="14">
        <f>IF(F3="1",SUMIF(Data!A:A,'30'!$A$2,Data!DV:DV),0)</f>
        <v>0</v>
      </c>
      <c r="E62" s="17">
        <f>IF($F$3="1",SUMIF(Data!$A:$A,$A$2,Data!JP:JP),0)</f>
        <v>0</v>
      </c>
      <c r="F62" s="21" t="str">
        <f t="shared" si="3"/>
        <v/>
      </c>
    </row>
    <row r="63" spans="1:6" ht="15.75" customHeight="1" thickBot="1" x14ac:dyDescent="0.25">
      <c r="A63" s="22">
        <v>29</v>
      </c>
      <c r="B63" s="147" t="s">
        <v>25</v>
      </c>
      <c r="C63" s="148"/>
      <c r="D63" s="23">
        <f>IF(F3="1",SUMIF(Data!A:A,'30'!$A$2,Data!DW:DW),0)</f>
        <v>0</v>
      </c>
      <c r="E63" s="24">
        <f>IF($F$3="1",SUMIF(Data!$A:$A,$A$2,Data!JQ:JQ),0)</f>
        <v>0</v>
      </c>
      <c r="F63" s="25" t="str">
        <f t="shared" si="3"/>
        <v/>
      </c>
    </row>
    <row r="64" spans="1:6" x14ac:dyDescent="0.2">
      <c r="B64" s="30" t="s">
        <v>35</v>
      </c>
      <c r="C64" s="30"/>
      <c r="D64" s="59">
        <f>SUM(D36:D63)</f>
        <v>1594396</v>
      </c>
      <c r="E64" s="31">
        <f>SUM(E36:E63)</f>
        <v>990733</v>
      </c>
      <c r="F64" s="32">
        <f t="shared" si="3"/>
        <v>0.62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43972</v>
      </c>
      <c r="E67" s="15">
        <f>IF(F3="1",SUMIF(Data!A:A,'30'!$A$2,Data!DY:DY),0)</f>
        <v>157757</v>
      </c>
      <c r="F67" s="20">
        <f t="shared" ref="F67:F95" si="4">IF(OR(D67=0,E67=0),"",ROUND(E67/D67,2))</f>
        <v>3.59</v>
      </c>
    </row>
    <row r="68" spans="1:6" x14ac:dyDescent="0.2">
      <c r="A68" s="19">
        <v>2</v>
      </c>
      <c r="B68" s="143" t="s">
        <v>1</v>
      </c>
      <c r="C68" s="144"/>
      <c r="D68" s="14">
        <f t="shared" ref="D68:D94" si="5">D37</f>
        <v>48390</v>
      </c>
      <c r="E68" s="17">
        <f>IF(F3="1",SUMIF(Data!A:A,'30'!$A$2,Data!DZ:DZ),0)</f>
        <v>143708</v>
      </c>
      <c r="F68" s="21">
        <f t="shared" si="4"/>
        <v>2.97</v>
      </c>
    </row>
    <row r="69" spans="1:6" ht="14.25" customHeight="1" x14ac:dyDescent="0.2">
      <c r="A69" s="19">
        <v>3</v>
      </c>
      <c r="B69" s="143" t="s">
        <v>2</v>
      </c>
      <c r="C69" s="144"/>
      <c r="D69" s="14">
        <f t="shared" si="5"/>
        <v>120368</v>
      </c>
      <c r="E69" s="17">
        <f>IF(F3="1",SUMIF(Data!A:A,'30'!$A$2,Data!EA:EA),0)</f>
        <v>274459</v>
      </c>
      <c r="F69" s="21">
        <f t="shared" si="4"/>
        <v>2.2799999999999998</v>
      </c>
    </row>
    <row r="70" spans="1:6" ht="14.25" customHeight="1" x14ac:dyDescent="0.2">
      <c r="A70" s="19">
        <v>4</v>
      </c>
      <c r="B70" s="143" t="s">
        <v>3</v>
      </c>
      <c r="C70" s="144"/>
      <c r="D70" s="14">
        <f t="shared" si="5"/>
        <v>68294</v>
      </c>
      <c r="E70" s="17">
        <f>IF(F3="1",SUMIF(Data!A:A,'30'!$A$2,Data!EB:EB),0)</f>
        <v>207040</v>
      </c>
      <c r="F70" s="21">
        <f t="shared" si="4"/>
        <v>3.03</v>
      </c>
    </row>
    <row r="71" spans="1:6" x14ac:dyDescent="0.2">
      <c r="A71" s="19">
        <v>5</v>
      </c>
      <c r="B71" s="143" t="s">
        <v>4</v>
      </c>
      <c r="C71" s="144"/>
      <c r="D71" s="14">
        <f t="shared" si="5"/>
        <v>0</v>
      </c>
      <c r="E71" s="17">
        <f>IF(F3="1",SUMIF(Data!A:A,'30'!$A$2,Data!EC:EC),0)</f>
        <v>0</v>
      </c>
      <c r="F71" s="21" t="str">
        <f t="shared" si="4"/>
        <v/>
      </c>
    </row>
    <row r="72" spans="1:6" x14ac:dyDescent="0.2">
      <c r="A72" s="19">
        <v>6</v>
      </c>
      <c r="B72" s="143" t="s">
        <v>5</v>
      </c>
      <c r="C72" s="144"/>
      <c r="D72" s="14">
        <f t="shared" si="5"/>
        <v>912</v>
      </c>
      <c r="E72" s="17">
        <f>IF(F3="1",SUMIF(Data!A:A,'30'!$A$2,Data!ED:ED),0)</f>
        <v>3000</v>
      </c>
      <c r="F72" s="21">
        <f t="shared" si="4"/>
        <v>3.29</v>
      </c>
    </row>
    <row r="73" spans="1:6" x14ac:dyDescent="0.2">
      <c r="A73" s="19">
        <v>7</v>
      </c>
      <c r="B73" s="143" t="s">
        <v>6</v>
      </c>
      <c r="C73" s="144"/>
      <c r="D73" s="14">
        <f t="shared" si="5"/>
        <v>114316</v>
      </c>
      <c r="E73" s="17">
        <f>IF(F3="1",SUMIF(Data!A:A,'30'!$A$2,Data!EE:EE),0)</f>
        <v>246430</v>
      </c>
      <c r="F73" s="21">
        <f t="shared" si="4"/>
        <v>2.16</v>
      </c>
    </row>
    <row r="74" spans="1:6" x14ac:dyDescent="0.2">
      <c r="A74" s="19">
        <v>8</v>
      </c>
      <c r="B74" s="143" t="s">
        <v>7</v>
      </c>
      <c r="C74" s="144"/>
      <c r="D74" s="14">
        <f t="shared" si="5"/>
        <v>0</v>
      </c>
      <c r="E74" s="17">
        <f>IF(F3="1",SUMIF(Data!A:A,'30'!$A$2,Data!EF:EF),0)</f>
        <v>0</v>
      </c>
      <c r="F74" s="21" t="str">
        <f t="shared" si="4"/>
        <v/>
      </c>
    </row>
    <row r="75" spans="1:6" x14ac:dyDescent="0.2">
      <c r="A75" s="19">
        <v>9</v>
      </c>
      <c r="B75" s="143" t="s">
        <v>8</v>
      </c>
      <c r="C75" s="144"/>
      <c r="D75" s="14">
        <f t="shared" si="5"/>
        <v>52240</v>
      </c>
      <c r="E75" s="17">
        <f>IF(F3="1",SUMIF(Data!A:A,'30'!$A$2,Data!EG:EG),0)</f>
        <v>77549</v>
      </c>
      <c r="F75" s="21">
        <f t="shared" si="4"/>
        <v>1.48</v>
      </c>
    </row>
    <row r="76" spans="1:6" x14ac:dyDescent="0.2">
      <c r="A76" s="19">
        <v>10</v>
      </c>
      <c r="B76" s="143" t="s">
        <v>9</v>
      </c>
      <c r="C76" s="144"/>
      <c r="D76" s="14">
        <f t="shared" si="5"/>
        <v>0</v>
      </c>
      <c r="E76" s="17">
        <f>IF(F3="1",SUMIF(Data!A:A,'30'!$A$2,Data!EH:EH),0)</f>
        <v>0</v>
      </c>
      <c r="F76" s="21" t="str">
        <f t="shared" si="4"/>
        <v/>
      </c>
    </row>
    <row r="77" spans="1:6" x14ac:dyDescent="0.2">
      <c r="A77" s="19">
        <v>11</v>
      </c>
      <c r="B77" s="143" t="s">
        <v>10</v>
      </c>
      <c r="C77" s="144"/>
      <c r="D77" s="14">
        <f t="shared" si="5"/>
        <v>4258</v>
      </c>
      <c r="E77" s="17">
        <f>IF(F3="1",SUMIF(Data!A:A,'30'!$A$2,Data!EI:EI),0)</f>
        <v>39708</v>
      </c>
      <c r="F77" s="21">
        <f t="shared" si="4"/>
        <v>9.33</v>
      </c>
    </row>
    <row r="78" spans="1:6" ht="14.25" customHeight="1" x14ac:dyDescent="0.2">
      <c r="A78" s="19">
        <v>12</v>
      </c>
      <c r="B78" s="143" t="s">
        <v>11</v>
      </c>
      <c r="C78" s="144"/>
      <c r="D78" s="14">
        <f t="shared" si="5"/>
        <v>236496</v>
      </c>
      <c r="E78" s="17">
        <f>IF(F3="1",SUMIF(Data!A:A,'30'!$A$2,Data!EJ:EJ),0)</f>
        <v>564460</v>
      </c>
      <c r="F78" s="21">
        <f t="shared" si="4"/>
        <v>2.39</v>
      </c>
    </row>
    <row r="79" spans="1:6" x14ac:dyDescent="0.2">
      <c r="A79" s="19">
        <v>13</v>
      </c>
      <c r="B79" s="143" t="s">
        <v>12</v>
      </c>
      <c r="C79" s="144"/>
      <c r="D79" s="14">
        <f t="shared" si="5"/>
        <v>31184</v>
      </c>
      <c r="E79" s="17">
        <f>IF(F3="1",SUMIF(Data!A:A,'30'!$A$2,Data!EK:EK),0)</f>
        <v>87306</v>
      </c>
      <c r="F79" s="21">
        <f t="shared" si="4"/>
        <v>2.8</v>
      </c>
    </row>
    <row r="80" spans="1:6" ht="14.25" customHeight="1" x14ac:dyDescent="0.2">
      <c r="A80" s="19">
        <v>14</v>
      </c>
      <c r="B80" s="143" t="s">
        <v>464</v>
      </c>
      <c r="C80" s="144"/>
      <c r="D80" s="14">
        <f t="shared" si="5"/>
        <v>73056</v>
      </c>
      <c r="E80" s="17">
        <f>IF(F3="1",SUMIF(Data!A:A,'30'!$A$2,Data!EL:EL),0)</f>
        <v>320108</v>
      </c>
      <c r="F80" s="21">
        <f t="shared" si="4"/>
        <v>4.38</v>
      </c>
    </row>
    <row r="81" spans="1:6" x14ac:dyDescent="0.2">
      <c r="A81" s="19">
        <v>15</v>
      </c>
      <c r="B81" s="143" t="s">
        <v>13</v>
      </c>
      <c r="C81" s="144"/>
      <c r="D81" s="14">
        <f t="shared" si="5"/>
        <v>0</v>
      </c>
      <c r="E81" s="17">
        <f>IF(F3="1",SUMIF(Data!A:A,'30'!$A$2,Data!EM:EM),0)</f>
        <v>0</v>
      </c>
      <c r="F81" s="21" t="str">
        <f t="shared" si="4"/>
        <v/>
      </c>
    </row>
    <row r="82" spans="1:6" x14ac:dyDescent="0.2">
      <c r="A82" s="19">
        <v>16</v>
      </c>
      <c r="B82" s="143" t="s">
        <v>14</v>
      </c>
      <c r="C82" s="144"/>
      <c r="D82" s="14">
        <f t="shared" si="5"/>
        <v>74626</v>
      </c>
      <c r="E82" s="17">
        <f>IF(F3="1",SUMIF(Data!A:A,'30'!$A$2,Data!EN:EN),0)</f>
        <v>369755</v>
      </c>
      <c r="F82" s="21">
        <f t="shared" si="4"/>
        <v>4.95</v>
      </c>
    </row>
    <row r="83" spans="1:6" x14ac:dyDescent="0.2">
      <c r="A83" s="19">
        <v>17</v>
      </c>
      <c r="B83" s="143" t="s">
        <v>15</v>
      </c>
      <c r="C83" s="144"/>
      <c r="D83" s="14">
        <f t="shared" si="5"/>
        <v>0</v>
      </c>
      <c r="E83" s="17">
        <f>IF(F3="1",SUMIF(Data!A:A,'30'!$A$2,Data!EO:EO),0)</f>
        <v>0</v>
      </c>
      <c r="F83" s="21" t="str">
        <f t="shared" si="4"/>
        <v/>
      </c>
    </row>
    <row r="84" spans="1:6" x14ac:dyDescent="0.2">
      <c r="A84" s="19">
        <v>18</v>
      </c>
      <c r="B84" s="143" t="s">
        <v>16</v>
      </c>
      <c r="C84" s="144"/>
      <c r="D84" s="14">
        <f t="shared" si="5"/>
        <v>119052</v>
      </c>
      <c r="E84" s="17">
        <f>IF(F3="1",SUMIF(Data!A:A,'30'!$A$2,Data!EP:EP),0)</f>
        <v>348791</v>
      </c>
      <c r="F84" s="21">
        <f t="shared" si="4"/>
        <v>2.93</v>
      </c>
    </row>
    <row r="85" spans="1:6" x14ac:dyDescent="0.2">
      <c r="A85" s="19">
        <v>19</v>
      </c>
      <c r="B85" s="143" t="s">
        <v>17</v>
      </c>
      <c r="C85" s="144"/>
      <c r="D85" s="14">
        <f t="shared" si="5"/>
        <v>166672</v>
      </c>
      <c r="E85" s="17">
        <f>IF(F3="1",SUMIF(Data!A:A,'30'!$A$2,Data!EQ:EQ),0)</f>
        <v>255066</v>
      </c>
      <c r="F85" s="21">
        <f t="shared" si="4"/>
        <v>1.53</v>
      </c>
    </row>
    <row r="86" spans="1:6" x14ac:dyDescent="0.2">
      <c r="A86" s="19">
        <v>20</v>
      </c>
      <c r="B86" s="143" t="s">
        <v>18</v>
      </c>
      <c r="C86" s="144"/>
      <c r="D86" s="14">
        <f t="shared" si="5"/>
        <v>0</v>
      </c>
      <c r="E86" s="17">
        <f>IF(F3="1",SUMIF(Data!A:A,'30'!$A$2,Data!ER:ER),0)</f>
        <v>0</v>
      </c>
      <c r="F86" s="21" t="str">
        <f t="shared" si="4"/>
        <v/>
      </c>
    </row>
    <row r="87" spans="1:6" ht="14.25" customHeight="1" x14ac:dyDescent="0.2">
      <c r="A87" s="19">
        <v>21</v>
      </c>
      <c r="B87" s="143" t="s">
        <v>461</v>
      </c>
      <c r="C87" s="144"/>
      <c r="D87" s="14">
        <f t="shared" si="5"/>
        <v>0</v>
      </c>
      <c r="E87" s="17">
        <f>IF(F3="1",SUMIF(Data!A:A,'30'!$A$2,Data!ES:ES),0)</f>
        <v>0</v>
      </c>
      <c r="F87" s="21" t="str">
        <f t="shared" si="4"/>
        <v/>
      </c>
    </row>
    <row r="88" spans="1:6" x14ac:dyDescent="0.2">
      <c r="A88" s="19">
        <v>22</v>
      </c>
      <c r="B88" s="143" t="s">
        <v>19</v>
      </c>
      <c r="C88" s="144"/>
      <c r="D88" s="14">
        <f t="shared" si="5"/>
        <v>8512</v>
      </c>
      <c r="E88" s="17">
        <f>IF(F3="1",SUMIF(Data!A:A,'30'!$A$2,Data!ET:ET),0)</f>
        <v>34776</v>
      </c>
      <c r="F88" s="21">
        <f t="shared" si="4"/>
        <v>4.09</v>
      </c>
    </row>
    <row r="89" spans="1:6" x14ac:dyDescent="0.2">
      <c r="A89" s="19">
        <v>23</v>
      </c>
      <c r="B89" s="143" t="s">
        <v>20</v>
      </c>
      <c r="C89" s="144"/>
      <c r="D89" s="14">
        <f t="shared" si="5"/>
        <v>54960</v>
      </c>
      <c r="E89" s="17">
        <f>IF(F3="1",SUMIF(Data!A:A,'30'!$A$2,Data!EU:EU),0)</f>
        <v>180833</v>
      </c>
      <c r="F89" s="21">
        <f t="shared" si="4"/>
        <v>3.29</v>
      </c>
    </row>
    <row r="90" spans="1:6" x14ac:dyDescent="0.2">
      <c r="A90" s="19">
        <v>24</v>
      </c>
      <c r="B90" s="143" t="s">
        <v>21</v>
      </c>
      <c r="C90" s="144"/>
      <c r="D90" s="14">
        <f t="shared" si="5"/>
        <v>27360</v>
      </c>
      <c r="E90" s="17">
        <f>IF(F3="1",SUMIF(Data!A:A,'30'!$A$2,Data!EV:EV),0)</f>
        <v>73684</v>
      </c>
      <c r="F90" s="21">
        <f t="shared" si="4"/>
        <v>2.69</v>
      </c>
    </row>
    <row r="91" spans="1:6" x14ac:dyDescent="0.2">
      <c r="A91" s="19">
        <v>25</v>
      </c>
      <c r="B91" s="143" t="s">
        <v>22</v>
      </c>
      <c r="C91" s="144"/>
      <c r="D91" s="14">
        <f t="shared" si="5"/>
        <v>299808</v>
      </c>
      <c r="E91" s="17">
        <f>IF(F3="1",SUMIF(Data!A:A,'30'!$A$2,Data!EW:EW),0)</f>
        <v>530253</v>
      </c>
      <c r="F91" s="21">
        <f t="shared" si="4"/>
        <v>1.77</v>
      </c>
    </row>
    <row r="92" spans="1:6" x14ac:dyDescent="0.2">
      <c r="A92" s="19">
        <v>26</v>
      </c>
      <c r="B92" s="143" t="s">
        <v>23</v>
      </c>
      <c r="C92" s="144"/>
      <c r="D92" s="14">
        <f t="shared" si="5"/>
        <v>49920</v>
      </c>
      <c r="E92" s="17">
        <f>IF(F3="1",SUMIF(Data!A:A,'30'!$A$2,Data!EX:EX),0)</f>
        <v>157945</v>
      </c>
      <c r="F92" s="21">
        <f t="shared" si="4"/>
        <v>3.16</v>
      </c>
    </row>
    <row r="93" spans="1:6" x14ac:dyDescent="0.2">
      <c r="A93" s="19">
        <v>28</v>
      </c>
      <c r="B93" s="143" t="s">
        <v>24</v>
      </c>
      <c r="C93" s="144"/>
      <c r="D93" s="14">
        <f t="shared" si="5"/>
        <v>0</v>
      </c>
      <c r="E93" s="17">
        <f>IF(F3="1",SUMIF(Data!A:A,'30'!$A$2,Data!EZ:EZ),0)</f>
        <v>0</v>
      </c>
      <c r="F93" s="21" t="str">
        <f t="shared" si="4"/>
        <v/>
      </c>
    </row>
    <row r="94" spans="1:6" ht="15.75" customHeight="1" thickBot="1" x14ac:dyDescent="0.25">
      <c r="A94" s="22">
        <v>29</v>
      </c>
      <c r="B94" s="147" t="s">
        <v>25</v>
      </c>
      <c r="C94" s="148"/>
      <c r="D94" s="23">
        <f t="shared" si="5"/>
        <v>0</v>
      </c>
      <c r="E94" s="24">
        <f>IF(F3="1",SUMIF(Data!A:A,'30'!$A$2,Data!FA:FA),0)</f>
        <v>0</v>
      </c>
      <c r="F94" s="25" t="str">
        <f t="shared" si="4"/>
        <v/>
      </c>
    </row>
    <row r="95" spans="1:6" x14ac:dyDescent="0.2">
      <c r="B95" s="30" t="s">
        <v>35</v>
      </c>
      <c r="C95" s="30"/>
      <c r="D95" s="59">
        <f>SUM(D67:D94)</f>
        <v>1594396</v>
      </c>
      <c r="E95" s="31">
        <f>SUM(E67:E94)</f>
        <v>4072628</v>
      </c>
      <c r="F95" s="32">
        <f t="shared" si="4"/>
        <v>2.5499999999999998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IF(F3="1",SUMIF(Data!A:A,'30'!$A$2,Data!AH:AH),0)</f>
        <v>1262615</v>
      </c>
      <c r="F98" s="20">
        <f>IF(OR(E98=0,E98=0),"",ROUND(E98/$D$105,2))</f>
        <v>0.79</v>
      </c>
    </row>
    <row r="99" spans="2:6" x14ac:dyDescent="0.2">
      <c r="B99" s="153" t="s">
        <v>31</v>
      </c>
      <c r="C99" s="154"/>
      <c r="D99" s="36"/>
      <c r="E99" s="17">
        <f>IF(F3="1",SUMIF(Data!A:A,'30'!$A$2,Data!AI:AI),0)</f>
        <v>547416</v>
      </c>
      <c r="F99" s="21">
        <f t="shared" ref="F99:F104" si="6">IF(OR(E99=0,E99=0),"",ROUND(E99/$D$105,2))</f>
        <v>0.34</v>
      </c>
    </row>
    <row r="100" spans="2:6" x14ac:dyDescent="0.2">
      <c r="B100" s="153" t="s">
        <v>1078</v>
      </c>
      <c r="C100" s="154"/>
      <c r="D100" s="36"/>
      <c r="E100" s="17">
        <f>IF(F3="1",SUMIF(Data!A:A,'30'!$A$2,Data!AJ:AJ),0)</f>
        <v>215410</v>
      </c>
      <c r="F100" s="21">
        <f t="shared" si="6"/>
        <v>0.14000000000000001</v>
      </c>
    </row>
    <row r="101" spans="2:6" x14ac:dyDescent="0.2">
      <c r="B101" s="153" t="s">
        <v>1079</v>
      </c>
      <c r="C101" s="154"/>
      <c r="D101" s="36"/>
      <c r="E101" s="17">
        <f>IF(F3="1",SUMIF(Data!A:A,'30'!$A$2,Data!AK:AK),0)</f>
        <v>615566</v>
      </c>
      <c r="F101" s="21">
        <f t="shared" si="6"/>
        <v>0.39</v>
      </c>
    </row>
    <row r="102" spans="2:6" x14ac:dyDescent="0.2">
      <c r="B102" s="153" t="s">
        <v>1080</v>
      </c>
      <c r="C102" s="154"/>
      <c r="D102" s="36"/>
      <c r="E102" s="17">
        <f>IF(F3="1",SUMIF(Data!A:A,'30'!$A$2,Data!AL:AL),0)</f>
        <v>0</v>
      </c>
      <c r="F102" s="21" t="str">
        <f t="shared" si="6"/>
        <v/>
      </c>
    </row>
    <row r="103" spans="2:6" x14ac:dyDescent="0.2">
      <c r="B103" s="155" t="s">
        <v>34</v>
      </c>
      <c r="C103" s="156"/>
      <c r="D103" s="36"/>
      <c r="E103" s="17">
        <f>IF(F3="1",SUMIF(Data!A:A,'30'!$A$2,Data!AM:AM),0)</f>
        <v>0</v>
      </c>
      <c r="F103" s="21" t="str">
        <f t="shared" si="6"/>
        <v/>
      </c>
    </row>
    <row r="104" spans="2:6" ht="15.75" customHeight="1" thickBot="1" x14ac:dyDescent="0.25">
      <c r="B104" s="149" t="s">
        <v>29</v>
      </c>
      <c r="C104" s="150"/>
      <c r="D104" s="37"/>
      <c r="E104" s="24">
        <f>IF(F3="1",SUMIF(Data!A:A,'30'!$A$2,Data!Q:Q),0)</f>
        <v>349234</v>
      </c>
      <c r="F104" s="25">
        <f t="shared" si="6"/>
        <v>0.22</v>
      </c>
    </row>
    <row r="105" spans="2:6" x14ac:dyDescent="0.2">
      <c r="B105" s="30" t="s">
        <v>35</v>
      </c>
      <c r="C105" s="30"/>
      <c r="D105" s="34">
        <f>D95</f>
        <v>1594396</v>
      </c>
      <c r="E105" s="31">
        <f>SUM(E98:E104)</f>
        <v>2990241</v>
      </c>
      <c r="F105" s="32">
        <f>IF($D$105=0,"",ROUND(E105/$D$105,2))</f>
        <v>1.88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4072628</v>
      </c>
      <c r="D109" s="15">
        <f>IF(F3="1",SUMIF(Data!$A:$A,$A$2,Data!HJ:HJ),0)</f>
        <v>0</v>
      </c>
      <c r="E109" s="15">
        <f>IF(F3="1",SUMIF(Data!$A:$A,$A$2,Data!IN:IN),0)</f>
        <v>0</v>
      </c>
      <c r="F109" s="47">
        <f>SUM(C109:E109)</f>
        <v>4072628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349234</v>
      </c>
      <c r="E117" s="52"/>
      <c r="F117" s="49">
        <f>SUM(C117:E117)</f>
        <v>349234</v>
      </c>
    </row>
    <row r="118" spans="1:6" x14ac:dyDescent="0.2">
      <c r="B118" s="13" t="s">
        <v>35</v>
      </c>
      <c r="C118" s="4">
        <f>SUM(C109:C116)</f>
        <v>4072628</v>
      </c>
      <c r="D118" s="4">
        <f>SUM(D109:D116)</f>
        <v>0</v>
      </c>
      <c r="E118" s="4">
        <f>SUM(E109:E116)</f>
        <v>0</v>
      </c>
      <c r="F118" s="4">
        <f>SUM(F109:F116)</f>
        <v>4072628</v>
      </c>
    </row>
    <row r="119" spans="1:6" ht="15" thickBot="1" x14ac:dyDescent="0.25"/>
    <row r="120" spans="1:6" ht="15" thickBot="1" x14ac:dyDescent="0.25">
      <c r="B120" s="55" t="s">
        <v>934</v>
      </c>
      <c r="C120" s="53"/>
      <c r="D120" s="53"/>
      <c r="E120" s="53">
        <f>IF(F3="1",SUMIF(Data!A:A,'30'!$A$2,Data!AM:AM),0)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446</v>
      </c>
      <c r="B2" s="58" t="str">
        <f>VLOOKUP(A2,Data!A:G,7,0)</f>
        <v>Northeast Texas Community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14432</v>
      </c>
      <c r="E5" s="15">
        <f>E36+E67+IFERROR($E$105/$D$105*D5,0)</f>
        <v>95580.197675249772</v>
      </c>
      <c r="F5" s="20">
        <f>IF(OR(D5=0,E5=0),"",ROUND(E5/D5,2))</f>
        <v>6.62</v>
      </c>
    </row>
    <row r="6" spans="1:6" x14ac:dyDescent="0.2">
      <c r="A6" s="19">
        <v>2</v>
      </c>
      <c r="B6" s="143" t="s">
        <v>1</v>
      </c>
      <c r="C6" s="144"/>
      <c r="D6" s="14">
        <f t="shared" ref="D6:D32" si="0">D37</f>
        <v>22128</v>
      </c>
      <c r="E6" s="17">
        <f t="shared" ref="E6:E32" si="1">E37+E68+IFERROR($E$105/$D$105*D6,0)</f>
        <v>134407.4605153774</v>
      </c>
      <c r="F6" s="21">
        <f t="shared" ref="F6:F33" si="2">IF(OR(D6=0,E6=0),"",ROUND(E6/D6,2))</f>
        <v>6.07</v>
      </c>
    </row>
    <row r="7" spans="1:6" ht="14.25" customHeight="1" x14ac:dyDescent="0.2">
      <c r="A7" s="19">
        <v>3</v>
      </c>
      <c r="B7" s="143" t="s">
        <v>2</v>
      </c>
      <c r="C7" s="144"/>
      <c r="D7" s="14">
        <f t="shared" si="0"/>
        <v>129296</v>
      </c>
      <c r="E7" s="17">
        <f t="shared" si="1"/>
        <v>833400.14347416116</v>
      </c>
      <c r="F7" s="21">
        <f t="shared" si="2"/>
        <v>6.45</v>
      </c>
    </row>
    <row r="8" spans="1:6" ht="14.25" customHeight="1" x14ac:dyDescent="0.2">
      <c r="A8" s="19">
        <v>4</v>
      </c>
      <c r="B8" s="143" t="s">
        <v>3</v>
      </c>
      <c r="C8" s="144"/>
      <c r="D8" s="14">
        <f t="shared" si="0"/>
        <v>48119</v>
      </c>
      <c r="E8" s="17">
        <f t="shared" si="1"/>
        <v>339996.90132589685</v>
      </c>
      <c r="F8" s="21">
        <f t="shared" si="2"/>
        <v>7.07</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4144</v>
      </c>
      <c r="E10" s="17">
        <f t="shared" si="1"/>
        <v>40806.449221607196</v>
      </c>
      <c r="F10" s="21">
        <f t="shared" si="2"/>
        <v>9.85</v>
      </c>
    </row>
    <row r="11" spans="1:6" x14ac:dyDescent="0.2">
      <c r="A11" s="19">
        <v>7</v>
      </c>
      <c r="B11" s="143" t="s">
        <v>6</v>
      </c>
      <c r="C11" s="144"/>
      <c r="D11" s="14">
        <f t="shared" si="0"/>
        <v>70836</v>
      </c>
      <c r="E11" s="17">
        <f t="shared" si="1"/>
        <v>437588.12766934535</v>
      </c>
      <c r="F11" s="21">
        <f t="shared" si="2"/>
        <v>6.18</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26592</v>
      </c>
      <c r="E13" s="17">
        <f t="shared" si="1"/>
        <v>132197.68573865312</v>
      </c>
      <c r="F13" s="21">
        <f t="shared" si="2"/>
        <v>4.97</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165392</v>
      </c>
      <c r="E16" s="17">
        <f t="shared" si="1"/>
        <v>840532.27646236902</v>
      </c>
      <c r="F16" s="21">
        <f t="shared" si="2"/>
        <v>5.08</v>
      </c>
    </row>
    <row r="17" spans="1:6" x14ac:dyDescent="0.2">
      <c r="A17" s="19">
        <v>13</v>
      </c>
      <c r="B17" s="143" t="s">
        <v>12</v>
      </c>
      <c r="C17" s="144"/>
      <c r="D17" s="14">
        <f t="shared" si="0"/>
        <v>8864</v>
      </c>
      <c r="E17" s="17">
        <f t="shared" si="1"/>
        <v>72960.895246217697</v>
      </c>
      <c r="F17" s="21">
        <f t="shared" si="2"/>
        <v>8.23</v>
      </c>
    </row>
    <row r="18" spans="1:6" ht="14.25" customHeight="1" x14ac:dyDescent="0.2">
      <c r="A18" s="19">
        <v>14</v>
      </c>
      <c r="B18" s="143" t="s">
        <v>464</v>
      </c>
      <c r="C18" s="144"/>
      <c r="D18" s="14">
        <f t="shared" si="0"/>
        <v>26176</v>
      </c>
      <c r="E18" s="17">
        <f t="shared" si="1"/>
        <v>280475.07693648408</v>
      </c>
      <c r="F18" s="21">
        <f t="shared" si="2"/>
        <v>10.71</v>
      </c>
    </row>
    <row r="19" spans="1:6" x14ac:dyDescent="0.2">
      <c r="A19" s="19">
        <v>15</v>
      </c>
      <c r="B19" s="143" t="s">
        <v>13</v>
      </c>
      <c r="C19" s="144"/>
      <c r="D19" s="14">
        <f t="shared" si="0"/>
        <v>1056</v>
      </c>
      <c r="E19" s="17">
        <f t="shared" si="1"/>
        <v>12774.160805506081</v>
      </c>
      <c r="F19" s="21">
        <f t="shared" si="2"/>
        <v>12.1</v>
      </c>
    </row>
    <row r="20" spans="1:6" x14ac:dyDescent="0.2">
      <c r="A20" s="19">
        <v>16</v>
      </c>
      <c r="B20" s="143" t="s">
        <v>14</v>
      </c>
      <c r="C20" s="144"/>
      <c r="D20" s="14">
        <f t="shared" si="0"/>
        <v>12661</v>
      </c>
      <c r="E20" s="17">
        <f t="shared" si="1"/>
        <v>132153.7404910156</v>
      </c>
      <c r="F20" s="21">
        <f t="shared" si="2"/>
        <v>10.44</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77776</v>
      </c>
      <c r="E22" s="17">
        <f t="shared" si="1"/>
        <v>397731.20720553119</v>
      </c>
      <c r="F22" s="21">
        <f t="shared" si="2"/>
        <v>5.1100000000000003</v>
      </c>
    </row>
    <row r="23" spans="1:6" x14ac:dyDescent="0.2">
      <c r="A23" s="19">
        <v>19</v>
      </c>
      <c r="B23" s="143" t="s">
        <v>17</v>
      </c>
      <c r="C23" s="144"/>
      <c r="D23" s="14">
        <f t="shared" si="0"/>
        <v>68800</v>
      </c>
      <c r="E23" s="17">
        <f t="shared" si="1"/>
        <v>429283.84035872947</v>
      </c>
      <c r="F23" s="21">
        <f t="shared" si="2"/>
        <v>6.24</v>
      </c>
    </row>
    <row r="24" spans="1:6" x14ac:dyDescent="0.2">
      <c r="A24" s="19">
        <v>20</v>
      </c>
      <c r="B24" s="143" t="s">
        <v>18</v>
      </c>
      <c r="C24" s="144"/>
      <c r="D24" s="14">
        <f t="shared" si="0"/>
        <v>21040</v>
      </c>
      <c r="E24" s="17">
        <f t="shared" si="1"/>
        <v>230959.02210970447</v>
      </c>
      <c r="F24" s="21">
        <f t="shared" si="2"/>
        <v>10.98</v>
      </c>
    </row>
    <row r="25" spans="1:6" ht="14.25" customHeight="1" x14ac:dyDescent="0.2">
      <c r="A25" s="19">
        <v>21</v>
      </c>
      <c r="B25" s="143" t="s">
        <v>461</v>
      </c>
      <c r="C25" s="144"/>
      <c r="D25" s="14">
        <f t="shared" si="0"/>
        <v>38595</v>
      </c>
      <c r="E25" s="17">
        <f t="shared" si="1"/>
        <v>239539.65557623783</v>
      </c>
      <c r="F25" s="21">
        <f t="shared" si="2"/>
        <v>6.21</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38864</v>
      </c>
      <c r="E27" s="17">
        <f t="shared" si="1"/>
        <v>227390.64540264045</v>
      </c>
      <c r="F27" s="21">
        <f t="shared" si="2"/>
        <v>5.85</v>
      </c>
    </row>
    <row r="28" spans="1:6" x14ac:dyDescent="0.2">
      <c r="A28" s="19">
        <v>24</v>
      </c>
      <c r="B28" s="143" t="s">
        <v>21</v>
      </c>
      <c r="C28" s="144"/>
      <c r="D28" s="14">
        <f t="shared" si="0"/>
        <v>55316</v>
      </c>
      <c r="E28" s="17">
        <f t="shared" si="1"/>
        <v>349028.49158842268</v>
      </c>
      <c r="F28" s="21">
        <f t="shared" si="2"/>
        <v>6.31</v>
      </c>
    </row>
    <row r="29" spans="1:6" x14ac:dyDescent="0.2">
      <c r="A29" s="19">
        <v>25</v>
      </c>
      <c r="B29" s="143" t="s">
        <v>22</v>
      </c>
      <c r="C29" s="144"/>
      <c r="D29" s="14">
        <f t="shared" si="0"/>
        <v>156624</v>
      </c>
      <c r="E29" s="17">
        <f t="shared" si="1"/>
        <v>850361.21401665173</v>
      </c>
      <c r="F29" s="21">
        <f t="shared" si="2"/>
        <v>5.43</v>
      </c>
    </row>
    <row r="30" spans="1:6" x14ac:dyDescent="0.2">
      <c r="A30" s="19">
        <v>26</v>
      </c>
      <c r="B30" s="143" t="s">
        <v>23</v>
      </c>
      <c r="C30" s="144"/>
      <c r="D30" s="14">
        <f t="shared" si="0"/>
        <v>34560</v>
      </c>
      <c r="E30" s="17">
        <f t="shared" si="1"/>
        <v>320396.808180199</v>
      </c>
      <c r="F30" s="21">
        <f t="shared" si="2"/>
        <v>9.27</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1021271</v>
      </c>
      <c r="E33" s="31">
        <f>SUM(E5:E32)</f>
        <v>6397563.9999999991</v>
      </c>
      <c r="F33" s="32">
        <f t="shared" si="2"/>
        <v>6.26</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IF(F3="1",SUMIF(Data!A:A,'31'!$A$2,Data!CU:CU),0)</f>
        <v>14432</v>
      </c>
      <c r="E36" s="15">
        <f>IF(F3="1",SUMIF(Data!$A:$A,$A$2,Data!IO:IO),0)</f>
        <v>5269</v>
      </c>
      <c r="F36" s="20">
        <f t="shared" ref="F36:F64" si="3">IF(OR(D36=0,E36=0),"",ROUND(E36/D36,2))</f>
        <v>0.37</v>
      </c>
    </row>
    <row r="37" spans="1:6" x14ac:dyDescent="0.2">
      <c r="A37" s="19">
        <v>2</v>
      </c>
      <c r="B37" s="143" t="s">
        <v>1</v>
      </c>
      <c r="C37" s="144"/>
      <c r="D37" s="14">
        <f>IF(F3="1",SUMIF(Data!A:A,'31'!$A$2,Data!CV:CV),0)</f>
        <v>22128</v>
      </c>
      <c r="E37" s="17">
        <f>IF(F3="1",SUMIF(Data!$A:$A,$A$2,Data!IP:IP),0)</f>
        <v>39698</v>
      </c>
      <c r="F37" s="21">
        <f t="shared" si="3"/>
        <v>1.79</v>
      </c>
    </row>
    <row r="38" spans="1:6" ht="14.25" customHeight="1" x14ac:dyDescent="0.2">
      <c r="A38" s="19">
        <v>3</v>
      </c>
      <c r="B38" s="143" t="s">
        <v>2</v>
      </c>
      <c r="C38" s="144"/>
      <c r="D38" s="14">
        <f>IF(F3="1",SUMIF(Data!A:A,'31'!$A$2,Data!CW:CW),0)</f>
        <v>129296</v>
      </c>
      <c r="E38" s="17">
        <f>IF($F$3="1",SUMIF(Data!$A:$A,$A$2,Data!IQ:IQ),0)</f>
        <v>93851</v>
      </c>
      <c r="F38" s="21">
        <f t="shared" si="3"/>
        <v>0.73</v>
      </c>
    </row>
    <row r="39" spans="1:6" ht="14.25" customHeight="1" x14ac:dyDescent="0.2">
      <c r="A39" s="19">
        <v>4</v>
      </c>
      <c r="B39" s="143" t="s">
        <v>3</v>
      </c>
      <c r="C39" s="144"/>
      <c r="D39" s="14">
        <f>IF(F3="1",SUMIF(Data!A:A,'31'!$A$2,Data!CX:CX),0)</f>
        <v>48119</v>
      </c>
      <c r="E39" s="17">
        <f>IF($F$3="1",SUMIF(Data!$A:$A,$A$2,Data!IR:IR),0)</f>
        <v>9797</v>
      </c>
      <c r="F39" s="21">
        <f t="shared" si="3"/>
        <v>0.2</v>
      </c>
    </row>
    <row r="40" spans="1:6" x14ac:dyDescent="0.2">
      <c r="A40" s="19">
        <v>5</v>
      </c>
      <c r="B40" s="143" t="s">
        <v>4</v>
      </c>
      <c r="C40" s="144"/>
      <c r="D40" s="14">
        <f>IF(F3="1",SUMIF(Data!A:A,'31'!$A$2,Data!CY:CY),0)</f>
        <v>0</v>
      </c>
      <c r="E40" s="17">
        <f>IF($F$3="1",SUMIF(Data!$A:$A,$A$2,Data!IS:IS),0)</f>
        <v>0</v>
      </c>
      <c r="F40" s="21" t="str">
        <f t="shared" si="3"/>
        <v/>
      </c>
    </row>
    <row r="41" spans="1:6" x14ac:dyDescent="0.2">
      <c r="A41" s="19">
        <v>6</v>
      </c>
      <c r="B41" s="143" t="s">
        <v>5</v>
      </c>
      <c r="C41" s="144"/>
      <c r="D41" s="14">
        <f>IF(F3="1",SUMIF(Data!A:A,'31'!$A$2,Data!CZ:CZ),0)</f>
        <v>4144</v>
      </c>
      <c r="E41" s="17">
        <f>IF($F$3="1",SUMIF(Data!$A:$A,$A$2,Data!IT:IT),0)</f>
        <v>240</v>
      </c>
      <c r="F41" s="21">
        <f t="shared" si="3"/>
        <v>0.06</v>
      </c>
    </row>
    <row r="42" spans="1:6" x14ac:dyDescent="0.2">
      <c r="A42" s="19">
        <v>7</v>
      </c>
      <c r="B42" s="143" t="s">
        <v>6</v>
      </c>
      <c r="C42" s="144"/>
      <c r="D42" s="14">
        <f>IF(F3="1",SUMIF(Data!A:A,'31'!$A$2,Data!DA:DA),0)</f>
        <v>70836</v>
      </c>
      <c r="E42" s="17">
        <f>IF($F$3="1",SUMIF(Data!$A:$A,$A$2,Data!IU:IU),0)</f>
        <v>32768</v>
      </c>
      <c r="F42" s="21">
        <f t="shared" si="3"/>
        <v>0.46</v>
      </c>
    </row>
    <row r="43" spans="1:6" x14ac:dyDescent="0.2">
      <c r="A43" s="19">
        <v>8</v>
      </c>
      <c r="B43" s="143" t="s">
        <v>7</v>
      </c>
      <c r="C43" s="144"/>
      <c r="D43" s="14">
        <f>IF(F3="1",SUMIF(Data!A:A,'31'!$A$2,Data!DB:DB),0)</f>
        <v>0</v>
      </c>
      <c r="E43" s="17">
        <f>IF($F$3="1",SUMIF(Data!$A:$A,$A$2,Data!IV:IV),0)</f>
        <v>0</v>
      </c>
      <c r="F43" s="21" t="str">
        <f t="shared" si="3"/>
        <v/>
      </c>
    </row>
    <row r="44" spans="1:6" x14ac:dyDescent="0.2">
      <c r="A44" s="19">
        <v>9</v>
      </c>
      <c r="B44" s="143" t="s">
        <v>8</v>
      </c>
      <c r="C44" s="144"/>
      <c r="D44" s="14">
        <f>IF(F3="1",SUMIF(Data!A:A,'31'!$A$2,Data!DC:DC),0)</f>
        <v>26592</v>
      </c>
      <c r="E44" s="17">
        <f>IF($F$3="1",SUMIF(Data!$A:$A,$A$2,Data!IW:IW),0)</f>
        <v>6644</v>
      </c>
      <c r="F44" s="21">
        <f t="shared" si="3"/>
        <v>0.25</v>
      </c>
    </row>
    <row r="45" spans="1:6" x14ac:dyDescent="0.2">
      <c r="A45" s="19">
        <v>10</v>
      </c>
      <c r="B45" s="143" t="s">
        <v>9</v>
      </c>
      <c r="C45" s="144"/>
      <c r="D45" s="14">
        <f>IF(F3="1",SUMIF(Data!A:A,'31'!$A$2,Data!DD:DD),0)</f>
        <v>0</v>
      </c>
      <c r="E45" s="17">
        <f>IF($F$3="1",SUMIF(Data!$A:$A,$A$2,Data!IX:IX),0)</f>
        <v>0</v>
      </c>
      <c r="F45" s="21" t="str">
        <f t="shared" si="3"/>
        <v/>
      </c>
    </row>
    <row r="46" spans="1:6" x14ac:dyDescent="0.2">
      <c r="A46" s="19">
        <v>11</v>
      </c>
      <c r="B46" s="143" t="s">
        <v>10</v>
      </c>
      <c r="C46" s="144"/>
      <c r="D46" s="14">
        <f>IF(F3="1",SUMIF(Data!A:A,'31'!$A$2,Data!DE:DE),0)</f>
        <v>0</v>
      </c>
      <c r="E46" s="17">
        <f>IF($F$3="1",SUMIF(Data!$A:$A,$A$2,Data!IY:IY),0)</f>
        <v>0</v>
      </c>
      <c r="F46" s="21" t="str">
        <f t="shared" si="3"/>
        <v/>
      </c>
    </row>
    <row r="47" spans="1:6" ht="14.25" customHeight="1" x14ac:dyDescent="0.2">
      <c r="A47" s="19">
        <v>12</v>
      </c>
      <c r="B47" s="143" t="s">
        <v>11</v>
      </c>
      <c r="C47" s="144"/>
      <c r="D47" s="14">
        <f>IF(F3="1",SUMIF(Data!A:A,'31'!$A$2,Data!DF:DF),0)</f>
        <v>165392</v>
      </c>
      <c r="E47" s="17">
        <f>IF($F$3="1",SUMIF(Data!$A:$A,$A$2,Data!IZ:IZ),0)</f>
        <v>25637</v>
      </c>
      <c r="F47" s="21">
        <f t="shared" si="3"/>
        <v>0.16</v>
      </c>
    </row>
    <row r="48" spans="1:6" x14ac:dyDescent="0.2">
      <c r="A48" s="19">
        <v>13</v>
      </c>
      <c r="B48" s="143" t="s">
        <v>12</v>
      </c>
      <c r="C48" s="144"/>
      <c r="D48" s="14">
        <f>IF(F3="1",SUMIF(Data!A:A,'31'!$A$2,Data!DG:DG),0)</f>
        <v>8864</v>
      </c>
      <c r="E48" s="17">
        <f>IF($F$3="1",SUMIF(Data!$A:$A,$A$2,Data!JA:JA),0)</f>
        <v>3333</v>
      </c>
      <c r="F48" s="21">
        <f t="shared" si="3"/>
        <v>0.38</v>
      </c>
    </row>
    <row r="49" spans="1:6" ht="14.25" customHeight="1" x14ac:dyDescent="0.2">
      <c r="A49" s="19">
        <v>14</v>
      </c>
      <c r="B49" s="143" t="s">
        <v>464</v>
      </c>
      <c r="C49" s="144"/>
      <c r="D49" s="14">
        <f>IF(F3="1",SUMIF(Data!A:A,'31'!$A$2,Data!DH:DH),0)</f>
        <v>26176</v>
      </c>
      <c r="E49" s="17">
        <f>IF($F$3="1",SUMIF(Data!$A:$A,$A$2,Data!JB:JB),0)</f>
        <v>18985</v>
      </c>
      <c r="F49" s="21">
        <f t="shared" si="3"/>
        <v>0.73</v>
      </c>
    </row>
    <row r="50" spans="1:6" x14ac:dyDescent="0.2">
      <c r="A50" s="19">
        <v>15</v>
      </c>
      <c r="B50" s="143" t="s">
        <v>13</v>
      </c>
      <c r="C50" s="144"/>
      <c r="D50" s="14">
        <f>IF(F3="1",SUMIF(Data!A:A,'31'!$A$2,Data!DI:DI),0)</f>
        <v>1056</v>
      </c>
      <c r="E50" s="17">
        <f>IF($F$3="1",SUMIF(Data!$A:$A,$A$2,Data!JC:JC),0)</f>
        <v>5600</v>
      </c>
      <c r="F50" s="21">
        <f t="shared" si="3"/>
        <v>5.3</v>
      </c>
    </row>
    <row r="51" spans="1:6" x14ac:dyDescent="0.2">
      <c r="A51" s="19">
        <v>16</v>
      </c>
      <c r="B51" s="143" t="s">
        <v>14</v>
      </c>
      <c r="C51" s="144"/>
      <c r="D51" s="14">
        <f>IF(F3="1",SUMIF(Data!A:A,'31'!$A$2,Data!DJ:DJ),0)</f>
        <v>12661</v>
      </c>
      <c r="E51" s="17">
        <f>IF($F$3="1",SUMIF(Data!$A:$A,$A$2,Data!JD:JD),0)</f>
        <v>31253</v>
      </c>
      <c r="F51" s="21">
        <f t="shared" si="3"/>
        <v>2.4700000000000002</v>
      </c>
    </row>
    <row r="52" spans="1:6" x14ac:dyDescent="0.2">
      <c r="A52" s="19">
        <v>17</v>
      </c>
      <c r="B52" s="143" t="s">
        <v>15</v>
      </c>
      <c r="C52" s="144"/>
      <c r="D52" s="14">
        <f>IF(F3="1",SUMIF(Data!A:A,'31'!$A$2,Data!DK:DK),0)</f>
        <v>0</v>
      </c>
      <c r="E52" s="17">
        <f>IF($F$3="1",SUMIF(Data!$A:$A,$A$2,Data!JE:JE),0)</f>
        <v>0</v>
      </c>
      <c r="F52" s="21" t="str">
        <f t="shared" si="3"/>
        <v/>
      </c>
    </row>
    <row r="53" spans="1:6" x14ac:dyDescent="0.2">
      <c r="A53" s="19">
        <v>18</v>
      </c>
      <c r="B53" s="143" t="s">
        <v>16</v>
      </c>
      <c r="C53" s="144"/>
      <c r="D53" s="14">
        <f>IF(F3="1",SUMIF(Data!A:A,'31'!$A$2,Data!DL:DL),0)</f>
        <v>77776</v>
      </c>
      <c r="E53" s="17">
        <f>IF($F$3="1",SUMIF(Data!$A:$A,$A$2,Data!JF:JF),0)</f>
        <v>15810</v>
      </c>
      <c r="F53" s="21">
        <f t="shared" si="3"/>
        <v>0.2</v>
      </c>
    </row>
    <row r="54" spans="1:6" x14ac:dyDescent="0.2">
      <c r="A54" s="19">
        <v>19</v>
      </c>
      <c r="B54" s="143" t="s">
        <v>17</v>
      </c>
      <c r="C54" s="144"/>
      <c r="D54" s="14">
        <f>IF(F3="1",SUMIF(Data!A:A,'31'!$A$2,Data!DM:DM),0)</f>
        <v>68800</v>
      </c>
      <c r="E54" s="17">
        <f>IF($F$3="1",SUMIF(Data!$A:$A,$A$2,Data!JG:JG),0)</f>
        <v>10049</v>
      </c>
      <c r="F54" s="21">
        <f t="shared" si="3"/>
        <v>0.15</v>
      </c>
    </row>
    <row r="55" spans="1:6" x14ac:dyDescent="0.2">
      <c r="A55" s="19">
        <v>20</v>
      </c>
      <c r="B55" s="143" t="s">
        <v>18</v>
      </c>
      <c r="C55" s="144"/>
      <c r="D55" s="14">
        <f>IF(F3="1",SUMIF(Data!A:A,'31'!$A$2,Data!DN:DN),0)</f>
        <v>21040</v>
      </c>
      <c r="E55" s="17">
        <f>IF($F$3="1",SUMIF(Data!$A:$A,$A$2,Data!JH:JH),0)</f>
        <v>30868</v>
      </c>
      <c r="F55" s="21">
        <f t="shared" si="3"/>
        <v>1.47</v>
      </c>
    </row>
    <row r="56" spans="1:6" ht="14.25" customHeight="1" x14ac:dyDescent="0.2">
      <c r="A56" s="19">
        <v>21</v>
      </c>
      <c r="B56" s="143" t="s">
        <v>461</v>
      </c>
      <c r="C56" s="144"/>
      <c r="D56" s="14">
        <f>IF(F3="1",SUMIF(Data!A:A,'31'!$A$2,Data!DO:DO),0)</f>
        <v>38595</v>
      </c>
      <c r="E56" s="17">
        <f>IF($F$3="1",SUMIF(Data!$A:$A,$A$2,Data!JI:JI),0)</f>
        <v>39227</v>
      </c>
      <c r="F56" s="21">
        <f t="shared" si="3"/>
        <v>1.02</v>
      </c>
    </row>
    <row r="57" spans="1:6" x14ac:dyDescent="0.2">
      <c r="A57" s="19">
        <v>22</v>
      </c>
      <c r="B57" s="143" t="s">
        <v>19</v>
      </c>
      <c r="C57" s="144"/>
      <c r="D57" s="14">
        <f>IF(F3="1",SUMIF(Data!A:A,'31'!$A$2,Data!DP:DP),0)</f>
        <v>0</v>
      </c>
      <c r="E57" s="17">
        <f>IF($F$3="1",SUMIF(Data!$A:$A,$A$2,Data!JJ:JJ),0)</f>
        <v>0</v>
      </c>
      <c r="F57" s="21" t="str">
        <f t="shared" si="3"/>
        <v/>
      </c>
    </row>
    <row r="58" spans="1:6" x14ac:dyDescent="0.2">
      <c r="A58" s="19">
        <v>23</v>
      </c>
      <c r="B58" s="143" t="s">
        <v>20</v>
      </c>
      <c r="C58" s="144"/>
      <c r="D58" s="14">
        <f>IF(F3="1",SUMIF(Data!A:A,'31'!$A$2,Data!DQ:DQ),0)</f>
        <v>38864</v>
      </c>
      <c r="E58" s="17">
        <f>IF($F$3="1",SUMIF(Data!$A:$A,$A$2,Data!JK:JK),0)</f>
        <v>2619</v>
      </c>
      <c r="F58" s="21">
        <f t="shared" si="3"/>
        <v>7.0000000000000007E-2</v>
      </c>
    </row>
    <row r="59" spans="1:6" x14ac:dyDescent="0.2">
      <c r="A59" s="19">
        <v>24</v>
      </c>
      <c r="B59" s="143" t="s">
        <v>21</v>
      </c>
      <c r="C59" s="144"/>
      <c r="D59" s="14">
        <f>IF(F3="1",SUMIF(Data!A:A,'31'!$A$2,Data!DR:DR),0)</f>
        <v>55316</v>
      </c>
      <c r="E59" s="17">
        <f>IF($F$3="1",SUMIF(Data!$A:$A,$A$2,Data!JL:JL),0)</f>
        <v>8418</v>
      </c>
      <c r="F59" s="21">
        <f t="shared" si="3"/>
        <v>0.15</v>
      </c>
    </row>
    <row r="60" spans="1:6" x14ac:dyDescent="0.2">
      <c r="A60" s="19">
        <v>25</v>
      </c>
      <c r="B60" s="143" t="s">
        <v>22</v>
      </c>
      <c r="C60" s="144"/>
      <c r="D60" s="14">
        <f>IF(F3="1",SUMIF(Data!A:A,'31'!$A$2,Data!DS:DS),0)</f>
        <v>156624</v>
      </c>
      <c r="E60" s="17">
        <f>IF($F$3="1",SUMIF(Data!$A:$A,$A$2,Data!JM:JM),0)</f>
        <v>15536</v>
      </c>
      <c r="F60" s="21">
        <f t="shared" si="3"/>
        <v>0.1</v>
      </c>
    </row>
    <row r="61" spans="1:6" x14ac:dyDescent="0.2">
      <c r="A61" s="19">
        <v>26</v>
      </c>
      <c r="B61" s="143" t="s">
        <v>23</v>
      </c>
      <c r="C61" s="144"/>
      <c r="D61" s="14">
        <f>IF(F3="1",SUMIF(Data!A:A,'31'!$A$2,Data!DT:DT),0)</f>
        <v>34560</v>
      </c>
      <c r="E61" s="17">
        <f>IF($F$3="1",SUMIF(Data!$A:$A,$A$2,Data!JN:JN),0)</f>
        <v>22821</v>
      </c>
      <c r="F61" s="21">
        <f t="shared" si="3"/>
        <v>0.66</v>
      </c>
    </row>
    <row r="62" spans="1:6" x14ac:dyDescent="0.2">
      <c r="A62" s="19">
        <v>28</v>
      </c>
      <c r="B62" s="143" t="s">
        <v>24</v>
      </c>
      <c r="C62" s="144"/>
      <c r="D62" s="14">
        <f>IF(F3="1",SUMIF(Data!A:A,'31'!$A$2,Data!DV:DV),0)</f>
        <v>0</v>
      </c>
      <c r="E62" s="17">
        <f>IF($F$3="1",SUMIF(Data!$A:$A,$A$2,Data!JP:JP),0)</f>
        <v>0</v>
      </c>
      <c r="F62" s="21" t="str">
        <f t="shared" si="3"/>
        <v/>
      </c>
    </row>
    <row r="63" spans="1:6" ht="15.75" customHeight="1" thickBot="1" x14ac:dyDescent="0.25">
      <c r="A63" s="22">
        <v>29</v>
      </c>
      <c r="B63" s="147" t="s">
        <v>25</v>
      </c>
      <c r="C63" s="148"/>
      <c r="D63" s="23">
        <f>IF(F3="1",SUMIF(Data!A:A,'31'!$A$2,Data!DW:DW),0)</f>
        <v>0</v>
      </c>
      <c r="E63" s="24">
        <f>IF($F$3="1",SUMIF(Data!$A:$A,$A$2,Data!JQ:JQ),0)</f>
        <v>0</v>
      </c>
      <c r="F63" s="25" t="str">
        <f t="shared" si="3"/>
        <v/>
      </c>
    </row>
    <row r="64" spans="1:6" x14ac:dyDescent="0.2">
      <c r="B64" s="30" t="s">
        <v>35</v>
      </c>
      <c r="C64" s="30"/>
      <c r="D64" s="59">
        <f>SUM(D36:D63)</f>
        <v>1021271</v>
      </c>
      <c r="E64" s="31">
        <f>SUM(E36:E63)</f>
        <v>418423</v>
      </c>
      <c r="F64" s="32">
        <f t="shared" si="3"/>
        <v>0.41</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14432</v>
      </c>
      <c r="E67" s="15">
        <f>IF(F3="1",SUMIF(Data!A:A,'31'!$A$2,Data!DY:DY),0)</f>
        <v>42831</v>
      </c>
      <c r="F67" s="20">
        <f t="shared" ref="F67:F95" si="4">IF(OR(D67=0,E67=0),"",ROUND(E67/D67,2))</f>
        <v>2.97</v>
      </c>
    </row>
    <row r="68" spans="1:6" x14ac:dyDescent="0.2">
      <c r="A68" s="19">
        <v>2</v>
      </c>
      <c r="B68" s="143" t="s">
        <v>1</v>
      </c>
      <c r="C68" s="144"/>
      <c r="D68" s="14">
        <f t="shared" ref="D68:D94" si="5">D37</f>
        <v>22128</v>
      </c>
      <c r="E68" s="17">
        <f>IF(F3="1",SUMIF(Data!A:A,'31'!$A$2,Data!DZ:DZ),0)</f>
        <v>21910</v>
      </c>
      <c r="F68" s="21">
        <f t="shared" si="4"/>
        <v>0.99</v>
      </c>
    </row>
    <row r="69" spans="1:6" ht="14.25" customHeight="1" x14ac:dyDescent="0.2">
      <c r="A69" s="19">
        <v>3</v>
      </c>
      <c r="B69" s="143" t="s">
        <v>2</v>
      </c>
      <c r="C69" s="144"/>
      <c r="D69" s="14">
        <f t="shared" si="5"/>
        <v>129296</v>
      </c>
      <c r="E69" s="17">
        <f>IF(F3="1",SUMIF(Data!A:A,'31'!$A$2,Data!EA:EA),0)</f>
        <v>314175</v>
      </c>
      <c r="F69" s="21">
        <f t="shared" si="4"/>
        <v>2.4300000000000002</v>
      </c>
    </row>
    <row r="70" spans="1:6" ht="14.25" customHeight="1" x14ac:dyDescent="0.2">
      <c r="A70" s="19">
        <v>4</v>
      </c>
      <c r="B70" s="143" t="s">
        <v>3</v>
      </c>
      <c r="C70" s="144"/>
      <c r="D70" s="14">
        <f t="shared" si="5"/>
        <v>48119</v>
      </c>
      <c r="E70" s="17">
        <f>IF(F3="1",SUMIF(Data!A:A,'31'!$A$2,Data!EB:EB),0)</f>
        <v>171892</v>
      </c>
      <c r="F70" s="21">
        <f t="shared" si="4"/>
        <v>3.57</v>
      </c>
    </row>
    <row r="71" spans="1:6" x14ac:dyDescent="0.2">
      <c r="A71" s="19">
        <v>5</v>
      </c>
      <c r="B71" s="143" t="s">
        <v>4</v>
      </c>
      <c r="C71" s="144"/>
      <c r="D71" s="14">
        <f t="shared" si="5"/>
        <v>0</v>
      </c>
      <c r="E71" s="17">
        <f>IF(F3="1",SUMIF(Data!A:A,'31'!$A$2,Data!EC:EC),0)</f>
        <v>0</v>
      </c>
      <c r="F71" s="21" t="str">
        <f t="shared" si="4"/>
        <v/>
      </c>
    </row>
    <row r="72" spans="1:6" x14ac:dyDescent="0.2">
      <c r="A72" s="19">
        <v>6</v>
      </c>
      <c r="B72" s="143" t="s">
        <v>5</v>
      </c>
      <c r="C72" s="144"/>
      <c r="D72" s="14">
        <f t="shared" si="5"/>
        <v>4144</v>
      </c>
      <c r="E72" s="17">
        <f>IF(F3="1",SUMIF(Data!A:A,'31'!$A$2,Data!ED:ED),0)</f>
        <v>26933</v>
      </c>
      <c r="F72" s="21">
        <f t="shared" si="4"/>
        <v>6.5</v>
      </c>
    </row>
    <row r="73" spans="1:6" x14ac:dyDescent="0.2">
      <c r="A73" s="19">
        <v>7</v>
      </c>
      <c r="B73" s="143" t="s">
        <v>6</v>
      </c>
      <c r="C73" s="144"/>
      <c r="D73" s="14">
        <f t="shared" si="5"/>
        <v>70836</v>
      </c>
      <c r="E73" s="17">
        <f>IF(F3="1",SUMIF(Data!A:A,'31'!$A$2,Data!EE:EE),0)</f>
        <v>171775</v>
      </c>
      <c r="F73" s="21">
        <f t="shared" si="4"/>
        <v>2.42</v>
      </c>
    </row>
    <row r="74" spans="1:6" x14ac:dyDescent="0.2">
      <c r="A74" s="19">
        <v>8</v>
      </c>
      <c r="B74" s="143" t="s">
        <v>7</v>
      </c>
      <c r="C74" s="144"/>
      <c r="D74" s="14">
        <f t="shared" si="5"/>
        <v>0</v>
      </c>
      <c r="E74" s="17">
        <f>IF(F3="1",SUMIF(Data!A:A,'31'!$A$2,Data!EF:EF),0)</f>
        <v>0</v>
      </c>
      <c r="F74" s="21" t="str">
        <f t="shared" si="4"/>
        <v/>
      </c>
    </row>
    <row r="75" spans="1:6" x14ac:dyDescent="0.2">
      <c r="A75" s="19">
        <v>9</v>
      </c>
      <c r="B75" s="143" t="s">
        <v>8</v>
      </c>
      <c r="C75" s="144"/>
      <c r="D75" s="14">
        <f t="shared" si="5"/>
        <v>26592</v>
      </c>
      <c r="E75" s="17">
        <f>IF(F3="1",SUMIF(Data!A:A,'31'!$A$2,Data!EG:EG),0)</f>
        <v>38068</v>
      </c>
      <c r="F75" s="21">
        <f t="shared" si="4"/>
        <v>1.43</v>
      </c>
    </row>
    <row r="76" spans="1:6" x14ac:dyDescent="0.2">
      <c r="A76" s="19">
        <v>10</v>
      </c>
      <c r="B76" s="143" t="s">
        <v>9</v>
      </c>
      <c r="C76" s="144"/>
      <c r="D76" s="14">
        <f t="shared" si="5"/>
        <v>0</v>
      </c>
      <c r="E76" s="17">
        <f>IF(F3="1",SUMIF(Data!A:A,'31'!$A$2,Data!EH:EH),0)</f>
        <v>0</v>
      </c>
      <c r="F76" s="21" t="str">
        <f t="shared" si="4"/>
        <v/>
      </c>
    </row>
    <row r="77" spans="1:6" x14ac:dyDescent="0.2">
      <c r="A77" s="19">
        <v>11</v>
      </c>
      <c r="B77" s="143" t="s">
        <v>10</v>
      </c>
      <c r="C77" s="144"/>
      <c r="D77" s="14">
        <f t="shared" si="5"/>
        <v>0</v>
      </c>
      <c r="E77" s="17">
        <f>IF(F3="1",SUMIF(Data!A:A,'31'!$A$2,Data!EI:EI),0)</f>
        <v>0</v>
      </c>
      <c r="F77" s="21" t="str">
        <f t="shared" si="4"/>
        <v/>
      </c>
    </row>
    <row r="78" spans="1:6" ht="14.25" customHeight="1" x14ac:dyDescent="0.2">
      <c r="A78" s="19">
        <v>12</v>
      </c>
      <c r="B78" s="143" t="s">
        <v>11</v>
      </c>
      <c r="C78" s="144"/>
      <c r="D78" s="14">
        <f t="shared" si="5"/>
        <v>165392</v>
      </c>
      <c r="E78" s="17">
        <f>IF(F3="1",SUMIF(Data!A:A,'31'!$A$2,Data!EJ:EJ),0)</f>
        <v>270768</v>
      </c>
      <c r="F78" s="21">
        <f t="shared" si="4"/>
        <v>1.64</v>
      </c>
    </row>
    <row r="79" spans="1:6" x14ac:dyDescent="0.2">
      <c r="A79" s="19">
        <v>13</v>
      </c>
      <c r="B79" s="143" t="s">
        <v>12</v>
      </c>
      <c r="C79" s="144"/>
      <c r="D79" s="14">
        <f t="shared" si="5"/>
        <v>8864</v>
      </c>
      <c r="E79" s="17">
        <f>IF(F3="1",SUMIF(Data!A:A,'31'!$A$2,Data!EK:EK),0)</f>
        <v>40466</v>
      </c>
      <c r="F79" s="21">
        <f t="shared" si="4"/>
        <v>4.57</v>
      </c>
    </row>
    <row r="80" spans="1:6" ht="14.25" customHeight="1" x14ac:dyDescent="0.2">
      <c r="A80" s="19">
        <v>14</v>
      </c>
      <c r="B80" s="143" t="s">
        <v>464</v>
      </c>
      <c r="C80" s="144"/>
      <c r="D80" s="14">
        <f t="shared" si="5"/>
        <v>26176</v>
      </c>
      <c r="E80" s="17">
        <f>IF(F3="1",SUMIF(Data!A:A,'31'!$A$2,Data!EL:EL),0)</f>
        <v>175373</v>
      </c>
      <c r="F80" s="21">
        <f t="shared" si="4"/>
        <v>6.7</v>
      </c>
    </row>
    <row r="81" spans="1:6" x14ac:dyDescent="0.2">
      <c r="A81" s="19">
        <v>15</v>
      </c>
      <c r="B81" s="143" t="s">
        <v>13</v>
      </c>
      <c r="C81" s="144"/>
      <c r="D81" s="14">
        <f t="shared" si="5"/>
        <v>1056</v>
      </c>
      <c r="E81" s="17">
        <f>IF(F3="1",SUMIF(Data!A:A,'31'!$A$2,Data!EM:EM),0)</f>
        <v>3700</v>
      </c>
      <c r="F81" s="21">
        <f t="shared" si="4"/>
        <v>3.5</v>
      </c>
    </row>
    <row r="82" spans="1:6" x14ac:dyDescent="0.2">
      <c r="A82" s="19">
        <v>16</v>
      </c>
      <c r="B82" s="143" t="s">
        <v>14</v>
      </c>
      <c r="C82" s="144"/>
      <c r="D82" s="14">
        <f t="shared" si="5"/>
        <v>12661</v>
      </c>
      <c r="E82" s="17">
        <f>IF(F3="1",SUMIF(Data!A:A,'31'!$A$2,Data!EN:EN),0)</f>
        <v>59247</v>
      </c>
      <c r="F82" s="21">
        <f t="shared" si="4"/>
        <v>4.68</v>
      </c>
    </row>
    <row r="83" spans="1:6" x14ac:dyDescent="0.2">
      <c r="A83" s="19">
        <v>17</v>
      </c>
      <c r="B83" s="143" t="s">
        <v>15</v>
      </c>
      <c r="C83" s="144"/>
      <c r="D83" s="14">
        <f t="shared" si="5"/>
        <v>0</v>
      </c>
      <c r="E83" s="17">
        <f>IF(F3="1",SUMIF(Data!A:A,'31'!$A$2,Data!EO:EO),0)</f>
        <v>0</v>
      </c>
      <c r="F83" s="21" t="str">
        <f t="shared" si="4"/>
        <v/>
      </c>
    </row>
    <row r="84" spans="1:6" x14ac:dyDescent="0.2">
      <c r="A84" s="19">
        <v>18</v>
      </c>
      <c r="B84" s="143" t="s">
        <v>16</v>
      </c>
      <c r="C84" s="144"/>
      <c r="D84" s="14">
        <f t="shared" si="5"/>
        <v>77776</v>
      </c>
      <c r="E84" s="17">
        <f>IF(F3="1",SUMIF(Data!A:A,'31'!$A$2,Data!EP:EP),0)</f>
        <v>126044</v>
      </c>
      <c r="F84" s="21">
        <f t="shared" si="4"/>
        <v>1.62</v>
      </c>
    </row>
    <row r="85" spans="1:6" x14ac:dyDescent="0.2">
      <c r="A85" s="19">
        <v>19</v>
      </c>
      <c r="B85" s="143" t="s">
        <v>17</v>
      </c>
      <c r="C85" s="144"/>
      <c r="D85" s="14">
        <f t="shared" si="5"/>
        <v>68800</v>
      </c>
      <c r="E85" s="17">
        <f>IF(F3="1",SUMIF(Data!A:A,'31'!$A$2,Data!EQ:EQ),0)</f>
        <v>192888</v>
      </c>
      <c r="F85" s="21">
        <f t="shared" si="4"/>
        <v>2.8</v>
      </c>
    </row>
    <row r="86" spans="1:6" x14ac:dyDescent="0.2">
      <c r="A86" s="19">
        <v>20</v>
      </c>
      <c r="B86" s="143" t="s">
        <v>18</v>
      </c>
      <c r="C86" s="144"/>
      <c r="D86" s="14">
        <f t="shared" si="5"/>
        <v>21040</v>
      </c>
      <c r="E86" s="17">
        <f>IF(F3="1",SUMIF(Data!A:A,'31'!$A$2,Data!ER:ER),0)</f>
        <v>130871</v>
      </c>
      <c r="F86" s="21">
        <f t="shared" si="4"/>
        <v>6.22</v>
      </c>
    </row>
    <row r="87" spans="1:6" ht="14.25" customHeight="1" x14ac:dyDescent="0.2">
      <c r="A87" s="19">
        <v>21</v>
      </c>
      <c r="B87" s="143" t="s">
        <v>461</v>
      </c>
      <c r="C87" s="144"/>
      <c r="D87" s="14">
        <f t="shared" si="5"/>
        <v>38595</v>
      </c>
      <c r="E87" s="17">
        <f>IF(F3="1",SUMIF(Data!A:A,'31'!$A$2,Data!ES:ES),0)</f>
        <v>73338</v>
      </c>
      <c r="F87" s="21">
        <f t="shared" si="4"/>
        <v>1.9</v>
      </c>
    </row>
    <row r="88" spans="1:6" x14ac:dyDescent="0.2">
      <c r="A88" s="19">
        <v>22</v>
      </c>
      <c r="B88" s="143" t="s">
        <v>19</v>
      </c>
      <c r="C88" s="144"/>
      <c r="D88" s="14">
        <f t="shared" si="5"/>
        <v>0</v>
      </c>
      <c r="E88" s="17">
        <f>IF(F3="1",SUMIF(Data!A:A,'31'!$A$2,Data!ET:ET),0)</f>
        <v>0</v>
      </c>
      <c r="F88" s="21" t="str">
        <f t="shared" si="4"/>
        <v/>
      </c>
    </row>
    <row r="89" spans="1:6" x14ac:dyDescent="0.2">
      <c r="A89" s="19">
        <v>23</v>
      </c>
      <c r="B89" s="143" t="s">
        <v>20</v>
      </c>
      <c r="C89" s="144"/>
      <c r="D89" s="14">
        <f t="shared" si="5"/>
        <v>38864</v>
      </c>
      <c r="E89" s="17">
        <f>IF(F3="1",SUMIF(Data!A:A,'31'!$A$2,Data!EU:EU),0)</f>
        <v>96912</v>
      </c>
      <c r="F89" s="21">
        <f t="shared" si="4"/>
        <v>2.4900000000000002</v>
      </c>
    </row>
    <row r="90" spans="1:6" x14ac:dyDescent="0.2">
      <c r="A90" s="19">
        <v>24</v>
      </c>
      <c r="B90" s="143" t="s">
        <v>21</v>
      </c>
      <c r="C90" s="144"/>
      <c r="D90" s="14">
        <f t="shared" si="5"/>
        <v>55316</v>
      </c>
      <c r="E90" s="17">
        <f>IF(F3="1",SUMIF(Data!A:A,'31'!$A$2,Data!EV:EV),0)</f>
        <v>158625</v>
      </c>
      <c r="F90" s="21">
        <f t="shared" si="4"/>
        <v>2.87</v>
      </c>
    </row>
    <row r="91" spans="1:6" x14ac:dyDescent="0.2">
      <c r="A91" s="19">
        <v>25</v>
      </c>
      <c r="B91" s="143" t="s">
        <v>22</v>
      </c>
      <c r="C91" s="144"/>
      <c r="D91" s="14">
        <f t="shared" si="5"/>
        <v>156624</v>
      </c>
      <c r="E91" s="17">
        <f>IF(F3="1",SUMIF(Data!A:A,'31'!$A$2,Data!EW:EW),0)</f>
        <v>319544</v>
      </c>
      <c r="F91" s="21">
        <f t="shared" si="4"/>
        <v>2.04</v>
      </c>
    </row>
    <row r="92" spans="1:6" x14ac:dyDescent="0.2">
      <c r="A92" s="19">
        <v>26</v>
      </c>
      <c r="B92" s="143" t="s">
        <v>23</v>
      </c>
      <c r="C92" s="144"/>
      <c r="D92" s="14">
        <f t="shared" si="5"/>
        <v>34560</v>
      </c>
      <c r="E92" s="17">
        <f>IF(F3="1",SUMIF(Data!A:A,'31'!$A$2,Data!EX:EX),0)</f>
        <v>183876</v>
      </c>
      <c r="F92" s="21">
        <f t="shared" si="4"/>
        <v>5.32</v>
      </c>
    </row>
    <row r="93" spans="1:6" x14ac:dyDescent="0.2">
      <c r="A93" s="19">
        <v>28</v>
      </c>
      <c r="B93" s="143" t="s">
        <v>24</v>
      </c>
      <c r="C93" s="144"/>
      <c r="D93" s="14">
        <f t="shared" si="5"/>
        <v>0</v>
      </c>
      <c r="E93" s="17">
        <f>IF(F3="1",SUMIF(Data!A:A,'31'!$A$2,Data!EZ:EZ),0)</f>
        <v>0</v>
      </c>
      <c r="F93" s="21" t="str">
        <f t="shared" si="4"/>
        <v/>
      </c>
    </row>
    <row r="94" spans="1:6" ht="15.75" customHeight="1" thickBot="1" x14ac:dyDescent="0.25">
      <c r="A94" s="22">
        <v>29</v>
      </c>
      <c r="B94" s="147" t="s">
        <v>25</v>
      </c>
      <c r="C94" s="148"/>
      <c r="D94" s="23">
        <f t="shared" si="5"/>
        <v>0</v>
      </c>
      <c r="E94" s="24">
        <f>IF(F3="1",SUMIF(Data!A:A,'31'!$A$2,Data!FA:FA),0)</f>
        <v>0</v>
      </c>
      <c r="F94" s="25" t="str">
        <f t="shared" si="4"/>
        <v/>
      </c>
    </row>
    <row r="95" spans="1:6" x14ac:dyDescent="0.2">
      <c r="B95" s="30" t="s">
        <v>35</v>
      </c>
      <c r="C95" s="30"/>
      <c r="D95" s="59">
        <f>SUM(D67:D94)</f>
        <v>1021271</v>
      </c>
      <c r="E95" s="31">
        <f>SUM(E67:E94)</f>
        <v>2619236</v>
      </c>
      <c r="F95" s="32">
        <f t="shared" si="4"/>
        <v>2.56</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IF(F3="1",SUMIF(Data!A:A,'31'!$A$2,Data!AH:AH),0)</f>
        <v>1739566</v>
      </c>
      <c r="F98" s="20">
        <f>IF(OR(E98=0,E98=0),"",ROUND(E98/$D$105,2))</f>
        <v>1.7</v>
      </c>
    </row>
    <row r="99" spans="2:6" x14ac:dyDescent="0.2">
      <c r="B99" s="153" t="s">
        <v>31</v>
      </c>
      <c r="C99" s="154"/>
      <c r="D99" s="36"/>
      <c r="E99" s="17">
        <f>IF(F3="1",SUMIF(Data!A:A,'31'!$A$2,Data!AI:AI),0)</f>
        <v>424484</v>
      </c>
      <c r="F99" s="21">
        <f t="shared" ref="F99:F104" si="6">IF(OR(E99=0,E99=0),"",ROUND(E99/$D$105,2))</f>
        <v>0.42</v>
      </c>
    </row>
    <row r="100" spans="2:6" x14ac:dyDescent="0.2">
      <c r="B100" s="153" t="s">
        <v>1078</v>
      </c>
      <c r="C100" s="154"/>
      <c r="D100" s="36"/>
      <c r="E100" s="17">
        <f>IF(F3="1",SUMIF(Data!A:A,'31'!$A$2,Data!AJ:AJ),0)</f>
        <v>243829</v>
      </c>
      <c r="F100" s="21">
        <f t="shared" si="6"/>
        <v>0.24</v>
      </c>
    </row>
    <row r="101" spans="2:6" x14ac:dyDescent="0.2">
      <c r="B101" s="153" t="s">
        <v>1079</v>
      </c>
      <c r="C101" s="154"/>
      <c r="D101" s="36"/>
      <c r="E101" s="17">
        <f>IF(F3="1",SUMIF(Data!A:A,'31'!$A$2,Data!AK:AK),0)</f>
        <v>560370</v>
      </c>
      <c r="F101" s="21">
        <f t="shared" si="6"/>
        <v>0.55000000000000004</v>
      </c>
    </row>
    <row r="102" spans="2:6" x14ac:dyDescent="0.2">
      <c r="B102" s="153" t="s">
        <v>1080</v>
      </c>
      <c r="C102" s="154"/>
      <c r="D102" s="36"/>
      <c r="E102" s="17">
        <f>IF(F3="1",SUMIF(Data!A:A,'31'!$A$2,Data!AL:AL),0)</f>
        <v>92816</v>
      </c>
      <c r="F102" s="21">
        <f t="shared" si="6"/>
        <v>0.09</v>
      </c>
    </row>
    <row r="103" spans="2:6" x14ac:dyDescent="0.2">
      <c r="B103" s="155" t="s">
        <v>34</v>
      </c>
      <c r="C103" s="156"/>
      <c r="D103" s="36"/>
      <c r="E103" s="17">
        <f>IF(F3="1",SUMIF(Data!A:A,'31'!$A$2,Data!AM:AM),0)</f>
        <v>0</v>
      </c>
      <c r="F103" s="21" t="str">
        <f t="shared" si="6"/>
        <v/>
      </c>
    </row>
    <row r="104" spans="2:6" ht="15.75" customHeight="1" thickBot="1" x14ac:dyDescent="0.25">
      <c r="B104" s="149" t="s">
        <v>29</v>
      </c>
      <c r="C104" s="150"/>
      <c r="D104" s="37"/>
      <c r="E104" s="24">
        <f>IF(F3="1",SUMIF(Data!A:A,'31'!$A$2,Data!Q:Q),0)</f>
        <v>298840</v>
      </c>
      <c r="F104" s="25">
        <f t="shared" si="6"/>
        <v>0.28999999999999998</v>
      </c>
    </row>
    <row r="105" spans="2:6" x14ac:dyDescent="0.2">
      <c r="B105" s="30" t="s">
        <v>35</v>
      </c>
      <c r="C105" s="30"/>
      <c r="D105" s="34">
        <f>D95</f>
        <v>1021271</v>
      </c>
      <c r="E105" s="31">
        <f>SUM(E98:E104)</f>
        <v>3359905</v>
      </c>
      <c r="F105" s="32">
        <f>IF($D$105=0,"",ROUND(E105/$D$105,2))</f>
        <v>3.29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2619236</v>
      </c>
      <c r="D109" s="15">
        <f>IF(F3="1",SUMIF(Data!$A:$A,$A$2,Data!HJ:HJ),0)</f>
        <v>0</v>
      </c>
      <c r="E109" s="15">
        <f>IF(F3="1",SUMIF(Data!$A:$A,$A$2,Data!IN:IN),0)</f>
        <v>0</v>
      </c>
      <c r="F109" s="47">
        <f>SUM(C109:E109)</f>
        <v>2619236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92816</v>
      </c>
      <c r="F116" s="48">
        <f t="shared" si="7"/>
        <v>92816</v>
      </c>
    </row>
    <row r="117" spans="1:6" ht="15" thickBot="1" x14ac:dyDescent="0.25">
      <c r="B117" s="43" t="s">
        <v>933</v>
      </c>
      <c r="C117" s="52"/>
      <c r="D117" s="52">
        <f>IF(F3="1",SUMIF(Data!A:A,$A$2,Data!Q:Q),0)</f>
        <v>298840</v>
      </c>
      <c r="E117" s="52"/>
      <c r="F117" s="49">
        <f>SUM(C117:E117)</f>
        <v>298840</v>
      </c>
    </row>
    <row r="118" spans="1:6" x14ac:dyDescent="0.2">
      <c r="B118" s="13" t="s">
        <v>35</v>
      </c>
      <c r="C118" s="4">
        <f>SUM(C109:C116)</f>
        <v>2619236</v>
      </c>
      <c r="D118" s="4">
        <f>SUM(D109:D116)</f>
        <v>0</v>
      </c>
      <c r="E118" s="4">
        <f>SUM(E109:E116)</f>
        <v>92816</v>
      </c>
      <c r="F118" s="4">
        <f>SUM(F109:F116)</f>
        <v>2712052</v>
      </c>
    </row>
    <row r="119" spans="1:6" ht="15" thickBot="1" x14ac:dyDescent="0.25"/>
    <row r="120" spans="1:6" ht="15" thickBot="1" x14ac:dyDescent="0.25">
      <c r="B120" s="55" t="s">
        <v>934</v>
      </c>
      <c r="C120" s="53"/>
      <c r="D120" s="53"/>
      <c r="E120" s="53">
        <f>IF(F3="1",SUMIF(Data!A:A,'31'!$A$2,Data!AM:AM),0)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386</v>
      </c>
      <c r="B2" s="58" t="str">
        <f>VLOOKUP(A2,Data!A:G,7,0)</f>
        <v>Odessa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9472</v>
      </c>
      <c r="E5" s="15">
        <f>E36+E67+IFERROR($E$105/$D$105*D5,0)</f>
        <v>50393.321798851961</v>
      </c>
      <c r="F5" s="20">
        <f>IF(OR(D5=0,E5=0),"",ROUND(E5/D5,2))</f>
        <v>5.32</v>
      </c>
    </row>
    <row r="6" spans="1:6" x14ac:dyDescent="0.2">
      <c r="A6" s="19">
        <v>2</v>
      </c>
      <c r="B6" s="143" t="s">
        <v>1</v>
      </c>
      <c r="C6" s="144"/>
      <c r="D6" s="14">
        <f t="shared" ref="D6:D32" si="0">D37</f>
        <v>35796</v>
      </c>
      <c r="E6" s="17">
        <f t="shared" ref="E6:E32" si="1">E37+E68+IFERROR($E$105/$D$105*D6,0)</f>
        <v>296132.12659540802</v>
      </c>
      <c r="F6" s="21">
        <f t="shared" ref="F6:F33" si="2">IF(OR(D6=0,E6=0),"",ROUND(E6/D6,2))</f>
        <v>8.27</v>
      </c>
    </row>
    <row r="7" spans="1:6" ht="14.25" customHeight="1" x14ac:dyDescent="0.2">
      <c r="A7" s="19">
        <v>3</v>
      </c>
      <c r="B7" s="143" t="s">
        <v>2</v>
      </c>
      <c r="C7" s="144"/>
      <c r="D7" s="14">
        <f t="shared" si="0"/>
        <v>171543</v>
      </c>
      <c r="E7" s="17">
        <f t="shared" si="1"/>
        <v>1051622.0209396603</v>
      </c>
      <c r="F7" s="21">
        <f t="shared" si="2"/>
        <v>6.13</v>
      </c>
    </row>
    <row r="8" spans="1:6" ht="14.25" customHeight="1" x14ac:dyDescent="0.2">
      <c r="A8" s="19">
        <v>4</v>
      </c>
      <c r="B8" s="143" t="s">
        <v>3</v>
      </c>
      <c r="C8" s="144"/>
      <c r="D8" s="14">
        <f t="shared" si="0"/>
        <v>112357</v>
      </c>
      <c r="E8" s="17">
        <f t="shared" si="1"/>
        <v>827317.08534138615</v>
      </c>
      <c r="F8" s="21">
        <f t="shared" si="2"/>
        <v>7.36</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4048</v>
      </c>
      <c r="E10" s="17">
        <f t="shared" si="1"/>
        <v>35629.157795793151</v>
      </c>
      <c r="F10" s="21">
        <f t="shared" si="2"/>
        <v>8.8000000000000007</v>
      </c>
    </row>
    <row r="11" spans="1:6" x14ac:dyDescent="0.2">
      <c r="A11" s="19">
        <v>7</v>
      </c>
      <c r="B11" s="143" t="s">
        <v>6</v>
      </c>
      <c r="C11" s="144"/>
      <c r="D11" s="14">
        <f t="shared" si="0"/>
        <v>85198</v>
      </c>
      <c r="E11" s="17">
        <f t="shared" si="1"/>
        <v>623512.4831734153</v>
      </c>
      <c r="F11" s="21">
        <f t="shared" si="2"/>
        <v>7.32</v>
      </c>
    </row>
    <row r="12" spans="1:6" x14ac:dyDescent="0.2">
      <c r="A12" s="19">
        <v>8</v>
      </c>
      <c r="B12" s="143" t="s">
        <v>7</v>
      </c>
      <c r="C12" s="144"/>
      <c r="D12" s="14">
        <f t="shared" si="0"/>
        <v>31056</v>
      </c>
      <c r="E12" s="17">
        <f t="shared" si="1"/>
        <v>166134.37265468185</v>
      </c>
      <c r="F12" s="21">
        <f t="shared" si="2"/>
        <v>5.35</v>
      </c>
    </row>
    <row r="13" spans="1:6" x14ac:dyDescent="0.2">
      <c r="A13" s="19">
        <v>9</v>
      </c>
      <c r="B13" s="143" t="s">
        <v>8</v>
      </c>
      <c r="C13" s="144"/>
      <c r="D13" s="14">
        <f t="shared" si="0"/>
        <v>150642</v>
      </c>
      <c r="E13" s="17">
        <f t="shared" si="1"/>
        <v>960849.23188583797</v>
      </c>
      <c r="F13" s="21">
        <f t="shared" si="2"/>
        <v>6.38</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47862</v>
      </c>
      <c r="E15" s="17">
        <f t="shared" si="1"/>
        <v>436177.03567743377</v>
      </c>
      <c r="F15" s="21">
        <f t="shared" si="2"/>
        <v>9.11</v>
      </c>
    </row>
    <row r="16" spans="1:6" ht="14.25" customHeight="1" x14ac:dyDescent="0.2">
      <c r="A16" s="19">
        <v>12</v>
      </c>
      <c r="B16" s="143" t="s">
        <v>11</v>
      </c>
      <c r="C16" s="144"/>
      <c r="D16" s="14">
        <f t="shared" si="0"/>
        <v>359329</v>
      </c>
      <c r="E16" s="17">
        <f t="shared" si="1"/>
        <v>2174283.2343390705</v>
      </c>
      <c r="F16" s="21">
        <f t="shared" si="2"/>
        <v>6.05</v>
      </c>
    </row>
    <row r="17" spans="1:6" x14ac:dyDescent="0.2">
      <c r="A17" s="19">
        <v>13</v>
      </c>
      <c r="B17" s="143" t="s">
        <v>12</v>
      </c>
      <c r="C17" s="144"/>
      <c r="D17" s="14">
        <f t="shared" si="0"/>
        <v>19794</v>
      </c>
      <c r="E17" s="17">
        <f t="shared" si="1"/>
        <v>123945.66487399448</v>
      </c>
      <c r="F17" s="21">
        <f t="shared" si="2"/>
        <v>6.26</v>
      </c>
    </row>
    <row r="18" spans="1:6" ht="14.25" customHeight="1" x14ac:dyDescent="0.2">
      <c r="A18" s="19">
        <v>14</v>
      </c>
      <c r="B18" s="143" t="s">
        <v>464</v>
      </c>
      <c r="C18" s="144"/>
      <c r="D18" s="14">
        <f t="shared" si="0"/>
        <v>95582</v>
      </c>
      <c r="E18" s="17">
        <f t="shared" si="1"/>
        <v>1062791.0183887107</v>
      </c>
      <c r="F18" s="21">
        <f t="shared" si="2"/>
        <v>11.12</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147631</v>
      </c>
      <c r="E20" s="17">
        <f t="shared" si="1"/>
        <v>1070203.8200471192</v>
      </c>
      <c r="F20" s="21">
        <f t="shared" si="2"/>
        <v>7.25</v>
      </c>
    </row>
    <row r="21" spans="1:6" x14ac:dyDescent="0.2">
      <c r="A21" s="19">
        <v>17</v>
      </c>
      <c r="B21" s="143" t="s">
        <v>15</v>
      </c>
      <c r="C21" s="144"/>
      <c r="D21" s="14">
        <f t="shared" si="0"/>
        <v>30896</v>
      </c>
      <c r="E21" s="17">
        <f t="shared" si="1"/>
        <v>248245.65100267422</v>
      </c>
      <c r="F21" s="21">
        <f t="shared" si="2"/>
        <v>8.0299999999999994</v>
      </c>
    </row>
    <row r="22" spans="1:6" x14ac:dyDescent="0.2">
      <c r="A22" s="19">
        <v>18</v>
      </c>
      <c r="B22" s="143" t="s">
        <v>16</v>
      </c>
      <c r="C22" s="144"/>
      <c r="D22" s="14">
        <f t="shared" si="0"/>
        <v>74816</v>
      </c>
      <c r="E22" s="17">
        <f t="shared" si="1"/>
        <v>453507.24447876989</v>
      </c>
      <c r="F22" s="21">
        <f t="shared" si="2"/>
        <v>6.06</v>
      </c>
    </row>
    <row r="23" spans="1:6" x14ac:dyDescent="0.2">
      <c r="A23" s="19">
        <v>19</v>
      </c>
      <c r="B23" s="143" t="s">
        <v>17</v>
      </c>
      <c r="C23" s="144"/>
      <c r="D23" s="14">
        <f t="shared" si="0"/>
        <v>209728</v>
      </c>
      <c r="E23" s="17">
        <f t="shared" si="1"/>
        <v>1162923.3414516072</v>
      </c>
      <c r="F23" s="21">
        <f t="shared" si="2"/>
        <v>5.54</v>
      </c>
    </row>
    <row r="24" spans="1:6" x14ac:dyDescent="0.2">
      <c r="A24" s="19">
        <v>20</v>
      </c>
      <c r="B24" s="143" t="s">
        <v>18</v>
      </c>
      <c r="C24" s="144"/>
      <c r="D24" s="14">
        <f t="shared" si="0"/>
        <v>39276</v>
      </c>
      <c r="E24" s="17">
        <f t="shared" si="1"/>
        <v>225990.07252657408</v>
      </c>
      <c r="F24" s="21">
        <f t="shared" si="2"/>
        <v>5.75</v>
      </c>
    </row>
    <row r="25" spans="1:6" ht="14.25" customHeight="1" x14ac:dyDescent="0.2">
      <c r="A25" s="19">
        <v>21</v>
      </c>
      <c r="B25" s="143" t="s">
        <v>461</v>
      </c>
      <c r="C25" s="144"/>
      <c r="D25" s="14">
        <f t="shared" si="0"/>
        <v>46520</v>
      </c>
      <c r="E25" s="17">
        <f t="shared" si="1"/>
        <v>649154.07032121974</v>
      </c>
      <c r="F25" s="21">
        <f t="shared" si="2"/>
        <v>13.95</v>
      </c>
    </row>
    <row r="26" spans="1:6" x14ac:dyDescent="0.2">
      <c r="A26" s="19">
        <v>22</v>
      </c>
      <c r="B26" s="143" t="s">
        <v>19</v>
      </c>
      <c r="C26" s="144"/>
      <c r="D26" s="14">
        <f t="shared" si="0"/>
        <v>7232</v>
      </c>
      <c r="E26" s="17">
        <f t="shared" si="1"/>
        <v>46463.218670745075</v>
      </c>
      <c r="F26" s="21">
        <f t="shared" si="2"/>
        <v>6.42</v>
      </c>
    </row>
    <row r="27" spans="1:6" x14ac:dyDescent="0.2">
      <c r="A27" s="19">
        <v>23</v>
      </c>
      <c r="B27" s="143" t="s">
        <v>20</v>
      </c>
      <c r="C27" s="144"/>
      <c r="D27" s="14">
        <f t="shared" si="0"/>
        <v>102656</v>
      </c>
      <c r="E27" s="17">
        <f t="shared" si="1"/>
        <v>635409.81192809832</v>
      </c>
      <c r="F27" s="21">
        <f t="shared" si="2"/>
        <v>6.19</v>
      </c>
    </row>
    <row r="28" spans="1:6" x14ac:dyDescent="0.2">
      <c r="A28" s="19">
        <v>24</v>
      </c>
      <c r="B28" s="143" t="s">
        <v>21</v>
      </c>
      <c r="C28" s="144"/>
      <c r="D28" s="14">
        <f t="shared" si="0"/>
        <v>124752</v>
      </c>
      <c r="E28" s="17">
        <f t="shared" si="1"/>
        <v>857925.77207035269</v>
      </c>
      <c r="F28" s="21">
        <f t="shared" si="2"/>
        <v>6.88</v>
      </c>
    </row>
    <row r="29" spans="1:6" x14ac:dyDescent="0.2">
      <c r="A29" s="19">
        <v>25</v>
      </c>
      <c r="B29" s="143" t="s">
        <v>22</v>
      </c>
      <c r="C29" s="144"/>
      <c r="D29" s="14">
        <f t="shared" si="0"/>
        <v>256428</v>
      </c>
      <c r="E29" s="17">
        <f t="shared" si="1"/>
        <v>1507404.0986313354</v>
      </c>
      <c r="F29" s="21">
        <f t="shared" si="2"/>
        <v>5.88</v>
      </c>
    </row>
    <row r="30" spans="1:6" x14ac:dyDescent="0.2">
      <c r="A30" s="19">
        <v>26</v>
      </c>
      <c r="B30" s="143" t="s">
        <v>23</v>
      </c>
      <c r="C30" s="144"/>
      <c r="D30" s="14">
        <f t="shared" si="0"/>
        <v>68320</v>
      </c>
      <c r="E30" s="17">
        <f t="shared" si="1"/>
        <v>684402.14540725993</v>
      </c>
      <c r="F30" s="21">
        <f t="shared" si="2"/>
        <v>10.02</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2230934</v>
      </c>
      <c r="E33" s="31">
        <f>SUM(E5:E32)</f>
        <v>15350415.999999998</v>
      </c>
      <c r="F33" s="32">
        <f t="shared" si="2"/>
        <v>6.88</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IF(F3="1",SUMIF(Data!A:A,'32'!$A$2,Data!CU:CU),0)</f>
        <v>9472</v>
      </c>
      <c r="E36" s="15">
        <f>IF(F3="1",SUMIF(Data!$A:$A,$A$2,Data!IO:IO),0)</f>
        <v>6554</v>
      </c>
      <c r="F36" s="20">
        <f t="shared" ref="F36:F64" si="3">IF(OR(D36=0,E36=0),"",ROUND(E36/D36,2))</f>
        <v>0.69</v>
      </c>
    </row>
    <row r="37" spans="1:6" x14ac:dyDescent="0.2">
      <c r="A37" s="19">
        <v>2</v>
      </c>
      <c r="B37" s="143" t="s">
        <v>1</v>
      </c>
      <c r="C37" s="144"/>
      <c r="D37" s="14">
        <f>IF(F3="1",SUMIF(Data!A:A,'32'!$A$2,Data!CV:CV),0)</f>
        <v>35796</v>
      </c>
      <c r="E37" s="17">
        <f>IF(F3="1",SUMIF(Data!$A:$A,$A$2,Data!IP:IP),0)</f>
        <v>51407</v>
      </c>
      <c r="F37" s="21">
        <f t="shared" si="3"/>
        <v>1.44</v>
      </c>
    </row>
    <row r="38" spans="1:6" ht="14.25" customHeight="1" x14ac:dyDescent="0.2">
      <c r="A38" s="19">
        <v>3</v>
      </c>
      <c r="B38" s="143" t="s">
        <v>2</v>
      </c>
      <c r="C38" s="144"/>
      <c r="D38" s="14">
        <f>IF(F3="1",SUMIF(Data!A:A,'32'!$A$2,Data!CW:CW),0)</f>
        <v>171543</v>
      </c>
      <c r="E38" s="17">
        <f>IF($F$3="1",SUMIF(Data!$A:$A,$A$2,Data!IQ:IQ),0)</f>
        <v>108163</v>
      </c>
      <c r="F38" s="21">
        <f t="shared" si="3"/>
        <v>0.63</v>
      </c>
    </row>
    <row r="39" spans="1:6" ht="14.25" customHeight="1" x14ac:dyDescent="0.2">
      <c r="A39" s="19">
        <v>4</v>
      </c>
      <c r="B39" s="143" t="s">
        <v>3</v>
      </c>
      <c r="C39" s="144"/>
      <c r="D39" s="14">
        <f>IF(F3="1",SUMIF(Data!A:A,'32'!$A$2,Data!CX:CX),0)</f>
        <v>112357</v>
      </c>
      <c r="E39" s="17">
        <f>IF($F$3="1",SUMIF(Data!$A:$A,$A$2,Data!IR:IR),0)</f>
        <v>92731</v>
      </c>
      <c r="F39" s="21">
        <f t="shared" si="3"/>
        <v>0.83</v>
      </c>
    </row>
    <row r="40" spans="1:6" x14ac:dyDescent="0.2">
      <c r="A40" s="19">
        <v>5</v>
      </c>
      <c r="B40" s="143" t="s">
        <v>4</v>
      </c>
      <c r="C40" s="144"/>
      <c r="D40" s="14">
        <f>IF(F3="1",SUMIF(Data!A:A,'32'!$A$2,Data!CY:CY),0)</f>
        <v>0</v>
      </c>
      <c r="E40" s="17">
        <f>IF($F$3="1",SUMIF(Data!$A:$A,$A$2,Data!IS:IS),0)</f>
        <v>0</v>
      </c>
      <c r="F40" s="21" t="str">
        <f t="shared" si="3"/>
        <v/>
      </c>
    </row>
    <row r="41" spans="1:6" x14ac:dyDescent="0.2">
      <c r="A41" s="19">
        <v>6</v>
      </c>
      <c r="B41" s="143" t="s">
        <v>5</v>
      </c>
      <c r="C41" s="144"/>
      <c r="D41" s="14">
        <f>IF(F3="1",SUMIF(Data!A:A,'32'!$A$2,Data!CZ:CZ),0)</f>
        <v>4048</v>
      </c>
      <c r="E41" s="17">
        <f>IF($F$3="1",SUMIF(Data!$A:$A,$A$2,Data!IT:IT),0)</f>
        <v>16838</v>
      </c>
      <c r="F41" s="21">
        <f t="shared" si="3"/>
        <v>4.16</v>
      </c>
    </row>
    <row r="42" spans="1:6" x14ac:dyDescent="0.2">
      <c r="A42" s="19">
        <v>7</v>
      </c>
      <c r="B42" s="143" t="s">
        <v>6</v>
      </c>
      <c r="C42" s="144"/>
      <c r="D42" s="14">
        <f>IF(F3="1",SUMIF(Data!A:A,'32'!$A$2,Data!DA:DA),0)</f>
        <v>85198</v>
      </c>
      <c r="E42" s="17">
        <f>IF($F$3="1",SUMIF(Data!$A:$A,$A$2,Data!IU:IU),0)</f>
        <v>149383</v>
      </c>
      <c r="F42" s="21">
        <f t="shared" si="3"/>
        <v>1.75</v>
      </c>
    </row>
    <row r="43" spans="1:6" x14ac:dyDescent="0.2">
      <c r="A43" s="19">
        <v>8</v>
      </c>
      <c r="B43" s="143" t="s">
        <v>7</v>
      </c>
      <c r="C43" s="144"/>
      <c r="D43" s="14">
        <f>IF(F3="1",SUMIF(Data!A:A,'32'!$A$2,Data!DB:DB),0)</f>
        <v>31056</v>
      </c>
      <c r="E43" s="17">
        <f>IF($F$3="1",SUMIF(Data!$A:$A,$A$2,Data!IV:IV),0)</f>
        <v>27628</v>
      </c>
      <c r="F43" s="21">
        <f t="shared" si="3"/>
        <v>0.89</v>
      </c>
    </row>
    <row r="44" spans="1:6" x14ac:dyDescent="0.2">
      <c r="A44" s="19">
        <v>9</v>
      </c>
      <c r="B44" s="143" t="s">
        <v>8</v>
      </c>
      <c r="C44" s="144"/>
      <c r="D44" s="14">
        <f>IF(F3="1",SUMIF(Data!A:A,'32'!$A$2,Data!DC:DC),0)</f>
        <v>150642</v>
      </c>
      <c r="E44" s="17">
        <f>IF($F$3="1",SUMIF(Data!$A:$A,$A$2,Data!IW:IW),0)</f>
        <v>69499</v>
      </c>
      <c r="F44" s="21">
        <f t="shared" si="3"/>
        <v>0.46</v>
      </c>
    </row>
    <row r="45" spans="1:6" x14ac:dyDescent="0.2">
      <c r="A45" s="19">
        <v>10</v>
      </c>
      <c r="B45" s="143" t="s">
        <v>9</v>
      </c>
      <c r="C45" s="144"/>
      <c r="D45" s="14">
        <f>IF(F3="1",SUMIF(Data!A:A,'32'!$A$2,Data!DD:DD),0)</f>
        <v>0</v>
      </c>
      <c r="E45" s="17">
        <f>IF($F$3="1",SUMIF(Data!$A:$A,$A$2,Data!IX:IX),0)</f>
        <v>0</v>
      </c>
      <c r="F45" s="21" t="str">
        <f t="shared" si="3"/>
        <v/>
      </c>
    </row>
    <row r="46" spans="1:6" x14ac:dyDescent="0.2">
      <c r="A46" s="19">
        <v>11</v>
      </c>
      <c r="B46" s="143" t="s">
        <v>10</v>
      </c>
      <c r="C46" s="144"/>
      <c r="D46" s="14">
        <f>IF(F3="1",SUMIF(Data!A:A,'32'!$A$2,Data!DE:DE),0)</f>
        <v>47862</v>
      </c>
      <c r="E46" s="17">
        <f>IF($F$3="1",SUMIF(Data!$A:$A,$A$2,Data!IY:IY),0)</f>
        <v>72330</v>
      </c>
      <c r="F46" s="21">
        <f t="shared" si="3"/>
        <v>1.51</v>
      </c>
    </row>
    <row r="47" spans="1:6" ht="14.25" customHeight="1" x14ac:dyDescent="0.2">
      <c r="A47" s="19">
        <v>12</v>
      </c>
      <c r="B47" s="143" t="s">
        <v>11</v>
      </c>
      <c r="C47" s="144"/>
      <c r="D47" s="14">
        <f>IF(F3="1",SUMIF(Data!A:A,'32'!$A$2,Data!DF:DF),0)</f>
        <v>359329</v>
      </c>
      <c r="E47" s="17">
        <f>IF($F$3="1",SUMIF(Data!$A:$A,$A$2,Data!IZ:IZ),0)</f>
        <v>136447</v>
      </c>
      <c r="F47" s="21">
        <f t="shared" si="3"/>
        <v>0.38</v>
      </c>
    </row>
    <row r="48" spans="1:6" x14ac:dyDescent="0.2">
      <c r="A48" s="19">
        <v>13</v>
      </c>
      <c r="B48" s="143" t="s">
        <v>12</v>
      </c>
      <c r="C48" s="144"/>
      <c r="D48" s="14">
        <f>IF(F3="1",SUMIF(Data!A:A,'32'!$A$2,Data!DG:DG),0)</f>
        <v>19794</v>
      </c>
      <c r="E48" s="17">
        <f>IF($F$3="1",SUMIF(Data!$A:$A,$A$2,Data!JA:JA),0)</f>
        <v>6647</v>
      </c>
      <c r="F48" s="21">
        <f t="shared" si="3"/>
        <v>0.34</v>
      </c>
    </row>
    <row r="49" spans="1:6" ht="14.25" customHeight="1" x14ac:dyDescent="0.2">
      <c r="A49" s="19">
        <v>14</v>
      </c>
      <c r="B49" s="143" t="s">
        <v>464</v>
      </c>
      <c r="C49" s="144"/>
      <c r="D49" s="14">
        <f>IF(F3="1",SUMIF(Data!A:A,'32'!$A$2,Data!DH:DH),0)</f>
        <v>95582</v>
      </c>
      <c r="E49" s="17">
        <f>IF($F$3="1",SUMIF(Data!$A:$A,$A$2,Data!JB:JB),0)</f>
        <v>82887</v>
      </c>
      <c r="F49" s="21">
        <f t="shared" si="3"/>
        <v>0.87</v>
      </c>
    </row>
    <row r="50" spans="1:6" x14ac:dyDescent="0.2">
      <c r="A50" s="19">
        <v>15</v>
      </c>
      <c r="B50" s="143" t="s">
        <v>13</v>
      </c>
      <c r="C50" s="144"/>
      <c r="D50" s="14">
        <f>IF(F3="1",SUMIF(Data!A:A,'32'!$A$2,Data!DI:DI),0)</f>
        <v>0</v>
      </c>
      <c r="E50" s="17">
        <f>IF($F$3="1",SUMIF(Data!$A:$A,$A$2,Data!JC:JC),0)</f>
        <v>0</v>
      </c>
      <c r="F50" s="21" t="str">
        <f t="shared" si="3"/>
        <v/>
      </c>
    </row>
    <row r="51" spans="1:6" x14ac:dyDescent="0.2">
      <c r="A51" s="19">
        <v>16</v>
      </c>
      <c r="B51" s="143" t="s">
        <v>14</v>
      </c>
      <c r="C51" s="144"/>
      <c r="D51" s="14">
        <f>IF(F3="1",SUMIF(Data!A:A,'32'!$A$2,Data!DJ:DJ),0)</f>
        <v>147631</v>
      </c>
      <c r="E51" s="17">
        <f>IF($F$3="1",SUMIF(Data!$A:$A,$A$2,Data!JD:JD),0)</f>
        <v>80919</v>
      </c>
      <c r="F51" s="21">
        <f t="shared" si="3"/>
        <v>0.55000000000000004</v>
      </c>
    </row>
    <row r="52" spans="1:6" x14ac:dyDescent="0.2">
      <c r="A52" s="19">
        <v>17</v>
      </c>
      <c r="B52" s="143" t="s">
        <v>15</v>
      </c>
      <c r="C52" s="144"/>
      <c r="D52" s="14">
        <f>IF(F3="1",SUMIF(Data!A:A,'32'!$A$2,Data!DK:DK),0)</f>
        <v>30896</v>
      </c>
      <c r="E52" s="17">
        <f>IF($F$3="1",SUMIF(Data!$A:$A,$A$2,Data!JE:JE),0)</f>
        <v>16660</v>
      </c>
      <c r="F52" s="21">
        <f t="shared" si="3"/>
        <v>0.54</v>
      </c>
    </row>
    <row r="53" spans="1:6" x14ac:dyDescent="0.2">
      <c r="A53" s="19">
        <v>18</v>
      </c>
      <c r="B53" s="143" t="s">
        <v>16</v>
      </c>
      <c r="C53" s="144"/>
      <c r="D53" s="14">
        <f>IF(F3="1",SUMIF(Data!A:A,'32'!$A$2,Data!DL:DL),0)</f>
        <v>74816</v>
      </c>
      <c r="E53" s="17">
        <f>IF($F$3="1",SUMIF(Data!$A:$A,$A$2,Data!JF:JF),0)</f>
        <v>31436</v>
      </c>
      <c r="F53" s="21">
        <f t="shared" si="3"/>
        <v>0.42</v>
      </c>
    </row>
    <row r="54" spans="1:6" x14ac:dyDescent="0.2">
      <c r="A54" s="19">
        <v>19</v>
      </c>
      <c r="B54" s="143" t="s">
        <v>17</v>
      </c>
      <c r="C54" s="144"/>
      <c r="D54" s="14">
        <f>IF(F3="1",SUMIF(Data!A:A,'32'!$A$2,Data!DM:DM),0)</f>
        <v>209728</v>
      </c>
      <c r="E54" s="17">
        <f>IF($F$3="1",SUMIF(Data!$A:$A,$A$2,Data!JG:JG),0)</f>
        <v>36705</v>
      </c>
      <c r="F54" s="21">
        <f t="shared" si="3"/>
        <v>0.18</v>
      </c>
    </row>
    <row r="55" spans="1:6" x14ac:dyDescent="0.2">
      <c r="A55" s="19">
        <v>20</v>
      </c>
      <c r="B55" s="143" t="s">
        <v>18</v>
      </c>
      <c r="C55" s="144"/>
      <c r="D55" s="14">
        <f>IF(F3="1",SUMIF(Data!A:A,'32'!$A$2,Data!DN:DN),0)</f>
        <v>39276</v>
      </c>
      <c r="E55" s="17">
        <f>IF($F$3="1",SUMIF(Data!$A:$A,$A$2,Data!JH:JH),0)</f>
        <v>28835</v>
      </c>
      <c r="F55" s="21">
        <f t="shared" si="3"/>
        <v>0.73</v>
      </c>
    </row>
    <row r="56" spans="1:6" ht="14.25" customHeight="1" x14ac:dyDescent="0.2">
      <c r="A56" s="19">
        <v>21</v>
      </c>
      <c r="B56" s="143" t="s">
        <v>461</v>
      </c>
      <c r="C56" s="144"/>
      <c r="D56" s="14">
        <f>IF(F3="1",SUMIF(Data!A:A,'32'!$A$2,Data!DO:DO),0)</f>
        <v>46520</v>
      </c>
      <c r="E56" s="17">
        <f>IF($F$3="1",SUMIF(Data!$A:$A,$A$2,Data!JI:JI),0)</f>
        <v>457725</v>
      </c>
      <c r="F56" s="21">
        <f t="shared" si="3"/>
        <v>9.84</v>
      </c>
    </row>
    <row r="57" spans="1:6" x14ac:dyDescent="0.2">
      <c r="A57" s="19">
        <v>22</v>
      </c>
      <c r="B57" s="143" t="s">
        <v>19</v>
      </c>
      <c r="C57" s="144"/>
      <c r="D57" s="14">
        <f>IF(F3="1",SUMIF(Data!A:A,'32'!$A$2,Data!DP:DP),0)</f>
        <v>7232</v>
      </c>
      <c r="E57" s="17">
        <f>IF($F$3="1",SUMIF(Data!$A:$A,$A$2,Data!JJ:JJ),0)</f>
        <v>9388</v>
      </c>
      <c r="F57" s="21">
        <f t="shared" si="3"/>
        <v>1.3</v>
      </c>
    </row>
    <row r="58" spans="1:6" x14ac:dyDescent="0.2">
      <c r="A58" s="19">
        <v>23</v>
      </c>
      <c r="B58" s="143" t="s">
        <v>20</v>
      </c>
      <c r="C58" s="144"/>
      <c r="D58" s="14">
        <f>IF(F3="1",SUMIF(Data!A:A,'32'!$A$2,Data!DQ:DQ),0)</f>
        <v>102656</v>
      </c>
      <c r="E58" s="17">
        <f>IF($F$3="1",SUMIF(Data!$A:$A,$A$2,Data!JK:JK),0)</f>
        <v>58596</v>
      </c>
      <c r="F58" s="21">
        <f t="shared" si="3"/>
        <v>0.56999999999999995</v>
      </c>
    </row>
    <row r="59" spans="1:6" x14ac:dyDescent="0.2">
      <c r="A59" s="19">
        <v>24</v>
      </c>
      <c r="B59" s="143" t="s">
        <v>21</v>
      </c>
      <c r="C59" s="144"/>
      <c r="D59" s="14">
        <f>IF(F3="1",SUMIF(Data!A:A,'32'!$A$2,Data!DR:DR),0)</f>
        <v>124752</v>
      </c>
      <c r="E59" s="17">
        <f>IF($F$3="1",SUMIF(Data!$A:$A,$A$2,Data!JL:JL),0)</f>
        <v>109635</v>
      </c>
      <c r="F59" s="21">
        <f t="shared" si="3"/>
        <v>0.88</v>
      </c>
    </row>
    <row r="60" spans="1:6" x14ac:dyDescent="0.2">
      <c r="A60" s="19">
        <v>25</v>
      </c>
      <c r="B60" s="143" t="s">
        <v>22</v>
      </c>
      <c r="C60" s="144"/>
      <c r="D60" s="14">
        <f>IF(F3="1",SUMIF(Data!A:A,'32'!$A$2,Data!DS:DS),0)</f>
        <v>256428</v>
      </c>
      <c r="E60" s="17">
        <f>IF($F$3="1",SUMIF(Data!$A:$A,$A$2,Data!JM:JM),0)</f>
        <v>31824</v>
      </c>
      <c r="F60" s="21">
        <f t="shared" si="3"/>
        <v>0.12</v>
      </c>
    </row>
    <row r="61" spans="1:6" x14ac:dyDescent="0.2">
      <c r="A61" s="19">
        <v>26</v>
      </c>
      <c r="B61" s="143" t="s">
        <v>23</v>
      </c>
      <c r="C61" s="144"/>
      <c r="D61" s="14">
        <f>IF(F3="1",SUMIF(Data!A:A,'32'!$A$2,Data!DT:DT),0)</f>
        <v>68320</v>
      </c>
      <c r="E61" s="17">
        <f>IF($F$3="1",SUMIF(Data!$A:$A,$A$2,Data!JN:JN),0)</f>
        <v>110113</v>
      </c>
      <c r="F61" s="21">
        <f t="shared" si="3"/>
        <v>1.61</v>
      </c>
    </row>
    <row r="62" spans="1:6" x14ac:dyDescent="0.2">
      <c r="A62" s="19">
        <v>28</v>
      </c>
      <c r="B62" s="143" t="s">
        <v>24</v>
      </c>
      <c r="C62" s="144"/>
      <c r="D62" s="14">
        <f>IF(F3="1",SUMIF(Data!A:A,'32'!$A$2,Data!DV:DV),0)</f>
        <v>0</v>
      </c>
      <c r="E62" s="17">
        <f>IF($F$3="1",SUMIF(Data!$A:$A,$A$2,Data!JP:JP),0)</f>
        <v>0</v>
      </c>
      <c r="F62" s="21" t="str">
        <f t="shared" si="3"/>
        <v/>
      </c>
    </row>
    <row r="63" spans="1:6" ht="15.75" customHeight="1" thickBot="1" x14ac:dyDescent="0.25">
      <c r="A63" s="22">
        <v>29</v>
      </c>
      <c r="B63" s="147" t="s">
        <v>25</v>
      </c>
      <c r="C63" s="148"/>
      <c r="D63" s="23">
        <f>IF(F3="1",SUMIF(Data!A:A,'32'!$A$2,Data!DW:DW),0)</f>
        <v>0</v>
      </c>
      <c r="E63" s="24">
        <f>IF($F$3="1",SUMIF(Data!$A:$A,$A$2,Data!JQ:JQ),0)</f>
        <v>0</v>
      </c>
      <c r="F63" s="25" t="str">
        <f t="shared" si="3"/>
        <v/>
      </c>
    </row>
    <row r="64" spans="1:6" x14ac:dyDescent="0.2">
      <c r="B64" s="30" t="s">
        <v>35</v>
      </c>
      <c r="C64" s="30"/>
      <c r="D64" s="59">
        <f>SUM(D36:D63)</f>
        <v>2230934</v>
      </c>
      <c r="E64" s="31">
        <f>SUM(E36:E63)</f>
        <v>1792350</v>
      </c>
      <c r="F64" s="32">
        <f t="shared" si="3"/>
        <v>0.8</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9472</v>
      </c>
      <c r="E67" s="15">
        <f>IF(F3="1",SUMIF(Data!A:A,'32'!$A$2,Data!DY:DY),0)</f>
        <v>14019</v>
      </c>
      <c r="F67" s="20">
        <f t="shared" ref="F67:F95" si="4">IF(OR(D67=0,E67=0),"",ROUND(E67/D67,2))</f>
        <v>1.48</v>
      </c>
    </row>
    <row r="68" spans="1:6" x14ac:dyDescent="0.2">
      <c r="A68" s="19">
        <v>2</v>
      </c>
      <c r="B68" s="143" t="s">
        <v>1</v>
      </c>
      <c r="C68" s="144"/>
      <c r="D68" s="14">
        <f t="shared" ref="D68:D94" si="5">D37</f>
        <v>35796</v>
      </c>
      <c r="E68" s="17">
        <f>IF(F3="1",SUMIF(Data!A:A,'32'!$A$2,Data!DZ:DZ),0)</f>
        <v>132030</v>
      </c>
      <c r="F68" s="21">
        <f t="shared" si="4"/>
        <v>3.69</v>
      </c>
    </row>
    <row r="69" spans="1:6" ht="14.25" customHeight="1" x14ac:dyDescent="0.2">
      <c r="A69" s="19">
        <v>3</v>
      </c>
      <c r="B69" s="143" t="s">
        <v>2</v>
      </c>
      <c r="C69" s="144"/>
      <c r="D69" s="14">
        <f t="shared" si="5"/>
        <v>171543</v>
      </c>
      <c r="E69" s="17">
        <f>IF(F3="1",SUMIF(Data!A:A,'32'!$A$2,Data!EA:EA),0)</f>
        <v>403397</v>
      </c>
      <c r="F69" s="21">
        <f t="shared" si="4"/>
        <v>2.35</v>
      </c>
    </row>
    <row r="70" spans="1:6" ht="14.25" customHeight="1" x14ac:dyDescent="0.2">
      <c r="A70" s="19">
        <v>4</v>
      </c>
      <c r="B70" s="143" t="s">
        <v>3</v>
      </c>
      <c r="C70" s="144"/>
      <c r="D70" s="14">
        <f t="shared" si="5"/>
        <v>112357</v>
      </c>
      <c r="E70" s="17">
        <f>IF(F3="1",SUMIF(Data!A:A,'32'!$A$2,Data!EB:EB),0)</f>
        <v>380857</v>
      </c>
      <c r="F70" s="21">
        <f t="shared" si="4"/>
        <v>3.39</v>
      </c>
    </row>
    <row r="71" spans="1:6" x14ac:dyDescent="0.2">
      <c r="A71" s="19">
        <v>5</v>
      </c>
      <c r="B71" s="143" t="s">
        <v>4</v>
      </c>
      <c r="C71" s="144"/>
      <c r="D71" s="14">
        <f t="shared" si="5"/>
        <v>0</v>
      </c>
      <c r="E71" s="17">
        <f>IF(F3="1",SUMIF(Data!A:A,'32'!$A$2,Data!EC:EC),0)</f>
        <v>0</v>
      </c>
      <c r="F71" s="21" t="str">
        <f t="shared" si="4"/>
        <v/>
      </c>
    </row>
    <row r="72" spans="1:6" x14ac:dyDescent="0.2">
      <c r="A72" s="19">
        <v>6</v>
      </c>
      <c r="B72" s="143" t="s">
        <v>5</v>
      </c>
      <c r="C72" s="144"/>
      <c r="D72" s="14">
        <f t="shared" si="5"/>
        <v>4048</v>
      </c>
      <c r="E72" s="17">
        <f>IF(F3="1",SUMIF(Data!A:A,'32'!$A$2,Data!ED:ED),0)</f>
        <v>6047</v>
      </c>
      <c r="F72" s="21">
        <f t="shared" si="4"/>
        <v>1.49</v>
      </c>
    </row>
    <row r="73" spans="1:6" x14ac:dyDescent="0.2">
      <c r="A73" s="19">
        <v>7</v>
      </c>
      <c r="B73" s="143" t="s">
        <v>6</v>
      </c>
      <c r="C73" s="144"/>
      <c r="D73" s="14">
        <f t="shared" si="5"/>
        <v>85198</v>
      </c>
      <c r="E73" s="17">
        <f>IF(F3="1",SUMIF(Data!A:A,'32'!$A$2,Data!EE:EE),0)</f>
        <v>205904</v>
      </c>
      <c r="F73" s="21">
        <f t="shared" si="4"/>
        <v>2.42</v>
      </c>
    </row>
    <row r="74" spans="1:6" x14ac:dyDescent="0.2">
      <c r="A74" s="19">
        <v>8</v>
      </c>
      <c r="B74" s="143" t="s">
        <v>7</v>
      </c>
      <c r="C74" s="144"/>
      <c r="D74" s="14">
        <f t="shared" si="5"/>
        <v>31056</v>
      </c>
      <c r="E74" s="17">
        <f>IF(F3="1",SUMIF(Data!A:A,'32'!$A$2,Data!EF:EF),0)</f>
        <v>40734</v>
      </c>
      <c r="F74" s="21">
        <f t="shared" si="4"/>
        <v>1.31</v>
      </c>
    </row>
    <row r="75" spans="1:6" x14ac:dyDescent="0.2">
      <c r="A75" s="19">
        <v>9</v>
      </c>
      <c r="B75" s="143" t="s">
        <v>8</v>
      </c>
      <c r="C75" s="144"/>
      <c r="D75" s="14">
        <f t="shared" si="5"/>
        <v>150642</v>
      </c>
      <c r="E75" s="17">
        <f>IF(F3="1",SUMIF(Data!A:A,'32'!$A$2,Data!EG:EG),0)</f>
        <v>417090</v>
      </c>
      <c r="F75" s="21">
        <f t="shared" si="4"/>
        <v>2.77</v>
      </c>
    </row>
    <row r="76" spans="1:6" x14ac:dyDescent="0.2">
      <c r="A76" s="19">
        <v>10</v>
      </c>
      <c r="B76" s="143" t="s">
        <v>9</v>
      </c>
      <c r="C76" s="144"/>
      <c r="D76" s="14">
        <f t="shared" si="5"/>
        <v>0</v>
      </c>
      <c r="E76" s="17">
        <f>IF(F3="1",SUMIF(Data!A:A,'32'!$A$2,Data!EH:EH),0)</f>
        <v>0</v>
      </c>
      <c r="F76" s="21" t="str">
        <f t="shared" si="4"/>
        <v/>
      </c>
    </row>
    <row r="77" spans="1:6" x14ac:dyDescent="0.2">
      <c r="A77" s="19">
        <v>11</v>
      </c>
      <c r="B77" s="143" t="s">
        <v>10</v>
      </c>
      <c r="C77" s="144"/>
      <c r="D77" s="14">
        <f t="shared" si="5"/>
        <v>47862</v>
      </c>
      <c r="E77" s="17">
        <f>IF(F3="1",SUMIF(Data!A:A,'32'!$A$2,Data!EI:EI),0)</f>
        <v>213165</v>
      </c>
      <c r="F77" s="21">
        <f t="shared" si="4"/>
        <v>4.45</v>
      </c>
    </row>
    <row r="78" spans="1:6" ht="14.25" customHeight="1" x14ac:dyDescent="0.2">
      <c r="A78" s="19">
        <v>12</v>
      </c>
      <c r="B78" s="143" t="s">
        <v>11</v>
      </c>
      <c r="C78" s="144"/>
      <c r="D78" s="14">
        <f t="shared" si="5"/>
        <v>359329</v>
      </c>
      <c r="E78" s="17">
        <f>IF(F3="1",SUMIF(Data!A:A,'32'!$A$2,Data!EJ:EJ),0)</f>
        <v>906575</v>
      </c>
      <c r="F78" s="21">
        <f t="shared" si="4"/>
        <v>2.52</v>
      </c>
    </row>
    <row r="79" spans="1:6" x14ac:dyDescent="0.2">
      <c r="A79" s="19">
        <v>13</v>
      </c>
      <c r="B79" s="143" t="s">
        <v>12</v>
      </c>
      <c r="C79" s="144"/>
      <c r="D79" s="14">
        <f t="shared" si="5"/>
        <v>19794</v>
      </c>
      <c r="E79" s="17">
        <f>IF(F3="1",SUMIF(Data!A:A,'32'!$A$2,Data!EK:EK),0)</f>
        <v>54982</v>
      </c>
      <c r="F79" s="21">
        <f t="shared" si="4"/>
        <v>2.78</v>
      </c>
    </row>
    <row r="80" spans="1:6" ht="14.25" customHeight="1" x14ac:dyDescent="0.2">
      <c r="A80" s="19">
        <v>14</v>
      </c>
      <c r="B80" s="143" t="s">
        <v>464</v>
      </c>
      <c r="C80" s="144"/>
      <c r="D80" s="14">
        <f t="shared" si="5"/>
        <v>95582</v>
      </c>
      <c r="E80" s="17">
        <f>IF(F3="1",SUMIF(Data!A:A,'32'!$A$2,Data!EL:EL),0)</f>
        <v>678987</v>
      </c>
      <c r="F80" s="21">
        <f t="shared" si="4"/>
        <v>7.1</v>
      </c>
    </row>
    <row r="81" spans="1:6" x14ac:dyDescent="0.2">
      <c r="A81" s="19">
        <v>15</v>
      </c>
      <c r="B81" s="143" t="s">
        <v>13</v>
      </c>
      <c r="C81" s="144"/>
      <c r="D81" s="14">
        <f t="shared" si="5"/>
        <v>0</v>
      </c>
      <c r="E81" s="17">
        <f>IF(F3="1",SUMIF(Data!A:A,'32'!$A$2,Data!EM:EM),0)</f>
        <v>0</v>
      </c>
      <c r="F81" s="21" t="str">
        <f t="shared" si="4"/>
        <v/>
      </c>
    </row>
    <row r="82" spans="1:6" x14ac:dyDescent="0.2">
      <c r="A82" s="19">
        <v>16</v>
      </c>
      <c r="B82" s="143" t="s">
        <v>14</v>
      </c>
      <c r="C82" s="144"/>
      <c r="D82" s="14">
        <f t="shared" si="5"/>
        <v>147631</v>
      </c>
      <c r="E82" s="17">
        <f>IF(F3="1",SUMIF(Data!A:A,'32'!$A$2,Data!EN:EN),0)</f>
        <v>524504</v>
      </c>
      <c r="F82" s="21">
        <f t="shared" si="4"/>
        <v>3.55</v>
      </c>
    </row>
    <row r="83" spans="1:6" x14ac:dyDescent="0.2">
      <c r="A83" s="19">
        <v>17</v>
      </c>
      <c r="B83" s="143" t="s">
        <v>15</v>
      </c>
      <c r="C83" s="144"/>
      <c r="D83" s="14">
        <f t="shared" si="5"/>
        <v>30896</v>
      </c>
      <c r="E83" s="17">
        <f>IF(F3="1",SUMIF(Data!A:A,'32'!$A$2,Data!EO:EO),0)</f>
        <v>134317</v>
      </c>
      <c r="F83" s="21">
        <f t="shared" si="4"/>
        <v>4.3499999999999996</v>
      </c>
    </row>
    <row r="84" spans="1:6" x14ac:dyDescent="0.2">
      <c r="A84" s="19">
        <v>18</v>
      </c>
      <c r="B84" s="143" t="s">
        <v>16</v>
      </c>
      <c r="C84" s="144"/>
      <c r="D84" s="14">
        <f t="shared" si="5"/>
        <v>74816</v>
      </c>
      <c r="E84" s="17">
        <f>IF(F3="1",SUMIF(Data!A:A,'32'!$A$2,Data!EP:EP),0)</f>
        <v>186531</v>
      </c>
      <c r="F84" s="21">
        <f t="shared" si="4"/>
        <v>2.4900000000000002</v>
      </c>
    </row>
    <row r="85" spans="1:6" x14ac:dyDescent="0.2">
      <c r="A85" s="19">
        <v>19</v>
      </c>
      <c r="B85" s="143" t="s">
        <v>17</v>
      </c>
      <c r="C85" s="144"/>
      <c r="D85" s="14">
        <f t="shared" si="5"/>
        <v>209728</v>
      </c>
      <c r="E85" s="17">
        <f>IF(F3="1",SUMIF(Data!A:A,'32'!$A$2,Data!EQ:EQ),0)</f>
        <v>465940</v>
      </c>
      <c r="F85" s="21">
        <f t="shared" si="4"/>
        <v>2.2200000000000002</v>
      </c>
    </row>
    <row r="86" spans="1:6" x14ac:dyDescent="0.2">
      <c r="A86" s="19">
        <v>20</v>
      </c>
      <c r="B86" s="143" t="s">
        <v>18</v>
      </c>
      <c r="C86" s="144"/>
      <c r="D86" s="14">
        <f t="shared" si="5"/>
        <v>39276</v>
      </c>
      <c r="E86" s="17">
        <f>IF(F3="1",SUMIF(Data!A:A,'32'!$A$2,Data!ER:ER),0)</f>
        <v>73504</v>
      </c>
      <c r="F86" s="21">
        <f t="shared" si="4"/>
        <v>1.87</v>
      </c>
    </row>
    <row r="87" spans="1:6" ht="14.25" customHeight="1" x14ac:dyDescent="0.2">
      <c r="A87" s="19">
        <v>21</v>
      </c>
      <c r="B87" s="143" t="s">
        <v>461</v>
      </c>
      <c r="C87" s="144"/>
      <c r="D87" s="14">
        <f t="shared" si="5"/>
        <v>46520</v>
      </c>
      <c r="E87" s="17">
        <f>IF(F3="1",SUMIF(Data!A:A,'32'!$A$2,Data!ES:ES),0)</f>
        <v>44972</v>
      </c>
      <c r="F87" s="21">
        <f t="shared" si="4"/>
        <v>0.97</v>
      </c>
    </row>
    <row r="88" spans="1:6" x14ac:dyDescent="0.2">
      <c r="A88" s="19">
        <v>22</v>
      </c>
      <c r="B88" s="143" t="s">
        <v>19</v>
      </c>
      <c r="C88" s="144"/>
      <c r="D88" s="14">
        <f t="shared" si="5"/>
        <v>7232</v>
      </c>
      <c r="E88" s="17">
        <f>IF(F3="1",SUMIF(Data!A:A,'32'!$A$2,Data!ET:ET),0)</f>
        <v>14307</v>
      </c>
      <c r="F88" s="21">
        <f t="shared" si="4"/>
        <v>1.98</v>
      </c>
    </row>
    <row r="89" spans="1:6" x14ac:dyDescent="0.2">
      <c r="A89" s="19">
        <v>23</v>
      </c>
      <c r="B89" s="143" t="s">
        <v>20</v>
      </c>
      <c r="C89" s="144"/>
      <c r="D89" s="14">
        <f t="shared" si="5"/>
        <v>102656</v>
      </c>
      <c r="E89" s="17">
        <f>IF(F3="1",SUMIF(Data!A:A,'32'!$A$2,Data!EU:EU),0)</f>
        <v>253626</v>
      </c>
      <c r="F89" s="21">
        <f t="shared" si="4"/>
        <v>2.4700000000000002</v>
      </c>
    </row>
    <row r="90" spans="1:6" x14ac:dyDescent="0.2">
      <c r="A90" s="19">
        <v>24</v>
      </c>
      <c r="B90" s="143" t="s">
        <v>21</v>
      </c>
      <c r="C90" s="144"/>
      <c r="D90" s="14">
        <f t="shared" si="5"/>
        <v>124752</v>
      </c>
      <c r="E90" s="17">
        <f>IF(F3="1",SUMIF(Data!A:A,'32'!$A$2,Data!EV:EV),0)</f>
        <v>355539</v>
      </c>
      <c r="F90" s="21">
        <f t="shared" si="4"/>
        <v>2.85</v>
      </c>
    </row>
    <row r="91" spans="1:6" x14ac:dyDescent="0.2">
      <c r="A91" s="19">
        <v>25</v>
      </c>
      <c r="B91" s="143" t="s">
        <v>22</v>
      </c>
      <c r="C91" s="144"/>
      <c r="D91" s="14">
        <f t="shared" si="5"/>
        <v>256428</v>
      </c>
      <c r="E91" s="17">
        <f>IF(F3="1",SUMIF(Data!A:A,'32'!$A$2,Data!EW:EW),0)</f>
        <v>668278</v>
      </c>
      <c r="F91" s="21">
        <f t="shared" si="4"/>
        <v>2.61</v>
      </c>
    </row>
    <row r="92" spans="1:6" x14ac:dyDescent="0.2">
      <c r="A92" s="19">
        <v>26</v>
      </c>
      <c r="B92" s="143" t="s">
        <v>23</v>
      </c>
      <c r="C92" s="144"/>
      <c r="D92" s="14">
        <f t="shared" si="5"/>
        <v>68320</v>
      </c>
      <c r="E92" s="17">
        <f>IF(F3="1",SUMIF(Data!A:A,'32'!$A$2,Data!EX:EX),0)</f>
        <v>359200</v>
      </c>
      <c r="F92" s="21">
        <f t="shared" si="4"/>
        <v>5.26</v>
      </c>
    </row>
    <row r="93" spans="1:6" x14ac:dyDescent="0.2">
      <c r="A93" s="19">
        <v>28</v>
      </c>
      <c r="B93" s="143" t="s">
        <v>24</v>
      </c>
      <c r="C93" s="144"/>
      <c r="D93" s="14">
        <f t="shared" si="5"/>
        <v>0</v>
      </c>
      <c r="E93" s="17">
        <f>IF(F3="1",SUMIF(Data!A:A,'32'!$A$2,Data!EZ:EZ),0)</f>
        <v>0</v>
      </c>
      <c r="F93" s="21" t="str">
        <f t="shared" si="4"/>
        <v/>
      </c>
    </row>
    <row r="94" spans="1:6" ht="15.75" customHeight="1" thickBot="1" x14ac:dyDescent="0.25">
      <c r="A94" s="22">
        <v>29</v>
      </c>
      <c r="B94" s="147" t="s">
        <v>25</v>
      </c>
      <c r="C94" s="148"/>
      <c r="D94" s="23">
        <f t="shared" si="5"/>
        <v>0</v>
      </c>
      <c r="E94" s="24">
        <f>IF(F3="1",SUMIF(Data!A:A,'32'!$A$2,Data!FA:FA),0)</f>
        <v>0</v>
      </c>
      <c r="F94" s="25" t="str">
        <f t="shared" si="4"/>
        <v/>
      </c>
    </row>
    <row r="95" spans="1:6" x14ac:dyDescent="0.2">
      <c r="B95" s="30" t="s">
        <v>35</v>
      </c>
      <c r="C95" s="30"/>
      <c r="D95" s="59">
        <f>SUM(D67:D94)</f>
        <v>2230934</v>
      </c>
      <c r="E95" s="31">
        <f>SUM(E67:E94)</f>
        <v>6534505</v>
      </c>
      <c r="F95" s="32">
        <f t="shared" si="4"/>
        <v>2.93</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IF(F3="1",SUMIF(Data!A:A,'32'!$A$2,Data!AH:AH),0)</f>
        <v>2619212</v>
      </c>
      <c r="F98" s="20">
        <f>IF(OR(E98=0,E98=0),"",ROUND(E98/$D$105,2))</f>
        <v>1.17</v>
      </c>
    </row>
    <row r="99" spans="2:6" x14ac:dyDescent="0.2">
      <c r="B99" s="153" t="s">
        <v>31</v>
      </c>
      <c r="C99" s="154"/>
      <c r="D99" s="36"/>
      <c r="E99" s="17">
        <f>IF(F3="1",SUMIF(Data!A:A,'32'!$A$2,Data!AI:AI),0)</f>
        <v>1422767</v>
      </c>
      <c r="F99" s="21">
        <f t="shared" ref="F99:F104" si="6">IF(OR(E99=0,E99=0),"",ROUND(E99/$D$105,2))</f>
        <v>0.64</v>
      </c>
    </row>
    <row r="100" spans="2:6" x14ac:dyDescent="0.2">
      <c r="B100" s="153" t="s">
        <v>1078</v>
      </c>
      <c r="C100" s="154"/>
      <c r="D100" s="36"/>
      <c r="E100" s="17">
        <f>IF(F3="1",SUMIF(Data!A:A,'32'!$A$2,Data!AJ:AJ),0)</f>
        <v>556111</v>
      </c>
      <c r="F100" s="21">
        <f t="shared" si="6"/>
        <v>0.25</v>
      </c>
    </row>
    <row r="101" spans="2:6" x14ac:dyDescent="0.2">
      <c r="B101" s="153" t="s">
        <v>1079</v>
      </c>
      <c r="C101" s="154"/>
      <c r="D101" s="36"/>
      <c r="E101" s="17">
        <f>IF(F3="1",SUMIF(Data!A:A,'32'!$A$2,Data!AK:AK),0)</f>
        <v>889072</v>
      </c>
      <c r="F101" s="21">
        <f t="shared" si="6"/>
        <v>0.4</v>
      </c>
    </row>
    <row r="102" spans="2:6" x14ac:dyDescent="0.2">
      <c r="B102" s="153" t="s">
        <v>1080</v>
      </c>
      <c r="C102" s="154"/>
      <c r="D102" s="36"/>
      <c r="E102" s="17">
        <f>IF(F3="1",SUMIF(Data!A:A,'32'!$A$2,Data!AL:AL),0)</f>
        <v>419953</v>
      </c>
      <c r="F102" s="21">
        <f t="shared" si="6"/>
        <v>0.19</v>
      </c>
    </row>
    <row r="103" spans="2:6" x14ac:dyDescent="0.2">
      <c r="B103" s="155" t="s">
        <v>34</v>
      </c>
      <c r="C103" s="156"/>
      <c r="D103" s="36"/>
      <c r="E103" s="17">
        <f>IF(F3="1",SUMIF(Data!A:A,'32'!$A$2,Data!AM:AM),0)</f>
        <v>0</v>
      </c>
      <c r="F103" s="21" t="str">
        <f t="shared" si="6"/>
        <v/>
      </c>
    </row>
    <row r="104" spans="2:6" ht="15.75" customHeight="1" thickBot="1" x14ac:dyDescent="0.25">
      <c r="B104" s="149" t="s">
        <v>29</v>
      </c>
      <c r="C104" s="150"/>
      <c r="D104" s="37"/>
      <c r="E104" s="24">
        <f>IF(F3="1",SUMIF(Data!A:A,'32'!$A$2,Data!Q:Q),0)</f>
        <v>1116446</v>
      </c>
      <c r="F104" s="25">
        <f t="shared" si="6"/>
        <v>0.5</v>
      </c>
    </row>
    <row r="105" spans="2:6" x14ac:dyDescent="0.2">
      <c r="B105" s="30" t="s">
        <v>35</v>
      </c>
      <c r="C105" s="30"/>
      <c r="D105" s="34">
        <f>D95</f>
        <v>2230934</v>
      </c>
      <c r="E105" s="31">
        <f>SUM(E98:E104)</f>
        <v>7023561</v>
      </c>
      <c r="F105" s="32">
        <f>IF($D$105=0,"",ROUND(E105/$D$105,2))</f>
        <v>3.15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6534505</v>
      </c>
      <c r="D109" s="15">
        <f>IF(F3="1",SUMIF(Data!$A:$A,$A$2,Data!HJ:HJ),0)</f>
        <v>0</v>
      </c>
      <c r="E109" s="15">
        <f>IF(F3="1",SUMIF(Data!$A:$A,$A$2,Data!IN:IN),0)</f>
        <v>0</v>
      </c>
      <c r="F109" s="47">
        <f>SUM(C109:E109)</f>
        <v>6534505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419953</v>
      </c>
      <c r="F116" s="48">
        <f t="shared" si="7"/>
        <v>419953</v>
      </c>
    </row>
    <row r="117" spans="1:6" ht="15" thickBot="1" x14ac:dyDescent="0.25">
      <c r="B117" s="43" t="s">
        <v>933</v>
      </c>
      <c r="C117" s="52"/>
      <c r="D117" s="52">
        <f>IF(F3="1",SUMIF(Data!A:A,$A$2,Data!Q:Q),0)</f>
        <v>1116446</v>
      </c>
      <c r="E117" s="52"/>
      <c r="F117" s="49">
        <f>SUM(C117:E117)</f>
        <v>1116446</v>
      </c>
    </row>
    <row r="118" spans="1:6" x14ac:dyDescent="0.2">
      <c r="B118" s="13" t="s">
        <v>35</v>
      </c>
      <c r="C118" s="4">
        <f>SUM(C109:C116)</f>
        <v>6534505</v>
      </c>
      <c r="D118" s="4">
        <f>SUM(D109:D116)</f>
        <v>0</v>
      </c>
      <c r="E118" s="4">
        <f>SUM(E109:E116)</f>
        <v>419953</v>
      </c>
      <c r="F118" s="4">
        <f>SUM(F109:F116)</f>
        <v>6954458</v>
      </c>
    </row>
    <row r="119" spans="1:6" ht="15" thickBot="1" x14ac:dyDescent="0.25"/>
    <row r="120" spans="1:6" ht="15" thickBot="1" x14ac:dyDescent="0.25">
      <c r="B120" s="55" t="s">
        <v>934</v>
      </c>
      <c r="C120" s="53"/>
      <c r="D120" s="53"/>
      <c r="E120" s="53">
        <f>IF(F3="1",SUMIF(Data!A:A,'32'!$A$2,Data!AM:AM),0)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388</v>
      </c>
      <c r="B2" s="58" t="str">
        <f>VLOOKUP(A2,Data!A:G,7,0)</f>
        <v>Panola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33395</v>
      </c>
      <c r="E5" s="15">
        <f>E36+E67+IFERROR($E$105/$D$105*D5,0)</f>
        <v>282663.59551573638</v>
      </c>
      <c r="F5" s="20">
        <f>IF(OR(D5=0,E5=0),"",ROUND(E5/D5,2))</f>
        <v>8.4600000000000009</v>
      </c>
    </row>
    <row r="6" spans="1:6" x14ac:dyDescent="0.2">
      <c r="A6" s="19">
        <v>2</v>
      </c>
      <c r="B6" s="143" t="s">
        <v>1</v>
      </c>
      <c r="C6" s="144"/>
      <c r="D6" s="14">
        <f t="shared" ref="D6:D32" si="0">D37</f>
        <v>19602</v>
      </c>
      <c r="E6" s="17">
        <f t="shared" ref="E6:E32" si="1">E37+E68+IFERROR($E$105/$D$105*D6,0)</f>
        <v>139481.66756399054</v>
      </c>
      <c r="F6" s="21">
        <f t="shared" ref="F6:F33" si="2">IF(OR(D6=0,E6=0),"",ROUND(E6/D6,2))</f>
        <v>7.12</v>
      </c>
    </row>
    <row r="7" spans="1:6" ht="14.25" customHeight="1" x14ac:dyDescent="0.2">
      <c r="A7" s="19">
        <v>3</v>
      </c>
      <c r="B7" s="143" t="s">
        <v>2</v>
      </c>
      <c r="C7" s="144"/>
      <c r="D7" s="14">
        <f t="shared" si="0"/>
        <v>88128</v>
      </c>
      <c r="E7" s="17">
        <f t="shared" si="1"/>
        <v>595987.11698190786</v>
      </c>
      <c r="F7" s="21">
        <f t="shared" si="2"/>
        <v>6.76</v>
      </c>
    </row>
    <row r="8" spans="1:6" ht="14.25" customHeight="1" x14ac:dyDescent="0.2">
      <c r="A8" s="19">
        <v>4</v>
      </c>
      <c r="B8" s="143" t="s">
        <v>3</v>
      </c>
      <c r="C8" s="144"/>
      <c r="D8" s="14">
        <f t="shared" si="0"/>
        <v>37234</v>
      </c>
      <c r="E8" s="17">
        <f t="shared" si="1"/>
        <v>331493.29191294889</v>
      </c>
      <c r="F8" s="21">
        <f t="shared" si="2"/>
        <v>8.9</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3984</v>
      </c>
      <c r="E10" s="17">
        <f t="shared" si="1"/>
        <v>79094.592979029607</v>
      </c>
      <c r="F10" s="21">
        <f t="shared" si="2"/>
        <v>19.850000000000001</v>
      </c>
    </row>
    <row r="11" spans="1:6" x14ac:dyDescent="0.2">
      <c r="A11" s="19">
        <v>7</v>
      </c>
      <c r="B11" s="143" t="s">
        <v>6</v>
      </c>
      <c r="C11" s="144"/>
      <c r="D11" s="14">
        <f t="shared" si="0"/>
        <v>67399</v>
      </c>
      <c r="E11" s="17">
        <f t="shared" si="1"/>
        <v>448500.15667510452</v>
      </c>
      <c r="F11" s="21">
        <f t="shared" si="2"/>
        <v>6.65</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53568</v>
      </c>
      <c r="E13" s="17">
        <f t="shared" si="1"/>
        <v>286931.97306743421</v>
      </c>
      <c r="F13" s="21">
        <f t="shared" si="2"/>
        <v>5.36</v>
      </c>
    </row>
    <row r="14" spans="1:6" x14ac:dyDescent="0.2">
      <c r="A14" s="19">
        <v>10</v>
      </c>
      <c r="B14" s="143" t="s">
        <v>9</v>
      </c>
      <c r="C14" s="144"/>
      <c r="D14" s="14">
        <f t="shared" si="0"/>
        <v>320</v>
      </c>
      <c r="E14" s="17">
        <f t="shared" si="1"/>
        <v>2420.0476288377195</v>
      </c>
      <c r="F14" s="21">
        <f t="shared" si="2"/>
        <v>7.56</v>
      </c>
    </row>
    <row r="15" spans="1:6" x14ac:dyDescent="0.2">
      <c r="A15" s="19">
        <v>11</v>
      </c>
      <c r="B15" s="143" t="s">
        <v>10</v>
      </c>
      <c r="C15" s="144"/>
      <c r="D15" s="14">
        <f t="shared" si="0"/>
        <v>960</v>
      </c>
      <c r="E15" s="17">
        <f t="shared" si="1"/>
        <v>5760.1428865131584</v>
      </c>
      <c r="F15" s="21">
        <f t="shared" si="2"/>
        <v>6</v>
      </c>
    </row>
    <row r="16" spans="1:6" ht="14.25" customHeight="1" x14ac:dyDescent="0.2">
      <c r="A16" s="19">
        <v>12</v>
      </c>
      <c r="B16" s="143" t="s">
        <v>11</v>
      </c>
      <c r="C16" s="144"/>
      <c r="D16" s="14">
        <f t="shared" si="0"/>
        <v>111536</v>
      </c>
      <c r="E16" s="17">
        <f t="shared" si="1"/>
        <v>655490.60103138699</v>
      </c>
      <c r="F16" s="21">
        <f t="shared" si="2"/>
        <v>5.88</v>
      </c>
    </row>
    <row r="17" spans="1:6" x14ac:dyDescent="0.2">
      <c r="A17" s="19">
        <v>13</v>
      </c>
      <c r="B17" s="143" t="s">
        <v>12</v>
      </c>
      <c r="C17" s="144"/>
      <c r="D17" s="14">
        <f t="shared" si="0"/>
        <v>5088</v>
      </c>
      <c r="E17" s="17">
        <f t="shared" si="1"/>
        <v>65310.757298519733</v>
      </c>
      <c r="F17" s="21">
        <f t="shared" si="2"/>
        <v>12.84</v>
      </c>
    </row>
    <row r="18" spans="1:6" ht="14.25" customHeight="1" x14ac:dyDescent="0.2">
      <c r="A18" s="19">
        <v>14</v>
      </c>
      <c r="B18" s="143" t="s">
        <v>464</v>
      </c>
      <c r="C18" s="144"/>
      <c r="D18" s="14">
        <f t="shared" si="0"/>
        <v>37104</v>
      </c>
      <c r="E18" s="17">
        <f t="shared" si="1"/>
        <v>543361.52256373351</v>
      </c>
      <c r="F18" s="21">
        <f t="shared" si="2"/>
        <v>14.64</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55538</v>
      </c>
      <c r="E20" s="17">
        <f t="shared" si="1"/>
        <v>443181.01628246641</v>
      </c>
      <c r="F20" s="21">
        <f t="shared" si="2"/>
        <v>7.98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135504</v>
      </c>
      <c r="E22" s="17">
        <f t="shared" si="1"/>
        <v>820591.16843133222</v>
      </c>
      <c r="F22" s="21">
        <f t="shared" si="2"/>
        <v>6.06</v>
      </c>
    </row>
    <row r="23" spans="1:6" x14ac:dyDescent="0.2">
      <c r="A23" s="19">
        <v>19</v>
      </c>
      <c r="B23" s="143" t="s">
        <v>17</v>
      </c>
      <c r="C23" s="144"/>
      <c r="D23" s="14">
        <f t="shared" si="0"/>
        <v>70768</v>
      </c>
      <c r="E23" s="17">
        <f t="shared" si="1"/>
        <v>414730.5331174616</v>
      </c>
      <c r="F23" s="21">
        <f t="shared" si="2"/>
        <v>5.86</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46560</v>
      </c>
      <c r="E27" s="17">
        <f t="shared" si="1"/>
        <v>289829.92999588815</v>
      </c>
      <c r="F27" s="21">
        <f t="shared" si="2"/>
        <v>6.22</v>
      </c>
    </row>
    <row r="28" spans="1:6" x14ac:dyDescent="0.2">
      <c r="A28" s="19">
        <v>24</v>
      </c>
      <c r="B28" s="143" t="s">
        <v>21</v>
      </c>
      <c r="C28" s="144"/>
      <c r="D28" s="14">
        <f t="shared" si="0"/>
        <v>0</v>
      </c>
      <c r="E28" s="17">
        <f t="shared" si="1"/>
        <v>0</v>
      </c>
      <c r="F28" s="21" t="str">
        <f t="shared" si="2"/>
        <v/>
      </c>
    </row>
    <row r="29" spans="1:6" x14ac:dyDescent="0.2">
      <c r="A29" s="19">
        <v>25</v>
      </c>
      <c r="B29" s="143" t="s">
        <v>22</v>
      </c>
      <c r="C29" s="144"/>
      <c r="D29" s="14">
        <f t="shared" si="0"/>
        <v>114096</v>
      </c>
      <c r="E29" s="17">
        <f t="shared" si="1"/>
        <v>672519.98206208879</v>
      </c>
      <c r="F29" s="21">
        <f t="shared" si="2"/>
        <v>5.89</v>
      </c>
    </row>
    <row r="30" spans="1:6" x14ac:dyDescent="0.2">
      <c r="A30" s="19">
        <v>26</v>
      </c>
      <c r="B30" s="143" t="s">
        <v>23</v>
      </c>
      <c r="C30" s="144"/>
      <c r="D30" s="14">
        <f t="shared" si="0"/>
        <v>53104</v>
      </c>
      <c r="E30" s="17">
        <f t="shared" si="1"/>
        <v>503208.90400561952</v>
      </c>
      <c r="F30" s="21">
        <f t="shared" si="2"/>
        <v>9.48</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933888</v>
      </c>
      <c r="E33" s="31">
        <f>SUM(E5:E32)</f>
        <v>6580556.9999999991</v>
      </c>
      <c r="F33" s="32">
        <f t="shared" si="2"/>
        <v>7.05</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IF(F3="1",SUMIF(Data!A:A,'33'!$A$2,Data!CU:CU),0)</f>
        <v>33395</v>
      </c>
      <c r="E36" s="15">
        <f>IF(F3="1",SUMIF(Data!$A:$A,$A$2,Data!IO:IO),0)</f>
        <v>12469</v>
      </c>
      <c r="F36" s="20">
        <f t="shared" ref="F36:F64" si="3">IF(OR(D36=0,E36=0),"",ROUND(E36/D36,2))</f>
        <v>0.37</v>
      </c>
    </row>
    <row r="37" spans="1:6" x14ac:dyDescent="0.2">
      <c r="A37" s="19">
        <v>2</v>
      </c>
      <c r="B37" s="143" t="s">
        <v>1</v>
      </c>
      <c r="C37" s="144"/>
      <c r="D37" s="14">
        <f>IF(F3="1",SUMIF(Data!A:A,'33'!$A$2,Data!CV:CV),0)</f>
        <v>19602</v>
      </c>
      <c r="E37" s="17">
        <f>IF(F3="1",SUMIF(Data!$A:$A,$A$2,Data!IP:IP),0)</f>
        <v>21224</v>
      </c>
      <c r="F37" s="21">
        <f t="shared" si="3"/>
        <v>1.08</v>
      </c>
    </row>
    <row r="38" spans="1:6" ht="14.25" customHeight="1" x14ac:dyDescent="0.2">
      <c r="A38" s="19">
        <v>3</v>
      </c>
      <c r="B38" s="143" t="s">
        <v>2</v>
      </c>
      <c r="C38" s="144"/>
      <c r="D38" s="14">
        <f>IF(F3="1",SUMIF(Data!A:A,'33'!$A$2,Data!CW:CW),0)</f>
        <v>88128</v>
      </c>
      <c r="E38" s="17">
        <f>IF($F$3="1",SUMIF(Data!$A:$A,$A$2,Data!IQ:IQ),0)</f>
        <v>67865</v>
      </c>
      <c r="F38" s="21">
        <f t="shared" si="3"/>
        <v>0.77</v>
      </c>
    </row>
    <row r="39" spans="1:6" ht="14.25" customHeight="1" x14ac:dyDescent="0.2">
      <c r="A39" s="19">
        <v>4</v>
      </c>
      <c r="B39" s="143" t="s">
        <v>3</v>
      </c>
      <c r="C39" s="144"/>
      <c r="D39" s="14">
        <f>IF(F3="1",SUMIF(Data!A:A,'33'!$A$2,Data!CX:CX),0)</f>
        <v>37234</v>
      </c>
      <c r="E39" s="17">
        <f>IF($F$3="1",SUMIF(Data!$A:$A,$A$2,Data!IR:IR),0)</f>
        <v>29067</v>
      </c>
      <c r="F39" s="21">
        <f t="shared" si="3"/>
        <v>0.78</v>
      </c>
    </row>
    <row r="40" spans="1:6" x14ac:dyDescent="0.2">
      <c r="A40" s="19">
        <v>5</v>
      </c>
      <c r="B40" s="143" t="s">
        <v>4</v>
      </c>
      <c r="C40" s="144"/>
      <c r="D40" s="14">
        <f>IF(F3="1",SUMIF(Data!A:A,'33'!$A$2,Data!CY:CY),0)</f>
        <v>0</v>
      </c>
      <c r="E40" s="17">
        <f>IF($F$3="1",SUMIF(Data!$A:$A,$A$2,Data!IS:IS),0)</f>
        <v>0</v>
      </c>
      <c r="F40" s="21" t="str">
        <f t="shared" si="3"/>
        <v/>
      </c>
    </row>
    <row r="41" spans="1:6" x14ac:dyDescent="0.2">
      <c r="A41" s="19">
        <v>6</v>
      </c>
      <c r="B41" s="143" t="s">
        <v>5</v>
      </c>
      <c r="C41" s="144"/>
      <c r="D41" s="14">
        <f>IF(F3="1",SUMIF(Data!A:A,'33'!$A$2,Data!CZ:CZ),0)</f>
        <v>3984</v>
      </c>
      <c r="E41" s="17">
        <f>IF($F$3="1",SUMIF(Data!$A:$A,$A$2,Data!IT:IT),0)</f>
        <v>18713</v>
      </c>
      <c r="F41" s="21">
        <f t="shared" si="3"/>
        <v>4.7</v>
      </c>
    </row>
    <row r="42" spans="1:6" x14ac:dyDescent="0.2">
      <c r="A42" s="19">
        <v>7</v>
      </c>
      <c r="B42" s="143" t="s">
        <v>6</v>
      </c>
      <c r="C42" s="144"/>
      <c r="D42" s="14">
        <f>IF(F3="1",SUMIF(Data!A:A,'33'!$A$2,Data!DA:DA),0)</f>
        <v>67399</v>
      </c>
      <c r="E42" s="17">
        <f>IF($F$3="1",SUMIF(Data!$A:$A,$A$2,Data!IU:IU),0)</f>
        <v>28885</v>
      </c>
      <c r="F42" s="21">
        <f t="shared" si="3"/>
        <v>0.43</v>
      </c>
    </row>
    <row r="43" spans="1:6" x14ac:dyDescent="0.2">
      <c r="A43" s="19">
        <v>8</v>
      </c>
      <c r="B43" s="143" t="s">
        <v>7</v>
      </c>
      <c r="C43" s="144"/>
      <c r="D43" s="14">
        <f>IF(F3="1",SUMIF(Data!A:A,'33'!$A$2,Data!DB:DB),0)</f>
        <v>0</v>
      </c>
      <c r="E43" s="17">
        <f>IF($F$3="1",SUMIF(Data!$A:$A,$A$2,Data!IV:IV),0)</f>
        <v>0</v>
      </c>
      <c r="F43" s="21" t="str">
        <f t="shared" si="3"/>
        <v/>
      </c>
    </row>
    <row r="44" spans="1:6" x14ac:dyDescent="0.2">
      <c r="A44" s="19">
        <v>9</v>
      </c>
      <c r="B44" s="143" t="s">
        <v>8</v>
      </c>
      <c r="C44" s="144"/>
      <c r="D44" s="14">
        <f>IF(F3="1",SUMIF(Data!A:A,'33'!$A$2,Data!DC:DC),0)</f>
        <v>53568</v>
      </c>
      <c r="E44" s="17">
        <f>IF($F$3="1",SUMIF(Data!$A:$A,$A$2,Data!IW:IW),0)</f>
        <v>27457</v>
      </c>
      <c r="F44" s="21">
        <f t="shared" si="3"/>
        <v>0.51</v>
      </c>
    </row>
    <row r="45" spans="1:6" x14ac:dyDescent="0.2">
      <c r="A45" s="19">
        <v>10</v>
      </c>
      <c r="B45" s="143" t="s">
        <v>9</v>
      </c>
      <c r="C45" s="144"/>
      <c r="D45" s="14">
        <f>IF(F3="1",SUMIF(Data!A:A,'33'!$A$2,Data!DD:DD),0)</f>
        <v>320</v>
      </c>
      <c r="E45" s="17">
        <f>IF($F$3="1",SUMIF(Data!$A:$A,$A$2,Data!IX:IX),0)</f>
        <v>0</v>
      </c>
      <c r="F45" s="21" t="str">
        <f t="shared" si="3"/>
        <v/>
      </c>
    </row>
    <row r="46" spans="1:6" x14ac:dyDescent="0.2">
      <c r="A46" s="19">
        <v>11</v>
      </c>
      <c r="B46" s="143" t="s">
        <v>10</v>
      </c>
      <c r="C46" s="144"/>
      <c r="D46" s="14">
        <f>IF(F3="1",SUMIF(Data!A:A,'33'!$A$2,Data!DE:DE),0)</f>
        <v>960</v>
      </c>
      <c r="E46" s="17">
        <f>IF($F$3="1",SUMIF(Data!$A:$A,$A$2,Data!IY:IY),0)</f>
        <v>0</v>
      </c>
      <c r="F46" s="21" t="str">
        <f t="shared" si="3"/>
        <v/>
      </c>
    </row>
    <row r="47" spans="1:6" ht="14.25" customHeight="1" x14ac:dyDescent="0.2">
      <c r="A47" s="19">
        <v>12</v>
      </c>
      <c r="B47" s="143" t="s">
        <v>11</v>
      </c>
      <c r="C47" s="144"/>
      <c r="D47" s="14">
        <f>IF(F3="1",SUMIF(Data!A:A,'33'!$A$2,Data!DF:DF),0)</f>
        <v>111536</v>
      </c>
      <c r="E47" s="17">
        <f>IF($F$3="1",SUMIF(Data!$A:$A,$A$2,Data!IZ:IZ),0)</f>
        <v>29466</v>
      </c>
      <c r="F47" s="21">
        <f t="shared" si="3"/>
        <v>0.26</v>
      </c>
    </row>
    <row r="48" spans="1:6" x14ac:dyDescent="0.2">
      <c r="A48" s="19">
        <v>13</v>
      </c>
      <c r="B48" s="143" t="s">
        <v>12</v>
      </c>
      <c r="C48" s="144"/>
      <c r="D48" s="14">
        <f>IF(F3="1",SUMIF(Data!A:A,'33'!$A$2,Data!DG:DG),0)</f>
        <v>5088</v>
      </c>
      <c r="E48" s="17">
        <f>IF($F$3="1",SUMIF(Data!$A:$A,$A$2,Data!JA:JA),0)</f>
        <v>2898</v>
      </c>
      <c r="F48" s="21">
        <f t="shared" si="3"/>
        <v>0.56999999999999995</v>
      </c>
    </row>
    <row r="49" spans="1:6" ht="14.25" customHeight="1" x14ac:dyDescent="0.2">
      <c r="A49" s="19">
        <v>14</v>
      </c>
      <c r="B49" s="143" t="s">
        <v>464</v>
      </c>
      <c r="C49" s="144"/>
      <c r="D49" s="14">
        <f>IF(F3="1",SUMIF(Data!A:A,'33'!$A$2,Data!DH:DH),0)</f>
        <v>37104</v>
      </c>
      <c r="E49" s="17">
        <f>IF($F$3="1",SUMIF(Data!$A:$A,$A$2,Data!JB:JB),0)</f>
        <v>125335</v>
      </c>
      <c r="F49" s="21">
        <f t="shared" si="3"/>
        <v>3.38</v>
      </c>
    </row>
    <row r="50" spans="1:6" x14ac:dyDescent="0.2">
      <c r="A50" s="19">
        <v>15</v>
      </c>
      <c r="B50" s="143" t="s">
        <v>13</v>
      </c>
      <c r="C50" s="144"/>
      <c r="D50" s="14">
        <f>IF(F3="1",SUMIF(Data!A:A,'33'!$A$2,Data!DI:DI),0)</f>
        <v>0</v>
      </c>
      <c r="E50" s="17">
        <f>IF($F$3="1",SUMIF(Data!$A:$A,$A$2,Data!JC:JC),0)</f>
        <v>0</v>
      </c>
      <c r="F50" s="21" t="str">
        <f t="shared" si="3"/>
        <v/>
      </c>
    </row>
    <row r="51" spans="1:6" x14ac:dyDescent="0.2">
      <c r="A51" s="19">
        <v>16</v>
      </c>
      <c r="B51" s="143" t="s">
        <v>14</v>
      </c>
      <c r="C51" s="144"/>
      <c r="D51" s="14">
        <f>IF(F3="1",SUMIF(Data!A:A,'33'!$A$2,Data!DJ:DJ),0)</f>
        <v>55538</v>
      </c>
      <c r="E51" s="17">
        <f>IF($F$3="1",SUMIF(Data!$A:$A,$A$2,Data!JD:JD),0)</f>
        <v>136718</v>
      </c>
      <c r="F51" s="21">
        <f t="shared" si="3"/>
        <v>2.46</v>
      </c>
    </row>
    <row r="52" spans="1:6" x14ac:dyDescent="0.2">
      <c r="A52" s="19">
        <v>17</v>
      </c>
      <c r="B52" s="143" t="s">
        <v>15</v>
      </c>
      <c r="C52" s="144"/>
      <c r="D52" s="14">
        <f>IF(F3="1",SUMIF(Data!A:A,'33'!$A$2,Data!DK:DK),0)</f>
        <v>0</v>
      </c>
      <c r="E52" s="17">
        <f>IF($F$3="1",SUMIF(Data!$A:$A,$A$2,Data!JE:JE),0)</f>
        <v>0</v>
      </c>
      <c r="F52" s="21" t="str">
        <f t="shared" si="3"/>
        <v/>
      </c>
    </row>
    <row r="53" spans="1:6" x14ac:dyDescent="0.2">
      <c r="A53" s="19">
        <v>18</v>
      </c>
      <c r="B53" s="143" t="s">
        <v>16</v>
      </c>
      <c r="C53" s="144"/>
      <c r="D53" s="14">
        <f>IF(F3="1",SUMIF(Data!A:A,'33'!$A$2,Data!DL:DL),0)</f>
        <v>135504</v>
      </c>
      <c r="E53" s="17">
        <f>IF($F$3="1",SUMIF(Data!$A:$A,$A$2,Data!JF:JF),0)</f>
        <v>71894</v>
      </c>
      <c r="F53" s="21">
        <f t="shared" si="3"/>
        <v>0.53</v>
      </c>
    </row>
    <row r="54" spans="1:6" x14ac:dyDescent="0.2">
      <c r="A54" s="19">
        <v>19</v>
      </c>
      <c r="B54" s="143" t="s">
        <v>17</v>
      </c>
      <c r="C54" s="144"/>
      <c r="D54" s="14">
        <f>IF(F3="1",SUMIF(Data!A:A,'33'!$A$2,Data!DM:DM),0)</f>
        <v>70768</v>
      </c>
      <c r="E54" s="17">
        <f>IF($F$3="1",SUMIF(Data!$A:$A,$A$2,Data!JG:JG),0)</f>
        <v>13597</v>
      </c>
      <c r="F54" s="21">
        <f t="shared" si="3"/>
        <v>0.19</v>
      </c>
    </row>
    <row r="55" spans="1:6" x14ac:dyDescent="0.2">
      <c r="A55" s="19">
        <v>20</v>
      </c>
      <c r="B55" s="143" t="s">
        <v>18</v>
      </c>
      <c r="C55" s="144"/>
      <c r="D55" s="14">
        <f>IF(F3="1",SUMIF(Data!A:A,'33'!$A$2,Data!DN:DN),0)</f>
        <v>0</v>
      </c>
      <c r="E55" s="17">
        <f>IF($F$3="1",SUMIF(Data!$A:$A,$A$2,Data!JH:JH),0)</f>
        <v>0</v>
      </c>
      <c r="F55" s="21" t="str">
        <f t="shared" si="3"/>
        <v/>
      </c>
    </row>
    <row r="56" spans="1:6" ht="14.25" customHeight="1" x14ac:dyDescent="0.2">
      <c r="A56" s="19">
        <v>21</v>
      </c>
      <c r="B56" s="143" t="s">
        <v>461</v>
      </c>
      <c r="C56" s="144"/>
      <c r="D56" s="14">
        <f>IF(F3="1",SUMIF(Data!A:A,'33'!$A$2,Data!DO:DO),0)</f>
        <v>0</v>
      </c>
      <c r="E56" s="17">
        <f>IF($F$3="1",SUMIF(Data!$A:$A,$A$2,Data!JI:JI),0)</f>
        <v>0</v>
      </c>
      <c r="F56" s="21" t="str">
        <f t="shared" si="3"/>
        <v/>
      </c>
    </row>
    <row r="57" spans="1:6" x14ac:dyDescent="0.2">
      <c r="A57" s="19">
        <v>22</v>
      </c>
      <c r="B57" s="143" t="s">
        <v>19</v>
      </c>
      <c r="C57" s="144"/>
      <c r="D57" s="14">
        <f>IF(F3="1",SUMIF(Data!A:A,'33'!$A$2,Data!DP:DP),0)</f>
        <v>0</v>
      </c>
      <c r="E57" s="17">
        <f>IF($F$3="1",SUMIF(Data!$A:$A,$A$2,Data!JJ:JJ),0)</f>
        <v>0</v>
      </c>
      <c r="F57" s="21" t="str">
        <f t="shared" si="3"/>
        <v/>
      </c>
    </row>
    <row r="58" spans="1:6" x14ac:dyDescent="0.2">
      <c r="A58" s="19">
        <v>23</v>
      </c>
      <c r="B58" s="143" t="s">
        <v>20</v>
      </c>
      <c r="C58" s="144"/>
      <c r="D58" s="14">
        <f>IF(F3="1",SUMIF(Data!A:A,'33'!$A$2,Data!DQ:DQ),0)</f>
        <v>46560</v>
      </c>
      <c r="E58" s="17">
        <f>IF($F$3="1",SUMIF(Data!$A:$A,$A$2,Data!JK:JK),0)</f>
        <v>8884</v>
      </c>
      <c r="F58" s="21">
        <f t="shared" si="3"/>
        <v>0.19</v>
      </c>
    </row>
    <row r="59" spans="1:6" x14ac:dyDescent="0.2">
      <c r="A59" s="19">
        <v>24</v>
      </c>
      <c r="B59" s="143" t="s">
        <v>21</v>
      </c>
      <c r="C59" s="144"/>
      <c r="D59" s="14">
        <f>IF(F3="1",SUMIF(Data!A:A,'33'!$A$2,Data!DR:DR),0)</f>
        <v>0</v>
      </c>
      <c r="E59" s="17">
        <f>IF($F$3="1",SUMIF(Data!$A:$A,$A$2,Data!JL:JL),0)</f>
        <v>0</v>
      </c>
      <c r="F59" s="21" t="str">
        <f t="shared" si="3"/>
        <v/>
      </c>
    </row>
    <row r="60" spans="1:6" x14ac:dyDescent="0.2">
      <c r="A60" s="19">
        <v>25</v>
      </c>
      <c r="B60" s="143" t="s">
        <v>22</v>
      </c>
      <c r="C60" s="144"/>
      <c r="D60" s="14">
        <f>IF(F3="1",SUMIF(Data!A:A,'33'!$A$2,Data!DS:DS),0)</f>
        <v>114096</v>
      </c>
      <c r="E60" s="17">
        <f>IF($F$3="1",SUMIF(Data!$A:$A,$A$2,Data!JM:JM),0)</f>
        <v>15063</v>
      </c>
      <c r="F60" s="21">
        <f t="shared" si="3"/>
        <v>0.13</v>
      </c>
    </row>
    <row r="61" spans="1:6" x14ac:dyDescent="0.2">
      <c r="A61" s="19">
        <v>26</v>
      </c>
      <c r="B61" s="143" t="s">
        <v>23</v>
      </c>
      <c r="C61" s="144"/>
      <c r="D61" s="14">
        <f>IF(F3="1",SUMIF(Data!A:A,'33'!$A$2,Data!DT:DT),0)</f>
        <v>53104</v>
      </c>
      <c r="E61" s="17">
        <f>IF($F$3="1",SUMIF(Data!$A:$A,$A$2,Data!JN:JN),0)</f>
        <v>110333</v>
      </c>
      <c r="F61" s="21">
        <f t="shared" si="3"/>
        <v>2.08</v>
      </c>
    </row>
    <row r="62" spans="1:6" x14ac:dyDescent="0.2">
      <c r="A62" s="19">
        <v>28</v>
      </c>
      <c r="B62" s="143" t="s">
        <v>24</v>
      </c>
      <c r="C62" s="144"/>
      <c r="D62" s="14">
        <f>IF(F3="1",SUMIF(Data!A:A,'33'!$A$2,Data!DV:DV),0)</f>
        <v>0</v>
      </c>
      <c r="E62" s="17">
        <f>IF($F$3="1",SUMIF(Data!$A:$A,$A$2,Data!JP:JP),0)</f>
        <v>0</v>
      </c>
      <c r="F62" s="21" t="str">
        <f t="shared" si="3"/>
        <v/>
      </c>
    </row>
    <row r="63" spans="1:6" ht="15.75" customHeight="1" thickBot="1" x14ac:dyDescent="0.25">
      <c r="A63" s="22">
        <v>29</v>
      </c>
      <c r="B63" s="147" t="s">
        <v>25</v>
      </c>
      <c r="C63" s="148"/>
      <c r="D63" s="23">
        <f>IF(F3="1",SUMIF(Data!A:A,'33'!$A$2,Data!DW:DW),0)</f>
        <v>0</v>
      </c>
      <c r="E63" s="24">
        <f>IF($F$3="1",SUMIF(Data!$A:$A,$A$2,Data!JQ:JQ),0)</f>
        <v>0</v>
      </c>
      <c r="F63" s="25" t="str">
        <f t="shared" si="3"/>
        <v/>
      </c>
    </row>
    <row r="64" spans="1:6" x14ac:dyDescent="0.2">
      <c r="B64" s="30" t="s">
        <v>35</v>
      </c>
      <c r="C64" s="30"/>
      <c r="D64" s="59">
        <f>SUM(D36:D63)</f>
        <v>933888</v>
      </c>
      <c r="E64" s="31">
        <f>SUM(E36:E63)</f>
        <v>719868</v>
      </c>
      <c r="F64" s="32">
        <f t="shared" si="3"/>
        <v>0.77</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33395</v>
      </c>
      <c r="E67" s="15">
        <f>IF(F3="1",SUMIF(Data!A:A,'33'!$A$2,Data!DY:DY),0)</f>
        <v>174179</v>
      </c>
      <c r="F67" s="20">
        <f t="shared" ref="F67:F95" si="4">IF(OR(D67=0,E67=0),"",ROUND(E67/D67,2))</f>
        <v>5.22</v>
      </c>
    </row>
    <row r="68" spans="1:6" x14ac:dyDescent="0.2">
      <c r="A68" s="19">
        <v>2</v>
      </c>
      <c r="B68" s="143" t="s">
        <v>1</v>
      </c>
      <c r="C68" s="144"/>
      <c r="D68" s="14">
        <f t="shared" ref="D68:D94" si="5">D37</f>
        <v>19602</v>
      </c>
      <c r="E68" s="17">
        <f>IF(F3="1",SUMIF(Data!A:A,'33'!$A$2,Data!DZ:DZ),0)</f>
        <v>61899</v>
      </c>
      <c r="F68" s="21">
        <f t="shared" si="4"/>
        <v>3.16</v>
      </c>
    </row>
    <row r="69" spans="1:6" ht="14.25" customHeight="1" x14ac:dyDescent="0.2">
      <c r="A69" s="19">
        <v>3</v>
      </c>
      <c r="B69" s="143" t="s">
        <v>2</v>
      </c>
      <c r="C69" s="144"/>
      <c r="D69" s="14">
        <f t="shared" si="5"/>
        <v>88128</v>
      </c>
      <c r="E69" s="17">
        <f>IF(F3="1",SUMIF(Data!A:A,'33'!$A$2,Data!EA:EA),0)</f>
        <v>274741</v>
      </c>
      <c r="F69" s="21">
        <f t="shared" si="4"/>
        <v>3.12</v>
      </c>
    </row>
    <row r="70" spans="1:6" ht="14.25" customHeight="1" x14ac:dyDescent="0.2">
      <c r="A70" s="19">
        <v>4</v>
      </c>
      <c r="B70" s="143" t="s">
        <v>3</v>
      </c>
      <c r="C70" s="144"/>
      <c r="D70" s="14">
        <f t="shared" si="5"/>
        <v>37234</v>
      </c>
      <c r="E70" s="17">
        <f>IF(F3="1",SUMIF(Data!A:A,'33'!$A$2,Data!EB:EB),0)</f>
        <v>195373</v>
      </c>
      <c r="F70" s="21">
        <f t="shared" si="4"/>
        <v>5.25</v>
      </c>
    </row>
    <row r="71" spans="1:6" x14ac:dyDescent="0.2">
      <c r="A71" s="19">
        <v>5</v>
      </c>
      <c r="B71" s="143" t="s">
        <v>4</v>
      </c>
      <c r="C71" s="144"/>
      <c r="D71" s="14">
        <f t="shared" si="5"/>
        <v>0</v>
      </c>
      <c r="E71" s="17">
        <f>IF(F3="1",SUMIF(Data!A:A,'33'!$A$2,Data!EC:EC),0)</f>
        <v>0</v>
      </c>
      <c r="F71" s="21" t="str">
        <f t="shared" si="4"/>
        <v/>
      </c>
    </row>
    <row r="72" spans="1:6" x14ac:dyDescent="0.2">
      <c r="A72" s="19">
        <v>6</v>
      </c>
      <c r="B72" s="143" t="s">
        <v>5</v>
      </c>
      <c r="C72" s="144"/>
      <c r="D72" s="14">
        <f t="shared" si="5"/>
        <v>3984</v>
      </c>
      <c r="E72" s="17">
        <f>IF(F3="1",SUMIF(Data!A:A,'33'!$A$2,Data!ED:ED),0)</f>
        <v>48927</v>
      </c>
      <c r="F72" s="21">
        <f t="shared" si="4"/>
        <v>12.28</v>
      </c>
    </row>
    <row r="73" spans="1:6" x14ac:dyDescent="0.2">
      <c r="A73" s="19">
        <v>7</v>
      </c>
      <c r="B73" s="143" t="s">
        <v>6</v>
      </c>
      <c r="C73" s="144"/>
      <c r="D73" s="14">
        <f t="shared" si="5"/>
        <v>67399</v>
      </c>
      <c r="E73" s="17">
        <f>IF(F3="1",SUMIF(Data!A:A,'33'!$A$2,Data!EE:EE),0)</f>
        <v>225833</v>
      </c>
      <c r="F73" s="21">
        <f t="shared" si="4"/>
        <v>3.35</v>
      </c>
    </row>
    <row r="74" spans="1:6" x14ac:dyDescent="0.2">
      <c r="A74" s="19">
        <v>8</v>
      </c>
      <c r="B74" s="143" t="s">
        <v>7</v>
      </c>
      <c r="C74" s="144"/>
      <c r="D74" s="14">
        <f t="shared" si="5"/>
        <v>0</v>
      </c>
      <c r="E74" s="17">
        <f>IF(F3="1",SUMIF(Data!A:A,'33'!$A$2,Data!EF:EF),0)</f>
        <v>0</v>
      </c>
      <c r="F74" s="21" t="str">
        <f t="shared" si="4"/>
        <v/>
      </c>
    </row>
    <row r="75" spans="1:6" x14ac:dyDescent="0.2">
      <c r="A75" s="19">
        <v>9</v>
      </c>
      <c r="B75" s="143" t="s">
        <v>8</v>
      </c>
      <c r="C75" s="144"/>
      <c r="D75" s="14">
        <f t="shared" si="5"/>
        <v>53568</v>
      </c>
      <c r="E75" s="17">
        <f>IF(F3="1",SUMIF(Data!A:A,'33'!$A$2,Data!EG:EG),0)</f>
        <v>105459</v>
      </c>
      <c r="F75" s="21">
        <f t="shared" si="4"/>
        <v>1.97</v>
      </c>
    </row>
    <row r="76" spans="1:6" x14ac:dyDescent="0.2">
      <c r="A76" s="19">
        <v>10</v>
      </c>
      <c r="B76" s="143" t="s">
        <v>9</v>
      </c>
      <c r="C76" s="144"/>
      <c r="D76" s="14">
        <f t="shared" si="5"/>
        <v>320</v>
      </c>
      <c r="E76" s="17">
        <f>IF(F3="1",SUMIF(Data!A:A,'33'!$A$2,Data!EH:EH),0)</f>
        <v>1500</v>
      </c>
      <c r="F76" s="21">
        <f t="shared" si="4"/>
        <v>4.6900000000000004</v>
      </c>
    </row>
    <row r="77" spans="1:6" x14ac:dyDescent="0.2">
      <c r="A77" s="19">
        <v>11</v>
      </c>
      <c r="B77" s="143" t="s">
        <v>10</v>
      </c>
      <c r="C77" s="144"/>
      <c r="D77" s="14">
        <f t="shared" si="5"/>
        <v>960</v>
      </c>
      <c r="E77" s="17">
        <f>IF(F3="1",SUMIF(Data!A:A,'33'!$A$2,Data!EI:EI),0)</f>
        <v>3000</v>
      </c>
      <c r="F77" s="21">
        <f t="shared" si="4"/>
        <v>3.13</v>
      </c>
    </row>
    <row r="78" spans="1:6" ht="14.25" customHeight="1" x14ac:dyDescent="0.2">
      <c r="A78" s="19">
        <v>12</v>
      </c>
      <c r="B78" s="143" t="s">
        <v>11</v>
      </c>
      <c r="C78" s="144"/>
      <c r="D78" s="14">
        <f t="shared" si="5"/>
        <v>111536</v>
      </c>
      <c r="E78" s="17">
        <f>IF(F3="1",SUMIF(Data!A:A,'33'!$A$2,Data!EJ:EJ),0)</f>
        <v>305342</v>
      </c>
      <c r="F78" s="21">
        <f t="shared" si="4"/>
        <v>2.74</v>
      </c>
    </row>
    <row r="79" spans="1:6" x14ac:dyDescent="0.2">
      <c r="A79" s="19">
        <v>13</v>
      </c>
      <c r="B79" s="143" t="s">
        <v>12</v>
      </c>
      <c r="C79" s="144"/>
      <c r="D79" s="14">
        <f t="shared" si="5"/>
        <v>5088</v>
      </c>
      <c r="E79" s="17">
        <f>IF(F3="1",SUMIF(Data!A:A,'33'!$A$2,Data!EK:EK),0)</f>
        <v>47784</v>
      </c>
      <c r="F79" s="21">
        <f t="shared" si="4"/>
        <v>9.39</v>
      </c>
    </row>
    <row r="80" spans="1:6" ht="14.25" customHeight="1" x14ac:dyDescent="0.2">
      <c r="A80" s="19">
        <v>14</v>
      </c>
      <c r="B80" s="143" t="s">
        <v>464</v>
      </c>
      <c r="C80" s="144"/>
      <c r="D80" s="14">
        <f t="shared" si="5"/>
        <v>37104</v>
      </c>
      <c r="E80" s="17">
        <f>IF(F3="1",SUMIF(Data!A:A,'33'!$A$2,Data!EL:EL),0)</f>
        <v>311347</v>
      </c>
      <c r="F80" s="21">
        <f t="shared" si="4"/>
        <v>8.39</v>
      </c>
    </row>
    <row r="81" spans="1:6" x14ac:dyDescent="0.2">
      <c r="A81" s="19">
        <v>15</v>
      </c>
      <c r="B81" s="143" t="s">
        <v>13</v>
      </c>
      <c r="C81" s="144"/>
      <c r="D81" s="14">
        <f t="shared" si="5"/>
        <v>0</v>
      </c>
      <c r="E81" s="17">
        <f>IF(F3="1",SUMIF(Data!A:A,'33'!$A$2,Data!EM:EM),0)</f>
        <v>0</v>
      </c>
      <c r="F81" s="21" t="str">
        <f t="shared" si="4"/>
        <v/>
      </c>
    </row>
    <row r="82" spans="1:6" x14ac:dyDescent="0.2">
      <c r="A82" s="19">
        <v>16</v>
      </c>
      <c r="B82" s="143" t="s">
        <v>14</v>
      </c>
      <c r="C82" s="144"/>
      <c r="D82" s="14">
        <f t="shared" si="5"/>
        <v>55538</v>
      </c>
      <c r="E82" s="17">
        <f>IF(F3="1",SUMIF(Data!A:A,'33'!$A$2,Data!EN:EN),0)</f>
        <v>146783</v>
      </c>
      <c r="F82" s="21">
        <f t="shared" si="4"/>
        <v>2.64</v>
      </c>
    </row>
    <row r="83" spans="1:6" x14ac:dyDescent="0.2">
      <c r="A83" s="19">
        <v>17</v>
      </c>
      <c r="B83" s="143" t="s">
        <v>15</v>
      </c>
      <c r="C83" s="144"/>
      <c r="D83" s="14">
        <f t="shared" si="5"/>
        <v>0</v>
      </c>
      <c r="E83" s="17">
        <f>IF(F3="1",SUMIF(Data!A:A,'33'!$A$2,Data!EO:EO),0)</f>
        <v>0</v>
      </c>
      <c r="F83" s="21" t="str">
        <f t="shared" si="4"/>
        <v/>
      </c>
    </row>
    <row r="84" spans="1:6" x14ac:dyDescent="0.2">
      <c r="A84" s="19">
        <v>18</v>
      </c>
      <c r="B84" s="143" t="s">
        <v>16</v>
      </c>
      <c r="C84" s="144"/>
      <c r="D84" s="14">
        <f t="shared" si="5"/>
        <v>135504</v>
      </c>
      <c r="E84" s="17">
        <f>IF(F3="1",SUMIF(Data!A:A,'33'!$A$2,Data!EP:EP),0)</f>
        <v>359103</v>
      </c>
      <c r="F84" s="21">
        <f t="shared" si="4"/>
        <v>2.65</v>
      </c>
    </row>
    <row r="85" spans="1:6" x14ac:dyDescent="0.2">
      <c r="A85" s="19">
        <v>19</v>
      </c>
      <c r="B85" s="143" t="s">
        <v>17</v>
      </c>
      <c r="C85" s="144"/>
      <c r="D85" s="14">
        <f t="shared" si="5"/>
        <v>70768</v>
      </c>
      <c r="E85" s="17">
        <f>IF(F3="1",SUMIF(Data!A:A,'33'!$A$2,Data!EQ:EQ),0)</f>
        <v>197665</v>
      </c>
      <c r="F85" s="21">
        <f t="shared" si="4"/>
        <v>2.79</v>
      </c>
    </row>
    <row r="86" spans="1:6" x14ac:dyDescent="0.2">
      <c r="A86" s="19">
        <v>20</v>
      </c>
      <c r="B86" s="143" t="s">
        <v>18</v>
      </c>
      <c r="C86" s="144"/>
      <c r="D86" s="14">
        <f t="shared" si="5"/>
        <v>0</v>
      </c>
      <c r="E86" s="17">
        <f>IF(F3="1",SUMIF(Data!A:A,'33'!$A$2,Data!ER:ER),0)</f>
        <v>0</v>
      </c>
      <c r="F86" s="21" t="str">
        <f t="shared" si="4"/>
        <v/>
      </c>
    </row>
    <row r="87" spans="1:6" ht="14.25" customHeight="1" x14ac:dyDescent="0.2">
      <c r="A87" s="19">
        <v>21</v>
      </c>
      <c r="B87" s="143" t="s">
        <v>461</v>
      </c>
      <c r="C87" s="144"/>
      <c r="D87" s="14">
        <f t="shared" si="5"/>
        <v>0</v>
      </c>
      <c r="E87" s="17">
        <f>IF(F3="1",SUMIF(Data!A:A,'33'!$A$2,Data!ES:ES),0)</f>
        <v>0</v>
      </c>
      <c r="F87" s="21" t="str">
        <f t="shared" si="4"/>
        <v/>
      </c>
    </row>
    <row r="88" spans="1:6" x14ac:dyDescent="0.2">
      <c r="A88" s="19">
        <v>22</v>
      </c>
      <c r="B88" s="143" t="s">
        <v>19</v>
      </c>
      <c r="C88" s="144"/>
      <c r="D88" s="14">
        <f t="shared" si="5"/>
        <v>0</v>
      </c>
      <c r="E88" s="17">
        <f>IF(F3="1",SUMIF(Data!A:A,'33'!$A$2,Data!ET:ET),0)</f>
        <v>0</v>
      </c>
      <c r="F88" s="21" t="str">
        <f t="shared" si="4"/>
        <v/>
      </c>
    </row>
    <row r="89" spans="1:6" x14ac:dyDescent="0.2">
      <c r="A89" s="19">
        <v>23</v>
      </c>
      <c r="B89" s="143" t="s">
        <v>20</v>
      </c>
      <c r="C89" s="144"/>
      <c r="D89" s="14">
        <f t="shared" si="5"/>
        <v>46560</v>
      </c>
      <c r="E89" s="17">
        <f>IF(F3="1",SUMIF(Data!A:A,'33'!$A$2,Data!EU:EU),0)</f>
        <v>147079</v>
      </c>
      <c r="F89" s="21">
        <f t="shared" si="4"/>
        <v>3.16</v>
      </c>
    </row>
    <row r="90" spans="1:6" x14ac:dyDescent="0.2">
      <c r="A90" s="19">
        <v>24</v>
      </c>
      <c r="B90" s="143" t="s">
        <v>21</v>
      </c>
      <c r="C90" s="144"/>
      <c r="D90" s="14">
        <f t="shared" si="5"/>
        <v>0</v>
      </c>
      <c r="E90" s="17">
        <f>IF(F3="1",SUMIF(Data!A:A,'33'!$A$2,Data!EV:EV),0)</f>
        <v>0</v>
      </c>
      <c r="F90" s="21" t="str">
        <f t="shared" si="4"/>
        <v/>
      </c>
    </row>
    <row r="91" spans="1:6" x14ac:dyDescent="0.2">
      <c r="A91" s="19">
        <v>25</v>
      </c>
      <c r="B91" s="143" t="s">
        <v>22</v>
      </c>
      <c r="C91" s="144"/>
      <c r="D91" s="14">
        <f t="shared" si="5"/>
        <v>114096</v>
      </c>
      <c r="E91" s="17">
        <f>IF(F3="1",SUMIF(Data!A:A,'33'!$A$2,Data!EW:EW),0)</f>
        <v>329414</v>
      </c>
      <c r="F91" s="21">
        <f t="shared" si="4"/>
        <v>2.89</v>
      </c>
    </row>
    <row r="92" spans="1:6" x14ac:dyDescent="0.2">
      <c r="A92" s="19">
        <v>26</v>
      </c>
      <c r="B92" s="143" t="s">
        <v>23</v>
      </c>
      <c r="C92" s="144"/>
      <c r="D92" s="14">
        <f t="shared" si="5"/>
        <v>53104</v>
      </c>
      <c r="E92" s="17">
        <f>IF(F3="1",SUMIF(Data!A:A,'33'!$A$2,Data!EX:EX),0)</f>
        <v>240194</v>
      </c>
      <c r="F92" s="21">
        <f t="shared" si="4"/>
        <v>4.5199999999999996</v>
      </c>
    </row>
    <row r="93" spans="1:6" x14ac:dyDescent="0.2">
      <c r="A93" s="19">
        <v>28</v>
      </c>
      <c r="B93" s="143" t="s">
        <v>24</v>
      </c>
      <c r="C93" s="144"/>
      <c r="D93" s="14">
        <f t="shared" si="5"/>
        <v>0</v>
      </c>
      <c r="E93" s="17">
        <f>IF(F3="1",SUMIF(Data!A:A,'33'!$A$2,Data!EZ:EZ),0)</f>
        <v>0</v>
      </c>
      <c r="F93" s="21" t="str">
        <f t="shared" si="4"/>
        <v/>
      </c>
    </row>
    <row r="94" spans="1:6" ht="15.75" customHeight="1" thickBot="1" x14ac:dyDescent="0.25">
      <c r="A94" s="22">
        <v>29</v>
      </c>
      <c r="B94" s="147" t="s">
        <v>25</v>
      </c>
      <c r="C94" s="148"/>
      <c r="D94" s="23">
        <f t="shared" si="5"/>
        <v>0</v>
      </c>
      <c r="E94" s="24">
        <f>IF(F3="1",SUMIF(Data!A:A,'33'!$A$2,Data!FA:FA),0)</f>
        <v>0</v>
      </c>
      <c r="F94" s="25" t="str">
        <f t="shared" si="4"/>
        <v/>
      </c>
    </row>
    <row r="95" spans="1:6" x14ac:dyDescent="0.2">
      <c r="B95" s="30" t="s">
        <v>35</v>
      </c>
      <c r="C95" s="30"/>
      <c r="D95" s="59">
        <f>SUM(D67:D94)</f>
        <v>933888</v>
      </c>
      <c r="E95" s="31">
        <f>SUM(E67:E94)</f>
        <v>3175622</v>
      </c>
      <c r="F95" s="32">
        <f t="shared" si="4"/>
        <v>3.4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IF(F3="1",SUMIF(Data!A:A,'33'!$A$2,Data!AH:AH),0)</f>
        <v>1216083</v>
      </c>
      <c r="F98" s="20">
        <f>IF(OR(E98=0,E98=0),"",ROUND(E98/$D$105,2))</f>
        <v>1.3</v>
      </c>
    </row>
    <row r="99" spans="2:6" x14ac:dyDescent="0.2">
      <c r="B99" s="153" t="s">
        <v>31</v>
      </c>
      <c r="C99" s="154"/>
      <c r="D99" s="36"/>
      <c r="E99" s="17">
        <f>IF(F3="1",SUMIF(Data!A:A,'33'!$A$2,Data!AI:AI),0)</f>
        <v>536944</v>
      </c>
      <c r="F99" s="21">
        <f t="shared" ref="F99:F104" si="6">IF(OR(E99=0,E99=0),"",ROUND(E99/$D$105,2))</f>
        <v>0.56999999999999995</v>
      </c>
    </row>
    <row r="100" spans="2:6" x14ac:dyDescent="0.2">
      <c r="B100" s="153" t="s">
        <v>1078</v>
      </c>
      <c r="C100" s="154"/>
      <c r="D100" s="36"/>
      <c r="E100" s="17">
        <f>IF(F3="1",SUMIF(Data!A:A,'33'!$A$2,Data!AJ:AJ),0)</f>
        <v>298316</v>
      </c>
      <c r="F100" s="21">
        <f t="shared" si="6"/>
        <v>0.32</v>
      </c>
    </row>
    <row r="101" spans="2:6" x14ac:dyDescent="0.2">
      <c r="B101" s="153" t="s">
        <v>1079</v>
      </c>
      <c r="C101" s="154"/>
      <c r="D101" s="36"/>
      <c r="E101" s="17">
        <f>IF(F3="1",SUMIF(Data!A:A,'33'!$A$2,Data!AK:AK),0)</f>
        <v>633724</v>
      </c>
      <c r="F101" s="21">
        <f t="shared" si="6"/>
        <v>0.68</v>
      </c>
    </row>
    <row r="102" spans="2:6" x14ac:dyDescent="0.2">
      <c r="B102" s="153" t="s">
        <v>1080</v>
      </c>
      <c r="C102" s="154"/>
      <c r="D102" s="36"/>
      <c r="E102" s="17">
        <f>IF(F3="1",SUMIF(Data!A:A,'33'!$A$2,Data!AL:AL),0)</f>
        <v>0</v>
      </c>
      <c r="F102" s="21" t="str">
        <f t="shared" si="6"/>
        <v/>
      </c>
    </row>
    <row r="103" spans="2:6" x14ac:dyDescent="0.2">
      <c r="B103" s="155" t="s">
        <v>34</v>
      </c>
      <c r="C103" s="156"/>
      <c r="D103" s="36"/>
      <c r="E103" s="17">
        <f>IF(F3="1",SUMIF(Data!A:A,'33'!$A$2,Data!AM:AM),0)</f>
        <v>0</v>
      </c>
      <c r="F103" s="21" t="str">
        <f t="shared" si="6"/>
        <v/>
      </c>
    </row>
    <row r="104" spans="2:6" ht="15.75" customHeight="1" thickBot="1" x14ac:dyDescent="0.25">
      <c r="B104" s="149" t="s">
        <v>29</v>
      </c>
      <c r="C104" s="150"/>
      <c r="D104" s="37"/>
      <c r="E104" s="24">
        <f>IF(F3="1",SUMIF(Data!A:A,'33'!$A$2,Data!Q:Q),0)</f>
        <v>0</v>
      </c>
      <c r="F104" s="25" t="str">
        <f t="shared" si="6"/>
        <v/>
      </c>
    </row>
    <row r="105" spans="2:6" x14ac:dyDescent="0.2">
      <c r="B105" s="30" t="s">
        <v>35</v>
      </c>
      <c r="C105" s="30"/>
      <c r="D105" s="34">
        <f>D95</f>
        <v>933888</v>
      </c>
      <c r="E105" s="31">
        <f>SUM(E98:E104)</f>
        <v>2685067</v>
      </c>
      <c r="F105" s="32">
        <f>IF($D$105=0,"",ROUND(E105/$D$105,2))</f>
        <v>2.88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3175622</v>
      </c>
      <c r="D109" s="15">
        <f>IF(F3="1",SUMIF(Data!$A:$A,$A$2,Data!HJ:HJ),0)</f>
        <v>0</v>
      </c>
      <c r="E109" s="15">
        <f>IF(F3="1",SUMIF(Data!$A:$A,$A$2,Data!IN:IN),0)</f>
        <v>0</v>
      </c>
      <c r="F109" s="47">
        <f>SUM(C109:E109)</f>
        <v>3175622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3175622</v>
      </c>
      <c r="D118" s="4">
        <f>SUM(D109:D116)</f>
        <v>0</v>
      </c>
      <c r="E118" s="4">
        <f>SUM(E109:E116)</f>
        <v>0</v>
      </c>
      <c r="F118" s="4">
        <f>SUM(F109:F116)</f>
        <v>3175622</v>
      </c>
    </row>
    <row r="119" spans="1:6" ht="15" thickBot="1" x14ac:dyDescent="0.25"/>
    <row r="120" spans="1:6" ht="15" thickBot="1" x14ac:dyDescent="0.25">
      <c r="B120" s="55" t="s">
        <v>934</v>
      </c>
      <c r="C120" s="53"/>
      <c r="D120" s="53"/>
      <c r="E120" s="53">
        <f>IF(F3="1",SUMIF(Data!A:A,'33'!$A$2,Data!AM:AM),0)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390</v>
      </c>
      <c r="B2" s="58" t="str">
        <f>VLOOKUP(A2,Data!A:G,7,0)</f>
        <v>Paris Junior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6624</v>
      </c>
      <c r="E5" s="15">
        <f>E36+E67+IFERROR($E$105/$D$105*D5,0)</f>
        <v>61931.497136609032</v>
      </c>
      <c r="F5" s="20">
        <f>IF(OR(D5=0,E5=0),"",ROUND(E5/D5,2))</f>
        <v>9.35</v>
      </c>
    </row>
    <row r="6" spans="1:6" x14ac:dyDescent="0.2">
      <c r="A6" s="19">
        <v>2</v>
      </c>
      <c r="B6" s="143" t="s">
        <v>1</v>
      </c>
      <c r="C6" s="144"/>
      <c r="D6" s="14">
        <f t="shared" ref="D6:D32" si="0">D37</f>
        <v>165384</v>
      </c>
      <c r="E6" s="17">
        <f t="shared" ref="E6:E32" si="1">E37+E68+IFERROR($E$105/$D$105*D6,0)</f>
        <v>1228676.2274216409</v>
      </c>
      <c r="F6" s="21">
        <f t="shared" ref="F6:F33" si="2">IF(OR(D6=0,E6=0),"",ROUND(E6/D6,2))</f>
        <v>7.43</v>
      </c>
    </row>
    <row r="7" spans="1:6" ht="14.25" customHeight="1" x14ac:dyDescent="0.2">
      <c r="A7" s="19">
        <v>3</v>
      </c>
      <c r="B7" s="143" t="s">
        <v>2</v>
      </c>
      <c r="C7" s="144"/>
      <c r="D7" s="14">
        <f t="shared" si="0"/>
        <v>152384</v>
      </c>
      <c r="E7" s="17">
        <f t="shared" si="1"/>
        <v>670322.64910402033</v>
      </c>
      <c r="F7" s="21">
        <f t="shared" si="2"/>
        <v>4.4000000000000004</v>
      </c>
    </row>
    <row r="8" spans="1:6" ht="14.25" customHeight="1" x14ac:dyDescent="0.2">
      <c r="A8" s="19">
        <v>4</v>
      </c>
      <c r="B8" s="143" t="s">
        <v>3</v>
      </c>
      <c r="C8" s="144"/>
      <c r="D8" s="14">
        <f t="shared" si="0"/>
        <v>107984</v>
      </c>
      <c r="E8" s="17">
        <f t="shared" si="1"/>
        <v>596344.88931153226</v>
      </c>
      <c r="F8" s="21">
        <f t="shared" si="2"/>
        <v>5.52</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3504</v>
      </c>
      <c r="E10" s="17">
        <f t="shared" si="1"/>
        <v>44379.038340380139</v>
      </c>
      <c r="F10" s="21">
        <f t="shared" si="2"/>
        <v>12.67</v>
      </c>
    </row>
    <row r="11" spans="1:6" x14ac:dyDescent="0.2">
      <c r="A11" s="19">
        <v>7</v>
      </c>
      <c r="B11" s="143" t="s">
        <v>6</v>
      </c>
      <c r="C11" s="144"/>
      <c r="D11" s="14">
        <f t="shared" si="0"/>
        <v>84032</v>
      </c>
      <c r="E11" s="17">
        <f t="shared" si="1"/>
        <v>381628.49024509819</v>
      </c>
      <c r="F11" s="21">
        <f t="shared" si="2"/>
        <v>4.54</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58720</v>
      </c>
      <c r="E13" s="17">
        <f t="shared" si="1"/>
        <v>195484.45529312838</v>
      </c>
      <c r="F13" s="21">
        <f t="shared" si="2"/>
        <v>3.33</v>
      </c>
    </row>
    <row r="14" spans="1:6" x14ac:dyDescent="0.2">
      <c r="A14" s="19">
        <v>10</v>
      </c>
      <c r="B14" s="143" t="s">
        <v>9</v>
      </c>
      <c r="C14" s="144"/>
      <c r="D14" s="14">
        <f t="shared" si="0"/>
        <v>288</v>
      </c>
      <c r="E14" s="17">
        <f t="shared" si="1"/>
        <v>8622.9346581134359</v>
      </c>
      <c r="F14" s="21">
        <f t="shared" si="2"/>
        <v>29.94</v>
      </c>
    </row>
    <row r="15" spans="1:6" x14ac:dyDescent="0.2">
      <c r="A15" s="19">
        <v>11</v>
      </c>
      <c r="B15" s="143" t="s">
        <v>10</v>
      </c>
      <c r="C15" s="144"/>
      <c r="D15" s="14">
        <f t="shared" si="0"/>
        <v>22912</v>
      </c>
      <c r="E15" s="17">
        <f t="shared" si="1"/>
        <v>128162.91280102449</v>
      </c>
      <c r="F15" s="21">
        <f t="shared" si="2"/>
        <v>5.59</v>
      </c>
    </row>
    <row r="16" spans="1:6" ht="14.25" customHeight="1" x14ac:dyDescent="0.2">
      <c r="A16" s="19">
        <v>12</v>
      </c>
      <c r="B16" s="143" t="s">
        <v>11</v>
      </c>
      <c r="C16" s="144"/>
      <c r="D16" s="14">
        <f t="shared" si="0"/>
        <v>235638</v>
      </c>
      <c r="E16" s="17">
        <f t="shared" si="1"/>
        <v>1021655.3505851871</v>
      </c>
      <c r="F16" s="21">
        <f t="shared" si="2"/>
        <v>4.34</v>
      </c>
    </row>
    <row r="17" spans="1:6" x14ac:dyDescent="0.2">
      <c r="A17" s="19">
        <v>13</v>
      </c>
      <c r="B17" s="143" t="s">
        <v>12</v>
      </c>
      <c r="C17" s="144"/>
      <c r="D17" s="14">
        <f t="shared" si="0"/>
        <v>11920</v>
      </c>
      <c r="E17" s="17">
        <f t="shared" si="1"/>
        <v>61998.573349694998</v>
      </c>
      <c r="F17" s="21">
        <f t="shared" si="2"/>
        <v>5.2</v>
      </c>
    </row>
    <row r="18" spans="1:6" ht="14.25" customHeight="1" x14ac:dyDescent="0.2">
      <c r="A18" s="19">
        <v>14</v>
      </c>
      <c r="B18" s="143" t="s">
        <v>464</v>
      </c>
      <c r="C18" s="144"/>
      <c r="D18" s="14">
        <f t="shared" si="0"/>
        <v>26512</v>
      </c>
      <c r="E18" s="17">
        <f t="shared" si="1"/>
        <v>384646.59602744243</v>
      </c>
      <c r="F18" s="21">
        <f t="shared" si="2"/>
        <v>14.51</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51568</v>
      </c>
      <c r="E20" s="17">
        <f t="shared" si="1"/>
        <v>111539.9112833114</v>
      </c>
      <c r="F20" s="21">
        <f t="shared" si="2"/>
        <v>2.16</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64486</v>
      </c>
      <c r="E22" s="17">
        <f t="shared" si="1"/>
        <v>459922.1262607745</v>
      </c>
      <c r="F22" s="21">
        <f t="shared" si="2"/>
        <v>7.13</v>
      </c>
    </row>
    <row r="23" spans="1:6" x14ac:dyDescent="0.2">
      <c r="A23" s="19">
        <v>19</v>
      </c>
      <c r="B23" s="143" t="s">
        <v>17</v>
      </c>
      <c r="C23" s="144"/>
      <c r="D23" s="14">
        <f t="shared" si="0"/>
        <v>318096</v>
      </c>
      <c r="E23" s="17">
        <f t="shared" si="1"/>
        <v>1093156.3298862902</v>
      </c>
      <c r="F23" s="21">
        <f t="shared" si="2"/>
        <v>3.44</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66704</v>
      </c>
      <c r="E26" s="17">
        <f t="shared" si="1"/>
        <v>323366.58831527311</v>
      </c>
      <c r="F26" s="21">
        <f t="shared" si="2"/>
        <v>4.8499999999999996</v>
      </c>
    </row>
    <row r="27" spans="1:6" x14ac:dyDescent="0.2">
      <c r="A27" s="19">
        <v>23</v>
      </c>
      <c r="B27" s="143" t="s">
        <v>20</v>
      </c>
      <c r="C27" s="144"/>
      <c r="D27" s="14">
        <f t="shared" si="0"/>
        <v>79200</v>
      </c>
      <c r="E27" s="17">
        <f t="shared" si="1"/>
        <v>388141.03098119498</v>
      </c>
      <c r="F27" s="21">
        <f t="shared" si="2"/>
        <v>4.9000000000000004</v>
      </c>
    </row>
    <row r="28" spans="1:6" x14ac:dyDescent="0.2">
      <c r="A28" s="19">
        <v>24</v>
      </c>
      <c r="B28" s="143" t="s">
        <v>21</v>
      </c>
      <c r="C28" s="144"/>
      <c r="D28" s="14">
        <f t="shared" si="0"/>
        <v>240</v>
      </c>
      <c r="E28" s="17">
        <f t="shared" si="1"/>
        <v>519.11221509453026</v>
      </c>
      <c r="F28" s="21">
        <f t="shared" si="2"/>
        <v>2.16</v>
      </c>
    </row>
    <row r="29" spans="1:6" x14ac:dyDescent="0.2">
      <c r="A29" s="19">
        <v>25</v>
      </c>
      <c r="B29" s="143" t="s">
        <v>22</v>
      </c>
      <c r="C29" s="144"/>
      <c r="D29" s="14">
        <f t="shared" si="0"/>
        <v>169104</v>
      </c>
      <c r="E29" s="17">
        <f t="shared" si="1"/>
        <v>680628.466755606</v>
      </c>
      <c r="F29" s="21">
        <f t="shared" si="2"/>
        <v>4.0199999999999996</v>
      </c>
    </row>
    <row r="30" spans="1:6" x14ac:dyDescent="0.2">
      <c r="A30" s="19">
        <v>26</v>
      </c>
      <c r="B30" s="143" t="s">
        <v>23</v>
      </c>
      <c r="C30" s="144"/>
      <c r="D30" s="14">
        <f t="shared" si="0"/>
        <v>57495</v>
      </c>
      <c r="E30" s="17">
        <f t="shared" si="1"/>
        <v>549551.8200285834</v>
      </c>
      <c r="F30" s="21">
        <f t="shared" si="2"/>
        <v>9.56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1682795</v>
      </c>
      <c r="E33" s="31">
        <f>SUM(E5:E32)</f>
        <v>8390678.9999999981</v>
      </c>
      <c r="F33" s="32">
        <f t="shared" si="2"/>
        <v>4.99</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IF(F3="1",SUMIF(Data!A:A,'34'!$A$2,Data!CU:CU),0)</f>
        <v>6624</v>
      </c>
      <c r="E36" s="15">
        <f>IF(F3="1",SUMIF(Data!$A:$A,$A$2,Data!IO:IO),0)</f>
        <v>14998</v>
      </c>
      <c r="F36" s="20">
        <f t="shared" ref="F36:F64" si="3">IF(OR(D36=0,E36=0),"",ROUND(E36/D36,2))</f>
        <v>2.2599999999999998</v>
      </c>
    </row>
    <row r="37" spans="1:6" x14ac:dyDescent="0.2">
      <c r="A37" s="19">
        <v>2</v>
      </c>
      <c r="B37" s="143" t="s">
        <v>1</v>
      </c>
      <c r="C37" s="144"/>
      <c r="D37" s="14">
        <f>IF(F3="1",SUMIF(Data!A:A,'34'!$A$2,Data!CV:CV),0)</f>
        <v>165384</v>
      </c>
      <c r="E37" s="17">
        <f>IF(F3="1",SUMIF(Data!$A:$A,$A$2,Data!IP:IP),0)</f>
        <v>245566</v>
      </c>
      <c r="F37" s="21">
        <f t="shared" si="3"/>
        <v>1.48</v>
      </c>
    </row>
    <row r="38" spans="1:6" ht="14.25" customHeight="1" x14ac:dyDescent="0.2">
      <c r="A38" s="19">
        <v>3</v>
      </c>
      <c r="B38" s="143" t="s">
        <v>2</v>
      </c>
      <c r="C38" s="144"/>
      <c r="D38" s="14">
        <f>IF(F3="1",SUMIF(Data!A:A,'34'!$A$2,Data!CW:CW),0)</f>
        <v>152384</v>
      </c>
      <c r="E38" s="17">
        <f>IF($F$3="1",SUMIF(Data!$A:$A,$A$2,Data!IQ:IQ),0)</f>
        <v>55758</v>
      </c>
      <c r="F38" s="21">
        <f t="shared" si="3"/>
        <v>0.37</v>
      </c>
    </row>
    <row r="39" spans="1:6" ht="14.25" customHeight="1" x14ac:dyDescent="0.2">
      <c r="A39" s="19">
        <v>4</v>
      </c>
      <c r="B39" s="143" t="s">
        <v>3</v>
      </c>
      <c r="C39" s="144"/>
      <c r="D39" s="14">
        <f>IF(F3="1",SUMIF(Data!A:A,'34'!$A$2,Data!CX:CX),0)</f>
        <v>107984</v>
      </c>
      <c r="E39" s="17">
        <f>IF($F$3="1",SUMIF(Data!$A:$A,$A$2,Data!IR:IR),0)</f>
        <v>22117</v>
      </c>
      <c r="F39" s="21">
        <f t="shared" si="3"/>
        <v>0.2</v>
      </c>
    </row>
    <row r="40" spans="1:6" x14ac:dyDescent="0.2">
      <c r="A40" s="19">
        <v>5</v>
      </c>
      <c r="B40" s="143" t="s">
        <v>4</v>
      </c>
      <c r="C40" s="144"/>
      <c r="D40" s="14">
        <f>IF(F3="1",SUMIF(Data!A:A,'34'!$A$2,Data!CY:CY),0)</f>
        <v>0</v>
      </c>
      <c r="E40" s="17">
        <f>IF($F$3="1",SUMIF(Data!$A:$A,$A$2,Data!IS:IS),0)</f>
        <v>0</v>
      </c>
      <c r="F40" s="21" t="str">
        <f t="shared" si="3"/>
        <v/>
      </c>
    </row>
    <row r="41" spans="1:6" x14ac:dyDescent="0.2">
      <c r="A41" s="19">
        <v>6</v>
      </c>
      <c r="B41" s="143" t="s">
        <v>5</v>
      </c>
      <c r="C41" s="144"/>
      <c r="D41" s="14">
        <f>IF(F3="1",SUMIF(Data!A:A,'34'!$A$2,Data!CZ:CZ),0)</f>
        <v>3504</v>
      </c>
      <c r="E41" s="17">
        <f>IF($F$3="1",SUMIF(Data!$A:$A,$A$2,Data!IT:IT),0)</f>
        <v>6078</v>
      </c>
      <c r="F41" s="21">
        <f t="shared" si="3"/>
        <v>1.73</v>
      </c>
    </row>
    <row r="42" spans="1:6" x14ac:dyDescent="0.2">
      <c r="A42" s="19">
        <v>7</v>
      </c>
      <c r="B42" s="143" t="s">
        <v>6</v>
      </c>
      <c r="C42" s="144"/>
      <c r="D42" s="14">
        <f>IF(F3="1",SUMIF(Data!A:A,'34'!$A$2,Data!DA:DA),0)</f>
        <v>84032</v>
      </c>
      <c r="E42" s="17">
        <f>IF($F$3="1",SUMIF(Data!$A:$A,$A$2,Data!IU:IU),0)</f>
        <v>29000</v>
      </c>
      <c r="F42" s="21">
        <f t="shared" si="3"/>
        <v>0.35</v>
      </c>
    </row>
    <row r="43" spans="1:6" x14ac:dyDescent="0.2">
      <c r="A43" s="19">
        <v>8</v>
      </c>
      <c r="B43" s="143" t="s">
        <v>7</v>
      </c>
      <c r="C43" s="144"/>
      <c r="D43" s="14">
        <f>IF(F3="1",SUMIF(Data!A:A,'34'!$A$2,Data!DB:DB),0)</f>
        <v>0</v>
      </c>
      <c r="E43" s="17">
        <f>IF($F$3="1",SUMIF(Data!$A:$A,$A$2,Data!IV:IV),0)</f>
        <v>0</v>
      </c>
      <c r="F43" s="21" t="str">
        <f t="shared" si="3"/>
        <v/>
      </c>
    </row>
    <row r="44" spans="1:6" x14ac:dyDescent="0.2">
      <c r="A44" s="19">
        <v>9</v>
      </c>
      <c r="B44" s="143" t="s">
        <v>8</v>
      </c>
      <c r="C44" s="144"/>
      <c r="D44" s="14">
        <f>IF(F3="1",SUMIF(Data!A:A,'34'!$A$2,Data!DC:DC),0)</f>
        <v>58720</v>
      </c>
      <c r="E44" s="17">
        <f>IF($F$3="1",SUMIF(Data!$A:$A,$A$2,Data!IW:IW),0)</f>
        <v>8977</v>
      </c>
      <c r="F44" s="21">
        <f t="shared" si="3"/>
        <v>0.15</v>
      </c>
    </row>
    <row r="45" spans="1:6" x14ac:dyDescent="0.2">
      <c r="A45" s="19">
        <v>10</v>
      </c>
      <c r="B45" s="143" t="s">
        <v>9</v>
      </c>
      <c r="C45" s="144"/>
      <c r="D45" s="14">
        <f>IF(F3="1",SUMIF(Data!A:A,'34'!$A$2,Data!DD:DD),0)</f>
        <v>288</v>
      </c>
      <c r="E45" s="17">
        <f>IF($F$3="1",SUMIF(Data!$A:$A,$A$2,Data!IX:IX),0)</f>
        <v>0</v>
      </c>
      <c r="F45" s="21" t="str">
        <f t="shared" si="3"/>
        <v/>
      </c>
    </row>
    <row r="46" spans="1:6" x14ac:dyDescent="0.2">
      <c r="A46" s="19">
        <v>11</v>
      </c>
      <c r="B46" s="143" t="s">
        <v>10</v>
      </c>
      <c r="C46" s="144"/>
      <c r="D46" s="14">
        <f>IF(F3="1",SUMIF(Data!A:A,'34'!$A$2,Data!DE:DE),0)</f>
        <v>22912</v>
      </c>
      <c r="E46" s="17">
        <f>IF($F$3="1",SUMIF(Data!$A:$A,$A$2,Data!IY:IY),0)</f>
        <v>35627</v>
      </c>
      <c r="F46" s="21">
        <f t="shared" si="3"/>
        <v>1.55</v>
      </c>
    </row>
    <row r="47" spans="1:6" ht="14.25" customHeight="1" x14ac:dyDescent="0.2">
      <c r="A47" s="19">
        <v>12</v>
      </c>
      <c r="B47" s="143" t="s">
        <v>11</v>
      </c>
      <c r="C47" s="144"/>
      <c r="D47" s="14">
        <f>IF(F3="1",SUMIF(Data!A:A,'34'!$A$2,Data!DF:DF),0)</f>
        <v>235638</v>
      </c>
      <c r="E47" s="17">
        <f>IF($F$3="1",SUMIF(Data!$A:$A,$A$2,Data!IZ:IZ),0)</f>
        <v>61393</v>
      </c>
      <c r="F47" s="21">
        <f t="shared" si="3"/>
        <v>0.26</v>
      </c>
    </row>
    <row r="48" spans="1:6" x14ac:dyDescent="0.2">
      <c r="A48" s="19">
        <v>13</v>
      </c>
      <c r="B48" s="143" t="s">
        <v>12</v>
      </c>
      <c r="C48" s="144"/>
      <c r="D48" s="14">
        <f>IF(F3="1",SUMIF(Data!A:A,'34'!$A$2,Data!DG:DG),0)</f>
        <v>11920</v>
      </c>
      <c r="E48" s="17">
        <f>IF($F$3="1",SUMIF(Data!$A:$A,$A$2,Data!JA:JA),0)</f>
        <v>921</v>
      </c>
      <c r="F48" s="21">
        <f t="shared" si="3"/>
        <v>0.08</v>
      </c>
    </row>
    <row r="49" spans="1:6" ht="14.25" customHeight="1" x14ac:dyDescent="0.2">
      <c r="A49" s="19">
        <v>14</v>
      </c>
      <c r="B49" s="143" t="s">
        <v>464</v>
      </c>
      <c r="C49" s="144"/>
      <c r="D49" s="14">
        <f>IF(F3="1",SUMIF(Data!A:A,'34'!$A$2,Data!DH:DH),0)</f>
        <v>26512</v>
      </c>
      <c r="E49" s="17">
        <f>IF($F$3="1",SUMIF(Data!$A:$A,$A$2,Data!JB:JB),0)</f>
        <v>60553</v>
      </c>
      <c r="F49" s="21">
        <f t="shared" si="3"/>
        <v>2.2799999999999998</v>
      </c>
    </row>
    <row r="50" spans="1:6" x14ac:dyDescent="0.2">
      <c r="A50" s="19">
        <v>15</v>
      </c>
      <c r="B50" s="143" t="s">
        <v>13</v>
      </c>
      <c r="C50" s="144"/>
      <c r="D50" s="14">
        <f>IF(F3="1",SUMIF(Data!A:A,'34'!$A$2,Data!DI:DI),0)</f>
        <v>0</v>
      </c>
      <c r="E50" s="17">
        <f>IF($F$3="1",SUMIF(Data!$A:$A,$A$2,Data!JC:JC),0)</f>
        <v>0</v>
      </c>
      <c r="F50" s="21" t="str">
        <f t="shared" si="3"/>
        <v/>
      </c>
    </row>
    <row r="51" spans="1:6" x14ac:dyDescent="0.2">
      <c r="A51" s="19">
        <v>16</v>
      </c>
      <c r="B51" s="143" t="s">
        <v>14</v>
      </c>
      <c r="C51" s="144"/>
      <c r="D51" s="14">
        <f>IF(F3="1",SUMIF(Data!A:A,'34'!$A$2,Data!DJ:DJ),0)</f>
        <v>51568</v>
      </c>
      <c r="E51" s="17">
        <f>IF($F$3="1",SUMIF(Data!$A:$A,$A$2,Data!JD:JD),0)</f>
        <v>0</v>
      </c>
      <c r="F51" s="21" t="str">
        <f t="shared" si="3"/>
        <v/>
      </c>
    </row>
    <row r="52" spans="1:6" x14ac:dyDescent="0.2">
      <c r="A52" s="19">
        <v>17</v>
      </c>
      <c r="B52" s="143" t="s">
        <v>15</v>
      </c>
      <c r="C52" s="144"/>
      <c r="D52" s="14">
        <f>IF(F3="1",SUMIF(Data!A:A,'34'!$A$2,Data!DK:DK),0)</f>
        <v>0</v>
      </c>
      <c r="E52" s="17">
        <f>IF($F$3="1",SUMIF(Data!$A:$A,$A$2,Data!JE:JE),0)</f>
        <v>0</v>
      </c>
      <c r="F52" s="21" t="str">
        <f t="shared" si="3"/>
        <v/>
      </c>
    </row>
    <row r="53" spans="1:6" x14ac:dyDescent="0.2">
      <c r="A53" s="19">
        <v>18</v>
      </c>
      <c r="B53" s="143" t="s">
        <v>16</v>
      </c>
      <c r="C53" s="144"/>
      <c r="D53" s="14">
        <f>IF(F3="1",SUMIF(Data!A:A,'34'!$A$2,Data!DL:DL),0)</f>
        <v>64486</v>
      </c>
      <c r="E53" s="17">
        <f>IF($F$3="1",SUMIF(Data!$A:$A,$A$2,Data!JF:JF),0)</f>
        <v>12026</v>
      </c>
      <c r="F53" s="21">
        <f t="shared" si="3"/>
        <v>0.19</v>
      </c>
    </row>
    <row r="54" spans="1:6" x14ac:dyDescent="0.2">
      <c r="A54" s="19">
        <v>19</v>
      </c>
      <c r="B54" s="143" t="s">
        <v>17</v>
      </c>
      <c r="C54" s="144"/>
      <c r="D54" s="14">
        <f>IF(F3="1",SUMIF(Data!A:A,'34'!$A$2,Data!DM:DM),0)</f>
        <v>318096</v>
      </c>
      <c r="E54" s="17">
        <f>IF($F$3="1",SUMIF(Data!$A:$A,$A$2,Data!JG:JG),0)</f>
        <v>32111</v>
      </c>
      <c r="F54" s="21">
        <f t="shared" si="3"/>
        <v>0.1</v>
      </c>
    </row>
    <row r="55" spans="1:6" x14ac:dyDescent="0.2">
      <c r="A55" s="19">
        <v>20</v>
      </c>
      <c r="B55" s="143" t="s">
        <v>18</v>
      </c>
      <c r="C55" s="144"/>
      <c r="D55" s="14">
        <f>IF(F3="1",SUMIF(Data!A:A,'34'!$A$2,Data!DN:DN),0)</f>
        <v>0</v>
      </c>
      <c r="E55" s="17">
        <f>IF($F$3="1",SUMIF(Data!$A:$A,$A$2,Data!JH:JH),0)</f>
        <v>0</v>
      </c>
      <c r="F55" s="21" t="str">
        <f t="shared" si="3"/>
        <v/>
      </c>
    </row>
    <row r="56" spans="1:6" ht="14.25" customHeight="1" x14ac:dyDescent="0.2">
      <c r="A56" s="19">
        <v>21</v>
      </c>
      <c r="B56" s="143" t="s">
        <v>461</v>
      </c>
      <c r="C56" s="144"/>
      <c r="D56" s="14">
        <f>IF(F3="1",SUMIF(Data!A:A,'34'!$A$2,Data!DO:DO),0)</f>
        <v>0</v>
      </c>
      <c r="E56" s="17">
        <f>IF($F$3="1",SUMIF(Data!$A:$A,$A$2,Data!JI:JI),0)</f>
        <v>0</v>
      </c>
      <c r="F56" s="21" t="str">
        <f t="shared" si="3"/>
        <v/>
      </c>
    </row>
    <row r="57" spans="1:6" x14ac:dyDescent="0.2">
      <c r="A57" s="19">
        <v>22</v>
      </c>
      <c r="B57" s="143" t="s">
        <v>19</v>
      </c>
      <c r="C57" s="144"/>
      <c r="D57" s="14">
        <f>IF(F3="1",SUMIF(Data!A:A,'34'!$A$2,Data!DP:DP),0)</f>
        <v>66704</v>
      </c>
      <c r="E57" s="17">
        <f>IF($F$3="1",SUMIF(Data!$A:$A,$A$2,Data!JJ:JJ),0)</f>
        <v>59796</v>
      </c>
      <c r="F57" s="21">
        <f t="shared" si="3"/>
        <v>0.9</v>
      </c>
    </row>
    <row r="58" spans="1:6" x14ac:dyDescent="0.2">
      <c r="A58" s="19">
        <v>23</v>
      </c>
      <c r="B58" s="143" t="s">
        <v>20</v>
      </c>
      <c r="C58" s="144"/>
      <c r="D58" s="14">
        <f>IF(F3="1",SUMIF(Data!A:A,'34'!$A$2,Data!DQ:DQ),0)</f>
        <v>79200</v>
      </c>
      <c r="E58" s="17">
        <f>IF($F$3="1",SUMIF(Data!$A:$A,$A$2,Data!JK:JK),0)</f>
        <v>19805</v>
      </c>
      <c r="F58" s="21">
        <f t="shared" si="3"/>
        <v>0.25</v>
      </c>
    </row>
    <row r="59" spans="1:6" x14ac:dyDescent="0.2">
      <c r="A59" s="19">
        <v>24</v>
      </c>
      <c r="B59" s="143" t="s">
        <v>21</v>
      </c>
      <c r="C59" s="144"/>
      <c r="D59" s="14">
        <f>IF(F3="1",SUMIF(Data!A:A,'34'!$A$2,Data!DR:DR),0)</f>
        <v>240</v>
      </c>
      <c r="E59" s="17">
        <f>IF($F$3="1",SUMIF(Data!$A:$A,$A$2,Data!JL:JL),0)</f>
        <v>0</v>
      </c>
      <c r="F59" s="21" t="str">
        <f t="shared" si="3"/>
        <v/>
      </c>
    </row>
    <row r="60" spans="1:6" x14ac:dyDescent="0.2">
      <c r="A60" s="19">
        <v>25</v>
      </c>
      <c r="B60" s="143" t="s">
        <v>22</v>
      </c>
      <c r="C60" s="144"/>
      <c r="D60" s="14">
        <f>IF(F3="1",SUMIF(Data!A:A,'34'!$A$2,Data!DS:DS),0)</f>
        <v>169104</v>
      </c>
      <c r="E60" s="17">
        <f>IF($F$3="1",SUMIF(Data!$A:$A,$A$2,Data!JM:JM),0)</f>
        <v>11885</v>
      </c>
      <c r="F60" s="21">
        <f t="shared" si="3"/>
        <v>7.0000000000000007E-2</v>
      </c>
    </row>
    <row r="61" spans="1:6" x14ac:dyDescent="0.2">
      <c r="A61" s="19">
        <v>26</v>
      </c>
      <c r="B61" s="143" t="s">
        <v>23</v>
      </c>
      <c r="C61" s="144"/>
      <c r="D61" s="14">
        <f>IF(F3="1",SUMIF(Data!A:A,'34'!$A$2,Data!DT:DT),0)</f>
        <v>57495</v>
      </c>
      <c r="E61" s="17">
        <f>IF($F$3="1",SUMIF(Data!$A:$A,$A$2,Data!JN:JN),0)</f>
        <v>116630</v>
      </c>
      <c r="F61" s="21">
        <f t="shared" si="3"/>
        <v>2.0299999999999998</v>
      </c>
    </row>
    <row r="62" spans="1:6" x14ac:dyDescent="0.2">
      <c r="A62" s="19">
        <v>28</v>
      </c>
      <c r="B62" s="143" t="s">
        <v>24</v>
      </c>
      <c r="C62" s="144"/>
      <c r="D62" s="14">
        <f>IF(F3="1",SUMIF(Data!A:A,'34'!$A$2,Data!DV:DV),0)</f>
        <v>0</v>
      </c>
      <c r="E62" s="17">
        <f>IF($F$3="1",SUMIF(Data!$A:$A,$A$2,Data!JP:JP),0)</f>
        <v>0</v>
      </c>
      <c r="F62" s="21" t="str">
        <f t="shared" si="3"/>
        <v/>
      </c>
    </row>
    <row r="63" spans="1:6" ht="15.75" customHeight="1" thickBot="1" x14ac:dyDescent="0.25">
      <c r="A63" s="22">
        <v>29</v>
      </c>
      <c r="B63" s="147" t="s">
        <v>25</v>
      </c>
      <c r="C63" s="148"/>
      <c r="D63" s="23">
        <f>IF(F3="1",SUMIF(Data!A:A,'34'!$A$2,Data!DW:DW),0)</f>
        <v>0</v>
      </c>
      <c r="E63" s="24">
        <f>IF($F$3="1",SUMIF(Data!$A:$A,$A$2,Data!JQ:JQ),0)</f>
        <v>0</v>
      </c>
      <c r="F63" s="25" t="str">
        <f t="shared" si="3"/>
        <v/>
      </c>
    </row>
    <row r="64" spans="1:6" x14ac:dyDescent="0.2">
      <c r="B64" s="30" t="s">
        <v>35</v>
      </c>
      <c r="C64" s="30"/>
      <c r="D64" s="59">
        <f>SUM(D36:D63)</f>
        <v>1682795</v>
      </c>
      <c r="E64" s="31">
        <f>SUM(E36:E63)</f>
        <v>793241</v>
      </c>
      <c r="F64" s="32">
        <f t="shared" si="3"/>
        <v>0.47</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6624</v>
      </c>
      <c r="E67" s="15">
        <f>IF(F3="1",SUMIF(Data!A:A,'34'!$A$2,Data!DY:DY),0)</f>
        <v>32606</v>
      </c>
      <c r="F67" s="20">
        <f t="shared" ref="F67:F95" si="4">IF(OR(D67=0,E67=0),"",ROUND(E67/D67,2))</f>
        <v>4.92</v>
      </c>
    </row>
    <row r="68" spans="1:6" x14ac:dyDescent="0.2">
      <c r="A68" s="19">
        <v>2</v>
      </c>
      <c r="B68" s="143" t="s">
        <v>1</v>
      </c>
      <c r="C68" s="144"/>
      <c r="D68" s="14">
        <f t="shared" ref="D68:D94" si="5">D37</f>
        <v>165384</v>
      </c>
      <c r="E68" s="17">
        <f>IF(F3="1",SUMIF(Data!A:A,'34'!$A$2,Data!DZ:DZ),0)</f>
        <v>625390</v>
      </c>
      <c r="F68" s="21">
        <f t="shared" si="4"/>
        <v>3.78</v>
      </c>
    </row>
    <row r="69" spans="1:6" ht="14.25" customHeight="1" x14ac:dyDescent="0.2">
      <c r="A69" s="19">
        <v>3</v>
      </c>
      <c r="B69" s="143" t="s">
        <v>2</v>
      </c>
      <c r="C69" s="144"/>
      <c r="D69" s="14">
        <f t="shared" si="5"/>
        <v>152384</v>
      </c>
      <c r="E69" s="17">
        <f>IF(F3="1",SUMIF(Data!A:A,'34'!$A$2,Data!EA:EA),0)</f>
        <v>284963</v>
      </c>
      <c r="F69" s="21">
        <f t="shared" si="4"/>
        <v>1.87</v>
      </c>
    </row>
    <row r="70" spans="1:6" ht="14.25" customHeight="1" x14ac:dyDescent="0.2">
      <c r="A70" s="19">
        <v>4</v>
      </c>
      <c r="B70" s="143" t="s">
        <v>3</v>
      </c>
      <c r="C70" s="144"/>
      <c r="D70" s="14">
        <f t="shared" si="5"/>
        <v>107984</v>
      </c>
      <c r="E70" s="17">
        <f>IF(F3="1",SUMIF(Data!A:A,'34'!$A$2,Data!EB:EB),0)</f>
        <v>340662</v>
      </c>
      <c r="F70" s="21">
        <f t="shared" si="4"/>
        <v>3.15</v>
      </c>
    </row>
    <row r="71" spans="1:6" x14ac:dyDescent="0.2">
      <c r="A71" s="19">
        <v>5</v>
      </c>
      <c r="B71" s="143" t="s">
        <v>4</v>
      </c>
      <c r="C71" s="144"/>
      <c r="D71" s="14">
        <f t="shared" si="5"/>
        <v>0</v>
      </c>
      <c r="E71" s="17">
        <f>IF(F3="1",SUMIF(Data!A:A,'34'!$A$2,Data!EC:EC),0)</f>
        <v>0</v>
      </c>
      <c r="F71" s="21" t="str">
        <f t="shared" si="4"/>
        <v/>
      </c>
    </row>
    <row r="72" spans="1:6" x14ac:dyDescent="0.2">
      <c r="A72" s="19">
        <v>6</v>
      </c>
      <c r="B72" s="143" t="s">
        <v>5</v>
      </c>
      <c r="C72" s="144"/>
      <c r="D72" s="14">
        <f t="shared" si="5"/>
        <v>3504</v>
      </c>
      <c r="E72" s="17">
        <f>IF(F3="1",SUMIF(Data!A:A,'34'!$A$2,Data!ED:ED),0)</f>
        <v>30722</v>
      </c>
      <c r="F72" s="21">
        <f t="shared" si="4"/>
        <v>8.77</v>
      </c>
    </row>
    <row r="73" spans="1:6" x14ac:dyDescent="0.2">
      <c r="A73" s="19">
        <v>7</v>
      </c>
      <c r="B73" s="143" t="s">
        <v>6</v>
      </c>
      <c r="C73" s="144"/>
      <c r="D73" s="14">
        <f t="shared" si="5"/>
        <v>84032</v>
      </c>
      <c r="E73" s="17">
        <f>IF(F3="1",SUMIF(Data!A:A,'34'!$A$2,Data!EE:EE),0)</f>
        <v>170870</v>
      </c>
      <c r="F73" s="21">
        <f t="shared" si="4"/>
        <v>2.0299999999999998</v>
      </c>
    </row>
    <row r="74" spans="1:6" x14ac:dyDescent="0.2">
      <c r="A74" s="19">
        <v>8</v>
      </c>
      <c r="B74" s="143" t="s">
        <v>7</v>
      </c>
      <c r="C74" s="144"/>
      <c r="D74" s="14">
        <f t="shared" si="5"/>
        <v>0</v>
      </c>
      <c r="E74" s="17">
        <f>IF(F3="1",SUMIF(Data!A:A,'34'!$A$2,Data!EF:EF),0)</f>
        <v>0</v>
      </c>
      <c r="F74" s="21" t="str">
        <f t="shared" si="4"/>
        <v/>
      </c>
    </row>
    <row r="75" spans="1:6" x14ac:dyDescent="0.2">
      <c r="A75" s="19">
        <v>9</v>
      </c>
      <c r="B75" s="143" t="s">
        <v>8</v>
      </c>
      <c r="C75" s="144"/>
      <c r="D75" s="14">
        <f t="shared" si="5"/>
        <v>58720</v>
      </c>
      <c r="E75" s="17">
        <f>IF(F3="1",SUMIF(Data!A:A,'34'!$A$2,Data!EG:EG),0)</f>
        <v>59498</v>
      </c>
      <c r="F75" s="21">
        <f t="shared" si="4"/>
        <v>1.01</v>
      </c>
    </row>
    <row r="76" spans="1:6" x14ac:dyDescent="0.2">
      <c r="A76" s="19">
        <v>10</v>
      </c>
      <c r="B76" s="143" t="s">
        <v>9</v>
      </c>
      <c r="C76" s="144"/>
      <c r="D76" s="14">
        <f t="shared" si="5"/>
        <v>288</v>
      </c>
      <c r="E76" s="17">
        <f>IF(F3="1",SUMIF(Data!A:A,'34'!$A$2,Data!EH:EH),0)</f>
        <v>8000</v>
      </c>
      <c r="F76" s="21">
        <f t="shared" si="4"/>
        <v>27.78</v>
      </c>
    </row>
    <row r="77" spans="1:6" x14ac:dyDescent="0.2">
      <c r="A77" s="19">
        <v>11</v>
      </c>
      <c r="B77" s="143" t="s">
        <v>10</v>
      </c>
      <c r="C77" s="144"/>
      <c r="D77" s="14">
        <f t="shared" si="5"/>
        <v>22912</v>
      </c>
      <c r="E77" s="17">
        <f>IF(F3="1",SUMIF(Data!A:A,'34'!$A$2,Data!EI:EI),0)</f>
        <v>42978</v>
      </c>
      <c r="F77" s="21">
        <f t="shared" si="4"/>
        <v>1.88</v>
      </c>
    </row>
    <row r="78" spans="1:6" ht="14.25" customHeight="1" x14ac:dyDescent="0.2">
      <c r="A78" s="19">
        <v>12</v>
      </c>
      <c r="B78" s="143" t="s">
        <v>11</v>
      </c>
      <c r="C78" s="144"/>
      <c r="D78" s="14">
        <f t="shared" si="5"/>
        <v>235638</v>
      </c>
      <c r="E78" s="17">
        <f>IF(F3="1",SUMIF(Data!A:A,'34'!$A$2,Data!EJ:EJ),0)</f>
        <v>450585</v>
      </c>
      <c r="F78" s="21">
        <f t="shared" si="4"/>
        <v>1.91</v>
      </c>
    </row>
    <row r="79" spans="1:6" x14ac:dyDescent="0.2">
      <c r="A79" s="19">
        <v>13</v>
      </c>
      <c r="B79" s="143" t="s">
        <v>12</v>
      </c>
      <c r="C79" s="144"/>
      <c r="D79" s="14">
        <f t="shared" si="5"/>
        <v>11920</v>
      </c>
      <c r="E79" s="17">
        <f>IF(F3="1",SUMIF(Data!A:A,'34'!$A$2,Data!EK:EK),0)</f>
        <v>35295</v>
      </c>
      <c r="F79" s="21">
        <f t="shared" si="4"/>
        <v>2.96</v>
      </c>
    </row>
    <row r="80" spans="1:6" ht="14.25" customHeight="1" x14ac:dyDescent="0.2">
      <c r="A80" s="19">
        <v>14</v>
      </c>
      <c r="B80" s="143" t="s">
        <v>464</v>
      </c>
      <c r="C80" s="144"/>
      <c r="D80" s="14">
        <f t="shared" si="5"/>
        <v>26512</v>
      </c>
      <c r="E80" s="17">
        <f>IF(F3="1",SUMIF(Data!A:A,'34'!$A$2,Data!EL:EL),0)</f>
        <v>266749</v>
      </c>
      <c r="F80" s="21">
        <f t="shared" si="4"/>
        <v>10.06</v>
      </c>
    </row>
    <row r="81" spans="1:6" x14ac:dyDescent="0.2">
      <c r="A81" s="19">
        <v>15</v>
      </c>
      <c r="B81" s="143" t="s">
        <v>13</v>
      </c>
      <c r="C81" s="144"/>
      <c r="D81" s="14">
        <f t="shared" si="5"/>
        <v>0</v>
      </c>
      <c r="E81" s="17">
        <f>IF(F3="1",SUMIF(Data!A:A,'34'!$A$2,Data!EM:EM),0)</f>
        <v>0</v>
      </c>
      <c r="F81" s="21" t="str">
        <f t="shared" si="4"/>
        <v/>
      </c>
    </row>
    <row r="82" spans="1:6" x14ac:dyDescent="0.2">
      <c r="A82" s="19">
        <v>16</v>
      </c>
      <c r="B82" s="143" t="s">
        <v>14</v>
      </c>
      <c r="C82" s="144"/>
      <c r="D82" s="14">
        <f t="shared" si="5"/>
        <v>51568</v>
      </c>
      <c r="E82" s="17">
        <f>IF(F3="1",SUMIF(Data!A:A,'34'!$A$2,Data!EN:EN),0)</f>
        <v>0</v>
      </c>
      <c r="F82" s="21" t="str">
        <f t="shared" si="4"/>
        <v/>
      </c>
    </row>
    <row r="83" spans="1:6" x14ac:dyDescent="0.2">
      <c r="A83" s="19">
        <v>17</v>
      </c>
      <c r="B83" s="143" t="s">
        <v>15</v>
      </c>
      <c r="C83" s="144"/>
      <c r="D83" s="14">
        <f t="shared" si="5"/>
        <v>0</v>
      </c>
      <c r="E83" s="17">
        <f>IF(F3="1",SUMIF(Data!A:A,'34'!$A$2,Data!EO:EO),0)</f>
        <v>0</v>
      </c>
      <c r="F83" s="21" t="str">
        <f t="shared" si="4"/>
        <v/>
      </c>
    </row>
    <row r="84" spans="1:6" x14ac:dyDescent="0.2">
      <c r="A84" s="19">
        <v>18</v>
      </c>
      <c r="B84" s="143" t="s">
        <v>16</v>
      </c>
      <c r="C84" s="144"/>
      <c r="D84" s="14">
        <f t="shared" si="5"/>
        <v>64486</v>
      </c>
      <c r="E84" s="17">
        <f>IF(F3="1",SUMIF(Data!A:A,'34'!$A$2,Data!EP:EP),0)</f>
        <v>308415</v>
      </c>
      <c r="F84" s="21">
        <f t="shared" si="4"/>
        <v>4.78</v>
      </c>
    </row>
    <row r="85" spans="1:6" x14ac:dyDescent="0.2">
      <c r="A85" s="19">
        <v>19</v>
      </c>
      <c r="B85" s="143" t="s">
        <v>17</v>
      </c>
      <c r="C85" s="144"/>
      <c r="D85" s="14">
        <f t="shared" si="5"/>
        <v>318096</v>
      </c>
      <c r="E85" s="17">
        <f>IF(F3="1",SUMIF(Data!A:A,'34'!$A$2,Data!EQ:EQ),0)</f>
        <v>373014</v>
      </c>
      <c r="F85" s="21">
        <f t="shared" si="4"/>
        <v>1.17</v>
      </c>
    </row>
    <row r="86" spans="1:6" x14ac:dyDescent="0.2">
      <c r="A86" s="19">
        <v>20</v>
      </c>
      <c r="B86" s="143" t="s">
        <v>18</v>
      </c>
      <c r="C86" s="144"/>
      <c r="D86" s="14">
        <f t="shared" si="5"/>
        <v>0</v>
      </c>
      <c r="E86" s="17">
        <f>IF(F3="1",SUMIF(Data!A:A,'34'!$A$2,Data!ER:ER),0)</f>
        <v>0</v>
      </c>
      <c r="F86" s="21" t="str">
        <f t="shared" si="4"/>
        <v/>
      </c>
    </row>
    <row r="87" spans="1:6" ht="14.25" customHeight="1" x14ac:dyDescent="0.2">
      <c r="A87" s="19">
        <v>21</v>
      </c>
      <c r="B87" s="143" t="s">
        <v>461</v>
      </c>
      <c r="C87" s="144"/>
      <c r="D87" s="14">
        <f t="shared" si="5"/>
        <v>0</v>
      </c>
      <c r="E87" s="17">
        <f>IF(F3="1",SUMIF(Data!A:A,'34'!$A$2,Data!ES:ES),0)</f>
        <v>0</v>
      </c>
      <c r="F87" s="21" t="str">
        <f t="shared" si="4"/>
        <v/>
      </c>
    </row>
    <row r="88" spans="1:6" x14ac:dyDescent="0.2">
      <c r="A88" s="19">
        <v>22</v>
      </c>
      <c r="B88" s="143" t="s">
        <v>19</v>
      </c>
      <c r="C88" s="144"/>
      <c r="D88" s="14">
        <f t="shared" si="5"/>
        <v>66704</v>
      </c>
      <c r="E88" s="17">
        <f>IF(F3="1",SUMIF(Data!A:A,'34'!$A$2,Data!ET:ET),0)</f>
        <v>119292</v>
      </c>
      <c r="F88" s="21">
        <f t="shared" si="4"/>
        <v>1.79</v>
      </c>
    </row>
    <row r="89" spans="1:6" x14ac:dyDescent="0.2">
      <c r="A89" s="19">
        <v>23</v>
      </c>
      <c r="B89" s="143" t="s">
        <v>20</v>
      </c>
      <c r="C89" s="144"/>
      <c r="D89" s="14">
        <f t="shared" si="5"/>
        <v>79200</v>
      </c>
      <c r="E89" s="17">
        <f>IF(F3="1",SUMIF(Data!A:A,'34'!$A$2,Data!EU:EU),0)</f>
        <v>197029</v>
      </c>
      <c r="F89" s="21">
        <f t="shared" si="4"/>
        <v>2.4900000000000002</v>
      </c>
    </row>
    <row r="90" spans="1:6" x14ac:dyDescent="0.2">
      <c r="A90" s="19">
        <v>24</v>
      </c>
      <c r="B90" s="143" t="s">
        <v>21</v>
      </c>
      <c r="C90" s="144"/>
      <c r="D90" s="14">
        <f t="shared" si="5"/>
        <v>240</v>
      </c>
      <c r="E90" s="17">
        <f>IF(F3="1",SUMIF(Data!A:A,'34'!$A$2,Data!EV:EV),0)</f>
        <v>0</v>
      </c>
      <c r="F90" s="21" t="str">
        <f t="shared" si="4"/>
        <v/>
      </c>
    </row>
    <row r="91" spans="1:6" x14ac:dyDescent="0.2">
      <c r="A91" s="19">
        <v>25</v>
      </c>
      <c r="B91" s="143" t="s">
        <v>22</v>
      </c>
      <c r="C91" s="144"/>
      <c r="D91" s="14">
        <f t="shared" si="5"/>
        <v>169104</v>
      </c>
      <c r="E91" s="17">
        <f>IF(F3="1",SUMIF(Data!A:A,'34'!$A$2,Data!EW:EW),0)</f>
        <v>302977</v>
      </c>
      <c r="F91" s="21">
        <f t="shared" si="4"/>
        <v>1.79</v>
      </c>
    </row>
    <row r="92" spans="1:6" x14ac:dyDescent="0.2">
      <c r="A92" s="19">
        <v>26</v>
      </c>
      <c r="B92" s="143" t="s">
        <v>23</v>
      </c>
      <c r="C92" s="144"/>
      <c r="D92" s="14">
        <f t="shared" si="5"/>
        <v>57495</v>
      </c>
      <c r="E92" s="17">
        <f>IF(F3="1",SUMIF(Data!A:A,'34'!$A$2,Data!EX:EX),0)</f>
        <v>308562</v>
      </c>
      <c r="F92" s="21">
        <f t="shared" si="4"/>
        <v>5.37</v>
      </c>
    </row>
    <row r="93" spans="1:6" x14ac:dyDescent="0.2">
      <c r="A93" s="19">
        <v>28</v>
      </c>
      <c r="B93" s="143" t="s">
        <v>24</v>
      </c>
      <c r="C93" s="144"/>
      <c r="D93" s="14">
        <f t="shared" si="5"/>
        <v>0</v>
      </c>
      <c r="E93" s="17">
        <f>IF(F3="1",SUMIF(Data!A:A,'34'!$A$2,Data!EZ:EZ),0)</f>
        <v>0</v>
      </c>
      <c r="F93" s="21" t="str">
        <f t="shared" si="4"/>
        <v/>
      </c>
    </row>
    <row r="94" spans="1:6" ht="15.75" customHeight="1" thickBot="1" x14ac:dyDescent="0.25">
      <c r="A94" s="22">
        <v>29</v>
      </c>
      <c r="B94" s="147" t="s">
        <v>25</v>
      </c>
      <c r="C94" s="148"/>
      <c r="D94" s="23">
        <f t="shared" si="5"/>
        <v>0</v>
      </c>
      <c r="E94" s="24">
        <f>IF(F3="1",SUMIF(Data!A:A,'34'!$A$2,Data!FA:FA),0)</f>
        <v>0</v>
      </c>
      <c r="F94" s="25" t="str">
        <f t="shared" si="4"/>
        <v/>
      </c>
    </row>
    <row r="95" spans="1:6" x14ac:dyDescent="0.2">
      <c r="B95" s="30" t="s">
        <v>35</v>
      </c>
      <c r="C95" s="30"/>
      <c r="D95" s="59">
        <f>SUM(D67:D94)</f>
        <v>1682795</v>
      </c>
      <c r="E95" s="31">
        <f>SUM(E67:E94)</f>
        <v>3957607</v>
      </c>
      <c r="F95" s="32">
        <f t="shared" si="4"/>
        <v>2.35</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IF(F3="1",SUMIF(Data!A:A,'34'!$A$2,Data!AH:AH),0)</f>
        <v>1642282</v>
      </c>
      <c r="F98" s="20">
        <f>IF(OR(E98=0,E98=0),"",ROUND(E98/$D$105,2))</f>
        <v>0.98</v>
      </c>
    </row>
    <row r="99" spans="2:6" x14ac:dyDescent="0.2">
      <c r="B99" s="153" t="s">
        <v>31</v>
      </c>
      <c r="C99" s="154"/>
      <c r="D99" s="36"/>
      <c r="E99" s="17">
        <f>IF(F3="1",SUMIF(Data!A:A,'34'!$A$2,Data!AI:AI),0)</f>
        <v>568228</v>
      </c>
      <c r="F99" s="21">
        <f t="shared" ref="F99:F104" si="6">IF(OR(E99=0,E99=0),"",ROUND(E99/$D$105,2))</f>
        <v>0.34</v>
      </c>
    </row>
    <row r="100" spans="2:6" x14ac:dyDescent="0.2">
      <c r="B100" s="153" t="s">
        <v>1078</v>
      </c>
      <c r="C100" s="154"/>
      <c r="D100" s="36"/>
      <c r="E100" s="17">
        <f>IF(F3="1",SUMIF(Data!A:A,'34'!$A$2,Data!AJ:AJ),0)</f>
        <v>317305</v>
      </c>
      <c r="F100" s="21">
        <f t="shared" si="6"/>
        <v>0.19</v>
      </c>
    </row>
    <row r="101" spans="2:6" x14ac:dyDescent="0.2">
      <c r="B101" s="153" t="s">
        <v>1079</v>
      </c>
      <c r="C101" s="154"/>
      <c r="D101" s="36"/>
      <c r="E101" s="17">
        <f>IF(F3="1",SUMIF(Data!A:A,'34'!$A$2,Data!AK:AK),0)</f>
        <v>432678</v>
      </c>
      <c r="F101" s="21">
        <f t="shared" si="6"/>
        <v>0.26</v>
      </c>
    </row>
    <row r="102" spans="2:6" x14ac:dyDescent="0.2">
      <c r="B102" s="153" t="s">
        <v>1080</v>
      </c>
      <c r="C102" s="154"/>
      <c r="D102" s="36"/>
      <c r="E102" s="17">
        <f>IF(F3="1",SUMIF(Data!A:A,'34'!$A$2,Data!AL:AL),0)</f>
        <v>19713</v>
      </c>
      <c r="F102" s="21">
        <f t="shared" si="6"/>
        <v>0.01</v>
      </c>
    </row>
    <row r="103" spans="2:6" x14ac:dyDescent="0.2">
      <c r="B103" s="155" t="s">
        <v>34</v>
      </c>
      <c r="C103" s="156"/>
      <c r="D103" s="36"/>
      <c r="E103" s="17">
        <f>IF(F3="1",SUMIF(Data!A:A,'34'!$A$2,Data!AM:AM),0)</f>
        <v>0</v>
      </c>
      <c r="F103" s="21" t="str">
        <f t="shared" si="6"/>
        <v/>
      </c>
    </row>
    <row r="104" spans="2:6" ht="15.75" customHeight="1" thickBot="1" x14ac:dyDescent="0.25">
      <c r="B104" s="149" t="s">
        <v>29</v>
      </c>
      <c r="C104" s="150"/>
      <c r="D104" s="37"/>
      <c r="E104" s="24">
        <f>IF(F3="1",SUMIF(Data!A:A,'34'!$A$2,Data!Q:Q),0)</f>
        <v>659625</v>
      </c>
      <c r="F104" s="25">
        <f t="shared" si="6"/>
        <v>0.39</v>
      </c>
    </row>
    <row r="105" spans="2:6" x14ac:dyDescent="0.2">
      <c r="B105" s="30" t="s">
        <v>35</v>
      </c>
      <c r="C105" s="30"/>
      <c r="D105" s="34">
        <f>D95</f>
        <v>1682795</v>
      </c>
      <c r="E105" s="31">
        <f>SUM(E98:E104)</f>
        <v>3639831</v>
      </c>
      <c r="F105" s="32">
        <f>IF($D$105=0,"",ROUND(E105/$D$105,2))</f>
        <v>2.16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3957607</v>
      </c>
      <c r="D109" s="15">
        <f>IF(F3="1",SUMIF(Data!$A:$A,$A$2,Data!HJ:HJ),0)</f>
        <v>0</v>
      </c>
      <c r="E109" s="15">
        <f>IF(F3="1",SUMIF(Data!$A:$A,$A$2,Data!IN:IN),0)</f>
        <v>0</v>
      </c>
      <c r="F109" s="47">
        <f>SUM(C109:E109)</f>
        <v>3957607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19713</v>
      </c>
      <c r="F116" s="48">
        <f t="shared" si="7"/>
        <v>19713</v>
      </c>
    </row>
    <row r="117" spans="1:6" ht="15" thickBot="1" x14ac:dyDescent="0.25">
      <c r="B117" s="43" t="s">
        <v>933</v>
      </c>
      <c r="C117" s="52"/>
      <c r="D117" s="52">
        <f>IF(F3="1",SUMIF(Data!A:A,$A$2,Data!Q:Q),0)</f>
        <v>659625</v>
      </c>
      <c r="E117" s="52"/>
      <c r="F117" s="49">
        <f>SUM(C117:E117)</f>
        <v>659625</v>
      </c>
    </row>
    <row r="118" spans="1:6" x14ac:dyDescent="0.2">
      <c r="B118" s="13" t="s">
        <v>35</v>
      </c>
      <c r="C118" s="4">
        <f>SUM(C109:C116)</f>
        <v>3957607</v>
      </c>
      <c r="D118" s="4">
        <f>SUM(D109:D116)</f>
        <v>0</v>
      </c>
      <c r="E118" s="4">
        <f>SUM(E109:E116)</f>
        <v>19713</v>
      </c>
      <c r="F118" s="4">
        <f>SUM(F109:F116)</f>
        <v>3977320</v>
      </c>
    </row>
    <row r="119" spans="1:6" ht="15" thickBot="1" x14ac:dyDescent="0.25"/>
    <row r="120" spans="1:6" ht="15" thickBot="1" x14ac:dyDescent="0.25">
      <c r="B120" s="55" t="s">
        <v>934</v>
      </c>
      <c r="C120" s="53"/>
      <c r="D120" s="53"/>
      <c r="E120" s="53">
        <f>IF(F3="1",SUMIF(Data!A:A,'34'!$A$2,Data!AM:AM),0)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392</v>
      </c>
      <c r="B2" s="58" t="str">
        <f>VLOOKUP(A2,Data!A:G,7,0)</f>
        <v>Ranger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1824</v>
      </c>
      <c r="E5" s="15">
        <f>E36+E67+IFERROR($E$105/$D$105*D5,0)</f>
        <v>6453.2766449442925</v>
      </c>
      <c r="F5" s="20">
        <f>IF(OR(D5=0,E5=0),"",ROUND(E5/D5,2))</f>
        <v>3.54</v>
      </c>
    </row>
    <row r="6" spans="1:6" x14ac:dyDescent="0.2">
      <c r="A6" s="19">
        <v>2</v>
      </c>
      <c r="B6" s="143" t="s">
        <v>1</v>
      </c>
      <c r="C6" s="144"/>
      <c r="D6" s="14">
        <f t="shared" ref="D6:D32" si="0">D37</f>
        <v>9216</v>
      </c>
      <c r="E6" s="17">
        <f t="shared" ref="E6:E32" si="1">E37+E68+IFERROR($E$105/$D$105*D6,0)</f>
        <v>60505.503048139581</v>
      </c>
      <c r="F6" s="21">
        <f t="shared" ref="F6:F33" si="2">IF(OR(D6=0,E6=0),"",ROUND(E6/D6,2))</f>
        <v>6.57</v>
      </c>
    </row>
    <row r="7" spans="1:6" ht="14.25" customHeight="1" x14ac:dyDescent="0.2">
      <c r="A7" s="19">
        <v>3</v>
      </c>
      <c r="B7" s="143" t="s">
        <v>2</v>
      </c>
      <c r="C7" s="144"/>
      <c r="D7" s="14">
        <f t="shared" si="0"/>
        <v>32000</v>
      </c>
      <c r="E7" s="17">
        <f t="shared" si="1"/>
        <v>139794.60780604021</v>
      </c>
      <c r="F7" s="21">
        <f t="shared" si="2"/>
        <v>4.37</v>
      </c>
    </row>
    <row r="8" spans="1:6" ht="14.25" customHeight="1" x14ac:dyDescent="0.2">
      <c r="A8" s="19">
        <v>4</v>
      </c>
      <c r="B8" s="143" t="s">
        <v>3</v>
      </c>
      <c r="C8" s="144"/>
      <c r="D8" s="14">
        <f t="shared" si="0"/>
        <v>26240</v>
      </c>
      <c r="E8" s="17">
        <f t="shared" si="1"/>
        <v>122020.41840095299</v>
      </c>
      <c r="F8" s="21">
        <f t="shared" si="2"/>
        <v>4.6500000000000004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1360</v>
      </c>
      <c r="E10" s="17">
        <f t="shared" si="1"/>
        <v>5147.0308317567096</v>
      </c>
      <c r="F10" s="21">
        <f t="shared" si="2"/>
        <v>3.78</v>
      </c>
    </row>
    <row r="11" spans="1:6" x14ac:dyDescent="0.2">
      <c r="A11" s="19">
        <v>7</v>
      </c>
      <c r="B11" s="143" t="s">
        <v>6</v>
      </c>
      <c r="C11" s="144"/>
      <c r="D11" s="14">
        <f t="shared" si="0"/>
        <v>21408</v>
      </c>
      <c r="E11" s="17">
        <f t="shared" si="1"/>
        <v>103190.72062224091</v>
      </c>
      <c r="F11" s="21">
        <f t="shared" si="2"/>
        <v>4.82</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40128</v>
      </c>
      <c r="E13" s="17">
        <f t="shared" si="1"/>
        <v>183577.08618877444</v>
      </c>
      <c r="F13" s="21">
        <f t="shared" si="2"/>
        <v>4.57</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91168</v>
      </c>
      <c r="E16" s="17">
        <f t="shared" si="1"/>
        <v>403073.12563940859</v>
      </c>
      <c r="F16" s="21">
        <f t="shared" si="2"/>
        <v>4.42</v>
      </c>
    </row>
    <row r="17" spans="1:6" x14ac:dyDescent="0.2">
      <c r="A17" s="19">
        <v>13</v>
      </c>
      <c r="B17" s="143" t="s">
        <v>12</v>
      </c>
      <c r="C17" s="144"/>
      <c r="D17" s="14">
        <f t="shared" si="0"/>
        <v>4896</v>
      </c>
      <c r="E17" s="17">
        <f t="shared" si="1"/>
        <v>15972.110994324154</v>
      </c>
      <c r="F17" s="21">
        <f t="shared" si="2"/>
        <v>3.26</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0</v>
      </c>
      <c r="E20" s="17">
        <f t="shared" si="1"/>
        <v>0</v>
      </c>
      <c r="F20" s="21" t="str">
        <f t="shared" si="2"/>
        <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81168</v>
      </c>
      <c r="E22" s="17">
        <f t="shared" si="1"/>
        <v>335985.31070002104</v>
      </c>
      <c r="F22" s="21">
        <f t="shared" si="2"/>
        <v>4.1399999999999997</v>
      </c>
    </row>
    <row r="23" spans="1:6" x14ac:dyDescent="0.2">
      <c r="A23" s="19">
        <v>19</v>
      </c>
      <c r="B23" s="143" t="s">
        <v>17</v>
      </c>
      <c r="C23" s="144"/>
      <c r="D23" s="14">
        <f t="shared" si="0"/>
        <v>36496</v>
      </c>
      <c r="E23" s="17">
        <f t="shared" si="1"/>
        <v>158738.88620278888</v>
      </c>
      <c r="F23" s="21">
        <f t="shared" si="2"/>
        <v>4.3499999999999996</v>
      </c>
    </row>
    <row r="24" spans="1:6" x14ac:dyDescent="0.2">
      <c r="A24" s="19">
        <v>20</v>
      </c>
      <c r="B24" s="143" t="s">
        <v>18</v>
      </c>
      <c r="C24" s="144"/>
      <c r="D24" s="14">
        <f t="shared" si="0"/>
        <v>5040</v>
      </c>
      <c r="E24" s="17">
        <f t="shared" si="1"/>
        <v>39595.290729451335</v>
      </c>
      <c r="F24" s="21">
        <f t="shared" si="2"/>
        <v>7.86</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39072</v>
      </c>
      <c r="E27" s="17">
        <f t="shared" si="1"/>
        <v>397667.76813117508</v>
      </c>
      <c r="F27" s="21">
        <f t="shared" si="2"/>
        <v>10.18</v>
      </c>
    </row>
    <row r="28" spans="1:6" x14ac:dyDescent="0.2">
      <c r="A28" s="19">
        <v>24</v>
      </c>
      <c r="B28" s="143" t="s">
        <v>21</v>
      </c>
      <c r="C28" s="144"/>
      <c r="D28" s="14">
        <f t="shared" si="0"/>
        <v>2112</v>
      </c>
      <c r="E28" s="17">
        <f t="shared" si="1"/>
        <v>5062.6361151986548</v>
      </c>
      <c r="F28" s="21">
        <f t="shared" si="2"/>
        <v>2.4</v>
      </c>
    </row>
    <row r="29" spans="1:6" x14ac:dyDescent="0.2">
      <c r="A29" s="19">
        <v>25</v>
      </c>
      <c r="B29" s="143" t="s">
        <v>22</v>
      </c>
      <c r="C29" s="144"/>
      <c r="D29" s="14">
        <f t="shared" si="0"/>
        <v>41328</v>
      </c>
      <c r="E29" s="17">
        <f t="shared" si="1"/>
        <v>166032.58398150094</v>
      </c>
      <c r="F29" s="21">
        <f t="shared" si="2"/>
        <v>4.0199999999999996</v>
      </c>
    </row>
    <row r="30" spans="1:6" x14ac:dyDescent="0.2">
      <c r="A30" s="19">
        <v>26</v>
      </c>
      <c r="B30" s="143" t="s">
        <v>23</v>
      </c>
      <c r="C30" s="144"/>
      <c r="D30" s="14">
        <f t="shared" si="0"/>
        <v>23216</v>
      </c>
      <c r="E30" s="17">
        <f t="shared" si="1"/>
        <v>126424.64396328219</v>
      </c>
      <c r="F30" s="21">
        <f t="shared" si="2"/>
        <v>5.45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456672</v>
      </c>
      <c r="E33" s="31">
        <f>SUM(E5:E32)</f>
        <v>2269241</v>
      </c>
      <c r="F33" s="32">
        <f t="shared" si="2"/>
        <v>4.97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IF(F3="1",SUMIF(Data!A:A,'35'!$A$2,Data!CU:CU),0)</f>
        <v>1824</v>
      </c>
      <c r="E36" s="15">
        <f>IF(F3="1",SUMIF(Data!$A:$A,$A$2,Data!IO:IO),0)</f>
        <v>131</v>
      </c>
      <c r="F36" s="20">
        <f t="shared" ref="F36:F64" si="3">IF(OR(D36=0,E36=0),"",ROUND(E36/D36,2))</f>
        <v>7.0000000000000007E-2</v>
      </c>
    </row>
    <row r="37" spans="1:6" x14ac:dyDescent="0.2">
      <c r="A37" s="19">
        <v>2</v>
      </c>
      <c r="B37" s="143" t="s">
        <v>1</v>
      </c>
      <c r="C37" s="144"/>
      <c r="D37" s="14">
        <f>IF(F3="1",SUMIF(Data!A:A,'35'!$A$2,Data!CV:CV),0)</f>
        <v>9216</v>
      </c>
      <c r="E37" s="17">
        <f>IF(F3="1",SUMIF(Data!$A:$A,$A$2,Data!IP:IP),0)</f>
        <v>5336</v>
      </c>
      <c r="F37" s="21">
        <f t="shared" si="3"/>
        <v>0.57999999999999996</v>
      </c>
    </row>
    <row r="38" spans="1:6" ht="14.25" customHeight="1" x14ac:dyDescent="0.2">
      <c r="A38" s="19">
        <v>3</v>
      </c>
      <c r="B38" s="143" t="s">
        <v>2</v>
      </c>
      <c r="C38" s="144"/>
      <c r="D38" s="14">
        <f>IF(F3="1",SUMIF(Data!A:A,'35'!$A$2,Data!CW:CW),0)</f>
        <v>32000</v>
      </c>
      <c r="E38" s="17">
        <f>IF($F$3="1",SUMIF(Data!$A:$A,$A$2,Data!IQ:IQ),0)</f>
        <v>3176</v>
      </c>
      <c r="F38" s="21">
        <f t="shared" si="3"/>
        <v>0.1</v>
      </c>
    </row>
    <row r="39" spans="1:6" ht="14.25" customHeight="1" x14ac:dyDescent="0.2">
      <c r="A39" s="19">
        <v>4</v>
      </c>
      <c r="B39" s="143" t="s">
        <v>3</v>
      </c>
      <c r="C39" s="144"/>
      <c r="D39" s="14">
        <f>IF(F3="1",SUMIF(Data!A:A,'35'!$A$2,Data!CX:CX),0)</f>
        <v>26240</v>
      </c>
      <c r="E39" s="17">
        <f>IF($F$3="1",SUMIF(Data!$A:$A,$A$2,Data!IR:IR),0)</f>
        <v>7780</v>
      </c>
      <c r="F39" s="21">
        <f t="shared" si="3"/>
        <v>0.3</v>
      </c>
    </row>
    <row r="40" spans="1:6" x14ac:dyDescent="0.2">
      <c r="A40" s="19">
        <v>5</v>
      </c>
      <c r="B40" s="143" t="s">
        <v>4</v>
      </c>
      <c r="C40" s="144"/>
      <c r="D40" s="14">
        <f>IF(F3="1",SUMIF(Data!A:A,'35'!$A$2,Data!CY:CY),0)</f>
        <v>0</v>
      </c>
      <c r="E40" s="17">
        <f>IF($F$3="1",SUMIF(Data!$A:$A,$A$2,Data!IS:IS),0)</f>
        <v>0</v>
      </c>
      <c r="F40" s="21" t="str">
        <f t="shared" si="3"/>
        <v/>
      </c>
    </row>
    <row r="41" spans="1:6" x14ac:dyDescent="0.2">
      <c r="A41" s="19">
        <v>6</v>
      </c>
      <c r="B41" s="143" t="s">
        <v>5</v>
      </c>
      <c r="C41" s="144"/>
      <c r="D41" s="14">
        <f>IF(F3="1",SUMIF(Data!A:A,'35'!$A$2,Data!CZ:CZ),0)</f>
        <v>1360</v>
      </c>
      <c r="E41" s="17">
        <f>IF($F$3="1",SUMIF(Data!$A:$A,$A$2,Data!IT:IT),0)</f>
        <v>137</v>
      </c>
      <c r="F41" s="21">
        <f t="shared" si="3"/>
        <v>0.1</v>
      </c>
    </row>
    <row r="42" spans="1:6" x14ac:dyDescent="0.2">
      <c r="A42" s="19">
        <v>7</v>
      </c>
      <c r="B42" s="143" t="s">
        <v>6</v>
      </c>
      <c r="C42" s="144"/>
      <c r="D42" s="14">
        <f>IF(F3="1",SUMIF(Data!A:A,'35'!$A$2,Data!DA:DA),0)</f>
        <v>21408</v>
      </c>
      <c r="E42" s="17">
        <f>IF($F$3="1",SUMIF(Data!$A:$A,$A$2,Data!IU:IU),0)</f>
        <v>8737</v>
      </c>
      <c r="F42" s="21">
        <f t="shared" si="3"/>
        <v>0.41</v>
      </c>
    </row>
    <row r="43" spans="1:6" x14ac:dyDescent="0.2">
      <c r="A43" s="19">
        <v>8</v>
      </c>
      <c r="B43" s="143" t="s">
        <v>7</v>
      </c>
      <c r="C43" s="144"/>
      <c r="D43" s="14">
        <f>IF(F3="1",SUMIF(Data!A:A,'35'!$A$2,Data!DB:DB),0)</f>
        <v>0</v>
      </c>
      <c r="E43" s="17">
        <f>IF($F$3="1",SUMIF(Data!$A:$A,$A$2,Data!IV:IV),0)</f>
        <v>0</v>
      </c>
      <c r="F43" s="21" t="str">
        <f t="shared" si="3"/>
        <v/>
      </c>
    </row>
    <row r="44" spans="1:6" x14ac:dyDescent="0.2">
      <c r="A44" s="19">
        <v>9</v>
      </c>
      <c r="B44" s="143" t="s">
        <v>8</v>
      </c>
      <c r="C44" s="144"/>
      <c r="D44" s="14">
        <f>IF(F3="1",SUMIF(Data!A:A,'35'!$A$2,Data!DC:DC),0)</f>
        <v>40128</v>
      </c>
      <c r="E44" s="17">
        <f>IF($F$3="1",SUMIF(Data!$A:$A,$A$2,Data!IW:IW),0)</f>
        <v>25733</v>
      </c>
      <c r="F44" s="21">
        <f t="shared" si="3"/>
        <v>0.64</v>
      </c>
    </row>
    <row r="45" spans="1:6" x14ac:dyDescent="0.2">
      <c r="A45" s="19">
        <v>10</v>
      </c>
      <c r="B45" s="143" t="s">
        <v>9</v>
      </c>
      <c r="C45" s="144"/>
      <c r="D45" s="14">
        <f>IF(F3="1",SUMIF(Data!A:A,'35'!$A$2,Data!DD:DD),0)</f>
        <v>0</v>
      </c>
      <c r="E45" s="17">
        <f>IF($F$3="1",SUMIF(Data!$A:$A,$A$2,Data!IX:IX),0)</f>
        <v>0</v>
      </c>
      <c r="F45" s="21" t="str">
        <f t="shared" si="3"/>
        <v/>
      </c>
    </row>
    <row r="46" spans="1:6" x14ac:dyDescent="0.2">
      <c r="A46" s="19">
        <v>11</v>
      </c>
      <c r="B46" s="143" t="s">
        <v>10</v>
      </c>
      <c r="C46" s="144"/>
      <c r="D46" s="14">
        <f>IF(F3="1",SUMIF(Data!A:A,'35'!$A$2,Data!DE:DE),0)</f>
        <v>0</v>
      </c>
      <c r="E46" s="17">
        <f>IF($F$3="1",SUMIF(Data!$A:$A,$A$2,Data!IY:IY),0)</f>
        <v>0</v>
      </c>
      <c r="F46" s="21" t="str">
        <f t="shared" si="3"/>
        <v/>
      </c>
    </row>
    <row r="47" spans="1:6" ht="14.25" customHeight="1" x14ac:dyDescent="0.2">
      <c r="A47" s="19">
        <v>12</v>
      </c>
      <c r="B47" s="143" t="s">
        <v>11</v>
      </c>
      <c r="C47" s="144"/>
      <c r="D47" s="14">
        <f>IF(F3="1",SUMIF(Data!A:A,'35'!$A$2,Data!DF:DF),0)</f>
        <v>91168</v>
      </c>
      <c r="E47" s="17">
        <f>IF($F$3="1",SUMIF(Data!$A:$A,$A$2,Data!IZ:IZ),0)</f>
        <v>6770</v>
      </c>
      <c r="F47" s="21">
        <f t="shared" si="3"/>
        <v>7.0000000000000007E-2</v>
      </c>
    </row>
    <row r="48" spans="1:6" x14ac:dyDescent="0.2">
      <c r="A48" s="19">
        <v>13</v>
      </c>
      <c r="B48" s="143" t="s">
        <v>12</v>
      </c>
      <c r="C48" s="144"/>
      <c r="D48" s="14">
        <f>IF(F3="1",SUMIF(Data!A:A,'35'!$A$2,Data!DG:DG),0)</f>
        <v>4896</v>
      </c>
      <c r="E48" s="17">
        <f>IF($F$3="1",SUMIF(Data!$A:$A,$A$2,Data!JA:JA),0)</f>
        <v>337</v>
      </c>
      <c r="F48" s="21">
        <f t="shared" si="3"/>
        <v>7.0000000000000007E-2</v>
      </c>
    </row>
    <row r="49" spans="1:6" ht="14.25" customHeight="1" x14ac:dyDescent="0.2">
      <c r="A49" s="19">
        <v>14</v>
      </c>
      <c r="B49" s="143" t="s">
        <v>464</v>
      </c>
      <c r="C49" s="144"/>
      <c r="D49" s="14">
        <f>IF(F3="1",SUMIF(Data!A:A,'35'!$A$2,Data!DH:DH),0)</f>
        <v>0</v>
      </c>
      <c r="E49" s="17">
        <f>IF($F$3="1",SUMIF(Data!$A:$A,$A$2,Data!JB:JB),0)</f>
        <v>0</v>
      </c>
      <c r="F49" s="21" t="str">
        <f t="shared" si="3"/>
        <v/>
      </c>
    </row>
    <row r="50" spans="1:6" x14ac:dyDescent="0.2">
      <c r="A50" s="19">
        <v>15</v>
      </c>
      <c r="B50" s="143" t="s">
        <v>13</v>
      </c>
      <c r="C50" s="144"/>
      <c r="D50" s="14">
        <f>IF(F3="1",SUMIF(Data!A:A,'35'!$A$2,Data!DI:DI),0)</f>
        <v>0</v>
      </c>
      <c r="E50" s="17">
        <f>IF($F$3="1",SUMIF(Data!$A:$A,$A$2,Data!JC:JC),0)</f>
        <v>0</v>
      </c>
      <c r="F50" s="21" t="str">
        <f t="shared" si="3"/>
        <v/>
      </c>
    </row>
    <row r="51" spans="1:6" x14ac:dyDescent="0.2">
      <c r="A51" s="19">
        <v>16</v>
      </c>
      <c r="B51" s="143" t="s">
        <v>14</v>
      </c>
      <c r="C51" s="144"/>
      <c r="D51" s="14">
        <f>IF(F3="1",SUMIF(Data!A:A,'35'!$A$2,Data!DJ:DJ),0)</f>
        <v>0</v>
      </c>
      <c r="E51" s="17">
        <f>IF($F$3="1",SUMIF(Data!$A:$A,$A$2,Data!JD:JD),0)</f>
        <v>0</v>
      </c>
      <c r="F51" s="21" t="str">
        <f t="shared" si="3"/>
        <v/>
      </c>
    </row>
    <row r="52" spans="1:6" x14ac:dyDescent="0.2">
      <c r="A52" s="19">
        <v>17</v>
      </c>
      <c r="B52" s="143" t="s">
        <v>15</v>
      </c>
      <c r="C52" s="144"/>
      <c r="D52" s="14">
        <f>IF(F3="1",SUMIF(Data!A:A,'35'!$A$2,Data!DK:DK),0)</f>
        <v>0</v>
      </c>
      <c r="E52" s="17">
        <f>IF($F$3="1",SUMIF(Data!$A:$A,$A$2,Data!JE:JE),0)</f>
        <v>0</v>
      </c>
      <c r="F52" s="21" t="str">
        <f t="shared" si="3"/>
        <v/>
      </c>
    </row>
    <row r="53" spans="1:6" x14ac:dyDescent="0.2">
      <c r="A53" s="19">
        <v>18</v>
      </c>
      <c r="B53" s="143" t="s">
        <v>16</v>
      </c>
      <c r="C53" s="144"/>
      <c r="D53" s="14">
        <f>IF(F3="1",SUMIF(Data!A:A,'35'!$A$2,Data!DL:DL),0)</f>
        <v>81168</v>
      </c>
      <c r="E53" s="17">
        <f>IF($F$3="1",SUMIF(Data!$A:$A,$A$2,Data!JF:JF),0)</f>
        <v>19935</v>
      </c>
      <c r="F53" s="21">
        <f t="shared" si="3"/>
        <v>0.25</v>
      </c>
    </row>
    <row r="54" spans="1:6" x14ac:dyDescent="0.2">
      <c r="A54" s="19">
        <v>19</v>
      </c>
      <c r="B54" s="143" t="s">
        <v>17</v>
      </c>
      <c r="C54" s="144"/>
      <c r="D54" s="14">
        <f>IF(F3="1",SUMIF(Data!A:A,'35'!$A$2,Data!DM:DM),0)</f>
        <v>36496</v>
      </c>
      <c r="E54" s="17">
        <f>IF($F$3="1",SUMIF(Data!$A:$A,$A$2,Data!JG:JG),0)</f>
        <v>3998</v>
      </c>
      <c r="F54" s="21">
        <f t="shared" si="3"/>
        <v>0.11</v>
      </c>
    </row>
    <row r="55" spans="1:6" x14ac:dyDescent="0.2">
      <c r="A55" s="19">
        <v>20</v>
      </c>
      <c r="B55" s="143" t="s">
        <v>18</v>
      </c>
      <c r="C55" s="144"/>
      <c r="D55" s="14">
        <f>IF(F3="1",SUMIF(Data!A:A,'35'!$A$2,Data!DN:DN),0)</f>
        <v>5040</v>
      </c>
      <c r="E55" s="17">
        <f>IF($F$3="1",SUMIF(Data!$A:$A,$A$2,Data!JH:JH),0)</f>
        <v>1826</v>
      </c>
      <c r="F55" s="21">
        <f t="shared" si="3"/>
        <v>0.36</v>
      </c>
    </row>
    <row r="56" spans="1:6" ht="14.25" customHeight="1" x14ac:dyDescent="0.2">
      <c r="A56" s="19">
        <v>21</v>
      </c>
      <c r="B56" s="143" t="s">
        <v>461</v>
      </c>
      <c r="C56" s="144"/>
      <c r="D56" s="14">
        <f>IF(F3="1",SUMIF(Data!A:A,'35'!$A$2,Data!DO:DO),0)</f>
        <v>0</v>
      </c>
      <c r="E56" s="17">
        <f>IF($F$3="1",SUMIF(Data!$A:$A,$A$2,Data!JI:JI),0)</f>
        <v>0</v>
      </c>
      <c r="F56" s="21" t="str">
        <f t="shared" si="3"/>
        <v/>
      </c>
    </row>
    <row r="57" spans="1:6" x14ac:dyDescent="0.2">
      <c r="A57" s="19">
        <v>22</v>
      </c>
      <c r="B57" s="143" t="s">
        <v>19</v>
      </c>
      <c r="C57" s="144"/>
      <c r="D57" s="14">
        <f>IF(F3="1",SUMIF(Data!A:A,'35'!$A$2,Data!DP:DP),0)</f>
        <v>0</v>
      </c>
      <c r="E57" s="17">
        <f>IF($F$3="1",SUMIF(Data!$A:$A,$A$2,Data!JJ:JJ),0)</f>
        <v>0</v>
      </c>
      <c r="F57" s="21" t="str">
        <f t="shared" si="3"/>
        <v/>
      </c>
    </row>
    <row r="58" spans="1:6" x14ac:dyDescent="0.2">
      <c r="A58" s="19">
        <v>23</v>
      </c>
      <c r="B58" s="143" t="s">
        <v>20</v>
      </c>
      <c r="C58" s="144"/>
      <c r="D58" s="14">
        <f>IF(F3="1",SUMIF(Data!A:A,'35'!$A$2,Data!DQ:DQ),0)</f>
        <v>39072</v>
      </c>
      <c r="E58" s="17">
        <f>IF($F$3="1",SUMIF(Data!$A:$A,$A$2,Data!JK:JK),0)</f>
        <v>4812</v>
      </c>
      <c r="F58" s="21">
        <f t="shared" si="3"/>
        <v>0.12</v>
      </c>
    </row>
    <row r="59" spans="1:6" x14ac:dyDescent="0.2">
      <c r="A59" s="19">
        <v>24</v>
      </c>
      <c r="B59" s="143" t="s">
        <v>21</v>
      </c>
      <c r="C59" s="144"/>
      <c r="D59" s="14">
        <f>IF(F3="1",SUMIF(Data!A:A,'35'!$A$2,Data!DR:DR),0)</f>
        <v>2112</v>
      </c>
      <c r="E59" s="17">
        <f>IF($F$3="1",SUMIF(Data!$A:$A,$A$2,Data!JL:JL),0)</f>
        <v>0</v>
      </c>
      <c r="F59" s="21" t="str">
        <f t="shared" si="3"/>
        <v/>
      </c>
    </row>
    <row r="60" spans="1:6" x14ac:dyDescent="0.2">
      <c r="A60" s="19">
        <v>25</v>
      </c>
      <c r="B60" s="143" t="s">
        <v>22</v>
      </c>
      <c r="C60" s="144"/>
      <c r="D60" s="14">
        <f>IF(F3="1",SUMIF(Data!A:A,'35'!$A$2,Data!DS:DS),0)</f>
        <v>41328</v>
      </c>
      <c r="E60" s="17">
        <f>IF($F$3="1",SUMIF(Data!$A:$A,$A$2,Data!JM:JM),0)</f>
        <v>2500</v>
      </c>
      <c r="F60" s="21">
        <f t="shared" si="3"/>
        <v>0.06</v>
      </c>
    </row>
    <row r="61" spans="1:6" x14ac:dyDescent="0.2">
      <c r="A61" s="19">
        <v>26</v>
      </c>
      <c r="B61" s="143" t="s">
        <v>23</v>
      </c>
      <c r="C61" s="144"/>
      <c r="D61" s="14">
        <f>IF(F3="1",SUMIF(Data!A:A,'35'!$A$2,Data!DT:DT),0)</f>
        <v>23216</v>
      </c>
      <c r="E61" s="17">
        <f>IF($F$3="1",SUMIF(Data!$A:$A,$A$2,Data!JN:JN),0)</f>
        <v>9676</v>
      </c>
      <c r="F61" s="21">
        <f t="shared" si="3"/>
        <v>0.42</v>
      </c>
    </row>
    <row r="62" spans="1:6" x14ac:dyDescent="0.2">
      <c r="A62" s="19">
        <v>28</v>
      </c>
      <c r="B62" s="143" t="s">
        <v>24</v>
      </c>
      <c r="C62" s="144"/>
      <c r="D62" s="14">
        <f>IF(F3="1",SUMIF(Data!A:A,'35'!$A$2,Data!DV:DV),0)</f>
        <v>0</v>
      </c>
      <c r="E62" s="17">
        <f>IF($F$3="1",SUMIF(Data!$A:$A,$A$2,Data!JP:JP),0)</f>
        <v>0</v>
      </c>
      <c r="F62" s="21" t="str">
        <f t="shared" si="3"/>
        <v/>
      </c>
    </row>
    <row r="63" spans="1:6" ht="15.75" customHeight="1" thickBot="1" x14ac:dyDescent="0.25">
      <c r="A63" s="22">
        <v>29</v>
      </c>
      <c r="B63" s="147" t="s">
        <v>25</v>
      </c>
      <c r="C63" s="148"/>
      <c r="D63" s="23">
        <f>IF(F3="1",SUMIF(Data!A:A,'35'!$A$2,Data!DW:DW),0)</f>
        <v>0</v>
      </c>
      <c r="E63" s="24">
        <f>IF($F$3="1",SUMIF(Data!$A:$A,$A$2,Data!JQ:JQ),0)</f>
        <v>0</v>
      </c>
      <c r="F63" s="25" t="str">
        <f t="shared" si="3"/>
        <v/>
      </c>
    </row>
    <row r="64" spans="1:6" x14ac:dyDescent="0.2">
      <c r="B64" s="30" t="s">
        <v>35</v>
      </c>
      <c r="C64" s="30"/>
      <c r="D64" s="59">
        <f>SUM(D36:D63)</f>
        <v>456672</v>
      </c>
      <c r="E64" s="31">
        <f>SUM(E36:E63)</f>
        <v>100884</v>
      </c>
      <c r="F64" s="32">
        <f t="shared" si="3"/>
        <v>0.22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1824</v>
      </c>
      <c r="E67" s="15">
        <f>IF(F3="1",SUMIF(Data!A:A,'35'!$A$2,Data!DY:DY),0)</f>
        <v>1950</v>
      </c>
      <c r="F67" s="20">
        <f t="shared" ref="F67:F95" si="4">IF(OR(D67=0,E67=0),"",ROUND(E67/D67,2))</f>
        <v>1.07</v>
      </c>
    </row>
    <row r="68" spans="1:6" x14ac:dyDescent="0.2">
      <c r="A68" s="19">
        <v>2</v>
      </c>
      <c r="B68" s="143" t="s">
        <v>1</v>
      </c>
      <c r="C68" s="144"/>
      <c r="D68" s="14">
        <f t="shared" ref="D68:D94" si="5">D37</f>
        <v>9216</v>
      </c>
      <c r="E68" s="17">
        <f>IF(F3="1",SUMIF(Data!A:A,'35'!$A$2,Data!DZ:DZ),0)</f>
        <v>33078</v>
      </c>
      <c r="F68" s="21">
        <f t="shared" si="4"/>
        <v>3.59</v>
      </c>
    </row>
    <row r="69" spans="1:6" ht="14.25" customHeight="1" x14ac:dyDescent="0.2">
      <c r="A69" s="19">
        <v>3</v>
      </c>
      <c r="B69" s="143" t="s">
        <v>2</v>
      </c>
      <c r="C69" s="144"/>
      <c r="D69" s="14">
        <f t="shared" si="5"/>
        <v>32000</v>
      </c>
      <c r="E69" s="17">
        <f>IF(F3="1",SUMIF(Data!A:A,'35'!$A$2,Data!EA:EA),0)</f>
        <v>59912</v>
      </c>
      <c r="F69" s="21">
        <f t="shared" si="4"/>
        <v>1.87</v>
      </c>
    </row>
    <row r="70" spans="1:6" ht="14.25" customHeight="1" x14ac:dyDescent="0.2">
      <c r="A70" s="19">
        <v>4</v>
      </c>
      <c r="B70" s="143" t="s">
        <v>3</v>
      </c>
      <c r="C70" s="144"/>
      <c r="D70" s="14">
        <f t="shared" si="5"/>
        <v>26240</v>
      </c>
      <c r="E70" s="17">
        <f>IF(F3="1",SUMIF(Data!A:A,'35'!$A$2,Data!EB:EB),0)</f>
        <v>51341</v>
      </c>
      <c r="F70" s="21">
        <f t="shared" si="4"/>
        <v>1.96</v>
      </c>
    </row>
    <row r="71" spans="1:6" x14ac:dyDescent="0.2">
      <c r="A71" s="19">
        <v>5</v>
      </c>
      <c r="B71" s="143" t="s">
        <v>4</v>
      </c>
      <c r="C71" s="144"/>
      <c r="D71" s="14">
        <f t="shared" si="5"/>
        <v>0</v>
      </c>
      <c r="E71" s="17">
        <f>IF(F3="1",SUMIF(Data!A:A,'35'!$A$2,Data!EC:EC),0)</f>
        <v>0</v>
      </c>
      <c r="F71" s="21" t="str">
        <f t="shared" si="4"/>
        <v/>
      </c>
    </row>
    <row r="72" spans="1:6" x14ac:dyDescent="0.2">
      <c r="A72" s="19">
        <v>6</v>
      </c>
      <c r="B72" s="143" t="s">
        <v>5</v>
      </c>
      <c r="C72" s="144"/>
      <c r="D72" s="14">
        <f t="shared" si="5"/>
        <v>1360</v>
      </c>
      <c r="E72" s="17">
        <f>IF(F3="1",SUMIF(Data!A:A,'35'!$A$2,Data!ED:ED),0)</f>
        <v>1750</v>
      </c>
      <c r="F72" s="21">
        <f t="shared" si="4"/>
        <v>1.29</v>
      </c>
    </row>
    <row r="73" spans="1:6" x14ac:dyDescent="0.2">
      <c r="A73" s="19">
        <v>7</v>
      </c>
      <c r="B73" s="143" t="s">
        <v>6</v>
      </c>
      <c r="C73" s="144"/>
      <c r="D73" s="14">
        <f t="shared" si="5"/>
        <v>21408</v>
      </c>
      <c r="E73" s="17">
        <f>IF(F3="1",SUMIF(Data!A:A,'35'!$A$2,Data!EE:EE),0)</f>
        <v>43137</v>
      </c>
      <c r="F73" s="21">
        <f t="shared" si="4"/>
        <v>2.0099999999999998</v>
      </c>
    </row>
    <row r="74" spans="1:6" x14ac:dyDescent="0.2">
      <c r="A74" s="19">
        <v>8</v>
      </c>
      <c r="B74" s="143" t="s">
        <v>7</v>
      </c>
      <c r="C74" s="144"/>
      <c r="D74" s="14">
        <f t="shared" si="5"/>
        <v>0</v>
      </c>
      <c r="E74" s="17">
        <f>IF(F3="1",SUMIF(Data!A:A,'35'!$A$2,Data!EF:EF),0)</f>
        <v>0</v>
      </c>
      <c r="F74" s="21" t="str">
        <f t="shared" si="4"/>
        <v/>
      </c>
    </row>
    <row r="75" spans="1:6" x14ac:dyDescent="0.2">
      <c r="A75" s="19">
        <v>9</v>
      </c>
      <c r="B75" s="143" t="s">
        <v>8</v>
      </c>
      <c r="C75" s="144"/>
      <c r="D75" s="14">
        <f t="shared" si="5"/>
        <v>40128</v>
      </c>
      <c r="E75" s="17">
        <f>IF(F3="1",SUMIF(Data!A:A,'35'!$A$2,Data!EG:EG),0)</f>
        <v>61654</v>
      </c>
      <c r="F75" s="21">
        <f t="shared" si="4"/>
        <v>1.54</v>
      </c>
    </row>
    <row r="76" spans="1:6" x14ac:dyDescent="0.2">
      <c r="A76" s="19">
        <v>10</v>
      </c>
      <c r="B76" s="143" t="s">
        <v>9</v>
      </c>
      <c r="C76" s="144"/>
      <c r="D76" s="14">
        <f t="shared" si="5"/>
        <v>0</v>
      </c>
      <c r="E76" s="17">
        <f>IF(F3="1",SUMIF(Data!A:A,'35'!$A$2,Data!EH:EH),0)</f>
        <v>0</v>
      </c>
      <c r="F76" s="21" t="str">
        <f t="shared" si="4"/>
        <v/>
      </c>
    </row>
    <row r="77" spans="1:6" x14ac:dyDescent="0.2">
      <c r="A77" s="19">
        <v>11</v>
      </c>
      <c r="B77" s="143" t="s">
        <v>10</v>
      </c>
      <c r="C77" s="144"/>
      <c r="D77" s="14">
        <f t="shared" si="5"/>
        <v>0</v>
      </c>
      <c r="E77" s="17">
        <f>IF(F3="1",SUMIF(Data!A:A,'35'!$A$2,Data!EI:EI),0)</f>
        <v>0</v>
      </c>
      <c r="F77" s="21" t="str">
        <f t="shared" si="4"/>
        <v/>
      </c>
    </row>
    <row r="78" spans="1:6" ht="14.25" customHeight="1" x14ac:dyDescent="0.2">
      <c r="A78" s="19">
        <v>12</v>
      </c>
      <c r="B78" s="143" t="s">
        <v>11</v>
      </c>
      <c r="C78" s="144"/>
      <c r="D78" s="14">
        <f t="shared" si="5"/>
        <v>91168</v>
      </c>
      <c r="E78" s="17">
        <f>IF(F3="1",SUMIF(Data!A:A,'35'!$A$2,Data!EJ:EJ),0)</f>
        <v>177766</v>
      </c>
      <c r="F78" s="21">
        <f t="shared" si="4"/>
        <v>1.95</v>
      </c>
    </row>
    <row r="79" spans="1:6" x14ac:dyDescent="0.2">
      <c r="A79" s="19">
        <v>13</v>
      </c>
      <c r="B79" s="143" t="s">
        <v>12</v>
      </c>
      <c r="C79" s="144"/>
      <c r="D79" s="14">
        <f t="shared" si="5"/>
        <v>4896</v>
      </c>
      <c r="E79" s="17">
        <f>IF(F3="1",SUMIF(Data!A:A,'35'!$A$2,Data!EK:EK),0)</f>
        <v>3899</v>
      </c>
      <c r="F79" s="21">
        <f t="shared" si="4"/>
        <v>0.8</v>
      </c>
    </row>
    <row r="80" spans="1:6" ht="14.25" customHeight="1" x14ac:dyDescent="0.2">
      <c r="A80" s="19">
        <v>14</v>
      </c>
      <c r="B80" s="143" t="s">
        <v>464</v>
      </c>
      <c r="C80" s="144"/>
      <c r="D80" s="14">
        <f t="shared" si="5"/>
        <v>0</v>
      </c>
      <c r="E80" s="17">
        <f>IF(F3="1",SUMIF(Data!A:A,'35'!$A$2,Data!EL:EL),0)</f>
        <v>0</v>
      </c>
      <c r="F80" s="21" t="str">
        <f t="shared" si="4"/>
        <v/>
      </c>
    </row>
    <row r="81" spans="1:6" x14ac:dyDescent="0.2">
      <c r="A81" s="19">
        <v>15</v>
      </c>
      <c r="B81" s="143" t="s">
        <v>13</v>
      </c>
      <c r="C81" s="144"/>
      <c r="D81" s="14">
        <f t="shared" si="5"/>
        <v>0</v>
      </c>
      <c r="E81" s="17">
        <f>IF(F3="1",SUMIF(Data!A:A,'35'!$A$2,Data!EM:EM),0)</f>
        <v>0</v>
      </c>
      <c r="F81" s="21" t="str">
        <f t="shared" si="4"/>
        <v/>
      </c>
    </row>
    <row r="82" spans="1:6" x14ac:dyDescent="0.2">
      <c r="A82" s="19">
        <v>16</v>
      </c>
      <c r="B82" s="143" t="s">
        <v>14</v>
      </c>
      <c r="C82" s="144"/>
      <c r="D82" s="14">
        <f t="shared" si="5"/>
        <v>0</v>
      </c>
      <c r="E82" s="17">
        <f>IF(F3="1",SUMIF(Data!A:A,'35'!$A$2,Data!EN:EN),0)</f>
        <v>0</v>
      </c>
      <c r="F82" s="21" t="str">
        <f t="shared" si="4"/>
        <v/>
      </c>
    </row>
    <row r="83" spans="1:6" x14ac:dyDescent="0.2">
      <c r="A83" s="19">
        <v>17</v>
      </c>
      <c r="B83" s="143" t="s">
        <v>15</v>
      </c>
      <c r="C83" s="144"/>
      <c r="D83" s="14">
        <f t="shared" si="5"/>
        <v>0</v>
      </c>
      <c r="E83" s="17">
        <f>IF(F3="1",SUMIF(Data!A:A,'35'!$A$2,Data!EO:EO),0)</f>
        <v>0</v>
      </c>
      <c r="F83" s="21" t="str">
        <f t="shared" si="4"/>
        <v/>
      </c>
    </row>
    <row r="84" spans="1:6" x14ac:dyDescent="0.2">
      <c r="A84" s="19">
        <v>18</v>
      </c>
      <c r="B84" s="143" t="s">
        <v>16</v>
      </c>
      <c r="C84" s="144"/>
      <c r="D84" s="14">
        <f t="shared" si="5"/>
        <v>81168</v>
      </c>
      <c r="E84" s="17">
        <f>IF(F3="1",SUMIF(Data!A:A,'35'!$A$2,Data!EP:EP),0)</f>
        <v>121484</v>
      </c>
      <c r="F84" s="21">
        <f t="shared" si="4"/>
        <v>1.5</v>
      </c>
    </row>
    <row r="85" spans="1:6" x14ac:dyDescent="0.2">
      <c r="A85" s="19">
        <v>19</v>
      </c>
      <c r="B85" s="143" t="s">
        <v>17</v>
      </c>
      <c r="C85" s="144"/>
      <c r="D85" s="14">
        <f t="shared" si="5"/>
        <v>36496</v>
      </c>
      <c r="E85" s="17">
        <f>IF(F3="1",SUMIF(Data!A:A,'35'!$A$2,Data!EQ:EQ),0)</f>
        <v>67257</v>
      </c>
      <c r="F85" s="21">
        <f t="shared" si="4"/>
        <v>1.84</v>
      </c>
    </row>
    <row r="86" spans="1:6" x14ac:dyDescent="0.2">
      <c r="A86" s="19">
        <v>20</v>
      </c>
      <c r="B86" s="143" t="s">
        <v>18</v>
      </c>
      <c r="C86" s="144"/>
      <c r="D86" s="14">
        <f t="shared" si="5"/>
        <v>5040</v>
      </c>
      <c r="E86" s="17">
        <f>IF(F3="1",SUMIF(Data!A:A,'35'!$A$2,Data!ER:ER),0)</f>
        <v>25688</v>
      </c>
      <c r="F86" s="21">
        <f t="shared" si="4"/>
        <v>5.0999999999999996</v>
      </c>
    </row>
    <row r="87" spans="1:6" ht="14.25" customHeight="1" x14ac:dyDescent="0.2">
      <c r="A87" s="19">
        <v>21</v>
      </c>
      <c r="B87" s="143" t="s">
        <v>461</v>
      </c>
      <c r="C87" s="144"/>
      <c r="D87" s="14">
        <f t="shared" si="5"/>
        <v>0</v>
      </c>
      <c r="E87" s="17">
        <f>IF(F3="1",SUMIF(Data!A:A,'35'!$A$2,Data!ES:ES),0)</f>
        <v>0</v>
      </c>
      <c r="F87" s="21" t="str">
        <f t="shared" si="4"/>
        <v/>
      </c>
    </row>
    <row r="88" spans="1:6" x14ac:dyDescent="0.2">
      <c r="A88" s="19">
        <v>22</v>
      </c>
      <c r="B88" s="143" t="s">
        <v>19</v>
      </c>
      <c r="C88" s="144"/>
      <c r="D88" s="14">
        <f t="shared" si="5"/>
        <v>0</v>
      </c>
      <c r="E88" s="17">
        <f>IF(F3="1",SUMIF(Data!A:A,'35'!$A$2,Data!ET:ET),0)</f>
        <v>0</v>
      </c>
      <c r="F88" s="21" t="str">
        <f t="shared" si="4"/>
        <v/>
      </c>
    </row>
    <row r="89" spans="1:6" x14ac:dyDescent="0.2">
      <c r="A89" s="19">
        <v>23</v>
      </c>
      <c r="B89" s="143" t="s">
        <v>20</v>
      </c>
      <c r="C89" s="144"/>
      <c r="D89" s="14">
        <f t="shared" si="5"/>
        <v>39072</v>
      </c>
      <c r="E89" s="17">
        <f>IF(F3="1",SUMIF(Data!A:A,'35'!$A$2,Data!EU:EU),0)</f>
        <v>299197</v>
      </c>
      <c r="F89" s="21">
        <f t="shared" si="4"/>
        <v>7.66</v>
      </c>
    </row>
    <row r="90" spans="1:6" x14ac:dyDescent="0.2">
      <c r="A90" s="19">
        <v>24</v>
      </c>
      <c r="B90" s="143" t="s">
        <v>21</v>
      </c>
      <c r="C90" s="144"/>
      <c r="D90" s="14">
        <f t="shared" si="5"/>
        <v>2112</v>
      </c>
      <c r="E90" s="17">
        <f>IF(F3="1",SUMIF(Data!A:A,'35'!$A$2,Data!EV:EV),0)</f>
        <v>0</v>
      </c>
      <c r="F90" s="21" t="str">
        <f t="shared" si="4"/>
        <v/>
      </c>
    </row>
    <row r="91" spans="1:6" x14ac:dyDescent="0.2">
      <c r="A91" s="19">
        <v>25</v>
      </c>
      <c r="B91" s="143" t="s">
        <v>22</v>
      </c>
      <c r="C91" s="144"/>
      <c r="D91" s="14">
        <f t="shared" si="5"/>
        <v>41328</v>
      </c>
      <c r="E91" s="17">
        <f>IF(F3="1",SUMIF(Data!A:A,'35'!$A$2,Data!EW:EW),0)</f>
        <v>64466</v>
      </c>
      <c r="F91" s="21">
        <f t="shared" si="4"/>
        <v>1.56</v>
      </c>
    </row>
    <row r="92" spans="1:6" x14ac:dyDescent="0.2">
      <c r="A92" s="19">
        <v>26</v>
      </c>
      <c r="B92" s="143" t="s">
        <v>23</v>
      </c>
      <c r="C92" s="144"/>
      <c r="D92" s="14">
        <f t="shared" si="5"/>
        <v>23216</v>
      </c>
      <c r="E92" s="17">
        <f>IF(F3="1",SUMIF(Data!A:A,'35'!$A$2,Data!EX:EX),0)</f>
        <v>61098</v>
      </c>
      <c r="F92" s="21">
        <f t="shared" si="4"/>
        <v>2.63</v>
      </c>
    </row>
    <row r="93" spans="1:6" x14ac:dyDescent="0.2">
      <c r="A93" s="19">
        <v>28</v>
      </c>
      <c r="B93" s="143" t="s">
        <v>24</v>
      </c>
      <c r="C93" s="144"/>
      <c r="D93" s="14">
        <f t="shared" si="5"/>
        <v>0</v>
      </c>
      <c r="E93" s="17">
        <f>IF(F3="1",SUMIF(Data!A:A,'35'!$A$2,Data!EZ:EZ),0)</f>
        <v>0</v>
      </c>
      <c r="F93" s="21" t="str">
        <f t="shared" si="4"/>
        <v/>
      </c>
    </row>
    <row r="94" spans="1:6" ht="15.75" customHeight="1" thickBot="1" x14ac:dyDescent="0.25">
      <c r="A94" s="22">
        <v>29</v>
      </c>
      <c r="B94" s="147" t="s">
        <v>25</v>
      </c>
      <c r="C94" s="148"/>
      <c r="D94" s="23">
        <f t="shared" si="5"/>
        <v>0</v>
      </c>
      <c r="E94" s="24">
        <f>IF(F3="1",SUMIF(Data!A:A,'35'!$A$2,Data!FA:FA),0)</f>
        <v>0</v>
      </c>
      <c r="F94" s="25" t="str">
        <f t="shared" si="4"/>
        <v/>
      </c>
    </row>
    <row r="95" spans="1:6" x14ac:dyDescent="0.2">
      <c r="B95" s="30" t="s">
        <v>35</v>
      </c>
      <c r="C95" s="30"/>
      <c r="D95" s="59">
        <f>SUM(D67:D94)</f>
        <v>456672</v>
      </c>
      <c r="E95" s="31">
        <f>SUM(E67:E94)</f>
        <v>1073677</v>
      </c>
      <c r="F95" s="32">
        <f t="shared" si="4"/>
        <v>2.35</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IF(F3="1",SUMIF(Data!A:A,'35'!$A$2,Data!AH:AH),0)</f>
        <v>555316</v>
      </c>
      <c r="F98" s="20">
        <f>IF(OR(E98=0,E98=0),"",ROUND(E98/$D$105,2))</f>
        <v>1.22</v>
      </c>
    </row>
    <row r="99" spans="2:6" x14ac:dyDescent="0.2">
      <c r="B99" s="153" t="s">
        <v>31</v>
      </c>
      <c r="C99" s="154"/>
      <c r="D99" s="36"/>
      <c r="E99" s="17">
        <f>IF(F3="1",SUMIF(Data!A:A,'35'!$A$2,Data!AI:AI),0)</f>
        <v>246035</v>
      </c>
      <c r="F99" s="21">
        <f t="shared" ref="F99:F104" si="6">IF(OR(E99=0,E99=0),"",ROUND(E99/$D$105,2))</f>
        <v>0.54</v>
      </c>
    </row>
    <row r="100" spans="2:6" x14ac:dyDescent="0.2">
      <c r="B100" s="153" t="s">
        <v>1078</v>
      </c>
      <c r="C100" s="154"/>
      <c r="D100" s="36"/>
      <c r="E100" s="17">
        <f>IF(F3="1",SUMIF(Data!A:A,'35'!$A$2,Data!AJ:AJ),0)</f>
        <v>88113</v>
      </c>
      <c r="F100" s="21">
        <f t="shared" si="6"/>
        <v>0.19</v>
      </c>
    </row>
    <row r="101" spans="2:6" x14ac:dyDescent="0.2">
      <c r="B101" s="153" t="s">
        <v>1079</v>
      </c>
      <c r="C101" s="154"/>
      <c r="D101" s="36"/>
      <c r="E101" s="17">
        <f>IF(F3="1",SUMIF(Data!A:A,'35'!$A$2,Data!AK:AK),0)</f>
        <v>125084</v>
      </c>
      <c r="F101" s="21">
        <f t="shared" si="6"/>
        <v>0.27</v>
      </c>
    </row>
    <row r="102" spans="2:6" x14ac:dyDescent="0.2">
      <c r="B102" s="153" t="s">
        <v>1080</v>
      </c>
      <c r="C102" s="154"/>
      <c r="D102" s="36"/>
      <c r="E102" s="17">
        <f>IF(F3="1",SUMIF(Data!A:A,'35'!$A$2,Data!AL:AL),0)</f>
        <v>0</v>
      </c>
      <c r="F102" s="21" t="str">
        <f t="shared" si="6"/>
        <v/>
      </c>
    </row>
    <row r="103" spans="2:6" x14ac:dyDescent="0.2">
      <c r="B103" s="155" t="s">
        <v>34</v>
      </c>
      <c r="C103" s="156"/>
      <c r="D103" s="36"/>
      <c r="E103" s="17">
        <f>IF(F3="1",SUMIF(Data!A:A,'35'!$A$2,Data!AM:AM),0)</f>
        <v>0</v>
      </c>
      <c r="F103" s="21" t="str">
        <f t="shared" si="6"/>
        <v/>
      </c>
    </row>
    <row r="104" spans="2:6" ht="15.75" customHeight="1" thickBot="1" x14ac:dyDescent="0.25">
      <c r="B104" s="149" t="s">
        <v>29</v>
      </c>
      <c r="C104" s="150"/>
      <c r="D104" s="37"/>
      <c r="E104" s="24">
        <f>IF(F3="1",SUMIF(Data!A:A,'35'!$A$2,Data!Q:Q),0)</f>
        <v>80132</v>
      </c>
      <c r="F104" s="25">
        <f t="shared" si="6"/>
        <v>0.18</v>
      </c>
    </row>
    <row r="105" spans="2:6" x14ac:dyDescent="0.2">
      <c r="B105" s="30" t="s">
        <v>35</v>
      </c>
      <c r="C105" s="30"/>
      <c r="D105" s="34">
        <f>D95</f>
        <v>456672</v>
      </c>
      <c r="E105" s="31">
        <f>SUM(E98:E104)</f>
        <v>1094680</v>
      </c>
      <c r="F105" s="32">
        <f>IF($D$105=0,"",ROUND(E105/$D$105,2))</f>
        <v>2.4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1073677</v>
      </c>
      <c r="D109" s="15">
        <f>IF(F3="1",SUMIF(Data!$A:$A,$A$2,Data!HJ:HJ),0)</f>
        <v>0</v>
      </c>
      <c r="E109" s="15">
        <f>IF(F3="1",SUMIF(Data!$A:$A,$A$2,Data!IN:IN),0)</f>
        <v>0</v>
      </c>
      <c r="F109" s="47">
        <f>SUM(C109:E109)</f>
        <v>1073677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80132</v>
      </c>
      <c r="E117" s="52"/>
      <c r="F117" s="49">
        <f>SUM(C117:E117)</f>
        <v>80132</v>
      </c>
    </row>
    <row r="118" spans="1:6" x14ac:dyDescent="0.2">
      <c r="B118" s="13" t="s">
        <v>35</v>
      </c>
      <c r="C118" s="4">
        <f>SUM(C109:C116)</f>
        <v>1073677</v>
      </c>
      <c r="D118" s="4">
        <f>SUM(D109:D116)</f>
        <v>0</v>
      </c>
      <c r="E118" s="4">
        <f>SUM(E109:E116)</f>
        <v>0</v>
      </c>
      <c r="F118" s="4">
        <f>SUM(F109:F116)</f>
        <v>1073677</v>
      </c>
    </row>
    <row r="119" spans="1:6" ht="15" thickBot="1" x14ac:dyDescent="0.25"/>
    <row r="120" spans="1:6" ht="15" thickBot="1" x14ac:dyDescent="0.25">
      <c r="B120" s="55" t="s">
        <v>934</v>
      </c>
      <c r="C120" s="53"/>
      <c r="D120" s="53"/>
      <c r="E120" s="53">
        <f>IF(F3="1",SUMIF(Data!A:A,'35'!$A$2,Data!AM:AM),0)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396</v>
      </c>
      <c r="B2" s="58" t="str">
        <f>VLOOKUP(A2,Data!A:G,7,0)</f>
        <v>San Jacinto College District</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2976</v>
      </c>
      <c r="E5" s="15">
        <f>E36+E67+IFERROR($E$105/$D$105*D5,0)</f>
        <v>11524.09720787271</v>
      </c>
      <c r="F5" s="20">
        <f>IF(OR(D5=0,E5=0),"",ROUND(E5/D5,2))</f>
        <v>3.87</v>
      </c>
    </row>
    <row r="6" spans="1:6" x14ac:dyDescent="0.2">
      <c r="A6" s="19">
        <v>2</v>
      </c>
      <c r="B6" s="143" t="s">
        <v>1</v>
      </c>
      <c r="C6" s="144"/>
      <c r="D6" s="14">
        <f t="shared" ref="D6:D32" si="0">D37</f>
        <v>295902</v>
      </c>
      <c r="E6" s="17">
        <f t="shared" ref="E6:E32" si="1">E37+E68+IFERROR($E$105/$D$105*D6,0)</f>
        <v>1743973.1854851984</v>
      </c>
      <c r="F6" s="21">
        <f t="shared" ref="F6:F33" si="2">IF(OR(D6=0,E6=0),"",ROUND(E6/D6,2))</f>
        <v>5.89</v>
      </c>
    </row>
    <row r="7" spans="1:6" ht="14.25" customHeight="1" x14ac:dyDescent="0.2">
      <c r="A7" s="19">
        <v>3</v>
      </c>
      <c r="B7" s="143" t="s">
        <v>2</v>
      </c>
      <c r="C7" s="144"/>
      <c r="D7" s="14">
        <f t="shared" si="0"/>
        <v>950532</v>
      </c>
      <c r="E7" s="17">
        <f t="shared" si="1"/>
        <v>4433579.3626322784</v>
      </c>
      <c r="F7" s="21">
        <f t="shared" si="2"/>
        <v>4.66</v>
      </c>
    </row>
    <row r="8" spans="1:6" ht="14.25" customHeight="1" x14ac:dyDescent="0.2">
      <c r="A8" s="19">
        <v>4</v>
      </c>
      <c r="B8" s="143" t="s">
        <v>3</v>
      </c>
      <c r="C8" s="144"/>
      <c r="D8" s="14">
        <f t="shared" si="0"/>
        <v>460969</v>
      </c>
      <c r="E8" s="17">
        <f t="shared" si="1"/>
        <v>3150579.6464435067</v>
      </c>
      <c r="F8" s="21">
        <f t="shared" si="2"/>
        <v>6.83</v>
      </c>
    </row>
    <row r="9" spans="1:6" x14ac:dyDescent="0.2">
      <c r="A9" s="19">
        <v>5</v>
      </c>
      <c r="B9" s="143" t="s">
        <v>4</v>
      </c>
      <c r="C9" s="144"/>
      <c r="D9" s="14">
        <f t="shared" si="0"/>
        <v>62891</v>
      </c>
      <c r="E9" s="17">
        <f t="shared" si="1"/>
        <v>677474.45682134491</v>
      </c>
      <c r="F9" s="21">
        <f t="shared" si="2"/>
        <v>10.77</v>
      </c>
    </row>
    <row r="10" spans="1:6" x14ac:dyDescent="0.2">
      <c r="A10" s="19">
        <v>6</v>
      </c>
      <c r="B10" s="143" t="s">
        <v>5</v>
      </c>
      <c r="C10" s="144"/>
      <c r="D10" s="14">
        <f t="shared" si="0"/>
        <v>23920</v>
      </c>
      <c r="E10" s="17">
        <f t="shared" si="1"/>
        <v>239540.43723532098</v>
      </c>
      <c r="F10" s="21">
        <f t="shared" si="2"/>
        <v>10.01</v>
      </c>
    </row>
    <row r="11" spans="1:6" x14ac:dyDescent="0.2">
      <c r="A11" s="19">
        <v>7</v>
      </c>
      <c r="B11" s="143" t="s">
        <v>6</v>
      </c>
      <c r="C11" s="144"/>
      <c r="D11" s="14">
        <f t="shared" si="0"/>
        <v>573394</v>
      </c>
      <c r="E11" s="17">
        <f t="shared" si="1"/>
        <v>3684819.7037671255</v>
      </c>
      <c r="F11" s="21">
        <f t="shared" si="2"/>
        <v>6.43</v>
      </c>
    </row>
    <row r="12" spans="1:6" x14ac:dyDescent="0.2">
      <c r="A12" s="19">
        <v>8</v>
      </c>
      <c r="B12" s="143" t="s">
        <v>7</v>
      </c>
      <c r="C12" s="144"/>
      <c r="D12" s="14">
        <f t="shared" si="0"/>
        <v>111244</v>
      </c>
      <c r="E12" s="17">
        <f t="shared" si="1"/>
        <v>508752.62022600527</v>
      </c>
      <c r="F12" s="21">
        <f t="shared" si="2"/>
        <v>4.57</v>
      </c>
    </row>
    <row r="13" spans="1:6" x14ac:dyDescent="0.2">
      <c r="A13" s="19">
        <v>9</v>
      </c>
      <c r="B13" s="143" t="s">
        <v>8</v>
      </c>
      <c r="C13" s="144"/>
      <c r="D13" s="14">
        <f t="shared" si="0"/>
        <v>389498</v>
      </c>
      <c r="E13" s="17">
        <f t="shared" si="1"/>
        <v>2784350.3045268832</v>
      </c>
      <c r="F13" s="21">
        <f t="shared" si="2"/>
        <v>7.15</v>
      </c>
    </row>
    <row r="14" spans="1:6" x14ac:dyDescent="0.2">
      <c r="A14" s="19">
        <v>10</v>
      </c>
      <c r="B14" s="143" t="s">
        <v>9</v>
      </c>
      <c r="C14" s="144"/>
      <c r="D14" s="14">
        <f t="shared" si="0"/>
        <v>2304</v>
      </c>
      <c r="E14" s="17">
        <f t="shared" si="1"/>
        <v>879280.13977383694</v>
      </c>
      <c r="F14" s="21">
        <f t="shared" si="2"/>
        <v>381.63</v>
      </c>
    </row>
    <row r="15" spans="1:6" x14ac:dyDescent="0.2">
      <c r="A15" s="19">
        <v>11</v>
      </c>
      <c r="B15" s="143" t="s">
        <v>10</v>
      </c>
      <c r="C15" s="144"/>
      <c r="D15" s="14">
        <f t="shared" si="0"/>
        <v>209764</v>
      </c>
      <c r="E15" s="17">
        <f t="shared" si="1"/>
        <v>1733977.9511801784</v>
      </c>
      <c r="F15" s="21">
        <f t="shared" si="2"/>
        <v>8.27</v>
      </c>
    </row>
    <row r="16" spans="1:6" ht="14.25" customHeight="1" x14ac:dyDescent="0.2">
      <c r="A16" s="19">
        <v>12</v>
      </c>
      <c r="B16" s="143" t="s">
        <v>11</v>
      </c>
      <c r="C16" s="144"/>
      <c r="D16" s="14">
        <f t="shared" si="0"/>
        <v>1031782</v>
      </c>
      <c r="E16" s="17">
        <f t="shared" si="1"/>
        <v>4773175.6684587765</v>
      </c>
      <c r="F16" s="21">
        <f t="shared" si="2"/>
        <v>4.63</v>
      </c>
    </row>
    <row r="17" spans="1:6" x14ac:dyDescent="0.2">
      <c r="A17" s="19">
        <v>13</v>
      </c>
      <c r="B17" s="143" t="s">
        <v>12</v>
      </c>
      <c r="C17" s="144"/>
      <c r="D17" s="14">
        <f t="shared" si="0"/>
        <v>78428</v>
      </c>
      <c r="E17" s="17">
        <f t="shared" si="1"/>
        <v>514425.36553059169</v>
      </c>
      <c r="F17" s="21">
        <f t="shared" si="2"/>
        <v>6.56</v>
      </c>
    </row>
    <row r="18" spans="1:6" ht="14.25" customHeight="1" x14ac:dyDescent="0.2">
      <c r="A18" s="19">
        <v>14</v>
      </c>
      <c r="B18" s="143" t="s">
        <v>464</v>
      </c>
      <c r="C18" s="144"/>
      <c r="D18" s="14">
        <f t="shared" si="0"/>
        <v>325048</v>
      </c>
      <c r="E18" s="17">
        <f t="shared" si="1"/>
        <v>2227189.93455128</v>
      </c>
      <c r="F18" s="21">
        <f t="shared" si="2"/>
        <v>6.85</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519397</v>
      </c>
      <c r="E20" s="17">
        <f t="shared" si="1"/>
        <v>4514365.6597706527</v>
      </c>
      <c r="F20" s="21">
        <f t="shared" si="2"/>
        <v>8.69</v>
      </c>
    </row>
    <row r="21" spans="1:6" x14ac:dyDescent="0.2">
      <c r="A21" s="19">
        <v>17</v>
      </c>
      <c r="B21" s="143" t="s">
        <v>15</v>
      </c>
      <c r="C21" s="144"/>
      <c r="D21" s="14">
        <f t="shared" si="0"/>
        <v>25904</v>
      </c>
      <c r="E21" s="17">
        <f t="shared" si="1"/>
        <v>240414.83537390278</v>
      </c>
      <c r="F21" s="21">
        <f t="shared" si="2"/>
        <v>9.2799999999999994</v>
      </c>
    </row>
    <row r="22" spans="1:6" x14ac:dyDescent="0.2">
      <c r="A22" s="19">
        <v>18</v>
      </c>
      <c r="B22" s="143" t="s">
        <v>16</v>
      </c>
      <c r="C22" s="144"/>
      <c r="D22" s="14">
        <f t="shared" si="0"/>
        <v>160808</v>
      </c>
      <c r="E22" s="17">
        <f t="shared" si="1"/>
        <v>1412061.2902565843</v>
      </c>
      <c r="F22" s="21">
        <f t="shared" si="2"/>
        <v>8.7799999999999994</v>
      </c>
    </row>
    <row r="23" spans="1:6" x14ac:dyDescent="0.2">
      <c r="A23" s="19">
        <v>19</v>
      </c>
      <c r="B23" s="143" t="s">
        <v>17</v>
      </c>
      <c r="C23" s="144"/>
      <c r="D23" s="14">
        <f t="shared" si="0"/>
        <v>908821</v>
      </c>
      <c r="E23" s="17">
        <f t="shared" si="1"/>
        <v>5940532.9927943833</v>
      </c>
      <c r="F23" s="21">
        <f t="shared" si="2"/>
        <v>6.54</v>
      </c>
    </row>
    <row r="24" spans="1:6" x14ac:dyDescent="0.2">
      <c r="A24" s="19">
        <v>20</v>
      </c>
      <c r="B24" s="143" t="s">
        <v>18</v>
      </c>
      <c r="C24" s="144"/>
      <c r="D24" s="14">
        <f t="shared" si="0"/>
        <v>172032</v>
      </c>
      <c r="E24" s="17">
        <f t="shared" si="1"/>
        <v>1618692.1031131579</v>
      </c>
      <c r="F24" s="21">
        <f t="shared" si="2"/>
        <v>9.41</v>
      </c>
    </row>
    <row r="25" spans="1:6" ht="14.25" customHeight="1" x14ac:dyDescent="0.2">
      <c r="A25" s="19">
        <v>21</v>
      </c>
      <c r="B25" s="143" t="s">
        <v>461</v>
      </c>
      <c r="C25" s="144"/>
      <c r="D25" s="14">
        <f t="shared" si="0"/>
        <v>78794</v>
      </c>
      <c r="E25" s="17">
        <f t="shared" si="1"/>
        <v>978150.41377591481</v>
      </c>
      <c r="F25" s="21">
        <f t="shared" si="2"/>
        <v>12.41</v>
      </c>
    </row>
    <row r="26" spans="1:6" x14ac:dyDescent="0.2">
      <c r="A26" s="19">
        <v>22</v>
      </c>
      <c r="B26" s="143" t="s">
        <v>19</v>
      </c>
      <c r="C26" s="144"/>
      <c r="D26" s="14">
        <f t="shared" si="0"/>
        <v>18831</v>
      </c>
      <c r="E26" s="17">
        <f t="shared" si="1"/>
        <v>167724.34291715422</v>
      </c>
      <c r="F26" s="21">
        <f t="shared" si="2"/>
        <v>8.91</v>
      </c>
    </row>
    <row r="27" spans="1:6" x14ac:dyDescent="0.2">
      <c r="A27" s="19">
        <v>23</v>
      </c>
      <c r="B27" s="143" t="s">
        <v>20</v>
      </c>
      <c r="C27" s="144"/>
      <c r="D27" s="14">
        <f t="shared" si="0"/>
        <v>19120</v>
      </c>
      <c r="E27" s="17">
        <f t="shared" si="1"/>
        <v>1530911.312706494</v>
      </c>
      <c r="F27" s="21">
        <f t="shared" si="2"/>
        <v>80.069999999999993</v>
      </c>
    </row>
    <row r="28" spans="1:6" x14ac:dyDescent="0.2">
      <c r="A28" s="19">
        <v>24</v>
      </c>
      <c r="B28" s="143" t="s">
        <v>21</v>
      </c>
      <c r="C28" s="144"/>
      <c r="D28" s="14">
        <f t="shared" si="0"/>
        <v>162624</v>
      </c>
      <c r="E28" s="17">
        <f t="shared" si="1"/>
        <v>976876.69903665711</v>
      </c>
      <c r="F28" s="21">
        <f t="shared" si="2"/>
        <v>6.01</v>
      </c>
    </row>
    <row r="29" spans="1:6" x14ac:dyDescent="0.2">
      <c r="A29" s="19">
        <v>25</v>
      </c>
      <c r="B29" s="143" t="s">
        <v>22</v>
      </c>
      <c r="C29" s="144"/>
      <c r="D29" s="14">
        <f t="shared" si="0"/>
        <v>1130304</v>
      </c>
      <c r="E29" s="17">
        <f t="shared" si="1"/>
        <v>6028552.4040481709</v>
      </c>
      <c r="F29" s="21">
        <f t="shared" si="2"/>
        <v>5.33</v>
      </c>
    </row>
    <row r="30" spans="1:6" x14ac:dyDescent="0.2">
      <c r="A30" s="19">
        <v>26</v>
      </c>
      <c r="B30" s="143" t="s">
        <v>23</v>
      </c>
      <c r="C30" s="144"/>
      <c r="D30" s="14">
        <f t="shared" si="0"/>
        <v>650270</v>
      </c>
      <c r="E30" s="17">
        <f t="shared" si="1"/>
        <v>4807141.0723667294</v>
      </c>
      <c r="F30" s="21">
        <f t="shared" si="2"/>
        <v>7.39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8365557</v>
      </c>
      <c r="E33" s="31">
        <f>SUM(E5:E32)</f>
        <v>55578066</v>
      </c>
      <c r="F33" s="32">
        <f t="shared" si="2"/>
        <v>6.64</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IF(F3="1",SUMIF(Data!A:A,'36'!$A$2,Data!CU:CU),0)</f>
        <v>2976</v>
      </c>
      <c r="E36" s="15">
        <f>IF(F3="1",SUMIF(Data!$A:$A,$A$2,Data!IO:IO),0)</f>
        <v>0</v>
      </c>
      <c r="F36" s="20" t="str">
        <f t="shared" ref="F36:F64" si="3">IF(OR(D36=0,E36=0),"",ROUND(E36/D36,2))</f>
        <v/>
      </c>
    </row>
    <row r="37" spans="1:6" x14ac:dyDescent="0.2">
      <c r="A37" s="19">
        <v>2</v>
      </c>
      <c r="B37" s="143" t="s">
        <v>1</v>
      </c>
      <c r="C37" s="144"/>
      <c r="D37" s="14">
        <f>IF(F3="1",SUMIF(Data!A:A,'36'!$A$2,Data!CV:CV),0)</f>
        <v>295902</v>
      </c>
      <c r="E37" s="17">
        <f>IF(F3="1",SUMIF(Data!$A:$A,$A$2,Data!IP:IP),0)</f>
        <v>528706</v>
      </c>
      <c r="F37" s="21">
        <f t="shared" si="3"/>
        <v>1.79</v>
      </c>
    </row>
    <row r="38" spans="1:6" ht="14.25" customHeight="1" x14ac:dyDescent="0.2">
      <c r="A38" s="19">
        <v>3</v>
      </c>
      <c r="B38" s="143" t="s">
        <v>2</v>
      </c>
      <c r="C38" s="144"/>
      <c r="D38" s="14">
        <f>IF(F3="1",SUMIF(Data!A:A,'36'!$A$2,Data!CW:CW),0)</f>
        <v>950532</v>
      </c>
      <c r="E38" s="17">
        <f>IF($F$3="1",SUMIF(Data!$A:$A,$A$2,Data!IQ:IQ),0)</f>
        <v>602271</v>
      </c>
      <c r="F38" s="21">
        <f t="shared" si="3"/>
        <v>0.63</v>
      </c>
    </row>
    <row r="39" spans="1:6" ht="14.25" customHeight="1" x14ac:dyDescent="0.2">
      <c r="A39" s="19">
        <v>4</v>
      </c>
      <c r="B39" s="143" t="s">
        <v>3</v>
      </c>
      <c r="C39" s="144"/>
      <c r="D39" s="14">
        <f>IF(F3="1",SUMIF(Data!A:A,'36'!$A$2,Data!CX:CX),0)</f>
        <v>460969</v>
      </c>
      <c r="E39" s="17">
        <f>IF($F$3="1",SUMIF(Data!$A:$A,$A$2,Data!IR:IR),0)</f>
        <v>480416</v>
      </c>
      <c r="F39" s="21">
        <f t="shared" si="3"/>
        <v>1.04</v>
      </c>
    </row>
    <row r="40" spans="1:6" x14ac:dyDescent="0.2">
      <c r="A40" s="19">
        <v>5</v>
      </c>
      <c r="B40" s="143" t="s">
        <v>4</v>
      </c>
      <c r="C40" s="144"/>
      <c r="D40" s="14">
        <f>IF(F3="1",SUMIF(Data!A:A,'36'!$A$2,Data!CY:CY),0)</f>
        <v>62891</v>
      </c>
      <c r="E40" s="17">
        <f>IF($F$3="1",SUMIF(Data!$A:$A,$A$2,Data!IS:IS),0)</f>
        <v>257403</v>
      </c>
      <c r="F40" s="21">
        <f t="shared" si="3"/>
        <v>4.09</v>
      </c>
    </row>
    <row r="41" spans="1:6" x14ac:dyDescent="0.2">
      <c r="A41" s="19">
        <v>6</v>
      </c>
      <c r="B41" s="143" t="s">
        <v>5</v>
      </c>
      <c r="C41" s="144"/>
      <c r="D41" s="14">
        <f>IF(F3="1",SUMIF(Data!A:A,'36'!$A$2,Data!CZ:CZ),0)</f>
        <v>23920</v>
      </c>
      <c r="E41" s="17">
        <f>IF($F$3="1",SUMIF(Data!$A:$A,$A$2,Data!IT:IT),0)</f>
        <v>78343</v>
      </c>
      <c r="F41" s="21">
        <f t="shared" si="3"/>
        <v>3.28</v>
      </c>
    </row>
    <row r="42" spans="1:6" x14ac:dyDescent="0.2">
      <c r="A42" s="19">
        <v>7</v>
      </c>
      <c r="B42" s="143" t="s">
        <v>6</v>
      </c>
      <c r="C42" s="144"/>
      <c r="D42" s="14">
        <f>IF(F3="1",SUMIF(Data!A:A,'36'!$A$2,Data!DA:DA),0)</f>
        <v>573394</v>
      </c>
      <c r="E42" s="17">
        <f>IF($F$3="1",SUMIF(Data!$A:$A,$A$2,Data!IU:IU),0)</f>
        <v>913127</v>
      </c>
      <c r="F42" s="21">
        <f t="shared" si="3"/>
        <v>1.59</v>
      </c>
    </row>
    <row r="43" spans="1:6" x14ac:dyDescent="0.2">
      <c r="A43" s="19">
        <v>8</v>
      </c>
      <c r="B43" s="143" t="s">
        <v>7</v>
      </c>
      <c r="C43" s="144"/>
      <c r="D43" s="14">
        <f>IF(F3="1",SUMIF(Data!A:A,'36'!$A$2,Data!DB:DB),0)</f>
        <v>111244</v>
      </c>
      <c r="E43" s="17">
        <f>IF($F$3="1",SUMIF(Data!$A:$A,$A$2,Data!IV:IV),0)</f>
        <v>112314</v>
      </c>
      <c r="F43" s="21">
        <f t="shared" si="3"/>
        <v>1.01</v>
      </c>
    </row>
    <row r="44" spans="1:6" x14ac:dyDescent="0.2">
      <c r="A44" s="19">
        <v>9</v>
      </c>
      <c r="B44" s="143" t="s">
        <v>8</v>
      </c>
      <c r="C44" s="144"/>
      <c r="D44" s="14">
        <f>IF(F3="1",SUMIF(Data!A:A,'36'!$A$2,Data!DC:DC),0)</f>
        <v>389498</v>
      </c>
      <c r="E44" s="17">
        <f>IF($F$3="1",SUMIF(Data!$A:$A,$A$2,Data!IW:IW),0)</f>
        <v>395850</v>
      </c>
      <c r="F44" s="21">
        <f t="shared" si="3"/>
        <v>1.02</v>
      </c>
    </row>
    <row r="45" spans="1:6" x14ac:dyDescent="0.2">
      <c r="A45" s="19">
        <v>10</v>
      </c>
      <c r="B45" s="143" t="s">
        <v>9</v>
      </c>
      <c r="C45" s="144"/>
      <c r="D45" s="14">
        <f>IF(F3="1",SUMIF(Data!A:A,'36'!$A$2,Data!DD:DD),0)</f>
        <v>2304</v>
      </c>
      <c r="E45" s="17">
        <f>IF($F$3="1",SUMIF(Data!$A:$A,$A$2,Data!IX:IX),0)</f>
        <v>377997</v>
      </c>
      <c r="F45" s="21">
        <f t="shared" si="3"/>
        <v>164.06</v>
      </c>
    </row>
    <row r="46" spans="1:6" x14ac:dyDescent="0.2">
      <c r="A46" s="19">
        <v>11</v>
      </c>
      <c r="B46" s="143" t="s">
        <v>10</v>
      </c>
      <c r="C46" s="144"/>
      <c r="D46" s="14">
        <f>IF(F3="1",SUMIF(Data!A:A,'36'!$A$2,Data!DE:DE),0)</f>
        <v>209764</v>
      </c>
      <c r="E46" s="17">
        <f>IF($F$3="1",SUMIF(Data!$A:$A,$A$2,Data!IY:IY),0)</f>
        <v>399280</v>
      </c>
      <c r="F46" s="21">
        <f t="shared" si="3"/>
        <v>1.9</v>
      </c>
    </row>
    <row r="47" spans="1:6" ht="14.25" customHeight="1" x14ac:dyDescent="0.2">
      <c r="A47" s="19">
        <v>12</v>
      </c>
      <c r="B47" s="143" t="s">
        <v>11</v>
      </c>
      <c r="C47" s="144"/>
      <c r="D47" s="14">
        <f>IF(F3="1",SUMIF(Data!A:A,'36'!$A$2,Data!DF:DF),0)</f>
        <v>1031782</v>
      </c>
      <c r="E47" s="17">
        <f>IF($F$3="1",SUMIF(Data!$A:$A,$A$2,Data!IZ:IZ),0)</f>
        <v>368623</v>
      </c>
      <c r="F47" s="21">
        <f t="shared" si="3"/>
        <v>0.36</v>
      </c>
    </row>
    <row r="48" spans="1:6" x14ac:dyDescent="0.2">
      <c r="A48" s="19">
        <v>13</v>
      </c>
      <c r="B48" s="143" t="s">
        <v>12</v>
      </c>
      <c r="C48" s="144"/>
      <c r="D48" s="14">
        <f>IF(F3="1",SUMIF(Data!A:A,'36'!$A$2,Data!DG:DG),0)</f>
        <v>78428</v>
      </c>
      <c r="E48" s="17">
        <f>IF($F$3="1",SUMIF(Data!$A:$A,$A$2,Data!JA:JA),0)</f>
        <v>68670</v>
      </c>
      <c r="F48" s="21">
        <f t="shared" si="3"/>
        <v>0.88</v>
      </c>
    </row>
    <row r="49" spans="1:6" ht="14.25" customHeight="1" x14ac:dyDescent="0.2">
      <c r="A49" s="19">
        <v>14</v>
      </c>
      <c r="B49" s="143" t="s">
        <v>464</v>
      </c>
      <c r="C49" s="144"/>
      <c r="D49" s="14">
        <f>IF(F3="1",SUMIF(Data!A:A,'36'!$A$2,Data!DH:DH),0)</f>
        <v>325048</v>
      </c>
      <c r="E49" s="17">
        <f>IF($F$3="1",SUMIF(Data!$A:$A,$A$2,Data!JB:JB),0)</f>
        <v>151652</v>
      </c>
      <c r="F49" s="21">
        <f t="shared" si="3"/>
        <v>0.47</v>
      </c>
    </row>
    <row r="50" spans="1:6" x14ac:dyDescent="0.2">
      <c r="A50" s="19">
        <v>15</v>
      </c>
      <c r="B50" s="143" t="s">
        <v>13</v>
      </c>
      <c r="C50" s="144"/>
      <c r="D50" s="14">
        <f>IF(F3="1",SUMIF(Data!A:A,'36'!$A$2,Data!DI:DI),0)</f>
        <v>0</v>
      </c>
      <c r="E50" s="17">
        <f>IF($F$3="1",SUMIF(Data!$A:$A,$A$2,Data!JC:JC),0)</f>
        <v>0</v>
      </c>
      <c r="F50" s="21" t="str">
        <f t="shared" si="3"/>
        <v/>
      </c>
    </row>
    <row r="51" spans="1:6" x14ac:dyDescent="0.2">
      <c r="A51" s="19">
        <v>16</v>
      </c>
      <c r="B51" s="143" t="s">
        <v>14</v>
      </c>
      <c r="C51" s="144"/>
      <c r="D51" s="14">
        <f>IF(F3="1",SUMIF(Data!A:A,'36'!$A$2,Data!DJ:DJ),0)</f>
        <v>519397</v>
      </c>
      <c r="E51" s="17">
        <f>IF($F$3="1",SUMIF(Data!$A:$A,$A$2,Data!JD:JD),0)</f>
        <v>451376</v>
      </c>
      <c r="F51" s="21">
        <f t="shared" si="3"/>
        <v>0.87</v>
      </c>
    </row>
    <row r="52" spans="1:6" x14ac:dyDescent="0.2">
      <c r="A52" s="19">
        <v>17</v>
      </c>
      <c r="B52" s="143" t="s">
        <v>15</v>
      </c>
      <c r="C52" s="144"/>
      <c r="D52" s="14">
        <f>IF(F3="1",SUMIF(Data!A:A,'36'!$A$2,Data!DK:DK),0)</f>
        <v>25904</v>
      </c>
      <c r="E52" s="17">
        <f>IF($F$3="1",SUMIF(Data!$A:$A,$A$2,Data!JE:JE),0)</f>
        <v>16422</v>
      </c>
      <c r="F52" s="21">
        <f t="shared" si="3"/>
        <v>0.63</v>
      </c>
    </row>
    <row r="53" spans="1:6" x14ac:dyDescent="0.2">
      <c r="A53" s="19">
        <v>18</v>
      </c>
      <c r="B53" s="143" t="s">
        <v>16</v>
      </c>
      <c r="C53" s="144"/>
      <c r="D53" s="14">
        <f>IF(F3="1",SUMIF(Data!A:A,'36'!$A$2,Data!DL:DL),0)</f>
        <v>160808</v>
      </c>
      <c r="E53" s="17">
        <f>IF($F$3="1",SUMIF(Data!$A:$A,$A$2,Data!JF:JF),0)</f>
        <v>98115</v>
      </c>
      <c r="F53" s="21">
        <f t="shared" si="3"/>
        <v>0.61</v>
      </c>
    </row>
    <row r="54" spans="1:6" x14ac:dyDescent="0.2">
      <c r="A54" s="19">
        <v>19</v>
      </c>
      <c r="B54" s="143" t="s">
        <v>17</v>
      </c>
      <c r="C54" s="144"/>
      <c r="D54" s="14">
        <f>IF(F3="1",SUMIF(Data!A:A,'36'!$A$2,Data!DM:DM),0)</f>
        <v>908821</v>
      </c>
      <c r="E54" s="17">
        <f>IF($F$3="1",SUMIF(Data!$A:$A,$A$2,Data!JG:JG),0)</f>
        <v>313194</v>
      </c>
      <c r="F54" s="21">
        <f t="shared" si="3"/>
        <v>0.34</v>
      </c>
    </row>
    <row r="55" spans="1:6" x14ac:dyDescent="0.2">
      <c r="A55" s="19">
        <v>20</v>
      </c>
      <c r="B55" s="143" t="s">
        <v>18</v>
      </c>
      <c r="C55" s="144"/>
      <c r="D55" s="14">
        <f>IF(F3="1",SUMIF(Data!A:A,'36'!$A$2,Data!DN:DN),0)</f>
        <v>172032</v>
      </c>
      <c r="E55" s="17">
        <f>IF($F$3="1",SUMIF(Data!$A:$A,$A$2,Data!JH:JH),0)</f>
        <v>313501</v>
      </c>
      <c r="F55" s="21">
        <f t="shared" si="3"/>
        <v>1.82</v>
      </c>
    </row>
    <row r="56" spans="1:6" ht="14.25" customHeight="1" x14ac:dyDescent="0.2">
      <c r="A56" s="19">
        <v>21</v>
      </c>
      <c r="B56" s="143" t="s">
        <v>461</v>
      </c>
      <c r="C56" s="144"/>
      <c r="D56" s="14">
        <f>IF(F3="1",SUMIF(Data!A:A,'36'!$A$2,Data!DO:DO),0)</f>
        <v>78794</v>
      </c>
      <c r="E56" s="17">
        <f>IF($F$3="1",SUMIF(Data!$A:$A,$A$2,Data!JI:JI),0)</f>
        <v>365936</v>
      </c>
      <c r="F56" s="21">
        <f t="shared" si="3"/>
        <v>4.6399999999999997</v>
      </c>
    </row>
    <row r="57" spans="1:6" x14ac:dyDescent="0.2">
      <c r="A57" s="19">
        <v>22</v>
      </c>
      <c r="B57" s="143" t="s">
        <v>19</v>
      </c>
      <c r="C57" s="144"/>
      <c r="D57" s="14">
        <f>IF(F3="1",SUMIF(Data!A:A,'36'!$A$2,Data!DP:DP),0)</f>
        <v>18831</v>
      </c>
      <c r="E57" s="17">
        <f>IF($F$3="1",SUMIF(Data!$A:$A,$A$2,Data!JJ:JJ),0)</f>
        <v>47741</v>
      </c>
      <c r="F57" s="21">
        <f t="shared" si="3"/>
        <v>2.54</v>
      </c>
    </row>
    <row r="58" spans="1:6" x14ac:dyDescent="0.2">
      <c r="A58" s="19">
        <v>23</v>
      </c>
      <c r="B58" s="143" t="s">
        <v>20</v>
      </c>
      <c r="C58" s="144"/>
      <c r="D58" s="14">
        <f>IF(F3="1",SUMIF(Data!A:A,'36'!$A$2,Data!DQ:DQ),0)</f>
        <v>19120</v>
      </c>
      <c r="E58" s="17">
        <f>IF($F$3="1",SUMIF(Data!$A:$A,$A$2,Data!JK:JK),0)</f>
        <v>176917</v>
      </c>
      <c r="F58" s="21">
        <f t="shared" si="3"/>
        <v>9.25</v>
      </c>
    </row>
    <row r="59" spans="1:6" x14ac:dyDescent="0.2">
      <c r="A59" s="19">
        <v>24</v>
      </c>
      <c r="B59" s="143" t="s">
        <v>21</v>
      </c>
      <c r="C59" s="144"/>
      <c r="D59" s="14">
        <f>IF(F3="1",SUMIF(Data!A:A,'36'!$A$2,Data!DR:DR),0)</f>
        <v>162624</v>
      </c>
      <c r="E59" s="17">
        <f>IF($F$3="1",SUMIF(Data!$A:$A,$A$2,Data!JL:JL),0)</f>
        <v>114328</v>
      </c>
      <c r="F59" s="21">
        <f t="shared" si="3"/>
        <v>0.7</v>
      </c>
    </row>
    <row r="60" spans="1:6" x14ac:dyDescent="0.2">
      <c r="A60" s="19">
        <v>25</v>
      </c>
      <c r="B60" s="143" t="s">
        <v>22</v>
      </c>
      <c r="C60" s="144"/>
      <c r="D60" s="14">
        <f>IF(F3="1",SUMIF(Data!A:A,'36'!$A$2,Data!DS:DS),0)</f>
        <v>1130304</v>
      </c>
      <c r="E60" s="17">
        <f>IF($F$3="1",SUMIF(Data!$A:$A,$A$2,Data!JM:JM),0)</f>
        <v>143292</v>
      </c>
      <c r="F60" s="21">
        <f t="shared" si="3"/>
        <v>0.13</v>
      </c>
    </row>
    <row r="61" spans="1:6" x14ac:dyDescent="0.2">
      <c r="A61" s="19">
        <v>26</v>
      </c>
      <c r="B61" s="143" t="s">
        <v>23</v>
      </c>
      <c r="C61" s="144"/>
      <c r="D61" s="14">
        <f>IF(F3="1",SUMIF(Data!A:A,'36'!$A$2,Data!DT:DT),0)</f>
        <v>650270</v>
      </c>
      <c r="E61" s="17">
        <f>IF($F$3="1",SUMIF(Data!$A:$A,$A$2,Data!JN:JN),0)</f>
        <v>564576</v>
      </c>
      <c r="F61" s="21">
        <f t="shared" si="3"/>
        <v>0.87</v>
      </c>
    </row>
    <row r="62" spans="1:6" x14ac:dyDescent="0.2">
      <c r="A62" s="19">
        <v>28</v>
      </c>
      <c r="B62" s="143" t="s">
        <v>24</v>
      </c>
      <c r="C62" s="144"/>
      <c r="D62" s="14">
        <f>IF(F3="1",SUMIF(Data!A:A,'36'!$A$2,Data!DV:DV),0)</f>
        <v>0</v>
      </c>
      <c r="E62" s="17">
        <f>IF($F$3="1",SUMIF(Data!$A:$A,$A$2,Data!JP:JP),0)</f>
        <v>0</v>
      </c>
      <c r="F62" s="21" t="str">
        <f t="shared" si="3"/>
        <v/>
      </c>
    </row>
    <row r="63" spans="1:6" ht="15.75" customHeight="1" thickBot="1" x14ac:dyDescent="0.25">
      <c r="A63" s="22">
        <v>29</v>
      </c>
      <c r="B63" s="147" t="s">
        <v>25</v>
      </c>
      <c r="C63" s="148"/>
      <c r="D63" s="23">
        <f>IF(F3="1",SUMIF(Data!A:A,'36'!$A$2,Data!DW:DW),0)</f>
        <v>0</v>
      </c>
      <c r="E63" s="24">
        <f>IF($F$3="1",SUMIF(Data!$A:$A,$A$2,Data!JQ:JQ),0)</f>
        <v>0</v>
      </c>
      <c r="F63" s="25" t="str">
        <f t="shared" si="3"/>
        <v/>
      </c>
    </row>
    <row r="64" spans="1:6" x14ac:dyDescent="0.2">
      <c r="B64" s="30" t="s">
        <v>35</v>
      </c>
      <c r="C64" s="30"/>
      <c r="D64" s="59">
        <f>SUM(D36:D63)</f>
        <v>8365557</v>
      </c>
      <c r="E64" s="31">
        <f>SUM(E36:E63)</f>
        <v>7340050</v>
      </c>
      <c r="F64" s="32">
        <f t="shared" si="3"/>
        <v>0.88</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2976</v>
      </c>
      <c r="E67" s="15">
        <f>IF(F3="1",SUMIF(Data!A:A,'36'!$A$2,Data!DY:DY),0)</f>
        <v>3482</v>
      </c>
      <c r="F67" s="20">
        <f t="shared" ref="F67:F95" si="4">IF(OR(D67=0,E67=0),"",ROUND(E67/D67,2))</f>
        <v>1.17</v>
      </c>
    </row>
    <row r="68" spans="1:6" x14ac:dyDescent="0.2">
      <c r="A68" s="19">
        <v>2</v>
      </c>
      <c r="B68" s="143" t="s">
        <v>1</v>
      </c>
      <c r="C68" s="144"/>
      <c r="D68" s="14">
        <f t="shared" ref="D68:D94" si="5">D37</f>
        <v>295902</v>
      </c>
      <c r="E68" s="17">
        <f>IF(F3="1",SUMIF(Data!A:A,'36'!$A$2,Data!DZ:DZ),0)</f>
        <v>415646</v>
      </c>
      <c r="F68" s="21">
        <f t="shared" si="4"/>
        <v>1.4</v>
      </c>
    </row>
    <row r="69" spans="1:6" ht="14.25" customHeight="1" x14ac:dyDescent="0.2">
      <c r="A69" s="19">
        <v>3</v>
      </c>
      <c r="B69" s="143" t="s">
        <v>2</v>
      </c>
      <c r="C69" s="144"/>
      <c r="D69" s="14">
        <f t="shared" si="5"/>
        <v>950532</v>
      </c>
      <c r="E69" s="17">
        <f>IF(F3="1",SUMIF(Data!A:A,'36'!$A$2,Data!EA:EA),0)</f>
        <v>1262669</v>
      </c>
      <c r="F69" s="21">
        <f t="shared" si="4"/>
        <v>1.33</v>
      </c>
    </row>
    <row r="70" spans="1:6" ht="14.25" customHeight="1" x14ac:dyDescent="0.2">
      <c r="A70" s="19">
        <v>4</v>
      </c>
      <c r="B70" s="143" t="s">
        <v>3</v>
      </c>
      <c r="C70" s="144"/>
      <c r="D70" s="14">
        <f t="shared" si="5"/>
        <v>460969</v>
      </c>
      <c r="E70" s="17">
        <f>IF(F3="1",SUMIF(Data!A:A,'36'!$A$2,Data!EB:EB),0)</f>
        <v>1424479</v>
      </c>
      <c r="F70" s="21">
        <f t="shared" si="4"/>
        <v>3.09</v>
      </c>
    </row>
    <row r="71" spans="1:6" x14ac:dyDescent="0.2">
      <c r="A71" s="19">
        <v>5</v>
      </c>
      <c r="B71" s="143" t="s">
        <v>4</v>
      </c>
      <c r="C71" s="144"/>
      <c r="D71" s="14">
        <f t="shared" si="5"/>
        <v>62891</v>
      </c>
      <c r="E71" s="17">
        <f>IF(F3="1",SUMIF(Data!A:A,'36'!$A$2,Data!EC:EC),0)</f>
        <v>250120</v>
      </c>
      <c r="F71" s="21">
        <f t="shared" si="4"/>
        <v>3.98</v>
      </c>
    </row>
    <row r="72" spans="1:6" x14ac:dyDescent="0.2">
      <c r="A72" s="19">
        <v>6</v>
      </c>
      <c r="B72" s="143" t="s">
        <v>5</v>
      </c>
      <c r="C72" s="144"/>
      <c r="D72" s="14">
        <f t="shared" si="5"/>
        <v>23920</v>
      </c>
      <c r="E72" s="17">
        <f>IF(F3="1",SUMIF(Data!A:A,'36'!$A$2,Data!ED:ED),0)</f>
        <v>96558</v>
      </c>
      <c r="F72" s="21">
        <f t="shared" si="4"/>
        <v>4.04</v>
      </c>
    </row>
    <row r="73" spans="1:6" x14ac:dyDescent="0.2">
      <c r="A73" s="19">
        <v>7</v>
      </c>
      <c r="B73" s="143" t="s">
        <v>6</v>
      </c>
      <c r="C73" s="144"/>
      <c r="D73" s="14">
        <f t="shared" si="5"/>
        <v>573394</v>
      </c>
      <c r="E73" s="17">
        <f>IF(F3="1",SUMIF(Data!A:A,'36'!$A$2,Data!EE:EE),0)</f>
        <v>1222200</v>
      </c>
      <c r="F73" s="21">
        <f t="shared" si="4"/>
        <v>2.13</v>
      </c>
    </row>
    <row r="74" spans="1:6" x14ac:dyDescent="0.2">
      <c r="A74" s="19">
        <v>8</v>
      </c>
      <c r="B74" s="143" t="s">
        <v>7</v>
      </c>
      <c r="C74" s="144"/>
      <c r="D74" s="14">
        <f t="shared" si="5"/>
        <v>111244</v>
      </c>
      <c r="E74" s="17">
        <f>IF(F3="1",SUMIF(Data!A:A,'36'!$A$2,Data!EF:EF),0)</f>
        <v>95822</v>
      </c>
      <c r="F74" s="21">
        <f t="shared" si="4"/>
        <v>0.86</v>
      </c>
    </row>
    <row r="75" spans="1:6" x14ac:dyDescent="0.2">
      <c r="A75" s="19">
        <v>9</v>
      </c>
      <c r="B75" s="143" t="s">
        <v>8</v>
      </c>
      <c r="C75" s="144"/>
      <c r="D75" s="14">
        <f t="shared" si="5"/>
        <v>389498</v>
      </c>
      <c r="E75" s="17">
        <f>IF(F3="1",SUMIF(Data!A:A,'36'!$A$2,Data!EG:EG),0)</f>
        <v>1335953</v>
      </c>
      <c r="F75" s="21">
        <f t="shared" si="4"/>
        <v>3.43</v>
      </c>
    </row>
    <row r="76" spans="1:6" x14ac:dyDescent="0.2">
      <c r="A76" s="19">
        <v>10</v>
      </c>
      <c r="B76" s="143" t="s">
        <v>9</v>
      </c>
      <c r="C76" s="144"/>
      <c r="D76" s="14">
        <f t="shared" si="5"/>
        <v>2304</v>
      </c>
      <c r="E76" s="17">
        <f>IF(F3="1",SUMIF(Data!A:A,'36'!$A$2,Data!EH:EH),0)</f>
        <v>495057</v>
      </c>
      <c r="F76" s="21">
        <f t="shared" si="4"/>
        <v>214.87</v>
      </c>
    </row>
    <row r="77" spans="1:6" x14ac:dyDescent="0.2">
      <c r="A77" s="19">
        <v>11</v>
      </c>
      <c r="B77" s="143" t="s">
        <v>10</v>
      </c>
      <c r="C77" s="144"/>
      <c r="D77" s="14">
        <f t="shared" si="5"/>
        <v>209764</v>
      </c>
      <c r="E77" s="17">
        <f>IF(F3="1",SUMIF(Data!A:A,'36'!$A$2,Data!EI:EI),0)</f>
        <v>767849</v>
      </c>
      <c r="F77" s="21">
        <f t="shared" si="4"/>
        <v>3.66</v>
      </c>
    </row>
    <row r="78" spans="1:6" ht="14.25" customHeight="1" x14ac:dyDescent="0.2">
      <c r="A78" s="19">
        <v>12</v>
      </c>
      <c r="B78" s="143" t="s">
        <v>11</v>
      </c>
      <c r="C78" s="144"/>
      <c r="D78" s="14">
        <f t="shared" si="5"/>
        <v>1031782</v>
      </c>
      <c r="E78" s="17">
        <f>IF(F3="1",SUMIF(Data!A:A,'36'!$A$2,Data!EJ:EJ),0)</f>
        <v>1616350</v>
      </c>
      <c r="F78" s="21">
        <f t="shared" si="4"/>
        <v>1.57</v>
      </c>
    </row>
    <row r="79" spans="1:6" x14ac:dyDescent="0.2">
      <c r="A79" s="19">
        <v>13</v>
      </c>
      <c r="B79" s="143" t="s">
        <v>12</v>
      </c>
      <c r="C79" s="144"/>
      <c r="D79" s="14">
        <f t="shared" si="5"/>
        <v>78428</v>
      </c>
      <c r="E79" s="17">
        <f>IF(F3="1",SUMIF(Data!A:A,'36'!$A$2,Data!EK:EK),0)</f>
        <v>233818</v>
      </c>
      <c r="F79" s="21">
        <f t="shared" si="4"/>
        <v>2.98</v>
      </c>
    </row>
    <row r="80" spans="1:6" ht="14.25" customHeight="1" x14ac:dyDescent="0.2">
      <c r="A80" s="19">
        <v>14</v>
      </c>
      <c r="B80" s="143" t="s">
        <v>464</v>
      </c>
      <c r="C80" s="144"/>
      <c r="D80" s="14">
        <f t="shared" si="5"/>
        <v>325048</v>
      </c>
      <c r="E80" s="17">
        <f>IF(F3="1",SUMIF(Data!A:A,'36'!$A$2,Data!EL:EL),0)</f>
        <v>1197155</v>
      </c>
      <c r="F80" s="21">
        <f t="shared" si="4"/>
        <v>3.68</v>
      </c>
    </row>
    <row r="81" spans="1:6" x14ac:dyDescent="0.2">
      <c r="A81" s="19">
        <v>15</v>
      </c>
      <c r="B81" s="143" t="s">
        <v>13</v>
      </c>
      <c r="C81" s="144"/>
      <c r="D81" s="14">
        <f t="shared" si="5"/>
        <v>0</v>
      </c>
      <c r="E81" s="17">
        <f>IF(F3="1",SUMIF(Data!A:A,'36'!$A$2,Data!EM:EM),0)</f>
        <v>0</v>
      </c>
      <c r="F81" s="21" t="str">
        <f t="shared" si="4"/>
        <v/>
      </c>
    </row>
    <row r="82" spans="1:6" x14ac:dyDescent="0.2">
      <c r="A82" s="19">
        <v>16</v>
      </c>
      <c r="B82" s="143" t="s">
        <v>14</v>
      </c>
      <c r="C82" s="144"/>
      <c r="D82" s="14">
        <f t="shared" si="5"/>
        <v>519397</v>
      </c>
      <c r="E82" s="17">
        <f>IF(F3="1",SUMIF(Data!A:A,'36'!$A$2,Data!EN:EN),0)</f>
        <v>2659414</v>
      </c>
      <c r="F82" s="21">
        <f t="shared" si="4"/>
        <v>5.12</v>
      </c>
    </row>
    <row r="83" spans="1:6" x14ac:dyDescent="0.2">
      <c r="A83" s="19">
        <v>17</v>
      </c>
      <c r="B83" s="143" t="s">
        <v>15</v>
      </c>
      <c r="C83" s="144"/>
      <c r="D83" s="14">
        <f t="shared" si="5"/>
        <v>25904</v>
      </c>
      <c r="E83" s="17">
        <f>IF(F3="1",SUMIF(Data!A:A,'36'!$A$2,Data!EO:EO),0)</f>
        <v>153992</v>
      </c>
      <c r="F83" s="21">
        <f t="shared" si="4"/>
        <v>5.94</v>
      </c>
    </row>
    <row r="84" spans="1:6" x14ac:dyDescent="0.2">
      <c r="A84" s="19">
        <v>18</v>
      </c>
      <c r="B84" s="143" t="s">
        <v>16</v>
      </c>
      <c r="C84" s="144"/>
      <c r="D84" s="14">
        <f t="shared" si="5"/>
        <v>160808</v>
      </c>
      <c r="E84" s="17">
        <f>IF(F3="1",SUMIF(Data!A:A,'36'!$A$2,Data!EP:EP),0)</f>
        <v>879392</v>
      </c>
      <c r="F84" s="21">
        <f t="shared" si="4"/>
        <v>5.47</v>
      </c>
    </row>
    <row r="85" spans="1:6" x14ac:dyDescent="0.2">
      <c r="A85" s="19">
        <v>19</v>
      </c>
      <c r="B85" s="143" t="s">
        <v>17</v>
      </c>
      <c r="C85" s="144"/>
      <c r="D85" s="14">
        <f t="shared" si="5"/>
        <v>908821</v>
      </c>
      <c r="E85" s="17">
        <f>IF(F3="1",SUMIF(Data!A:A,'36'!$A$2,Data!EQ:EQ),0)</f>
        <v>3171416</v>
      </c>
      <c r="F85" s="21">
        <f t="shared" si="4"/>
        <v>3.49</v>
      </c>
    </row>
    <row r="86" spans="1:6" x14ac:dyDescent="0.2">
      <c r="A86" s="19">
        <v>20</v>
      </c>
      <c r="B86" s="143" t="s">
        <v>18</v>
      </c>
      <c r="C86" s="144"/>
      <c r="D86" s="14">
        <f t="shared" si="5"/>
        <v>172032</v>
      </c>
      <c r="E86" s="17">
        <f>IF(F3="1",SUMIF(Data!A:A,'36'!$A$2,Data!ER:ER),0)</f>
        <v>840306</v>
      </c>
      <c r="F86" s="21">
        <f t="shared" si="4"/>
        <v>4.88</v>
      </c>
    </row>
    <row r="87" spans="1:6" ht="14.25" customHeight="1" x14ac:dyDescent="0.2">
      <c r="A87" s="19">
        <v>21</v>
      </c>
      <c r="B87" s="143" t="s">
        <v>461</v>
      </c>
      <c r="C87" s="144"/>
      <c r="D87" s="14">
        <f t="shared" si="5"/>
        <v>78794</v>
      </c>
      <c r="E87" s="17">
        <f>IF(F3="1",SUMIF(Data!A:A,'36'!$A$2,Data!ES:ES),0)</f>
        <v>399288</v>
      </c>
      <c r="F87" s="21">
        <f t="shared" si="4"/>
        <v>5.07</v>
      </c>
    </row>
    <row r="88" spans="1:6" x14ac:dyDescent="0.2">
      <c r="A88" s="19">
        <v>22</v>
      </c>
      <c r="B88" s="143" t="s">
        <v>19</v>
      </c>
      <c r="C88" s="144"/>
      <c r="D88" s="14">
        <f t="shared" si="5"/>
        <v>18831</v>
      </c>
      <c r="E88" s="17">
        <f>IF(F3="1",SUMIF(Data!A:A,'36'!$A$2,Data!ET:ET),0)</f>
        <v>69096</v>
      </c>
      <c r="F88" s="21">
        <f t="shared" si="4"/>
        <v>3.67</v>
      </c>
    </row>
    <row r="89" spans="1:6" x14ac:dyDescent="0.2">
      <c r="A89" s="19">
        <v>23</v>
      </c>
      <c r="B89" s="143" t="s">
        <v>20</v>
      </c>
      <c r="C89" s="144"/>
      <c r="D89" s="14">
        <f t="shared" si="5"/>
        <v>19120</v>
      </c>
      <c r="E89" s="17">
        <f>IF(F3="1",SUMIF(Data!A:A,'36'!$A$2,Data!EU:EU),0)</f>
        <v>1302326</v>
      </c>
      <c r="F89" s="21">
        <f t="shared" si="4"/>
        <v>68.11</v>
      </c>
    </row>
    <row r="90" spans="1:6" x14ac:dyDescent="0.2">
      <c r="A90" s="19">
        <v>24</v>
      </c>
      <c r="B90" s="143" t="s">
        <v>21</v>
      </c>
      <c r="C90" s="144"/>
      <c r="D90" s="14">
        <f t="shared" si="5"/>
        <v>162624</v>
      </c>
      <c r="E90" s="17">
        <f>IF(F3="1",SUMIF(Data!A:A,'36'!$A$2,Data!EV:EV),0)</f>
        <v>423087</v>
      </c>
      <c r="F90" s="21">
        <f t="shared" si="4"/>
        <v>2.6</v>
      </c>
    </row>
    <row r="91" spans="1:6" x14ac:dyDescent="0.2">
      <c r="A91" s="19">
        <v>25</v>
      </c>
      <c r="B91" s="143" t="s">
        <v>22</v>
      </c>
      <c r="C91" s="144"/>
      <c r="D91" s="14">
        <f t="shared" si="5"/>
        <v>1130304</v>
      </c>
      <c r="E91" s="17">
        <f>IF(F3="1",SUMIF(Data!A:A,'36'!$A$2,Data!EW:EW),0)</f>
        <v>2830820</v>
      </c>
      <c r="F91" s="21">
        <f t="shared" si="4"/>
        <v>2.5</v>
      </c>
    </row>
    <row r="92" spans="1:6" x14ac:dyDescent="0.2">
      <c r="A92" s="19">
        <v>26</v>
      </c>
      <c r="B92" s="143" t="s">
        <v>23</v>
      </c>
      <c r="C92" s="144"/>
      <c r="D92" s="14">
        <f t="shared" si="5"/>
        <v>650270</v>
      </c>
      <c r="E92" s="17">
        <f>IF(F3="1",SUMIF(Data!A:A,'36'!$A$2,Data!EX:EX),0)</f>
        <v>2485329</v>
      </c>
      <c r="F92" s="21">
        <f t="shared" si="4"/>
        <v>3.82</v>
      </c>
    </row>
    <row r="93" spans="1:6" x14ac:dyDescent="0.2">
      <c r="A93" s="19">
        <v>28</v>
      </c>
      <c r="B93" s="143" t="s">
        <v>24</v>
      </c>
      <c r="C93" s="144"/>
      <c r="D93" s="14">
        <f t="shared" si="5"/>
        <v>0</v>
      </c>
      <c r="E93" s="17">
        <f>IF(F3="1",SUMIF(Data!A:A,'36'!$A$2,Data!EZ:EZ),0)</f>
        <v>0</v>
      </c>
      <c r="F93" s="21" t="str">
        <f t="shared" si="4"/>
        <v/>
      </c>
    </row>
    <row r="94" spans="1:6" ht="15.75" customHeight="1" thickBot="1" x14ac:dyDescent="0.25">
      <c r="A94" s="22">
        <v>29</v>
      </c>
      <c r="B94" s="147" t="s">
        <v>25</v>
      </c>
      <c r="C94" s="148"/>
      <c r="D94" s="23">
        <f t="shared" si="5"/>
        <v>0</v>
      </c>
      <c r="E94" s="24">
        <f>IF(F3="1",SUMIF(Data!A:A,'36'!$A$2,Data!FA:FA),0)</f>
        <v>0</v>
      </c>
      <c r="F94" s="25" t="str">
        <f t="shared" si="4"/>
        <v/>
      </c>
    </row>
    <row r="95" spans="1:6" x14ac:dyDescent="0.2">
      <c r="B95" s="30" t="s">
        <v>35</v>
      </c>
      <c r="C95" s="30"/>
      <c r="D95" s="59">
        <f>SUM(D67:D94)</f>
        <v>8365557</v>
      </c>
      <c r="E95" s="31">
        <f>SUM(E67:E94)</f>
        <v>25631624</v>
      </c>
      <c r="F95" s="32">
        <f t="shared" si="4"/>
        <v>3.06</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IF(F3="1",SUMIF(Data!A:A,'36'!$A$2,Data!AH:AH),0)</f>
        <v>9404677</v>
      </c>
      <c r="F98" s="20">
        <f>IF(OR(E98=0,E98=0),"",ROUND(E98/$D$105,2))</f>
        <v>1.1200000000000001</v>
      </c>
    </row>
    <row r="99" spans="2:6" x14ac:dyDescent="0.2">
      <c r="B99" s="153" t="s">
        <v>31</v>
      </c>
      <c r="C99" s="154"/>
      <c r="D99" s="36"/>
      <c r="E99" s="17">
        <f>IF(F3="1",SUMIF(Data!A:A,'36'!$A$2,Data!AI:AI),0)</f>
        <v>5088593</v>
      </c>
      <c r="F99" s="21">
        <f t="shared" ref="F99:F104" si="6">IF(OR(E99=0,E99=0),"",ROUND(E99/$D$105,2))</f>
        <v>0.61</v>
      </c>
    </row>
    <row r="100" spans="2:6" x14ac:dyDescent="0.2">
      <c r="B100" s="153" t="s">
        <v>1078</v>
      </c>
      <c r="C100" s="154"/>
      <c r="D100" s="36"/>
      <c r="E100" s="17">
        <f>IF(F3="1",SUMIF(Data!A:A,'36'!$A$2,Data!AJ:AJ),0)</f>
        <v>1787464</v>
      </c>
      <c r="F100" s="21">
        <f t="shared" si="6"/>
        <v>0.21</v>
      </c>
    </row>
    <row r="101" spans="2:6" x14ac:dyDescent="0.2">
      <c r="B101" s="153" t="s">
        <v>1079</v>
      </c>
      <c r="C101" s="154"/>
      <c r="D101" s="36"/>
      <c r="E101" s="17">
        <f>IF(F3="1",SUMIF(Data!A:A,'36'!$A$2,Data!AK:AK),0)</f>
        <v>3287514</v>
      </c>
      <c r="F101" s="21">
        <f t="shared" si="6"/>
        <v>0.39</v>
      </c>
    </row>
    <row r="102" spans="2:6" x14ac:dyDescent="0.2">
      <c r="B102" s="153" t="s">
        <v>1080</v>
      </c>
      <c r="C102" s="154"/>
      <c r="D102" s="36"/>
      <c r="E102" s="17">
        <f>IF(F3="1",SUMIF(Data!A:A,'36'!$A$2,Data!AL:AL),0)</f>
        <v>0</v>
      </c>
      <c r="F102" s="21" t="str">
        <f t="shared" si="6"/>
        <v/>
      </c>
    </row>
    <row r="103" spans="2:6" x14ac:dyDescent="0.2">
      <c r="B103" s="155" t="s">
        <v>34</v>
      </c>
      <c r="C103" s="156"/>
      <c r="D103" s="36"/>
      <c r="E103" s="17">
        <f>IF(F3="1",SUMIF(Data!A:A,'36'!$A$2,Data!AM:AM),0)</f>
        <v>0</v>
      </c>
      <c r="F103" s="21" t="str">
        <f t="shared" si="6"/>
        <v/>
      </c>
    </row>
    <row r="104" spans="2:6" ht="15.75" customHeight="1" thickBot="1" x14ac:dyDescent="0.25">
      <c r="B104" s="149" t="s">
        <v>29</v>
      </c>
      <c r="C104" s="150"/>
      <c r="D104" s="37"/>
      <c r="E104" s="24">
        <f>IF(F3="1",SUMIF(Data!A:A,'36'!$A$2,Data!Q:Q),0)</f>
        <v>3038144</v>
      </c>
      <c r="F104" s="25">
        <f t="shared" si="6"/>
        <v>0.36</v>
      </c>
    </row>
    <row r="105" spans="2:6" x14ac:dyDescent="0.2">
      <c r="B105" s="30" t="s">
        <v>35</v>
      </c>
      <c r="C105" s="30"/>
      <c r="D105" s="34">
        <f>D95</f>
        <v>8365557</v>
      </c>
      <c r="E105" s="31">
        <f>SUM(E98:E104)</f>
        <v>22606392</v>
      </c>
      <c r="F105" s="32">
        <f>IF($D$105=0,"",ROUND(E105/$D$105,2))</f>
        <v>2.7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25631624</v>
      </c>
      <c r="D109" s="15">
        <f>IF(F3="1",SUMIF(Data!$A:$A,$A$2,Data!HJ:HJ),0)</f>
        <v>0</v>
      </c>
      <c r="E109" s="15">
        <f>IF(F3="1",SUMIF(Data!$A:$A,$A$2,Data!IN:IN),0)</f>
        <v>0</v>
      </c>
      <c r="F109" s="47">
        <f>SUM(C109:E109)</f>
        <v>25631624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3038144</v>
      </c>
      <c r="E117" s="52"/>
      <c r="F117" s="49">
        <f>SUM(C117:E117)</f>
        <v>3038144</v>
      </c>
    </row>
    <row r="118" spans="1:6" x14ac:dyDescent="0.2">
      <c r="B118" s="13" t="s">
        <v>35</v>
      </c>
      <c r="C118" s="4">
        <f>SUM(C109:C116)</f>
        <v>25631624</v>
      </c>
      <c r="D118" s="4">
        <f>SUM(D109:D116)</f>
        <v>0</v>
      </c>
      <c r="E118" s="4">
        <f>SUM(E109:E116)</f>
        <v>0</v>
      </c>
      <c r="F118" s="4">
        <f>SUM(F109:F116)</f>
        <v>25631624</v>
      </c>
    </row>
    <row r="119" spans="1:6" ht="15" thickBot="1" x14ac:dyDescent="0.25"/>
    <row r="120" spans="1:6" ht="15" thickBot="1" x14ac:dyDescent="0.25">
      <c r="B120" s="55" t="s">
        <v>934</v>
      </c>
      <c r="C120" s="53"/>
      <c r="D120" s="53"/>
      <c r="E120" s="53">
        <f>IF(F3="1",SUMIF(Data!A:A,'36'!$A$2,Data!AM:AM),0)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398</v>
      </c>
      <c r="B2" s="58" t="str">
        <f>VLOOKUP(A2,Data!A:G,7,0)</f>
        <v>South Plains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27040</v>
      </c>
      <c r="E5" s="15">
        <f>E36+E67+IFERROR($E$105/$D$105*D5,0)</f>
        <v>219644.06252077117</v>
      </c>
      <c r="F5" s="20">
        <f>IF(OR(D5=0,E5=0),"",ROUND(E5/D5,2))</f>
        <v>8.1199999999999992</v>
      </c>
    </row>
    <row r="6" spans="1:6" x14ac:dyDescent="0.2">
      <c r="A6" s="19">
        <v>2</v>
      </c>
      <c r="B6" s="143" t="s">
        <v>1</v>
      </c>
      <c r="C6" s="144"/>
      <c r="D6" s="14">
        <f t="shared" ref="D6:D32" si="0">D37</f>
        <v>43792</v>
      </c>
      <c r="E6" s="17">
        <f t="shared" ref="E6:E32" si="1">E37+E68+IFERROR($E$105/$D$105*D6,0)</f>
        <v>381189.14977476373</v>
      </c>
      <c r="F6" s="21">
        <f t="shared" ref="F6:F33" si="2">IF(OR(D6=0,E6=0),"",ROUND(E6/D6,2))</f>
        <v>8.6999999999999993</v>
      </c>
    </row>
    <row r="7" spans="1:6" ht="14.25" customHeight="1" x14ac:dyDescent="0.2">
      <c r="A7" s="19">
        <v>3</v>
      </c>
      <c r="B7" s="143" t="s">
        <v>2</v>
      </c>
      <c r="C7" s="144"/>
      <c r="D7" s="14">
        <f t="shared" si="0"/>
        <v>337024</v>
      </c>
      <c r="E7" s="17">
        <f t="shared" si="1"/>
        <v>1696182.8289571148</v>
      </c>
      <c r="F7" s="21">
        <f t="shared" si="2"/>
        <v>5.03</v>
      </c>
    </row>
    <row r="8" spans="1:6" ht="14.25" customHeight="1" x14ac:dyDescent="0.2">
      <c r="A8" s="19">
        <v>4</v>
      </c>
      <c r="B8" s="143" t="s">
        <v>3</v>
      </c>
      <c r="C8" s="144"/>
      <c r="D8" s="14">
        <f t="shared" si="0"/>
        <v>143104</v>
      </c>
      <c r="E8" s="17">
        <f t="shared" si="1"/>
        <v>997534.4693406967</v>
      </c>
      <c r="F8" s="21">
        <f t="shared" si="2"/>
        <v>6.97</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73680</v>
      </c>
      <c r="E10" s="17">
        <f t="shared" si="1"/>
        <v>600467.1230225747</v>
      </c>
      <c r="F10" s="21">
        <f t="shared" si="2"/>
        <v>8.15</v>
      </c>
    </row>
    <row r="11" spans="1:6" x14ac:dyDescent="0.2">
      <c r="A11" s="19">
        <v>7</v>
      </c>
      <c r="B11" s="143" t="s">
        <v>6</v>
      </c>
      <c r="C11" s="144"/>
      <c r="D11" s="14">
        <f t="shared" si="0"/>
        <v>187568</v>
      </c>
      <c r="E11" s="17">
        <f t="shared" si="1"/>
        <v>1044719.3733319531</v>
      </c>
      <c r="F11" s="21">
        <f t="shared" si="2"/>
        <v>5.57</v>
      </c>
    </row>
    <row r="12" spans="1:6" x14ac:dyDescent="0.2">
      <c r="A12" s="19">
        <v>8</v>
      </c>
      <c r="B12" s="143" t="s">
        <v>7</v>
      </c>
      <c r="C12" s="144"/>
      <c r="D12" s="14">
        <f t="shared" si="0"/>
        <v>1376</v>
      </c>
      <c r="E12" s="17">
        <f t="shared" si="1"/>
        <v>21196.687205199007</v>
      </c>
      <c r="F12" s="21">
        <f t="shared" si="2"/>
        <v>15.4</v>
      </c>
    </row>
    <row r="13" spans="1:6" x14ac:dyDescent="0.2">
      <c r="A13" s="19">
        <v>9</v>
      </c>
      <c r="B13" s="143" t="s">
        <v>8</v>
      </c>
      <c r="C13" s="144"/>
      <c r="D13" s="14">
        <f t="shared" si="0"/>
        <v>98160</v>
      </c>
      <c r="E13" s="17">
        <f t="shared" si="1"/>
        <v>462774.88376623148</v>
      </c>
      <c r="F13" s="21">
        <f t="shared" si="2"/>
        <v>4.71</v>
      </c>
    </row>
    <row r="14" spans="1:6" x14ac:dyDescent="0.2">
      <c r="A14" s="19">
        <v>10</v>
      </c>
      <c r="B14" s="143" t="s">
        <v>9</v>
      </c>
      <c r="C14" s="144"/>
      <c r="D14" s="14">
        <f t="shared" si="0"/>
        <v>1088</v>
      </c>
      <c r="E14" s="17">
        <f t="shared" si="1"/>
        <v>20622.078255273635</v>
      </c>
      <c r="F14" s="21">
        <f t="shared" si="2"/>
        <v>18.95</v>
      </c>
    </row>
    <row r="15" spans="1:6" x14ac:dyDescent="0.2">
      <c r="A15" s="19">
        <v>11</v>
      </c>
      <c r="B15" s="143" t="s">
        <v>10</v>
      </c>
      <c r="C15" s="144"/>
      <c r="D15" s="14">
        <f t="shared" si="0"/>
        <v>41488</v>
      </c>
      <c r="E15" s="17">
        <f t="shared" si="1"/>
        <v>291871.27817536076</v>
      </c>
      <c r="F15" s="21">
        <f t="shared" si="2"/>
        <v>7.04</v>
      </c>
    </row>
    <row r="16" spans="1:6" ht="14.25" customHeight="1" x14ac:dyDescent="0.2">
      <c r="A16" s="19">
        <v>12</v>
      </c>
      <c r="B16" s="143" t="s">
        <v>11</v>
      </c>
      <c r="C16" s="144"/>
      <c r="D16" s="14">
        <f t="shared" si="0"/>
        <v>417251</v>
      </c>
      <c r="E16" s="17">
        <f t="shared" si="1"/>
        <v>2250990.0589073338</v>
      </c>
      <c r="F16" s="21">
        <f t="shared" si="2"/>
        <v>5.39</v>
      </c>
    </row>
    <row r="17" spans="1:6" x14ac:dyDescent="0.2">
      <c r="A17" s="19">
        <v>13</v>
      </c>
      <c r="B17" s="143" t="s">
        <v>12</v>
      </c>
      <c r="C17" s="144"/>
      <c r="D17" s="14">
        <f t="shared" si="0"/>
        <v>53584</v>
      </c>
      <c r="E17" s="17">
        <f t="shared" si="1"/>
        <v>291368.85407222644</v>
      </c>
      <c r="F17" s="21">
        <f t="shared" si="2"/>
        <v>5.44</v>
      </c>
    </row>
    <row r="18" spans="1:6" ht="14.25" customHeight="1" x14ac:dyDescent="0.2">
      <c r="A18" s="19">
        <v>14</v>
      </c>
      <c r="B18" s="143" t="s">
        <v>464</v>
      </c>
      <c r="C18" s="144"/>
      <c r="D18" s="14">
        <f t="shared" si="0"/>
        <v>59536</v>
      </c>
      <c r="E18" s="17">
        <f t="shared" si="1"/>
        <v>403073.10570401751</v>
      </c>
      <c r="F18" s="21">
        <f t="shared" si="2"/>
        <v>6.77</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190896</v>
      </c>
      <c r="E20" s="17">
        <f t="shared" si="1"/>
        <v>801811.96564220183</v>
      </c>
      <c r="F20" s="21">
        <f t="shared" si="2"/>
        <v>4.2</v>
      </c>
    </row>
    <row r="21" spans="1:6" x14ac:dyDescent="0.2">
      <c r="A21" s="19">
        <v>17</v>
      </c>
      <c r="B21" s="143" t="s">
        <v>15</v>
      </c>
      <c r="C21" s="144"/>
      <c r="D21" s="14">
        <f t="shared" si="0"/>
        <v>17280</v>
      </c>
      <c r="E21" s="17">
        <f t="shared" si="1"/>
        <v>134351.53699552242</v>
      </c>
      <c r="F21" s="21">
        <f t="shared" si="2"/>
        <v>7.77</v>
      </c>
    </row>
    <row r="22" spans="1:6" x14ac:dyDescent="0.2">
      <c r="A22" s="19">
        <v>18</v>
      </c>
      <c r="B22" s="143" t="s">
        <v>16</v>
      </c>
      <c r="C22" s="144"/>
      <c r="D22" s="14">
        <f t="shared" si="0"/>
        <v>190080</v>
      </c>
      <c r="E22" s="17">
        <f t="shared" si="1"/>
        <v>674089.90695074666</v>
      </c>
      <c r="F22" s="21">
        <f t="shared" si="2"/>
        <v>3.55</v>
      </c>
    </row>
    <row r="23" spans="1:6" x14ac:dyDescent="0.2">
      <c r="A23" s="19">
        <v>19</v>
      </c>
      <c r="B23" s="143" t="s">
        <v>17</v>
      </c>
      <c r="C23" s="144"/>
      <c r="D23" s="14">
        <f t="shared" si="0"/>
        <v>417296</v>
      </c>
      <c r="E23" s="17">
        <f t="shared" si="1"/>
        <v>1906514.7790557593</v>
      </c>
      <c r="F23" s="21">
        <f t="shared" si="2"/>
        <v>4.57</v>
      </c>
    </row>
    <row r="24" spans="1:6" x14ac:dyDescent="0.2">
      <c r="A24" s="19">
        <v>20</v>
      </c>
      <c r="B24" s="143" t="s">
        <v>18</v>
      </c>
      <c r="C24" s="144"/>
      <c r="D24" s="14">
        <f t="shared" si="0"/>
        <v>51488</v>
      </c>
      <c r="E24" s="17">
        <f t="shared" si="1"/>
        <v>312785.64449221402</v>
      </c>
      <c r="F24" s="21">
        <f t="shared" si="2"/>
        <v>6.07</v>
      </c>
    </row>
    <row r="25" spans="1:6" ht="14.25" customHeight="1" x14ac:dyDescent="0.2">
      <c r="A25" s="19">
        <v>21</v>
      </c>
      <c r="B25" s="143" t="s">
        <v>461</v>
      </c>
      <c r="C25" s="144"/>
      <c r="D25" s="14">
        <f t="shared" si="0"/>
        <v>18480</v>
      </c>
      <c r="E25" s="17">
        <f t="shared" si="1"/>
        <v>129835.74095354481</v>
      </c>
      <c r="F25" s="21">
        <f t="shared" si="2"/>
        <v>7.03</v>
      </c>
    </row>
    <row r="26" spans="1:6" x14ac:dyDescent="0.2">
      <c r="A26" s="19">
        <v>22</v>
      </c>
      <c r="B26" s="143" t="s">
        <v>19</v>
      </c>
      <c r="C26" s="144"/>
      <c r="D26" s="14">
        <f t="shared" si="0"/>
        <v>31440</v>
      </c>
      <c r="E26" s="17">
        <f t="shared" si="1"/>
        <v>180713.14370018663</v>
      </c>
      <c r="F26" s="21">
        <f t="shared" si="2"/>
        <v>5.75</v>
      </c>
    </row>
    <row r="27" spans="1:6" x14ac:dyDescent="0.2">
      <c r="A27" s="19">
        <v>23</v>
      </c>
      <c r="B27" s="143" t="s">
        <v>20</v>
      </c>
      <c r="C27" s="144"/>
      <c r="D27" s="14">
        <f t="shared" si="0"/>
        <v>81120</v>
      </c>
      <c r="E27" s="17">
        <f t="shared" si="1"/>
        <v>814762.18756231363</v>
      </c>
      <c r="F27" s="21">
        <f t="shared" si="2"/>
        <v>10.039999999999999</v>
      </c>
    </row>
    <row r="28" spans="1:6" x14ac:dyDescent="0.2">
      <c r="A28" s="19">
        <v>24</v>
      </c>
      <c r="B28" s="143" t="s">
        <v>21</v>
      </c>
      <c r="C28" s="144"/>
      <c r="D28" s="14">
        <f t="shared" si="0"/>
        <v>89648</v>
      </c>
      <c r="E28" s="17">
        <f t="shared" si="1"/>
        <v>590713.33035732596</v>
      </c>
      <c r="F28" s="21">
        <f t="shared" si="2"/>
        <v>6.59</v>
      </c>
    </row>
    <row r="29" spans="1:6" x14ac:dyDescent="0.2">
      <c r="A29" s="19">
        <v>25</v>
      </c>
      <c r="B29" s="143" t="s">
        <v>22</v>
      </c>
      <c r="C29" s="144"/>
      <c r="D29" s="14">
        <f t="shared" si="0"/>
        <v>439568</v>
      </c>
      <c r="E29" s="17">
        <f t="shared" si="1"/>
        <v>2264778.2045166548</v>
      </c>
      <c r="F29" s="21">
        <f t="shared" si="2"/>
        <v>5.15</v>
      </c>
    </row>
    <row r="30" spans="1:6" x14ac:dyDescent="0.2">
      <c r="A30" s="19">
        <v>26</v>
      </c>
      <c r="B30" s="143" t="s">
        <v>23</v>
      </c>
      <c r="C30" s="144"/>
      <c r="D30" s="14">
        <f t="shared" si="0"/>
        <v>156464</v>
      </c>
      <c r="E30" s="17">
        <f t="shared" si="1"/>
        <v>1466318.6067400128</v>
      </c>
      <c r="F30" s="21">
        <f t="shared" si="2"/>
        <v>9.3699999999999992</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3168451</v>
      </c>
      <c r="E33" s="31">
        <f>SUM(E5:E32)</f>
        <v>17958309</v>
      </c>
      <c r="F33" s="32">
        <f t="shared" si="2"/>
        <v>5.67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IF(F3="1",SUMIF(Data!A:A,'37'!$A$2,Data!CU:CU),0)</f>
        <v>27040</v>
      </c>
      <c r="E36" s="15">
        <f>IF(F3="1",SUMIF(Data!$A:$A,$A$2,Data!IO:IO),0)</f>
        <v>46533</v>
      </c>
      <c r="F36" s="20">
        <f t="shared" ref="F36:F64" si="3">IF(OR(D36=0,E36=0),"",ROUND(E36/D36,2))</f>
        <v>1.72</v>
      </c>
    </row>
    <row r="37" spans="1:6" x14ac:dyDescent="0.2">
      <c r="A37" s="19">
        <v>2</v>
      </c>
      <c r="B37" s="143" t="s">
        <v>1</v>
      </c>
      <c r="C37" s="144"/>
      <c r="D37" s="14">
        <f>IF(F3="1",SUMIF(Data!A:A,'37'!$A$2,Data!CV:CV),0)</f>
        <v>43792</v>
      </c>
      <c r="E37" s="17">
        <f>IF(F3="1",SUMIF(Data!$A:$A,$A$2,Data!IP:IP),0)</f>
        <v>92604</v>
      </c>
      <c r="F37" s="21">
        <f t="shared" si="3"/>
        <v>2.11</v>
      </c>
    </row>
    <row r="38" spans="1:6" ht="14.25" customHeight="1" x14ac:dyDescent="0.2">
      <c r="A38" s="19">
        <v>3</v>
      </c>
      <c r="B38" s="143" t="s">
        <v>2</v>
      </c>
      <c r="C38" s="144"/>
      <c r="D38" s="14">
        <f>IF(F3="1",SUMIF(Data!A:A,'37'!$A$2,Data!CW:CW),0)</f>
        <v>337024</v>
      </c>
      <c r="E38" s="17">
        <f>IF($F$3="1",SUMIF(Data!$A:$A,$A$2,Data!IQ:IQ),0)</f>
        <v>176513</v>
      </c>
      <c r="F38" s="21">
        <f t="shared" si="3"/>
        <v>0.52</v>
      </c>
    </row>
    <row r="39" spans="1:6" ht="14.25" customHeight="1" x14ac:dyDescent="0.2">
      <c r="A39" s="19">
        <v>4</v>
      </c>
      <c r="B39" s="143" t="s">
        <v>3</v>
      </c>
      <c r="C39" s="144"/>
      <c r="D39" s="14">
        <f>IF(F3="1",SUMIF(Data!A:A,'37'!$A$2,Data!CX:CX),0)</f>
        <v>143104</v>
      </c>
      <c r="E39" s="17">
        <f>IF($F$3="1",SUMIF(Data!$A:$A,$A$2,Data!IR:IR),0)</f>
        <v>114058</v>
      </c>
      <c r="F39" s="21">
        <f t="shared" si="3"/>
        <v>0.8</v>
      </c>
    </row>
    <row r="40" spans="1:6" x14ac:dyDescent="0.2">
      <c r="A40" s="19">
        <v>5</v>
      </c>
      <c r="B40" s="143" t="s">
        <v>4</v>
      </c>
      <c r="C40" s="144"/>
      <c r="D40" s="14">
        <f>IF(F3="1",SUMIF(Data!A:A,'37'!$A$2,Data!CY:CY),0)</f>
        <v>0</v>
      </c>
      <c r="E40" s="17">
        <f>IF($F$3="1",SUMIF(Data!$A:$A,$A$2,Data!IS:IS),0)</f>
        <v>0</v>
      </c>
      <c r="F40" s="21" t="str">
        <f t="shared" si="3"/>
        <v/>
      </c>
    </row>
    <row r="41" spans="1:6" x14ac:dyDescent="0.2">
      <c r="A41" s="19">
        <v>6</v>
      </c>
      <c r="B41" s="143" t="s">
        <v>5</v>
      </c>
      <c r="C41" s="144"/>
      <c r="D41" s="14">
        <f>IF(F3="1",SUMIF(Data!A:A,'37'!$A$2,Data!CZ:CZ),0)</f>
        <v>73680</v>
      </c>
      <c r="E41" s="17">
        <f>IF($F$3="1",SUMIF(Data!$A:$A,$A$2,Data!IT:IT),0)</f>
        <v>114715</v>
      </c>
      <c r="F41" s="21">
        <f t="shared" si="3"/>
        <v>1.56</v>
      </c>
    </row>
    <row r="42" spans="1:6" x14ac:dyDescent="0.2">
      <c r="A42" s="19">
        <v>7</v>
      </c>
      <c r="B42" s="143" t="s">
        <v>6</v>
      </c>
      <c r="C42" s="144"/>
      <c r="D42" s="14">
        <f>IF(F3="1",SUMIF(Data!A:A,'37'!$A$2,Data!DA:DA),0)</f>
        <v>187568</v>
      </c>
      <c r="E42" s="17">
        <f>IF($F$3="1",SUMIF(Data!$A:$A,$A$2,Data!IU:IU),0)</f>
        <v>141181</v>
      </c>
      <c r="F42" s="21">
        <f t="shared" si="3"/>
        <v>0.75</v>
      </c>
    </row>
    <row r="43" spans="1:6" x14ac:dyDescent="0.2">
      <c r="A43" s="19">
        <v>8</v>
      </c>
      <c r="B43" s="143" t="s">
        <v>7</v>
      </c>
      <c r="C43" s="144"/>
      <c r="D43" s="14">
        <f>IF(F3="1",SUMIF(Data!A:A,'37'!$A$2,Data!DB:DB),0)</f>
        <v>1376</v>
      </c>
      <c r="E43" s="17">
        <f>IF($F$3="1",SUMIF(Data!$A:$A,$A$2,Data!IV:IV),0)</f>
        <v>634</v>
      </c>
      <c r="F43" s="21">
        <f t="shared" si="3"/>
        <v>0.46</v>
      </c>
    </row>
    <row r="44" spans="1:6" x14ac:dyDescent="0.2">
      <c r="A44" s="19">
        <v>9</v>
      </c>
      <c r="B44" s="143" t="s">
        <v>8</v>
      </c>
      <c r="C44" s="144"/>
      <c r="D44" s="14">
        <f>IF(F3="1",SUMIF(Data!A:A,'37'!$A$2,Data!DC:DC),0)</f>
        <v>98160</v>
      </c>
      <c r="E44" s="17">
        <f>IF($F$3="1",SUMIF(Data!$A:$A,$A$2,Data!IW:IW),0)</f>
        <v>29854</v>
      </c>
      <c r="F44" s="21">
        <f t="shared" si="3"/>
        <v>0.3</v>
      </c>
    </row>
    <row r="45" spans="1:6" x14ac:dyDescent="0.2">
      <c r="A45" s="19">
        <v>10</v>
      </c>
      <c r="B45" s="143" t="s">
        <v>9</v>
      </c>
      <c r="C45" s="144"/>
      <c r="D45" s="14">
        <f>IF(F3="1",SUMIF(Data!A:A,'37'!$A$2,Data!DD:DD),0)</f>
        <v>1088</v>
      </c>
      <c r="E45" s="17">
        <f>IF($F$3="1",SUMIF(Data!$A:$A,$A$2,Data!IX:IX),0)</f>
        <v>7480</v>
      </c>
      <c r="F45" s="21">
        <f t="shared" si="3"/>
        <v>6.88</v>
      </c>
    </row>
    <row r="46" spans="1:6" x14ac:dyDescent="0.2">
      <c r="A46" s="19">
        <v>11</v>
      </c>
      <c r="B46" s="143" t="s">
        <v>10</v>
      </c>
      <c r="C46" s="144"/>
      <c r="D46" s="14">
        <f>IF(F3="1",SUMIF(Data!A:A,'37'!$A$2,Data!DE:DE),0)</f>
        <v>41488</v>
      </c>
      <c r="E46" s="17">
        <f>IF($F$3="1",SUMIF(Data!$A:$A,$A$2,Data!IY:IY),0)</f>
        <v>44771</v>
      </c>
      <c r="F46" s="21">
        <f t="shared" si="3"/>
        <v>1.08</v>
      </c>
    </row>
    <row r="47" spans="1:6" ht="14.25" customHeight="1" x14ac:dyDescent="0.2">
      <c r="A47" s="19">
        <v>12</v>
      </c>
      <c r="B47" s="143" t="s">
        <v>11</v>
      </c>
      <c r="C47" s="144"/>
      <c r="D47" s="14">
        <f>IF(F3="1",SUMIF(Data!A:A,'37'!$A$2,Data!DF:DF),0)</f>
        <v>417251</v>
      </c>
      <c r="E47" s="17">
        <f>IF($F$3="1",SUMIF(Data!$A:$A,$A$2,Data!IZ:IZ),0)</f>
        <v>51625</v>
      </c>
      <c r="F47" s="21">
        <f t="shared" si="3"/>
        <v>0.12</v>
      </c>
    </row>
    <row r="48" spans="1:6" x14ac:dyDescent="0.2">
      <c r="A48" s="19">
        <v>13</v>
      </c>
      <c r="B48" s="143" t="s">
        <v>12</v>
      </c>
      <c r="C48" s="144"/>
      <c r="D48" s="14">
        <f>IF(F3="1",SUMIF(Data!A:A,'37'!$A$2,Data!DG:DG),0)</f>
        <v>53584</v>
      </c>
      <c r="E48" s="17">
        <f>IF($F$3="1",SUMIF(Data!$A:$A,$A$2,Data!JA:JA),0)</f>
        <v>7885</v>
      </c>
      <c r="F48" s="21">
        <f t="shared" si="3"/>
        <v>0.15</v>
      </c>
    </row>
    <row r="49" spans="1:6" ht="14.25" customHeight="1" x14ac:dyDescent="0.2">
      <c r="A49" s="19">
        <v>14</v>
      </c>
      <c r="B49" s="143" t="s">
        <v>464</v>
      </c>
      <c r="C49" s="144"/>
      <c r="D49" s="14">
        <f>IF(F3="1",SUMIF(Data!A:A,'37'!$A$2,Data!DH:DH),0)</f>
        <v>59536</v>
      </c>
      <c r="E49" s="17">
        <f>IF($F$3="1",SUMIF(Data!$A:$A,$A$2,Data!JB:JB),0)</f>
        <v>41168</v>
      </c>
      <c r="F49" s="21">
        <f t="shared" si="3"/>
        <v>0.69</v>
      </c>
    </row>
    <row r="50" spans="1:6" x14ac:dyDescent="0.2">
      <c r="A50" s="19">
        <v>15</v>
      </c>
      <c r="B50" s="143" t="s">
        <v>13</v>
      </c>
      <c r="C50" s="144"/>
      <c r="D50" s="14">
        <f>IF(F3="1",SUMIF(Data!A:A,'37'!$A$2,Data!DI:DI),0)</f>
        <v>0</v>
      </c>
      <c r="E50" s="17">
        <f>IF($F$3="1",SUMIF(Data!$A:$A,$A$2,Data!JC:JC),0)</f>
        <v>0</v>
      </c>
      <c r="F50" s="21" t="str">
        <f t="shared" si="3"/>
        <v/>
      </c>
    </row>
    <row r="51" spans="1:6" x14ac:dyDescent="0.2">
      <c r="A51" s="19">
        <v>16</v>
      </c>
      <c r="B51" s="143" t="s">
        <v>14</v>
      </c>
      <c r="C51" s="144"/>
      <c r="D51" s="14">
        <f>IF(F3="1",SUMIF(Data!A:A,'37'!$A$2,Data!DJ:DJ),0)</f>
        <v>190896</v>
      </c>
      <c r="E51" s="17">
        <f>IF($F$3="1",SUMIF(Data!$A:$A,$A$2,Data!JD:JD),0)</f>
        <v>60206</v>
      </c>
      <c r="F51" s="21">
        <f t="shared" si="3"/>
        <v>0.32</v>
      </c>
    </row>
    <row r="52" spans="1:6" x14ac:dyDescent="0.2">
      <c r="A52" s="19">
        <v>17</v>
      </c>
      <c r="B52" s="143" t="s">
        <v>15</v>
      </c>
      <c r="C52" s="144"/>
      <c r="D52" s="14">
        <f>IF(F3="1",SUMIF(Data!A:A,'37'!$A$2,Data!DK:DK),0)</f>
        <v>17280</v>
      </c>
      <c r="E52" s="17">
        <f>IF($F$3="1",SUMIF(Data!$A:$A,$A$2,Data!JE:JE),0)</f>
        <v>13469</v>
      </c>
      <c r="F52" s="21">
        <f t="shared" si="3"/>
        <v>0.78</v>
      </c>
    </row>
    <row r="53" spans="1:6" x14ac:dyDescent="0.2">
      <c r="A53" s="19">
        <v>18</v>
      </c>
      <c r="B53" s="143" t="s">
        <v>16</v>
      </c>
      <c r="C53" s="144"/>
      <c r="D53" s="14">
        <f>IF(F3="1",SUMIF(Data!A:A,'37'!$A$2,Data!DL:DL),0)</f>
        <v>190080</v>
      </c>
      <c r="E53" s="17">
        <f>IF($F$3="1",SUMIF(Data!$A:$A,$A$2,Data!JF:JF),0)</f>
        <v>66012</v>
      </c>
      <c r="F53" s="21">
        <f t="shared" si="3"/>
        <v>0.35</v>
      </c>
    </row>
    <row r="54" spans="1:6" x14ac:dyDescent="0.2">
      <c r="A54" s="19">
        <v>19</v>
      </c>
      <c r="B54" s="143" t="s">
        <v>17</v>
      </c>
      <c r="C54" s="144"/>
      <c r="D54" s="14">
        <f>IF(F3="1",SUMIF(Data!A:A,'37'!$A$2,Data!DM:DM),0)</f>
        <v>417296</v>
      </c>
      <c r="E54" s="17">
        <f>IF($F$3="1",SUMIF(Data!$A:$A,$A$2,Data!JG:JG),0)</f>
        <v>42174</v>
      </c>
      <c r="F54" s="21">
        <f t="shared" si="3"/>
        <v>0.1</v>
      </c>
    </row>
    <row r="55" spans="1:6" x14ac:dyDescent="0.2">
      <c r="A55" s="19">
        <v>20</v>
      </c>
      <c r="B55" s="143" t="s">
        <v>18</v>
      </c>
      <c r="C55" s="144"/>
      <c r="D55" s="14">
        <f>IF(F3="1",SUMIF(Data!A:A,'37'!$A$2,Data!DN:DN),0)</f>
        <v>51488</v>
      </c>
      <c r="E55" s="17">
        <f>IF($F$3="1",SUMIF(Data!$A:$A,$A$2,Data!JH:JH),0)</f>
        <v>43242</v>
      </c>
      <c r="F55" s="21">
        <f t="shared" si="3"/>
        <v>0.84</v>
      </c>
    </row>
    <row r="56" spans="1:6" ht="14.25" customHeight="1" x14ac:dyDescent="0.2">
      <c r="A56" s="19">
        <v>21</v>
      </c>
      <c r="B56" s="143" t="s">
        <v>461</v>
      </c>
      <c r="C56" s="144"/>
      <c r="D56" s="14">
        <f>IF(F3="1",SUMIF(Data!A:A,'37'!$A$2,Data!DO:DO),0)</f>
        <v>18480</v>
      </c>
      <c r="E56" s="17">
        <f>IF($F$3="1",SUMIF(Data!$A:$A,$A$2,Data!JI:JI),0)</f>
        <v>28890</v>
      </c>
      <c r="F56" s="21">
        <f t="shared" si="3"/>
        <v>1.56</v>
      </c>
    </row>
    <row r="57" spans="1:6" x14ac:dyDescent="0.2">
      <c r="A57" s="19">
        <v>22</v>
      </c>
      <c r="B57" s="143" t="s">
        <v>19</v>
      </c>
      <c r="C57" s="144"/>
      <c r="D57" s="14">
        <f>IF(F3="1",SUMIF(Data!A:A,'37'!$A$2,Data!DP:DP),0)</f>
        <v>31440</v>
      </c>
      <c r="E57" s="17">
        <f>IF($F$3="1",SUMIF(Data!$A:$A,$A$2,Data!JJ:JJ),0)</f>
        <v>34354</v>
      </c>
      <c r="F57" s="21">
        <f t="shared" si="3"/>
        <v>1.0900000000000001</v>
      </c>
    </row>
    <row r="58" spans="1:6" x14ac:dyDescent="0.2">
      <c r="A58" s="19">
        <v>23</v>
      </c>
      <c r="B58" s="143" t="s">
        <v>20</v>
      </c>
      <c r="C58" s="144"/>
      <c r="D58" s="14">
        <f>IF(F3="1",SUMIF(Data!A:A,'37'!$A$2,Data!DQ:DQ),0)</f>
        <v>81120</v>
      </c>
      <c r="E58" s="17">
        <f>IF($F$3="1",SUMIF(Data!$A:$A,$A$2,Data!JK:JK),0)</f>
        <v>45142</v>
      </c>
      <c r="F58" s="21">
        <f t="shared" si="3"/>
        <v>0.56000000000000005</v>
      </c>
    </row>
    <row r="59" spans="1:6" x14ac:dyDescent="0.2">
      <c r="A59" s="19">
        <v>24</v>
      </c>
      <c r="B59" s="143" t="s">
        <v>21</v>
      </c>
      <c r="C59" s="144"/>
      <c r="D59" s="14">
        <f>IF(F3="1",SUMIF(Data!A:A,'37'!$A$2,Data!DR:DR),0)</f>
        <v>89648</v>
      </c>
      <c r="E59" s="17">
        <f>IF($F$3="1",SUMIF(Data!$A:$A,$A$2,Data!JL:JL),0)</f>
        <v>42905</v>
      </c>
      <c r="F59" s="21">
        <f t="shared" si="3"/>
        <v>0.48</v>
      </c>
    </row>
    <row r="60" spans="1:6" x14ac:dyDescent="0.2">
      <c r="A60" s="19">
        <v>25</v>
      </c>
      <c r="B60" s="143" t="s">
        <v>22</v>
      </c>
      <c r="C60" s="144"/>
      <c r="D60" s="14">
        <f>IF(F3="1",SUMIF(Data!A:A,'37'!$A$2,Data!DS:DS),0)</f>
        <v>439568</v>
      </c>
      <c r="E60" s="17">
        <f>IF($F$3="1",SUMIF(Data!$A:$A,$A$2,Data!JM:JM),0)</f>
        <v>64975</v>
      </c>
      <c r="F60" s="21">
        <f t="shared" si="3"/>
        <v>0.15</v>
      </c>
    </row>
    <row r="61" spans="1:6" x14ac:dyDescent="0.2">
      <c r="A61" s="19">
        <v>26</v>
      </c>
      <c r="B61" s="143" t="s">
        <v>23</v>
      </c>
      <c r="C61" s="144"/>
      <c r="D61" s="14">
        <f>IF(F3="1",SUMIF(Data!A:A,'37'!$A$2,Data!DT:DT),0)</f>
        <v>156464</v>
      </c>
      <c r="E61" s="17">
        <f>IF($F$3="1",SUMIF(Data!$A:$A,$A$2,Data!JN:JN),0)</f>
        <v>85617</v>
      </c>
      <c r="F61" s="21">
        <f t="shared" si="3"/>
        <v>0.55000000000000004</v>
      </c>
    </row>
    <row r="62" spans="1:6" x14ac:dyDescent="0.2">
      <c r="A62" s="19">
        <v>28</v>
      </c>
      <c r="B62" s="143" t="s">
        <v>24</v>
      </c>
      <c r="C62" s="144"/>
      <c r="D62" s="14">
        <f>IF(F3="1",SUMIF(Data!A:A,'37'!$A$2,Data!DV:DV),0)</f>
        <v>0</v>
      </c>
      <c r="E62" s="17">
        <f>IF($F$3="1",SUMIF(Data!$A:$A,$A$2,Data!JP:JP),0)</f>
        <v>0</v>
      </c>
      <c r="F62" s="21" t="str">
        <f t="shared" si="3"/>
        <v/>
      </c>
    </row>
    <row r="63" spans="1:6" ht="15.75" customHeight="1" thickBot="1" x14ac:dyDescent="0.25">
      <c r="A63" s="22">
        <v>29</v>
      </c>
      <c r="B63" s="147" t="s">
        <v>25</v>
      </c>
      <c r="C63" s="148"/>
      <c r="D63" s="23">
        <f>IF(F3="1",SUMIF(Data!A:A,'37'!$A$2,Data!DW:DW),0)</f>
        <v>0</v>
      </c>
      <c r="E63" s="24">
        <f>IF($F$3="1",SUMIF(Data!$A:$A,$A$2,Data!JQ:JQ),0)</f>
        <v>0</v>
      </c>
      <c r="F63" s="25" t="str">
        <f t="shared" si="3"/>
        <v/>
      </c>
    </row>
    <row r="64" spans="1:6" x14ac:dyDescent="0.2">
      <c r="B64" s="30" t="s">
        <v>35</v>
      </c>
      <c r="C64" s="30"/>
      <c r="D64" s="59">
        <f>SUM(D36:D63)</f>
        <v>3168451</v>
      </c>
      <c r="E64" s="31">
        <f>SUM(E36:E63)</f>
        <v>1396007</v>
      </c>
      <c r="F64" s="32">
        <f t="shared" si="3"/>
        <v>0.44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27040</v>
      </c>
      <c r="E67" s="15">
        <f>IF(F3="1",SUMIF(Data!A:A,'37'!$A$2,Data!DY:DY),0)</f>
        <v>109585</v>
      </c>
      <c r="F67" s="20">
        <f t="shared" ref="F67:F95" si="4">IF(OR(D67=0,E67=0),"",ROUND(E67/D67,2))</f>
        <v>4.05</v>
      </c>
    </row>
    <row r="68" spans="1:6" x14ac:dyDescent="0.2">
      <c r="A68" s="19">
        <v>2</v>
      </c>
      <c r="B68" s="143" t="s">
        <v>1</v>
      </c>
      <c r="C68" s="144"/>
      <c r="D68" s="14">
        <f t="shared" ref="D68:D94" si="5">D37</f>
        <v>43792</v>
      </c>
      <c r="E68" s="17">
        <f>IF(F3="1",SUMIF(Data!A:A,'37'!$A$2,Data!DZ:DZ),0)</f>
        <v>185703</v>
      </c>
      <c r="F68" s="21">
        <f t="shared" si="4"/>
        <v>4.24</v>
      </c>
    </row>
    <row r="69" spans="1:6" ht="14.25" customHeight="1" x14ac:dyDescent="0.2">
      <c r="A69" s="19">
        <v>3</v>
      </c>
      <c r="B69" s="143" t="s">
        <v>2</v>
      </c>
      <c r="C69" s="144"/>
      <c r="D69" s="14">
        <f t="shared" si="5"/>
        <v>337024</v>
      </c>
      <c r="E69" s="17">
        <f>IF(F3="1",SUMIF(Data!A:A,'37'!$A$2,Data!EA:EA),0)</f>
        <v>727887</v>
      </c>
      <c r="F69" s="21">
        <f t="shared" si="4"/>
        <v>2.16</v>
      </c>
    </row>
    <row r="70" spans="1:6" ht="14.25" customHeight="1" x14ac:dyDescent="0.2">
      <c r="A70" s="19">
        <v>4</v>
      </c>
      <c r="B70" s="143" t="s">
        <v>3</v>
      </c>
      <c r="C70" s="144"/>
      <c r="D70" s="14">
        <f t="shared" si="5"/>
        <v>143104</v>
      </c>
      <c r="E70" s="17">
        <f>IF(F3="1",SUMIF(Data!A:A,'37'!$A$2,Data!EB:EB),0)</f>
        <v>547277</v>
      </c>
      <c r="F70" s="21">
        <f t="shared" si="4"/>
        <v>3.82</v>
      </c>
    </row>
    <row r="71" spans="1:6" x14ac:dyDescent="0.2">
      <c r="A71" s="19">
        <v>5</v>
      </c>
      <c r="B71" s="143" t="s">
        <v>4</v>
      </c>
      <c r="C71" s="144"/>
      <c r="D71" s="14">
        <f t="shared" si="5"/>
        <v>0</v>
      </c>
      <c r="E71" s="17">
        <f>IF(F3="1",SUMIF(Data!A:A,'37'!$A$2,Data!EC:EC),0)</f>
        <v>0</v>
      </c>
      <c r="F71" s="21" t="str">
        <f t="shared" si="4"/>
        <v/>
      </c>
    </row>
    <row r="72" spans="1:6" x14ac:dyDescent="0.2">
      <c r="A72" s="19">
        <v>6</v>
      </c>
      <c r="B72" s="143" t="s">
        <v>5</v>
      </c>
      <c r="C72" s="144"/>
      <c r="D72" s="14">
        <f t="shared" si="5"/>
        <v>73680</v>
      </c>
      <c r="E72" s="17">
        <f>IF(F3="1",SUMIF(Data!A:A,'37'!$A$2,Data!ED:ED),0)</f>
        <v>312653</v>
      </c>
      <c r="F72" s="21">
        <f t="shared" si="4"/>
        <v>4.24</v>
      </c>
    </row>
    <row r="73" spans="1:6" x14ac:dyDescent="0.2">
      <c r="A73" s="19">
        <v>7</v>
      </c>
      <c r="B73" s="143" t="s">
        <v>6</v>
      </c>
      <c r="C73" s="144"/>
      <c r="D73" s="14">
        <f t="shared" si="5"/>
        <v>187568</v>
      </c>
      <c r="E73" s="17">
        <f>IF(F3="1",SUMIF(Data!A:A,'37'!$A$2,Data!EE:EE),0)</f>
        <v>462878</v>
      </c>
      <c r="F73" s="21">
        <f t="shared" si="4"/>
        <v>2.4700000000000002</v>
      </c>
    </row>
    <row r="74" spans="1:6" x14ac:dyDescent="0.2">
      <c r="A74" s="19">
        <v>8</v>
      </c>
      <c r="B74" s="143" t="s">
        <v>7</v>
      </c>
      <c r="C74" s="144"/>
      <c r="D74" s="14">
        <f t="shared" si="5"/>
        <v>1376</v>
      </c>
      <c r="E74" s="17">
        <f>IF(F3="1",SUMIF(Data!A:A,'37'!$A$2,Data!EF:EF),0)</f>
        <v>17330</v>
      </c>
      <c r="F74" s="21">
        <f t="shared" si="4"/>
        <v>12.59</v>
      </c>
    </row>
    <row r="75" spans="1:6" x14ac:dyDescent="0.2">
      <c r="A75" s="19">
        <v>9</v>
      </c>
      <c r="B75" s="143" t="s">
        <v>8</v>
      </c>
      <c r="C75" s="144"/>
      <c r="D75" s="14">
        <f t="shared" si="5"/>
        <v>98160</v>
      </c>
      <c r="E75" s="17">
        <f>IF(F3="1",SUMIF(Data!A:A,'37'!$A$2,Data!EG:EG),0)</f>
        <v>202310</v>
      </c>
      <c r="F75" s="21">
        <f t="shared" si="4"/>
        <v>2.06</v>
      </c>
    </row>
    <row r="76" spans="1:6" x14ac:dyDescent="0.2">
      <c r="A76" s="19">
        <v>10</v>
      </c>
      <c r="B76" s="143" t="s">
        <v>9</v>
      </c>
      <c r="C76" s="144"/>
      <c r="D76" s="14">
        <f t="shared" si="5"/>
        <v>1088</v>
      </c>
      <c r="E76" s="17">
        <f>IF(F3="1",SUMIF(Data!A:A,'37'!$A$2,Data!EH:EH),0)</f>
        <v>10586</v>
      </c>
      <c r="F76" s="21">
        <f t="shared" si="4"/>
        <v>9.73</v>
      </c>
    </row>
    <row r="77" spans="1:6" x14ac:dyDescent="0.2">
      <c r="A77" s="19">
        <v>11</v>
      </c>
      <c r="B77" s="143" t="s">
        <v>10</v>
      </c>
      <c r="C77" s="144"/>
      <c r="D77" s="14">
        <f t="shared" si="5"/>
        <v>41488</v>
      </c>
      <c r="E77" s="17">
        <f>IF(F3="1",SUMIF(Data!A:A,'37'!$A$2,Data!EI:EI),0)</f>
        <v>149631</v>
      </c>
      <c r="F77" s="21">
        <f t="shared" si="4"/>
        <v>3.61</v>
      </c>
    </row>
    <row r="78" spans="1:6" ht="14.25" customHeight="1" x14ac:dyDescent="0.2">
      <c r="A78" s="19">
        <v>12</v>
      </c>
      <c r="B78" s="143" t="s">
        <v>11</v>
      </c>
      <c r="C78" s="144"/>
      <c r="D78" s="14">
        <f t="shared" si="5"/>
        <v>417251</v>
      </c>
      <c r="E78" s="17">
        <f>IF(F3="1",SUMIF(Data!A:A,'37'!$A$2,Data!EJ:EJ),0)</f>
        <v>1219102</v>
      </c>
      <c r="F78" s="21">
        <f t="shared" si="4"/>
        <v>2.92</v>
      </c>
    </row>
    <row r="79" spans="1:6" x14ac:dyDescent="0.2">
      <c r="A79" s="19">
        <v>13</v>
      </c>
      <c r="B79" s="143" t="s">
        <v>12</v>
      </c>
      <c r="C79" s="144"/>
      <c r="D79" s="14">
        <f t="shared" si="5"/>
        <v>53584</v>
      </c>
      <c r="E79" s="17">
        <f>IF(F3="1",SUMIF(Data!A:A,'37'!$A$2,Data!EK:EK),0)</f>
        <v>157597</v>
      </c>
      <c r="F79" s="21">
        <f t="shared" si="4"/>
        <v>2.94</v>
      </c>
    </row>
    <row r="80" spans="1:6" ht="14.25" customHeight="1" x14ac:dyDescent="0.2">
      <c r="A80" s="19">
        <v>14</v>
      </c>
      <c r="B80" s="143" t="s">
        <v>464</v>
      </c>
      <c r="C80" s="144"/>
      <c r="D80" s="14">
        <f t="shared" si="5"/>
        <v>59536</v>
      </c>
      <c r="E80" s="17">
        <f>IF(F3="1",SUMIF(Data!A:A,'37'!$A$2,Data!EL:EL),0)</f>
        <v>222035</v>
      </c>
      <c r="F80" s="21">
        <f t="shared" si="4"/>
        <v>3.73</v>
      </c>
    </row>
    <row r="81" spans="1:6" x14ac:dyDescent="0.2">
      <c r="A81" s="19">
        <v>15</v>
      </c>
      <c r="B81" s="143" t="s">
        <v>13</v>
      </c>
      <c r="C81" s="144"/>
      <c r="D81" s="14">
        <f t="shared" si="5"/>
        <v>0</v>
      </c>
      <c r="E81" s="17">
        <f>IF(F3="1",SUMIF(Data!A:A,'37'!$A$2,Data!EM:EM),0)</f>
        <v>0</v>
      </c>
      <c r="F81" s="21" t="str">
        <f t="shared" si="4"/>
        <v/>
      </c>
    </row>
    <row r="82" spans="1:6" x14ac:dyDescent="0.2">
      <c r="A82" s="19">
        <v>16</v>
      </c>
      <c r="B82" s="143" t="s">
        <v>14</v>
      </c>
      <c r="C82" s="144"/>
      <c r="D82" s="14">
        <f t="shared" si="5"/>
        <v>190896</v>
      </c>
      <c r="E82" s="17">
        <f>IF(F3="1",SUMIF(Data!A:A,'37'!$A$2,Data!EN:EN),0)</f>
        <v>293127</v>
      </c>
      <c r="F82" s="21">
        <f t="shared" si="4"/>
        <v>1.54</v>
      </c>
    </row>
    <row r="83" spans="1:6" x14ac:dyDescent="0.2">
      <c r="A83" s="19">
        <v>17</v>
      </c>
      <c r="B83" s="143" t="s">
        <v>15</v>
      </c>
      <c r="C83" s="144"/>
      <c r="D83" s="14">
        <f t="shared" si="5"/>
        <v>17280</v>
      </c>
      <c r="E83" s="17">
        <f>IF(F3="1",SUMIF(Data!A:A,'37'!$A$2,Data!EO:EO),0)</f>
        <v>80286</v>
      </c>
      <c r="F83" s="21">
        <f t="shared" si="4"/>
        <v>4.6500000000000004</v>
      </c>
    </row>
    <row r="84" spans="1:6" x14ac:dyDescent="0.2">
      <c r="A84" s="19">
        <v>18</v>
      </c>
      <c r="B84" s="143" t="s">
        <v>16</v>
      </c>
      <c r="C84" s="144"/>
      <c r="D84" s="14">
        <f t="shared" si="5"/>
        <v>190080</v>
      </c>
      <c r="E84" s="17">
        <f>IF(F3="1",SUMIF(Data!A:A,'37'!$A$2,Data!EP:EP),0)</f>
        <v>161516</v>
      </c>
      <c r="F84" s="21">
        <f t="shared" si="4"/>
        <v>0.85</v>
      </c>
    </row>
    <row r="85" spans="1:6" x14ac:dyDescent="0.2">
      <c r="A85" s="19">
        <v>19</v>
      </c>
      <c r="B85" s="143" t="s">
        <v>17</v>
      </c>
      <c r="C85" s="144"/>
      <c r="D85" s="14">
        <f t="shared" si="5"/>
        <v>417296</v>
      </c>
      <c r="E85" s="17">
        <f>IF(F3="1",SUMIF(Data!A:A,'37'!$A$2,Data!EQ:EQ),0)</f>
        <v>883972</v>
      </c>
      <c r="F85" s="21">
        <f t="shared" si="4"/>
        <v>2.12</v>
      </c>
    </row>
    <row r="86" spans="1:6" x14ac:dyDescent="0.2">
      <c r="A86" s="19">
        <v>20</v>
      </c>
      <c r="B86" s="143" t="s">
        <v>18</v>
      </c>
      <c r="C86" s="144"/>
      <c r="D86" s="14">
        <f t="shared" si="5"/>
        <v>51488</v>
      </c>
      <c r="E86" s="17">
        <f>IF(F3="1",SUMIF(Data!A:A,'37'!$A$2,Data!ER:ER),0)</f>
        <v>148581</v>
      </c>
      <c r="F86" s="21">
        <f t="shared" si="4"/>
        <v>2.89</v>
      </c>
    </row>
    <row r="87" spans="1:6" ht="14.25" customHeight="1" x14ac:dyDescent="0.2">
      <c r="A87" s="19">
        <v>21</v>
      </c>
      <c r="B87" s="143" t="s">
        <v>461</v>
      </c>
      <c r="C87" s="144"/>
      <c r="D87" s="14">
        <f t="shared" si="5"/>
        <v>18480</v>
      </c>
      <c r="E87" s="17">
        <f>IF(F3="1",SUMIF(Data!A:A,'37'!$A$2,Data!ES:ES),0)</f>
        <v>57530</v>
      </c>
      <c r="F87" s="21">
        <f t="shared" si="4"/>
        <v>3.11</v>
      </c>
    </row>
    <row r="88" spans="1:6" x14ac:dyDescent="0.2">
      <c r="A88" s="19">
        <v>22</v>
      </c>
      <c r="B88" s="143" t="s">
        <v>19</v>
      </c>
      <c r="C88" s="144"/>
      <c r="D88" s="14">
        <f t="shared" si="5"/>
        <v>31440</v>
      </c>
      <c r="E88" s="17">
        <f>IF(F3="1",SUMIF(Data!A:A,'37'!$A$2,Data!ET:ET),0)</f>
        <v>72496</v>
      </c>
      <c r="F88" s="21">
        <f t="shared" si="4"/>
        <v>2.31</v>
      </c>
    </row>
    <row r="89" spans="1:6" x14ac:dyDescent="0.2">
      <c r="A89" s="19">
        <v>23</v>
      </c>
      <c r="B89" s="143" t="s">
        <v>20</v>
      </c>
      <c r="C89" s="144"/>
      <c r="D89" s="14">
        <f t="shared" si="5"/>
        <v>81120</v>
      </c>
      <c r="E89" s="17">
        <f>IF(F3="1",SUMIF(Data!A:A,'37'!$A$2,Data!EU:EU),0)</f>
        <v>579042</v>
      </c>
      <c r="F89" s="21">
        <f t="shared" si="4"/>
        <v>7.14</v>
      </c>
    </row>
    <row r="90" spans="1:6" x14ac:dyDescent="0.2">
      <c r="A90" s="19">
        <v>24</v>
      </c>
      <c r="B90" s="143" t="s">
        <v>21</v>
      </c>
      <c r="C90" s="144"/>
      <c r="D90" s="14">
        <f t="shared" si="5"/>
        <v>89648</v>
      </c>
      <c r="E90" s="17">
        <f>IF(F3="1",SUMIF(Data!A:A,'37'!$A$2,Data!EV:EV),0)</f>
        <v>337195</v>
      </c>
      <c r="F90" s="21">
        <f t="shared" si="4"/>
        <v>3.76</v>
      </c>
    </row>
    <row r="91" spans="1:6" x14ac:dyDescent="0.2">
      <c r="A91" s="19">
        <v>25</v>
      </c>
      <c r="B91" s="143" t="s">
        <v>22</v>
      </c>
      <c r="C91" s="144"/>
      <c r="D91" s="14">
        <f t="shared" si="5"/>
        <v>439568</v>
      </c>
      <c r="E91" s="17">
        <f>IF(F3="1",SUMIF(Data!A:A,'37'!$A$2,Data!EW:EW),0)</f>
        <v>1167110</v>
      </c>
      <c r="F91" s="21">
        <f t="shared" si="4"/>
        <v>2.66</v>
      </c>
    </row>
    <row r="92" spans="1:6" x14ac:dyDescent="0.2">
      <c r="A92" s="19">
        <v>26</v>
      </c>
      <c r="B92" s="143" t="s">
        <v>23</v>
      </c>
      <c r="C92" s="144"/>
      <c r="D92" s="14">
        <f t="shared" si="5"/>
        <v>156464</v>
      </c>
      <c r="E92" s="17">
        <f>IF(F3="1",SUMIF(Data!A:A,'37'!$A$2,Data!EX:EX),0)</f>
        <v>1013115</v>
      </c>
      <c r="F92" s="21">
        <f t="shared" si="4"/>
        <v>6.48</v>
      </c>
    </row>
    <row r="93" spans="1:6" x14ac:dyDescent="0.2">
      <c r="A93" s="19">
        <v>28</v>
      </c>
      <c r="B93" s="143" t="s">
        <v>24</v>
      </c>
      <c r="C93" s="144"/>
      <c r="D93" s="14">
        <f t="shared" si="5"/>
        <v>0</v>
      </c>
      <c r="E93" s="17">
        <f>IF(F3="1",SUMIF(Data!A:A,'37'!$A$2,Data!EZ:EZ),0)</f>
        <v>0</v>
      </c>
      <c r="F93" s="21" t="str">
        <f t="shared" si="4"/>
        <v/>
      </c>
    </row>
    <row r="94" spans="1:6" ht="15.75" customHeight="1" thickBot="1" x14ac:dyDescent="0.25">
      <c r="A94" s="22">
        <v>29</v>
      </c>
      <c r="B94" s="147" t="s">
        <v>25</v>
      </c>
      <c r="C94" s="148"/>
      <c r="D94" s="23">
        <f t="shared" si="5"/>
        <v>0</v>
      </c>
      <c r="E94" s="24">
        <f>IF(F3="1",SUMIF(Data!A:A,'37'!$A$2,Data!FA:FA),0)</f>
        <v>0</v>
      </c>
      <c r="F94" s="25" t="str">
        <f t="shared" si="4"/>
        <v/>
      </c>
    </row>
    <row r="95" spans="1:6" x14ac:dyDescent="0.2">
      <c r="B95" s="30" t="s">
        <v>35</v>
      </c>
      <c r="C95" s="30"/>
      <c r="D95" s="59">
        <f>SUM(D67:D94)</f>
        <v>3168451</v>
      </c>
      <c r="E95" s="31">
        <f>SUM(E67:E94)</f>
        <v>9118544</v>
      </c>
      <c r="F95" s="32">
        <f t="shared" si="4"/>
        <v>2.88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IF(F3="1",SUMIF(Data!A:A,'37'!$A$2,Data!AH:AH),0)</f>
        <v>2542050</v>
      </c>
      <c r="F98" s="20">
        <f>IF(OR(E98=0,E98=0),"",ROUND(E98/$D$105,2))</f>
        <v>0.8</v>
      </c>
    </row>
    <row r="99" spans="2:6" x14ac:dyDescent="0.2">
      <c r="B99" s="153" t="s">
        <v>31</v>
      </c>
      <c r="C99" s="154"/>
      <c r="D99" s="36"/>
      <c r="E99" s="17">
        <f>IF(F3="1",SUMIF(Data!A:A,'37'!$A$2,Data!AI:AI),0)</f>
        <v>1408540</v>
      </c>
      <c r="F99" s="21">
        <f t="shared" ref="F99:F104" si="6">IF(OR(E99=0,E99=0),"",ROUND(E99/$D$105,2))</f>
        <v>0.44</v>
      </c>
    </row>
    <row r="100" spans="2:6" x14ac:dyDescent="0.2">
      <c r="B100" s="153" t="s">
        <v>1078</v>
      </c>
      <c r="C100" s="154"/>
      <c r="D100" s="36"/>
      <c r="E100" s="17">
        <f>IF(F3="1",SUMIF(Data!A:A,'37'!$A$2,Data!AJ:AJ),0)</f>
        <v>530944</v>
      </c>
      <c r="F100" s="21">
        <f t="shared" si="6"/>
        <v>0.17</v>
      </c>
    </row>
    <row r="101" spans="2:6" x14ac:dyDescent="0.2">
      <c r="B101" s="153" t="s">
        <v>1079</v>
      </c>
      <c r="C101" s="154"/>
      <c r="D101" s="36"/>
      <c r="E101" s="17">
        <f>IF(F3="1",SUMIF(Data!A:A,'37'!$A$2,Data!AK:AK),0)</f>
        <v>240066</v>
      </c>
      <c r="F101" s="21">
        <f t="shared" si="6"/>
        <v>0.08</v>
      </c>
    </row>
    <row r="102" spans="2:6" x14ac:dyDescent="0.2">
      <c r="B102" s="153" t="s">
        <v>1080</v>
      </c>
      <c r="C102" s="154"/>
      <c r="D102" s="36"/>
      <c r="E102" s="17">
        <f>IF(F3="1",SUMIF(Data!A:A,'37'!$A$2,Data!AL:AL),0)</f>
        <v>275786</v>
      </c>
      <c r="F102" s="21">
        <f t="shared" si="6"/>
        <v>0.09</v>
      </c>
    </row>
    <row r="103" spans="2:6" x14ac:dyDescent="0.2">
      <c r="B103" s="155" t="s">
        <v>34</v>
      </c>
      <c r="C103" s="156"/>
      <c r="D103" s="36"/>
      <c r="E103" s="17">
        <f>IF(F3="1",SUMIF(Data!A:A,'37'!$A$2,Data!AM:AM),0)</f>
        <v>0</v>
      </c>
      <c r="F103" s="21" t="str">
        <f t="shared" si="6"/>
        <v/>
      </c>
    </row>
    <row r="104" spans="2:6" ht="15.75" customHeight="1" thickBot="1" x14ac:dyDescent="0.25">
      <c r="B104" s="149" t="s">
        <v>29</v>
      </c>
      <c r="C104" s="150"/>
      <c r="D104" s="37"/>
      <c r="E104" s="24">
        <f>IF(F3="1",SUMIF(Data!A:A,'37'!$A$2,Data!Q:Q),0)</f>
        <v>2446372</v>
      </c>
      <c r="F104" s="25">
        <f t="shared" si="6"/>
        <v>0.77</v>
      </c>
    </row>
    <row r="105" spans="2:6" x14ac:dyDescent="0.2">
      <c r="B105" s="30" t="s">
        <v>35</v>
      </c>
      <c r="C105" s="30"/>
      <c r="D105" s="34">
        <f>D95</f>
        <v>3168451</v>
      </c>
      <c r="E105" s="31">
        <f>SUM(E98:E104)</f>
        <v>7443758</v>
      </c>
      <c r="F105" s="32">
        <f>IF($D$105=0,"",ROUND(E105/$D$105,2))</f>
        <v>2.35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9118544</v>
      </c>
      <c r="D109" s="15">
        <f>IF(F3="1",SUMIF(Data!$A:$A,$A$2,Data!HJ:HJ),0)</f>
        <v>0</v>
      </c>
      <c r="E109" s="15">
        <f>IF(F3="1",SUMIF(Data!$A:$A,$A$2,Data!IN:IN),0)</f>
        <v>0</v>
      </c>
      <c r="F109" s="47">
        <f>SUM(C109:E109)</f>
        <v>9118544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275786</v>
      </c>
      <c r="F116" s="48">
        <f t="shared" si="7"/>
        <v>275786</v>
      </c>
    </row>
    <row r="117" spans="1:6" ht="15" thickBot="1" x14ac:dyDescent="0.25">
      <c r="B117" s="43" t="s">
        <v>933</v>
      </c>
      <c r="C117" s="52"/>
      <c r="D117" s="52">
        <f>IF(F3="1",SUMIF(Data!A:A,$A$2,Data!Q:Q),0)</f>
        <v>2446372</v>
      </c>
      <c r="E117" s="52"/>
      <c r="F117" s="49">
        <f>SUM(C117:E117)</f>
        <v>2446372</v>
      </c>
    </row>
    <row r="118" spans="1:6" x14ac:dyDescent="0.2">
      <c r="B118" s="13" t="s">
        <v>35</v>
      </c>
      <c r="C118" s="4">
        <f>SUM(C109:C116)</f>
        <v>9118544</v>
      </c>
      <c r="D118" s="4">
        <f>SUM(D109:D116)</f>
        <v>0</v>
      </c>
      <c r="E118" s="4">
        <f>SUM(E109:E116)</f>
        <v>275786</v>
      </c>
      <c r="F118" s="4">
        <f>SUM(F109:F116)</f>
        <v>9394330</v>
      </c>
    </row>
    <row r="119" spans="1:6" ht="15" thickBot="1" x14ac:dyDescent="0.25"/>
    <row r="120" spans="1:6" ht="15" thickBot="1" x14ac:dyDescent="0.25">
      <c r="B120" s="55" t="s">
        <v>934</v>
      </c>
      <c r="C120" s="53"/>
      <c r="D120" s="53"/>
      <c r="E120" s="53">
        <f>IF(F3="1",SUMIF(Data!A:A,'37'!$A$2,Data!AM:AM),0)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1072</v>
      </c>
      <c r="B2" s="58" t="str">
        <f>VLOOKUP(A2,Data!A:G,7,0)</f>
        <v>South Texas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31728</v>
      </c>
      <c r="E6" s="17">
        <f t="shared" ref="E6:E32" si="1">E37+E68+IFERROR($E$105/$D$105*D6,0)</f>
        <v>340382.86446149379</v>
      </c>
      <c r="F6" s="21">
        <f t="shared" ref="F6:F33" si="2">IF(OR(D6=0,E6=0),"",ROUND(E6/D6,2))</f>
        <v>10.73</v>
      </c>
    </row>
    <row r="7" spans="1:6" ht="14.25" customHeight="1" x14ac:dyDescent="0.2">
      <c r="A7" s="19">
        <v>3</v>
      </c>
      <c r="B7" s="143" t="s">
        <v>2</v>
      </c>
      <c r="C7" s="144"/>
      <c r="D7" s="14">
        <f t="shared" si="0"/>
        <v>688976</v>
      </c>
      <c r="E7" s="17">
        <f t="shared" si="1"/>
        <v>3266871.4480970162</v>
      </c>
      <c r="F7" s="21">
        <f t="shared" si="2"/>
        <v>4.74</v>
      </c>
    </row>
    <row r="8" spans="1:6" ht="14.25" customHeight="1" x14ac:dyDescent="0.2">
      <c r="A8" s="19">
        <v>4</v>
      </c>
      <c r="B8" s="143" t="s">
        <v>3</v>
      </c>
      <c r="C8" s="144"/>
      <c r="D8" s="14">
        <f t="shared" si="0"/>
        <v>60000</v>
      </c>
      <c r="E8" s="17">
        <f t="shared" si="1"/>
        <v>744349.86320252228</v>
      </c>
      <c r="F8" s="21">
        <f t="shared" si="2"/>
        <v>12.41</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443184</v>
      </c>
      <c r="E11" s="17">
        <f t="shared" si="1"/>
        <v>2239420.5999591104</v>
      </c>
      <c r="F11" s="21">
        <f t="shared" si="2"/>
        <v>5.05</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24048</v>
      </c>
      <c r="E13" s="17">
        <f t="shared" si="1"/>
        <v>163629.27397157092</v>
      </c>
      <c r="F13" s="21">
        <f t="shared" si="2"/>
        <v>6.8</v>
      </c>
    </row>
    <row r="14" spans="1:6" x14ac:dyDescent="0.2">
      <c r="A14" s="19">
        <v>10</v>
      </c>
      <c r="B14" s="143" t="s">
        <v>9</v>
      </c>
      <c r="C14" s="144"/>
      <c r="D14" s="14">
        <f t="shared" si="0"/>
        <v>1984</v>
      </c>
      <c r="E14" s="17">
        <f t="shared" si="1"/>
        <v>13505.052543230069</v>
      </c>
      <c r="F14" s="21">
        <f t="shared" si="2"/>
        <v>6.81</v>
      </c>
    </row>
    <row r="15" spans="1:6" x14ac:dyDescent="0.2">
      <c r="A15" s="19">
        <v>11</v>
      </c>
      <c r="B15" s="143" t="s">
        <v>10</v>
      </c>
      <c r="C15" s="144"/>
      <c r="D15" s="14">
        <f t="shared" si="0"/>
        <v>19904</v>
      </c>
      <c r="E15" s="17">
        <f t="shared" si="1"/>
        <v>453720.43035305006</v>
      </c>
      <c r="F15" s="21">
        <f t="shared" si="2"/>
        <v>22.8</v>
      </c>
    </row>
    <row r="16" spans="1:6" ht="14.25" customHeight="1" x14ac:dyDescent="0.2">
      <c r="A16" s="19">
        <v>12</v>
      </c>
      <c r="B16" s="143" t="s">
        <v>11</v>
      </c>
      <c r="C16" s="144"/>
      <c r="D16" s="14">
        <f t="shared" si="0"/>
        <v>800464</v>
      </c>
      <c r="E16" s="17">
        <f t="shared" si="1"/>
        <v>3864011.8200423964</v>
      </c>
      <c r="F16" s="21">
        <f t="shared" si="2"/>
        <v>4.83</v>
      </c>
    </row>
    <row r="17" spans="1:6" x14ac:dyDescent="0.2">
      <c r="A17" s="19">
        <v>13</v>
      </c>
      <c r="B17" s="143" t="s">
        <v>12</v>
      </c>
      <c r="C17" s="144"/>
      <c r="D17" s="14">
        <f t="shared" si="0"/>
        <v>118240</v>
      </c>
      <c r="E17" s="17">
        <f t="shared" si="1"/>
        <v>557372.34108443721</v>
      </c>
      <c r="F17" s="21">
        <f t="shared" si="2"/>
        <v>4.71</v>
      </c>
    </row>
    <row r="18" spans="1:6" ht="14.25" customHeight="1" x14ac:dyDescent="0.2">
      <c r="A18" s="19">
        <v>14</v>
      </c>
      <c r="B18" s="143" t="s">
        <v>464</v>
      </c>
      <c r="C18" s="144"/>
      <c r="D18" s="14">
        <f t="shared" si="0"/>
        <v>15200</v>
      </c>
      <c r="E18" s="17">
        <f t="shared" si="1"/>
        <v>252351.41867797231</v>
      </c>
      <c r="F18" s="21">
        <f t="shared" si="2"/>
        <v>16.600000000000001</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103248</v>
      </c>
      <c r="E20" s="17">
        <f t="shared" si="1"/>
        <v>1596915.6133989003</v>
      </c>
      <c r="F20" s="21">
        <f t="shared" si="2"/>
        <v>15.47</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149232</v>
      </c>
      <c r="E22" s="17">
        <f t="shared" si="1"/>
        <v>811596.29895731341</v>
      </c>
      <c r="F22" s="21">
        <f t="shared" si="2"/>
        <v>5.44</v>
      </c>
    </row>
    <row r="23" spans="1:6" x14ac:dyDescent="0.2">
      <c r="A23" s="19">
        <v>19</v>
      </c>
      <c r="B23" s="143" t="s">
        <v>17</v>
      </c>
      <c r="C23" s="144"/>
      <c r="D23" s="14">
        <f t="shared" si="0"/>
        <v>646816</v>
      </c>
      <c r="E23" s="17">
        <f t="shared" si="1"/>
        <v>2838870.0815533772</v>
      </c>
      <c r="F23" s="21">
        <f t="shared" si="2"/>
        <v>4.3899999999999997</v>
      </c>
    </row>
    <row r="24" spans="1:6" x14ac:dyDescent="0.2">
      <c r="A24" s="19">
        <v>20</v>
      </c>
      <c r="B24" s="143" t="s">
        <v>18</v>
      </c>
      <c r="C24" s="144"/>
      <c r="D24" s="14">
        <f t="shared" si="0"/>
        <v>55552</v>
      </c>
      <c r="E24" s="17">
        <f t="shared" si="1"/>
        <v>379300.4712104419</v>
      </c>
      <c r="F24" s="21">
        <f t="shared" si="2"/>
        <v>6.83</v>
      </c>
    </row>
    <row r="25" spans="1:6" ht="14.25" customHeight="1" x14ac:dyDescent="0.2">
      <c r="A25" s="19">
        <v>21</v>
      </c>
      <c r="B25" s="143" t="s">
        <v>461</v>
      </c>
      <c r="C25" s="144"/>
      <c r="D25" s="14">
        <f t="shared" si="0"/>
        <v>84544</v>
      </c>
      <c r="E25" s="17">
        <f t="shared" si="1"/>
        <v>316972.40030990069</v>
      </c>
      <c r="F25" s="21">
        <f t="shared" si="2"/>
        <v>3.75</v>
      </c>
    </row>
    <row r="26" spans="1:6" x14ac:dyDescent="0.2">
      <c r="A26" s="19">
        <v>22</v>
      </c>
      <c r="B26" s="143" t="s">
        <v>19</v>
      </c>
      <c r="C26" s="144"/>
      <c r="D26" s="14">
        <f t="shared" si="0"/>
        <v>92240</v>
      </c>
      <c r="E26" s="17">
        <f t="shared" si="1"/>
        <v>516732.96703001088</v>
      </c>
      <c r="F26" s="21">
        <f t="shared" si="2"/>
        <v>5.6</v>
      </c>
    </row>
    <row r="27" spans="1:6" x14ac:dyDescent="0.2">
      <c r="A27" s="19">
        <v>23</v>
      </c>
      <c r="B27" s="143" t="s">
        <v>20</v>
      </c>
      <c r="C27" s="144"/>
      <c r="D27" s="14">
        <f t="shared" si="0"/>
        <v>76240</v>
      </c>
      <c r="E27" s="17">
        <f t="shared" si="1"/>
        <v>461182.73684267164</v>
      </c>
      <c r="F27" s="21">
        <f t="shared" si="2"/>
        <v>6.05</v>
      </c>
    </row>
    <row r="28" spans="1:6" x14ac:dyDescent="0.2">
      <c r="A28" s="19">
        <v>24</v>
      </c>
      <c r="B28" s="143" t="s">
        <v>21</v>
      </c>
      <c r="C28" s="144"/>
      <c r="D28" s="14">
        <f t="shared" si="0"/>
        <v>351168</v>
      </c>
      <c r="E28" s="17">
        <f t="shared" si="1"/>
        <v>971951.30015172227</v>
      </c>
      <c r="F28" s="21">
        <f t="shared" si="2"/>
        <v>2.77</v>
      </c>
    </row>
    <row r="29" spans="1:6" x14ac:dyDescent="0.2">
      <c r="A29" s="19">
        <v>25</v>
      </c>
      <c r="B29" s="143" t="s">
        <v>22</v>
      </c>
      <c r="C29" s="144"/>
      <c r="D29" s="14">
        <f t="shared" si="0"/>
        <v>568512</v>
      </c>
      <c r="E29" s="17">
        <f t="shared" si="1"/>
        <v>2534672.4110165387</v>
      </c>
      <c r="F29" s="21">
        <f t="shared" si="2"/>
        <v>4.46</v>
      </c>
    </row>
    <row r="30" spans="1:6" x14ac:dyDescent="0.2">
      <c r="A30" s="19">
        <v>26</v>
      </c>
      <c r="B30" s="143" t="s">
        <v>23</v>
      </c>
      <c r="C30" s="144"/>
      <c r="D30" s="14">
        <f t="shared" si="0"/>
        <v>129504</v>
      </c>
      <c r="E30" s="17">
        <f t="shared" si="1"/>
        <v>563692.60713632405</v>
      </c>
      <c r="F30" s="21">
        <f t="shared" si="2"/>
        <v>4.3499999999999996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4460784</v>
      </c>
      <c r="E33" s="31">
        <f>SUM(E5:E32)</f>
        <v>22887502.000000004</v>
      </c>
      <c r="F33" s="32">
        <f t="shared" si="2"/>
        <v>5.13</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IF(F3="1",SUMIF(Data!A:A,'38'!$A$2,Data!CU:CU),0)</f>
        <v>0</v>
      </c>
      <c r="E36" s="15">
        <f>IF(F3="1",SUMIF(Data!$A:$A,$A$2,Data!IO:IO),0)</f>
        <v>0</v>
      </c>
      <c r="F36" s="20" t="str">
        <f t="shared" ref="F36:F64" si="3">IF(OR(D36=0,E36=0),"",ROUND(E36/D36,2))</f>
        <v/>
      </c>
    </row>
    <row r="37" spans="1:6" x14ac:dyDescent="0.2">
      <c r="A37" s="19">
        <v>2</v>
      </c>
      <c r="B37" s="143" t="s">
        <v>1</v>
      </c>
      <c r="C37" s="144"/>
      <c r="D37" s="14">
        <f>IF(F3="1",SUMIF(Data!A:A,'38'!$A$2,Data!CV:CV),0)</f>
        <v>31728</v>
      </c>
      <c r="E37" s="17">
        <f>IF(F3="1",SUMIF(Data!$A:$A,$A$2,Data!IP:IP),0)</f>
        <v>75722</v>
      </c>
      <c r="F37" s="21">
        <f t="shared" si="3"/>
        <v>2.39</v>
      </c>
    </row>
    <row r="38" spans="1:6" ht="14.25" customHeight="1" x14ac:dyDescent="0.2">
      <c r="A38" s="19">
        <v>3</v>
      </c>
      <c r="B38" s="143" t="s">
        <v>2</v>
      </c>
      <c r="C38" s="144"/>
      <c r="D38" s="14">
        <f>IF(F3="1",SUMIF(Data!A:A,'38'!$A$2,Data!CW:CW),0)</f>
        <v>688976</v>
      </c>
      <c r="E38" s="17">
        <f>IF($F$3="1",SUMIF(Data!$A:$A,$A$2,Data!IQ:IQ),0)</f>
        <v>202665</v>
      </c>
      <c r="F38" s="21">
        <f t="shared" si="3"/>
        <v>0.28999999999999998</v>
      </c>
    </row>
    <row r="39" spans="1:6" ht="14.25" customHeight="1" x14ac:dyDescent="0.2">
      <c r="A39" s="19">
        <v>4</v>
      </c>
      <c r="B39" s="143" t="s">
        <v>3</v>
      </c>
      <c r="C39" s="144"/>
      <c r="D39" s="14">
        <f>IF(F3="1",SUMIF(Data!A:A,'38'!$A$2,Data!CX:CX),0)</f>
        <v>60000</v>
      </c>
      <c r="E39" s="17">
        <f>IF($F$3="1",SUMIF(Data!$A:$A,$A$2,Data!IR:IR),0)</f>
        <v>81321</v>
      </c>
      <c r="F39" s="21">
        <f t="shared" si="3"/>
        <v>1.36</v>
      </c>
    </row>
    <row r="40" spans="1:6" x14ac:dyDescent="0.2">
      <c r="A40" s="19">
        <v>5</v>
      </c>
      <c r="B40" s="143" t="s">
        <v>4</v>
      </c>
      <c r="C40" s="144"/>
      <c r="D40" s="14">
        <f>IF(F3="1",SUMIF(Data!A:A,'38'!$A$2,Data!CY:CY),0)</f>
        <v>0</v>
      </c>
      <c r="E40" s="17">
        <f>IF($F$3="1",SUMIF(Data!$A:$A,$A$2,Data!IS:IS),0)</f>
        <v>0</v>
      </c>
      <c r="F40" s="21" t="str">
        <f t="shared" si="3"/>
        <v/>
      </c>
    </row>
    <row r="41" spans="1:6" x14ac:dyDescent="0.2">
      <c r="A41" s="19">
        <v>6</v>
      </c>
      <c r="B41" s="143" t="s">
        <v>5</v>
      </c>
      <c r="C41" s="144"/>
      <c r="D41" s="14">
        <f>IF(F3="1",SUMIF(Data!A:A,'38'!$A$2,Data!CZ:CZ),0)</f>
        <v>0</v>
      </c>
      <c r="E41" s="17">
        <f>IF($F$3="1",SUMIF(Data!$A:$A,$A$2,Data!IT:IT),0)</f>
        <v>0</v>
      </c>
      <c r="F41" s="21" t="str">
        <f t="shared" si="3"/>
        <v/>
      </c>
    </row>
    <row r="42" spans="1:6" x14ac:dyDescent="0.2">
      <c r="A42" s="19">
        <v>7</v>
      </c>
      <c r="B42" s="143" t="s">
        <v>6</v>
      </c>
      <c r="C42" s="144"/>
      <c r="D42" s="14">
        <f>IF(F3="1",SUMIF(Data!A:A,'38'!$A$2,Data!DA:DA),0)</f>
        <v>443184</v>
      </c>
      <c r="E42" s="17">
        <f>IF($F$3="1",SUMIF(Data!$A:$A,$A$2,Data!IU:IU),0)</f>
        <v>198932</v>
      </c>
      <c r="F42" s="21">
        <f t="shared" si="3"/>
        <v>0.45</v>
      </c>
    </row>
    <row r="43" spans="1:6" x14ac:dyDescent="0.2">
      <c r="A43" s="19">
        <v>8</v>
      </c>
      <c r="B43" s="143" t="s">
        <v>7</v>
      </c>
      <c r="C43" s="144"/>
      <c r="D43" s="14">
        <f>IF(F3="1",SUMIF(Data!A:A,'38'!$A$2,Data!DB:DB),0)</f>
        <v>0</v>
      </c>
      <c r="E43" s="17">
        <f>IF($F$3="1",SUMIF(Data!$A:$A,$A$2,Data!IV:IV),0)</f>
        <v>0</v>
      </c>
      <c r="F43" s="21" t="str">
        <f t="shared" si="3"/>
        <v/>
      </c>
    </row>
    <row r="44" spans="1:6" x14ac:dyDescent="0.2">
      <c r="A44" s="19">
        <v>9</v>
      </c>
      <c r="B44" s="143" t="s">
        <v>8</v>
      </c>
      <c r="C44" s="144"/>
      <c r="D44" s="14">
        <f>IF(F3="1",SUMIF(Data!A:A,'38'!$A$2,Data!DC:DC),0)</f>
        <v>24048</v>
      </c>
      <c r="E44" s="17">
        <f>IF($F$3="1",SUMIF(Data!$A:$A,$A$2,Data!IW:IW),0)</f>
        <v>12616</v>
      </c>
      <c r="F44" s="21">
        <f t="shared" si="3"/>
        <v>0.52</v>
      </c>
    </row>
    <row r="45" spans="1:6" x14ac:dyDescent="0.2">
      <c r="A45" s="19">
        <v>10</v>
      </c>
      <c r="B45" s="143" t="s">
        <v>9</v>
      </c>
      <c r="C45" s="144"/>
      <c r="D45" s="14">
        <f>IF(F3="1",SUMIF(Data!A:A,'38'!$A$2,Data!DD:DD),0)</f>
        <v>1984</v>
      </c>
      <c r="E45" s="17">
        <f>IF($F$3="1",SUMIF(Data!$A:$A,$A$2,Data!IX:IX),0)</f>
        <v>779</v>
      </c>
      <c r="F45" s="21">
        <f t="shared" si="3"/>
        <v>0.39</v>
      </c>
    </row>
    <row r="46" spans="1:6" x14ac:dyDescent="0.2">
      <c r="A46" s="19">
        <v>11</v>
      </c>
      <c r="B46" s="143" t="s">
        <v>10</v>
      </c>
      <c r="C46" s="144"/>
      <c r="D46" s="14">
        <f>IF(F3="1",SUMIF(Data!A:A,'38'!$A$2,Data!DE:DE),0)</f>
        <v>19904</v>
      </c>
      <c r="E46" s="17">
        <f>IF($F$3="1",SUMIF(Data!$A:$A,$A$2,Data!IY:IY),0)</f>
        <v>149147</v>
      </c>
      <c r="F46" s="21">
        <f t="shared" si="3"/>
        <v>7.49</v>
      </c>
    </row>
    <row r="47" spans="1:6" ht="14.25" customHeight="1" x14ac:dyDescent="0.2">
      <c r="A47" s="19">
        <v>12</v>
      </c>
      <c r="B47" s="143" t="s">
        <v>11</v>
      </c>
      <c r="C47" s="144"/>
      <c r="D47" s="14">
        <f>IF(F3="1",SUMIF(Data!A:A,'38'!$A$2,Data!DF:DF),0)</f>
        <v>800464</v>
      </c>
      <c r="E47" s="17">
        <f>IF($F$3="1",SUMIF(Data!$A:$A,$A$2,Data!IZ:IZ),0)</f>
        <v>78255</v>
      </c>
      <c r="F47" s="21">
        <f t="shared" si="3"/>
        <v>0.1</v>
      </c>
    </row>
    <row r="48" spans="1:6" x14ac:dyDescent="0.2">
      <c r="A48" s="19">
        <v>13</v>
      </c>
      <c r="B48" s="143" t="s">
        <v>12</v>
      </c>
      <c r="C48" s="144"/>
      <c r="D48" s="14">
        <f>IF(F3="1",SUMIF(Data!A:A,'38'!$A$2,Data!DG:DG),0)</f>
        <v>118240</v>
      </c>
      <c r="E48" s="17">
        <f>IF($F$3="1",SUMIF(Data!$A:$A,$A$2,Data!JA:JA),0)</f>
        <v>8917</v>
      </c>
      <c r="F48" s="21">
        <f t="shared" si="3"/>
        <v>0.08</v>
      </c>
    </row>
    <row r="49" spans="1:6" ht="14.25" customHeight="1" x14ac:dyDescent="0.2">
      <c r="A49" s="19">
        <v>14</v>
      </c>
      <c r="B49" s="143" t="s">
        <v>464</v>
      </c>
      <c r="C49" s="144"/>
      <c r="D49" s="14">
        <f>IF(F3="1",SUMIF(Data!A:A,'38'!$A$2,Data!DH:DH),0)</f>
        <v>15200</v>
      </c>
      <c r="E49" s="17">
        <f>IF($F$3="1",SUMIF(Data!$A:$A,$A$2,Data!JB:JB),0)</f>
        <v>26203</v>
      </c>
      <c r="F49" s="21">
        <f t="shared" si="3"/>
        <v>1.72</v>
      </c>
    </row>
    <row r="50" spans="1:6" x14ac:dyDescent="0.2">
      <c r="A50" s="19">
        <v>15</v>
      </c>
      <c r="B50" s="143" t="s">
        <v>13</v>
      </c>
      <c r="C50" s="144"/>
      <c r="D50" s="14">
        <f>IF(F3="1",SUMIF(Data!A:A,'38'!$A$2,Data!DI:DI),0)</f>
        <v>0</v>
      </c>
      <c r="E50" s="17">
        <f>IF($F$3="1",SUMIF(Data!$A:$A,$A$2,Data!JC:JC),0)</f>
        <v>0</v>
      </c>
      <c r="F50" s="21" t="str">
        <f t="shared" si="3"/>
        <v/>
      </c>
    </row>
    <row r="51" spans="1:6" x14ac:dyDescent="0.2">
      <c r="A51" s="19">
        <v>16</v>
      </c>
      <c r="B51" s="143" t="s">
        <v>14</v>
      </c>
      <c r="C51" s="144"/>
      <c r="D51" s="14">
        <f>IF(F3="1",SUMIF(Data!A:A,'38'!$A$2,Data!DJ:DJ),0)</f>
        <v>103248</v>
      </c>
      <c r="E51" s="17">
        <f>IF($F$3="1",SUMIF(Data!$A:$A,$A$2,Data!JD:JD),0)</f>
        <v>231855</v>
      </c>
      <c r="F51" s="21">
        <f t="shared" si="3"/>
        <v>2.25</v>
      </c>
    </row>
    <row r="52" spans="1:6" x14ac:dyDescent="0.2">
      <c r="A52" s="19">
        <v>17</v>
      </c>
      <c r="B52" s="143" t="s">
        <v>15</v>
      </c>
      <c r="C52" s="144"/>
      <c r="D52" s="14">
        <f>IF(F3="1",SUMIF(Data!A:A,'38'!$A$2,Data!DK:DK),0)</f>
        <v>0</v>
      </c>
      <c r="E52" s="17">
        <f>IF($F$3="1",SUMIF(Data!$A:$A,$A$2,Data!JE:JE),0)</f>
        <v>0</v>
      </c>
      <c r="F52" s="21" t="str">
        <f t="shared" si="3"/>
        <v/>
      </c>
    </row>
    <row r="53" spans="1:6" x14ac:dyDescent="0.2">
      <c r="A53" s="19">
        <v>18</v>
      </c>
      <c r="B53" s="143" t="s">
        <v>16</v>
      </c>
      <c r="C53" s="144"/>
      <c r="D53" s="14">
        <f>IF(F3="1",SUMIF(Data!A:A,'38'!$A$2,Data!DL:DL),0)</f>
        <v>149232</v>
      </c>
      <c r="E53" s="17">
        <f>IF($F$3="1",SUMIF(Data!$A:$A,$A$2,Data!JF:JF),0)</f>
        <v>88850</v>
      </c>
      <c r="F53" s="21">
        <f t="shared" si="3"/>
        <v>0.6</v>
      </c>
    </row>
    <row r="54" spans="1:6" x14ac:dyDescent="0.2">
      <c r="A54" s="19">
        <v>19</v>
      </c>
      <c r="B54" s="143" t="s">
        <v>17</v>
      </c>
      <c r="C54" s="144"/>
      <c r="D54" s="14">
        <f>IF(F3="1",SUMIF(Data!A:A,'38'!$A$2,Data!DM:DM),0)</f>
        <v>646816</v>
      </c>
      <c r="E54" s="17">
        <f>IF($F$3="1",SUMIF(Data!$A:$A,$A$2,Data!JG:JG),0)</f>
        <v>25701</v>
      </c>
      <c r="F54" s="21">
        <f t="shared" si="3"/>
        <v>0.04</v>
      </c>
    </row>
    <row r="55" spans="1:6" x14ac:dyDescent="0.2">
      <c r="A55" s="19">
        <v>20</v>
      </c>
      <c r="B55" s="143" t="s">
        <v>18</v>
      </c>
      <c r="C55" s="144"/>
      <c r="D55" s="14">
        <f>IF(F3="1",SUMIF(Data!A:A,'38'!$A$2,Data!DN:DN),0)</f>
        <v>55552</v>
      </c>
      <c r="E55" s="17">
        <f>IF($F$3="1",SUMIF(Data!$A:$A,$A$2,Data!JH:JH),0)</f>
        <v>40053</v>
      </c>
      <c r="F55" s="21">
        <f t="shared" si="3"/>
        <v>0.72</v>
      </c>
    </row>
    <row r="56" spans="1:6" ht="14.25" customHeight="1" x14ac:dyDescent="0.2">
      <c r="A56" s="19">
        <v>21</v>
      </c>
      <c r="B56" s="143" t="s">
        <v>461</v>
      </c>
      <c r="C56" s="144"/>
      <c r="D56" s="14">
        <f>IF(F3="1",SUMIF(Data!A:A,'38'!$A$2,Data!DO:DO),0)</f>
        <v>84544</v>
      </c>
      <c r="E56" s="17">
        <f>IF($F$3="1",SUMIF(Data!$A:$A,$A$2,Data!JI:JI),0)</f>
        <v>24941</v>
      </c>
      <c r="F56" s="21">
        <f t="shared" si="3"/>
        <v>0.3</v>
      </c>
    </row>
    <row r="57" spans="1:6" x14ac:dyDescent="0.2">
      <c r="A57" s="19">
        <v>22</v>
      </c>
      <c r="B57" s="143" t="s">
        <v>19</v>
      </c>
      <c r="C57" s="144"/>
      <c r="D57" s="14">
        <f>IF(F3="1",SUMIF(Data!A:A,'38'!$A$2,Data!DP:DP),0)</f>
        <v>92240</v>
      </c>
      <c r="E57" s="17">
        <f>IF($F$3="1",SUMIF(Data!$A:$A,$A$2,Data!JJ:JJ),0)</f>
        <v>38003</v>
      </c>
      <c r="F57" s="21">
        <f t="shared" si="3"/>
        <v>0.41</v>
      </c>
    </row>
    <row r="58" spans="1:6" x14ac:dyDescent="0.2">
      <c r="A58" s="19">
        <v>23</v>
      </c>
      <c r="B58" s="143" t="s">
        <v>20</v>
      </c>
      <c r="C58" s="144"/>
      <c r="D58" s="14">
        <f>IF(F3="1",SUMIF(Data!A:A,'38'!$A$2,Data!DQ:DQ),0)</f>
        <v>76240</v>
      </c>
      <c r="E58" s="17">
        <f>IF($F$3="1",SUMIF(Data!$A:$A,$A$2,Data!JK:JK),0)</f>
        <v>45467</v>
      </c>
      <c r="F58" s="21">
        <f t="shared" si="3"/>
        <v>0.6</v>
      </c>
    </row>
    <row r="59" spans="1:6" x14ac:dyDescent="0.2">
      <c r="A59" s="19">
        <v>24</v>
      </c>
      <c r="B59" s="143" t="s">
        <v>21</v>
      </c>
      <c r="C59" s="144"/>
      <c r="D59" s="14">
        <f>IF(F3="1",SUMIF(Data!A:A,'38'!$A$2,Data!DR:DR),0)</f>
        <v>351168</v>
      </c>
      <c r="E59" s="17">
        <f>IF($F$3="1",SUMIF(Data!$A:$A,$A$2,Data!JL:JL),0)</f>
        <v>16150</v>
      </c>
      <c r="F59" s="21">
        <f t="shared" si="3"/>
        <v>0.05</v>
      </c>
    </row>
    <row r="60" spans="1:6" x14ac:dyDescent="0.2">
      <c r="A60" s="19">
        <v>25</v>
      </c>
      <c r="B60" s="143" t="s">
        <v>22</v>
      </c>
      <c r="C60" s="144"/>
      <c r="D60" s="14">
        <f>IF(F3="1",SUMIF(Data!A:A,'38'!$A$2,Data!DS:DS),0)</f>
        <v>568512</v>
      </c>
      <c r="E60" s="17">
        <f>IF($F$3="1",SUMIF(Data!$A:$A,$A$2,Data!JM:JM),0)</f>
        <v>48823</v>
      </c>
      <c r="F60" s="21">
        <f t="shared" si="3"/>
        <v>0.09</v>
      </c>
    </row>
    <row r="61" spans="1:6" x14ac:dyDescent="0.2">
      <c r="A61" s="19">
        <v>26</v>
      </c>
      <c r="B61" s="143" t="s">
        <v>23</v>
      </c>
      <c r="C61" s="144"/>
      <c r="D61" s="14">
        <f>IF(F3="1",SUMIF(Data!A:A,'38'!$A$2,Data!DT:DT),0)</f>
        <v>129504</v>
      </c>
      <c r="E61" s="17">
        <f>IF($F$3="1",SUMIF(Data!$A:$A,$A$2,Data!JN:JN),0)</f>
        <v>23166</v>
      </c>
      <c r="F61" s="21">
        <f t="shared" si="3"/>
        <v>0.18</v>
      </c>
    </row>
    <row r="62" spans="1:6" x14ac:dyDescent="0.2">
      <c r="A62" s="19">
        <v>28</v>
      </c>
      <c r="B62" s="143" t="s">
        <v>24</v>
      </c>
      <c r="C62" s="144"/>
      <c r="D62" s="14">
        <f>IF(F3="1",SUMIF(Data!A:A,'38'!$A$2,Data!DV:DV),0)</f>
        <v>0</v>
      </c>
      <c r="E62" s="17">
        <f>IF($F$3="1",SUMIF(Data!$A:$A,$A$2,Data!JP:JP),0)</f>
        <v>0</v>
      </c>
      <c r="F62" s="21" t="str">
        <f t="shared" si="3"/>
        <v/>
      </c>
    </row>
    <row r="63" spans="1:6" ht="15.75" customHeight="1" thickBot="1" x14ac:dyDescent="0.25">
      <c r="A63" s="22">
        <v>29</v>
      </c>
      <c r="B63" s="147" t="s">
        <v>25</v>
      </c>
      <c r="C63" s="148"/>
      <c r="D63" s="23">
        <f>IF(F3="1",SUMIF(Data!A:A,'38'!$A$2,Data!DW:DW),0)</f>
        <v>0</v>
      </c>
      <c r="E63" s="24">
        <f>IF($F$3="1",SUMIF(Data!$A:$A,$A$2,Data!JQ:JQ),0)</f>
        <v>0</v>
      </c>
      <c r="F63" s="25" t="str">
        <f t="shared" si="3"/>
        <v/>
      </c>
    </row>
    <row r="64" spans="1:6" x14ac:dyDescent="0.2">
      <c r="B64" s="30" t="s">
        <v>35</v>
      </c>
      <c r="C64" s="30"/>
      <c r="D64" s="59">
        <f>SUM(D36:D63)</f>
        <v>4460784</v>
      </c>
      <c r="E64" s="31">
        <f>SUM(E36:E63)</f>
        <v>1417566</v>
      </c>
      <c r="F64" s="32">
        <f t="shared" si="3"/>
        <v>0.32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IF(F3="1",SUMIF(Data!A:A,'38'!$A$2,Data!DY:DY),0)</f>
        <v>0</v>
      </c>
      <c r="F67" s="20" t="str">
        <f t="shared" ref="F67:F95" si="4">IF(OR(D67=0,E67=0),"",ROUND(E67/D67,2))</f>
        <v/>
      </c>
    </row>
    <row r="68" spans="1:6" x14ac:dyDescent="0.2">
      <c r="A68" s="19">
        <v>2</v>
      </c>
      <c r="B68" s="143" t="s">
        <v>1</v>
      </c>
      <c r="C68" s="144"/>
      <c r="D68" s="14">
        <f t="shared" ref="D68:D94" si="5">D37</f>
        <v>31728</v>
      </c>
      <c r="E68" s="17">
        <f>IF(F3="1",SUMIF(Data!A:A,'38'!$A$2,Data!DZ:DZ),0)</f>
        <v>181422</v>
      </c>
      <c r="F68" s="21">
        <f t="shared" si="4"/>
        <v>5.72</v>
      </c>
    </row>
    <row r="69" spans="1:6" ht="14.25" customHeight="1" x14ac:dyDescent="0.2">
      <c r="A69" s="19">
        <v>3</v>
      </c>
      <c r="B69" s="143" t="s">
        <v>2</v>
      </c>
      <c r="C69" s="144"/>
      <c r="D69" s="14">
        <f t="shared" si="5"/>
        <v>688976</v>
      </c>
      <c r="E69" s="17">
        <f>IF(F3="1",SUMIF(Data!A:A,'38'!$A$2,Data!EA:EA),0)</f>
        <v>1256668</v>
      </c>
      <c r="F69" s="21">
        <f t="shared" si="4"/>
        <v>1.82</v>
      </c>
    </row>
    <row r="70" spans="1:6" ht="14.25" customHeight="1" x14ac:dyDescent="0.2">
      <c r="A70" s="19">
        <v>4</v>
      </c>
      <c r="B70" s="143" t="s">
        <v>3</v>
      </c>
      <c r="C70" s="144"/>
      <c r="D70" s="14">
        <f t="shared" si="5"/>
        <v>60000</v>
      </c>
      <c r="E70" s="17">
        <f>IF(F3="1",SUMIF(Data!A:A,'38'!$A$2,Data!EB:EB),0)</f>
        <v>505618</v>
      </c>
      <c r="F70" s="21">
        <f t="shared" si="4"/>
        <v>8.43</v>
      </c>
    </row>
    <row r="71" spans="1:6" x14ac:dyDescent="0.2">
      <c r="A71" s="19">
        <v>5</v>
      </c>
      <c r="B71" s="143" t="s">
        <v>4</v>
      </c>
      <c r="C71" s="144"/>
      <c r="D71" s="14">
        <f t="shared" si="5"/>
        <v>0</v>
      </c>
      <c r="E71" s="17">
        <f>IF(F3="1",SUMIF(Data!A:A,'38'!$A$2,Data!EC:EC),0)</f>
        <v>0</v>
      </c>
      <c r="F71" s="21" t="str">
        <f t="shared" si="4"/>
        <v/>
      </c>
    </row>
    <row r="72" spans="1:6" x14ac:dyDescent="0.2">
      <c r="A72" s="19">
        <v>6</v>
      </c>
      <c r="B72" s="143" t="s">
        <v>5</v>
      </c>
      <c r="C72" s="144"/>
      <c r="D72" s="14">
        <f t="shared" si="5"/>
        <v>0</v>
      </c>
      <c r="E72" s="17">
        <f>IF(F3="1",SUMIF(Data!A:A,'38'!$A$2,Data!ED:ED),0)</f>
        <v>0</v>
      </c>
      <c r="F72" s="21" t="str">
        <f t="shared" si="4"/>
        <v/>
      </c>
    </row>
    <row r="73" spans="1:6" x14ac:dyDescent="0.2">
      <c r="A73" s="19">
        <v>7</v>
      </c>
      <c r="B73" s="143" t="s">
        <v>6</v>
      </c>
      <c r="C73" s="144"/>
      <c r="D73" s="14">
        <f t="shared" si="5"/>
        <v>443184</v>
      </c>
      <c r="E73" s="17">
        <f>IF(F3="1",SUMIF(Data!A:A,'38'!$A$2,Data!EE:EE),0)</f>
        <v>877789</v>
      </c>
      <c r="F73" s="21">
        <f t="shared" si="4"/>
        <v>1.98</v>
      </c>
    </row>
    <row r="74" spans="1:6" x14ac:dyDescent="0.2">
      <c r="A74" s="19">
        <v>8</v>
      </c>
      <c r="B74" s="143" t="s">
        <v>7</v>
      </c>
      <c r="C74" s="144"/>
      <c r="D74" s="14">
        <f t="shared" si="5"/>
        <v>0</v>
      </c>
      <c r="E74" s="17">
        <f>IF(F3="1",SUMIF(Data!A:A,'38'!$A$2,Data!EF:EF),0)</f>
        <v>0</v>
      </c>
      <c r="F74" s="21" t="str">
        <f t="shared" si="4"/>
        <v/>
      </c>
    </row>
    <row r="75" spans="1:6" x14ac:dyDescent="0.2">
      <c r="A75" s="19">
        <v>9</v>
      </c>
      <c r="B75" s="143" t="s">
        <v>8</v>
      </c>
      <c r="C75" s="144"/>
      <c r="D75" s="14">
        <f t="shared" si="5"/>
        <v>24048</v>
      </c>
      <c r="E75" s="17">
        <f>IF(F3="1",SUMIF(Data!A:A,'38'!$A$2,Data!EG:EG),0)</f>
        <v>87923</v>
      </c>
      <c r="F75" s="21">
        <f t="shared" si="4"/>
        <v>3.66</v>
      </c>
    </row>
    <row r="76" spans="1:6" x14ac:dyDescent="0.2">
      <c r="A76" s="19">
        <v>10</v>
      </c>
      <c r="B76" s="143" t="s">
        <v>9</v>
      </c>
      <c r="C76" s="144"/>
      <c r="D76" s="14">
        <f t="shared" si="5"/>
        <v>1984</v>
      </c>
      <c r="E76" s="17">
        <f>IF(F3="1",SUMIF(Data!A:A,'38'!$A$2,Data!EH:EH),0)</f>
        <v>7521</v>
      </c>
      <c r="F76" s="21">
        <f t="shared" si="4"/>
        <v>3.79</v>
      </c>
    </row>
    <row r="77" spans="1:6" x14ac:dyDescent="0.2">
      <c r="A77" s="19">
        <v>11</v>
      </c>
      <c r="B77" s="143" t="s">
        <v>10</v>
      </c>
      <c r="C77" s="144"/>
      <c r="D77" s="14">
        <f t="shared" si="5"/>
        <v>19904</v>
      </c>
      <c r="E77" s="17">
        <f>IF(F3="1",SUMIF(Data!A:A,'38'!$A$2,Data!EI:EI),0)</f>
        <v>252355</v>
      </c>
      <c r="F77" s="21">
        <f t="shared" si="4"/>
        <v>12.68</v>
      </c>
    </row>
    <row r="78" spans="1:6" ht="14.25" customHeight="1" x14ac:dyDescent="0.2">
      <c r="A78" s="19">
        <v>12</v>
      </c>
      <c r="B78" s="143" t="s">
        <v>11</v>
      </c>
      <c r="C78" s="144"/>
      <c r="D78" s="14">
        <f t="shared" si="5"/>
        <v>800464</v>
      </c>
      <c r="E78" s="17">
        <f>IF(F3="1",SUMIF(Data!A:A,'38'!$A$2,Data!EJ:EJ),0)</f>
        <v>1685728</v>
      </c>
      <c r="F78" s="21">
        <f t="shared" si="4"/>
        <v>2.11</v>
      </c>
    </row>
    <row r="79" spans="1:6" x14ac:dyDescent="0.2">
      <c r="A79" s="19">
        <v>13</v>
      </c>
      <c r="B79" s="143" t="s">
        <v>12</v>
      </c>
      <c r="C79" s="144"/>
      <c r="D79" s="14">
        <f t="shared" si="5"/>
        <v>118240</v>
      </c>
      <c r="E79" s="17">
        <f>IF(F3="1",SUMIF(Data!A:A,'38'!$A$2,Data!EK:EK),0)</f>
        <v>238251</v>
      </c>
      <c r="F79" s="21">
        <f t="shared" si="4"/>
        <v>2.0099999999999998</v>
      </c>
    </row>
    <row r="80" spans="1:6" ht="14.25" customHeight="1" x14ac:dyDescent="0.2">
      <c r="A80" s="19">
        <v>14</v>
      </c>
      <c r="B80" s="143" t="s">
        <v>464</v>
      </c>
      <c r="C80" s="144"/>
      <c r="D80" s="14">
        <f t="shared" si="5"/>
        <v>15200</v>
      </c>
      <c r="E80" s="17">
        <f>IF(F3="1",SUMIF(Data!A:A,'38'!$A$2,Data!EL:EL),0)</f>
        <v>186271</v>
      </c>
      <c r="F80" s="21">
        <f t="shared" si="4"/>
        <v>12.25</v>
      </c>
    </row>
    <row r="81" spans="1:6" x14ac:dyDescent="0.2">
      <c r="A81" s="19">
        <v>15</v>
      </c>
      <c r="B81" s="143" t="s">
        <v>13</v>
      </c>
      <c r="C81" s="144"/>
      <c r="D81" s="14">
        <f t="shared" si="5"/>
        <v>0</v>
      </c>
      <c r="E81" s="17">
        <f>IF(F3="1",SUMIF(Data!A:A,'38'!$A$2,Data!EM:EM),0)</f>
        <v>0</v>
      </c>
      <c r="F81" s="21" t="str">
        <f t="shared" si="4"/>
        <v/>
      </c>
    </row>
    <row r="82" spans="1:6" x14ac:dyDescent="0.2">
      <c r="A82" s="19">
        <v>16</v>
      </c>
      <c r="B82" s="143" t="s">
        <v>14</v>
      </c>
      <c r="C82" s="144"/>
      <c r="D82" s="14">
        <f t="shared" si="5"/>
        <v>103248</v>
      </c>
      <c r="E82" s="17">
        <f>IF(F3="1",SUMIF(Data!A:A,'38'!$A$2,Data!EN:EN),0)</f>
        <v>1094188</v>
      </c>
      <c r="F82" s="21">
        <f t="shared" si="4"/>
        <v>10.6</v>
      </c>
    </row>
    <row r="83" spans="1:6" x14ac:dyDescent="0.2">
      <c r="A83" s="19">
        <v>17</v>
      </c>
      <c r="B83" s="143" t="s">
        <v>15</v>
      </c>
      <c r="C83" s="144"/>
      <c r="D83" s="14">
        <f t="shared" si="5"/>
        <v>0</v>
      </c>
      <c r="E83" s="17">
        <f>IF(F3="1",SUMIF(Data!A:A,'38'!$A$2,Data!EO:EO),0)</f>
        <v>0</v>
      </c>
      <c r="F83" s="21" t="str">
        <f t="shared" si="4"/>
        <v/>
      </c>
    </row>
    <row r="84" spans="1:6" x14ac:dyDescent="0.2">
      <c r="A84" s="19">
        <v>18</v>
      </c>
      <c r="B84" s="143" t="s">
        <v>16</v>
      </c>
      <c r="C84" s="144"/>
      <c r="D84" s="14">
        <f t="shared" si="5"/>
        <v>149232</v>
      </c>
      <c r="E84" s="17">
        <f>IF(F3="1",SUMIF(Data!A:A,'38'!$A$2,Data!EP:EP),0)</f>
        <v>331234</v>
      </c>
      <c r="F84" s="21">
        <f t="shared" si="4"/>
        <v>2.2200000000000002</v>
      </c>
    </row>
    <row r="85" spans="1:6" x14ac:dyDescent="0.2">
      <c r="A85" s="19">
        <v>19</v>
      </c>
      <c r="B85" s="143" t="s">
        <v>17</v>
      </c>
      <c r="C85" s="144"/>
      <c r="D85" s="14">
        <f t="shared" si="5"/>
        <v>646816</v>
      </c>
      <c r="E85" s="17">
        <f>IF(F3="1",SUMIF(Data!A:A,'38'!$A$2,Data!EQ:EQ),0)</f>
        <v>1116238</v>
      </c>
      <c r="F85" s="21">
        <f t="shared" si="4"/>
        <v>1.73</v>
      </c>
    </row>
    <row r="86" spans="1:6" x14ac:dyDescent="0.2">
      <c r="A86" s="19">
        <v>20</v>
      </c>
      <c r="B86" s="143" t="s">
        <v>18</v>
      </c>
      <c r="C86" s="144"/>
      <c r="D86" s="14">
        <f t="shared" si="5"/>
        <v>55552</v>
      </c>
      <c r="E86" s="17">
        <f>IF(F3="1",SUMIF(Data!A:A,'38'!$A$2,Data!ER:ER),0)</f>
        <v>193506</v>
      </c>
      <c r="F86" s="21">
        <f t="shared" si="4"/>
        <v>3.48</v>
      </c>
    </row>
    <row r="87" spans="1:6" ht="14.25" customHeight="1" x14ac:dyDescent="0.2">
      <c r="A87" s="19">
        <v>21</v>
      </c>
      <c r="B87" s="143" t="s">
        <v>461</v>
      </c>
      <c r="C87" s="144"/>
      <c r="D87" s="14">
        <f t="shared" si="5"/>
        <v>84544</v>
      </c>
      <c r="E87" s="17">
        <f>IF(F3="1",SUMIF(Data!A:A,'38'!$A$2,Data!ES:ES),0)</f>
        <v>70229</v>
      </c>
      <c r="F87" s="21">
        <f t="shared" si="4"/>
        <v>0.83</v>
      </c>
    </row>
    <row r="88" spans="1:6" x14ac:dyDescent="0.2">
      <c r="A88" s="19">
        <v>22</v>
      </c>
      <c r="B88" s="143" t="s">
        <v>19</v>
      </c>
      <c r="C88" s="144"/>
      <c r="D88" s="14">
        <f t="shared" si="5"/>
        <v>92240</v>
      </c>
      <c r="E88" s="17">
        <f>IF(F3="1",SUMIF(Data!A:A,'38'!$A$2,Data!ET:ET),0)</f>
        <v>236737</v>
      </c>
      <c r="F88" s="21">
        <f t="shared" si="4"/>
        <v>2.57</v>
      </c>
    </row>
    <row r="89" spans="1:6" x14ac:dyDescent="0.2">
      <c r="A89" s="19">
        <v>23</v>
      </c>
      <c r="B89" s="143" t="s">
        <v>20</v>
      </c>
      <c r="C89" s="144"/>
      <c r="D89" s="14">
        <f t="shared" si="5"/>
        <v>76240</v>
      </c>
      <c r="E89" s="17">
        <f>IF(F3="1",SUMIF(Data!A:A,'38'!$A$2,Data!EU:EU),0)</f>
        <v>215699</v>
      </c>
      <c r="F89" s="21">
        <f t="shared" si="4"/>
        <v>2.83</v>
      </c>
    </row>
    <row r="90" spans="1:6" x14ac:dyDescent="0.2">
      <c r="A90" s="19">
        <v>24</v>
      </c>
      <c r="B90" s="143" t="s">
        <v>21</v>
      </c>
      <c r="C90" s="144"/>
      <c r="D90" s="14">
        <f t="shared" si="5"/>
        <v>351168</v>
      </c>
      <c r="E90" s="17">
        <f>IF(F3="1",SUMIF(Data!A:A,'38'!$A$2,Data!EV:EV),0)</f>
        <v>34507</v>
      </c>
      <c r="F90" s="21">
        <f t="shared" si="4"/>
        <v>0.1</v>
      </c>
    </row>
    <row r="91" spans="1:6" x14ac:dyDescent="0.2">
      <c r="A91" s="19">
        <v>25</v>
      </c>
      <c r="B91" s="143" t="s">
        <v>22</v>
      </c>
      <c r="C91" s="144"/>
      <c r="D91" s="14">
        <f t="shared" si="5"/>
        <v>568512</v>
      </c>
      <c r="E91" s="17">
        <f>IF(F3="1",SUMIF(Data!A:A,'38'!$A$2,Data!EW:EW),0)</f>
        <v>994350</v>
      </c>
      <c r="F91" s="21">
        <f t="shared" si="4"/>
        <v>1.75</v>
      </c>
    </row>
    <row r="92" spans="1:6" x14ac:dyDescent="0.2">
      <c r="A92" s="19">
        <v>26</v>
      </c>
      <c r="B92" s="143" t="s">
        <v>23</v>
      </c>
      <c r="C92" s="144"/>
      <c r="D92" s="14">
        <f t="shared" si="5"/>
        <v>129504</v>
      </c>
      <c r="E92" s="17">
        <f>IF(F3="1",SUMIF(Data!A:A,'38'!$A$2,Data!EX:EX),0)</f>
        <v>200771</v>
      </c>
      <c r="F92" s="21">
        <f t="shared" si="4"/>
        <v>1.55</v>
      </c>
    </row>
    <row r="93" spans="1:6" x14ac:dyDescent="0.2">
      <c r="A93" s="19">
        <v>28</v>
      </c>
      <c r="B93" s="143" t="s">
        <v>24</v>
      </c>
      <c r="C93" s="144"/>
      <c r="D93" s="14">
        <f t="shared" si="5"/>
        <v>0</v>
      </c>
      <c r="E93" s="17">
        <f>IF(F3="1",SUMIF(Data!A:A,'38'!$A$2,Data!EZ:EZ),0)</f>
        <v>0</v>
      </c>
      <c r="F93" s="21" t="str">
        <f t="shared" si="4"/>
        <v/>
      </c>
    </row>
    <row r="94" spans="1:6" ht="15.75" customHeight="1" thickBot="1" x14ac:dyDescent="0.25">
      <c r="A94" s="22">
        <v>29</v>
      </c>
      <c r="B94" s="147" t="s">
        <v>25</v>
      </c>
      <c r="C94" s="148"/>
      <c r="D94" s="23">
        <f t="shared" si="5"/>
        <v>0</v>
      </c>
      <c r="E94" s="24">
        <f>IF(F3="1",SUMIF(Data!A:A,'38'!$A$2,Data!FA:FA),0)</f>
        <v>0</v>
      </c>
      <c r="F94" s="25" t="str">
        <f t="shared" si="4"/>
        <v/>
      </c>
    </row>
    <row r="95" spans="1:6" x14ac:dyDescent="0.2">
      <c r="B95" s="30" t="s">
        <v>35</v>
      </c>
      <c r="C95" s="30"/>
      <c r="D95" s="59">
        <f>SUM(D67:D94)</f>
        <v>4460784</v>
      </c>
      <c r="E95" s="31">
        <f>SUM(E67:E94)</f>
        <v>9767005</v>
      </c>
      <c r="F95" s="32">
        <f t="shared" si="4"/>
        <v>2.19</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IF(F3="1",SUMIF(Data!A:A,'38'!$A$2,Data!AH:AH),0)</f>
        <v>5272786</v>
      </c>
      <c r="F98" s="20">
        <f>IF(OR(E98=0,E98=0),"",ROUND(E98/$D$105,2))</f>
        <v>1.18</v>
      </c>
    </row>
    <row r="99" spans="2:6" x14ac:dyDescent="0.2">
      <c r="B99" s="153" t="s">
        <v>31</v>
      </c>
      <c r="C99" s="154"/>
      <c r="D99" s="36"/>
      <c r="E99" s="17">
        <f>IF(F3="1",SUMIF(Data!A:A,'38'!$A$2,Data!AI:AI),0)</f>
        <v>2263703</v>
      </c>
      <c r="F99" s="21">
        <f t="shared" ref="F99:F104" si="6">IF(OR(E99=0,E99=0),"",ROUND(E99/$D$105,2))</f>
        <v>0.51</v>
      </c>
    </row>
    <row r="100" spans="2:6" x14ac:dyDescent="0.2">
      <c r="B100" s="153" t="s">
        <v>1078</v>
      </c>
      <c r="C100" s="154"/>
      <c r="D100" s="36"/>
      <c r="E100" s="17">
        <f>IF(F3="1",SUMIF(Data!A:A,'38'!$A$2,Data!AJ:AJ),0)</f>
        <v>474368</v>
      </c>
      <c r="F100" s="21">
        <f t="shared" si="6"/>
        <v>0.11</v>
      </c>
    </row>
    <row r="101" spans="2:6" x14ac:dyDescent="0.2">
      <c r="B101" s="153" t="s">
        <v>1079</v>
      </c>
      <c r="C101" s="154"/>
      <c r="D101" s="36"/>
      <c r="E101" s="17">
        <f>IF(F3="1",SUMIF(Data!A:A,'38'!$A$2,Data!AK:AK),0)</f>
        <v>1450601</v>
      </c>
      <c r="F101" s="21">
        <f t="shared" si="6"/>
        <v>0.33</v>
      </c>
    </row>
    <row r="102" spans="2:6" x14ac:dyDescent="0.2">
      <c r="B102" s="153" t="s">
        <v>1080</v>
      </c>
      <c r="C102" s="154"/>
      <c r="D102" s="36"/>
      <c r="E102" s="17">
        <f>IF(F3="1",SUMIF(Data!A:A,'38'!$A$2,Data!AL:AL),0)</f>
        <v>0</v>
      </c>
      <c r="F102" s="21" t="str">
        <f t="shared" si="6"/>
        <v/>
      </c>
    </row>
    <row r="103" spans="2:6" x14ac:dyDescent="0.2">
      <c r="B103" s="155" t="s">
        <v>34</v>
      </c>
      <c r="C103" s="156"/>
      <c r="D103" s="36"/>
      <c r="E103" s="17">
        <f>IF(F3="1",SUMIF(Data!A:A,'38'!$A$2,Data!AM:AM),0)</f>
        <v>0</v>
      </c>
      <c r="F103" s="21" t="str">
        <f t="shared" si="6"/>
        <v/>
      </c>
    </row>
    <row r="104" spans="2:6" ht="15.75" customHeight="1" thickBot="1" x14ac:dyDescent="0.25">
      <c r="B104" s="149" t="s">
        <v>29</v>
      </c>
      <c r="C104" s="150"/>
      <c r="D104" s="37"/>
      <c r="E104" s="24">
        <f>IF(F3="1",SUMIF(Data!A:A,'38'!$A$2,Data!Q:Q),0)</f>
        <v>2241473</v>
      </c>
      <c r="F104" s="25">
        <f t="shared" si="6"/>
        <v>0.5</v>
      </c>
    </row>
    <row r="105" spans="2:6" x14ac:dyDescent="0.2">
      <c r="B105" s="30" t="s">
        <v>35</v>
      </c>
      <c r="C105" s="30"/>
      <c r="D105" s="34">
        <f>D95</f>
        <v>4460784</v>
      </c>
      <c r="E105" s="31">
        <f>SUM(E98:E104)</f>
        <v>11702931</v>
      </c>
      <c r="F105" s="32">
        <f>IF($D$105=0,"",ROUND(E105/$D$105,2))</f>
        <v>2.62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9767005</v>
      </c>
      <c r="D109" s="15">
        <f>IF(F3="1",SUMIF(Data!$A:$A,$A$2,Data!HJ:HJ),0)</f>
        <v>0</v>
      </c>
      <c r="E109" s="15">
        <f>IF(F3="1",SUMIF(Data!$A:$A,$A$2,Data!IN:IN),0)</f>
        <v>0</v>
      </c>
      <c r="F109" s="47">
        <f>SUM(C109:E109)</f>
        <v>9767005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2241473</v>
      </c>
      <c r="E117" s="52"/>
      <c r="F117" s="49">
        <f>SUM(C117:E117)</f>
        <v>2241473</v>
      </c>
    </row>
    <row r="118" spans="1:6" x14ac:dyDescent="0.2">
      <c r="B118" s="13" t="s">
        <v>35</v>
      </c>
      <c r="C118" s="4">
        <f>SUM(C109:C116)</f>
        <v>9767005</v>
      </c>
      <c r="D118" s="4">
        <f>SUM(D109:D116)</f>
        <v>0</v>
      </c>
      <c r="E118" s="4">
        <f>SUM(E109:E116)</f>
        <v>0</v>
      </c>
      <c r="F118" s="4">
        <f>SUM(F109:F116)</f>
        <v>9767005</v>
      </c>
    </row>
    <row r="119" spans="1:6" ht="15" thickBot="1" x14ac:dyDescent="0.25"/>
    <row r="120" spans="1:6" ht="15" thickBot="1" x14ac:dyDescent="0.25">
      <c r="B120" s="55" t="s">
        <v>934</v>
      </c>
      <c r="C120" s="53"/>
      <c r="D120" s="53"/>
      <c r="E120" s="53">
        <f>IF(F3="1",SUMIF(Data!A:A,'38'!$A$2,Data!AM:AM),0)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400</v>
      </c>
      <c r="B2" s="58" t="str">
        <f>VLOOKUP(A2,Data!A:G,7,0)</f>
        <v>Southwest Texas Junior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23712</v>
      </c>
      <c r="E5" s="15">
        <f>E36+E67+IFERROR($E$105/$D$105*D5,0)</f>
        <v>228442.50548131342</v>
      </c>
      <c r="F5" s="20">
        <f>IF(OR(D5=0,E5=0),"",ROUND(E5/D5,2))</f>
        <v>9.6300000000000008</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166512</v>
      </c>
      <c r="E7" s="17">
        <f t="shared" si="1"/>
        <v>782355.03747910168</v>
      </c>
      <c r="F7" s="21">
        <f t="shared" si="2"/>
        <v>4.7</v>
      </c>
    </row>
    <row r="8" spans="1:6" ht="14.25" customHeight="1" x14ac:dyDescent="0.2">
      <c r="A8" s="19">
        <v>4</v>
      </c>
      <c r="B8" s="143" t="s">
        <v>3</v>
      </c>
      <c r="C8" s="144"/>
      <c r="D8" s="14">
        <f t="shared" si="0"/>
        <v>248236</v>
      </c>
      <c r="E8" s="17">
        <f t="shared" si="1"/>
        <v>1188269.0928921776</v>
      </c>
      <c r="F8" s="21">
        <f t="shared" si="2"/>
        <v>4.79</v>
      </c>
    </row>
    <row r="9" spans="1:6" x14ac:dyDescent="0.2">
      <c r="A9" s="19">
        <v>5</v>
      </c>
      <c r="B9" s="143" t="s">
        <v>4</v>
      </c>
      <c r="C9" s="144"/>
      <c r="D9" s="14">
        <f t="shared" si="0"/>
        <v>6672</v>
      </c>
      <c r="E9" s="17">
        <f t="shared" si="1"/>
        <v>167065.67057065296</v>
      </c>
      <c r="F9" s="21">
        <f t="shared" si="2"/>
        <v>25.04</v>
      </c>
    </row>
    <row r="10" spans="1:6" x14ac:dyDescent="0.2">
      <c r="A10" s="19">
        <v>6</v>
      </c>
      <c r="B10" s="143" t="s">
        <v>5</v>
      </c>
      <c r="C10" s="144"/>
      <c r="D10" s="14">
        <f t="shared" si="0"/>
        <v>5328</v>
      </c>
      <c r="E10" s="17">
        <f t="shared" si="1"/>
        <v>46614.945563614958</v>
      </c>
      <c r="F10" s="21">
        <f t="shared" si="2"/>
        <v>8.75</v>
      </c>
    </row>
    <row r="11" spans="1:6" x14ac:dyDescent="0.2">
      <c r="A11" s="19">
        <v>7</v>
      </c>
      <c r="B11" s="143" t="s">
        <v>6</v>
      </c>
      <c r="C11" s="144"/>
      <c r="D11" s="14">
        <f t="shared" si="0"/>
        <v>11808</v>
      </c>
      <c r="E11" s="17">
        <f t="shared" si="1"/>
        <v>77988.798276119633</v>
      </c>
      <c r="F11" s="21">
        <f t="shared" si="2"/>
        <v>6.6</v>
      </c>
    </row>
    <row r="12" spans="1:6" x14ac:dyDescent="0.2">
      <c r="A12" s="19">
        <v>8</v>
      </c>
      <c r="B12" s="143" t="s">
        <v>7</v>
      </c>
      <c r="C12" s="144"/>
      <c r="D12" s="14">
        <f t="shared" si="0"/>
        <v>22896</v>
      </c>
      <c r="E12" s="17">
        <f t="shared" si="1"/>
        <v>145591.27958418318</v>
      </c>
      <c r="F12" s="21">
        <f t="shared" si="2"/>
        <v>6.36</v>
      </c>
    </row>
    <row r="13" spans="1:6" x14ac:dyDescent="0.2">
      <c r="A13" s="19">
        <v>9</v>
      </c>
      <c r="B13" s="143" t="s">
        <v>8</v>
      </c>
      <c r="C13" s="144"/>
      <c r="D13" s="14">
        <f t="shared" si="0"/>
        <v>82288</v>
      </c>
      <c r="E13" s="17">
        <f t="shared" si="1"/>
        <v>361123.27037138655</v>
      </c>
      <c r="F13" s="21">
        <f t="shared" si="2"/>
        <v>4.3899999999999997</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297680</v>
      </c>
      <c r="E16" s="17">
        <f t="shared" si="1"/>
        <v>1647077.270904073</v>
      </c>
      <c r="F16" s="21">
        <f t="shared" si="2"/>
        <v>5.53</v>
      </c>
    </row>
    <row r="17" spans="1:6" x14ac:dyDescent="0.2">
      <c r="A17" s="19">
        <v>13</v>
      </c>
      <c r="B17" s="143" t="s">
        <v>12</v>
      </c>
      <c r="C17" s="144"/>
      <c r="D17" s="14">
        <f t="shared" si="0"/>
        <v>28320</v>
      </c>
      <c r="E17" s="17">
        <f t="shared" si="1"/>
        <v>142449.13407687232</v>
      </c>
      <c r="F17" s="21">
        <f t="shared" si="2"/>
        <v>5.03</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0</v>
      </c>
      <c r="E20" s="17">
        <f t="shared" si="1"/>
        <v>0</v>
      </c>
      <c r="F20" s="21" t="str">
        <f t="shared" si="2"/>
        <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53449</v>
      </c>
      <c r="E22" s="17">
        <f t="shared" si="1"/>
        <v>297141.31614670716</v>
      </c>
      <c r="F22" s="21">
        <f t="shared" si="2"/>
        <v>5.56</v>
      </c>
    </row>
    <row r="23" spans="1:6" x14ac:dyDescent="0.2">
      <c r="A23" s="19">
        <v>19</v>
      </c>
      <c r="B23" s="143" t="s">
        <v>17</v>
      </c>
      <c r="C23" s="144"/>
      <c r="D23" s="14">
        <f t="shared" si="0"/>
        <v>147488</v>
      </c>
      <c r="E23" s="17">
        <f t="shared" si="1"/>
        <v>786997.75136757561</v>
      </c>
      <c r="F23" s="21">
        <f t="shared" si="2"/>
        <v>5.34</v>
      </c>
    </row>
    <row r="24" spans="1:6" x14ac:dyDescent="0.2">
      <c r="A24" s="19">
        <v>20</v>
      </c>
      <c r="B24" s="143" t="s">
        <v>18</v>
      </c>
      <c r="C24" s="144"/>
      <c r="D24" s="14">
        <f t="shared" si="0"/>
        <v>36288</v>
      </c>
      <c r="E24" s="17">
        <f t="shared" si="1"/>
        <v>219736.5751900262</v>
      </c>
      <c r="F24" s="21">
        <f t="shared" si="2"/>
        <v>6.06</v>
      </c>
    </row>
    <row r="25" spans="1:6" ht="14.25" customHeight="1" x14ac:dyDescent="0.2">
      <c r="A25" s="19">
        <v>21</v>
      </c>
      <c r="B25" s="143" t="s">
        <v>461</v>
      </c>
      <c r="C25" s="144"/>
      <c r="D25" s="14">
        <f t="shared" si="0"/>
        <v>35818</v>
      </c>
      <c r="E25" s="17">
        <f t="shared" si="1"/>
        <v>232214.22939143406</v>
      </c>
      <c r="F25" s="21">
        <f t="shared" si="2"/>
        <v>6.48</v>
      </c>
    </row>
    <row r="26" spans="1:6" x14ac:dyDescent="0.2">
      <c r="A26" s="19">
        <v>22</v>
      </c>
      <c r="B26" s="143" t="s">
        <v>19</v>
      </c>
      <c r="C26" s="144"/>
      <c r="D26" s="14">
        <f t="shared" si="0"/>
        <v>1856</v>
      </c>
      <c r="E26" s="17">
        <f t="shared" si="1"/>
        <v>4676.9059621001052</v>
      </c>
      <c r="F26" s="21">
        <f t="shared" si="2"/>
        <v>2.52</v>
      </c>
    </row>
    <row r="27" spans="1:6" x14ac:dyDescent="0.2">
      <c r="A27" s="19">
        <v>23</v>
      </c>
      <c r="B27" s="143" t="s">
        <v>20</v>
      </c>
      <c r="C27" s="144"/>
      <c r="D27" s="14">
        <f t="shared" si="0"/>
        <v>73536</v>
      </c>
      <c r="E27" s="17">
        <f t="shared" si="1"/>
        <v>400127.23967079388</v>
      </c>
      <c r="F27" s="21">
        <f t="shared" si="2"/>
        <v>5.44</v>
      </c>
    </row>
    <row r="28" spans="1:6" x14ac:dyDescent="0.2">
      <c r="A28" s="19">
        <v>24</v>
      </c>
      <c r="B28" s="143" t="s">
        <v>21</v>
      </c>
      <c r="C28" s="144"/>
      <c r="D28" s="14">
        <f t="shared" si="0"/>
        <v>87540</v>
      </c>
      <c r="E28" s="17">
        <f t="shared" si="1"/>
        <v>370644.70469948452</v>
      </c>
      <c r="F28" s="21">
        <f t="shared" si="2"/>
        <v>4.2300000000000004</v>
      </c>
    </row>
    <row r="29" spans="1:6" x14ac:dyDescent="0.2">
      <c r="A29" s="19">
        <v>25</v>
      </c>
      <c r="B29" s="143" t="s">
        <v>22</v>
      </c>
      <c r="C29" s="144"/>
      <c r="D29" s="14">
        <f t="shared" si="0"/>
        <v>295056</v>
      </c>
      <c r="E29" s="17">
        <f t="shared" si="1"/>
        <v>1452196.0935093798</v>
      </c>
      <c r="F29" s="21">
        <f t="shared" si="2"/>
        <v>4.92</v>
      </c>
    </row>
    <row r="30" spans="1:6" x14ac:dyDescent="0.2">
      <c r="A30" s="19">
        <v>26</v>
      </c>
      <c r="B30" s="143" t="s">
        <v>23</v>
      </c>
      <c r="C30" s="144"/>
      <c r="D30" s="14">
        <f t="shared" si="0"/>
        <v>55680</v>
      </c>
      <c r="E30" s="17">
        <f t="shared" si="1"/>
        <v>276513.17886300315</v>
      </c>
      <c r="F30" s="21">
        <f t="shared" si="2"/>
        <v>4.97</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1680163</v>
      </c>
      <c r="E33" s="31">
        <f>SUM(E5:E32)</f>
        <v>8827225</v>
      </c>
      <c r="F33" s="32">
        <f t="shared" si="2"/>
        <v>5.25</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IF(F3="1",SUMIF(Data!A:A,'39'!$A$2,Data!CU:CU),0)</f>
        <v>23712</v>
      </c>
      <c r="E36" s="15">
        <f>IF(F3="1",SUMIF(Data!$A:$A,$A$2,Data!IO:IO),0)</f>
        <v>21707</v>
      </c>
      <c r="F36" s="20">
        <f t="shared" ref="F36:F64" si="3">IF(OR(D36=0,E36=0),"",ROUND(E36/D36,2))</f>
        <v>0.92</v>
      </c>
    </row>
    <row r="37" spans="1:6" x14ac:dyDescent="0.2">
      <c r="A37" s="19">
        <v>2</v>
      </c>
      <c r="B37" s="143" t="s">
        <v>1</v>
      </c>
      <c r="C37" s="144"/>
      <c r="D37" s="14">
        <f>IF(F3="1",SUMIF(Data!A:A,'39'!$A$2,Data!CV:CV),0)</f>
        <v>0</v>
      </c>
      <c r="E37" s="17">
        <f>IF(F3="1",SUMIF(Data!$A:$A,$A$2,Data!IP:IP),0)</f>
        <v>0</v>
      </c>
      <c r="F37" s="21" t="str">
        <f t="shared" si="3"/>
        <v/>
      </c>
    </row>
    <row r="38" spans="1:6" ht="14.25" customHeight="1" x14ac:dyDescent="0.2">
      <c r="A38" s="19">
        <v>3</v>
      </c>
      <c r="B38" s="143" t="s">
        <v>2</v>
      </c>
      <c r="C38" s="144"/>
      <c r="D38" s="14">
        <f>IF(F3="1",SUMIF(Data!A:A,'39'!$A$2,Data!CW:CW),0)</f>
        <v>166512</v>
      </c>
      <c r="E38" s="17">
        <f>IF($F$3="1",SUMIF(Data!$A:$A,$A$2,Data!IQ:IQ),0)</f>
        <v>39012</v>
      </c>
      <c r="F38" s="21">
        <f t="shared" si="3"/>
        <v>0.23</v>
      </c>
    </row>
    <row r="39" spans="1:6" ht="14.25" customHeight="1" x14ac:dyDescent="0.2">
      <c r="A39" s="19">
        <v>4</v>
      </c>
      <c r="B39" s="143" t="s">
        <v>3</v>
      </c>
      <c r="C39" s="144"/>
      <c r="D39" s="14">
        <f>IF(F3="1",SUMIF(Data!A:A,'39'!$A$2,Data!CX:CX),0)</f>
        <v>248236</v>
      </c>
      <c r="E39" s="17">
        <f>IF($F$3="1",SUMIF(Data!$A:$A,$A$2,Data!IR:IR),0)</f>
        <v>89835</v>
      </c>
      <c r="F39" s="21">
        <f t="shared" si="3"/>
        <v>0.36</v>
      </c>
    </row>
    <row r="40" spans="1:6" x14ac:dyDescent="0.2">
      <c r="A40" s="19">
        <v>5</v>
      </c>
      <c r="B40" s="143" t="s">
        <v>4</v>
      </c>
      <c r="C40" s="144"/>
      <c r="D40" s="14">
        <f>IF(F3="1",SUMIF(Data!A:A,'39'!$A$2,Data!CY:CY),0)</f>
        <v>6672</v>
      </c>
      <c r="E40" s="17">
        <f>IF($F$3="1",SUMIF(Data!$A:$A,$A$2,Data!IS:IS),0)</f>
        <v>75431</v>
      </c>
      <c r="F40" s="21">
        <f t="shared" si="3"/>
        <v>11.31</v>
      </c>
    </row>
    <row r="41" spans="1:6" x14ac:dyDescent="0.2">
      <c r="A41" s="19">
        <v>6</v>
      </c>
      <c r="B41" s="143" t="s">
        <v>5</v>
      </c>
      <c r="C41" s="144"/>
      <c r="D41" s="14">
        <f>IF(F3="1",SUMIF(Data!A:A,'39'!$A$2,Data!CZ:CZ),0)</f>
        <v>5328</v>
      </c>
      <c r="E41" s="17">
        <f>IF($F$3="1",SUMIF(Data!$A:$A,$A$2,Data!IT:IT),0)</f>
        <v>5106</v>
      </c>
      <c r="F41" s="21">
        <f t="shared" si="3"/>
        <v>0.96</v>
      </c>
    </row>
    <row r="42" spans="1:6" x14ac:dyDescent="0.2">
      <c r="A42" s="19">
        <v>7</v>
      </c>
      <c r="B42" s="143" t="s">
        <v>6</v>
      </c>
      <c r="C42" s="144"/>
      <c r="D42" s="14">
        <f>IF(F3="1",SUMIF(Data!A:A,'39'!$A$2,Data!DA:DA),0)</f>
        <v>11808</v>
      </c>
      <c r="E42" s="17">
        <f>IF($F$3="1",SUMIF(Data!$A:$A,$A$2,Data!IU:IU),0)</f>
        <v>5957</v>
      </c>
      <c r="F42" s="21">
        <f t="shared" si="3"/>
        <v>0.5</v>
      </c>
    </row>
    <row r="43" spans="1:6" x14ac:dyDescent="0.2">
      <c r="A43" s="19">
        <v>8</v>
      </c>
      <c r="B43" s="143" t="s">
        <v>7</v>
      </c>
      <c r="C43" s="144"/>
      <c r="D43" s="14">
        <f>IF(F3="1",SUMIF(Data!A:A,'39'!$A$2,Data!DB:DB),0)</f>
        <v>22896</v>
      </c>
      <c r="E43" s="17">
        <f>IF($F$3="1",SUMIF(Data!$A:$A,$A$2,Data!IV:IV),0)</f>
        <v>10599</v>
      </c>
      <c r="F43" s="21">
        <f t="shared" si="3"/>
        <v>0.46</v>
      </c>
    </row>
    <row r="44" spans="1:6" x14ac:dyDescent="0.2">
      <c r="A44" s="19">
        <v>9</v>
      </c>
      <c r="B44" s="143" t="s">
        <v>8</v>
      </c>
      <c r="C44" s="144"/>
      <c r="D44" s="14">
        <f>IF(F3="1",SUMIF(Data!A:A,'39'!$A$2,Data!DC:DC),0)</f>
        <v>82288</v>
      </c>
      <c r="E44" s="17">
        <f>IF($F$3="1",SUMIF(Data!$A:$A,$A$2,Data!IW:IW),0)</f>
        <v>15901</v>
      </c>
      <c r="F44" s="21">
        <f t="shared" si="3"/>
        <v>0.19</v>
      </c>
    </row>
    <row r="45" spans="1:6" x14ac:dyDescent="0.2">
      <c r="A45" s="19">
        <v>10</v>
      </c>
      <c r="B45" s="143" t="s">
        <v>9</v>
      </c>
      <c r="C45" s="144"/>
      <c r="D45" s="14">
        <f>IF(F3="1",SUMIF(Data!A:A,'39'!$A$2,Data!DD:DD),0)</f>
        <v>0</v>
      </c>
      <c r="E45" s="17">
        <f>IF($F$3="1",SUMIF(Data!$A:$A,$A$2,Data!IX:IX),0)</f>
        <v>0</v>
      </c>
      <c r="F45" s="21" t="str">
        <f t="shared" si="3"/>
        <v/>
      </c>
    </row>
    <row r="46" spans="1:6" x14ac:dyDescent="0.2">
      <c r="A46" s="19">
        <v>11</v>
      </c>
      <c r="B46" s="143" t="s">
        <v>10</v>
      </c>
      <c r="C46" s="144"/>
      <c r="D46" s="14">
        <f>IF(F3="1",SUMIF(Data!A:A,'39'!$A$2,Data!DE:DE),0)</f>
        <v>0</v>
      </c>
      <c r="E46" s="17">
        <f>IF($F$3="1",SUMIF(Data!$A:$A,$A$2,Data!IY:IY),0)</f>
        <v>0</v>
      </c>
      <c r="F46" s="21" t="str">
        <f t="shared" si="3"/>
        <v/>
      </c>
    </row>
    <row r="47" spans="1:6" ht="14.25" customHeight="1" x14ac:dyDescent="0.2">
      <c r="A47" s="19">
        <v>12</v>
      </c>
      <c r="B47" s="143" t="s">
        <v>11</v>
      </c>
      <c r="C47" s="144"/>
      <c r="D47" s="14">
        <f>IF(F3="1",SUMIF(Data!A:A,'39'!$A$2,Data!DF:DF),0)</f>
        <v>297680</v>
      </c>
      <c r="E47" s="17">
        <f>IF($F$3="1",SUMIF(Data!$A:$A,$A$2,Data!IZ:IZ),0)</f>
        <v>89554</v>
      </c>
      <c r="F47" s="21">
        <f t="shared" si="3"/>
        <v>0.3</v>
      </c>
    </row>
    <row r="48" spans="1:6" x14ac:dyDescent="0.2">
      <c r="A48" s="19">
        <v>13</v>
      </c>
      <c r="B48" s="143" t="s">
        <v>12</v>
      </c>
      <c r="C48" s="144"/>
      <c r="D48" s="14">
        <f>IF(F3="1",SUMIF(Data!A:A,'39'!$A$2,Data!DG:DG),0)</f>
        <v>28320</v>
      </c>
      <c r="E48" s="17">
        <f>IF($F$3="1",SUMIF(Data!$A:$A,$A$2,Data!JA:JA),0)</f>
        <v>3199</v>
      </c>
      <c r="F48" s="21">
        <f t="shared" si="3"/>
        <v>0.11</v>
      </c>
    </row>
    <row r="49" spans="1:6" ht="14.25" customHeight="1" x14ac:dyDescent="0.2">
      <c r="A49" s="19">
        <v>14</v>
      </c>
      <c r="B49" s="143" t="s">
        <v>464</v>
      </c>
      <c r="C49" s="144"/>
      <c r="D49" s="14">
        <f>IF(F3="1",SUMIF(Data!A:A,'39'!$A$2,Data!DH:DH),0)</f>
        <v>0</v>
      </c>
      <c r="E49" s="17">
        <f>IF($F$3="1",SUMIF(Data!$A:$A,$A$2,Data!JB:JB),0)</f>
        <v>0</v>
      </c>
      <c r="F49" s="21" t="str">
        <f t="shared" si="3"/>
        <v/>
      </c>
    </row>
    <row r="50" spans="1:6" x14ac:dyDescent="0.2">
      <c r="A50" s="19">
        <v>15</v>
      </c>
      <c r="B50" s="143" t="s">
        <v>13</v>
      </c>
      <c r="C50" s="144"/>
      <c r="D50" s="14">
        <f>IF(F3="1",SUMIF(Data!A:A,'39'!$A$2,Data!DI:DI),0)</f>
        <v>0</v>
      </c>
      <c r="E50" s="17">
        <f>IF($F$3="1",SUMIF(Data!$A:$A,$A$2,Data!JC:JC),0)</f>
        <v>0</v>
      </c>
      <c r="F50" s="21" t="str">
        <f t="shared" si="3"/>
        <v/>
      </c>
    </row>
    <row r="51" spans="1:6" x14ac:dyDescent="0.2">
      <c r="A51" s="19">
        <v>16</v>
      </c>
      <c r="B51" s="143" t="s">
        <v>14</v>
      </c>
      <c r="C51" s="144"/>
      <c r="D51" s="14">
        <f>IF(F3="1",SUMIF(Data!A:A,'39'!$A$2,Data!DJ:DJ),0)</f>
        <v>0</v>
      </c>
      <c r="E51" s="17">
        <f>IF($F$3="1",SUMIF(Data!$A:$A,$A$2,Data!JD:JD),0)</f>
        <v>0</v>
      </c>
      <c r="F51" s="21" t="str">
        <f t="shared" si="3"/>
        <v/>
      </c>
    </row>
    <row r="52" spans="1:6" x14ac:dyDescent="0.2">
      <c r="A52" s="19">
        <v>17</v>
      </c>
      <c r="B52" s="143" t="s">
        <v>15</v>
      </c>
      <c r="C52" s="144"/>
      <c r="D52" s="14">
        <f>IF(F3="1",SUMIF(Data!A:A,'39'!$A$2,Data!DK:DK),0)</f>
        <v>0</v>
      </c>
      <c r="E52" s="17">
        <f>IF($F$3="1",SUMIF(Data!$A:$A,$A$2,Data!JE:JE),0)</f>
        <v>0</v>
      </c>
      <c r="F52" s="21" t="str">
        <f t="shared" si="3"/>
        <v/>
      </c>
    </row>
    <row r="53" spans="1:6" x14ac:dyDescent="0.2">
      <c r="A53" s="19">
        <v>18</v>
      </c>
      <c r="B53" s="143" t="s">
        <v>16</v>
      </c>
      <c r="C53" s="144"/>
      <c r="D53" s="14">
        <f>IF(F3="1",SUMIF(Data!A:A,'39'!$A$2,Data!DL:DL),0)</f>
        <v>53449</v>
      </c>
      <c r="E53" s="17">
        <f>IF($F$3="1",SUMIF(Data!$A:$A,$A$2,Data!JF:JF),0)</f>
        <v>37059</v>
      </c>
      <c r="F53" s="21">
        <f t="shared" si="3"/>
        <v>0.69</v>
      </c>
    </row>
    <row r="54" spans="1:6" x14ac:dyDescent="0.2">
      <c r="A54" s="19">
        <v>19</v>
      </c>
      <c r="B54" s="143" t="s">
        <v>17</v>
      </c>
      <c r="C54" s="144"/>
      <c r="D54" s="14">
        <f>IF(F3="1",SUMIF(Data!A:A,'39'!$A$2,Data!DM:DM),0)</f>
        <v>147488</v>
      </c>
      <c r="E54" s="17">
        <f>IF($F$3="1",SUMIF(Data!$A:$A,$A$2,Data!JG:JG),0)</f>
        <v>64188</v>
      </c>
      <c r="F54" s="21">
        <f t="shared" si="3"/>
        <v>0.44</v>
      </c>
    </row>
    <row r="55" spans="1:6" x14ac:dyDescent="0.2">
      <c r="A55" s="19">
        <v>20</v>
      </c>
      <c r="B55" s="143" t="s">
        <v>18</v>
      </c>
      <c r="C55" s="144"/>
      <c r="D55" s="14">
        <f>IF(F3="1",SUMIF(Data!A:A,'39'!$A$2,Data!DN:DN),0)</f>
        <v>36288</v>
      </c>
      <c r="E55" s="17">
        <f>IF($F$3="1",SUMIF(Data!$A:$A,$A$2,Data!JH:JH),0)</f>
        <v>11209</v>
      </c>
      <c r="F55" s="21">
        <f t="shared" si="3"/>
        <v>0.31</v>
      </c>
    </row>
    <row r="56" spans="1:6" ht="14.25" customHeight="1" x14ac:dyDescent="0.2">
      <c r="A56" s="19">
        <v>21</v>
      </c>
      <c r="B56" s="143" t="s">
        <v>461</v>
      </c>
      <c r="C56" s="144"/>
      <c r="D56" s="14">
        <f>IF(F3="1",SUMIF(Data!A:A,'39'!$A$2,Data!DO:DO),0)</f>
        <v>35818</v>
      </c>
      <c r="E56" s="17">
        <f>IF($F$3="1",SUMIF(Data!$A:$A,$A$2,Data!JI:JI),0)</f>
        <v>40714</v>
      </c>
      <c r="F56" s="21">
        <f t="shared" si="3"/>
        <v>1.1399999999999999</v>
      </c>
    </row>
    <row r="57" spans="1:6" x14ac:dyDescent="0.2">
      <c r="A57" s="19">
        <v>22</v>
      </c>
      <c r="B57" s="143" t="s">
        <v>19</v>
      </c>
      <c r="C57" s="144"/>
      <c r="D57" s="14">
        <f>IF(F3="1",SUMIF(Data!A:A,'39'!$A$2,Data!DP:DP),0)</f>
        <v>1856</v>
      </c>
      <c r="E57" s="17">
        <f>IF($F$3="1",SUMIF(Data!$A:$A,$A$2,Data!JJ:JJ),0)</f>
        <v>0</v>
      </c>
      <c r="F57" s="21" t="str">
        <f t="shared" si="3"/>
        <v/>
      </c>
    </row>
    <row r="58" spans="1:6" x14ac:dyDescent="0.2">
      <c r="A58" s="19">
        <v>23</v>
      </c>
      <c r="B58" s="143" t="s">
        <v>20</v>
      </c>
      <c r="C58" s="144"/>
      <c r="D58" s="14">
        <f>IF(F3="1",SUMIF(Data!A:A,'39'!$A$2,Data!DQ:DQ),0)</f>
        <v>73536</v>
      </c>
      <c r="E58" s="17">
        <f>IF($F$3="1",SUMIF(Data!$A:$A,$A$2,Data!JK:JK),0)</f>
        <v>58669</v>
      </c>
      <c r="F58" s="21">
        <f t="shared" si="3"/>
        <v>0.8</v>
      </c>
    </row>
    <row r="59" spans="1:6" x14ac:dyDescent="0.2">
      <c r="A59" s="19">
        <v>24</v>
      </c>
      <c r="B59" s="143" t="s">
        <v>21</v>
      </c>
      <c r="C59" s="144"/>
      <c r="D59" s="14">
        <f>IF(F3="1",SUMIF(Data!A:A,'39'!$A$2,Data!DR:DR),0)</f>
        <v>87540</v>
      </c>
      <c r="E59" s="17">
        <f>IF($F$3="1",SUMIF(Data!$A:$A,$A$2,Data!JL:JL),0)</f>
        <v>26459</v>
      </c>
      <c r="F59" s="21">
        <f t="shared" si="3"/>
        <v>0.3</v>
      </c>
    </row>
    <row r="60" spans="1:6" x14ac:dyDescent="0.2">
      <c r="A60" s="19">
        <v>25</v>
      </c>
      <c r="B60" s="143" t="s">
        <v>22</v>
      </c>
      <c r="C60" s="144"/>
      <c r="D60" s="14">
        <f>IF(F3="1",SUMIF(Data!A:A,'39'!$A$2,Data!DS:DS),0)</f>
        <v>295056</v>
      </c>
      <c r="E60" s="17">
        <f>IF($F$3="1",SUMIF(Data!$A:$A,$A$2,Data!JM:JM),0)</f>
        <v>29773</v>
      </c>
      <c r="F60" s="21">
        <f t="shared" si="3"/>
        <v>0.1</v>
      </c>
    </row>
    <row r="61" spans="1:6" x14ac:dyDescent="0.2">
      <c r="A61" s="19">
        <v>26</v>
      </c>
      <c r="B61" s="143" t="s">
        <v>23</v>
      </c>
      <c r="C61" s="144"/>
      <c r="D61" s="14">
        <f>IF(F3="1",SUMIF(Data!A:A,'39'!$A$2,Data!DT:DT),0)</f>
        <v>55680</v>
      </c>
      <c r="E61" s="17">
        <f>IF($F$3="1",SUMIF(Data!$A:$A,$A$2,Data!JN:JN),0)</f>
        <v>10725</v>
      </c>
      <c r="F61" s="21">
        <f t="shared" si="3"/>
        <v>0.19</v>
      </c>
    </row>
    <row r="62" spans="1:6" x14ac:dyDescent="0.2">
      <c r="A62" s="19">
        <v>28</v>
      </c>
      <c r="B62" s="143" t="s">
        <v>24</v>
      </c>
      <c r="C62" s="144"/>
      <c r="D62" s="14">
        <f>IF(F3="1",SUMIF(Data!A:A,'39'!$A$2,Data!DV:DV),0)</f>
        <v>0</v>
      </c>
      <c r="E62" s="17">
        <f>IF($F$3="1",SUMIF(Data!$A:$A,$A$2,Data!JP:JP),0)</f>
        <v>0</v>
      </c>
      <c r="F62" s="21" t="str">
        <f t="shared" si="3"/>
        <v/>
      </c>
    </row>
    <row r="63" spans="1:6" ht="15.75" customHeight="1" thickBot="1" x14ac:dyDescent="0.25">
      <c r="A63" s="22">
        <v>29</v>
      </c>
      <c r="B63" s="147" t="s">
        <v>25</v>
      </c>
      <c r="C63" s="148"/>
      <c r="D63" s="23">
        <f>IF(F3="1",SUMIF(Data!A:A,'39'!$A$2,Data!DW:DW),0)</f>
        <v>0</v>
      </c>
      <c r="E63" s="24">
        <f>IF($F$3="1",SUMIF(Data!$A:$A,$A$2,Data!JQ:JQ),0)</f>
        <v>0</v>
      </c>
      <c r="F63" s="25" t="str">
        <f t="shared" si="3"/>
        <v/>
      </c>
    </row>
    <row r="64" spans="1:6" x14ac:dyDescent="0.2">
      <c r="B64" s="30" t="s">
        <v>35</v>
      </c>
      <c r="C64" s="30"/>
      <c r="D64" s="59">
        <f>SUM(D36:D63)</f>
        <v>1680163</v>
      </c>
      <c r="E64" s="31">
        <f>SUM(E36:E63)</f>
        <v>635097</v>
      </c>
      <c r="F64" s="32">
        <f t="shared" si="3"/>
        <v>0.38</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23712</v>
      </c>
      <c r="E67" s="15">
        <f>IF(F3="1",SUMIF(Data!A:A,'39'!$A$2,Data!DY:DY),0)</f>
        <v>146984</v>
      </c>
      <c r="F67" s="20">
        <f t="shared" ref="F67:F95" si="4">IF(OR(D67=0,E67=0),"",ROUND(E67/D67,2))</f>
        <v>6.2</v>
      </c>
    </row>
    <row r="68" spans="1:6" x14ac:dyDescent="0.2">
      <c r="A68" s="19">
        <v>2</v>
      </c>
      <c r="B68" s="143" t="s">
        <v>1</v>
      </c>
      <c r="C68" s="144"/>
      <c r="D68" s="14">
        <f t="shared" ref="D68:D94" si="5">D37</f>
        <v>0</v>
      </c>
      <c r="E68" s="17">
        <f>IF(F3="1",SUMIF(Data!A:A,'39'!$A$2,Data!DZ:DZ),0)</f>
        <v>0</v>
      </c>
      <c r="F68" s="21" t="str">
        <f t="shared" si="4"/>
        <v/>
      </c>
    </row>
    <row r="69" spans="1:6" ht="14.25" customHeight="1" x14ac:dyDescent="0.2">
      <c r="A69" s="19">
        <v>3</v>
      </c>
      <c r="B69" s="143" t="s">
        <v>2</v>
      </c>
      <c r="C69" s="144"/>
      <c r="D69" s="14">
        <f t="shared" si="5"/>
        <v>166512</v>
      </c>
      <c r="E69" s="17">
        <f>IF(F3="1",SUMIF(Data!A:A,'39'!$A$2,Data!EA:EA),0)</f>
        <v>323752</v>
      </c>
      <c r="F69" s="21">
        <f t="shared" si="4"/>
        <v>1.94</v>
      </c>
    </row>
    <row r="70" spans="1:6" ht="14.25" customHeight="1" x14ac:dyDescent="0.2">
      <c r="A70" s="19">
        <v>4</v>
      </c>
      <c r="B70" s="143" t="s">
        <v>3</v>
      </c>
      <c r="C70" s="144"/>
      <c r="D70" s="14">
        <f t="shared" si="5"/>
        <v>248236</v>
      </c>
      <c r="E70" s="17">
        <f>IF(F3="1",SUMIF(Data!A:A,'39'!$A$2,Data!EB:EB),0)</f>
        <v>472908</v>
      </c>
      <c r="F70" s="21">
        <f t="shared" si="4"/>
        <v>1.91</v>
      </c>
    </row>
    <row r="71" spans="1:6" x14ac:dyDescent="0.2">
      <c r="A71" s="19">
        <v>5</v>
      </c>
      <c r="B71" s="143" t="s">
        <v>4</v>
      </c>
      <c r="C71" s="144"/>
      <c r="D71" s="14">
        <f t="shared" si="5"/>
        <v>6672</v>
      </c>
      <c r="E71" s="17">
        <f>IF(F3="1",SUMIF(Data!A:A,'39'!$A$2,Data!EC:EC),0)</f>
        <v>74822</v>
      </c>
      <c r="F71" s="21">
        <f t="shared" si="4"/>
        <v>11.21</v>
      </c>
    </row>
    <row r="72" spans="1:6" x14ac:dyDescent="0.2">
      <c r="A72" s="19">
        <v>6</v>
      </c>
      <c r="B72" s="143" t="s">
        <v>5</v>
      </c>
      <c r="C72" s="144"/>
      <c r="D72" s="14">
        <f t="shared" si="5"/>
        <v>5328</v>
      </c>
      <c r="E72" s="17">
        <f>IF(F3="1",SUMIF(Data!A:A,'39'!$A$2,Data!ED:ED),0)</f>
        <v>28083</v>
      </c>
      <c r="F72" s="21">
        <f t="shared" si="4"/>
        <v>5.27</v>
      </c>
    </row>
    <row r="73" spans="1:6" x14ac:dyDescent="0.2">
      <c r="A73" s="19">
        <v>7</v>
      </c>
      <c r="B73" s="143" t="s">
        <v>6</v>
      </c>
      <c r="C73" s="144"/>
      <c r="D73" s="14">
        <f t="shared" si="5"/>
        <v>11808</v>
      </c>
      <c r="E73" s="17">
        <f>IF(F3="1",SUMIF(Data!A:A,'39'!$A$2,Data!EE:EE),0)</f>
        <v>42277</v>
      </c>
      <c r="F73" s="21">
        <f t="shared" si="4"/>
        <v>3.58</v>
      </c>
    </row>
    <row r="74" spans="1:6" x14ac:dyDescent="0.2">
      <c r="A74" s="19">
        <v>8</v>
      </c>
      <c r="B74" s="143" t="s">
        <v>7</v>
      </c>
      <c r="C74" s="144"/>
      <c r="D74" s="14">
        <f t="shared" si="5"/>
        <v>22896</v>
      </c>
      <c r="E74" s="17">
        <f>IF(F3="1",SUMIF(Data!A:A,'39'!$A$2,Data!EF:EF),0)</f>
        <v>77297</v>
      </c>
      <c r="F74" s="21">
        <f t="shared" si="4"/>
        <v>3.38</v>
      </c>
    </row>
    <row r="75" spans="1:6" x14ac:dyDescent="0.2">
      <c r="A75" s="19">
        <v>9</v>
      </c>
      <c r="B75" s="143" t="s">
        <v>8</v>
      </c>
      <c r="C75" s="144"/>
      <c r="D75" s="14">
        <f t="shared" si="5"/>
        <v>82288</v>
      </c>
      <c r="E75" s="17">
        <f>IF(F3="1",SUMIF(Data!A:A,'39'!$A$2,Data!EG:EG),0)</f>
        <v>137866</v>
      </c>
      <c r="F75" s="21">
        <f t="shared" si="4"/>
        <v>1.68</v>
      </c>
    </row>
    <row r="76" spans="1:6" x14ac:dyDescent="0.2">
      <c r="A76" s="19">
        <v>10</v>
      </c>
      <c r="B76" s="143" t="s">
        <v>9</v>
      </c>
      <c r="C76" s="144"/>
      <c r="D76" s="14">
        <f t="shared" si="5"/>
        <v>0</v>
      </c>
      <c r="E76" s="17">
        <f>IF(F3="1",SUMIF(Data!A:A,'39'!$A$2,Data!EH:EH),0)</f>
        <v>0</v>
      </c>
      <c r="F76" s="21" t="str">
        <f t="shared" si="4"/>
        <v/>
      </c>
    </row>
    <row r="77" spans="1:6" x14ac:dyDescent="0.2">
      <c r="A77" s="19">
        <v>11</v>
      </c>
      <c r="B77" s="143" t="s">
        <v>10</v>
      </c>
      <c r="C77" s="144"/>
      <c r="D77" s="14">
        <f t="shared" si="5"/>
        <v>0</v>
      </c>
      <c r="E77" s="17">
        <f>IF(F3="1",SUMIF(Data!A:A,'39'!$A$2,Data!EI:EI),0)</f>
        <v>0</v>
      </c>
      <c r="F77" s="21" t="str">
        <f t="shared" si="4"/>
        <v/>
      </c>
    </row>
    <row r="78" spans="1:6" ht="14.25" customHeight="1" x14ac:dyDescent="0.2">
      <c r="A78" s="19">
        <v>12</v>
      </c>
      <c r="B78" s="143" t="s">
        <v>11</v>
      </c>
      <c r="C78" s="144"/>
      <c r="D78" s="14">
        <f t="shared" si="5"/>
        <v>297680</v>
      </c>
      <c r="E78" s="17">
        <f>IF(F3="1",SUMIF(Data!A:A,'39'!$A$2,Data!EJ:EJ),0)</f>
        <v>807404</v>
      </c>
      <c r="F78" s="21">
        <f t="shared" si="4"/>
        <v>2.71</v>
      </c>
    </row>
    <row r="79" spans="1:6" x14ac:dyDescent="0.2">
      <c r="A79" s="19">
        <v>13</v>
      </c>
      <c r="B79" s="143" t="s">
        <v>12</v>
      </c>
      <c r="C79" s="144"/>
      <c r="D79" s="14">
        <f t="shared" si="5"/>
        <v>28320</v>
      </c>
      <c r="E79" s="17">
        <f>IF(F3="1",SUMIF(Data!A:A,'39'!$A$2,Data!EK:EK),0)</f>
        <v>67887</v>
      </c>
      <c r="F79" s="21">
        <f t="shared" si="4"/>
        <v>2.4</v>
      </c>
    </row>
    <row r="80" spans="1:6" ht="14.25" customHeight="1" x14ac:dyDescent="0.2">
      <c r="A80" s="19">
        <v>14</v>
      </c>
      <c r="B80" s="143" t="s">
        <v>464</v>
      </c>
      <c r="C80" s="144"/>
      <c r="D80" s="14">
        <f t="shared" si="5"/>
        <v>0</v>
      </c>
      <c r="E80" s="17">
        <f>IF(F3="1",SUMIF(Data!A:A,'39'!$A$2,Data!EL:EL),0)</f>
        <v>0</v>
      </c>
      <c r="F80" s="21" t="str">
        <f t="shared" si="4"/>
        <v/>
      </c>
    </row>
    <row r="81" spans="1:6" x14ac:dyDescent="0.2">
      <c r="A81" s="19">
        <v>15</v>
      </c>
      <c r="B81" s="143" t="s">
        <v>13</v>
      </c>
      <c r="C81" s="144"/>
      <c r="D81" s="14">
        <f t="shared" si="5"/>
        <v>0</v>
      </c>
      <c r="E81" s="17">
        <f>IF(F3="1",SUMIF(Data!A:A,'39'!$A$2,Data!EM:EM),0)</f>
        <v>0</v>
      </c>
      <c r="F81" s="21" t="str">
        <f t="shared" si="4"/>
        <v/>
      </c>
    </row>
    <row r="82" spans="1:6" x14ac:dyDescent="0.2">
      <c r="A82" s="19">
        <v>16</v>
      </c>
      <c r="B82" s="143" t="s">
        <v>14</v>
      </c>
      <c r="C82" s="144"/>
      <c r="D82" s="14">
        <f t="shared" si="5"/>
        <v>0</v>
      </c>
      <c r="E82" s="17">
        <f>IF(F3="1",SUMIF(Data!A:A,'39'!$A$2,Data!EN:EN),0)</f>
        <v>0</v>
      </c>
      <c r="F82" s="21" t="str">
        <f t="shared" si="4"/>
        <v/>
      </c>
    </row>
    <row r="83" spans="1:6" x14ac:dyDescent="0.2">
      <c r="A83" s="19">
        <v>17</v>
      </c>
      <c r="B83" s="143" t="s">
        <v>15</v>
      </c>
      <c r="C83" s="144"/>
      <c r="D83" s="14">
        <f t="shared" si="5"/>
        <v>0</v>
      </c>
      <c r="E83" s="17">
        <f>IF(F3="1",SUMIF(Data!A:A,'39'!$A$2,Data!EO:EO),0)</f>
        <v>0</v>
      </c>
      <c r="F83" s="21" t="str">
        <f t="shared" si="4"/>
        <v/>
      </c>
    </row>
    <row r="84" spans="1:6" x14ac:dyDescent="0.2">
      <c r="A84" s="19">
        <v>18</v>
      </c>
      <c r="B84" s="143" t="s">
        <v>16</v>
      </c>
      <c r="C84" s="144"/>
      <c r="D84" s="14">
        <f t="shared" si="5"/>
        <v>53449</v>
      </c>
      <c r="E84" s="17">
        <f>IF(F3="1",SUMIF(Data!A:A,'39'!$A$2,Data!EP:EP),0)</f>
        <v>125397</v>
      </c>
      <c r="F84" s="21">
        <f t="shared" si="4"/>
        <v>2.35</v>
      </c>
    </row>
    <row r="85" spans="1:6" x14ac:dyDescent="0.2">
      <c r="A85" s="19">
        <v>19</v>
      </c>
      <c r="B85" s="143" t="s">
        <v>17</v>
      </c>
      <c r="C85" s="144"/>
      <c r="D85" s="14">
        <f t="shared" si="5"/>
        <v>147488</v>
      </c>
      <c r="E85" s="17">
        <f>IF(F3="1",SUMIF(Data!A:A,'39'!$A$2,Data!EQ:EQ),0)</f>
        <v>351157</v>
      </c>
      <c r="F85" s="21">
        <f t="shared" si="4"/>
        <v>2.38</v>
      </c>
    </row>
    <row r="86" spans="1:6" x14ac:dyDescent="0.2">
      <c r="A86" s="19">
        <v>20</v>
      </c>
      <c r="B86" s="143" t="s">
        <v>18</v>
      </c>
      <c r="C86" s="144"/>
      <c r="D86" s="14">
        <f t="shared" si="5"/>
        <v>36288</v>
      </c>
      <c r="E86" s="17">
        <f>IF(F3="1",SUMIF(Data!A:A,'39'!$A$2,Data!ER:ER),0)</f>
        <v>117086</v>
      </c>
      <c r="F86" s="21">
        <f t="shared" si="4"/>
        <v>3.23</v>
      </c>
    </row>
    <row r="87" spans="1:6" ht="14.25" customHeight="1" x14ac:dyDescent="0.2">
      <c r="A87" s="19">
        <v>21</v>
      </c>
      <c r="B87" s="143" t="s">
        <v>461</v>
      </c>
      <c r="C87" s="144"/>
      <c r="D87" s="14">
        <f t="shared" si="5"/>
        <v>35818</v>
      </c>
      <c r="E87" s="17">
        <f>IF(F3="1",SUMIF(Data!A:A,'39'!$A$2,Data!ES:ES),0)</f>
        <v>101243</v>
      </c>
      <c r="F87" s="21">
        <f t="shared" si="4"/>
        <v>2.83</v>
      </c>
    </row>
    <row r="88" spans="1:6" x14ac:dyDescent="0.2">
      <c r="A88" s="19">
        <v>22</v>
      </c>
      <c r="B88" s="143" t="s">
        <v>19</v>
      </c>
      <c r="C88" s="144"/>
      <c r="D88" s="14">
        <f t="shared" si="5"/>
        <v>1856</v>
      </c>
      <c r="E88" s="17">
        <f>IF(F3="1",SUMIF(Data!A:A,'39'!$A$2,Data!ET:ET),0)</f>
        <v>0</v>
      </c>
      <c r="F88" s="21" t="str">
        <f t="shared" si="4"/>
        <v/>
      </c>
    </row>
    <row r="89" spans="1:6" x14ac:dyDescent="0.2">
      <c r="A89" s="19">
        <v>23</v>
      </c>
      <c r="B89" s="143" t="s">
        <v>20</v>
      </c>
      <c r="C89" s="144"/>
      <c r="D89" s="14">
        <f t="shared" si="5"/>
        <v>73536</v>
      </c>
      <c r="E89" s="17">
        <f>IF(F3="1",SUMIF(Data!A:A,'39'!$A$2,Data!EU:EU),0)</f>
        <v>156156</v>
      </c>
      <c r="F89" s="21">
        <f t="shared" si="4"/>
        <v>2.12</v>
      </c>
    </row>
    <row r="90" spans="1:6" x14ac:dyDescent="0.2">
      <c r="A90" s="19">
        <v>24</v>
      </c>
      <c r="B90" s="143" t="s">
        <v>21</v>
      </c>
      <c r="C90" s="144"/>
      <c r="D90" s="14">
        <f t="shared" si="5"/>
        <v>87540</v>
      </c>
      <c r="E90" s="17">
        <f>IF(F3="1",SUMIF(Data!A:A,'39'!$A$2,Data!EV:EV),0)</f>
        <v>123595</v>
      </c>
      <c r="F90" s="21">
        <f t="shared" si="4"/>
        <v>1.41</v>
      </c>
    </row>
    <row r="91" spans="1:6" x14ac:dyDescent="0.2">
      <c r="A91" s="19">
        <v>25</v>
      </c>
      <c r="B91" s="143" t="s">
        <v>22</v>
      </c>
      <c r="C91" s="144"/>
      <c r="D91" s="14">
        <f t="shared" si="5"/>
        <v>295056</v>
      </c>
      <c r="E91" s="17">
        <f>IF(F3="1",SUMIF(Data!A:A,'39'!$A$2,Data!EW:EW),0)</f>
        <v>678916</v>
      </c>
      <c r="F91" s="21">
        <f t="shared" si="4"/>
        <v>2.2999999999999998</v>
      </c>
    </row>
    <row r="92" spans="1:6" x14ac:dyDescent="0.2">
      <c r="A92" s="19">
        <v>26</v>
      </c>
      <c r="B92" s="143" t="s">
        <v>23</v>
      </c>
      <c r="C92" s="144"/>
      <c r="D92" s="14">
        <f t="shared" si="5"/>
        <v>55680</v>
      </c>
      <c r="E92" s="17">
        <f>IF(F3="1",SUMIF(Data!A:A,'39'!$A$2,Data!EX:EX),0)</f>
        <v>125481</v>
      </c>
      <c r="F92" s="21">
        <f t="shared" si="4"/>
        <v>2.25</v>
      </c>
    </row>
    <row r="93" spans="1:6" x14ac:dyDescent="0.2">
      <c r="A93" s="19">
        <v>28</v>
      </c>
      <c r="B93" s="143" t="s">
        <v>24</v>
      </c>
      <c r="C93" s="144"/>
      <c r="D93" s="14">
        <f t="shared" si="5"/>
        <v>0</v>
      </c>
      <c r="E93" s="17">
        <f>IF(F3="1",SUMIF(Data!A:A,'39'!$A$2,Data!EZ:EZ),0)</f>
        <v>0</v>
      </c>
      <c r="F93" s="21" t="str">
        <f t="shared" si="4"/>
        <v/>
      </c>
    </row>
    <row r="94" spans="1:6" ht="15.75" customHeight="1" thickBot="1" x14ac:dyDescent="0.25">
      <c r="A94" s="22">
        <v>29</v>
      </c>
      <c r="B94" s="147" t="s">
        <v>25</v>
      </c>
      <c r="C94" s="148"/>
      <c r="D94" s="23">
        <f t="shared" si="5"/>
        <v>0</v>
      </c>
      <c r="E94" s="24">
        <f>IF(F3="1",SUMIF(Data!A:A,'39'!$A$2,Data!FA:FA),0)</f>
        <v>0</v>
      </c>
      <c r="F94" s="25" t="str">
        <f t="shared" si="4"/>
        <v/>
      </c>
    </row>
    <row r="95" spans="1:6" x14ac:dyDescent="0.2">
      <c r="B95" s="30" t="s">
        <v>35</v>
      </c>
      <c r="C95" s="30"/>
      <c r="D95" s="59">
        <f>SUM(D67:D94)</f>
        <v>1680163</v>
      </c>
      <c r="E95" s="31">
        <f>SUM(E67:E94)</f>
        <v>3958311</v>
      </c>
      <c r="F95" s="32">
        <f t="shared" si="4"/>
        <v>2.36</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IF(F3="1",SUMIF(Data!A:A,'39'!$A$2,Data!AH:AH),0)</f>
        <v>1970189</v>
      </c>
      <c r="F98" s="20">
        <f>IF(OR(E98=0,E98=0),"",ROUND(E98/$D$105,2))</f>
        <v>1.17</v>
      </c>
    </row>
    <row r="99" spans="2:6" x14ac:dyDescent="0.2">
      <c r="B99" s="153" t="s">
        <v>31</v>
      </c>
      <c r="C99" s="154"/>
      <c r="D99" s="36"/>
      <c r="E99" s="17">
        <f>IF(F3="1",SUMIF(Data!A:A,'39'!$A$2,Data!AI:AI),0)</f>
        <v>701360</v>
      </c>
      <c r="F99" s="21">
        <f t="shared" ref="F99:F104" si="6">IF(OR(E99=0,E99=0),"",ROUND(E99/$D$105,2))</f>
        <v>0.42</v>
      </c>
    </row>
    <row r="100" spans="2:6" x14ac:dyDescent="0.2">
      <c r="B100" s="153" t="s">
        <v>1078</v>
      </c>
      <c r="C100" s="154"/>
      <c r="D100" s="36"/>
      <c r="E100" s="17">
        <f>IF(F3="1",SUMIF(Data!A:A,'39'!$A$2,Data!AJ:AJ),0)</f>
        <v>436530</v>
      </c>
      <c r="F100" s="21">
        <f t="shared" si="6"/>
        <v>0.26</v>
      </c>
    </row>
    <row r="101" spans="2:6" x14ac:dyDescent="0.2">
      <c r="B101" s="153" t="s">
        <v>1079</v>
      </c>
      <c r="C101" s="154"/>
      <c r="D101" s="36"/>
      <c r="E101" s="17">
        <f>IF(F3="1",SUMIF(Data!A:A,'39'!$A$2,Data!AK:AK),0)</f>
        <v>716563</v>
      </c>
      <c r="F101" s="21">
        <f t="shared" si="6"/>
        <v>0.43</v>
      </c>
    </row>
    <row r="102" spans="2:6" x14ac:dyDescent="0.2">
      <c r="B102" s="153" t="s">
        <v>1080</v>
      </c>
      <c r="C102" s="154"/>
      <c r="D102" s="36"/>
      <c r="E102" s="17">
        <f>IF(F3="1",SUMIF(Data!A:A,'39'!$A$2,Data!AL:AL),0)</f>
        <v>0</v>
      </c>
      <c r="F102" s="21" t="str">
        <f t="shared" si="6"/>
        <v/>
      </c>
    </row>
    <row r="103" spans="2:6" x14ac:dyDescent="0.2">
      <c r="B103" s="155" t="s">
        <v>34</v>
      </c>
      <c r="C103" s="156"/>
      <c r="D103" s="36"/>
      <c r="E103" s="17">
        <f>IF(F3="1",SUMIF(Data!A:A,'39'!$A$2,Data!AM:AM),0)</f>
        <v>0</v>
      </c>
      <c r="F103" s="21" t="str">
        <f t="shared" si="6"/>
        <v/>
      </c>
    </row>
    <row r="104" spans="2:6" ht="15.75" customHeight="1" thickBot="1" x14ac:dyDescent="0.25">
      <c r="B104" s="149" t="s">
        <v>29</v>
      </c>
      <c r="C104" s="150"/>
      <c r="D104" s="37"/>
      <c r="E104" s="24">
        <f>IF(F3="1",SUMIF(Data!A:A,'39'!$A$2,Data!Q:Q),0)</f>
        <v>409175</v>
      </c>
      <c r="F104" s="25">
        <f t="shared" si="6"/>
        <v>0.24</v>
      </c>
    </row>
    <row r="105" spans="2:6" x14ac:dyDescent="0.2">
      <c r="B105" s="30" t="s">
        <v>35</v>
      </c>
      <c r="C105" s="30"/>
      <c r="D105" s="34">
        <f>D95</f>
        <v>1680163</v>
      </c>
      <c r="E105" s="31">
        <f>SUM(E98:E104)</f>
        <v>4233817</v>
      </c>
      <c r="F105" s="32">
        <f>IF($D$105=0,"",ROUND(E105/$D$105,2))</f>
        <v>2.52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3958311</v>
      </c>
      <c r="D109" s="15">
        <f>IF(F3="1",SUMIF(Data!$A:$A,$A$2,Data!HJ:HJ),0)</f>
        <v>0</v>
      </c>
      <c r="E109" s="15">
        <f>IF(F3="1",SUMIF(Data!$A:$A,$A$2,Data!IN:IN),0)</f>
        <v>0</v>
      </c>
      <c r="F109" s="47">
        <f>SUM(C109:E109)</f>
        <v>3958311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409175</v>
      </c>
      <c r="E117" s="52"/>
      <c r="F117" s="49">
        <f>SUM(C117:E117)</f>
        <v>409175</v>
      </c>
    </row>
    <row r="118" spans="1:6" x14ac:dyDescent="0.2">
      <c r="B118" s="13" t="s">
        <v>35</v>
      </c>
      <c r="C118" s="4">
        <f>SUM(C109:C116)</f>
        <v>3958311</v>
      </c>
      <c r="D118" s="4">
        <f>SUM(D109:D116)</f>
        <v>0</v>
      </c>
      <c r="E118" s="4">
        <f>SUM(E109:E116)</f>
        <v>0</v>
      </c>
      <c r="F118" s="4">
        <f>SUM(F109:F116)</f>
        <v>3958311</v>
      </c>
    </row>
    <row r="119" spans="1:6" ht="15" thickBot="1" x14ac:dyDescent="0.25"/>
    <row r="120" spans="1:6" ht="15" thickBot="1" x14ac:dyDescent="0.25">
      <c r="B120" s="55" t="s">
        <v>934</v>
      </c>
      <c r="C120" s="53"/>
      <c r="D120" s="53"/>
      <c r="E120" s="53">
        <f>IF(F3="1",SUMIF(Data!A:A,'39'!$A$2,Data!AM:AM),0)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2" width="13.42578125" style="10" bestFit="1" customWidth="1"/>
    <col min="13" max="13" width="13.5703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1070</v>
      </c>
      <c r="B2" s="58" t="str">
        <f>VLOOKUP(A2,Data!A:G,7,0)</f>
        <v>Tarrant County College District</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20708</v>
      </c>
      <c r="E5" s="15">
        <f>E36+E67+IFERROR($E$105/$D$105*D5,0)</f>
        <v>163789.24875227062</v>
      </c>
      <c r="F5" s="20">
        <f>IF(OR(D5=0,E5=0),"",ROUND(E5/D5,2))</f>
        <v>7.91</v>
      </c>
    </row>
    <row r="6" spans="1:6" x14ac:dyDescent="0.2">
      <c r="A6" s="19">
        <v>2</v>
      </c>
      <c r="B6" s="143" t="s">
        <v>1</v>
      </c>
      <c r="C6" s="144"/>
      <c r="D6" s="14">
        <f t="shared" ref="D6:D32" si="0">D37</f>
        <v>189890</v>
      </c>
      <c r="E6" s="17">
        <f t="shared" ref="E6:E32" si="1">E37+E68+IFERROR($E$105/$D$105*D6,0)</f>
        <v>1876970.9523647223</v>
      </c>
      <c r="F6" s="21">
        <f t="shared" ref="F6:F33" si="2">IF(OR(D6=0,E6=0),"",ROUND(E6/D6,2))</f>
        <v>9.8800000000000008</v>
      </c>
    </row>
    <row r="7" spans="1:6" ht="14.25" customHeight="1" x14ac:dyDescent="0.2">
      <c r="A7" s="19">
        <v>3</v>
      </c>
      <c r="B7" s="143" t="s">
        <v>2</v>
      </c>
      <c r="C7" s="144"/>
      <c r="D7" s="14">
        <f t="shared" si="0"/>
        <v>1112304</v>
      </c>
      <c r="E7" s="17">
        <f t="shared" si="1"/>
        <v>7278679.6463272944</v>
      </c>
      <c r="F7" s="21">
        <f t="shared" si="2"/>
        <v>6.54</v>
      </c>
    </row>
    <row r="8" spans="1:6" ht="14.25" customHeight="1" x14ac:dyDescent="0.2">
      <c r="A8" s="19">
        <v>4</v>
      </c>
      <c r="B8" s="143" t="s">
        <v>3</v>
      </c>
      <c r="C8" s="144"/>
      <c r="D8" s="14">
        <f t="shared" si="0"/>
        <v>689929</v>
      </c>
      <c r="E8" s="17">
        <f t="shared" si="1"/>
        <v>4963015.6848756671</v>
      </c>
      <c r="F8" s="21">
        <f t="shared" si="2"/>
        <v>7.19</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17248</v>
      </c>
      <c r="E10" s="17">
        <f t="shared" si="1"/>
        <v>191309.21491593411</v>
      </c>
      <c r="F10" s="21">
        <f t="shared" si="2"/>
        <v>11.09</v>
      </c>
    </row>
    <row r="11" spans="1:6" x14ac:dyDescent="0.2">
      <c r="A11" s="19">
        <v>7</v>
      </c>
      <c r="B11" s="143" t="s">
        <v>6</v>
      </c>
      <c r="C11" s="144"/>
      <c r="D11" s="14">
        <f t="shared" si="0"/>
        <v>998841</v>
      </c>
      <c r="E11" s="17">
        <f t="shared" si="1"/>
        <v>5046283.2260462977</v>
      </c>
      <c r="F11" s="21">
        <f t="shared" si="2"/>
        <v>5.05</v>
      </c>
    </row>
    <row r="12" spans="1:6" x14ac:dyDescent="0.2">
      <c r="A12" s="19">
        <v>8</v>
      </c>
      <c r="B12" s="143" t="s">
        <v>7</v>
      </c>
      <c r="C12" s="144"/>
      <c r="D12" s="14">
        <f t="shared" si="0"/>
        <v>48</v>
      </c>
      <c r="E12" s="17">
        <f t="shared" si="1"/>
        <v>1052.8039376139168</v>
      </c>
      <c r="F12" s="21">
        <f t="shared" si="2"/>
        <v>21.93</v>
      </c>
    </row>
    <row r="13" spans="1:6" x14ac:dyDescent="0.2">
      <c r="A13" s="19">
        <v>9</v>
      </c>
      <c r="B13" s="143" t="s">
        <v>8</v>
      </c>
      <c r="C13" s="144"/>
      <c r="D13" s="14">
        <f t="shared" si="0"/>
        <v>133552</v>
      </c>
      <c r="E13" s="17">
        <f t="shared" si="1"/>
        <v>1167545.1557544547</v>
      </c>
      <c r="F13" s="21">
        <f t="shared" si="2"/>
        <v>8.74</v>
      </c>
    </row>
    <row r="14" spans="1:6" x14ac:dyDescent="0.2">
      <c r="A14" s="19">
        <v>10</v>
      </c>
      <c r="B14" s="143" t="s">
        <v>9</v>
      </c>
      <c r="C14" s="144"/>
      <c r="D14" s="14">
        <f t="shared" si="0"/>
        <v>12672</v>
      </c>
      <c r="E14" s="17">
        <f t="shared" si="1"/>
        <v>111811.23953007405</v>
      </c>
      <c r="F14" s="21">
        <f t="shared" si="2"/>
        <v>8.82</v>
      </c>
    </row>
    <row r="15" spans="1:6" x14ac:dyDescent="0.2">
      <c r="A15" s="19">
        <v>11</v>
      </c>
      <c r="B15" s="143" t="s">
        <v>10</v>
      </c>
      <c r="C15" s="144"/>
      <c r="D15" s="14">
        <f t="shared" si="0"/>
        <v>103344</v>
      </c>
      <c r="E15" s="17">
        <f t="shared" si="1"/>
        <v>1096173.8776827629</v>
      </c>
      <c r="F15" s="21">
        <f t="shared" si="2"/>
        <v>10.61</v>
      </c>
    </row>
    <row r="16" spans="1:6" ht="14.25" customHeight="1" x14ac:dyDescent="0.2">
      <c r="A16" s="19">
        <v>12</v>
      </c>
      <c r="B16" s="143" t="s">
        <v>11</v>
      </c>
      <c r="C16" s="144"/>
      <c r="D16" s="14">
        <f t="shared" si="0"/>
        <v>1675267</v>
      </c>
      <c r="E16" s="17">
        <f t="shared" si="1"/>
        <v>9696086.1907219514</v>
      </c>
      <c r="F16" s="21">
        <f t="shared" si="2"/>
        <v>5.79</v>
      </c>
    </row>
    <row r="17" spans="1:6" x14ac:dyDescent="0.2">
      <c r="A17" s="19">
        <v>13</v>
      </c>
      <c r="B17" s="143" t="s">
        <v>12</v>
      </c>
      <c r="C17" s="144"/>
      <c r="D17" s="14">
        <f t="shared" si="0"/>
        <v>336320</v>
      </c>
      <c r="E17" s="17">
        <f t="shared" si="1"/>
        <v>1882976.5895481771</v>
      </c>
      <c r="F17" s="21">
        <f t="shared" si="2"/>
        <v>5.6</v>
      </c>
    </row>
    <row r="18" spans="1:6" ht="14.25" customHeight="1" x14ac:dyDescent="0.2">
      <c r="A18" s="19">
        <v>14</v>
      </c>
      <c r="B18" s="143" t="s">
        <v>464</v>
      </c>
      <c r="C18" s="144"/>
      <c r="D18" s="14">
        <f t="shared" si="0"/>
        <v>196537</v>
      </c>
      <c r="E18" s="17">
        <f t="shared" si="1"/>
        <v>2059364.010142216</v>
      </c>
      <c r="F18" s="21">
        <f t="shared" si="2"/>
        <v>10.48</v>
      </c>
    </row>
    <row r="19" spans="1:6" x14ac:dyDescent="0.2">
      <c r="A19" s="19">
        <v>15</v>
      </c>
      <c r="B19" s="143" t="s">
        <v>13</v>
      </c>
      <c r="C19" s="144"/>
      <c r="D19" s="14">
        <f t="shared" si="0"/>
        <v>32936</v>
      </c>
      <c r="E19" s="17">
        <f t="shared" si="1"/>
        <v>345897.80185941595</v>
      </c>
      <c r="F19" s="21">
        <f t="shared" si="2"/>
        <v>10.5</v>
      </c>
    </row>
    <row r="20" spans="1:6" x14ac:dyDescent="0.2">
      <c r="A20" s="19">
        <v>16</v>
      </c>
      <c r="B20" s="143" t="s">
        <v>14</v>
      </c>
      <c r="C20" s="144"/>
      <c r="D20" s="14">
        <f t="shared" si="0"/>
        <v>292463</v>
      </c>
      <c r="E20" s="17">
        <f t="shared" si="1"/>
        <v>2009727.6042995616</v>
      </c>
      <c r="F20" s="21">
        <f t="shared" si="2"/>
        <v>6.87</v>
      </c>
    </row>
    <row r="21" spans="1:6" x14ac:dyDescent="0.2">
      <c r="A21" s="19">
        <v>17</v>
      </c>
      <c r="B21" s="143" t="s">
        <v>15</v>
      </c>
      <c r="C21" s="144"/>
      <c r="D21" s="14">
        <f t="shared" si="0"/>
        <v>36238</v>
      </c>
      <c r="E21" s="17">
        <f t="shared" si="1"/>
        <v>374656.39773443993</v>
      </c>
      <c r="F21" s="21">
        <f t="shared" si="2"/>
        <v>10.34</v>
      </c>
    </row>
    <row r="22" spans="1:6" x14ac:dyDescent="0.2">
      <c r="A22" s="19">
        <v>18</v>
      </c>
      <c r="B22" s="143" t="s">
        <v>16</v>
      </c>
      <c r="C22" s="144"/>
      <c r="D22" s="14">
        <f t="shared" si="0"/>
        <v>32218</v>
      </c>
      <c r="E22" s="17">
        <f t="shared" si="1"/>
        <v>144072.31795927443</v>
      </c>
      <c r="F22" s="21">
        <f t="shared" si="2"/>
        <v>4.47</v>
      </c>
    </row>
    <row r="23" spans="1:6" x14ac:dyDescent="0.2">
      <c r="A23" s="19">
        <v>19</v>
      </c>
      <c r="B23" s="143" t="s">
        <v>17</v>
      </c>
      <c r="C23" s="144"/>
      <c r="D23" s="14">
        <f t="shared" si="0"/>
        <v>1137121</v>
      </c>
      <c r="E23" s="17">
        <f t="shared" si="1"/>
        <v>6181682.0696557239</v>
      </c>
      <c r="F23" s="21">
        <f t="shared" si="2"/>
        <v>5.44</v>
      </c>
    </row>
    <row r="24" spans="1:6" x14ac:dyDescent="0.2">
      <c r="A24" s="19">
        <v>20</v>
      </c>
      <c r="B24" s="143" t="s">
        <v>18</v>
      </c>
      <c r="C24" s="144"/>
      <c r="D24" s="14">
        <f t="shared" si="0"/>
        <v>105817</v>
      </c>
      <c r="E24" s="17">
        <f t="shared" si="1"/>
        <v>906108.56805191329</v>
      </c>
      <c r="F24" s="21">
        <f t="shared" si="2"/>
        <v>8.56</v>
      </c>
    </row>
    <row r="25" spans="1:6" ht="14.25" customHeight="1" x14ac:dyDescent="0.2">
      <c r="A25" s="19">
        <v>21</v>
      </c>
      <c r="B25" s="143" t="s">
        <v>461</v>
      </c>
      <c r="C25" s="144"/>
      <c r="D25" s="14">
        <f t="shared" si="0"/>
        <v>153376</v>
      </c>
      <c r="E25" s="17">
        <f t="shared" si="1"/>
        <v>1466460.1819890023</v>
      </c>
      <c r="F25" s="21">
        <f t="shared" si="2"/>
        <v>9.56</v>
      </c>
    </row>
    <row r="26" spans="1:6" x14ac:dyDescent="0.2">
      <c r="A26" s="19">
        <v>22</v>
      </c>
      <c r="B26" s="143" t="s">
        <v>19</v>
      </c>
      <c r="C26" s="144"/>
      <c r="D26" s="14">
        <f t="shared" si="0"/>
        <v>168244</v>
      </c>
      <c r="E26" s="17">
        <f t="shared" si="1"/>
        <v>1025457.951664913</v>
      </c>
      <c r="F26" s="21">
        <f t="shared" si="2"/>
        <v>6.1</v>
      </c>
    </row>
    <row r="27" spans="1:6" x14ac:dyDescent="0.2">
      <c r="A27" s="19">
        <v>23</v>
      </c>
      <c r="B27" s="143" t="s">
        <v>20</v>
      </c>
      <c r="C27" s="144"/>
      <c r="D27" s="14">
        <f t="shared" si="0"/>
        <v>333869</v>
      </c>
      <c r="E27" s="17">
        <f t="shared" si="1"/>
        <v>2373559.2259837668</v>
      </c>
      <c r="F27" s="21">
        <f t="shared" si="2"/>
        <v>7.11</v>
      </c>
    </row>
    <row r="28" spans="1:6" x14ac:dyDescent="0.2">
      <c r="A28" s="19">
        <v>24</v>
      </c>
      <c r="B28" s="143" t="s">
        <v>21</v>
      </c>
      <c r="C28" s="144"/>
      <c r="D28" s="14">
        <f t="shared" si="0"/>
        <v>262762</v>
      </c>
      <c r="E28" s="17">
        <f t="shared" si="1"/>
        <v>2081238.6303189169</v>
      </c>
      <c r="F28" s="21">
        <f t="shared" si="2"/>
        <v>7.92</v>
      </c>
    </row>
    <row r="29" spans="1:6" x14ac:dyDescent="0.2">
      <c r="A29" s="19">
        <v>25</v>
      </c>
      <c r="B29" s="143" t="s">
        <v>22</v>
      </c>
      <c r="C29" s="144"/>
      <c r="D29" s="14">
        <f t="shared" si="0"/>
        <v>1914208</v>
      </c>
      <c r="E29" s="17">
        <f t="shared" si="1"/>
        <v>10516161.829417927</v>
      </c>
      <c r="F29" s="21">
        <f t="shared" si="2"/>
        <v>5.49</v>
      </c>
    </row>
    <row r="30" spans="1:6" x14ac:dyDescent="0.2">
      <c r="A30" s="19">
        <v>26</v>
      </c>
      <c r="B30" s="143" t="s">
        <v>23</v>
      </c>
      <c r="C30" s="144"/>
      <c r="D30" s="14">
        <f t="shared" si="0"/>
        <v>406912</v>
      </c>
      <c r="E30" s="17">
        <f t="shared" si="1"/>
        <v>3058533.5804657107</v>
      </c>
      <c r="F30" s="21">
        <f t="shared" si="2"/>
        <v>7.52</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10362824</v>
      </c>
      <c r="E33" s="31">
        <f>SUM(E5:E32)</f>
        <v>66018614</v>
      </c>
      <c r="F33" s="32">
        <f t="shared" si="2"/>
        <v>6.37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IF(F3="1",SUMIF(Data!A:A,'40'!$A$2,Data!CU:CU),0)</f>
        <v>20708</v>
      </c>
      <c r="E36" s="15">
        <f>IF(F3="1",SUMIF(Data!$A:$A,$A$2,Data!IO:IO),0)</f>
        <v>36143</v>
      </c>
      <c r="F36" s="20">
        <f t="shared" ref="F36:F64" si="3">IF(OR(D36=0,E36=0),"",ROUND(E36/D36,2))</f>
        <v>1.75</v>
      </c>
    </row>
    <row r="37" spans="1:6" x14ac:dyDescent="0.2">
      <c r="A37" s="19">
        <v>2</v>
      </c>
      <c r="B37" s="143" t="s">
        <v>1</v>
      </c>
      <c r="C37" s="144"/>
      <c r="D37" s="14">
        <f>IF(F3="1",SUMIF(Data!A:A,'40'!$A$2,Data!CV:CV),0)</f>
        <v>189890</v>
      </c>
      <c r="E37" s="17">
        <f>IF(F3="1",SUMIF(Data!$A:$A,$A$2,Data!IP:IP),0)</f>
        <v>576916</v>
      </c>
      <c r="F37" s="21">
        <f t="shared" si="3"/>
        <v>3.04</v>
      </c>
    </row>
    <row r="38" spans="1:6" ht="14.25" customHeight="1" x14ac:dyDescent="0.2">
      <c r="A38" s="19">
        <v>3</v>
      </c>
      <c r="B38" s="143" t="s">
        <v>2</v>
      </c>
      <c r="C38" s="144"/>
      <c r="D38" s="14">
        <f>IF(F3="1",SUMIF(Data!A:A,'40'!$A$2,Data!CW:CW),0)</f>
        <v>1112304</v>
      </c>
      <c r="E38" s="17">
        <f>IF($F$3="1",SUMIF(Data!$A:$A,$A$2,Data!IQ:IQ),0)</f>
        <v>998800</v>
      </c>
      <c r="F38" s="21">
        <f t="shared" si="3"/>
        <v>0.9</v>
      </c>
    </row>
    <row r="39" spans="1:6" ht="14.25" customHeight="1" x14ac:dyDescent="0.2">
      <c r="A39" s="19">
        <v>4</v>
      </c>
      <c r="B39" s="143" t="s">
        <v>3</v>
      </c>
      <c r="C39" s="144"/>
      <c r="D39" s="14">
        <f>IF(F3="1",SUMIF(Data!A:A,'40'!$A$2,Data!CX:CX),0)</f>
        <v>689929</v>
      </c>
      <c r="E39" s="17">
        <f>IF($F$3="1",SUMIF(Data!$A:$A,$A$2,Data!IR:IR),0)</f>
        <v>396605</v>
      </c>
      <c r="F39" s="21">
        <f t="shared" si="3"/>
        <v>0.56999999999999995</v>
      </c>
    </row>
    <row r="40" spans="1:6" x14ac:dyDescent="0.2">
      <c r="A40" s="19">
        <v>5</v>
      </c>
      <c r="B40" s="143" t="s">
        <v>4</v>
      </c>
      <c r="C40" s="144"/>
      <c r="D40" s="14">
        <f>IF(F3="1",SUMIF(Data!A:A,'40'!$A$2,Data!CY:CY),0)</f>
        <v>0</v>
      </c>
      <c r="E40" s="17">
        <f>IF($F$3="1",SUMIF(Data!$A:$A,$A$2,Data!IS:IS),0)</f>
        <v>0</v>
      </c>
      <c r="F40" s="21" t="str">
        <f t="shared" si="3"/>
        <v/>
      </c>
    </row>
    <row r="41" spans="1:6" x14ac:dyDescent="0.2">
      <c r="A41" s="19">
        <v>6</v>
      </c>
      <c r="B41" s="143" t="s">
        <v>5</v>
      </c>
      <c r="C41" s="144"/>
      <c r="D41" s="14">
        <f>IF(F3="1",SUMIF(Data!A:A,'40'!$A$2,Data!CZ:CZ),0)</f>
        <v>17248</v>
      </c>
      <c r="E41" s="17">
        <f>IF($F$3="1",SUMIF(Data!$A:$A,$A$2,Data!IT:IT),0)</f>
        <v>29718</v>
      </c>
      <c r="F41" s="21">
        <f t="shared" si="3"/>
        <v>1.72</v>
      </c>
    </row>
    <row r="42" spans="1:6" x14ac:dyDescent="0.2">
      <c r="A42" s="19">
        <v>7</v>
      </c>
      <c r="B42" s="143" t="s">
        <v>6</v>
      </c>
      <c r="C42" s="144"/>
      <c r="D42" s="14">
        <f>IF(F3="1",SUMIF(Data!A:A,'40'!$A$2,Data!DA:DA),0)</f>
        <v>998841</v>
      </c>
      <c r="E42" s="17">
        <f>IF($F$3="1",SUMIF(Data!$A:$A,$A$2,Data!IU:IU),0)</f>
        <v>614600</v>
      </c>
      <c r="F42" s="21">
        <f t="shared" si="3"/>
        <v>0.62</v>
      </c>
    </row>
    <row r="43" spans="1:6" x14ac:dyDescent="0.2">
      <c r="A43" s="19">
        <v>8</v>
      </c>
      <c r="B43" s="143" t="s">
        <v>7</v>
      </c>
      <c r="C43" s="144"/>
      <c r="D43" s="14">
        <f>IF(F3="1",SUMIF(Data!A:A,'40'!$A$2,Data!DB:DB),0)</f>
        <v>48</v>
      </c>
      <c r="E43" s="17">
        <f>IF($F$3="1",SUMIF(Data!$A:$A,$A$2,Data!IV:IV),0)</f>
        <v>49</v>
      </c>
      <c r="F43" s="21">
        <f t="shared" si="3"/>
        <v>1.02</v>
      </c>
    </row>
    <row r="44" spans="1:6" x14ac:dyDescent="0.2">
      <c r="A44" s="19">
        <v>9</v>
      </c>
      <c r="B44" s="143" t="s">
        <v>8</v>
      </c>
      <c r="C44" s="144"/>
      <c r="D44" s="14">
        <f>IF(F3="1",SUMIF(Data!A:A,'40'!$A$2,Data!DC:DC),0)</f>
        <v>133552</v>
      </c>
      <c r="E44" s="17">
        <f>IF($F$3="1",SUMIF(Data!$A:$A,$A$2,Data!IW:IW),0)</f>
        <v>263114</v>
      </c>
      <c r="F44" s="21">
        <f t="shared" si="3"/>
        <v>1.97</v>
      </c>
    </row>
    <row r="45" spans="1:6" x14ac:dyDescent="0.2">
      <c r="A45" s="19">
        <v>10</v>
      </c>
      <c r="B45" s="143" t="s">
        <v>9</v>
      </c>
      <c r="C45" s="144"/>
      <c r="D45" s="14">
        <f>IF(F3="1",SUMIF(Data!A:A,'40'!$A$2,Data!DD:DD),0)</f>
        <v>12672</v>
      </c>
      <c r="E45" s="17">
        <f>IF($F$3="1",SUMIF(Data!$A:$A,$A$2,Data!IX:IX),0)</f>
        <v>12848</v>
      </c>
      <c r="F45" s="21">
        <f t="shared" si="3"/>
        <v>1.01</v>
      </c>
    </row>
    <row r="46" spans="1:6" x14ac:dyDescent="0.2">
      <c r="A46" s="19">
        <v>11</v>
      </c>
      <c r="B46" s="143" t="s">
        <v>10</v>
      </c>
      <c r="C46" s="144"/>
      <c r="D46" s="14">
        <f>IF(F3="1",SUMIF(Data!A:A,'40'!$A$2,Data!DE:DE),0)</f>
        <v>103344</v>
      </c>
      <c r="E46" s="17">
        <f>IF($F$3="1",SUMIF(Data!$A:$A,$A$2,Data!IY:IY),0)</f>
        <v>329714</v>
      </c>
      <c r="F46" s="21">
        <f t="shared" si="3"/>
        <v>3.19</v>
      </c>
    </row>
    <row r="47" spans="1:6" ht="14.25" customHeight="1" x14ac:dyDescent="0.2">
      <c r="A47" s="19">
        <v>12</v>
      </c>
      <c r="B47" s="143" t="s">
        <v>11</v>
      </c>
      <c r="C47" s="144"/>
      <c r="D47" s="14">
        <f>IF(F3="1",SUMIF(Data!A:A,'40'!$A$2,Data!DF:DF),0)</f>
        <v>1675267</v>
      </c>
      <c r="E47" s="17">
        <f>IF($F$3="1",SUMIF(Data!$A:$A,$A$2,Data!IZ:IZ),0)</f>
        <v>758233</v>
      </c>
      <c r="F47" s="21">
        <f t="shared" si="3"/>
        <v>0.45</v>
      </c>
    </row>
    <row r="48" spans="1:6" x14ac:dyDescent="0.2">
      <c r="A48" s="19">
        <v>13</v>
      </c>
      <c r="B48" s="143" t="s">
        <v>12</v>
      </c>
      <c r="C48" s="144"/>
      <c r="D48" s="14">
        <f>IF(F3="1",SUMIF(Data!A:A,'40'!$A$2,Data!DG:DG),0)</f>
        <v>336320</v>
      </c>
      <c r="E48" s="17">
        <f>IF($F$3="1",SUMIF(Data!$A:$A,$A$2,Data!JA:JA),0)</f>
        <v>174023</v>
      </c>
      <c r="F48" s="21">
        <f t="shared" si="3"/>
        <v>0.52</v>
      </c>
    </row>
    <row r="49" spans="1:6" ht="14.25" customHeight="1" x14ac:dyDescent="0.2">
      <c r="A49" s="19">
        <v>14</v>
      </c>
      <c r="B49" s="143" t="s">
        <v>464</v>
      </c>
      <c r="C49" s="144"/>
      <c r="D49" s="14">
        <f>IF(F3="1",SUMIF(Data!A:A,'40'!$A$2,Data!DH:DH),0)</f>
        <v>196537</v>
      </c>
      <c r="E49" s="17">
        <f>IF($F$3="1",SUMIF(Data!$A:$A,$A$2,Data!JB:JB),0)</f>
        <v>51881</v>
      </c>
      <c r="F49" s="21">
        <f t="shared" si="3"/>
        <v>0.26</v>
      </c>
    </row>
    <row r="50" spans="1:6" x14ac:dyDescent="0.2">
      <c r="A50" s="19">
        <v>15</v>
      </c>
      <c r="B50" s="143" t="s">
        <v>13</v>
      </c>
      <c r="C50" s="144"/>
      <c r="D50" s="14">
        <f>IF(F3="1",SUMIF(Data!A:A,'40'!$A$2,Data!DI:DI),0)</f>
        <v>32936</v>
      </c>
      <c r="E50" s="17">
        <f>IF($F$3="1",SUMIF(Data!$A:$A,$A$2,Data!JC:JC),0)</f>
        <v>2867</v>
      </c>
      <c r="F50" s="21">
        <f t="shared" si="3"/>
        <v>0.09</v>
      </c>
    </row>
    <row r="51" spans="1:6" x14ac:dyDescent="0.2">
      <c r="A51" s="19">
        <v>16</v>
      </c>
      <c r="B51" s="143" t="s">
        <v>14</v>
      </c>
      <c r="C51" s="144"/>
      <c r="D51" s="14">
        <f>IF(F3="1",SUMIF(Data!A:A,'40'!$A$2,Data!DJ:DJ),0)</f>
        <v>292463</v>
      </c>
      <c r="E51" s="17">
        <f>IF($F$3="1",SUMIF(Data!$A:$A,$A$2,Data!JD:JD),0)</f>
        <v>179502</v>
      </c>
      <c r="F51" s="21">
        <f t="shared" si="3"/>
        <v>0.61</v>
      </c>
    </row>
    <row r="52" spans="1:6" x14ac:dyDescent="0.2">
      <c r="A52" s="19">
        <v>17</v>
      </c>
      <c r="B52" s="143" t="s">
        <v>15</v>
      </c>
      <c r="C52" s="144"/>
      <c r="D52" s="14">
        <f>IF(F3="1",SUMIF(Data!A:A,'40'!$A$2,Data!DK:DK),0)</f>
        <v>36238</v>
      </c>
      <c r="E52" s="17">
        <f>IF($F$3="1",SUMIF(Data!$A:$A,$A$2,Data!JE:JE),0)</f>
        <v>30544</v>
      </c>
      <c r="F52" s="21">
        <f t="shared" si="3"/>
        <v>0.84</v>
      </c>
    </row>
    <row r="53" spans="1:6" x14ac:dyDescent="0.2">
      <c r="A53" s="19">
        <v>18</v>
      </c>
      <c r="B53" s="143" t="s">
        <v>16</v>
      </c>
      <c r="C53" s="144"/>
      <c r="D53" s="14">
        <f>IF(F3="1",SUMIF(Data!A:A,'40'!$A$2,Data!DL:DL),0)</f>
        <v>32218</v>
      </c>
      <c r="E53" s="17">
        <f>IF($F$3="1",SUMIF(Data!$A:$A,$A$2,Data!JF:JF),0)</f>
        <v>16685</v>
      </c>
      <c r="F53" s="21">
        <f t="shared" si="3"/>
        <v>0.52</v>
      </c>
    </row>
    <row r="54" spans="1:6" x14ac:dyDescent="0.2">
      <c r="A54" s="19">
        <v>19</v>
      </c>
      <c r="B54" s="143" t="s">
        <v>17</v>
      </c>
      <c r="C54" s="144"/>
      <c r="D54" s="14">
        <f>IF(F3="1",SUMIF(Data!A:A,'40'!$A$2,Data!DM:DM),0)</f>
        <v>1137121</v>
      </c>
      <c r="E54" s="17">
        <f>IF($F$3="1",SUMIF(Data!$A:$A,$A$2,Data!JG:JG),0)</f>
        <v>489787</v>
      </c>
      <c r="F54" s="21">
        <f t="shared" si="3"/>
        <v>0.43</v>
      </c>
    </row>
    <row r="55" spans="1:6" x14ac:dyDescent="0.2">
      <c r="A55" s="19">
        <v>20</v>
      </c>
      <c r="B55" s="143" t="s">
        <v>18</v>
      </c>
      <c r="C55" s="144"/>
      <c r="D55" s="14">
        <f>IF(F3="1",SUMIF(Data!A:A,'40'!$A$2,Data!DN:DN),0)</f>
        <v>105817</v>
      </c>
      <c r="E55" s="17">
        <f>IF($F$3="1",SUMIF(Data!$A:$A,$A$2,Data!JH:JH),0)</f>
        <v>184006</v>
      </c>
      <c r="F55" s="21">
        <f t="shared" si="3"/>
        <v>1.74</v>
      </c>
    </row>
    <row r="56" spans="1:6" ht="14.25" customHeight="1" x14ac:dyDescent="0.2">
      <c r="A56" s="19">
        <v>21</v>
      </c>
      <c r="B56" s="143" t="s">
        <v>461</v>
      </c>
      <c r="C56" s="144"/>
      <c r="D56" s="14">
        <f>IF(F3="1",SUMIF(Data!A:A,'40'!$A$2,Data!DO:DO),0)</f>
        <v>153376</v>
      </c>
      <c r="E56" s="17">
        <f>IF($F$3="1",SUMIF(Data!$A:$A,$A$2,Data!JI:JI),0)</f>
        <v>390755</v>
      </c>
      <c r="F56" s="21">
        <f t="shared" si="3"/>
        <v>2.5499999999999998</v>
      </c>
    </row>
    <row r="57" spans="1:6" x14ac:dyDescent="0.2">
      <c r="A57" s="19">
        <v>22</v>
      </c>
      <c r="B57" s="143" t="s">
        <v>19</v>
      </c>
      <c r="C57" s="144"/>
      <c r="D57" s="14">
        <f>IF(F3="1",SUMIF(Data!A:A,'40'!$A$2,Data!DP:DP),0)</f>
        <v>168244</v>
      </c>
      <c r="E57" s="17">
        <f>IF($F$3="1",SUMIF(Data!$A:$A,$A$2,Data!JJ:JJ),0)</f>
        <v>137998</v>
      </c>
      <c r="F57" s="21">
        <f t="shared" si="3"/>
        <v>0.82</v>
      </c>
    </row>
    <row r="58" spans="1:6" x14ac:dyDescent="0.2">
      <c r="A58" s="19">
        <v>23</v>
      </c>
      <c r="B58" s="143" t="s">
        <v>20</v>
      </c>
      <c r="C58" s="144"/>
      <c r="D58" s="14">
        <f>IF(F3="1",SUMIF(Data!A:A,'40'!$A$2,Data!DQ:DQ),0)</f>
        <v>333869</v>
      </c>
      <c r="E58" s="17">
        <f>IF($F$3="1",SUMIF(Data!$A:$A,$A$2,Data!JK:JK),0)</f>
        <v>386028</v>
      </c>
      <c r="F58" s="21">
        <f t="shared" si="3"/>
        <v>1.1599999999999999</v>
      </c>
    </row>
    <row r="59" spans="1:6" x14ac:dyDescent="0.2">
      <c r="A59" s="19">
        <v>24</v>
      </c>
      <c r="B59" s="143" t="s">
        <v>21</v>
      </c>
      <c r="C59" s="144"/>
      <c r="D59" s="14">
        <f>IF(F3="1",SUMIF(Data!A:A,'40'!$A$2,Data!DR:DR),0)</f>
        <v>262762</v>
      </c>
      <c r="E59" s="17">
        <f>IF($F$3="1",SUMIF(Data!$A:$A,$A$2,Data!JL:JL),0)</f>
        <v>375984</v>
      </c>
      <c r="F59" s="21">
        <f t="shared" si="3"/>
        <v>1.43</v>
      </c>
    </row>
    <row r="60" spans="1:6" x14ac:dyDescent="0.2">
      <c r="A60" s="19">
        <v>25</v>
      </c>
      <c r="B60" s="143" t="s">
        <v>22</v>
      </c>
      <c r="C60" s="144"/>
      <c r="D60" s="14">
        <f>IF(F3="1",SUMIF(Data!A:A,'40'!$A$2,Data!DS:DS),0)</f>
        <v>1914208</v>
      </c>
      <c r="E60" s="17">
        <f>IF($F$3="1",SUMIF(Data!$A:$A,$A$2,Data!JM:JM),0)</f>
        <v>911661</v>
      </c>
      <c r="F60" s="21">
        <f t="shared" si="3"/>
        <v>0.48</v>
      </c>
    </row>
    <row r="61" spans="1:6" x14ac:dyDescent="0.2">
      <c r="A61" s="19">
        <v>26</v>
      </c>
      <c r="B61" s="143" t="s">
        <v>23</v>
      </c>
      <c r="C61" s="144"/>
      <c r="D61" s="14">
        <f>IF(F3="1",SUMIF(Data!A:A,'40'!$A$2,Data!DT:DT),0)</f>
        <v>406912</v>
      </c>
      <c r="E61" s="17">
        <f>IF($F$3="1",SUMIF(Data!$A:$A,$A$2,Data!JN:JN),0)</f>
        <v>369167</v>
      </c>
      <c r="F61" s="21">
        <f t="shared" si="3"/>
        <v>0.91</v>
      </c>
    </row>
    <row r="62" spans="1:6" x14ac:dyDescent="0.2">
      <c r="A62" s="19">
        <v>28</v>
      </c>
      <c r="B62" s="143" t="s">
        <v>24</v>
      </c>
      <c r="C62" s="144"/>
      <c r="D62" s="14">
        <f>IF(F3="1",SUMIF(Data!A:A,'40'!$A$2,Data!DV:DV),0)</f>
        <v>0</v>
      </c>
      <c r="E62" s="17">
        <f>IF($F$3="1",SUMIF(Data!$A:$A,$A$2,Data!JP:JP),0)</f>
        <v>0</v>
      </c>
      <c r="F62" s="21" t="str">
        <f t="shared" si="3"/>
        <v/>
      </c>
    </row>
    <row r="63" spans="1:6" ht="15.75" customHeight="1" thickBot="1" x14ac:dyDescent="0.25">
      <c r="A63" s="22">
        <v>29</v>
      </c>
      <c r="B63" s="147" t="s">
        <v>25</v>
      </c>
      <c r="C63" s="148"/>
      <c r="D63" s="23">
        <f>IF(F3="1",SUMIF(Data!A:A,'40'!$A$2,Data!DW:DW),0)</f>
        <v>0</v>
      </c>
      <c r="E63" s="24">
        <f>IF($F$3="1",SUMIF(Data!$A:$A,$A$2,Data!JQ:JQ),0)</f>
        <v>0</v>
      </c>
      <c r="F63" s="25" t="str">
        <f t="shared" si="3"/>
        <v/>
      </c>
    </row>
    <row r="64" spans="1:6" x14ac:dyDescent="0.2">
      <c r="B64" s="30" t="s">
        <v>35</v>
      </c>
      <c r="C64" s="30"/>
      <c r="D64" s="59">
        <f>SUM(D36:D63)</f>
        <v>10362824</v>
      </c>
      <c r="E64" s="31">
        <f>SUM(E36:E63)</f>
        <v>7717628</v>
      </c>
      <c r="F64" s="32">
        <f t="shared" si="3"/>
        <v>0.74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20708</v>
      </c>
      <c r="E67" s="15">
        <f>IF(F3="1",SUMIF(Data!A:A,'40'!$A$2,Data!DY:DY),0)</f>
        <v>69921</v>
      </c>
      <c r="F67" s="20">
        <f t="shared" ref="F67:F95" si="4">IF(OR(D67=0,E67=0),"",ROUND(E67/D67,2))</f>
        <v>3.38</v>
      </c>
    </row>
    <row r="68" spans="1:6" x14ac:dyDescent="0.2">
      <c r="A68" s="19">
        <v>2</v>
      </c>
      <c r="B68" s="143" t="s">
        <v>1</v>
      </c>
      <c r="C68" s="144"/>
      <c r="D68" s="14">
        <f t="shared" ref="D68:D94" si="5">D37</f>
        <v>189890</v>
      </c>
      <c r="E68" s="17">
        <f>IF(F3="1",SUMIF(Data!A:A,'40'!$A$2,Data!DZ:DZ),0)</f>
        <v>770721</v>
      </c>
      <c r="F68" s="21">
        <f t="shared" si="4"/>
        <v>4.0599999999999996</v>
      </c>
    </row>
    <row r="69" spans="1:6" ht="14.25" customHeight="1" x14ac:dyDescent="0.2">
      <c r="A69" s="19">
        <v>3</v>
      </c>
      <c r="B69" s="143" t="s">
        <v>2</v>
      </c>
      <c r="C69" s="144"/>
      <c r="D69" s="14">
        <f t="shared" si="5"/>
        <v>1112304</v>
      </c>
      <c r="E69" s="17">
        <f>IF(F3="1",SUMIF(Data!A:A,'40'!$A$2,Data!EA:EA),0)</f>
        <v>3179241</v>
      </c>
      <c r="F69" s="21">
        <f t="shared" si="4"/>
        <v>2.86</v>
      </c>
    </row>
    <row r="70" spans="1:6" ht="14.25" customHeight="1" x14ac:dyDescent="0.2">
      <c r="A70" s="19">
        <v>4</v>
      </c>
      <c r="B70" s="143" t="s">
        <v>3</v>
      </c>
      <c r="C70" s="144"/>
      <c r="D70" s="14">
        <f t="shared" si="5"/>
        <v>689929</v>
      </c>
      <c r="E70" s="17">
        <f>IF(F3="1",SUMIF(Data!A:A,'40'!$A$2,Data!EB:EB),0)</f>
        <v>2643177</v>
      </c>
      <c r="F70" s="21">
        <f t="shared" si="4"/>
        <v>3.83</v>
      </c>
    </row>
    <row r="71" spans="1:6" x14ac:dyDescent="0.2">
      <c r="A71" s="19">
        <v>5</v>
      </c>
      <c r="B71" s="143" t="s">
        <v>4</v>
      </c>
      <c r="C71" s="144"/>
      <c r="D71" s="14">
        <f t="shared" si="5"/>
        <v>0</v>
      </c>
      <c r="E71" s="17">
        <f>IF(F3="1",SUMIF(Data!A:A,'40'!$A$2,Data!EC:EC),0)</f>
        <v>0</v>
      </c>
      <c r="F71" s="21" t="str">
        <f t="shared" si="4"/>
        <v/>
      </c>
    </row>
    <row r="72" spans="1:6" x14ac:dyDescent="0.2">
      <c r="A72" s="19">
        <v>6</v>
      </c>
      <c r="B72" s="143" t="s">
        <v>5</v>
      </c>
      <c r="C72" s="144"/>
      <c r="D72" s="14">
        <f t="shared" si="5"/>
        <v>17248</v>
      </c>
      <c r="E72" s="17">
        <f>IF(F3="1",SUMIF(Data!A:A,'40'!$A$2,Data!ED:ED),0)</f>
        <v>113511</v>
      </c>
      <c r="F72" s="21">
        <f t="shared" si="4"/>
        <v>6.58</v>
      </c>
    </row>
    <row r="73" spans="1:6" x14ac:dyDescent="0.2">
      <c r="A73" s="19">
        <v>7</v>
      </c>
      <c r="B73" s="143" t="s">
        <v>6</v>
      </c>
      <c r="C73" s="144"/>
      <c r="D73" s="14">
        <f t="shared" si="5"/>
        <v>998841</v>
      </c>
      <c r="E73" s="17">
        <f>IF(F3="1",SUMIF(Data!A:A,'40'!$A$2,Data!EE:EE),0)</f>
        <v>1647332</v>
      </c>
      <c r="F73" s="21">
        <f t="shared" si="4"/>
        <v>1.65</v>
      </c>
    </row>
    <row r="74" spans="1:6" x14ac:dyDescent="0.2">
      <c r="A74" s="19">
        <v>8</v>
      </c>
      <c r="B74" s="143" t="s">
        <v>7</v>
      </c>
      <c r="C74" s="144"/>
      <c r="D74" s="14">
        <f t="shared" si="5"/>
        <v>48</v>
      </c>
      <c r="E74" s="17">
        <f>IF(F3="1",SUMIF(Data!A:A,'40'!$A$2,Data!EF:EF),0)</f>
        <v>870</v>
      </c>
      <c r="F74" s="21">
        <f t="shared" si="4"/>
        <v>18.13</v>
      </c>
    </row>
    <row r="75" spans="1:6" x14ac:dyDescent="0.2">
      <c r="A75" s="19">
        <v>9</v>
      </c>
      <c r="B75" s="143" t="s">
        <v>8</v>
      </c>
      <c r="C75" s="144"/>
      <c r="D75" s="14">
        <f t="shared" si="5"/>
        <v>133552</v>
      </c>
      <c r="E75" s="17">
        <f>IF(F3="1",SUMIF(Data!A:A,'40'!$A$2,Data!EG:EG),0)</f>
        <v>532144</v>
      </c>
      <c r="F75" s="21">
        <f t="shared" si="4"/>
        <v>3.98</v>
      </c>
    </row>
    <row r="76" spans="1:6" x14ac:dyDescent="0.2">
      <c r="A76" s="19">
        <v>10</v>
      </c>
      <c r="B76" s="143" t="s">
        <v>9</v>
      </c>
      <c r="C76" s="144"/>
      <c r="D76" s="14">
        <f t="shared" si="5"/>
        <v>12672</v>
      </c>
      <c r="E76" s="17">
        <f>IF(F3="1",SUMIF(Data!A:A,'40'!$A$2,Data!EH:EH),0)</f>
        <v>63639</v>
      </c>
      <c r="F76" s="21">
        <f t="shared" si="4"/>
        <v>5.0199999999999996</v>
      </c>
    </row>
    <row r="77" spans="1:6" x14ac:dyDescent="0.2">
      <c r="A77" s="19">
        <v>11</v>
      </c>
      <c r="B77" s="143" t="s">
        <v>10</v>
      </c>
      <c r="C77" s="144"/>
      <c r="D77" s="14">
        <f t="shared" si="5"/>
        <v>103344</v>
      </c>
      <c r="E77" s="17">
        <f>IF(F3="1",SUMIF(Data!A:A,'40'!$A$2,Data!EI:EI),0)</f>
        <v>478380</v>
      </c>
      <c r="F77" s="21">
        <f t="shared" si="4"/>
        <v>4.63</v>
      </c>
    </row>
    <row r="78" spans="1:6" ht="14.25" customHeight="1" x14ac:dyDescent="0.2">
      <c r="A78" s="19">
        <v>12</v>
      </c>
      <c r="B78" s="143" t="s">
        <v>11</v>
      </c>
      <c r="C78" s="144"/>
      <c r="D78" s="14">
        <f t="shared" si="5"/>
        <v>1675267</v>
      </c>
      <c r="E78" s="17">
        <f>IF(F3="1",SUMIF(Data!A:A,'40'!$A$2,Data!EJ:EJ),0)</f>
        <v>4267909</v>
      </c>
      <c r="F78" s="21">
        <f t="shared" si="4"/>
        <v>2.5499999999999998</v>
      </c>
    </row>
    <row r="79" spans="1:6" x14ac:dyDescent="0.2">
      <c r="A79" s="19">
        <v>13</v>
      </c>
      <c r="B79" s="143" t="s">
        <v>12</v>
      </c>
      <c r="C79" s="144"/>
      <c r="D79" s="14">
        <f t="shared" si="5"/>
        <v>336320</v>
      </c>
      <c r="E79" s="17">
        <f>IF(F3="1",SUMIF(Data!A:A,'40'!$A$2,Data!EK:EK),0)</f>
        <v>771434</v>
      </c>
      <c r="F79" s="21">
        <f t="shared" si="4"/>
        <v>2.29</v>
      </c>
    </row>
    <row r="80" spans="1:6" ht="14.25" customHeight="1" x14ac:dyDescent="0.2">
      <c r="A80" s="19">
        <v>14</v>
      </c>
      <c r="B80" s="143" t="s">
        <v>464</v>
      </c>
      <c r="C80" s="144"/>
      <c r="D80" s="14">
        <f t="shared" si="5"/>
        <v>196537</v>
      </c>
      <c r="E80" s="17">
        <f>IF(F3="1",SUMIF(Data!A:A,'40'!$A$2,Data!EL:EL),0)</f>
        <v>1459620</v>
      </c>
      <c r="F80" s="21">
        <f t="shared" si="4"/>
        <v>7.43</v>
      </c>
    </row>
    <row r="81" spans="1:6" x14ac:dyDescent="0.2">
      <c r="A81" s="19">
        <v>15</v>
      </c>
      <c r="B81" s="143" t="s">
        <v>13</v>
      </c>
      <c r="C81" s="144"/>
      <c r="D81" s="14">
        <f t="shared" si="5"/>
        <v>32936</v>
      </c>
      <c r="E81" s="17">
        <f>IF(F3="1",SUMIF(Data!A:A,'40'!$A$2,Data!EM:EM),0)</f>
        <v>251219</v>
      </c>
      <c r="F81" s="21">
        <f t="shared" si="4"/>
        <v>7.63</v>
      </c>
    </row>
    <row r="82" spans="1:6" x14ac:dyDescent="0.2">
      <c r="A82" s="19">
        <v>16</v>
      </c>
      <c r="B82" s="143" t="s">
        <v>14</v>
      </c>
      <c r="C82" s="144"/>
      <c r="D82" s="14">
        <f t="shared" si="5"/>
        <v>292463</v>
      </c>
      <c r="E82" s="17">
        <f>IF(F3="1",SUMIF(Data!A:A,'40'!$A$2,Data!EN:EN),0)</f>
        <v>1014961</v>
      </c>
      <c r="F82" s="21">
        <f t="shared" si="4"/>
        <v>3.47</v>
      </c>
    </row>
    <row r="83" spans="1:6" x14ac:dyDescent="0.2">
      <c r="A83" s="19">
        <v>17</v>
      </c>
      <c r="B83" s="143" t="s">
        <v>15</v>
      </c>
      <c r="C83" s="144"/>
      <c r="D83" s="14">
        <f t="shared" si="5"/>
        <v>36238</v>
      </c>
      <c r="E83" s="17">
        <f>IF(F3="1",SUMIF(Data!A:A,'40'!$A$2,Data!EO:EO),0)</f>
        <v>243096</v>
      </c>
      <c r="F83" s="21">
        <f t="shared" si="4"/>
        <v>6.71</v>
      </c>
    </row>
    <row r="84" spans="1:6" x14ac:dyDescent="0.2">
      <c r="A84" s="19">
        <v>18</v>
      </c>
      <c r="B84" s="143" t="s">
        <v>16</v>
      </c>
      <c r="C84" s="144"/>
      <c r="D84" s="14">
        <f t="shared" si="5"/>
        <v>32218</v>
      </c>
      <c r="E84" s="17">
        <f>IF(F3="1",SUMIF(Data!A:A,'40'!$A$2,Data!EP:EP),0)</f>
        <v>37577</v>
      </c>
      <c r="F84" s="21">
        <f t="shared" si="4"/>
        <v>1.17</v>
      </c>
    </row>
    <row r="85" spans="1:6" x14ac:dyDescent="0.2">
      <c r="A85" s="19">
        <v>19</v>
      </c>
      <c r="B85" s="143" t="s">
        <v>17</v>
      </c>
      <c r="C85" s="144"/>
      <c r="D85" s="14">
        <f t="shared" si="5"/>
        <v>1137121</v>
      </c>
      <c r="E85" s="17">
        <f>IF(F3="1",SUMIF(Data!A:A,'40'!$A$2,Data!EQ:EQ),0)</f>
        <v>2522077</v>
      </c>
      <c r="F85" s="21">
        <f t="shared" si="4"/>
        <v>2.2200000000000002</v>
      </c>
    </row>
    <row r="86" spans="1:6" x14ac:dyDescent="0.2">
      <c r="A86" s="19">
        <v>20</v>
      </c>
      <c r="B86" s="143" t="s">
        <v>18</v>
      </c>
      <c r="C86" s="144"/>
      <c r="D86" s="14">
        <f t="shared" si="5"/>
        <v>105817</v>
      </c>
      <c r="E86" s="17">
        <f>IF(F3="1",SUMIF(Data!A:A,'40'!$A$2,Data!ER:ER),0)</f>
        <v>427129</v>
      </c>
      <c r="F86" s="21">
        <f t="shared" si="4"/>
        <v>4.04</v>
      </c>
    </row>
    <row r="87" spans="1:6" ht="14.25" customHeight="1" x14ac:dyDescent="0.2">
      <c r="A87" s="19">
        <v>21</v>
      </c>
      <c r="B87" s="143" t="s">
        <v>461</v>
      </c>
      <c r="C87" s="144"/>
      <c r="D87" s="14">
        <f t="shared" si="5"/>
        <v>153376</v>
      </c>
      <c r="E87" s="17">
        <f>IF(F3="1",SUMIF(Data!A:A,'40'!$A$2,Data!ES:ES),0)</f>
        <v>648157</v>
      </c>
      <c r="F87" s="21">
        <f t="shared" si="4"/>
        <v>4.2300000000000004</v>
      </c>
    </row>
    <row r="88" spans="1:6" x14ac:dyDescent="0.2">
      <c r="A88" s="19">
        <v>22</v>
      </c>
      <c r="B88" s="143" t="s">
        <v>19</v>
      </c>
      <c r="C88" s="144"/>
      <c r="D88" s="14">
        <f t="shared" si="5"/>
        <v>168244</v>
      </c>
      <c r="E88" s="17">
        <f>IF(F3="1",SUMIF(Data!A:A,'40'!$A$2,Data!ET:ET),0)</f>
        <v>418466</v>
      </c>
      <c r="F88" s="21">
        <f t="shared" si="4"/>
        <v>2.4900000000000002</v>
      </c>
    </row>
    <row r="89" spans="1:6" x14ac:dyDescent="0.2">
      <c r="A89" s="19">
        <v>23</v>
      </c>
      <c r="B89" s="143" t="s">
        <v>20</v>
      </c>
      <c r="C89" s="144"/>
      <c r="D89" s="14">
        <f t="shared" si="5"/>
        <v>333869</v>
      </c>
      <c r="E89" s="17">
        <f>IF(F3="1",SUMIF(Data!A:A,'40'!$A$2,Data!EU:EU),0)</f>
        <v>1056844</v>
      </c>
      <c r="F89" s="21">
        <f t="shared" si="4"/>
        <v>3.17</v>
      </c>
    </row>
    <row r="90" spans="1:6" x14ac:dyDescent="0.2">
      <c r="A90" s="19">
        <v>24</v>
      </c>
      <c r="B90" s="143" t="s">
        <v>21</v>
      </c>
      <c r="C90" s="144"/>
      <c r="D90" s="14">
        <f t="shared" si="5"/>
        <v>262762</v>
      </c>
      <c r="E90" s="17">
        <f>IF(F3="1",SUMIF(Data!A:A,'40'!$A$2,Data!EV:EV),0)</f>
        <v>972784</v>
      </c>
      <c r="F90" s="21">
        <f t="shared" si="4"/>
        <v>3.7</v>
      </c>
    </row>
    <row r="91" spans="1:6" x14ac:dyDescent="0.2">
      <c r="A91" s="19">
        <v>25</v>
      </c>
      <c r="B91" s="143" t="s">
        <v>22</v>
      </c>
      <c r="C91" s="144"/>
      <c r="D91" s="14">
        <f t="shared" si="5"/>
        <v>1914208</v>
      </c>
      <c r="E91" s="17">
        <f>IF(F3="1",SUMIF(Data!A:A,'40'!$A$2,Data!EW:EW),0)</f>
        <v>4268489</v>
      </c>
      <c r="F91" s="21">
        <f t="shared" si="4"/>
        <v>2.23</v>
      </c>
    </row>
    <row r="92" spans="1:6" x14ac:dyDescent="0.2">
      <c r="A92" s="19">
        <v>26</v>
      </c>
      <c r="B92" s="143" t="s">
        <v>23</v>
      </c>
      <c r="C92" s="144"/>
      <c r="D92" s="14">
        <f t="shared" si="5"/>
        <v>406912</v>
      </c>
      <c r="E92" s="17">
        <f>IF(F3="1",SUMIF(Data!A:A,'40'!$A$2,Data!EX:EX),0)</f>
        <v>1555066</v>
      </c>
      <c r="F92" s="21">
        <f t="shared" si="4"/>
        <v>3.82</v>
      </c>
    </row>
    <row r="93" spans="1:6" x14ac:dyDescent="0.2">
      <c r="A93" s="19">
        <v>28</v>
      </c>
      <c r="B93" s="143" t="s">
        <v>24</v>
      </c>
      <c r="C93" s="144"/>
      <c r="D93" s="14">
        <f t="shared" si="5"/>
        <v>0</v>
      </c>
      <c r="E93" s="17">
        <f>IF(F3="1",SUMIF(Data!A:A,'40'!$A$2,Data!EZ:EZ),0)</f>
        <v>0</v>
      </c>
      <c r="F93" s="21" t="str">
        <f t="shared" si="4"/>
        <v/>
      </c>
    </row>
    <row r="94" spans="1:6" ht="15.75" customHeight="1" thickBot="1" x14ac:dyDescent="0.25">
      <c r="A94" s="22">
        <v>29</v>
      </c>
      <c r="B94" s="147" t="s">
        <v>25</v>
      </c>
      <c r="C94" s="148"/>
      <c r="D94" s="23">
        <f t="shared" si="5"/>
        <v>0</v>
      </c>
      <c r="E94" s="24">
        <f>IF(F3="1",SUMIF(Data!A:A,'40'!$A$2,Data!FA:FA),0)</f>
        <v>0</v>
      </c>
      <c r="F94" s="25" t="str">
        <f t="shared" si="4"/>
        <v/>
      </c>
    </row>
    <row r="95" spans="1:6" x14ac:dyDescent="0.2">
      <c r="B95" s="30" t="s">
        <v>35</v>
      </c>
      <c r="C95" s="30"/>
      <c r="D95" s="59">
        <f>SUM(D67:D94)</f>
        <v>10362824</v>
      </c>
      <c r="E95" s="31">
        <f>SUM(E67:E94)</f>
        <v>29413764</v>
      </c>
      <c r="F95" s="32">
        <f t="shared" si="4"/>
        <v>2.84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IF(F3="1",SUMIF(Data!A:A,'40'!$A$2,Data!AH:AH),0)</f>
        <v>10193984</v>
      </c>
      <c r="F98" s="20">
        <f>IF(OR(E98=0,E98=0),"",ROUND(E98/$D$105,2))</f>
        <v>0.98</v>
      </c>
    </row>
    <row r="99" spans="2:6" x14ac:dyDescent="0.2">
      <c r="B99" s="153" t="s">
        <v>31</v>
      </c>
      <c r="C99" s="154"/>
      <c r="D99" s="36"/>
      <c r="E99" s="17">
        <f>IF(F3="1",SUMIF(Data!A:A,'40'!$A$2,Data!AI:AI),0)</f>
        <v>6398845</v>
      </c>
      <c r="F99" s="21">
        <f t="shared" ref="F99:F104" si="6">IF(OR(E99=0,E99=0),"",ROUND(E99/$D$105,2))</f>
        <v>0.62</v>
      </c>
    </row>
    <row r="100" spans="2:6" x14ac:dyDescent="0.2">
      <c r="B100" s="153" t="s">
        <v>1078</v>
      </c>
      <c r="C100" s="154"/>
      <c r="D100" s="36"/>
      <c r="E100" s="17">
        <f>IF(F3="1",SUMIF(Data!A:A,'40'!$A$2,Data!AJ:AJ),0)</f>
        <v>3880731</v>
      </c>
      <c r="F100" s="21">
        <f t="shared" si="6"/>
        <v>0.37</v>
      </c>
    </row>
    <row r="101" spans="2:6" x14ac:dyDescent="0.2">
      <c r="B101" s="153" t="s">
        <v>1079</v>
      </c>
      <c r="C101" s="154"/>
      <c r="D101" s="36"/>
      <c r="E101" s="17">
        <f>IF(F3="1",SUMIF(Data!A:A,'40'!$A$2,Data!AK:AK),0)</f>
        <v>1929604</v>
      </c>
      <c r="F101" s="21">
        <f t="shared" si="6"/>
        <v>0.19</v>
      </c>
    </row>
    <row r="102" spans="2:6" x14ac:dyDescent="0.2">
      <c r="B102" s="153" t="s">
        <v>1080</v>
      </c>
      <c r="C102" s="154"/>
      <c r="D102" s="36"/>
      <c r="E102" s="17">
        <f>IF(F3="1",SUMIF(Data!A:A,'40'!$A$2,Data!AL:AL),0)</f>
        <v>0</v>
      </c>
      <c r="F102" s="21" t="str">
        <f t="shared" si="6"/>
        <v/>
      </c>
    </row>
    <row r="103" spans="2:6" x14ac:dyDescent="0.2">
      <c r="B103" s="155" t="s">
        <v>34</v>
      </c>
      <c r="C103" s="156"/>
      <c r="D103" s="36"/>
      <c r="E103" s="17">
        <f>IF(F3="1",SUMIF(Data!A:A,'40'!$A$2,Data!AM:AM),0)</f>
        <v>0</v>
      </c>
      <c r="F103" s="21" t="str">
        <f t="shared" si="6"/>
        <v/>
      </c>
    </row>
    <row r="104" spans="2:6" ht="15.75" customHeight="1" thickBot="1" x14ac:dyDescent="0.25">
      <c r="B104" s="149" t="s">
        <v>29</v>
      </c>
      <c r="C104" s="150"/>
      <c r="D104" s="37"/>
      <c r="E104" s="24">
        <f>IF(F3="1",SUMIF(Data!A:A,'40'!$A$2,Data!Q:Q),0)</f>
        <v>6484058</v>
      </c>
      <c r="F104" s="25">
        <f t="shared" si="6"/>
        <v>0.63</v>
      </c>
    </row>
    <row r="105" spans="2:6" x14ac:dyDescent="0.2">
      <c r="B105" s="30" t="s">
        <v>35</v>
      </c>
      <c r="C105" s="30"/>
      <c r="D105" s="34">
        <f>D95</f>
        <v>10362824</v>
      </c>
      <c r="E105" s="31">
        <f>SUM(E98:E104)</f>
        <v>28887222</v>
      </c>
      <c r="F105" s="32">
        <f>IF($D$105=0,"",ROUND(E105/$D$105,2))</f>
        <v>2.79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29413764</v>
      </c>
      <c r="D109" s="15">
        <f>IF(F3="1",SUMIF(Data!$A:$A,$A$2,Data!HJ:HJ),0)</f>
        <v>0</v>
      </c>
      <c r="E109" s="15">
        <f>IF(F3="1",SUMIF(Data!$A:$A,$A$2,Data!IN:IN),0)</f>
        <v>0</v>
      </c>
      <c r="F109" s="47">
        <f>SUM(C109:E109)</f>
        <v>29413764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6484058</v>
      </c>
      <c r="E117" s="52"/>
      <c r="F117" s="49">
        <f>SUM(C117:E117)</f>
        <v>6484058</v>
      </c>
    </row>
    <row r="118" spans="1:6" x14ac:dyDescent="0.2">
      <c r="B118" s="13" t="s">
        <v>35</v>
      </c>
      <c r="C118" s="4">
        <f>SUM(C109:C116)</f>
        <v>29413764</v>
      </c>
      <c r="D118" s="4">
        <f>SUM(D109:D116)</f>
        <v>0</v>
      </c>
      <c r="E118" s="4">
        <f>SUM(E109:E116)</f>
        <v>0</v>
      </c>
      <c r="F118" s="4">
        <f>SUM(F109:F116)</f>
        <v>29413764</v>
      </c>
    </row>
    <row r="119" spans="1:6" ht="15" thickBot="1" x14ac:dyDescent="0.25"/>
    <row r="120" spans="1:6" ht="15" thickBot="1" x14ac:dyDescent="0.25">
      <c r="B120" s="55" t="s">
        <v>934</v>
      </c>
      <c r="C120" s="53"/>
      <c r="D120" s="53"/>
      <c r="E120" s="53">
        <f>IF(F3="1",SUMIF(Data!A:A,'40'!$A$2,Data!AM:AM),0)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403</v>
      </c>
      <c r="B2" s="58" t="str">
        <f>VLOOKUP(A2,Data!A:G,7,0)</f>
        <v>Temple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113408</v>
      </c>
      <c r="E7" s="17">
        <f t="shared" si="1"/>
        <v>671259.23543373984</v>
      </c>
      <c r="F7" s="21">
        <f t="shared" si="2"/>
        <v>5.92</v>
      </c>
    </row>
    <row r="8" spans="1:6" ht="14.25" customHeight="1" x14ac:dyDescent="0.2">
      <c r="A8" s="19">
        <v>4</v>
      </c>
      <c r="B8" s="143" t="s">
        <v>3</v>
      </c>
      <c r="C8" s="144"/>
      <c r="D8" s="14">
        <f t="shared" si="0"/>
        <v>88823</v>
      </c>
      <c r="E8" s="17">
        <f t="shared" si="1"/>
        <v>434072.74116403679</v>
      </c>
      <c r="F8" s="21">
        <f t="shared" si="2"/>
        <v>4.8899999999999997</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174898</v>
      </c>
      <c r="E11" s="17">
        <f t="shared" si="1"/>
        <v>986106.75801433972</v>
      </c>
      <c r="F11" s="21">
        <f t="shared" si="2"/>
        <v>5.64</v>
      </c>
    </row>
    <row r="12" spans="1:6" x14ac:dyDescent="0.2">
      <c r="A12" s="19">
        <v>8</v>
      </c>
      <c r="B12" s="143" t="s">
        <v>7</v>
      </c>
      <c r="C12" s="144"/>
      <c r="D12" s="14">
        <f t="shared" si="0"/>
        <v>2060</v>
      </c>
      <c r="E12" s="17">
        <f t="shared" si="1"/>
        <v>68757.31007506969</v>
      </c>
      <c r="F12" s="21">
        <f t="shared" si="2"/>
        <v>33.380000000000003</v>
      </c>
    </row>
    <row r="13" spans="1:6" x14ac:dyDescent="0.2">
      <c r="A13" s="19">
        <v>9</v>
      </c>
      <c r="B13" s="143" t="s">
        <v>8</v>
      </c>
      <c r="C13" s="144"/>
      <c r="D13" s="14">
        <f t="shared" si="0"/>
        <v>72</v>
      </c>
      <c r="E13" s="17">
        <f t="shared" si="1"/>
        <v>2146.7875366043777</v>
      </c>
      <c r="F13" s="21">
        <f t="shared" si="2"/>
        <v>29.82</v>
      </c>
    </row>
    <row r="14" spans="1:6" x14ac:dyDescent="0.2">
      <c r="A14" s="19">
        <v>10</v>
      </c>
      <c r="B14" s="143" t="s">
        <v>9</v>
      </c>
      <c r="C14" s="144"/>
      <c r="D14" s="14">
        <f t="shared" si="0"/>
        <v>1056</v>
      </c>
      <c r="E14" s="17">
        <f t="shared" si="1"/>
        <v>6851.217203530874</v>
      </c>
      <c r="F14" s="21">
        <f t="shared" si="2"/>
        <v>6.49</v>
      </c>
    </row>
    <row r="15" spans="1:6" x14ac:dyDescent="0.2">
      <c r="A15" s="19">
        <v>11</v>
      </c>
      <c r="B15" s="143" t="s">
        <v>10</v>
      </c>
      <c r="C15" s="144"/>
      <c r="D15" s="14">
        <f t="shared" si="0"/>
        <v>43216</v>
      </c>
      <c r="E15" s="17">
        <f t="shared" si="1"/>
        <v>369099.2525263165</v>
      </c>
      <c r="F15" s="21">
        <f t="shared" si="2"/>
        <v>8.5399999999999991</v>
      </c>
    </row>
    <row r="16" spans="1:6" ht="14.25" customHeight="1" x14ac:dyDescent="0.2">
      <c r="A16" s="19">
        <v>12</v>
      </c>
      <c r="B16" s="143" t="s">
        <v>11</v>
      </c>
      <c r="C16" s="144"/>
      <c r="D16" s="14">
        <f t="shared" si="0"/>
        <v>193920</v>
      </c>
      <c r="E16" s="17">
        <f t="shared" si="1"/>
        <v>1014553.4319211241</v>
      </c>
      <c r="F16" s="21">
        <f t="shared" si="2"/>
        <v>5.23</v>
      </c>
    </row>
    <row r="17" spans="1:6" x14ac:dyDescent="0.2">
      <c r="A17" s="19">
        <v>13</v>
      </c>
      <c r="B17" s="143" t="s">
        <v>12</v>
      </c>
      <c r="C17" s="144"/>
      <c r="D17" s="14">
        <f t="shared" si="0"/>
        <v>13744</v>
      </c>
      <c r="E17" s="17">
        <f t="shared" si="1"/>
        <v>91898.554209591224</v>
      </c>
      <c r="F17" s="21">
        <f t="shared" si="2"/>
        <v>6.69</v>
      </c>
    </row>
    <row r="18" spans="1:6" ht="14.25" customHeight="1" x14ac:dyDescent="0.2">
      <c r="A18" s="19">
        <v>14</v>
      </c>
      <c r="B18" s="143" t="s">
        <v>464</v>
      </c>
      <c r="C18" s="144"/>
      <c r="D18" s="14">
        <f t="shared" si="0"/>
        <v>79888</v>
      </c>
      <c r="E18" s="17">
        <f t="shared" si="1"/>
        <v>678267.70450347965</v>
      </c>
      <c r="F18" s="21">
        <f t="shared" si="2"/>
        <v>8.49</v>
      </c>
    </row>
    <row r="19" spans="1:6" x14ac:dyDescent="0.2">
      <c r="A19" s="19">
        <v>15</v>
      </c>
      <c r="B19" s="143" t="s">
        <v>13</v>
      </c>
      <c r="C19" s="144"/>
      <c r="D19" s="14">
        <f t="shared" si="0"/>
        <v>16624</v>
      </c>
      <c r="E19" s="17">
        <f t="shared" si="1"/>
        <v>287774.05567376636</v>
      </c>
      <c r="F19" s="21">
        <f t="shared" si="2"/>
        <v>17.309999999999999</v>
      </c>
    </row>
    <row r="20" spans="1:6" x14ac:dyDescent="0.2">
      <c r="A20" s="19">
        <v>16</v>
      </c>
      <c r="B20" s="143" t="s">
        <v>14</v>
      </c>
      <c r="C20" s="144"/>
      <c r="D20" s="14">
        <f t="shared" si="0"/>
        <v>76466</v>
      </c>
      <c r="E20" s="17">
        <f t="shared" si="1"/>
        <v>528417.3301943104</v>
      </c>
      <c r="F20" s="21">
        <f t="shared" si="2"/>
        <v>6.91</v>
      </c>
    </row>
    <row r="21" spans="1:6" x14ac:dyDescent="0.2">
      <c r="A21" s="19">
        <v>17</v>
      </c>
      <c r="B21" s="143" t="s">
        <v>15</v>
      </c>
      <c r="C21" s="144"/>
      <c r="D21" s="14">
        <f t="shared" si="0"/>
        <v>31552</v>
      </c>
      <c r="E21" s="17">
        <f t="shared" si="1"/>
        <v>213637.67159640731</v>
      </c>
      <c r="F21" s="21">
        <f t="shared" si="2"/>
        <v>6.77</v>
      </c>
    </row>
    <row r="22" spans="1:6" x14ac:dyDescent="0.2">
      <c r="A22" s="19">
        <v>18</v>
      </c>
      <c r="B22" s="143" t="s">
        <v>16</v>
      </c>
      <c r="C22" s="144"/>
      <c r="D22" s="14">
        <f t="shared" si="0"/>
        <v>92016</v>
      </c>
      <c r="E22" s="17">
        <f t="shared" si="1"/>
        <v>560737.47178039479</v>
      </c>
      <c r="F22" s="21">
        <f t="shared" si="2"/>
        <v>6.09</v>
      </c>
    </row>
    <row r="23" spans="1:6" x14ac:dyDescent="0.2">
      <c r="A23" s="19">
        <v>19</v>
      </c>
      <c r="B23" s="143" t="s">
        <v>17</v>
      </c>
      <c r="C23" s="144"/>
      <c r="D23" s="14">
        <f t="shared" si="0"/>
        <v>125248</v>
      </c>
      <c r="E23" s="17">
        <f t="shared" si="1"/>
        <v>712376.85256423755</v>
      </c>
      <c r="F23" s="21">
        <f t="shared" si="2"/>
        <v>5.69</v>
      </c>
    </row>
    <row r="24" spans="1:6" x14ac:dyDescent="0.2">
      <c r="A24" s="19">
        <v>20</v>
      </c>
      <c r="B24" s="143" t="s">
        <v>18</v>
      </c>
      <c r="C24" s="144"/>
      <c r="D24" s="14">
        <f t="shared" si="0"/>
        <v>8352</v>
      </c>
      <c r="E24" s="17">
        <f t="shared" si="1"/>
        <v>77953.354246107818</v>
      </c>
      <c r="F24" s="21">
        <f t="shared" si="2"/>
        <v>9.33</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7024</v>
      </c>
      <c r="E26" s="17">
        <f t="shared" si="1"/>
        <v>20009.717459849297</v>
      </c>
      <c r="F26" s="21">
        <f t="shared" si="2"/>
        <v>2.85</v>
      </c>
    </row>
    <row r="27" spans="1:6" x14ac:dyDescent="0.2">
      <c r="A27" s="19">
        <v>23</v>
      </c>
      <c r="B27" s="143" t="s">
        <v>20</v>
      </c>
      <c r="C27" s="144"/>
      <c r="D27" s="14">
        <f t="shared" si="0"/>
        <v>70368</v>
      </c>
      <c r="E27" s="17">
        <f t="shared" si="1"/>
        <v>384851.01910801185</v>
      </c>
      <c r="F27" s="21">
        <f t="shared" si="2"/>
        <v>5.47</v>
      </c>
    </row>
    <row r="28" spans="1:6" x14ac:dyDescent="0.2">
      <c r="A28" s="19">
        <v>24</v>
      </c>
      <c r="B28" s="143" t="s">
        <v>21</v>
      </c>
      <c r="C28" s="144"/>
      <c r="D28" s="14">
        <f t="shared" si="0"/>
        <v>45339</v>
      </c>
      <c r="E28" s="17">
        <f t="shared" si="1"/>
        <v>182510.00169591507</v>
      </c>
      <c r="F28" s="21">
        <f t="shared" si="2"/>
        <v>4.03</v>
      </c>
    </row>
    <row r="29" spans="1:6" x14ac:dyDescent="0.2">
      <c r="A29" s="19">
        <v>25</v>
      </c>
      <c r="B29" s="143" t="s">
        <v>22</v>
      </c>
      <c r="C29" s="144"/>
      <c r="D29" s="14">
        <f t="shared" si="0"/>
        <v>164160</v>
      </c>
      <c r="E29" s="17">
        <f t="shared" si="1"/>
        <v>818539.58345798124</v>
      </c>
      <c r="F29" s="21">
        <f t="shared" si="2"/>
        <v>4.99</v>
      </c>
    </row>
    <row r="30" spans="1:6" x14ac:dyDescent="0.2">
      <c r="A30" s="19">
        <v>26</v>
      </c>
      <c r="B30" s="143" t="s">
        <v>23</v>
      </c>
      <c r="C30" s="144"/>
      <c r="D30" s="14">
        <f t="shared" si="0"/>
        <v>75776</v>
      </c>
      <c r="E30" s="17">
        <f t="shared" si="1"/>
        <v>697611.94963518507</v>
      </c>
      <c r="F30" s="21">
        <f t="shared" si="2"/>
        <v>9.2100000000000009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1424010</v>
      </c>
      <c r="E33" s="31">
        <f>SUM(E5:E32)</f>
        <v>8807431.9999999981</v>
      </c>
      <c r="F33" s="32">
        <f t="shared" si="2"/>
        <v>6.18</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IF(F3="1",SUMIF(Data!A:A,'41'!$A$2,Data!CU:CU),0)</f>
        <v>0</v>
      </c>
      <c r="E36" s="15">
        <f>IF(F3="1",SUMIF(Data!$A:$A,$A$2,Data!IO:IO),0)</f>
        <v>0</v>
      </c>
      <c r="F36" s="20" t="str">
        <f t="shared" ref="F36:F64" si="3">IF(OR(D36=0,E36=0),"",ROUND(E36/D36,2))</f>
        <v/>
      </c>
    </row>
    <row r="37" spans="1:6" x14ac:dyDescent="0.2">
      <c r="A37" s="19">
        <v>2</v>
      </c>
      <c r="B37" s="143" t="s">
        <v>1</v>
      </c>
      <c r="C37" s="144"/>
      <c r="D37" s="14">
        <f>IF(F3="1",SUMIF(Data!A:A,'41'!$A$2,Data!CV:CV),0)</f>
        <v>0</v>
      </c>
      <c r="E37" s="17">
        <f>IF(F3="1",SUMIF(Data!$A:$A,$A$2,Data!IP:IP),0)</f>
        <v>0</v>
      </c>
      <c r="F37" s="21" t="str">
        <f t="shared" si="3"/>
        <v/>
      </c>
    </row>
    <row r="38" spans="1:6" ht="14.25" customHeight="1" x14ac:dyDescent="0.2">
      <c r="A38" s="19">
        <v>3</v>
      </c>
      <c r="B38" s="143" t="s">
        <v>2</v>
      </c>
      <c r="C38" s="144"/>
      <c r="D38" s="14">
        <f>IF(F3="1",SUMIF(Data!A:A,'41'!$A$2,Data!CW:CW),0)</f>
        <v>113408</v>
      </c>
      <c r="E38" s="17">
        <f>IF($F$3="1",SUMIF(Data!$A:$A,$A$2,Data!IQ:IQ),0)</f>
        <v>43090</v>
      </c>
      <c r="F38" s="21">
        <f t="shared" si="3"/>
        <v>0.38</v>
      </c>
    </row>
    <row r="39" spans="1:6" ht="14.25" customHeight="1" x14ac:dyDescent="0.2">
      <c r="A39" s="19">
        <v>4</v>
      </c>
      <c r="B39" s="143" t="s">
        <v>3</v>
      </c>
      <c r="C39" s="144"/>
      <c r="D39" s="14">
        <f>IF(F3="1",SUMIF(Data!A:A,'41'!$A$2,Data!CX:CX),0)</f>
        <v>88823</v>
      </c>
      <c r="E39" s="17">
        <f>IF($F$3="1",SUMIF(Data!$A:$A,$A$2,Data!IR:IR),0)</f>
        <v>7211</v>
      </c>
      <c r="F39" s="21">
        <f t="shared" si="3"/>
        <v>0.08</v>
      </c>
    </row>
    <row r="40" spans="1:6" x14ac:dyDescent="0.2">
      <c r="A40" s="19">
        <v>5</v>
      </c>
      <c r="B40" s="143" t="s">
        <v>4</v>
      </c>
      <c r="C40" s="144"/>
      <c r="D40" s="14">
        <f>IF(F3="1",SUMIF(Data!A:A,'41'!$A$2,Data!CY:CY),0)</f>
        <v>0</v>
      </c>
      <c r="E40" s="17">
        <f>IF($F$3="1",SUMIF(Data!$A:$A,$A$2,Data!IS:IS),0)</f>
        <v>0</v>
      </c>
      <c r="F40" s="21" t="str">
        <f t="shared" si="3"/>
        <v/>
      </c>
    </row>
    <row r="41" spans="1:6" x14ac:dyDescent="0.2">
      <c r="A41" s="19">
        <v>6</v>
      </c>
      <c r="B41" s="143" t="s">
        <v>5</v>
      </c>
      <c r="C41" s="144"/>
      <c r="D41" s="14">
        <f>IF(F3="1",SUMIF(Data!A:A,'41'!$A$2,Data!CZ:CZ),0)</f>
        <v>0</v>
      </c>
      <c r="E41" s="17">
        <f>IF($F$3="1",SUMIF(Data!$A:$A,$A$2,Data!IT:IT),0)</f>
        <v>0</v>
      </c>
      <c r="F41" s="21" t="str">
        <f t="shared" si="3"/>
        <v/>
      </c>
    </row>
    <row r="42" spans="1:6" x14ac:dyDescent="0.2">
      <c r="A42" s="19">
        <v>7</v>
      </c>
      <c r="B42" s="143" t="s">
        <v>6</v>
      </c>
      <c r="C42" s="144"/>
      <c r="D42" s="14">
        <f>IF(F3="1",SUMIF(Data!A:A,'41'!$A$2,Data!DA:DA),0)</f>
        <v>174898</v>
      </c>
      <c r="E42" s="17">
        <f>IF($F$3="1",SUMIF(Data!$A:$A,$A$2,Data!IU:IU),0)</f>
        <v>83669</v>
      </c>
      <c r="F42" s="21">
        <f t="shared" si="3"/>
        <v>0.48</v>
      </c>
    </row>
    <row r="43" spans="1:6" x14ac:dyDescent="0.2">
      <c r="A43" s="19">
        <v>8</v>
      </c>
      <c r="B43" s="143" t="s">
        <v>7</v>
      </c>
      <c r="C43" s="144"/>
      <c r="D43" s="14">
        <f>IF(F3="1",SUMIF(Data!A:A,'41'!$A$2,Data!DB:DB),0)</f>
        <v>2060</v>
      </c>
      <c r="E43" s="17">
        <f>IF($F$3="1",SUMIF(Data!$A:$A,$A$2,Data!IV:IV),0)</f>
        <v>35555</v>
      </c>
      <c r="F43" s="21">
        <f t="shared" si="3"/>
        <v>17.260000000000002</v>
      </c>
    </row>
    <row r="44" spans="1:6" x14ac:dyDescent="0.2">
      <c r="A44" s="19">
        <v>9</v>
      </c>
      <c r="B44" s="143" t="s">
        <v>8</v>
      </c>
      <c r="C44" s="144"/>
      <c r="D44" s="14">
        <f>IF(F3="1",SUMIF(Data!A:A,'41'!$A$2,Data!DC:DC),0)</f>
        <v>72</v>
      </c>
      <c r="E44" s="17">
        <f>IF($F$3="1",SUMIF(Data!$A:$A,$A$2,Data!IW:IW),0)</f>
        <v>1099</v>
      </c>
      <c r="F44" s="21">
        <f t="shared" si="3"/>
        <v>15.26</v>
      </c>
    </row>
    <row r="45" spans="1:6" x14ac:dyDescent="0.2">
      <c r="A45" s="19">
        <v>10</v>
      </c>
      <c r="B45" s="143" t="s">
        <v>9</v>
      </c>
      <c r="C45" s="144"/>
      <c r="D45" s="14">
        <f>IF(F3="1",SUMIF(Data!A:A,'41'!$A$2,Data!DD:DD),0)</f>
        <v>1056</v>
      </c>
      <c r="E45" s="17">
        <f>IF($F$3="1",SUMIF(Data!$A:$A,$A$2,Data!IX:IX),0)</f>
        <v>1242</v>
      </c>
      <c r="F45" s="21">
        <f t="shared" si="3"/>
        <v>1.18</v>
      </c>
    </row>
    <row r="46" spans="1:6" x14ac:dyDescent="0.2">
      <c r="A46" s="19">
        <v>11</v>
      </c>
      <c r="B46" s="143" t="s">
        <v>10</v>
      </c>
      <c r="C46" s="144"/>
      <c r="D46" s="14">
        <f>IF(F3="1",SUMIF(Data!A:A,'41'!$A$2,Data!DE:DE),0)</f>
        <v>43216</v>
      </c>
      <c r="E46" s="17">
        <f>IF($F$3="1",SUMIF(Data!$A:$A,$A$2,Data!IY:IY),0)</f>
        <v>88002</v>
      </c>
      <c r="F46" s="21">
        <f t="shared" si="3"/>
        <v>2.04</v>
      </c>
    </row>
    <row r="47" spans="1:6" ht="14.25" customHeight="1" x14ac:dyDescent="0.2">
      <c r="A47" s="19">
        <v>12</v>
      </c>
      <c r="B47" s="143" t="s">
        <v>11</v>
      </c>
      <c r="C47" s="144"/>
      <c r="D47" s="14">
        <f>IF(F3="1",SUMIF(Data!A:A,'41'!$A$2,Data!DF:DF),0)</f>
        <v>193920</v>
      </c>
      <c r="E47" s="17">
        <f>IF($F$3="1",SUMIF(Data!$A:$A,$A$2,Data!IZ:IZ),0)</f>
        <v>29675</v>
      </c>
      <c r="F47" s="21">
        <f t="shared" si="3"/>
        <v>0.15</v>
      </c>
    </row>
    <row r="48" spans="1:6" x14ac:dyDescent="0.2">
      <c r="A48" s="19">
        <v>13</v>
      </c>
      <c r="B48" s="143" t="s">
        <v>12</v>
      </c>
      <c r="C48" s="144"/>
      <c r="D48" s="14">
        <f>IF(F3="1",SUMIF(Data!A:A,'41'!$A$2,Data!DG:DG),0)</f>
        <v>13744</v>
      </c>
      <c r="E48" s="17">
        <f>IF($F$3="1",SUMIF(Data!$A:$A,$A$2,Data!JA:JA),0)</f>
        <v>1521</v>
      </c>
      <c r="F48" s="21">
        <f t="shared" si="3"/>
        <v>0.11</v>
      </c>
    </row>
    <row r="49" spans="1:6" ht="14.25" customHeight="1" x14ac:dyDescent="0.2">
      <c r="A49" s="19">
        <v>14</v>
      </c>
      <c r="B49" s="143" t="s">
        <v>464</v>
      </c>
      <c r="C49" s="144"/>
      <c r="D49" s="14">
        <f>IF(F3="1",SUMIF(Data!A:A,'41'!$A$2,Data!DH:DH),0)</f>
        <v>79888</v>
      </c>
      <c r="E49" s="17">
        <f>IF($F$3="1",SUMIF(Data!$A:$A,$A$2,Data!JB:JB),0)</f>
        <v>122531</v>
      </c>
      <c r="F49" s="21">
        <f t="shared" si="3"/>
        <v>1.53</v>
      </c>
    </row>
    <row r="50" spans="1:6" x14ac:dyDescent="0.2">
      <c r="A50" s="19">
        <v>15</v>
      </c>
      <c r="B50" s="143" t="s">
        <v>13</v>
      </c>
      <c r="C50" s="144"/>
      <c r="D50" s="14">
        <f>IF(F3="1",SUMIF(Data!A:A,'41'!$A$2,Data!DI:DI),0)</f>
        <v>16624</v>
      </c>
      <c r="E50" s="17">
        <f>IF($F$3="1",SUMIF(Data!$A:$A,$A$2,Data!JC:JC),0)</f>
        <v>59342</v>
      </c>
      <c r="F50" s="21">
        <f t="shared" si="3"/>
        <v>3.57</v>
      </c>
    </row>
    <row r="51" spans="1:6" x14ac:dyDescent="0.2">
      <c r="A51" s="19">
        <v>16</v>
      </c>
      <c r="B51" s="143" t="s">
        <v>14</v>
      </c>
      <c r="C51" s="144"/>
      <c r="D51" s="14">
        <f>IF(F3="1",SUMIF(Data!A:A,'41'!$A$2,Data!DJ:DJ),0)</f>
        <v>76466</v>
      </c>
      <c r="E51" s="17">
        <f>IF($F$3="1",SUMIF(Data!$A:$A,$A$2,Data!JD:JD),0)</f>
        <v>56842</v>
      </c>
      <c r="F51" s="21">
        <f t="shared" si="3"/>
        <v>0.74</v>
      </c>
    </row>
    <row r="52" spans="1:6" x14ac:dyDescent="0.2">
      <c r="A52" s="19">
        <v>17</v>
      </c>
      <c r="B52" s="143" t="s">
        <v>15</v>
      </c>
      <c r="C52" s="144"/>
      <c r="D52" s="14">
        <f>IF(F3="1",SUMIF(Data!A:A,'41'!$A$2,Data!DK:DK),0)</f>
        <v>31552</v>
      </c>
      <c r="E52" s="17">
        <f>IF($F$3="1",SUMIF(Data!$A:$A,$A$2,Data!JE:JE),0)</f>
        <v>-60</v>
      </c>
      <c r="F52" s="21">
        <f t="shared" si="3"/>
        <v>0</v>
      </c>
    </row>
    <row r="53" spans="1:6" x14ac:dyDescent="0.2">
      <c r="A53" s="19">
        <v>18</v>
      </c>
      <c r="B53" s="143" t="s">
        <v>16</v>
      </c>
      <c r="C53" s="144"/>
      <c r="D53" s="14">
        <f>IF(F3="1",SUMIF(Data!A:A,'41'!$A$2,Data!DL:DL),0)</f>
        <v>92016</v>
      </c>
      <c r="E53" s="17">
        <f>IF($F$3="1",SUMIF(Data!$A:$A,$A$2,Data!JF:JF),0)</f>
        <v>37797</v>
      </c>
      <c r="F53" s="21">
        <f t="shared" si="3"/>
        <v>0.41</v>
      </c>
    </row>
    <row r="54" spans="1:6" x14ac:dyDescent="0.2">
      <c r="A54" s="19">
        <v>19</v>
      </c>
      <c r="B54" s="143" t="s">
        <v>17</v>
      </c>
      <c r="C54" s="144"/>
      <c r="D54" s="14">
        <f>IF(F3="1",SUMIF(Data!A:A,'41'!$A$2,Data!DM:DM),0)</f>
        <v>125248</v>
      </c>
      <c r="E54" s="17">
        <f>IF($F$3="1",SUMIF(Data!$A:$A,$A$2,Data!JG:JG),0)</f>
        <v>16502</v>
      </c>
      <c r="F54" s="21">
        <f t="shared" si="3"/>
        <v>0.13</v>
      </c>
    </row>
    <row r="55" spans="1:6" x14ac:dyDescent="0.2">
      <c r="A55" s="19">
        <v>20</v>
      </c>
      <c r="B55" s="143" t="s">
        <v>18</v>
      </c>
      <c r="C55" s="144"/>
      <c r="D55" s="14">
        <f>IF(F3="1",SUMIF(Data!A:A,'41'!$A$2,Data!DN:DN),0)</f>
        <v>8352</v>
      </c>
      <c r="E55" s="17">
        <f>IF($F$3="1",SUMIF(Data!$A:$A,$A$2,Data!JH:JH),0)</f>
        <v>9756</v>
      </c>
      <c r="F55" s="21">
        <f t="shared" si="3"/>
        <v>1.17</v>
      </c>
    </row>
    <row r="56" spans="1:6" ht="14.25" customHeight="1" x14ac:dyDescent="0.2">
      <c r="A56" s="19">
        <v>21</v>
      </c>
      <c r="B56" s="143" t="s">
        <v>461</v>
      </c>
      <c r="C56" s="144"/>
      <c r="D56" s="14">
        <f>IF(F3="1",SUMIF(Data!A:A,'41'!$A$2,Data!DO:DO),0)</f>
        <v>0</v>
      </c>
      <c r="E56" s="17">
        <f>IF($F$3="1",SUMIF(Data!$A:$A,$A$2,Data!JI:JI),0)</f>
        <v>0</v>
      </c>
      <c r="F56" s="21" t="str">
        <f t="shared" si="3"/>
        <v/>
      </c>
    </row>
    <row r="57" spans="1:6" x14ac:dyDescent="0.2">
      <c r="A57" s="19">
        <v>22</v>
      </c>
      <c r="B57" s="143" t="s">
        <v>19</v>
      </c>
      <c r="C57" s="144"/>
      <c r="D57" s="14">
        <f>IF(F3="1",SUMIF(Data!A:A,'41'!$A$2,Data!DP:DP),0)</f>
        <v>7024</v>
      </c>
      <c r="E57" s="17">
        <f>IF($F$3="1",SUMIF(Data!$A:$A,$A$2,Data!JJ:JJ),0)</f>
        <v>779</v>
      </c>
      <c r="F57" s="21">
        <f t="shared" si="3"/>
        <v>0.11</v>
      </c>
    </row>
    <row r="58" spans="1:6" x14ac:dyDescent="0.2">
      <c r="A58" s="19">
        <v>23</v>
      </c>
      <c r="B58" s="143" t="s">
        <v>20</v>
      </c>
      <c r="C58" s="144"/>
      <c r="D58" s="14">
        <f>IF(F3="1",SUMIF(Data!A:A,'41'!$A$2,Data!DQ:DQ),0)</f>
        <v>70368</v>
      </c>
      <c r="E58" s="17">
        <f>IF($F$3="1",SUMIF(Data!$A:$A,$A$2,Data!JK:JK),0)</f>
        <v>5088</v>
      </c>
      <c r="F58" s="21">
        <f t="shared" si="3"/>
        <v>7.0000000000000007E-2</v>
      </c>
    </row>
    <row r="59" spans="1:6" x14ac:dyDescent="0.2">
      <c r="A59" s="19">
        <v>24</v>
      </c>
      <c r="B59" s="143" t="s">
        <v>21</v>
      </c>
      <c r="C59" s="144"/>
      <c r="D59" s="14">
        <f>IF(F3="1",SUMIF(Data!A:A,'41'!$A$2,Data!DR:DR),0)</f>
        <v>45339</v>
      </c>
      <c r="E59" s="17">
        <f>IF($F$3="1",SUMIF(Data!$A:$A,$A$2,Data!JL:JL),0)</f>
        <v>1997</v>
      </c>
      <c r="F59" s="21">
        <f t="shared" si="3"/>
        <v>0.04</v>
      </c>
    </row>
    <row r="60" spans="1:6" x14ac:dyDescent="0.2">
      <c r="A60" s="19">
        <v>25</v>
      </c>
      <c r="B60" s="143" t="s">
        <v>22</v>
      </c>
      <c r="C60" s="144"/>
      <c r="D60" s="14">
        <f>IF(F3="1",SUMIF(Data!A:A,'41'!$A$2,Data!DS:DS),0)</f>
        <v>164160</v>
      </c>
      <c r="E60" s="17">
        <f>IF($F$3="1",SUMIF(Data!$A:$A,$A$2,Data!JM:JM),0)</f>
        <v>10558</v>
      </c>
      <c r="F60" s="21">
        <f t="shared" si="3"/>
        <v>0.06</v>
      </c>
    </row>
    <row r="61" spans="1:6" x14ac:dyDescent="0.2">
      <c r="A61" s="19">
        <v>26</v>
      </c>
      <c r="B61" s="143" t="s">
        <v>23</v>
      </c>
      <c r="C61" s="144"/>
      <c r="D61" s="14">
        <f>IF(F3="1",SUMIF(Data!A:A,'41'!$A$2,Data!DT:DT),0)</f>
        <v>75776</v>
      </c>
      <c r="E61" s="17">
        <f>IF($F$3="1",SUMIF(Data!$A:$A,$A$2,Data!JN:JN),0)</f>
        <v>87274</v>
      </c>
      <c r="F61" s="21">
        <f t="shared" si="3"/>
        <v>1.1499999999999999</v>
      </c>
    </row>
    <row r="62" spans="1:6" x14ac:dyDescent="0.2">
      <c r="A62" s="19">
        <v>28</v>
      </c>
      <c r="B62" s="143" t="s">
        <v>24</v>
      </c>
      <c r="C62" s="144"/>
      <c r="D62" s="14">
        <f>IF(F3="1",SUMIF(Data!A:A,'41'!$A$2,Data!DV:DV),0)</f>
        <v>0</v>
      </c>
      <c r="E62" s="17">
        <f>IF($F$3="1",SUMIF(Data!$A:$A,$A$2,Data!JP:JP),0)</f>
        <v>0</v>
      </c>
      <c r="F62" s="21" t="str">
        <f t="shared" si="3"/>
        <v/>
      </c>
    </row>
    <row r="63" spans="1:6" ht="15.75" customHeight="1" thickBot="1" x14ac:dyDescent="0.25">
      <c r="A63" s="22">
        <v>29</v>
      </c>
      <c r="B63" s="147" t="s">
        <v>25</v>
      </c>
      <c r="C63" s="148"/>
      <c r="D63" s="23">
        <f>IF(F3="1",SUMIF(Data!A:A,'41'!$A$2,Data!DW:DW),0)</f>
        <v>0</v>
      </c>
      <c r="E63" s="24">
        <f>IF($F$3="1",SUMIF(Data!$A:$A,$A$2,Data!JQ:JQ),0)</f>
        <v>0</v>
      </c>
      <c r="F63" s="25" t="str">
        <f t="shared" si="3"/>
        <v/>
      </c>
    </row>
    <row r="64" spans="1:6" x14ac:dyDescent="0.2">
      <c r="B64" s="30" t="s">
        <v>35</v>
      </c>
      <c r="C64" s="30"/>
      <c r="D64" s="59">
        <f>SUM(D36:D63)</f>
        <v>1424010</v>
      </c>
      <c r="E64" s="31">
        <f>SUM(E36:E63)</f>
        <v>699470</v>
      </c>
      <c r="F64" s="32">
        <f t="shared" si="3"/>
        <v>0.49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IF(F3="1",SUMIF(Data!A:A,'41'!$A$2,Data!DY:DY),0)</f>
        <v>0</v>
      </c>
      <c r="F67" s="20" t="str">
        <f t="shared" ref="F67:F95" si="4">IF(OR(D67=0,E67=0),"",ROUND(E67/D67,2))</f>
        <v/>
      </c>
    </row>
    <row r="68" spans="1:6" x14ac:dyDescent="0.2">
      <c r="A68" s="19">
        <v>2</v>
      </c>
      <c r="B68" s="143" t="s">
        <v>1</v>
      </c>
      <c r="C68" s="144"/>
      <c r="D68" s="14">
        <f t="shared" ref="D68:D94" si="5">D37</f>
        <v>0</v>
      </c>
      <c r="E68" s="17">
        <f>IF(F3="1",SUMIF(Data!A:A,'41'!$A$2,Data!DZ:DZ),0)</f>
        <v>0</v>
      </c>
      <c r="F68" s="21" t="str">
        <f t="shared" si="4"/>
        <v/>
      </c>
    </row>
    <row r="69" spans="1:6" ht="14.25" customHeight="1" x14ac:dyDescent="0.2">
      <c r="A69" s="19">
        <v>3</v>
      </c>
      <c r="B69" s="143" t="s">
        <v>2</v>
      </c>
      <c r="C69" s="144"/>
      <c r="D69" s="14">
        <f t="shared" si="5"/>
        <v>113408</v>
      </c>
      <c r="E69" s="17">
        <f>IF(F3="1",SUMIF(Data!A:A,'41'!$A$2,Data!EA:EA),0)</f>
        <v>346559</v>
      </c>
      <c r="F69" s="21">
        <f t="shared" si="4"/>
        <v>3.06</v>
      </c>
    </row>
    <row r="70" spans="1:6" ht="14.25" customHeight="1" x14ac:dyDescent="0.2">
      <c r="A70" s="19">
        <v>4</v>
      </c>
      <c r="B70" s="143" t="s">
        <v>3</v>
      </c>
      <c r="C70" s="144"/>
      <c r="D70" s="14">
        <f t="shared" si="5"/>
        <v>88823</v>
      </c>
      <c r="E70" s="17">
        <f>IF(F3="1",SUMIF(Data!A:A,'41'!$A$2,Data!EB:EB),0)</f>
        <v>206300</v>
      </c>
      <c r="F70" s="21">
        <f t="shared" si="4"/>
        <v>2.3199999999999998</v>
      </c>
    </row>
    <row r="71" spans="1:6" x14ac:dyDescent="0.2">
      <c r="A71" s="19">
        <v>5</v>
      </c>
      <c r="B71" s="143" t="s">
        <v>4</v>
      </c>
      <c r="C71" s="144"/>
      <c r="D71" s="14">
        <f t="shared" si="5"/>
        <v>0</v>
      </c>
      <c r="E71" s="17">
        <f>IF(F3="1",SUMIF(Data!A:A,'41'!$A$2,Data!EC:EC),0)</f>
        <v>0</v>
      </c>
      <c r="F71" s="21" t="str">
        <f t="shared" si="4"/>
        <v/>
      </c>
    </row>
    <row r="72" spans="1:6" x14ac:dyDescent="0.2">
      <c r="A72" s="19">
        <v>6</v>
      </c>
      <c r="B72" s="143" t="s">
        <v>5</v>
      </c>
      <c r="C72" s="144"/>
      <c r="D72" s="14">
        <f t="shared" si="5"/>
        <v>0</v>
      </c>
      <c r="E72" s="17">
        <f>IF(F3="1",SUMIF(Data!A:A,'41'!$A$2,Data!ED:ED),0)</f>
        <v>0</v>
      </c>
      <c r="F72" s="21" t="str">
        <f t="shared" si="4"/>
        <v/>
      </c>
    </row>
    <row r="73" spans="1:6" x14ac:dyDescent="0.2">
      <c r="A73" s="19">
        <v>7</v>
      </c>
      <c r="B73" s="143" t="s">
        <v>6</v>
      </c>
      <c r="C73" s="144"/>
      <c r="D73" s="14">
        <f t="shared" si="5"/>
        <v>174898</v>
      </c>
      <c r="E73" s="17">
        <f>IF(F3="1",SUMIF(Data!A:A,'41'!$A$2,Data!EE:EE),0)</f>
        <v>468138</v>
      </c>
      <c r="F73" s="21">
        <f t="shared" si="4"/>
        <v>2.68</v>
      </c>
    </row>
    <row r="74" spans="1:6" x14ac:dyDescent="0.2">
      <c r="A74" s="19">
        <v>8</v>
      </c>
      <c r="B74" s="143" t="s">
        <v>7</v>
      </c>
      <c r="C74" s="144"/>
      <c r="D74" s="14">
        <f t="shared" si="5"/>
        <v>2060</v>
      </c>
      <c r="E74" s="17">
        <f>IF(F3="1",SUMIF(Data!A:A,'41'!$A$2,Data!EF:EF),0)</f>
        <v>28087</v>
      </c>
      <c r="F74" s="21">
        <f t="shared" si="4"/>
        <v>13.63</v>
      </c>
    </row>
    <row r="75" spans="1:6" x14ac:dyDescent="0.2">
      <c r="A75" s="19">
        <v>9</v>
      </c>
      <c r="B75" s="143" t="s">
        <v>8</v>
      </c>
      <c r="C75" s="144"/>
      <c r="D75" s="14">
        <f t="shared" si="5"/>
        <v>72</v>
      </c>
      <c r="E75" s="17">
        <f>IF(F3="1",SUMIF(Data!A:A,'41'!$A$2,Data!EG:EG),0)</f>
        <v>869</v>
      </c>
      <c r="F75" s="21">
        <f t="shared" si="4"/>
        <v>12.07</v>
      </c>
    </row>
    <row r="76" spans="1:6" x14ac:dyDescent="0.2">
      <c r="A76" s="19">
        <v>10</v>
      </c>
      <c r="B76" s="143" t="s">
        <v>9</v>
      </c>
      <c r="C76" s="144"/>
      <c r="D76" s="14">
        <f t="shared" si="5"/>
        <v>1056</v>
      </c>
      <c r="E76" s="17">
        <f>IF(F3="1",SUMIF(Data!A:A,'41'!$A$2,Data!EH:EH),0)</f>
        <v>2987</v>
      </c>
      <c r="F76" s="21">
        <f t="shared" si="4"/>
        <v>2.83</v>
      </c>
    </row>
    <row r="77" spans="1:6" x14ac:dyDescent="0.2">
      <c r="A77" s="19">
        <v>11</v>
      </c>
      <c r="B77" s="143" t="s">
        <v>10</v>
      </c>
      <c r="C77" s="144"/>
      <c r="D77" s="14">
        <f t="shared" si="5"/>
        <v>43216</v>
      </c>
      <c r="E77" s="17">
        <f>IF(F3="1",SUMIF(Data!A:A,'41'!$A$2,Data!EI:EI),0)</f>
        <v>173785</v>
      </c>
      <c r="F77" s="21">
        <f t="shared" si="4"/>
        <v>4.0199999999999996</v>
      </c>
    </row>
    <row r="78" spans="1:6" ht="14.25" customHeight="1" x14ac:dyDescent="0.2">
      <c r="A78" s="19">
        <v>12</v>
      </c>
      <c r="B78" s="143" t="s">
        <v>11</v>
      </c>
      <c r="C78" s="144"/>
      <c r="D78" s="14">
        <f t="shared" si="5"/>
        <v>193920</v>
      </c>
      <c r="E78" s="17">
        <f>IF(F3="1",SUMIF(Data!A:A,'41'!$A$2,Data!EJ:EJ),0)</f>
        <v>503344</v>
      </c>
      <c r="F78" s="21">
        <f t="shared" si="4"/>
        <v>2.6</v>
      </c>
    </row>
    <row r="79" spans="1:6" x14ac:dyDescent="0.2">
      <c r="A79" s="19">
        <v>13</v>
      </c>
      <c r="B79" s="143" t="s">
        <v>12</v>
      </c>
      <c r="C79" s="144"/>
      <c r="D79" s="14">
        <f t="shared" si="5"/>
        <v>13744</v>
      </c>
      <c r="E79" s="17">
        <f>IF(F3="1",SUMIF(Data!A:A,'41'!$A$2,Data!EK:EK),0)</f>
        <v>56249</v>
      </c>
      <c r="F79" s="21">
        <f t="shared" si="4"/>
        <v>4.09</v>
      </c>
    </row>
    <row r="80" spans="1:6" ht="14.25" customHeight="1" x14ac:dyDescent="0.2">
      <c r="A80" s="19">
        <v>14</v>
      </c>
      <c r="B80" s="143" t="s">
        <v>464</v>
      </c>
      <c r="C80" s="144"/>
      <c r="D80" s="14">
        <f t="shared" si="5"/>
        <v>79888</v>
      </c>
      <c r="E80" s="17">
        <f>IF(F3="1",SUMIF(Data!A:A,'41'!$A$2,Data!EL:EL),0)</f>
        <v>357362</v>
      </c>
      <c r="F80" s="21">
        <f t="shared" si="4"/>
        <v>4.47</v>
      </c>
    </row>
    <row r="81" spans="1:6" x14ac:dyDescent="0.2">
      <c r="A81" s="19">
        <v>15</v>
      </c>
      <c r="B81" s="143" t="s">
        <v>13</v>
      </c>
      <c r="C81" s="144"/>
      <c r="D81" s="14">
        <f t="shared" si="5"/>
        <v>16624</v>
      </c>
      <c r="E81" s="17">
        <f>IF(F3="1",SUMIF(Data!A:A,'41'!$A$2,Data!EM:EM),0)</f>
        <v>187152</v>
      </c>
      <c r="F81" s="21">
        <f t="shared" si="4"/>
        <v>11.26</v>
      </c>
    </row>
    <row r="82" spans="1:6" x14ac:dyDescent="0.2">
      <c r="A82" s="19">
        <v>16</v>
      </c>
      <c r="B82" s="143" t="s">
        <v>14</v>
      </c>
      <c r="C82" s="144"/>
      <c r="D82" s="14">
        <f t="shared" si="5"/>
        <v>76466</v>
      </c>
      <c r="E82" s="17">
        <f>IF(F3="1",SUMIF(Data!A:A,'41'!$A$2,Data!EN:EN),0)</f>
        <v>281698</v>
      </c>
      <c r="F82" s="21">
        <f t="shared" si="4"/>
        <v>3.68</v>
      </c>
    </row>
    <row r="83" spans="1:6" x14ac:dyDescent="0.2">
      <c r="A83" s="19">
        <v>17</v>
      </c>
      <c r="B83" s="143" t="s">
        <v>15</v>
      </c>
      <c r="C83" s="144"/>
      <c r="D83" s="14">
        <f t="shared" si="5"/>
        <v>31552</v>
      </c>
      <c r="E83" s="17">
        <f>IF(F3="1",SUMIF(Data!A:A,'41'!$A$2,Data!EO:EO),0)</f>
        <v>135349</v>
      </c>
      <c r="F83" s="21">
        <f t="shared" si="4"/>
        <v>4.29</v>
      </c>
    </row>
    <row r="84" spans="1:6" x14ac:dyDescent="0.2">
      <c r="A84" s="19">
        <v>18</v>
      </c>
      <c r="B84" s="143" t="s">
        <v>16</v>
      </c>
      <c r="C84" s="144"/>
      <c r="D84" s="14">
        <f t="shared" si="5"/>
        <v>92016</v>
      </c>
      <c r="E84" s="17">
        <f>IF(F3="1",SUMIF(Data!A:A,'41'!$A$2,Data!EP:EP),0)</f>
        <v>294450</v>
      </c>
      <c r="F84" s="21">
        <f t="shared" si="4"/>
        <v>3.2</v>
      </c>
    </row>
    <row r="85" spans="1:6" x14ac:dyDescent="0.2">
      <c r="A85" s="19">
        <v>19</v>
      </c>
      <c r="B85" s="143" t="s">
        <v>17</v>
      </c>
      <c r="C85" s="144"/>
      <c r="D85" s="14">
        <f t="shared" si="5"/>
        <v>125248</v>
      </c>
      <c r="E85" s="17">
        <f>IF(F3="1",SUMIF(Data!A:A,'41'!$A$2,Data!EQ:EQ),0)</f>
        <v>384864</v>
      </c>
      <c r="F85" s="21">
        <f t="shared" si="4"/>
        <v>3.07</v>
      </c>
    </row>
    <row r="86" spans="1:6" x14ac:dyDescent="0.2">
      <c r="A86" s="19">
        <v>20</v>
      </c>
      <c r="B86" s="143" t="s">
        <v>18</v>
      </c>
      <c r="C86" s="144"/>
      <c r="D86" s="14">
        <f t="shared" si="5"/>
        <v>8352</v>
      </c>
      <c r="E86" s="17">
        <f>IF(F3="1",SUMIF(Data!A:A,'41'!$A$2,Data!ER:ER),0)</f>
        <v>47458</v>
      </c>
      <c r="F86" s="21">
        <f t="shared" si="4"/>
        <v>5.68</v>
      </c>
    </row>
    <row r="87" spans="1:6" ht="14.25" customHeight="1" x14ac:dyDescent="0.2">
      <c r="A87" s="19">
        <v>21</v>
      </c>
      <c r="B87" s="143" t="s">
        <v>461</v>
      </c>
      <c r="C87" s="144"/>
      <c r="D87" s="14">
        <f t="shared" si="5"/>
        <v>0</v>
      </c>
      <c r="E87" s="17">
        <f>IF(F3="1",SUMIF(Data!A:A,'41'!$A$2,Data!ES:ES),0)</f>
        <v>0</v>
      </c>
      <c r="F87" s="21" t="str">
        <f t="shared" si="4"/>
        <v/>
      </c>
    </row>
    <row r="88" spans="1:6" x14ac:dyDescent="0.2">
      <c r="A88" s="19">
        <v>22</v>
      </c>
      <c r="B88" s="143" t="s">
        <v>19</v>
      </c>
      <c r="C88" s="144"/>
      <c r="D88" s="14">
        <f t="shared" si="5"/>
        <v>7024</v>
      </c>
      <c r="E88" s="17">
        <f>IF(F3="1",SUMIF(Data!A:A,'41'!$A$2,Data!ET:ET),0)</f>
        <v>1789</v>
      </c>
      <c r="F88" s="21">
        <f t="shared" si="4"/>
        <v>0.25</v>
      </c>
    </row>
    <row r="89" spans="1:6" x14ac:dyDescent="0.2">
      <c r="A89" s="19">
        <v>23</v>
      </c>
      <c r="B89" s="143" t="s">
        <v>20</v>
      </c>
      <c r="C89" s="144"/>
      <c r="D89" s="14">
        <f t="shared" si="5"/>
        <v>70368</v>
      </c>
      <c r="E89" s="17">
        <f>IF(F3="1",SUMIF(Data!A:A,'41'!$A$2,Data!EU:EU),0)</f>
        <v>205028</v>
      </c>
      <c r="F89" s="21">
        <f t="shared" si="4"/>
        <v>2.91</v>
      </c>
    </row>
    <row r="90" spans="1:6" x14ac:dyDescent="0.2">
      <c r="A90" s="19">
        <v>24</v>
      </c>
      <c r="B90" s="143" t="s">
        <v>21</v>
      </c>
      <c r="C90" s="144"/>
      <c r="D90" s="14">
        <f t="shared" si="5"/>
        <v>45339</v>
      </c>
      <c r="E90" s="17">
        <f>IF(F3="1",SUMIF(Data!A:A,'41'!$A$2,Data!EV:EV),0)</f>
        <v>67929</v>
      </c>
      <c r="F90" s="21">
        <f t="shared" si="4"/>
        <v>1.5</v>
      </c>
    </row>
    <row r="91" spans="1:6" x14ac:dyDescent="0.2">
      <c r="A91" s="19">
        <v>25</v>
      </c>
      <c r="B91" s="143" t="s">
        <v>22</v>
      </c>
      <c r="C91" s="144"/>
      <c r="D91" s="14">
        <f t="shared" si="5"/>
        <v>164160</v>
      </c>
      <c r="E91" s="17">
        <f>IF(F3="1",SUMIF(Data!A:A,'41'!$A$2,Data!EW:EW),0)</f>
        <v>400346</v>
      </c>
      <c r="F91" s="21">
        <f t="shared" si="4"/>
        <v>2.44</v>
      </c>
    </row>
    <row r="92" spans="1:6" x14ac:dyDescent="0.2">
      <c r="A92" s="19">
        <v>26</v>
      </c>
      <c r="B92" s="143" t="s">
        <v>23</v>
      </c>
      <c r="C92" s="144"/>
      <c r="D92" s="14">
        <f t="shared" si="5"/>
        <v>75776</v>
      </c>
      <c r="E92" s="17">
        <f>IF(F3="1",SUMIF(Data!A:A,'41'!$A$2,Data!EX:EX),0)</f>
        <v>422174</v>
      </c>
      <c r="F92" s="21">
        <f t="shared" si="4"/>
        <v>5.57</v>
      </c>
    </row>
    <row r="93" spans="1:6" x14ac:dyDescent="0.2">
      <c r="A93" s="19">
        <v>28</v>
      </c>
      <c r="B93" s="143" t="s">
        <v>24</v>
      </c>
      <c r="C93" s="144"/>
      <c r="D93" s="14">
        <f t="shared" si="5"/>
        <v>0</v>
      </c>
      <c r="E93" s="17">
        <f>IF(F3="1",SUMIF(Data!A:A,'41'!$A$2,Data!EZ:EZ),0)</f>
        <v>0</v>
      </c>
      <c r="F93" s="21" t="str">
        <f t="shared" si="4"/>
        <v/>
      </c>
    </row>
    <row r="94" spans="1:6" ht="15.75" customHeight="1" thickBot="1" x14ac:dyDescent="0.25">
      <c r="A94" s="22">
        <v>29</v>
      </c>
      <c r="B94" s="147" t="s">
        <v>25</v>
      </c>
      <c r="C94" s="148"/>
      <c r="D94" s="23">
        <f t="shared" si="5"/>
        <v>0</v>
      </c>
      <c r="E94" s="24">
        <f>IF(F3="1",SUMIF(Data!A:A,'41'!$A$2,Data!FA:FA),0)</f>
        <v>0</v>
      </c>
      <c r="F94" s="25" t="str">
        <f t="shared" si="4"/>
        <v/>
      </c>
    </row>
    <row r="95" spans="1:6" x14ac:dyDescent="0.2">
      <c r="B95" s="30" t="s">
        <v>35</v>
      </c>
      <c r="C95" s="30"/>
      <c r="D95" s="59">
        <f>SUM(D67:D94)</f>
        <v>1424010</v>
      </c>
      <c r="E95" s="31">
        <f>SUM(E67:E94)</f>
        <v>4571917</v>
      </c>
      <c r="F95" s="32">
        <f t="shared" si="4"/>
        <v>3.21</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IF(F3="1",SUMIF(Data!A:A,'41'!$A$2,Data!AH:AH),0)</f>
        <v>1313690</v>
      </c>
      <c r="F98" s="20">
        <f>IF(OR(E98=0,E98=0),"",ROUND(E98/$D$105,2))</f>
        <v>0.92</v>
      </c>
    </row>
    <row r="99" spans="2:6" x14ac:dyDescent="0.2">
      <c r="B99" s="153" t="s">
        <v>31</v>
      </c>
      <c r="C99" s="154"/>
      <c r="D99" s="36"/>
      <c r="E99" s="17">
        <f>IF(F3="1",SUMIF(Data!A:A,'41'!$A$2,Data!AI:AI),0)</f>
        <v>770949</v>
      </c>
      <c r="F99" s="21">
        <f t="shared" ref="F99:F104" si="6">IF(OR(E99=0,E99=0),"",ROUND(E99/$D$105,2))</f>
        <v>0.54</v>
      </c>
    </row>
    <row r="100" spans="2:6" x14ac:dyDescent="0.2">
      <c r="B100" s="153" t="s">
        <v>1078</v>
      </c>
      <c r="C100" s="154"/>
      <c r="D100" s="36"/>
      <c r="E100" s="17">
        <f>IF(F3="1",SUMIF(Data!A:A,'41'!$A$2,Data!AJ:AJ),0)</f>
        <v>515999</v>
      </c>
      <c r="F100" s="21">
        <f t="shared" si="6"/>
        <v>0.36</v>
      </c>
    </row>
    <row r="101" spans="2:6" x14ac:dyDescent="0.2">
      <c r="B101" s="153" t="s">
        <v>1079</v>
      </c>
      <c r="C101" s="154"/>
      <c r="D101" s="36"/>
      <c r="E101" s="17">
        <f>IF(F3="1",SUMIF(Data!A:A,'41'!$A$2,Data!AK:AK),0)</f>
        <v>160397</v>
      </c>
      <c r="F101" s="21">
        <f t="shared" si="6"/>
        <v>0.11</v>
      </c>
    </row>
    <row r="102" spans="2:6" x14ac:dyDescent="0.2">
      <c r="B102" s="153" t="s">
        <v>1080</v>
      </c>
      <c r="C102" s="154"/>
      <c r="D102" s="36"/>
      <c r="E102" s="17">
        <f>IF(F3="1",SUMIF(Data!A:A,'41'!$A$2,Data!AL:AL),0)</f>
        <v>0</v>
      </c>
      <c r="F102" s="21" t="str">
        <f t="shared" si="6"/>
        <v/>
      </c>
    </row>
    <row r="103" spans="2:6" x14ac:dyDescent="0.2">
      <c r="B103" s="155" t="s">
        <v>34</v>
      </c>
      <c r="C103" s="156"/>
      <c r="D103" s="36"/>
      <c r="E103" s="17">
        <f>IF(F3="1",SUMIF(Data!A:A,'41'!$A$2,Data!AM:AM),0)</f>
        <v>0</v>
      </c>
      <c r="F103" s="21" t="str">
        <f t="shared" si="6"/>
        <v/>
      </c>
    </row>
    <row r="104" spans="2:6" ht="15.75" customHeight="1" thickBot="1" x14ac:dyDescent="0.25">
      <c r="B104" s="149" t="s">
        <v>29</v>
      </c>
      <c r="C104" s="150"/>
      <c r="D104" s="37"/>
      <c r="E104" s="24">
        <f>IF(F3="1",SUMIF(Data!A:A,'41'!$A$2,Data!Q:Q),0)</f>
        <v>775010</v>
      </c>
      <c r="F104" s="25">
        <f t="shared" si="6"/>
        <v>0.54</v>
      </c>
    </row>
    <row r="105" spans="2:6" x14ac:dyDescent="0.2">
      <c r="B105" s="30" t="s">
        <v>35</v>
      </c>
      <c r="C105" s="30"/>
      <c r="D105" s="34">
        <f>D95</f>
        <v>1424010</v>
      </c>
      <c r="E105" s="31">
        <f>SUM(E98:E104)</f>
        <v>3536045</v>
      </c>
      <c r="F105" s="32">
        <f>IF($D$105=0,"",ROUND(E105/$D$105,2))</f>
        <v>2.48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4571917</v>
      </c>
      <c r="D109" s="15">
        <f>IF(F3="1",SUMIF(Data!$A:$A,$A$2,Data!HJ:HJ),0)</f>
        <v>0</v>
      </c>
      <c r="E109" s="15">
        <f>IF(F3="1",SUMIF(Data!$A:$A,$A$2,Data!IN:IN),0)</f>
        <v>0</v>
      </c>
      <c r="F109" s="47">
        <f>SUM(C109:E109)</f>
        <v>4571917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775010</v>
      </c>
      <c r="E117" s="52"/>
      <c r="F117" s="49">
        <f>SUM(C117:E117)</f>
        <v>775010</v>
      </c>
    </row>
    <row r="118" spans="1:6" x14ac:dyDescent="0.2">
      <c r="B118" s="13" t="s">
        <v>35</v>
      </c>
      <c r="C118" s="4">
        <f>SUM(C109:C116)</f>
        <v>4571917</v>
      </c>
      <c r="D118" s="4">
        <f>SUM(D109:D116)</f>
        <v>0</v>
      </c>
      <c r="E118" s="4">
        <f>SUM(E109:E116)</f>
        <v>0</v>
      </c>
      <c r="F118" s="4">
        <f>SUM(F109:F116)</f>
        <v>4571917</v>
      </c>
    </row>
    <row r="119" spans="1:6" ht="15" thickBot="1" x14ac:dyDescent="0.25"/>
    <row r="120" spans="1:6" ht="15" thickBot="1" x14ac:dyDescent="0.25">
      <c r="B120" s="55" t="s">
        <v>934</v>
      </c>
      <c r="C120" s="53"/>
      <c r="D120" s="53"/>
      <c r="E120" s="53">
        <f>IF(F3="1",SUMIF(Data!A:A,'41'!$A$2,Data!AM:AM),0)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405</v>
      </c>
      <c r="B2" s="58" t="str">
        <f>VLOOKUP(A2,Data!A:G,7,0)</f>
        <v>Texarkana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36649</v>
      </c>
      <c r="E5" s="15">
        <f>E36+E67+IFERROR($E$105/$D$105*D5,0)</f>
        <v>200411.36865222236</v>
      </c>
      <c r="F5" s="20">
        <f>IF(OR(D5=0,E5=0),"",ROUND(E5/D5,2))</f>
        <v>5.47</v>
      </c>
    </row>
    <row r="6" spans="1:6" x14ac:dyDescent="0.2">
      <c r="A6" s="19">
        <v>2</v>
      </c>
      <c r="B6" s="143" t="s">
        <v>1</v>
      </c>
      <c r="C6" s="144"/>
      <c r="D6" s="14">
        <f t="shared" ref="D6:D32" si="0">D37</f>
        <v>116148</v>
      </c>
      <c r="E6" s="17">
        <f t="shared" ref="E6:E32" si="1">E37+E68+IFERROR($E$105/$D$105*D6,0)</f>
        <v>436883.93659358571</v>
      </c>
      <c r="F6" s="21">
        <f t="shared" ref="F6:F33" si="2">IF(OR(D6=0,E6=0),"",ROUND(E6/D6,2))</f>
        <v>3.76</v>
      </c>
    </row>
    <row r="7" spans="1:6" ht="14.25" customHeight="1" x14ac:dyDescent="0.2">
      <c r="A7" s="19">
        <v>3</v>
      </c>
      <c r="B7" s="143" t="s">
        <v>2</v>
      </c>
      <c r="C7" s="144"/>
      <c r="D7" s="14">
        <f t="shared" si="0"/>
        <v>201680</v>
      </c>
      <c r="E7" s="17">
        <f t="shared" si="1"/>
        <v>969402.83903463138</v>
      </c>
      <c r="F7" s="21">
        <f t="shared" si="2"/>
        <v>4.8099999999999996</v>
      </c>
    </row>
    <row r="8" spans="1:6" ht="14.25" customHeight="1" x14ac:dyDescent="0.2">
      <c r="A8" s="19">
        <v>4</v>
      </c>
      <c r="B8" s="143" t="s">
        <v>3</v>
      </c>
      <c r="C8" s="144"/>
      <c r="D8" s="14">
        <f t="shared" si="0"/>
        <v>280198</v>
      </c>
      <c r="E8" s="17">
        <f t="shared" si="1"/>
        <v>1389473.7777460613</v>
      </c>
      <c r="F8" s="21">
        <f t="shared" si="2"/>
        <v>4.96</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8544</v>
      </c>
      <c r="E10" s="17">
        <f t="shared" si="1"/>
        <v>45940.660693732105</v>
      </c>
      <c r="F10" s="21">
        <f t="shared" si="2"/>
        <v>5.38</v>
      </c>
    </row>
    <row r="11" spans="1:6" x14ac:dyDescent="0.2">
      <c r="A11" s="19">
        <v>7</v>
      </c>
      <c r="B11" s="143" t="s">
        <v>6</v>
      </c>
      <c r="C11" s="144"/>
      <c r="D11" s="14">
        <f t="shared" si="0"/>
        <v>896</v>
      </c>
      <c r="E11" s="17">
        <f t="shared" si="1"/>
        <v>2869.312731926962</v>
      </c>
      <c r="F11" s="21">
        <f t="shared" si="2"/>
        <v>3.2</v>
      </c>
    </row>
    <row r="12" spans="1:6" x14ac:dyDescent="0.2">
      <c r="A12" s="19">
        <v>8</v>
      </c>
      <c r="B12" s="143" t="s">
        <v>7</v>
      </c>
      <c r="C12" s="144"/>
      <c r="D12" s="14">
        <f t="shared" si="0"/>
        <v>25130</v>
      </c>
      <c r="E12" s="17">
        <f t="shared" si="1"/>
        <v>85397.63052826401</v>
      </c>
      <c r="F12" s="21">
        <f t="shared" si="2"/>
        <v>3.4</v>
      </c>
    </row>
    <row r="13" spans="1:6" x14ac:dyDescent="0.2">
      <c r="A13" s="19">
        <v>9</v>
      </c>
      <c r="B13" s="143" t="s">
        <v>8</v>
      </c>
      <c r="C13" s="144"/>
      <c r="D13" s="14">
        <f t="shared" si="0"/>
        <v>66320</v>
      </c>
      <c r="E13" s="17">
        <f t="shared" si="1"/>
        <v>205378.23703280819</v>
      </c>
      <c r="F13" s="21">
        <f t="shared" si="2"/>
        <v>3.1</v>
      </c>
    </row>
    <row r="14" spans="1:6" x14ac:dyDescent="0.2">
      <c r="A14" s="19">
        <v>10</v>
      </c>
      <c r="B14" s="143" t="s">
        <v>9</v>
      </c>
      <c r="C14" s="144"/>
      <c r="D14" s="14">
        <f t="shared" si="0"/>
        <v>6480</v>
      </c>
      <c r="E14" s="17">
        <f t="shared" si="1"/>
        <v>46520.42243625749</v>
      </c>
      <c r="F14" s="21">
        <f t="shared" si="2"/>
        <v>7.18</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210448</v>
      </c>
      <c r="E16" s="17">
        <f t="shared" si="1"/>
        <v>871873.82791134529</v>
      </c>
      <c r="F16" s="21">
        <f t="shared" si="2"/>
        <v>4.1399999999999997</v>
      </c>
    </row>
    <row r="17" spans="1:6" x14ac:dyDescent="0.2">
      <c r="A17" s="19">
        <v>13</v>
      </c>
      <c r="B17" s="143" t="s">
        <v>12</v>
      </c>
      <c r="C17" s="144"/>
      <c r="D17" s="14">
        <f t="shared" si="0"/>
        <v>18064</v>
      </c>
      <c r="E17" s="17">
        <f t="shared" si="1"/>
        <v>92149.108470456078</v>
      </c>
      <c r="F17" s="21">
        <f t="shared" si="2"/>
        <v>5.0999999999999996</v>
      </c>
    </row>
    <row r="18" spans="1:6" ht="14.25" customHeight="1" x14ac:dyDescent="0.2">
      <c r="A18" s="19">
        <v>14</v>
      </c>
      <c r="B18" s="143" t="s">
        <v>464</v>
      </c>
      <c r="C18" s="144"/>
      <c r="D18" s="14">
        <f t="shared" si="0"/>
        <v>120580</v>
      </c>
      <c r="E18" s="17">
        <f t="shared" si="1"/>
        <v>982491.21564258158</v>
      </c>
      <c r="F18" s="21">
        <f t="shared" si="2"/>
        <v>8.15</v>
      </c>
    </row>
    <row r="19" spans="1:6" x14ac:dyDescent="0.2">
      <c r="A19" s="19">
        <v>15</v>
      </c>
      <c r="B19" s="143" t="s">
        <v>13</v>
      </c>
      <c r="C19" s="144"/>
      <c r="D19" s="14">
        <f t="shared" si="0"/>
        <v>665</v>
      </c>
      <c r="E19" s="17">
        <f t="shared" si="1"/>
        <v>5387.0055432270419</v>
      </c>
      <c r="F19" s="21">
        <f t="shared" si="2"/>
        <v>8.1</v>
      </c>
    </row>
    <row r="20" spans="1:6" x14ac:dyDescent="0.2">
      <c r="A20" s="19">
        <v>16</v>
      </c>
      <c r="B20" s="143" t="s">
        <v>14</v>
      </c>
      <c r="C20" s="144"/>
      <c r="D20" s="14">
        <f t="shared" si="0"/>
        <v>70849</v>
      </c>
      <c r="E20" s="17">
        <f t="shared" si="1"/>
        <v>367410.65373247024</v>
      </c>
      <c r="F20" s="21">
        <f t="shared" si="2"/>
        <v>5.19</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148429</v>
      </c>
      <c r="E22" s="17">
        <f t="shared" si="1"/>
        <v>604558.40567766409</v>
      </c>
      <c r="F22" s="21">
        <f t="shared" si="2"/>
        <v>4.07</v>
      </c>
    </row>
    <row r="23" spans="1:6" x14ac:dyDescent="0.2">
      <c r="A23" s="19">
        <v>19</v>
      </c>
      <c r="B23" s="143" t="s">
        <v>17</v>
      </c>
      <c r="C23" s="144"/>
      <c r="D23" s="14">
        <f t="shared" si="0"/>
        <v>160144</v>
      </c>
      <c r="E23" s="17">
        <f t="shared" si="1"/>
        <v>603136.55596173147</v>
      </c>
      <c r="F23" s="21">
        <f t="shared" si="2"/>
        <v>3.77</v>
      </c>
    </row>
    <row r="24" spans="1:6" x14ac:dyDescent="0.2">
      <c r="A24" s="19">
        <v>20</v>
      </c>
      <c r="B24" s="143" t="s">
        <v>18</v>
      </c>
      <c r="C24" s="144"/>
      <c r="D24" s="14">
        <f t="shared" si="0"/>
        <v>73918</v>
      </c>
      <c r="E24" s="17">
        <f t="shared" si="1"/>
        <v>347908.16352519777</v>
      </c>
      <c r="F24" s="21">
        <f t="shared" si="2"/>
        <v>4.71</v>
      </c>
    </row>
    <row r="25" spans="1:6" ht="14.25" customHeight="1" x14ac:dyDescent="0.2">
      <c r="A25" s="19">
        <v>21</v>
      </c>
      <c r="B25" s="143" t="s">
        <v>461</v>
      </c>
      <c r="C25" s="144"/>
      <c r="D25" s="14">
        <f t="shared" si="0"/>
        <v>150917</v>
      </c>
      <c r="E25" s="17">
        <f t="shared" si="1"/>
        <v>572513.65799578279</v>
      </c>
      <c r="F25" s="21">
        <f t="shared" si="2"/>
        <v>3.79</v>
      </c>
    </row>
    <row r="26" spans="1:6" x14ac:dyDescent="0.2">
      <c r="A26" s="19">
        <v>22</v>
      </c>
      <c r="B26" s="143" t="s">
        <v>19</v>
      </c>
      <c r="C26" s="144"/>
      <c r="D26" s="14">
        <f t="shared" si="0"/>
        <v>105174</v>
      </c>
      <c r="E26" s="17">
        <f t="shared" si="1"/>
        <v>411261.99248625705</v>
      </c>
      <c r="F26" s="21">
        <f t="shared" si="2"/>
        <v>3.91</v>
      </c>
    </row>
    <row r="27" spans="1:6" x14ac:dyDescent="0.2">
      <c r="A27" s="19">
        <v>23</v>
      </c>
      <c r="B27" s="143" t="s">
        <v>20</v>
      </c>
      <c r="C27" s="144"/>
      <c r="D27" s="14">
        <f t="shared" si="0"/>
        <v>28848</v>
      </c>
      <c r="E27" s="17">
        <f t="shared" si="1"/>
        <v>135778.05099400558</v>
      </c>
      <c r="F27" s="21">
        <f t="shared" si="2"/>
        <v>4.71</v>
      </c>
    </row>
    <row r="28" spans="1:6" x14ac:dyDescent="0.2">
      <c r="A28" s="19">
        <v>24</v>
      </c>
      <c r="B28" s="143" t="s">
        <v>21</v>
      </c>
      <c r="C28" s="144"/>
      <c r="D28" s="14">
        <f t="shared" si="0"/>
        <v>50483</v>
      </c>
      <c r="E28" s="17">
        <f t="shared" si="1"/>
        <v>197613.02081012144</v>
      </c>
      <c r="F28" s="21">
        <f t="shared" si="2"/>
        <v>3.91</v>
      </c>
    </row>
    <row r="29" spans="1:6" x14ac:dyDescent="0.2">
      <c r="A29" s="19">
        <v>25</v>
      </c>
      <c r="B29" s="143" t="s">
        <v>22</v>
      </c>
      <c r="C29" s="144"/>
      <c r="D29" s="14">
        <f t="shared" si="0"/>
        <v>240768</v>
      </c>
      <c r="E29" s="17">
        <f t="shared" si="1"/>
        <v>916500.60696494509</v>
      </c>
      <c r="F29" s="21">
        <f t="shared" si="2"/>
        <v>3.81</v>
      </c>
    </row>
    <row r="30" spans="1:6" x14ac:dyDescent="0.2">
      <c r="A30" s="19">
        <v>26</v>
      </c>
      <c r="B30" s="143" t="s">
        <v>23</v>
      </c>
      <c r="C30" s="144"/>
      <c r="D30" s="14">
        <f t="shared" si="0"/>
        <v>50688</v>
      </c>
      <c r="E30" s="17">
        <f t="shared" si="1"/>
        <v>225587.54883472528</v>
      </c>
      <c r="F30" s="21">
        <f t="shared" si="2"/>
        <v>4.45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2172020</v>
      </c>
      <c r="E33" s="31">
        <f>SUM(E5:E32)</f>
        <v>9716448.0000000037</v>
      </c>
      <c r="F33" s="32">
        <f t="shared" si="2"/>
        <v>4.47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IF(F3="1",SUMIF(Data!A:A,'42'!$A$2,Data!CU:CU),0)</f>
        <v>36649</v>
      </c>
      <c r="E36" s="15">
        <f>IF(F3="1",SUMIF(Data!$A:$A,$A$2,Data!IO:IO),0)</f>
        <v>40662</v>
      </c>
      <c r="F36" s="20">
        <f t="shared" ref="F36:F64" si="3">IF(OR(D36=0,E36=0),"",ROUND(E36/D36,2))</f>
        <v>1.1100000000000001</v>
      </c>
    </row>
    <row r="37" spans="1:6" x14ac:dyDescent="0.2">
      <c r="A37" s="19">
        <v>2</v>
      </c>
      <c r="B37" s="143" t="s">
        <v>1</v>
      </c>
      <c r="C37" s="144"/>
      <c r="D37" s="14">
        <f>IF(F3="1",SUMIF(Data!A:A,'42'!$A$2,Data!CV:CV),0)</f>
        <v>116148</v>
      </c>
      <c r="E37" s="17">
        <f>IF(F3="1",SUMIF(Data!$A:$A,$A$2,Data!IP:IP),0)</f>
        <v>52798</v>
      </c>
      <c r="F37" s="21">
        <f t="shared" si="3"/>
        <v>0.45</v>
      </c>
    </row>
    <row r="38" spans="1:6" ht="14.25" customHeight="1" x14ac:dyDescent="0.2">
      <c r="A38" s="19">
        <v>3</v>
      </c>
      <c r="B38" s="143" t="s">
        <v>2</v>
      </c>
      <c r="C38" s="144"/>
      <c r="D38" s="14">
        <f>IF(F3="1",SUMIF(Data!A:A,'42'!$A$2,Data!CW:CW),0)</f>
        <v>201680</v>
      </c>
      <c r="E38" s="17">
        <f>IF($F$3="1",SUMIF(Data!$A:$A,$A$2,Data!IQ:IQ),0)</f>
        <v>95552</v>
      </c>
      <c r="F38" s="21">
        <f t="shared" si="3"/>
        <v>0.47</v>
      </c>
    </row>
    <row r="39" spans="1:6" ht="14.25" customHeight="1" x14ac:dyDescent="0.2">
      <c r="A39" s="19">
        <v>4</v>
      </c>
      <c r="B39" s="143" t="s">
        <v>3</v>
      </c>
      <c r="C39" s="144"/>
      <c r="D39" s="14">
        <f>IF(F3="1",SUMIF(Data!A:A,'42'!$A$2,Data!CX:CX),0)</f>
        <v>280198</v>
      </c>
      <c r="E39" s="17">
        <f>IF($F$3="1",SUMIF(Data!$A:$A,$A$2,Data!IR:IR),0)</f>
        <v>156285</v>
      </c>
      <c r="F39" s="21">
        <f t="shared" si="3"/>
        <v>0.56000000000000005</v>
      </c>
    </row>
    <row r="40" spans="1:6" x14ac:dyDescent="0.2">
      <c r="A40" s="19">
        <v>5</v>
      </c>
      <c r="B40" s="143" t="s">
        <v>4</v>
      </c>
      <c r="C40" s="144"/>
      <c r="D40" s="14">
        <f>IF(F3="1",SUMIF(Data!A:A,'42'!$A$2,Data!CY:CY),0)</f>
        <v>0</v>
      </c>
      <c r="E40" s="17">
        <f>IF($F$3="1",SUMIF(Data!$A:$A,$A$2,Data!IS:IS),0)</f>
        <v>0</v>
      </c>
      <c r="F40" s="21" t="str">
        <f t="shared" si="3"/>
        <v/>
      </c>
    </row>
    <row r="41" spans="1:6" x14ac:dyDescent="0.2">
      <c r="A41" s="19">
        <v>6</v>
      </c>
      <c r="B41" s="143" t="s">
        <v>5</v>
      </c>
      <c r="C41" s="144"/>
      <c r="D41" s="14">
        <f>IF(F3="1",SUMIF(Data!A:A,'42'!$A$2,Data!CZ:CZ),0)</f>
        <v>8544</v>
      </c>
      <c r="E41" s="17">
        <f>IF($F$3="1",SUMIF(Data!$A:$A,$A$2,Data!IT:IT),0)</f>
        <v>16402</v>
      </c>
      <c r="F41" s="21">
        <f t="shared" si="3"/>
        <v>1.92</v>
      </c>
    </row>
    <row r="42" spans="1:6" x14ac:dyDescent="0.2">
      <c r="A42" s="19">
        <v>7</v>
      </c>
      <c r="B42" s="143" t="s">
        <v>6</v>
      </c>
      <c r="C42" s="144"/>
      <c r="D42" s="14">
        <f>IF(F3="1",SUMIF(Data!A:A,'42'!$A$2,Data!DA:DA),0)</f>
        <v>896</v>
      </c>
      <c r="E42" s="17">
        <f>IF($F$3="1",SUMIF(Data!$A:$A,$A$2,Data!IU:IU),0)</f>
        <v>0</v>
      </c>
      <c r="F42" s="21" t="str">
        <f t="shared" si="3"/>
        <v/>
      </c>
    </row>
    <row r="43" spans="1:6" x14ac:dyDescent="0.2">
      <c r="A43" s="19">
        <v>8</v>
      </c>
      <c r="B43" s="143" t="s">
        <v>7</v>
      </c>
      <c r="C43" s="144"/>
      <c r="D43" s="14">
        <f>IF(F3="1",SUMIF(Data!A:A,'42'!$A$2,Data!DB:DB),0)</f>
        <v>25130</v>
      </c>
      <c r="E43" s="17">
        <f>IF($F$3="1",SUMIF(Data!$A:$A,$A$2,Data!IV:IV),0)</f>
        <v>0</v>
      </c>
      <c r="F43" s="21" t="str">
        <f t="shared" si="3"/>
        <v/>
      </c>
    </row>
    <row r="44" spans="1:6" x14ac:dyDescent="0.2">
      <c r="A44" s="19">
        <v>9</v>
      </c>
      <c r="B44" s="143" t="s">
        <v>8</v>
      </c>
      <c r="C44" s="144"/>
      <c r="D44" s="14">
        <f>IF(F3="1",SUMIF(Data!A:A,'42'!$A$2,Data!DC:DC),0)</f>
        <v>66320</v>
      </c>
      <c r="E44" s="17">
        <f>IF($F$3="1",SUMIF(Data!$A:$A,$A$2,Data!IW:IW),0)</f>
        <v>29255</v>
      </c>
      <c r="F44" s="21">
        <f t="shared" si="3"/>
        <v>0.44</v>
      </c>
    </row>
    <row r="45" spans="1:6" x14ac:dyDescent="0.2">
      <c r="A45" s="19">
        <v>10</v>
      </c>
      <c r="B45" s="143" t="s">
        <v>9</v>
      </c>
      <c r="C45" s="144"/>
      <c r="D45" s="14">
        <f>IF(F3="1",SUMIF(Data!A:A,'42'!$A$2,Data!DD:DD),0)</f>
        <v>6480</v>
      </c>
      <c r="E45" s="17">
        <f>IF($F$3="1",SUMIF(Data!$A:$A,$A$2,Data!IX:IX),0)</f>
        <v>10</v>
      </c>
      <c r="F45" s="21">
        <f t="shared" si="3"/>
        <v>0</v>
      </c>
    </row>
    <row r="46" spans="1:6" x14ac:dyDescent="0.2">
      <c r="A46" s="19">
        <v>11</v>
      </c>
      <c r="B46" s="143" t="s">
        <v>10</v>
      </c>
      <c r="C46" s="144"/>
      <c r="D46" s="14">
        <f>IF(F3="1",SUMIF(Data!A:A,'42'!$A$2,Data!DE:DE),0)</f>
        <v>0</v>
      </c>
      <c r="E46" s="17">
        <f>IF($F$3="1",SUMIF(Data!$A:$A,$A$2,Data!IY:IY),0)</f>
        <v>0</v>
      </c>
      <c r="F46" s="21" t="str">
        <f t="shared" si="3"/>
        <v/>
      </c>
    </row>
    <row r="47" spans="1:6" ht="14.25" customHeight="1" x14ac:dyDescent="0.2">
      <c r="A47" s="19">
        <v>12</v>
      </c>
      <c r="B47" s="143" t="s">
        <v>11</v>
      </c>
      <c r="C47" s="144"/>
      <c r="D47" s="14">
        <f>IF(F3="1",SUMIF(Data!A:A,'42'!$A$2,Data!DF:DF),0)</f>
        <v>210448</v>
      </c>
      <c r="E47" s="17">
        <f>IF($F$3="1",SUMIF(Data!$A:$A,$A$2,Data!IZ:IZ),0)</f>
        <v>30580</v>
      </c>
      <c r="F47" s="21">
        <f t="shared" si="3"/>
        <v>0.15</v>
      </c>
    </row>
    <row r="48" spans="1:6" x14ac:dyDescent="0.2">
      <c r="A48" s="19">
        <v>13</v>
      </c>
      <c r="B48" s="143" t="s">
        <v>12</v>
      </c>
      <c r="C48" s="144"/>
      <c r="D48" s="14">
        <f>IF(F3="1",SUMIF(Data!A:A,'42'!$A$2,Data!DG:DG),0)</f>
        <v>18064</v>
      </c>
      <c r="E48" s="17">
        <f>IF($F$3="1",SUMIF(Data!$A:$A,$A$2,Data!JA:JA),0)</f>
        <v>1935</v>
      </c>
      <c r="F48" s="21">
        <f t="shared" si="3"/>
        <v>0.11</v>
      </c>
    </row>
    <row r="49" spans="1:6" ht="14.25" customHeight="1" x14ac:dyDescent="0.2">
      <c r="A49" s="19">
        <v>14</v>
      </c>
      <c r="B49" s="143" t="s">
        <v>464</v>
      </c>
      <c r="C49" s="144"/>
      <c r="D49" s="14">
        <f>IF(F3="1",SUMIF(Data!A:A,'42'!$A$2,Data!DH:DH),0)</f>
        <v>120580</v>
      </c>
      <c r="E49" s="17">
        <f>IF($F$3="1",SUMIF(Data!$A:$A,$A$2,Data!JB:JB),0)</f>
        <v>64299</v>
      </c>
      <c r="F49" s="21">
        <f t="shared" si="3"/>
        <v>0.53</v>
      </c>
    </row>
    <row r="50" spans="1:6" x14ac:dyDescent="0.2">
      <c r="A50" s="19">
        <v>15</v>
      </c>
      <c r="B50" s="143" t="s">
        <v>13</v>
      </c>
      <c r="C50" s="144"/>
      <c r="D50" s="14">
        <f>IF(F3="1",SUMIF(Data!A:A,'42'!$A$2,Data!DI:DI),0)</f>
        <v>665</v>
      </c>
      <c r="E50" s="17">
        <f>IF($F$3="1",SUMIF(Data!$A:$A,$A$2,Data!JC:JC),0)</f>
        <v>2815</v>
      </c>
      <c r="F50" s="21">
        <f t="shared" si="3"/>
        <v>4.2300000000000004</v>
      </c>
    </row>
    <row r="51" spans="1:6" x14ac:dyDescent="0.2">
      <c r="A51" s="19">
        <v>16</v>
      </c>
      <c r="B51" s="143" t="s">
        <v>14</v>
      </c>
      <c r="C51" s="144"/>
      <c r="D51" s="14">
        <f>IF(F3="1",SUMIF(Data!A:A,'42'!$A$2,Data!DJ:DJ),0)</f>
        <v>70849</v>
      </c>
      <c r="E51" s="17">
        <f>IF($F$3="1",SUMIF(Data!$A:$A,$A$2,Data!JD:JD),0)</f>
        <v>82147</v>
      </c>
      <c r="F51" s="21">
        <f t="shared" si="3"/>
        <v>1.1599999999999999</v>
      </c>
    </row>
    <row r="52" spans="1:6" x14ac:dyDescent="0.2">
      <c r="A52" s="19">
        <v>17</v>
      </c>
      <c r="B52" s="143" t="s">
        <v>15</v>
      </c>
      <c r="C52" s="144"/>
      <c r="D52" s="14">
        <f>IF(F3="1",SUMIF(Data!A:A,'42'!$A$2,Data!DK:DK),0)</f>
        <v>0</v>
      </c>
      <c r="E52" s="17">
        <f>IF($F$3="1",SUMIF(Data!$A:$A,$A$2,Data!JE:JE),0)</f>
        <v>0</v>
      </c>
      <c r="F52" s="21" t="str">
        <f t="shared" si="3"/>
        <v/>
      </c>
    </row>
    <row r="53" spans="1:6" x14ac:dyDescent="0.2">
      <c r="A53" s="19">
        <v>18</v>
      </c>
      <c r="B53" s="143" t="s">
        <v>16</v>
      </c>
      <c r="C53" s="144"/>
      <c r="D53" s="14">
        <f>IF(F3="1",SUMIF(Data!A:A,'42'!$A$2,Data!DL:DL),0)</f>
        <v>148429</v>
      </c>
      <c r="E53" s="17">
        <f>IF($F$3="1",SUMIF(Data!$A:$A,$A$2,Data!JF:JF),0)</f>
        <v>59214</v>
      </c>
      <c r="F53" s="21">
        <f t="shared" si="3"/>
        <v>0.4</v>
      </c>
    </row>
    <row r="54" spans="1:6" x14ac:dyDescent="0.2">
      <c r="A54" s="19">
        <v>19</v>
      </c>
      <c r="B54" s="143" t="s">
        <v>17</v>
      </c>
      <c r="C54" s="144"/>
      <c r="D54" s="14">
        <f>IF(F3="1",SUMIF(Data!A:A,'42'!$A$2,Data!DM:DM),0)</f>
        <v>160144</v>
      </c>
      <c r="E54" s="17">
        <f>IF($F$3="1",SUMIF(Data!$A:$A,$A$2,Data!JG:JG),0)</f>
        <v>17015</v>
      </c>
      <c r="F54" s="21">
        <f t="shared" si="3"/>
        <v>0.11</v>
      </c>
    </row>
    <row r="55" spans="1:6" x14ac:dyDescent="0.2">
      <c r="A55" s="19">
        <v>20</v>
      </c>
      <c r="B55" s="143" t="s">
        <v>18</v>
      </c>
      <c r="C55" s="144"/>
      <c r="D55" s="14">
        <f>IF(F3="1",SUMIF(Data!A:A,'42'!$A$2,Data!DN:DN),0)</f>
        <v>73918</v>
      </c>
      <c r="E55" s="17">
        <f>IF($F$3="1",SUMIF(Data!$A:$A,$A$2,Data!JH:JH),0)</f>
        <v>56489</v>
      </c>
      <c r="F55" s="21">
        <f t="shared" si="3"/>
        <v>0.76</v>
      </c>
    </row>
    <row r="56" spans="1:6" ht="14.25" customHeight="1" x14ac:dyDescent="0.2">
      <c r="A56" s="19">
        <v>21</v>
      </c>
      <c r="B56" s="143" t="s">
        <v>461</v>
      </c>
      <c r="C56" s="144"/>
      <c r="D56" s="14">
        <f>IF(F3="1",SUMIF(Data!A:A,'42'!$A$2,Data!DO:DO),0)</f>
        <v>150917</v>
      </c>
      <c r="E56" s="17">
        <f>IF($F$3="1",SUMIF(Data!$A:$A,$A$2,Data!JI:JI),0)</f>
        <v>59276</v>
      </c>
      <c r="F56" s="21">
        <f t="shared" si="3"/>
        <v>0.39</v>
      </c>
    </row>
    <row r="57" spans="1:6" x14ac:dyDescent="0.2">
      <c r="A57" s="19">
        <v>22</v>
      </c>
      <c r="B57" s="143" t="s">
        <v>19</v>
      </c>
      <c r="C57" s="144"/>
      <c r="D57" s="14">
        <f>IF(F3="1",SUMIF(Data!A:A,'42'!$A$2,Data!DP:DP),0)</f>
        <v>105174</v>
      </c>
      <c r="E57" s="17">
        <f>IF($F$3="1",SUMIF(Data!$A:$A,$A$2,Data!JJ:JJ),0)</f>
        <v>25103</v>
      </c>
      <c r="F57" s="21">
        <f t="shared" si="3"/>
        <v>0.24</v>
      </c>
    </row>
    <row r="58" spans="1:6" x14ac:dyDescent="0.2">
      <c r="A58" s="19">
        <v>23</v>
      </c>
      <c r="B58" s="143" t="s">
        <v>20</v>
      </c>
      <c r="C58" s="144"/>
      <c r="D58" s="14">
        <f>IF(F3="1",SUMIF(Data!A:A,'42'!$A$2,Data!DQ:DQ),0)</f>
        <v>28848</v>
      </c>
      <c r="E58" s="17">
        <f>IF($F$3="1",SUMIF(Data!$A:$A,$A$2,Data!JK:JK),0)</f>
        <v>11251</v>
      </c>
      <c r="F58" s="21">
        <f t="shared" si="3"/>
        <v>0.39</v>
      </c>
    </row>
    <row r="59" spans="1:6" x14ac:dyDescent="0.2">
      <c r="A59" s="19">
        <v>24</v>
      </c>
      <c r="B59" s="143" t="s">
        <v>21</v>
      </c>
      <c r="C59" s="144"/>
      <c r="D59" s="14">
        <f>IF(F3="1",SUMIF(Data!A:A,'42'!$A$2,Data!DR:DR),0)</f>
        <v>50483</v>
      </c>
      <c r="E59" s="17">
        <f>IF($F$3="1",SUMIF(Data!$A:$A,$A$2,Data!JL:JL),0)</f>
        <v>44787</v>
      </c>
      <c r="F59" s="21">
        <f t="shared" si="3"/>
        <v>0.89</v>
      </c>
    </row>
    <row r="60" spans="1:6" x14ac:dyDescent="0.2">
      <c r="A60" s="19">
        <v>25</v>
      </c>
      <c r="B60" s="143" t="s">
        <v>22</v>
      </c>
      <c r="C60" s="144"/>
      <c r="D60" s="14">
        <f>IF(F3="1",SUMIF(Data!A:A,'42'!$A$2,Data!DS:DS),0)</f>
        <v>240768</v>
      </c>
      <c r="E60" s="17">
        <f>IF($F$3="1",SUMIF(Data!$A:$A,$A$2,Data!JM:JM),0)</f>
        <v>17812</v>
      </c>
      <c r="F60" s="21">
        <f t="shared" si="3"/>
        <v>7.0000000000000007E-2</v>
      </c>
    </row>
    <row r="61" spans="1:6" x14ac:dyDescent="0.2">
      <c r="A61" s="19">
        <v>26</v>
      </c>
      <c r="B61" s="143" t="s">
        <v>23</v>
      </c>
      <c r="C61" s="144"/>
      <c r="D61" s="14">
        <f>IF(F3="1",SUMIF(Data!A:A,'42'!$A$2,Data!DT:DT),0)</f>
        <v>50688</v>
      </c>
      <c r="E61" s="17">
        <f>IF($F$3="1",SUMIF(Data!$A:$A,$A$2,Data!JN:JN),0)</f>
        <v>39817</v>
      </c>
      <c r="F61" s="21">
        <f t="shared" si="3"/>
        <v>0.79</v>
      </c>
    </row>
    <row r="62" spans="1:6" x14ac:dyDescent="0.2">
      <c r="A62" s="19">
        <v>28</v>
      </c>
      <c r="B62" s="143" t="s">
        <v>24</v>
      </c>
      <c r="C62" s="144"/>
      <c r="D62" s="14">
        <f>IF(F3="1",SUMIF(Data!A:A,'42'!$A$2,Data!DV:DV),0)</f>
        <v>0</v>
      </c>
      <c r="E62" s="17">
        <f>IF($F$3="1",SUMIF(Data!$A:$A,$A$2,Data!JP:JP),0)</f>
        <v>0</v>
      </c>
      <c r="F62" s="21" t="str">
        <f t="shared" si="3"/>
        <v/>
      </c>
    </row>
    <row r="63" spans="1:6" ht="15.75" customHeight="1" thickBot="1" x14ac:dyDescent="0.25">
      <c r="A63" s="22">
        <v>29</v>
      </c>
      <c r="B63" s="147" t="s">
        <v>25</v>
      </c>
      <c r="C63" s="148"/>
      <c r="D63" s="23">
        <f>IF(F3="1",SUMIF(Data!A:A,'42'!$A$2,Data!DW:DW),0)</f>
        <v>0</v>
      </c>
      <c r="E63" s="24">
        <f>IF($F$3="1",SUMIF(Data!$A:$A,$A$2,Data!JQ:JQ),0)</f>
        <v>0</v>
      </c>
      <c r="F63" s="25" t="str">
        <f t="shared" si="3"/>
        <v/>
      </c>
    </row>
    <row r="64" spans="1:6" x14ac:dyDescent="0.2">
      <c r="B64" s="30" t="s">
        <v>35</v>
      </c>
      <c r="C64" s="30"/>
      <c r="D64" s="59">
        <f>SUM(D36:D63)</f>
        <v>2172020</v>
      </c>
      <c r="E64" s="31">
        <f>SUM(E36:E63)</f>
        <v>903504</v>
      </c>
      <c r="F64" s="32">
        <f t="shared" si="3"/>
        <v>0.42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36649</v>
      </c>
      <c r="E67" s="15">
        <f>IF(F3="1",SUMIF(Data!A:A,'42'!$A$2,Data!DY:DY),0)</f>
        <v>102268</v>
      </c>
      <c r="F67" s="20">
        <f t="shared" ref="F67:F95" si="4">IF(OR(D67=0,E67=0),"",ROUND(E67/D67,2))</f>
        <v>2.79</v>
      </c>
    </row>
    <row r="68" spans="1:6" x14ac:dyDescent="0.2">
      <c r="A68" s="19">
        <v>2</v>
      </c>
      <c r="B68" s="143" t="s">
        <v>1</v>
      </c>
      <c r="C68" s="144"/>
      <c r="D68" s="14">
        <f t="shared" ref="D68:D94" si="5">D37</f>
        <v>116148</v>
      </c>
      <c r="E68" s="17">
        <f>IF(F3="1",SUMIF(Data!A:A,'42'!$A$2,Data!DZ:DZ),0)</f>
        <v>201916</v>
      </c>
      <c r="F68" s="21">
        <f t="shared" si="4"/>
        <v>1.74</v>
      </c>
    </row>
    <row r="69" spans="1:6" ht="14.25" customHeight="1" x14ac:dyDescent="0.2">
      <c r="A69" s="19">
        <v>3</v>
      </c>
      <c r="B69" s="143" t="s">
        <v>2</v>
      </c>
      <c r="C69" s="144"/>
      <c r="D69" s="14">
        <f t="shared" si="5"/>
        <v>201680</v>
      </c>
      <c r="E69" s="17">
        <f>IF(F3="1",SUMIF(Data!A:A,'42'!$A$2,Data!EA:EA),0)</f>
        <v>557530</v>
      </c>
      <c r="F69" s="21">
        <f t="shared" si="4"/>
        <v>2.76</v>
      </c>
    </row>
    <row r="70" spans="1:6" ht="14.25" customHeight="1" x14ac:dyDescent="0.2">
      <c r="A70" s="19">
        <v>4</v>
      </c>
      <c r="B70" s="143" t="s">
        <v>3</v>
      </c>
      <c r="C70" s="144"/>
      <c r="D70" s="14">
        <f t="shared" si="5"/>
        <v>280198</v>
      </c>
      <c r="E70" s="17">
        <f>IF(F3="1",SUMIF(Data!A:A,'42'!$A$2,Data!EB:EB),0)</f>
        <v>793718</v>
      </c>
      <c r="F70" s="21">
        <f t="shared" si="4"/>
        <v>2.83</v>
      </c>
    </row>
    <row r="71" spans="1:6" x14ac:dyDescent="0.2">
      <c r="A71" s="19">
        <v>5</v>
      </c>
      <c r="B71" s="143" t="s">
        <v>4</v>
      </c>
      <c r="C71" s="144"/>
      <c r="D71" s="14">
        <f t="shared" si="5"/>
        <v>0</v>
      </c>
      <c r="E71" s="17">
        <f>IF(F3="1",SUMIF(Data!A:A,'42'!$A$2,Data!EC:EC),0)</f>
        <v>0</v>
      </c>
      <c r="F71" s="21" t="str">
        <f t="shared" si="4"/>
        <v/>
      </c>
    </row>
    <row r="72" spans="1:6" x14ac:dyDescent="0.2">
      <c r="A72" s="19">
        <v>6</v>
      </c>
      <c r="B72" s="143" t="s">
        <v>5</v>
      </c>
      <c r="C72" s="144"/>
      <c r="D72" s="14">
        <f t="shared" si="5"/>
        <v>8544</v>
      </c>
      <c r="E72" s="17">
        <f>IF(F3="1",SUMIF(Data!A:A,'42'!$A$2,Data!ED:ED),0)</f>
        <v>16138</v>
      </c>
      <c r="F72" s="21">
        <f t="shared" si="4"/>
        <v>1.89</v>
      </c>
    </row>
    <row r="73" spans="1:6" x14ac:dyDescent="0.2">
      <c r="A73" s="19">
        <v>7</v>
      </c>
      <c r="B73" s="143" t="s">
        <v>6</v>
      </c>
      <c r="C73" s="144"/>
      <c r="D73" s="14">
        <f t="shared" si="5"/>
        <v>896</v>
      </c>
      <c r="E73" s="17">
        <f>IF(F3="1",SUMIF(Data!A:A,'42'!$A$2,Data!EE:EE),0)</f>
        <v>1464</v>
      </c>
      <c r="F73" s="21">
        <f t="shared" si="4"/>
        <v>1.63</v>
      </c>
    </row>
    <row r="74" spans="1:6" x14ac:dyDescent="0.2">
      <c r="A74" s="19">
        <v>8</v>
      </c>
      <c r="B74" s="143" t="s">
        <v>7</v>
      </c>
      <c r="C74" s="144"/>
      <c r="D74" s="14">
        <f t="shared" si="5"/>
        <v>25130</v>
      </c>
      <c r="E74" s="17">
        <f>IF(F3="1",SUMIF(Data!A:A,'42'!$A$2,Data!EF:EF),0)</f>
        <v>45983</v>
      </c>
      <c r="F74" s="21">
        <f t="shared" si="4"/>
        <v>1.83</v>
      </c>
    </row>
    <row r="75" spans="1:6" x14ac:dyDescent="0.2">
      <c r="A75" s="19">
        <v>9</v>
      </c>
      <c r="B75" s="143" t="s">
        <v>8</v>
      </c>
      <c r="C75" s="144"/>
      <c r="D75" s="14">
        <f t="shared" si="5"/>
        <v>66320</v>
      </c>
      <c r="E75" s="17">
        <f>IF(F3="1",SUMIF(Data!A:A,'42'!$A$2,Data!EG:EG),0)</f>
        <v>72105</v>
      </c>
      <c r="F75" s="21">
        <f t="shared" si="4"/>
        <v>1.0900000000000001</v>
      </c>
    </row>
    <row r="76" spans="1:6" x14ac:dyDescent="0.2">
      <c r="A76" s="19">
        <v>10</v>
      </c>
      <c r="B76" s="143" t="s">
        <v>9</v>
      </c>
      <c r="C76" s="144"/>
      <c r="D76" s="14">
        <f t="shared" si="5"/>
        <v>6480</v>
      </c>
      <c r="E76" s="17">
        <f>IF(F3="1",SUMIF(Data!A:A,'42'!$A$2,Data!EH:EH),0)</f>
        <v>36347</v>
      </c>
      <c r="F76" s="21">
        <f t="shared" si="4"/>
        <v>5.61</v>
      </c>
    </row>
    <row r="77" spans="1:6" x14ac:dyDescent="0.2">
      <c r="A77" s="19">
        <v>11</v>
      </c>
      <c r="B77" s="143" t="s">
        <v>10</v>
      </c>
      <c r="C77" s="144"/>
      <c r="D77" s="14">
        <f t="shared" si="5"/>
        <v>0</v>
      </c>
      <c r="E77" s="17">
        <f>IF(F3="1",SUMIF(Data!A:A,'42'!$A$2,Data!EI:EI),0)</f>
        <v>0</v>
      </c>
      <c r="F77" s="21" t="str">
        <f t="shared" si="4"/>
        <v/>
      </c>
    </row>
    <row r="78" spans="1:6" ht="14.25" customHeight="1" x14ac:dyDescent="0.2">
      <c r="A78" s="19">
        <v>12</v>
      </c>
      <c r="B78" s="143" t="s">
        <v>11</v>
      </c>
      <c r="C78" s="144"/>
      <c r="D78" s="14">
        <f t="shared" si="5"/>
        <v>210448</v>
      </c>
      <c r="E78" s="17">
        <f>IF(F3="1",SUMIF(Data!A:A,'42'!$A$2,Data!EJ:EJ),0)</f>
        <v>511221</v>
      </c>
      <c r="F78" s="21">
        <f t="shared" si="4"/>
        <v>2.4300000000000002</v>
      </c>
    </row>
    <row r="79" spans="1:6" x14ac:dyDescent="0.2">
      <c r="A79" s="19">
        <v>13</v>
      </c>
      <c r="B79" s="143" t="s">
        <v>12</v>
      </c>
      <c r="C79" s="144"/>
      <c r="D79" s="14">
        <f t="shared" si="5"/>
        <v>18064</v>
      </c>
      <c r="E79" s="17">
        <f>IF(F3="1",SUMIF(Data!A:A,'42'!$A$2,Data!EK:EK),0)</f>
        <v>61882</v>
      </c>
      <c r="F79" s="21">
        <f t="shared" si="4"/>
        <v>3.43</v>
      </c>
    </row>
    <row r="80" spans="1:6" ht="14.25" customHeight="1" x14ac:dyDescent="0.2">
      <c r="A80" s="19">
        <v>14</v>
      </c>
      <c r="B80" s="143" t="s">
        <v>464</v>
      </c>
      <c r="C80" s="144"/>
      <c r="D80" s="14">
        <f t="shared" si="5"/>
        <v>120580</v>
      </c>
      <c r="E80" s="17">
        <f>IF(F3="1",SUMIF(Data!A:A,'42'!$A$2,Data!EL:EL),0)</f>
        <v>729071</v>
      </c>
      <c r="F80" s="21">
        <f t="shared" si="4"/>
        <v>6.05</v>
      </c>
    </row>
    <row r="81" spans="1:6" x14ac:dyDescent="0.2">
      <c r="A81" s="19">
        <v>15</v>
      </c>
      <c r="B81" s="143" t="s">
        <v>13</v>
      </c>
      <c r="C81" s="144"/>
      <c r="D81" s="14">
        <f t="shared" si="5"/>
        <v>665</v>
      </c>
      <c r="E81" s="17">
        <f>IF(F3="1",SUMIF(Data!A:A,'42'!$A$2,Data!EM:EM),0)</f>
        <v>1529</v>
      </c>
      <c r="F81" s="21">
        <f t="shared" si="4"/>
        <v>2.2999999999999998</v>
      </c>
    </row>
    <row r="82" spans="1:6" x14ac:dyDescent="0.2">
      <c r="A82" s="19">
        <v>16</v>
      </c>
      <c r="B82" s="143" t="s">
        <v>14</v>
      </c>
      <c r="C82" s="144"/>
      <c r="D82" s="14">
        <f t="shared" si="5"/>
        <v>70849</v>
      </c>
      <c r="E82" s="17">
        <f>IF(F3="1",SUMIF(Data!A:A,'42'!$A$2,Data!EN:EN),0)</f>
        <v>174142</v>
      </c>
      <c r="F82" s="21">
        <f t="shared" si="4"/>
        <v>2.46</v>
      </c>
    </row>
    <row r="83" spans="1:6" x14ac:dyDescent="0.2">
      <c r="A83" s="19">
        <v>17</v>
      </c>
      <c r="B83" s="143" t="s">
        <v>15</v>
      </c>
      <c r="C83" s="144"/>
      <c r="D83" s="14">
        <f t="shared" si="5"/>
        <v>0</v>
      </c>
      <c r="E83" s="17">
        <f>IF(F3="1",SUMIF(Data!A:A,'42'!$A$2,Data!EO:EO),0)</f>
        <v>0</v>
      </c>
      <c r="F83" s="21" t="str">
        <f t="shared" si="4"/>
        <v/>
      </c>
    </row>
    <row r="84" spans="1:6" x14ac:dyDescent="0.2">
      <c r="A84" s="19">
        <v>18</v>
      </c>
      <c r="B84" s="143" t="s">
        <v>16</v>
      </c>
      <c r="C84" s="144"/>
      <c r="D84" s="14">
        <f t="shared" si="5"/>
        <v>148429</v>
      </c>
      <c r="E84" s="17">
        <f>IF(F3="1",SUMIF(Data!A:A,'42'!$A$2,Data!EP:EP),0)</f>
        <v>312544</v>
      </c>
      <c r="F84" s="21">
        <f t="shared" si="4"/>
        <v>2.11</v>
      </c>
    </row>
    <row r="85" spans="1:6" x14ac:dyDescent="0.2">
      <c r="A85" s="19">
        <v>19</v>
      </c>
      <c r="B85" s="143" t="s">
        <v>17</v>
      </c>
      <c r="C85" s="144"/>
      <c r="D85" s="14">
        <f t="shared" si="5"/>
        <v>160144</v>
      </c>
      <c r="E85" s="17">
        <f>IF(F3="1",SUMIF(Data!A:A,'42'!$A$2,Data!EQ:EQ),0)</f>
        <v>334947</v>
      </c>
      <c r="F85" s="21">
        <f t="shared" si="4"/>
        <v>2.09</v>
      </c>
    </row>
    <row r="86" spans="1:6" x14ac:dyDescent="0.2">
      <c r="A86" s="19">
        <v>20</v>
      </c>
      <c r="B86" s="143" t="s">
        <v>18</v>
      </c>
      <c r="C86" s="144"/>
      <c r="D86" s="14">
        <f t="shared" si="5"/>
        <v>73918</v>
      </c>
      <c r="E86" s="17">
        <f>IF(F3="1",SUMIF(Data!A:A,'42'!$A$2,Data!ER:ER),0)</f>
        <v>175484</v>
      </c>
      <c r="F86" s="21">
        <f t="shared" si="4"/>
        <v>2.37</v>
      </c>
    </row>
    <row r="87" spans="1:6" ht="14.25" customHeight="1" x14ac:dyDescent="0.2">
      <c r="A87" s="19">
        <v>21</v>
      </c>
      <c r="B87" s="143" t="s">
        <v>461</v>
      </c>
      <c r="C87" s="144"/>
      <c r="D87" s="14">
        <f t="shared" si="5"/>
        <v>150917</v>
      </c>
      <c r="E87" s="17">
        <f>IF(F3="1",SUMIF(Data!A:A,'42'!$A$2,Data!ES:ES),0)</f>
        <v>276535</v>
      </c>
      <c r="F87" s="21">
        <f t="shared" si="4"/>
        <v>1.83</v>
      </c>
    </row>
    <row r="88" spans="1:6" x14ac:dyDescent="0.2">
      <c r="A88" s="19">
        <v>22</v>
      </c>
      <c r="B88" s="143" t="s">
        <v>19</v>
      </c>
      <c r="C88" s="144"/>
      <c r="D88" s="14">
        <f t="shared" si="5"/>
        <v>105174</v>
      </c>
      <c r="E88" s="17">
        <f>IF(F3="1",SUMIF(Data!A:A,'42'!$A$2,Data!ET:ET),0)</f>
        <v>221201</v>
      </c>
      <c r="F88" s="21">
        <f t="shared" si="4"/>
        <v>2.1</v>
      </c>
    </row>
    <row r="89" spans="1:6" x14ac:dyDescent="0.2">
      <c r="A89" s="19">
        <v>23</v>
      </c>
      <c r="B89" s="143" t="s">
        <v>20</v>
      </c>
      <c r="C89" s="144"/>
      <c r="D89" s="14">
        <f t="shared" si="5"/>
        <v>28848</v>
      </c>
      <c r="E89" s="17">
        <f>IF(F3="1",SUMIF(Data!A:A,'42'!$A$2,Data!EU:EU),0)</f>
        <v>79281</v>
      </c>
      <c r="F89" s="21">
        <f t="shared" si="4"/>
        <v>2.75</v>
      </c>
    </row>
    <row r="90" spans="1:6" x14ac:dyDescent="0.2">
      <c r="A90" s="19">
        <v>24</v>
      </c>
      <c r="B90" s="143" t="s">
        <v>21</v>
      </c>
      <c r="C90" s="144"/>
      <c r="D90" s="14">
        <f t="shared" si="5"/>
        <v>50483</v>
      </c>
      <c r="E90" s="17">
        <f>IF(F3="1",SUMIF(Data!A:A,'42'!$A$2,Data!EV:EV),0)</f>
        <v>73647</v>
      </c>
      <c r="F90" s="21">
        <f t="shared" si="4"/>
        <v>1.46</v>
      </c>
    </row>
    <row r="91" spans="1:6" x14ac:dyDescent="0.2">
      <c r="A91" s="19">
        <v>25</v>
      </c>
      <c r="B91" s="143" t="s">
        <v>22</v>
      </c>
      <c r="C91" s="144"/>
      <c r="D91" s="14">
        <f t="shared" si="5"/>
        <v>240768</v>
      </c>
      <c r="E91" s="17">
        <f>IF(F3="1",SUMIF(Data!A:A,'42'!$A$2,Data!EW:EW),0)</f>
        <v>521061</v>
      </c>
      <c r="F91" s="21">
        <f t="shared" si="4"/>
        <v>2.16</v>
      </c>
    </row>
    <row r="92" spans="1:6" x14ac:dyDescent="0.2">
      <c r="A92" s="19">
        <v>26</v>
      </c>
      <c r="B92" s="143" t="s">
        <v>23</v>
      </c>
      <c r="C92" s="144"/>
      <c r="D92" s="14">
        <f t="shared" si="5"/>
        <v>50688</v>
      </c>
      <c r="E92" s="17">
        <f>IF(F3="1",SUMIF(Data!A:A,'42'!$A$2,Data!EX:EX),0)</f>
        <v>106270</v>
      </c>
      <c r="F92" s="21">
        <f t="shared" si="4"/>
        <v>2.1</v>
      </c>
    </row>
    <row r="93" spans="1:6" x14ac:dyDescent="0.2">
      <c r="A93" s="19">
        <v>28</v>
      </c>
      <c r="B93" s="143" t="s">
        <v>24</v>
      </c>
      <c r="C93" s="144"/>
      <c r="D93" s="14">
        <f t="shared" si="5"/>
        <v>0</v>
      </c>
      <c r="E93" s="17">
        <f>IF(F3="1",SUMIF(Data!A:A,'42'!$A$2,Data!EZ:EZ),0)</f>
        <v>0</v>
      </c>
      <c r="F93" s="21" t="str">
        <f t="shared" si="4"/>
        <v/>
      </c>
    </row>
    <row r="94" spans="1:6" ht="15.75" customHeight="1" thickBot="1" x14ac:dyDescent="0.25">
      <c r="A94" s="22">
        <v>29</v>
      </c>
      <c r="B94" s="147" t="s">
        <v>25</v>
      </c>
      <c r="C94" s="148"/>
      <c r="D94" s="23">
        <f t="shared" si="5"/>
        <v>0</v>
      </c>
      <c r="E94" s="24">
        <f>IF(F3="1",SUMIF(Data!A:A,'42'!$A$2,Data!FA:FA),0)</f>
        <v>0</v>
      </c>
      <c r="F94" s="25" t="str">
        <f t="shared" si="4"/>
        <v/>
      </c>
    </row>
    <row r="95" spans="1:6" x14ac:dyDescent="0.2">
      <c r="B95" s="30" t="s">
        <v>35</v>
      </c>
      <c r="C95" s="30"/>
      <c r="D95" s="59">
        <f>SUM(D67:D94)</f>
        <v>2172020</v>
      </c>
      <c r="E95" s="31">
        <f>SUM(E67:E94)</f>
        <v>5406284</v>
      </c>
      <c r="F95" s="32">
        <f t="shared" si="4"/>
        <v>2.4900000000000002</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IF(F3="1",SUMIF(Data!A:A,'42'!$A$2,Data!AH:AH),0)</f>
        <v>1349357</v>
      </c>
      <c r="F98" s="20">
        <f>IF(OR(E98=0,E98=0),"",ROUND(E98/$D$105,2))</f>
        <v>0.62</v>
      </c>
    </row>
    <row r="99" spans="2:6" x14ac:dyDescent="0.2">
      <c r="B99" s="153" t="s">
        <v>31</v>
      </c>
      <c r="C99" s="154"/>
      <c r="D99" s="36"/>
      <c r="E99" s="17">
        <f>IF(F3="1",SUMIF(Data!A:A,'42'!$A$2,Data!AI:AI),0)</f>
        <v>532595</v>
      </c>
      <c r="F99" s="21">
        <f t="shared" ref="F99:F104" si="6">IF(OR(E99=0,E99=0),"",ROUND(E99/$D$105,2))</f>
        <v>0.25</v>
      </c>
    </row>
    <row r="100" spans="2:6" x14ac:dyDescent="0.2">
      <c r="B100" s="153" t="s">
        <v>1078</v>
      </c>
      <c r="C100" s="154"/>
      <c r="D100" s="36"/>
      <c r="E100" s="17">
        <f>IF(F3="1",SUMIF(Data!A:A,'42'!$A$2,Data!AJ:AJ),0)</f>
        <v>488179</v>
      </c>
      <c r="F100" s="21">
        <f t="shared" si="6"/>
        <v>0.22</v>
      </c>
    </row>
    <row r="101" spans="2:6" x14ac:dyDescent="0.2">
      <c r="B101" s="153" t="s">
        <v>1079</v>
      </c>
      <c r="C101" s="154"/>
      <c r="D101" s="36"/>
      <c r="E101" s="17">
        <f>IF(F3="1",SUMIF(Data!A:A,'42'!$A$2,Data!AK:AK),0)</f>
        <v>189178</v>
      </c>
      <c r="F101" s="21">
        <f t="shared" si="6"/>
        <v>0.09</v>
      </c>
    </row>
    <row r="102" spans="2:6" x14ac:dyDescent="0.2">
      <c r="B102" s="153" t="s">
        <v>1080</v>
      </c>
      <c r="C102" s="154"/>
      <c r="D102" s="36"/>
      <c r="E102" s="17">
        <f>IF(F3="1",SUMIF(Data!A:A,'42'!$A$2,Data!AL:AL),0)</f>
        <v>0</v>
      </c>
      <c r="F102" s="21" t="str">
        <f t="shared" si="6"/>
        <v/>
      </c>
    </row>
    <row r="103" spans="2:6" x14ac:dyDescent="0.2">
      <c r="B103" s="155" t="s">
        <v>34</v>
      </c>
      <c r="C103" s="156"/>
      <c r="D103" s="36"/>
      <c r="E103" s="17">
        <f>IF(F3="1",SUMIF(Data!A:A,'42'!$A$2,Data!AM:AM),0)</f>
        <v>0</v>
      </c>
      <c r="F103" s="21" t="str">
        <f t="shared" si="6"/>
        <v/>
      </c>
    </row>
    <row r="104" spans="2:6" ht="15.75" customHeight="1" thickBot="1" x14ac:dyDescent="0.25">
      <c r="B104" s="149" t="s">
        <v>29</v>
      </c>
      <c r="C104" s="150"/>
      <c r="D104" s="37"/>
      <c r="E104" s="24">
        <f>IF(F3="1",SUMIF(Data!A:A,'42'!$A$2,Data!Q:Q),0)</f>
        <v>847351</v>
      </c>
      <c r="F104" s="25">
        <f t="shared" si="6"/>
        <v>0.39</v>
      </c>
    </row>
    <row r="105" spans="2:6" x14ac:dyDescent="0.2">
      <c r="B105" s="30" t="s">
        <v>35</v>
      </c>
      <c r="C105" s="30"/>
      <c r="D105" s="34">
        <f>D95</f>
        <v>2172020</v>
      </c>
      <c r="E105" s="31">
        <f>SUM(E98:E104)</f>
        <v>3406660</v>
      </c>
      <c r="F105" s="32">
        <f>IF($D$105=0,"",ROUND(E105/$D$105,2))</f>
        <v>1.57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5406284</v>
      </c>
      <c r="D109" s="15">
        <f>IF(F3="1",SUMIF(Data!$A:$A,$A$2,Data!HJ:HJ),0)</f>
        <v>0</v>
      </c>
      <c r="E109" s="15">
        <f>IF(F3="1",SUMIF(Data!$A:$A,$A$2,Data!IN:IN),0)</f>
        <v>0</v>
      </c>
      <c r="F109" s="47">
        <f>SUM(C109:E109)</f>
        <v>5406284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847351</v>
      </c>
      <c r="E117" s="52"/>
      <c r="F117" s="49">
        <f>SUM(C117:E117)</f>
        <v>847351</v>
      </c>
    </row>
    <row r="118" spans="1:6" x14ac:dyDescent="0.2">
      <c r="B118" s="13" t="s">
        <v>35</v>
      </c>
      <c r="C118" s="4">
        <f>SUM(C109:C116)</f>
        <v>5406284</v>
      </c>
      <c r="D118" s="4">
        <f>SUM(D109:D116)</f>
        <v>0</v>
      </c>
      <c r="E118" s="4">
        <f>SUM(E109:E116)</f>
        <v>0</v>
      </c>
      <c r="F118" s="4">
        <f>SUM(F109:F116)</f>
        <v>5406284</v>
      </c>
    </row>
    <row r="119" spans="1:6" ht="15" thickBot="1" x14ac:dyDescent="0.25"/>
    <row r="120" spans="1:6" ht="15" thickBot="1" x14ac:dyDescent="0.25">
      <c r="B120" s="55" t="s">
        <v>934</v>
      </c>
      <c r="C120" s="53"/>
      <c r="D120" s="53"/>
      <c r="E120" s="53">
        <f>IF(F3="1",SUMIF(Data!A:A,'42'!$A$2,Data!AM:AM),0)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409</v>
      </c>
      <c r="B2" s="58" t="str">
        <f>VLOOKUP(A2,Data!A:G,7,0)</f>
        <v>Texas Southmost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38304</v>
      </c>
      <c r="E6" s="17">
        <f t="shared" ref="E6:E32" si="1">E37+E68+IFERROR($E$105/$D$105*D6,0)</f>
        <v>411718.53211149754</v>
      </c>
      <c r="F6" s="21">
        <f t="shared" ref="F6:F33" si="2">IF(OR(D6=0,E6=0),"",ROUND(E6/D6,2))</f>
        <v>10.75</v>
      </c>
    </row>
    <row r="7" spans="1:6" ht="14.25" customHeight="1" x14ac:dyDescent="0.2">
      <c r="A7" s="19">
        <v>3</v>
      </c>
      <c r="B7" s="143" t="s">
        <v>2</v>
      </c>
      <c r="C7" s="144"/>
      <c r="D7" s="14">
        <f t="shared" si="0"/>
        <v>283280</v>
      </c>
      <c r="E7" s="17">
        <f t="shared" si="1"/>
        <v>1640775.104441965</v>
      </c>
      <c r="F7" s="21">
        <f t="shared" si="2"/>
        <v>5.79</v>
      </c>
    </row>
    <row r="8" spans="1:6" ht="14.25" customHeight="1" x14ac:dyDescent="0.2">
      <c r="A8" s="19">
        <v>4</v>
      </c>
      <c r="B8" s="143" t="s">
        <v>3</v>
      </c>
      <c r="C8" s="144"/>
      <c r="D8" s="14">
        <f t="shared" si="0"/>
        <v>167798</v>
      </c>
      <c r="E8" s="17">
        <f t="shared" si="1"/>
        <v>1393825.7055462892</v>
      </c>
      <c r="F8" s="21">
        <f t="shared" si="2"/>
        <v>8.31</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1200</v>
      </c>
      <c r="E10" s="17">
        <f t="shared" si="1"/>
        <v>18018.215918279999</v>
      </c>
      <c r="F10" s="21">
        <f t="shared" si="2"/>
        <v>15.02</v>
      </c>
    </row>
    <row r="11" spans="1:6" x14ac:dyDescent="0.2">
      <c r="A11" s="19">
        <v>7</v>
      </c>
      <c r="B11" s="143" t="s">
        <v>6</v>
      </c>
      <c r="C11" s="144"/>
      <c r="D11" s="14">
        <f t="shared" si="0"/>
        <v>95558</v>
      </c>
      <c r="E11" s="17">
        <f t="shared" si="1"/>
        <v>609656.30726583349</v>
      </c>
      <c r="F11" s="21">
        <f t="shared" si="2"/>
        <v>6.38</v>
      </c>
    </row>
    <row r="12" spans="1:6" x14ac:dyDescent="0.2">
      <c r="A12" s="19">
        <v>8</v>
      </c>
      <c r="B12" s="143" t="s">
        <v>7</v>
      </c>
      <c r="C12" s="144"/>
      <c r="D12" s="14">
        <f t="shared" si="0"/>
        <v>28208</v>
      </c>
      <c r="E12" s="17">
        <f t="shared" si="1"/>
        <v>155071.6888523685</v>
      </c>
      <c r="F12" s="21">
        <f t="shared" si="2"/>
        <v>5.5</v>
      </c>
    </row>
    <row r="13" spans="1:6" x14ac:dyDescent="0.2">
      <c r="A13" s="19">
        <v>9</v>
      </c>
      <c r="B13" s="143" t="s">
        <v>8</v>
      </c>
      <c r="C13" s="144"/>
      <c r="D13" s="14">
        <f t="shared" si="0"/>
        <v>47616</v>
      </c>
      <c r="E13" s="17">
        <f t="shared" si="1"/>
        <v>1051391.1276373505</v>
      </c>
      <c r="F13" s="21">
        <f t="shared" si="2"/>
        <v>22.08</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73340</v>
      </c>
      <c r="E15" s="17">
        <f t="shared" si="1"/>
        <v>339362.92953887919</v>
      </c>
      <c r="F15" s="21">
        <f t="shared" si="2"/>
        <v>4.63</v>
      </c>
    </row>
    <row r="16" spans="1:6" ht="14.25" customHeight="1" x14ac:dyDescent="0.2">
      <c r="A16" s="19">
        <v>12</v>
      </c>
      <c r="B16" s="143" t="s">
        <v>11</v>
      </c>
      <c r="C16" s="144"/>
      <c r="D16" s="14">
        <f t="shared" si="0"/>
        <v>619084</v>
      </c>
      <c r="E16" s="17">
        <f t="shared" si="1"/>
        <v>3213750.4996270454</v>
      </c>
      <c r="F16" s="21">
        <f t="shared" si="2"/>
        <v>5.19</v>
      </c>
    </row>
    <row r="17" spans="1:6" x14ac:dyDescent="0.2">
      <c r="A17" s="19">
        <v>13</v>
      </c>
      <c r="B17" s="143" t="s">
        <v>12</v>
      </c>
      <c r="C17" s="144"/>
      <c r="D17" s="14">
        <f t="shared" si="0"/>
        <v>123168</v>
      </c>
      <c r="E17" s="17">
        <f t="shared" si="1"/>
        <v>870029.04185225908</v>
      </c>
      <c r="F17" s="21">
        <f t="shared" si="2"/>
        <v>7.06</v>
      </c>
    </row>
    <row r="18" spans="1:6" ht="14.25" customHeight="1" x14ac:dyDescent="0.2">
      <c r="A18" s="19">
        <v>14</v>
      </c>
      <c r="B18" s="143" t="s">
        <v>464</v>
      </c>
      <c r="C18" s="144"/>
      <c r="D18" s="14">
        <f t="shared" si="0"/>
        <v>99448</v>
      </c>
      <c r="E18" s="17">
        <f t="shared" si="1"/>
        <v>776549.24053425773</v>
      </c>
      <c r="F18" s="21">
        <f t="shared" si="2"/>
        <v>7.81</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65680</v>
      </c>
      <c r="E20" s="17">
        <f t="shared" si="1"/>
        <v>482321.28459385858</v>
      </c>
      <c r="F20" s="21">
        <f t="shared" si="2"/>
        <v>7.34</v>
      </c>
    </row>
    <row r="21" spans="1:6" x14ac:dyDescent="0.2">
      <c r="A21" s="19">
        <v>17</v>
      </c>
      <c r="B21" s="143" t="s">
        <v>15</v>
      </c>
      <c r="C21" s="144"/>
      <c r="D21" s="14">
        <f t="shared" si="0"/>
        <v>27840</v>
      </c>
      <c r="E21" s="17">
        <f t="shared" si="1"/>
        <v>256012.40930409596</v>
      </c>
      <c r="F21" s="21">
        <f t="shared" si="2"/>
        <v>9.1999999999999993</v>
      </c>
    </row>
    <row r="22" spans="1:6" x14ac:dyDescent="0.2">
      <c r="A22" s="19">
        <v>18</v>
      </c>
      <c r="B22" s="143" t="s">
        <v>16</v>
      </c>
      <c r="C22" s="144"/>
      <c r="D22" s="14">
        <f t="shared" si="0"/>
        <v>80736</v>
      </c>
      <c r="E22" s="17">
        <f t="shared" si="1"/>
        <v>651235.28698187834</v>
      </c>
      <c r="F22" s="21">
        <f t="shared" si="2"/>
        <v>8.07</v>
      </c>
    </row>
    <row r="23" spans="1:6" x14ac:dyDescent="0.2">
      <c r="A23" s="19">
        <v>19</v>
      </c>
      <c r="B23" s="143" t="s">
        <v>17</v>
      </c>
      <c r="C23" s="144"/>
      <c r="D23" s="14">
        <f t="shared" si="0"/>
        <v>373888</v>
      </c>
      <c r="E23" s="17">
        <f t="shared" si="1"/>
        <v>2188150.0210448932</v>
      </c>
      <c r="F23" s="21">
        <f t="shared" si="2"/>
        <v>5.85</v>
      </c>
    </row>
    <row r="24" spans="1:6" x14ac:dyDescent="0.2">
      <c r="A24" s="19">
        <v>20</v>
      </c>
      <c r="B24" s="143" t="s">
        <v>18</v>
      </c>
      <c r="C24" s="144"/>
      <c r="D24" s="14">
        <f t="shared" si="0"/>
        <v>53872</v>
      </c>
      <c r="E24" s="17">
        <f t="shared" si="1"/>
        <v>219784.87995798339</v>
      </c>
      <c r="F24" s="21">
        <f t="shared" si="2"/>
        <v>4.08</v>
      </c>
    </row>
    <row r="25" spans="1:6" ht="14.25" customHeight="1" x14ac:dyDescent="0.2">
      <c r="A25" s="19">
        <v>21</v>
      </c>
      <c r="B25" s="143" t="s">
        <v>461</v>
      </c>
      <c r="C25" s="144"/>
      <c r="D25" s="14">
        <f t="shared" si="0"/>
        <v>15248</v>
      </c>
      <c r="E25" s="17">
        <f t="shared" si="1"/>
        <v>184155.75693494451</v>
      </c>
      <c r="F25" s="21">
        <f t="shared" si="2"/>
        <v>12.08</v>
      </c>
    </row>
    <row r="26" spans="1:6" x14ac:dyDescent="0.2">
      <c r="A26" s="19">
        <v>22</v>
      </c>
      <c r="B26" s="143" t="s">
        <v>19</v>
      </c>
      <c r="C26" s="144"/>
      <c r="D26" s="14">
        <f t="shared" si="0"/>
        <v>7840</v>
      </c>
      <c r="E26" s="17">
        <f t="shared" si="1"/>
        <v>101258.47733276266</v>
      </c>
      <c r="F26" s="21">
        <f t="shared" si="2"/>
        <v>12.92</v>
      </c>
    </row>
    <row r="27" spans="1:6" x14ac:dyDescent="0.2">
      <c r="A27" s="19">
        <v>23</v>
      </c>
      <c r="B27" s="143" t="s">
        <v>20</v>
      </c>
      <c r="C27" s="144"/>
      <c r="D27" s="14">
        <f t="shared" si="0"/>
        <v>128512</v>
      </c>
      <c r="E27" s="17">
        <f t="shared" si="1"/>
        <v>703361.71007499937</v>
      </c>
      <c r="F27" s="21">
        <f t="shared" si="2"/>
        <v>5.47</v>
      </c>
    </row>
    <row r="28" spans="1:6" x14ac:dyDescent="0.2">
      <c r="A28" s="19">
        <v>24</v>
      </c>
      <c r="B28" s="143" t="s">
        <v>21</v>
      </c>
      <c r="C28" s="144"/>
      <c r="D28" s="14">
        <f t="shared" si="0"/>
        <v>136872</v>
      </c>
      <c r="E28" s="17">
        <f t="shared" si="1"/>
        <v>624122.14763901662</v>
      </c>
      <c r="F28" s="21">
        <f t="shared" si="2"/>
        <v>4.5599999999999996</v>
      </c>
    </row>
    <row r="29" spans="1:6" x14ac:dyDescent="0.2">
      <c r="A29" s="19">
        <v>25</v>
      </c>
      <c r="B29" s="143" t="s">
        <v>22</v>
      </c>
      <c r="C29" s="144"/>
      <c r="D29" s="14">
        <f t="shared" si="0"/>
        <v>469571</v>
      </c>
      <c r="E29" s="17">
        <f t="shared" si="1"/>
        <v>2927244.9341355478</v>
      </c>
      <c r="F29" s="21">
        <f t="shared" si="2"/>
        <v>6.23</v>
      </c>
    </row>
    <row r="30" spans="1:6" x14ac:dyDescent="0.2">
      <c r="A30" s="19">
        <v>26</v>
      </c>
      <c r="B30" s="143" t="s">
        <v>23</v>
      </c>
      <c r="C30" s="144"/>
      <c r="D30" s="14">
        <f t="shared" si="0"/>
        <v>123632</v>
      </c>
      <c r="E30" s="17">
        <f t="shared" si="1"/>
        <v>877609.69867399405</v>
      </c>
      <c r="F30" s="21">
        <f t="shared" si="2"/>
        <v>7.1</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3060695</v>
      </c>
      <c r="E33" s="31">
        <f>SUM(E5:E32)</f>
        <v>19695405</v>
      </c>
      <c r="F33" s="32">
        <f t="shared" si="2"/>
        <v>6.43</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IF(F3="1",SUMIF(Data!A:A,'43'!$A$2,Data!CU:CU),0)</f>
        <v>0</v>
      </c>
      <c r="E36" s="15">
        <f>IF(F3="1",SUMIF(Data!$A:$A,$A$2,Data!IO:IO),0)</f>
        <v>0</v>
      </c>
      <c r="F36" s="20" t="str">
        <f t="shared" ref="F36:F64" si="3">IF(OR(D36=0,E36=0),"",ROUND(E36/D36,2))</f>
        <v/>
      </c>
    </row>
    <row r="37" spans="1:6" x14ac:dyDescent="0.2">
      <c r="A37" s="19">
        <v>2</v>
      </c>
      <c r="B37" s="143" t="s">
        <v>1</v>
      </c>
      <c r="C37" s="144"/>
      <c r="D37" s="14">
        <f>IF(F3="1",SUMIF(Data!A:A,'43'!$A$2,Data!CV:CV),0)</f>
        <v>38304</v>
      </c>
      <c r="E37" s="17">
        <f>IF(F3="1",SUMIF(Data!$A:$A,$A$2,Data!IP:IP),0)</f>
        <v>32523</v>
      </c>
      <c r="F37" s="21">
        <f t="shared" si="3"/>
        <v>0.85</v>
      </c>
    </row>
    <row r="38" spans="1:6" ht="14.25" customHeight="1" x14ac:dyDescent="0.2">
      <c r="A38" s="19">
        <v>3</v>
      </c>
      <c r="B38" s="143" t="s">
        <v>2</v>
      </c>
      <c r="C38" s="144"/>
      <c r="D38" s="14">
        <f>IF(F3="1",SUMIF(Data!A:A,'43'!$A$2,Data!CW:CW),0)</f>
        <v>283280</v>
      </c>
      <c r="E38" s="17">
        <f>IF($F$3="1",SUMIF(Data!$A:$A,$A$2,Data!IQ:IQ),0)</f>
        <v>59276</v>
      </c>
      <c r="F38" s="21">
        <f t="shared" si="3"/>
        <v>0.21</v>
      </c>
    </row>
    <row r="39" spans="1:6" ht="14.25" customHeight="1" x14ac:dyDescent="0.2">
      <c r="A39" s="19">
        <v>4</v>
      </c>
      <c r="B39" s="143" t="s">
        <v>3</v>
      </c>
      <c r="C39" s="144"/>
      <c r="D39" s="14">
        <f>IF(F3="1",SUMIF(Data!A:A,'43'!$A$2,Data!CX:CX),0)</f>
        <v>167798</v>
      </c>
      <c r="E39" s="17">
        <f>IF($F$3="1",SUMIF(Data!$A:$A,$A$2,Data!IR:IR),0)</f>
        <v>76062</v>
      </c>
      <c r="F39" s="21">
        <f t="shared" si="3"/>
        <v>0.45</v>
      </c>
    </row>
    <row r="40" spans="1:6" x14ac:dyDescent="0.2">
      <c r="A40" s="19">
        <v>5</v>
      </c>
      <c r="B40" s="143" t="s">
        <v>4</v>
      </c>
      <c r="C40" s="144"/>
      <c r="D40" s="14">
        <f>IF(F3="1",SUMIF(Data!A:A,'43'!$A$2,Data!CY:CY),0)</f>
        <v>0</v>
      </c>
      <c r="E40" s="17">
        <f>IF($F$3="1",SUMIF(Data!$A:$A,$A$2,Data!IS:IS),0)</f>
        <v>0</v>
      </c>
      <c r="F40" s="21" t="str">
        <f t="shared" si="3"/>
        <v/>
      </c>
    </row>
    <row r="41" spans="1:6" x14ac:dyDescent="0.2">
      <c r="A41" s="19">
        <v>6</v>
      </c>
      <c r="B41" s="143" t="s">
        <v>5</v>
      </c>
      <c r="C41" s="144"/>
      <c r="D41" s="14">
        <f>IF(F3="1",SUMIF(Data!A:A,'43'!$A$2,Data!CZ:CZ),0)</f>
        <v>1200</v>
      </c>
      <c r="E41" s="17">
        <f>IF($F$3="1",SUMIF(Data!$A:$A,$A$2,Data!IT:IT),0)</f>
        <v>2679</v>
      </c>
      <c r="F41" s="21">
        <f t="shared" si="3"/>
        <v>2.23</v>
      </c>
    </row>
    <row r="42" spans="1:6" x14ac:dyDescent="0.2">
      <c r="A42" s="19">
        <v>7</v>
      </c>
      <c r="B42" s="143" t="s">
        <v>6</v>
      </c>
      <c r="C42" s="144"/>
      <c r="D42" s="14">
        <f>IF(F3="1",SUMIF(Data!A:A,'43'!$A$2,Data!DA:DA),0)</f>
        <v>95558</v>
      </c>
      <c r="E42" s="17">
        <f>IF($F$3="1",SUMIF(Data!$A:$A,$A$2,Data!IU:IU),0)</f>
        <v>49249</v>
      </c>
      <c r="F42" s="21">
        <f t="shared" si="3"/>
        <v>0.52</v>
      </c>
    </row>
    <row r="43" spans="1:6" x14ac:dyDescent="0.2">
      <c r="A43" s="19">
        <v>8</v>
      </c>
      <c r="B43" s="143" t="s">
        <v>7</v>
      </c>
      <c r="C43" s="144"/>
      <c r="D43" s="14">
        <f>IF(F3="1",SUMIF(Data!A:A,'43'!$A$2,Data!DB:DB),0)</f>
        <v>28208</v>
      </c>
      <c r="E43" s="17">
        <f>IF($F$3="1",SUMIF(Data!$A:$A,$A$2,Data!IV:IV),0)</f>
        <v>7549</v>
      </c>
      <c r="F43" s="21">
        <f t="shared" si="3"/>
        <v>0.27</v>
      </c>
    </row>
    <row r="44" spans="1:6" x14ac:dyDescent="0.2">
      <c r="A44" s="19">
        <v>9</v>
      </c>
      <c r="B44" s="143" t="s">
        <v>8</v>
      </c>
      <c r="C44" s="144"/>
      <c r="D44" s="14">
        <f>IF(F3="1",SUMIF(Data!A:A,'43'!$A$2,Data!DC:DC),0)</f>
        <v>47616</v>
      </c>
      <c r="E44" s="17">
        <f>IF($F$3="1",SUMIF(Data!$A:$A,$A$2,Data!IW:IW),0)</f>
        <v>88669</v>
      </c>
      <c r="F44" s="21">
        <f t="shared" si="3"/>
        <v>1.86</v>
      </c>
    </row>
    <row r="45" spans="1:6" x14ac:dyDescent="0.2">
      <c r="A45" s="19">
        <v>10</v>
      </c>
      <c r="B45" s="143" t="s">
        <v>9</v>
      </c>
      <c r="C45" s="144"/>
      <c r="D45" s="14">
        <f>IF(F3="1",SUMIF(Data!A:A,'43'!$A$2,Data!DD:DD),0)</f>
        <v>0</v>
      </c>
      <c r="E45" s="17">
        <f>IF($F$3="1",SUMIF(Data!$A:$A,$A$2,Data!IX:IX),0)</f>
        <v>0</v>
      </c>
      <c r="F45" s="21" t="str">
        <f t="shared" si="3"/>
        <v/>
      </c>
    </row>
    <row r="46" spans="1:6" x14ac:dyDescent="0.2">
      <c r="A46" s="19">
        <v>11</v>
      </c>
      <c r="B46" s="143" t="s">
        <v>10</v>
      </c>
      <c r="C46" s="144"/>
      <c r="D46" s="14">
        <f>IF(F3="1",SUMIF(Data!A:A,'43'!$A$2,Data!DE:DE),0)</f>
        <v>73340</v>
      </c>
      <c r="E46" s="17">
        <f>IF($F$3="1",SUMIF(Data!$A:$A,$A$2,Data!IY:IY),0)</f>
        <v>13645</v>
      </c>
      <c r="F46" s="21">
        <f t="shared" si="3"/>
        <v>0.19</v>
      </c>
    </row>
    <row r="47" spans="1:6" ht="14.25" customHeight="1" x14ac:dyDescent="0.2">
      <c r="A47" s="19">
        <v>12</v>
      </c>
      <c r="B47" s="143" t="s">
        <v>11</v>
      </c>
      <c r="C47" s="144"/>
      <c r="D47" s="14">
        <f>IF(F3="1",SUMIF(Data!A:A,'43'!$A$2,Data!DF:DF),0)</f>
        <v>619084</v>
      </c>
      <c r="E47" s="17">
        <f>IF($F$3="1",SUMIF(Data!$A:$A,$A$2,Data!IZ:IZ),0)</f>
        <v>137976</v>
      </c>
      <c r="F47" s="21">
        <f t="shared" si="3"/>
        <v>0.22</v>
      </c>
    </row>
    <row r="48" spans="1:6" x14ac:dyDescent="0.2">
      <c r="A48" s="19">
        <v>13</v>
      </c>
      <c r="B48" s="143" t="s">
        <v>12</v>
      </c>
      <c r="C48" s="144"/>
      <c r="D48" s="14">
        <f>IF(F3="1",SUMIF(Data!A:A,'43'!$A$2,Data!DG:DG),0)</f>
        <v>123168</v>
      </c>
      <c r="E48" s="17">
        <f>IF($F$3="1",SUMIF(Data!$A:$A,$A$2,Data!JA:JA),0)</f>
        <v>18091</v>
      </c>
      <c r="F48" s="21">
        <f t="shared" si="3"/>
        <v>0.15</v>
      </c>
    </row>
    <row r="49" spans="1:6" ht="14.25" customHeight="1" x14ac:dyDescent="0.2">
      <c r="A49" s="19">
        <v>14</v>
      </c>
      <c r="B49" s="143" t="s">
        <v>464</v>
      </c>
      <c r="C49" s="144"/>
      <c r="D49" s="14">
        <f>IF(F3="1",SUMIF(Data!A:A,'43'!$A$2,Data!DH:DH),0)</f>
        <v>99448</v>
      </c>
      <c r="E49" s="17">
        <f>IF($F$3="1",SUMIF(Data!$A:$A,$A$2,Data!JB:JB),0)</f>
        <v>44777</v>
      </c>
      <c r="F49" s="21">
        <f t="shared" si="3"/>
        <v>0.45</v>
      </c>
    </row>
    <row r="50" spans="1:6" x14ac:dyDescent="0.2">
      <c r="A50" s="19">
        <v>15</v>
      </c>
      <c r="B50" s="143" t="s">
        <v>13</v>
      </c>
      <c r="C50" s="144"/>
      <c r="D50" s="14">
        <f>IF(F3="1",SUMIF(Data!A:A,'43'!$A$2,Data!DI:DI),0)</f>
        <v>0</v>
      </c>
      <c r="E50" s="17">
        <f>IF($F$3="1",SUMIF(Data!$A:$A,$A$2,Data!JC:JC),0)</f>
        <v>0</v>
      </c>
      <c r="F50" s="21" t="str">
        <f t="shared" si="3"/>
        <v/>
      </c>
    </row>
    <row r="51" spans="1:6" x14ac:dyDescent="0.2">
      <c r="A51" s="19">
        <v>16</v>
      </c>
      <c r="B51" s="143" t="s">
        <v>14</v>
      </c>
      <c r="C51" s="144"/>
      <c r="D51" s="14">
        <f>IF(F3="1",SUMIF(Data!A:A,'43'!$A$2,Data!DJ:DJ),0)</f>
        <v>65680</v>
      </c>
      <c r="E51" s="17">
        <f>IF($F$3="1",SUMIF(Data!$A:$A,$A$2,Data!JD:JD),0)</f>
        <v>27555</v>
      </c>
      <c r="F51" s="21">
        <f t="shared" si="3"/>
        <v>0.42</v>
      </c>
    </row>
    <row r="52" spans="1:6" x14ac:dyDescent="0.2">
      <c r="A52" s="19">
        <v>17</v>
      </c>
      <c r="B52" s="143" t="s">
        <v>15</v>
      </c>
      <c r="C52" s="144"/>
      <c r="D52" s="14">
        <f>IF(F3="1",SUMIF(Data!A:A,'43'!$A$2,Data!DK:DK),0)</f>
        <v>27840</v>
      </c>
      <c r="E52" s="17">
        <f>IF($F$3="1",SUMIF(Data!$A:$A,$A$2,Data!JE:JE),0)</f>
        <v>16868</v>
      </c>
      <c r="F52" s="21">
        <f t="shared" si="3"/>
        <v>0.61</v>
      </c>
    </row>
    <row r="53" spans="1:6" x14ac:dyDescent="0.2">
      <c r="A53" s="19">
        <v>18</v>
      </c>
      <c r="B53" s="143" t="s">
        <v>16</v>
      </c>
      <c r="C53" s="144"/>
      <c r="D53" s="14">
        <f>IF(F3="1",SUMIF(Data!A:A,'43'!$A$2,Data!DL:DL),0)</f>
        <v>80736</v>
      </c>
      <c r="E53" s="17">
        <f>IF($F$3="1",SUMIF(Data!$A:$A,$A$2,Data!JF:JF),0)</f>
        <v>37665</v>
      </c>
      <c r="F53" s="21">
        <f t="shared" si="3"/>
        <v>0.47</v>
      </c>
    </row>
    <row r="54" spans="1:6" x14ac:dyDescent="0.2">
      <c r="A54" s="19">
        <v>19</v>
      </c>
      <c r="B54" s="143" t="s">
        <v>17</v>
      </c>
      <c r="C54" s="144"/>
      <c r="D54" s="14">
        <f>IF(F3="1",SUMIF(Data!A:A,'43'!$A$2,Data!DM:DM),0)</f>
        <v>373888</v>
      </c>
      <c r="E54" s="17">
        <f>IF($F$3="1",SUMIF(Data!$A:$A,$A$2,Data!JG:JG),0)</f>
        <v>75844</v>
      </c>
      <c r="F54" s="21">
        <f t="shared" si="3"/>
        <v>0.2</v>
      </c>
    </row>
    <row r="55" spans="1:6" x14ac:dyDescent="0.2">
      <c r="A55" s="19">
        <v>20</v>
      </c>
      <c r="B55" s="143" t="s">
        <v>18</v>
      </c>
      <c r="C55" s="144"/>
      <c r="D55" s="14">
        <f>IF(F3="1",SUMIF(Data!A:A,'43'!$A$2,Data!DN:DN),0)</f>
        <v>53872</v>
      </c>
      <c r="E55" s="17">
        <f>IF($F$3="1",SUMIF(Data!$A:$A,$A$2,Data!JH:JH),0)</f>
        <v>8563</v>
      </c>
      <c r="F55" s="21">
        <f t="shared" si="3"/>
        <v>0.16</v>
      </c>
    </row>
    <row r="56" spans="1:6" ht="14.25" customHeight="1" x14ac:dyDescent="0.2">
      <c r="A56" s="19">
        <v>21</v>
      </c>
      <c r="B56" s="143" t="s">
        <v>461</v>
      </c>
      <c r="C56" s="144"/>
      <c r="D56" s="14">
        <f>IF(F3="1",SUMIF(Data!A:A,'43'!$A$2,Data!DO:DO),0)</f>
        <v>15248</v>
      </c>
      <c r="E56" s="17">
        <f>IF($F$3="1",SUMIF(Data!$A:$A,$A$2,Data!JI:JI),0)</f>
        <v>26894</v>
      </c>
      <c r="F56" s="21">
        <f t="shared" si="3"/>
        <v>1.76</v>
      </c>
    </row>
    <row r="57" spans="1:6" x14ac:dyDescent="0.2">
      <c r="A57" s="19">
        <v>22</v>
      </c>
      <c r="B57" s="143" t="s">
        <v>19</v>
      </c>
      <c r="C57" s="144"/>
      <c r="D57" s="14">
        <f>IF(F3="1",SUMIF(Data!A:A,'43'!$A$2,Data!DP:DP),0)</f>
        <v>7840</v>
      </c>
      <c r="E57" s="17">
        <f>IF($F$3="1",SUMIF(Data!$A:$A,$A$2,Data!JJ:JJ),0)</f>
        <v>14402</v>
      </c>
      <c r="F57" s="21">
        <f t="shared" si="3"/>
        <v>1.84</v>
      </c>
    </row>
    <row r="58" spans="1:6" x14ac:dyDescent="0.2">
      <c r="A58" s="19">
        <v>23</v>
      </c>
      <c r="B58" s="143" t="s">
        <v>20</v>
      </c>
      <c r="C58" s="144"/>
      <c r="D58" s="14">
        <f>IF(F3="1",SUMIF(Data!A:A,'43'!$A$2,Data!DQ:DQ),0)</f>
        <v>128512</v>
      </c>
      <c r="E58" s="17">
        <f>IF($F$3="1",SUMIF(Data!$A:$A,$A$2,Data!JK:JK),0)</f>
        <v>48360</v>
      </c>
      <c r="F58" s="21">
        <f t="shared" si="3"/>
        <v>0.38</v>
      </c>
    </row>
    <row r="59" spans="1:6" x14ac:dyDescent="0.2">
      <c r="A59" s="19">
        <v>24</v>
      </c>
      <c r="B59" s="143" t="s">
        <v>21</v>
      </c>
      <c r="C59" s="144"/>
      <c r="D59" s="14">
        <f>IF(F3="1",SUMIF(Data!A:A,'43'!$A$2,Data!DR:DR),0)</f>
        <v>136872</v>
      </c>
      <c r="E59" s="17">
        <f>IF($F$3="1",SUMIF(Data!$A:$A,$A$2,Data!JL:JL),0)</f>
        <v>18397</v>
      </c>
      <c r="F59" s="21">
        <f t="shared" si="3"/>
        <v>0.13</v>
      </c>
    </row>
    <row r="60" spans="1:6" x14ac:dyDescent="0.2">
      <c r="A60" s="19">
        <v>25</v>
      </c>
      <c r="B60" s="143" t="s">
        <v>22</v>
      </c>
      <c r="C60" s="144"/>
      <c r="D60" s="14">
        <f>IF(F3="1",SUMIF(Data!A:A,'43'!$A$2,Data!DS:DS),0)</f>
        <v>469571</v>
      </c>
      <c r="E60" s="17">
        <f>IF($F$3="1",SUMIF(Data!$A:$A,$A$2,Data!JM:JM),0)</f>
        <v>142903</v>
      </c>
      <c r="F60" s="21">
        <f t="shared" si="3"/>
        <v>0.3</v>
      </c>
    </row>
    <row r="61" spans="1:6" x14ac:dyDescent="0.2">
      <c r="A61" s="19">
        <v>26</v>
      </c>
      <c r="B61" s="143" t="s">
        <v>23</v>
      </c>
      <c r="C61" s="144"/>
      <c r="D61" s="14">
        <f>IF(F3="1",SUMIF(Data!A:A,'43'!$A$2,Data!DT:DT),0)</f>
        <v>123632</v>
      </c>
      <c r="E61" s="17">
        <f>IF($F$3="1",SUMIF(Data!$A:$A,$A$2,Data!JN:JN),0)</f>
        <v>44869</v>
      </c>
      <c r="F61" s="21">
        <f t="shared" si="3"/>
        <v>0.36</v>
      </c>
    </row>
    <row r="62" spans="1:6" x14ac:dyDescent="0.2">
      <c r="A62" s="19">
        <v>28</v>
      </c>
      <c r="B62" s="143" t="s">
        <v>24</v>
      </c>
      <c r="C62" s="144"/>
      <c r="D62" s="14">
        <f>IF(F3="1",SUMIF(Data!A:A,'43'!$A$2,Data!DV:DV),0)</f>
        <v>0</v>
      </c>
      <c r="E62" s="17">
        <f>IF($F$3="1",SUMIF(Data!$A:$A,$A$2,Data!JP:JP),0)</f>
        <v>0</v>
      </c>
      <c r="F62" s="21" t="str">
        <f t="shared" si="3"/>
        <v/>
      </c>
    </row>
    <row r="63" spans="1:6" ht="15.75" customHeight="1" thickBot="1" x14ac:dyDescent="0.25">
      <c r="A63" s="22">
        <v>29</v>
      </c>
      <c r="B63" s="147" t="s">
        <v>25</v>
      </c>
      <c r="C63" s="148"/>
      <c r="D63" s="23">
        <f>IF(F3="1",SUMIF(Data!A:A,'43'!$A$2,Data!DW:DW),0)</f>
        <v>0</v>
      </c>
      <c r="E63" s="24">
        <f>IF($F$3="1",SUMIF(Data!$A:$A,$A$2,Data!JQ:JQ),0)</f>
        <v>0</v>
      </c>
      <c r="F63" s="25" t="str">
        <f t="shared" si="3"/>
        <v/>
      </c>
    </row>
    <row r="64" spans="1:6" x14ac:dyDescent="0.2">
      <c r="B64" s="30" t="s">
        <v>35</v>
      </c>
      <c r="C64" s="30"/>
      <c r="D64" s="59">
        <f>SUM(D36:D63)</f>
        <v>3060695</v>
      </c>
      <c r="E64" s="31">
        <f>SUM(E36:E63)</f>
        <v>992816</v>
      </c>
      <c r="F64" s="32">
        <f t="shared" si="3"/>
        <v>0.32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IF(F3="1",SUMIF(Data!A:A,'43'!$A$2,Data!DY:DY),0)</f>
        <v>0</v>
      </c>
      <c r="F67" s="20" t="str">
        <f t="shared" ref="F67:F95" si="4">IF(OR(D67=0,E67=0),"",ROUND(E67/D67,2))</f>
        <v/>
      </c>
    </row>
    <row r="68" spans="1:6" x14ac:dyDescent="0.2">
      <c r="A68" s="19">
        <v>2</v>
      </c>
      <c r="B68" s="143" t="s">
        <v>1</v>
      </c>
      <c r="C68" s="144"/>
      <c r="D68" s="14">
        <f t="shared" ref="D68:D94" si="5">D37</f>
        <v>38304</v>
      </c>
      <c r="E68" s="17">
        <f>IF(F3="1",SUMIF(Data!A:A,'43'!$A$2,Data!DZ:DZ),0)</f>
        <v>261340</v>
      </c>
      <c r="F68" s="21">
        <f t="shared" si="4"/>
        <v>6.82</v>
      </c>
    </row>
    <row r="69" spans="1:6" ht="14.25" customHeight="1" x14ac:dyDescent="0.2">
      <c r="A69" s="19">
        <v>3</v>
      </c>
      <c r="B69" s="143" t="s">
        <v>2</v>
      </c>
      <c r="C69" s="144"/>
      <c r="D69" s="14">
        <f t="shared" si="5"/>
        <v>283280</v>
      </c>
      <c r="E69" s="17">
        <f>IF(F3="1",SUMIF(Data!A:A,'43'!$A$2,Data!EA:EA),0)</f>
        <v>709890</v>
      </c>
      <c r="F69" s="21">
        <f t="shared" si="4"/>
        <v>2.5099999999999998</v>
      </c>
    </row>
    <row r="70" spans="1:6" ht="14.25" customHeight="1" x14ac:dyDescent="0.2">
      <c r="A70" s="19">
        <v>4</v>
      </c>
      <c r="B70" s="143" t="s">
        <v>3</v>
      </c>
      <c r="C70" s="144"/>
      <c r="D70" s="14">
        <f t="shared" si="5"/>
        <v>167798</v>
      </c>
      <c r="E70" s="17">
        <f>IF(F3="1",SUMIF(Data!A:A,'43'!$A$2,Data!EB:EB),0)</f>
        <v>801475</v>
      </c>
      <c r="F70" s="21">
        <f t="shared" si="4"/>
        <v>4.78</v>
      </c>
    </row>
    <row r="71" spans="1:6" x14ac:dyDescent="0.2">
      <c r="A71" s="19">
        <v>5</v>
      </c>
      <c r="B71" s="143" t="s">
        <v>4</v>
      </c>
      <c r="C71" s="144"/>
      <c r="D71" s="14">
        <f t="shared" si="5"/>
        <v>0</v>
      </c>
      <c r="E71" s="17">
        <f>IF(F3="1",SUMIF(Data!A:A,'43'!$A$2,Data!EC:EC),0)</f>
        <v>0</v>
      </c>
      <c r="F71" s="21" t="str">
        <f t="shared" si="4"/>
        <v/>
      </c>
    </row>
    <row r="72" spans="1:6" x14ac:dyDescent="0.2">
      <c r="A72" s="19">
        <v>6</v>
      </c>
      <c r="B72" s="143" t="s">
        <v>5</v>
      </c>
      <c r="C72" s="144"/>
      <c r="D72" s="14">
        <f t="shared" si="5"/>
        <v>1200</v>
      </c>
      <c r="E72" s="17">
        <f>IF(F3="1",SUMIF(Data!A:A,'43'!$A$2,Data!ED:ED),0)</f>
        <v>11647</v>
      </c>
      <c r="F72" s="21">
        <f t="shared" si="4"/>
        <v>9.7100000000000009</v>
      </c>
    </row>
    <row r="73" spans="1:6" x14ac:dyDescent="0.2">
      <c r="A73" s="19">
        <v>7</v>
      </c>
      <c r="B73" s="143" t="s">
        <v>6</v>
      </c>
      <c r="C73" s="144"/>
      <c r="D73" s="14">
        <f t="shared" si="5"/>
        <v>95558</v>
      </c>
      <c r="E73" s="17">
        <f>IF(F3="1",SUMIF(Data!A:A,'43'!$A$2,Data!EE:EE),0)</f>
        <v>266390</v>
      </c>
      <c r="F73" s="21">
        <f t="shared" si="4"/>
        <v>2.79</v>
      </c>
    </row>
    <row r="74" spans="1:6" x14ac:dyDescent="0.2">
      <c r="A74" s="19">
        <v>8</v>
      </c>
      <c r="B74" s="143" t="s">
        <v>7</v>
      </c>
      <c r="C74" s="144"/>
      <c r="D74" s="14">
        <f t="shared" si="5"/>
        <v>28208</v>
      </c>
      <c r="E74" s="17">
        <f>IF(F3="1",SUMIF(Data!A:A,'43'!$A$2,Data!EF:EF),0)</f>
        <v>60731</v>
      </c>
      <c r="F74" s="21">
        <f t="shared" si="4"/>
        <v>2.15</v>
      </c>
    </row>
    <row r="75" spans="1:6" x14ac:dyDescent="0.2">
      <c r="A75" s="19">
        <v>9</v>
      </c>
      <c r="B75" s="143" t="s">
        <v>8</v>
      </c>
      <c r="C75" s="144"/>
      <c r="D75" s="14">
        <f t="shared" si="5"/>
        <v>47616</v>
      </c>
      <c r="E75" s="17">
        <f>IF(F3="1",SUMIF(Data!A:A,'43'!$A$2,Data!EG:EG),0)</f>
        <v>816215</v>
      </c>
      <c r="F75" s="21">
        <f t="shared" si="4"/>
        <v>17.14</v>
      </c>
    </row>
    <row r="76" spans="1:6" x14ac:dyDescent="0.2">
      <c r="A76" s="19">
        <v>10</v>
      </c>
      <c r="B76" s="143" t="s">
        <v>9</v>
      </c>
      <c r="C76" s="144"/>
      <c r="D76" s="14">
        <f t="shared" si="5"/>
        <v>0</v>
      </c>
      <c r="E76" s="17">
        <f>IF(F3="1",SUMIF(Data!A:A,'43'!$A$2,Data!EH:EH),0)</f>
        <v>0</v>
      </c>
      <c r="F76" s="21" t="str">
        <f t="shared" si="4"/>
        <v/>
      </c>
    </row>
    <row r="77" spans="1:6" x14ac:dyDescent="0.2">
      <c r="A77" s="19">
        <v>11</v>
      </c>
      <c r="B77" s="143" t="s">
        <v>10</v>
      </c>
      <c r="C77" s="144"/>
      <c r="D77" s="14">
        <f t="shared" si="5"/>
        <v>73340</v>
      </c>
      <c r="E77" s="17">
        <f>IF(F3="1",SUMIF(Data!A:A,'43'!$A$2,Data!EI:EI),0)</f>
        <v>100062</v>
      </c>
      <c r="F77" s="21">
        <f t="shared" si="4"/>
        <v>1.36</v>
      </c>
    </row>
    <row r="78" spans="1:6" ht="14.25" customHeight="1" x14ac:dyDescent="0.2">
      <c r="A78" s="19">
        <v>12</v>
      </c>
      <c r="B78" s="143" t="s">
        <v>11</v>
      </c>
      <c r="C78" s="144"/>
      <c r="D78" s="14">
        <f t="shared" si="5"/>
        <v>619084</v>
      </c>
      <c r="E78" s="17">
        <f>IF(F3="1",SUMIF(Data!A:A,'43'!$A$2,Data!EJ:EJ),0)</f>
        <v>1170948</v>
      </c>
      <c r="F78" s="21">
        <f t="shared" si="4"/>
        <v>1.89</v>
      </c>
    </row>
    <row r="79" spans="1:6" x14ac:dyDescent="0.2">
      <c r="A79" s="19">
        <v>13</v>
      </c>
      <c r="B79" s="143" t="s">
        <v>12</v>
      </c>
      <c r="C79" s="144"/>
      <c r="D79" s="14">
        <f t="shared" si="5"/>
        <v>123168</v>
      </c>
      <c r="E79" s="17">
        <f>IF(F3="1",SUMIF(Data!A:A,'43'!$A$2,Data!EK:EK),0)</f>
        <v>472969</v>
      </c>
      <c r="F79" s="21">
        <f t="shared" si="4"/>
        <v>3.84</v>
      </c>
    </row>
    <row r="80" spans="1:6" ht="14.25" customHeight="1" x14ac:dyDescent="0.2">
      <c r="A80" s="19">
        <v>14</v>
      </c>
      <c r="B80" s="143" t="s">
        <v>464</v>
      </c>
      <c r="C80" s="144"/>
      <c r="D80" s="14">
        <f t="shared" si="5"/>
        <v>99448</v>
      </c>
      <c r="E80" s="17">
        <f>IF(F3="1",SUMIF(Data!A:A,'43'!$A$2,Data!EL:EL),0)</f>
        <v>425786</v>
      </c>
      <c r="F80" s="21">
        <f t="shared" si="4"/>
        <v>4.28</v>
      </c>
    </row>
    <row r="81" spans="1:6" x14ac:dyDescent="0.2">
      <c r="A81" s="19">
        <v>15</v>
      </c>
      <c r="B81" s="143" t="s">
        <v>13</v>
      </c>
      <c r="C81" s="144"/>
      <c r="D81" s="14">
        <f t="shared" si="5"/>
        <v>0</v>
      </c>
      <c r="E81" s="17">
        <f>IF(F3="1",SUMIF(Data!A:A,'43'!$A$2,Data!EM:EM),0)</f>
        <v>0</v>
      </c>
      <c r="F81" s="21" t="str">
        <f t="shared" si="4"/>
        <v/>
      </c>
    </row>
    <row r="82" spans="1:6" x14ac:dyDescent="0.2">
      <c r="A82" s="19">
        <v>16</v>
      </c>
      <c r="B82" s="143" t="s">
        <v>14</v>
      </c>
      <c r="C82" s="144"/>
      <c r="D82" s="14">
        <f t="shared" si="5"/>
        <v>65680</v>
      </c>
      <c r="E82" s="17">
        <f>IF(F3="1",SUMIF(Data!A:A,'43'!$A$2,Data!EN:EN),0)</f>
        <v>252679</v>
      </c>
      <c r="F82" s="21">
        <f t="shared" si="4"/>
        <v>3.85</v>
      </c>
    </row>
    <row r="83" spans="1:6" x14ac:dyDescent="0.2">
      <c r="A83" s="19">
        <v>17</v>
      </c>
      <c r="B83" s="143" t="s">
        <v>15</v>
      </c>
      <c r="C83" s="144"/>
      <c r="D83" s="14">
        <f t="shared" si="5"/>
        <v>27840</v>
      </c>
      <c r="E83" s="17">
        <f>IF(F3="1",SUMIF(Data!A:A,'43'!$A$2,Data!EO:EO),0)</f>
        <v>153485</v>
      </c>
      <c r="F83" s="21">
        <f t="shared" si="4"/>
        <v>5.51</v>
      </c>
    </row>
    <row r="84" spans="1:6" x14ac:dyDescent="0.2">
      <c r="A84" s="19">
        <v>18</v>
      </c>
      <c r="B84" s="143" t="s">
        <v>16</v>
      </c>
      <c r="C84" s="144"/>
      <c r="D84" s="14">
        <f t="shared" si="5"/>
        <v>80736</v>
      </c>
      <c r="E84" s="17">
        <f>IF(F3="1",SUMIF(Data!A:A,'43'!$A$2,Data!EP:EP),0)</f>
        <v>365158</v>
      </c>
      <c r="F84" s="21">
        <f t="shared" si="4"/>
        <v>4.5199999999999996</v>
      </c>
    </row>
    <row r="85" spans="1:6" x14ac:dyDescent="0.2">
      <c r="A85" s="19">
        <v>19</v>
      </c>
      <c r="B85" s="143" t="s">
        <v>17</v>
      </c>
      <c r="C85" s="144"/>
      <c r="D85" s="14">
        <f t="shared" si="5"/>
        <v>373888</v>
      </c>
      <c r="E85" s="17">
        <f>IF(F3="1",SUMIF(Data!A:A,'43'!$A$2,Data!EQ:EQ),0)</f>
        <v>961910</v>
      </c>
      <c r="F85" s="21">
        <f t="shared" si="4"/>
        <v>2.57</v>
      </c>
    </row>
    <row r="86" spans="1:6" x14ac:dyDescent="0.2">
      <c r="A86" s="19">
        <v>20</v>
      </c>
      <c r="B86" s="143" t="s">
        <v>18</v>
      </c>
      <c r="C86" s="144"/>
      <c r="D86" s="14">
        <f t="shared" si="5"/>
        <v>53872</v>
      </c>
      <c r="E86" s="17">
        <f>IF(F3="1",SUMIF(Data!A:A,'43'!$A$2,Data!ER:ER),0)</f>
        <v>45466</v>
      </c>
      <c r="F86" s="21">
        <f t="shared" si="4"/>
        <v>0.84</v>
      </c>
    </row>
    <row r="87" spans="1:6" ht="14.25" customHeight="1" x14ac:dyDescent="0.2">
      <c r="A87" s="19">
        <v>21</v>
      </c>
      <c r="B87" s="143" t="s">
        <v>461</v>
      </c>
      <c r="C87" s="144"/>
      <c r="D87" s="14">
        <f t="shared" si="5"/>
        <v>15248</v>
      </c>
      <c r="E87" s="17">
        <f>IF(F3="1",SUMIF(Data!A:A,'43'!$A$2,Data!ES:ES),0)</f>
        <v>110346</v>
      </c>
      <c r="F87" s="21">
        <f t="shared" si="4"/>
        <v>7.24</v>
      </c>
    </row>
    <row r="88" spans="1:6" x14ac:dyDescent="0.2">
      <c r="A88" s="19">
        <v>22</v>
      </c>
      <c r="B88" s="143" t="s">
        <v>19</v>
      </c>
      <c r="C88" s="144"/>
      <c r="D88" s="14">
        <f t="shared" si="5"/>
        <v>7840</v>
      </c>
      <c r="E88" s="17">
        <f>IF(F3="1",SUMIF(Data!A:A,'43'!$A$2,Data!ET:ET),0)</f>
        <v>62734</v>
      </c>
      <c r="F88" s="21">
        <f t="shared" si="4"/>
        <v>8</v>
      </c>
    </row>
    <row r="89" spans="1:6" x14ac:dyDescent="0.2">
      <c r="A89" s="19">
        <v>23</v>
      </c>
      <c r="B89" s="143" t="s">
        <v>20</v>
      </c>
      <c r="C89" s="144"/>
      <c r="D89" s="14">
        <f t="shared" si="5"/>
        <v>128512</v>
      </c>
      <c r="E89" s="17">
        <f>IF(F3="1",SUMIF(Data!A:A,'43'!$A$2,Data!EU:EU),0)</f>
        <v>259590</v>
      </c>
      <c r="F89" s="21">
        <f t="shared" si="4"/>
        <v>2.02</v>
      </c>
    </row>
    <row r="90" spans="1:6" x14ac:dyDescent="0.2">
      <c r="A90" s="19">
        <v>24</v>
      </c>
      <c r="B90" s="143" t="s">
        <v>21</v>
      </c>
      <c r="C90" s="144"/>
      <c r="D90" s="14">
        <f t="shared" si="5"/>
        <v>136872</v>
      </c>
      <c r="E90" s="17">
        <f>IF(F3="1",SUMIF(Data!A:A,'43'!$A$2,Data!EV:EV),0)</f>
        <v>184591</v>
      </c>
      <c r="F90" s="21">
        <f t="shared" si="4"/>
        <v>1.35</v>
      </c>
    </row>
    <row r="91" spans="1:6" x14ac:dyDescent="0.2">
      <c r="A91" s="19">
        <v>25</v>
      </c>
      <c r="B91" s="143" t="s">
        <v>22</v>
      </c>
      <c r="C91" s="144"/>
      <c r="D91" s="14">
        <f t="shared" si="5"/>
        <v>469571</v>
      </c>
      <c r="E91" s="17">
        <f>IF(F3="1",SUMIF(Data!A:A,'43'!$A$2,Data!EW:EW),0)</f>
        <v>1339544</v>
      </c>
      <c r="F91" s="21">
        <f t="shared" si="4"/>
        <v>2.85</v>
      </c>
    </row>
    <row r="92" spans="1:6" x14ac:dyDescent="0.2">
      <c r="A92" s="19">
        <v>26</v>
      </c>
      <c r="B92" s="143" t="s">
        <v>23</v>
      </c>
      <c r="C92" s="144"/>
      <c r="D92" s="14">
        <f t="shared" si="5"/>
        <v>123632</v>
      </c>
      <c r="E92" s="17">
        <f>IF(F3="1",SUMIF(Data!A:A,'43'!$A$2,Data!EX:EX),0)</f>
        <v>452344</v>
      </c>
      <c r="F92" s="21">
        <f t="shared" si="4"/>
        <v>3.66</v>
      </c>
    </row>
    <row r="93" spans="1:6" x14ac:dyDescent="0.2">
      <c r="A93" s="19">
        <v>28</v>
      </c>
      <c r="B93" s="143" t="s">
        <v>24</v>
      </c>
      <c r="C93" s="144"/>
      <c r="D93" s="14">
        <f t="shared" si="5"/>
        <v>0</v>
      </c>
      <c r="E93" s="17">
        <f>IF(F3="1",SUMIF(Data!A:A,'43'!$A$2,Data!EZ:EZ),0)</f>
        <v>0</v>
      </c>
      <c r="F93" s="21" t="str">
        <f t="shared" si="4"/>
        <v/>
      </c>
    </row>
    <row r="94" spans="1:6" ht="15.75" customHeight="1" thickBot="1" x14ac:dyDescent="0.25">
      <c r="A94" s="22">
        <v>29</v>
      </c>
      <c r="B94" s="147" t="s">
        <v>25</v>
      </c>
      <c r="C94" s="148"/>
      <c r="D94" s="23">
        <f t="shared" si="5"/>
        <v>0</v>
      </c>
      <c r="E94" s="24">
        <f>IF(F3="1",SUMIF(Data!A:A,'43'!$A$2,Data!FA:FA),0)</f>
        <v>0</v>
      </c>
      <c r="F94" s="25" t="str">
        <f t="shared" si="4"/>
        <v/>
      </c>
    </row>
    <row r="95" spans="1:6" x14ac:dyDescent="0.2">
      <c r="B95" s="30" t="s">
        <v>35</v>
      </c>
      <c r="C95" s="30"/>
      <c r="D95" s="59">
        <f>SUM(D67:D94)</f>
        <v>3060695</v>
      </c>
      <c r="E95" s="31">
        <f>SUM(E67:E94)</f>
        <v>9285300</v>
      </c>
      <c r="F95" s="32">
        <f t="shared" si="4"/>
        <v>3.03</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IF(F3="1",SUMIF(Data!A:A,'43'!$A$2,Data!AH:AH),0)</f>
        <v>2673887</v>
      </c>
      <c r="F98" s="20">
        <f>IF(OR(E98=0,E98=0),"",ROUND(E98/$D$105,2))</f>
        <v>0.87</v>
      </c>
    </row>
    <row r="99" spans="2:6" x14ac:dyDescent="0.2">
      <c r="B99" s="153" t="s">
        <v>31</v>
      </c>
      <c r="C99" s="154"/>
      <c r="D99" s="36"/>
      <c r="E99" s="17">
        <f>IF(F3="1",SUMIF(Data!A:A,'43'!$A$2,Data!AI:AI),0)</f>
        <v>1906791</v>
      </c>
      <c r="F99" s="21">
        <f t="shared" ref="F99:F104" si="6">IF(OR(E99=0,E99=0),"",ROUND(E99/$D$105,2))</f>
        <v>0.62</v>
      </c>
    </row>
    <row r="100" spans="2:6" x14ac:dyDescent="0.2">
      <c r="B100" s="153" t="s">
        <v>1078</v>
      </c>
      <c r="C100" s="154"/>
      <c r="D100" s="36"/>
      <c r="E100" s="17">
        <f>IF(F3="1",SUMIF(Data!A:A,'43'!$A$2,Data!AJ:AJ),0)</f>
        <v>1107052</v>
      </c>
      <c r="F100" s="21">
        <f t="shared" si="6"/>
        <v>0.36</v>
      </c>
    </row>
    <row r="101" spans="2:6" x14ac:dyDescent="0.2">
      <c r="B101" s="153" t="s">
        <v>1079</v>
      </c>
      <c r="C101" s="154"/>
      <c r="D101" s="36"/>
      <c r="E101" s="17">
        <f>IF(F3="1",SUMIF(Data!A:A,'43'!$A$2,Data!AK:AK),0)</f>
        <v>657284</v>
      </c>
      <c r="F101" s="21">
        <f t="shared" si="6"/>
        <v>0.21</v>
      </c>
    </row>
    <row r="102" spans="2:6" x14ac:dyDescent="0.2">
      <c r="B102" s="153" t="s">
        <v>1080</v>
      </c>
      <c r="C102" s="154"/>
      <c r="D102" s="36"/>
      <c r="E102" s="17">
        <f>IF(F3="1",SUMIF(Data!A:A,'43'!$A$2,Data!AL:AL),0)</f>
        <v>0</v>
      </c>
      <c r="F102" s="21" t="str">
        <f t="shared" si="6"/>
        <v/>
      </c>
    </row>
    <row r="103" spans="2:6" x14ac:dyDescent="0.2">
      <c r="B103" s="155" t="s">
        <v>34</v>
      </c>
      <c r="C103" s="156"/>
      <c r="D103" s="36"/>
      <c r="E103" s="17">
        <f>IF(F3="1",SUMIF(Data!A:A,'43'!$A$2,Data!AM:AM),0)</f>
        <v>0</v>
      </c>
      <c r="F103" s="21" t="str">
        <f t="shared" si="6"/>
        <v/>
      </c>
    </row>
    <row r="104" spans="2:6" ht="15.75" customHeight="1" thickBot="1" x14ac:dyDescent="0.25">
      <c r="B104" s="149" t="s">
        <v>29</v>
      </c>
      <c r="C104" s="150"/>
      <c r="D104" s="37"/>
      <c r="E104" s="24">
        <f>IF(F3="1",SUMIF(Data!A:A,'43'!$A$2,Data!Q:Q),0)</f>
        <v>3072275</v>
      </c>
      <c r="F104" s="25">
        <f t="shared" si="6"/>
        <v>1</v>
      </c>
    </row>
    <row r="105" spans="2:6" x14ac:dyDescent="0.2">
      <c r="B105" s="30" t="s">
        <v>35</v>
      </c>
      <c r="C105" s="30"/>
      <c r="D105" s="34">
        <f>D95</f>
        <v>3060695</v>
      </c>
      <c r="E105" s="31">
        <f>SUM(E98:E104)</f>
        <v>9417289</v>
      </c>
      <c r="F105" s="32">
        <f>IF($D$105=0,"",ROUND(E105/$D$105,2))</f>
        <v>3.08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9285300</v>
      </c>
      <c r="D109" s="15">
        <f>IF(F3="1",SUMIF(Data!$A:$A,$A$2,Data!HJ:HJ),0)</f>
        <v>0</v>
      </c>
      <c r="E109" s="15">
        <f>IF(F3="1",SUMIF(Data!$A:$A,$A$2,Data!IN:IN),0)</f>
        <v>0</v>
      </c>
      <c r="F109" s="47">
        <f>SUM(C109:E109)</f>
        <v>9285300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3072275</v>
      </c>
      <c r="E117" s="52"/>
      <c r="F117" s="49">
        <f>SUM(C117:E117)</f>
        <v>3072275</v>
      </c>
    </row>
    <row r="118" spans="1:6" x14ac:dyDescent="0.2">
      <c r="B118" s="13" t="s">
        <v>35</v>
      </c>
      <c r="C118" s="4">
        <f>SUM(C109:C116)</f>
        <v>9285300</v>
      </c>
      <c r="D118" s="4">
        <f>SUM(D109:D116)</f>
        <v>0</v>
      </c>
      <c r="E118" s="4">
        <f>SUM(E109:E116)</f>
        <v>0</v>
      </c>
      <c r="F118" s="4">
        <f>SUM(F109:F116)</f>
        <v>9285300</v>
      </c>
    </row>
    <row r="119" spans="1:6" ht="15" thickBot="1" x14ac:dyDescent="0.25"/>
    <row r="120" spans="1:6" ht="15" thickBot="1" x14ac:dyDescent="0.25">
      <c r="B120" s="55" t="s">
        <v>934</v>
      </c>
      <c r="C120" s="53"/>
      <c r="D120" s="53"/>
      <c r="E120" s="53">
        <f>IF(F3="1",SUMIF(Data!A:A,'43'!$A$2,Data!AM:AM),0)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370</v>
      </c>
      <c r="B2" s="58" t="str">
        <f>VLOOKUP(A2,Data!A:G,7,0)</f>
        <v>Trinity Valley Community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63838</v>
      </c>
      <c r="E5" s="15">
        <f>E36+E67+IFERROR($E$105/$D$105*D5,0)</f>
        <v>427073.06105953775</v>
      </c>
      <c r="F5" s="20">
        <f>IF(OR(D5=0,E5=0),"",ROUND(E5/D5,2))</f>
        <v>6.69</v>
      </c>
    </row>
    <row r="6" spans="1:6" x14ac:dyDescent="0.2">
      <c r="A6" s="19">
        <v>2</v>
      </c>
      <c r="B6" s="143" t="s">
        <v>1</v>
      </c>
      <c r="C6" s="144"/>
      <c r="D6" s="14">
        <f t="shared" ref="D6:D32" si="0">D37</f>
        <v>188208</v>
      </c>
      <c r="E6" s="17">
        <f t="shared" ref="E6:E32" si="1">E37+E68+IFERROR($E$105/$D$105*D6,0)</f>
        <v>821800.24160991074</v>
      </c>
      <c r="F6" s="21">
        <f t="shared" ref="F6:F33" si="2">IF(OR(D6=0,E6=0),"",ROUND(E6/D6,2))</f>
        <v>4.37</v>
      </c>
    </row>
    <row r="7" spans="1:6" ht="14.25" customHeight="1" x14ac:dyDescent="0.2">
      <c r="A7" s="19">
        <v>3</v>
      </c>
      <c r="B7" s="143" t="s">
        <v>2</v>
      </c>
      <c r="C7" s="144"/>
      <c r="D7" s="14">
        <f t="shared" si="0"/>
        <v>216816</v>
      </c>
      <c r="E7" s="17">
        <f t="shared" si="1"/>
        <v>1143532.3385238375</v>
      </c>
      <c r="F7" s="21">
        <f t="shared" si="2"/>
        <v>5.27</v>
      </c>
    </row>
    <row r="8" spans="1:6" ht="14.25" customHeight="1" x14ac:dyDescent="0.2">
      <c r="A8" s="19">
        <v>4</v>
      </c>
      <c r="B8" s="143" t="s">
        <v>3</v>
      </c>
      <c r="C8" s="144"/>
      <c r="D8" s="14">
        <f t="shared" si="0"/>
        <v>107368</v>
      </c>
      <c r="E8" s="17">
        <f t="shared" si="1"/>
        <v>648015.82345688227</v>
      </c>
      <c r="F8" s="21">
        <f t="shared" si="2"/>
        <v>6.04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10032</v>
      </c>
      <c r="E10" s="17">
        <f t="shared" si="1"/>
        <v>195603.44338089041</v>
      </c>
      <c r="F10" s="21">
        <f t="shared" si="2"/>
        <v>19.5</v>
      </c>
    </row>
    <row r="11" spans="1:6" x14ac:dyDescent="0.2">
      <c r="A11" s="19">
        <v>7</v>
      </c>
      <c r="B11" s="143" t="s">
        <v>6</v>
      </c>
      <c r="C11" s="144"/>
      <c r="D11" s="14">
        <f t="shared" si="0"/>
        <v>311510</v>
      </c>
      <c r="E11" s="17">
        <f t="shared" si="1"/>
        <v>1260152.5208912655</v>
      </c>
      <c r="F11" s="21">
        <f t="shared" si="2"/>
        <v>4.05</v>
      </c>
    </row>
    <row r="12" spans="1:6" x14ac:dyDescent="0.2">
      <c r="A12" s="19">
        <v>8</v>
      </c>
      <c r="B12" s="143" t="s">
        <v>7</v>
      </c>
      <c r="C12" s="144"/>
      <c r="D12" s="14">
        <f t="shared" si="0"/>
        <v>14400</v>
      </c>
      <c r="E12" s="17">
        <f t="shared" si="1"/>
        <v>81712.095762043667</v>
      </c>
      <c r="F12" s="21">
        <f t="shared" si="2"/>
        <v>5.67</v>
      </c>
    </row>
    <row r="13" spans="1:6" x14ac:dyDescent="0.2">
      <c r="A13" s="19">
        <v>9</v>
      </c>
      <c r="B13" s="143" t="s">
        <v>8</v>
      </c>
      <c r="C13" s="144"/>
      <c r="D13" s="14">
        <f t="shared" si="0"/>
        <v>147353</v>
      </c>
      <c r="E13" s="17">
        <f t="shared" si="1"/>
        <v>613564.22443225142</v>
      </c>
      <c r="F13" s="21">
        <f t="shared" si="2"/>
        <v>4.16</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70560</v>
      </c>
      <c r="E15" s="17">
        <f t="shared" si="1"/>
        <v>271421.76923401398</v>
      </c>
      <c r="F15" s="21">
        <f t="shared" si="2"/>
        <v>3.85</v>
      </c>
    </row>
    <row r="16" spans="1:6" ht="14.25" customHeight="1" x14ac:dyDescent="0.2">
      <c r="A16" s="19">
        <v>12</v>
      </c>
      <c r="B16" s="143" t="s">
        <v>11</v>
      </c>
      <c r="C16" s="144"/>
      <c r="D16" s="14">
        <f t="shared" si="0"/>
        <v>249872</v>
      </c>
      <c r="E16" s="17">
        <f t="shared" si="1"/>
        <v>1312283.960573151</v>
      </c>
      <c r="F16" s="21">
        <f t="shared" si="2"/>
        <v>5.25</v>
      </c>
    </row>
    <row r="17" spans="1:6" x14ac:dyDescent="0.2">
      <c r="A17" s="19">
        <v>13</v>
      </c>
      <c r="B17" s="143" t="s">
        <v>12</v>
      </c>
      <c r="C17" s="144"/>
      <c r="D17" s="14">
        <f t="shared" si="0"/>
        <v>17520</v>
      </c>
      <c r="E17" s="17">
        <f t="shared" si="1"/>
        <v>90635.133177153126</v>
      </c>
      <c r="F17" s="21">
        <f t="shared" si="2"/>
        <v>5.17</v>
      </c>
    </row>
    <row r="18" spans="1:6" ht="14.25" customHeight="1" x14ac:dyDescent="0.2">
      <c r="A18" s="19">
        <v>14</v>
      </c>
      <c r="B18" s="143" t="s">
        <v>464</v>
      </c>
      <c r="C18" s="144"/>
      <c r="D18" s="14">
        <f t="shared" si="0"/>
        <v>130247</v>
      </c>
      <c r="E18" s="17">
        <f t="shared" si="1"/>
        <v>838582.23275825707</v>
      </c>
      <c r="F18" s="21">
        <f t="shared" si="2"/>
        <v>6.44</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39002</v>
      </c>
      <c r="E20" s="17">
        <f t="shared" si="1"/>
        <v>259233.36450772412</v>
      </c>
      <c r="F20" s="21">
        <f t="shared" si="2"/>
        <v>6.65</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88153</v>
      </c>
      <c r="E22" s="17">
        <f t="shared" si="1"/>
        <v>378800.38629940525</v>
      </c>
      <c r="F22" s="21">
        <f t="shared" si="2"/>
        <v>4.3</v>
      </c>
    </row>
    <row r="23" spans="1:6" x14ac:dyDescent="0.2">
      <c r="A23" s="19">
        <v>19</v>
      </c>
      <c r="B23" s="143" t="s">
        <v>17</v>
      </c>
      <c r="C23" s="144"/>
      <c r="D23" s="14">
        <f t="shared" si="0"/>
        <v>202112</v>
      </c>
      <c r="E23" s="17">
        <f t="shared" si="1"/>
        <v>991951.9262957063</v>
      </c>
      <c r="F23" s="21">
        <f t="shared" si="2"/>
        <v>4.91</v>
      </c>
    </row>
    <row r="24" spans="1:6" x14ac:dyDescent="0.2">
      <c r="A24" s="19">
        <v>20</v>
      </c>
      <c r="B24" s="143" t="s">
        <v>18</v>
      </c>
      <c r="C24" s="144"/>
      <c r="D24" s="14">
        <f t="shared" si="0"/>
        <v>65408</v>
      </c>
      <c r="E24" s="17">
        <f t="shared" si="1"/>
        <v>307546.56386137172</v>
      </c>
      <c r="F24" s="21">
        <f t="shared" si="2"/>
        <v>4.7</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98624</v>
      </c>
      <c r="E27" s="17">
        <f t="shared" si="1"/>
        <v>518595.93141915242</v>
      </c>
      <c r="F27" s="21">
        <f t="shared" si="2"/>
        <v>5.26</v>
      </c>
    </row>
    <row r="28" spans="1:6" x14ac:dyDescent="0.2">
      <c r="A28" s="19">
        <v>24</v>
      </c>
      <c r="B28" s="143" t="s">
        <v>21</v>
      </c>
      <c r="C28" s="144"/>
      <c r="D28" s="14">
        <f t="shared" si="0"/>
        <v>71568</v>
      </c>
      <c r="E28" s="17">
        <f t="shared" si="1"/>
        <v>308215.76593735703</v>
      </c>
      <c r="F28" s="21">
        <f t="shared" si="2"/>
        <v>4.3099999999999996</v>
      </c>
    </row>
    <row r="29" spans="1:6" x14ac:dyDescent="0.2">
      <c r="A29" s="19">
        <v>25</v>
      </c>
      <c r="B29" s="143" t="s">
        <v>22</v>
      </c>
      <c r="C29" s="144"/>
      <c r="D29" s="14">
        <f t="shared" si="0"/>
        <v>270880</v>
      </c>
      <c r="E29" s="17">
        <f t="shared" si="1"/>
        <v>1312378.1458348881</v>
      </c>
      <c r="F29" s="21">
        <f t="shared" si="2"/>
        <v>4.84</v>
      </c>
    </row>
    <row r="30" spans="1:6" x14ac:dyDescent="0.2">
      <c r="A30" s="19">
        <v>26</v>
      </c>
      <c r="B30" s="143" t="s">
        <v>23</v>
      </c>
      <c r="C30" s="144"/>
      <c r="D30" s="14">
        <f t="shared" si="0"/>
        <v>102057</v>
      </c>
      <c r="E30" s="17">
        <f t="shared" si="1"/>
        <v>557494.0709852007</v>
      </c>
      <c r="F30" s="21">
        <f t="shared" si="2"/>
        <v>5.46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2465528</v>
      </c>
      <c r="E33" s="31">
        <f>SUM(E5:E32)</f>
        <v>12338592.999999996</v>
      </c>
      <c r="F33" s="32">
        <f t="shared" si="2"/>
        <v>5</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IF(F3="1",SUMIF(Data!A:A,'44'!$A$2,Data!CU:CU),0)</f>
        <v>63838</v>
      </c>
      <c r="E36" s="15">
        <f>IF(F3="1",SUMIF(Data!$A:$A,$A$2,Data!IO:IO),0)</f>
        <v>68846</v>
      </c>
      <c r="F36" s="20">
        <f t="shared" ref="F36:F64" si="3">IF(OR(D36=0,E36=0),"",ROUND(E36/D36,2))</f>
        <v>1.08</v>
      </c>
    </row>
    <row r="37" spans="1:6" x14ac:dyDescent="0.2">
      <c r="A37" s="19">
        <v>2</v>
      </c>
      <c r="B37" s="143" t="s">
        <v>1</v>
      </c>
      <c r="C37" s="144"/>
      <c r="D37" s="14">
        <f>IF(F3="1",SUMIF(Data!A:A,'44'!$A$2,Data!CV:CV),0)</f>
        <v>188208</v>
      </c>
      <c r="E37" s="17">
        <f>IF(F3="1",SUMIF(Data!$A:$A,$A$2,Data!IP:IP),0)</f>
        <v>83684</v>
      </c>
      <c r="F37" s="21">
        <f t="shared" si="3"/>
        <v>0.44</v>
      </c>
    </row>
    <row r="38" spans="1:6" ht="14.25" customHeight="1" x14ac:dyDescent="0.2">
      <c r="A38" s="19">
        <v>3</v>
      </c>
      <c r="B38" s="143" t="s">
        <v>2</v>
      </c>
      <c r="C38" s="144"/>
      <c r="D38" s="14">
        <f>IF(F3="1",SUMIF(Data!A:A,'44'!$A$2,Data!CW:CW),0)</f>
        <v>216816</v>
      </c>
      <c r="E38" s="17">
        <f>IF($F$3="1",SUMIF(Data!$A:$A,$A$2,Data!IQ:IQ),0)</f>
        <v>99971</v>
      </c>
      <c r="F38" s="21">
        <f t="shared" si="3"/>
        <v>0.46</v>
      </c>
    </row>
    <row r="39" spans="1:6" ht="14.25" customHeight="1" x14ac:dyDescent="0.2">
      <c r="A39" s="19">
        <v>4</v>
      </c>
      <c r="B39" s="143" t="s">
        <v>3</v>
      </c>
      <c r="C39" s="144"/>
      <c r="D39" s="14">
        <f>IF(F3="1",SUMIF(Data!A:A,'44'!$A$2,Data!CX:CX),0)</f>
        <v>107368</v>
      </c>
      <c r="E39" s="17">
        <f>IF($F$3="1",SUMIF(Data!$A:$A,$A$2,Data!IR:IR),0)</f>
        <v>78190</v>
      </c>
      <c r="F39" s="21">
        <f t="shared" si="3"/>
        <v>0.73</v>
      </c>
    </row>
    <row r="40" spans="1:6" x14ac:dyDescent="0.2">
      <c r="A40" s="19">
        <v>5</v>
      </c>
      <c r="B40" s="143" t="s">
        <v>4</v>
      </c>
      <c r="C40" s="144"/>
      <c r="D40" s="14">
        <f>IF(F3="1",SUMIF(Data!A:A,'44'!$A$2,Data!CY:CY),0)</f>
        <v>0</v>
      </c>
      <c r="E40" s="17">
        <f>IF($F$3="1",SUMIF(Data!$A:$A,$A$2,Data!IS:IS),0)</f>
        <v>0</v>
      </c>
      <c r="F40" s="21" t="str">
        <f t="shared" si="3"/>
        <v/>
      </c>
    </row>
    <row r="41" spans="1:6" x14ac:dyDescent="0.2">
      <c r="A41" s="19">
        <v>6</v>
      </c>
      <c r="B41" s="143" t="s">
        <v>5</v>
      </c>
      <c r="C41" s="144"/>
      <c r="D41" s="14">
        <f>IF(F3="1",SUMIF(Data!A:A,'44'!$A$2,Data!CZ:CZ),0)</f>
        <v>10032</v>
      </c>
      <c r="E41" s="17">
        <f>IF($F$3="1",SUMIF(Data!$A:$A,$A$2,Data!IT:IT),0)</f>
        <v>6066</v>
      </c>
      <c r="F41" s="21">
        <f t="shared" si="3"/>
        <v>0.6</v>
      </c>
    </row>
    <row r="42" spans="1:6" x14ac:dyDescent="0.2">
      <c r="A42" s="19">
        <v>7</v>
      </c>
      <c r="B42" s="143" t="s">
        <v>6</v>
      </c>
      <c r="C42" s="144"/>
      <c r="D42" s="14">
        <f>IF(F3="1",SUMIF(Data!A:A,'44'!$A$2,Data!DA:DA),0)</f>
        <v>311510</v>
      </c>
      <c r="E42" s="17">
        <f>IF($F$3="1",SUMIF(Data!$A:$A,$A$2,Data!IU:IU),0)</f>
        <v>120689</v>
      </c>
      <c r="F42" s="21">
        <f t="shared" si="3"/>
        <v>0.39</v>
      </c>
    </row>
    <row r="43" spans="1:6" x14ac:dyDescent="0.2">
      <c r="A43" s="19">
        <v>8</v>
      </c>
      <c r="B43" s="143" t="s">
        <v>7</v>
      </c>
      <c r="C43" s="144"/>
      <c r="D43" s="14">
        <f>IF(F3="1",SUMIF(Data!A:A,'44'!$A$2,Data!DB:DB),0)</f>
        <v>14400</v>
      </c>
      <c r="E43" s="17">
        <f>IF($F$3="1",SUMIF(Data!$A:$A,$A$2,Data!IV:IV),0)</f>
        <v>812</v>
      </c>
      <c r="F43" s="21">
        <f t="shared" si="3"/>
        <v>0.06</v>
      </c>
    </row>
    <row r="44" spans="1:6" x14ac:dyDescent="0.2">
      <c r="A44" s="19">
        <v>9</v>
      </c>
      <c r="B44" s="143" t="s">
        <v>8</v>
      </c>
      <c r="C44" s="144"/>
      <c r="D44" s="14">
        <f>IF(F3="1",SUMIF(Data!A:A,'44'!$A$2,Data!DC:DC),0)</f>
        <v>147353</v>
      </c>
      <c r="E44" s="17">
        <f>IF($F$3="1",SUMIF(Data!$A:$A,$A$2,Data!IW:IW),0)</f>
        <v>58015</v>
      </c>
      <c r="F44" s="21">
        <f t="shared" si="3"/>
        <v>0.39</v>
      </c>
    </row>
    <row r="45" spans="1:6" x14ac:dyDescent="0.2">
      <c r="A45" s="19">
        <v>10</v>
      </c>
      <c r="B45" s="143" t="s">
        <v>9</v>
      </c>
      <c r="C45" s="144"/>
      <c r="D45" s="14">
        <f>IF(F3="1",SUMIF(Data!A:A,'44'!$A$2,Data!DD:DD),0)</f>
        <v>0</v>
      </c>
      <c r="E45" s="17">
        <f>IF($F$3="1",SUMIF(Data!$A:$A,$A$2,Data!IX:IX),0)</f>
        <v>0</v>
      </c>
      <c r="F45" s="21" t="str">
        <f t="shared" si="3"/>
        <v/>
      </c>
    </row>
    <row r="46" spans="1:6" x14ac:dyDescent="0.2">
      <c r="A46" s="19">
        <v>11</v>
      </c>
      <c r="B46" s="143" t="s">
        <v>10</v>
      </c>
      <c r="C46" s="144"/>
      <c r="D46" s="14">
        <f>IF(F3="1",SUMIF(Data!A:A,'44'!$A$2,Data!DE:DE),0)</f>
        <v>70560</v>
      </c>
      <c r="E46" s="17">
        <f>IF($F$3="1",SUMIF(Data!$A:$A,$A$2,Data!IY:IY),0)</f>
        <v>16642</v>
      </c>
      <c r="F46" s="21">
        <f t="shared" si="3"/>
        <v>0.24</v>
      </c>
    </row>
    <row r="47" spans="1:6" ht="14.25" customHeight="1" x14ac:dyDescent="0.2">
      <c r="A47" s="19">
        <v>12</v>
      </c>
      <c r="B47" s="143" t="s">
        <v>11</v>
      </c>
      <c r="C47" s="144"/>
      <c r="D47" s="14">
        <f>IF(F3="1",SUMIF(Data!A:A,'44'!$A$2,Data!DF:DF),0)</f>
        <v>249872</v>
      </c>
      <c r="E47" s="17">
        <f>IF($F$3="1",SUMIF(Data!$A:$A,$A$2,Data!IZ:IZ),0)</f>
        <v>66913</v>
      </c>
      <c r="F47" s="21">
        <f t="shared" si="3"/>
        <v>0.27</v>
      </c>
    </row>
    <row r="48" spans="1:6" x14ac:dyDescent="0.2">
      <c r="A48" s="19">
        <v>13</v>
      </c>
      <c r="B48" s="143" t="s">
        <v>12</v>
      </c>
      <c r="C48" s="144"/>
      <c r="D48" s="14">
        <f>IF(F3="1",SUMIF(Data!A:A,'44'!$A$2,Data!DG:DG),0)</f>
        <v>17520</v>
      </c>
      <c r="E48" s="17">
        <f>IF($F$3="1",SUMIF(Data!$A:$A,$A$2,Data!JA:JA),0)</f>
        <v>3133</v>
      </c>
      <c r="F48" s="21">
        <f t="shared" si="3"/>
        <v>0.18</v>
      </c>
    </row>
    <row r="49" spans="1:6" ht="14.25" customHeight="1" x14ac:dyDescent="0.2">
      <c r="A49" s="19">
        <v>14</v>
      </c>
      <c r="B49" s="143" t="s">
        <v>464</v>
      </c>
      <c r="C49" s="144"/>
      <c r="D49" s="14">
        <f>IF(F3="1",SUMIF(Data!A:A,'44'!$A$2,Data!DH:DH),0)</f>
        <v>130247</v>
      </c>
      <c r="E49" s="17">
        <f>IF($F$3="1",SUMIF(Data!$A:$A,$A$2,Data!JB:JB),0)</f>
        <v>38451</v>
      </c>
      <c r="F49" s="21">
        <f t="shared" si="3"/>
        <v>0.3</v>
      </c>
    </row>
    <row r="50" spans="1:6" x14ac:dyDescent="0.2">
      <c r="A50" s="19">
        <v>15</v>
      </c>
      <c r="B50" s="143" t="s">
        <v>13</v>
      </c>
      <c r="C50" s="144"/>
      <c r="D50" s="14">
        <f>IF(F3="1",SUMIF(Data!A:A,'44'!$A$2,Data!DI:DI),0)</f>
        <v>0</v>
      </c>
      <c r="E50" s="17">
        <f>IF($F$3="1",SUMIF(Data!$A:$A,$A$2,Data!JC:JC),0)</f>
        <v>0</v>
      </c>
      <c r="F50" s="21" t="str">
        <f t="shared" si="3"/>
        <v/>
      </c>
    </row>
    <row r="51" spans="1:6" x14ac:dyDescent="0.2">
      <c r="A51" s="19">
        <v>16</v>
      </c>
      <c r="B51" s="143" t="s">
        <v>14</v>
      </c>
      <c r="C51" s="144"/>
      <c r="D51" s="14">
        <f>IF(F3="1",SUMIF(Data!A:A,'44'!$A$2,Data!DJ:DJ),0)</f>
        <v>39002</v>
      </c>
      <c r="E51" s="17">
        <f>IF($F$3="1",SUMIF(Data!$A:$A,$A$2,Data!JD:JD),0)</f>
        <v>31975</v>
      </c>
      <c r="F51" s="21">
        <f t="shared" si="3"/>
        <v>0.82</v>
      </c>
    </row>
    <row r="52" spans="1:6" x14ac:dyDescent="0.2">
      <c r="A52" s="19">
        <v>17</v>
      </c>
      <c r="B52" s="143" t="s">
        <v>15</v>
      </c>
      <c r="C52" s="144"/>
      <c r="D52" s="14">
        <f>IF(F3="1",SUMIF(Data!A:A,'44'!$A$2,Data!DK:DK),0)</f>
        <v>0</v>
      </c>
      <c r="E52" s="17">
        <f>IF($F$3="1",SUMIF(Data!$A:$A,$A$2,Data!JE:JE),0)</f>
        <v>0</v>
      </c>
      <c r="F52" s="21" t="str">
        <f t="shared" si="3"/>
        <v/>
      </c>
    </row>
    <row r="53" spans="1:6" x14ac:dyDescent="0.2">
      <c r="A53" s="19">
        <v>18</v>
      </c>
      <c r="B53" s="143" t="s">
        <v>16</v>
      </c>
      <c r="C53" s="144"/>
      <c r="D53" s="14">
        <f>IF(F3="1",SUMIF(Data!A:A,'44'!$A$2,Data!DL:DL),0)</f>
        <v>88153</v>
      </c>
      <c r="E53" s="17">
        <f>IF($F$3="1",SUMIF(Data!$A:$A,$A$2,Data!JF:JF),0)</f>
        <v>10250</v>
      </c>
      <c r="F53" s="21">
        <f t="shared" si="3"/>
        <v>0.12</v>
      </c>
    </row>
    <row r="54" spans="1:6" x14ac:dyDescent="0.2">
      <c r="A54" s="19">
        <v>19</v>
      </c>
      <c r="B54" s="143" t="s">
        <v>17</v>
      </c>
      <c r="C54" s="144"/>
      <c r="D54" s="14">
        <f>IF(F3="1",SUMIF(Data!A:A,'44'!$A$2,Data!DM:DM),0)</f>
        <v>202112</v>
      </c>
      <c r="E54" s="17">
        <f>IF($F$3="1",SUMIF(Data!$A:$A,$A$2,Data!JG:JG),0)</f>
        <v>41496</v>
      </c>
      <c r="F54" s="21">
        <f t="shared" si="3"/>
        <v>0.21</v>
      </c>
    </row>
    <row r="55" spans="1:6" x14ac:dyDescent="0.2">
      <c r="A55" s="19">
        <v>20</v>
      </c>
      <c r="B55" s="143" t="s">
        <v>18</v>
      </c>
      <c r="C55" s="144"/>
      <c r="D55" s="14">
        <f>IF(F3="1",SUMIF(Data!A:A,'44'!$A$2,Data!DN:DN),0)</f>
        <v>65408</v>
      </c>
      <c r="E55" s="17">
        <f>IF($F$3="1",SUMIF(Data!$A:$A,$A$2,Data!JH:JH),0)</f>
        <v>17445</v>
      </c>
      <c r="F55" s="21">
        <f t="shared" si="3"/>
        <v>0.27</v>
      </c>
    </row>
    <row r="56" spans="1:6" ht="14.25" customHeight="1" x14ac:dyDescent="0.2">
      <c r="A56" s="19">
        <v>21</v>
      </c>
      <c r="B56" s="143" t="s">
        <v>461</v>
      </c>
      <c r="C56" s="144"/>
      <c r="D56" s="14">
        <f>IF(F3="1",SUMIF(Data!A:A,'44'!$A$2,Data!DO:DO),0)</f>
        <v>0</v>
      </c>
      <c r="E56" s="17">
        <f>IF($F$3="1",SUMIF(Data!$A:$A,$A$2,Data!JI:JI),0)</f>
        <v>0</v>
      </c>
      <c r="F56" s="21" t="str">
        <f t="shared" si="3"/>
        <v/>
      </c>
    </row>
    <row r="57" spans="1:6" x14ac:dyDescent="0.2">
      <c r="A57" s="19">
        <v>22</v>
      </c>
      <c r="B57" s="143" t="s">
        <v>19</v>
      </c>
      <c r="C57" s="144"/>
      <c r="D57" s="14">
        <f>IF(F3="1",SUMIF(Data!A:A,'44'!$A$2,Data!DP:DP),0)</f>
        <v>0</v>
      </c>
      <c r="E57" s="17">
        <f>IF($F$3="1",SUMIF(Data!$A:$A,$A$2,Data!JJ:JJ),0)</f>
        <v>0</v>
      </c>
      <c r="F57" s="21" t="str">
        <f t="shared" si="3"/>
        <v/>
      </c>
    </row>
    <row r="58" spans="1:6" x14ac:dyDescent="0.2">
      <c r="A58" s="19">
        <v>23</v>
      </c>
      <c r="B58" s="143" t="s">
        <v>20</v>
      </c>
      <c r="C58" s="144"/>
      <c r="D58" s="14">
        <f>IF(F3="1",SUMIF(Data!A:A,'44'!$A$2,Data!DQ:DQ),0)</f>
        <v>98624</v>
      </c>
      <c r="E58" s="17">
        <f>IF($F$3="1",SUMIF(Data!$A:$A,$A$2,Data!JK:JK),0)</f>
        <v>27595</v>
      </c>
      <c r="F58" s="21">
        <f t="shared" si="3"/>
        <v>0.28000000000000003</v>
      </c>
    </row>
    <row r="59" spans="1:6" x14ac:dyDescent="0.2">
      <c r="A59" s="19">
        <v>24</v>
      </c>
      <c r="B59" s="143" t="s">
        <v>21</v>
      </c>
      <c r="C59" s="144"/>
      <c r="D59" s="14">
        <f>IF(F3="1",SUMIF(Data!A:A,'44'!$A$2,Data!DR:DR),0)</f>
        <v>71568</v>
      </c>
      <c r="E59" s="17">
        <f>IF($F$3="1",SUMIF(Data!$A:$A,$A$2,Data!JL:JL),0)</f>
        <v>13650</v>
      </c>
      <c r="F59" s="21">
        <f t="shared" si="3"/>
        <v>0.19</v>
      </c>
    </row>
    <row r="60" spans="1:6" x14ac:dyDescent="0.2">
      <c r="A60" s="19">
        <v>25</v>
      </c>
      <c r="B60" s="143" t="s">
        <v>22</v>
      </c>
      <c r="C60" s="144"/>
      <c r="D60" s="14">
        <f>IF(F3="1",SUMIF(Data!A:A,'44'!$A$2,Data!DS:DS),0)</f>
        <v>270880</v>
      </c>
      <c r="E60" s="17">
        <f>IF($F$3="1",SUMIF(Data!$A:$A,$A$2,Data!JM:JM),0)</f>
        <v>51902</v>
      </c>
      <c r="F60" s="21">
        <f t="shared" si="3"/>
        <v>0.19</v>
      </c>
    </row>
    <row r="61" spans="1:6" x14ac:dyDescent="0.2">
      <c r="A61" s="19">
        <v>26</v>
      </c>
      <c r="B61" s="143" t="s">
        <v>23</v>
      </c>
      <c r="C61" s="144"/>
      <c r="D61" s="14">
        <f>IF(F3="1",SUMIF(Data!A:A,'44'!$A$2,Data!DT:DT),0)</f>
        <v>102057</v>
      </c>
      <c r="E61" s="17">
        <f>IF($F$3="1",SUMIF(Data!$A:$A,$A$2,Data!JN:JN),0)</f>
        <v>51585</v>
      </c>
      <c r="F61" s="21">
        <f t="shared" si="3"/>
        <v>0.51</v>
      </c>
    </row>
    <row r="62" spans="1:6" x14ac:dyDescent="0.2">
      <c r="A62" s="19">
        <v>28</v>
      </c>
      <c r="B62" s="143" t="s">
        <v>24</v>
      </c>
      <c r="C62" s="144"/>
      <c r="D62" s="14">
        <f>IF(F3="1",SUMIF(Data!A:A,'44'!$A$2,Data!DV:DV),0)</f>
        <v>0</v>
      </c>
      <c r="E62" s="17">
        <f>IF($F$3="1",SUMIF(Data!$A:$A,$A$2,Data!JP:JP),0)</f>
        <v>0</v>
      </c>
      <c r="F62" s="21" t="str">
        <f t="shared" si="3"/>
        <v/>
      </c>
    </row>
    <row r="63" spans="1:6" ht="15.75" customHeight="1" thickBot="1" x14ac:dyDescent="0.25">
      <c r="A63" s="22">
        <v>29</v>
      </c>
      <c r="B63" s="147" t="s">
        <v>25</v>
      </c>
      <c r="C63" s="148"/>
      <c r="D63" s="23">
        <f>IF(F3="1",SUMIF(Data!A:A,'44'!$A$2,Data!DW:DW),0)</f>
        <v>0</v>
      </c>
      <c r="E63" s="24">
        <f>IF($F$3="1",SUMIF(Data!$A:$A,$A$2,Data!JQ:JQ),0)</f>
        <v>0</v>
      </c>
      <c r="F63" s="25" t="str">
        <f t="shared" si="3"/>
        <v/>
      </c>
    </row>
    <row r="64" spans="1:6" x14ac:dyDescent="0.2">
      <c r="B64" s="30" t="s">
        <v>35</v>
      </c>
      <c r="C64" s="30"/>
      <c r="D64" s="59">
        <f>SUM(D36:D63)</f>
        <v>2465528</v>
      </c>
      <c r="E64" s="31">
        <f>SUM(E36:E63)</f>
        <v>887310</v>
      </c>
      <c r="F64" s="32">
        <f t="shared" si="3"/>
        <v>0.36</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63838</v>
      </c>
      <c r="E67" s="15">
        <f>IF(F3="1",SUMIF(Data!A:A,'44'!$A$2,Data!DY:DY),0)</f>
        <v>217885</v>
      </c>
      <c r="F67" s="20">
        <f t="shared" ref="F67:F95" si="4">IF(OR(D67=0,E67=0),"",ROUND(E67/D67,2))</f>
        <v>3.41</v>
      </c>
    </row>
    <row r="68" spans="1:6" x14ac:dyDescent="0.2">
      <c r="A68" s="19">
        <v>2</v>
      </c>
      <c r="B68" s="143" t="s">
        <v>1</v>
      </c>
      <c r="C68" s="144"/>
      <c r="D68" s="14">
        <f t="shared" ref="D68:D94" si="5">D37</f>
        <v>188208</v>
      </c>
      <c r="E68" s="17">
        <f>IF(F3="1",SUMIF(Data!A:A,'44'!$A$2,Data!DZ:DZ),0)</f>
        <v>324358</v>
      </c>
      <c r="F68" s="21">
        <f t="shared" si="4"/>
        <v>1.72</v>
      </c>
    </row>
    <row r="69" spans="1:6" ht="14.25" customHeight="1" x14ac:dyDescent="0.2">
      <c r="A69" s="19">
        <v>3</v>
      </c>
      <c r="B69" s="143" t="s">
        <v>2</v>
      </c>
      <c r="C69" s="144"/>
      <c r="D69" s="14">
        <f t="shared" si="5"/>
        <v>216816</v>
      </c>
      <c r="E69" s="17">
        <f>IF(F3="1",SUMIF(Data!A:A,'44'!$A$2,Data!EA:EA),0)</f>
        <v>566911</v>
      </c>
      <c r="F69" s="21">
        <f t="shared" si="4"/>
        <v>2.61</v>
      </c>
    </row>
    <row r="70" spans="1:6" ht="14.25" customHeight="1" x14ac:dyDescent="0.2">
      <c r="A70" s="19">
        <v>4</v>
      </c>
      <c r="B70" s="143" t="s">
        <v>3</v>
      </c>
      <c r="C70" s="144"/>
      <c r="D70" s="14">
        <f t="shared" si="5"/>
        <v>107368</v>
      </c>
      <c r="E70" s="17">
        <f>IF(F3="1",SUMIF(Data!A:A,'44'!$A$2,Data!EB:EB),0)</f>
        <v>333787</v>
      </c>
      <c r="F70" s="21">
        <f t="shared" si="4"/>
        <v>3.11</v>
      </c>
    </row>
    <row r="71" spans="1:6" x14ac:dyDescent="0.2">
      <c r="A71" s="19">
        <v>5</v>
      </c>
      <c r="B71" s="143" t="s">
        <v>4</v>
      </c>
      <c r="C71" s="144"/>
      <c r="D71" s="14">
        <f t="shared" si="5"/>
        <v>0</v>
      </c>
      <c r="E71" s="17">
        <f>IF(F3="1",SUMIF(Data!A:A,'44'!$A$2,Data!EC:EC),0)</f>
        <v>0</v>
      </c>
      <c r="F71" s="21" t="str">
        <f t="shared" si="4"/>
        <v/>
      </c>
    </row>
    <row r="72" spans="1:6" x14ac:dyDescent="0.2">
      <c r="A72" s="19">
        <v>6</v>
      </c>
      <c r="B72" s="143" t="s">
        <v>5</v>
      </c>
      <c r="C72" s="144"/>
      <c r="D72" s="14">
        <f t="shared" si="5"/>
        <v>10032</v>
      </c>
      <c r="E72" s="17">
        <f>IF(F3="1",SUMIF(Data!A:A,'44'!$A$2,Data!ED:ED),0)</f>
        <v>167483</v>
      </c>
      <c r="F72" s="21">
        <f t="shared" si="4"/>
        <v>16.690000000000001</v>
      </c>
    </row>
    <row r="73" spans="1:6" x14ac:dyDescent="0.2">
      <c r="A73" s="19">
        <v>7</v>
      </c>
      <c r="B73" s="143" t="s">
        <v>6</v>
      </c>
      <c r="C73" s="144"/>
      <c r="D73" s="14">
        <f t="shared" si="5"/>
        <v>311510</v>
      </c>
      <c r="E73" s="17">
        <f>IF(F3="1",SUMIF(Data!A:A,'44'!$A$2,Data!EE:EE),0)</f>
        <v>454637</v>
      </c>
      <c r="F73" s="21">
        <f t="shared" si="4"/>
        <v>1.46</v>
      </c>
    </row>
    <row r="74" spans="1:6" x14ac:dyDescent="0.2">
      <c r="A74" s="19">
        <v>8</v>
      </c>
      <c r="B74" s="143" t="s">
        <v>7</v>
      </c>
      <c r="C74" s="144"/>
      <c r="D74" s="14">
        <f t="shared" si="5"/>
        <v>14400</v>
      </c>
      <c r="E74" s="17">
        <f>IF(F3="1",SUMIF(Data!A:A,'44'!$A$2,Data!EF:EF),0)</f>
        <v>49243</v>
      </c>
      <c r="F74" s="21">
        <f t="shared" si="4"/>
        <v>3.42</v>
      </c>
    </row>
    <row r="75" spans="1:6" x14ac:dyDescent="0.2">
      <c r="A75" s="19">
        <v>9</v>
      </c>
      <c r="B75" s="143" t="s">
        <v>8</v>
      </c>
      <c r="C75" s="144"/>
      <c r="D75" s="14">
        <f t="shared" si="5"/>
        <v>147353</v>
      </c>
      <c r="E75" s="17">
        <f>IF(F3="1",SUMIF(Data!A:A,'44'!$A$2,Data!EG:EG),0)</f>
        <v>231607</v>
      </c>
      <c r="F75" s="21">
        <f t="shared" si="4"/>
        <v>1.57</v>
      </c>
    </row>
    <row r="76" spans="1:6" x14ac:dyDescent="0.2">
      <c r="A76" s="19">
        <v>10</v>
      </c>
      <c r="B76" s="143" t="s">
        <v>9</v>
      </c>
      <c r="C76" s="144"/>
      <c r="D76" s="14">
        <f t="shared" si="5"/>
        <v>0</v>
      </c>
      <c r="E76" s="17">
        <f>IF(F3="1",SUMIF(Data!A:A,'44'!$A$2,Data!EH:EH),0)</f>
        <v>0</v>
      </c>
      <c r="F76" s="21" t="str">
        <f t="shared" si="4"/>
        <v/>
      </c>
    </row>
    <row r="77" spans="1:6" x14ac:dyDescent="0.2">
      <c r="A77" s="19">
        <v>11</v>
      </c>
      <c r="B77" s="143" t="s">
        <v>10</v>
      </c>
      <c r="C77" s="144"/>
      <c r="D77" s="14">
        <f t="shared" si="5"/>
        <v>70560</v>
      </c>
      <c r="E77" s="17">
        <f>IF(F3="1",SUMIF(Data!A:A,'44'!$A$2,Data!EI:EI),0)</f>
        <v>99660</v>
      </c>
      <c r="F77" s="21">
        <f t="shared" si="4"/>
        <v>1.41</v>
      </c>
    </row>
    <row r="78" spans="1:6" ht="14.25" customHeight="1" x14ac:dyDescent="0.2">
      <c r="A78" s="19">
        <v>12</v>
      </c>
      <c r="B78" s="143" t="s">
        <v>11</v>
      </c>
      <c r="C78" s="144"/>
      <c r="D78" s="14">
        <f t="shared" si="5"/>
        <v>249872</v>
      </c>
      <c r="E78" s="17">
        <f>IF(F3="1",SUMIF(Data!A:A,'44'!$A$2,Data!EJ:EJ),0)</f>
        <v>696050</v>
      </c>
      <c r="F78" s="21">
        <f t="shared" si="4"/>
        <v>2.79</v>
      </c>
    </row>
    <row r="79" spans="1:6" x14ac:dyDescent="0.2">
      <c r="A79" s="19">
        <v>13</v>
      </c>
      <c r="B79" s="143" t="s">
        <v>12</v>
      </c>
      <c r="C79" s="144"/>
      <c r="D79" s="14">
        <f t="shared" si="5"/>
        <v>17520</v>
      </c>
      <c r="E79" s="17">
        <f>IF(F3="1",SUMIF(Data!A:A,'44'!$A$2,Data!EK:EK),0)</f>
        <v>48986</v>
      </c>
      <c r="F79" s="21">
        <f t="shared" si="4"/>
        <v>2.8</v>
      </c>
    </row>
    <row r="80" spans="1:6" ht="14.25" customHeight="1" x14ac:dyDescent="0.2">
      <c r="A80" s="19">
        <v>14</v>
      </c>
      <c r="B80" s="143" t="s">
        <v>464</v>
      </c>
      <c r="C80" s="144"/>
      <c r="D80" s="14">
        <f t="shared" si="5"/>
        <v>130247</v>
      </c>
      <c r="E80" s="17">
        <f>IF(F3="1",SUMIF(Data!A:A,'44'!$A$2,Data!EL:EL),0)</f>
        <v>513795</v>
      </c>
      <c r="F80" s="21">
        <f t="shared" si="4"/>
        <v>3.94</v>
      </c>
    </row>
    <row r="81" spans="1:6" x14ac:dyDescent="0.2">
      <c r="A81" s="19">
        <v>15</v>
      </c>
      <c r="B81" s="143" t="s">
        <v>13</v>
      </c>
      <c r="C81" s="144"/>
      <c r="D81" s="14">
        <f t="shared" si="5"/>
        <v>0</v>
      </c>
      <c r="E81" s="17">
        <f>IF(F3="1",SUMIF(Data!A:A,'44'!$A$2,Data!EM:EM),0)</f>
        <v>0</v>
      </c>
      <c r="F81" s="21" t="str">
        <f t="shared" si="4"/>
        <v/>
      </c>
    </row>
    <row r="82" spans="1:6" x14ac:dyDescent="0.2">
      <c r="A82" s="19">
        <v>16</v>
      </c>
      <c r="B82" s="143" t="s">
        <v>14</v>
      </c>
      <c r="C82" s="144"/>
      <c r="D82" s="14">
        <f t="shared" si="5"/>
        <v>39002</v>
      </c>
      <c r="E82" s="17">
        <f>IF(F3="1",SUMIF(Data!A:A,'44'!$A$2,Data!EN:EN),0)</f>
        <v>141516</v>
      </c>
      <c r="F82" s="21">
        <f t="shared" si="4"/>
        <v>3.63</v>
      </c>
    </row>
    <row r="83" spans="1:6" x14ac:dyDescent="0.2">
      <c r="A83" s="19">
        <v>17</v>
      </c>
      <c r="B83" s="143" t="s">
        <v>15</v>
      </c>
      <c r="C83" s="144"/>
      <c r="D83" s="14">
        <f t="shared" si="5"/>
        <v>0</v>
      </c>
      <c r="E83" s="17">
        <f>IF(F3="1",SUMIF(Data!A:A,'44'!$A$2,Data!EO:EO),0)</f>
        <v>0</v>
      </c>
      <c r="F83" s="21" t="str">
        <f t="shared" si="4"/>
        <v/>
      </c>
    </row>
    <row r="84" spans="1:6" x14ac:dyDescent="0.2">
      <c r="A84" s="19">
        <v>18</v>
      </c>
      <c r="B84" s="143" t="s">
        <v>16</v>
      </c>
      <c r="C84" s="144"/>
      <c r="D84" s="14">
        <f t="shared" si="5"/>
        <v>88153</v>
      </c>
      <c r="E84" s="17">
        <f>IF(F3="1",SUMIF(Data!A:A,'44'!$A$2,Data!EP:EP),0)</f>
        <v>174754</v>
      </c>
      <c r="F84" s="21">
        <f t="shared" si="4"/>
        <v>1.98</v>
      </c>
    </row>
    <row r="85" spans="1:6" x14ac:dyDescent="0.2">
      <c r="A85" s="19">
        <v>19</v>
      </c>
      <c r="B85" s="143" t="s">
        <v>17</v>
      </c>
      <c r="C85" s="144"/>
      <c r="D85" s="14">
        <f t="shared" si="5"/>
        <v>202112</v>
      </c>
      <c r="E85" s="17">
        <f>IF(F3="1",SUMIF(Data!A:A,'44'!$A$2,Data!EQ:EQ),0)</f>
        <v>506131</v>
      </c>
      <c r="F85" s="21">
        <f t="shared" si="4"/>
        <v>2.5</v>
      </c>
    </row>
    <row r="86" spans="1:6" x14ac:dyDescent="0.2">
      <c r="A86" s="19">
        <v>20</v>
      </c>
      <c r="B86" s="143" t="s">
        <v>18</v>
      </c>
      <c r="C86" s="144"/>
      <c r="D86" s="14">
        <f t="shared" si="5"/>
        <v>65408</v>
      </c>
      <c r="E86" s="17">
        <f>IF(F3="1",SUMIF(Data!A:A,'44'!$A$2,Data!ER:ER),0)</f>
        <v>146308</v>
      </c>
      <c r="F86" s="21">
        <f t="shared" si="4"/>
        <v>2.2400000000000002</v>
      </c>
    </row>
    <row r="87" spans="1:6" ht="14.25" customHeight="1" x14ac:dyDescent="0.2">
      <c r="A87" s="19">
        <v>21</v>
      </c>
      <c r="B87" s="143" t="s">
        <v>461</v>
      </c>
      <c r="C87" s="144"/>
      <c r="D87" s="14">
        <f t="shared" si="5"/>
        <v>0</v>
      </c>
      <c r="E87" s="17">
        <f>IF(F3="1",SUMIF(Data!A:A,'44'!$A$2,Data!ES:ES),0)</f>
        <v>0</v>
      </c>
      <c r="F87" s="21" t="str">
        <f t="shared" si="4"/>
        <v/>
      </c>
    </row>
    <row r="88" spans="1:6" x14ac:dyDescent="0.2">
      <c r="A88" s="19">
        <v>22</v>
      </c>
      <c r="B88" s="143" t="s">
        <v>19</v>
      </c>
      <c r="C88" s="144"/>
      <c r="D88" s="14">
        <f t="shared" si="5"/>
        <v>0</v>
      </c>
      <c r="E88" s="17">
        <f>IF(F3="1",SUMIF(Data!A:A,'44'!$A$2,Data!ET:ET),0)</f>
        <v>0</v>
      </c>
      <c r="F88" s="21" t="str">
        <f t="shared" si="4"/>
        <v/>
      </c>
    </row>
    <row r="89" spans="1:6" x14ac:dyDescent="0.2">
      <c r="A89" s="19">
        <v>23</v>
      </c>
      <c r="B89" s="143" t="s">
        <v>20</v>
      </c>
      <c r="C89" s="144"/>
      <c r="D89" s="14">
        <f t="shared" si="5"/>
        <v>98624</v>
      </c>
      <c r="E89" s="17">
        <f>IF(F3="1",SUMIF(Data!A:A,'44'!$A$2,Data!EU:EU),0)</f>
        <v>274185</v>
      </c>
      <c r="F89" s="21">
        <f t="shared" si="4"/>
        <v>2.78</v>
      </c>
    </row>
    <row r="90" spans="1:6" x14ac:dyDescent="0.2">
      <c r="A90" s="19">
        <v>24</v>
      </c>
      <c r="B90" s="143" t="s">
        <v>21</v>
      </c>
      <c r="C90" s="144"/>
      <c r="D90" s="14">
        <f t="shared" si="5"/>
        <v>71568</v>
      </c>
      <c r="E90" s="17">
        <f>IF(F3="1",SUMIF(Data!A:A,'44'!$A$2,Data!EV:EV),0)</f>
        <v>137230</v>
      </c>
      <c r="F90" s="21">
        <f t="shared" si="4"/>
        <v>1.92</v>
      </c>
    </row>
    <row r="91" spans="1:6" x14ac:dyDescent="0.2">
      <c r="A91" s="19">
        <v>25</v>
      </c>
      <c r="B91" s="143" t="s">
        <v>22</v>
      </c>
      <c r="C91" s="144"/>
      <c r="D91" s="14">
        <f t="shared" si="5"/>
        <v>270880</v>
      </c>
      <c r="E91" s="17">
        <f>IF(F3="1",SUMIF(Data!A:A,'44'!$A$2,Data!EW:EW),0)</f>
        <v>664971</v>
      </c>
      <c r="F91" s="21">
        <f t="shared" si="4"/>
        <v>2.4500000000000002</v>
      </c>
    </row>
    <row r="92" spans="1:6" x14ac:dyDescent="0.2">
      <c r="A92" s="19">
        <v>26</v>
      </c>
      <c r="B92" s="143" t="s">
        <v>23</v>
      </c>
      <c r="C92" s="144"/>
      <c r="D92" s="14">
        <f t="shared" si="5"/>
        <v>102057</v>
      </c>
      <c r="E92" s="17">
        <f>IF(F3="1",SUMIF(Data!A:A,'44'!$A$2,Data!EX:EX),0)</f>
        <v>281546</v>
      </c>
      <c r="F92" s="21">
        <f t="shared" si="4"/>
        <v>2.76</v>
      </c>
    </row>
    <row r="93" spans="1:6" x14ac:dyDescent="0.2">
      <c r="A93" s="19">
        <v>28</v>
      </c>
      <c r="B93" s="143" t="s">
        <v>24</v>
      </c>
      <c r="C93" s="144"/>
      <c r="D93" s="14">
        <f t="shared" si="5"/>
        <v>0</v>
      </c>
      <c r="E93" s="17">
        <f>IF(F3="1",SUMIF(Data!A:A,'44'!$A$2,Data!EZ:EZ),0)</f>
        <v>0</v>
      </c>
      <c r="F93" s="21" t="str">
        <f t="shared" si="4"/>
        <v/>
      </c>
    </row>
    <row r="94" spans="1:6" ht="15.75" customHeight="1" thickBot="1" x14ac:dyDescent="0.25">
      <c r="A94" s="22">
        <v>29</v>
      </c>
      <c r="B94" s="147" t="s">
        <v>25</v>
      </c>
      <c r="C94" s="148"/>
      <c r="D94" s="23">
        <f t="shared" si="5"/>
        <v>0</v>
      </c>
      <c r="E94" s="24">
        <f>IF(F3="1",SUMIF(Data!A:A,'44'!$A$2,Data!FA:FA),0)</f>
        <v>0</v>
      </c>
      <c r="F94" s="25" t="str">
        <f t="shared" si="4"/>
        <v/>
      </c>
    </row>
    <row r="95" spans="1:6" x14ac:dyDescent="0.2">
      <c r="B95" s="30" t="s">
        <v>35</v>
      </c>
      <c r="C95" s="30"/>
      <c r="D95" s="59">
        <f>SUM(D67:D94)</f>
        <v>2465528</v>
      </c>
      <c r="E95" s="31">
        <f>SUM(E67:E94)</f>
        <v>6031043</v>
      </c>
      <c r="F95" s="32">
        <f t="shared" si="4"/>
        <v>2.4500000000000002</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IF(F3="1",SUMIF(Data!A:A,'44'!$A$2,Data!AH:AH),0)</f>
        <v>1482009</v>
      </c>
      <c r="F98" s="20">
        <f>IF(OR(E98=0,E98=0),"",ROUND(E98/$D$105,2))</f>
        <v>0.6</v>
      </c>
    </row>
    <row r="99" spans="2:6" x14ac:dyDescent="0.2">
      <c r="B99" s="153" t="s">
        <v>31</v>
      </c>
      <c r="C99" s="154"/>
      <c r="D99" s="36"/>
      <c r="E99" s="17">
        <f>IF(F3="1",SUMIF(Data!A:A,'44'!$A$2,Data!AI:AI),0)</f>
        <v>1091329</v>
      </c>
      <c r="F99" s="21">
        <f t="shared" ref="F99:F104" si="6">IF(OR(E99=0,E99=0),"",ROUND(E99/$D$105,2))</f>
        <v>0.44</v>
      </c>
    </row>
    <row r="100" spans="2:6" x14ac:dyDescent="0.2">
      <c r="B100" s="153" t="s">
        <v>1078</v>
      </c>
      <c r="C100" s="154"/>
      <c r="D100" s="36"/>
      <c r="E100" s="17">
        <f>IF(F3="1",SUMIF(Data!A:A,'44'!$A$2,Data!AJ:AJ),0)</f>
        <v>667226</v>
      </c>
      <c r="F100" s="21">
        <f t="shared" si="6"/>
        <v>0.27</v>
      </c>
    </row>
    <row r="101" spans="2:6" x14ac:dyDescent="0.2">
      <c r="B101" s="153" t="s">
        <v>1079</v>
      </c>
      <c r="C101" s="154"/>
      <c r="D101" s="36"/>
      <c r="E101" s="17">
        <f>IF(F3="1",SUMIF(Data!A:A,'44'!$A$2,Data!AK:AK),0)</f>
        <v>569560</v>
      </c>
      <c r="F101" s="21">
        <f t="shared" si="6"/>
        <v>0.23</v>
      </c>
    </row>
    <row r="102" spans="2:6" x14ac:dyDescent="0.2">
      <c r="B102" s="153" t="s">
        <v>1080</v>
      </c>
      <c r="C102" s="154"/>
      <c r="D102" s="36"/>
      <c r="E102" s="17">
        <f>IF(F3="1",SUMIF(Data!A:A,'44'!$A$2,Data!AL:AL),0)</f>
        <v>229048</v>
      </c>
      <c r="F102" s="21">
        <f t="shared" si="6"/>
        <v>0.09</v>
      </c>
    </row>
    <row r="103" spans="2:6" x14ac:dyDescent="0.2">
      <c r="B103" s="155" t="s">
        <v>34</v>
      </c>
      <c r="C103" s="156"/>
      <c r="D103" s="36"/>
      <c r="E103" s="17">
        <f>IF(F3="1",SUMIF(Data!A:A,'44'!$A$2,Data!AM:AM),0)</f>
        <v>0</v>
      </c>
      <c r="F103" s="21" t="str">
        <f t="shared" si="6"/>
        <v/>
      </c>
    </row>
    <row r="104" spans="2:6" ht="15.75" customHeight="1" thickBot="1" x14ac:dyDescent="0.25">
      <c r="B104" s="149" t="s">
        <v>29</v>
      </c>
      <c r="C104" s="150"/>
      <c r="D104" s="37"/>
      <c r="E104" s="24">
        <f>IF(F3="1",SUMIF(Data!A:A,'44'!$A$2,Data!Q:Q),0)</f>
        <v>1381068</v>
      </c>
      <c r="F104" s="25">
        <f t="shared" si="6"/>
        <v>0.56000000000000005</v>
      </c>
    </row>
    <row r="105" spans="2:6" x14ac:dyDescent="0.2">
      <c r="B105" s="30" t="s">
        <v>35</v>
      </c>
      <c r="C105" s="30"/>
      <c r="D105" s="34">
        <f>D95</f>
        <v>2465528</v>
      </c>
      <c r="E105" s="31">
        <f>SUM(E98:E104)</f>
        <v>5420240</v>
      </c>
      <c r="F105" s="32">
        <f>IF($D$105=0,"",ROUND(E105/$D$105,2))</f>
        <v>2.2000000000000002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6031043</v>
      </c>
      <c r="D109" s="15">
        <f>IF(F3="1",SUMIF(Data!$A:$A,$A$2,Data!HJ:HJ),0)</f>
        <v>0</v>
      </c>
      <c r="E109" s="15">
        <f>IF(F3="1",SUMIF(Data!$A:$A,$A$2,Data!IN:IN),0)</f>
        <v>0</v>
      </c>
      <c r="F109" s="47">
        <f>SUM(C109:E109)</f>
        <v>6031043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229048</v>
      </c>
      <c r="F116" s="48">
        <f t="shared" si="7"/>
        <v>229048</v>
      </c>
    </row>
    <row r="117" spans="1:6" ht="15" thickBot="1" x14ac:dyDescent="0.25">
      <c r="B117" s="43" t="s">
        <v>933</v>
      </c>
      <c r="C117" s="52"/>
      <c r="D117" s="52">
        <f>IF(F3="1",SUMIF(Data!A:A,$A$2,Data!Q:Q),0)</f>
        <v>1381068</v>
      </c>
      <c r="E117" s="52"/>
      <c r="F117" s="49">
        <f>SUM(C117:E117)</f>
        <v>1381068</v>
      </c>
    </row>
    <row r="118" spans="1:6" x14ac:dyDescent="0.2">
      <c r="B118" s="13" t="s">
        <v>35</v>
      </c>
      <c r="C118" s="4">
        <f>SUM(C109:C116)</f>
        <v>6031043</v>
      </c>
      <c r="D118" s="4">
        <f>SUM(D109:D116)</f>
        <v>0</v>
      </c>
      <c r="E118" s="4">
        <f>SUM(E109:E116)</f>
        <v>229048</v>
      </c>
      <c r="F118" s="4">
        <f>SUM(F109:F116)</f>
        <v>6260091</v>
      </c>
    </row>
    <row r="119" spans="1:6" ht="15" thickBot="1" x14ac:dyDescent="0.25"/>
    <row r="120" spans="1:6" ht="15" thickBot="1" x14ac:dyDescent="0.25">
      <c r="B120" s="55" t="s">
        <v>934</v>
      </c>
      <c r="C120" s="53"/>
      <c r="D120" s="53"/>
      <c r="E120" s="53">
        <f>IF(F3="1",SUMIF(Data!A:A,'44'!$A$2,Data!AM:AM),0)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411</v>
      </c>
      <c r="B2" s="58" t="str">
        <f>VLOOKUP(A2,Data!A:G,7,0)</f>
        <v>Tyler Junior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15856</v>
      </c>
      <c r="E5" s="15">
        <f>E36+E67+IFERROR($E$105/$D$105*D5,0)</f>
        <v>129035.29622328162</v>
      </c>
      <c r="F5" s="20">
        <f>IF(OR(D5=0,E5=0),"",ROUND(E5/D5,2))</f>
        <v>8.14</v>
      </c>
    </row>
    <row r="6" spans="1:6" x14ac:dyDescent="0.2">
      <c r="A6" s="19">
        <v>2</v>
      </c>
      <c r="B6" s="143" t="s">
        <v>1</v>
      </c>
      <c r="C6" s="144"/>
      <c r="D6" s="14">
        <f t="shared" ref="D6:D32" si="0">D37</f>
        <v>48640</v>
      </c>
      <c r="E6" s="17">
        <f t="shared" ref="E6:E32" si="1">E37+E68+IFERROR($E$105/$D$105*D6,0)</f>
        <v>483940.88548816968</v>
      </c>
      <c r="F6" s="21">
        <f t="shared" ref="F6:F33" si="2">IF(OR(D6=0,E6=0),"",ROUND(E6/D6,2))</f>
        <v>9.9499999999999993</v>
      </c>
    </row>
    <row r="7" spans="1:6" ht="14.25" customHeight="1" x14ac:dyDescent="0.2">
      <c r="A7" s="19">
        <v>3</v>
      </c>
      <c r="B7" s="143" t="s">
        <v>2</v>
      </c>
      <c r="C7" s="144"/>
      <c r="D7" s="14">
        <f t="shared" si="0"/>
        <v>503936</v>
      </c>
      <c r="E7" s="17">
        <f t="shared" si="1"/>
        <v>2733790.0714919055</v>
      </c>
      <c r="F7" s="21">
        <f t="shared" si="2"/>
        <v>5.42</v>
      </c>
    </row>
    <row r="8" spans="1:6" ht="14.25" customHeight="1" x14ac:dyDescent="0.2">
      <c r="A8" s="19">
        <v>4</v>
      </c>
      <c r="B8" s="143" t="s">
        <v>3</v>
      </c>
      <c r="C8" s="144"/>
      <c r="D8" s="14">
        <f t="shared" si="0"/>
        <v>281696</v>
      </c>
      <c r="E8" s="17">
        <f t="shared" si="1"/>
        <v>1356950.746021288</v>
      </c>
      <c r="F8" s="21">
        <f t="shared" si="2"/>
        <v>4.82</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13632</v>
      </c>
      <c r="E10" s="17">
        <f t="shared" si="1"/>
        <v>110196.49685392124</v>
      </c>
      <c r="F10" s="21">
        <f t="shared" si="2"/>
        <v>8.08</v>
      </c>
    </row>
    <row r="11" spans="1:6" x14ac:dyDescent="0.2">
      <c r="A11" s="19">
        <v>7</v>
      </c>
      <c r="B11" s="143" t="s">
        <v>6</v>
      </c>
      <c r="C11" s="144"/>
      <c r="D11" s="14">
        <f t="shared" si="0"/>
        <v>353696</v>
      </c>
      <c r="E11" s="17">
        <f t="shared" si="1"/>
        <v>1655459.9054610129</v>
      </c>
      <c r="F11" s="21">
        <f t="shared" si="2"/>
        <v>4.68</v>
      </c>
    </row>
    <row r="12" spans="1:6" x14ac:dyDescent="0.2">
      <c r="A12" s="19">
        <v>8</v>
      </c>
      <c r="B12" s="143" t="s">
        <v>7</v>
      </c>
      <c r="C12" s="144"/>
      <c r="D12" s="14">
        <f t="shared" si="0"/>
        <v>28800</v>
      </c>
      <c r="E12" s="17">
        <f t="shared" si="1"/>
        <v>220184.06377588992</v>
      </c>
      <c r="F12" s="21">
        <f t="shared" si="2"/>
        <v>7.65</v>
      </c>
    </row>
    <row r="13" spans="1:6" x14ac:dyDescent="0.2">
      <c r="A13" s="19">
        <v>9</v>
      </c>
      <c r="B13" s="143" t="s">
        <v>8</v>
      </c>
      <c r="C13" s="144"/>
      <c r="D13" s="14">
        <f t="shared" si="0"/>
        <v>176240</v>
      </c>
      <c r="E13" s="17">
        <f t="shared" si="1"/>
        <v>560728.02916190424</v>
      </c>
      <c r="F13" s="21">
        <f t="shared" si="2"/>
        <v>3.18</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71344</v>
      </c>
      <c r="E15" s="17">
        <f t="shared" si="1"/>
        <v>335596.95243149623</v>
      </c>
      <c r="F15" s="21">
        <f t="shared" si="2"/>
        <v>4.7</v>
      </c>
    </row>
    <row r="16" spans="1:6" ht="14.25" customHeight="1" x14ac:dyDescent="0.2">
      <c r="A16" s="19">
        <v>12</v>
      </c>
      <c r="B16" s="143" t="s">
        <v>11</v>
      </c>
      <c r="C16" s="144"/>
      <c r="D16" s="14">
        <f t="shared" si="0"/>
        <v>493792</v>
      </c>
      <c r="E16" s="17">
        <f t="shared" si="1"/>
        <v>2457082.5045841755</v>
      </c>
      <c r="F16" s="21">
        <f t="shared" si="2"/>
        <v>4.9800000000000004</v>
      </c>
    </row>
    <row r="17" spans="1:6" x14ac:dyDescent="0.2">
      <c r="A17" s="19">
        <v>13</v>
      </c>
      <c r="B17" s="143" t="s">
        <v>12</v>
      </c>
      <c r="C17" s="144"/>
      <c r="D17" s="14">
        <f t="shared" si="0"/>
        <v>29168</v>
      </c>
      <c r="E17" s="17">
        <f t="shared" si="1"/>
        <v>175955.57014635965</v>
      </c>
      <c r="F17" s="21">
        <f t="shared" si="2"/>
        <v>6.03</v>
      </c>
    </row>
    <row r="18" spans="1:6" ht="14.25" customHeight="1" x14ac:dyDescent="0.2">
      <c r="A18" s="19">
        <v>14</v>
      </c>
      <c r="B18" s="143" t="s">
        <v>464</v>
      </c>
      <c r="C18" s="144"/>
      <c r="D18" s="14">
        <f t="shared" si="0"/>
        <v>101672</v>
      </c>
      <c r="E18" s="17">
        <f t="shared" si="1"/>
        <v>1020638.2057021626</v>
      </c>
      <c r="F18" s="21">
        <f t="shared" si="2"/>
        <v>10.039999999999999</v>
      </c>
    </row>
    <row r="19" spans="1:6" x14ac:dyDescent="0.2">
      <c r="A19" s="19">
        <v>15</v>
      </c>
      <c r="B19" s="143" t="s">
        <v>13</v>
      </c>
      <c r="C19" s="144"/>
      <c r="D19" s="14">
        <f t="shared" si="0"/>
        <v>31360</v>
      </c>
      <c r="E19" s="17">
        <f t="shared" si="1"/>
        <v>344790.8472226357</v>
      </c>
      <c r="F19" s="21">
        <f t="shared" si="2"/>
        <v>10.99</v>
      </c>
    </row>
    <row r="20" spans="1:6" x14ac:dyDescent="0.2">
      <c r="A20" s="19">
        <v>16</v>
      </c>
      <c r="B20" s="143" t="s">
        <v>14</v>
      </c>
      <c r="C20" s="144"/>
      <c r="D20" s="14">
        <f t="shared" si="0"/>
        <v>217735</v>
      </c>
      <c r="E20" s="17">
        <f t="shared" si="1"/>
        <v>1448398.20264734</v>
      </c>
      <c r="F20" s="21">
        <f t="shared" si="2"/>
        <v>6.65</v>
      </c>
    </row>
    <row r="21" spans="1:6" x14ac:dyDescent="0.2">
      <c r="A21" s="19">
        <v>17</v>
      </c>
      <c r="B21" s="143" t="s">
        <v>15</v>
      </c>
      <c r="C21" s="144"/>
      <c r="D21" s="14">
        <f t="shared" si="0"/>
        <v>45656</v>
      </c>
      <c r="E21" s="17">
        <f t="shared" si="1"/>
        <v>368957.43165805662</v>
      </c>
      <c r="F21" s="21">
        <f t="shared" si="2"/>
        <v>8.08</v>
      </c>
    </row>
    <row r="22" spans="1:6" x14ac:dyDescent="0.2">
      <c r="A22" s="19">
        <v>18</v>
      </c>
      <c r="B22" s="143" t="s">
        <v>16</v>
      </c>
      <c r="C22" s="144"/>
      <c r="D22" s="14">
        <f t="shared" si="0"/>
        <v>171600</v>
      </c>
      <c r="E22" s="17">
        <f t="shared" si="1"/>
        <v>976042.29666467756</v>
      </c>
      <c r="F22" s="21">
        <f t="shared" si="2"/>
        <v>5.69</v>
      </c>
    </row>
    <row r="23" spans="1:6" x14ac:dyDescent="0.2">
      <c r="A23" s="19">
        <v>19</v>
      </c>
      <c r="B23" s="143" t="s">
        <v>17</v>
      </c>
      <c r="C23" s="144"/>
      <c r="D23" s="14">
        <f t="shared" si="0"/>
        <v>427946</v>
      </c>
      <c r="E23" s="17">
        <f t="shared" si="1"/>
        <v>2096895.2261332292</v>
      </c>
      <c r="F23" s="21">
        <f t="shared" si="2"/>
        <v>4.9000000000000004</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17744</v>
      </c>
      <c r="E27" s="17">
        <f t="shared" si="1"/>
        <v>597647.11151525658</v>
      </c>
      <c r="F27" s="21">
        <f t="shared" si="2"/>
        <v>33.68</v>
      </c>
    </row>
    <row r="28" spans="1:6" x14ac:dyDescent="0.2">
      <c r="A28" s="19">
        <v>24</v>
      </c>
      <c r="B28" s="143" t="s">
        <v>21</v>
      </c>
      <c r="C28" s="144"/>
      <c r="D28" s="14">
        <f t="shared" si="0"/>
        <v>69248</v>
      </c>
      <c r="E28" s="17">
        <f t="shared" si="1"/>
        <v>315587.24223447312</v>
      </c>
      <c r="F28" s="21">
        <f t="shared" si="2"/>
        <v>4.5599999999999996</v>
      </c>
    </row>
    <row r="29" spans="1:6" x14ac:dyDescent="0.2">
      <c r="A29" s="19">
        <v>25</v>
      </c>
      <c r="B29" s="143" t="s">
        <v>22</v>
      </c>
      <c r="C29" s="144"/>
      <c r="D29" s="14">
        <f t="shared" si="0"/>
        <v>547040</v>
      </c>
      <c r="E29" s="17">
        <f t="shared" si="1"/>
        <v>2644539.6002764869</v>
      </c>
      <c r="F29" s="21">
        <f t="shared" si="2"/>
        <v>4.83</v>
      </c>
    </row>
    <row r="30" spans="1:6" x14ac:dyDescent="0.2">
      <c r="A30" s="19">
        <v>26</v>
      </c>
      <c r="B30" s="143" t="s">
        <v>23</v>
      </c>
      <c r="C30" s="144"/>
      <c r="D30" s="14">
        <f t="shared" si="0"/>
        <v>215944</v>
      </c>
      <c r="E30" s="17">
        <f t="shared" si="1"/>
        <v>1531229.3143062771</v>
      </c>
      <c r="F30" s="21">
        <f t="shared" si="2"/>
        <v>7.09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3862745</v>
      </c>
      <c r="E33" s="31">
        <f>SUM(E5:E32)</f>
        <v>21563645.999999996</v>
      </c>
      <c r="F33" s="32">
        <f t="shared" si="2"/>
        <v>5.58</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IF(F3="1",SUMIF(Data!A:A,'45'!$A$2,Data!CU:CU),0)</f>
        <v>15856</v>
      </c>
      <c r="E36" s="15">
        <f>IF(F3="1",SUMIF(Data!$A:$A,$A$2,Data!IO:IO),0)</f>
        <v>14095</v>
      </c>
      <c r="F36" s="20">
        <f t="shared" ref="F36:F64" si="3">IF(OR(D36=0,E36=0),"",ROUND(E36/D36,2))</f>
        <v>0.89</v>
      </c>
    </row>
    <row r="37" spans="1:6" x14ac:dyDescent="0.2">
      <c r="A37" s="19">
        <v>2</v>
      </c>
      <c r="B37" s="143" t="s">
        <v>1</v>
      </c>
      <c r="C37" s="144"/>
      <c r="D37" s="14">
        <f>IF(F3="1",SUMIF(Data!A:A,'45'!$A$2,Data!CV:CV),0)</f>
        <v>48640</v>
      </c>
      <c r="E37" s="17">
        <f>IF(F3="1",SUMIF(Data!$A:$A,$A$2,Data!IP:IP),0)</f>
        <v>71139</v>
      </c>
      <c r="F37" s="21">
        <f t="shared" si="3"/>
        <v>1.46</v>
      </c>
    </row>
    <row r="38" spans="1:6" ht="14.25" customHeight="1" x14ac:dyDescent="0.2">
      <c r="A38" s="19">
        <v>3</v>
      </c>
      <c r="B38" s="143" t="s">
        <v>2</v>
      </c>
      <c r="C38" s="144"/>
      <c r="D38" s="14">
        <f>IF(F3="1",SUMIF(Data!A:A,'45'!$A$2,Data!CW:CW),0)</f>
        <v>503936</v>
      </c>
      <c r="E38" s="17">
        <f>IF($F$3="1",SUMIF(Data!$A:$A,$A$2,Data!IQ:IQ),0)</f>
        <v>503240</v>
      </c>
      <c r="F38" s="21">
        <f t="shared" si="3"/>
        <v>1</v>
      </c>
    </row>
    <row r="39" spans="1:6" ht="14.25" customHeight="1" x14ac:dyDescent="0.2">
      <c r="A39" s="19">
        <v>4</v>
      </c>
      <c r="B39" s="143" t="s">
        <v>3</v>
      </c>
      <c r="C39" s="144"/>
      <c r="D39" s="14">
        <f>IF(F3="1",SUMIF(Data!A:A,'45'!$A$2,Data!CX:CX),0)</f>
        <v>281696</v>
      </c>
      <c r="E39" s="17">
        <f>IF($F$3="1",SUMIF(Data!$A:$A,$A$2,Data!IR:IR),0)</f>
        <v>127116</v>
      </c>
      <c r="F39" s="21">
        <f t="shared" si="3"/>
        <v>0.45</v>
      </c>
    </row>
    <row r="40" spans="1:6" x14ac:dyDescent="0.2">
      <c r="A40" s="19">
        <v>5</v>
      </c>
      <c r="B40" s="143" t="s">
        <v>4</v>
      </c>
      <c r="C40" s="144"/>
      <c r="D40" s="14">
        <f>IF(F3="1",SUMIF(Data!A:A,'45'!$A$2,Data!CY:CY),0)</f>
        <v>0</v>
      </c>
      <c r="E40" s="17">
        <f>IF($F$3="1",SUMIF(Data!$A:$A,$A$2,Data!IS:IS),0)</f>
        <v>0</v>
      </c>
      <c r="F40" s="21" t="str">
        <f t="shared" si="3"/>
        <v/>
      </c>
    </row>
    <row r="41" spans="1:6" x14ac:dyDescent="0.2">
      <c r="A41" s="19">
        <v>6</v>
      </c>
      <c r="B41" s="143" t="s">
        <v>5</v>
      </c>
      <c r="C41" s="144"/>
      <c r="D41" s="14">
        <f>IF(F3="1",SUMIF(Data!A:A,'45'!$A$2,Data!CZ:CZ),0)</f>
        <v>13632</v>
      </c>
      <c r="E41" s="17">
        <f>IF($F$3="1",SUMIF(Data!$A:$A,$A$2,Data!IT:IT),0)</f>
        <v>22352</v>
      </c>
      <c r="F41" s="21">
        <f t="shared" si="3"/>
        <v>1.64</v>
      </c>
    </row>
    <row r="42" spans="1:6" x14ac:dyDescent="0.2">
      <c r="A42" s="19">
        <v>7</v>
      </c>
      <c r="B42" s="143" t="s">
        <v>6</v>
      </c>
      <c r="C42" s="144"/>
      <c r="D42" s="14">
        <f>IF(F3="1",SUMIF(Data!A:A,'45'!$A$2,Data!DA:DA),0)</f>
        <v>353696</v>
      </c>
      <c r="E42" s="17">
        <f>IF($F$3="1",SUMIF(Data!$A:$A,$A$2,Data!IU:IU),0)</f>
        <v>157121</v>
      </c>
      <c r="F42" s="21">
        <f t="shared" si="3"/>
        <v>0.44</v>
      </c>
    </row>
    <row r="43" spans="1:6" x14ac:dyDescent="0.2">
      <c r="A43" s="19">
        <v>8</v>
      </c>
      <c r="B43" s="143" t="s">
        <v>7</v>
      </c>
      <c r="C43" s="144"/>
      <c r="D43" s="14">
        <f>IF(F3="1",SUMIF(Data!A:A,'45'!$A$2,Data!DB:DB),0)</f>
        <v>28800</v>
      </c>
      <c r="E43" s="17">
        <f>IF($F$3="1",SUMIF(Data!$A:$A,$A$2,Data!IV:IV),0)</f>
        <v>48849</v>
      </c>
      <c r="F43" s="21">
        <f t="shared" si="3"/>
        <v>1.7</v>
      </c>
    </row>
    <row r="44" spans="1:6" x14ac:dyDescent="0.2">
      <c r="A44" s="19">
        <v>9</v>
      </c>
      <c r="B44" s="143" t="s">
        <v>8</v>
      </c>
      <c r="C44" s="144"/>
      <c r="D44" s="14">
        <f>IF(F3="1",SUMIF(Data!A:A,'45'!$A$2,Data!DC:DC),0)</f>
        <v>176240</v>
      </c>
      <c r="E44" s="17">
        <f>IF($F$3="1",SUMIF(Data!$A:$A,$A$2,Data!IW:IW),0)</f>
        <v>75245</v>
      </c>
      <c r="F44" s="21">
        <f t="shared" si="3"/>
        <v>0.43</v>
      </c>
    </row>
    <row r="45" spans="1:6" x14ac:dyDescent="0.2">
      <c r="A45" s="19">
        <v>10</v>
      </c>
      <c r="B45" s="143" t="s">
        <v>9</v>
      </c>
      <c r="C45" s="144"/>
      <c r="D45" s="14">
        <f>IF(F3="1",SUMIF(Data!A:A,'45'!$A$2,Data!DD:DD),0)</f>
        <v>0</v>
      </c>
      <c r="E45" s="17">
        <f>IF($F$3="1",SUMIF(Data!$A:$A,$A$2,Data!IX:IX),0)</f>
        <v>0</v>
      </c>
      <c r="F45" s="21" t="str">
        <f t="shared" si="3"/>
        <v/>
      </c>
    </row>
    <row r="46" spans="1:6" x14ac:dyDescent="0.2">
      <c r="A46" s="19">
        <v>11</v>
      </c>
      <c r="B46" s="143" t="s">
        <v>10</v>
      </c>
      <c r="C46" s="144"/>
      <c r="D46" s="14">
        <f>IF(F3="1",SUMIF(Data!A:A,'45'!$A$2,Data!DE:DE),0)</f>
        <v>71344</v>
      </c>
      <c r="E46" s="17">
        <f>IF($F$3="1",SUMIF(Data!$A:$A,$A$2,Data!IY:IY),0)</f>
        <v>66729</v>
      </c>
      <c r="F46" s="21">
        <f t="shared" si="3"/>
        <v>0.94</v>
      </c>
    </row>
    <row r="47" spans="1:6" ht="14.25" customHeight="1" x14ac:dyDescent="0.2">
      <c r="A47" s="19">
        <v>12</v>
      </c>
      <c r="B47" s="143" t="s">
        <v>11</v>
      </c>
      <c r="C47" s="144"/>
      <c r="D47" s="14">
        <f>IF(F3="1",SUMIF(Data!A:A,'45'!$A$2,Data!DF:DF),0)</f>
        <v>493792</v>
      </c>
      <c r="E47" s="17">
        <f>IF($F$3="1",SUMIF(Data!$A:$A,$A$2,Data!IZ:IZ),0)</f>
        <v>228171</v>
      </c>
      <c r="F47" s="21">
        <f t="shared" si="3"/>
        <v>0.46</v>
      </c>
    </row>
    <row r="48" spans="1:6" x14ac:dyDescent="0.2">
      <c r="A48" s="19">
        <v>13</v>
      </c>
      <c r="B48" s="143" t="s">
        <v>12</v>
      </c>
      <c r="C48" s="144"/>
      <c r="D48" s="14">
        <f>IF(F3="1",SUMIF(Data!A:A,'45'!$A$2,Data!DG:DG),0)</f>
        <v>29168</v>
      </c>
      <c r="E48" s="17">
        <f>IF($F$3="1",SUMIF(Data!$A:$A,$A$2,Data!JA:JA),0)</f>
        <v>15267</v>
      </c>
      <c r="F48" s="21">
        <f t="shared" si="3"/>
        <v>0.52</v>
      </c>
    </row>
    <row r="49" spans="1:6" ht="14.25" customHeight="1" x14ac:dyDescent="0.2">
      <c r="A49" s="19">
        <v>14</v>
      </c>
      <c r="B49" s="143" t="s">
        <v>464</v>
      </c>
      <c r="C49" s="144"/>
      <c r="D49" s="14">
        <f>IF(F3="1",SUMIF(Data!A:A,'45'!$A$2,Data!DH:DH),0)</f>
        <v>101672</v>
      </c>
      <c r="E49" s="17">
        <f>IF($F$3="1",SUMIF(Data!$A:$A,$A$2,Data!JB:JB),0)</f>
        <v>132375</v>
      </c>
      <c r="F49" s="21">
        <f t="shared" si="3"/>
        <v>1.3</v>
      </c>
    </row>
    <row r="50" spans="1:6" x14ac:dyDescent="0.2">
      <c r="A50" s="19">
        <v>15</v>
      </c>
      <c r="B50" s="143" t="s">
        <v>13</v>
      </c>
      <c r="C50" s="144"/>
      <c r="D50" s="14">
        <f>IF(F3="1",SUMIF(Data!A:A,'45'!$A$2,Data!DI:DI),0)</f>
        <v>31360</v>
      </c>
      <c r="E50" s="17">
        <f>IF($F$3="1",SUMIF(Data!$A:$A,$A$2,Data!JC:JC),0)</f>
        <v>71391</v>
      </c>
      <c r="F50" s="21">
        <f t="shared" si="3"/>
        <v>2.2799999999999998</v>
      </c>
    </row>
    <row r="51" spans="1:6" x14ac:dyDescent="0.2">
      <c r="A51" s="19">
        <v>16</v>
      </c>
      <c r="B51" s="143" t="s">
        <v>14</v>
      </c>
      <c r="C51" s="144"/>
      <c r="D51" s="14">
        <f>IF(F3="1",SUMIF(Data!A:A,'45'!$A$2,Data!DJ:DJ),0)</f>
        <v>217735</v>
      </c>
      <c r="E51" s="17">
        <f>IF($F$3="1",SUMIF(Data!$A:$A,$A$2,Data!JD:JD),0)</f>
        <v>231432</v>
      </c>
      <c r="F51" s="21">
        <f t="shared" si="3"/>
        <v>1.06</v>
      </c>
    </row>
    <row r="52" spans="1:6" x14ac:dyDescent="0.2">
      <c r="A52" s="19">
        <v>17</v>
      </c>
      <c r="B52" s="143" t="s">
        <v>15</v>
      </c>
      <c r="C52" s="144"/>
      <c r="D52" s="14">
        <f>IF(F3="1",SUMIF(Data!A:A,'45'!$A$2,Data!DK:DK),0)</f>
        <v>45656</v>
      </c>
      <c r="E52" s="17">
        <f>IF($F$3="1",SUMIF(Data!$A:$A,$A$2,Data!JE:JE),0)</f>
        <v>45515</v>
      </c>
      <c r="F52" s="21">
        <f t="shared" si="3"/>
        <v>1</v>
      </c>
    </row>
    <row r="53" spans="1:6" x14ac:dyDescent="0.2">
      <c r="A53" s="19">
        <v>18</v>
      </c>
      <c r="B53" s="143" t="s">
        <v>16</v>
      </c>
      <c r="C53" s="144"/>
      <c r="D53" s="14">
        <f>IF(F3="1",SUMIF(Data!A:A,'45'!$A$2,Data!DL:DL),0)</f>
        <v>171600</v>
      </c>
      <c r="E53" s="17">
        <f>IF($F$3="1",SUMIF(Data!$A:$A,$A$2,Data!JF:JF),0)</f>
        <v>100739</v>
      </c>
      <c r="F53" s="21">
        <f t="shared" si="3"/>
        <v>0.59</v>
      </c>
    </row>
    <row r="54" spans="1:6" x14ac:dyDescent="0.2">
      <c r="A54" s="19">
        <v>19</v>
      </c>
      <c r="B54" s="143" t="s">
        <v>17</v>
      </c>
      <c r="C54" s="144"/>
      <c r="D54" s="14">
        <f>IF(F3="1",SUMIF(Data!A:A,'45'!$A$2,Data!DM:DM),0)</f>
        <v>427946</v>
      </c>
      <c r="E54" s="17">
        <f>IF($F$3="1",SUMIF(Data!$A:$A,$A$2,Data!JG:JG),0)</f>
        <v>191264</v>
      </c>
      <c r="F54" s="21">
        <f t="shared" si="3"/>
        <v>0.45</v>
      </c>
    </row>
    <row r="55" spans="1:6" x14ac:dyDescent="0.2">
      <c r="A55" s="19">
        <v>20</v>
      </c>
      <c r="B55" s="143" t="s">
        <v>18</v>
      </c>
      <c r="C55" s="144"/>
      <c r="D55" s="14">
        <f>IF(F3="1",SUMIF(Data!A:A,'45'!$A$2,Data!DN:DN),0)</f>
        <v>0</v>
      </c>
      <c r="E55" s="17">
        <f>IF($F$3="1",SUMIF(Data!$A:$A,$A$2,Data!JH:JH),0)</f>
        <v>0</v>
      </c>
      <c r="F55" s="21" t="str">
        <f t="shared" si="3"/>
        <v/>
      </c>
    </row>
    <row r="56" spans="1:6" ht="14.25" customHeight="1" x14ac:dyDescent="0.2">
      <c r="A56" s="19">
        <v>21</v>
      </c>
      <c r="B56" s="143" t="s">
        <v>461</v>
      </c>
      <c r="C56" s="144"/>
      <c r="D56" s="14">
        <f>IF(F3="1",SUMIF(Data!A:A,'45'!$A$2,Data!DO:DO),0)</f>
        <v>0</v>
      </c>
      <c r="E56" s="17">
        <f>IF($F$3="1",SUMIF(Data!$A:$A,$A$2,Data!JI:JI),0)</f>
        <v>0</v>
      </c>
      <c r="F56" s="21" t="str">
        <f t="shared" si="3"/>
        <v/>
      </c>
    </row>
    <row r="57" spans="1:6" x14ac:dyDescent="0.2">
      <c r="A57" s="19">
        <v>22</v>
      </c>
      <c r="B57" s="143" t="s">
        <v>19</v>
      </c>
      <c r="C57" s="144"/>
      <c r="D57" s="14">
        <f>IF(F3="1",SUMIF(Data!A:A,'45'!$A$2,Data!DP:DP),0)</f>
        <v>0</v>
      </c>
      <c r="E57" s="17">
        <f>IF($F$3="1",SUMIF(Data!$A:$A,$A$2,Data!JJ:JJ),0)</f>
        <v>0</v>
      </c>
      <c r="F57" s="21" t="str">
        <f t="shared" si="3"/>
        <v/>
      </c>
    </row>
    <row r="58" spans="1:6" x14ac:dyDescent="0.2">
      <c r="A58" s="19">
        <v>23</v>
      </c>
      <c r="B58" s="143" t="s">
        <v>20</v>
      </c>
      <c r="C58" s="144"/>
      <c r="D58" s="14">
        <f>IF(F3="1",SUMIF(Data!A:A,'45'!$A$2,Data!DQ:DQ),0)</f>
        <v>17744</v>
      </c>
      <c r="E58" s="17">
        <f>IF($F$3="1",SUMIF(Data!$A:$A,$A$2,Data!JK:JK),0)</f>
        <v>27118</v>
      </c>
      <c r="F58" s="21">
        <f t="shared" si="3"/>
        <v>1.53</v>
      </c>
    </row>
    <row r="59" spans="1:6" x14ac:dyDescent="0.2">
      <c r="A59" s="19">
        <v>24</v>
      </c>
      <c r="B59" s="143" t="s">
        <v>21</v>
      </c>
      <c r="C59" s="144"/>
      <c r="D59" s="14">
        <f>IF(F3="1",SUMIF(Data!A:A,'45'!$A$2,Data!DR:DR),0)</f>
        <v>69248</v>
      </c>
      <c r="E59" s="17">
        <f>IF($F$3="1",SUMIF(Data!$A:$A,$A$2,Data!JL:JL),0)</f>
        <v>34807</v>
      </c>
      <c r="F59" s="21">
        <f t="shared" si="3"/>
        <v>0.5</v>
      </c>
    </row>
    <row r="60" spans="1:6" x14ac:dyDescent="0.2">
      <c r="A60" s="19">
        <v>25</v>
      </c>
      <c r="B60" s="143" t="s">
        <v>22</v>
      </c>
      <c r="C60" s="144"/>
      <c r="D60" s="14">
        <f>IF(F3="1",SUMIF(Data!A:A,'45'!$A$2,Data!DS:DS),0)</f>
        <v>547040</v>
      </c>
      <c r="E60" s="17">
        <f>IF($F$3="1",SUMIF(Data!$A:$A,$A$2,Data!JM:JM),0)</f>
        <v>271251</v>
      </c>
      <c r="F60" s="21">
        <f t="shared" si="3"/>
        <v>0.5</v>
      </c>
    </row>
    <row r="61" spans="1:6" x14ac:dyDescent="0.2">
      <c r="A61" s="19">
        <v>26</v>
      </c>
      <c r="B61" s="143" t="s">
        <v>23</v>
      </c>
      <c r="C61" s="144"/>
      <c r="D61" s="14">
        <f>IF(F3="1",SUMIF(Data!A:A,'45'!$A$2,Data!DT:DT),0)</f>
        <v>215944</v>
      </c>
      <c r="E61" s="17">
        <f>IF($F$3="1",SUMIF(Data!$A:$A,$A$2,Data!JN:JN),0)</f>
        <v>241665</v>
      </c>
      <c r="F61" s="21">
        <f t="shared" si="3"/>
        <v>1.1200000000000001</v>
      </c>
    </row>
    <row r="62" spans="1:6" x14ac:dyDescent="0.2">
      <c r="A62" s="19">
        <v>28</v>
      </c>
      <c r="B62" s="143" t="s">
        <v>24</v>
      </c>
      <c r="C62" s="144"/>
      <c r="D62" s="14">
        <f>IF(F3="1",SUMIF(Data!A:A,'45'!$A$2,Data!DV:DV),0)</f>
        <v>0</v>
      </c>
      <c r="E62" s="17">
        <f>IF($F$3="1",SUMIF(Data!$A:$A,$A$2,Data!JP:JP),0)</f>
        <v>0</v>
      </c>
      <c r="F62" s="21" t="str">
        <f t="shared" si="3"/>
        <v/>
      </c>
    </row>
    <row r="63" spans="1:6" ht="15.75" customHeight="1" thickBot="1" x14ac:dyDescent="0.25">
      <c r="A63" s="22">
        <v>29</v>
      </c>
      <c r="B63" s="147" t="s">
        <v>25</v>
      </c>
      <c r="C63" s="148"/>
      <c r="D63" s="23">
        <f>IF(F3="1",SUMIF(Data!A:A,'45'!$A$2,Data!DW:DW),0)</f>
        <v>0</v>
      </c>
      <c r="E63" s="24">
        <f>IF($F$3="1",SUMIF(Data!$A:$A,$A$2,Data!JQ:JQ),0)</f>
        <v>0</v>
      </c>
      <c r="F63" s="25" t="str">
        <f t="shared" si="3"/>
        <v/>
      </c>
    </row>
    <row r="64" spans="1:6" x14ac:dyDescent="0.2">
      <c r="B64" s="30" t="s">
        <v>35</v>
      </c>
      <c r="C64" s="30"/>
      <c r="D64" s="59">
        <f>SUM(D36:D63)</f>
        <v>3862745</v>
      </c>
      <c r="E64" s="31">
        <f>SUM(E36:E63)</f>
        <v>2676881</v>
      </c>
      <c r="F64" s="32">
        <f t="shared" si="3"/>
        <v>0.69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15856</v>
      </c>
      <c r="E67" s="15">
        <f>IF(F3="1",SUMIF(Data!A:A,'45'!$A$2,Data!DY:DY),0)</f>
        <v>77519</v>
      </c>
      <c r="F67" s="20">
        <f t="shared" ref="F67:F95" si="4">IF(OR(D67=0,E67=0),"",ROUND(E67/D67,2))</f>
        <v>4.8899999999999997</v>
      </c>
    </row>
    <row r="68" spans="1:6" x14ac:dyDescent="0.2">
      <c r="A68" s="19">
        <v>2</v>
      </c>
      <c r="B68" s="143" t="s">
        <v>1</v>
      </c>
      <c r="C68" s="144"/>
      <c r="D68" s="14">
        <f t="shared" ref="D68:D94" si="5">D37</f>
        <v>48640</v>
      </c>
      <c r="E68" s="17">
        <f>IF(F3="1",SUMIF(Data!A:A,'45'!$A$2,Data!DZ:DZ),0)</f>
        <v>298008</v>
      </c>
      <c r="F68" s="21">
        <f t="shared" si="4"/>
        <v>6.13</v>
      </c>
    </row>
    <row r="69" spans="1:6" ht="14.25" customHeight="1" x14ac:dyDescent="0.2">
      <c r="A69" s="19">
        <v>3</v>
      </c>
      <c r="B69" s="143" t="s">
        <v>2</v>
      </c>
      <c r="C69" s="144"/>
      <c r="D69" s="14">
        <f t="shared" si="5"/>
        <v>503936</v>
      </c>
      <c r="E69" s="17">
        <f>IF(F3="1",SUMIF(Data!A:A,'45'!$A$2,Data!EA:EA),0)</f>
        <v>1041225</v>
      </c>
      <c r="F69" s="21">
        <f t="shared" si="4"/>
        <v>2.0699999999999998</v>
      </c>
    </row>
    <row r="70" spans="1:6" ht="14.25" customHeight="1" x14ac:dyDescent="0.2">
      <c r="A70" s="19">
        <v>4</v>
      </c>
      <c r="B70" s="143" t="s">
        <v>3</v>
      </c>
      <c r="C70" s="144"/>
      <c r="D70" s="14">
        <f t="shared" si="5"/>
        <v>281696</v>
      </c>
      <c r="E70" s="17">
        <f>IF(F3="1",SUMIF(Data!A:A,'45'!$A$2,Data!EB:EB),0)</f>
        <v>565012</v>
      </c>
      <c r="F70" s="21">
        <f t="shared" si="4"/>
        <v>2.0099999999999998</v>
      </c>
    </row>
    <row r="71" spans="1:6" x14ac:dyDescent="0.2">
      <c r="A71" s="19">
        <v>5</v>
      </c>
      <c r="B71" s="143" t="s">
        <v>4</v>
      </c>
      <c r="C71" s="144"/>
      <c r="D71" s="14">
        <f t="shared" si="5"/>
        <v>0</v>
      </c>
      <c r="E71" s="17">
        <f>IF(F3="1",SUMIF(Data!A:A,'45'!$A$2,Data!EC:EC),0)</f>
        <v>0</v>
      </c>
      <c r="F71" s="21" t="str">
        <f t="shared" si="4"/>
        <v/>
      </c>
    </row>
    <row r="72" spans="1:6" x14ac:dyDescent="0.2">
      <c r="A72" s="19">
        <v>6</v>
      </c>
      <c r="B72" s="143" t="s">
        <v>5</v>
      </c>
      <c r="C72" s="144"/>
      <c r="D72" s="14">
        <f t="shared" si="5"/>
        <v>13632</v>
      </c>
      <c r="E72" s="17">
        <f>IF(F3="1",SUMIF(Data!A:A,'45'!$A$2,Data!ED:ED),0)</f>
        <v>55672</v>
      </c>
      <c r="F72" s="21">
        <f t="shared" si="4"/>
        <v>4.08</v>
      </c>
    </row>
    <row r="73" spans="1:6" x14ac:dyDescent="0.2">
      <c r="A73" s="19">
        <v>7</v>
      </c>
      <c r="B73" s="143" t="s">
        <v>6</v>
      </c>
      <c r="C73" s="144"/>
      <c r="D73" s="14">
        <f t="shared" si="5"/>
        <v>353696</v>
      </c>
      <c r="E73" s="17">
        <f>IF(F3="1",SUMIF(Data!A:A,'45'!$A$2,Data!EE:EE),0)</f>
        <v>663591</v>
      </c>
      <c r="F73" s="21">
        <f t="shared" si="4"/>
        <v>1.88</v>
      </c>
    </row>
    <row r="74" spans="1:6" x14ac:dyDescent="0.2">
      <c r="A74" s="19">
        <v>8</v>
      </c>
      <c r="B74" s="143" t="s">
        <v>7</v>
      </c>
      <c r="C74" s="144"/>
      <c r="D74" s="14">
        <f t="shared" si="5"/>
        <v>28800</v>
      </c>
      <c r="E74" s="17">
        <f>IF(F3="1",SUMIF(Data!A:A,'45'!$A$2,Data!EF:EF),0)</f>
        <v>103365</v>
      </c>
      <c r="F74" s="21">
        <f t="shared" si="4"/>
        <v>3.59</v>
      </c>
    </row>
    <row r="75" spans="1:6" x14ac:dyDescent="0.2">
      <c r="A75" s="19">
        <v>9</v>
      </c>
      <c r="B75" s="143" t="s">
        <v>8</v>
      </c>
      <c r="C75" s="144"/>
      <c r="D75" s="14">
        <f t="shared" si="5"/>
        <v>176240</v>
      </c>
      <c r="E75" s="17">
        <f>IF(F3="1",SUMIF(Data!A:A,'45'!$A$2,Data!EG:EG),0)</f>
        <v>69544</v>
      </c>
      <c r="F75" s="21">
        <f t="shared" si="4"/>
        <v>0.39</v>
      </c>
    </row>
    <row r="76" spans="1:6" x14ac:dyDescent="0.2">
      <c r="A76" s="19">
        <v>10</v>
      </c>
      <c r="B76" s="143" t="s">
        <v>9</v>
      </c>
      <c r="C76" s="144"/>
      <c r="D76" s="14">
        <f t="shared" si="5"/>
        <v>0</v>
      </c>
      <c r="E76" s="17">
        <f>IF(F3="1",SUMIF(Data!A:A,'45'!$A$2,Data!EH:EH),0)</f>
        <v>0</v>
      </c>
      <c r="F76" s="21" t="str">
        <f t="shared" si="4"/>
        <v/>
      </c>
    </row>
    <row r="77" spans="1:6" x14ac:dyDescent="0.2">
      <c r="A77" s="19">
        <v>11</v>
      </c>
      <c r="B77" s="143" t="s">
        <v>10</v>
      </c>
      <c r="C77" s="144"/>
      <c r="D77" s="14">
        <f t="shared" si="5"/>
        <v>71344</v>
      </c>
      <c r="E77" s="17">
        <f>IF(F3="1",SUMIF(Data!A:A,'45'!$A$2,Data!EI:EI),0)</f>
        <v>100491</v>
      </c>
      <c r="F77" s="21">
        <f t="shared" si="4"/>
        <v>1.41</v>
      </c>
    </row>
    <row r="78" spans="1:6" ht="14.25" customHeight="1" x14ac:dyDescent="0.2">
      <c r="A78" s="19">
        <v>12</v>
      </c>
      <c r="B78" s="143" t="s">
        <v>11</v>
      </c>
      <c r="C78" s="144"/>
      <c r="D78" s="14">
        <f t="shared" si="5"/>
        <v>493792</v>
      </c>
      <c r="E78" s="17">
        <f>IF(F3="1",SUMIF(Data!A:A,'45'!$A$2,Data!EJ:EJ),0)</f>
        <v>1063527</v>
      </c>
      <c r="F78" s="21">
        <f t="shared" si="4"/>
        <v>2.15</v>
      </c>
    </row>
    <row r="79" spans="1:6" x14ac:dyDescent="0.2">
      <c r="A79" s="19">
        <v>13</v>
      </c>
      <c r="B79" s="143" t="s">
        <v>12</v>
      </c>
      <c r="C79" s="144"/>
      <c r="D79" s="14">
        <f t="shared" si="5"/>
        <v>29168</v>
      </c>
      <c r="E79" s="17">
        <f>IF(F3="1",SUMIF(Data!A:A,'45'!$A$2,Data!EK:EK),0)</f>
        <v>91850</v>
      </c>
      <c r="F79" s="21">
        <f t="shared" si="4"/>
        <v>3.15</v>
      </c>
    </row>
    <row r="80" spans="1:6" ht="14.25" customHeight="1" x14ac:dyDescent="0.2">
      <c r="A80" s="19">
        <v>14</v>
      </c>
      <c r="B80" s="143" t="s">
        <v>464</v>
      </c>
      <c r="C80" s="144"/>
      <c r="D80" s="14">
        <f t="shared" si="5"/>
        <v>101672</v>
      </c>
      <c r="E80" s="17">
        <f>IF(F3="1",SUMIF(Data!A:A,'45'!$A$2,Data!EL:EL),0)</f>
        <v>648310</v>
      </c>
      <c r="F80" s="21">
        <f t="shared" si="4"/>
        <v>6.38</v>
      </c>
    </row>
    <row r="81" spans="1:6" x14ac:dyDescent="0.2">
      <c r="A81" s="19">
        <v>15</v>
      </c>
      <c r="B81" s="143" t="s">
        <v>13</v>
      </c>
      <c r="C81" s="144"/>
      <c r="D81" s="14">
        <f t="shared" si="5"/>
        <v>31360</v>
      </c>
      <c r="E81" s="17">
        <f>IF(F3="1",SUMIF(Data!A:A,'45'!$A$2,Data!EM:EM),0)</f>
        <v>199388</v>
      </c>
      <c r="F81" s="21">
        <f t="shared" si="4"/>
        <v>6.36</v>
      </c>
    </row>
    <row r="82" spans="1:6" x14ac:dyDescent="0.2">
      <c r="A82" s="19">
        <v>16</v>
      </c>
      <c r="B82" s="143" t="s">
        <v>14</v>
      </c>
      <c r="C82" s="144"/>
      <c r="D82" s="14">
        <f t="shared" si="5"/>
        <v>217735</v>
      </c>
      <c r="E82" s="17">
        <f>IF(F3="1",SUMIF(Data!A:A,'45'!$A$2,Data!EN:EN),0)</f>
        <v>703096</v>
      </c>
      <c r="F82" s="21">
        <f t="shared" si="4"/>
        <v>3.23</v>
      </c>
    </row>
    <row r="83" spans="1:6" x14ac:dyDescent="0.2">
      <c r="A83" s="19">
        <v>17</v>
      </c>
      <c r="B83" s="143" t="s">
        <v>15</v>
      </c>
      <c r="C83" s="144"/>
      <c r="D83" s="14">
        <f t="shared" si="5"/>
        <v>45656</v>
      </c>
      <c r="E83" s="17">
        <f>IF(F3="1",SUMIF(Data!A:A,'45'!$A$2,Data!EO:EO),0)</f>
        <v>215691</v>
      </c>
      <c r="F83" s="21">
        <f t="shared" si="4"/>
        <v>4.72</v>
      </c>
    </row>
    <row r="84" spans="1:6" x14ac:dyDescent="0.2">
      <c r="A84" s="19">
        <v>18</v>
      </c>
      <c r="B84" s="143" t="s">
        <v>16</v>
      </c>
      <c r="C84" s="144"/>
      <c r="D84" s="14">
        <f t="shared" si="5"/>
        <v>171600</v>
      </c>
      <c r="E84" s="17">
        <f>IF(F3="1",SUMIF(Data!A:A,'45'!$A$2,Data!EP:EP),0)</f>
        <v>470315</v>
      </c>
      <c r="F84" s="21">
        <f t="shared" si="4"/>
        <v>2.74</v>
      </c>
    </row>
    <row r="85" spans="1:6" x14ac:dyDescent="0.2">
      <c r="A85" s="19">
        <v>19</v>
      </c>
      <c r="B85" s="143" t="s">
        <v>17</v>
      </c>
      <c r="C85" s="144"/>
      <c r="D85" s="14">
        <f t="shared" si="5"/>
        <v>427946</v>
      </c>
      <c r="E85" s="17">
        <f>IF(F3="1",SUMIF(Data!A:A,'45'!$A$2,Data!EQ:EQ),0)</f>
        <v>895648</v>
      </c>
      <c r="F85" s="21">
        <f t="shared" si="4"/>
        <v>2.09</v>
      </c>
    </row>
    <row r="86" spans="1:6" x14ac:dyDescent="0.2">
      <c r="A86" s="19">
        <v>20</v>
      </c>
      <c r="B86" s="143" t="s">
        <v>18</v>
      </c>
      <c r="C86" s="144"/>
      <c r="D86" s="14">
        <f t="shared" si="5"/>
        <v>0</v>
      </c>
      <c r="E86" s="17">
        <f>IF(F3="1",SUMIF(Data!A:A,'45'!$A$2,Data!ER:ER),0)</f>
        <v>0</v>
      </c>
      <c r="F86" s="21" t="str">
        <f t="shared" si="4"/>
        <v/>
      </c>
    </row>
    <row r="87" spans="1:6" ht="14.25" customHeight="1" x14ac:dyDescent="0.2">
      <c r="A87" s="19">
        <v>21</v>
      </c>
      <c r="B87" s="143" t="s">
        <v>461</v>
      </c>
      <c r="C87" s="144"/>
      <c r="D87" s="14">
        <f t="shared" si="5"/>
        <v>0</v>
      </c>
      <c r="E87" s="17">
        <f>IF(F3="1",SUMIF(Data!A:A,'45'!$A$2,Data!ES:ES),0)</f>
        <v>0</v>
      </c>
      <c r="F87" s="21" t="str">
        <f t="shared" si="4"/>
        <v/>
      </c>
    </row>
    <row r="88" spans="1:6" x14ac:dyDescent="0.2">
      <c r="A88" s="19">
        <v>22</v>
      </c>
      <c r="B88" s="143" t="s">
        <v>19</v>
      </c>
      <c r="C88" s="144"/>
      <c r="D88" s="14">
        <f t="shared" si="5"/>
        <v>0</v>
      </c>
      <c r="E88" s="17">
        <f>IF(F3="1",SUMIF(Data!A:A,'45'!$A$2,Data!ET:ET),0)</f>
        <v>0</v>
      </c>
      <c r="F88" s="21" t="str">
        <f t="shared" si="4"/>
        <v/>
      </c>
    </row>
    <row r="89" spans="1:6" x14ac:dyDescent="0.2">
      <c r="A89" s="19">
        <v>23</v>
      </c>
      <c r="B89" s="143" t="s">
        <v>20</v>
      </c>
      <c r="C89" s="144"/>
      <c r="D89" s="14">
        <f t="shared" si="5"/>
        <v>17744</v>
      </c>
      <c r="E89" s="17">
        <f>IF(F3="1",SUMIF(Data!A:A,'45'!$A$2,Data!EU:EU),0)</f>
        <v>528652</v>
      </c>
      <c r="F89" s="21">
        <f t="shared" si="4"/>
        <v>29.79</v>
      </c>
    </row>
    <row r="90" spans="1:6" x14ac:dyDescent="0.2">
      <c r="A90" s="19">
        <v>24</v>
      </c>
      <c r="B90" s="143" t="s">
        <v>21</v>
      </c>
      <c r="C90" s="144"/>
      <c r="D90" s="14">
        <f t="shared" si="5"/>
        <v>69248</v>
      </c>
      <c r="E90" s="17">
        <f>IF(F3="1",SUMIF(Data!A:A,'45'!$A$2,Data!EV:EV),0)</f>
        <v>117350</v>
      </c>
      <c r="F90" s="21">
        <f t="shared" si="4"/>
        <v>1.69</v>
      </c>
    </row>
    <row r="91" spans="1:6" x14ac:dyDescent="0.2">
      <c r="A91" s="19">
        <v>25</v>
      </c>
      <c r="B91" s="143" t="s">
        <v>22</v>
      </c>
      <c r="C91" s="144"/>
      <c r="D91" s="14">
        <f t="shared" si="5"/>
        <v>547040</v>
      </c>
      <c r="E91" s="17">
        <f>IF(F3="1",SUMIF(Data!A:A,'45'!$A$2,Data!EW:EW),0)</f>
        <v>1082235</v>
      </c>
      <c r="F91" s="21">
        <f t="shared" si="4"/>
        <v>1.98</v>
      </c>
    </row>
    <row r="92" spans="1:6" x14ac:dyDescent="0.2">
      <c r="A92" s="19">
        <v>26</v>
      </c>
      <c r="B92" s="143" t="s">
        <v>23</v>
      </c>
      <c r="C92" s="144"/>
      <c r="D92" s="14">
        <f t="shared" si="5"/>
        <v>215944</v>
      </c>
      <c r="E92" s="17">
        <f>IF(F3="1",SUMIF(Data!A:A,'45'!$A$2,Data!EX:EX),0)</f>
        <v>779921</v>
      </c>
      <c r="F92" s="21">
        <f t="shared" si="4"/>
        <v>3.61</v>
      </c>
    </row>
    <row r="93" spans="1:6" x14ac:dyDescent="0.2">
      <c r="A93" s="19">
        <v>28</v>
      </c>
      <c r="B93" s="143" t="s">
        <v>24</v>
      </c>
      <c r="C93" s="144"/>
      <c r="D93" s="14">
        <f t="shared" si="5"/>
        <v>0</v>
      </c>
      <c r="E93" s="17">
        <f>IF(F3="1",SUMIF(Data!A:A,'45'!$A$2,Data!EZ:EZ),0)</f>
        <v>0</v>
      </c>
      <c r="F93" s="21" t="str">
        <f t="shared" si="4"/>
        <v/>
      </c>
    </row>
    <row r="94" spans="1:6" ht="15.75" customHeight="1" thickBot="1" x14ac:dyDescent="0.25">
      <c r="A94" s="22">
        <v>29</v>
      </c>
      <c r="B94" s="147" t="s">
        <v>25</v>
      </c>
      <c r="C94" s="148"/>
      <c r="D94" s="23">
        <f t="shared" si="5"/>
        <v>0</v>
      </c>
      <c r="E94" s="24">
        <f>IF(F3="1",SUMIF(Data!A:A,'45'!$A$2,Data!FA:FA),0)</f>
        <v>0</v>
      </c>
      <c r="F94" s="25" t="str">
        <f t="shared" si="4"/>
        <v/>
      </c>
    </row>
    <row r="95" spans="1:6" x14ac:dyDescent="0.2">
      <c r="B95" s="30" t="s">
        <v>35</v>
      </c>
      <c r="C95" s="30"/>
      <c r="D95" s="59">
        <f>SUM(D67:D94)</f>
        <v>3862745</v>
      </c>
      <c r="E95" s="31">
        <f>SUM(E67:E94)</f>
        <v>9770410</v>
      </c>
      <c r="F95" s="32">
        <f t="shared" si="4"/>
        <v>2.5299999999999998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IF(F3="1",SUMIF(Data!A:A,'45'!$A$2,Data!AH:AH),0)</f>
        <v>3658223</v>
      </c>
      <c r="F98" s="20">
        <f>IF(OR(E98=0,E98=0),"",ROUND(E98/$D$105,2))</f>
        <v>0.95</v>
      </c>
    </row>
    <row r="99" spans="2:6" x14ac:dyDescent="0.2">
      <c r="B99" s="153" t="s">
        <v>31</v>
      </c>
      <c r="C99" s="154"/>
      <c r="D99" s="36"/>
      <c r="E99" s="17">
        <f>IF(F3="1",SUMIF(Data!A:A,'45'!$A$2,Data!AI:AI),0)</f>
        <v>2826865</v>
      </c>
      <c r="F99" s="21">
        <f t="shared" ref="F99:F104" si="6">IF(OR(E99=0,E99=0),"",ROUND(E99/$D$105,2))</f>
        <v>0.73</v>
      </c>
    </row>
    <row r="100" spans="2:6" x14ac:dyDescent="0.2">
      <c r="B100" s="153" t="s">
        <v>1078</v>
      </c>
      <c r="C100" s="154"/>
      <c r="D100" s="36"/>
      <c r="E100" s="17">
        <f>IF(F3="1",SUMIF(Data!A:A,'45'!$A$2,Data!AJ:AJ),0)</f>
        <v>849349</v>
      </c>
      <c r="F100" s="21">
        <f t="shared" si="6"/>
        <v>0.22</v>
      </c>
    </row>
    <row r="101" spans="2:6" x14ac:dyDescent="0.2">
      <c r="B101" s="153" t="s">
        <v>1079</v>
      </c>
      <c r="C101" s="154"/>
      <c r="D101" s="36"/>
      <c r="E101" s="17">
        <f>IF(F3="1",SUMIF(Data!A:A,'45'!$A$2,Data!AK:AK),0)</f>
        <v>911931</v>
      </c>
      <c r="F101" s="21">
        <f t="shared" si="6"/>
        <v>0.24</v>
      </c>
    </row>
    <row r="102" spans="2:6" x14ac:dyDescent="0.2">
      <c r="B102" s="153" t="s">
        <v>1080</v>
      </c>
      <c r="C102" s="154"/>
      <c r="D102" s="36"/>
      <c r="E102" s="17">
        <f>IF(F3="1",SUMIF(Data!A:A,'45'!$A$2,Data!AL:AL),0)</f>
        <v>0</v>
      </c>
      <c r="F102" s="21" t="str">
        <f t="shared" si="6"/>
        <v/>
      </c>
    </row>
    <row r="103" spans="2:6" x14ac:dyDescent="0.2">
      <c r="B103" s="155" t="s">
        <v>34</v>
      </c>
      <c r="C103" s="156"/>
      <c r="D103" s="36"/>
      <c r="E103" s="17">
        <f>IF(F3="1",SUMIF(Data!A:A,'45'!$A$2,Data!AM:AM),0)</f>
        <v>0</v>
      </c>
      <c r="F103" s="21" t="str">
        <f t="shared" si="6"/>
        <v/>
      </c>
    </row>
    <row r="104" spans="2:6" ht="15.75" customHeight="1" thickBot="1" x14ac:dyDescent="0.25">
      <c r="B104" s="149" t="s">
        <v>29</v>
      </c>
      <c r="C104" s="150"/>
      <c r="D104" s="37"/>
      <c r="E104" s="24">
        <f>IF(F3="1",SUMIF(Data!A:A,'45'!$A$2,Data!Q:Q),0)</f>
        <v>869987</v>
      </c>
      <c r="F104" s="25">
        <f t="shared" si="6"/>
        <v>0.23</v>
      </c>
    </row>
    <row r="105" spans="2:6" x14ac:dyDescent="0.2">
      <c r="B105" s="30" t="s">
        <v>35</v>
      </c>
      <c r="C105" s="30"/>
      <c r="D105" s="34">
        <f>D95</f>
        <v>3862745</v>
      </c>
      <c r="E105" s="31">
        <f>SUM(E98:E104)</f>
        <v>9116355</v>
      </c>
      <c r="F105" s="32">
        <f>IF($D$105=0,"",ROUND(E105/$D$105,2))</f>
        <v>2.36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9770410</v>
      </c>
      <c r="D109" s="15">
        <f>IF(F3="1",SUMIF(Data!$A:$A,$A$2,Data!HJ:HJ),0)</f>
        <v>0</v>
      </c>
      <c r="E109" s="15">
        <f>IF(F3="1",SUMIF(Data!$A:$A,$A$2,Data!IN:IN),0)</f>
        <v>0</v>
      </c>
      <c r="F109" s="47">
        <f>SUM(C109:E109)</f>
        <v>9770410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869987</v>
      </c>
      <c r="E117" s="52"/>
      <c r="F117" s="49">
        <f>SUM(C117:E117)</f>
        <v>869987</v>
      </c>
    </row>
    <row r="118" spans="1:6" x14ac:dyDescent="0.2">
      <c r="B118" s="13" t="s">
        <v>35</v>
      </c>
      <c r="C118" s="4">
        <f>SUM(C109:C116)</f>
        <v>9770410</v>
      </c>
      <c r="D118" s="4">
        <f>SUM(D109:D116)</f>
        <v>0</v>
      </c>
      <c r="E118" s="4">
        <f>SUM(E109:E116)</f>
        <v>0</v>
      </c>
      <c r="F118" s="4">
        <f>SUM(F109:F116)</f>
        <v>9770410</v>
      </c>
    </row>
    <row r="119" spans="1:6" ht="15" thickBot="1" x14ac:dyDescent="0.25"/>
    <row r="120" spans="1:6" ht="15" thickBot="1" x14ac:dyDescent="0.25">
      <c r="B120" s="55" t="s">
        <v>934</v>
      </c>
      <c r="C120" s="53"/>
      <c r="D120" s="53"/>
      <c r="E120" s="53">
        <f>IF(F3="1",SUMIF(Data!A:A,'45'!$A$2,Data!AM:AM),0)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437</v>
      </c>
      <c r="B2" s="58" t="str">
        <f>VLOOKUP(A2,Data!A:G,7,0)</f>
        <v>Vernon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12976</v>
      </c>
      <c r="E5" s="15">
        <f>E36+E67+IFERROR($E$105/$D$105*D5,0)</f>
        <v>86609.219151983503</v>
      </c>
      <c r="F5" s="20">
        <f>IF(OR(D5=0,E5=0),"",ROUND(E5/D5,2))</f>
        <v>6.67</v>
      </c>
    </row>
    <row r="6" spans="1:6" x14ac:dyDescent="0.2">
      <c r="A6" s="19">
        <v>2</v>
      </c>
      <c r="B6" s="143" t="s">
        <v>1</v>
      </c>
      <c r="C6" s="144"/>
      <c r="D6" s="14">
        <f t="shared" ref="D6:D32" si="0">D37</f>
        <v>65556</v>
      </c>
      <c r="E6" s="17">
        <f t="shared" ref="E6:E32" si="1">E37+E68+IFERROR($E$105/$D$105*D6,0)</f>
        <v>434719.86180081923</v>
      </c>
      <c r="F6" s="21">
        <f t="shared" ref="F6:F33" si="2">IF(OR(D6=0,E6=0),"",ROUND(E6/D6,2))</f>
        <v>6.63</v>
      </c>
    </row>
    <row r="7" spans="1:6" ht="14.25" customHeight="1" x14ac:dyDescent="0.2">
      <c r="A7" s="19">
        <v>3</v>
      </c>
      <c r="B7" s="143" t="s">
        <v>2</v>
      </c>
      <c r="C7" s="144"/>
      <c r="D7" s="14">
        <f t="shared" si="0"/>
        <v>51536</v>
      </c>
      <c r="E7" s="17">
        <f t="shared" si="1"/>
        <v>277143.66077501711</v>
      </c>
      <c r="F7" s="21">
        <f t="shared" si="2"/>
        <v>5.38</v>
      </c>
    </row>
    <row r="8" spans="1:6" ht="14.25" customHeight="1" x14ac:dyDescent="0.2">
      <c r="A8" s="19">
        <v>4</v>
      </c>
      <c r="B8" s="143" t="s">
        <v>3</v>
      </c>
      <c r="C8" s="144"/>
      <c r="D8" s="14">
        <f t="shared" si="0"/>
        <v>105534</v>
      </c>
      <c r="E8" s="17">
        <f t="shared" si="1"/>
        <v>627960.16769308154</v>
      </c>
      <c r="F8" s="21">
        <f t="shared" si="2"/>
        <v>5.95</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62239</v>
      </c>
      <c r="E11" s="17">
        <f t="shared" si="1"/>
        <v>329683.0305024893</v>
      </c>
      <c r="F11" s="21">
        <f t="shared" si="2"/>
        <v>5.3</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88786</v>
      </c>
      <c r="E13" s="17">
        <f t="shared" si="1"/>
        <v>413440.2362536997</v>
      </c>
      <c r="F13" s="21">
        <f t="shared" si="2"/>
        <v>4.66</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4928</v>
      </c>
      <c r="E15" s="17">
        <f t="shared" si="1"/>
        <v>16703.803327756992</v>
      </c>
      <c r="F15" s="21">
        <f t="shared" si="2"/>
        <v>3.39</v>
      </c>
    </row>
    <row r="16" spans="1:6" ht="14.25" customHeight="1" x14ac:dyDescent="0.2">
      <c r="A16" s="19">
        <v>12</v>
      </c>
      <c r="B16" s="143" t="s">
        <v>11</v>
      </c>
      <c r="C16" s="144"/>
      <c r="D16" s="14">
        <f t="shared" si="0"/>
        <v>95452</v>
      </c>
      <c r="E16" s="17">
        <f t="shared" si="1"/>
        <v>543228.78718365671</v>
      </c>
      <c r="F16" s="21">
        <f t="shared" si="2"/>
        <v>5.69</v>
      </c>
    </row>
    <row r="17" spans="1:6" x14ac:dyDescent="0.2">
      <c r="A17" s="19">
        <v>13</v>
      </c>
      <c r="B17" s="143" t="s">
        <v>12</v>
      </c>
      <c r="C17" s="144"/>
      <c r="D17" s="14">
        <f t="shared" si="0"/>
        <v>16544</v>
      </c>
      <c r="E17" s="17">
        <f t="shared" si="1"/>
        <v>100722.26831461275</v>
      </c>
      <c r="F17" s="21">
        <f t="shared" si="2"/>
        <v>6.09</v>
      </c>
    </row>
    <row r="18" spans="1:6" ht="14.25" customHeight="1" x14ac:dyDescent="0.2">
      <c r="A18" s="19">
        <v>14</v>
      </c>
      <c r="B18" s="143" t="s">
        <v>464</v>
      </c>
      <c r="C18" s="144"/>
      <c r="D18" s="14">
        <f t="shared" si="0"/>
        <v>57108</v>
      </c>
      <c r="E18" s="17">
        <f t="shared" si="1"/>
        <v>378899.34181037871</v>
      </c>
      <c r="F18" s="21">
        <f t="shared" si="2"/>
        <v>6.63</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57203</v>
      </c>
      <c r="E20" s="17">
        <f t="shared" si="1"/>
        <v>305768.22904985456</v>
      </c>
      <c r="F20" s="21">
        <f t="shared" si="2"/>
        <v>5.35</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249772</v>
      </c>
      <c r="E22" s="17">
        <f t="shared" si="1"/>
        <v>1234330.7745090339</v>
      </c>
      <c r="F22" s="21">
        <f t="shared" si="2"/>
        <v>4.9400000000000004</v>
      </c>
    </row>
    <row r="23" spans="1:6" x14ac:dyDescent="0.2">
      <c r="A23" s="19">
        <v>19</v>
      </c>
      <c r="B23" s="143" t="s">
        <v>17</v>
      </c>
      <c r="C23" s="144"/>
      <c r="D23" s="14">
        <f t="shared" si="0"/>
        <v>78924</v>
      </c>
      <c r="E23" s="17">
        <f t="shared" si="1"/>
        <v>433389.96303569246</v>
      </c>
      <c r="F23" s="21">
        <f t="shared" si="2"/>
        <v>5.49</v>
      </c>
    </row>
    <row r="24" spans="1:6" x14ac:dyDescent="0.2">
      <c r="A24" s="19">
        <v>20</v>
      </c>
      <c r="B24" s="143" t="s">
        <v>18</v>
      </c>
      <c r="C24" s="144"/>
      <c r="D24" s="14">
        <f t="shared" si="0"/>
        <v>16816</v>
      </c>
      <c r="E24" s="17">
        <f t="shared" si="1"/>
        <v>93249.819147638307</v>
      </c>
      <c r="F24" s="21">
        <f t="shared" si="2"/>
        <v>5.55</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15776</v>
      </c>
      <c r="E26" s="17">
        <f t="shared" si="1"/>
        <v>96632.948315481801</v>
      </c>
      <c r="F26" s="21">
        <f t="shared" si="2"/>
        <v>6.13</v>
      </c>
    </row>
    <row r="27" spans="1:6" x14ac:dyDescent="0.2">
      <c r="A27" s="19">
        <v>23</v>
      </c>
      <c r="B27" s="143" t="s">
        <v>20</v>
      </c>
      <c r="C27" s="144"/>
      <c r="D27" s="14">
        <f t="shared" si="0"/>
        <v>23008</v>
      </c>
      <c r="E27" s="17">
        <f t="shared" si="1"/>
        <v>101833.71164063166</v>
      </c>
      <c r="F27" s="21">
        <f t="shared" si="2"/>
        <v>4.43</v>
      </c>
    </row>
    <row r="28" spans="1:6" x14ac:dyDescent="0.2">
      <c r="A28" s="19">
        <v>24</v>
      </c>
      <c r="B28" s="143" t="s">
        <v>21</v>
      </c>
      <c r="C28" s="144"/>
      <c r="D28" s="14">
        <f t="shared" si="0"/>
        <v>68084</v>
      </c>
      <c r="E28" s="17">
        <f t="shared" si="1"/>
        <v>423956.04013129196</v>
      </c>
      <c r="F28" s="21">
        <f t="shared" si="2"/>
        <v>6.23</v>
      </c>
    </row>
    <row r="29" spans="1:6" x14ac:dyDescent="0.2">
      <c r="A29" s="19">
        <v>25</v>
      </c>
      <c r="B29" s="143" t="s">
        <v>22</v>
      </c>
      <c r="C29" s="144"/>
      <c r="D29" s="14">
        <f t="shared" si="0"/>
        <v>106512</v>
      </c>
      <c r="E29" s="17">
        <f t="shared" si="1"/>
        <v>474765.81737947493</v>
      </c>
      <c r="F29" s="21">
        <f t="shared" si="2"/>
        <v>4.46</v>
      </c>
    </row>
    <row r="30" spans="1:6" x14ac:dyDescent="0.2">
      <c r="A30" s="19">
        <v>26</v>
      </c>
      <c r="B30" s="143" t="s">
        <v>23</v>
      </c>
      <c r="C30" s="144"/>
      <c r="D30" s="14">
        <f t="shared" si="0"/>
        <v>19968</v>
      </c>
      <c r="E30" s="17">
        <f t="shared" si="1"/>
        <v>111623.31997740494</v>
      </c>
      <c r="F30" s="21">
        <f t="shared" si="2"/>
        <v>5.59</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1196722</v>
      </c>
      <c r="E33" s="31">
        <f>SUM(E5:E32)</f>
        <v>6484660.9999999991</v>
      </c>
      <c r="F33" s="32">
        <f t="shared" si="2"/>
        <v>5.42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IF(F3="1",SUMIF(Data!A:A,'46'!$A$2,Data!CU:CU),0)</f>
        <v>12976</v>
      </c>
      <c r="E36" s="15">
        <f>IF(F3="1",SUMIF(Data!$A:$A,$A$2,Data!IO:IO),0)</f>
        <v>9937</v>
      </c>
      <c r="F36" s="20">
        <f t="shared" ref="F36:F64" si="3">IF(OR(D36=0,E36=0),"",ROUND(E36/D36,2))</f>
        <v>0.77</v>
      </c>
    </row>
    <row r="37" spans="1:6" x14ac:dyDescent="0.2">
      <c r="A37" s="19">
        <v>2</v>
      </c>
      <c r="B37" s="143" t="s">
        <v>1</v>
      </c>
      <c r="C37" s="144"/>
      <c r="D37" s="14">
        <f>IF(F3="1",SUMIF(Data!A:A,'46'!$A$2,Data!CV:CV),0)</f>
        <v>65556</v>
      </c>
      <c r="E37" s="17">
        <f>IF(F3="1",SUMIF(Data!$A:$A,$A$2,Data!IP:IP),0)</f>
        <v>77360</v>
      </c>
      <c r="F37" s="21">
        <f t="shared" si="3"/>
        <v>1.18</v>
      </c>
    </row>
    <row r="38" spans="1:6" ht="14.25" customHeight="1" x14ac:dyDescent="0.2">
      <c r="A38" s="19">
        <v>3</v>
      </c>
      <c r="B38" s="143" t="s">
        <v>2</v>
      </c>
      <c r="C38" s="144"/>
      <c r="D38" s="14">
        <f>IF(F3="1",SUMIF(Data!A:A,'46'!$A$2,Data!CW:CW),0)</f>
        <v>51536</v>
      </c>
      <c r="E38" s="17">
        <f>IF($F$3="1",SUMIF(Data!$A:$A,$A$2,Data!IQ:IQ),0)</f>
        <v>15487</v>
      </c>
      <c r="F38" s="21">
        <f t="shared" si="3"/>
        <v>0.3</v>
      </c>
    </row>
    <row r="39" spans="1:6" ht="14.25" customHeight="1" x14ac:dyDescent="0.2">
      <c r="A39" s="19">
        <v>4</v>
      </c>
      <c r="B39" s="143" t="s">
        <v>3</v>
      </c>
      <c r="C39" s="144"/>
      <c r="D39" s="14">
        <f>IF(F3="1",SUMIF(Data!A:A,'46'!$A$2,Data!CX:CX),0)</f>
        <v>105534</v>
      </c>
      <c r="E39" s="17">
        <f>IF($F$3="1",SUMIF(Data!$A:$A,$A$2,Data!IR:IR),0)</f>
        <v>58745</v>
      </c>
      <c r="F39" s="21">
        <f t="shared" si="3"/>
        <v>0.56000000000000005</v>
      </c>
    </row>
    <row r="40" spans="1:6" x14ac:dyDescent="0.2">
      <c r="A40" s="19">
        <v>5</v>
      </c>
      <c r="B40" s="143" t="s">
        <v>4</v>
      </c>
      <c r="C40" s="144"/>
      <c r="D40" s="14">
        <f>IF(F3="1",SUMIF(Data!A:A,'46'!$A$2,Data!CY:CY),0)</f>
        <v>0</v>
      </c>
      <c r="E40" s="17">
        <f>IF($F$3="1",SUMIF(Data!$A:$A,$A$2,Data!IS:IS),0)</f>
        <v>0</v>
      </c>
      <c r="F40" s="21" t="str">
        <f t="shared" si="3"/>
        <v/>
      </c>
    </row>
    <row r="41" spans="1:6" x14ac:dyDescent="0.2">
      <c r="A41" s="19">
        <v>6</v>
      </c>
      <c r="B41" s="143" t="s">
        <v>5</v>
      </c>
      <c r="C41" s="144"/>
      <c r="D41" s="14">
        <f>IF(F3="1",SUMIF(Data!A:A,'46'!$A$2,Data!CZ:CZ),0)</f>
        <v>0</v>
      </c>
      <c r="E41" s="17">
        <f>IF($F$3="1",SUMIF(Data!$A:$A,$A$2,Data!IT:IT),0)</f>
        <v>0</v>
      </c>
      <c r="F41" s="21" t="str">
        <f t="shared" si="3"/>
        <v/>
      </c>
    </row>
    <row r="42" spans="1:6" x14ac:dyDescent="0.2">
      <c r="A42" s="19">
        <v>7</v>
      </c>
      <c r="B42" s="143" t="s">
        <v>6</v>
      </c>
      <c r="C42" s="144"/>
      <c r="D42" s="14">
        <f>IF(F3="1",SUMIF(Data!A:A,'46'!$A$2,Data!DA:DA),0)</f>
        <v>62239</v>
      </c>
      <c r="E42" s="17">
        <f>IF($F$3="1",SUMIF(Data!$A:$A,$A$2,Data!IU:IU),0)</f>
        <v>39376</v>
      </c>
      <c r="F42" s="21">
        <f t="shared" si="3"/>
        <v>0.63</v>
      </c>
    </row>
    <row r="43" spans="1:6" x14ac:dyDescent="0.2">
      <c r="A43" s="19">
        <v>8</v>
      </c>
      <c r="B43" s="143" t="s">
        <v>7</v>
      </c>
      <c r="C43" s="144"/>
      <c r="D43" s="14">
        <f>IF(F3="1",SUMIF(Data!A:A,'46'!$A$2,Data!DB:DB),0)</f>
        <v>0</v>
      </c>
      <c r="E43" s="17">
        <f>IF($F$3="1",SUMIF(Data!$A:$A,$A$2,Data!IV:IV),0)</f>
        <v>0</v>
      </c>
      <c r="F43" s="21" t="str">
        <f t="shared" si="3"/>
        <v/>
      </c>
    </row>
    <row r="44" spans="1:6" x14ac:dyDescent="0.2">
      <c r="A44" s="19">
        <v>9</v>
      </c>
      <c r="B44" s="143" t="s">
        <v>8</v>
      </c>
      <c r="C44" s="144"/>
      <c r="D44" s="14">
        <f>IF(F3="1",SUMIF(Data!A:A,'46'!$A$2,Data!DC:DC),0)</f>
        <v>88786</v>
      </c>
      <c r="E44" s="17">
        <f>IF($F$3="1",SUMIF(Data!$A:$A,$A$2,Data!IW:IW),0)</f>
        <v>26198</v>
      </c>
      <c r="F44" s="21">
        <f t="shared" si="3"/>
        <v>0.3</v>
      </c>
    </row>
    <row r="45" spans="1:6" x14ac:dyDescent="0.2">
      <c r="A45" s="19">
        <v>10</v>
      </c>
      <c r="B45" s="143" t="s">
        <v>9</v>
      </c>
      <c r="C45" s="144"/>
      <c r="D45" s="14">
        <f>IF(F3="1",SUMIF(Data!A:A,'46'!$A$2,Data!DD:DD),0)</f>
        <v>0</v>
      </c>
      <c r="E45" s="17">
        <f>IF($F$3="1",SUMIF(Data!$A:$A,$A$2,Data!IX:IX),0)</f>
        <v>0</v>
      </c>
      <c r="F45" s="21" t="str">
        <f t="shared" si="3"/>
        <v/>
      </c>
    </row>
    <row r="46" spans="1:6" x14ac:dyDescent="0.2">
      <c r="A46" s="19">
        <v>11</v>
      </c>
      <c r="B46" s="143" t="s">
        <v>10</v>
      </c>
      <c r="C46" s="144"/>
      <c r="D46" s="14">
        <f>IF(F3="1",SUMIF(Data!A:A,'46'!$A$2,Data!DE:DE),0)</f>
        <v>4928</v>
      </c>
      <c r="E46" s="17">
        <f>IF($F$3="1",SUMIF(Data!$A:$A,$A$2,Data!IY:IY),0)</f>
        <v>0</v>
      </c>
      <c r="F46" s="21" t="str">
        <f t="shared" si="3"/>
        <v/>
      </c>
    </row>
    <row r="47" spans="1:6" ht="14.25" customHeight="1" x14ac:dyDescent="0.2">
      <c r="A47" s="19">
        <v>12</v>
      </c>
      <c r="B47" s="143" t="s">
        <v>11</v>
      </c>
      <c r="C47" s="144"/>
      <c r="D47" s="14">
        <f>IF(F3="1",SUMIF(Data!A:A,'46'!$A$2,Data!DF:DF),0)</f>
        <v>95452</v>
      </c>
      <c r="E47" s="17">
        <f>IF($F$3="1",SUMIF(Data!$A:$A,$A$2,Data!IZ:IZ),0)</f>
        <v>9141</v>
      </c>
      <c r="F47" s="21">
        <f t="shared" si="3"/>
        <v>0.1</v>
      </c>
    </row>
    <row r="48" spans="1:6" x14ac:dyDescent="0.2">
      <c r="A48" s="19">
        <v>13</v>
      </c>
      <c r="B48" s="143" t="s">
        <v>12</v>
      </c>
      <c r="C48" s="144"/>
      <c r="D48" s="14">
        <f>IF(F3="1",SUMIF(Data!A:A,'46'!$A$2,Data!DG:DG),0)</f>
        <v>16544</v>
      </c>
      <c r="E48" s="17">
        <f>IF($F$3="1",SUMIF(Data!$A:$A,$A$2,Data!JA:JA),0)</f>
        <v>1145</v>
      </c>
      <c r="F48" s="21">
        <f t="shared" si="3"/>
        <v>7.0000000000000007E-2</v>
      </c>
    </row>
    <row r="49" spans="1:6" ht="14.25" customHeight="1" x14ac:dyDescent="0.2">
      <c r="A49" s="19">
        <v>14</v>
      </c>
      <c r="B49" s="143" t="s">
        <v>464</v>
      </c>
      <c r="C49" s="144"/>
      <c r="D49" s="14">
        <f>IF(F3="1",SUMIF(Data!A:A,'46'!$A$2,Data!DH:DH),0)</f>
        <v>57108</v>
      </c>
      <c r="E49" s="17">
        <f>IF($F$3="1",SUMIF(Data!$A:$A,$A$2,Data!JB:JB),0)</f>
        <v>20175</v>
      </c>
      <c r="F49" s="21">
        <f t="shared" si="3"/>
        <v>0.35</v>
      </c>
    </row>
    <row r="50" spans="1:6" x14ac:dyDescent="0.2">
      <c r="A50" s="19">
        <v>15</v>
      </c>
      <c r="B50" s="143" t="s">
        <v>13</v>
      </c>
      <c r="C50" s="144"/>
      <c r="D50" s="14">
        <f>IF(F3="1",SUMIF(Data!A:A,'46'!$A$2,Data!DI:DI),0)</f>
        <v>0</v>
      </c>
      <c r="E50" s="17">
        <f>IF($F$3="1",SUMIF(Data!$A:$A,$A$2,Data!JC:JC),0)</f>
        <v>0</v>
      </c>
      <c r="F50" s="21" t="str">
        <f t="shared" si="3"/>
        <v/>
      </c>
    </row>
    <row r="51" spans="1:6" x14ac:dyDescent="0.2">
      <c r="A51" s="19">
        <v>16</v>
      </c>
      <c r="B51" s="143" t="s">
        <v>14</v>
      </c>
      <c r="C51" s="144"/>
      <c r="D51" s="14">
        <f>IF(F3="1",SUMIF(Data!A:A,'46'!$A$2,Data!DJ:DJ),0)</f>
        <v>57203</v>
      </c>
      <c r="E51" s="17">
        <f>IF($F$3="1",SUMIF(Data!$A:$A,$A$2,Data!JD:JD),0)</f>
        <v>26108</v>
      </c>
      <c r="F51" s="21">
        <f t="shared" si="3"/>
        <v>0.46</v>
      </c>
    </row>
    <row r="52" spans="1:6" x14ac:dyDescent="0.2">
      <c r="A52" s="19">
        <v>17</v>
      </c>
      <c r="B52" s="143" t="s">
        <v>15</v>
      </c>
      <c r="C52" s="144"/>
      <c r="D52" s="14">
        <f>IF(F3="1",SUMIF(Data!A:A,'46'!$A$2,Data!DK:DK),0)</f>
        <v>0</v>
      </c>
      <c r="E52" s="17">
        <f>IF($F$3="1",SUMIF(Data!$A:$A,$A$2,Data!JE:JE),0)</f>
        <v>0</v>
      </c>
      <c r="F52" s="21" t="str">
        <f t="shared" si="3"/>
        <v/>
      </c>
    </row>
    <row r="53" spans="1:6" x14ac:dyDescent="0.2">
      <c r="A53" s="19">
        <v>18</v>
      </c>
      <c r="B53" s="143" t="s">
        <v>16</v>
      </c>
      <c r="C53" s="144"/>
      <c r="D53" s="14">
        <f>IF(F3="1",SUMIF(Data!A:A,'46'!$A$2,Data!DL:DL),0)</f>
        <v>249772</v>
      </c>
      <c r="E53" s="17">
        <f>IF($F$3="1",SUMIF(Data!$A:$A,$A$2,Data!JF:JF),0)</f>
        <v>31619</v>
      </c>
      <c r="F53" s="21">
        <f t="shared" si="3"/>
        <v>0.13</v>
      </c>
    </row>
    <row r="54" spans="1:6" x14ac:dyDescent="0.2">
      <c r="A54" s="19">
        <v>19</v>
      </c>
      <c r="B54" s="143" t="s">
        <v>17</v>
      </c>
      <c r="C54" s="144"/>
      <c r="D54" s="14">
        <f>IF(F3="1",SUMIF(Data!A:A,'46'!$A$2,Data!DM:DM),0)</f>
        <v>78924</v>
      </c>
      <c r="E54" s="17">
        <f>IF($F$3="1",SUMIF(Data!$A:$A,$A$2,Data!JG:JG),0)</f>
        <v>4862</v>
      </c>
      <c r="F54" s="21">
        <f t="shared" si="3"/>
        <v>0.06</v>
      </c>
    </row>
    <row r="55" spans="1:6" x14ac:dyDescent="0.2">
      <c r="A55" s="19">
        <v>20</v>
      </c>
      <c r="B55" s="143" t="s">
        <v>18</v>
      </c>
      <c r="C55" s="144"/>
      <c r="D55" s="14">
        <f>IF(F3="1",SUMIF(Data!A:A,'46'!$A$2,Data!DN:DN),0)</f>
        <v>16816</v>
      </c>
      <c r="E55" s="17">
        <f>IF($F$3="1",SUMIF(Data!$A:$A,$A$2,Data!JH:JH),0)</f>
        <v>6390</v>
      </c>
      <c r="F55" s="21">
        <f t="shared" si="3"/>
        <v>0.38</v>
      </c>
    </row>
    <row r="56" spans="1:6" ht="14.25" customHeight="1" x14ac:dyDescent="0.2">
      <c r="A56" s="19">
        <v>21</v>
      </c>
      <c r="B56" s="143" t="s">
        <v>461</v>
      </c>
      <c r="C56" s="144"/>
      <c r="D56" s="14">
        <f>IF(F3="1",SUMIF(Data!A:A,'46'!$A$2,Data!DO:DO),0)</f>
        <v>0</v>
      </c>
      <c r="E56" s="17">
        <f>IF($F$3="1",SUMIF(Data!$A:$A,$A$2,Data!JI:JI),0)</f>
        <v>0</v>
      </c>
      <c r="F56" s="21" t="str">
        <f t="shared" si="3"/>
        <v/>
      </c>
    </row>
    <row r="57" spans="1:6" x14ac:dyDescent="0.2">
      <c r="A57" s="19">
        <v>22</v>
      </c>
      <c r="B57" s="143" t="s">
        <v>19</v>
      </c>
      <c r="C57" s="144"/>
      <c r="D57" s="14">
        <f>IF(F3="1",SUMIF(Data!A:A,'46'!$A$2,Data!DP:DP),0)</f>
        <v>15776</v>
      </c>
      <c r="E57" s="17">
        <f>IF($F$3="1",SUMIF(Data!$A:$A,$A$2,Data!JJ:JJ),0)</f>
        <v>10371</v>
      </c>
      <c r="F57" s="21">
        <f t="shared" si="3"/>
        <v>0.66</v>
      </c>
    </row>
    <row r="58" spans="1:6" x14ac:dyDescent="0.2">
      <c r="A58" s="19">
        <v>23</v>
      </c>
      <c r="B58" s="143" t="s">
        <v>20</v>
      </c>
      <c r="C58" s="144"/>
      <c r="D58" s="14">
        <f>IF(F3="1",SUMIF(Data!A:A,'46'!$A$2,Data!DQ:DQ),0)</f>
        <v>23008</v>
      </c>
      <c r="E58" s="17">
        <f>IF($F$3="1",SUMIF(Data!$A:$A,$A$2,Data!JK:JK),0)</f>
        <v>2972</v>
      </c>
      <c r="F58" s="21">
        <f t="shared" si="3"/>
        <v>0.13</v>
      </c>
    </row>
    <row r="59" spans="1:6" x14ac:dyDescent="0.2">
      <c r="A59" s="19">
        <v>24</v>
      </c>
      <c r="B59" s="143" t="s">
        <v>21</v>
      </c>
      <c r="C59" s="144"/>
      <c r="D59" s="14">
        <f>IF(F3="1",SUMIF(Data!A:A,'46'!$A$2,Data!DR:DR),0)</f>
        <v>68084</v>
      </c>
      <c r="E59" s="17">
        <f>IF($F$3="1",SUMIF(Data!$A:$A,$A$2,Data!JL:JL),0)</f>
        <v>29550</v>
      </c>
      <c r="F59" s="21">
        <f t="shared" si="3"/>
        <v>0.43</v>
      </c>
    </row>
    <row r="60" spans="1:6" x14ac:dyDescent="0.2">
      <c r="A60" s="19">
        <v>25</v>
      </c>
      <c r="B60" s="143" t="s">
        <v>22</v>
      </c>
      <c r="C60" s="144"/>
      <c r="D60" s="14">
        <f>IF(F3="1",SUMIF(Data!A:A,'46'!$A$2,Data!DS:DS),0)</f>
        <v>106512</v>
      </c>
      <c r="E60" s="17">
        <f>IF($F$3="1",SUMIF(Data!$A:$A,$A$2,Data!JM:JM),0)</f>
        <v>12522</v>
      </c>
      <c r="F60" s="21">
        <f t="shared" si="3"/>
        <v>0.12</v>
      </c>
    </row>
    <row r="61" spans="1:6" x14ac:dyDescent="0.2">
      <c r="A61" s="19">
        <v>26</v>
      </c>
      <c r="B61" s="143" t="s">
        <v>23</v>
      </c>
      <c r="C61" s="144"/>
      <c r="D61" s="14">
        <f>IF(F3="1",SUMIF(Data!A:A,'46'!$A$2,Data!DT:DT),0)</f>
        <v>19968</v>
      </c>
      <c r="E61" s="17">
        <f>IF($F$3="1",SUMIF(Data!$A:$A,$A$2,Data!JN:JN),0)</f>
        <v>4494</v>
      </c>
      <c r="F61" s="21">
        <f t="shared" si="3"/>
        <v>0.23</v>
      </c>
    </row>
    <row r="62" spans="1:6" x14ac:dyDescent="0.2">
      <c r="A62" s="19">
        <v>28</v>
      </c>
      <c r="B62" s="143" t="s">
        <v>24</v>
      </c>
      <c r="C62" s="144"/>
      <c r="D62" s="14">
        <f>IF(F3="1",SUMIF(Data!A:A,'46'!$A$2,Data!DV:DV),0)</f>
        <v>0</v>
      </c>
      <c r="E62" s="17">
        <f>IF($F$3="1",SUMIF(Data!$A:$A,$A$2,Data!JP:JP),0)</f>
        <v>0</v>
      </c>
      <c r="F62" s="21" t="str">
        <f t="shared" si="3"/>
        <v/>
      </c>
    </row>
    <row r="63" spans="1:6" ht="15.75" customHeight="1" thickBot="1" x14ac:dyDescent="0.25">
      <c r="A63" s="22">
        <v>29</v>
      </c>
      <c r="B63" s="147" t="s">
        <v>25</v>
      </c>
      <c r="C63" s="148"/>
      <c r="D63" s="23">
        <f>IF(F3="1",SUMIF(Data!A:A,'46'!$A$2,Data!DW:DW),0)</f>
        <v>0</v>
      </c>
      <c r="E63" s="24">
        <f>IF($F$3="1",SUMIF(Data!$A:$A,$A$2,Data!JQ:JQ),0)</f>
        <v>0</v>
      </c>
      <c r="F63" s="25" t="str">
        <f t="shared" si="3"/>
        <v/>
      </c>
    </row>
    <row r="64" spans="1:6" x14ac:dyDescent="0.2">
      <c r="B64" s="30" t="s">
        <v>35</v>
      </c>
      <c r="C64" s="30"/>
      <c r="D64" s="59">
        <f>SUM(D36:D63)</f>
        <v>1196722</v>
      </c>
      <c r="E64" s="31">
        <f>SUM(E36:E63)</f>
        <v>386452</v>
      </c>
      <c r="F64" s="32">
        <f t="shared" si="3"/>
        <v>0.32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12976</v>
      </c>
      <c r="E67" s="15">
        <f>IF(F3="1",SUMIF(Data!A:A,'46'!$A$2,Data!DY:DY),0)</f>
        <v>40628</v>
      </c>
      <c r="F67" s="20">
        <f t="shared" ref="F67:F95" si="4">IF(OR(D67=0,E67=0),"",ROUND(E67/D67,2))</f>
        <v>3.13</v>
      </c>
    </row>
    <row r="68" spans="1:6" x14ac:dyDescent="0.2">
      <c r="A68" s="19">
        <v>2</v>
      </c>
      <c r="B68" s="143" t="s">
        <v>1</v>
      </c>
      <c r="C68" s="144"/>
      <c r="D68" s="14">
        <f t="shared" ref="D68:D94" si="5">D37</f>
        <v>65556</v>
      </c>
      <c r="E68" s="17">
        <f>IF(F3="1",SUMIF(Data!A:A,'46'!$A$2,Data!DZ:DZ),0)</f>
        <v>175261</v>
      </c>
      <c r="F68" s="21">
        <f t="shared" si="4"/>
        <v>2.67</v>
      </c>
    </row>
    <row r="69" spans="1:6" ht="14.25" customHeight="1" x14ac:dyDescent="0.2">
      <c r="A69" s="19">
        <v>3</v>
      </c>
      <c r="B69" s="143" t="s">
        <v>2</v>
      </c>
      <c r="C69" s="144"/>
      <c r="D69" s="14">
        <f t="shared" si="5"/>
        <v>51536</v>
      </c>
      <c r="E69" s="17">
        <f>IF(F3="1",SUMIF(Data!A:A,'46'!$A$2,Data!EA:EA),0)</f>
        <v>118502</v>
      </c>
      <c r="F69" s="21">
        <f t="shared" si="4"/>
        <v>2.2999999999999998</v>
      </c>
    </row>
    <row r="70" spans="1:6" ht="14.25" customHeight="1" x14ac:dyDescent="0.2">
      <c r="A70" s="19">
        <v>4</v>
      </c>
      <c r="B70" s="143" t="s">
        <v>3</v>
      </c>
      <c r="C70" s="144"/>
      <c r="D70" s="14">
        <f t="shared" si="5"/>
        <v>105534</v>
      </c>
      <c r="E70" s="17">
        <f>IF(F3="1",SUMIF(Data!A:A,'46'!$A$2,Data!EB:EB),0)</f>
        <v>276067</v>
      </c>
      <c r="F70" s="21">
        <f t="shared" si="4"/>
        <v>2.62</v>
      </c>
    </row>
    <row r="71" spans="1:6" x14ac:dyDescent="0.2">
      <c r="A71" s="19">
        <v>5</v>
      </c>
      <c r="B71" s="143" t="s">
        <v>4</v>
      </c>
      <c r="C71" s="144"/>
      <c r="D71" s="14">
        <f t="shared" si="5"/>
        <v>0</v>
      </c>
      <c r="E71" s="17">
        <f>IF(F3="1",SUMIF(Data!A:A,'46'!$A$2,Data!EC:EC),0)</f>
        <v>0</v>
      </c>
      <c r="F71" s="21" t="str">
        <f t="shared" si="4"/>
        <v/>
      </c>
    </row>
    <row r="72" spans="1:6" x14ac:dyDescent="0.2">
      <c r="A72" s="19">
        <v>6</v>
      </c>
      <c r="B72" s="143" t="s">
        <v>5</v>
      </c>
      <c r="C72" s="144"/>
      <c r="D72" s="14">
        <f t="shared" si="5"/>
        <v>0</v>
      </c>
      <c r="E72" s="17">
        <f>IF(F3="1",SUMIF(Data!A:A,'46'!$A$2,Data!ED:ED),0)</f>
        <v>0</v>
      </c>
      <c r="F72" s="21" t="str">
        <f t="shared" si="4"/>
        <v/>
      </c>
    </row>
    <row r="73" spans="1:6" x14ac:dyDescent="0.2">
      <c r="A73" s="19">
        <v>7</v>
      </c>
      <c r="B73" s="143" t="s">
        <v>6</v>
      </c>
      <c r="C73" s="144"/>
      <c r="D73" s="14">
        <f t="shared" si="5"/>
        <v>62239</v>
      </c>
      <c r="E73" s="17">
        <f>IF(F3="1",SUMIF(Data!A:A,'46'!$A$2,Data!EE:EE),0)</f>
        <v>117422</v>
      </c>
      <c r="F73" s="21">
        <f t="shared" si="4"/>
        <v>1.89</v>
      </c>
    </row>
    <row r="74" spans="1:6" x14ac:dyDescent="0.2">
      <c r="A74" s="19">
        <v>8</v>
      </c>
      <c r="B74" s="143" t="s">
        <v>7</v>
      </c>
      <c r="C74" s="144"/>
      <c r="D74" s="14">
        <f t="shared" si="5"/>
        <v>0</v>
      </c>
      <c r="E74" s="17">
        <f>IF(F3="1",SUMIF(Data!A:A,'46'!$A$2,Data!EF:EF),0)</f>
        <v>0</v>
      </c>
      <c r="F74" s="21" t="str">
        <f t="shared" si="4"/>
        <v/>
      </c>
    </row>
    <row r="75" spans="1:6" x14ac:dyDescent="0.2">
      <c r="A75" s="19">
        <v>9</v>
      </c>
      <c r="B75" s="143" t="s">
        <v>8</v>
      </c>
      <c r="C75" s="144"/>
      <c r="D75" s="14">
        <f t="shared" si="5"/>
        <v>88786</v>
      </c>
      <c r="E75" s="17">
        <f>IF(F3="1",SUMIF(Data!A:A,'46'!$A$2,Data!EG:EG),0)</f>
        <v>140616</v>
      </c>
      <c r="F75" s="21">
        <f t="shared" si="4"/>
        <v>1.58</v>
      </c>
    </row>
    <row r="76" spans="1:6" x14ac:dyDescent="0.2">
      <c r="A76" s="19">
        <v>10</v>
      </c>
      <c r="B76" s="143" t="s">
        <v>9</v>
      </c>
      <c r="C76" s="144"/>
      <c r="D76" s="14">
        <f t="shared" si="5"/>
        <v>0</v>
      </c>
      <c r="E76" s="17">
        <f>IF(F3="1",SUMIF(Data!A:A,'46'!$A$2,Data!EH:EH),0)</f>
        <v>0</v>
      </c>
      <c r="F76" s="21" t="str">
        <f t="shared" si="4"/>
        <v/>
      </c>
    </row>
    <row r="77" spans="1:6" x14ac:dyDescent="0.2">
      <c r="A77" s="19">
        <v>11</v>
      </c>
      <c r="B77" s="143" t="s">
        <v>10</v>
      </c>
      <c r="C77" s="144"/>
      <c r="D77" s="14">
        <f t="shared" si="5"/>
        <v>4928</v>
      </c>
      <c r="E77" s="17">
        <f>IF(F3="1",SUMIF(Data!A:A,'46'!$A$2,Data!EI:EI),0)</f>
        <v>3015</v>
      </c>
      <c r="F77" s="21">
        <f t="shared" si="4"/>
        <v>0.61</v>
      </c>
    </row>
    <row r="78" spans="1:6" ht="14.25" customHeight="1" x14ac:dyDescent="0.2">
      <c r="A78" s="19">
        <v>12</v>
      </c>
      <c r="B78" s="143" t="s">
        <v>11</v>
      </c>
      <c r="C78" s="144"/>
      <c r="D78" s="14">
        <f t="shared" si="5"/>
        <v>95452</v>
      </c>
      <c r="E78" s="17">
        <f>IF(F3="1",SUMIF(Data!A:A,'46'!$A$2,Data!EJ:EJ),0)</f>
        <v>268945</v>
      </c>
      <c r="F78" s="21">
        <f t="shared" si="4"/>
        <v>2.82</v>
      </c>
    </row>
    <row r="79" spans="1:6" x14ac:dyDescent="0.2">
      <c r="A79" s="19">
        <v>13</v>
      </c>
      <c r="B79" s="143" t="s">
        <v>12</v>
      </c>
      <c r="C79" s="144"/>
      <c r="D79" s="14">
        <f t="shared" si="5"/>
        <v>16544</v>
      </c>
      <c r="E79" s="17">
        <f>IF(F3="1",SUMIF(Data!A:A,'46'!$A$2,Data!EK:EK),0)</f>
        <v>53622</v>
      </c>
      <c r="F79" s="21">
        <f t="shared" si="4"/>
        <v>3.24</v>
      </c>
    </row>
    <row r="80" spans="1:6" ht="14.25" customHeight="1" x14ac:dyDescent="0.2">
      <c r="A80" s="19">
        <v>14</v>
      </c>
      <c r="B80" s="143" t="s">
        <v>464</v>
      </c>
      <c r="C80" s="144"/>
      <c r="D80" s="14">
        <f t="shared" si="5"/>
        <v>57108</v>
      </c>
      <c r="E80" s="17">
        <f>IF(F3="1",SUMIF(Data!A:A,'46'!$A$2,Data!EL:EL),0)</f>
        <v>200092</v>
      </c>
      <c r="F80" s="21">
        <f t="shared" si="4"/>
        <v>3.5</v>
      </c>
    </row>
    <row r="81" spans="1:6" x14ac:dyDescent="0.2">
      <c r="A81" s="19">
        <v>15</v>
      </c>
      <c r="B81" s="143" t="s">
        <v>13</v>
      </c>
      <c r="C81" s="144"/>
      <c r="D81" s="14">
        <f t="shared" si="5"/>
        <v>0</v>
      </c>
      <c r="E81" s="17">
        <f>IF(F3="1",SUMIF(Data!A:A,'46'!$A$2,Data!EM:EM),0)</f>
        <v>0</v>
      </c>
      <c r="F81" s="21" t="str">
        <f t="shared" si="4"/>
        <v/>
      </c>
    </row>
    <row r="82" spans="1:6" x14ac:dyDescent="0.2">
      <c r="A82" s="19">
        <v>16</v>
      </c>
      <c r="B82" s="143" t="s">
        <v>14</v>
      </c>
      <c r="C82" s="144"/>
      <c r="D82" s="14">
        <f t="shared" si="5"/>
        <v>57203</v>
      </c>
      <c r="E82" s="17">
        <f>IF(F3="1",SUMIF(Data!A:A,'46'!$A$2,Data!EN:EN),0)</f>
        <v>120764</v>
      </c>
      <c r="F82" s="21">
        <f t="shared" si="4"/>
        <v>2.11</v>
      </c>
    </row>
    <row r="83" spans="1:6" x14ac:dyDescent="0.2">
      <c r="A83" s="19">
        <v>17</v>
      </c>
      <c r="B83" s="143" t="s">
        <v>15</v>
      </c>
      <c r="C83" s="144"/>
      <c r="D83" s="14">
        <f t="shared" si="5"/>
        <v>0</v>
      </c>
      <c r="E83" s="17">
        <f>IF(F3="1",SUMIF(Data!A:A,'46'!$A$2,Data!EO:EO),0)</f>
        <v>0</v>
      </c>
      <c r="F83" s="21" t="str">
        <f t="shared" si="4"/>
        <v/>
      </c>
    </row>
    <row r="84" spans="1:6" x14ac:dyDescent="0.2">
      <c r="A84" s="19">
        <v>18</v>
      </c>
      <c r="B84" s="143" t="s">
        <v>16</v>
      </c>
      <c r="C84" s="144"/>
      <c r="D84" s="14">
        <f t="shared" si="5"/>
        <v>249772</v>
      </c>
      <c r="E84" s="17">
        <f>IF(F3="1",SUMIF(Data!A:A,'46'!$A$2,Data!EP:EP),0)</f>
        <v>508905</v>
      </c>
      <c r="F84" s="21">
        <f t="shared" si="4"/>
        <v>2.04</v>
      </c>
    </row>
    <row r="85" spans="1:6" x14ac:dyDescent="0.2">
      <c r="A85" s="19">
        <v>19</v>
      </c>
      <c r="B85" s="143" t="s">
        <v>17</v>
      </c>
      <c r="C85" s="144"/>
      <c r="D85" s="14">
        <f t="shared" si="5"/>
        <v>78924</v>
      </c>
      <c r="E85" s="17">
        <f>IF(F3="1",SUMIF(Data!A:A,'46'!$A$2,Data!EQ:EQ),0)</f>
        <v>209296</v>
      </c>
      <c r="F85" s="21">
        <f t="shared" si="4"/>
        <v>2.65</v>
      </c>
    </row>
    <row r="86" spans="1:6" x14ac:dyDescent="0.2">
      <c r="A86" s="19">
        <v>20</v>
      </c>
      <c r="B86" s="143" t="s">
        <v>18</v>
      </c>
      <c r="C86" s="144"/>
      <c r="D86" s="14">
        <f t="shared" si="5"/>
        <v>16816</v>
      </c>
      <c r="E86" s="17">
        <f>IF(F3="1",SUMIF(Data!A:A,'46'!$A$2,Data!ER:ER),0)</f>
        <v>40149</v>
      </c>
      <c r="F86" s="21">
        <f t="shared" si="4"/>
        <v>2.39</v>
      </c>
    </row>
    <row r="87" spans="1:6" ht="14.25" customHeight="1" x14ac:dyDescent="0.2">
      <c r="A87" s="19">
        <v>21</v>
      </c>
      <c r="B87" s="143" t="s">
        <v>461</v>
      </c>
      <c r="C87" s="144"/>
      <c r="D87" s="14">
        <f t="shared" si="5"/>
        <v>0</v>
      </c>
      <c r="E87" s="17">
        <f>IF(F3="1",SUMIF(Data!A:A,'46'!$A$2,Data!ES:ES),0)</f>
        <v>0</v>
      </c>
      <c r="F87" s="21" t="str">
        <f t="shared" si="4"/>
        <v/>
      </c>
    </row>
    <row r="88" spans="1:6" x14ac:dyDescent="0.2">
      <c r="A88" s="19">
        <v>22</v>
      </c>
      <c r="B88" s="143" t="s">
        <v>19</v>
      </c>
      <c r="C88" s="144"/>
      <c r="D88" s="14">
        <f t="shared" si="5"/>
        <v>15776</v>
      </c>
      <c r="E88" s="17">
        <f>IF(F3="1",SUMIF(Data!A:A,'46'!$A$2,Data!ET:ET),0)</f>
        <v>42440</v>
      </c>
      <c r="F88" s="21">
        <f t="shared" si="4"/>
        <v>2.69</v>
      </c>
    </row>
    <row r="89" spans="1:6" x14ac:dyDescent="0.2">
      <c r="A89" s="19">
        <v>23</v>
      </c>
      <c r="B89" s="143" t="s">
        <v>20</v>
      </c>
      <c r="C89" s="144"/>
      <c r="D89" s="14">
        <f t="shared" si="5"/>
        <v>23008</v>
      </c>
      <c r="E89" s="17">
        <f>IF(F3="1",SUMIF(Data!A:A,'46'!$A$2,Data!EU:EU),0)</f>
        <v>34951</v>
      </c>
      <c r="F89" s="21">
        <f t="shared" si="4"/>
        <v>1.52</v>
      </c>
    </row>
    <row r="90" spans="1:6" x14ac:dyDescent="0.2">
      <c r="A90" s="19">
        <v>24</v>
      </c>
      <c r="B90" s="143" t="s">
        <v>21</v>
      </c>
      <c r="C90" s="144"/>
      <c r="D90" s="14">
        <f t="shared" si="5"/>
        <v>68084</v>
      </c>
      <c r="E90" s="17">
        <f>IF(F3="1",SUMIF(Data!A:A,'46'!$A$2,Data!EV:EV),0)</f>
        <v>205285</v>
      </c>
      <c r="F90" s="21">
        <f t="shared" si="4"/>
        <v>3.02</v>
      </c>
    </row>
    <row r="91" spans="1:6" x14ac:dyDescent="0.2">
      <c r="A91" s="19">
        <v>25</v>
      </c>
      <c r="B91" s="143" t="s">
        <v>22</v>
      </c>
      <c r="C91" s="144"/>
      <c r="D91" s="14">
        <f t="shared" si="5"/>
        <v>106512</v>
      </c>
      <c r="E91" s="17">
        <f>IF(F3="1",SUMIF(Data!A:A,'46'!$A$2,Data!EW:EW),0)</f>
        <v>166379</v>
      </c>
      <c r="F91" s="21">
        <f t="shared" si="4"/>
        <v>1.56</v>
      </c>
    </row>
    <row r="92" spans="1:6" x14ac:dyDescent="0.2">
      <c r="A92" s="19">
        <v>26</v>
      </c>
      <c r="B92" s="143" t="s">
        <v>23</v>
      </c>
      <c r="C92" s="144"/>
      <c r="D92" s="14">
        <f t="shared" si="5"/>
        <v>19968</v>
      </c>
      <c r="E92" s="17">
        <f>IF(F3="1",SUMIF(Data!A:A,'46'!$A$2,Data!EX:EX),0)</f>
        <v>51663</v>
      </c>
      <c r="F92" s="21">
        <f t="shared" si="4"/>
        <v>2.59</v>
      </c>
    </row>
    <row r="93" spans="1:6" x14ac:dyDescent="0.2">
      <c r="A93" s="19">
        <v>28</v>
      </c>
      <c r="B93" s="143" t="s">
        <v>24</v>
      </c>
      <c r="C93" s="144"/>
      <c r="D93" s="14">
        <f t="shared" si="5"/>
        <v>0</v>
      </c>
      <c r="E93" s="17">
        <f>IF(F3="1",SUMIF(Data!A:A,'46'!$A$2,Data!EZ:EZ),0)</f>
        <v>0</v>
      </c>
      <c r="F93" s="21" t="str">
        <f t="shared" si="4"/>
        <v/>
      </c>
    </row>
    <row r="94" spans="1:6" ht="15.75" customHeight="1" thickBot="1" x14ac:dyDescent="0.25">
      <c r="A94" s="22">
        <v>29</v>
      </c>
      <c r="B94" s="147" t="s">
        <v>25</v>
      </c>
      <c r="C94" s="148"/>
      <c r="D94" s="23">
        <f t="shared" si="5"/>
        <v>0</v>
      </c>
      <c r="E94" s="24">
        <f>IF(F3="1",SUMIF(Data!A:A,'46'!$A$2,Data!FA:FA),0)</f>
        <v>0</v>
      </c>
      <c r="F94" s="25" t="str">
        <f t="shared" si="4"/>
        <v/>
      </c>
    </row>
    <row r="95" spans="1:6" x14ac:dyDescent="0.2">
      <c r="B95" s="30" t="s">
        <v>35</v>
      </c>
      <c r="C95" s="30"/>
      <c r="D95" s="59">
        <f>SUM(D67:D94)</f>
        <v>1196722</v>
      </c>
      <c r="E95" s="31">
        <f>SUM(E67:E94)</f>
        <v>2774002</v>
      </c>
      <c r="F95" s="32">
        <f t="shared" si="4"/>
        <v>2.3199999999999998</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IF(F3="1",SUMIF(Data!A:A,'46'!$A$2,Data!AH:AH),0)</f>
        <v>1270749</v>
      </c>
      <c r="F98" s="20">
        <f>IF(OR(E98=0,E98=0),"",ROUND(E98/$D$105,2))</f>
        <v>1.06</v>
      </c>
    </row>
    <row r="99" spans="2:6" x14ac:dyDescent="0.2">
      <c r="B99" s="153" t="s">
        <v>31</v>
      </c>
      <c r="C99" s="154"/>
      <c r="D99" s="36"/>
      <c r="E99" s="17">
        <f>IF(F3="1",SUMIF(Data!A:A,'46'!$A$2,Data!AI:AI),0)</f>
        <v>647444</v>
      </c>
      <c r="F99" s="21">
        <f t="shared" ref="F99:F104" si="6">IF(OR(E99=0,E99=0),"",ROUND(E99/$D$105,2))</f>
        <v>0.54</v>
      </c>
    </row>
    <row r="100" spans="2:6" x14ac:dyDescent="0.2">
      <c r="B100" s="153" t="s">
        <v>1078</v>
      </c>
      <c r="C100" s="154"/>
      <c r="D100" s="36"/>
      <c r="E100" s="17">
        <f>IF(F3="1",SUMIF(Data!A:A,'46'!$A$2,Data!AJ:AJ),0)</f>
        <v>222211</v>
      </c>
      <c r="F100" s="21">
        <f t="shared" si="6"/>
        <v>0.19</v>
      </c>
    </row>
    <row r="101" spans="2:6" x14ac:dyDescent="0.2">
      <c r="B101" s="153" t="s">
        <v>1079</v>
      </c>
      <c r="C101" s="154"/>
      <c r="D101" s="36"/>
      <c r="E101" s="17">
        <f>IF(F3="1",SUMIF(Data!A:A,'46'!$A$2,Data!AK:AK),0)</f>
        <v>783350</v>
      </c>
      <c r="F101" s="21">
        <f t="shared" si="6"/>
        <v>0.65</v>
      </c>
    </row>
    <row r="102" spans="2:6" x14ac:dyDescent="0.2">
      <c r="B102" s="153" t="s">
        <v>1080</v>
      </c>
      <c r="C102" s="154"/>
      <c r="D102" s="36"/>
      <c r="E102" s="17">
        <f>IF(F3="1",SUMIF(Data!A:A,'46'!$A$2,Data!AL:AL),0)</f>
        <v>30482</v>
      </c>
      <c r="F102" s="21">
        <f t="shared" si="6"/>
        <v>0.03</v>
      </c>
    </row>
    <row r="103" spans="2:6" x14ac:dyDescent="0.2">
      <c r="B103" s="155" t="s">
        <v>34</v>
      </c>
      <c r="C103" s="156"/>
      <c r="D103" s="36"/>
      <c r="E103" s="17">
        <f>IF(F3="1",SUMIF(Data!A:A,'46'!$A$2,Data!AM:AM),0)</f>
        <v>0</v>
      </c>
      <c r="F103" s="21" t="str">
        <f t="shared" si="6"/>
        <v/>
      </c>
    </row>
    <row r="104" spans="2:6" ht="15.75" customHeight="1" thickBot="1" x14ac:dyDescent="0.25">
      <c r="B104" s="149" t="s">
        <v>29</v>
      </c>
      <c r="C104" s="150"/>
      <c r="D104" s="37"/>
      <c r="E104" s="24">
        <f>IF(F3="1",SUMIF(Data!A:A,'46'!$A$2,Data!Q:Q),0)</f>
        <v>369971</v>
      </c>
      <c r="F104" s="25">
        <f t="shared" si="6"/>
        <v>0.31</v>
      </c>
    </row>
    <row r="105" spans="2:6" x14ac:dyDescent="0.2">
      <c r="B105" s="30" t="s">
        <v>35</v>
      </c>
      <c r="C105" s="30"/>
      <c r="D105" s="34">
        <f>D95</f>
        <v>1196722</v>
      </c>
      <c r="E105" s="31">
        <f>SUM(E98:E104)</f>
        <v>3324207</v>
      </c>
      <c r="F105" s="32">
        <f>IF($D$105=0,"",ROUND(E105/$D$105,2))</f>
        <v>2.78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2774002</v>
      </c>
      <c r="D109" s="15">
        <f>IF(F3="1",SUMIF(Data!$A:$A,$A$2,Data!HJ:HJ),0)</f>
        <v>0</v>
      </c>
      <c r="E109" s="15">
        <f>IF(F3="1",SUMIF(Data!$A:$A,$A$2,Data!IN:IN),0)</f>
        <v>0</v>
      </c>
      <c r="F109" s="47">
        <f>SUM(C109:E109)</f>
        <v>2774002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30482</v>
      </c>
      <c r="F116" s="48">
        <f t="shared" si="7"/>
        <v>30482</v>
      </c>
    </row>
    <row r="117" spans="1:6" ht="15" thickBot="1" x14ac:dyDescent="0.25">
      <c r="B117" s="43" t="s">
        <v>933</v>
      </c>
      <c r="C117" s="52"/>
      <c r="D117" s="52">
        <f>IF(F3="1",SUMIF(Data!A:A,$A$2,Data!Q:Q),0)</f>
        <v>369971</v>
      </c>
      <c r="E117" s="52"/>
      <c r="F117" s="49">
        <f>SUM(C117:E117)</f>
        <v>369971</v>
      </c>
    </row>
    <row r="118" spans="1:6" x14ac:dyDescent="0.2">
      <c r="B118" s="13" t="s">
        <v>35</v>
      </c>
      <c r="C118" s="4">
        <f>SUM(C109:C116)</f>
        <v>2774002</v>
      </c>
      <c r="D118" s="4">
        <f>SUM(D109:D116)</f>
        <v>0</v>
      </c>
      <c r="E118" s="4">
        <f>SUM(E109:E116)</f>
        <v>30482</v>
      </c>
      <c r="F118" s="4">
        <f>SUM(F109:F116)</f>
        <v>2804484</v>
      </c>
    </row>
    <row r="119" spans="1:6" ht="15" thickBot="1" x14ac:dyDescent="0.25"/>
    <row r="120" spans="1:6" ht="15" thickBot="1" x14ac:dyDescent="0.25">
      <c r="B120" s="55" t="s">
        <v>934</v>
      </c>
      <c r="C120" s="53"/>
      <c r="D120" s="53"/>
      <c r="E120" s="53">
        <f>IF(F3="1",SUMIF(Data!A:A,'46'!$A$2,Data!AM:AM),0)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413</v>
      </c>
      <c r="B2" s="58" t="str">
        <f>VLOOKUP(A2,Data!A:G,7,0)</f>
        <v>Victoria College, The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2256</v>
      </c>
      <c r="E5" s="15">
        <f>E36+E67+IFERROR($E$105/$D$105*D5,0)</f>
        <v>12130.586965650458</v>
      </c>
      <c r="F5" s="20">
        <f>IF(OR(D5=0,E5=0),"",ROUND(E5/D5,2))</f>
        <v>5.38</v>
      </c>
    </row>
    <row r="6" spans="1:6" x14ac:dyDescent="0.2">
      <c r="A6" s="19">
        <v>2</v>
      </c>
      <c r="B6" s="143" t="s">
        <v>1</v>
      </c>
      <c r="C6" s="144"/>
      <c r="D6" s="14">
        <f t="shared" ref="D6:D32" si="0">D37</f>
        <v>47504</v>
      </c>
      <c r="E6" s="17">
        <f t="shared" ref="E6:E32" si="1">E37+E68+IFERROR($E$105/$D$105*D6,0)</f>
        <v>483195.07589373196</v>
      </c>
      <c r="F6" s="21">
        <f t="shared" ref="F6:F33" si="2">IF(OR(D6=0,E6=0),"",ROUND(E6/D6,2))</f>
        <v>10.17</v>
      </c>
    </row>
    <row r="7" spans="1:6" ht="14.25" customHeight="1" x14ac:dyDescent="0.2">
      <c r="A7" s="19">
        <v>3</v>
      </c>
      <c r="B7" s="143" t="s">
        <v>2</v>
      </c>
      <c r="C7" s="144"/>
      <c r="D7" s="14">
        <f t="shared" si="0"/>
        <v>194960</v>
      </c>
      <c r="E7" s="17">
        <f t="shared" si="1"/>
        <v>1365190.632457098</v>
      </c>
      <c r="F7" s="21">
        <f t="shared" si="2"/>
        <v>7</v>
      </c>
    </row>
    <row r="8" spans="1:6" ht="14.25" customHeight="1" x14ac:dyDescent="0.2">
      <c r="A8" s="19">
        <v>4</v>
      </c>
      <c r="B8" s="143" t="s">
        <v>3</v>
      </c>
      <c r="C8" s="144"/>
      <c r="D8" s="14">
        <f t="shared" si="0"/>
        <v>143184</v>
      </c>
      <c r="E8" s="17">
        <f t="shared" si="1"/>
        <v>773650.91316032584</v>
      </c>
      <c r="F8" s="21">
        <f t="shared" si="2"/>
        <v>5.4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87168</v>
      </c>
      <c r="E11" s="17">
        <f t="shared" si="1"/>
        <v>650415.48786428152</v>
      </c>
      <c r="F11" s="21">
        <f t="shared" si="2"/>
        <v>7.46</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7152</v>
      </c>
      <c r="E13" s="17">
        <f t="shared" si="1"/>
        <v>38753.009742168477</v>
      </c>
      <c r="F13" s="21">
        <f t="shared" si="2"/>
        <v>5.42</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31008</v>
      </c>
      <c r="E15" s="17">
        <f t="shared" si="1"/>
        <v>242075.34425128077</v>
      </c>
      <c r="F15" s="21">
        <f t="shared" si="2"/>
        <v>7.81</v>
      </c>
    </row>
    <row r="16" spans="1:6" ht="14.25" customHeight="1" x14ac:dyDescent="0.2">
      <c r="A16" s="19">
        <v>12</v>
      </c>
      <c r="B16" s="143" t="s">
        <v>11</v>
      </c>
      <c r="C16" s="144"/>
      <c r="D16" s="14">
        <f t="shared" si="0"/>
        <v>208144</v>
      </c>
      <c r="E16" s="17">
        <f t="shared" si="1"/>
        <v>1268243.8428095519</v>
      </c>
      <c r="F16" s="21">
        <f t="shared" si="2"/>
        <v>6.09</v>
      </c>
    </row>
    <row r="17" spans="1:6" x14ac:dyDescent="0.2">
      <c r="A17" s="19">
        <v>13</v>
      </c>
      <c r="B17" s="143" t="s">
        <v>12</v>
      </c>
      <c r="C17" s="144"/>
      <c r="D17" s="14">
        <f t="shared" si="0"/>
        <v>13136</v>
      </c>
      <c r="E17" s="17">
        <f t="shared" si="1"/>
        <v>87944.304246801592</v>
      </c>
      <c r="F17" s="21">
        <f t="shared" si="2"/>
        <v>6.69</v>
      </c>
    </row>
    <row r="18" spans="1:6" ht="14.25" customHeight="1" x14ac:dyDescent="0.2">
      <c r="A18" s="19">
        <v>14</v>
      </c>
      <c r="B18" s="143" t="s">
        <v>464</v>
      </c>
      <c r="C18" s="144"/>
      <c r="D18" s="14">
        <f t="shared" si="0"/>
        <v>85776</v>
      </c>
      <c r="E18" s="17">
        <f t="shared" si="1"/>
        <v>1075175.2108003695</v>
      </c>
      <c r="F18" s="21">
        <f t="shared" si="2"/>
        <v>12.53</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41600</v>
      </c>
      <c r="E20" s="17">
        <f t="shared" si="1"/>
        <v>357474.62489851908</v>
      </c>
      <c r="F20" s="21">
        <f t="shared" si="2"/>
        <v>8.59</v>
      </c>
    </row>
    <row r="21" spans="1:6" x14ac:dyDescent="0.2">
      <c r="A21" s="19">
        <v>17</v>
      </c>
      <c r="B21" s="143" t="s">
        <v>15</v>
      </c>
      <c r="C21" s="144"/>
      <c r="D21" s="14">
        <f t="shared" si="0"/>
        <v>27568</v>
      </c>
      <c r="E21" s="17">
        <f t="shared" si="1"/>
        <v>236509.07334621091</v>
      </c>
      <c r="F21" s="21">
        <f t="shared" si="2"/>
        <v>8.58</v>
      </c>
    </row>
    <row r="22" spans="1:6" x14ac:dyDescent="0.2">
      <c r="A22" s="19">
        <v>18</v>
      </c>
      <c r="B22" s="143" t="s">
        <v>16</v>
      </c>
      <c r="C22" s="144"/>
      <c r="D22" s="14">
        <f t="shared" si="0"/>
        <v>295008</v>
      </c>
      <c r="E22" s="17">
        <f t="shared" si="1"/>
        <v>1719699.9253380364</v>
      </c>
      <c r="F22" s="21">
        <f t="shared" si="2"/>
        <v>5.83</v>
      </c>
    </row>
    <row r="23" spans="1:6" x14ac:dyDescent="0.2">
      <c r="A23" s="19">
        <v>19</v>
      </c>
      <c r="B23" s="143" t="s">
        <v>17</v>
      </c>
      <c r="C23" s="144"/>
      <c r="D23" s="14">
        <f t="shared" si="0"/>
        <v>140160</v>
      </c>
      <c r="E23" s="17">
        <f t="shared" si="1"/>
        <v>778806.82850424119</v>
      </c>
      <c r="F23" s="21">
        <f t="shared" si="2"/>
        <v>5.56</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64608</v>
      </c>
      <c r="E27" s="17">
        <f t="shared" si="1"/>
        <v>439897.61820777692</v>
      </c>
      <c r="F27" s="21">
        <f t="shared" si="2"/>
        <v>6.81</v>
      </c>
    </row>
    <row r="28" spans="1:6" x14ac:dyDescent="0.2">
      <c r="A28" s="19">
        <v>24</v>
      </c>
      <c r="B28" s="143" t="s">
        <v>21</v>
      </c>
      <c r="C28" s="144"/>
      <c r="D28" s="14">
        <f t="shared" si="0"/>
        <v>39568</v>
      </c>
      <c r="E28" s="17">
        <f t="shared" si="1"/>
        <v>432045.59975924529</v>
      </c>
      <c r="F28" s="21">
        <f t="shared" si="2"/>
        <v>10.92</v>
      </c>
    </row>
    <row r="29" spans="1:6" x14ac:dyDescent="0.2">
      <c r="A29" s="19">
        <v>25</v>
      </c>
      <c r="B29" s="143" t="s">
        <v>22</v>
      </c>
      <c r="C29" s="144"/>
      <c r="D29" s="14">
        <f t="shared" si="0"/>
        <v>233136</v>
      </c>
      <c r="E29" s="17">
        <f t="shared" si="1"/>
        <v>1265316.9551524315</v>
      </c>
      <c r="F29" s="21">
        <f t="shared" si="2"/>
        <v>5.43</v>
      </c>
    </row>
    <row r="30" spans="1:6" x14ac:dyDescent="0.2">
      <c r="A30" s="19">
        <v>26</v>
      </c>
      <c r="B30" s="143" t="s">
        <v>23</v>
      </c>
      <c r="C30" s="144"/>
      <c r="D30" s="14">
        <f t="shared" si="0"/>
        <v>52672</v>
      </c>
      <c r="E30" s="17">
        <f t="shared" si="1"/>
        <v>375756.96660227876</v>
      </c>
      <c r="F30" s="21">
        <f t="shared" si="2"/>
        <v>7.13</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1714608</v>
      </c>
      <c r="E33" s="31">
        <f>SUM(E5:E32)</f>
        <v>11602282</v>
      </c>
      <c r="F33" s="32">
        <f t="shared" si="2"/>
        <v>6.77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IF(F3="1",SUMIF(Data!A:A,'47'!$A$2,Data!CU:CU),0)</f>
        <v>2256</v>
      </c>
      <c r="E36" s="15">
        <f>IF(F3="1",SUMIF(Data!$A:$A,$A$2,Data!IO:IO),0)</f>
        <v>0</v>
      </c>
      <c r="F36" s="20" t="str">
        <f t="shared" ref="F36:F64" si="3">IF(OR(D36=0,E36=0),"",ROUND(E36/D36,2))</f>
        <v/>
      </c>
    </row>
    <row r="37" spans="1:6" x14ac:dyDescent="0.2">
      <c r="A37" s="19">
        <v>2</v>
      </c>
      <c r="B37" s="143" t="s">
        <v>1</v>
      </c>
      <c r="C37" s="144"/>
      <c r="D37" s="14">
        <f>IF(F3="1",SUMIF(Data!A:A,'47'!$A$2,Data!CV:CV),0)</f>
        <v>47504</v>
      </c>
      <c r="E37" s="17">
        <f>IF(F3="1",SUMIF(Data!$A:$A,$A$2,Data!IP:IP),0)</f>
        <v>50082</v>
      </c>
      <c r="F37" s="21">
        <f t="shared" si="3"/>
        <v>1.05</v>
      </c>
    </row>
    <row r="38" spans="1:6" ht="14.25" customHeight="1" x14ac:dyDescent="0.2">
      <c r="A38" s="19">
        <v>3</v>
      </c>
      <c r="B38" s="143" t="s">
        <v>2</v>
      </c>
      <c r="C38" s="144"/>
      <c r="D38" s="14">
        <f>IF(F3="1",SUMIF(Data!A:A,'47'!$A$2,Data!CW:CW),0)</f>
        <v>194960</v>
      </c>
      <c r="E38" s="17">
        <f>IF($F$3="1",SUMIF(Data!$A:$A,$A$2,Data!IQ:IQ),0)</f>
        <v>316860</v>
      </c>
      <c r="F38" s="21">
        <f t="shared" si="3"/>
        <v>1.63</v>
      </c>
    </row>
    <row r="39" spans="1:6" ht="14.25" customHeight="1" x14ac:dyDescent="0.2">
      <c r="A39" s="19">
        <v>4</v>
      </c>
      <c r="B39" s="143" t="s">
        <v>3</v>
      </c>
      <c r="C39" s="144"/>
      <c r="D39" s="14">
        <f>IF(F3="1",SUMIF(Data!A:A,'47'!$A$2,Data!CX:CX),0)</f>
        <v>143184</v>
      </c>
      <c r="E39" s="17">
        <f>IF($F$3="1",SUMIF(Data!$A:$A,$A$2,Data!IR:IR),0)</f>
        <v>71210</v>
      </c>
      <c r="F39" s="21">
        <f t="shared" si="3"/>
        <v>0.5</v>
      </c>
    </row>
    <row r="40" spans="1:6" x14ac:dyDescent="0.2">
      <c r="A40" s="19">
        <v>5</v>
      </c>
      <c r="B40" s="143" t="s">
        <v>4</v>
      </c>
      <c r="C40" s="144"/>
      <c r="D40" s="14">
        <f>IF(F3="1",SUMIF(Data!A:A,'47'!$A$2,Data!CY:CY),0)</f>
        <v>0</v>
      </c>
      <c r="E40" s="17">
        <f>IF($F$3="1",SUMIF(Data!$A:$A,$A$2,Data!IS:IS),0)</f>
        <v>0</v>
      </c>
      <c r="F40" s="21" t="str">
        <f t="shared" si="3"/>
        <v/>
      </c>
    </row>
    <row r="41" spans="1:6" x14ac:dyDescent="0.2">
      <c r="A41" s="19">
        <v>6</v>
      </c>
      <c r="B41" s="143" t="s">
        <v>5</v>
      </c>
      <c r="C41" s="144"/>
      <c r="D41" s="14">
        <f>IF(F3="1",SUMIF(Data!A:A,'47'!$A$2,Data!CZ:CZ),0)</f>
        <v>0</v>
      </c>
      <c r="E41" s="17">
        <f>IF($F$3="1",SUMIF(Data!$A:$A,$A$2,Data!IT:IT),0)</f>
        <v>0</v>
      </c>
      <c r="F41" s="21" t="str">
        <f t="shared" si="3"/>
        <v/>
      </c>
    </row>
    <row r="42" spans="1:6" x14ac:dyDescent="0.2">
      <c r="A42" s="19">
        <v>7</v>
      </c>
      <c r="B42" s="143" t="s">
        <v>6</v>
      </c>
      <c r="C42" s="144"/>
      <c r="D42" s="14">
        <f>IF(F3="1",SUMIF(Data!A:A,'47'!$A$2,Data!DA:DA),0)</f>
        <v>87168</v>
      </c>
      <c r="E42" s="17">
        <f>IF($F$3="1",SUMIF(Data!$A:$A,$A$2,Data!IU:IU),0)</f>
        <v>73445</v>
      </c>
      <c r="F42" s="21">
        <f t="shared" si="3"/>
        <v>0.84</v>
      </c>
    </row>
    <row r="43" spans="1:6" x14ac:dyDescent="0.2">
      <c r="A43" s="19">
        <v>8</v>
      </c>
      <c r="B43" s="143" t="s">
        <v>7</v>
      </c>
      <c r="C43" s="144"/>
      <c r="D43" s="14">
        <f>IF(F3="1",SUMIF(Data!A:A,'47'!$A$2,Data!DB:DB),0)</f>
        <v>0</v>
      </c>
      <c r="E43" s="17">
        <f>IF($F$3="1",SUMIF(Data!$A:$A,$A$2,Data!IV:IV),0)</f>
        <v>0</v>
      </c>
      <c r="F43" s="21" t="str">
        <f t="shared" si="3"/>
        <v/>
      </c>
    </row>
    <row r="44" spans="1:6" x14ac:dyDescent="0.2">
      <c r="A44" s="19">
        <v>9</v>
      </c>
      <c r="B44" s="143" t="s">
        <v>8</v>
      </c>
      <c r="C44" s="144"/>
      <c r="D44" s="14">
        <f>IF(F3="1",SUMIF(Data!A:A,'47'!$A$2,Data!DC:DC),0)</f>
        <v>7152</v>
      </c>
      <c r="E44" s="17">
        <f>IF($F$3="1",SUMIF(Data!$A:$A,$A$2,Data!IW:IW),0)</f>
        <v>2638</v>
      </c>
      <c r="F44" s="21">
        <f t="shared" si="3"/>
        <v>0.37</v>
      </c>
    </row>
    <row r="45" spans="1:6" x14ac:dyDescent="0.2">
      <c r="A45" s="19">
        <v>10</v>
      </c>
      <c r="B45" s="143" t="s">
        <v>9</v>
      </c>
      <c r="C45" s="144"/>
      <c r="D45" s="14">
        <f>IF(F3="1",SUMIF(Data!A:A,'47'!$A$2,Data!DD:DD),0)</f>
        <v>0</v>
      </c>
      <c r="E45" s="17">
        <f>IF($F$3="1",SUMIF(Data!$A:$A,$A$2,Data!IX:IX),0)</f>
        <v>0</v>
      </c>
      <c r="F45" s="21" t="str">
        <f t="shared" si="3"/>
        <v/>
      </c>
    </row>
    <row r="46" spans="1:6" x14ac:dyDescent="0.2">
      <c r="A46" s="19">
        <v>11</v>
      </c>
      <c r="B46" s="143" t="s">
        <v>10</v>
      </c>
      <c r="C46" s="144"/>
      <c r="D46" s="14">
        <f>IF(F3="1",SUMIF(Data!A:A,'47'!$A$2,Data!DE:DE),0)</f>
        <v>31008</v>
      </c>
      <c r="E46" s="17">
        <f>IF($F$3="1",SUMIF(Data!$A:$A,$A$2,Data!IY:IY),0)</f>
        <v>73980</v>
      </c>
      <c r="F46" s="21">
        <f t="shared" si="3"/>
        <v>2.39</v>
      </c>
    </row>
    <row r="47" spans="1:6" ht="14.25" customHeight="1" x14ac:dyDescent="0.2">
      <c r="A47" s="19">
        <v>12</v>
      </c>
      <c r="B47" s="143" t="s">
        <v>11</v>
      </c>
      <c r="C47" s="144"/>
      <c r="D47" s="14">
        <f>IF(F3="1",SUMIF(Data!A:A,'47'!$A$2,Data!DF:DF),0)</f>
        <v>208144</v>
      </c>
      <c r="E47" s="17">
        <f>IF($F$3="1",SUMIF(Data!$A:$A,$A$2,Data!IZ:IZ),0)</f>
        <v>53891</v>
      </c>
      <c r="F47" s="21">
        <f t="shared" si="3"/>
        <v>0.26</v>
      </c>
    </row>
    <row r="48" spans="1:6" x14ac:dyDescent="0.2">
      <c r="A48" s="19">
        <v>13</v>
      </c>
      <c r="B48" s="143" t="s">
        <v>12</v>
      </c>
      <c r="C48" s="144"/>
      <c r="D48" s="14">
        <f>IF(F3="1",SUMIF(Data!A:A,'47'!$A$2,Data!DG:DG),0)</f>
        <v>13136</v>
      </c>
      <c r="E48" s="17">
        <f>IF($F$3="1",SUMIF(Data!$A:$A,$A$2,Data!JA:JA),0)</f>
        <v>7870</v>
      </c>
      <c r="F48" s="21">
        <f t="shared" si="3"/>
        <v>0.6</v>
      </c>
    </row>
    <row r="49" spans="1:6" ht="14.25" customHeight="1" x14ac:dyDescent="0.2">
      <c r="A49" s="19">
        <v>14</v>
      </c>
      <c r="B49" s="143" t="s">
        <v>464</v>
      </c>
      <c r="C49" s="144"/>
      <c r="D49" s="14">
        <f>IF(F3="1",SUMIF(Data!A:A,'47'!$A$2,Data!DH:DH),0)</f>
        <v>85776</v>
      </c>
      <c r="E49" s="17">
        <f>IF($F$3="1",SUMIF(Data!$A:$A,$A$2,Data!JB:JB),0)</f>
        <v>157925</v>
      </c>
      <c r="F49" s="21">
        <f t="shared" si="3"/>
        <v>1.84</v>
      </c>
    </row>
    <row r="50" spans="1:6" x14ac:dyDescent="0.2">
      <c r="A50" s="19">
        <v>15</v>
      </c>
      <c r="B50" s="143" t="s">
        <v>13</v>
      </c>
      <c r="C50" s="144"/>
      <c r="D50" s="14">
        <f>IF(F3="1",SUMIF(Data!A:A,'47'!$A$2,Data!DI:DI),0)</f>
        <v>0</v>
      </c>
      <c r="E50" s="17">
        <f>IF($F$3="1",SUMIF(Data!$A:$A,$A$2,Data!JC:JC),0)</f>
        <v>0</v>
      </c>
      <c r="F50" s="21" t="str">
        <f t="shared" si="3"/>
        <v/>
      </c>
    </row>
    <row r="51" spans="1:6" x14ac:dyDescent="0.2">
      <c r="A51" s="19">
        <v>16</v>
      </c>
      <c r="B51" s="143" t="s">
        <v>14</v>
      </c>
      <c r="C51" s="144"/>
      <c r="D51" s="14">
        <f>IF(F3="1",SUMIF(Data!A:A,'47'!$A$2,Data!DJ:DJ),0)</f>
        <v>41600</v>
      </c>
      <c r="E51" s="17">
        <f>IF($F$3="1",SUMIF(Data!$A:$A,$A$2,Data!JD:JD),0)</f>
        <v>58185</v>
      </c>
      <c r="F51" s="21">
        <f t="shared" si="3"/>
        <v>1.4</v>
      </c>
    </row>
    <row r="52" spans="1:6" x14ac:dyDescent="0.2">
      <c r="A52" s="19">
        <v>17</v>
      </c>
      <c r="B52" s="143" t="s">
        <v>15</v>
      </c>
      <c r="C52" s="144"/>
      <c r="D52" s="14">
        <f>IF(F3="1",SUMIF(Data!A:A,'47'!$A$2,Data!DK:DK),0)</f>
        <v>27568</v>
      </c>
      <c r="E52" s="17">
        <f>IF($F$3="1",SUMIF(Data!$A:$A,$A$2,Data!JE:JE),0)</f>
        <v>22826</v>
      </c>
      <c r="F52" s="21">
        <f t="shared" si="3"/>
        <v>0.83</v>
      </c>
    </row>
    <row r="53" spans="1:6" x14ac:dyDescent="0.2">
      <c r="A53" s="19">
        <v>18</v>
      </c>
      <c r="B53" s="143" t="s">
        <v>16</v>
      </c>
      <c r="C53" s="144"/>
      <c r="D53" s="14">
        <f>IF(F3="1",SUMIF(Data!A:A,'47'!$A$2,Data!DL:DL),0)</f>
        <v>295008</v>
      </c>
      <c r="E53" s="17">
        <f>IF($F$3="1",SUMIF(Data!$A:$A,$A$2,Data!JF:JF),0)</f>
        <v>172319</v>
      </c>
      <c r="F53" s="21">
        <f t="shared" si="3"/>
        <v>0.57999999999999996</v>
      </c>
    </row>
    <row r="54" spans="1:6" x14ac:dyDescent="0.2">
      <c r="A54" s="19">
        <v>19</v>
      </c>
      <c r="B54" s="143" t="s">
        <v>17</v>
      </c>
      <c r="C54" s="144"/>
      <c r="D54" s="14">
        <f>IF(F3="1",SUMIF(Data!A:A,'47'!$A$2,Data!DM:DM),0)</f>
        <v>140160</v>
      </c>
      <c r="E54" s="17">
        <f>IF($F$3="1",SUMIF(Data!$A:$A,$A$2,Data!JG:JG),0)</f>
        <v>50219</v>
      </c>
      <c r="F54" s="21">
        <f t="shared" si="3"/>
        <v>0.36</v>
      </c>
    </row>
    <row r="55" spans="1:6" x14ac:dyDescent="0.2">
      <c r="A55" s="19">
        <v>20</v>
      </c>
      <c r="B55" s="143" t="s">
        <v>18</v>
      </c>
      <c r="C55" s="144"/>
      <c r="D55" s="14">
        <f>IF(F3="1",SUMIF(Data!A:A,'47'!$A$2,Data!DN:DN),0)</f>
        <v>0</v>
      </c>
      <c r="E55" s="17">
        <f>IF($F$3="1",SUMIF(Data!$A:$A,$A$2,Data!JH:JH),0)</f>
        <v>0</v>
      </c>
      <c r="F55" s="21" t="str">
        <f t="shared" si="3"/>
        <v/>
      </c>
    </row>
    <row r="56" spans="1:6" ht="14.25" customHeight="1" x14ac:dyDescent="0.2">
      <c r="A56" s="19">
        <v>21</v>
      </c>
      <c r="B56" s="143" t="s">
        <v>461</v>
      </c>
      <c r="C56" s="144"/>
      <c r="D56" s="14">
        <f>IF(F3="1",SUMIF(Data!A:A,'47'!$A$2,Data!DO:DO),0)</f>
        <v>0</v>
      </c>
      <c r="E56" s="17">
        <f>IF($F$3="1",SUMIF(Data!$A:$A,$A$2,Data!JI:JI),0)</f>
        <v>0</v>
      </c>
      <c r="F56" s="21" t="str">
        <f t="shared" si="3"/>
        <v/>
      </c>
    </row>
    <row r="57" spans="1:6" x14ac:dyDescent="0.2">
      <c r="A57" s="19">
        <v>22</v>
      </c>
      <c r="B57" s="143" t="s">
        <v>19</v>
      </c>
      <c r="C57" s="144"/>
      <c r="D57" s="14">
        <f>IF(F3="1",SUMIF(Data!A:A,'47'!$A$2,Data!DP:DP),0)</f>
        <v>0</v>
      </c>
      <c r="E57" s="17">
        <f>IF($F$3="1",SUMIF(Data!$A:$A,$A$2,Data!JJ:JJ),0)</f>
        <v>0</v>
      </c>
      <c r="F57" s="21" t="str">
        <f t="shared" si="3"/>
        <v/>
      </c>
    </row>
    <row r="58" spans="1:6" x14ac:dyDescent="0.2">
      <c r="A58" s="19">
        <v>23</v>
      </c>
      <c r="B58" s="143" t="s">
        <v>20</v>
      </c>
      <c r="C58" s="144"/>
      <c r="D58" s="14">
        <f>IF(F3="1",SUMIF(Data!A:A,'47'!$A$2,Data!DQ:DQ),0)</f>
        <v>64608</v>
      </c>
      <c r="E58" s="17">
        <f>IF($F$3="1",SUMIF(Data!$A:$A,$A$2,Data!JK:JK),0)</f>
        <v>48400</v>
      </c>
      <c r="F58" s="21">
        <f t="shared" si="3"/>
        <v>0.75</v>
      </c>
    </row>
    <row r="59" spans="1:6" x14ac:dyDescent="0.2">
      <c r="A59" s="19">
        <v>24</v>
      </c>
      <c r="B59" s="143" t="s">
        <v>21</v>
      </c>
      <c r="C59" s="144"/>
      <c r="D59" s="14">
        <f>IF(F3="1",SUMIF(Data!A:A,'47'!$A$2,Data!DR:DR),0)</f>
        <v>39568</v>
      </c>
      <c r="E59" s="17">
        <f>IF($F$3="1",SUMIF(Data!$A:$A,$A$2,Data!JL:JL),0)</f>
        <v>116188</v>
      </c>
      <c r="F59" s="21">
        <f t="shared" si="3"/>
        <v>2.94</v>
      </c>
    </row>
    <row r="60" spans="1:6" x14ac:dyDescent="0.2">
      <c r="A60" s="19">
        <v>25</v>
      </c>
      <c r="B60" s="143" t="s">
        <v>22</v>
      </c>
      <c r="C60" s="144"/>
      <c r="D60" s="14">
        <f>IF(F3="1",SUMIF(Data!A:A,'47'!$A$2,Data!DS:DS),0)</f>
        <v>233136</v>
      </c>
      <c r="E60" s="17">
        <f>IF($F$3="1",SUMIF(Data!$A:$A,$A$2,Data!JM:JM),0)</f>
        <v>64757</v>
      </c>
      <c r="F60" s="21">
        <f t="shared" si="3"/>
        <v>0.28000000000000003</v>
      </c>
    </row>
    <row r="61" spans="1:6" x14ac:dyDescent="0.2">
      <c r="A61" s="19">
        <v>26</v>
      </c>
      <c r="B61" s="143" t="s">
        <v>23</v>
      </c>
      <c r="C61" s="144"/>
      <c r="D61" s="14">
        <f>IF(F3="1",SUMIF(Data!A:A,'47'!$A$2,Data!DT:DT),0)</f>
        <v>52672</v>
      </c>
      <c r="E61" s="17">
        <f>IF($F$3="1",SUMIF(Data!$A:$A,$A$2,Data!JN:JN),0)</f>
        <v>36050</v>
      </c>
      <c r="F61" s="21">
        <f t="shared" si="3"/>
        <v>0.68</v>
      </c>
    </row>
    <row r="62" spans="1:6" x14ac:dyDescent="0.2">
      <c r="A62" s="19">
        <v>28</v>
      </c>
      <c r="B62" s="143" t="s">
        <v>24</v>
      </c>
      <c r="C62" s="144"/>
      <c r="D62" s="14">
        <f>IF(F3="1",SUMIF(Data!A:A,'47'!$A$2,Data!DV:DV),0)</f>
        <v>0</v>
      </c>
      <c r="E62" s="17">
        <f>IF($F$3="1",SUMIF(Data!$A:$A,$A$2,Data!JP:JP),0)</f>
        <v>0</v>
      </c>
      <c r="F62" s="21" t="str">
        <f t="shared" si="3"/>
        <v/>
      </c>
    </row>
    <row r="63" spans="1:6" ht="15.75" customHeight="1" thickBot="1" x14ac:dyDescent="0.25">
      <c r="A63" s="22">
        <v>29</v>
      </c>
      <c r="B63" s="147" t="s">
        <v>25</v>
      </c>
      <c r="C63" s="148"/>
      <c r="D63" s="23">
        <f>IF(F3="1",SUMIF(Data!A:A,'47'!$A$2,Data!DW:DW),0)</f>
        <v>0</v>
      </c>
      <c r="E63" s="24">
        <f>IF($F$3="1",SUMIF(Data!$A:$A,$A$2,Data!JQ:JQ),0)</f>
        <v>0</v>
      </c>
      <c r="F63" s="25" t="str">
        <f t="shared" si="3"/>
        <v/>
      </c>
    </row>
    <row r="64" spans="1:6" x14ac:dyDescent="0.2">
      <c r="B64" s="30" t="s">
        <v>35</v>
      </c>
      <c r="C64" s="30"/>
      <c r="D64" s="59">
        <f>SUM(D36:D63)</f>
        <v>1714608</v>
      </c>
      <c r="E64" s="31">
        <f>SUM(E36:E63)</f>
        <v>1376845</v>
      </c>
      <c r="F64" s="32">
        <f t="shared" si="3"/>
        <v>0.8</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2256</v>
      </c>
      <c r="E67" s="15">
        <f>IF(F3="1",SUMIF(Data!A:A,'47'!$A$2,Data!DY:DY),0)</f>
        <v>6354</v>
      </c>
      <c r="F67" s="20">
        <f t="shared" ref="F67:F95" si="4">IF(OR(D67=0,E67=0),"",ROUND(E67/D67,2))</f>
        <v>2.82</v>
      </c>
    </row>
    <row r="68" spans="1:6" x14ac:dyDescent="0.2">
      <c r="A68" s="19">
        <v>2</v>
      </c>
      <c r="B68" s="143" t="s">
        <v>1</v>
      </c>
      <c r="C68" s="144"/>
      <c r="D68" s="14">
        <f t="shared" ref="D68:D94" si="5">D37</f>
        <v>47504</v>
      </c>
      <c r="E68" s="17">
        <f>IF(F3="1",SUMIF(Data!A:A,'47'!$A$2,Data!DZ:DZ),0)</f>
        <v>311477</v>
      </c>
      <c r="F68" s="21">
        <f t="shared" si="4"/>
        <v>6.56</v>
      </c>
    </row>
    <row r="69" spans="1:6" ht="14.25" customHeight="1" x14ac:dyDescent="0.2">
      <c r="A69" s="19">
        <v>3</v>
      </c>
      <c r="B69" s="143" t="s">
        <v>2</v>
      </c>
      <c r="C69" s="144"/>
      <c r="D69" s="14">
        <f t="shared" si="5"/>
        <v>194960</v>
      </c>
      <c r="E69" s="17">
        <f>IF(F3="1",SUMIF(Data!A:A,'47'!$A$2,Data!EA:EA),0)</f>
        <v>549127</v>
      </c>
      <c r="F69" s="21">
        <f t="shared" si="4"/>
        <v>2.82</v>
      </c>
    </row>
    <row r="70" spans="1:6" ht="14.25" customHeight="1" x14ac:dyDescent="0.2">
      <c r="A70" s="19">
        <v>4</v>
      </c>
      <c r="B70" s="143" t="s">
        <v>3</v>
      </c>
      <c r="C70" s="144"/>
      <c r="D70" s="14">
        <f t="shared" si="5"/>
        <v>143184</v>
      </c>
      <c r="E70" s="17">
        <f>IF(F3="1",SUMIF(Data!A:A,'47'!$A$2,Data!EB:EB),0)</f>
        <v>335812</v>
      </c>
      <c r="F70" s="21">
        <f t="shared" si="4"/>
        <v>2.35</v>
      </c>
    </row>
    <row r="71" spans="1:6" x14ac:dyDescent="0.2">
      <c r="A71" s="19">
        <v>5</v>
      </c>
      <c r="B71" s="143" t="s">
        <v>4</v>
      </c>
      <c r="C71" s="144"/>
      <c r="D71" s="14">
        <f t="shared" si="5"/>
        <v>0</v>
      </c>
      <c r="E71" s="17">
        <f>IF(F3="1",SUMIF(Data!A:A,'47'!$A$2,Data!EC:EC),0)</f>
        <v>0</v>
      </c>
      <c r="F71" s="21" t="str">
        <f t="shared" si="4"/>
        <v/>
      </c>
    </row>
    <row r="72" spans="1:6" x14ac:dyDescent="0.2">
      <c r="A72" s="19">
        <v>6</v>
      </c>
      <c r="B72" s="143" t="s">
        <v>5</v>
      </c>
      <c r="C72" s="144"/>
      <c r="D72" s="14">
        <f t="shared" si="5"/>
        <v>0</v>
      </c>
      <c r="E72" s="17">
        <f>IF(F3="1",SUMIF(Data!A:A,'47'!$A$2,Data!ED:ED),0)</f>
        <v>0</v>
      </c>
      <c r="F72" s="21" t="str">
        <f t="shared" si="4"/>
        <v/>
      </c>
    </row>
    <row r="73" spans="1:6" x14ac:dyDescent="0.2">
      <c r="A73" s="19">
        <v>7</v>
      </c>
      <c r="B73" s="143" t="s">
        <v>6</v>
      </c>
      <c r="C73" s="144"/>
      <c r="D73" s="14">
        <f t="shared" si="5"/>
        <v>87168</v>
      </c>
      <c r="E73" s="17">
        <f>IF(F3="1",SUMIF(Data!A:A,'47'!$A$2,Data!EE:EE),0)</f>
        <v>353773</v>
      </c>
      <c r="F73" s="21">
        <f t="shared" si="4"/>
        <v>4.0599999999999996</v>
      </c>
    </row>
    <row r="74" spans="1:6" x14ac:dyDescent="0.2">
      <c r="A74" s="19">
        <v>8</v>
      </c>
      <c r="B74" s="143" t="s">
        <v>7</v>
      </c>
      <c r="C74" s="144"/>
      <c r="D74" s="14">
        <f t="shared" si="5"/>
        <v>0</v>
      </c>
      <c r="E74" s="17">
        <f>IF(F3="1",SUMIF(Data!A:A,'47'!$A$2,Data!EF:EF),0)</f>
        <v>0</v>
      </c>
      <c r="F74" s="21" t="str">
        <f t="shared" si="4"/>
        <v/>
      </c>
    </row>
    <row r="75" spans="1:6" x14ac:dyDescent="0.2">
      <c r="A75" s="19">
        <v>9</v>
      </c>
      <c r="B75" s="143" t="s">
        <v>8</v>
      </c>
      <c r="C75" s="144"/>
      <c r="D75" s="14">
        <f t="shared" si="5"/>
        <v>7152</v>
      </c>
      <c r="E75" s="17">
        <f>IF(F3="1",SUMIF(Data!A:A,'47'!$A$2,Data!EG:EG),0)</f>
        <v>17802</v>
      </c>
      <c r="F75" s="21">
        <f t="shared" si="4"/>
        <v>2.4900000000000002</v>
      </c>
    </row>
    <row r="76" spans="1:6" x14ac:dyDescent="0.2">
      <c r="A76" s="19">
        <v>10</v>
      </c>
      <c r="B76" s="143" t="s">
        <v>9</v>
      </c>
      <c r="C76" s="144"/>
      <c r="D76" s="14">
        <f t="shared" si="5"/>
        <v>0</v>
      </c>
      <c r="E76" s="17">
        <f>IF(F3="1",SUMIF(Data!A:A,'47'!$A$2,Data!EH:EH),0)</f>
        <v>0</v>
      </c>
      <c r="F76" s="21" t="str">
        <f t="shared" si="4"/>
        <v/>
      </c>
    </row>
    <row r="77" spans="1:6" x14ac:dyDescent="0.2">
      <c r="A77" s="19">
        <v>11</v>
      </c>
      <c r="B77" s="143" t="s">
        <v>10</v>
      </c>
      <c r="C77" s="144"/>
      <c r="D77" s="14">
        <f t="shared" si="5"/>
        <v>31008</v>
      </c>
      <c r="E77" s="17">
        <f>IF(F3="1",SUMIF(Data!A:A,'47'!$A$2,Data!EI:EI),0)</f>
        <v>88698</v>
      </c>
      <c r="F77" s="21">
        <f t="shared" si="4"/>
        <v>2.86</v>
      </c>
    </row>
    <row r="78" spans="1:6" ht="14.25" customHeight="1" x14ac:dyDescent="0.2">
      <c r="A78" s="19">
        <v>12</v>
      </c>
      <c r="B78" s="143" t="s">
        <v>11</v>
      </c>
      <c r="C78" s="144"/>
      <c r="D78" s="14">
        <f t="shared" si="5"/>
        <v>208144</v>
      </c>
      <c r="E78" s="17">
        <f>IF(F3="1",SUMIF(Data!A:A,'47'!$A$2,Data!EJ:EJ),0)</f>
        <v>681391</v>
      </c>
      <c r="F78" s="21">
        <f t="shared" si="4"/>
        <v>3.27</v>
      </c>
    </row>
    <row r="79" spans="1:6" x14ac:dyDescent="0.2">
      <c r="A79" s="19">
        <v>13</v>
      </c>
      <c r="B79" s="143" t="s">
        <v>12</v>
      </c>
      <c r="C79" s="144"/>
      <c r="D79" s="14">
        <f t="shared" si="5"/>
        <v>13136</v>
      </c>
      <c r="E79" s="17">
        <f>IF(F3="1",SUMIF(Data!A:A,'47'!$A$2,Data!EK:EK),0)</f>
        <v>46439</v>
      </c>
      <c r="F79" s="21">
        <f t="shared" si="4"/>
        <v>3.54</v>
      </c>
    </row>
    <row r="80" spans="1:6" ht="14.25" customHeight="1" x14ac:dyDescent="0.2">
      <c r="A80" s="19">
        <v>14</v>
      </c>
      <c r="B80" s="143" t="s">
        <v>464</v>
      </c>
      <c r="C80" s="144"/>
      <c r="D80" s="14">
        <f t="shared" si="5"/>
        <v>85776</v>
      </c>
      <c r="E80" s="17">
        <f>IF(F3="1",SUMIF(Data!A:A,'47'!$A$2,Data!EL:EL),0)</f>
        <v>697617</v>
      </c>
      <c r="F80" s="21">
        <f t="shared" si="4"/>
        <v>8.1300000000000008</v>
      </c>
    </row>
    <row r="81" spans="1:6" x14ac:dyDescent="0.2">
      <c r="A81" s="19">
        <v>15</v>
      </c>
      <c r="B81" s="143" t="s">
        <v>13</v>
      </c>
      <c r="C81" s="144"/>
      <c r="D81" s="14">
        <f t="shared" si="5"/>
        <v>0</v>
      </c>
      <c r="E81" s="17">
        <f>IF(F3="1",SUMIF(Data!A:A,'47'!$A$2,Data!EM:EM),0)</f>
        <v>0</v>
      </c>
      <c r="F81" s="21" t="str">
        <f t="shared" si="4"/>
        <v/>
      </c>
    </row>
    <row r="82" spans="1:6" x14ac:dyDescent="0.2">
      <c r="A82" s="19">
        <v>16</v>
      </c>
      <c r="B82" s="143" t="s">
        <v>14</v>
      </c>
      <c r="C82" s="144"/>
      <c r="D82" s="14">
        <f t="shared" si="5"/>
        <v>41600</v>
      </c>
      <c r="E82" s="17">
        <f>IF(F3="1",SUMIF(Data!A:A,'47'!$A$2,Data!EN:EN),0)</f>
        <v>192771</v>
      </c>
      <c r="F82" s="21">
        <f t="shared" si="4"/>
        <v>4.63</v>
      </c>
    </row>
    <row r="83" spans="1:6" x14ac:dyDescent="0.2">
      <c r="A83" s="19">
        <v>17</v>
      </c>
      <c r="B83" s="143" t="s">
        <v>15</v>
      </c>
      <c r="C83" s="144"/>
      <c r="D83" s="14">
        <f t="shared" si="5"/>
        <v>27568</v>
      </c>
      <c r="E83" s="17">
        <f>IF(F3="1",SUMIF(Data!A:A,'47'!$A$2,Data!EO:EO),0)</f>
        <v>143094</v>
      </c>
      <c r="F83" s="21">
        <f t="shared" si="4"/>
        <v>5.19</v>
      </c>
    </row>
    <row r="84" spans="1:6" x14ac:dyDescent="0.2">
      <c r="A84" s="19">
        <v>18</v>
      </c>
      <c r="B84" s="143" t="s">
        <v>16</v>
      </c>
      <c r="C84" s="144"/>
      <c r="D84" s="14">
        <f t="shared" si="5"/>
        <v>295008</v>
      </c>
      <c r="E84" s="17">
        <f>IF(F3="1",SUMIF(Data!A:A,'47'!$A$2,Data!EP:EP),0)</f>
        <v>792000</v>
      </c>
      <c r="F84" s="21">
        <f t="shared" si="4"/>
        <v>2.68</v>
      </c>
    </row>
    <row r="85" spans="1:6" x14ac:dyDescent="0.2">
      <c r="A85" s="19">
        <v>19</v>
      </c>
      <c r="B85" s="143" t="s">
        <v>17</v>
      </c>
      <c r="C85" s="144"/>
      <c r="D85" s="14">
        <f t="shared" si="5"/>
        <v>140160</v>
      </c>
      <c r="E85" s="17">
        <f>IF(F3="1",SUMIF(Data!A:A,'47'!$A$2,Data!EQ:EQ),0)</f>
        <v>369702</v>
      </c>
      <c r="F85" s="21">
        <f t="shared" si="4"/>
        <v>2.64</v>
      </c>
    </row>
    <row r="86" spans="1:6" x14ac:dyDescent="0.2">
      <c r="A86" s="19">
        <v>20</v>
      </c>
      <c r="B86" s="143" t="s">
        <v>18</v>
      </c>
      <c r="C86" s="144"/>
      <c r="D86" s="14">
        <f t="shared" si="5"/>
        <v>0</v>
      </c>
      <c r="E86" s="17">
        <f>IF(F3="1",SUMIF(Data!A:A,'47'!$A$2,Data!ER:ER),0)</f>
        <v>0</v>
      </c>
      <c r="F86" s="21" t="str">
        <f t="shared" si="4"/>
        <v/>
      </c>
    </row>
    <row r="87" spans="1:6" ht="14.25" customHeight="1" x14ac:dyDescent="0.2">
      <c r="A87" s="19">
        <v>21</v>
      </c>
      <c r="B87" s="143" t="s">
        <v>461</v>
      </c>
      <c r="C87" s="144"/>
      <c r="D87" s="14">
        <f t="shared" si="5"/>
        <v>0</v>
      </c>
      <c r="E87" s="17">
        <f>IF(F3="1",SUMIF(Data!A:A,'47'!$A$2,Data!ES:ES),0)</f>
        <v>0</v>
      </c>
      <c r="F87" s="21" t="str">
        <f t="shared" si="4"/>
        <v/>
      </c>
    </row>
    <row r="88" spans="1:6" x14ac:dyDescent="0.2">
      <c r="A88" s="19">
        <v>22</v>
      </c>
      <c r="B88" s="143" t="s">
        <v>19</v>
      </c>
      <c r="C88" s="144"/>
      <c r="D88" s="14">
        <f t="shared" si="5"/>
        <v>0</v>
      </c>
      <c r="E88" s="17">
        <f>IF(F3="1",SUMIF(Data!A:A,'47'!$A$2,Data!ET:ET),0)</f>
        <v>0</v>
      </c>
      <c r="F88" s="21" t="str">
        <f t="shared" si="4"/>
        <v/>
      </c>
    </row>
    <row r="89" spans="1:6" x14ac:dyDescent="0.2">
      <c r="A89" s="19">
        <v>23</v>
      </c>
      <c r="B89" s="143" t="s">
        <v>20</v>
      </c>
      <c r="C89" s="144"/>
      <c r="D89" s="14">
        <f t="shared" si="5"/>
        <v>64608</v>
      </c>
      <c r="E89" s="17">
        <f>IF(F3="1",SUMIF(Data!A:A,'47'!$A$2,Data!EU:EU),0)</f>
        <v>226066</v>
      </c>
      <c r="F89" s="21">
        <f t="shared" si="4"/>
        <v>3.5</v>
      </c>
    </row>
    <row r="90" spans="1:6" x14ac:dyDescent="0.2">
      <c r="A90" s="19">
        <v>24</v>
      </c>
      <c r="B90" s="143" t="s">
        <v>21</v>
      </c>
      <c r="C90" s="144"/>
      <c r="D90" s="14">
        <f t="shared" si="5"/>
        <v>39568</v>
      </c>
      <c r="E90" s="17">
        <f>IF(F3="1",SUMIF(Data!A:A,'47'!$A$2,Data!EV:EV),0)</f>
        <v>214542</v>
      </c>
      <c r="F90" s="21">
        <f t="shared" si="4"/>
        <v>5.42</v>
      </c>
    </row>
    <row r="91" spans="1:6" x14ac:dyDescent="0.2">
      <c r="A91" s="19">
        <v>25</v>
      </c>
      <c r="B91" s="143" t="s">
        <v>22</v>
      </c>
      <c r="C91" s="144"/>
      <c r="D91" s="14">
        <f t="shared" si="5"/>
        <v>233136</v>
      </c>
      <c r="E91" s="17">
        <f>IF(F3="1",SUMIF(Data!A:A,'47'!$A$2,Data!EW:EW),0)</f>
        <v>603605</v>
      </c>
      <c r="F91" s="21">
        <f t="shared" si="4"/>
        <v>2.59</v>
      </c>
    </row>
    <row r="92" spans="1:6" x14ac:dyDescent="0.2">
      <c r="A92" s="19">
        <v>26</v>
      </c>
      <c r="B92" s="143" t="s">
        <v>23</v>
      </c>
      <c r="C92" s="144"/>
      <c r="D92" s="14">
        <f t="shared" si="5"/>
        <v>52672</v>
      </c>
      <c r="E92" s="17">
        <f>IF(F3="1",SUMIF(Data!A:A,'47'!$A$2,Data!EX:EX),0)</f>
        <v>204838</v>
      </c>
      <c r="F92" s="21">
        <f t="shared" si="4"/>
        <v>3.89</v>
      </c>
    </row>
    <row r="93" spans="1:6" x14ac:dyDescent="0.2">
      <c r="A93" s="19">
        <v>28</v>
      </c>
      <c r="B93" s="143" t="s">
        <v>24</v>
      </c>
      <c r="C93" s="144"/>
      <c r="D93" s="14">
        <f t="shared" si="5"/>
        <v>0</v>
      </c>
      <c r="E93" s="17">
        <f>IF(F3="1",SUMIF(Data!A:A,'47'!$A$2,Data!EZ:EZ),0)</f>
        <v>0</v>
      </c>
      <c r="F93" s="21" t="str">
        <f t="shared" si="4"/>
        <v/>
      </c>
    </row>
    <row r="94" spans="1:6" ht="15.75" customHeight="1" thickBot="1" x14ac:dyDescent="0.25">
      <c r="A94" s="22">
        <v>29</v>
      </c>
      <c r="B94" s="147" t="s">
        <v>25</v>
      </c>
      <c r="C94" s="148"/>
      <c r="D94" s="23">
        <f t="shared" si="5"/>
        <v>0</v>
      </c>
      <c r="E94" s="24">
        <f>IF(F3="1",SUMIF(Data!A:A,'47'!$A$2,Data!FA:FA),0)</f>
        <v>0</v>
      </c>
      <c r="F94" s="25" t="str">
        <f t="shared" si="4"/>
        <v/>
      </c>
    </row>
    <row r="95" spans="1:6" x14ac:dyDescent="0.2">
      <c r="B95" s="30" t="s">
        <v>35</v>
      </c>
      <c r="C95" s="30"/>
      <c r="D95" s="59">
        <f>SUM(D67:D94)</f>
        <v>1714608</v>
      </c>
      <c r="E95" s="31">
        <f>SUM(E67:E94)</f>
        <v>5835108</v>
      </c>
      <c r="F95" s="32">
        <f t="shared" si="4"/>
        <v>3.4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IF(F3="1",SUMIF(Data!A:A,'47'!$A$2,Data!AH:AH),0)</f>
        <v>1591939</v>
      </c>
      <c r="F98" s="20">
        <f>IF(OR(E98=0,E98=0),"",ROUND(E98/$D$105,2))</f>
        <v>0.93</v>
      </c>
    </row>
    <row r="99" spans="2:6" x14ac:dyDescent="0.2">
      <c r="B99" s="153" t="s">
        <v>31</v>
      </c>
      <c r="C99" s="154"/>
      <c r="D99" s="36"/>
      <c r="E99" s="17">
        <f>IF(F3="1",SUMIF(Data!A:A,'47'!$A$2,Data!AI:AI),0)</f>
        <v>919622</v>
      </c>
      <c r="F99" s="21">
        <f t="shared" ref="F99:F104" si="6">IF(OR(E99=0,E99=0),"",ROUND(E99/$D$105,2))</f>
        <v>0.54</v>
      </c>
    </row>
    <row r="100" spans="2:6" x14ac:dyDescent="0.2">
      <c r="B100" s="153" t="s">
        <v>1078</v>
      </c>
      <c r="C100" s="154"/>
      <c r="D100" s="36"/>
      <c r="E100" s="17">
        <f>IF(F3="1",SUMIF(Data!A:A,'47'!$A$2,Data!AJ:AJ),0)</f>
        <v>484685</v>
      </c>
      <c r="F100" s="21">
        <f t="shared" si="6"/>
        <v>0.28000000000000003</v>
      </c>
    </row>
    <row r="101" spans="2:6" x14ac:dyDescent="0.2">
      <c r="B101" s="153" t="s">
        <v>1079</v>
      </c>
      <c r="C101" s="154"/>
      <c r="D101" s="36"/>
      <c r="E101" s="17">
        <f>IF(F3="1",SUMIF(Data!A:A,'47'!$A$2,Data!AK:AK),0)</f>
        <v>389083</v>
      </c>
      <c r="F101" s="21">
        <f t="shared" si="6"/>
        <v>0.23</v>
      </c>
    </row>
    <row r="102" spans="2:6" x14ac:dyDescent="0.2">
      <c r="B102" s="153" t="s">
        <v>1080</v>
      </c>
      <c r="C102" s="154"/>
      <c r="D102" s="36"/>
      <c r="E102" s="17">
        <f>IF(F3="1",SUMIF(Data!A:A,'47'!$A$2,Data!AL:AL),0)</f>
        <v>0</v>
      </c>
      <c r="F102" s="21" t="str">
        <f t="shared" si="6"/>
        <v/>
      </c>
    </row>
    <row r="103" spans="2:6" x14ac:dyDescent="0.2">
      <c r="B103" s="155" t="s">
        <v>34</v>
      </c>
      <c r="C103" s="156"/>
      <c r="D103" s="36"/>
      <c r="E103" s="17">
        <f>IF(F3="1",SUMIF(Data!A:A,'47'!$A$2,Data!AM:AM),0)</f>
        <v>0</v>
      </c>
      <c r="F103" s="21" t="str">
        <f t="shared" si="6"/>
        <v/>
      </c>
    </row>
    <row r="104" spans="2:6" ht="15.75" customHeight="1" thickBot="1" x14ac:dyDescent="0.25">
      <c r="B104" s="149" t="s">
        <v>29</v>
      </c>
      <c r="C104" s="150"/>
      <c r="D104" s="37"/>
      <c r="E104" s="24">
        <f>IF(F3="1",SUMIF(Data!A:A,'47'!$A$2,Data!Q:Q),0)</f>
        <v>1005000</v>
      </c>
      <c r="F104" s="25">
        <f t="shared" si="6"/>
        <v>0.59</v>
      </c>
    </row>
    <row r="105" spans="2:6" x14ac:dyDescent="0.2">
      <c r="B105" s="30" t="s">
        <v>35</v>
      </c>
      <c r="C105" s="30"/>
      <c r="D105" s="34">
        <f>D95</f>
        <v>1714608</v>
      </c>
      <c r="E105" s="31">
        <f>SUM(E98:E104)</f>
        <v>4390329</v>
      </c>
      <c r="F105" s="32">
        <f>IF($D$105=0,"",ROUND(E105/$D$105,2))</f>
        <v>2.56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5835108</v>
      </c>
      <c r="D109" s="15">
        <f>IF(F3="1",SUMIF(Data!$A:$A,$A$2,Data!HJ:HJ),0)</f>
        <v>0</v>
      </c>
      <c r="E109" s="15">
        <f>IF(F3="1",SUMIF(Data!$A:$A,$A$2,Data!IN:IN),0)</f>
        <v>0</v>
      </c>
      <c r="F109" s="47">
        <f>SUM(C109:E109)</f>
        <v>5835108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1005000</v>
      </c>
      <c r="E117" s="52"/>
      <c r="F117" s="49">
        <f>SUM(C117:E117)</f>
        <v>1005000</v>
      </c>
    </row>
    <row r="118" spans="1:6" x14ac:dyDescent="0.2">
      <c r="B118" s="13" t="s">
        <v>35</v>
      </c>
      <c r="C118" s="4">
        <f>SUM(C109:C116)</f>
        <v>5835108</v>
      </c>
      <c r="D118" s="4">
        <f>SUM(D109:D116)</f>
        <v>0</v>
      </c>
      <c r="E118" s="4">
        <f>SUM(E109:E116)</f>
        <v>0</v>
      </c>
      <c r="F118" s="4">
        <f>SUM(F109:F116)</f>
        <v>5835108</v>
      </c>
    </row>
    <row r="119" spans="1:6" ht="15" thickBot="1" x14ac:dyDescent="0.25"/>
    <row r="120" spans="1:6" ht="15" thickBot="1" x14ac:dyDescent="0.25">
      <c r="B120" s="55" t="s">
        <v>934</v>
      </c>
      <c r="C120" s="53"/>
      <c r="D120" s="53"/>
      <c r="E120" s="53">
        <f>IF(F3="1",SUMIF(Data!A:A,'47'!$A$2,Data!AM:AM),0)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415</v>
      </c>
      <c r="B2" s="58" t="str">
        <f>VLOOKUP(A2,Data!A:G,7,0)</f>
        <v>Weatherford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26808</v>
      </c>
      <c r="E5" s="15">
        <f>E36+E67+IFERROR($E$105/$D$105*D5,0)</f>
        <v>204324.9650125138</v>
      </c>
      <c r="F5" s="20">
        <f>IF(OR(D5=0,E5=0),"",ROUND(E5/D5,2))</f>
        <v>7.62</v>
      </c>
    </row>
    <row r="6" spans="1:6" x14ac:dyDescent="0.2">
      <c r="A6" s="19">
        <v>2</v>
      </c>
      <c r="B6" s="143" t="s">
        <v>1</v>
      </c>
      <c r="C6" s="144"/>
      <c r="D6" s="14">
        <f t="shared" ref="D6:D32" si="0">D37</f>
        <v>15592</v>
      </c>
      <c r="E6" s="17">
        <f t="shared" ref="E6:E32" si="1">E37+E68+IFERROR($E$105/$D$105*D6,0)</f>
        <v>50987.692273765853</v>
      </c>
      <c r="F6" s="21">
        <f t="shared" ref="F6:F33" si="2">IF(OR(D6=0,E6=0),"",ROUND(E6/D6,2))</f>
        <v>3.27</v>
      </c>
    </row>
    <row r="7" spans="1:6" ht="14.25" customHeight="1" x14ac:dyDescent="0.2">
      <c r="A7" s="19">
        <v>3</v>
      </c>
      <c r="B7" s="143" t="s">
        <v>2</v>
      </c>
      <c r="C7" s="144"/>
      <c r="D7" s="14">
        <f t="shared" si="0"/>
        <v>136528</v>
      </c>
      <c r="E7" s="17">
        <f t="shared" si="1"/>
        <v>594634.75646182033</v>
      </c>
      <c r="F7" s="21">
        <f t="shared" si="2"/>
        <v>4.3600000000000003</v>
      </c>
    </row>
    <row r="8" spans="1:6" ht="14.25" customHeight="1" x14ac:dyDescent="0.2">
      <c r="A8" s="19">
        <v>4</v>
      </c>
      <c r="B8" s="143" t="s">
        <v>3</v>
      </c>
      <c r="C8" s="144"/>
      <c r="D8" s="14">
        <f t="shared" si="0"/>
        <v>96624</v>
      </c>
      <c r="E8" s="17">
        <f t="shared" si="1"/>
        <v>549619.86315163877</v>
      </c>
      <c r="F8" s="21">
        <f t="shared" si="2"/>
        <v>5.69</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208</v>
      </c>
      <c r="E10" s="17">
        <f t="shared" si="1"/>
        <v>1132.6469980081642</v>
      </c>
      <c r="F10" s="21">
        <f t="shared" si="2"/>
        <v>5.45</v>
      </c>
    </row>
    <row r="11" spans="1:6" x14ac:dyDescent="0.2">
      <c r="A11" s="19">
        <v>7</v>
      </c>
      <c r="B11" s="143" t="s">
        <v>6</v>
      </c>
      <c r="C11" s="144"/>
      <c r="D11" s="14">
        <f t="shared" si="0"/>
        <v>72256</v>
      </c>
      <c r="E11" s="17">
        <f t="shared" si="1"/>
        <v>418789.83407729771</v>
      </c>
      <c r="F11" s="21">
        <f t="shared" si="2"/>
        <v>5.8</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54197</v>
      </c>
      <c r="E13" s="17">
        <f t="shared" si="1"/>
        <v>284260.3959185023</v>
      </c>
      <c r="F13" s="21">
        <f t="shared" si="2"/>
        <v>5.24</v>
      </c>
    </row>
    <row r="14" spans="1:6" x14ac:dyDescent="0.2">
      <c r="A14" s="19">
        <v>10</v>
      </c>
      <c r="B14" s="143" t="s">
        <v>9</v>
      </c>
      <c r="C14" s="144"/>
      <c r="D14" s="14">
        <f t="shared" si="0"/>
        <v>384</v>
      </c>
      <c r="E14" s="17">
        <f t="shared" si="1"/>
        <v>3845.963688630457</v>
      </c>
      <c r="F14" s="21">
        <f t="shared" si="2"/>
        <v>10.02</v>
      </c>
    </row>
    <row r="15" spans="1:6" x14ac:dyDescent="0.2">
      <c r="A15" s="19">
        <v>11</v>
      </c>
      <c r="B15" s="143" t="s">
        <v>10</v>
      </c>
      <c r="C15" s="144"/>
      <c r="D15" s="14">
        <f t="shared" si="0"/>
        <v>31104</v>
      </c>
      <c r="E15" s="17">
        <f t="shared" si="1"/>
        <v>366264.05877906701</v>
      </c>
      <c r="F15" s="21">
        <f t="shared" si="2"/>
        <v>11.78</v>
      </c>
    </row>
    <row r="16" spans="1:6" ht="14.25" customHeight="1" x14ac:dyDescent="0.2">
      <c r="A16" s="19">
        <v>12</v>
      </c>
      <c r="B16" s="143" t="s">
        <v>11</v>
      </c>
      <c r="C16" s="144"/>
      <c r="D16" s="14">
        <f t="shared" si="0"/>
        <v>207280</v>
      </c>
      <c r="E16" s="17">
        <f t="shared" si="1"/>
        <v>958264.06609198218</v>
      </c>
      <c r="F16" s="21">
        <f t="shared" si="2"/>
        <v>4.62</v>
      </c>
    </row>
    <row r="17" spans="1:6" x14ac:dyDescent="0.2">
      <c r="A17" s="19">
        <v>13</v>
      </c>
      <c r="B17" s="143" t="s">
        <v>12</v>
      </c>
      <c r="C17" s="144"/>
      <c r="D17" s="14">
        <f t="shared" si="0"/>
        <v>8336</v>
      </c>
      <c r="E17" s="17">
        <f t="shared" si="1"/>
        <v>38741.545074019508</v>
      </c>
      <c r="F17" s="21">
        <f t="shared" si="2"/>
        <v>4.6500000000000004</v>
      </c>
    </row>
    <row r="18" spans="1:6" ht="14.25" customHeight="1" x14ac:dyDescent="0.2">
      <c r="A18" s="19">
        <v>14</v>
      </c>
      <c r="B18" s="143" t="s">
        <v>464</v>
      </c>
      <c r="C18" s="144"/>
      <c r="D18" s="14">
        <f t="shared" si="0"/>
        <v>36352</v>
      </c>
      <c r="E18" s="17">
        <f t="shared" si="1"/>
        <v>276807.22919034993</v>
      </c>
      <c r="F18" s="21">
        <f t="shared" si="2"/>
        <v>7.61</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42135</v>
      </c>
      <c r="E20" s="17">
        <f t="shared" si="1"/>
        <v>224766.07817824039</v>
      </c>
      <c r="F20" s="21">
        <f t="shared" si="2"/>
        <v>5.33</v>
      </c>
    </row>
    <row r="21" spans="1:6" x14ac:dyDescent="0.2">
      <c r="A21" s="19">
        <v>17</v>
      </c>
      <c r="B21" s="143" t="s">
        <v>15</v>
      </c>
      <c r="C21" s="144"/>
      <c r="D21" s="14">
        <f t="shared" si="0"/>
        <v>15232</v>
      </c>
      <c r="E21" s="17">
        <f t="shared" si="1"/>
        <v>157471.22631567481</v>
      </c>
      <c r="F21" s="21">
        <f t="shared" si="2"/>
        <v>10.34</v>
      </c>
    </row>
    <row r="22" spans="1:6" x14ac:dyDescent="0.2">
      <c r="A22" s="19">
        <v>18</v>
      </c>
      <c r="B22" s="143" t="s">
        <v>16</v>
      </c>
      <c r="C22" s="144"/>
      <c r="D22" s="14">
        <f t="shared" si="0"/>
        <v>19056</v>
      </c>
      <c r="E22" s="17">
        <f t="shared" si="1"/>
        <v>130930.19804828643</v>
      </c>
      <c r="F22" s="21">
        <f t="shared" si="2"/>
        <v>6.87</v>
      </c>
    </row>
    <row r="23" spans="1:6" x14ac:dyDescent="0.2">
      <c r="A23" s="19">
        <v>19</v>
      </c>
      <c r="B23" s="143" t="s">
        <v>17</v>
      </c>
      <c r="C23" s="144"/>
      <c r="D23" s="14">
        <f t="shared" si="0"/>
        <v>149472</v>
      </c>
      <c r="E23" s="17">
        <f t="shared" si="1"/>
        <v>682053.86579940538</v>
      </c>
      <c r="F23" s="21">
        <f t="shared" si="2"/>
        <v>4.5599999999999996</v>
      </c>
    </row>
    <row r="24" spans="1:6" x14ac:dyDescent="0.2">
      <c r="A24" s="19">
        <v>20</v>
      </c>
      <c r="B24" s="143" t="s">
        <v>18</v>
      </c>
      <c r="C24" s="144"/>
      <c r="D24" s="14">
        <f t="shared" si="0"/>
        <v>2556</v>
      </c>
      <c r="E24" s="17">
        <f t="shared" si="1"/>
        <v>12924.00830244648</v>
      </c>
      <c r="F24" s="21">
        <f t="shared" si="2"/>
        <v>5.0599999999999996</v>
      </c>
    </row>
    <row r="25" spans="1:6" ht="14.25" customHeight="1" x14ac:dyDescent="0.2">
      <c r="A25" s="19">
        <v>21</v>
      </c>
      <c r="B25" s="143" t="s">
        <v>461</v>
      </c>
      <c r="C25" s="144"/>
      <c r="D25" s="14">
        <f t="shared" si="0"/>
        <v>60160</v>
      </c>
      <c r="E25" s="17">
        <f t="shared" si="1"/>
        <v>544477.97788543825</v>
      </c>
      <c r="F25" s="21">
        <f t="shared" si="2"/>
        <v>9.0500000000000007</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49968</v>
      </c>
      <c r="E27" s="17">
        <f t="shared" si="1"/>
        <v>300163.27498303819</v>
      </c>
      <c r="F27" s="21">
        <f t="shared" si="2"/>
        <v>6.01</v>
      </c>
    </row>
    <row r="28" spans="1:6" x14ac:dyDescent="0.2">
      <c r="A28" s="19">
        <v>24</v>
      </c>
      <c r="B28" s="143" t="s">
        <v>21</v>
      </c>
      <c r="C28" s="144"/>
      <c r="D28" s="14">
        <f t="shared" si="0"/>
        <v>63437</v>
      </c>
      <c r="E28" s="17">
        <f t="shared" si="1"/>
        <v>539951.0221761727</v>
      </c>
      <c r="F28" s="21">
        <f t="shared" si="2"/>
        <v>8.51</v>
      </c>
    </row>
    <row r="29" spans="1:6" x14ac:dyDescent="0.2">
      <c r="A29" s="19">
        <v>25</v>
      </c>
      <c r="B29" s="143" t="s">
        <v>22</v>
      </c>
      <c r="C29" s="144"/>
      <c r="D29" s="14">
        <f t="shared" si="0"/>
        <v>199920</v>
      </c>
      <c r="E29" s="17">
        <f t="shared" si="1"/>
        <v>785302.09539323172</v>
      </c>
      <c r="F29" s="21">
        <f t="shared" si="2"/>
        <v>3.93</v>
      </c>
    </row>
    <row r="30" spans="1:6" x14ac:dyDescent="0.2">
      <c r="A30" s="19">
        <v>26</v>
      </c>
      <c r="B30" s="143" t="s">
        <v>23</v>
      </c>
      <c r="C30" s="144"/>
      <c r="D30" s="14">
        <f t="shared" si="0"/>
        <v>43328</v>
      </c>
      <c r="E30" s="17">
        <f t="shared" si="1"/>
        <v>410576.2362004699</v>
      </c>
      <c r="F30" s="21">
        <f t="shared" si="2"/>
        <v>9.48</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1330933</v>
      </c>
      <c r="E33" s="31">
        <f>SUM(E5:E32)</f>
        <v>7536289.0000000009</v>
      </c>
      <c r="F33" s="32">
        <f t="shared" si="2"/>
        <v>5.66</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IF(F3="1",SUMIF(Data!A:A,'48'!$A$2,Data!CU:CU),0)</f>
        <v>26808</v>
      </c>
      <c r="E36" s="15">
        <f>IF(F3="1",SUMIF(Data!$A:$A,$A$2,Data!IO:IO),0)</f>
        <v>55043</v>
      </c>
      <c r="F36" s="20">
        <f t="shared" ref="F36:F64" si="3">IF(OR(D36=0,E36=0),"",ROUND(E36/D36,2))</f>
        <v>2.0499999999999998</v>
      </c>
    </row>
    <row r="37" spans="1:6" x14ac:dyDescent="0.2">
      <c r="A37" s="19">
        <v>2</v>
      </c>
      <c r="B37" s="143" t="s">
        <v>1</v>
      </c>
      <c r="C37" s="144"/>
      <c r="D37" s="14">
        <f>IF(F3="1",SUMIF(Data!A:A,'48'!$A$2,Data!CV:CV),0)</f>
        <v>15592</v>
      </c>
      <c r="E37" s="17">
        <f>IF(F3="1",SUMIF(Data!$A:$A,$A$2,Data!IP:IP),0)</f>
        <v>7038</v>
      </c>
      <c r="F37" s="21">
        <f t="shared" si="3"/>
        <v>0.45</v>
      </c>
    </row>
    <row r="38" spans="1:6" ht="14.25" customHeight="1" x14ac:dyDescent="0.2">
      <c r="A38" s="19">
        <v>3</v>
      </c>
      <c r="B38" s="143" t="s">
        <v>2</v>
      </c>
      <c r="C38" s="144"/>
      <c r="D38" s="14">
        <f>IF(F3="1",SUMIF(Data!A:A,'48'!$A$2,Data!CW:CW),0)</f>
        <v>136528</v>
      </c>
      <c r="E38" s="17">
        <f>IF($F$3="1",SUMIF(Data!$A:$A,$A$2,Data!IQ:IQ),0)</f>
        <v>51338</v>
      </c>
      <c r="F38" s="21">
        <f t="shared" si="3"/>
        <v>0.38</v>
      </c>
    </row>
    <row r="39" spans="1:6" ht="14.25" customHeight="1" x14ac:dyDescent="0.2">
      <c r="A39" s="19">
        <v>4</v>
      </c>
      <c r="B39" s="143" t="s">
        <v>3</v>
      </c>
      <c r="C39" s="144"/>
      <c r="D39" s="14">
        <f>IF(F3="1",SUMIF(Data!A:A,'48'!$A$2,Data!CX:CX),0)</f>
        <v>96624</v>
      </c>
      <c r="E39" s="17">
        <f>IF($F$3="1",SUMIF(Data!$A:$A,$A$2,Data!IR:IR),0)</f>
        <v>30091</v>
      </c>
      <c r="F39" s="21">
        <f t="shared" si="3"/>
        <v>0.31</v>
      </c>
    </row>
    <row r="40" spans="1:6" x14ac:dyDescent="0.2">
      <c r="A40" s="19">
        <v>5</v>
      </c>
      <c r="B40" s="143" t="s">
        <v>4</v>
      </c>
      <c r="C40" s="144"/>
      <c r="D40" s="14">
        <f>IF(F3="1",SUMIF(Data!A:A,'48'!$A$2,Data!CY:CY),0)</f>
        <v>0</v>
      </c>
      <c r="E40" s="17">
        <f>IF($F$3="1",SUMIF(Data!$A:$A,$A$2,Data!IS:IS),0)</f>
        <v>0</v>
      </c>
      <c r="F40" s="21" t="str">
        <f t="shared" si="3"/>
        <v/>
      </c>
    </row>
    <row r="41" spans="1:6" x14ac:dyDescent="0.2">
      <c r="A41" s="19">
        <v>6</v>
      </c>
      <c r="B41" s="143" t="s">
        <v>5</v>
      </c>
      <c r="C41" s="144"/>
      <c r="D41" s="14">
        <f>IF(F3="1",SUMIF(Data!A:A,'48'!$A$2,Data!CZ:CZ),0)</f>
        <v>208</v>
      </c>
      <c r="E41" s="17">
        <f>IF($F$3="1",SUMIF(Data!$A:$A,$A$2,Data!IT:IT),0)</f>
        <v>42</v>
      </c>
      <c r="F41" s="21">
        <f t="shared" si="3"/>
        <v>0.2</v>
      </c>
    </row>
    <row r="42" spans="1:6" x14ac:dyDescent="0.2">
      <c r="A42" s="19">
        <v>7</v>
      </c>
      <c r="B42" s="143" t="s">
        <v>6</v>
      </c>
      <c r="C42" s="144"/>
      <c r="D42" s="14">
        <f>IF(F3="1",SUMIF(Data!A:A,'48'!$A$2,Data!DA:DA),0)</f>
        <v>72256</v>
      </c>
      <c r="E42" s="17">
        <f>IF($F$3="1",SUMIF(Data!$A:$A,$A$2,Data!IU:IU),0)</f>
        <v>31938</v>
      </c>
      <c r="F42" s="21">
        <f t="shared" si="3"/>
        <v>0.44</v>
      </c>
    </row>
    <row r="43" spans="1:6" x14ac:dyDescent="0.2">
      <c r="A43" s="19">
        <v>8</v>
      </c>
      <c r="B43" s="143" t="s">
        <v>7</v>
      </c>
      <c r="C43" s="144"/>
      <c r="D43" s="14">
        <f>IF(F3="1",SUMIF(Data!A:A,'48'!$A$2,Data!DB:DB),0)</f>
        <v>0</v>
      </c>
      <c r="E43" s="17">
        <f>IF($F$3="1",SUMIF(Data!$A:$A,$A$2,Data!IV:IV),0)</f>
        <v>0</v>
      </c>
      <c r="F43" s="21" t="str">
        <f t="shared" si="3"/>
        <v/>
      </c>
    </row>
    <row r="44" spans="1:6" x14ac:dyDescent="0.2">
      <c r="A44" s="19">
        <v>9</v>
      </c>
      <c r="B44" s="143" t="s">
        <v>8</v>
      </c>
      <c r="C44" s="144"/>
      <c r="D44" s="14">
        <f>IF(F3="1",SUMIF(Data!A:A,'48'!$A$2,Data!DC:DC),0)</f>
        <v>54197</v>
      </c>
      <c r="E44" s="17">
        <f>IF($F$3="1",SUMIF(Data!$A:$A,$A$2,Data!IW:IW),0)</f>
        <v>28669</v>
      </c>
      <c r="F44" s="21">
        <f t="shared" si="3"/>
        <v>0.53</v>
      </c>
    </row>
    <row r="45" spans="1:6" x14ac:dyDescent="0.2">
      <c r="A45" s="19">
        <v>10</v>
      </c>
      <c r="B45" s="143" t="s">
        <v>9</v>
      </c>
      <c r="C45" s="144"/>
      <c r="D45" s="14">
        <f>IF(F3="1",SUMIF(Data!A:A,'48'!$A$2,Data!DD:DD),0)</f>
        <v>384</v>
      </c>
      <c r="E45" s="17">
        <f>IF($F$3="1",SUMIF(Data!$A:$A,$A$2,Data!IX:IX),0)</f>
        <v>1098</v>
      </c>
      <c r="F45" s="21">
        <f t="shared" si="3"/>
        <v>2.86</v>
      </c>
    </row>
    <row r="46" spans="1:6" x14ac:dyDescent="0.2">
      <c r="A46" s="19">
        <v>11</v>
      </c>
      <c r="B46" s="143" t="s">
        <v>10</v>
      </c>
      <c r="C46" s="144"/>
      <c r="D46" s="14">
        <f>IF(F3="1",SUMIF(Data!A:A,'48'!$A$2,Data!DE:DE),0)</f>
        <v>31104</v>
      </c>
      <c r="E46" s="17">
        <f>IF($F$3="1",SUMIF(Data!$A:$A,$A$2,Data!IY:IY),0)</f>
        <v>108732</v>
      </c>
      <c r="F46" s="21">
        <f t="shared" si="3"/>
        <v>3.5</v>
      </c>
    </row>
    <row r="47" spans="1:6" ht="14.25" customHeight="1" x14ac:dyDescent="0.2">
      <c r="A47" s="19">
        <v>12</v>
      </c>
      <c r="B47" s="143" t="s">
        <v>11</v>
      </c>
      <c r="C47" s="144"/>
      <c r="D47" s="14">
        <f>IF(F3="1",SUMIF(Data!A:A,'48'!$A$2,Data!DF:DF),0)</f>
        <v>207280</v>
      </c>
      <c r="E47" s="17">
        <f>IF($F$3="1",SUMIF(Data!$A:$A,$A$2,Data!IZ:IZ),0)</f>
        <v>67479</v>
      </c>
      <c r="F47" s="21">
        <f t="shared" si="3"/>
        <v>0.33</v>
      </c>
    </row>
    <row r="48" spans="1:6" x14ac:dyDescent="0.2">
      <c r="A48" s="19">
        <v>13</v>
      </c>
      <c r="B48" s="143" t="s">
        <v>12</v>
      </c>
      <c r="C48" s="144"/>
      <c r="D48" s="14">
        <f>IF(F3="1",SUMIF(Data!A:A,'48'!$A$2,Data!DG:DG),0)</f>
        <v>8336</v>
      </c>
      <c r="E48" s="17">
        <f>IF($F$3="1",SUMIF(Data!$A:$A,$A$2,Data!JA:JA),0)</f>
        <v>2341</v>
      </c>
      <c r="F48" s="21">
        <f t="shared" si="3"/>
        <v>0.28000000000000003</v>
      </c>
    </row>
    <row r="49" spans="1:6" ht="14.25" customHeight="1" x14ac:dyDescent="0.2">
      <c r="A49" s="19">
        <v>14</v>
      </c>
      <c r="B49" s="143" t="s">
        <v>464</v>
      </c>
      <c r="C49" s="144"/>
      <c r="D49" s="14">
        <f>IF(F3="1",SUMIF(Data!A:A,'48'!$A$2,Data!DH:DH),0)</f>
        <v>36352</v>
      </c>
      <c r="E49" s="17">
        <f>IF($F$3="1",SUMIF(Data!$A:$A,$A$2,Data!JB:JB),0)</f>
        <v>33824</v>
      </c>
      <c r="F49" s="21">
        <f t="shared" si="3"/>
        <v>0.93</v>
      </c>
    </row>
    <row r="50" spans="1:6" x14ac:dyDescent="0.2">
      <c r="A50" s="19">
        <v>15</v>
      </c>
      <c r="B50" s="143" t="s">
        <v>13</v>
      </c>
      <c r="C50" s="144"/>
      <c r="D50" s="14">
        <f>IF(F3="1",SUMIF(Data!A:A,'48'!$A$2,Data!DI:DI),0)</f>
        <v>0</v>
      </c>
      <c r="E50" s="17">
        <f>IF($F$3="1",SUMIF(Data!$A:$A,$A$2,Data!JC:JC),0)</f>
        <v>0</v>
      </c>
      <c r="F50" s="21" t="str">
        <f t="shared" si="3"/>
        <v/>
      </c>
    </row>
    <row r="51" spans="1:6" x14ac:dyDescent="0.2">
      <c r="A51" s="19">
        <v>16</v>
      </c>
      <c r="B51" s="143" t="s">
        <v>14</v>
      </c>
      <c r="C51" s="144"/>
      <c r="D51" s="14">
        <f>IF(F3="1",SUMIF(Data!A:A,'48'!$A$2,Data!DJ:DJ),0)</f>
        <v>42135</v>
      </c>
      <c r="E51" s="17">
        <f>IF($F$3="1",SUMIF(Data!$A:$A,$A$2,Data!JD:JD),0)</f>
        <v>29148</v>
      </c>
      <c r="F51" s="21">
        <f t="shared" si="3"/>
        <v>0.69</v>
      </c>
    </row>
    <row r="52" spans="1:6" x14ac:dyDescent="0.2">
      <c r="A52" s="19">
        <v>17</v>
      </c>
      <c r="B52" s="143" t="s">
        <v>15</v>
      </c>
      <c r="C52" s="144"/>
      <c r="D52" s="14">
        <f>IF(F3="1",SUMIF(Data!A:A,'48'!$A$2,Data!DK:DK),0)</f>
        <v>15232</v>
      </c>
      <c r="E52" s="17">
        <f>IF($F$3="1",SUMIF(Data!$A:$A,$A$2,Data!JE:JE),0)</f>
        <v>51703</v>
      </c>
      <c r="F52" s="21">
        <f t="shared" si="3"/>
        <v>3.39</v>
      </c>
    </row>
    <row r="53" spans="1:6" x14ac:dyDescent="0.2">
      <c r="A53" s="19">
        <v>18</v>
      </c>
      <c r="B53" s="143" t="s">
        <v>16</v>
      </c>
      <c r="C53" s="144"/>
      <c r="D53" s="14">
        <f>IF(F3="1",SUMIF(Data!A:A,'48'!$A$2,Data!DL:DL),0)</f>
        <v>19056</v>
      </c>
      <c r="E53" s="17">
        <f>IF($F$3="1",SUMIF(Data!$A:$A,$A$2,Data!JF:JF),0)</f>
        <v>15450</v>
      </c>
      <c r="F53" s="21">
        <f t="shared" si="3"/>
        <v>0.81</v>
      </c>
    </row>
    <row r="54" spans="1:6" x14ac:dyDescent="0.2">
      <c r="A54" s="19">
        <v>19</v>
      </c>
      <c r="B54" s="143" t="s">
        <v>17</v>
      </c>
      <c r="C54" s="144"/>
      <c r="D54" s="14">
        <f>IF(F3="1",SUMIF(Data!A:A,'48'!$A$2,Data!DM:DM),0)</f>
        <v>149472</v>
      </c>
      <c r="E54" s="17">
        <f>IF($F$3="1",SUMIF(Data!$A:$A,$A$2,Data!JG:JG),0)</f>
        <v>25580</v>
      </c>
      <c r="F54" s="21">
        <f t="shared" si="3"/>
        <v>0.17</v>
      </c>
    </row>
    <row r="55" spans="1:6" x14ac:dyDescent="0.2">
      <c r="A55" s="19">
        <v>20</v>
      </c>
      <c r="B55" s="143" t="s">
        <v>18</v>
      </c>
      <c r="C55" s="144"/>
      <c r="D55" s="14">
        <f>IF(F3="1",SUMIF(Data!A:A,'48'!$A$2,Data!DN:DN),0)</f>
        <v>2556</v>
      </c>
      <c r="E55" s="17">
        <f>IF($F$3="1",SUMIF(Data!$A:$A,$A$2,Data!JH:JH),0)</f>
        <v>2921</v>
      </c>
      <c r="F55" s="21">
        <f t="shared" si="3"/>
        <v>1.1399999999999999</v>
      </c>
    </row>
    <row r="56" spans="1:6" ht="14.25" customHeight="1" x14ac:dyDescent="0.2">
      <c r="A56" s="19">
        <v>21</v>
      </c>
      <c r="B56" s="143" t="s">
        <v>461</v>
      </c>
      <c r="C56" s="144"/>
      <c r="D56" s="14">
        <f>IF(F3="1",SUMIF(Data!A:A,'48'!$A$2,Data!DO:DO),0)</f>
        <v>60160</v>
      </c>
      <c r="E56" s="17">
        <f>IF($F$3="1",SUMIF(Data!$A:$A,$A$2,Data!JI:JI),0)</f>
        <v>82619</v>
      </c>
      <c r="F56" s="21">
        <f t="shared" si="3"/>
        <v>1.37</v>
      </c>
    </row>
    <row r="57" spans="1:6" x14ac:dyDescent="0.2">
      <c r="A57" s="19">
        <v>22</v>
      </c>
      <c r="B57" s="143" t="s">
        <v>19</v>
      </c>
      <c r="C57" s="144"/>
      <c r="D57" s="14">
        <f>IF(F3="1",SUMIF(Data!A:A,'48'!$A$2,Data!DP:DP),0)</f>
        <v>0</v>
      </c>
      <c r="E57" s="17">
        <f>IF($F$3="1",SUMIF(Data!$A:$A,$A$2,Data!JJ:JJ),0)</f>
        <v>0</v>
      </c>
      <c r="F57" s="21" t="str">
        <f t="shared" si="3"/>
        <v/>
      </c>
    </row>
    <row r="58" spans="1:6" x14ac:dyDescent="0.2">
      <c r="A58" s="19">
        <v>23</v>
      </c>
      <c r="B58" s="143" t="s">
        <v>20</v>
      </c>
      <c r="C58" s="144"/>
      <c r="D58" s="14">
        <f>IF(F3="1",SUMIF(Data!A:A,'48'!$A$2,Data!DQ:DQ),0)</f>
        <v>49968</v>
      </c>
      <c r="E58" s="17">
        <f>IF($F$3="1",SUMIF(Data!$A:$A,$A$2,Data!JK:JK),0)</f>
        <v>14022</v>
      </c>
      <c r="F58" s="21">
        <f t="shared" si="3"/>
        <v>0.28000000000000003</v>
      </c>
    </row>
    <row r="59" spans="1:6" x14ac:dyDescent="0.2">
      <c r="A59" s="19">
        <v>24</v>
      </c>
      <c r="B59" s="143" t="s">
        <v>21</v>
      </c>
      <c r="C59" s="144"/>
      <c r="D59" s="14">
        <f>IF(F3="1",SUMIF(Data!A:A,'48'!$A$2,Data!DR:DR),0)</f>
        <v>63437</v>
      </c>
      <c r="E59" s="17">
        <f>IF($F$3="1",SUMIF(Data!$A:$A,$A$2,Data!JL:JL),0)</f>
        <v>99987</v>
      </c>
      <c r="F59" s="21">
        <f t="shared" si="3"/>
        <v>1.58</v>
      </c>
    </row>
    <row r="60" spans="1:6" x14ac:dyDescent="0.2">
      <c r="A60" s="19">
        <v>25</v>
      </c>
      <c r="B60" s="143" t="s">
        <v>22</v>
      </c>
      <c r="C60" s="144"/>
      <c r="D60" s="14">
        <f>IF(F3="1",SUMIF(Data!A:A,'48'!$A$2,Data!DS:DS),0)</f>
        <v>199920</v>
      </c>
      <c r="E60" s="17">
        <f>IF($F$3="1",SUMIF(Data!$A:$A,$A$2,Data!JM:JM),0)</f>
        <v>12642</v>
      </c>
      <c r="F60" s="21">
        <f t="shared" si="3"/>
        <v>0.06</v>
      </c>
    </row>
    <row r="61" spans="1:6" x14ac:dyDescent="0.2">
      <c r="A61" s="19">
        <v>26</v>
      </c>
      <c r="B61" s="143" t="s">
        <v>23</v>
      </c>
      <c r="C61" s="144"/>
      <c r="D61" s="14">
        <f>IF(F3="1",SUMIF(Data!A:A,'48'!$A$2,Data!DT:DT),0)</f>
        <v>43328</v>
      </c>
      <c r="E61" s="17">
        <f>IF($F$3="1",SUMIF(Data!$A:$A,$A$2,Data!JN:JN),0)</f>
        <v>39922</v>
      </c>
      <c r="F61" s="21">
        <f t="shared" si="3"/>
        <v>0.92</v>
      </c>
    </row>
    <row r="62" spans="1:6" x14ac:dyDescent="0.2">
      <c r="A62" s="19">
        <v>28</v>
      </c>
      <c r="B62" s="143" t="s">
        <v>24</v>
      </c>
      <c r="C62" s="144"/>
      <c r="D62" s="14">
        <f>IF(F3="1",SUMIF(Data!A:A,'48'!$A$2,Data!DV:DV),0)</f>
        <v>0</v>
      </c>
      <c r="E62" s="17">
        <f>IF($F$3="1",SUMIF(Data!$A:$A,$A$2,Data!JP:JP),0)</f>
        <v>0</v>
      </c>
      <c r="F62" s="21" t="str">
        <f t="shared" si="3"/>
        <v/>
      </c>
    </row>
    <row r="63" spans="1:6" ht="15.75" customHeight="1" thickBot="1" x14ac:dyDescent="0.25">
      <c r="A63" s="22">
        <v>29</v>
      </c>
      <c r="B63" s="147" t="s">
        <v>25</v>
      </c>
      <c r="C63" s="148"/>
      <c r="D63" s="23">
        <f>IF(F3="1",SUMIF(Data!A:A,'48'!$A$2,Data!DW:DW),0)</f>
        <v>0</v>
      </c>
      <c r="E63" s="24">
        <f>IF($F$3="1",SUMIF(Data!$A:$A,$A$2,Data!JQ:JQ),0)</f>
        <v>0</v>
      </c>
      <c r="F63" s="25" t="str">
        <f t="shared" si="3"/>
        <v/>
      </c>
    </row>
    <row r="64" spans="1:6" x14ac:dyDescent="0.2">
      <c r="B64" s="30" t="s">
        <v>35</v>
      </c>
      <c r="C64" s="30"/>
      <c r="D64" s="59">
        <f>SUM(D36:D63)</f>
        <v>1330933</v>
      </c>
      <c r="E64" s="31">
        <f>SUM(E36:E63)</f>
        <v>791627</v>
      </c>
      <c r="F64" s="32">
        <f t="shared" si="3"/>
        <v>0.59</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26808</v>
      </c>
      <c r="E67" s="15">
        <f>IF(F3="1",SUMIF(Data!A:A,'48'!$A$2,Data!DY:DY),0)</f>
        <v>92876</v>
      </c>
      <c r="F67" s="20">
        <f t="shared" ref="F67:F95" si="4">IF(OR(D67=0,E67=0),"",ROUND(E67/D67,2))</f>
        <v>3.46</v>
      </c>
    </row>
    <row r="68" spans="1:6" x14ac:dyDescent="0.2">
      <c r="A68" s="19">
        <v>2</v>
      </c>
      <c r="B68" s="143" t="s">
        <v>1</v>
      </c>
      <c r="C68" s="144"/>
      <c r="D68" s="14">
        <f t="shared" ref="D68:D94" si="5">D37</f>
        <v>15592</v>
      </c>
      <c r="E68" s="17">
        <f>IF(F3="1",SUMIF(Data!A:A,'48'!$A$2,Data!DZ:DZ),0)</f>
        <v>11143</v>
      </c>
      <c r="F68" s="21">
        <f t="shared" si="4"/>
        <v>0.71</v>
      </c>
    </row>
    <row r="69" spans="1:6" ht="14.25" customHeight="1" x14ac:dyDescent="0.2">
      <c r="A69" s="19">
        <v>3</v>
      </c>
      <c r="B69" s="143" t="s">
        <v>2</v>
      </c>
      <c r="C69" s="144"/>
      <c r="D69" s="14">
        <f t="shared" si="5"/>
        <v>136528</v>
      </c>
      <c r="E69" s="17">
        <f>IF(F3="1",SUMIF(Data!A:A,'48'!$A$2,Data!EA:EA),0)</f>
        <v>256032</v>
      </c>
      <c r="F69" s="21">
        <f t="shared" si="4"/>
        <v>1.88</v>
      </c>
    </row>
    <row r="70" spans="1:6" ht="14.25" customHeight="1" x14ac:dyDescent="0.2">
      <c r="A70" s="19">
        <v>4</v>
      </c>
      <c r="B70" s="143" t="s">
        <v>3</v>
      </c>
      <c r="C70" s="144"/>
      <c r="D70" s="14">
        <f t="shared" si="5"/>
        <v>96624</v>
      </c>
      <c r="E70" s="17">
        <f>IF(F3="1",SUMIF(Data!A:A,'48'!$A$2,Data!EB:EB),0)</f>
        <v>316225</v>
      </c>
      <c r="F70" s="21">
        <f t="shared" si="4"/>
        <v>3.27</v>
      </c>
    </row>
    <row r="71" spans="1:6" x14ac:dyDescent="0.2">
      <c r="A71" s="19">
        <v>5</v>
      </c>
      <c r="B71" s="143" t="s">
        <v>4</v>
      </c>
      <c r="C71" s="144"/>
      <c r="D71" s="14">
        <f t="shared" si="5"/>
        <v>0</v>
      </c>
      <c r="E71" s="17">
        <f>IF(F3="1",SUMIF(Data!A:A,'48'!$A$2,Data!EC:EC),0)</f>
        <v>0</v>
      </c>
      <c r="F71" s="21" t="str">
        <f t="shared" si="4"/>
        <v/>
      </c>
    </row>
    <row r="72" spans="1:6" x14ac:dyDescent="0.2">
      <c r="A72" s="19">
        <v>6</v>
      </c>
      <c r="B72" s="143" t="s">
        <v>5</v>
      </c>
      <c r="C72" s="144"/>
      <c r="D72" s="14">
        <f t="shared" si="5"/>
        <v>208</v>
      </c>
      <c r="E72" s="17">
        <f>IF(F3="1",SUMIF(Data!A:A,'48'!$A$2,Data!ED:ED),0)</f>
        <v>653</v>
      </c>
      <c r="F72" s="21">
        <f t="shared" si="4"/>
        <v>3.14</v>
      </c>
    </row>
    <row r="73" spans="1:6" x14ac:dyDescent="0.2">
      <c r="A73" s="19">
        <v>7</v>
      </c>
      <c r="B73" s="143" t="s">
        <v>6</v>
      </c>
      <c r="C73" s="144"/>
      <c r="D73" s="14">
        <f t="shared" si="5"/>
        <v>72256</v>
      </c>
      <c r="E73" s="17">
        <f>IF(F3="1",SUMIF(Data!A:A,'48'!$A$2,Data!EE:EE),0)</f>
        <v>234820</v>
      </c>
      <c r="F73" s="21">
        <f t="shared" si="4"/>
        <v>3.25</v>
      </c>
    </row>
    <row r="74" spans="1:6" x14ac:dyDescent="0.2">
      <c r="A74" s="19">
        <v>8</v>
      </c>
      <c r="B74" s="143" t="s">
        <v>7</v>
      </c>
      <c r="C74" s="144"/>
      <c r="D74" s="14">
        <f t="shared" si="5"/>
        <v>0</v>
      </c>
      <c r="E74" s="17">
        <f>IF(F3="1",SUMIF(Data!A:A,'48'!$A$2,Data!EF:EF),0)</f>
        <v>0</v>
      </c>
      <c r="F74" s="21" t="str">
        <f t="shared" si="4"/>
        <v/>
      </c>
    </row>
    <row r="75" spans="1:6" x14ac:dyDescent="0.2">
      <c r="A75" s="19">
        <v>9</v>
      </c>
      <c r="B75" s="143" t="s">
        <v>8</v>
      </c>
      <c r="C75" s="144"/>
      <c r="D75" s="14">
        <f t="shared" si="5"/>
        <v>54197</v>
      </c>
      <c r="E75" s="17">
        <f>IF(F3="1",SUMIF(Data!A:A,'48'!$A$2,Data!EG:EG),0)</f>
        <v>141557</v>
      </c>
      <c r="F75" s="21">
        <f t="shared" si="4"/>
        <v>2.61</v>
      </c>
    </row>
    <row r="76" spans="1:6" x14ac:dyDescent="0.2">
      <c r="A76" s="19">
        <v>10</v>
      </c>
      <c r="B76" s="143" t="s">
        <v>9</v>
      </c>
      <c r="C76" s="144"/>
      <c r="D76" s="14">
        <f t="shared" si="5"/>
        <v>384</v>
      </c>
      <c r="E76" s="17">
        <f>IF(F3="1",SUMIF(Data!A:A,'48'!$A$2,Data!EH:EH),0)</f>
        <v>1940</v>
      </c>
      <c r="F76" s="21">
        <f t="shared" si="4"/>
        <v>5.05</v>
      </c>
    </row>
    <row r="77" spans="1:6" x14ac:dyDescent="0.2">
      <c r="A77" s="19">
        <v>11</v>
      </c>
      <c r="B77" s="143" t="s">
        <v>10</v>
      </c>
      <c r="C77" s="144"/>
      <c r="D77" s="14">
        <f t="shared" si="5"/>
        <v>31104</v>
      </c>
      <c r="E77" s="17">
        <f>IF(F3="1",SUMIF(Data!A:A,'48'!$A$2,Data!EI:EI),0)</f>
        <v>192087</v>
      </c>
      <c r="F77" s="21">
        <f t="shared" si="4"/>
        <v>6.18</v>
      </c>
    </row>
    <row r="78" spans="1:6" ht="14.25" customHeight="1" x14ac:dyDescent="0.2">
      <c r="A78" s="19">
        <v>12</v>
      </c>
      <c r="B78" s="143" t="s">
        <v>11</v>
      </c>
      <c r="C78" s="144"/>
      <c r="D78" s="14">
        <f t="shared" si="5"/>
        <v>207280</v>
      </c>
      <c r="E78" s="17">
        <f>IF(F3="1",SUMIF(Data!A:A,'48'!$A$2,Data!EJ:EJ),0)</f>
        <v>454653</v>
      </c>
      <c r="F78" s="21">
        <f t="shared" si="4"/>
        <v>2.19</v>
      </c>
    </row>
    <row r="79" spans="1:6" x14ac:dyDescent="0.2">
      <c r="A79" s="19">
        <v>13</v>
      </c>
      <c r="B79" s="143" t="s">
        <v>12</v>
      </c>
      <c r="C79" s="144"/>
      <c r="D79" s="14">
        <f t="shared" si="5"/>
        <v>8336</v>
      </c>
      <c r="E79" s="17">
        <f>IF(F3="1",SUMIF(Data!A:A,'48'!$A$2,Data!EK:EK),0)</f>
        <v>18861</v>
      </c>
      <c r="F79" s="21">
        <f t="shared" si="4"/>
        <v>2.2599999999999998</v>
      </c>
    </row>
    <row r="80" spans="1:6" ht="14.25" customHeight="1" x14ac:dyDescent="0.2">
      <c r="A80" s="19">
        <v>14</v>
      </c>
      <c r="B80" s="143" t="s">
        <v>464</v>
      </c>
      <c r="C80" s="144"/>
      <c r="D80" s="14">
        <f t="shared" si="5"/>
        <v>36352</v>
      </c>
      <c r="E80" s="17">
        <f>IF(F3="1",SUMIF(Data!A:A,'48'!$A$2,Data!EL:EL),0)</f>
        <v>166496</v>
      </c>
      <c r="F80" s="21">
        <f t="shared" si="4"/>
        <v>4.58</v>
      </c>
    </row>
    <row r="81" spans="1:6" x14ac:dyDescent="0.2">
      <c r="A81" s="19">
        <v>15</v>
      </c>
      <c r="B81" s="143" t="s">
        <v>13</v>
      </c>
      <c r="C81" s="144"/>
      <c r="D81" s="14">
        <f t="shared" si="5"/>
        <v>0</v>
      </c>
      <c r="E81" s="17">
        <f>IF(F3="1",SUMIF(Data!A:A,'48'!$A$2,Data!EM:EM),0)</f>
        <v>0</v>
      </c>
      <c r="F81" s="21" t="str">
        <f t="shared" si="4"/>
        <v/>
      </c>
    </row>
    <row r="82" spans="1:6" x14ac:dyDescent="0.2">
      <c r="A82" s="19">
        <v>16</v>
      </c>
      <c r="B82" s="143" t="s">
        <v>14</v>
      </c>
      <c r="C82" s="144"/>
      <c r="D82" s="14">
        <f t="shared" si="5"/>
        <v>42135</v>
      </c>
      <c r="E82" s="17">
        <f>IF(F3="1",SUMIF(Data!A:A,'48'!$A$2,Data!EN:EN),0)</f>
        <v>106963</v>
      </c>
      <c r="F82" s="21">
        <f t="shared" si="4"/>
        <v>2.54</v>
      </c>
    </row>
    <row r="83" spans="1:6" x14ac:dyDescent="0.2">
      <c r="A83" s="19">
        <v>17</v>
      </c>
      <c r="B83" s="143" t="s">
        <v>15</v>
      </c>
      <c r="C83" s="144"/>
      <c r="D83" s="14">
        <f t="shared" si="5"/>
        <v>15232</v>
      </c>
      <c r="E83" s="17">
        <f>IF(F3="1",SUMIF(Data!A:A,'48'!$A$2,Data!EO:EO),0)</f>
        <v>73719</v>
      </c>
      <c r="F83" s="21">
        <f t="shared" si="4"/>
        <v>4.84</v>
      </c>
    </row>
    <row r="84" spans="1:6" x14ac:dyDescent="0.2">
      <c r="A84" s="19">
        <v>18</v>
      </c>
      <c r="B84" s="143" t="s">
        <v>16</v>
      </c>
      <c r="C84" s="144"/>
      <c r="D84" s="14">
        <f t="shared" si="5"/>
        <v>19056</v>
      </c>
      <c r="E84" s="17">
        <f>IF(F3="1",SUMIF(Data!A:A,'48'!$A$2,Data!EP:EP),0)</f>
        <v>75385</v>
      </c>
      <c r="F84" s="21">
        <f t="shared" si="4"/>
        <v>3.96</v>
      </c>
    </row>
    <row r="85" spans="1:6" x14ac:dyDescent="0.2">
      <c r="A85" s="19">
        <v>19</v>
      </c>
      <c r="B85" s="143" t="s">
        <v>17</v>
      </c>
      <c r="C85" s="144"/>
      <c r="D85" s="14">
        <f t="shared" si="5"/>
        <v>149472</v>
      </c>
      <c r="E85" s="17">
        <f>IF(F3="1",SUMIF(Data!A:A,'48'!$A$2,Data!EQ:EQ),0)</f>
        <v>341974</v>
      </c>
      <c r="F85" s="21">
        <f t="shared" si="4"/>
        <v>2.29</v>
      </c>
    </row>
    <row r="86" spans="1:6" x14ac:dyDescent="0.2">
      <c r="A86" s="19">
        <v>20</v>
      </c>
      <c r="B86" s="143" t="s">
        <v>18</v>
      </c>
      <c r="C86" s="144"/>
      <c r="D86" s="14">
        <f t="shared" si="5"/>
        <v>2556</v>
      </c>
      <c r="E86" s="17">
        <f>IF(F3="1",SUMIF(Data!A:A,'48'!$A$2,Data!ER:ER),0)</f>
        <v>4625</v>
      </c>
      <c r="F86" s="21">
        <f t="shared" si="4"/>
        <v>1.81</v>
      </c>
    </row>
    <row r="87" spans="1:6" ht="14.25" customHeight="1" x14ac:dyDescent="0.2">
      <c r="A87" s="19">
        <v>21</v>
      </c>
      <c r="B87" s="143" t="s">
        <v>461</v>
      </c>
      <c r="C87" s="144"/>
      <c r="D87" s="14">
        <f t="shared" si="5"/>
        <v>60160</v>
      </c>
      <c r="E87" s="17">
        <f>IF(F3="1",SUMIF(Data!A:A,'48'!$A$2,Data!ES:ES),0)</f>
        <v>335278</v>
      </c>
      <c r="F87" s="21">
        <f t="shared" si="4"/>
        <v>5.57</v>
      </c>
    </row>
    <row r="88" spans="1:6" x14ac:dyDescent="0.2">
      <c r="A88" s="19">
        <v>22</v>
      </c>
      <c r="B88" s="143" t="s">
        <v>19</v>
      </c>
      <c r="C88" s="144"/>
      <c r="D88" s="14">
        <f t="shared" si="5"/>
        <v>0</v>
      </c>
      <c r="E88" s="17">
        <f>IF(F3="1",SUMIF(Data!A:A,'48'!$A$2,Data!ET:ET),0)</f>
        <v>0</v>
      </c>
      <c r="F88" s="21" t="str">
        <f t="shared" si="4"/>
        <v/>
      </c>
    </row>
    <row r="89" spans="1:6" x14ac:dyDescent="0.2">
      <c r="A89" s="19">
        <v>23</v>
      </c>
      <c r="B89" s="143" t="s">
        <v>20</v>
      </c>
      <c r="C89" s="144"/>
      <c r="D89" s="14">
        <f t="shared" si="5"/>
        <v>49968</v>
      </c>
      <c r="E89" s="17">
        <f>IF(F3="1",SUMIF(Data!A:A,'48'!$A$2,Data!EU:EU),0)</f>
        <v>181005</v>
      </c>
      <c r="F89" s="21">
        <f t="shared" si="4"/>
        <v>3.62</v>
      </c>
    </row>
    <row r="90" spans="1:6" x14ac:dyDescent="0.2">
      <c r="A90" s="19">
        <v>24</v>
      </c>
      <c r="B90" s="143" t="s">
        <v>21</v>
      </c>
      <c r="C90" s="144"/>
      <c r="D90" s="14">
        <f t="shared" si="5"/>
        <v>63437</v>
      </c>
      <c r="E90" s="17">
        <f>IF(F3="1",SUMIF(Data!A:A,'48'!$A$2,Data!EV:EV),0)</f>
        <v>306488</v>
      </c>
      <c r="F90" s="21">
        <f t="shared" si="4"/>
        <v>4.83</v>
      </c>
    </row>
    <row r="91" spans="1:6" x14ac:dyDescent="0.2">
      <c r="A91" s="19">
        <v>25</v>
      </c>
      <c r="B91" s="143" t="s">
        <v>22</v>
      </c>
      <c r="C91" s="144"/>
      <c r="D91" s="14">
        <f t="shared" si="5"/>
        <v>199920</v>
      </c>
      <c r="E91" s="17">
        <f>IF(F3="1",SUMIF(Data!A:A,'48'!$A$2,Data!EW:EW),0)</f>
        <v>352014</v>
      </c>
      <c r="F91" s="21">
        <f t="shared" si="4"/>
        <v>1.76</v>
      </c>
    </row>
    <row r="92" spans="1:6" x14ac:dyDescent="0.2">
      <c r="A92" s="19">
        <v>26</v>
      </c>
      <c r="B92" s="143" t="s">
        <v>23</v>
      </c>
      <c r="C92" s="144"/>
      <c r="D92" s="14">
        <f t="shared" si="5"/>
        <v>43328</v>
      </c>
      <c r="E92" s="17">
        <f>IF(F3="1",SUMIF(Data!A:A,'48'!$A$2,Data!EX:EX),0)</f>
        <v>279489</v>
      </c>
      <c r="F92" s="21">
        <f t="shared" si="4"/>
        <v>6.45</v>
      </c>
    </row>
    <row r="93" spans="1:6" x14ac:dyDescent="0.2">
      <c r="A93" s="19">
        <v>28</v>
      </c>
      <c r="B93" s="143" t="s">
        <v>24</v>
      </c>
      <c r="C93" s="144"/>
      <c r="D93" s="14">
        <f t="shared" si="5"/>
        <v>0</v>
      </c>
      <c r="E93" s="17">
        <f>IF(F3="1",SUMIF(Data!A:A,'48'!$A$2,Data!EZ:EZ),0)</f>
        <v>0</v>
      </c>
      <c r="F93" s="21" t="str">
        <f t="shared" si="4"/>
        <v/>
      </c>
    </row>
    <row r="94" spans="1:6" ht="15.75" customHeight="1" thickBot="1" x14ac:dyDescent="0.25">
      <c r="A94" s="22">
        <v>29</v>
      </c>
      <c r="B94" s="147" t="s">
        <v>25</v>
      </c>
      <c r="C94" s="148"/>
      <c r="D94" s="23">
        <f t="shared" si="5"/>
        <v>0</v>
      </c>
      <c r="E94" s="24">
        <f>IF(F3="1",SUMIF(Data!A:A,'48'!$A$2,Data!FA:FA),0)</f>
        <v>0</v>
      </c>
      <c r="F94" s="25" t="str">
        <f t="shared" si="4"/>
        <v/>
      </c>
    </row>
    <row r="95" spans="1:6" x14ac:dyDescent="0.2">
      <c r="B95" s="30" t="s">
        <v>35</v>
      </c>
      <c r="C95" s="30"/>
      <c r="D95" s="59">
        <f>SUM(D67:D94)</f>
        <v>1330933</v>
      </c>
      <c r="E95" s="31">
        <f>SUM(E67:E94)</f>
        <v>3944283</v>
      </c>
      <c r="F95" s="32">
        <f t="shared" si="4"/>
        <v>2.96</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IF(F3="1",SUMIF(Data!A:A,'48'!$A$2,Data!AH:AH),0)</f>
        <v>1706563</v>
      </c>
      <c r="F98" s="20">
        <f>IF(OR(E98=0,E98=0),"",ROUND(E98/$D$105,2))</f>
        <v>1.28</v>
      </c>
    </row>
    <row r="99" spans="2:6" x14ac:dyDescent="0.2">
      <c r="B99" s="153" t="s">
        <v>31</v>
      </c>
      <c r="C99" s="154"/>
      <c r="D99" s="36"/>
      <c r="E99" s="17">
        <f>IF(F3="1",SUMIF(Data!A:A,'48'!$A$2,Data!AI:AI),0)</f>
        <v>550699</v>
      </c>
      <c r="F99" s="21">
        <f t="shared" ref="F99:F104" si="6">IF(OR(E99=0,E99=0),"",ROUND(E99/$D$105,2))</f>
        <v>0.41</v>
      </c>
    </row>
    <row r="100" spans="2:6" x14ac:dyDescent="0.2">
      <c r="B100" s="153" t="s">
        <v>1078</v>
      </c>
      <c r="C100" s="154"/>
      <c r="D100" s="36"/>
      <c r="E100" s="17">
        <f>IF(F3="1",SUMIF(Data!A:A,'48'!$A$2,Data!AJ:AJ),0)</f>
        <v>299710</v>
      </c>
      <c r="F100" s="21">
        <f t="shared" si="6"/>
        <v>0.23</v>
      </c>
    </row>
    <row r="101" spans="2:6" x14ac:dyDescent="0.2">
      <c r="B101" s="153" t="s">
        <v>1079</v>
      </c>
      <c r="C101" s="154"/>
      <c r="D101" s="36"/>
      <c r="E101" s="17">
        <f>IF(F3="1",SUMIF(Data!A:A,'48'!$A$2,Data!AK:AK),0)</f>
        <v>177837</v>
      </c>
      <c r="F101" s="21">
        <f t="shared" si="6"/>
        <v>0.13</v>
      </c>
    </row>
    <row r="102" spans="2:6" x14ac:dyDescent="0.2">
      <c r="B102" s="153" t="s">
        <v>1080</v>
      </c>
      <c r="C102" s="154"/>
      <c r="D102" s="36"/>
      <c r="E102" s="17">
        <f>IF(F3="1",SUMIF(Data!A:A,'48'!$A$2,Data!AL:AL),0)</f>
        <v>0</v>
      </c>
      <c r="F102" s="21" t="str">
        <f t="shared" si="6"/>
        <v/>
      </c>
    </row>
    <row r="103" spans="2:6" x14ac:dyDescent="0.2">
      <c r="B103" s="155" t="s">
        <v>34</v>
      </c>
      <c r="C103" s="156"/>
      <c r="D103" s="36"/>
      <c r="E103" s="17">
        <f>IF(F3="1",SUMIF(Data!A:A,'48'!$A$2,Data!AM:AM),0)</f>
        <v>0</v>
      </c>
      <c r="F103" s="21" t="str">
        <f t="shared" si="6"/>
        <v/>
      </c>
    </row>
    <row r="104" spans="2:6" ht="15.75" customHeight="1" thickBot="1" x14ac:dyDescent="0.25">
      <c r="B104" s="149" t="s">
        <v>29</v>
      </c>
      <c r="C104" s="150"/>
      <c r="D104" s="37"/>
      <c r="E104" s="24">
        <f>IF(F3="1",SUMIF(Data!A:A,'48'!$A$2,Data!Q:Q),0)</f>
        <v>65570</v>
      </c>
      <c r="F104" s="25">
        <f t="shared" si="6"/>
        <v>0.05</v>
      </c>
    </row>
    <row r="105" spans="2:6" x14ac:dyDescent="0.2">
      <c r="B105" s="30" t="s">
        <v>35</v>
      </c>
      <c r="C105" s="30"/>
      <c r="D105" s="34">
        <f>D95</f>
        <v>1330933</v>
      </c>
      <c r="E105" s="31">
        <f>SUM(E98:E104)</f>
        <v>2800379</v>
      </c>
      <c r="F105" s="32">
        <f>IF($D$105=0,"",ROUND(E105/$D$105,2))</f>
        <v>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3944283</v>
      </c>
      <c r="D109" s="15">
        <f>IF(F3="1",SUMIF(Data!$A:$A,$A$2,Data!HJ:HJ),0)</f>
        <v>0</v>
      </c>
      <c r="E109" s="15">
        <f>IF(F3="1",SUMIF(Data!$A:$A,$A$2,Data!IN:IN),0)</f>
        <v>0</v>
      </c>
      <c r="F109" s="47">
        <f>SUM(C109:E109)</f>
        <v>3944283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65570</v>
      </c>
      <c r="E117" s="52"/>
      <c r="F117" s="49">
        <f>SUM(C117:E117)</f>
        <v>65570</v>
      </c>
    </row>
    <row r="118" spans="1:6" x14ac:dyDescent="0.2">
      <c r="B118" s="13" t="s">
        <v>35</v>
      </c>
      <c r="C118" s="4">
        <f>SUM(C109:C116)</f>
        <v>3944283</v>
      </c>
      <c r="D118" s="4">
        <f>SUM(D109:D116)</f>
        <v>0</v>
      </c>
      <c r="E118" s="4">
        <f>SUM(E109:E116)</f>
        <v>0</v>
      </c>
      <c r="F118" s="4">
        <f>SUM(F109:F116)</f>
        <v>3944283</v>
      </c>
    </row>
    <row r="119" spans="1:6" ht="15" thickBot="1" x14ac:dyDescent="0.25"/>
    <row r="120" spans="1:6" ht="15" thickBot="1" x14ac:dyDescent="0.25">
      <c r="B120" s="55" t="s">
        <v>934</v>
      </c>
      <c r="C120" s="53"/>
      <c r="D120" s="53"/>
      <c r="E120" s="53">
        <f>IF(F3="1",SUMIF(Data!A:A,'48'!$A$2,Data!AM:AM),0)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431</v>
      </c>
      <c r="B2" s="58" t="str">
        <f>VLOOKUP(A2,Data!A:G,7,0)</f>
        <v>Western Texas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93440</v>
      </c>
      <c r="E5" s="15">
        <f>E36+E67+IFERROR($E$105/$D$105*D5,0)</f>
        <v>595884.67439691257</v>
      </c>
      <c r="F5" s="20">
        <f>IF(OR(D5=0,E5=0),"",ROUND(E5/D5,2))</f>
        <v>6.38</v>
      </c>
    </row>
    <row r="6" spans="1:6" x14ac:dyDescent="0.2">
      <c r="A6" s="19">
        <v>2</v>
      </c>
      <c r="B6" s="143" t="s">
        <v>1</v>
      </c>
      <c r="C6" s="144"/>
      <c r="D6" s="14">
        <f t="shared" ref="D6:D32" si="0">D37</f>
        <v>9840</v>
      </c>
      <c r="E6" s="17">
        <f t="shared" ref="E6:E32" si="1">E37+E68+IFERROR($E$105/$D$105*D6,0)</f>
        <v>87555.251670222817</v>
      </c>
      <c r="F6" s="21">
        <f t="shared" ref="F6:F33" si="2">IF(OR(D6=0,E6=0),"",ROUND(E6/D6,2))</f>
        <v>8.9</v>
      </c>
    </row>
    <row r="7" spans="1:6" ht="14.25" customHeight="1" x14ac:dyDescent="0.2">
      <c r="A7" s="19">
        <v>3</v>
      </c>
      <c r="B7" s="143" t="s">
        <v>2</v>
      </c>
      <c r="C7" s="144"/>
      <c r="D7" s="14">
        <f t="shared" si="0"/>
        <v>39968</v>
      </c>
      <c r="E7" s="17">
        <f t="shared" si="1"/>
        <v>232267.69702799444</v>
      </c>
      <c r="F7" s="21">
        <f t="shared" si="2"/>
        <v>5.81</v>
      </c>
    </row>
    <row r="8" spans="1:6" ht="14.25" customHeight="1" x14ac:dyDescent="0.2">
      <c r="A8" s="19">
        <v>4</v>
      </c>
      <c r="B8" s="143" t="s">
        <v>3</v>
      </c>
      <c r="C8" s="144"/>
      <c r="D8" s="14">
        <f t="shared" si="0"/>
        <v>26005</v>
      </c>
      <c r="E8" s="17">
        <f t="shared" si="1"/>
        <v>231485.3576914781</v>
      </c>
      <c r="F8" s="21">
        <f t="shared" si="2"/>
        <v>8.9</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6784</v>
      </c>
      <c r="E10" s="17">
        <f t="shared" si="1"/>
        <v>80330.913346625166</v>
      </c>
      <c r="F10" s="21">
        <f t="shared" si="2"/>
        <v>11.84</v>
      </c>
    </row>
    <row r="11" spans="1:6" x14ac:dyDescent="0.2">
      <c r="A11" s="19">
        <v>7</v>
      </c>
      <c r="B11" s="143" t="s">
        <v>6</v>
      </c>
      <c r="C11" s="144"/>
      <c r="D11" s="14">
        <f t="shared" si="0"/>
        <v>34473</v>
      </c>
      <c r="E11" s="17">
        <f t="shared" si="1"/>
        <v>163655.08443369827</v>
      </c>
      <c r="F11" s="21">
        <f t="shared" si="2"/>
        <v>4.75</v>
      </c>
    </row>
    <row r="12" spans="1:6" x14ac:dyDescent="0.2">
      <c r="A12" s="19">
        <v>8</v>
      </c>
      <c r="B12" s="143" t="s">
        <v>7</v>
      </c>
      <c r="C12" s="144"/>
      <c r="D12" s="14">
        <f t="shared" si="0"/>
        <v>336</v>
      </c>
      <c r="E12" s="17">
        <f t="shared" si="1"/>
        <v>2047.6183497149254</v>
      </c>
      <c r="F12" s="21">
        <f t="shared" si="2"/>
        <v>6.09</v>
      </c>
    </row>
    <row r="13" spans="1:6" x14ac:dyDescent="0.2">
      <c r="A13" s="19">
        <v>9</v>
      </c>
      <c r="B13" s="143" t="s">
        <v>8</v>
      </c>
      <c r="C13" s="144"/>
      <c r="D13" s="14">
        <f t="shared" si="0"/>
        <v>2676</v>
      </c>
      <c r="E13" s="17">
        <f t="shared" si="1"/>
        <v>21764.781856658155</v>
      </c>
      <c r="F13" s="21">
        <f t="shared" si="2"/>
        <v>8.1300000000000008</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32545</v>
      </c>
      <c r="E15" s="17">
        <f t="shared" si="1"/>
        <v>168853.25056985789</v>
      </c>
      <c r="F15" s="21">
        <f t="shared" si="2"/>
        <v>5.19</v>
      </c>
    </row>
    <row r="16" spans="1:6" ht="14.25" customHeight="1" x14ac:dyDescent="0.2">
      <c r="A16" s="19">
        <v>12</v>
      </c>
      <c r="B16" s="143" t="s">
        <v>11</v>
      </c>
      <c r="C16" s="144"/>
      <c r="D16" s="14">
        <f t="shared" si="0"/>
        <v>107648</v>
      </c>
      <c r="E16" s="17">
        <f t="shared" si="1"/>
        <v>664208.9646134295</v>
      </c>
      <c r="F16" s="21">
        <f t="shared" si="2"/>
        <v>6.17</v>
      </c>
    </row>
    <row r="17" spans="1:6" x14ac:dyDescent="0.2">
      <c r="A17" s="19">
        <v>13</v>
      </c>
      <c r="B17" s="143" t="s">
        <v>12</v>
      </c>
      <c r="C17" s="144"/>
      <c r="D17" s="14">
        <f t="shared" si="0"/>
        <v>2456</v>
      </c>
      <c r="E17" s="17">
        <f t="shared" si="1"/>
        <v>19350.091270535289</v>
      </c>
      <c r="F17" s="21">
        <f t="shared" si="2"/>
        <v>7.88</v>
      </c>
    </row>
    <row r="18" spans="1:6" ht="14.25" customHeight="1" x14ac:dyDescent="0.2">
      <c r="A18" s="19">
        <v>14</v>
      </c>
      <c r="B18" s="143" t="s">
        <v>464</v>
      </c>
      <c r="C18" s="144"/>
      <c r="D18" s="14">
        <f t="shared" si="0"/>
        <v>730</v>
      </c>
      <c r="E18" s="17">
        <f t="shared" si="1"/>
        <v>4738.2005812258794</v>
      </c>
      <c r="F18" s="21">
        <f t="shared" si="2"/>
        <v>6.49</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19466</v>
      </c>
      <c r="E20" s="17">
        <f t="shared" si="1"/>
        <v>135874.39522485339</v>
      </c>
      <c r="F20" s="21">
        <f t="shared" si="2"/>
        <v>6.98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31314</v>
      </c>
      <c r="E22" s="17">
        <f t="shared" si="1"/>
        <v>170798.91369932494</v>
      </c>
      <c r="F22" s="21">
        <f t="shared" si="2"/>
        <v>5.45</v>
      </c>
    </row>
    <row r="23" spans="1:6" x14ac:dyDescent="0.2">
      <c r="A23" s="19">
        <v>19</v>
      </c>
      <c r="B23" s="143" t="s">
        <v>17</v>
      </c>
      <c r="C23" s="144"/>
      <c r="D23" s="14">
        <f t="shared" si="0"/>
        <v>70686</v>
      </c>
      <c r="E23" s="17">
        <f t="shared" si="1"/>
        <v>336276.08532127744</v>
      </c>
      <c r="F23" s="21">
        <f t="shared" si="2"/>
        <v>4.76</v>
      </c>
    </row>
    <row r="24" spans="1:6" x14ac:dyDescent="0.2">
      <c r="A24" s="19">
        <v>20</v>
      </c>
      <c r="B24" s="143" t="s">
        <v>18</v>
      </c>
      <c r="C24" s="144"/>
      <c r="D24" s="14">
        <f t="shared" si="0"/>
        <v>11600</v>
      </c>
      <c r="E24" s="17">
        <f t="shared" si="1"/>
        <v>83171.77635920576</v>
      </c>
      <c r="F24" s="21">
        <f t="shared" si="2"/>
        <v>7.17</v>
      </c>
    </row>
    <row r="25" spans="1:6" ht="14.25" customHeight="1" x14ac:dyDescent="0.2">
      <c r="A25" s="19">
        <v>21</v>
      </c>
      <c r="B25" s="143" t="s">
        <v>461</v>
      </c>
      <c r="C25" s="144"/>
      <c r="D25" s="14">
        <f t="shared" si="0"/>
        <v>211</v>
      </c>
      <c r="E25" s="17">
        <f t="shared" si="1"/>
        <v>2793.3168803269323</v>
      </c>
      <c r="F25" s="21">
        <f t="shared" si="2"/>
        <v>13.24</v>
      </c>
    </row>
    <row r="26" spans="1:6" x14ac:dyDescent="0.2">
      <c r="A26" s="19">
        <v>22</v>
      </c>
      <c r="B26" s="143" t="s">
        <v>19</v>
      </c>
      <c r="C26" s="144"/>
      <c r="D26" s="14">
        <f t="shared" si="0"/>
        <v>502</v>
      </c>
      <c r="E26" s="17">
        <f t="shared" si="1"/>
        <v>5951.0667010621801</v>
      </c>
      <c r="F26" s="21">
        <f t="shared" si="2"/>
        <v>11.85</v>
      </c>
    </row>
    <row r="27" spans="1:6" x14ac:dyDescent="0.2">
      <c r="A27" s="19">
        <v>23</v>
      </c>
      <c r="B27" s="143" t="s">
        <v>20</v>
      </c>
      <c r="C27" s="144"/>
      <c r="D27" s="14">
        <f t="shared" si="0"/>
        <v>27760</v>
      </c>
      <c r="E27" s="17">
        <f t="shared" si="1"/>
        <v>277874.23032168549</v>
      </c>
      <c r="F27" s="21">
        <f t="shared" si="2"/>
        <v>10.01</v>
      </c>
    </row>
    <row r="28" spans="1:6" x14ac:dyDescent="0.2">
      <c r="A28" s="19">
        <v>24</v>
      </c>
      <c r="B28" s="143" t="s">
        <v>21</v>
      </c>
      <c r="C28" s="144"/>
      <c r="D28" s="14">
        <f t="shared" si="0"/>
        <v>50048</v>
      </c>
      <c r="E28" s="17">
        <f t="shared" si="1"/>
        <v>307583.24751944223</v>
      </c>
      <c r="F28" s="21">
        <f t="shared" si="2"/>
        <v>6.15</v>
      </c>
    </row>
    <row r="29" spans="1:6" x14ac:dyDescent="0.2">
      <c r="A29" s="19">
        <v>25</v>
      </c>
      <c r="B29" s="143" t="s">
        <v>22</v>
      </c>
      <c r="C29" s="144"/>
      <c r="D29" s="14">
        <f t="shared" si="0"/>
        <v>93264</v>
      </c>
      <c r="E29" s="17">
        <f t="shared" si="1"/>
        <v>523820.92192801432</v>
      </c>
      <c r="F29" s="21">
        <f t="shared" si="2"/>
        <v>5.62</v>
      </c>
    </row>
    <row r="30" spans="1:6" x14ac:dyDescent="0.2">
      <c r="A30" s="19">
        <v>26</v>
      </c>
      <c r="B30" s="143" t="s">
        <v>23</v>
      </c>
      <c r="C30" s="144"/>
      <c r="D30" s="14">
        <f t="shared" si="0"/>
        <v>24384</v>
      </c>
      <c r="E30" s="17">
        <f t="shared" si="1"/>
        <v>195328.16023645457</v>
      </c>
      <c r="F30" s="21">
        <f t="shared" si="2"/>
        <v>8.01</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686136</v>
      </c>
      <c r="E33" s="31">
        <f>SUM(E5:E32)</f>
        <v>4311614</v>
      </c>
      <c r="F33" s="32">
        <f t="shared" si="2"/>
        <v>6.28</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IF(F3="1",SUMIF(Data!A:A,'49'!$A$2,Data!CU:CU),0)</f>
        <v>93440</v>
      </c>
      <c r="E36" s="15">
        <f>IF(F3="1",SUMIF(Data!$A:$A,$A$2,Data!IO:IO),0)</f>
        <v>85836</v>
      </c>
      <c r="F36" s="20">
        <f t="shared" ref="F36:F64" si="3">IF(OR(D36=0,E36=0),"",ROUND(E36/D36,2))</f>
        <v>0.92</v>
      </c>
    </row>
    <row r="37" spans="1:6" x14ac:dyDescent="0.2">
      <c r="A37" s="19">
        <v>2</v>
      </c>
      <c r="B37" s="143" t="s">
        <v>1</v>
      </c>
      <c r="C37" s="144"/>
      <c r="D37" s="14">
        <f>IF(F3="1",SUMIF(Data!A:A,'49'!$A$2,Data!CV:CV),0)</f>
        <v>9840</v>
      </c>
      <c r="E37" s="17">
        <f>IF(F3="1",SUMIF(Data!$A:$A,$A$2,Data!IP:IP),0)</f>
        <v>20405</v>
      </c>
      <c r="F37" s="21">
        <f t="shared" si="3"/>
        <v>2.0699999999999998</v>
      </c>
    </row>
    <row r="38" spans="1:6" ht="14.25" customHeight="1" x14ac:dyDescent="0.2">
      <c r="A38" s="19">
        <v>3</v>
      </c>
      <c r="B38" s="143" t="s">
        <v>2</v>
      </c>
      <c r="C38" s="144"/>
      <c r="D38" s="14">
        <f>IF(F3="1",SUMIF(Data!A:A,'49'!$A$2,Data!CW:CW),0)</f>
        <v>39968</v>
      </c>
      <c r="E38" s="17">
        <f>IF($F$3="1",SUMIF(Data!$A:$A,$A$2,Data!IQ:IQ),0)</f>
        <v>17671</v>
      </c>
      <c r="F38" s="21">
        <f t="shared" si="3"/>
        <v>0.44</v>
      </c>
    </row>
    <row r="39" spans="1:6" ht="14.25" customHeight="1" x14ac:dyDescent="0.2">
      <c r="A39" s="19">
        <v>4</v>
      </c>
      <c r="B39" s="143" t="s">
        <v>3</v>
      </c>
      <c r="C39" s="144"/>
      <c r="D39" s="14">
        <f>IF(F3="1",SUMIF(Data!A:A,'49'!$A$2,Data!CX:CX),0)</f>
        <v>26005</v>
      </c>
      <c r="E39" s="17">
        <f>IF($F$3="1",SUMIF(Data!$A:$A,$A$2,Data!IR:IR),0)</f>
        <v>39430</v>
      </c>
      <c r="F39" s="21">
        <f t="shared" si="3"/>
        <v>1.52</v>
      </c>
    </row>
    <row r="40" spans="1:6" x14ac:dyDescent="0.2">
      <c r="A40" s="19">
        <v>5</v>
      </c>
      <c r="B40" s="143" t="s">
        <v>4</v>
      </c>
      <c r="C40" s="144"/>
      <c r="D40" s="14">
        <f>IF(F3="1",SUMIF(Data!A:A,'49'!$A$2,Data!CY:CY),0)</f>
        <v>0</v>
      </c>
      <c r="E40" s="17">
        <f>IF($F$3="1",SUMIF(Data!$A:$A,$A$2,Data!IS:IS),0)</f>
        <v>0</v>
      </c>
      <c r="F40" s="21" t="str">
        <f t="shared" si="3"/>
        <v/>
      </c>
    </row>
    <row r="41" spans="1:6" x14ac:dyDescent="0.2">
      <c r="A41" s="19">
        <v>6</v>
      </c>
      <c r="B41" s="143" t="s">
        <v>5</v>
      </c>
      <c r="C41" s="144"/>
      <c r="D41" s="14">
        <f>IF(F3="1",SUMIF(Data!A:A,'49'!$A$2,Data!CZ:CZ),0)</f>
        <v>6784</v>
      </c>
      <c r="E41" s="17">
        <f>IF($F$3="1",SUMIF(Data!$A:$A,$A$2,Data!IT:IT),0)</f>
        <v>26054</v>
      </c>
      <c r="F41" s="21">
        <f t="shared" si="3"/>
        <v>3.84</v>
      </c>
    </row>
    <row r="42" spans="1:6" x14ac:dyDescent="0.2">
      <c r="A42" s="19">
        <v>7</v>
      </c>
      <c r="B42" s="143" t="s">
        <v>6</v>
      </c>
      <c r="C42" s="144"/>
      <c r="D42" s="14">
        <f>IF(F3="1",SUMIF(Data!A:A,'49'!$A$2,Data!DA:DA),0)</f>
        <v>34473</v>
      </c>
      <c r="E42" s="17">
        <f>IF($F$3="1",SUMIF(Data!$A:$A,$A$2,Data!IU:IU),0)</f>
        <v>29343</v>
      </c>
      <c r="F42" s="21">
        <f t="shared" si="3"/>
        <v>0.85</v>
      </c>
    </row>
    <row r="43" spans="1:6" x14ac:dyDescent="0.2">
      <c r="A43" s="19">
        <v>8</v>
      </c>
      <c r="B43" s="143" t="s">
        <v>7</v>
      </c>
      <c r="C43" s="144"/>
      <c r="D43" s="14">
        <f>IF(F3="1",SUMIF(Data!A:A,'49'!$A$2,Data!DB:DB),0)</f>
        <v>336</v>
      </c>
      <c r="E43" s="17">
        <f>IF($F$3="1",SUMIF(Data!$A:$A,$A$2,Data!IV:IV),0)</f>
        <v>1063</v>
      </c>
      <c r="F43" s="21">
        <f t="shared" si="3"/>
        <v>3.16</v>
      </c>
    </row>
    <row r="44" spans="1:6" x14ac:dyDescent="0.2">
      <c r="A44" s="19">
        <v>9</v>
      </c>
      <c r="B44" s="143" t="s">
        <v>8</v>
      </c>
      <c r="C44" s="144"/>
      <c r="D44" s="14">
        <f>IF(F3="1",SUMIF(Data!A:A,'49'!$A$2,Data!DC:DC),0)</f>
        <v>2676</v>
      </c>
      <c r="E44" s="17">
        <f>IF($F$3="1",SUMIF(Data!$A:$A,$A$2,Data!IW:IW),0)</f>
        <v>8046</v>
      </c>
      <c r="F44" s="21">
        <f t="shared" si="3"/>
        <v>3.01</v>
      </c>
    </row>
    <row r="45" spans="1:6" x14ac:dyDescent="0.2">
      <c r="A45" s="19">
        <v>10</v>
      </c>
      <c r="B45" s="143" t="s">
        <v>9</v>
      </c>
      <c r="C45" s="144"/>
      <c r="D45" s="14">
        <f>IF(F3="1",SUMIF(Data!A:A,'49'!$A$2,Data!DD:DD),0)</f>
        <v>0</v>
      </c>
      <c r="E45" s="17">
        <f>IF($F$3="1",SUMIF(Data!$A:$A,$A$2,Data!IX:IX),0)</f>
        <v>0</v>
      </c>
      <c r="F45" s="21" t="str">
        <f t="shared" si="3"/>
        <v/>
      </c>
    </row>
    <row r="46" spans="1:6" x14ac:dyDescent="0.2">
      <c r="A46" s="19">
        <v>11</v>
      </c>
      <c r="B46" s="143" t="s">
        <v>10</v>
      </c>
      <c r="C46" s="144"/>
      <c r="D46" s="14">
        <f>IF(F3="1",SUMIF(Data!A:A,'49'!$A$2,Data!DE:DE),0)</f>
        <v>32545</v>
      </c>
      <c r="E46" s="17">
        <f>IF($F$3="1",SUMIF(Data!$A:$A,$A$2,Data!IY:IY),0)</f>
        <v>40629</v>
      </c>
      <c r="F46" s="21">
        <f t="shared" si="3"/>
        <v>1.25</v>
      </c>
    </row>
    <row r="47" spans="1:6" ht="14.25" customHeight="1" x14ac:dyDescent="0.2">
      <c r="A47" s="19">
        <v>12</v>
      </c>
      <c r="B47" s="143" t="s">
        <v>11</v>
      </c>
      <c r="C47" s="144"/>
      <c r="D47" s="14">
        <f>IF(F3="1",SUMIF(Data!A:A,'49'!$A$2,Data!DF:DF),0)</f>
        <v>107648</v>
      </c>
      <c r="E47" s="17">
        <f>IF($F$3="1",SUMIF(Data!$A:$A,$A$2,Data!IZ:IZ),0)</f>
        <v>49011</v>
      </c>
      <c r="F47" s="21">
        <f t="shared" si="3"/>
        <v>0.46</v>
      </c>
    </row>
    <row r="48" spans="1:6" x14ac:dyDescent="0.2">
      <c r="A48" s="19">
        <v>13</v>
      </c>
      <c r="B48" s="143" t="s">
        <v>12</v>
      </c>
      <c r="C48" s="144"/>
      <c r="D48" s="14">
        <f>IF(F3="1",SUMIF(Data!A:A,'49'!$A$2,Data!DG:DG),0)</f>
        <v>2456</v>
      </c>
      <c r="E48" s="17">
        <f>IF($F$3="1",SUMIF(Data!$A:$A,$A$2,Data!JA:JA),0)</f>
        <v>853</v>
      </c>
      <c r="F48" s="21">
        <f t="shared" si="3"/>
        <v>0.35</v>
      </c>
    </row>
    <row r="49" spans="1:6" ht="14.25" customHeight="1" x14ac:dyDescent="0.2">
      <c r="A49" s="19">
        <v>14</v>
      </c>
      <c r="B49" s="143" t="s">
        <v>464</v>
      </c>
      <c r="C49" s="144"/>
      <c r="D49" s="14">
        <f>IF(F3="1",SUMIF(Data!A:A,'49'!$A$2,Data!DH:DH),0)</f>
        <v>730</v>
      </c>
      <c r="E49" s="17">
        <f>IF($F$3="1",SUMIF(Data!$A:$A,$A$2,Data!JB:JB),0)</f>
        <v>2599</v>
      </c>
      <c r="F49" s="21">
        <f t="shared" si="3"/>
        <v>3.56</v>
      </c>
    </row>
    <row r="50" spans="1:6" x14ac:dyDescent="0.2">
      <c r="A50" s="19">
        <v>15</v>
      </c>
      <c r="B50" s="143" t="s">
        <v>13</v>
      </c>
      <c r="C50" s="144"/>
      <c r="D50" s="14">
        <f>IF(F3="1",SUMIF(Data!A:A,'49'!$A$2,Data!DI:DI),0)</f>
        <v>0</v>
      </c>
      <c r="E50" s="17">
        <f>IF($F$3="1",SUMIF(Data!$A:$A,$A$2,Data!JC:JC),0)</f>
        <v>0</v>
      </c>
      <c r="F50" s="21" t="str">
        <f t="shared" si="3"/>
        <v/>
      </c>
    </row>
    <row r="51" spans="1:6" x14ac:dyDescent="0.2">
      <c r="A51" s="19">
        <v>16</v>
      </c>
      <c r="B51" s="143" t="s">
        <v>14</v>
      </c>
      <c r="C51" s="144"/>
      <c r="D51" s="14">
        <f>IF(F3="1",SUMIF(Data!A:A,'49'!$A$2,Data!DJ:DJ),0)</f>
        <v>19466</v>
      </c>
      <c r="E51" s="17">
        <f>IF($F$3="1",SUMIF(Data!$A:$A,$A$2,Data!JD:JD),0)</f>
        <v>78831</v>
      </c>
      <c r="F51" s="21">
        <f t="shared" si="3"/>
        <v>4.05</v>
      </c>
    </row>
    <row r="52" spans="1:6" x14ac:dyDescent="0.2">
      <c r="A52" s="19">
        <v>17</v>
      </c>
      <c r="B52" s="143" t="s">
        <v>15</v>
      </c>
      <c r="C52" s="144"/>
      <c r="D52" s="14">
        <f>IF(F3="1",SUMIF(Data!A:A,'49'!$A$2,Data!DK:DK),0)</f>
        <v>0</v>
      </c>
      <c r="E52" s="17">
        <f>IF($F$3="1",SUMIF(Data!$A:$A,$A$2,Data!JE:JE),0)</f>
        <v>0</v>
      </c>
      <c r="F52" s="21" t="str">
        <f t="shared" si="3"/>
        <v/>
      </c>
    </row>
    <row r="53" spans="1:6" x14ac:dyDescent="0.2">
      <c r="A53" s="19">
        <v>18</v>
      </c>
      <c r="B53" s="143" t="s">
        <v>16</v>
      </c>
      <c r="C53" s="144"/>
      <c r="D53" s="14">
        <f>IF(F3="1",SUMIF(Data!A:A,'49'!$A$2,Data!DL:DL),0)</f>
        <v>31314</v>
      </c>
      <c r="E53" s="17">
        <f>IF($F$3="1",SUMIF(Data!$A:$A,$A$2,Data!JF:JF),0)</f>
        <v>8233</v>
      </c>
      <c r="F53" s="21">
        <f t="shared" si="3"/>
        <v>0.26</v>
      </c>
    </row>
    <row r="54" spans="1:6" x14ac:dyDescent="0.2">
      <c r="A54" s="19">
        <v>19</v>
      </c>
      <c r="B54" s="143" t="s">
        <v>17</v>
      </c>
      <c r="C54" s="144"/>
      <c r="D54" s="14">
        <f>IF(F3="1",SUMIF(Data!A:A,'49'!$A$2,Data!DM:DM),0)</f>
        <v>70686</v>
      </c>
      <c r="E54" s="17">
        <f>IF($F$3="1",SUMIF(Data!$A:$A,$A$2,Data!JG:JG),0)</f>
        <v>16399</v>
      </c>
      <c r="F54" s="21">
        <f t="shared" si="3"/>
        <v>0.23</v>
      </c>
    </row>
    <row r="55" spans="1:6" x14ac:dyDescent="0.2">
      <c r="A55" s="19">
        <v>20</v>
      </c>
      <c r="B55" s="143" t="s">
        <v>18</v>
      </c>
      <c r="C55" s="144"/>
      <c r="D55" s="14">
        <f>IF(F3="1",SUMIF(Data!A:A,'49'!$A$2,Data!DN:DN),0)</f>
        <v>11600</v>
      </c>
      <c r="E55" s="17">
        <f>IF($F$3="1",SUMIF(Data!$A:$A,$A$2,Data!JH:JH),0)</f>
        <v>16410</v>
      </c>
      <c r="F55" s="21">
        <f t="shared" si="3"/>
        <v>1.41</v>
      </c>
    </row>
    <row r="56" spans="1:6" ht="14.25" customHeight="1" x14ac:dyDescent="0.2">
      <c r="A56" s="19">
        <v>21</v>
      </c>
      <c r="B56" s="143" t="s">
        <v>461</v>
      </c>
      <c r="C56" s="144"/>
      <c r="D56" s="14">
        <f>IF(F3="1",SUMIF(Data!A:A,'49'!$A$2,Data!DO:DO),0)</f>
        <v>211</v>
      </c>
      <c r="E56" s="17">
        <f>IF($F$3="1",SUMIF(Data!$A:$A,$A$2,Data!JI:JI),0)</f>
        <v>2175</v>
      </c>
      <c r="F56" s="21">
        <f t="shared" si="3"/>
        <v>10.31</v>
      </c>
    </row>
    <row r="57" spans="1:6" x14ac:dyDescent="0.2">
      <c r="A57" s="19">
        <v>22</v>
      </c>
      <c r="B57" s="143" t="s">
        <v>19</v>
      </c>
      <c r="C57" s="144"/>
      <c r="D57" s="14">
        <f>IF(F3="1",SUMIF(Data!A:A,'49'!$A$2,Data!DP:DP),0)</f>
        <v>502</v>
      </c>
      <c r="E57" s="17">
        <f>IF($F$3="1",SUMIF(Data!$A:$A,$A$2,Data!JJ:JJ),0)</f>
        <v>4480</v>
      </c>
      <c r="F57" s="21">
        <f t="shared" si="3"/>
        <v>8.92</v>
      </c>
    </row>
    <row r="58" spans="1:6" x14ac:dyDescent="0.2">
      <c r="A58" s="19">
        <v>23</v>
      </c>
      <c r="B58" s="143" t="s">
        <v>20</v>
      </c>
      <c r="C58" s="144"/>
      <c r="D58" s="14">
        <f>IF(F3="1",SUMIF(Data!A:A,'49'!$A$2,Data!DQ:DQ),0)</f>
        <v>27760</v>
      </c>
      <c r="E58" s="17">
        <f>IF($F$3="1",SUMIF(Data!$A:$A,$A$2,Data!JK:JK),0)</f>
        <v>89994</v>
      </c>
      <c r="F58" s="21">
        <f t="shared" si="3"/>
        <v>3.24</v>
      </c>
    </row>
    <row r="59" spans="1:6" x14ac:dyDescent="0.2">
      <c r="A59" s="19">
        <v>24</v>
      </c>
      <c r="B59" s="143" t="s">
        <v>21</v>
      </c>
      <c r="C59" s="144"/>
      <c r="D59" s="14">
        <f>IF(F3="1",SUMIF(Data!A:A,'49'!$A$2,Data!DR:DR),0)</f>
        <v>50048</v>
      </c>
      <c r="E59" s="17">
        <f>IF($F$3="1",SUMIF(Data!$A:$A,$A$2,Data!JL:JL),0)</f>
        <v>64357</v>
      </c>
      <c r="F59" s="21">
        <f t="shared" si="3"/>
        <v>1.29</v>
      </c>
    </row>
    <row r="60" spans="1:6" x14ac:dyDescent="0.2">
      <c r="A60" s="19">
        <v>25</v>
      </c>
      <c r="B60" s="143" t="s">
        <v>22</v>
      </c>
      <c r="C60" s="144"/>
      <c r="D60" s="14">
        <f>IF(F3="1",SUMIF(Data!A:A,'49'!$A$2,Data!DS:DS),0)</f>
        <v>93264</v>
      </c>
      <c r="E60" s="17">
        <f>IF($F$3="1",SUMIF(Data!$A:$A,$A$2,Data!JM:JM),0)</f>
        <v>11644</v>
      </c>
      <c r="F60" s="21">
        <f t="shared" si="3"/>
        <v>0.12</v>
      </c>
    </row>
    <row r="61" spans="1:6" x14ac:dyDescent="0.2">
      <c r="A61" s="19">
        <v>26</v>
      </c>
      <c r="B61" s="143" t="s">
        <v>23</v>
      </c>
      <c r="C61" s="144"/>
      <c r="D61" s="14">
        <f>IF(F3="1",SUMIF(Data!A:A,'49'!$A$2,Data!DT:DT),0)</f>
        <v>24384</v>
      </c>
      <c r="E61" s="17">
        <f>IF($F$3="1",SUMIF(Data!$A:$A,$A$2,Data!JN:JN),0)</f>
        <v>32508</v>
      </c>
      <c r="F61" s="21">
        <f t="shared" si="3"/>
        <v>1.33</v>
      </c>
    </row>
    <row r="62" spans="1:6" x14ac:dyDescent="0.2">
      <c r="A62" s="19">
        <v>28</v>
      </c>
      <c r="B62" s="143" t="s">
        <v>24</v>
      </c>
      <c r="C62" s="144"/>
      <c r="D62" s="14">
        <f>IF(F3="1",SUMIF(Data!A:A,'49'!$A$2,Data!DV:DV),0)</f>
        <v>0</v>
      </c>
      <c r="E62" s="17">
        <f>IF($F$3="1",SUMIF(Data!$A:$A,$A$2,Data!JP:JP),0)</f>
        <v>0</v>
      </c>
      <c r="F62" s="21" t="str">
        <f t="shared" si="3"/>
        <v/>
      </c>
    </row>
    <row r="63" spans="1:6" ht="15.75" customHeight="1" thickBot="1" x14ac:dyDescent="0.25">
      <c r="A63" s="22">
        <v>29</v>
      </c>
      <c r="B63" s="147" t="s">
        <v>25</v>
      </c>
      <c r="C63" s="148"/>
      <c r="D63" s="23">
        <f>IF(F3="1",SUMIF(Data!A:A,'49'!$A$2,Data!DW:DW),0)</f>
        <v>0</v>
      </c>
      <c r="E63" s="24">
        <f>IF($F$3="1",SUMIF(Data!$A:$A,$A$2,Data!JQ:JQ),0)</f>
        <v>0</v>
      </c>
      <c r="F63" s="25" t="str">
        <f t="shared" si="3"/>
        <v/>
      </c>
    </row>
    <row r="64" spans="1:6" x14ac:dyDescent="0.2">
      <c r="B64" s="30" t="s">
        <v>35</v>
      </c>
      <c r="C64" s="30"/>
      <c r="D64" s="59">
        <f>SUM(D36:D63)</f>
        <v>686136</v>
      </c>
      <c r="E64" s="31">
        <f>SUM(E36:E63)</f>
        <v>645971</v>
      </c>
      <c r="F64" s="32">
        <f t="shared" si="3"/>
        <v>0.94</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93440</v>
      </c>
      <c r="E67" s="15">
        <f>IF(F3="1",SUMIF(Data!A:A,'49'!$A$2,Data!DY:DY),0)</f>
        <v>236231</v>
      </c>
      <c r="F67" s="20">
        <f t="shared" ref="F67:F95" si="4">IF(OR(D67=0,E67=0),"",ROUND(E67/D67,2))</f>
        <v>2.5299999999999998</v>
      </c>
    </row>
    <row r="68" spans="1:6" x14ac:dyDescent="0.2">
      <c r="A68" s="19">
        <v>2</v>
      </c>
      <c r="B68" s="143" t="s">
        <v>1</v>
      </c>
      <c r="C68" s="144"/>
      <c r="D68" s="14">
        <f t="shared" ref="D68:D94" si="5">D37</f>
        <v>9840</v>
      </c>
      <c r="E68" s="17">
        <f>IF(F3="1",SUMIF(Data!A:A,'49'!$A$2,Data!DZ:DZ),0)</f>
        <v>38315</v>
      </c>
      <c r="F68" s="21">
        <f t="shared" si="4"/>
        <v>3.89</v>
      </c>
    </row>
    <row r="69" spans="1:6" ht="14.25" customHeight="1" x14ac:dyDescent="0.2">
      <c r="A69" s="19">
        <v>3</v>
      </c>
      <c r="B69" s="143" t="s">
        <v>2</v>
      </c>
      <c r="C69" s="144"/>
      <c r="D69" s="14">
        <f t="shared" si="5"/>
        <v>39968</v>
      </c>
      <c r="E69" s="17">
        <f>IF(F3="1",SUMIF(Data!A:A,'49'!$A$2,Data!EA:EA),0)</f>
        <v>97474</v>
      </c>
      <c r="F69" s="21">
        <f t="shared" si="4"/>
        <v>2.44</v>
      </c>
    </row>
    <row r="70" spans="1:6" ht="14.25" customHeight="1" x14ac:dyDescent="0.2">
      <c r="A70" s="19">
        <v>4</v>
      </c>
      <c r="B70" s="143" t="s">
        <v>3</v>
      </c>
      <c r="C70" s="144"/>
      <c r="D70" s="14">
        <f t="shared" si="5"/>
        <v>26005</v>
      </c>
      <c r="E70" s="17">
        <f>IF(F3="1",SUMIF(Data!A:A,'49'!$A$2,Data!EB:EB),0)</f>
        <v>115850</v>
      </c>
      <c r="F70" s="21">
        <f t="shared" si="4"/>
        <v>4.45</v>
      </c>
    </row>
    <row r="71" spans="1:6" x14ac:dyDescent="0.2">
      <c r="A71" s="19">
        <v>5</v>
      </c>
      <c r="B71" s="143" t="s">
        <v>4</v>
      </c>
      <c r="C71" s="144"/>
      <c r="D71" s="14">
        <f t="shared" si="5"/>
        <v>0</v>
      </c>
      <c r="E71" s="17">
        <f>IF(F3="1",SUMIF(Data!A:A,'49'!$A$2,Data!EC:EC),0)</f>
        <v>0</v>
      </c>
      <c r="F71" s="21" t="str">
        <f t="shared" si="4"/>
        <v/>
      </c>
    </row>
    <row r="72" spans="1:6" x14ac:dyDescent="0.2">
      <c r="A72" s="19">
        <v>6</v>
      </c>
      <c r="B72" s="143" t="s">
        <v>5</v>
      </c>
      <c r="C72" s="144"/>
      <c r="D72" s="14">
        <f t="shared" si="5"/>
        <v>6784</v>
      </c>
      <c r="E72" s="17">
        <f>IF(F3="1",SUMIF(Data!A:A,'49'!$A$2,Data!ED:ED),0)</f>
        <v>34397</v>
      </c>
      <c r="F72" s="21">
        <f t="shared" si="4"/>
        <v>5.07</v>
      </c>
    </row>
    <row r="73" spans="1:6" x14ac:dyDescent="0.2">
      <c r="A73" s="19">
        <v>7</v>
      </c>
      <c r="B73" s="143" t="s">
        <v>6</v>
      </c>
      <c r="C73" s="144"/>
      <c r="D73" s="14">
        <f t="shared" si="5"/>
        <v>34473</v>
      </c>
      <c r="E73" s="17">
        <f>IF(F3="1",SUMIF(Data!A:A,'49'!$A$2,Data!EE:EE),0)</f>
        <v>33292</v>
      </c>
      <c r="F73" s="21">
        <f t="shared" si="4"/>
        <v>0.97</v>
      </c>
    </row>
    <row r="74" spans="1:6" x14ac:dyDescent="0.2">
      <c r="A74" s="19">
        <v>8</v>
      </c>
      <c r="B74" s="143" t="s">
        <v>7</v>
      </c>
      <c r="C74" s="144"/>
      <c r="D74" s="14">
        <f t="shared" si="5"/>
        <v>336</v>
      </c>
      <c r="E74" s="17">
        <f>IF(F3="1",SUMIF(Data!A:A,'49'!$A$2,Data!EF:EF),0)</f>
        <v>0</v>
      </c>
      <c r="F74" s="21" t="str">
        <f t="shared" si="4"/>
        <v/>
      </c>
    </row>
    <row r="75" spans="1:6" x14ac:dyDescent="0.2">
      <c r="A75" s="19">
        <v>9</v>
      </c>
      <c r="B75" s="143" t="s">
        <v>8</v>
      </c>
      <c r="C75" s="144"/>
      <c r="D75" s="14">
        <f t="shared" si="5"/>
        <v>2676</v>
      </c>
      <c r="E75" s="17">
        <f>IF(F3="1",SUMIF(Data!A:A,'49'!$A$2,Data!EG:EG),0)</f>
        <v>5877</v>
      </c>
      <c r="F75" s="21">
        <f t="shared" si="4"/>
        <v>2.2000000000000002</v>
      </c>
    </row>
    <row r="76" spans="1:6" x14ac:dyDescent="0.2">
      <c r="A76" s="19">
        <v>10</v>
      </c>
      <c r="B76" s="143" t="s">
        <v>9</v>
      </c>
      <c r="C76" s="144"/>
      <c r="D76" s="14">
        <f t="shared" si="5"/>
        <v>0</v>
      </c>
      <c r="E76" s="17">
        <f>IF(F3="1",SUMIF(Data!A:A,'49'!$A$2,Data!EH:EH),0)</f>
        <v>0</v>
      </c>
      <c r="F76" s="21" t="str">
        <f t="shared" si="4"/>
        <v/>
      </c>
    </row>
    <row r="77" spans="1:6" x14ac:dyDescent="0.2">
      <c r="A77" s="19">
        <v>11</v>
      </c>
      <c r="B77" s="143" t="s">
        <v>10</v>
      </c>
      <c r="C77" s="144"/>
      <c r="D77" s="14">
        <f t="shared" si="5"/>
        <v>32545</v>
      </c>
      <c r="E77" s="17">
        <f>IF(F3="1",SUMIF(Data!A:A,'49'!$A$2,Data!EI:EI),0)</f>
        <v>32854</v>
      </c>
      <c r="F77" s="21">
        <f t="shared" si="4"/>
        <v>1.01</v>
      </c>
    </row>
    <row r="78" spans="1:6" ht="14.25" customHeight="1" x14ac:dyDescent="0.2">
      <c r="A78" s="19">
        <v>12</v>
      </c>
      <c r="B78" s="143" t="s">
        <v>11</v>
      </c>
      <c r="C78" s="144"/>
      <c r="D78" s="14">
        <f t="shared" si="5"/>
        <v>107648</v>
      </c>
      <c r="E78" s="17">
        <f>IF(F3="1",SUMIF(Data!A:A,'49'!$A$2,Data!EJ:EJ),0)</f>
        <v>299745</v>
      </c>
      <c r="F78" s="21">
        <f t="shared" si="4"/>
        <v>2.78</v>
      </c>
    </row>
    <row r="79" spans="1:6" x14ac:dyDescent="0.2">
      <c r="A79" s="19">
        <v>13</v>
      </c>
      <c r="B79" s="143" t="s">
        <v>12</v>
      </c>
      <c r="C79" s="144"/>
      <c r="D79" s="14">
        <f t="shared" si="5"/>
        <v>2456</v>
      </c>
      <c r="E79" s="17">
        <f>IF(F3="1",SUMIF(Data!A:A,'49'!$A$2,Data!EK:EK),0)</f>
        <v>11300</v>
      </c>
      <c r="F79" s="21">
        <f t="shared" si="4"/>
        <v>4.5999999999999996</v>
      </c>
    </row>
    <row r="80" spans="1:6" ht="14.25" customHeight="1" x14ac:dyDescent="0.2">
      <c r="A80" s="19">
        <v>14</v>
      </c>
      <c r="B80" s="143" t="s">
        <v>464</v>
      </c>
      <c r="C80" s="144"/>
      <c r="D80" s="14">
        <f t="shared" si="5"/>
        <v>730</v>
      </c>
      <c r="E80" s="17">
        <f>IF(F3="1",SUMIF(Data!A:A,'49'!$A$2,Data!EL:EL),0)</f>
        <v>0</v>
      </c>
      <c r="F80" s="21" t="str">
        <f t="shared" si="4"/>
        <v/>
      </c>
    </row>
    <row r="81" spans="1:6" x14ac:dyDescent="0.2">
      <c r="A81" s="19">
        <v>15</v>
      </c>
      <c r="B81" s="143" t="s">
        <v>13</v>
      </c>
      <c r="C81" s="144"/>
      <c r="D81" s="14">
        <f t="shared" si="5"/>
        <v>0</v>
      </c>
      <c r="E81" s="17">
        <f>IF(F3="1",SUMIF(Data!A:A,'49'!$A$2,Data!EM:EM),0)</f>
        <v>0</v>
      </c>
      <c r="F81" s="21" t="str">
        <f t="shared" si="4"/>
        <v/>
      </c>
    </row>
    <row r="82" spans="1:6" x14ac:dyDescent="0.2">
      <c r="A82" s="19">
        <v>16</v>
      </c>
      <c r="B82" s="143" t="s">
        <v>14</v>
      </c>
      <c r="C82" s="144"/>
      <c r="D82" s="14">
        <f t="shared" si="5"/>
        <v>19466</v>
      </c>
      <c r="E82" s="17">
        <f>IF(F3="1",SUMIF(Data!A:A,'49'!$A$2,Data!EN:EN),0)</f>
        <v>0</v>
      </c>
      <c r="F82" s="21" t="str">
        <f t="shared" si="4"/>
        <v/>
      </c>
    </row>
    <row r="83" spans="1:6" x14ac:dyDescent="0.2">
      <c r="A83" s="19">
        <v>17</v>
      </c>
      <c r="B83" s="143" t="s">
        <v>15</v>
      </c>
      <c r="C83" s="144"/>
      <c r="D83" s="14">
        <f t="shared" si="5"/>
        <v>0</v>
      </c>
      <c r="E83" s="17">
        <f>IF(F3="1",SUMIF(Data!A:A,'49'!$A$2,Data!EO:EO),0)</f>
        <v>0</v>
      </c>
      <c r="F83" s="21" t="str">
        <f t="shared" si="4"/>
        <v/>
      </c>
    </row>
    <row r="84" spans="1:6" x14ac:dyDescent="0.2">
      <c r="A84" s="19">
        <v>18</v>
      </c>
      <c r="B84" s="143" t="s">
        <v>16</v>
      </c>
      <c r="C84" s="144"/>
      <c r="D84" s="14">
        <f t="shared" si="5"/>
        <v>31314</v>
      </c>
      <c r="E84" s="17">
        <f>IF(F3="1",SUMIF(Data!A:A,'49'!$A$2,Data!EP:EP),0)</f>
        <v>70803</v>
      </c>
      <c r="F84" s="21">
        <f t="shared" si="4"/>
        <v>2.2599999999999998</v>
      </c>
    </row>
    <row r="85" spans="1:6" x14ac:dyDescent="0.2">
      <c r="A85" s="19">
        <v>19</v>
      </c>
      <c r="B85" s="143" t="s">
        <v>17</v>
      </c>
      <c r="C85" s="144"/>
      <c r="D85" s="14">
        <f t="shared" si="5"/>
        <v>70686</v>
      </c>
      <c r="E85" s="17">
        <f>IF(F3="1",SUMIF(Data!A:A,'49'!$A$2,Data!EQ:EQ),0)</f>
        <v>112738</v>
      </c>
      <c r="F85" s="21">
        <f t="shared" si="4"/>
        <v>1.59</v>
      </c>
    </row>
    <row r="86" spans="1:6" x14ac:dyDescent="0.2">
      <c r="A86" s="19">
        <v>20</v>
      </c>
      <c r="B86" s="143" t="s">
        <v>18</v>
      </c>
      <c r="C86" s="144"/>
      <c r="D86" s="14">
        <f t="shared" si="5"/>
        <v>11600</v>
      </c>
      <c r="E86" s="17">
        <f>IF(F3="1",SUMIF(Data!A:A,'49'!$A$2,Data!ER:ER),0)</f>
        <v>32769</v>
      </c>
      <c r="F86" s="21">
        <f t="shared" si="4"/>
        <v>2.82</v>
      </c>
    </row>
    <row r="87" spans="1:6" ht="14.25" customHeight="1" x14ac:dyDescent="0.2">
      <c r="A87" s="19">
        <v>21</v>
      </c>
      <c r="B87" s="143" t="s">
        <v>461</v>
      </c>
      <c r="C87" s="144"/>
      <c r="D87" s="14">
        <f t="shared" si="5"/>
        <v>211</v>
      </c>
      <c r="E87" s="17">
        <f>IF(F3="1",SUMIF(Data!A:A,'49'!$A$2,Data!ES:ES),0)</f>
        <v>0</v>
      </c>
      <c r="F87" s="21" t="str">
        <f t="shared" si="4"/>
        <v/>
      </c>
    </row>
    <row r="88" spans="1:6" x14ac:dyDescent="0.2">
      <c r="A88" s="19">
        <v>22</v>
      </c>
      <c r="B88" s="143" t="s">
        <v>19</v>
      </c>
      <c r="C88" s="144"/>
      <c r="D88" s="14">
        <f t="shared" si="5"/>
        <v>502</v>
      </c>
      <c r="E88" s="17">
        <f>IF(F3="1",SUMIF(Data!A:A,'49'!$A$2,Data!ET:ET),0)</f>
        <v>0</v>
      </c>
      <c r="F88" s="21" t="str">
        <f t="shared" si="4"/>
        <v/>
      </c>
    </row>
    <row r="89" spans="1:6" x14ac:dyDescent="0.2">
      <c r="A89" s="19">
        <v>23</v>
      </c>
      <c r="B89" s="143" t="s">
        <v>20</v>
      </c>
      <c r="C89" s="144"/>
      <c r="D89" s="14">
        <f t="shared" si="5"/>
        <v>27760</v>
      </c>
      <c r="E89" s="17">
        <f>IF(F3="1",SUMIF(Data!A:A,'49'!$A$2,Data!EU:EU),0)</f>
        <v>106532</v>
      </c>
      <c r="F89" s="21">
        <f t="shared" si="4"/>
        <v>3.84</v>
      </c>
    </row>
    <row r="90" spans="1:6" x14ac:dyDescent="0.2">
      <c r="A90" s="19">
        <v>24</v>
      </c>
      <c r="B90" s="143" t="s">
        <v>21</v>
      </c>
      <c r="C90" s="144"/>
      <c r="D90" s="14">
        <f t="shared" si="5"/>
        <v>50048</v>
      </c>
      <c r="E90" s="17">
        <f>IF(F3="1",SUMIF(Data!A:A,'49'!$A$2,Data!EV:EV),0)</f>
        <v>96565</v>
      </c>
      <c r="F90" s="21">
        <f t="shared" si="4"/>
        <v>1.93</v>
      </c>
    </row>
    <row r="91" spans="1:6" x14ac:dyDescent="0.2">
      <c r="A91" s="19">
        <v>25</v>
      </c>
      <c r="B91" s="143" t="s">
        <v>22</v>
      </c>
      <c r="C91" s="144"/>
      <c r="D91" s="14">
        <f t="shared" si="5"/>
        <v>93264</v>
      </c>
      <c r="E91" s="17">
        <f>IF(F3="1",SUMIF(Data!A:A,'49'!$A$2,Data!EW:EW),0)</f>
        <v>238875</v>
      </c>
      <c r="F91" s="21">
        <f t="shared" si="4"/>
        <v>2.56</v>
      </c>
    </row>
    <row r="92" spans="1:6" x14ac:dyDescent="0.2">
      <c r="A92" s="19">
        <v>26</v>
      </c>
      <c r="B92" s="143" t="s">
        <v>23</v>
      </c>
      <c r="C92" s="144"/>
      <c r="D92" s="14">
        <f t="shared" si="5"/>
        <v>24384</v>
      </c>
      <c r="E92" s="17">
        <f>IF(F3="1",SUMIF(Data!A:A,'49'!$A$2,Data!EX:EX),0)</f>
        <v>91365</v>
      </c>
      <c r="F92" s="21">
        <f t="shared" si="4"/>
        <v>3.75</v>
      </c>
    </row>
    <row r="93" spans="1:6" x14ac:dyDescent="0.2">
      <c r="A93" s="19">
        <v>28</v>
      </c>
      <c r="B93" s="143" t="s">
        <v>24</v>
      </c>
      <c r="C93" s="144"/>
      <c r="D93" s="14">
        <f t="shared" si="5"/>
        <v>0</v>
      </c>
      <c r="E93" s="17">
        <f>IF(F3="1",SUMIF(Data!A:A,'49'!$A$2,Data!EZ:EZ),0)</f>
        <v>0</v>
      </c>
      <c r="F93" s="21" t="str">
        <f t="shared" si="4"/>
        <v/>
      </c>
    </row>
    <row r="94" spans="1:6" ht="15.75" customHeight="1" thickBot="1" x14ac:dyDescent="0.25">
      <c r="A94" s="22">
        <v>29</v>
      </c>
      <c r="B94" s="147" t="s">
        <v>25</v>
      </c>
      <c r="C94" s="148"/>
      <c r="D94" s="23">
        <f t="shared" si="5"/>
        <v>0</v>
      </c>
      <c r="E94" s="24">
        <f>IF(F3="1",SUMIF(Data!A:A,'49'!$A$2,Data!FA:FA),0)</f>
        <v>0</v>
      </c>
      <c r="F94" s="25" t="str">
        <f t="shared" si="4"/>
        <v/>
      </c>
    </row>
    <row r="95" spans="1:6" x14ac:dyDescent="0.2">
      <c r="B95" s="30" t="s">
        <v>35</v>
      </c>
      <c r="C95" s="30"/>
      <c r="D95" s="59">
        <f>SUM(D67:D94)</f>
        <v>686136</v>
      </c>
      <c r="E95" s="31">
        <f>SUM(E67:E94)</f>
        <v>1654982</v>
      </c>
      <c r="F95" s="32">
        <f t="shared" si="4"/>
        <v>2.41</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IF(F3="1",SUMIF(Data!A:A,'49'!$A$2,Data!AH:AH),0)</f>
        <v>1095695</v>
      </c>
      <c r="F98" s="20">
        <f>IF(OR(E98=0,E98=0),"",ROUND(E98/$D$105,2))</f>
        <v>1.6</v>
      </c>
    </row>
    <row r="99" spans="2:6" x14ac:dyDescent="0.2">
      <c r="B99" s="153" t="s">
        <v>31</v>
      </c>
      <c r="C99" s="154"/>
      <c r="D99" s="36"/>
      <c r="E99" s="17">
        <f>IF(F3="1",SUMIF(Data!A:A,'49'!$A$2,Data!AI:AI),0)</f>
        <v>331548</v>
      </c>
      <c r="F99" s="21">
        <f t="shared" ref="F99:F104" si="6">IF(OR(E99=0,E99=0),"",ROUND(E99/$D$105,2))</f>
        <v>0.48</v>
      </c>
    </row>
    <row r="100" spans="2:6" x14ac:dyDescent="0.2">
      <c r="B100" s="153" t="s">
        <v>1078</v>
      </c>
      <c r="C100" s="154"/>
      <c r="D100" s="36"/>
      <c r="E100" s="17">
        <f>IF(F3="1",SUMIF(Data!A:A,'49'!$A$2,Data!AJ:AJ),0)</f>
        <v>131315</v>
      </c>
      <c r="F100" s="21">
        <f t="shared" si="6"/>
        <v>0.19</v>
      </c>
    </row>
    <row r="101" spans="2:6" x14ac:dyDescent="0.2">
      <c r="B101" s="153" t="s">
        <v>1079</v>
      </c>
      <c r="C101" s="154"/>
      <c r="D101" s="36"/>
      <c r="E101" s="17">
        <f>IF(F3="1",SUMIF(Data!A:A,'49'!$A$2,Data!AK:AK),0)</f>
        <v>426834</v>
      </c>
      <c r="F101" s="21">
        <f t="shared" si="6"/>
        <v>0.62</v>
      </c>
    </row>
    <row r="102" spans="2:6" x14ac:dyDescent="0.2">
      <c r="B102" s="153" t="s">
        <v>1080</v>
      </c>
      <c r="C102" s="154"/>
      <c r="D102" s="36"/>
      <c r="E102" s="17">
        <f>IF(F3="1",SUMIF(Data!A:A,'49'!$A$2,Data!AL:AL),0)</f>
        <v>0</v>
      </c>
      <c r="F102" s="21" t="str">
        <f t="shared" si="6"/>
        <v/>
      </c>
    </row>
    <row r="103" spans="2:6" x14ac:dyDescent="0.2">
      <c r="B103" s="155" t="s">
        <v>34</v>
      </c>
      <c r="C103" s="156"/>
      <c r="D103" s="36"/>
      <c r="E103" s="17">
        <f>IF(F3="1",SUMIF(Data!A:A,'49'!$A$2,Data!AM:AM),0)</f>
        <v>0</v>
      </c>
      <c r="F103" s="21" t="str">
        <f t="shared" si="6"/>
        <v/>
      </c>
    </row>
    <row r="104" spans="2:6" ht="15.75" customHeight="1" thickBot="1" x14ac:dyDescent="0.25">
      <c r="B104" s="149" t="s">
        <v>29</v>
      </c>
      <c r="C104" s="150"/>
      <c r="D104" s="37"/>
      <c r="E104" s="24">
        <f>IF(F3="1",SUMIF(Data!A:A,'49'!$A$2,Data!Q:Q),0)</f>
        <v>25269</v>
      </c>
      <c r="F104" s="25">
        <f t="shared" si="6"/>
        <v>0.04</v>
      </c>
    </row>
    <row r="105" spans="2:6" x14ac:dyDescent="0.2">
      <c r="B105" s="30" t="s">
        <v>35</v>
      </c>
      <c r="C105" s="30"/>
      <c r="D105" s="34">
        <f>D95</f>
        <v>686136</v>
      </c>
      <c r="E105" s="31">
        <f>SUM(E98:E104)</f>
        <v>2010661</v>
      </c>
      <c r="F105" s="32">
        <f>IF($D$105=0,"",ROUND(E105/$D$105,2))</f>
        <v>2.93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1654982</v>
      </c>
      <c r="D109" s="15">
        <f>IF(F3="1",SUMIF(Data!$A:$A,$A$2,Data!HJ:HJ),0)</f>
        <v>0</v>
      </c>
      <c r="E109" s="15">
        <f>IF(F3="1",SUMIF(Data!$A:$A,$A$2,Data!IN:IN),0)</f>
        <v>0</v>
      </c>
      <c r="F109" s="47">
        <f>SUM(C109:E109)</f>
        <v>1654982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25269</v>
      </c>
      <c r="E117" s="52"/>
      <c r="F117" s="49">
        <f>SUM(C117:E117)</f>
        <v>25269</v>
      </c>
    </row>
    <row r="118" spans="1:6" x14ac:dyDescent="0.2">
      <c r="B118" s="13" t="s">
        <v>35</v>
      </c>
      <c r="C118" s="4">
        <f>SUM(C109:C116)</f>
        <v>1654982</v>
      </c>
      <c r="D118" s="4">
        <f>SUM(D109:D116)</f>
        <v>0</v>
      </c>
      <c r="E118" s="4">
        <f>SUM(E109:E116)</f>
        <v>0</v>
      </c>
      <c r="F118" s="4">
        <f>SUM(F109:F116)</f>
        <v>1654982</v>
      </c>
    </row>
    <row r="119" spans="1:6" ht="15" thickBot="1" x14ac:dyDescent="0.25"/>
    <row r="120" spans="1:6" ht="15" thickBot="1" x14ac:dyDescent="0.25">
      <c r="B120" s="55" t="s">
        <v>934</v>
      </c>
      <c r="C120" s="53"/>
      <c r="D120" s="53"/>
      <c r="E120" s="53">
        <f>IF(F3="1",SUMIF(Data!A:A,'49'!$A$2,Data!AM:AM),0)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417</v>
      </c>
      <c r="B2" s="58" t="str">
        <f>VLOOKUP(A2,Data!A:G,7,0)</f>
        <v>Wharton County Junior College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20754</v>
      </c>
      <c r="E5" s="15">
        <f>E36+E67+IFERROR($E$105/$D$105*D5,0)</f>
        <v>118937.28755220439</v>
      </c>
      <c r="F5" s="20">
        <f>IF(OR(D5=0,E5=0),"",ROUND(E5/D5,2))</f>
        <v>5.73</v>
      </c>
    </row>
    <row r="6" spans="1:6" x14ac:dyDescent="0.2">
      <c r="A6" s="19">
        <v>2</v>
      </c>
      <c r="B6" s="143" t="s">
        <v>1</v>
      </c>
      <c r="C6" s="144"/>
      <c r="D6" s="14">
        <f t="shared" ref="D6:D32" si="0">D37</f>
        <v>25440</v>
      </c>
      <c r="E6" s="17">
        <f t="shared" ref="E6:E32" si="1">E37+E68+IFERROR($E$105/$D$105*D6,0)</f>
        <v>146205.14924005396</v>
      </c>
      <c r="F6" s="21">
        <f t="shared" ref="F6:F33" si="2">IF(OR(D6=0,E6=0),"",ROUND(E6/D6,2))</f>
        <v>5.75</v>
      </c>
    </row>
    <row r="7" spans="1:6" ht="14.25" customHeight="1" x14ac:dyDescent="0.2">
      <c r="A7" s="19">
        <v>3</v>
      </c>
      <c r="B7" s="143" t="s">
        <v>2</v>
      </c>
      <c r="C7" s="144"/>
      <c r="D7" s="14">
        <f t="shared" si="0"/>
        <v>233332</v>
      </c>
      <c r="E7" s="17">
        <f t="shared" si="1"/>
        <v>1338328.1739968657</v>
      </c>
      <c r="F7" s="21">
        <f t="shared" si="2"/>
        <v>5.74</v>
      </c>
    </row>
    <row r="8" spans="1:6" ht="14.25" customHeight="1" x14ac:dyDescent="0.2">
      <c r="A8" s="19">
        <v>4</v>
      </c>
      <c r="B8" s="143" t="s">
        <v>3</v>
      </c>
      <c r="C8" s="144"/>
      <c r="D8" s="14">
        <f t="shared" si="0"/>
        <v>104840</v>
      </c>
      <c r="E8" s="17">
        <f t="shared" si="1"/>
        <v>582127.40276443621</v>
      </c>
      <c r="F8" s="21">
        <f t="shared" si="2"/>
        <v>5.55</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104656</v>
      </c>
      <c r="E11" s="17">
        <f t="shared" si="1"/>
        <v>564037.46111898927</v>
      </c>
      <c r="F11" s="21">
        <f t="shared" si="2"/>
        <v>5.39</v>
      </c>
    </row>
    <row r="12" spans="1:6" x14ac:dyDescent="0.2">
      <c r="A12" s="19">
        <v>8</v>
      </c>
      <c r="B12" s="143" t="s">
        <v>7</v>
      </c>
      <c r="C12" s="144"/>
      <c r="D12" s="14">
        <f t="shared" si="0"/>
        <v>8960</v>
      </c>
      <c r="E12" s="17">
        <f t="shared" si="1"/>
        <v>34537.071430459255</v>
      </c>
      <c r="F12" s="21">
        <f t="shared" si="2"/>
        <v>3.85</v>
      </c>
    </row>
    <row r="13" spans="1:6" x14ac:dyDescent="0.2">
      <c r="A13" s="19">
        <v>9</v>
      </c>
      <c r="B13" s="143" t="s">
        <v>8</v>
      </c>
      <c r="C13" s="144"/>
      <c r="D13" s="14">
        <f t="shared" si="0"/>
        <v>63680</v>
      </c>
      <c r="E13" s="17">
        <f t="shared" si="1"/>
        <v>361082.54338076396</v>
      </c>
      <c r="F13" s="21">
        <f t="shared" si="2"/>
        <v>5.67</v>
      </c>
    </row>
    <row r="14" spans="1:6" x14ac:dyDescent="0.2">
      <c r="A14" s="19">
        <v>10</v>
      </c>
      <c r="B14" s="143" t="s">
        <v>9</v>
      </c>
      <c r="C14" s="144"/>
      <c r="D14" s="14">
        <f t="shared" si="0"/>
        <v>96</v>
      </c>
      <c r="E14" s="17">
        <f t="shared" si="1"/>
        <v>551.40433675492056</v>
      </c>
      <c r="F14" s="21">
        <f t="shared" si="2"/>
        <v>5.74</v>
      </c>
    </row>
    <row r="15" spans="1:6" x14ac:dyDescent="0.2">
      <c r="A15" s="19">
        <v>11</v>
      </c>
      <c r="B15" s="143" t="s">
        <v>10</v>
      </c>
      <c r="C15" s="144"/>
      <c r="D15" s="14">
        <f t="shared" si="0"/>
        <v>32264</v>
      </c>
      <c r="E15" s="17">
        <f t="shared" si="1"/>
        <v>179382.72417771624</v>
      </c>
      <c r="F15" s="21">
        <f t="shared" si="2"/>
        <v>5.56</v>
      </c>
    </row>
    <row r="16" spans="1:6" ht="14.25" customHeight="1" x14ac:dyDescent="0.2">
      <c r="A16" s="19">
        <v>12</v>
      </c>
      <c r="B16" s="143" t="s">
        <v>11</v>
      </c>
      <c r="C16" s="144"/>
      <c r="D16" s="14">
        <f t="shared" si="0"/>
        <v>317280</v>
      </c>
      <c r="E16" s="17">
        <f t="shared" si="1"/>
        <v>1823424.3329750125</v>
      </c>
      <c r="F16" s="21">
        <f t="shared" si="2"/>
        <v>5.75</v>
      </c>
    </row>
    <row r="17" spans="1:6" x14ac:dyDescent="0.2">
      <c r="A17" s="19">
        <v>13</v>
      </c>
      <c r="B17" s="143" t="s">
        <v>12</v>
      </c>
      <c r="C17" s="144"/>
      <c r="D17" s="14">
        <f t="shared" si="0"/>
        <v>21190</v>
      </c>
      <c r="E17" s="17">
        <f t="shared" si="1"/>
        <v>115409.54058163299</v>
      </c>
      <c r="F17" s="21">
        <f t="shared" si="2"/>
        <v>5.45</v>
      </c>
    </row>
    <row r="18" spans="1:6" ht="14.25" customHeight="1" x14ac:dyDescent="0.2">
      <c r="A18" s="19">
        <v>14</v>
      </c>
      <c r="B18" s="143" t="s">
        <v>464</v>
      </c>
      <c r="C18" s="144"/>
      <c r="D18" s="14">
        <f t="shared" si="0"/>
        <v>19298</v>
      </c>
      <c r="E18" s="17">
        <f t="shared" si="1"/>
        <v>103241.48844475477</v>
      </c>
      <c r="F18" s="21">
        <f t="shared" si="2"/>
        <v>5.35</v>
      </c>
    </row>
    <row r="19" spans="1:6" x14ac:dyDescent="0.2">
      <c r="A19" s="19">
        <v>15</v>
      </c>
      <c r="B19" s="143" t="s">
        <v>13</v>
      </c>
      <c r="C19" s="144"/>
      <c r="D19" s="14">
        <f t="shared" si="0"/>
        <v>21744</v>
      </c>
      <c r="E19" s="17">
        <f t="shared" si="1"/>
        <v>124963.58227498952</v>
      </c>
      <c r="F19" s="21">
        <f t="shared" si="2"/>
        <v>5.75</v>
      </c>
    </row>
    <row r="20" spans="1:6" x14ac:dyDescent="0.2">
      <c r="A20" s="19">
        <v>16</v>
      </c>
      <c r="B20" s="143" t="s">
        <v>14</v>
      </c>
      <c r="C20" s="144"/>
      <c r="D20" s="14">
        <f t="shared" si="0"/>
        <v>190040</v>
      </c>
      <c r="E20" s="17">
        <f t="shared" si="1"/>
        <v>966281.25163442816</v>
      </c>
      <c r="F20" s="21">
        <f t="shared" si="2"/>
        <v>5.08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85769</v>
      </c>
      <c r="E22" s="17">
        <f t="shared" si="1"/>
        <v>487482.51624096651</v>
      </c>
      <c r="F22" s="21">
        <f t="shared" si="2"/>
        <v>5.68</v>
      </c>
    </row>
    <row r="23" spans="1:6" x14ac:dyDescent="0.2">
      <c r="A23" s="19">
        <v>19</v>
      </c>
      <c r="B23" s="143" t="s">
        <v>17</v>
      </c>
      <c r="C23" s="144"/>
      <c r="D23" s="14">
        <f t="shared" si="0"/>
        <v>220368</v>
      </c>
      <c r="E23" s="17">
        <f t="shared" si="1"/>
        <v>1266466.1550209201</v>
      </c>
      <c r="F23" s="21">
        <f t="shared" si="2"/>
        <v>5.75</v>
      </c>
    </row>
    <row r="24" spans="1:6" x14ac:dyDescent="0.2">
      <c r="A24" s="19">
        <v>20</v>
      </c>
      <c r="B24" s="143" t="s">
        <v>18</v>
      </c>
      <c r="C24" s="144"/>
      <c r="D24" s="14">
        <f t="shared" si="0"/>
        <v>37216</v>
      </c>
      <c r="E24" s="17">
        <f t="shared" si="1"/>
        <v>213882.41454865754</v>
      </c>
      <c r="F24" s="21">
        <f t="shared" si="2"/>
        <v>5.75</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1216</v>
      </c>
      <c r="E26" s="17">
        <f t="shared" si="1"/>
        <v>6988.7882655623271</v>
      </c>
      <c r="F26" s="21">
        <f t="shared" si="2"/>
        <v>5.75</v>
      </c>
    </row>
    <row r="27" spans="1:6" x14ac:dyDescent="0.2">
      <c r="A27" s="19">
        <v>23</v>
      </c>
      <c r="B27" s="143" t="s">
        <v>20</v>
      </c>
      <c r="C27" s="144"/>
      <c r="D27" s="14">
        <f t="shared" si="0"/>
        <v>49344</v>
      </c>
      <c r="E27" s="17">
        <f t="shared" si="1"/>
        <v>283582.82909202919</v>
      </c>
      <c r="F27" s="21">
        <f t="shared" si="2"/>
        <v>5.75</v>
      </c>
    </row>
    <row r="28" spans="1:6" x14ac:dyDescent="0.2">
      <c r="A28" s="19">
        <v>24</v>
      </c>
      <c r="B28" s="143" t="s">
        <v>21</v>
      </c>
      <c r="C28" s="144"/>
      <c r="D28" s="14">
        <f t="shared" si="0"/>
        <v>62900</v>
      </c>
      <c r="E28" s="17">
        <f t="shared" si="1"/>
        <v>322845.00814463024</v>
      </c>
      <c r="F28" s="21">
        <f t="shared" si="2"/>
        <v>5.13</v>
      </c>
    </row>
    <row r="29" spans="1:6" x14ac:dyDescent="0.2">
      <c r="A29" s="19">
        <v>25</v>
      </c>
      <c r="B29" s="143" t="s">
        <v>22</v>
      </c>
      <c r="C29" s="144"/>
      <c r="D29" s="14">
        <f t="shared" si="0"/>
        <v>397200</v>
      </c>
      <c r="E29" s="17">
        <f t="shared" si="1"/>
        <v>2282728.9433234837</v>
      </c>
      <c r="F29" s="21">
        <f t="shared" si="2"/>
        <v>5.75</v>
      </c>
    </row>
    <row r="30" spans="1:6" x14ac:dyDescent="0.2">
      <c r="A30" s="19">
        <v>26</v>
      </c>
      <c r="B30" s="143" t="s">
        <v>23</v>
      </c>
      <c r="C30" s="144"/>
      <c r="D30" s="14">
        <f t="shared" si="0"/>
        <v>63416</v>
      </c>
      <c r="E30" s="17">
        <f t="shared" si="1"/>
        <v>364454.93145468796</v>
      </c>
      <c r="F30" s="21">
        <f t="shared" si="2"/>
        <v>5.75</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2081003</v>
      </c>
      <c r="E33" s="31">
        <f>SUM(E5:E32)</f>
        <v>11686941</v>
      </c>
      <c r="F33" s="32">
        <f t="shared" si="2"/>
        <v>5.62</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IF(F3="1",SUMIF(Data!A:A,'50'!$A$2,Data!CU:CU),0)</f>
        <v>20754</v>
      </c>
      <c r="E36" s="15">
        <f>IF(F3="1",SUMIF(Data!$A:$A,$A$2,Data!IO:IO),0)</f>
        <v>2377</v>
      </c>
      <c r="F36" s="20">
        <f t="shared" ref="F36:F64" si="3">IF(OR(D36=0,E36=0),"",ROUND(E36/D36,2))</f>
        <v>0.11</v>
      </c>
    </row>
    <row r="37" spans="1:6" x14ac:dyDescent="0.2">
      <c r="A37" s="19">
        <v>2</v>
      </c>
      <c r="B37" s="143" t="s">
        <v>1</v>
      </c>
      <c r="C37" s="144"/>
      <c r="D37" s="14">
        <f>IF(F3="1",SUMIF(Data!A:A,'50'!$A$2,Data!CV:CV),0)</f>
        <v>25440</v>
      </c>
      <c r="E37" s="17">
        <f>IF(F3="1",SUMIF(Data!$A:$A,$A$2,Data!IP:IP),0)</f>
        <v>2910</v>
      </c>
      <c r="F37" s="21">
        <f t="shared" si="3"/>
        <v>0.11</v>
      </c>
    </row>
    <row r="38" spans="1:6" ht="14.25" customHeight="1" x14ac:dyDescent="0.2">
      <c r="A38" s="19">
        <v>3</v>
      </c>
      <c r="B38" s="143" t="s">
        <v>2</v>
      </c>
      <c r="C38" s="144"/>
      <c r="D38" s="14">
        <f>IF(F3="1",SUMIF(Data!A:A,'50'!$A$2,Data!CW:CW),0)</f>
        <v>233332</v>
      </c>
      <c r="E38" s="17">
        <f>IF($F$3="1",SUMIF(Data!$A:$A,$A$2,Data!IQ:IQ),0)</f>
        <v>26712</v>
      </c>
      <c r="F38" s="21">
        <f t="shared" si="3"/>
        <v>0.11</v>
      </c>
    </row>
    <row r="39" spans="1:6" ht="14.25" customHeight="1" x14ac:dyDescent="0.2">
      <c r="A39" s="19">
        <v>4</v>
      </c>
      <c r="B39" s="143" t="s">
        <v>3</v>
      </c>
      <c r="C39" s="144"/>
      <c r="D39" s="14">
        <f>IF(F3="1",SUMIF(Data!A:A,'50'!$A$2,Data!CX:CX),0)</f>
        <v>104840</v>
      </c>
      <c r="E39" s="17">
        <f>IF($F$3="1",SUMIF(Data!$A:$A,$A$2,Data!IR:IR),0)</f>
        <v>12185</v>
      </c>
      <c r="F39" s="21">
        <f t="shared" si="3"/>
        <v>0.12</v>
      </c>
    </row>
    <row r="40" spans="1:6" x14ac:dyDescent="0.2">
      <c r="A40" s="19">
        <v>5</v>
      </c>
      <c r="B40" s="143" t="s">
        <v>4</v>
      </c>
      <c r="C40" s="144"/>
      <c r="D40" s="14">
        <f>IF(F3="1",SUMIF(Data!A:A,'50'!$A$2,Data!CY:CY),0)</f>
        <v>0</v>
      </c>
      <c r="E40" s="17">
        <f>IF($F$3="1",SUMIF(Data!$A:$A,$A$2,Data!IS:IS),0)</f>
        <v>0</v>
      </c>
      <c r="F40" s="21" t="str">
        <f t="shared" si="3"/>
        <v/>
      </c>
    </row>
    <row r="41" spans="1:6" x14ac:dyDescent="0.2">
      <c r="A41" s="19">
        <v>6</v>
      </c>
      <c r="B41" s="143" t="s">
        <v>5</v>
      </c>
      <c r="C41" s="144"/>
      <c r="D41" s="14">
        <f>IF(F3="1",SUMIF(Data!A:A,'50'!$A$2,Data!CZ:CZ),0)</f>
        <v>0</v>
      </c>
      <c r="E41" s="17">
        <f>IF($F$3="1",SUMIF(Data!$A:$A,$A$2,Data!IT:IT),0)</f>
        <v>0</v>
      </c>
      <c r="F41" s="21" t="str">
        <f t="shared" si="3"/>
        <v/>
      </c>
    </row>
    <row r="42" spans="1:6" x14ac:dyDescent="0.2">
      <c r="A42" s="19">
        <v>7</v>
      </c>
      <c r="B42" s="143" t="s">
        <v>6</v>
      </c>
      <c r="C42" s="144"/>
      <c r="D42" s="14">
        <f>IF(F3="1",SUMIF(Data!A:A,'50'!$A$2,Data!DA:DA),0)</f>
        <v>104656</v>
      </c>
      <c r="E42" s="17">
        <f>IF($F$3="1",SUMIF(Data!$A:$A,$A$2,Data!IU:IU),0)</f>
        <v>12326</v>
      </c>
      <c r="F42" s="21">
        <f t="shared" si="3"/>
        <v>0.12</v>
      </c>
    </row>
    <row r="43" spans="1:6" x14ac:dyDescent="0.2">
      <c r="A43" s="19">
        <v>8</v>
      </c>
      <c r="B43" s="143" t="s">
        <v>7</v>
      </c>
      <c r="C43" s="144"/>
      <c r="D43" s="14">
        <f>IF(F3="1",SUMIF(Data!A:A,'50'!$A$2,Data!DB:DB),0)</f>
        <v>8960</v>
      </c>
      <c r="E43" s="17">
        <f>IF($F$3="1",SUMIF(Data!$A:$A,$A$2,Data!IV:IV),0)</f>
        <v>1186</v>
      </c>
      <c r="F43" s="21">
        <f t="shared" si="3"/>
        <v>0.13</v>
      </c>
    </row>
    <row r="44" spans="1:6" x14ac:dyDescent="0.2">
      <c r="A44" s="19">
        <v>9</v>
      </c>
      <c r="B44" s="143" t="s">
        <v>8</v>
      </c>
      <c r="C44" s="144"/>
      <c r="D44" s="14">
        <f>IF(F3="1",SUMIF(Data!A:A,'50'!$A$2,Data!DC:DC),0)</f>
        <v>63680</v>
      </c>
      <c r="E44" s="17">
        <f>IF($F$3="1",SUMIF(Data!$A:$A,$A$2,Data!IW:IW),0)</f>
        <v>7330</v>
      </c>
      <c r="F44" s="21">
        <f t="shared" si="3"/>
        <v>0.12</v>
      </c>
    </row>
    <row r="45" spans="1:6" x14ac:dyDescent="0.2">
      <c r="A45" s="19">
        <v>10</v>
      </c>
      <c r="B45" s="143" t="s">
        <v>9</v>
      </c>
      <c r="C45" s="144"/>
      <c r="D45" s="14">
        <f>IF(F3="1",SUMIF(Data!A:A,'50'!$A$2,Data!DD:DD),0)</f>
        <v>96</v>
      </c>
      <c r="E45" s="17">
        <f>IF($F$3="1",SUMIF(Data!$A:$A,$A$2,Data!IX:IX),0)</f>
        <v>11</v>
      </c>
      <c r="F45" s="21">
        <f t="shared" si="3"/>
        <v>0.11</v>
      </c>
    </row>
    <row r="46" spans="1:6" x14ac:dyDescent="0.2">
      <c r="A46" s="19">
        <v>11</v>
      </c>
      <c r="B46" s="143" t="s">
        <v>10</v>
      </c>
      <c r="C46" s="144"/>
      <c r="D46" s="14">
        <f>IF(F3="1",SUMIF(Data!A:A,'50'!$A$2,Data!DE:DE),0)</f>
        <v>32264</v>
      </c>
      <c r="E46" s="17">
        <f>IF($F$3="1",SUMIF(Data!$A:$A,$A$2,Data!IY:IY),0)</f>
        <v>3748</v>
      </c>
      <c r="F46" s="21">
        <f t="shared" si="3"/>
        <v>0.12</v>
      </c>
    </row>
    <row r="47" spans="1:6" ht="14.25" customHeight="1" x14ac:dyDescent="0.2">
      <c r="A47" s="19">
        <v>12</v>
      </c>
      <c r="B47" s="143" t="s">
        <v>11</v>
      </c>
      <c r="C47" s="144"/>
      <c r="D47" s="14">
        <f>IF(F3="1",SUMIF(Data!A:A,'50'!$A$2,Data!DF:DF),0)</f>
        <v>317280</v>
      </c>
      <c r="E47" s="17">
        <f>IF($F$3="1",SUMIF(Data!$A:$A,$A$2,Data!IZ:IZ),0)</f>
        <v>36289</v>
      </c>
      <c r="F47" s="21">
        <f t="shared" si="3"/>
        <v>0.11</v>
      </c>
    </row>
    <row r="48" spans="1:6" x14ac:dyDescent="0.2">
      <c r="A48" s="19">
        <v>13</v>
      </c>
      <c r="B48" s="143" t="s">
        <v>12</v>
      </c>
      <c r="C48" s="144"/>
      <c r="D48" s="14">
        <f>IF(F3="1",SUMIF(Data!A:A,'50'!$A$2,Data!DG:DG),0)</f>
        <v>21190</v>
      </c>
      <c r="E48" s="17">
        <f>IF($F$3="1",SUMIF(Data!$A:$A,$A$2,Data!JA:JA),0)</f>
        <v>2484</v>
      </c>
      <c r="F48" s="21">
        <f t="shared" si="3"/>
        <v>0.12</v>
      </c>
    </row>
    <row r="49" spans="1:6" ht="14.25" customHeight="1" x14ac:dyDescent="0.2">
      <c r="A49" s="19">
        <v>14</v>
      </c>
      <c r="B49" s="143" t="s">
        <v>464</v>
      </c>
      <c r="C49" s="144"/>
      <c r="D49" s="14">
        <f>IF(F3="1",SUMIF(Data!A:A,'50'!$A$2,Data!DH:DH),0)</f>
        <v>19298</v>
      </c>
      <c r="E49" s="17">
        <f>IF($F$3="1",SUMIF(Data!$A:$A,$A$2,Data!JB:JB),0)</f>
        <v>2280</v>
      </c>
      <c r="F49" s="21">
        <f t="shared" si="3"/>
        <v>0.12</v>
      </c>
    </row>
    <row r="50" spans="1:6" x14ac:dyDescent="0.2">
      <c r="A50" s="19">
        <v>15</v>
      </c>
      <c r="B50" s="143" t="s">
        <v>13</v>
      </c>
      <c r="C50" s="144"/>
      <c r="D50" s="14">
        <f>IF(F3="1",SUMIF(Data!A:A,'50'!$A$2,Data!DI:DI),0)</f>
        <v>21744</v>
      </c>
      <c r="E50" s="17">
        <f>IF($F$3="1",SUMIF(Data!$A:$A,$A$2,Data!JC:JC),0)</f>
        <v>2487</v>
      </c>
      <c r="F50" s="21">
        <f t="shared" si="3"/>
        <v>0.11</v>
      </c>
    </row>
    <row r="51" spans="1:6" x14ac:dyDescent="0.2">
      <c r="A51" s="19">
        <v>16</v>
      </c>
      <c r="B51" s="143" t="s">
        <v>14</v>
      </c>
      <c r="C51" s="144"/>
      <c r="D51" s="14">
        <f>IF(F3="1",SUMIF(Data!A:A,'50'!$A$2,Data!DJ:DJ),0)</f>
        <v>190040</v>
      </c>
      <c r="E51" s="17">
        <f>IF($F$3="1",SUMIF(Data!$A:$A,$A$2,Data!JD:JD),0)</f>
        <v>22933</v>
      </c>
      <c r="F51" s="21">
        <f t="shared" si="3"/>
        <v>0.12</v>
      </c>
    </row>
    <row r="52" spans="1:6" x14ac:dyDescent="0.2">
      <c r="A52" s="19">
        <v>17</v>
      </c>
      <c r="B52" s="143" t="s">
        <v>15</v>
      </c>
      <c r="C52" s="144"/>
      <c r="D52" s="14">
        <f>IF(F3="1",SUMIF(Data!A:A,'50'!$A$2,Data!DK:DK),0)</f>
        <v>0</v>
      </c>
      <c r="E52" s="17">
        <f>IF($F$3="1",SUMIF(Data!$A:$A,$A$2,Data!JE:JE),0)</f>
        <v>0</v>
      </c>
      <c r="F52" s="21" t="str">
        <f t="shared" si="3"/>
        <v/>
      </c>
    </row>
    <row r="53" spans="1:6" x14ac:dyDescent="0.2">
      <c r="A53" s="19">
        <v>18</v>
      </c>
      <c r="B53" s="143" t="s">
        <v>16</v>
      </c>
      <c r="C53" s="144"/>
      <c r="D53" s="14">
        <f>IF(F3="1",SUMIF(Data!A:A,'50'!$A$2,Data!DL:DL),0)</f>
        <v>85769</v>
      </c>
      <c r="E53" s="17">
        <f>IF($F$3="1",SUMIF(Data!$A:$A,$A$2,Data!JF:JF),0)</f>
        <v>9862</v>
      </c>
      <c r="F53" s="21">
        <f t="shared" si="3"/>
        <v>0.11</v>
      </c>
    </row>
    <row r="54" spans="1:6" x14ac:dyDescent="0.2">
      <c r="A54" s="19">
        <v>19</v>
      </c>
      <c r="B54" s="143" t="s">
        <v>17</v>
      </c>
      <c r="C54" s="144"/>
      <c r="D54" s="14">
        <f>IF(F3="1",SUMIF(Data!A:A,'50'!$A$2,Data!DM:DM),0)</f>
        <v>220368</v>
      </c>
      <c r="E54" s="17">
        <f>IF($F$3="1",SUMIF(Data!$A:$A,$A$2,Data!JG:JG),0)</f>
        <v>25205</v>
      </c>
      <c r="F54" s="21">
        <f t="shared" si="3"/>
        <v>0.11</v>
      </c>
    </row>
    <row r="55" spans="1:6" x14ac:dyDescent="0.2">
      <c r="A55" s="19">
        <v>20</v>
      </c>
      <c r="B55" s="143" t="s">
        <v>18</v>
      </c>
      <c r="C55" s="144"/>
      <c r="D55" s="14">
        <f>IF(F3="1",SUMIF(Data!A:A,'50'!$A$2,Data!DN:DN),0)</f>
        <v>37216</v>
      </c>
      <c r="E55" s="17">
        <f>IF($F$3="1",SUMIF(Data!$A:$A,$A$2,Data!JH:JH),0)</f>
        <v>4257</v>
      </c>
      <c r="F55" s="21">
        <f t="shared" si="3"/>
        <v>0.11</v>
      </c>
    </row>
    <row r="56" spans="1:6" ht="14.25" customHeight="1" x14ac:dyDescent="0.2">
      <c r="A56" s="19">
        <v>21</v>
      </c>
      <c r="B56" s="143" t="s">
        <v>461</v>
      </c>
      <c r="C56" s="144"/>
      <c r="D56" s="14">
        <f>IF(F3="1",SUMIF(Data!A:A,'50'!$A$2,Data!DO:DO),0)</f>
        <v>0</v>
      </c>
      <c r="E56" s="17">
        <f>IF($F$3="1",SUMIF(Data!$A:$A,$A$2,Data!JI:JI),0)</f>
        <v>0</v>
      </c>
      <c r="F56" s="21" t="str">
        <f t="shared" si="3"/>
        <v/>
      </c>
    </row>
    <row r="57" spans="1:6" x14ac:dyDescent="0.2">
      <c r="A57" s="19">
        <v>22</v>
      </c>
      <c r="B57" s="143" t="s">
        <v>19</v>
      </c>
      <c r="C57" s="144"/>
      <c r="D57" s="14">
        <f>IF(F3="1",SUMIF(Data!A:A,'50'!$A$2,Data!DP:DP),0)</f>
        <v>1216</v>
      </c>
      <c r="E57" s="17">
        <f>IF($F$3="1",SUMIF(Data!$A:$A,$A$2,Data!JJ:JJ),0)</f>
        <v>139</v>
      </c>
      <c r="F57" s="21">
        <f t="shared" si="3"/>
        <v>0.11</v>
      </c>
    </row>
    <row r="58" spans="1:6" x14ac:dyDescent="0.2">
      <c r="A58" s="19">
        <v>23</v>
      </c>
      <c r="B58" s="143" t="s">
        <v>20</v>
      </c>
      <c r="C58" s="144"/>
      <c r="D58" s="14">
        <f>IF(F3="1",SUMIF(Data!A:A,'50'!$A$2,Data!DQ:DQ),0)</f>
        <v>49344</v>
      </c>
      <c r="E58" s="17">
        <f>IF($F$3="1",SUMIF(Data!$A:$A,$A$2,Data!JK:JK),0)</f>
        <v>5644</v>
      </c>
      <c r="F58" s="21">
        <f t="shared" si="3"/>
        <v>0.11</v>
      </c>
    </row>
    <row r="59" spans="1:6" x14ac:dyDescent="0.2">
      <c r="A59" s="19">
        <v>24</v>
      </c>
      <c r="B59" s="143" t="s">
        <v>21</v>
      </c>
      <c r="C59" s="144"/>
      <c r="D59" s="14">
        <f>IF(F3="1",SUMIF(Data!A:A,'50'!$A$2,Data!DR:DR),0)</f>
        <v>62900</v>
      </c>
      <c r="E59" s="17">
        <f>IF($F$3="1",SUMIF(Data!$A:$A,$A$2,Data!JL:JL),0)</f>
        <v>7562</v>
      </c>
      <c r="F59" s="21">
        <f t="shared" si="3"/>
        <v>0.12</v>
      </c>
    </row>
    <row r="60" spans="1:6" x14ac:dyDescent="0.2">
      <c r="A60" s="19">
        <v>25</v>
      </c>
      <c r="B60" s="143" t="s">
        <v>22</v>
      </c>
      <c r="C60" s="144"/>
      <c r="D60" s="14">
        <f>IF(F3="1",SUMIF(Data!A:A,'50'!$A$2,Data!DS:DS),0)</f>
        <v>397200</v>
      </c>
      <c r="E60" s="17">
        <f>IF($F$3="1",SUMIF(Data!$A:$A,$A$2,Data!JM:JM),0)</f>
        <v>45430</v>
      </c>
      <c r="F60" s="21">
        <f t="shared" si="3"/>
        <v>0.11</v>
      </c>
    </row>
    <row r="61" spans="1:6" x14ac:dyDescent="0.2">
      <c r="A61" s="19">
        <v>26</v>
      </c>
      <c r="B61" s="143" t="s">
        <v>23</v>
      </c>
      <c r="C61" s="144"/>
      <c r="D61" s="14">
        <f>IF(F3="1",SUMIF(Data!A:A,'50'!$A$2,Data!DT:DT),0)</f>
        <v>63416</v>
      </c>
      <c r="E61" s="17">
        <f>IF($F$3="1",SUMIF(Data!$A:$A,$A$2,Data!JN:JN),0)</f>
        <v>7253</v>
      </c>
      <c r="F61" s="21">
        <f t="shared" si="3"/>
        <v>0.11</v>
      </c>
    </row>
    <row r="62" spans="1:6" x14ac:dyDescent="0.2">
      <c r="A62" s="19">
        <v>28</v>
      </c>
      <c r="B62" s="143" t="s">
        <v>24</v>
      </c>
      <c r="C62" s="144"/>
      <c r="D62" s="14">
        <f>IF(F3="1",SUMIF(Data!A:A,'50'!$A$2,Data!DV:DV),0)</f>
        <v>0</v>
      </c>
      <c r="E62" s="17">
        <f>IF($F$3="1",SUMIF(Data!$A:$A,$A$2,Data!JP:JP),0)</f>
        <v>0</v>
      </c>
      <c r="F62" s="21" t="str">
        <f t="shared" si="3"/>
        <v/>
      </c>
    </row>
    <row r="63" spans="1:6" ht="15.75" customHeight="1" thickBot="1" x14ac:dyDescent="0.25">
      <c r="A63" s="22">
        <v>29</v>
      </c>
      <c r="B63" s="147" t="s">
        <v>25</v>
      </c>
      <c r="C63" s="148"/>
      <c r="D63" s="23">
        <f>IF(F3="1",SUMIF(Data!A:A,'50'!$A$2,Data!DW:DW),0)</f>
        <v>0</v>
      </c>
      <c r="E63" s="24">
        <f>IF($F$3="1",SUMIF(Data!$A:$A,$A$2,Data!JQ:JQ),0)</f>
        <v>0</v>
      </c>
      <c r="F63" s="25" t="str">
        <f t="shared" si="3"/>
        <v/>
      </c>
    </row>
    <row r="64" spans="1:6" x14ac:dyDescent="0.2">
      <c r="B64" s="30" t="s">
        <v>35</v>
      </c>
      <c r="C64" s="30"/>
      <c r="D64" s="59">
        <f>SUM(D36:D63)</f>
        <v>2081003</v>
      </c>
      <c r="E64" s="31">
        <f>SUM(E36:E63)</f>
        <v>240610</v>
      </c>
      <c r="F64" s="32">
        <f t="shared" si="3"/>
        <v>0.12</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20754</v>
      </c>
      <c r="E67" s="15">
        <f>IF(F3="1",SUMIF(Data!A:A,'50'!$A$2,Data!DY:DY),0)</f>
        <v>52049</v>
      </c>
      <c r="F67" s="20">
        <f t="shared" ref="F67:F95" si="4">IF(OR(D67=0,E67=0),"",ROUND(E67/D67,2))</f>
        <v>2.5099999999999998</v>
      </c>
    </row>
    <row r="68" spans="1:6" x14ac:dyDescent="0.2">
      <c r="A68" s="19">
        <v>2</v>
      </c>
      <c r="B68" s="143" t="s">
        <v>1</v>
      </c>
      <c r="C68" s="144"/>
      <c r="D68" s="14">
        <f t="shared" ref="D68:D94" si="5">D37</f>
        <v>25440</v>
      </c>
      <c r="E68" s="17">
        <f>IF(F3="1",SUMIF(Data!A:A,'50'!$A$2,Data!DZ:DZ),0)</f>
        <v>64218</v>
      </c>
      <c r="F68" s="21">
        <f t="shared" si="4"/>
        <v>2.52</v>
      </c>
    </row>
    <row r="69" spans="1:6" ht="14.25" customHeight="1" x14ac:dyDescent="0.2">
      <c r="A69" s="19">
        <v>3</v>
      </c>
      <c r="B69" s="143" t="s">
        <v>2</v>
      </c>
      <c r="C69" s="144"/>
      <c r="D69" s="14">
        <f t="shared" si="5"/>
        <v>233332</v>
      </c>
      <c r="E69" s="17">
        <f>IF(F3="1",SUMIF(Data!A:A,'50'!$A$2,Data!EA:EA),0)</f>
        <v>586332</v>
      </c>
      <c r="F69" s="21">
        <f t="shared" si="4"/>
        <v>2.5099999999999998</v>
      </c>
    </row>
    <row r="70" spans="1:6" ht="14.25" customHeight="1" x14ac:dyDescent="0.2">
      <c r="A70" s="19">
        <v>4</v>
      </c>
      <c r="B70" s="143" t="s">
        <v>3</v>
      </c>
      <c r="C70" s="144"/>
      <c r="D70" s="14">
        <f t="shared" si="5"/>
        <v>104840</v>
      </c>
      <c r="E70" s="17">
        <f>IF(F3="1",SUMIF(Data!A:A,'50'!$A$2,Data!EB:EB),0)</f>
        <v>244060</v>
      </c>
      <c r="F70" s="21">
        <f t="shared" si="4"/>
        <v>2.33</v>
      </c>
    </row>
    <row r="71" spans="1:6" x14ac:dyDescent="0.2">
      <c r="A71" s="19">
        <v>5</v>
      </c>
      <c r="B71" s="143" t="s">
        <v>4</v>
      </c>
      <c r="C71" s="144"/>
      <c r="D71" s="14">
        <f t="shared" si="5"/>
        <v>0</v>
      </c>
      <c r="E71" s="17">
        <f>IF(F3="1",SUMIF(Data!A:A,'50'!$A$2,Data!EC:EC),0)</f>
        <v>0</v>
      </c>
      <c r="F71" s="21" t="str">
        <f t="shared" si="4"/>
        <v/>
      </c>
    </row>
    <row r="72" spans="1:6" x14ac:dyDescent="0.2">
      <c r="A72" s="19">
        <v>6</v>
      </c>
      <c r="B72" s="143" t="s">
        <v>5</v>
      </c>
      <c r="C72" s="144"/>
      <c r="D72" s="14">
        <f t="shared" si="5"/>
        <v>0</v>
      </c>
      <c r="E72" s="17">
        <f>IF(F3="1",SUMIF(Data!A:A,'50'!$A$2,Data!ED:ED),0)</f>
        <v>0</v>
      </c>
      <c r="F72" s="21" t="str">
        <f t="shared" si="4"/>
        <v/>
      </c>
    </row>
    <row r="73" spans="1:6" x14ac:dyDescent="0.2">
      <c r="A73" s="19">
        <v>7</v>
      </c>
      <c r="B73" s="143" t="s">
        <v>6</v>
      </c>
      <c r="C73" s="144"/>
      <c r="D73" s="14">
        <f t="shared" si="5"/>
        <v>104656</v>
      </c>
      <c r="E73" s="17">
        <f>IF(F3="1",SUMIF(Data!A:A,'50'!$A$2,Data!EE:EE),0)</f>
        <v>226401</v>
      </c>
      <c r="F73" s="21">
        <f t="shared" si="4"/>
        <v>2.16</v>
      </c>
    </row>
    <row r="74" spans="1:6" x14ac:dyDescent="0.2">
      <c r="A74" s="19">
        <v>8</v>
      </c>
      <c r="B74" s="143" t="s">
        <v>7</v>
      </c>
      <c r="C74" s="144"/>
      <c r="D74" s="14">
        <f t="shared" si="5"/>
        <v>8960</v>
      </c>
      <c r="E74" s="17">
        <f>IF(F3="1",SUMIF(Data!A:A,'50'!$A$2,Data!EF:EF),0)</f>
        <v>5500</v>
      </c>
      <c r="F74" s="21">
        <f t="shared" si="4"/>
        <v>0.61</v>
      </c>
    </row>
    <row r="75" spans="1:6" x14ac:dyDescent="0.2">
      <c r="A75" s="19">
        <v>9</v>
      </c>
      <c r="B75" s="143" t="s">
        <v>8</v>
      </c>
      <c r="C75" s="144"/>
      <c r="D75" s="14">
        <f t="shared" si="5"/>
        <v>63680</v>
      </c>
      <c r="E75" s="17">
        <f>IF(F3="1",SUMIF(Data!A:A,'50'!$A$2,Data!EG:EG),0)</f>
        <v>155811</v>
      </c>
      <c r="F75" s="21">
        <f t="shared" si="4"/>
        <v>2.4500000000000002</v>
      </c>
    </row>
    <row r="76" spans="1:6" x14ac:dyDescent="0.2">
      <c r="A76" s="19">
        <v>10</v>
      </c>
      <c r="B76" s="143" t="s">
        <v>9</v>
      </c>
      <c r="C76" s="144"/>
      <c r="D76" s="14">
        <f t="shared" si="5"/>
        <v>96</v>
      </c>
      <c r="E76" s="17">
        <f>IF(F3="1",SUMIF(Data!A:A,'50'!$A$2,Data!EH:EH),0)</f>
        <v>242</v>
      </c>
      <c r="F76" s="21">
        <f t="shared" si="4"/>
        <v>2.52</v>
      </c>
    </row>
    <row r="77" spans="1:6" x14ac:dyDescent="0.2">
      <c r="A77" s="19">
        <v>11</v>
      </c>
      <c r="B77" s="143" t="s">
        <v>10</v>
      </c>
      <c r="C77" s="144"/>
      <c r="D77" s="14">
        <f t="shared" si="5"/>
        <v>32264</v>
      </c>
      <c r="E77" s="17">
        <f>IF(F3="1",SUMIF(Data!A:A,'50'!$A$2,Data!EI:EI),0)</f>
        <v>75346</v>
      </c>
      <c r="F77" s="21">
        <f t="shared" si="4"/>
        <v>2.34</v>
      </c>
    </row>
    <row r="78" spans="1:6" ht="14.25" customHeight="1" x14ac:dyDescent="0.2">
      <c r="A78" s="19">
        <v>12</v>
      </c>
      <c r="B78" s="143" t="s">
        <v>11</v>
      </c>
      <c r="C78" s="144"/>
      <c r="D78" s="14">
        <f t="shared" si="5"/>
        <v>317280</v>
      </c>
      <c r="E78" s="17">
        <f>IF(F3="1",SUMIF(Data!A:A,'50'!$A$2,Data!EJ:EJ),0)</f>
        <v>800909</v>
      </c>
      <c r="F78" s="21">
        <f t="shared" si="4"/>
        <v>2.52</v>
      </c>
    </row>
    <row r="79" spans="1:6" x14ac:dyDescent="0.2">
      <c r="A79" s="19">
        <v>13</v>
      </c>
      <c r="B79" s="143" t="s">
        <v>12</v>
      </c>
      <c r="C79" s="144"/>
      <c r="D79" s="14">
        <f t="shared" si="5"/>
        <v>21190</v>
      </c>
      <c r="E79" s="17">
        <f>IF(F3="1",SUMIF(Data!A:A,'50'!$A$2,Data!EK:EK),0)</f>
        <v>47059</v>
      </c>
      <c r="F79" s="21">
        <f t="shared" si="4"/>
        <v>2.2200000000000002</v>
      </c>
    </row>
    <row r="80" spans="1:6" ht="14.25" customHeight="1" x14ac:dyDescent="0.2">
      <c r="A80" s="19">
        <v>14</v>
      </c>
      <c r="B80" s="143" t="s">
        <v>464</v>
      </c>
      <c r="C80" s="144"/>
      <c r="D80" s="14">
        <f t="shared" si="5"/>
        <v>19298</v>
      </c>
      <c r="E80" s="17">
        <f>IF(F3="1",SUMIF(Data!A:A,'50'!$A$2,Data!EL:EL),0)</f>
        <v>40976</v>
      </c>
      <c r="F80" s="21">
        <f t="shared" si="4"/>
        <v>2.12</v>
      </c>
    </row>
    <row r="81" spans="1:6" x14ac:dyDescent="0.2">
      <c r="A81" s="19">
        <v>15</v>
      </c>
      <c r="B81" s="143" t="s">
        <v>13</v>
      </c>
      <c r="C81" s="144"/>
      <c r="D81" s="14">
        <f t="shared" si="5"/>
        <v>21744</v>
      </c>
      <c r="E81" s="17">
        <f>IF(F3="1",SUMIF(Data!A:A,'50'!$A$2,Data!EM:EM),0)</f>
        <v>54888</v>
      </c>
      <c r="F81" s="21">
        <f t="shared" si="4"/>
        <v>2.52</v>
      </c>
    </row>
    <row r="82" spans="1:6" x14ac:dyDescent="0.2">
      <c r="A82" s="19">
        <v>16</v>
      </c>
      <c r="B82" s="143" t="s">
        <v>14</v>
      </c>
      <c r="C82" s="144"/>
      <c r="D82" s="14">
        <f t="shared" si="5"/>
        <v>190040</v>
      </c>
      <c r="E82" s="17">
        <f>IF(F3="1",SUMIF(Data!A:A,'50'!$A$2,Data!EN:EN),0)</f>
        <v>352632</v>
      </c>
      <c r="F82" s="21">
        <f t="shared" si="4"/>
        <v>1.86</v>
      </c>
    </row>
    <row r="83" spans="1:6" x14ac:dyDescent="0.2">
      <c r="A83" s="19">
        <v>17</v>
      </c>
      <c r="B83" s="143" t="s">
        <v>15</v>
      </c>
      <c r="C83" s="144"/>
      <c r="D83" s="14">
        <f t="shared" si="5"/>
        <v>0</v>
      </c>
      <c r="E83" s="17">
        <f>IF(F3="1",SUMIF(Data!A:A,'50'!$A$2,Data!EO:EO),0)</f>
        <v>0</v>
      </c>
      <c r="F83" s="21" t="str">
        <f t="shared" si="4"/>
        <v/>
      </c>
    </row>
    <row r="84" spans="1:6" x14ac:dyDescent="0.2">
      <c r="A84" s="19">
        <v>18</v>
      </c>
      <c r="B84" s="143" t="s">
        <v>16</v>
      </c>
      <c r="C84" s="144"/>
      <c r="D84" s="14">
        <f t="shared" si="5"/>
        <v>85769</v>
      </c>
      <c r="E84" s="17">
        <f>IF(F3="1",SUMIF(Data!A:A,'50'!$A$2,Data!EP:EP),0)</f>
        <v>211018</v>
      </c>
      <c r="F84" s="21">
        <f t="shared" si="4"/>
        <v>2.46</v>
      </c>
    </row>
    <row r="85" spans="1:6" x14ac:dyDescent="0.2">
      <c r="A85" s="19">
        <v>19</v>
      </c>
      <c r="B85" s="143" t="s">
        <v>17</v>
      </c>
      <c r="C85" s="144"/>
      <c r="D85" s="14">
        <f t="shared" si="5"/>
        <v>220368</v>
      </c>
      <c r="E85" s="17">
        <f>IF(F3="1",SUMIF(Data!A:A,'50'!$A$2,Data!EQ:EQ),0)</f>
        <v>556274</v>
      </c>
      <c r="F85" s="21">
        <f t="shared" si="4"/>
        <v>2.52</v>
      </c>
    </row>
    <row r="86" spans="1:6" x14ac:dyDescent="0.2">
      <c r="A86" s="19">
        <v>20</v>
      </c>
      <c r="B86" s="143" t="s">
        <v>18</v>
      </c>
      <c r="C86" s="144"/>
      <c r="D86" s="14">
        <f t="shared" si="5"/>
        <v>37216</v>
      </c>
      <c r="E86" s="17">
        <f>IF(F3="1",SUMIF(Data!A:A,'50'!$A$2,Data!ER:ER),0)</f>
        <v>93944</v>
      </c>
      <c r="F86" s="21">
        <f t="shared" si="4"/>
        <v>2.52</v>
      </c>
    </row>
    <row r="87" spans="1:6" ht="14.25" customHeight="1" x14ac:dyDescent="0.2">
      <c r="A87" s="19">
        <v>21</v>
      </c>
      <c r="B87" s="143" t="s">
        <v>461</v>
      </c>
      <c r="C87" s="144"/>
      <c r="D87" s="14">
        <f t="shared" si="5"/>
        <v>0</v>
      </c>
      <c r="E87" s="17">
        <f>IF(F3="1",SUMIF(Data!A:A,'50'!$A$2,Data!ES:ES),0)</f>
        <v>0</v>
      </c>
      <c r="F87" s="21" t="str">
        <f t="shared" si="4"/>
        <v/>
      </c>
    </row>
    <row r="88" spans="1:6" x14ac:dyDescent="0.2">
      <c r="A88" s="19">
        <v>22</v>
      </c>
      <c r="B88" s="143" t="s">
        <v>19</v>
      </c>
      <c r="C88" s="144"/>
      <c r="D88" s="14">
        <f t="shared" si="5"/>
        <v>1216</v>
      </c>
      <c r="E88" s="17">
        <f>IF(F3="1",SUMIF(Data!A:A,'50'!$A$2,Data!ET:ET),0)</f>
        <v>3070</v>
      </c>
      <c r="F88" s="21">
        <f t="shared" si="4"/>
        <v>2.52</v>
      </c>
    </row>
    <row r="89" spans="1:6" x14ac:dyDescent="0.2">
      <c r="A89" s="19">
        <v>23</v>
      </c>
      <c r="B89" s="143" t="s">
        <v>20</v>
      </c>
      <c r="C89" s="144"/>
      <c r="D89" s="14">
        <f t="shared" si="5"/>
        <v>49344</v>
      </c>
      <c r="E89" s="17">
        <f>IF(F3="1",SUMIF(Data!A:A,'50'!$A$2,Data!EU:EU),0)</f>
        <v>124559</v>
      </c>
      <c r="F89" s="21">
        <f t="shared" si="4"/>
        <v>2.52</v>
      </c>
    </row>
    <row r="90" spans="1:6" x14ac:dyDescent="0.2">
      <c r="A90" s="19">
        <v>24</v>
      </c>
      <c r="B90" s="143" t="s">
        <v>21</v>
      </c>
      <c r="C90" s="144"/>
      <c r="D90" s="14">
        <f t="shared" si="5"/>
        <v>62900</v>
      </c>
      <c r="E90" s="17">
        <f>IF(F3="1",SUMIF(Data!A:A,'50'!$A$2,Data!EV:EV),0)</f>
        <v>119766</v>
      </c>
      <c r="F90" s="21">
        <f t="shared" si="4"/>
        <v>1.9</v>
      </c>
    </row>
    <row r="91" spans="1:6" x14ac:dyDescent="0.2">
      <c r="A91" s="19">
        <v>25</v>
      </c>
      <c r="B91" s="143" t="s">
        <v>22</v>
      </c>
      <c r="C91" s="144"/>
      <c r="D91" s="14">
        <f t="shared" si="5"/>
        <v>397200</v>
      </c>
      <c r="E91" s="17">
        <f>IF(F3="1",SUMIF(Data!A:A,'50'!$A$2,Data!EW:EW),0)</f>
        <v>1002651</v>
      </c>
      <c r="F91" s="21">
        <f t="shared" si="4"/>
        <v>2.52</v>
      </c>
    </row>
    <row r="92" spans="1:6" x14ac:dyDescent="0.2">
      <c r="A92" s="19">
        <v>26</v>
      </c>
      <c r="B92" s="143" t="s">
        <v>23</v>
      </c>
      <c r="C92" s="144"/>
      <c r="D92" s="14">
        <f t="shared" si="5"/>
        <v>63416</v>
      </c>
      <c r="E92" s="17">
        <f>IF(F3="1",SUMIF(Data!A:A,'50'!$A$2,Data!EX:EX),0)</f>
        <v>160081</v>
      </c>
      <c r="F92" s="21">
        <f t="shared" si="4"/>
        <v>2.52</v>
      </c>
    </row>
    <row r="93" spans="1:6" x14ac:dyDescent="0.2">
      <c r="A93" s="19">
        <v>28</v>
      </c>
      <c r="B93" s="143" t="s">
        <v>24</v>
      </c>
      <c r="C93" s="144"/>
      <c r="D93" s="14">
        <f t="shared" si="5"/>
        <v>0</v>
      </c>
      <c r="E93" s="17">
        <f>IF(F3="1",SUMIF(Data!A:A,'50'!$A$2,Data!EZ:EZ),0)</f>
        <v>0</v>
      </c>
      <c r="F93" s="21" t="str">
        <f t="shared" si="4"/>
        <v/>
      </c>
    </row>
    <row r="94" spans="1:6" ht="15.75" customHeight="1" thickBot="1" x14ac:dyDescent="0.25">
      <c r="A94" s="22">
        <v>29</v>
      </c>
      <c r="B94" s="147" t="s">
        <v>25</v>
      </c>
      <c r="C94" s="148"/>
      <c r="D94" s="23">
        <f t="shared" si="5"/>
        <v>0</v>
      </c>
      <c r="E94" s="24">
        <f>IF(F3="1",SUMIF(Data!A:A,'50'!$A$2,Data!FA:FA),0)</f>
        <v>0</v>
      </c>
      <c r="F94" s="25" t="str">
        <f t="shared" si="4"/>
        <v/>
      </c>
    </row>
    <row r="95" spans="1:6" x14ac:dyDescent="0.2">
      <c r="B95" s="30" t="s">
        <v>35</v>
      </c>
      <c r="C95" s="30"/>
      <c r="D95" s="59">
        <f>SUM(D67:D94)</f>
        <v>2081003</v>
      </c>
      <c r="E95" s="31">
        <f>SUM(E67:E94)</f>
        <v>4977786</v>
      </c>
      <c r="F95" s="32">
        <f t="shared" si="4"/>
        <v>2.39</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IF(F3="1",SUMIF(Data!A:A,'50'!$A$2,Data!AH:AH),0)</f>
        <v>3097821</v>
      </c>
      <c r="F98" s="20">
        <f>IF(OR(E98=0,E98=0),"",ROUND(E98/$D$105,2))</f>
        <v>1.49</v>
      </c>
    </row>
    <row r="99" spans="2:6" x14ac:dyDescent="0.2">
      <c r="B99" s="153" t="s">
        <v>31</v>
      </c>
      <c r="C99" s="154"/>
      <c r="D99" s="36"/>
      <c r="E99" s="17">
        <f>IF(F3="1",SUMIF(Data!A:A,'50'!$A$2,Data!AI:AI),0)</f>
        <v>898512</v>
      </c>
      <c r="F99" s="21">
        <f t="shared" ref="F99:F104" si="6">IF(OR(E99=0,E99=0),"",ROUND(E99/$D$105,2))</f>
        <v>0.43</v>
      </c>
    </row>
    <row r="100" spans="2:6" x14ac:dyDescent="0.2">
      <c r="B100" s="153" t="s">
        <v>1078</v>
      </c>
      <c r="C100" s="154"/>
      <c r="D100" s="36"/>
      <c r="E100" s="17">
        <f>IF(F3="1",SUMIF(Data!A:A,'50'!$A$2,Data!AJ:AJ),0)</f>
        <v>464626</v>
      </c>
      <c r="F100" s="21">
        <f t="shared" si="6"/>
        <v>0.22</v>
      </c>
    </row>
    <row r="101" spans="2:6" x14ac:dyDescent="0.2">
      <c r="B101" s="153" t="s">
        <v>1079</v>
      </c>
      <c r="C101" s="154"/>
      <c r="D101" s="36"/>
      <c r="E101" s="17">
        <f>IF(F3="1",SUMIF(Data!A:A,'50'!$A$2,Data!AK:AK),0)</f>
        <v>1066519</v>
      </c>
      <c r="F101" s="21">
        <f t="shared" si="6"/>
        <v>0.51</v>
      </c>
    </row>
    <row r="102" spans="2:6" x14ac:dyDescent="0.2">
      <c r="B102" s="153" t="s">
        <v>1080</v>
      </c>
      <c r="C102" s="154"/>
      <c r="D102" s="36"/>
      <c r="E102" s="17">
        <f>IF(F3="1",SUMIF(Data!A:A,'50'!$A$2,Data!AL:AL),0)</f>
        <v>0</v>
      </c>
      <c r="F102" s="21" t="str">
        <f t="shared" si="6"/>
        <v/>
      </c>
    </row>
    <row r="103" spans="2:6" x14ac:dyDescent="0.2">
      <c r="B103" s="155" t="s">
        <v>34</v>
      </c>
      <c r="C103" s="156"/>
      <c r="D103" s="36"/>
      <c r="E103" s="17">
        <f>IF(F3="1",SUMIF(Data!A:A,'50'!$A$2,Data!AM:AM),0)</f>
        <v>0</v>
      </c>
      <c r="F103" s="21" t="str">
        <f t="shared" si="6"/>
        <v/>
      </c>
    </row>
    <row r="104" spans="2:6" ht="15.75" customHeight="1" thickBot="1" x14ac:dyDescent="0.25">
      <c r="B104" s="149" t="s">
        <v>29</v>
      </c>
      <c r="C104" s="150"/>
      <c r="D104" s="37"/>
      <c r="E104" s="24">
        <f>IF(F3="1",SUMIF(Data!A:A,'50'!$A$2,Data!Q:Q),0)</f>
        <v>941067</v>
      </c>
      <c r="F104" s="25">
        <f t="shared" si="6"/>
        <v>0.45</v>
      </c>
    </row>
    <row r="105" spans="2:6" x14ac:dyDescent="0.2">
      <c r="B105" s="30" t="s">
        <v>35</v>
      </c>
      <c r="C105" s="30"/>
      <c r="D105" s="34">
        <f>D95</f>
        <v>2081003</v>
      </c>
      <c r="E105" s="31">
        <f>SUM(E98:E104)</f>
        <v>6468545</v>
      </c>
      <c r="F105" s="32">
        <f>IF($D$105=0,"",ROUND(E105/$D$105,2))</f>
        <v>3.11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4977786</v>
      </c>
      <c r="D109" s="15">
        <f>IF(F3="1",SUMIF(Data!$A:$A,$A$2,Data!HJ:HJ),0)</f>
        <v>0</v>
      </c>
      <c r="E109" s="15">
        <f>IF(F3="1",SUMIF(Data!$A:$A,$A$2,Data!IN:IN),0)</f>
        <v>0</v>
      </c>
      <c r="F109" s="47">
        <f>SUM(C109:E109)</f>
        <v>4977786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941067</v>
      </c>
      <c r="E117" s="52"/>
      <c r="F117" s="49">
        <f>SUM(C117:E117)</f>
        <v>941067</v>
      </c>
    </row>
    <row r="118" spans="1:6" x14ac:dyDescent="0.2">
      <c r="B118" s="13" t="s">
        <v>35</v>
      </c>
      <c r="C118" s="4">
        <f>SUM(C109:C116)</f>
        <v>4977786</v>
      </c>
      <c r="D118" s="4">
        <f>SUM(D109:D116)</f>
        <v>0</v>
      </c>
      <c r="E118" s="4">
        <f>SUM(E109:E116)</f>
        <v>0</v>
      </c>
      <c r="F118" s="4">
        <f>SUM(F109:F116)</f>
        <v>4977786</v>
      </c>
    </row>
    <row r="119" spans="1:6" ht="15" thickBot="1" x14ac:dyDescent="0.25"/>
    <row r="120" spans="1:6" ht="15" thickBot="1" x14ac:dyDescent="0.25">
      <c r="B120" s="55" t="s">
        <v>934</v>
      </c>
      <c r="C120" s="53"/>
      <c r="D120" s="53"/>
      <c r="E120" s="53">
        <f>IF(F3="1",SUMIF(Data!A:A,'50'!$A$2,Data!AM:AM),0)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429</v>
      </c>
      <c r="B2" s="58" t="str">
        <f>VLOOKUP(A2,Data!A:G,7,0)</f>
        <v>Texas State Technical College-Harlingen</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18564</v>
      </c>
      <c r="E5" s="15">
        <f>E36+E67+IFERROR($E$105/$D$105*D5,0)</f>
        <v>168223.23292934004</v>
      </c>
      <c r="F5" s="20">
        <f>IF(OR(D5=0,E5=0),"",ROUND(E5/D5,2))</f>
        <v>9.06</v>
      </c>
    </row>
    <row r="6" spans="1:6" x14ac:dyDescent="0.2">
      <c r="A6" s="19">
        <v>2</v>
      </c>
      <c r="B6" s="143" t="s">
        <v>1</v>
      </c>
      <c r="C6" s="144"/>
      <c r="D6" s="14">
        <f t="shared" ref="D6:D32" si="0">D37</f>
        <v>119588</v>
      </c>
      <c r="E6" s="17">
        <f t="shared" ref="E6:E32" si="1">E37+E68+IFERROR($E$105/$D$105*D6,0)</f>
        <v>978068.71167603519</v>
      </c>
      <c r="F6" s="21">
        <f t="shared" ref="F6:F33" si="2">IF(OR(D6=0,E6=0),"",ROUND(E6/D6,2))</f>
        <v>8.18</v>
      </c>
    </row>
    <row r="7" spans="1:6" ht="14.25" customHeight="1" x14ac:dyDescent="0.2">
      <c r="A7" s="19">
        <v>3</v>
      </c>
      <c r="B7" s="143" t="s">
        <v>2</v>
      </c>
      <c r="C7" s="144"/>
      <c r="D7" s="14">
        <f t="shared" si="0"/>
        <v>268400</v>
      </c>
      <c r="E7" s="17">
        <f t="shared" si="1"/>
        <v>1161646.6499803311</v>
      </c>
      <c r="F7" s="21">
        <f t="shared" si="2"/>
        <v>4.33</v>
      </c>
    </row>
    <row r="8" spans="1:6" ht="14.25" customHeight="1" x14ac:dyDescent="0.2">
      <c r="A8" s="19">
        <v>4</v>
      </c>
      <c r="B8" s="143" t="s">
        <v>3</v>
      </c>
      <c r="C8" s="144"/>
      <c r="D8" s="14">
        <f t="shared" si="0"/>
        <v>439194</v>
      </c>
      <c r="E8" s="17">
        <f t="shared" si="1"/>
        <v>1938874.7075613323</v>
      </c>
      <c r="F8" s="21">
        <f t="shared" si="2"/>
        <v>4.41</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207129</v>
      </c>
      <c r="E11" s="17">
        <f t="shared" si="1"/>
        <v>1043319.0422011029</v>
      </c>
      <c r="F11" s="21">
        <f t="shared" si="2"/>
        <v>5.04</v>
      </c>
    </row>
    <row r="12" spans="1:6" x14ac:dyDescent="0.2">
      <c r="A12" s="19">
        <v>8</v>
      </c>
      <c r="B12" s="143" t="s">
        <v>7</v>
      </c>
      <c r="C12" s="144"/>
      <c r="D12" s="14">
        <f t="shared" si="0"/>
        <v>17313</v>
      </c>
      <c r="E12" s="17">
        <f t="shared" si="1"/>
        <v>207202.27072320966</v>
      </c>
      <c r="F12" s="21">
        <f t="shared" si="2"/>
        <v>11.97</v>
      </c>
    </row>
    <row r="13" spans="1:6" x14ac:dyDescent="0.2">
      <c r="A13" s="19">
        <v>9</v>
      </c>
      <c r="B13" s="143" t="s">
        <v>8</v>
      </c>
      <c r="C13" s="144"/>
      <c r="D13" s="14">
        <f t="shared" si="0"/>
        <v>28964</v>
      </c>
      <c r="E13" s="17">
        <f t="shared" si="1"/>
        <v>161473.49507462859</v>
      </c>
      <c r="F13" s="21">
        <f t="shared" si="2"/>
        <v>5.57</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171393</v>
      </c>
      <c r="E15" s="17">
        <f t="shared" si="1"/>
        <v>940002.72373725369</v>
      </c>
      <c r="F15" s="21">
        <f t="shared" si="2"/>
        <v>5.48</v>
      </c>
    </row>
    <row r="16" spans="1:6" ht="14.25" customHeight="1" x14ac:dyDescent="0.2">
      <c r="A16" s="19">
        <v>12</v>
      </c>
      <c r="B16" s="143" t="s">
        <v>11</v>
      </c>
      <c r="C16" s="144"/>
      <c r="D16" s="14">
        <f t="shared" si="0"/>
        <v>319720</v>
      </c>
      <c r="E16" s="17">
        <f t="shared" si="1"/>
        <v>1344353.1243357358</v>
      </c>
      <c r="F16" s="21">
        <f t="shared" si="2"/>
        <v>4.2</v>
      </c>
    </row>
    <row r="17" spans="1:6" x14ac:dyDescent="0.2">
      <c r="A17" s="19">
        <v>13</v>
      </c>
      <c r="B17" s="143" t="s">
        <v>12</v>
      </c>
      <c r="C17" s="144"/>
      <c r="D17" s="14">
        <f t="shared" si="0"/>
        <v>26832</v>
      </c>
      <c r="E17" s="17">
        <f t="shared" si="1"/>
        <v>94231.496334844429</v>
      </c>
      <c r="F17" s="21">
        <f t="shared" si="2"/>
        <v>3.51</v>
      </c>
    </row>
    <row r="18" spans="1:6" ht="14.25" customHeight="1" x14ac:dyDescent="0.2">
      <c r="A18" s="19">
        <v>14</v>
      </c>
      <c r="B18" s="143" t="s">
        <v>464</v>
      </c>
      <c r="C18" s="144"/>
      <c r="D18" s="14">
        <f t="shared" si="0"/>
        <v>19212</v>
      </c>
      <c r="E18" s="17">
        <f t="shared" si="1"/>
        <v>181688.59464762339</v>
      </c>
      <c r="F18" s="21">
        <f t="shared" si="2"/>
        <v>9.4600000000000009</v>
      </c>
    </row>
    <row r="19" spans="1:6" x14ac:dyDescent="0.2">
      <c r="A19" s="19">
        <v>15</v>
      </c>
      <c r="B19" s="143" t="s">
        <v>13</v>
      </c>
      <c r="C19" s="144"/>
      <c r="D19" s="14">
        <f t="shared" si="0"/>
        <v>18648</v>
      </c>
      <c r="E19" s="17">
        <f t="shared" si="1"/>
        <v>364983.85389282124</v>
      </c>
      <c r="F19" s="21">
        <f t="shared" si="2"/>
        <v>19.57</v>
      </c>
    </row>
    <row r="20" spans="1:6" x14ac:dyDescent="0.2">
      <c r="A20" s="19">
        <v>16</v>
      </c>
      <c r="B20" s="143" t="s">
        <v>14</v>
      </c>
      <c r="C20" s="144"/>
      <c r="D20" s="14">
        <f t="shared" si="0"/>
        <v>175621</v>
      </c>
      <c r="E20" s="17">
        <f t="shared" si="1"/>
        <v>1260365.3122324729</v>
      </c>
      <c r="F20" s="21">
        <f t="shared" si="2"/>
        <v>7.18</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226536</v>
      </c>
      <c r="E23" s="17">
        <f t="shared" si="1"/>
        <v>791003.93551395042</v>
      </c>
      <c r="F23" s="21">
        <f t="shared" si="2"/>
        <v>3.49</v>
      </c>
    </row>
    <row r="24" spans="1:6" x14ac:dyDescent="0.2">
      <c r="A24" s="19">
        <v>20</v>
      </c>
      <c r="B24" s="143" t="s">
        <v>18</v>
      </c>
      <c r="C24" s="144"/>
      <c r="D24" s="14">
        <f t="shared" si="0"/>
        <v>69816</v>
      </c>
      <c r="E24" s="17">
        <f t="shared" si="1"/>
        <v>504806.82364764082</v>
      </c>
      <c r="F24" s="21">
        <f t="shared" si="2"/>
        <v>7.23</v>
      </c>
    </row>
    <row r="25" spans="1:6" ht="14.25" customHeight="1" x14ac:dyDescent="0.2">
      <c r="A25" s="19">
        <v>21</v>
      </c>
      <c r="B25" s="143" t="s">
        <v>461</v>
      </c>
      <c r="C25" s="144"/>
      <c r="D25" s="14">
        <f t="shared" si="0"/>
        <v>15312</v>
      </c>
      <c r="E25" s="17">
        <f t="shared" si="1"/>
        <v>151493.6213431402</v>
      </c>
      <c r="F25" s="21">
        <f t="shared" si="2"/>
        <v>9.89</v>
      </c>
    </row>
    <row r="26" spans="1:6" x14ac:dyDescent="0.2">
      <c r="A26" s="19">
        <v>22</v>
      </c>
      <c r="B26" s="143" t="s">
        <v>19</v>
      </c>
      <c r="C26" s="144"/>
      <c r="D26" s="14">
        <f t="shared" si="0"/>
        <v>36456</v>
      </c>
      <c r="E26" s="17">
        <f t="shared" si="1"/>
        <v>146521.49815083068</v>
      </c>
      <c r="F26" s="21">
        <f t="shared" si="2"/>
        <v>4.0199999999999996</v>
      </c>
    </row>
    <row r="27" spans="1:6" x14ac:dyDescent="0.2">
      <c r="A27" s="19">
        <v>23</v>
      </c>
      <c r="B27" s="143" t="s">
        <v>20</v>
      </c>
      <c r="C27" s="144"/>
      <c r="D27" s="14">
        <f t="shared" si="0"/>
        <v>0</v>
      </c>
      <c r="E27" s="17">
        <f t="shared" si="1"/>
        <v>0</v>
      </c>
      <c r="F27" s="21" t="str">
        <f t="shared" si="2"/>
        <v/>
      </c>
    </row>
    <row r="28" spans="1:6" x14ac:dyDescent="0.2">
      <c r="A28" s="19">
        <v>24</v>
      </c>
      <c r="B28" s="143" t="s">
        <v>21</v>
      </c>
      <c r="C28" s="144"/>
      <c r="D28" s="14">
        <f t="shared" si="0"/>
        <v>23968</v>
      </c>
      <c r="E28" s="17">
        <f t="shared" si="1"/>
        <v>105071.51491329574</v>
      </c>
      <c r="F28" s="21">
        <f t="shared" si="2"/>
        <v>4.38</v>
      </c>
    </row>
    <row r="29" spans="1:6" x14ac:dyDescent="0.2">
      <c r="A29" s="19">
        <v>25</v>
      </c>
      <c r="B29" s="143" t="s">
        <v>22</v>
      </c>
      <c r="C29" s="144"/>
      <c r="D29" s="14">
        <f t="shared" si="0"/>
        <v>203712</v>
      </c>
      <c r="E29" s="17">
        <f t="shared" si="1"/>
        <v>709075.63943663635</v>
      </c>
      <c r="F29" s="21">
        <f t="shared" si="2"/>
        <v>3.48</v>
      </c>
    </row>
    <row r="30" spans="1:6" x14ac:dyDescent="0.2">
      <c r="A30" s="19">
        <v>26</v>
      </c>
      <c r="B30" s="143" t="s">
        <v>23</v>
      </c>
      <c r="C30" s="144"/>
      <c r="D30" s="14">
        <f t="shared" si="0"/>
        <v>290779</v>
      </c>
      <c r="E30" s="17">
        <f t="shared" si="1"/>
        <v>849185.75166777463</v>
      </c>
      <c r="F30" s="21">
        <f t="shared" si="2"/>
        <v>2.92</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2697157</v>
      </c>
      <c r="E33" s="31">
        <f>SUM(E5:E32)</f>
        <v>13101592</v>
      </c>
      <c r="F33" s="32">
        <f t="shared" si="2"/>
        <v>4.8600000000000003</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IF(F3="1",SUMIF(Data!A:A,'51'!$A$2,Data!CU:CU),0)</f>
        <v>18564</v>
      </c>
      <c r="E36" s="15">
        <f>IF(F3="1",SUMIF(Data!$A:$A,$A$2,Data!IO:IO),0)</f>
        <v>96377</v>
      </c>
      <c r="F36" s="20">
        <f t="shared" ref="F36:F64" si="3">IF(OR(D36=0,E36=0),"",ROUND(E36/D36,2))</f>
        <v>5.19</v>
      </c>
    </row>
    <row r="37" spans="1:6" x14ac:dyDescent="0.2">
      <c r="A37" s="19">
        <v>2</v>
      </c>
      <c r="B37" s="143" t="s">
        <v>1</v>
      </c>
      <c r="C37" s="144"/>
      <c r="D37" s="14">
        <f>IF(F3="1",SUMIF(Data!A:A,'51'!$A$2,Data!CV:CV),0)</f>
        <v>119588</v>
      </c>
      <c r="E37" s="17">
        <f>IF(F3="1",SUMIF(Data!$A:$A,$A$2,Data!IP:IP),0)</f>
        <v>162732</v>
      </c>
      <c r="F37" s="21">
        <f t="shared" si="3"/>
        <v>1.36</v>
      </c>
    </row>
    <row r="38" spans="1:6" ht="14.25" customHeight="1" x14ac:dyDescent="0.2">
      <c r="A38" s="19">
        <v>3</v>
      </c>
      <c r="B38" s="143" t="s">
        <v>2</v>
      </c>
      <c r="C38" s="144"/>
      <c r="D38" s="14">
        <f>IF(F3="1",SUMIF(Data!A:A,'51'!$A$2,Data!CW:CW),0)</f>
        <v>268400</v>
      </c>
      <c r="E38" s="17">
        <f>IF($F$3="1",SUMIF(Data!$A:$A,$A$2,Data!IQ:IQ),0)</f>
        <v>210184</v>
      </c>
      <c r="F38" s="21">
        <f t="shared" si="3"/>
        <v>0.78</v>
      </c>
    </row>
    <row r="39" spans="1:6" ht="14.25" customHeight="1" x14ac:dyDescent="0.2">
      <c r="A39" s="19">
        <v>4</v>
      </c>
      <c r="B39" s="143" t="s">
        <v>3</v>
      </c>
      <c r="C39" s="144"/>
      <c r="D39" s="14">
        <f>IF(F3="1",SUMIF(Data!A:A,'51'!$A$2,Data!CX:CX),0)</f>
        <v>439194</v>
      </c>
      <c r="E39" s="17">
        <f>IF($F$3="1",SUMIF(Data!$A:$A,$A$2,Data!IR:IR),0)</f>
        <v>363200</v>
      </c>
      <c r="F39" s="21">
        <f t="shared" si="3"/>
        <v>0.83</v>
      </c>
    </row>
    <row r="40" spans="1:6" x14ac:dyDescent="0.2">
      <c r="A40" s="19">
        <v>5</v>
      </c>
      <c r="B40" s="143" t="s">
        <v>4</v>
      </c>
      <c r="C40" s="144"/>
      <c r="D40" s="14">
        <f>IF(F3="1",SUMIF(Data!A:A,'51'!$A$2,Data!CY:CY),0)</f>
        <v>0</v>
      </c>
      <c r="E40" s="17">
        <f>IF($F$3="1",SUMIF(Data!$A:$A,$A$2,Data!IS:IS),0)</f>
        <v>0</v>
      </c>
      <c r="F40" s="21" t="str">
        <f t="shared" si="3"/>
        <v/>
      </c>
    </row>
    <row r="41" spans="1:6" x14ac:dyDescent="0.2">
      <c r="A41" s="19">
        <v>6</v>
      </c>
      <c r="B41" s="143" t="s">
        <v>5</v>
      </c>
      <c r="C41" s="144"/>
      <c r="D41" s="14">
        <f>IF(F3="1",SUMIF(Data!A:A,'51'!$A$2,Data!CZ:CZ),0)</f>
        <v>0</v>
      </c>
      <c r="E41" s="17">
        <f>IF($F$3="1",SUMIF(Data!$A:$A,$A$2,Data!IT:IT),0)</f>
        <v>0</v>
      </c>
      <c r="F41" s="21" t="str">
        <f t="shared" si="3"/>
        <v/>
      </c>
    </row>
    <row r="42" spans="1:6" x14ac:dyDescent="0.2">
      <c r="A42" s="19">
        <v>7</v>
      </c>
      <c r="B42" s="143" t="s">
        <v>6</v>
      </c>
      <c r="C42" s="144"/>
      <c r="D42" s="14">
        <f>IF(F3="1",SUMIF(Data!A:A,'51'!$A$2,Data!DA:DA),0)</f>
        <v>207129</v>
      </c>
      <c r="E42" s="17">
        <f>IF($F$3="1",SUMIF(Data!$A:$A,$A$2,Data!IU:IU),0)</f>
        <v>207154</v>
      </c>
      <c r="F42" s="21">
        <f t="shared" si="3"/>
        <v>1</v>
      </c>
    </row>
    <row r="43" spans="1:6" x14ac:dyDescent="0.2">
      <c r="A43" s="19">
        <v>8</v>
      </c>
      <c r="B43" s="143" t="s">
        <v>7</v>
      </c>
      <c r="C43" s="144"/>
      <c r="D43" s="14">
        <f>IF(F3="1",SUMIF(Data!A:A,'51'!$A$2,Data!DB:DB),0)</f>
        <v>17313</v>
      </c>
      <c r="E43" s="17">
        <f>IF($F$3="1",SUMIF(Data!$A:$A,$A$2,Data!IV:IV),0)</f>
        <v>41557</v>
      </c>
      <c r="F43" s="21">
        <f t="shared" si="3"/>
        <v>2.4</v>
      </c>
    </row>
    <row r="44" spans="1:6" x14ac:dyDescent="0.2">
      <c r="A44" s="19">
        <v>9</v>
      </c>
      <c r="B44" s="143" t="s">
        <v>8</v>
      </c>
      <c r="C44" s="144"/>
      <c r="D44" s="14">
        <f>IF(F3="1",SUMIF(Data!A:A,'51'!$A$2,Data!DC:DC),0)</f>
        <v>28964</v>
      </c>
      <c r="E44" s="17">
        <f>IF($F$3="1",SUMIF(Data!$A:$A,$A$2,Data!IW:IW),0)</f>
        <v>49591</v>
      </c>
      <c r="F44" s="21">
        <f t="shared" si="3"/>
        <v>1.71</v>
      </c>
    </row>
    <row r="45" spans="1:6" x14ac:dyDescent="0.2">
      <c r="A45" s="19">
        <v>10</v>
      </c>
      <c r="B45" s="143" t="s">
        <v>9</v>
      </c>
      <c r="C45" s="144"/>
      <c r="D45" s="14">
        <f>IF(F3="1",SUMIF(Data!A:A,'51'!$A$2,Data!DD:DD),0)</f>
        <v>0</v>
      </c>
      <c r="E45" s="17">
        <f>IF($F$3="1",SUMIF(Data!$A:$A,$A$2,Data!IX:IX),0)</f>
        <v>0</v>
      </c>
      <c r="F45" s="21" t="str">
        <f t="shared" si="3"/>
        <v/>
      </c>
    </row>
    <row r="46" spans="1:6" x14ac:dyDescent="0.2">
      <c r="A46" s="19">
        <v>11</v>
      </c>
      <c r="B46" s="143" t="s">
        <v>10</v>
      </c>
      <c r="C46" s="144"/>
      <c r="D46" s="14">
        <f>IF(F3="1",SUMIF(Data!A:A,'51'!$A$2,Data!DE:DE),0)</f>
        <v>171393</v>
      </c>
      <c r="E46" s="17">
        <f>IF($F$3="1",SUMIF(Data!$A:$A,$A$2,Data!IY:IY),0)</f>
        <v>147464</v>
      </c>
      <c r="F46" s="21">
        <f t="shared" si="3"/>
        <v>0.86</v>
      </c>
    </row>
    <row r="47" spans="1:6" ht="14.25" customHeight="1" x14ac:dyDescent="0.2">
      <c r="A47" s="19">
        <v>12</v>
      </c>
      <c r="B47" s="143" t="s">
        <v>11</v>
      </c>
      <c r="C47" s="144"/>
      <c r="D47" s="14">
        <f>IF(F3="1",SUMIF(Data!A:A,'51'!$A$2,Data!DF:DF),0)</f>
        <v>319720</v>
      </c>
      <c r="E47" s="17">
        <f>IF($F$3="1",SUMIF(Data!$A:$A,$A$2,Data!IZ:IZ),0)</f>
        <v>236665</v>
      </c>
      <c r="F47" s="21">
        <f t="shared" si="3"/>
        <v>0.74</v>
      </c>
    </row>
    <row r="48" spans="1:6" x14ac:dyDescent="0.2">
      <c r="A48" s="19">
        <v>13</v>
      </c>
      <c r="B48" s="143" t="s">
        <v>12</v>
      </c>
      <c r="C48" s="144"/>
      <c r="D48" s="14">
        <f>IF(F3="1",SUMIF(Data!A:A,'51'!$A$2,Data!DG:DG),0)</f>
        <v>26832</v>
      </c>
      <c r="E48" s="17">
        <f>IF($F$3="1",SUMIF(Data!$A:$A,$A$2,Data!JA:JA),0)</f>
        <v>16561</v>
      </c>
      <c r="F48" s="21">
        <f t="shared" si="3"/>
        <v>0.62</v>
      </c>
    </row>
    <row r="49" spans="1:6" ht="14.25" customHeight="1" x14ac:dyDescent="0.2">
      <c r="A49" s="19">
        <v>14</v>
      </c>
      <c r="B49" s="143" t="s">
        <v>464</v>
      </c>
      <c r="C49" s="144"/>
      <c r="D49" s="14">
        <f>IF(F3="1",SUMIF(Data!A:A,'51'!$A$2,Data!DH:DH),0)</f>
        <v>19212</v>
      </c>
      <c r="E49" s="17">
        <f>IF($F$3="1",SUMIF(Data!$A:$A,$A$2,Data!JB:JB),0)</f>
        <v>78621</v>
      </c>
      <c r="F49" s="21">
        <f t="shared" si="3"/>
        <v>4.09</v>
      </c>
    </row>
    <row r="50" spans="1:6" x14ac:dyDescent="0.2">
      <c r="A50" s="19">
        <v>15</v>
      </c>
      <c r="B50" s="143" t="s">
        <v>13</v>
      </c>
      <c r="C50" s="144"/>
      <c r="D50" s="14">
        <f>IF(F3="1",SUMIF(Data!A:A,'51'!$A$2,Data!DI:DI),0)</f>
        <v>18648</v>
      </c>
      <c r="E50" s="17">
        <f>IF($F$3="1",SUMIF(Data!$A:$A,$A$2,Data!JC:JC),0)</f>
        <v>108444</v>
      </c>
      <c r="F50" s="21">
        <f t="shared" si="3"/>
        <v>5.82</v>
      </c>
    </row>
    <row r="51" spans="1:6" x14ac:dyDescent="0.2">
      <c r="A51" s="19">
        <v>16</v>
      </c>
      <c r="B51" s="143" t="s">
        <v>14</v>
      </c>
      <c r="C51" s="144"/>
      <c r="D51" s="14">
        <f>IF(F3="1",SUMIF(Data!A:A,'51'!$A$2,Data!DJ:DJ),0)</f>
        <v>175621</v>
      </c>
      <c r="E51" s="17">
        <f>IF($F$3="1",SUMIF(Data!$A:$A,$A$2,Data!JD:JD),0)</f>
        <v>199929</v>
      </c>
      <c r="F51" s="21">
        <f t="shared" si="3"/>
        <v>1.1399999999999999</v>
      </c>
    </row>
    <row r="52" spans="1:6" x14ac:dyDescent="0.2">
      <c r="A52" s="19">
        <v>17</v>
      </c>
      <c r="B52" s="143" t="s">
        <v>15</v>
      </c>
      <c r="C52" s="144"/>
      <c r="D52" s="14">
        <f>IF(F3="1",SUMIF(Data!A:A,'51'!$A$2,Data!DK:DK),0)</f>
        <v>0</v>
      </c>
      <c r="E52" s="17">
        <f>IF($F$3="1",SUMIF(Data!$A:$A,$A$2,Data!JE:JE),0)</f>
        <v>0</v>
      </c>
      <c r="F52" s="21" t="str">
        <f t="shared" si="3"/>
        <v/>
      </c>
    </row>
    <row r="53" spans="1:6" x14ac:dyDescent="0.2">
      <c r="A53" s="19">
        <v>18</v>
      </c>
      <c r="B53" s="143" t="s">
        <v>16</v>
      </c>
      <c r="C53" s="144"/>
      <c r="D53" s="14">
        <f>IF(F3="1",SUMIF(Data!A:A,'51'!$A$2,Data!DL:DL),0)</f>
        <v>0</v>
      </c>
      <c r="E53" s="17">
        <f>IF($F$3="1",SUMIF(Data!$A:$A,$A$2,Data!JF:JF),0)</f>
        <v>0</v>
      </c>
      <c r="F53" s="21" t="str">
        <f t="shared" si="3"/>
        <v/>
      </c>
    </row>
    <row r="54" spans="1:6" x14ac:dyDescent="0.2">
      <c r="A54" s="19">
        <v>19</v>
      </c>
      <c r="B54" s="143" t="s">
        <v>17</v>
      </c>
      <c r="C54" s="144"/>
      <c r="D54" s="14">
        <f>IF(F3="1",SUMIF(Data!A:A,'51'!$A$2,Data!DM:DM),0)</f>
        <v>226536</v>
      </c>
      <c r="E54" s="17">
        <f>IF($F$3="1",SUMIF(Data!$A:$A,$A$2,Data!JG:JG),0)</f>
        <v>139828</v>
      </c>
      <c r="F54" s="21">
        <f t="shared" si="3"/>
        <v>0.62</v>
      </c>
    </row>
    <row r="55" spans="1:6" x14ac:dyDescent="0.2">
      <c r="A55" s="19">
        <v>20</v>
      </c>
      <c r="B55" s="143" t="s">
        <v>18</v>
      </c>
      <c r="C55" s="144"/>
      <c r="D55" s="14">
        <f>IF(F3="1",SUMIF(Data!A:A,'51'!$A$2,Data!DN:DN),0)</f>
        <v>69816</v>
      </c>
      <c r="E55" s="17">
        <f>IF($F$3="1",SUMIF(Data!$A:$A,$A$2,Data!JH:JH),0)</f>
        <v>112608</v>
      </c>
      <c r="F55" s="21">
        <f t="shared" si="3"/>
        <v>1.61</v>
      </c>
    </row>
    <row r="56" spans="1:6" ht="14.25" customHeight="1" x14ac:dyDescent="0.2">
      <c r="A56" s="19">
        <v>21</v>
      </c>
      <c r="B56" s="143" t="s">
        <v>461</v>
      </c>
      <c r="C56" s="144"/>
      <c r="D56" s="14">
        <f>IF(F3="1",SUMIF(Data!A:A,'51'!$A$2,Data!DO:DO),0)</f>
        <v>15312</v>
      </c>
      <c r="E56" s="17">
        <f>IF($F$3="1",SUMIF(Data!$A:$A,$A$2,Data!JI:JI),0)</f>
        <v>34631</v>
      </c>
      <c r="F56" s="21">
        <f t="shared" si="3"/>
        <v>2.2599999999999998</v>
      </c>
    </row>
    <row r="57" spans="1:6" x14ac:dyDescent="0.2">
      <c r="A57" s="19">
        <v>22</v>
      </c>
      <c r="B57" s="143" t="s">
        <v>19</v>
      </c>
      <c r="C57" s="144"/>
      <c r="D57" s="14">
        <f>IF(F3="1",SUMIF(Data!A:A,'51'!$A$2,Data!DP:DP),0)</f>
        <v>36456</v>
      </c>
      <c r="E57" s="17">
        <f>IF($F$3="1",SUMIF(Data!$A:$A,$A$2,Data!JJ:JJ),0)</f>
        <v>25891</v>
      </c>
      <c r="F57" s="21">
        <f t="shared" si="3"/>
        <v>0.71</v>
      </c>
    </row>
    <row r="58" spans="1:6" x14ac:dyDescent="0.2">
      <c r="A58" s="19">
        <v>23</v>
      </c>
      <c r="B58" s="143" t="s">
        <v>20</v>
      </c>
      <c r="C58" s="144"/>
      <c r="D58" s="14">
        <f>IF(F3="1",SUMIF(Data!A:A,'51'!$A$2,Data!DQ:DQ),0)</f>
        <v>0</v>
      </c>
      <c r="E58" s="17">
        <f>IF($F$3="1",SUMIF(Data!$A:$A,$A$2,Data!JK:JK),0)</f>
        <v>0</v>
      </c>
      <c r="F58" s="21" t="str">
        <f t="shared" si="3"/>
        <v/>
      </c>
    </row>
    <row r="59" spans="1:6" x14ac:dyDescent="0.2">
      <c r="A59" s="19">
        <v>24</v>
      </c>
      <c r="B59" s="143" t="s">
        <v>21</v>
      </c>
      <c r="C59" s="144"/>
      <c r="D59" s="14">
        <f>IF(F3="1",SUMIF(Data!A:A,'51'!$A$2,Data!DR:DR),0)</f>
        <v>23968</v>
      </c>
      <c r="E59" s="17">
        <f>IF($F$3="1",SUMIF(Data!$A:$A,$A$2,Data!JL:JL),0)</f>
        <v>31089</v>
      </c>
      <c r="F59" s="21">
        <f t="shared" si="3"/>
        <v>1.3</v>
      </c>
    </row>
    <row r="60" spans="1:6" x14ac:dyDescent="0.2">
      <c r="A60" s="19">
        <v>25</v>
      </c>
      <c r="B60" s="143" t="s">
        <v>22</v>
      </c>
      <c r="C60" s="144"/>
      <c r="D60" s="14">
        <f>IF(F3="1",SUMIF(Data!A:A,'51'!$A$2,Data!DS:DS),0)</f>
        <v>203712</v>
      </c>
      <c r="E60" s="17">
        <f>IF($F$3="1",SUMIF(Data!$A:$A,$A$2,Data!JM:JM),0)</f>
        <v>138220</v>
      </c>
      <c r="F60" s="21">
        <f t="shared" si="3"/>
        <v>0.68</v>
      </c>
    </row>
    <row r="61" spans="1:6" x14ac:dyDescent="0.2">
      <c r="A61" s="19">
        <v>26</v>
      </c>
      <c r="B61" s="143" t="s">
        <v>23</v>
      </c>
      <c r="C61" s="144"/>
      <c r="D61" s="14">
        <f>IF(F3="1",SUMIF(Data!A:A,'51'!$A$2,Data!DT:DT),0)</f>
        <v>290779</v>
      </c>
      <c r="E61" s="17">
        <f>IF($F$3="1",SUMIF(Data!$A:$A,$A$2,Data!JN:JN),0)</f>
        <v>226837</v>
      </c>
      <c r="F61" s="21">
        <f t="shared" si="3"/>
        <v>0.78</v>
      </c>
    </row>
    <row r="62" spans="1:6" x14ac:dyDescent="0.2">
      <c r="A62" s="19">
        <v>28</v>
      </c>
      <c r="B62" s="143" t="s">
        <v>24</v>
      </c>
      <c r="C62" s="144"/>
      <c r="D62" s="14">
        <f>IF(F3="1",SUMIF(Data!A:A,'51'!$A$2,Data!DV:DV),0)</f>
        <v>0</v>
      </c>
      <c r="E62" s="17">
        <f>IF($F$3="1",SUMIF(Data!$A:$A,$A$2,Data!JP:JP),0)</f>
        <v>0</v>
      </c>
      <c r="F62" s="21" t="str">
        <f t="shared" si="3"/>
        <v/>
      </c>
    </row>
    <row r="63" spans="1:6" ht="15.75" customHeight="1" thickBot="1" x14ac:dyDescent="0.25">
      <c r="A63" s="22">
        <v>29</v>
      </c>
      <c r="B63" s="147" t="s">
        <v>25</v>
      </c>
      <c r="C63" s="148"/>
      <c r="D63" s="23">
        <f>IF(F3="1",SUMIF(Data!A:A,'51'!$A$2,Data!DW:DW),0)</f>
        <v>0</v>
      </c>
      <c r="E63" s="24">
        <f>IF($F$3="1",SUMIF(Data!$A:$A,$A$2,Data!JQ:JQ),0)</f>
        <v>0</v>
      </c>
      <c r="F63" s="25" t="str">
        <f t="shared" si="3"/>
        <v/>
      </c>
    </row>
    <row r="64" spans="1:6" x14ac:dyDescent="0.2">
      <c r="B64" s="30" t="s">
        <v>35</v>
      </c>
      <c r="C64" s="30"/>
      <c r="D64" s="59">
        <f>SUM(D36:D63)</f>
        <v>2697157</v>
      </c>
      <c r="E64" s="31">
        <f>SUM(E36:E63)</f>
        <v>2627583</v>
      </c>
      <c r="F64" s="32">
        <f t="shared" si="3"/>
        <v>0.97</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18564</v>
      </c>
      <c r="E67" s="15">
        <f>IF(F3="1",SUMIF(Data!A:A,'51'!$A$2,Data!DY:DY),0)</f>
        <v>44305</v>
      </c>
      <c r="F67" s="20">
        <f t="shared" ref="F67:F95" si="4">IF(OR(D67=0,E67=0),"",ROUND(E67/D67,2))</f>
        <v>2.39</v>
      </c>
    </row>
    <row r="68" spans="1:6" x14ac:dyDescent="0.2">
      <c r="A68" s="19">
        <v>2</v>
      </c>
      <c r="B68" s="143" t="s">
        <v>1</v>
      </c>
      <c r="C68" s="144"/>
      <c r="D68" s="14">
        <f t="shared" ref="D68:D94" si="5">D37</f>
        <v>119588</v>
      </c>
      <c r="E68" s="17">
        <f>IF(F3="1",SUMIF(Data!A:A,'51'!$A$2,Data!DZ:DZ),0)</f>
        <v>637918</v>
      </c>
      <c r="F68" s="21">
        <f t="shared" si="4"/>
        <v>5.33</v>
      </c>
    </row>
    <row r="69" spans="1:6" ht="14.25" customHeight="1" x14ac:dyDescent="0.2">
      <c r="A69" s="19">
        <v>3</v>
      </c>
      <c r="B69" s="143" t="s">
        <v>2</v>
      </c>
      <c r="C69" s="144"/>
      <c r="D69" s="14">
        <f t="shared" si="5"/>
        <v>268400</v>
      </c>
      <c r="E69" s="17">
        <f>IF(F3="1",SUMIF(Data!A:A,'51'!$A$2,Data!EA:EA),0)</f>
        <v>553269</v>
      </c>
      <c r="F69" s="21">
        <f t="shared" si="4"/>
        <v>2.06</v>
      </c>
    </row>
    <row r="70" spans="1:6" ht="14.25" customHeight="1" x14ac:dyDescent="0.2">
      <c r="A70" s="19">
        <v>4</v>
      </c>
      <c r="B70" s="143" t="s">
        <v>3</v>
      </c>
      <c r="C70" s="144"/>
      <c r="D70" s="14">
        <f t="shared" si="5"/>
        <v>439194</v>
      </c>
      <c r="E70" s="17">
        <f>IF(F3="1",SUMIF(Data!A:A,'51'!$A$2,Data!EB:EB),0)</f>
        <v>924094</v>
      </c>
      <c r="F70" s="21">
        <f t="shared" si="4"/>
        <v>2.1</v>
      </c>
    </row>
    <row r="71" spans="1:6" x14ac:dyDescent="0.2">
      <c r="A71" s="19">
        <v>5</v>
      </c>
      <c r="B71" s="143" t="s">
        <v>4</v>
      </c>
      <c r="C71" s="144"/>
      <c r="D71" s="14">
        <f t="shared" si="5"/>
        <v>0</v>
      </c>
      <c r="E71" s="17">
        <f>IF(F3="1",SUMIF(Data!A:A,'51'!$A$2,Data!EC:EC),0)</f>
        <v>0</v>
      </c>
      <c r="F71" s="21" t="str">
        <f t="shared" si="4"/>
        <v/>
      </c>
    </row>
    <row r="72" spans="1:6" x14ac:dyDescent="0.2">
      <c r="A72" s="19">
        <v>6</v>
      </c>
      <c r="B72" s="143" t="s">
        <v>5</v>
      </c>
      <c r="C72" s="144"/>
      <c r="D72" s="14">
        <f t="shared" si="5"/>
        <v>0</v>
      </c>
      <c r="E72" s="17">
        <f>IF(F3="1",SUMIF(Data!A:A,'51'!$A$2,Data!ED:ED),0)</f>
        <v>0</v>
      </c>
      <c r="F72" s="21" t="str">
        <f t="shared" si="4"/>
        <v/>
      </c>
    </row>
    <row r="73" spans="1:6" x14ac:dyDescent="0.2">
      <c r="A73" s="19">
        <v>7</v>
      </c>
      <c r="B73" s="143" t="s">
        <v>6</v>
      </c>
      <c r="C73" s="144"/>
      <c r="D73" s="14">
        <f t="shared" si="5"/>
        <v>207129</v>
      </c>
      <c r="E73" s="17">
        <f>IF(F3="1",SUMIF(Data!A:A,'51'!$A$2,Data!EE:EE),0)</f>
        <v>528872</v>
      </c>
      <c r="F73" s="21">
        <f t="shared" si="4"/>
        <v>2.5499999999999998</v>
      </c>
    </row>
    <row r="74" spans="1:6" x14ac:dyDescent="0.2">
      <c r="A74" s="19">
        <v>8</v>
      </c>
      <c r="B74" s="143" t="s">
        <v>7</v>
      </c>
      <c r="C74" s="144"/>
      <c r="D74" s="14">
        <f t="shared" si="5"/>
        <v>17313</v>
      </c>
      <c r="E74" s="17">
        <f>IF(F3="1",SUMIF(Data!A:A,'51'!$A$2,Data!EF:EF),0)</f>
        <v>139960</v>
      </c>
      <c r="F74" s="21">
        <f t="shared" si="4"/>
        <v>8.08</v>
      </c>
    </row>
    <row r="75" spans="1:6" x14ac:dyDescent="0.2">
      <c r="A75" s="19">
        <v>9</v>
      </c>
      <c r="B75" s="143" t="s">
        <v>8</v>
      </c>
      <c r="C75" s="144"/>
      <c r="D75" s="14">
        <f t="shared" si="5"/>
        <v>28964</v>
      </c>
      <c r="E75" s="17">
        <f>IF(F3="1",SUMIF(Data!A:A,'51'!$A$2,Data!EG:EG),0)</f>
        <v>68912</v>
      </c>
      <c r="F75" s="21">
        <f t="shared" si="4"/>
        <v>2.38</v>
      </c>
    </row>
    <row r="76" spans="1:6" x14ac:dyDescent="0.2">
      <c r="A76" s="19">
        <v>10</v>
      </c>
      <c r="B76" s="143" t="s">
        <v>9</v>
      </c>
      <c r="C76" s="144"/>
      <c r="D76" s="14">
        <f t="shared" si="5"/>
        <v>0</v>
      </c>
      <c r="E76" s="17">
        <f>IF(F3="1",SUMIF(Data!A:A,'51'!$A$2,Data!EH:EH),0)</f>
        <v>0</v>
      </c>
      <c r="F76" s="21" t="str">
        <f t="shared" si="4"/>
        <v/>
      </c>
    </row>
    <row r="77" spans="1:6" x14ac:dyDescent="0.2">
      <c r="A77" s="19">
        <v>11</v>
      </c>
      <c r="B77" s="143" t="s">
        <v>10</v>
      </c>
      <c r="C77" s="144"/>
      <c r="D77" s="14">
        <f t="shared" si="5"/>
        <v>171393</v>
      </c>
      <c r="E77" s="17">
        <f>IF(F3="1",SUMIF(Data!A:A,'51'!$A$2,Data!EI:EI),0)</f>
        <v>538263</v>
      </c>
      <c r="F77" s="21">
        <f t="shared" si="4"/>
        <v>3.14</v>
      </c>
    </row>
    <row r="78" spans="1:6" ht="14.25" customHeight="1" x14ac:dyDescent="0.2">
      <c r="A78" s="19">
        <v>12</v>
      </c>
      <c r="B78" s="143" t="s">
        <v>11</v>
      </c>
      <c r="C78" s="144"/>
      <c r="D78" s="14">
        <f t="shared" si="5"/>
        <v>319720</v>
      </c>
      <c r="E78" s="17">
        <f>IF(F3="1",SUMIF(Data!A:A,'51'!$A$2,Data!EJ:EJ),0)</f>
        <v>633357</v>
      </c>
      <c r="F78" s="21">
        <f t="shared" si="4"/>
        <v>1.98</v>
      </c>
    </row>
    <row r="79" spans="1:6" x14ac:dyDescent="0.2">
      <c r="A79" s="19">
        <v>13</v>
      </c>
      <c r="B79" s="143" t="s">
        <v>12</v>
      </c>
      <c r="C79" s="144"/>
      <c r="D79" s="14">
        <f t="shared" si="5"/>
        <v>26832</v>
      </c>
      <c r="E79" s="17">
        <f>IF(F3="1",SUMIF(Data!A:A,'51'!$A$2,Data!EK:EK),0)</f>
        <v>37863</v>
      </c>
      <c r="F79" s="21">
        <f t="shared" si="4"/>
        <v>1.41</v>
      </c>
    </row>
    <row r="80" spans="1:6" ht="14.25" customHeight="1" x14ac:dyDescent="0.2">
      <c r="A80" s="19">
        <v>14</v>
      </c>
      <c r="B80" s="143" t="s">
        <v>464</v>
      </c>
      <c r="C80" s="144"/>
      <c r="D80" s="14">
        <f t="shared" si="5"/>
        <v>19212</v>
      </c>
      <c r="E80" s="17">
        <f>IF(F3="1",SUMIF(Data!A:A,'51'!$A$2,Data!EL:EL),0)</f>
        <v>74565</v>
      </c>
      <c r="F80" s="21">
        <f t="shared" si="4"/>
        <v>3.88</v>
      </c>
    </row>
    <row r="81" spans="1:6" x14ac:dyDescent="0.2">
      <c r="A81" s="19">
        <v>15</v>
      </c>
      <c r="B81" s="143" t="s">
        <v>13</v>
      </c>
      <c r="C81" s="144"/>
      <c r="D81" s="14">
        <f t="shared" si="5"/>
        <v>18648</v>
      </c>
      <c r="E81" s="17">
        <f>IF(F3="1",SUMIF(Data!A:A,'51'!$A$2,Data!EM:EM),0)</f>
        <v>228874</v>
      </c>
      <c r="F81" s="21">
        <f t="shared" si="4"/>
        <v>12.27</v>
      </c>
    </row>
    <row r="82" spans="1:6" x14ac:dyDescent="0.2">
      <c r="A82" s="19">
        <v>16</v>
      </c>
      <c r="B82" s="143" t="s">
        <v>14</v>
      </c>
      <c r="C82" s="144"/>
      <c r="D82" s="14">
        <f t="shared" si="5"/>
        <v>175621</v>
      </c>
      <c r="E82" s="17">
        <f>IF(F3="1",SUMIF(Data!A:A,'51'!$A$2,Data!EN:EN),0)</f>
        <v>799888</v>
      </c>
      <c r="F82" s="21">
        <f t="shared" si="4"/>
        <v>4.55</v>
      </c>
    </row>
    <row r="83" spans="1:6" x14ac:dyDescent="0.2">
      <c r="A83" s="19">
        <v>17</v>
      </c>
      <c r="B83" s="143" t="s">
        <v>15</v>
      </c>
      <c r="C83" s="144"/>
      <c r="D83" s="14">
        <f t="shared" si="5"/>
        <v>0</v>
      </c>
      <c r="E83" s="17">
        <f>IF(F3="1",SUMIF(Data!A:A,'51'!$A$2,Data!EO:EO),0)</f>
        <v>0</v>
      </c>
      <c r="F83" s="21" t="str">
        <f t="shared" si="4"/>
        <v/>
      </c>
    </row>
    <row r="84" spans="1:6" x14ac:dyDescent="0.2">
      <c r="A84" s="19">
        <v>18</v>
      </c>
      <c r="B84" s="143" t="s">
        <v>16</v>
      </c>
      <c r="C84" s="144"/>
      <c r="D84" s="14">
        <f t="shared" si="5"/>
        <v>0</v>
      </c>
      <c r="E84" s="17">
        <f>IF(F3="1",SUMIF(Data!A:A,'51'!$A$2,Data!EP:EP),0)</f>
        <v>0</v>
      </c>
      <c r="F84" s="21" t="str">
        <f t="shared" si="4"/>
        <v/>
      </c>
    </row>
    <row r="85" spans="1:6" x14ac:dyDescent="0.2">
      <c r="A85" s="19">
        <v>19</v>
      </c>
      <c r="B85" s="143" t="s">
        <v>17</v>
      </c>
      <c r="C85" s="144"/>
      <c r="D85" s="14">
        <f t="shared" si="5"/>
        <v>226536</v>
      </c>
      <c r="E85" s="17">
        <f>IF(F3="1",SUMIF(Data!A:A,'51'!$A$2,Data!EQ:EQ),0)</f>
        <v>315091</v>
      </c>
      <c r="F85" s="21">
        <f t="shared" si="4"/>
        <v>1.39</v>
      </c>
    </row>
    <row r="86" spans="1:6" x14ac:dyDescent="0.2">
      <c r="A86" s="19">
        <v>20</v>
      </c>
      <c r="B86" s="143" t="s">
        <v>18</v>
      </c>
      <c r="C86" s="144"/>
      <c r="D86" s="14">
        <f t="shared" si="5"/>
        <v>69816</v>
      </c>
      <c r="E86" s="17">
        <f>IF(F3="1",SUMIF(Data!A:A,'51'!$A$2,Data!ER:ER),0)</f>
        <v>288621</v>
      </c>
      <c r="F86" s="21">
        <f t="shared" si="4"/>
        <v>4.13</v>
      </c>
    </row>
    <row r="87" spans="1:6" ht="14.25" customHeight="1" x14ac:dyDescent="0.2">
      <c r="A87" s="19">
        <v>21</v>
      </c>
      <c r="B87" s="143" t="s">
        <v>461</v>
      </c>
      <c r="C87" s="144"/>
      <c r="D87" s="14">
        <f t="shared" si="5"/>
        <v>15312</v>
      </c>
      <c r="E87" s="17">
        <f>IF(F3="1",SUMIF(Data!A:A,'51'!$A$2,Data!ES:ES),0)</f>
        <v>94146</v>
      </c>
      <c r="F87" s="21">
        <f t="shared" si="4"/>
        <v>6.15</v>
      </c>
    </row>
    <row r="88" spans="1:6" x14ac:dyDescent="0.2">
      <c r="A88" s="19">
        <v>22</v>
      </c>
      <c r="B88" s="143" t="s">
        <v>19</v>
      </c>
      <c r="C88" s="144"/>
      <c r="D88" s="14">
        <f t="shared" si="5"/>
        <v>36456</v>
      </c>
      <c r="E88" s="17">
        <f>IF(F3="1",SUMIF(Data!A:A,'51'!$A$2,Data!ET:ET),0)</f>
        <v>66545</v>
      </c>
      <c r="F88" s="21">
        <f t="shared" si="4"/>
        <v>1.83</v>
      </c>
    </row>
    <row r="89" spans="1:6" x14ac:dyDescent="0.2">
      <c r="A89" s="19">
        <v>23</v>
      </c>
      <c r="B89" s="143" t="s">
        <v>20</v>
      </c>
      <c r="C89" s="144"/>
      <c r="D89" s="14">
        <f t="shared" si="5"/>
        <v>0</v>
      </c>
      <c r="E89" s="17">
        <f>IF(F3="1",SUMIF(Data!A:A,'51'!$A$2,Data!EU:EU),0)</f>
        <v>0</v>
      </c>
      <c r="F89" s="21" t="str">
        <f t="shared" si="4"/>
        <v/>
      </c>
    </row>
    <row r="90" spans="1:6" x14ac:dyDescent="0.2">
      <c r="A90" s="19">
        <v>24</v>
      </c>
      <c r="B90" s="143" t="s">
        <v>21</v>
      </c>
      <c r="C90" s="144"/>
      <c r="D90" s="14">
        <f t="shared" si="5"/>
        <v>23968</v>
      </c>
      <c r="E90" s="17">
        <f>IF(F3="1",SUMIF(Data!A:A,'51'!$A$2,Data!EV:EV),0)</f>
        <v>38424</v>
      </c>
      <c r="F90" s="21">
        <f t="shared" si="4"/>
        <v>1.6</v>
      </c>
    </row>
    <row r="91" spans="1:6" x14ac:dyDescent="0.2">
      <c r="A91" s="19">
        <v>25</v>
      </c>
      <c r="B91" s="143" t="s">
        <v>22</v>
      </c>
      <c r="C91" s="144"/>
      <c r="D91" s="14">
        <f t="shared" si="5"/>
        <v>203712</v>
      </c>
      <c r="E91" s="17">
        <f>IF(F3="1",SUMIF(Data!A:A,'51'!$A$2,Data!EW:EW),0)</f>
        <v>268632</v>
      </c>
      <c r="F91" s="21">
        <f t="shared" si="4"/>
        <v>1.32</v>
      </c>
    </row>
    <row r="92" spans="1:6" x14ac:dyDescent="0.2">
      <c r="A92" s="19">
        <v>26</v>
      </c>
      <c r="B92" s="143" t="s">
        <v>23</v>
      </c>
      <c r="C92" s="144"/>
      <c r="D92" s="14">
        <f t="shared" si="5"/>
        <v>290779</v>
      </c>
      <c r="E92" s="17">
        <f>IF(F3="1",SUMIF(Data!A:A,'51'!$A$2,Data!EX:EX),0)</f>
        <v>190954</v>
      </c>
      <c r="F92" s="21">
        <f t="shared" si="4"/>
        <v>0.66</v>
      </c>
    </row>
    <row r="93" spans="1:6" x14ac:dyDescent="0.2">
      <c r="A93" s="19">
        <v>28</v>
      </c>
      <c r="B93" s="143" t="s">
        <v>24</v>
      </c>
      <c r="C93" s="144"/>
      <c r="D93" s="14">
        <f t="shared" si="5"/>
        <v>0</v>
      </c>
      <c r="E93" s="17">
        <f>IF(F3="1",SUMIF(Data!A:A,'51'!$A$2,Data!EZ:EZ),0)</f>
        <v>0</v>
      </c>
      <c r="F93" s="21" t="str">
        <f t="shared" si="4"/>
        <v/>
      </c>
    </row>
    <row r="94" spans="1:6" ht="15.75" customHeight="1" thickBot="1" x14ac:dyDescent="0.25">
      <c r="A94" s="22">
        <v>29</v>
      </c>
      <c r="B94" s="147" t="s">
        <v>25</v>
      </c>
      <c r="C94" s="148"/>
      <c r="D94" s="23">
        <f t="shared" si="5"/>
        <v>0</v>
      </c>
      <c r="E94" s="24">
        <f>IF(F3="1",SUMIF(Data!A:A,'51'!$A$2,Data!FA:FA),0)</f>
        <v>0</v>
      </c>
      <c r="F94" s="25" t="str">
        <f t="shared" si="4"/>
        <v/>
      </c>
    </row>
    <row r="95" spans="1:6" x14ac:dyDescent="0.2">
      <c r="B95" s="30" t="s">
        <v>35</v>
      </c>
      <c r="C95" s="30"/>
      <c r="D95" s="59">
        <f>SUM(D67:D94)</f>
        <v>2697157</v>
      </c>
      <c r="E95" s="31">
        <f>SUM(E67:E94)</f>
        <v>6472553</v>
      </c>
      <c r="F95" s="32">
        <f t="shared" si="4"/>
        <v>2.4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IF(F3="1",SUMIF(Data!A:A,'51'!$A$2,Data!AH:AH),0)</f>
        <v>2125931</v>
      </c>
      <c r="F98" s="20">
        <f>IF(OR(E98=0,E98=0),"",ROUND(E98/$D$105,2))</f>
        <v>0.79</v>
      </c>
    </row>
    <row r="99" spans="2:6" x14ac:dyDescent="0.2">
      <c r="B99" s="153" t="s">
        <v>31</v>
      </c>
      <c r="C99" s="154"/>
      <c r="D99" s="36"/>
      <c r="E99" s="17">
        <f>IF(F3="1",SUMIF(Data!A:A,'51'!$A$2,Data!AI:AI),0)</f>
        <v>595925</v>
      </c>
      <c r="F99" s="21">
        <f t="shared" ref="F99:F104" si="6">IF(OR(E99=0,E99=0),"",ROUND(E99/$D$105,2))</f>
        <v>0.22</v>
      </c>
    </row>
    <row r="100" spans="2:6" x14ac:dyDescent="0.2">
      <c r="B100" s="153" t="s">
        <v>1078</v>
      </c>
      <c r="C100" s="154"/>
      <c r="D100" s="36"/>
      <c r="E100" s="17">
        <f>IF(F3="1",SUMIF(Data!A:A,'51'!$A$2,Data!AJ:AJ),0)</f>
        <v>406361</v>
      </c>
      <c r="F100" s="21">
        <f t="shared" si="6"/>
        <v>0.15</v>
      </c>
    </row>
    <row r="101" spans="2:6" x14ac:dyDescent="0.2">
      <c r="B101" s="153" t="s">
        <v>1079</v>
      </c>
      <c r="C101" s="154"/>
      <c r="D101" s="36"/>
      <c r="E101" s="17">
        <f>IF(F3="1",SUMIF(Data!A:A,'51'!$A$2,Data!AK:AK),0)</f>
        <v>366255</v>
      </c>
      <c r="F101" s="21">
        <f t="shared" si="6"/>
        <v>0.14000000000000001</v>
      </c>
    </row>
    <row r="102" spans="2:6" x14ac:dyDescent="0.2">
      <c r="B102" s="153" t="s">
        <v>1080</v>
      </c>
      <c r="C102" s="154"/>
      <c r="D102" s="36"/>
      <c r="E102" s="17">
        <f>IF(F3="1",SUMIF(Data!A:A,'51'!$A$2,Data!AL:AL),0)</f>
        <v>0</v>
      </c>
      <c r="F102" s="21" t="str">
        <f t="shared" si="6"/>
        <v/>
      </c>
    </row>
    <row r="103" spans="2:6" x14ac:dyDescent="0.2">
      <c r="B103" s="155" t="s">
        <v>34</v>
      </c>
      <c r="C103" s="156"/>
      <c r="D103" s="36"/>
      <c r="E103" s="17">
        <f>IF(F3="1",SUMIF(Data!A:A,'51'!$A$2,Data!AM:AM),0)</f>
        <v>0</v>
      </c>
      <c r="F103" s="21" t="str">
        <f t="shared" si="6"/>
        <v/>
      </c>
    </row>
    <row r="104" spans="2:6" ht="15.75" customHeight="1" thickBot="1" x14ac:dyDescent="0.25">
      <c r="B104" s="149" t="s">
        <v>29</v>
      </c>
      <c r="C104" s="150"/>
      <c r="D104" s="37"/>
      <c r="E104" s="24">
        <f>IF(F3="1",SUMIF(Data!A:A,'51'!$A$2,Data!Q:Q),0)</f>
        <v>506984</v>
      </c>
      <c r="F104" s="25">
        <f t="shared" si="6"/>
        <v>0.19</v>
      </c>
    </row>
    <row r="105" spans="2:6" x14ac:dyDescent="0.2">
      <c r="B105" s="30" t="s">
        <v>35</v>
      </c>
      <c r="C105" s="30"/>
      <c r="D105" s="34">
        <f>D95</f>
        <v>2697157</v>
      </c>
      <c r="E105" s="31">
        <f>SUM(E98:E104)</f>
        <v>4001456</v>
      </c>
      <c r="F105" s="32">
        <f>IF($D$105=0,"",ROUND(E105/$D$105,2))</f>
        <v>1.48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6472553</v>
      </c>
      <c r="D109" s="15">
        <f>IF(F3="1",SUMIF(Data!$A:$A,$A$2,Data!HJ:HJ),0)</f>
        <v>0</v>
      </c>
      <c r="E109" s="15">
        <f>IF(F3="1",SUMIF(Data!$A:$A,$A$2,Data!IN:IN),0)</f>
        <v>0</v>
      </c>
      <c r="F109" s="47">
        <f>SUM(C109:E109)</f>
        <v>6472553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506984</v>
      </c>
      <c r="E117" s="52"/>
      <c r="F117" s="49">
        <f>SUM(C117:E117)</f>
        <v>506984</v>
      </c>
    </row>
    <row r="118" spans="1:6" x14ac:dyDescent="0.2">
      <c r="B118" s="13" t="s">
        <v>35</v>
      </c>
      <c r="C118" s="4">
        <f>SUM(C109:C116)</f>
        <v>6472553</v>
      </c>
      <c r="D118" s="4">
        <f>SUM(D109:D116)</f>
        <v>0</v>
      </c>
      <c r="E118" s="4">
        <f>SUM(E109:E116)</f>
        <v>0</v>
      </c>
      <c r="F118" s="4">
        <f>SUM(F109:F116)</f>
        <v>6472553</v>
      </c>
    </row>
    <row r="119" spans="1:6" ht="15" thickBot="1" x14ac:dyDescent="0.25"/>
    <row r="120" spans="1:6" ht="15" thickBot="1" x14ac:dyDescent="0.25">
      <c r="B120" s="55" t="s">
        <v>934</v>
      </c>
      <c r="C120" s="53"/>
      <c r="D120" s="53"/>
      <c r="E120" s="53">
        <f>IF(F3="1",SUMIF(Data!A:A,'51'!$A$2,Data!AM:AM),0)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435</v>
      </c>
      <c r="B2" s="58" t="str">
        <f>VLOOKUP(A2,Data!A:G,7,0)</f>
        <v>Texas State Technical College-West Texas</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2304</v>
      </c>
      <c r="E5" s="15">
        <f>E36+E67+IFERROR($E$105/$D$105*D5,0)</f>
        <v>14261.641323692023</v>
      </c>
      <c r="F5" s="20">
        <f>IF(OR(D5=0,E5=0),"",ROUND(E5/D5,2))</f>
        <v>6.19</v>
      </c>
    </row>
    <row r="6" spans="1:6" x14ac:dyDescent="0.2">
      <c r="A6" s="19">
        <v>2</v>
      </c>
      <c r="B6" s="143" t="s">
        <v>1</v>
      </c>
      <c r="C6" s="144"/>
      <c r="D6" s="14">
        <f t="shared" ref="D6:D32" si="0">D37</f>
        <v>98915</v>
      </c>
      <c r="E6" s="17">
        <f t="shared" ref="E6:E32" si="1">E37+E68+IFERROR($E$105/$D$105*D6,0)</f>
        <v>536720.65083897416</v>
      </c>
      <c r="F6" s="21">
        <f t="shared" ref="F6:F33" si="2">IF(OR(D6=0,E6=0),"",ROUND(E6/D6,2))</f>
        <v>5.43</v>
      </c>
    </row>
    <row r="7" spans="1:6" ht="14.25" customHeight="1" x14ac:dyDescent="0.2">
      <c r="A7" s="19">
        <v>3</v>
      </c>
      <c r="B7" s="143" t="s">
        <v>2</v>
      </c>
      <c r="C7" s="144"/>
      <c r="D7" s="14">
        <f t="shared" si="0"/>
        <v>9720</v>
      </c>
      <c r="E7" s="17">
        <f t="shared" si="1"/>
        <v>53409.799334325726</v>
      </c>
      <c r="F7" s="21">
        <f t="shared" si="2"/>
        <v>5.49</v>
      </c>
    </row>
    <row r="8" spans="1:6" ht="14.25" customHeight="1" x14ac:dyDescent="0.2">
      <c r="A8" s="19">
        <v>4</v>
      </c>
      <c r="B8" s="143" t="s">
        <v>3</v>
      </c>
      <c r="C8" s="144"/>
      <c r="D8" s="14">
        <f t="shared" si="0"/>
        <v>80102</v>
      </c>
      <c r="E8" s="17">
        <f t="shared" si="1"/>
        <v>509521.71237429627</v>
      </c>
      <c r="F8" s="21">
        <f t="shared" si="2"/>
        <v>6.36</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367896</v>
      </c>
      <c r="E11" s="17">
        <f t="shared" si="1"/>
        <v>1812671.7901132817</v>
      </c>
      <c r="F11" s="21">
        <f t="shared" si="2"/>
        <v>4.93</v>
      </c>
    </row>
    <row r="12" spans="1:6" x14ac:dyDescent="0.2">
      <c r="A12" s="19">
        <v>8</v>
      </c>
      <c r="B12" s="143" t="s">
        <v>7</v>
      </c>
      <c r="C12" s="144"/>
      <c r="D12" s="14">
        <f t="shared" si="0"/>
        <v>3300</v>
      </c>
      <c r="E12" s="17">
        <f t="shared" si="1"/>
        <v>28369.580020913054</v>
      </c>
      <c r="F12" s="21">
        <f t="shared" si="2"/>
        <v>8.6</v>
      </c>
    </row>
    <row r="13" spans="1:6" x14ac:dyDescent="0.2">
      <c r="A13" s="19">
        <v>9</v>
      </c>
      <c r="B13" s="143" t="s">
        <v>8</v>
      </c>
      <c r="C13" s="144"/>
      <c r="D13" s="14">
        <f t="shared" si="0"/>
        <v>0</v>
      </c>
      <c r="E13" s="17">
        <f t="shared" si="1"/>
        <v>0</v>
      </c>
      <c r="F13" s="21" t="str">
        <f t="shared" si="2"/>
        <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152440</v>
      </c>
      <c r="E15" s="17">
        <f t="shared" si="1"/>
        <v>1151208.9146630261</v>
      </c>
      <c r="F15" s="21">
        <f t="shared" si="2"/>
        <v>7.55</v>
      </c>
    </row>
    <row r="16" spans="1:6" ht="14.25" customHeight="1" x14ac:dyDescent="0.2">
      <c r="A16" s="19">
        <v>12</v>
      </c>
      <c r="B16" s="143" t="s">
        <v>11</v>
      </c>
      <c r="C16" s="144"/>
      <c r="D16" s="14">
        <f t="shared" si="0"/>
        <v>65424</v>
      </c>
      <c r="E16" s="17">
        <f t="shared" si="1"/>
        <v>460300.19008733809</v>
      </c>
      <c r="F16" s="21">
        <f t="shared" si="2"/>
        <v>7.04</v>
      </c>
    </row>
    <row r="17" spans="1:6" x14ac:dyDescent="0.2">
      <c r="A17" s="19">
        <v>13</v>
      </c>
      <c r="B17" s="143" t="s">
        <v>12</v>
      </c>
      <c r="C17" s="144"/>
      <c r="D17" s="14">
        <f t="shared" si="0"/>
        <v>0</v>
      </c>
      <c r="E17" s="17">
        <f t="shared" si="1"/>
        <v>0</v>
      </c>
      <c r="F17" s="21" t="str">
        <f t="shared" si="2"/>
        <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53432</v>
      </c>
      <c r="E20" s="17">
        <f t="shared" si="1"/>
        <v>373871.16111437161</v>
      </c>
      <c r="F20" s="21">
        <f t="shared" si="2"/>
        <v>7</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148409</v>
      </c>
      <c r="E22" s="17">
        <f t="shared" si="1"/>
        <v>699040.08646172285</v>
      </c>
      <c r="F22" s="21">
        <f t="shared" si="2"/>
        <v>4.71</v>
      </c>
    </row>
    <row r="23" spans="1:6" x14ac:dyDescent="0.2">
      <c r="A23" s="19">
        <v>19</v>
      </c>
      <c r="B23" s="143" t="s">
        <v>17</v>
      </c>
      <c r="C23" s="144"/>
      <c r="D23" s="14">
        <f t="shared" si="0"/>
        <v>83476</v>
      </c>
      <c r="E23" s="17">
        <f t="shared" si="1"/>
        <v>463930.55691689037</v>
      </c>
      <c r="F23" s="21">
        <f t="shared" si="2"/>
        <v>5.56</v>
      </c>
    </row>
    <row r="24" spans="1:6" x14ac:dyDescent="0.2">
      <c r="A24" s="19">
        <v>20</v>
      </c>
      <c r="B24" s="143" t="s">
        <v>18</v>
      </c>
      <c r="C24" s="144"/>
      <c r="D24" s="14">
        <f t="shared" si="0"/>
        <v>74676</v>
      </c>
      <c r="E24" s="17">
        <f t="shared" si="1"/>
        <v>366717.34352778888</v>
      </c>
      <c r="F24" s="21">
        <f t="shared" si="2"/>
        <v>4.91</v>
      </c>
    </row>
    <row r="25" spans="1:6" ht="14.25" customHeight="1" x14ac:dyDescent="0.2">
      <c r="A25" s="19">
        <v>21</v>
      </c>
      <c r="B25" s="143" t="s">
        <v>461</v>
      </c>
      <c r="C25" s="144"/>
      <c r="D25" s="14">
        <f t="shared" si="0"/>
        <v>75456</v>
      </c>
      <c r="E25" s="17">
        <f t="shared" si="1"/>
        <v>478414.75335091376</v>
      </c>
      <c r="F25" s="21">
        <f t="shared" si="2"/>
        <v>6.34</v>
      </c>
    </row>
    <row r="26" spans="1:6" x14ac:dyDescent="0.2">
      <c r="A26" s="19">
        <v>22</v>
      </c>
      <c r="B26" s="143" t="s">
        <v>19</v>
      </c>
      <c r="C26" s="144"/>
      <c r="D26" s="14">
        <f t="shared" si="0"/>
        <v>4160</v>
      </c>
      <c r="E26" s="17">
        <f t="shared" si="1"/>
        <v>28646.519056666155</v>
      </c>
      <c r="F26" s="21">
        <f t="shared" si="2"/>
        <v>6.89</v>
      </c>
    </row>
    <row r="27" spans="1:6" x14ac:dyDescent="0.2">
      <c r="A27" s="19">
        <v>23</v>
      </c>
      <c r="B27" s="143" t="s">
        <v>20</v>
      </c>
      <c r="C27" s="144"/>
      <c r="D27" s="14">
        <f t="shared" si="0"/>
        <v>0</v>
      </c>
      <c r="E27" s="17">
        <f t="shared" si="1"/>
        <v>0</v>
      </c>
      <c r="F27" s="21" t="str">
        <f t="shared" si="2"/>
        <v/>
      </c>
    </row>
    <row r="28" spans="1:6" x14ac:dyDescent="0.2">
      <c r="A28" s="19">
        <v>24</v>
      </c>
      <c r="B28" s="143" t="s">
        <v>21</v>
      </c>
      <c r="C28" s="144"/>
      <c r="D28" s="14">
        <f t="shared" si="0"/>
        <v>23888</v>
      </c>
      <c r="E28" s="17">
        <f t="shared" si="1"/>
        <v>85031.82289077912</v>
      </c>
      <c r="F28" s="21">
        <f t="shared" si="2"/>
        <v>3.56</v>
      </c>
    </row>
    <row r="29" spans="1:6" x14ac:dyDescent="0.2">
      <c r="A29" s="19">
        <v>25</v>
      </c>
      <c r="B29" s="143" t="s">
        <v>22</v>
      </c>
      <c r="C29" s="144"/>
      <c r="D29" s="14">
        <f t="shared" si="0"/>
        <v>20204</v>
      </c>
      <c r="E29" s="17">
        <f t="shared" si="1"/>
        <v>104587.30264925072</v>
      </c>
      <c r="F29" s="21">
        <f t="shared" si="2"/>
        <v>5.18</v>
      </c>
    </row>
    <row r="30" spans="1:6" x14ac:dyDescent="0.2">
      <c r="A30" s="19">
        <v>26</v>
      </c>
      <c r="B30" s="143" t="s">
        <v>23</v>
      </c>
      <c r="C30" s="144"/>
      <c r="D30" s="14">
        <f t="shared" si="0"/>
        <v>480</v>
      </c>
      <c r="E30" s="17">
        <f t="shared" si="1"/>
        <v>4127.175275769172</v>
      </c>
      <c r="F30" s="21">
        <f t="shared" si="2"/>
        <v>8.6</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1264282</v>
      </c>
      <c r="E33" s="31">
        <f>SUM(E5:E32)</f>
        <v>7170831</v>
      </c>
      <c r="F33" s="32">
        <f t="shared" si="2"/>
        <v>5.67</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IF(F3="1",SUMIF(Data!A:A,'52'!$A$2,Data!CU:CU),0)</f>
        <v>2304</v>
      </c>
      <c r="E36" s="15">
        <f>IF(F3="1",SUMIF(Data!$A:$A,$A$2,Data!IO:IO),0)</f>
        <v>2052</v>
      </c>
      <c r="F36" s="20">
        <f t="shared" ref="F36:F64" si="3">IF(OR(D36=0,E36=0),"",ROUND(E36/D36,2))</f>
        <v>0.89</v>
      </c>
    </row>
    <row r="37" spans="1:6" x14ac:dyDescent="0.2">
      <c r="A37" s="19">
        <v>2</v>
      </c>
      <c r="B37" s="143" t="s">
        <v>1</v>
      </c>
      <c r="C37" s="144"/>
      <c r="D37" s="14">
        <f>IF(F3="1",SUMIF(Data!A:A,'52'!$A$2,Data!CV:CV),0)</f>
        <v>98915</v>
      </c>
      <c r="E37" s="17">
        <f>IF(F3="1",SUMIF(Data!$A:$A,$A$2,Data!IP:IP),0)</f>
        <v>65817</v>
      </c>
      <c r="F37" s="21">
        <f t="shared" si="3"/>
        <v>0.67</v>
      </c>
    </row>
    <row r="38" spans="1:6" ht="14.25" customHeight="1" x14ac:dyDescent="0.2">
      <c r="A38" s="19">
        <v>3</v>
      </c>
      <c r="B38" s="143" t="s">
        <v>2</v>
      </c>
      <c r="C38" s="144"/>
      <c r="D38" s="14">
        <f>IF(F3="1",SUMIF(Data!A:A,'52'!$A$2,Data!CW:CW),0)</f>
        <v>9720</v>
      </c>
      <c r="E38" s="17">
        <f>IF($F$3="1",SUMIF(Data!$A:$A,$A$2,Data!IQ:IQ),0)</f>
        <v>4223</v>
      </c>
      <c r="F38" s="21">
        <f t="shared" si="3"/>
        <v>0.43</v>
      </c>
    </row>
    <row r="39" spans="1:6" ht="14.25" customHeight="1" x14ac:dyDescent="0.2">
      <c r="A39" s="19">
        <v>4</v>
      </c>
      <c r="B39" s="143" t="s">
        <v>3</v>
      </c>
      <c r="C39" s="144"/>
      <c r="D39" s="14">
        <f>IF(F3="1",SUMIF(Data!A:A,'52'!$A$2,Data!CX:CX),0)</f>
        <v>80102</v>
      </c>
      <c r="E39" s="17">
        <f>IF($F$3="1",SUMIF(Data!$A:$A,$A$2,Data!IR:IR),0)</f>
        <v>35521</v>
      </c>
      <c r="F39" s="21">
        <f t="shared" si="3"/>
        <v>0.44</v>
      </c>
    </row>
    <row r="40" spans="1:6" x14ac:dyDescent="0.2">
      <c r="A40" s="19">
        <v>5</v>
      </c>
      <c r="B40" s="143" t="s">
        <v>4</v>
      </c>
      <c r="C40" s="144"/>
      <c r="D40" s="14">
        <f>IF(F3="1",SUMIF(Data!A:A,'52'!$A$2,Data!CY:CY),0)</f>
        <v>0</v>
      </c>
      <c r="E40" s="17">
        <f>IF($F$3="1",SUMIF(Data!$A:$A,$A$2,Data!IS:IS),0)</f>
        <v>0</v>
      </c>
      <c r="F40" s="21" t="str">
        <f t="shared" si="3"/>
        <v/>
      </c>
    </row>
    <row r="41" spans="1:6" x14ac:dyDescent="0.2">
      <c r="A41" s="19">
        <v>6</v>
      </c>
      <c r="B41" s="143" t="s">
        <v>5</v>
      </c>
      <c r="C41" s="144"/>
      <c r="D41" s="14">
        <f>IF(F3="1",SUMIF(Data!A:A,'52'!$A$2,Data!CZ:CZ),0)</f>
        <v>0</v>
      </c>
      <c r="E41" s="17">
        <f>IF($F$3="1",SUMIF(Data!$A:$A,$A$2,Data!IT:IT),0)</f>
        <v>0</v>
      </c>
      <c r="F41" s="21" t="str">
        <f t="shared" si="3"/>
        <v/>
      </c>
    </row>
    <row r="42" spans="1:6" x14ac:dyDescent="0.2">
      <c r="A42" s="19">
        <v>7</v>
      </c>
      <c r="B42" s="143" t="s">
        <v>6</v>
      </c>
      <c r="C42" s="144"/>
      <c r="D42" s="14">
        <f>IF(F3="1",SUMIF(Data!A:A,'52'!$A$2,Data!DA:DA),0)</f>
        <v>367896</v>
      </c>
      <c r="E42" s="17">
        <f>IF($F$3="1",SUMIF(Data!$A:$A,$A$2,Data!IU:IU),0)</f>
        <v>254985</v>
      </c>
      <c r="F42" s="21">
        <f t="shared" si="3"/>
        <v>0.69</v>
      </c>
    </row>
    <row r="43" spans="1:6" x14ac:dyDescent="0.2">
      <c r="A43" s="19">
        <v>8</v>
      </c>
      <c r="B43" s="143" t="s">
        <v>7</v>
      </c>
      <c r="C43" s="144"/>
      <c r="D43" s="14">
        <f>IF(F3="1",SUMIF(Data!A:A,'52'!$A$2,Data!DB:DB),0)</f>
        <v>3300</v>
      </c>
      <c r="E43" s="17">
        <f>IF($F$3="1",SUMIF(Data!$A:$A,$A$2,Data!IV:IV),0)</f>
        <v>5732</v>
      </c>
      <c r="F43" s="21">
        <f t="shared" si="3"/>
        <v>1.74</v>
      </c>
    </row>
    <row r="44" spans="1:6" x14ac:dyDescent="0.2">
      <c r="A44" s="19">
        <v>9</v>
      </c>
      <c r="B44" s="143" t="s">
        <v>8</v>
      </c>
      <c r="C44" s="144"/>
      <c r="D44" s="14">
        <f>IF(F3="1",SUMIF(Data!A:A,'52'!$A$2,Data!DC:DC),0)</f>
        <v>0</v>
      </c>
      <c r="E44" s="17">
        <f>IF($F$3="1",SUMIF(Data!$A:$A,$A$2,Data!IW:IW),0)</f>
        <v>0</v>
      </c>
      <c r="F44" s="21" t="str">
        <f t="shared" si="3"/>
        <v/>
      </c>
    </row>
    <row r="45" spans="1:6" x14ac:dyDescent="0.2">
      <c r="A45" s="19">
        <v>10</v>
      </c>
      <c r="B45" s="143" t="s">
        <v>9</v>
      </c>
      <c r="C45" s="144"/>
      <c r="D45" s="14">
        <f>IF(F3="1",SUMIF(Data!A:A,'52'!$A$2,Data!DD:DD),0)</f>
        <v>0</v>
      </c>
      <c r="E45" s="17">
        <f>IF($F$3="1",SUMIF(Data!$A:$A,$A$2,Data!IX:IX),0)</f>
        <v>0</v>
      </c>
      <c r="F45" s="21" t="str">
        <f t="shared" si="3"/>
        <v/>
      </c>
    </row>
    <row r="46" spans="1:6" x14ac:dyDescent="0.2">
      <c r="A46" s="19">
        <v>11</v>
      </c>
      <c r="B46" s="143" t="s">
        <v>10</v>
      </c>
      <c r="C46" s="144"/>
      <c r="D46" s="14">
        <f>IF(F3="1",SUMIF(Data!A:A,'52'!$A$2,Data!DE:DE),0)</f>
        <v>152440</v>
      </c>
      <c r="E46" s="17">
        <f>IF($F$3="1",SUMIF(Data!$A:$A,$A$2,Data!IY:IY),0)</f>
        <v>152011</v>
      </c>
      <c r="F46" s="21">
        <f t="shared" si="3"/>
        <v>1</v>
      </c>
    </row>
    <row r="47" spans="1:6" ht="14.25" customHeight="1" x14ac:dyDescent="0.2">
      <c r="A47" s="19">
        <v>12</v>
      </c>
      <c r="B47" s="143" t="s">
        <v>11</v>
      </c>
      <c r="C47" s="144"/>
      <c r="D47" s="14">
        <f>IF(F3="1",SUMIF(Data!A:A,'52'!$A$2,Data!DF:DF),0)</f>
        <v>65424</v>
      </c>
      <c r="E47" s="17">
        <f>IF($F$3="1",SUMIF(Data!$A:$A,$A$2,Data!IZ:IZ),0)</f>
        <v>24252</v>
      </c>
      <c r="F47" s="21">
        <f t="shared" si="3"/>
        <v>0.37</v>
      </c>
    </row>
    <row r="48" spans="1:6" x14ac:dyDescent="0.2">
      <c r="A48" s="19">
        <v>13</v>
      </c>
      <c r="B48" s="143" t="s">
        <v>12</v>
      </c>
      <c r="C48" s="144"/>
      <c r="D48" s="14">
        <f>IF(F3="1",SUMIF(Data!A:A,'52'!$A$2,Data!DG:DG),0)</f>
        <v>0</v>
      </c>
      <c r="E48" s="17">
        <f>IF($F$3="1",SUMIF(Data!$A:$A,$A$2,Data!JA:JA),0)</f>
        <v>0</v>
      </c>
      <c r="F48" s="21" t="str">
        <f t="shared" si="3"/>
        <v/>
      </c>
    </row>
    <row r="49" spans="1:6" ht="14.25" customHeight="1" x14ac:dyDescent="0.2">
      <c r="A49" s="19">
        <v>14</v>
      </c>
      <c r="B49" s="143" t="s">
        <v>464</v>
      </c>
      <c r="C49" s="144"/>
      <c r="D49" s="14">
        <f>IF(F3="1",SUMIF(Data!A:A,'52'!$A$2,Data!DH:DH),0)</f>
        <v>0</v>
      </c>
      <c r="E49" s="17">
        <f>IF($F$3="1",SUMIF(Data!$A:$A,$A$2,Data!JB:JB),0)</f>
        <v>0</v>
      </c>
      <c r="F49" s="21" t="str">
        <f t="shared" si="3"/>
        <v/>
      </c>
    </row>
    <row r="50" spans="1:6" x14ac:dyDescent="0.2">
      <c r="A50" s="19">
        <v>15</v>
      </c>
      <c r="B50" s="143" t="s">
        <v>13</v>
      </c>
      <c r="C50" s="144"/>
      <c r="D50" s="14">
        <f>IF(F3="1",SUMIF(Data!A:A,'52'!$A$2,Data!DI:DI),0)</f>
        <v>0</v>
      </c>
      <c r="E50" s="17">
        <f>IF($F$3="1",SUMIF(Data!$A:$A,$A$2,Data!JC:JC),0)</f>
        <v>0</v>
      </c>
      <c r="F50" s="21" t="str">
        <f t="shared" si="3"/>
        <v/>
      </c>
    </row>
    <row r="51" spans="1:6" x14ac:dyDescent="0.2">
      <c r="A51" s="19">
        <v>16</v>
      </c>
      <c r="B51" s="143" t="s">
        <v>14</v>
      </c>
      <c r="C51" s="144"/>
      <c r="D51" s="14">
        <f>IF(F3="1",SUMIF(Data!A:A,'52'!$A$2,Data!DJ:DJ),0)</f>
        <v>53432</v>
      </c>
      <c r="E51" s="17">
        <f>IF($F$3="1",SUMIF(Data!$A:$A,$A$2,Data!JD:JD),0)</f>
        <v>51461</v>
      </c>
      <c r="F51" s="21">
        <f t="shared" si="3"/>
        <v>0.96</v>
      </c>
    </row>
    <row r="52" spans="1:6" x14ac:dyDescent="0.2">
      <c r="A52" s="19">
        <v>17</v>
      </c>
      <c r="B52" s="143" t="s">
        <v>15</v>
      </c>
      <c r="C52" s="144"/>
      <c r="D52" s="14">
        <f>IF(F3="1",SUMIF(Data!A:A,'52'!$A$2,Data!DK:DK),0)</f>
        <v>0</v>
      </c>
      <c r="E52" s="17">
        <f>IF($F$3="1",SUMIF(Data!$A:$A,$A$2,Data!JE:JE),0)</f>
        <v>0</v>
      </c>
      <c r="F52" s="21" t="str">
        <f t="shared" si="3"/>
        <v/>
      </c>
    </row>
    <row r="53" spans="1:6" x14ac:dyDescent="0.2">
      <c r="A53" s="19">
        <v>18</v>
      </c>
      <c r="B53" s="143" t="s">
        <v>16</v>
      </c>
      <c r="C53" s="144"/>
      <c r="D53" s="14">
        <f>IF(F3="1",SUMIF(Data!A:A,'52'!$A$2,Data!DL:DL),0)</f>
        <v>148409</v>
      </c>
      <c r="E53" s="17">
        <f>IF($F$3="1",SUMIF(Data!$A:$A,$A$2,Data!JF:JF),0)</f>
        <v>54633</v>
      </c>
      <c r="F53" s="21">
        <f t="shared" si="3"/>
        <v>0.37</v>
      </c>
    </row>
    <row r="54" spans="1:6" x14ac:dyDescent="0.2">
      <c r="A54" s="19">
        <v>19</v>
      </c>
      <c r="B54" s="143" t="s">
        <v>17</v>
      </c>
      <c r="C54" s="144"/>
      <c r="D54" s="14">
        <f>IF(F3="1",SUMIF(Data!A:A,'52'!$A$2,Data!DM:DM),0)</f>
        <v>83476</v>
      </c>
      <c r="E54" s="17">
        <f>IF($F$3="1",SUMIF(Data!$A:$A,$A$2,Data!JG:JG),0)</f>
        <v>35064</v>
      </c>
      <c r="F54" s="21">
        <f t="shared" si="3"/>
        <v>0.42</v>
      </c>
    </row>
    <row r="55" spans="1:6" x14ac:dyDescent="0.2">
      <c r="A55" s="19">
        <v>20</v>
      </c>
      <c r="B55" s="143" t="s">
        <v>18</v>
      </c>
      <c r="C55" s="144"/>
      <c r="D55" s="14">
        <f>IF(F3="1",SUMIF(Data!A:A,'52'!$A$2,Data!DN:DN),0)</f>
        <v>74676</v>
      </c>
      <c r="E55" s="17">
        <f>IF($F$3="1",SUMIF(Data!$A:$A,$A$2,Data!JH:JH),0)</f>
        <v>55927</v>
      </c>
      <c r="F55" s="21">
        <f t="shared" si="3"/>
        <v>0.75</v>
      </c>
    </row>
    <row r="56" spans="1:6" ht="14.25" customHeight="1" x14ac:dyDescent="0.2">
      <c r="A56" s="19">
        <v>21</v>
      </c>
      <c r="B56" s="143" t="s">
        <v>461</v>
      </c>
      <c r="C56" s="144"/>
      <c r="D56" s="14">
        <f>IF(F3="1",SUMIF(Data!A:A,'52'!$A$2,Data!DO:DO),0)</f>
        <v>75456</v>
      </c>
      <c r="E56" s="17">
        <f>IF($F$3="1",SUMIF(Data!$A:$A,$A$2,Data!JI:JI),0)</f>
        <v>75470</v>
      </c>
      <c r="F56" s="21">
        <f t="shared" si="3"/>
        <v>1</v>
      </c>
    </row>
    <row r="57" spans="1:6" x14ac:dyDescent="0.2">
      <c r="A57" s="19">
        <v>22</v>
      </c>
      <c r="B57" s="143" t="s">
        <v>19</v>
      </c>
      <c r="C57" s="144"/>
      <c r="D57" s="14">
        <f>IF(F3="1",SUMIF(Data!A:A,'52'!$A$2,Data!DP:DP),0)</f>
        <v>4160</v>
      </c>
      <c r="E57" s="17">
        <f>IF($F$3="1",SUMIF(Data!$A:$A,$A$2,Data!JJ:JJ),0)</f>
        <v>5743</v>
      </c>
      <c r="F57" s="21">
        <f t="shared" si="3"/>
        <v>1.38</v>
      </c>
    </row>
    <row r="58" spans="1:6" x14ac:dyDescent="0.2">
      <c r="A58" s="19">
        <v>23</v>
      </c>
      <c r="B58" s="143" t="s">
        <v>20</v>
      </c>
      <c r="C58" s="144"/>
      <c r="D58" s="14">
        <f>IF(F3="1",SUMIF(Data!A:A,'52'!$A$2,Data!DQ:DQ),0)</f>
        <v>0</v>
      </c>
      <c r="E58" s="17">
        <f>IF($F$3="1",SUMIF(Data!$A:$A,$A$2,Data!JK:JK),0)</f>
        <v>0</v>
      </c>
      <c r="F58" s="21" t="str">
        <f t="shared" si="3"/>
        <v/>
      </c>
    </row>
    <row r="59" spans="1:6" x14ac:dyDescent="0.2">
      <c r="A59" s="19">
        <v>24</v>
      </c>
      <c r="B59" s="143" t="s">
        <v>21</v>
      </c>
      <c r="C59" s="144"/>
      <c r="D59" s="14">
        <f>IF(F3="1",SUMIF(Data!A:A,'52'!$A$2,Data!DR:DR),0)</f>
        <v>23888</v>
      </c>
      <c r="E59" s="17">
        <f>IF($F$3="1",SUMIF(Data!$A:$A,$A$2,Data!JL:JL),0)</f>
        <v>9202</v>
      </c>
      <c r="F59" s="21">
        <f t="shared" si="3"/>
        <v>0.39</v>
      </c>
    </row>
    <row r="60" spans="1:6" x14ac:dyDescent="0.2">
      <c r="A60" s="19">
        <v>25</v>
      </c>
      <c r="B60" s="143" t="s">
        <v>22</v>
      </c>
      <c r="C60" s="144"/>
      <c r="D60" s="14">
        <f>IF(F3="1",SUMIF(Data!A:A,'52'!$A$2,Data!DS:DS),0)</f>
        <v>20204</v>
      </c>
      <c r="E60" s="17">
        <f>IF($F$3="1",SUMIF(Data!$A:$A,$A$2,Data!JM:JM),0)</f>
        <v>4798</v>
      </c>
      <c r="F60" s="21">
        <f t="shared" si="3"/>
        <v>0.24</v>
      </c>
    </row>
    <row r="61" spans="1:6" x14ac:dyDescent="0.2">
      <c r="A61" s="19">
        <v>26</v>
      </c>
      <c r="B61" s="143" t="s">
        <v>23</v>
      </c>
      <c r="C61" s="144"/>
      <c r="D61" s="14">
        <f>IF(F3="1",SUMIF(Data!A:A,'52'!$A$2,Data!DT:DT),0)</f>
        <v>480</v>
      </c>
      <c r="E61" s="17">
        <f>IF($F$3="1",SUMIF(Data!$A:$A,$A$2,Data!JN:JN),0)</f>
        <v>834</v>
      </c>
      <c r="F61" s="21">
        <f t="shared" si="3"/>
        <v>1.74</v>
      </c>
    </row>
    <row r="62" spans="1:6" x14ac:dyDescent="0.2">
      <c r="A62" s="19">
        <v>28</v>
      </c>
      <c r="B62" s="143" t="s">
        <v>24</v>
      </c>
      <c r="C62" s="144"/>
      <c r="D62" s="14">
        <f>IF(F3="1",SUMIF(Data!A:A,'52'!$A$2,Data!DV:DV),0)</f>
        <v>0</v>
      </c>
      <c r="E62" s="17">
        <f>IF($F$3="1",SUMIF(Data!$A:$A,$A$2,Data!JP:JP),0)</f>
        <v>0</v>
      </c>
      <c r="F62" s="21" t="str">
        <f t="shared" si="3"/>
        <v/>
      </c>
    </row>
    <row r="63" spans="1:6" ht="15.75" customHeight="1" thickBot="1" x14ac:dyDescent="0.25">
      <c r="A63" s="22">
        <v>29</v>
      </c>
      <c r="B63" s="147" t="s">
        <v>25</v>
      </c>
      <c r="C63" s="148"/>
      <c r="D63" s="23">
        <f>IF(F3="1",SUMIF(Data!A:A,'52'!$A$2,Data!DW:DW),0)</f>
        <v>0</v>
      </c>
      <c r="E63" s="24">
        <f>IF($F$3="1",SUMIF(Data!$A:$A,$A$2,Data!JQ:JQ),0)</f>
        <v>0</v>
      </c>
      <c r="F63" s="25" t="str">
        <f t="shared" si="3"/>
        <v/>
      </c>
    </row>
    <row r="64" spans="1:6" x14ac:dyDescent="0.2">
      <c r="B64" s="30" t="s">
        <v>35</v>
      </c>
      <c r="C64" s="30"/>
      <c r="D64" s="59">
        <f>SUM(D36:D63)</f>
        <v>1264282</v>
      </c>
      <c r="E64" s="31">
        <f>SUM(E36:E63)</f>
        <v>837725</v>
      </c>
      <c r="F64" s="32">
        <f t="shared" si="3"/>
        <v>0.66</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2304</v>
      </c>
      <c r="E67" s="15">
        <f>IF(F3="1",SUMIF(Data!A:A,'52'!$A$2,Data!DY:DY),0)</f>
        <v>7500</v>
      </c>
      <c r="F67" s="20">
        <f t="shared" ref="F67:F95" si="4">IF(OR(D67=0,E67=0),"",ROUND(E67/D67,2))</f>
        <v>3.26</v>
      </c>
    </row>
    <row r="68" spans="1:6" x14ac:dyDescent="0.2">
      <c r="A68" s="19">
        <v>2</v>
      </c>
      <c r="B68" s="143" t="s">
        <v>1</v>
      </c>
      <c r="C68" s="144"/>
      <c r="D68" s="14">
        <f t="shared" ref="D68:D94" si="5">D37</f>
        <v>98915</v>
      </c>
      <c r="E68" s="17">
        <f>IF(F3="1",SUMIF(Data!A:A,'52'!$A$2,Data!DZ:DZ),0)</f>
        <v>268710</v>
      </c>
      <c r="F68" s="21">
        <f t="shared" si="4"/>
        <v>2.72</v>
      </c>
    </row>
    <row r="69" spans="1:6" ht="14.25" customHeight="1" x14ac:dyDescent="0.2">
      <c r="A69" s="19">
        <v>3</v>
      </c>
      <c r="B69" s="143" t="s">
        <v>2</v>
      </c>
      <c r="C69" s="144"/>
      <c r="D69" s="14">
        <f t="shared" si="5"/>
        <v>9720</v>
      </c>
      <c r="E69" s="17">
        <f>IF(F3="1",SUMIF(Data!A:A,'52'!$A$2,Data!EA:EA),0)</f>
        <v>29318</v>
      </c>
      <c r="F69" s="21">
        <f t="shared" si="4"/>
        <v>3.02</v>
      </c>
    </row>
    <row r="70" spans="1:6" ht="14.25" customHeight="1" x14ac:dyDescent="0.2">
      <c r="A70" s="19">
        <v>4</v>
      </c>
      <c r="B70" s="143" t="s">
        <v>3</v>
      </c>
      <c r="C70" s="144"/>
      <c r="D70" s="14">
        <f t="shared" si="5"/>
        <v>80102</v>
      </c>
      <c r="E70" s="17">
        <f>IF(F3="1",SUMIF(Data!A:A,'52'!$A$2,Data!EB:EB),0)</f>
        <v>310263</v>
      </c>
      <c r="F70" s="21">
        <f t="shared" si="4"/>
        <v>3.87</v>
      </c>
    </row>
    <row r="71" spans="1:6" x14ac:dyDescent="0.2">
      <c r="A71" s="19">
        <v>5</v>
      </c>
      <c r="B71" s="143" t="s">
        <v>4</v>
      </c>
      <c r="C71" s="144"/>
      <c r="D71" s="14">
        <f t="shared" si="5"/>
        <v>0</v>
      </c>
      <c r="E71" s="17">
        <f>IF(F3="1",SUMIF(Data!A:A,'52'!$A$2,Data!EC:EC),0)</f>
        <v>0</v>
      </c>
      <c r="F71" s="21" t="str">
        <f t="shared" si="4"/>
        <v/>
      </c>
    </row>
    <row r="72" spans="1:6" x14ac:dyDescent="0.2">
      <c r="A72" s="19">
        <v>6</v>
      </c>
      <c r="B72" s="143" t="s">
        <v>5</v>
      </c>
      <c r="C72" s="144"/>
      <c r="D72" s="14">
        <f t="shared" si="5"/>
        <v>0</v>
      </c>
      <c r="E72" s="17">
        <f>IF(F3="1",SUMIF(Data!A:A,'52'!$A$2,Data!ED:ED),0)</f>
        <v>0</v>
      </c>
      <c r="F72" s="21" t="str">
        <f t="shared" si="4"/>
        <v/>
      </c>
    </row>
    <row r="73" spans="1:6" x14ac:dyDescent="0.2">
      <c r="A73" s="19">
        <v>7</v>
      </c>
      <c r="B73" s="143" t="s">
        <v>6</v>
      </c>
      <c r="C73" s="144"/>
      <c r="D73" s="14">
        <f t="shared" si="5"/>
        <v>367896</v>
      </c>
      <c r="E73" s="17">
        <f>IF(F3="1",SUMIF(Data!A:A,'52'!$A$2,Data!EE:EE),0)</f>
        <v>805665</v>
      </c>
      <c r="F73" s="21">
        <f t="shared" si="4"/>
        <v>2.19</v>
      </c>
    </row>
    <row r="74" spans="1:6" x14ac:dyDescent="0.2">
      <c r="A74" s="19">
        <v>8</v>
      </c>
      <c r="B74" s="143" t="s">
        <v>7</v>
      </c>
      <c r="C74" s="144"/>
      <c r="D74" s="14">
        <f t="shared" si="5"/>
        <v>3300</v>
      </c>
      <c r="E74" s="17">
        <f>IF(F3="1",SUMIF(Data!A:A,'52'!$A$2,Data!EF:EF),0)</f>
        <v>15892</v>
      </c>
      <c r="F74" s="21">
        <f t="shared" si="4"/>
        <v>4.82</v>
      </c>
    </row>
    <row r="75" spans="1:6" x14ac:dyDescent="0.2">
      <c r="A75" s="19">
        <v>9</v>
      </c>
      <c r="B75" s="143" t="s">
        <v>8</v>
      </c>
      <c r="C75" s="144"/>
      <c r="D75" s="14">
        <f t="shared" si="5"/>
        <v>0</v>
      </c>
      <c r="E75" s="17">
        <f>IF(F3="1",SUMIF(Data!A:A,'52'!$A$2,Data!EG:EG),0)</f>
        <v>0</v>
      </c>
      <c r="F75" s="21" t="str">
        <f t="shared" si="4"/>
        <v/>
      </c>
    </row>
    <row r="76" spans="1:6" x14ac:dyDescent="0.2">
      <c r="A76" s="19">
        <v>10</v>
      </c>
      <c r="B76" s="143" t="s">
        <v>9</v>
      </c>
      <c r="C76" s="144"/>
      <c r="D76" s="14">
        <f t="shared" si="5"/>
        <v>0</v>
      </c>
      <c r="E76" s="17">
        <f>IF(F3="1",SUMIF(Data!A:A,'52'!$A$2,Data!EH:EH),0)</f>
        <v>0</v>
      </c>
      <c r="F76" s="21" t="str">
        <f t="shared" si="4"/>
        <v/>
      </c>
    </row>
    <row r="77" spans="1:6" x14ac:dyDescent="0.2">
      <c r="A77" s="19">
        <v>11</v>
      </c>
      <c r="B77" s="143" t="s">
        <v>10</v>
      </c>
      <c r="C77" s="144"/>
      <c r="D77" s="14">
        <f t="shared" si="5"/>
        <v>152440</v>
      </c>
      <c r="E77" s="17">
        <f>IF(F3="1",SUMIF(Data!A:A,'52'!$A$2,Data!EI:EI),0)</f>
        <v>687593</v>
      </c>
      <c r="F77" s="21">
        <f t="shared" si="4"/>
        <v>4.51</v>
      </c>
    </row>
    <row r="78" spans="1:6" ht="14.25" customHeight="1" x14ac:dyDescent="0.2">
      <c r="A78" s="19">
        <v>12</v>
      </c>
      <c r="B78" s="143" t="s">
        <v>11</v>
      </c>
      <c r="C78" s="144"/>
      <c r="D78" s="14">
        <f t="shared" si="5"/>
        <v>65424</v>
      </c>
      <c r="E78" s="17">
        <f>IF(F3="1",SUMIF(Data!A:A,'52'!$A$2,Data!EJ:EJ),0)</f>
        <v>302314</v>
      </c>
      <c r="F78" s="21">
        <f t="shared" si="4"/>
        <v>4.62</v>
      </c>
    </row>
    <row r="79" spans="1:6" x14ac:dyDescent="0.2">
      <c r="A79" s="19">
        <v>13</v>
      </c>
      <c r="B79" s="143" t="s">
        <v>12</v>
      </c>
      <c r="C79" s="144"/>
      <c r="D79" s="14">
        <f t="shared" si="5"/>
        <v>0</v>
      </c>
      <c r="E79" s="17">
        <f>IF(F3="1",SUMIF(Data!A:A,'52'!$A$2,Data!EK:EK),0)</f>
        <v>0</v>
      </c>
      <c r="F79" s="21" t="str">
        <f t="shared" si="4"/>
        <v/>
      </c>
    </row>
    <row r="80" spans="1:6" ht="14.25" customHeight="1" x14ac:dyDescent="0.2">
      <c r="A80" s="19">
        <v>14</v>
      </c>
      <c r="B80" s="143" t="s">
        <v>464</v>
      </c>
      <c r="C80" s="144"/>
      <c r="D80" s="14">
        <f t="shared" si="5"/>
        <v>0</v>
      </c>
      <c r="E80" s="17">
        <f>IF(F3="1",SUMIF(Data!A:A,'52'!$A$2,Data!EL:EL),0)</f>
        <v>0</v>
      </c>
      <c r="F80" s="21" t="str">
        <f t="shared" si="4"/>
        <v/>
      </c>
    </row>
    <row r="81" spans="1:6" x14ac:dyDescent="0.2">
      <c r="A81" s="19">
        <v>15</v>
      </c>
      <c r="B81" s="143" t="s">
        <v>13</v>
      </c>
      <c r="C81" s="144"/>
      <c r="D81" s="14">
        <f t="shared" si="5"/>
        <v>0</v>
      </c>
      <c r="E81" s="17">
        <f>IF(F3="1",SUMIF(Data!A:A,'52'!$A$2,Data!EM:EM),0)</f>
        <v>0</v>
      </c>
      <c r="F81" s="21" t="str">
        <f t="shared" si="4"/>
        <v/>
      </c>
    </row>
    <row r="82" spans="1:6" x14ac:dyDescent="0.2">
      <c r="A82" s="19">
        <v>16</v>
      </c>
      <c r="B82" s="143" t="s">
        <v>14</v>
      </c>
      <c r="C82" s="144"/>
      <c r="D82" s="14">
        <f t="shared" si="5"/>
        <v>53432</v>
      </c>
      <c r="E82" s="17">
        <f>IF(F3="1",SUMIF(Data!A:A,'52'!$A$2,Data!EN:EN),0)</f>
        <v>213189</v>
      </c>
      <c r="F82" s="21">
        <f t="shared" si="4"/>
        <v>3.99</v>
      </c>
    </row>
    <row r="83" spans="1:6" x14ac:dyDescent="0.2">
      <c r="A83" s="19">
        <v>17</v>
      </c>
      <c r="B83" s="143" t="s">
        <v>15</v>
      </c>
      <c r="C83" s="144"/>
      <c r="D83" s="14">
        <f t="shared" si="5"/>
        <v>0</v>
      </c>
      <c r="E83" s="17">
        <f>IF(F3="1",SUMIF(Data!A:A,'52'!$A$2,Data!EO:EO),0)</f>
        <v>0</v>
      </c>
      <c r="F83" s="21" t="str">
        <f t="shared" si="4"/>
        <v/>
      </c>
    </row>
    <row r="84" spans="1:6" x14ac:dyDescent="0.2">
      <c r="A84" s="19">
        <v>18</v>
      </c>
      <c r="B84" s="143" t="s">
        <v>16</v>
      </c>
      <c r="C84" s="144"/>
      <c r="D84" s="14">
        <f t="shared" si="5"/>
        <v>148409</v>
      </c>
      <c r="E84" s="17">
        <f>IF(F3="1",SUMIF(Data!A:A,'52'!$A$2,Data!EP:EP),0)</f>
        <v>341042</v>
      </c>
      <c r="F84" s="21">
        <f t="shared" si="4"/>
        <v>2.2999999999999998</v>
      </c>
    </row>
    <row r="85" spans="1:6" x14ac:dyDescent="0.2">
      <c r="A85" s="19">
        <v>19</v>
      </c>
      <c r="B85" s="143" t="s">
        <v>17</v>
      </c>
      <c r="C85" s="144"/>
      <c r="D85" s="14">
        <f t="shared" si="5"/>
        <v>83476</v>
      </c>
      <c r="E85" s="17">
        <f>IF(F3="1",SUMIF(Data!A:A,'52'!$A$2,Data!EQ:EQ),0)</f>
        <v>258232</v>
      </c>
      <c r="F85" s="21">
        <f t="shared" si="4"/>
        <v>3.09</v>
      </c>
    </row>
    <row r="86" spans="1:6" x14ac:dyDescent="0.2">
      <c r="A86" s="19">
        <v>20</v>
      </c>
      <c r="B86" s="143" t="s">
        <v>18</v>
      </c>
      <c r="C86" s="144"/>
      <c r="D86" s="14">
        <f t="shared" si="5"/>
        <v>74676</v>
      </c>
      <c r="E86" s="17">
        <f>IF(F3="1",SUMIF(Data!A:A,'52'!$A$2,Data!ER:ER),0)</f>
        <v>158144</v>
      </c>
      <c r="F86" s="21">
        <f t="shared" si="4"/>
        <v>2.12</v>
      </c>
    </row>
    <row r="87" spans="1:6" ht="14.25" customHeight="1" x14ac:dyDescent="0.2">
      <c r="A87" s="19">
        <v>21</v>
      </c>
      <c r="B87" s="143" t="s">
        <v>461</v>
      </c>
      <c r="C87" s="144"/>
      <c r="D87" s="14">
        <f t="shared" si="5"/>
        <v>75456</v>
      </c>
      <c r="E87" s="17">
        <f>IF(F3="1",SUMIF(Data!A:A,'52'!$A$2,Data!ES:ES),0)</f>
        <v>248704</v>
      </c>
      <c r="F87" s="21">
        <f t="shared" si="4"/>
        <v>3.3</v>
      </c>
    </row>
    <row r="88" spans="1:6" x14ac:dyDescent="0.2">
      <c r="A88" s="19">
        <v>22</v>
      </c>
      <c r="B88" s="143" t="s">
        <v>19</v>
      </c>
      <c r="C88" s="144"/>
      <c r="D88" s="14">
        <f t="shared" si="5"/>
        <v>4160</v>
      </c>
      <c r="E88" s="17">
        <f>IF(F3="1",SUMIF(Data!A:A,'52'!$A$2,Data!ET:ET),0)</f>
        <v>14400</v>
      </c>
      <c r="F88" s="21">
        <f t="shared" si="4"/>
        <v>3.46</v>
      </c>
    </row>
    <row r="89" spans="1:6" x14ac:dyDescent="0.2">
      <c r="A89" s="19">
        <v>23</v>
      </c>
      <c r="B89" s="143" t="s">
        <v>20</v>
      </c>
      <c r="C89" s="144"/>
      <c r="D89" s="14">
        <f t="shared" si="5"/>
        <v>0</v>
      </c>
      <c r="E89" s="17">
        <f>IF(F3="1",SUMIF(Data!A:A,'52'!$A$2,Data!EU:EU),0)</f>
        <v>0</v>
      </c>
      <c r="F89" s="21" t="str">
        <f t="shared" si="4"/>
        <v/>
      </c>
    </row>
    <row r="90" spans="1:6" x14ac:dyDescent="0.2">
      <c r="A90" s="19">
        <v>24</v>
      </c>
      <c r="B90" s="143" t="s">
        <v>21</v>
      </c>
      <c r="C90" s="144"/>
      <c r="D90" s="14">
        <f t="shared" si="5"/>
        <v>23888</v>
      </c>
      <c r="E90" s="17">
        <f>IF(F3="1",SUMIF(Data!A:A,'52'!$A$2,Data!EV:EV),0)</f>
        <v>27000</v>
      </c>
      <c r="F90" s="21">
        <f t="shared" si="4"/>
        <v>1.1299999999999999</v>
      </c>
    </row>
    <row r="91" spans="1:6" x14ac:dyDescent="0.2">
      <c r="A91" s="19">
        <v>25</v>
      </c>
      <c r="B91" s="143" t="s">
        <v>22</v>
      </c>
      <c r="C91" s="144"/>
      <c r="D91" s="14">
        <f t="shared" si="5"/>
        <v>20204</v>
      </c>
      <c r="E91" s="17">
        <f>IF(F3="1",SUMIF(Data!A:A,'52'!$A$2,Data!EW:EW),0)</f>
        <v>58490</v>
      </c>
      <c r="F91" s="21">
        <f t="shared" si="4"/>
        <v>2.89</v>
      </c>
    </row>
    <row r="92" spans="1:6" x14ac:dyDescent="0.2">
      <c r="A92" s="19">
        <v>26</v>
      </c>
      <c r="B92" s="143" t="s">
        <v>23</v>
      </c>
      <c r="C92" s="144"/>
      <c r="D92" s="14">
        <f t="shared" si="5"/>
        <v>480</v>
      </c>
      <c r="E92" s="17">
        <f>IF(F3="1",SUMIF(Data!A:A,'52'!$A$2,Data!EX:EX),0)</f>
        <v>2312</v>
      </c>
      <c r="F92" s="21">
        <f t="shared" si="4"/>
        <v>4.82</v>
      </c>
    </row>
    <row r="93" spans="1:6" x14ac:dyDescent="0.2">
      <c r="A93" s="19">
        <v>28</v>
      </c>
      <c r="B93" s="143" t="s">
        <v>24</v>
      </c>
      <c r="C93" s="144"/>
      <c r="D93" s="14">
        <f t="shared" si="5"/>
        <v>0</v>
      </c>
      <c r="E93" s="17">
        <f>IF(F3="1",SUMIF(Data!A:A,'52'!$A$2,Data!EZ:EZ),0)</f>
        <v>0</v>
      </c>
      <c r="F93" s="21" t="str">
        <f t="shared" si="4"/>
        <v/>
      </c>
    </row>
    <row r="94" spans="1:6" ht="15.75" customHeight="1" thickBot="1" x14ac:dyDescent="0.25">
      <c r="A94" s="22">
        <v>29</v>
      </c>
      <c r="B94" s="147" t="s">
        <v>25</v>
      </c>
      <c r="C94" s="148"/>
      <c r="D94" s="23">
        <f t="shared" si="5"/>
        <v>0</v>
      </c>
      <c r="E94" s="24">
        <f>IF(F3="1",SUMIF(Data!A:A,'52'!$A$2,Data!FA:FA),0)</f>
        <v>0</v>
      </c>
      <c r="F94" s="25" t="str">
        <f t="shared" si="4"/>
        <v/>
      </c>
    </row>
    <row r="95" spans="1:6" x14ac:dyDescent="0.2">
      <c r="B95" s="30" t="s">
        <v>35</v>
      </c>
      <c r="C95" s="30"/>
      <c r="D95" s="59">
        <f>SUM(D67:D94)</f>
        <v>1264282</v>
      </c>
      <c r="E95" s="31">
        <f>SUM(E67:E94)</f>
        <v>3748768</v>
      </c>
      <c r="F95" s="32">
        <f t="shared" si="4"/>
        <v>2.97</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IF(F3="1",SUMIF(Data!A:A,'52'!$A$2,Data!AH:AH),0)</f>
        <v>1500392</v>
      </c>
      <c r="F98" s="20">
        <f>IF(OR(E98=0,E98=0),"",ROUND(E98/$D$105,2))</f>
        <v>1.19</v>
      </c>
    </row>
    <row r="99" spans="2:6" x14ac:dyDescent="0.2">
      <c r="B99" s="153" t="s">
        <v>31</v>
      </c>
      <c r="C99" s="154"/>
      <c r="D99" s="36"/>
      <c r="E99" s="17">
        <f>IF(F3="1",SUMIF(Data!A:A,'52'!$A$2,Data!AI:AI),0)</f>
        <v>579906</v>
      </c>
      <c r="F99" s="21">
        <f t="shared" ref="F99:F104" si="6">IF(OR(E99=0,E99=0),"",ROUND(E99/$D$105,2))</f>
        <v>0.46</v>
      </c>
    </row>
    <row r="100" spans="2:6" x14ac:dyDescent="0.2">
      <c r="B100" s="153" t="s">
        <v>1078</v>
      </c>
      <c r="C100" s="154"/>
      <c r="D100" s="36"/>
      <c r="E100" s="17">
        <f>IF(F3="1",SUMIF(Data!A:A,'52'!$A$2,Data!AJ:AJ),0)</f>
        <v>156760</v>
      </c>
      <c r="F100" s="21">
        <f t="shared" si="6"/>
        <v>0.12</v>
      </c>
    </row>
    <row r="101" spans="2:6" x14ac:dyDescent="0.2">
      <c r="B101" s="153" t="s">
        <v>1079</v>
      </c>
      <c r="C101" s="154"/>
      <c r="D101" s="36"/>
      <c r="E101" s="17">
        <f>IF(F3="1",SUMIF(Data!A:A,'52'!$A$2,Data!AK:AK),0)</f>
        <v>92303</v>
      </c>
      <c r="F101" s="21">
        <f t="shared" si="6"/>
        <v>7.0000000000000007E-2</v>
      </c>
    </row>
    <row r="102" spans="2:6" x14ac:dyDescent="0.2">
      <c r="B102" s="153" t="s">
        <v>1080</v>
      </c>
      <c r="C102" s="154"/>
      <c r="D102" s="36"/>
      <c r="E102" s="17">
        <f>IF(F3="1",SUMIF(Data!A:A,'52'!$A$2,Data!AL:AL),0)</f>
        <v>0</v>
      </c>
      <c r="F102" s="21" t="str">
        <f t="shared" si="6"/>
        <v/>
      </c>
    </row>
    <row r="103" spans="2:6" x14ac:dyDescent="0.2">
      <c r="B103" s="155" t="s">
        <v>34</v>
      </c>
      <c r="C103" s="156"/>
      <c r="D103" s="36"/>
      <c r="E103" s="17">
        <f>IF(F3="1",SUMIF(Data!A:A,'52'!$A$2,Data!AM:AM),0)</f>
        <v>0</v>
      </c>
      <c r="F103" s="21" t="str">
        <f t="shared" si="6"/>
        <v/>
      </c>
    </row>
    <row r="104" spans="2:6" ht="15.75" customHeight="1" thickBot="1" x14ac:dyDescent="0.25">
      <c r="B104" s="149" t="s">
        <v>29</v>
      </c>
      <c r="C104" s="150"/>
      <c r="D104" s="37"/>
      <c r="E104" s="24">
        <f>IF(F3="1",SUMIF(Data!A:A,'52'!$A$2,Data!Q:Q),0)</f>
        <v>254977</v>
      </c>
      <c r="F104" s="25">
        <f t="shared" si="6"/>
        <v>0.2</v>
      </c>
    </row>
    <row r="105" spans="2:6" x14ac:dyDescent="0.2">
      <c r="B105" s="30" t="s">
        <v>35</v>
      </c>
      <c r="C105" s="30"/>
      <c r="D105" s="34">
        <f>D95</f>
        <v>1264282</v>
      </c>
      <c r="E105" s="31">
        <f>SUM(E98:E104)</f>
        <v>2584338</v>
      </c>
      <c r="F105" s="32">
        <f>IF($D$105=0,"",ROUND(E105/$D$105,2))</f>
        <v>2.04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3748768</v>
      </c>
      <c r="D109" s="15">
        <f>IF(F3="1",SUMIF(Data!$A:$A,$A$2,Data!HJ:HJ),0)</f>
        <v>0</v>
      </c>
      <c r="E109" s="15">
        <f>IF(F3="1",SUMIF(Data!$A:$A,$A$2,Data!IN:IN),0)</f>
        <v>0</v>
      </c>
      <c r="F109" s="47">
        <f>SUM(C109:E109)</f>
        <v>3748768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254977</v>
      </c>
      <c r="E117" s="52"/>
      <c r="F117" s="49">
        <f>SUM(C117:E117)</f>
        <v>254977</v>
      </c>
    </row>
    <row r="118" spans="1:6" x14ac:dyDescent="0.2">
      <c r="B118" s="13" t="s">
        <v>35</v>
      </c>
      <c r="C118" s="4">
        <f>SUM(C109:C116)</f>
        <v>3748768</v>
      </c>
      <c r="D118" s="4">
        <f>SUM(D109:D116)</f>
        <v>0</v>
      </c>
      <c r="E118" s="4">
        <f>SUM(E109:E116)</f>
        <v>0</v>
      </c>
      <c r="F118" s="4">
        <f>SUM(F109:F116)</f>
        <v>3748768</v>
      </c>
    </row>
    <row r="119" spans="1:6" ht="15" thickBot="1" x14ac:dyDescent="0.25"/>
    <row r="120" spans="1:6" ht="15" thickBot="1" x14ac:dyDescent="0.25">
      <c r="B120" s="55" t="s">
        <v>934</v>
      </c>
      <c r="C120" s="53"/>
      <c r="D120" s="53"/>
      <c r="E120" s="53">
        <f>IF(F3="1",SUMIF(Data!A:A,'52'!$A$2,Data!AM:AM),0)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1071</v>
      </c>
      <c r="B2" s="58" t="str">
        <f>VLOOKUP(A2,Data!A:G,7,0)</f>
        <v>Texas State Technical Collage-Marshall</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0</v>
      </c>
      <c r="E7" s="17">
        <f t="shared" si="1"/>
        <v>0</v>
      </c>
      <c r="F7" s="21" t="str">
        <f t="shared" si="2"/>
        <v/>
      </c>
    </row>
    <row r="8" spans="1:6" ht="14.25" customHeight="1" x14ac:dyDescent="0.2">
      <c r="A8" s="19">
        <v>4</v>
      </c>
      <c r="B8" s="143" t="s">
        <v>3</v>
      </c>
      <c r="C8" s="144"/>
      <c r="D8" s="14">
        <f t="shared" si="0"/>
        <v>0</v>
      </c>
      <c r="E8" s="17">
        <f t="shared" si="1"/>
        <v>0</v>
      </c>
      <c r="F8" s="21" t="str">
        <f t="shared" si="2"/>
        <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0</v>
      </c>
      <c r="E11" s="17">
        <f t="shared" si="1"/>
        <v>0</v>
      </c>
      <c r="F11" s="21" t="str">
        <f t="shared" si="2"/>
        <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0</v>
      </c>
      <c r="E13" s="17">
        <f t="shared" si="1"/>
        <v>0</v>
      </c>
      <c r="F13" s="21" t="str">
        <f t="shared" si="2"/>
        <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0</v>
      </c>
      <c r="E16" s="17">
        <f t="shared" si="1"/>
        <v>0</v>
      </c>
      <c r="F16" s="21" t="str">
        <f t="shared" si="2"/>
        <v/>
      </c>
    </row>
    <row r="17" spans="1:6" x14ac:dyDescent="0.2">
      <c r="A17" s="19">
        <v>13</v>
      </c>
      <c r="B17" s="143" t="s">
        <v>12</v>
      </c>
      <c r="C17" s="144"/>
      <c r="D17" s="14">
        <f t="shared" si="0"/>
        <v>0</v>
      </c>
      <c r="E17" s="17">
        <f t="shared" si="1"/>
        <v>0</v>
      </c>
      <c r="F17" s="21" t="str">
        <f t="shared" si="2"/>
        <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0</v>
      </c>
      <c r="E20" s="17">
        <f t="shared" si="1"/>
        <v>0</v>
      </c>
      <c r="F20" s="21" t="str">
        <f t="shared" si="2"/>
        <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0</v>
      </c>
      <c r="E23" s="17">
        <f t="shared" si="1"/>
        <v>0</v>
      </c>
      <c r="F23" s="21" t="str">
        <f t="shared" si="2"/>
        <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0</v>
      </c>
      <c r="E27" s="17">
        <f t="shared" si="1"/>
        <v>0</v>
      </c>
      <c r="F27" s="21" t="str">
        <f t="shared" si="2"/>
        <v/>
      </c>
    </row>
    <row r="28" spans="1:6" x14ac:dyDescent="0.2">
      <c r="A28" s="19">
        <v>24</v>
      </c>
      <c r="B28" s="143" t="s">
        <v>21</v>
      </c>
      <c r="C28" s="144"/>
      <c r="D28" s="14">
        <f t="shared" si="0"/>
        <v>0</v>
      </c>
      <c r="E28" s="17">
        <f t="shared" si="1"/>
        <v>0</v>
      </c>
      <c r="F28" s="21" t="str">
        <f t="shared" si="2"/>
        <v/>
      </c>
    </row>
    <row r="29" spans="1:6" x14ac:dyDescent="0.2">
      <c r="A29" s="19">
        <v>25</v>
      </c>
      <c r="B29" s="143" t="s">
        <v>22</v>
      </c>
      <c r="C29" s="144"/>
      <c r="D29" s="14">
        <f t="shared" si="0"/>
        <v>0</v>
      </c>
      <c r="E29" s="17">
        <f t="shared" si="1"/>
        <v>0</v>
      </c>
      <c r="F29" s="21" t="str">
        <f t="shared" si="2"/>
        <v/>
      </c>
    </row>
    <row r="30" spans="1:6" x14ac:dyDescent="0.2">
      <c r="A30" s="19">
        <v>26</v>
      </c>
      <c r="B30" s="143" t="s">
        <v>23</v>
      </c>
      <c r="C30" s="144"/>
      <c r="D30" s="14">
        <f t="shared" si="0"/>
        <v>0</v>
      </c>
      <c r="E30" s="17">
        <f t="shared" si="1"/>
        <v>0</v>
      </c>
      <c r="F30" s="21" t="str">
        <f t="shared" si="2"/>
        <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0</v>
      </c>
      <c r="E33" s="31">
        <f>SUM(E5:E32)</f>
        <v>0</v>
      </c>
      <c r="F33" s="32" t="str">
        <f t="shared" si="2"/>
        <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IF(F3="1",SUMIF(Data!A:A,'53'!$A$2,Data!CU:CU),0)</f>
        <v>0</v>
      </c>
      <c r="E36" s="15">
        <f>IF(F3="1",SUMIF(Data!$A:$A,$A$2,Data!IO:IO),0)</f>
        <v>0</v>
      </c>
      <c r="F36" s="20" t="str">
        <f t="shared" ref="F36:F64" si="3">IF(OR(D36=0,E36=0),"",ROUND(E36/D36,2))</f>
        <v/>
      </c>
    </row>
    <row r="37" spans="1:6" x14ac:dyDescent="0.2">
      <c r="A37" s="19">
        <v>2</v>
      </c>
      <c r="B37" s="143" t="s">
        <v>1</v>
      </c>
      <c r="C37" s="144"/>
      <c r="D37" s="14">
        <f>IF(F3="1",SUMIF(Data!A:A,'53'!$A$2,Data!CV:CV),0)</f>
        <v>0</v>
      </c>
      <c r="E37" s="17">
        <f>IF(F3="1",SUMIF(Data!$A:$A,$A$2,Data!IP:IP),0)</f>
        <v>0</v>
      </c>
      <c r="F37" s="21" t="str">
        <f t="shared" si="3"/>
        <v/>
      </c>
    </row>
    <row r="38" spans="1:6" ht="14.25" customHeight="1" x14ac:dyDescent="0.2">
      <c r="A38" s="19">
        <v>3</v>
      </c>
      <c r="B38" s="143" t="s">
        <v>2</v>
      </c>
      <c r="C38" s="144"/>
      <c r="D38" s="14">
        <f>IF(F3="1",SUMIF(Data!A:A,'53'!$A$2,Data!CW:CW),0)</f>
        <v>0</v>
      </c>
      <c r="E38" s="17">
        <f>IF($F$3="1",SUMIF(Data!$A:$A,$A$2,Data!IQ:IQ),0)</f>
        <v>0</v>
      </c>
      <c r="F38" s="21" t="str">
        <f t="shared" si="3"/>
        <v/>
      </c>
    </row>
    <row r="39" spans="1:6" ht="14.25" customHeight="1" x14ac:dyDescent="0.2">
      <c r="A39" s="19">
        <v>4</v>
      </c>
      <c r="B39" s="143" t="s">
        <v>3</v>
      </c>
      <c r="C39" s="144"/>
      <c r="D39" s="14">
        <f>IF(F3="1",SUMIF(Data!A:A,'53'!$A$2,Data!CX:CX),0)</f>
        <v>0</v>
      </c>
      <c r="E39" s="17">
        <f>IF($F$3="1",SUMIF(Data!$A:$A,$A$2,Data!IR:IR),0)</f>
        <v>0</v>
      </c>
      <c r="F39" s="21" t="str">
        <f t="shared" si="3"/>
        <v/>
      </c>
    </row>
    <row r="40" spans="1:6" x14ac:dyDescent="0.2">
      <c r="A40" s="19">
        <v>5</v>
      </c>
      <c r="B40" s="143" t="s">
        <v>4</v>
      </c>
      <c r="C40" s="144"/>
      <c r="D40" s="14">
        <f>IF(F3="1",SUMIF(Data!A:A,'53'!$A$2,Data!CY:CY),0)</f>
        <v>0</v>
      </c>
      <c r="E40" s="17">
        <f>IF($F$3="1",SUMIF(Data!$A:$A,$A$2,Data!IS:IS),0)</f>
        <v>0</v>
      </c>
      <c r="F40" s="21" t="str">
        <f t="shared" si="3"/>
        <v/>
      </c>
    </row>
    <row r="41" spans="1:6" x14ac:dyDescent="0.2">
      <c r="A41" s="19">
        <v>6</v>
      </c>
      <c r="B41" s="143" t="s">
        <v>5</v>
      </c>
      <c r="C41" s="144"/>
      <c r="D41" s="14">
        <f>IF(F3="1",SUMIF(Data!A:A,'53'!$A$2,Data!CZ:CZ),0)</f>
        <v>0</v>
      </c>
      <c r="E41" s="17">
        <f>IF($F$3="1",SUMIF(Data!$A:$A,$A$2,Data!IT:IT),0)</f>
        <v>0</v>
      </c>
      <c r="F41" s="21" t="str">
        <f t="shared" si="3"/>
        <v/>
      </c>
    </row>
    <row r="42" spans="1:6" x14ac:dyDescent="0.2">
      <c r="A42" s="19">
        <v>7</v>
      </c>
      <c r="B42" s="143" t="s">
        <v>6</v>
      </c>
      <c r="C42" s="144"/>
      <c r="D42" s="14">
        <f>IF(F3="1",SUMIF(Data!A:A,'53'!$A$2,Data!DA:DA),0)</f>
        <v>0</v>
      </c>
      <c r="E42" s="17">
        <f>IF($F$3="1",SUMIF(Data!$A:$A,$A$2,Data!IU:IU),0)</f>
        <v>0</v>
      </c>
      <c r="F42" s="21" t="str">
        <f t="shared" si="3"/>
        <v/>
      </c>
    </row>
    <row r="43" spans="1:6" x14ac:dyDescent="0.2">
      <c r="A43" s="19">
        <v>8</v>
      </c>
      <c r="B43" s="143" t="s">
        <v>7</v>
      </c>
      <c r="C43" s="144"/>
      <c r="D43" s="14">
        <f>IF(F3="1",SUMIF(Data!A:A,'53'!$A$2,Data!DB:DB),0)</f>
        <v>0</v>
      </c>
      <c r="E43" s="17">
        <f>IF($F$3="1",SUMIF(Data!$A:$A,$A$2,Data!IV:IV),0)</f>
        <v>0</v>
      </c>
      <c r="F43" s="21" t="str">
        <f t="shared" si="3"/>
        <v/>
      </c>
    </row>
    <row r="44" spans="1:6" x14ac:dyDescent="0.2">
      <c r="A44" s="19">
        <v>9</v>
      </c>
      <c r="B44" s="143" t="s">
        <v>8</v>
      </c>
      <c r="C44" s="144"/>
      <c r="D44" s="14">
        <f>IF(F3="1",SUMIF(Data!A:A,'53'!$A$2,Data!DC:DC),0)</f>
        <v>0</v>
      </c>
      <c r="E44" s="17">
        <f>IF($F$3="1",SUMIF(Data!$A:$A,$A$2,Data!IW:IW),0)</f>
        <v>0</v>
      </c>
      <c r="F44" s="21" t="str">
        <f t="shared" si="3"/>
        <v/>
      </c>
    </row>
    <row r="45" spans="1:6" x14ac:dyDescent="0.2">
      <c r="A45" s="19">
        <v>10</v>
      </c>
      <c r="B45" s="143" t="s">
        <v>9</v>
      </c>
      <c r="C45" s="144"/>
      <c r="D45" s="14">
        <f>IF(F3="1",SUMIF(Data!A:A,'53'!$A$2,Data!DD:DD),0)</f>
        <v>0</v>
      </c>
      <c r="E45" s="17">
        <f>IF($F$3="1",SUMIF(Data!$A:$A,$A$2,Data!IX:IX),0)</f>
        <v>0</v>
      </c>
      <c r="F45" s="21" t="str">
        <f t="shared" si="3"/>
        <v/>
      </c>
    </row>
    <row r="46" spans="1:6" x14ac:dyDescent="0.2">
      <c r="A46" s="19">
        <v>11</v>
      </c>
      <c r="B46" s="143" t="s">
        <v>10</v>
      </c>
      <c r="C46" s="144"/>
      <c r="D46" s="14">
        <f>IF(F3="1",SUMIF(Data!A:A,'53'!$A$2,Data!DE:DE),0)</f>
        <v>0</v>
      </c>
      <c r="E46" s="17">
        <f>IF($F$3="1",SUMIF(Data!$A:$A,$A$2,Data!IY:IY),0)</f>
        <v>0</v>
      </c>
      <c r="F46" s="21" t="str">
        <f t="shared" si="3"/>
        <v/>
      </c>
    </row>
    <row r="47" spans="1:6" ht="14.25" customHeight="1" x14ac:dyDescent="0.2">
      <c r="A47" s="19">
        <v>12</v>
      </c>
      <c r="B47" s="143" t="s">
        <v>11</v>
      </c>
      <c r="C47" s="144"/>
      <c r="D47" s="14">
        <f>IF(F3="1",SUMIF(Data!A:A,'53'!$A$2,Data!DF:DF),0)</f>
        <v>0</v>
      </c>
      <c r="E47" s="17">
        <f>IF($F$3="1",SUMIF(Data!$A:$A,$A$2,Data!IZ:IZ),0)</f>
        <v>0</v>
      </c>
      <c r="F47" s="21" t="str">
        <f t="shared" si="3"/>
        <v/>
      </c>
    </row>
    <row r="48" spans="1:6" x14ac:dyDescent="0.2">
      <c r="A48" s="19">
        <v>13</v>
      </c>
      <c r="B48" s="143" t="s">
        <v>12</v>
      </c>
      <c r="C48" s="144"/>
      <c r="D48" s="14">
        <f>IF(F3="1",SUMIF(Data!A:A,'53'!$A$2,Data!DG:DG),0)</f>
        <v>0</v>
      </c>
      <c r="E48" s="17">
        <f>IF($F$3="1",SUMIF(Data!$A:$A,$A$2,Data!JA:JA),0)</f>
        <v>0</v>
      </c>
      <c r="F48" s="21" t="str">
        <f t="shared" si="3"/>
        <v/>
      </c>
    </row>
    <row r="49" spans="1:6" ht="14.25" customHeight="1" x14ac:dyDescent="0.2">
      <c r="A49" s="19">
        <v>14</v>
      </c>
      <c r="B49" s="143" t="s">
        <v>464</v>
      </c>
      <c r="C49" s="144"/>
      <c r="D49" s="14">
        <f>IF(F3="1",SUMIF(Data!A:A,'53'!$A$2,Data!DH:DH),0)</f>
        <v>0</v>
      </c>
      <c r="E49" s="17">
        <f>IF($F$3="1",SUMIF(Data!$A:$A,$A$2,Data!JB:JB),0)</f>
        <v>0</v>
      </c>
      <c r="F49" s="21" t="str">
        <f t="shared" si="3"/>
        <v/>
      </c>
    </row>
    <row r="50" spans="1:6" x14ac:dyDescent="0.2">
      <c r="A50" s="19">
        <v>15</v>
      </c>
      <c r="B50" s="143" t="s">
        <v>13</v>
      </c>
      <c r="C50" s="144"/>
      <c r="D50" s="14">
        <f>IF(F3="1",SUMIF(Data!A:A,'53'!$A$2,Data!DI:DI),0)</f>
        <v>0</v>
      </c>
      <c r="E50" s="17">
        <f>IF($F$3="1",SUMIF(Data!$A:$A,$A$2,Data!JC:JC),0)</f>
        <v>0</v>
      </c>
      <c r="F50" s="21" t="str">
        <f t="shared" si="3"/>
        <v/>
      </c>
    </row>
    <row r="51" spans="1:6" x14ac:dyDescent="0.2">
      <c r="A51" s="19">
        <v>16</v>
      </c>
      <c r="B51" s="143" t="s">
        <v>14</v>
      </c>
      <c r="C51" s="144"/>
      <c r="D51" s="14">
        <f>IF(F3="1",SUMIF(Data!A:A,'53'!$A$2,Data!DJ:DJ),0)</f>
        <v>0</v>
      </c>
      <c r="E51" s="17">
        <f>IF($F$3="1",SUMIF(Data!$A:$A,$A$2,Data!JD:JD),0)</f>
        <v>0</v>
      </c>
      <c r="F51" s="21" t="str">
        <f t="shared" si="3"/>
        <v/>
      </c>
    </row>
    <row r="52" spans="1:6" x14ac:dyDescent="0.2">
      <c r="A52" s="19">
        <v>17</v>
      </c>
      <c r="B52" s="143" t="s">
        <v>15</v>
      </c>
      <c r="C52" s="144"/>
      <c r="D52" s="14">
        <f>IF(F3="1",SUMIF(Data!A:A,'53'!$A$2,Data!DK:DK),0)</f>
        <v>0</v>
      </c>
      <c r="E52" s="17">
        <f>IF($F$3="1",SUMIF(Data!$A:$A,$A$2,Data!JE:JE),0)</f>
        <v>0</v>
      </c>
      <c r="F52" s="21" t="str">
        <f t="shared" si="3"/>
        <v/>
      </c>
    </row>
    <row r="53" spans="1:6" x14ac:dyDescent="0.2">
      <c r="A53" s="19">
        <v>18</v>
      </c>
      <c r="B53" s="143" t="s">
        <v>16</v>
      </c>
      <c r="C53" s="144"/>
      <c r="D53" s="14">
        <f>IF(F3="1",SUMIF(Data!A:A,'53'!$A$2,Data!DL:DL),0)</f>
        <v>0</v>
      </c>
      <c r="E53" s="17">
        <f>IF($F$3="1",SUMIF(Data!$A:$A,$A$2,Data!JF:JF),0)</f>
        <v>0</v>
      </c>
      <c r="F53" s="21" t="str">
        <f t="shared" si="3"/>
        <v/>
      </c>
    </row>
    <row r="54" spans="1:6" x14ac:dyDescent="0.2">
      <c r="A54" s="19">
        <v>19</v>
      </c>
      <c r="B54" s="143" t="s">
        <v>17</v>
      </c>
      <c r="C54" s="144"/>
      <c r="D54" s="14">
        <f>IF(F3="1",SUMIF(Data!A:A,'53'!$A$2,Data!DM:DM),0)</f>
        <v>0</v>
      </c>
      <c r="E54" s="17">
        <f>IF($F$3="1",SUMIF(Data!$A:$A,$A$2,Data!JG:JG),0)</f>
        <v>0</v>
      </c>
      <c r="F54" s="21" t="str">
        <f t="shared" si="3"/>
        <v/>
      </c>
    </row>
    <row r="55" spans="1:6" x14ac:dyDescent="0.2">
      <c r="A55" s="19">
        <v>20</v>
      </c>
      <c r="B55" s="143" t="s">
        <v>18</v>
      </c>
      <c r="C55" s="144"/>
      <c r="D55" s="14">
        <f>IF(F3="1",SUMIF(Data!A:A,'53'!$A$2,Data!DN:DN),0)</f>
        <v>0</v>
      </c>
      <c r="E55" s="17">
        <f>IF($F$3="1",SUMIF(Data!$A:$A,$A$2,Data!JH:JH),0)</f>
        <v>0</v>
      </c>
      <c r="F55" s="21" t="str">
        <f t="shared" si="3"/>
        <v/>
      </c>
    </row>
    <row r="56" spans="1:6" ht="14.25" customHeight="1" x14ac:dyDescent="0.2">
      <c r="A56" s="19">
        <v>21</v>
      </c>
      <c r="B56" s="143" t="s">
        <v>461</v>
      </c>
      <c r="C56" s="144"/>
      <c r="D56" s="14">
        <f>IF(F3="1",SUMIF(Data!A:A,'53'!$A$2,Data!DO:DO),0)</f>
        <v>0</v>
      </c>
      <c r="E56" s="17">
        <f>IF($F$3="1",SUMIF(Data!$A:$A,$A$2,Data!JI:JI),0)</f>
        <v>0</v>
      </c>
      <c r="F56" s="21" t="str">
        <f t="shared" si="3"/>
        <v/>
      </c>
    </row>
    <row r="57" spans="1:6" x14ac:dyDescent="0.2">
      <c r="A57" s="19">
        <v>22</v>
      </c>
      <c r="B57" s="143" t="s">
        <v>19</v>
      </c>
      <c r="C57" s="144"/>
      <c r="D57" s="14">
        <f>IF(F3="1",SUMIF(Data!A:A,'53'!$A$2,Data!DP:DP),0)</f>
        <v>0</v>
      </c>
      <c r="E57" s="17">
        <f>IF($F$3="1",SUMIF(Data!$A:$A,$A$2,Data!JJ:JJ),0)</f>
        <v>0</v>
      </c>
      <c r="F57" s="21" t="str">
        <f t="shared" si="3"/>
        <v/>
      </c>
    </row>
    <row r="58" spans="1:6" x14ac:dyDescent="0.2">
      <c r="A58" s="19">
        <v>23</v>
      </c>
      <c r="B58" s="143" t="s">
        <v>20</v>
      </c>
      <c r="C58" s="144"/>
      <c r="D58" s="14">
        <f>IF(F3="1",SUMIF(Data!A:A,'53'!$A$2,Data!DQ:DQ),0)</f>
        <v>0</v>
      </c>
      <c r="E58" s="17">
        <f>IF($F$3="1",SUMIF(Data!$A:$A,$A$2,Data!JK:JK),0)</f>
        <v>0</v>
      </c>
      <c r="F58" s="21" t="str">
        <f t="shared" si="3"/>
        <v/>
      </c>
    </row>
    <row r="59" spans="1:6" x14ac:dyDescent="0.2">
      <c r="A59" s="19">
        <v>24</v>
      </c>
      <c r="B59" s="143" t="s">
        <v>21</v>
      </c>
      <c r="C59" s="144"/>
      <c r="D59" s="14">
        <f>IF(F3="1",SUMIF(Data!A:A,'53'!$A$2,Data!DR:DR),0)</f>
        <v>0</v>
      </c>
      <c r="E59" s="17">
        <f>IF($F$3="1",SUMIF(Data!$A:$A,$A$2,Data!JL:JL),0)</f>
        <v>0</v>
      </c>
      <c r="F59" s="21" t="str">
        <f t="shared" si="3"/>
        <v/>
      </c>
    </row>
    <row r="60" spans="1:6" x14ac:dyDescent="0.2">
      <c r="A60" s="19">
        <v>25</v>
      </c>
      <c r="B60" s="143" t="s">
        <v>22</v>
      </c>
      <c r="C60" s="144"/>
      <c r="D60" s="14">
        <f>IF(F3="1",SUMIF(Data!A:A,'53'!$A$2,Data!DS:DS),0)</f>
        <v>0</v>
      </c>
      <c r="E60" s="17">
        <f>IF($F$3="1",SUMIF(Data!$A:$A,$A$2,Data!JM:JM),0)</f>
        <v>0</v>
      </c>
      <c r="F60" s="21" t="str">
        <f t="shared" si="3"/>
        <v/>
      </c>
    </row>
    <row r="61" spans="1:6" x14ac:dyDescent="0.2">
      <c r="A61" s="19">
        <v>26</v>
      </c>
      <c r="B61" s="143" t="s">
        <v>23</v>
      </c>
      <c r="C61" s="144"/>
      <c r="D61" s="14">
        <f>IF(F3="1",SUMIF(Data!A:A,'53'!$A$2,Data!DT:DT),0)</f>
        <v>0</v>
      </c>
      <c r="E61" s="17">
        <f>IF($F$3="1",SUMIF(Data!$A:$A,$A$2,Data!JN:JN),0)</f>
        <v>0</v>
      </c>
      <c r="F61" s="21" t="str">
        <f t="shared" si="3"/>
        <v/>
      </c>
    </row>
    <row r="62" spans="1:6" x14ac:dyDescent="0.2">
      <c r="A62" s="19">
        <v>28</v>
      </c>
      <c r="B62" s="143" t="s">
        <v>24</v>
      </c>
      <c r="C62" s="144"/>
      <c r="D62" s="14">
        <f>IF(F3="1",SUMIF(Data!A:A,'53'!$A$2,Data!DV:DV),0)</f>
        <v>0</v>
      </c>
      <c r="E62" s="17">
        <f>IF($F$3="1",SUMIF(Data!$A:$A,$A$2,Data!JP:JP),0)</f>
        <v>0</v>
      </c>
      <c r="F62" s="21" t="str">
        <f t="shared" si="3"/>
        <v/>
      </c>
    </row>
    <row r="63" spans="1:6" ht="15.75" customHeight="1" thickBot="1" x14ac:dyDescent="0.25">
      <c r="A63" s="22">
        <v>29</v>
      </c>
      <c r="B63" s="147" t="s">
        <v>25</v>
      </c>
      <c r="C63" s="148"/>
      <c r="D63" s="23">
        <f>IF(F3="1",SUMIF(Data!A:A,'53'!$A$2,Data!DW:DW),0)</f>
        <v>0</v>
      </c>
      <c r="E63" s="24">
        <f>IF($F$3="1",SUMIF(Data!$A:$A,$A$2,Data!JQ:JQ),0)</f>
        <v>0</v>
      </c>
      <c r="F63" s="25" t="str">
        <f t="shared" si="3"/>
        <v/>
      </c>
    </row>
    <row r="64" spans="1:6" x14ac:dyDescent="0.2">
      <c r="B64" s="30" t="s">
        <v>35</v>
      </c>
      <c r="C64" s="30"/>
      <c r="D64" s="59">
        <f>SUM(D36:D63)</f>
        <v>0</v>
      </c>
      <c r="E64" s="31">
        <f>SUM(E36:E63)</f>
        <v>0</v>
      </c>
      <c r="F64" s="32" t="str">
        <f t="shared" si="3"/>
        <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IF(F3="1",SUMIF(Data!A:A,'53'!$A$2,Data!DY:DY),0)</f>
        <v>0</v>
      </c>
      <c r="F67" s="20" t="str">
        <f t="shared" ref="F67:F95" si="4">IF(OR(D67=0,E67=0),"",ROUND(E67/D67,2))</f>
        <v/>
      </c>
    </row>
    <row r="68" spans="1:6" x14ac:dyDescent="0.2">
      <c r="A68" s="19">
        <v>2</v>
      </c>
      <c r="B68" s="143" t="s">
        <v>1</v>
      </c>
      <c r="C68" s="144"/>
      <c r="D68" s="14">
        <f t="shared" ref="D68:D94" si="5">D37</f>
        <v>0</v>
      </c>
      <c r="E68" s="17">
        <f>IF(F3="1",SUMIF(Data!A:A,'53'!$A$2,Data!DZ:DZ),0)</f>
        <v>0</v>
      </c>
      <c r="F68" s="21" t="str">
        <f t="shared" si="4"/>
        <v/>
      </c>
    </row>
    <row r="69" spans="1:6" ht="14.25" customHeight="1" x14ac:dyDescent="0.2">
      <c r="A69" s="19">
        <v>3</v>
      </c>
      <c r="B69" s="143" t="s">
        <v>2</v>
      </c>
      <c r="C69" s="144"/>
      <c r="D69" s="14">
        <f t="shared" si="5"/>
        <v>0</v>
      </c>
      <c r="E69" s="17">
        <f>IF(F3="1",SUMIF(Data!A:A,'53'!$A$2,Data!EA:EA),0)</f>
        <v>0</v>
      </c>
      <c r="F69" s="21" t="str">
        <f t="shared" si="4"/>
        <v/>
      </c>
    </row>
    <row r="70" spans="1:6" ht="14.25" customHeight="1" x14ac:dyDescent="0.2">
      <c r="A70" s="19">
        <v>4</v>
      </c>
      <c r="B70" s="143" t="s">
        <v>3</v>
      </c>
      <c r="C70" s="144"/>
      <c r="D70" s="14">
        <f t="shared" si="5"/>
        <v>0</v>
      </c>
      <c r="E70" s="17">
        <f>IF(F3="1",SUMIF(Data!A:A,'53'!$A$2,Data!EB:EB),0)</f>
        <v>0</v>
      </c>
      <c r="F70" s="21" t="str">
        <f t="shared" si="4"/>
        <v/>
      </c>
    </row>
    <row r="71" spans="1:6" x14ac:dyDescent="0.2">
      <c r="A71" s="19">
        <v>5</v>
      </c>
      <c r="B71" s="143" t="s">
        <v>4</v>
      </c>
      <c r="C71" s="144"/>
      <c r="D71" s="14">
        <f t="shared" si="5"/>
        <v>0</v>
      </c>
      <c r="E71" s="17">
        <f>IF(F3="1",SUMIF(Data!A:A,'53'!$A$2,Data!EC:EC),0)</f>
        <v>0</v>
      </c>
      <c r="F71" s="21" t="str">
        <f t="shared" si="4"/>
        <v/>
      </c>
    </row>
    <row r="72" spans="1:6" x14ac:dyDescent="0.2">
      <c r="A72" s="19">
        <v>6</v>
      </c>
      <c r="B72" s="143" t="s">
        <v>5</v>
      </c>
      <c r="C72" s="144"/>
      <c r="D72" s="14">
        <f t="shared" si="5"/>
        <v>0</v>
      </c>
      <c r="E72" s="17">
        <f>IF(F3="1",SUMIF(Data!A:A,'53'!$A$2,Data!ED:ED),0)</f>
        <v>0</v>
      </c>
      <c r="F72" s="21" t="str">
        <f t="shared" si="4"/>
        <v/>
      </c>
    </row>
    <row r="73" spans="1:6" x14ac:dyDescent="0.2">
      <c r="A73" s="19">
        <v>7</v>
      </c>
      <c r="B73" s="143" t="s">
        <v>6</v>
      </c>
      <c r="C73" s="144"/>
      <c r="D73" s="14">
        <f t="shared" si="5"/>
        <v>0</v>
      </c>
      <c r="E73" s="17">
        <f>IF(F3="1",SUMIF(Data!A:A,'53'!$A$2,Data!EE:EE),0)</f>
        <v>0</v>
      </c>
      <c r="F73" s="21" t="str">
        <f t="shared" si="4"/>
        <v/>
      </c>
    </row>
    <row r="74" spans="1:6" x14ac:dyDescent="0.2">
      <c r="A74" s="19">
        <v>8</v>
      </c>
      <c r="B74" s="143" t="s">
        <v>7</v>
      </c>
      <c r="C74" s="144"/>
      <c r="D74" s="14">
        <f t="shared" si="5"/>
        <v>0</v>
      </c>
      <c r="E74" s="17">
        <f>IF(F3="1",SUMIF(Data!A:A,'53'!$A$2,Data!EF:EF),0)</f>
        <v>0</v>
      </c>
      <c r="F74" s="21" t="str">
        <f t="shared" si="4"/>
        <v/>
      </c>
    </row>
    <row r="75" spans="1:6" x14ac:dyDescent="0.2">
      <c r="A75" s="19">
        <v>9</v>
      </c>
      <c r="B75" s="143" t="s">
        <v>8</v>
      </c>
      <c r="C75" s="144"/>
      <c r="D75" s="14">
        <f t="shared" si="5"/>
        <v>0</v>
      </c>
      <c r="E75" s="17">
        <f>IF(F3="1",SUMIF(Data!A:A,'53'!$A$2,Data!EG:EG),0)</f>
        <v>0</v>
      </c>
      <c r="F75" s="21" t="str">
        <f t="shared" si="4"/>
        <v/>
      </c>
    </row>
    <row r="76" spans="1:6" x14ac:dyDescent="0.2">
      <c r="A76" s="19">
        <v>10</v>
      </c>
      <c r="B76" s="143" t="s">
        <v>9</v>
      </c>
      <c r="C76" s="144"/>
      <c r="D76" s="14">
        <f t="shared" si="5"/>
        <v>0</v>
      </c>
      <c r="E76" s="17">
        <f>IF(F3="1",SUMIF(Data!A:A,'53'!$A$2,Data!EH:EH),0)</f>
        <v>0</v>
      </c>
      <c r="F76" s="21" t="str">
        <f t="shared" si="4"/>
        <v/>
      </c>
    </row>
    <row r="77" spans="1:6" x14ac:dyDescent="0.2">
      <c r="A77" s="19">
        <v>11</v>
      </c>
      <c r="B77" s="143" t="s">
        <v>10</v>
      </c>
      <c r="C77" s="144"/>
      <c r="D77" s="14">
        <f t="shared" si="5"/>
        <v>0</v>
      </c>
      <c r="E77" s="17">
        <f>IF(F3="1",SUMIF(Data!A:A,'53'!$A$2,Data!EI:EI),0)</f>
        <v>0</v>
      </c>
      <c r="F77" s="21" t="str">
        <f t="shared" si="4"/>
        <v/>
      </c>
    </row>
    <row r="78" spans="1:6" ht="14.25" customHeight="1" x14ac:dyDescent="0.2">
      <c r="A78" s="19">
        <v>12</v>
      </c>
      <c r="B78" s="143" t="s">
        <v>11</v>
      </c>
      <c r="C78" s="144"/>
      <c r="D78" s="14">
        <f t="shared" si="5"/>
        <v>0</v>
      </c>
      <c r="E78" s="17">
        <f>IF(F3="1",SUMIF(Data!A:A,'53'!$A$2,Data!EJ:EJ),0)</f>
        <v>0</v>
      </c>
      <c r="F78" s="21" t="str">
        <f t="shared" si="4"/>
        <v/>
      </c>
    </row>
    <row r="79" spans="1:6" x14ac:dyDescent="0.2">
      <c r="A79" s="19">
        <v>13</v>
      </c>
      <c r="B79" s="143" t="s">
        <v>12</v>
      </c>
      <c r="C79" s="144"/>
      <c r="D79" s="14">
        <f t="shared" si="5"/>
        <v>0</v>
      </c>
      <c r="E79" s="17">
        <f>IF(F3="1",SUMIF(Data!A:A,'53'!$A$2,Data!EK:EK),0)</f>
        <v>0</v>
      </c>
      <c r="F79" s="21" t="str">
        <f t="shared" si="4"/>
        <v/>
      </c>
    </row>
    <row r="80" spans="1:6" ht="14.25" customHeight="1" x14ac:dyDescent="0.2">
      <c r="A80" s="19">
        <v>14</v>
      </c>
      <c r="B80" s="143" t="s">
        <v>464</v>
      </c>
      <c r="C80" s="144"/>
      <c r="D80" s="14">
        <f t="shared" si="5"/>
        <v>0</v>
      </c>
      <c r="E80" s="17">
        <f>IF(F3="1",SUMIF(Data!A:A,'53'!$A$2,Data!EL:EL),0)</f>
        <v>0</v>
      </c>
      <c r="F80" s="21" t="str">
        <f t="shared" si="4"/>
        <v/>
      </c>
    </row>
    <row r="81" spans="1:6" x14ac:dyDescent="0.2">
      <c r="A81" s="19">
        <v>15</v>
      </c>
      <c r="B81" s="143" t="s">
        <v>13</v>
      </c>
      <c r="C81" s="144"/>
      <c r="D81" s="14">
        <f t="shared" si="5"/>
        <v>0</v>
      </c>
      <c r="E81" s="17">
        <f>IF(F3="1",SUMIF(Data!A:A,'53'!$A$2,Data!EM:EM),0)</f>
        <v>0</v>
      </c>
      <c r="F81" s="21" t="str">
        <f t="shared" si="4"/>
        <v/>
      </c>
    </row>
    <row r="82" spans="1:6" x14ac:dyDescent="0.2">
      <c r="A82" s="19">
        <v>16</v>
      </c>
      <c r="B82" s="143" t="s">
        <v>14</v>
      </c>
      <c r="C82" s="144"/>
      <c r="D82" s="14">
        <f t="shared" si="5"/>
        <v>0</v>
      </c>
      <c r="E82" s="17">
        <f>IF(F3="1",SUMIF(Data!A:A,'53'!$A$2,Data!EN:EN),0)</f>
        <v>0</v>
      </c>
      <c r="F82" s="21" t="str">
        <f t="shared" si="4"/>
        <v/>
      </c>
    </row>
    <row r="83" spans="1:6" x14ac:dyDescent="0.2">
      <c r="A83" s="19">
        <v>17</v>
      </c>
      <c r="B83" s="143" t="s">
        <v>15</v>
      </c>
      <c r="C83" s="144"/>
      <c r="D83" s="14">
        <f t="shared" si="5"/>
        <v>0</v>
      </c>
      <c r="E83" s="17">
        <f>IF(F3="1",SUMIF(Data!A:A,'53'!$A$2,Data!EO:EO),0)</f>
        <v>0</v>
      </c>
      <c r="F83" s="21" t="str">
        <f t="shared" si="4"/>
        <v/>
      </c>
    </row>
    <row r="84" spans="1:6" x14ac:dyDescent="0.2">
      <c r="A84" s="19">
        <v>18</v>
      </c>
      <c r="B84" s="143" t="s">
        <v>16</v>
      </c>
      <c r="C84" s="144"/>
      <c r="D84" s="14">
        <f t="shared" si="5"/>
        <v>0</v>
      </c>
      <c r="E84" s="17">
        <f>IF(F3="1",SUMIF(Data!A:A,'53'!$A$2,Data!EP:EP),0)</f>
        <v>0</v>
      </c>
      <c r="F84" s="21" t="str">
        <f t="shared" si="4"/>
        <v/>
      </c>
    </row>
    <row r="85" spans="1:6" x14ac:dyDescent="0.2">
      <c r="A85" s="19">
        <v>19</v>
      </c>
      <c r="B85" s="143" t="s">
        <v>17</v>
      </c>
      <c r="C85" s="144"/>
      <c r="D85" s="14">
        <f t="shared" si="5"/>
        <v>0</v>
      </c>
      <c r="E85" s="17">
        <f>IF(F3="1",SUMIF(Data!A:A,'53'!$A$2,Data!EQ:EQ),0)</f>
        <v>0</v>
      </c>
      <c r="F85" s="21" t="str">
        <f t="shared" si="4"/>
        <v/>
      </c>
    </row>
    <row r="86" spans="1:6" x14ac:dyDescent="0.2">
      <c r="A86" s="19">
        <v>20</v>
      </c>
      <c r="B86" s="143" t="s">
        <v>18</v>
      </c>
      <c r="C86" s="144"/>
      <c r="D86" s="14">
        <f t="shared" si="5"/>
        <v>0</v>
      </c>
      <c r="E86" s="17">
        <f>IF(F3="1",SUMIF(Data!A:A,'53'!$A$2,Data!ER:ER),0)</f>
        <v>0</v>
      </c>
      <c r="F86" s="21" t="str">
        <f t="shared" si="4"/>
        <v/>
      </c>
    </row>
    <row r="87" spans="1:6" ht="14.25" customHeight="1" x14ac:dyDescent="0.2">
      <c r="A87" s="19">
        <v>21</v>
      </c>
      <c r="B87" s="143" t="s">
        <v>461</v>
      </c>
      <c r="C87" s="144"/>
      <c r="D87" s="14">
        <f t="shared" si="5"/>
        <v>0</v>
      </c>
      <c r="E87" s="17">
        <f>IF(F3="1",SUMIF(Data!A:A,'53'!$A$2,Data!ES:ES),0)</f>
        <v>0</v>
      </c>
      <c r="F87" s="21" t="str">
        <f t="shared" si="4"/>
        <v/>
      </c>
    </row>
    <row r="88" spans="1:6" x14ac:dyDescent="0.2">
      <c r="A88" s="19">
        <v>22</v>
      </c>
      <c r="B88" s="143" t="s">
        <v>19</v>
      </c>
      <c r="C88" s="144"/>
      <c r="D88" s="14">
        <f t="shared" si="5"/>
        <v>0</v>
      </c>
      <c r="E88" s="17">
        <f>IF(F3="1",SUMIF(Data!A:A,'53'!$A$2,Data!ET:ET),0)</f>
        <v>0</v>
      </c>
      <c r="F88" s="21" t="str">
        <f t="shared" si="4"/>
        <v/>
      </c>
    </row>
    <row r="89" spans="1:6" x14ac:dyDescent="0.2">
      <c r="A89" s="19">
        <v>23</v>
      </c>
      <c r="B89" s="143" t="s">
        <v>20</v>
      </c>
      <c r="C89" s="144"/>
      <c r="D89" s="14">
        <f t="shared" si="5"/>
        <v>0</v>
      </c>
      <c r="E89" s="17">
        <f>IF(F3="1",SUMIF(Data!A:A,'53'!$A$2,Data!EU:EU),0)</f>
        <v>0</v>
      </c>
      <c r="F89" s="21" t="str">
        <f t="shared" si="4"/>
        <v/>
      </c>
    </row>
    <row r="90" spans="1:6" x14ac:dyDescent="0.2">
      <c r="A90" s="19">
        <v>24</v>
      </c>
      <c r="B90" s="143" t="s">
        <v>21</v>
      </c>
      <c r="C90" s="144"/>
      <c r="D90" s="14">
        <f t="shared" si="5"/>
        <v>0</v>
      </c>
      <c r="E90" s="17">
        <f>IF(F3="1",SUMIF(Data!A:A,'53'!$A$2,Data!EV:EV),0)</f>
        <v>0</v>
      </c>
      <c r="F90" s="21" t="str">
        <f t="shared" si="4"/>
        <v/>
      </c>
    </row>
    <row r="91" spans="1:6" x14ac:dyDescent="0.2">
      <c r="A91" s="19">
        <v>25</v>
      </c>
      <c r="B91" s="143" t="s">
        <v>22</v>
      </c>
      <c r="C91" s="144"/>
      <c r="D91" s="14">
        <f t="shared" si="5"/>
        <v>0</v>
      </c>
      <c r="E91" s="17">
        <f>IF(F3="1",SUMIF(Data!A:A,'53'!$A$2,Data!EW:EW),0)</f>
        <v>0</v>
      </c>
      <c r="F91" s="21" t="str">
        <f t="shared" si="4"/>
        <v/>
      </c>
    </row>
    <row r="92" spans="1:6" x14ac:dyDescent="0.2">
      <c r="A92" s="19">
        <v>26</v>
      </c>
      <c r="B92" s="143" t="s">
        <v>23</v>
      </c>
      <c r="C92" s="144"/>
      <c r="D92" s="14">
        <f t="shared" si="5"/>
        <v>0</v>
      </c>
      <c r="E92" s="17">
        <f>IF(F3="1",SUMIF(Data!A:A,'53'!$A$2,Data!EX:EX),0)</f>
        <v>0</v>
      </c>
      <c r="F92" s="21" t="str">
        <f t="shared" si="4"/>
        <v/>
      </c>
    </row>
    <row r="93" spans="1:6" x14ac:dyDescent="0.2">
      <c r="A93" s="19">
        <v>28</v>
      </c>
      <c r="B93" s="143" t="s">
        <v>24</v>
      </c>
      <c r="C93" s="144"/>
      <c r="D93" s="14">
        <f t="shared" si="5"/>
        <v>0</v>
      </c>
      <c r="E93" s="17">
        <f>IF(F3="1",SUMIF(Data!A:A,'53'!$A$2,Data!EZ:EZ),0)</f>
        <v>0</v>
      </c>
      <c r="F93" s="21" t="str">
        <f t="shared" si="4"/>
        <v/>
      </c>
    </row>
    <row r="94" spans="1:6" ht="15.75" customHeight="1" thickBot="1" x14ac:dyDescent="0.25">
      <c r="A94" s="22">
        <v>29</v>
      </c>
      <c r="B94" s="147" t="s">
        <v>25</v>
      </c>
      <c r="C94" s="148"/>
      <c r="D94" s="23">
        <f t="shared" si="5"/>
        <v>0</v>
      </c>
      <c r="E94" s="24">
        <f>IF(F3="1",SUMIF(Data!A:A,'53'!$A$2,Data!FA:FA),0)</f>
        <v>0</v>
      </c>
      <c r="F94" s="25" t="str">
        <f t="shared" si="4"/>
        <v/>
      </c>
    </row>
    <row r="95" spans="1:6" x14ac:dyDescent="0.2">
      <c r="B95" s="30" t="s">
        <v>35</v>
      </c>
      <c r="C95" s="30"/>
      <c r="D95" s="59">
        <f>SUM(D67:D94)</f>
        <v>0</v>
      </c>
      <c r="E95" s="31">
        <f>SUM(E67:E94)</f>
        <v>0</v>
      </c>
      <c r="F95" s="32" t="str">
        <f t="shared" si="4"/>
        <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IF(F3="1",SUMIF(Data!A:A,'53'!$A$2,Data!AH:AH),0)</f>
        <v>0</v>
      </c>
      <c r="F98" s="20" t="str">
        <f>IF(OR(E98=0,E98=0),"",ROUND(E98/$D$105,2))</f>
        <v/>
      </c>
    </row>
    <row r="99" spans="2:6" x14ac:dyDescent="0.2">
      <c r="B99" s="153" t="s">
        <v>31</v>
      </c>
      <c r="C99" s="154"/>
      <c r="D99" s="36"/>
      <c r="E99" s="17">
        <f>IF(F3="1",SUMIF(Data!A:A,'53'!$A$2,Data!AI:AI),0)</f>
        <v>0</v>
      </c>
      <c r="F99" s="21" t="str">
        <f t="shared" ref="F99:F104" si="6">IF(OR(E99=0,E99=0),"",ROUND(E99/$D$105,2))</f>
        <v/>
      </c>
    </row>
    <row r="100" spans="2:6" x14ac:dyDescent="0.2">
      <c r="B100" s="153" t="s">
        <v>1078</v>
      </c>
      <c r="C100" s="154"/>
      <c r="D100" s="36"/>
      <c r="E100" s="17">
        <f>IF(F3="1",SUMIF(Data!A:A,'53'!$A$2,Data!AJ:AJ),0)</f>
        <v>0</v>
      </c>
      <c r="F100" s="21" t="str">
        <f t="shared" si="6"/>
        <v/>
      </c>
    </row>
    <row r="101" spans="2:6" x14ac:dyDescent="0.2">
      <c r="B101" s="153" t="s">
        <v>1079</v>
      </c>
      <c r="C101" s="154"/>
      <c r="D101" s="36"/>
      <c r="E101" s="17">
        <f>IF(F3="1",SUMIF(Data!A:A,'53'!$A$2,Data!AK:AK),0)</f>
        <v>0</v>
      </c>
      <c r="F101" s="21" t="str">
        <f t="shared" si="6"/>
        <v/>
      </c>
    </row>
    <row r="102" spans="2:6" x14ac:dyDescent="0.2">
      <c r="B102" s="153" t="s">
        <v>1080</v>
      </c>
      <c r="C102" s="154"/>
      <c r="D102" s="36"/>
      <c r="E102" s="17">
        <f>IF(F3="1",SUMIF(Data!A:A,'53'!$A$2,Data!AL:AL),0)</f>
        <v>0</v>
      </c>
      <c r="F102" s="21" t="str">
        <f t="shared" si="6"/>
        <v/>
      </c>
    </row>
    <row r="103" spans="2:6" x14ac:dyDescent="0.2">
      <c r="B103" s="155" t="s">
        <v>34</v>
      </c>
      <c r="C103" s="156"/>
      <c r="D103" s="36"/>
      <c r="E103" s="17">
        <f>IF(F3="1",SUMIF(Data!A:A,'53'!$A$2,Data!AM:AM),0)</f>
        <v>0</v>
      </c>
      <c r="F103" s="21" t="str">
        <f t="shared" si="6"/>
        <v/>
      </c>
    </row>
    <row r="104" spans="2:6" ht="15.75" customHeight="1" thickBot="1" x14ac:dyDescent="0.25">
      <c r="B104" s="149" t="s">
        <v>29</v>
      </c>
      <c r="C104" s="150"/>
      <c r="D104" s="37"/>
      <c r="E104" s="24">
        <f>IF(F3="1",SUMIF(Data!A:A,'53'!$A$2,Data!Q:Q),0)</f>
        <v>0</v>
      </c>
      <c r="F104" s="25" t="str">
        <f t="shared" si="6"/>
        <v/>
      </c>
    </row>
    <row r="105" spans="2:6" x14ac:dyDescent="0.2">
      <c r="B105" s="30" t="s">
        <v>35</v>
      </c>
      <c r="C105" s="30"/>
      <c r="D105" s="34">
        <f>D95</f>
        <v>0</v>
      </c>
      <c r="E105" s="31">
        <f>SUM(E98:E104)</f>
        <v>0</v>
      </c>
      <c r="F105" s="32" t="str">
        <f>IF($D$105=0,"",ROUND(E105/$D$105,2))</f>
        <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0</v>
      </c>
      <c r="D109" s="15">
        <f>IF(F3="1",SUMIF(Data!$A:$A,$A$2,Data!HJ:HJ),0)</f>
        <v>0</v>
      </c>
      <c r="E109" s="15">
        <f>IF(F3="1",SUMIF(Data!$A:$A,$A$2,Data!IN:IN),0)</f>
        <v>0</v>
      </c>
      <c r="F109" s="47">
        <f>SUM(C109:E109)</f>
        <v>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0</v>
      </c>
      <c r="D118" s="4">
        <f>SUM(D109:D116)</f>
        <v>0</v>
      </c>
      <c r="E118" s="4">
        <f>SUM(E109:E116)</f>
        <v>0</v>
      </c>
      <c r="F118" s="4">
        <f>SUM(F109:F116)</f>
        <v>0</v>
      </c>
    </row>
    <row r="119" spans="1:6" ht="15" thickBot="1" x14ac:dyDescent="0.25"/>
    <row r="120" spans="1:6" ht="15" thickBot="1" x14ac:dyDescent="0.25">
      <c r="B120" s="55" t="s">
        <v>934</v>
      </c>
      <c r="C120" s="53"/>
      <c r="D120" s="53"/>
      <c r="E120" s="53">
        <f>IF(F3="1",SUMIF(Data!A:A,'53'!$A$2,Data!AM:AM),0)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407</v>
      </c>
      <c r="B2" s="58" t="str">
        <f>VLOOKUP(A2,Data!A:G,7,0)</f>
        <v>Texas State Technical College-Waco</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79872</v>
      </c>
      <c r="E5" s="15">
        <f>E36+E67+IFERROR($E$105/$D$105*D5,0)</f>
        <v>660182.74526015983</v>
      </c>
      <c r="F5" s="20">
        <f>IF(OR(D5=0,E5=0),"",ROUND(E5/D5,2))</f>
        <v>8.27</v>
      </c>
    </row>
    <row r="6" spans="1:6" x14ac:dyDescent="0.2">
      <c r="A6" s="19">
        <v>2</v>
      </c>
      <c r="B6" s="143" t="s">
        <v>1</v>
      </c>
      <c r="C6" s="144"/>
      <c r="D6" s="14">
        <f t="shared" ref="D6:D32" si="0">D37</f>
        <v>314292</v>
      </c>
      <c r="E6" s="17">
        <f t="shared" ref="E6:E32" si="1">E37+E68+IFERROR($E$105/$D$105*D6,0)</f>
        <v>1739810.3789226031</v>
      </c>
      <c r="F6" s="21">
        <f t="shared" ref="F6:F33" si="2">IF(OR(D6=0,E6=0),"",ROUND(E6/D6,2))</f>
        <v>5.54</v>
      </c>
    </row>
    <row r="7" spans="1:6" ht="14.25" customHeight="1" x14ac:dyDescent="0.2">
      <c r="A7" s="19">
        <v>3</v>
      </c>
      <c r="B7" s="143" t="s">
        <v>2</v>
      </c>
      <c r="C7" s="144"/>
      <c r="D7" s="14">
        <f t="shared" si="0"/>
        <v>141720</v>
      </c>
      <c r="E7" s="17">
        <f t="shared" si="1"/>
        <v>724127.95846191212</v>
      </c>
      <c r="F7" s="21">
        <f t="shared" si="2"/>
        <v>5.1100000000000003</v>
      </c>
    </row>
    <row r="8" spans="1:6" ht="14.25" customHeight="1" x14ac:dyDescent="0.2">
      <c r="A8" s="19">
        <v>4</v>
      </c>
      <c r="B8" s="143" t="s">
        <v>3</v>
      </c>
      <c r="C8" s="144"/>
      <c r="D8" s="14">
        <f t="shared" si="0"/>
        <v>100488</v>
      </c>
      <c r="E8" s="17">
        <f t="shared" si="1"/>
        <v>269787.48299407726</v>
      </c>
      <c r="F8" s="21">
        <f t="shared" si="2"/>
        <v>2.68</v>
      </c>
    </row>
    <row r="9" spans="1:6" x14ac:dyDescent="0.2">
      <c r="A9" s="19">
        <v>5</v>
      </c>
      <c r="B9" s="143" t="s">
        <v>4</v>
      </c>
      <c r="C9" s="144"/>
      <c r="D9" s="14">
        <f t="shared" si="0"/>
        <v>69420</v>
      </c>
      <c r="E9" s="17">
        <f t="shared" si="1"/>
        <v>995894.58718900604</v>
      </c>
      <c r="F9" s="21">
        <f t="shared" si="2"/>
        <v>14.35</v>
      </c>
    </row>
    <row r="10" spans="1:6" x14ac:dyDescent="0.2">
      <c r="A10" s="19">
        <v>6</v>
      </c>
      <c r="B10" s="143" t="s">
        <v>5</v>
      </c>
      <c r="C10" s="144"/>
      <c r="D10" s="14">
        <f t="shared" si="0"/>
        <v>105648</v>
      </c>
      <c r="E10" s="17">
        <f t="shared" si="1"/>
        <v>592364.51281106472</v>
      </c>
      <c r="F10" s="21">
        <f t="shared" si="2"/>
        <v>5.61</v>
      </c>
    </row>
    <row r="11" spans="1:6" x14ac:dyDescent="0.2">
      <c r="A11" s="19">
        <v>7</v>
      </c>
      <c r="B11" s="143" t="s">
        <v>6</v>
      </c>
      <c r="C11" s="144"/>
      <c r="D11" s="14">
        <f t="shared" si="0"/>
        <v>711533</v>
      </c>
      <c r="E11" s="17">
        <f t="shared" si="1"/>
        <v>2861595.6689477824</v>
      </c>
      <c r="F11" s="21">
        <f t="shared" si="2"/>
        <v>4.0199999999999996</v>
      </c>
    </row>
    <row r="12" spans="1:6" x14ac:dyDescent="0.2">
      <c r="A12" s="19">
        <v>8</v>
      </c>
      <c r="B12" s="143" t="s">
        <v>7</v>
      </c>
      <c r="C12" s="144"/>
      <c r="D12" s="14">
        <f t="shared" si="0"/>
        <v>117360</v>
      </c>
      <c r="E12" s="17">
        <f t="shared" si="1"/>
        <v>267248.70141892473</v>
      </c>
      <c r="F12" s="21">
        <f t="shared" si="2"/>
        <v>2.2799999999999998</v>
      </c>
    </row>
    <row r="13" spans="1:6" x14ac:dyDescent="0.2">
      <c r="A13" s="19">
        <v>9</v>
      </c>
      <c r="B13" s="143" t="s">
        <v>8</v>
      </c>
      <c r="C13" s="144"/>
      <c r="D13" s="14">
        <f t="shared" si="0"/>
        <v>48576</v>
      </c>
      <c r="E13" s="17">
        <f t="shared" si="1"/>
        <v>276072.22488177987</v>
      </c>
      <c r="F13" s="21">
        <f t="shared" si="2"/>
        <v>5.68</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980424</v>
      </c>
      <c r="E15" s="17">
        <f t="shared" si="1"/>
        <v>6015975.0467616552</v>
      </c>
      <c r="F15" s="21">
        <f t="shared" si="2"/>
        <v>6.14</v>
      </c>
    </row>
    <row r="16" spans="1:6" ht="14.25" customHeight="1" x14ac:dyDescent="0.2">
      <c r="A16" s="19">
        <v>12</v>
      </c>
      <c r="B16" s="143" t="s">
        <v>11</v>
      </c>
      <c r="C16" s="144"/>
      <c r="D16" s="14">
        <f t="shared" si="0"/>
        <v>317196</v>
      </c>
      <c r="E16" s="17">
        <f t="shared" si="1"/>
        <v>1345007.5445405354</v>
      </c>
      <c r="F16" s="21">
        <f t="shared" si="2"/>
        <v>4.24</v>
      </c>
    </row>
    <row r="17" spans="1:6" x14ac:dyDescent="0.2">
      <c r="A17" s="19">
        <v>13</v>
      </c>
      <c r="B17" s="143" t="s">
        <v>12</v>
      </c>
      <c r="C17" s="144"/>
      <c r="D17" s="14">
        <f t="shared" si="0"/>
        <v>0</v>
      </c>
      <c r="E17" s="17">
        <f t="shared" si="1"/>
        <v>0</v>
      </c>
      <c r="F17" s="21" t="str">
        <f t="shared" si="2"/>
        <v/>
      </c>
    </row>
    <row r="18" spans="1:6" ht="14.25" customHeight="1" x14ac:dyDescent="0.2">
      <c r="A18" s="19">
        <v>14</v>
      </c>
      <c r="B18" s="143" t="s">
        <v>464</v>
      </c>
      <c r="C18" s="144"/>
      <c r="D18" s="14">
        <f t="shared" si="0"/>
        <v>145752</v>
      </c>
      <c r="E18" s="17">
        <f t="shared" si="1"/>
        <v>489614.05617937213</v>
      </c>
      <c r="F18" s="21">
        <f t="shared" si="2"/>
        <v>3.36</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103944</v>
      </c>
      <c r="E20" s="17">
        <f t="shared" si="1"/>
        <v>648957.42389475717</v>
      </c>
      <c r="F20" s="21">
        <f t="shared" si="2"/>
        <v>6.24</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289164</v>
      </c>
      <c r="E23" s="17">
        <f t="shared" si="1"/>
        <v>1274193.9127905755</v>
      </c>
      <c r="F23" s="21">
        <f t="shared" si="2"/>
        <v>4.41</v>
      </c>
    </row>
    <row r="24" spans="1:6" x14ac:dyDescent="0.2">
      <c r="A24" s="19">
        <v>20</v>
      </c>
      <c r="B24" s="143" t="s">
        <v>18</v>
      </c>
      <c r="C24" s="144"/>
      <c r="D24" s="14">
        <f t="shared" si="0"/>
        <v>301248</v>
      </c>
      <c r="E24" s="17">
        <f t="shared" si="1"/>
        <v>1896466.0151759393</v>
      </c>
      <c r="F24" s="21">
        <f t="shared" si="2"/>
        <v>6.3</v>
      </c>
    </row>
    <row r="25" spans="1:6" ht="14.25" customHeight="1" x14ac:dyDescent="0.2">
      <c r="A25" s="19">
        <v>21</v>
      </c>
      <c r="B25" s="143" t="s">
        <v>461</v>
      </c>
      <c r="C25" s="144"/>
      <c r="D25" s="14">
        <f t="shared" si="0"/>
        <v>251964</v>
      </c>
      <c r="E25" s="17">
        <f t="shared" si="1"/>
        <v>1214737.5350402007</v>
      </c>
      <c r="F25" s="21">
        <f t="shared" si="2"/>
        <v>4.82</v>
      </c>
    </row>
    <row r="26" spans="1:6" x14ac:dyDescent="0.2">
      <c r="A26" s="19">
        <v>22</v>
      </c>
      <c r="B26" s="143" t="s">
        <v>19</v>
      </c>
      <c r="C26" s="144"/>
      <c r="D26" s="14">
        <f t="shared" si="0"/>
        <v>1380</v>
      </c>
      <c r="E26" s="17">
        <f t="shared" si="1"/>
        <v>10541.938206868746</v>
      </c>
      <c r="F26" s="21">
        <f t="shared" si="2"/>
        <v>7.64</v>
      </c>
    </row>
    <row r="27" spans="1:6" x14ac:dyDescent="0.2">
      <c r="A27" s="19">
        <v>23</v>
      </c>
      <c r="B27" s="143" t="s">
        <v>20</v>
      </c>
      <c r="C27" s="144"/>
      <c r="D27" s="14">
        <f t="shared" si="0"/>
        <v>0</v>
      </c>
      <c r="E27" s="17">
        <f t="shared" si="1"/>
        <v>0</v>
      </c>
      <c r="F27" s="21" t="str">
        <f t="shared" si="2"/>
        <v/>
      </c>
    </row>
    <row r="28" spans="1:6" x14ac:dyDescent="0.2">
      <c r="A28" s="19">
        <v>24</v>
      </c>
      <c r="B28" s="143" t="s">
        <v>21</v>
      </c>
      <c r="C28" s="144"/>
      <c r="D28" s="14">
        <f t="shared" si="0"/>
        <v>0</v>
      </c>
      <c r="E28" s="17">
        <f t="shared" si="1"/>
        <v>0</v>
      </c>
      <c r="F28" s="21" t="str">
        <f t="shared" si="2"/>
        <v/>
      </c>
    </row>
    <row r="29" spans="1:6" x14ac:dyDescent="0.2">
      <c r="A29" s="19">
        <v>25</v>
      </c>
      <c r="B29" s="143" t="s">
        <v>22</v>
      </c>
      <c r="C29" s="144"/>
      <c r="D29" s="14">
        <f t="shared" si="0"/>
        <v>155436</v>
      </c>
      <c r="E29" s="17">
        <f t="shared" si="1"/>
        <v>494032.00516148587</v>
      </c>
      <c r="F29" s="21">
        <f t="shared" si="2"/>
        <v>3.18</v>
      </c>
    </row>
    <row r="30" spans="1:6" x14ac:dyDescent="0.2">
      <c r="A30" s="19">
        <v>26</v>
      </c>
      <c r="B30" s="143" t="s">
        <v>23</v>
      </c>
      <c r="C30" s="144"/>
      <c r="D30" s="14">
        <f t="shared" si="0"/>
        <v>960</v>
      </c>
      <c r="E30" s="17">
        <f t="shared" si="1"/>
        <v>4459.2613612999976</v>
      </c>
      <c r="F30" s="21">
        <f t="shared" si="2"/>
        <v>4.6500000000000004</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4236377</v>
      </c>
      <c r="E33" s="31">
        <f>SUM(E5:E32)</f>
        <v>21781069</v>
      </c>
      <c r="F33" s="32">
        <f t="shared" si="2"/>
        <v>5.14</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IF(F3="1",SUMIF(Data!A:A,'54'!$A$2,Data!CU:CU),0)</f>
        <v>79872</v>
      </c>
      <c r="E36" s="15">
        <f>IF(F3="1",SUMIF(Data!$A:$A,$A$2,Data!IO:IO),0)</f>
        <v>209816</v>
      </c>
      <c r="F36" s="20">
        <f t="shared" ref="F36:F64" si="3">IF(OR(D36=0,E36=0),"",ROUND(E36/D36,2))</f>
        <v>2.63</v>
      </c>
    </row>
    <row r="37" spans="1:6" x14ac:dyDescent="0.2">
      <c r="A37" s="19">
        <v>2</v>
      </c>
      <c r="B37" s="143" t="s">
        <v>1</v>
      </c>
      <c r="C37" s="144"/>
      <c r="D37" s="14">
        <f>IF(F3="1",SUMIF(Data!A:A,'54'!$A$2,Data!CV:CV),0)</f>
        <v>314292</v>
      </c>
      <c r="E37" s="17">
        <f>IF(F3="1",SUMIF(Data!$A:$A,$A$2,Data!IP:IP),0)</f>
        <v>469543</v>
      </c>
      <c r="F37" s="21">
        <f t="shared" si="3"/>
        <v>1.49</v>
      </c>
    </row>
    <row r="38" spans="1:6" ht="14.25" customHeight="1" x14ac:dyDescent="0.2">
      <c r="A38" s="19">
        <v>3</v>
      </c>
      <c r="B38" s="143" t="s">
        <v>2</v>
      </c>
      <c r="C38" s="144"/>
      <c r="D38" s="14">
        <f>IF(F3="1",SUMIF(Data!A:A,'54'!$A$2,Data!CW:CW),0)</f>
        <v>141720</v>
      </c>
      <c r="E38" s="17">
        <f>IF($F$3="1",SUMIF(Data!$A:$A,$A$2,Data!IQ:IQ),0)</f>
        <v>147125</v>
      </c>
      <c r="F38" s="21">
        <f t="shared" si="3"/>
        <v>1.04</v>
      </c>
    </row>
    <row r="39" spans="1:6" ht="14.25" customHeight="1" x14ac:dyDescent="0.2">
      <c r="A39" s="19">
        <v>4</v>
      </c>
      <c r="B39" s="143" t="s">
        <v>3</v>
      </c>
      <c r="C39" s="144"/>
      <c r="D39" s="14">
        <f>IF(F3="1",SUMIF(Data!A:A,'54'!$A$2,Data!CX:CX),0)</f>
        <v>100488</v>
      </c>
      <c r="E39" s="17">
        <f>IF($F$3="1",SUMIF(Data!$A:$A,$A$2,Data!IR:IR),0)</f>
        <v>51781</v>
      </c>
      <c r="F39" s="21">
        <f t="shared" si="3"/>
        <v>0.52</v>
      </c>
    </row>
    <row r="40" spans="1:6" x14ac:dyDescent="0.2">
      <c r="A40" s="19">
        <v>5</v>
      </c>
      <c r="B40" s="143" t="s">
        <v>4</v>
      </c>
      <c r="C40" s="144"/>
      <c r="D40" s="14">
        <f>IF(F3="1",SUMIF(Data!A:A,'54'!$A$2,Data!CY:CY),0)</f>
        <v>69420</v>
      </c>
      <c r="E40" s="17">
        <f>IF($F$3="1",SUMIF(Data!$A:$A,$A$2,Data!IS:IS),0)</f>
        <v>606027</v>
      </c>
      <c r="F40" s="21">
        <f t="shared" si="3"/>
        <v>8.73</v>
      </c>
    </row>
    <row r="41" spans="1:6" x14ac:dyDescent="0.2">
      <c r="A41" s="19">
        <v>6</v>
      </c>
      <c r="B41" s="143" t="s">
        <v>5</v>
      </c>
      <c r="C41" s="144"/>
      <c r="D41" s="14">
        <f>IF(F3="1",SUMIF(Data!A:A,'54'!$A$2,Data!CZ:CZ),0)</f>
        <v>105648</v>
      </c>
      <c r="E41" s="17">
        <f>IF($F$3="1",SUMIF(Data!$A:$A,$A$2,Data!IT:IT),0)</f>
        <v>103317</v>
      </c>
      <c r="F41" s="21">
        <f t="shared" si="3"/>
        <v>0.98</v>
      </c>
    </row>
    <row r="42" spans="1:6" x14ac:dyDescent="0.2">
      <c r="A42" s="19">
        <v>7</v>
      </c>
      <c r="B42" s="143" t="s">
        <v>6</v>
      </c>
      <c r="C42" s="144"/>
      <c r="D42" s="14">
        <f>IF(F3="1",SUMIF(Data!A:A,'54'!$A$2,Data!DA:DA),0)</f>
        <v>711533</v>
      </c>
      <c r="E42" s="17">
        <f>IF($F$3="1",SUMIF(Data!$A:$A,$A$2,Data!IU:IU),0)</f>
        <v>553224</v>
      </c>
      <c r="F42" s="21">
        <f t="shared" si="3"/>
        <v>0.78</v>
      </c>
    </row>
    <row r="43" spans="1:6" x14ac:dyDescent="0.2">
      <c r="A43" s="19">
        <v>8</v>
      </c>
      <c r="B43" s="143" t="s">
        <v>7</v>
      </c>
      <c r="C43" s="144"/>
      <c r="D43" s="14">
        <f>IF(F3="1",SUMIF(Data!A:A,'54'!$A$2,Data!DB:DB),0)</f>
        <v>117360</v>
      </c>
      <c r="E43" s="17">
        <f>IF($F$3="1",SUMIF(Data!$A:$A,$A$2,Data!IV:IV),0)</f>
        <v>45883</v>
      </c>
      <c r="F43" s="21">
        <f t="shared" si="3"/>
        <v>0.39</v>
      </c>
    </row>
    <row r="44" spans="1:6" x14ac:dyDescent="0.2">
      <c r="A44" s="19">
        <v>9</v>
      </c>
      <c r="B44" s="143" t="s">
        <v>8</v>
      </c>
      <c r="C44" s="144"/>
      <c r="D44" s="14">
        <f>IF(F3="1",SUMIF(Data!A:A,'54'!$A$2,Data!DC:DC),0)</f>
        <v>48576</v>
      </c>
      <c r="E44" s="17">
        <f>IF($F$3="1",SUMIF(Data!$A:$A,$A$2,Data!IW:IW),0)</f>
        <v>71261</v>
      </c>
      <c r="F44" s="21">
        <f t="shared" si="3"/>
        <v>1.47</v>
      </c>
    </row>
    <row r="45" spans="1:6" x14ac:dyDescent="0.2">
      <c r="A45" s="19">
        <v>10</v>
      </c>
      <c r="B45" s="143" t="s">
        <v>9</v>
      </c>
      <c r="C45" s="144"/>
      <c r="D45" s="14">
        <f>IF(F3="1",SUMIF(Data!A:A,'54'!$A$2,Data!DD:DD),0)</f>
        <v>0</v>
      </c>
      <c r="E45" s="17">
        <f>IF($F$3="1",SUMIF(Data!$A:$A,$A$2,Data!IX:IX),0)</f>
        <v>0</v>
      </c>
      <c r="F45" s="21" t="str">
        <f t="shared" si="3"/>
        <v/>
      </c>
    </row>
    <row r="46" spans="1:6" x14ac:dyDescent="0.2">
      <c r="A46" s="19">
        <v>11</v>
      </c>
      <c r="B46" s="143" t="s">
        <v>10</v>
      </c>
      <c r="C46" s="144"/>
      <c r="D46" s="14">
        <f>IF(F3="1",SUMIF(Data!A:A,'54'!$A$2,Data!DE:DE),0)</f>
        <v>980424</v>
      </c>
      <c r="E46" s="17">
        <f>IF($F$3="1",SUMIF(Data!$A:$A,$A$2,Data!IY:IY),0)</f>
        <v>1402257</v>
      </c>
      <c r="F46" s="21">
        <f t="shared" si="3"/>
        <v>1.43</v>
      </c>
    </row>
    <row r="47" spans="1:6" ht="14.25" customHeight="1" x14ac:dyDescent="0.2">
      <c r="A47" s="19">
        <v>12</v>
      </c>
      <c r="B47" s="143" t="s">
        <v>11</v>
      </c>
      <c r="C47" s="144"/>
      <c r="D47" s="14">
        <f>IF(F3="1",SUMIF(Data!A:A,'54'!$A$2,Data!DF:DF),0)</f>
        <v>317196</v>
      </c>
      <c r="E47" s="17">
        <f>IF($F$3="1",SUMIF(Data!$A:$A,$A$2,Data!IZ:IZ),0)</f>
        <v>203225</v>
      </c>
      <c r="F47" s="21">
        <f t="shared" si="3"/>
        <v>0.64</v>
      </c>
    </row>
    <row r="48" spans="1:6" x14ac:dyDescent="0.2">
      <c r="A48" s="19">
        <v>13</v>
      </c>
      <c r="B48" s="143" t="s">
        <v>12</v>
      </c>
      <c r="C48" s="144"/>
      <c r="D48" s="14">
        <f>IF(F3="1",SUMIF(Data!A:A,'54'!$A$2,Data!DG:DG),0)</f>
        <v>0</v>
      </c>
      <c r="E48" s="17">
        <f>IF($F$3="1",SUMIF(Data!$A:$A,$A$2,Data!JA:JA),0)</f>
        <v>0</v>
      </c>
      <c r="F48" s="21" t="str">
        <f t="shared" si="3"/>
        <v/>
      </c>
    </row>
    <row r="49" spans="1:6" ht="14.25" customHeight="1" x14ac:dyDescent="0.2">
      <c r="A49" s="19">
        <v>14</v>
      </c>
      <c r="B49" s="143" t="s">
        <v>464</v>
      </c>
      <c r="C49" s="144"/>
      <c r="D49" s="14">
        <f>IF(F3="1",SUMIF(Data!A:A,'54'!$A$2,Data!DH:DH),0)</f>
        <v>145752</v>
      </c>
      <c r="E49" s="17">
        <f>IF($F$3="1",SUMIF(Data!$A:$A,$A$2,Data!JB:JB),0)</f>
        <v>119207</v>
      </c>
      <c r="F49" s="21">
        <f t="shared" si="3"/>
        <v>0.82</v>
      </c>
    </row>
    <row r="50" spans="1:6" x14ac:dyDescent="0.2">
      <c r="A50" s="19">
        <v>15</v>
      </c>
      <c r="B50" s="143" t="s">
        <v>13</v>
      </c>
      <c r="C50" s="144"/>
      <c r="D50" s="14">
        <f>IF(F3="1",SUMIF(Data!A:A,'54'!$A$2,Data!DI:DI),0)</f>
        <v>0</v>
      </c>
      <c r="E50" s="17">
        <f>IF($F$3="1",SUMIF(Data!$A:$A,$A$2,Data!JC:JC),0)</f>
        <v>0</v>
      </c>
      <c r="F50" s="21" t="str">
        <f t="shared" si="3"/>
        <v/>
      </c>
    </row>
    <row r="51" spans="1:6" x14ac:dyDescent="0.2">
      <c r="A51" s="19">
        <v>16</v>
      </c>
      <c r="B51" s="143" t="s">
        <v>14</v>
      </c>
      <c r="C51" s="144"/>
      <c r="D51" s="14">
        <f>IF(F3="1",SUMIF(Data!A:A,'54'!$A$2,Data!DJ:DJ),0)</f>
        <v>103944</v>
      </c>
      <c r="E51" s="17">
        <f>IF($F$3="1",SUMIF(Data!$A:$A,$A$2,Data!JD:JD),0)</f>
        <v>109373</v>
      </c>
      <c r="F51" s="21">
        <f t="shared" si="3"/>
        <v>1.05</v>
      </c>
    </row>
    <row r="52" spans="1:6" x14ac:dyDescent="0.2">
      <c r="A52" s="19">
        <v>17</v>
      </c>
      <c r="B52" s="143" t="s">
        <v>15</v>
      </c>
      <c r="C52" s="144"/>
      <c r="D52" s="14">
        <f>IF(F3="1",SUMIF(Data!A:A,'54'!$A$2,Data!DK:DK),0)</f>
        <v>0</v>
      </c>
      <c r="E52" s="17">
        <f>IF($F$3="1",SUMIF(Data!$A:$A,$A$2,Data!JE:JE),0)</f>
        <v>0</v>
      </c>
      <c r="F52" s="21" t="str">
        <f t="shared" si="3"/>
        <v/>
      </c>
    </row>
    <row r="53" spans="1:6" x14ac:dyDescent="0.2">
      <c r="A53" s="19">
        <v>18</v>
      </c>
      <c r="B53" s="143" t="s">
        <v>16</v>
      </c>
      <c r="C53" s="144"/>
      <c r="D53" s="14">
        <f>IF(F3="1",SUMIF(Data!A:A,'54'!$A$2,Data!DL:DL),0)</f>
        <v>0</v>
      </c>
      <c r="E53" s="17">
        <f>IF($F$3="1",SUMIF(Data!$A:$A,$A$2,Data!JF:JF),0)</f>
        <v>0</v>
      </c>
      <c r="F53" s="21" t="str">
        <f t="shared" si="3"/>
        <v/>
      </c>
    </row>
    <row r="54" spans="1:6" x14ac:dyDescent="0.2">
      <c r="A54" s="19">
        <v>19</v>
      </c>
      <c r="B54" s="143" t="s">
        <v>17</v>
      </c>
      <c r="C54" s="144"/>
      <c r="D54" s="14">
        <f>IF(F3="1",SUMIF(Data!A:A,'54'!$A$2,Data!DM:DM),0)</f>
        <v>289164</v>
      </c>
      <c r="E54" s="17">
        <f>IF($F$3="1",SUMIF(Data!$A:$A,$A$2,Data!JG:JG),0)</f>
        <v>200040</v>
      </c>
      <c r="F54" s="21">
        <f t="shared" si="3"/>
        <v>0.69</v>
      </c>
    </row>
    <row r="55" spans="1:6" x14ac:dyDescent="0.2">
      <c r="A55" s="19">
        <v>20</v>
      </c>
      <c r="B55" s="143" t="s">
        <v>18</v>
      </c>
      <c r="C55" s="144"/>
      <c r="D55" s="14">
        <f>IF(F3="1",SUMIF(Data!A:A,'54'!$A$2,Data!DN:DN),0)</f>
        <v>301248</v>
      </c>
      <c r="E55" s="17">
        <f>IF($F$3="1",SUMIF(Data!$A:$A,$A$2,Data!JH:JH),0)</f>
        <v>518201</v>
      </c>
      <c r="F55" s="21">
        <f t="shared" si="3"/>
        <v>1.72</v>
      </c>
    </row>
    <row r="56" spans="1:6" ht="14.25" customHeight="1" x14ac:dyDescent="0.2">
      <c r="A56" s="19">
        <v>21</v>
      </c>
      <c r="B56" s="143" t="s">
        <v>461</v>
      </c>
      <c r="C56" s="144"/>
      <c r="D56" s="14">
        <f>IF(F3="1",SUMIF(Data!A:A,'54'!$A$2,Data!DO:DO),0)</f>
        <v>251964</v>
      </c>
      <c r="E56" s="17">
        <f>IF($F$3="1",SUMIF(Data!$A:$A,$A$2,Data!JI:JI),0)</f>
        <v>308456</v>
      </c>
      <c r="F56" s="21">
        <f t="shared" si="3"/>
        <v>1.22</v>
      </c>
    </row>
    <row r="57" spans="1:6" x14ac:dyDescent="0.2">
      <c r="A57" s="19">
        <v>22</v>
      </c>
      <c r="B57" s="143" t="s">
        <v>19</v>
      </c>
      <c r="C57" s="144"/>
      <c r="D57" s="14">
        <f>IF(F3="1",SUMIF(Data!A:A,'54'!$A$2,Data!DP:DP),0)</f>
        <v>1380</v>
      </c>
      <c r="E57" s="17">
        <f>IF($F$3="1",SUMIF(Data!$A:$A,$A$2,Data!JJ:JJ),0)</f>
        <v>4965</v>
      </c>
      <c r="F57" s="21">
        <f t="shared" si="3"/>
        <v>3.6</v>
      </c>
    </row>
    <row r="58" spans="1:6" x14ac:dyDescent="0.2">
      <c r="A58" s="19">
        <v>23</v>
      </c>
      <c r="B58" s="143" t="s">
        <v>20</v>
      </c>
      <c r="C58" s="144"/>
      <c r="D58" s="14">
        <f>IF(F3="1",SUMIF(Data!A:A,'54'!$A$2,Data!DQ:DQ),0)</f>
        <v>0</v>
      </c>
      <c r="E58" s="17">
        <f>IF($F$3="1",SUMIF(Data!$A:$A,$A$2,Data!JK:JK),0)</f>
        <v>0</v>
      </c>
      <c r="F58" s="21" t="str">
        <f t="shared" si="3"/>
        <v/>
      </c>
    </row>
    <row r="59" spans="1:6" x14ac:dyDescent="0.2">
      <c r="A59" s="19">
        <v>24</v>
      </c>
      <c r="B59" s="143" t="s">
        <v>21</v>
      </c>
      <c r="C59" s="144"/>
      <c r="D59" s="14">
        <f>IF(F3="1",SUMIF(Data!A:A,'54'!$A$2,Data!DR:DR),0)</f>
        <v>0</v>
      </c>
      <c r="E59" s="17">
        <f>IF($F$3="1",SUMIF(Data!$A:$A,$A$2,Data!JL:JL),0)</f>
        <v>0</v>
      </c>
      <c r="F59" s="21" t="str">
        <f t="shared" si="3"/>
        <v/>
      </c>
    </row>
    <row r="60" spans="1:6" x14ac:dyDescent="0.2">
      <c r="A60" s="19">
        <v>25</v>
      </c>
      <c r="B60" s="143" t="s">
        <v>22</v>
      </c>
      <c r="C60" s="144"/>
      <c r="D60" s="14">
        <f>IF(F3="1",SUMIF(Data!A:A,'54'!$A$2,Data!DS:DS),0)</f>
        <v>155436</v>
      </c>
      <c r="E60" s="17">
        <f>IF($F$3="1",SUMIF(Data!$A:$A,$A$2,Data!JM:JM),0)</f>
        <v>106089</v>
      </c>
      <c r="F60" s="21">
        <f t="shared" si="3"/>
        <v>0.68</v>
      </c>
    </row>
    <row r="61" spans="1:6" x14ac:dyDescent="0.2">
      <c r="A61" s="19">
        <v>26</v>
      </c>
      <c r="B61" s="143" t="s">
        <v>23</v>
      </c>
      <c r="C61" s="144"/>
      <c r="D61" s="14">
        <f>IF(F3="1",SUMIF(Data!A:A,'54'!$A$2,Data!DT:DT),0)</f>
        <v>960</v>
      </c>
      <c r="E61" s="17">
        <f>IF($F$3="1",SUMIF(Data!$A:$A,$A$2,Data!JN:JN),0)</f>
        <v>844</v>
      </c>
      <c r="F61" s="21">
        <f t="shared" si="3"/>
        <v>0.88</v>
      </c>
    </row>
    <row r="62" spans="1:6" x14ac:dyDescent="0.2">
      <c r="A62" s="19">
        <v>28</v>
      </c>
      <c r="B62" s="143" t="s">
        <v>24</v>
      </c>
      <c r="C62" s="144"/>
      <c r="D62" s="14">
        <f>IF(F3="1",SUMIF(Data!A:A,'54'!$A$2,Data!DV:DV),0)</f>
        <v>0</v>
      </c>
      <c r="E62" s="17">
        <f>IF($F$3="1",SUMIF(Data!$A:$A,$A$2,Data!JP:JP),0)</f>
        <v>0</v>
      </c>
      <c r="F62" s="21" t="str">
        <f t="shared" si="3"/>
        <v/>
      </c>
    </row>
    <row r="63" spans="1:6" ht="15.75" customHeight="1" thickBot="1" x14ac:dyDescent="0.25">
      <c r="A63" s="22">
        <v>29</v>
      </c>
      <c r="B63" s="147" t="s">
        <v>25</v>
      </c>
      <c r="C63" s="148"/>
      <c r="D63" s="23">
        <f>IF(F3="1",SUMIF(Data!A:A,'54'!$A$2,Data!DW:DW),0)</f>
        <v>0</v>
      </c>
      <c r="E63" s="24">
        <f>IF($F$3="1",SUMIF(Data!$A:$A,$A$2,Data!JQ:JQ),0)</f>
        <v>0</v>
      </c>
      <c r="F63" s="25" t="str">
        <f t="shared" si="3"/>
        <v/>
      </c>
    </row>
    <row r="64" spans="1:6" x14ac:dyDescent="0.2">
      <c r="B64" s="30" t="s">
        <v>35</v>
      </c>
      <c r="C64" s="30"/>
      <c r="D64" s="59">
        <f>SUM(D36:D63)</f>
        <v>4236377</v>
      </c>
      <c r="E64" s="31">
        <f>SUM(E36:E63)</f>
        <v>5230634</v>
      </c>
      <c r="F64" s="32">
        <f t="shared" si="3"/>
        <v>1.23</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79872</v>
      </c>
      <c r="E67" s="15">
        <f>IF(F3="1",SUMIF(Data!A:A,'54'!$A$2,Data!DY:DY),0)</f>
        <v>349257</v>
      </c>
      <c r="F67" s="20">
        <f t="shared" ref="F67:F95" si="4">IF(OR(D67=0,E67=0),"",ROUND(E67/D67,2))</f>
        <v>4.37</v>
      </c>
    </row>
    <row r="68" spans="1:6" x14ac:dyDescent="0.2">
      <c r="A68" s="19">
        <v>2</v>
      </c>
      <c r="B68" s="143" t="s">
        <v>1</v>
      </c>
      <c r="C68" s="144"/>
      <c r="D68" s="14">
        <f t="shared" ref="D68:D94" si="5">D37</f>
        <v>314292</v>
      </c>
      <c r="E68" s="17">
        <f>IF(F3="1",SUMIF(Data!A:A,'54'!$A$2,Data!DZ:DZ),0)</f>
        <v>872406</v>
      </c>
      <c r="F68" s="21">
        <f t="shared" si="4"/>
        <v>2.78</v>
      </c>
    </row>
    <row r="69" spans="1:6" ht="14.25" customHeight="1" x14ac:dyDescent="0.2">
      <c r="A69" s="19">
        <v>3</v>
      </c>
      <c r="B69" s="143" t="s">
        <v>2</v>
      </c>
      <c r="C69" s="144"/>
      <c r="D69" s="14">
        <f t="shared" si="5"/>
        <v>141720</v>
      </c>
      <c r="E69" s="17">
        <f>IF(F3="1",SUMIF(Data!A:A,'54'!$A$2,Data!EA:EA),0)</f>
        <v>397600</v>
      </c>
      <c r="F69" s="21">
        <f t="shared" si="4"/>
        <v>2.81</v>
      </c>
    </row>
    <row r="70" spans="1:6" ht="14.25" customHeight="1" x14ac:dyDescent="0.2">
      <c r="A70" s="19">
        <v>4</v>
      </c>
      <c r="B70" s="143" t="s">
        <v>3</v>
      </c>
      <c r="C70" s="144"/>
      <c r="D70" s="14">
        <f t="shared" si="5"/>
        <v>100488</v>
      </c>
      <c r="E70" s="17">
        <f>IF(F3="1",SUMIF(Data!A:A,'54'!$A$2,Data!EB:EB),0)</f>
        <v>90799</v>
      </c>
      <c r="F70" s="21">
        <f t="shared" si="4"/>
        <v>0.9</v>
      </c>
    </row>
    <row r="71" spans="1:6" x14ac:dyDescent="0.2">
      <c r="A71" s="19">
        <v>5</v>
      </c>
      <c r="B71" s="143" t="s">
        <v>4</v>
      </c>
      <c r="C71" s="144"/>
      <c r="D71" s="14">
        <f t="shared" si="5"/>
        <v>69420</v>
      </c>
      <c r="E71" s="17">
        <f>IF(F3="1",SUMIF(Data!A:A,'54'!$A$2,Data!EC:EC),0)</f>
        <v>301989</v>
      </c>
      <c r="F71" s="21">
        <f t="shared" si="4"/>
        <v>4.3499999999999996</v>
      </c>
    </row>
    <row r="72" spans="1:6" x14ac:dyDescent="0.2">
      <c r="A72" s="19">
        <v>6</v>
      </c>
      <c r="B72" s="143" t="s">
        <v>5</v>
      </c>
      <c r="C72" s="144"/>
      <c r="D72" s="14">
        <f t="shared" si="5"/>
        <v>105648</v>
      </c>
      <c r="E72" s="17">
        <f>IF(F3="1",SUMIF(Data!A:A,'54'!$A$2,Data!ED:ED),0)</f>
        <v>355308</v>
      </c>
      <c r="F72" s="21">
        <f t="shared" si="4"/>
        <v>3.36</v>
      </c>
    </row>
    <row r="73" spans="1:6" x14ac:dyDescent="0.2">
      <c r="A73" s="19">
        <v>7</v>
      </c>
      <c r="B73" s="143" t="s">
        <v>6</v>
      </c>
      <c r="C73" s="144"/>
      <c r="D73" s="14">
        <f t="shared" si="5"/>
        <v>711533</v>
      </c>
      <c r="E73" s="17">
        <f>IF(F3="1",SUMIF(Data!A:A,'54'!$A$2,Data!EE:EE),0)</f>
        <v>1407644</v>
      </c>
      <c r="F73" s="21">
        <f t="shared" si="4"/>
        <v>1.98</v>
      </c>
    </row>
    <row r="74" spans="1:6" x14ac:dyDescent="0.2">
      <c r="A74" s="19">
        <v>8</v>
      </c>
      <c r="B74" s="143" t="s">
        <v>7</v>
      </c>
      <c r="C74" s="144"/>
      <c r="D74" s="14">
        <f t="shared" si="5"/>
        <v>117360</v>
      </c>
      <c r="E74" s="17">
        <f>IF(F3="1",SUMIF(Data!A:A,'54'!$A$2,Data!EF:EF),0)</f>
        <v>72800</v>
      </c>
      <c r="F74" s="21">
        <f t="shared" si="4"/>
        <v>0.62</v>
      </c>
    </row>
    <row r="75" spans="1:6" x14ac:dyDescent="0.2">
      <c r="A75" s="19">
        <v>9</v>
      </c>
      <c r="B75" s="143" t="s">
        <v>8</v>
      </c>
      <c r="C75" s="144"/>
      <c r="D75" s="14">
        <f t="shared" si="5"/>
        <v>48576</v>
      </c>
      <c r="E75" s="17">
        <f>IF(F3="1",SUMIF(Data!A:A,'54'!$A$2,Data!EG:EG),0)</f>
        <v>143319</v>
      </c>
      <c r="F75" s="21">
        <f t="shared" si="4"/>
        <v>2.95</v>
      </c>
    </row>
    <row r="76" spans="1:6" x14ac:dyDescent="0.2">
      <c r="A76" s="19">
        <v>10</v>
      </c>
      <c r="B76" s="143" t="s">
        <v>9</v>
      </c>
      <c r="C76" s="144"/>
      <c r="D76" s="14">
        <f t="shared" si="5"/>
        <v>0</v>
      </c>
      <c r="E76" s="17">
        <f>IF(F3="1",SUMIF(Data!A:A,'54'!$A$2,Data!EH:EH),0)</f>
        <v>0</v>
      </c>
      <c r="F76" s="21" t="str">
        <f t="shared" si="4"/>
        <v/>
      </c>
    </row>
    <row r="77" spans="1:6" x14ac:dyDescent="0.2">
      <c r="A77" s="19">
        <v>11</v>
      </c>
      <c r="B77" s="143" t="s">
        <v>10</v>
      </c>
      <c r="C77" s="144"/>
      <c r="D77" s="14">
        <f t="shared" si="5"/>
        <v>980424</v>
      </c>
      <c r="E77" s="17">
        <f>IF(F3="1",SUMIF(Data!A:A,'54'!$A$2,Data!EI:EI),0)</f>
        <v>3372602</v>
      </c>
      <c r="F77" s="21">
        <f t="shared" si="4"/>
        <v>3.44</v>
      </c>
    </row>
    <row r="78" spans="1:6" ht="14.25" customHeight="1" x14ac:dyDescent="0.2">
      <c r="A78" s="19">
        <v>12</v>
      </c>
      <c r="B78" s="143" t="s">
        <v>11</v>
      </c>
      <c r="C78" s="144"/>
      <c r="D78" s="14">
        <f t="shared" si="5"/>
        <v>317196</v>
      </c>
      <c r="E78" s="17">
        <f>IF(F3="1",SUMIF(Data!A:A,'54'!$A$2,Data!EJ:EJ),0)</f>
        <v>740245</v>
      </c>
      <c r="F78" s="21">
        <f t="shared" si="4"/>
        <v>2.33</v>
      </c>
    </row>
    <row r="79" spans="1:6" x14ac:dyDescent="0.2">
      <c r="A79" s="19">
        <v>13</v>
      </c>
      <c r="B79" s="143" t="s">
        <v>12</v>
      </c>
      <c r="C79" s="144"/>
      <c r="D79" s="14">
        <f t="shared" si="5"/>
        <v>0</v>
      </c>
      <c r="E79" s="17">
        <f>IF(F3="1",SUMIF(Data!A:A,'54'!$A$2,Data!EK:EK),0)</f>
        <v>0</v>
      </c>
      <c r="F79" s="21" t="str">
        <f t="shared" si="4"/>
        <v/>
      </c>
    </row>
    <row r="80" spans="1:6" ht="14.25" customHeight="1" x14ac:dyDescent="0.2">
      <c r="A80" s="19">
        <v>14</v>
      </c>
      <c r="B80" s="143" t="s">
        <v>464</v>
      </c>
      <c r="C80" s="144"/>
      <c r="D80" s="14">
        <f t="shared" si="5"/>
        <v>145752</v>
      </c>
      <c r="E80" s="17">
        <f>IF(F3="1",SUMIF(Data!A:A,'54'!$A$2,Data!EL:EL),0)</f>
        <v>185900</v>
      </c>
      <c r="F80" s="21">
        <f t="shared" si="4"/>
        <v>1.28</v>
      </c>
    </row>
    <row r="81" spans="1:6" x14ac:dyDescent="0.2">
      <c r="A81" s="19">
        <v>15</v>
      </c>
      <c r="B81" s="143" t="s">
        <v>13</v>
      </c>
      <c r="C81" s="144"/>
      <c r="D81" s="14">
        <f t="shared" si="5"/>
        <v>0</v>
      </c>
      <c r="E81" s="17">
        <f>IF(F3="1",SUMIF(Data!A:A,'54'!$A$2,Data!EM:EM),0)</f>
        <v>0</v>
      </c>
      <c r="F81" s="21" t="str">
        <f t="shared" si="4"/>
        <v/>
      </c>
    </row>
    <row r="82" spans="1:6" x14ac:dyDescent="0.2">
      <c r="A82" s="19">
        <v>16</v>
      </c>
      <c r="B82" s="143" t="s">
        <v>14</v>
      </c>
      <c r="C82" s="144"/>
      <c r="D82" s="14">
        <f t="shared" si="5"/>
        <v>103944</v>
      </c>
      <c r="E82" s="17">
        <f>IF(F3="1",SUMIF(Data!A:A,'54'!$A$2,Data!EN:EN),0)</f>
        <v>408002</v>
      </c>
      <c r="F82" s="21">
        <f t="shared" si="4"/>
        <v>3.93</v>
      </c>
    </row>
    <row r="83" spans="1:6" x14ac:dyDescent="0.2">
      <c r="A83" s="19">
        <v>17</v>
      </c>
      <c r="B83" s="143" t="s">
        <v>15</v>
      </c>
      <c r="C83" s="144"/>
      <c r="D83" s="14">
        <f t="shared" si="5"/>
        <v>0</v>
      </c>
      <c r="E83" s="17">
        <f>IF(F3="1",SUMIF(Data!A:A,'54'!$A$2,Data!EO:EO),0)</f>
        <v>0</v>
      </c>
      <c r="F83" s="21" t="str">
        <f t="shared" si="4"/>
        <v/>
      </c>
    </row>
    <row r="84" spans="1:6" x14ac:dyDescent="0.2">
      <c r="A84" s="19">
        <v>18</v>
      </c>
      <c r="B84" s="143" t="s">
        <v>16</v>
      </c>
      <c r="C84" s="144"/>
      <c r="D84" s="14">
        <f t="shared" si="5"/>
        <v>0</v>
      </c>
      <c r="E84" s="17">
        <f>IF(F3="1",SUMIF(Data!A:A,'54'!$A$2,Data!EP:EP),0)</f>
        <v>0</v>
      </c>
      <c r="F84" s="21" t="str">
        <f t="shared" si="4"/>
        <v/>
      </c>
    </row>
    <row r="85" spans="1:6" x14ac:dyDescent="0.2">
      <c r="A85" s="19">
        <v>19</v>
      </c>
      <c r="B85" s="143" t="s">
        <v>17</v>
      </c>
      <c r="C85" s="144"/>
      <c r="D85" s="14">
        <f t="shared" si="5"/>
        <v>289164</v>
      </c>
      <c r="E85" s="17">
        <f>IF(F3="1",SUMIF(Data!A:A,'54'!$A$2,Data!EQ:EQ),0)</f>
        <v>708102</v>
      </c>
      <c r="F85" s="21">
        <f t="shared" si="4"/>
        <v>2.4500000000000002</v>
      </c>
    </row>
    <row r="86" spans="1:6" x14ac:dyDescent="0.2">
      <c r="A86" s="19">
        <v>20</v>
      </c>
      <c r="B86" s="143" t="s">
        <v>18</v>
      </c>
      <c r="C86" s="144"/>
      <c r="D86" s="14">
        <f t="shared" si="5"/>
        <v>301248</v>
      </c>
      <c r="E86" s="17">
        <f>IF(F3="1",SUMIF(Data!A:A,'54'!$A$2,Data!ER:ER),0)</f>
        <v>996916</v>
      </c>
      <c r="F86" s="21">
        <f t="shared" si="4"/>
        <v>3.31</v>
      </c>
    </row>
    <row r="87" spans="1:6" ht="14.25" customHeight="1" x14ac:dyDescent="0.2">
      <c r="A87" s="19">
        <v>21</v>
      </c>
      <c r="B87" s="143" t="s">
        <v>461</v>
      </c>
      <c r="C87" s="144"/>
      <c r="D87" s="14">
        <f t="shared" si="5"/>
        <v>251964</v>
      </c>
      <c r="E87" s="17">
        <f>IF(F3="1",SUMIF(Data!A:A,'54'!$A$2,Data!ES:ES),0)</f>
        <v>587321</v>
      </c>
      <c r="F87" s="21">
        <f t="shared" si="4"/>
        <v>2.33</v>
      </c>
    </row>
    <row r="88" spans="1:6" x14ac:dyDescent="0.2">
      <c r="A88" s="19">
        <v>22</v>
      </c>
      <c r="B88" s="143" t="s">
        <v>19</v>
      </c>
      <c r="C88" s="144"/>
      <c r="D88" s="14">
        <f t="shared" si="5"/>
        <v>1380</v>
      </c>
      <c r="E88" s="17">
        <f>IF(F3="1",SUMIF(Data!A:A,'54'!$A$2,Data!ET:ET),0)</f>
        <v>3830</v>
      </c>
      <c r="F88" s="21">
        <f t="shared" si="4"/>
        <v>2.78</v>
      </c>
    </row>
    <row r="89" spans="1:6" x14ac:dyDescent="0.2">
      <c r="A89" s="19">
        <v>23</v>
      </c>
      <c r="B89" s="143" t="s">
        <v>20</v>
      </c>
      <c r="C89" s="144"/>
      <c r="D89" s="14">
        <f t="shared" si="5"/>
        <v>0</v>
      </c>
      <c r="E89" s="17">
        <f>IF(F3="1",SUMIF(Data!A:A,'54'!$A$2,Data!EU:EU),0)</f>
        <v>0</v>
      </c>
      <c r="F89" s="21" t="str">
        <f t="shared" si="4"/>
        <v/>
      </c>
    </row>
    <row r="90" spans="1:6" x14ac:dyDescent="0.2">
      <c r="A90" s="19">
        <v>24</v>
      </c>
      <c r="B90" s="143" t="s">
        <v>21</v>
      </c>
      <c r="C90" s="144"/>
      <c r="D90" s="14">
        <f t="shared" si="5"/>
        <v>0</v>
      </c>
      <c r="E90" s="17">
        <f>IF(F3="1",SUMIF(Data!A:A,'54'!$A$2,Data!EV:EV),0)</f>
        <v>0</v>
      </c>
      <c r="F90" s="21" t="str">
        <f t="shared" si="4"/>
        <v/>
      </c>
    </row>
    <row r="91" spans="1:6" x14ac:dyDescent="0.2">
      <c r="A91" s="19">
        <v>25</v>
      </c>
      <c r="B91" s="143" t="s">
        <v>22</v>
      </c>
      <c r="C91" s="144"/>
      <c r="D91" s="14">
        <f t="shared" si="5"/>
        <v>155436</v>
      </c>
      <c r="E91" s="17">
        <f>IF(F3="1",SUMIF(Data!A:A,'54'!$A$2,Data!EW:EW),0)</f>
        <v>191177</v>
      </c>
      <c r="F91" s="21">
        <f t="shared" si="4"/>
        <v>1.23</v>
      </c>
    </row>
    <row r="92" spans="1:6" x14ac:dyDescent="0.2">
      <c r="A92" s="19">
        <v>26</v>
      </c>
      <c r="B92" s="143" t="s">
        <v>23</v>
      </c>
      <c r="C92" s="144"/>
      <c r="D92" s="14">
        <f t="shared" si="5"/>
        <v>960</v>
      </c>
      <c r="E92" s="17">
        <f>IF(F3="1",SUMIF(Data!A:A,'54'!$A$2,Data!EX:EX),0)</f>
        <v>2400</v>
      </c>
      <c r="F92" s="21">
        <f t="shared" si="4"/>
        <v>2.5</v>
      </c>
    </row>
    <row r="93" spans="1:6" x14ac:dyDescent="0.2">
      <c r="A93" s="19">
        <v>28</v>
      </c>
      <c r="B93" s="143" t="s">
        <v>24</v>
      </c>
      <c r="C93" s="144"/>
      <c r="D93" s="14">
        <f t="shared" si="5"/>
        <v>0</v>
      </c>
      <c r="E93" s="17">
        <f>IF(F3="1",SUMIF(Data!A:A,'54'!$A$2,Data!EZ:EZ),0)</f>
        <v>0</v>
      </c>
      <c r="F93" s="21" t="str">
        <f t="shared" si="4"/>
        <v/>
      </c>
    </row>
    <row r="94" spans="1:6" ht="15.75" customHeight="1" thickBot="1" x14ac:dyDescent="0.25">
      <c r="A94" s="22">
        <v>29</v>
      </c>
      <c r="B94" s="147" t="s">
        <v>25</v>
      </c>
      <c r="C94" s="148"/>
      <c r="D94" s="23">
        <f t="shared" si="5"/>
        <v>0</v>
      </c>
      <c r="E94" s="24">
        <f>IF(F3="1",SUMIF(Data!A:A,'54'!$A$2,Data!FA:FA),0)</f>
        <v>0</v>
      </c>
      <c r="F94" s="25" t="str">
        <f t="shared" si="4"/>
        <v/>
      </c>
    </row>
    <row r="95" spans="1:6" x14ac:dyDescent="0.2">
      <c r="B95" s="30" t="s">
        <v>35</v>
      </c>
      <c r="C95" s="30"/>
      <c r="D95" s="59">
        <f>SUM(D67:D94)</f>
        <v>4236377</v>
      </c>
      <c r="E95" s="31">
        <f>SUM(E67:E94)</f>
        <v>11187617</v>
      </c>
      <c r="F95" s="32">
        <f t="shared" si="4"/>
        <v>2.64</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IF(F3="1",SUMIF(Data!A:A,'54'!$A$2,Data!AH:AH),0)</f>
        <v>2742731</v>
      </c>
      <c r="F98" s="20">
        <f>IF(OR(E98=0,E98=0),"",ROUND(E98/$D$105,2))</f>
        <v>0.65</v>
      </c>
    </row>
    <row r="99" spans="2:6" x14ac:dyDescent="0.2">
      <c r="B99" s="153" t="s">
        <v>31</v>
      </c>
      <c r="C99" s="154"/>
      <c r="D99" s="36"/>
      <c r="E99" s="17">
        <f>IF(F3="1",SUMIF(Data!A:A,'54'!$A$2,Data!AI:AI),0)</f>
        <v>1035763</v>
      </c>
      <c r="F99" s="21">
        <f t="shared" ref="F99:F104" si="6">IF(OR(E99=0,E99=0),"",ROUND(E99/$D$105,2))</f>
        <v>0.24</v>
      </c>
    </row>
    <row r="100" spans="2:6" x14ac:dyDescent="0.2">
      <c r="B100" s="153" t="s">
        <v>1078</v>
      </c>
      <c r="C100" s="154"/>
      <c r="D100" s="36"/>
      <c r="E100" s="17">
        <f>IF(F3="1",SUMIF(Data!A:A,'54'!$A$2,Data!AJ:AJ),0)</f>
        <v>429044</v>
      </c>
      <c r="F100" s="21">
        <f t="shared" si="6"/>
        <v>0.1</v>
      </c>
    </row>
    <row r="101" spans="2:6" x14ac:dyDescent="0.2">
      <c r="B101" s="153" t="s">
        <v>1079</v>
      </c>
      <c r="C101" s="154"/>
      <c r="D101" s="36"/>
      <c r="E101" s="17">
        <f>IF(F3="1",SUMIF(Data!A:A,'54'!$A$2,Data!AK:AK),0)</f>
        <v>374269</v>
      </c>
      <c r="F101" s="21">
        <f t="shared" si="6"/>
        <v>0.09</v>
      </c>
    </row>
    <row r="102" spans="2:6" x14ac:dyDescent="0.2">
      <c r="B102" s="153" t="s">
        <v>1080</v>
      </c>
      <c r="C102" s="154"/>
      <c r="D102" s="36"/>
      <c r="E102" s="17">
        <f>IF(F3="1",SUMIF(Data!A:A,'54'!$A$2,Data!AL:AL),0)</f>
        <v>0</v>
      </c>
      <c r="F102" s="21" t="str">
        <f t="shared" si="6"/>
        <v/>
      </c>
    </row>
    <row r="103" spans="2:6" x14ac:dyDescent="0.2">
      <c r="B103" s="155" t="s">
        <v>34</v>
      </c>
      <c r="C103" s="156"/>
      <c r="D103" s="36"/>
      <c r="E103" s="17">
        <f>IF(F3="1",SUMIF(Data!A:A,'54'!$A$2,Data!AM:AM),0)</f>
        <v>0</v>
      </c>
      <c r="F103" s="21" t="str">
        <f t="shared" si="6"/>
        <v/>
      </c>
    </row>
    <row r="104" spans="2:6" ht="15.75" customHeight="1" thickBot="1" x14ac:dyDescent="0.25">
      <c r="B104" s="149" t="s">
        <v>29</v>
      </c>
      <c r="C104" s="150"/>
      <c r="D104" s="37"/>
      <c r="E104" s="24">
        <f>IF(F3="1",SUMIF(Data!A:A,'54'!$A$2,Data!Q:Q),0)</f>
        <v>781011</v>
      </c>
      <c r="F104" s="25">
        <f t="shared" si="6"/>
        <v>0.18</v>
      </c>
    </row>
    <row r="105" spans="2:6" x14ac:dyDescent="0.2">
      <c r="B105" s="30" t="s">
        <v>35</v>
      </c>
      <c r="C105" s="30"/>
      <c r="D105" s="34">
        <f>D95</f>
        <v>4236377</v>
      </c>
      <c r="E105" s="31">
        <f>SUM(E98:E104)</f>
        <v>5362818</v>
      </c>
      <c r="F105" s="32">
        <f>IF($D$105=0,"",ROUND(E105/$D$105,2))</f>
        <v>1.27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11187617</v>
      </c>
      <c r="D109" s="15">
        <f>IF(F3="1",SUMIF(Data!$A:$A,$A$2,Data!HJ:HJ),0)</f>
        <v>0</v>
      </c>
      <c r="E109" s="15">
        <f>IF(F3="1",SUMIF(Data!$A:$A,$A$2,Data!IN:IN),0)</f>
        <v>0</v>
      </c>
      <c r="F109" s="47">
        <f>SUM(C109:E109)</f>
        <v>11187617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781011</v>
      </c>
      <c r="E117" s="52"/>
      <c r="F117" s="49">
        <f>SUM(C117:E117)</f>
        <v>781011</v>
      </c>
    </row>
    <row r="118" spans="1:6" x14ac:dyDescent="0.2">
      <c r="B118" s="13" t="s">
        <v>35</v>
      </c>
      <c r="C118" s="4">
        <f>SUM(C109:C116)</f>
        <v>11187617</v>
      </c>
      <c r="D118" s="4">
        <f>SUM(D109:D116)</f>
        <v>0</v>
      </c>
      <c r="E118" s="4">
        <f>SUM(E109:E116)</f>
        <v>0</v>
      </c>
      <c r="F118" s="4">
        <f>SUM(F109:F116)</f>
        <v>11187617</v>
      </c>
    </row>
    <row r="119" spans="1:6" ht="15" thickBot="1" x14ac:dyDescent="0.25"/>
    <row r="120" spans="1:6" ht="15" thickBot="1" x14ac:dyDescent="0.25">
      <c r="B120" s="55" t="s">
        <v>934</v>
      </c>
      <c r="C120" s="53"/>
      <c r="D120" s="53"/>
      <c r="E120" s="53">
        <f>IF(F3="1",SUMIF(Data!A:A,'54'!$A$2,Data!AM:AM),0)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1073</v>
      </c>
      <c r="B2" s="58" t="str">
        <f>VLOOKUP(A2,Data!A:G,7,0)</f>
        <v>Lamar Institute of Technology</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0</v>
      </c>
      <c r="E5" s="15">
        <f>E36+E67+IFERROR($E$105/$D$105*D5,0)</f>
        <v>0</v>
      </c>
      <c r="F5" s="20" t="str">
        <f>IF(OR(D5=0,E5=0),"",ROUND(E5/D5,2))</f>
        <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0</v>
      </c>
      <c r="E7" s="17">
        <f t="shared" si="1"/>
        <v>0</v>
      </c>
      <c r="F7" s="21" t="str">
        <f t="shared" si="2"/>
        <v/>
      </c>
    </row>
    <row r="8" spans="1:6" ht="14.25" customHeight="1" x14ac:dyDescent="0.2">
      <c r="A8" s="19">
        <v>4</v>
      </c>
      <c r="B8" s="143" t="s">
        <v>3</v>
      </c>
      <c r="C8" s="144"/>
      <c r="D8" s="14">
        <f t="shared" si="0"/>
        <v>0</v>
      </c>
      <c r="E8" s="17">
        <f t="shared" si="1"/>
        <v>0</v>
      </c>
      <c r="F8" s="21" t="str">
        <f t="shared" si="2"/>
        <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0</v>
      </c>
      <c r="E10" s="17">
        <f t="shared" si="1"/>
        <v>0</v>
      </c>
      <c r="F10" s="21" t="str">
        <f t="shared" si="2"/>
        <v/>
      </c>
    </row>
    <row r="11" spans="1:6" x14ac:dyDescent="0.2">
      <c r="A11" s="19">
        <v>7</v>
      </c>
      <c r="B11" s="143" t="s">
        <v>6</v>
      </c>
      <c r="C11" s="144"/>
      <c r="D11" s="14">
        <f t="shared" si="0"/>
        <v>0</v>
      </c>
      <c r="E11" s="17">
        <f t="shared" si="1"/>
        <v>0</v>
      </c>
      <c r="F11" s="21" t="str">
        <f t="shared" si="2"/>
        <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0</v>
      </c>
      <c r="E13" s="17">
        <f t="shared" si="1"/>
        <v>0</v>
      </c>
      <c r="F13" s="21" t="str">
        <f t="shared" si="2"/>
        <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0</v>
      </c>
      <c r="E15" s="17">
        <f t="shared" si="1"/>
        <v>0</v>
      </c>
      <c r="F15" s="21" t="str">
        <f t="shared" si="2"/>
        <v/>
      </c>
    </row>
    <row r="16" spans="1:6" ht="14.25" customHeight="1" x14ac:dyDescent="0.2">
      <c r="A16" s="19">
        <v>12</v>
      </c>
      <c r="B16" s="143" t="s">
        <v>11</v>
      </c>
      <c r="C16" s="144"/>
      <c r="D16" s="14">
        <f t="shared" si="0"/>
        <v>0</v>
      </c>
      <c r="E16" s="17">
        <f t="shared" si="1"/>
        <v>0</v>
      </c>
      <c r="F16" s="21" t="str">
        <f t="shared" si="2"/>
        <v/>
      </c>
    </row>
    <row r="17" spans="1:6" x14ac:dyDescent="0.2">
      <c r="A17" s="19">
        <v>13</v>
      </c>
      <c r="B17" s="143" t="s">
        <v>12</v>
      </c>
      <c r="C17" s="144"/>
      <c r="D17" s="14">
        <f t="shared" si="0"/>
        <v>0</v>
      </c>
      <c r="E17" s="17">
        <f t="shared" si="1"/>
        <v>0</v>
      </c>
      <c r="F17" s="21" t="str">
        <f t="shared" si="2"/>
        <v/>
      </c>
    </row>
    <row r="18" spans="1:6" ht="14.25" customHeight="1" x14ac:dyDescent="0.2">
      <c r="A18" s="19">
        <v>14</v>
      </c>
      <c r="B18" s="143" t="s">
        <v>464</v>
      </c>
      <c r="C18" s="144"/>
      <c r="D18" s="14">
        <f t="shared" si="0"/>
        <v>0</v>
      </c>
      <c r="E18" s="17">
        <f t="shared" si="1"/>
        <v>0</v>
      </c>
      <c r="F18" s="21" t="str">
        <f t="shared" si="2"/>
        <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0</v>
      </c>
      <c r="E20" s="17">
        <f t="shared" si="1"/>
        <v>0</v>
      </c>
      <c r="F20" s="21" t="str">
        <f t="shared" si="2"/>
        <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0</v>
      </c>
      <c r="E22" s="17">
        <f t="shared" si="1"/>
        <v>0</v>
      </c>
      <c r="F22" s="21" t="str">
        <f t="shared" si="2"/>
        <v/>
      </c>
    </row>
    <row r="23" spans="1:6" x14ac:dyDescent="0.2">
      <c r="A23" s="19">
        <v>19</v>
      </c>
      <c r="B23" s="143" t="s">
        <v>17</v>
      </c>
      <c r="C23" s="144"/>
      <c r="D23" s="14">
        <f t="shared" si="0"/>
        <v>0</v>
      </c>
      <c r="E23" s="17">
        <f t="shared" si="1"/>
        <v>0</v>
      </c>
      <c r="F23" s="21" t="str">
        <f t="shared" si="2"/>
        <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0</v>
      </c>
      <c r="E26" s="17">
        <f t="shared" si="1"/>
        <v>0</v>
      </c>
      <c r="F26" s="21" t="str">
        <f t="shared" si="2"/>
        <v/>
      </c>
    </row>
    <row r="27" spans="1:6" x14ac:dyDescent="0.2">
      <c r="A27" s="19">
        <v>23</v>
      </c>
      <c r="B27" s="143" t="s">
        <v>20</v>
      </c>
      <c r="C27" s="144"/>
      <c r="D27" s="14">
        <f t="shared" si="0"/>
        <v>0</v>
      </c>
      <c r="E27" s="17">
        <f t="shared" si="1"/>
        <v>0</v>
      </c>
      <c r="F27" s="21" t="str">
        <f t="shared" si="2"/>
        <v/>
      </c>
    </row>
    <row r="28" spans="1:6" x14ac:dyDescent="0.2">
      <c r="A28" s="19">
        <v>24</v>
      </c>
      <c r="B28" s="143" t="s">
        <v>21</v>
      </c>
      <c r="C28" s="144"/>
      <c r="D28" s="14">
        <f t="shared" si="0"/>
        <v>0</v>
      </c>
      <c r="E28" s="17">
        <f t="shared" si="1"/>
        <v>0</v>
      </c>
      <c r="F28" s="21" t="str">
        <f t="shared" si="2"/>
        <v/>
      </c>
    </row>
    <row r="29" spans="1:6" x14ac:dyDescent="0.2">
      <c r="A29" s="19">
        <v>25</v>
      </c>
      <c r="B29" s="143" t="s">
        <v>22</v>
      </c>
      <c r="C29" s="144"/>
      <c r="D29" s="14">
        <f t="shared" si="0"/>
        <v>0</v>
      </c>
      <c r="E29" s="17">
        <f t="shared" si="1"/>
        <v>0</v>
      </c>
      <c r="F29" s="21" t="str">
        <f t="shared" si="2"/>
        <v/>
      </c>
    </row>
    <row r="30" spans="1:6" x14ac:dyDescent="0.2">
      <c r="A30" s="19">
        <v>26</v>
      </c>
      <c r="B30" s="143" t="s">
        <v>23</v>
      </c>
      <c r="C30" s="144"/>
      <c r="D30" s="14">
        <f t="shared" si="0"/>
        <v>0</v>
      </c>
      <c r="E30" s="17">
        <f t="shared" si="1"/>
        <v>0</v>
      </c>
      <c r="F30" s="21" t="str">
        <f t="shared" si="2"/>
        <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0</v>
      </c>
      <c r="E33" s="31">
        <f>SUM(E5:E32)</f>
        <v>0</v>
      </c>
      <c r="F33" s="32" t="str">
        <f t="shared" si="2"/>
        <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IF(F3="1",SUMIF(Data!A:A,'55'!$A$2,Data!CU:CU),0)</f>
        <v>0</v>
      </c>
      <c r="E36" s="15">
        <f>IF(F3="1",SUMIF(Data!$A:$A,$A$2,Data!IO:IO),0)</f>
        <v>0</v>
      </c>
      <c r="F36" s="20" t="str">
        <f t="shared" ref="F36:F64" si="3">IF(OR(D36=0,E36=0),"",ROUND(E36/D36,2))</f>
        <v/>
      </c>
    </row>
    <row r="37" spans="1:6" x14ac:dyDescent="0.2">
      <c r="A37" s="19">
        <v>2</v>
      </c>
      <c r="B37" s="143" t="s">
        <v>1</v>
      </c>
      <c r="C37" s="144"/>
      <c r="D37" s="14">
        <f>IF(F3="1",SUMIF(Data!A:A,'55'!$A$2,Data!CV:CV),0)</f>
        <v>0</v>
      </c>
      <c r="E37" s="17">
        <f>IF(F3="1",SUMIF(Data!$A:$A,$A$2,Data!IP:IP),0)</f>
        <v>0</v>
      </c>
      <c r="F37" s="21" t="str">
        <f t="shared" si="3"/>
        <v/>
      </c>
    </row>
    <row r="38" spans="1:6" ht="14.25" customHeight="1" x14ac:dyDescent="0.2">
      <c r="A38" s="19">
        <v>3</v>
      </c>
      <c r="B38" s="143" t="s">
        <v>2</v>
      </c>
      <c r="C38" s="144"/>
      <c r="D38" s="14">
        <f>IF(F3="1",SUMIF(Data!A:A,'55'!$A$2,Data!CW:CW),0)</f>
        <v>0</v>
      </c>
      <c r="E38" s="17">
        <f>IF($F$3="1",SUMIF(Data!$A:$A,$A$2,Data!IQ:IQ),0)</f>
        <v>0</v>
      </c>
      <c r="F38" s="21" t="str">
        <f t="shared" si="3"/>
        <v/>
      </c>
    </row>
    <row r="39" spans="1:6" ht="14.25" customHeight="1" x14ac:dyDescent="0.2">
      <c r="A39" s="19">
        <v>4</v>
      </c>
      <c r="B39" s="143" t="s">
        <v>3</v>
      </c>
      <c r="C39" s="144"/>
      <c r="D39" s="14">
        <f>IF(F3="1",SUMIF(Data!A:A,'55'!$A$2,Data!CX:CX),0)</f>
        <v>0</v>
      </c>
      <c r="E39" s="17">
        <f>IF($F$3="1",SUMIF(Data!$A:$A,$A$2,Data!IR:IR),0)</f>
        <v>0</v>
      </c>
      <c r="F39" s="21" t="str">
        <f t="shared" si="3"/>
        <v/>
      </c>
    </row>
    <row r="40" spans="1:6" x14ac:dyDescent="0.2">
      <c r="A40" s="19">
        <v>5</v>
      </c>
      <c r="B40" s="143" t="s">
        <v>4</v>
      </c>
      <c r="C40" s="144"/>
      <c r="D40" s="14">
        <f>IF(F3="1",SUMIF(Data!A:A,'55'!$A$2,Data!CY:CY),0)</f>
        <v>0</v>
      </c>
      <c r="E40" s="17">
        <f>IF($F$3="1",SUMIF(Data!$A:$A,$A$2,Data!IS:IS),0)</f>
        <v>0</v>
      </c>
      <c r="F40" s="21" t="str">
        <f t="shared" si="3"/>
        <v/>
      </c>
    </row>
    <row r="41" spans="1:6" x14ac:dyDescent="0.2">
      <c r="A41" s="19">
        <v>6</v>
      </c>
      <c r="B41" s="143" t="s">
        <v>5</v>
      </c>
      <c r="C41" s="144"/>
      <c r="D41" s="14">
        <f>IF(F3="1",SUMIF(Data!A:A,'55'!$A$2,Data!CZ:CZ),0)</f>
        <v>0</v>
      </c>
      <c r="E41" s="17">
        <f>IF($F$3="1",SUMIF(Data!$A:$A,$A$2,Data!IT:IT),0)</f>
        <v>0</v>
      </c>
      <c r="F41" s="21" t="str">
        <f t="shared" si="3"/>
        <v/>
      </c>
    </row>
    <row r="42" spans="1:6" x14ac:dyDescent="0.2">
      <c r="A42" s="19">
        <v>7</v>
      </c>
      <c r="B42" s="143" t="s">
        <v>6</v>
      </c>
      <c r="C42" s="144"/>
      <c r="D42" s="14">
        <f>IF(F3="1",SUMIF(Data!A:A,'55'!$A$2,Data!DA:DA),0)</f>
        <v>0</v>
      </c>
      <c r="E42" s="17">
        <f>IF($F$3="1",SUMIF(Data!$A:$A,$A$2,Data!IU:IU),0)</f>
        <v>0</v>
      </c>
      <c r="F42" s="21" t="str">
        <f t="shared" si="3"/>
        <v/>
      </c>
    </row>
    <row r="43" spans="1:6" x14ac:dyDescent="0.2">
      <c r="A43" s="19">
        <v>8</v>
      </c>
      <c r="B43" s="143" t="s">
        <v>7</v>
      </c>
      <c r="C43" s="144"/>
      <c r="D43" s="14">
        <f>IF(F3="1",SUMIF(Data!A:A,'55'!$A$2,Data!DB:DB),0)</f>
        <v>0</v>
      </c>
      <c r="E43" s="17">
        <f>IF($F$3="1",SUMIF(Data!$A:$A,$A$2,Data!IV:IV),0)</f>
        <v>0</v>
      </c>
      <c r="F43" s="21" t="str">
        <f t="shared" si="3"/>
        <v/>
      </c>
    </row>
    <row r="44" spans="1:6" x14ac:dyDescent="0.2">
      <c r="A44" s="19">
        <v>9</v>
      </c>
      <c r="B44" s="143" t="s">
        <v>8</v>
      </c>
      <c r="C44" s="144"/>
      <c r="D44" s="14">
        <f>IF(F3="1",SUMIF(Data!A:A,'55'!$A$2,Data!DC:DC),0)</f>
        <v>0</v>
      </c>
      <c r="E44" s="17">
        <f>IF($F$3="1",SUMIF(Data!$A:$A,$A$2,Data!IW:IW),0)</f>
        <v>0</v>
      </c>
      <c r="F44" s="21" t="str">
        <f t="shared" si="3"/>
        <v/>
      </c>
    </row>
    <row r="45" spans="1:6" x14ac:dyDescent="0.2">
      <c r="A45" s="19">
        <v>10</v>
      </c>
      <c r="B45" s="143" t="s">
        <v>9</v>
      </c>
      <c r="C45" s="144"/>
      <c r="D45" s="14">
        <f>IF(F3="1",SUMIF(Data!A:A,'55'!$A$2,Data!DD:DD),0)</f>
        <v>0</v>
      </c>
      <c r="E45" s="17">
        <f>IF($F$3="1",SUMIF(Data!$A:$A,$A$2,Data!IX:IX),0)</f>
        <v>0</v>
      </c>
      <c r="F45" s="21" t="str">
        <f t="shared" si="3"/>
        <v/>
      </c>
    </row>
    <row r="46" spans="1:6" x14ac:dyDescent="0.2">
      <c r="A46" s="19">
        <v>11</v>
      </c>
      <c r="B46" s="143" t="s">
        <v>10</v>
      </c>
      <c r="C46" s="144"/>
      <c r="D46" s="14">
        <f>IF(F3="1",SUMIF(Data!A:A,'55'!$A$2,Data!DE:DE),0)</f>
        <v>0</v>
      </c>
      <c r="E46" s="17">
        <f>IF($F$3="1",SUMIF(Data!$A:$A,$A$2,Data!IY:IY),0)</f>
        <v>0</v>
      </c>
      <c r="F46" s="21" t="str">
        <f t="shared" si="3"/>
        <v/>
      </c>
    </row>
    <row r="47" spans="1:6" ht="14.25" customHeight="1" x14ac:dyDescent="0.2">
      <c r="A47" s="19">
        <v>12</v>
      </c>
      <c r="B47" s="143" t="s">
        <v>11</v>
      </c>
      <c r="C47" s="144"/>
      <c r="D47" s="14">
        <f>IF(F3="1",SUMIF(Data!A:A,'55'!$A$2,Data!DF:DF),0)</f>
        <v>0</v>
      </c>
      <c r="E47" s="17">
        <f>IF($F$3="1",SUMIF(Data!$A:$A,$A$2,Data!IZ:IZ),0)</f>
        <v>0</v>
      </c>
      <c r="F47" s="21" t="str">
        <f t="shared" si="3"/>
        <v/>
      </c>
    </row>
    <row r="48" spans="1:6" x14ac:dyDescent="0.2">
      <c r="A48" s="19">
        <v>13</v>
      </c>
      <c r="B48" s="143" t="s">
        <v>12</v>
      </c>
      <c r="C48" s="144"/>
      <c r="D48" s="14">
        <f>IF(F3="1",SUMIF(Data!A:A,'55'!$A$2,Data!DG:DG),0)</f>
        <v>0</v>
      </c>
      <c r="E48" s="17">
        <f>IF($F$3="1",SUMIF(Data!$A:$A,$A$2,Data!JA:JA),0)</f>
        <v>0</v>
      </c>
      <c r="F48" s="21" t="str">
        <f t="shared" si="3"/>
        <v/>
      </c>
    </row>
    <row r="49" spans="1:6" ht="14.25" customHeight="1" x14ac:dyDescent="0.2">
      <c r="A49" s="19">
        <v>14</v>
      </c>
      <c r="B49" s="143" t="s">
        <v>464</v>
      </c>
      <c r="C49" s="144"/>
      <c r="D49" s="14">
        <f>IF(F3="1",SUMIF(Data!A:A,'55'!$A$2,Data!DH:DH),0)</f>
        <v>0</v>
      </c>
      <c r="E49" s="17">
        <f>IF($F$3="1",SUMIF(Data!$A:$A,$A$2,Data!JB:JB),0)</f>
        <v>0</v>
      </c>
      <c r="F49" s="21" t="str">
        <f t="shared" si="3"/>
        <v/>
      </c>
    </row>
    <row r="50" spans="1:6" x14ac:dyDescent="0.2">
      <c r="A50" s="19">
        <v>15</v>
      </c>
      <c r="B50" s="143" t="s">
        <v>13</v>
      </c>
      <c r="C50" s="144"/>
      <c r="D50" s="14">
        <f>IF(F3="1",SUMIF(Data!A:A,'55'!$A$2,Data!DI:DI),0)</f>
        <v>0</v>
      </c>
      <c r="E50" s="17">
        <f>IF($F$3="1",SUMIF(Data!$A:$A,$A$2,Data!JC:JC),0)</f>
        <v>0</v>
      </c>
      <c r="F50" s="21" t="str">
        <f t="shared" si="3"/>
        <v/>
      </c>
    </row>
    <row r="51" spans="1:6" x14ac:dyDescent="0.2">
      <c r="A51" s="19">
        <v>16</v>
      </c>
      <c r="B51" s="143" t="s">
        <v>14</v>
      </c>
      <c r="C51" s="144"/>
      <c r="D51" s="14">
        <f>IF(F3="1",SUMIF(Data!A:A,'55'!$A$2,Data!DJ:DJ),0)</f>
        <v>0</v>
      </c>
      <c r="E51" s="17">
        <f>IF($F$3="1",SUMIF(Data!$A:$A,$A$2,Data!JD:JD),0)</f>
        <v>0</v>
      </c>
      <c r="F51" s="21" t="str">
        <f t="shared" si="3"/>
        <v/>
      </c>
    </row>
    <row r="52" spans="1:6" x14ac:dyDescent="0.2">
      <c r="A52" s="19">
        <v>17</v>
      </c>
      <c r="B52" s="143" t="s">
        <v>15</v>
      </c>
      <c r="C52" s="144"/>
      <c r="D52" s="14">
        <f>IF(F3="1",SUMIF(Data!A:A,'55'!$A$2,Data!DK:DK),0)</f>
        <v>0</v>
      </c>
      <c r="E52" s="17">
        <f>IF($F$3="1",SUMIF(Data!$A:$A,$A$2,Data!JE:JE),0)</f>
        <v>0</v>
      </c>
      <c r="F52" s="21" t="str">
        <f t="shared" si="3"/>
        <v/>
      </c>
    </row>
    <row r="53" spans="1:6" x14ac:dyDescent="0.2">
      <c r="A53" s="19">
        <v>18</v>
      </c>
      <c r="B53" s="143" t="s">
        <v>16</v>
      </c>
      <c r="C53" s="144"/>
      <c r="D53" s="14">
        <f>IF(F3="1",SUMIF(Data!A:A,'55'!$A$2,Data!DL:DL),0)</f>
        <v>0</v>
      </c>
      <c r="E53" s="17">
        <f>IF($F$3="1",SUMIF(Data!$A:$A,$A$2,Data!JF:JF),0)</f>
        <v>0</v>
      </c>
      <c r="F53" s="21" t="str">
        <f t="shared" si="3"/>
        <v/>
      </c>
    </row>
    <row r="54" spans="1:6" x14ac:dyDescent="0.2">
      <c r="A54" s="19">
        <v>19</v>
      </c>
      <c r="B54" s="143" t="s">
        <v>17</v>
      </c>
      <c r="C54" s="144"/>
      <c r="D54" s="14">
        <f>IF(F3="1",SUMIF(Data!A:A,'55'!$A$2,Data!DM:DM),0)</f>
        <v>0</v>
      </c>
      <c r="E54" s="17">
        <f>IF($F$3="1",SUMIF(Data!$A:$A,$A$2,Data!JG:JG),0)</f>
        <v>0</v>
      </c>
      <c r="F54" s="21" t="str">
        <f t="shared" si="3"/>
        <v/>
      </c>
    </row>
    <row r="55" spans="1:6" x14ac:dyDescent="0.2">
      <c r="A55" s="19">
        <v>20</v>
      </c>
      <c r="B55" s="143" t="s">
        <v>18</v>
      </c>
      <c r="C55" s="144"/>
      <c r="D55" s="14">
        <f>IF(F3="1",SUMIF(Data!A:A,'55'!$A$2,Data!DN:DN),0)</f>
        <v>0</v>
      </c>
      <c r="E55" s="17">
        <f>IF($F$3="1",SUMIF(Data!$A:$A,$A$2,Data!JH:JH),0)</f>
        <v>0</v>
      </c>
      <c r="F55" s="21" t="str">
        <f t="shared" si="3"/>
        <v/>
      </c>
    </row>
    <row r="56" spans="1:6" ht="14.25" customHeight="1" x14ac:dyDescent="0.2">
      <c r="A56" s="19">
        <v>21</v>
      </c>
      <c r="B56" s="143" t="s">
        <v>461</v>
      </c>
      <c r="C56" s="144"/>
      <c r="D56" s="14">
        <f>IF(F3="1",SUMIF(Data!A:A,'55'!$A$2,Data!DO:DO),0)</f>
        <v>0</v>
      </c>
      <c r="E56" s="17">
        <f>IF($F$3="1",SUMIF(Data!$A:$A,$A$2,Data!JI:JI),0)</f>
        <v>0</v>
      </c>
      <c r="F56" s="21" t="str">
        <f t="shared" si="3"/>
        <v/>
      </c>
    </row>
    <row r="57" spans="1:6" x14ac:dyDescent="0.2">
      <c r="A57" s="19">
        <v>22</v>
      </c>
      <c r="B57" s="143" t="s">
        <v>19</v>
      </c>
      <c r="C57" s="144"/>
      <c r="D57" s="14">
        <f>IF(F3="1",SUMIF(Data!A:A,'55'!$A$2,Data!DP:DP),0)</f>
        <v>0</v>
      </c>
      <c r="E57" s="17">
        <f>IF($F$3="1",SUMIF(Data!$A:$A,$A$2,Data!JJ:JJ),0)</f>
        <v>0</v>
      </c>
      <c r="F57" s="21" t="str">
        <f t="shared" si="3"/>
        <v/>
      </c>
    </row>
    <row r="58" spans="1:6" x14ac:dyDescent="0.2">
      <c r="A58" s="19">
        <v>23</v>
      </c>
      <c r="B58" s="143" t="s">
        <v>20</v>
      </c>
      <c r="C58" s="144"/>
      <c r="D58" s="14">
        <f>IF(F3="1",SUMIF(Data!A:A,'55'!$A$2,Data!DQ:DQ),0)</f>
        <v>0</v>
      </c>
      <c r="E58" s="17">
        <f>IF($F$3="1",SUMIF(Data!$A:$A,$A$2,Data!JK:JK),0)</f>
        <v>0</v>
      </c>
      <c r="F58" s="21" t="str">
        <f t="shared" si="3"/>
        <v/>
      </c>
    </row>
    <row r="59" spans="1:6" x14ac:dyDescent="0.2">
      <c r="A59" s="19">
        <v>24</v>
      </c>
      <c r="B59" s="143" t="s">
        <v>21</v>
      </c>
      <c r="C59" s="144"/>
      <c r="D59" s="14">
        <f>IF(F3="1",SUMIF(Data!A:A,'55'!$A$2,Data!DR:DR),0)</f>
        <v>0</v>
      </c>
      <c r="E59" s="17">
        <f>IF($F$3="1",SUMIF(Data!$A:$A,$A$2,Data!JL:JL),0)</f>
        <v>0</v>
      </c>
      <c r="F59" s="21" t="str">
        <f t="shared" si="3"/>
        <v/>
      </c>
    </row>
    <row r="60" spans="1:6" x14ac:dyDescent="0.2">
      <c r="A60" s="19">
        <v>25</v>
      </c>
      <c r="B60" s="143" t="s">
        <v>22</v>
      </c>
      <c r="C60" s="144"/>
      <c r="D60" s="14">
        <f>IF(F3="1",SUMIF(Data!A:A,'55'!$A$2,Data!DS:DS),0)</f>
        <v>0</v>
      </c>
      <c r="E60" s="17">
        <f>IF($F$3="1",SUMIF(Data!$A:$A,$A$2,Data!JM:JM),0)</f>
        <v>0</v>
      </c>
      <c r="F60" s="21" t="str">
        <f t="shared" si="3"/>
        <v/>
      </c>
    </row>
    <row r="61" spans="1:6" x14ac:dyDescent="0.2">
      <c r="A61" s="19">
        <v>26</v>
      </c>
      <c r="B61" s="143" t="s">
        <v>23</v>
      </c>
      <c r="C61" s="144"/>
      <c r="D61" s="14">
        <f>IF(F3="1",SUMIF(Data!A:A,'55'!$A$2,Data!DT:DT),0)</f>
        <v>0</v>
      </c>
      <c r="E61" s="17">
        <f>IF($F$3="1",SUMIF(Data!$A:$A,$A$2,Data!JN:JN),0)</f>
        <v>0</v>
      </c>
      <c r="F61" s="21" t="str">
        <f t="shared" si="3"/>
        <v/>
      </c>
    </row>
    <row r="62" spans="1:6" x14ac:dyDescent="0.2">
      <c r="A62" s="19">
        <v>28</v>
      </c>
      <c r="B62" s="143" t="s">
        <v>24</v>
      </c>
      <c r="C62" s="144"/>
      <c r="D62" s="14">
        <f>IF(F3="1",SUMIF(Data!A:A,'55'!$A$2,Data!DV:DV),0)</f>
        <v>0</v>
      </c>
      <c r="E62" s="17">
        <f>IF($F$3="1",SUMIF(Data!$A:$A,$A$2,Data!JP:JP),0)</f>
        <v>0</v>
      </c>
      <c r="F62" s="21" t="str">
        <f t="shared" si="3"/>
        <v/>
      </c>
    </row>
    <row r="63" spans="1:6" ht="15.75" customHeight="1" thickBot="1" x14ac:dyDescent="0.25">
      <c r="A63" s="22">
        <v>29</v>
      </c>
      <c r="B63" s="147" t="s">
        <v>25</v>
      </c>
      <c r="C63" s="148"/>
      <c r="D63" s="23">
        <f>IF(F3="1",SUMIF(Data!A:A,'55'!$A$2,Data!DW:DW),0)</f>
        <v>0</v>
      </c>
      <c r="E63" s="24">
        <f>IF($F$3="1",SUMIF(Data!$A:$A,$A$2,Data!JQ:JQ),0)</f>
        <v>0</v>
      </c>
      <c r="F63" s="25" t="str">
        <f t="shared" si="3"/>
        <v/>
      </c>
    </row>
    <row r="64" spans="1:6" x14ac:dyDescent="0.2">
      <c r="B64" s="30" t="s">
        <v>35</v>
      </c>
      <c r="C64" s="30"/>
      <c r="D64" s="59">
        <f>SUM(D36:D63)</f>
        <v>0</v>
      </c>
      <c r="E64" s="31">
        <f>SUM(E36:E63)</f>
        <v>0</v>
      </c>
      <c r="F64" s="32" t="str">
        <f t="shared" si="3"/>
        <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0</v>
      </c>
      <c r="E67" s="15">
        <f>IF(F3="1",SUMIF(Data!A:A,'55'!$A$2,Data!DY:DY),0)</f>
        <v>0</v>
      </c>
      <c r="F67" s="20" t="str">
        <f t="shared" ref="F67:F95" si="4">IF(OR(D67=0,E67=0),"",ROUND(E67/D67,2))</f>
        <v/>
      </c>
    </row>
    <row r="68" spans="1:6" x14ac:dyDescent="0.2">
      <c r="A68" s="19">
        <v>2</v>
      </c>
      <c r="B68" s="143" t="s">
        <v>1</v>
      </c>
      <c r="C68" s="144"/>
      <c r="D68" s="14">
        <f t="shared" ref="D68:D94" si="5">D37</f>
        <v>0</v>
      </c>
      <c r="E68" s="17">
        <f>IF(F3="1",SUMIF(Data!A:A,'55'!$A$2,Data!DZ:DZ),0)</f>
        <v>0</v>
      </c>
      <c r="F68" s="21" t="str">
        <f t="shared" si="4"/>
        <v/>
      </c>
    </row>
    <row r="69" spans="1:6" ht="14.25" customHeight="1" x14ac:dyDescent="0.2">
      <c r="A69" s="19">
        <v>3</v>
      </c>
      <c r="B69" s="143" t="s">
        <v>2</v>
      </c>
      <c r="C69" s="144"/>
      <c r="D69" s="14">
        <f t="shared" si="5"/>
        <v>0</v>
      </c>
      <c r="E69" s="17">
        <f>IF(F3="1",SUMIF(Data!A:A,'55'!$A$2,Data!EA:EA),0)</f>
        <v>0</v>
      </c>
      <c r="F69" s="21" t="str">
        <f t="shared" si="4"/>
        <v/>
      </c>
    </row>
    <row r="70" spans="1:6" ht="14.25" customHeight="1" x14ac:dyDescent="0.2">
      <c r="A70" s="19">
        <v>4</v>
      </c>
      <c r="B70" s="143" t="s">
        <v>3</v>
      </c>
      <c r="C70" s="144"/>
      <c r="D70" s="14">
        <f t="shared" si="5"/>
        <v>0</v>
      </c>
      <c r="E70" s="17">
        <f>IF(F3="1",SUMIF(Data!A:A,'55'!$A$2,Data!EB:EB),0)</f>
        <v>0</v>
      </c>
      <c r="F70" s="21" t="str">
        <f t="shared" si="4"/>
        <v/>
      </c>
    </row>
    <row r="71" spans="1:6" x14ac:dyDescent="0.2">
      <c r="A71" s="19">
        <v>5</v>
      </c>
      <c r="B71" s="143" t="s">
        <v>4</v>
      </c>
      <c r="C71" s="144"/>
      <c r="D71" s="14">
        <f t="shared" si="5"/>
        <v>0</v>
      </c>
      <c r="E71" s="17">
        <f>IF(F3="1",SUMIF(Data!A:A,'55'!$A$2,Data!EC:EC),0)</f>
        <v>0</v>
      </c>
      <c r="F71" s="21" t="str">
        <f t="shared" si="4"/>
        <v/>
      </c>
    </row>
    <row r="72" spans="1:6" x14ac:dyDescent="0.2">
      <c r="A72" s="19">
        <v>6</v>
      </c>
      <c r="B72" s="143" t="s">
        <v>5</v>
      </c>
      <c r="C72" s="144"/>
      <c r="D72" s="14">
        <f t="shared" si="5"/>
        <v>0</v>
      </c>
      <c r="E72" s="17">
        <f>IF(F3="1",SUMIF(Data!A:A,'55'!$A$2,Data!ED:ED),0)</f>
        <v>0</v>
      </c>
      <c r="F72" s="21" t="str">
        <f t="shared" si="4"/>
        <v/>
      </c>
    </row>
    <row r="73" spans="1:6" x14ac:dyDescent="0.2">
      <c r="A73" s="19">
        <v>7</v>
      </c>
      <c r="B73" s="143" t="s">
        <v>6</v>
      </c>
      <c r="C73" s="144"/>
      <c r="D73" s="14">
        <f t="shared" si="5"/>
        <v>0</v>
      </c>
      <c r="E73" s="17">
        <f>IF(F3="1",SUMIF(Data!A:A,'55'!$A$2,Data!EE:EE),0)</f>
        <v>0</v>
      </c>
      <c r="F73" s="21" t="str">
        <f t="shared" si="4"/>
        <v/>
      </c>
    </row>
    <row r="74" spans="1:6" x14ac:dyDescent="0.2">
      <c r="A74" s="19">
        <v>8</v>
      </c>
      <c r="B74" s="143" t="s">
        <v>7</v>
      </c>
      <c r="C74" s="144"/>
      <c r="D74" s="14">
        <f t="shared" si="5"/>
        <v>0</v>
      </c>
      <c r="E74" s="17">
        <f>IF(F3="1",SUMIF(Data!A:A,'55'!$A$2,Data!EF:EF),0)</f>
        <v>0</v>
      </c>
      <c r="F74" s="21" t="str">
        <f t="shared" si="4"/>
        <v/>
      </c>
    </row>
    <row r="75" spans="1:6" x14ac:dyDescent="0.2">
      <c r="A75" s="19">
        <v>9</v>
      </c>
      <c r="B75" s="143" t="s">
        <v>8</v>
      </c>
      <c r="C75" s="144"/>
      <c r="D75" s="14">
        <f t="shared" si="5"/>
        <v>0</v>
      </c>
      <c r="E75" s="17">
        <f>IF(F3="1",SUMIF(Data!A:A,'55'!$A$2,Data!EG:EG),0)</f>
        <v>0</v>
      </c>
      <c r="F75" s="21" t="str">
        <f t="shared" si="4"/>
        <v/>
      </c>
    </row>
    <row r="76" spans="1:6" x14ac:dyDescent="0.2">
      <c r="A76" s="19">
        <v>10</v>
      </c>
      <c r="B76" s="143" t="s">
        <v>9</v>
      </c>
      <c r="C76" s="144"/>
      <c r="D76" s="14">
        <f t="shared" si="5"/>
        <v>0</v>
      </c>
      <c r="E76" s="17">
        <f>IF(F3="1",SUMIF(Data!A:A,'55'!$A$2,Data!EH:EH),0)</f>
        <v>0</v>
      </c>
      <c r="F76" s="21" t="str">
        <f t="shared" si="4"/>
        <v/>
      </c>
    </row>
    <row r="77" spans="1:6" x14ac:dyDescent="0.2">
      <c r="A77" s="19">
        <v>11</v>
      </c>
      <c r="B77" s="143" t="s">
        <v>10</v>
      </c>
      <c r="C77" s="144"/>
      <c r="D77" s="14">
        <f t="shared" si="5"/>
        <v>0</v>
      </c>
      <c r="E77" s="17">
        <f>IF(F3="1",SUMIF(Data!A:A,'55'!$A$2,Data!EI:EI),0)</f>
        <v>0</v>
      </c>
      <c r="F77" s="21" t="str">
        <f t="shared" si="4"/>
        <v/>
      </c>
    </row>
    <row r="78" spans="1:6" ht="14.25" customHeight="1" x14ac:dyDescent="0.2">
      <c r="A78" s="19">
        <v>12</v>
      </c>
      <c r="B78" s="143" t="s">
        <v>11</v>
      </c>
      <c r="C78" s="144"/>
      <c r="D78" s="14">
        <f t="shared" si="5"/>
        <v>0</v>
      </c>
      <c r="E78" s="17">
        <f>IF(F3="1",SUMIF(Data!A:A,'55'!$A$2,Data!EJ:EJ),0)</f>
        <v>0</v>
      </c>
      <c r="F78" s="21" t="str">
        <f t="shared" si="4"/>
        <v/>
      </c>
    </row>
    <row r="79" spans="1:6" x14ac:dyDescent="0.2">
      <c r="A79" s="19">
        <v>13</v>
      </c>
      <c r="B79" s="143" t="s">
        <v>12</v>
      </c>
      <c r="C79" s="144"/>
      <c r="D79" s="14">
        <f t="shared" si="5"/>
        <v>0</v>
      </c>
      <c r="E79" s="17">
        <f>IF(F3="1",SUMIF(Data!A:A,'55'!$A$2,Data!EK:EK),0)</f>
        <v>0</v>
      </c>
      <c r="F79" s="21" t="str">
        <f t="shared" si="4"/>
        <v/>
      </c>
    </row>
    <row r="80" spans="1:6" ht="14.25" customHeight="1" x14ac:dyDescent="0.2">
      <c r="A80" s="19">
        <v>14</v>
      </c>
      <c r="B80" s="143" t="s">
        <v>464</v>
      </c>
      <c r="C80" s="144"/>
      <c r="D80" s="14">
        <f t="shared" si="5"/>
        <v>0</v>
      </c>
      <c r="E80" s="17">
        <f>IF(F3="1",SUMIF(Data!A:A,'55'!$A$2,Data!EL:EL),0)</f>
        <v>0</v>
      </c>
      <c r="F80" s="21" t="str">
        <f t="shared" si="4"/>
        <v/>
      </c>
    </row>
    <row r="81" spans="1:6" x14ac:dyDescent="0.2">
      <c r="A81" s="19">
        <v>15</v>
      </c>
      <c r="B81" s="143" t="s">
        <v>13</v>
      </c>
      <c r="C81" s="144"/>
      <c r="D81" s="14">
        <f t="shared" si="5"/>
        <v>0</v>
      </c>
      <c r="E81" s="17">
        <f>IF(F3="1",SUMIF(Data!A:A,'55'!$A$2,Data!EM:EM),0)</f>
        <v>0</v>
      </c>
      <c r="F81" s="21" t="str">
        <f t="shared" si="4"/>
        <v/>
      </c>
    </row>
    <row r="82" spans="1:6" x14ac:dyDescent="0.2">
      <c r="A82" s="19">
        <v>16</v>
      </c>
      <c r="B82" s="143" t="s">
        <v>14</v>
      </c>
      <c r="C82" s="144"/>
      <c r="D82" s="14">
        <f t="shared" si="5"/>
        <v>0</v>
      </c>
      <c r="E82" s="17">
        <f>IF(F3="1",SUMIF(Data!A:A,'55'!$A$2,Data!EN:EN),0)</f>
        <v>0</v>
      </c>
      <c r="F82" s="21" t="str">
        <f t="shared" si="4"/>
        <v/>
      </c>
    </row>
    <row r="83" spans="1:6" x14ac:dyDescent="0.2">
      <c r="A83" s="19">
        <v>17</v>
      </c>
      <c r="B83" s="143" t="s">
        <v>15</v>
      </c>
      <c r="C83" s="144"/>
      <c r="D83" s="14">
        <f t="shared" si="5"/>
        <v>0</v>
      </c>
      <c r="E83" s="17">
        <f>IF(F3="1",SUMIF(Data!A:A,'55'!$A$2,Data!EO:EO),0)</f>
        <v>0</v>
      </c>
      <c r="F83" s="21" t="str">
        <f t="shared" si="4"/>
        <v/>
      </c>
    </row>
    <row r="84" spans="1:6" x14ac:dyDescent="0.2">
      <c r="A84" s="19">
        <v>18</v>
      </c>
      <c r="B84" s="143" t="s">
        <v>16</v>
      </c>
      <c r="C84" s="144"/>
      <c r="D84" s="14">
        <f t="shared" si="5"/>
        <v>0</v>
      </c>
      <c r="E84" s="17">
        <f>IF(F3="1",SUMIF(Data!A:A,'55'!$A$2,Data!EP:EP),0)</f>
        <v>0</v>
      </c>
      <c r="F84" s="21" t="str">
        <f t="shared" si="4"/>
        <v/>
      </c>
    </row>
    <row r="85" spans="1:6" x14ac:dyDescent="0.2">
      <c r="A85" s="19">
        <v>19</v>
      </c>
      <c r="B85" s="143" t="s">
        <v>17</v>
      </c>
      <c r="C85" s="144"/>
      <c r="D85" s="14">
        <f t="shared" si="5"/>
        <v>0</v>
      </c>
      <c r="E85" s="17">
        <f>IF(F3="1",SUMIF(Data!A:A,'55'!$A$2,Data!EQ:EQ),0)</f>
        <v>0</v>
      </c>
      <c r="F85" s="21" t="str">
        <f t="shared" si="4"/>
        <v/>
      </c>
    </row>
    <row r="86" spans="1:6" x14ac:dyDescent="0.2">
      <c r="A86" s="19">
        <v>20</v>
      </c>
      <c r="B86" s="143" t="s">
        <v>18</v>
      </c>
      <c r="C86" s="144"/>
      <c r="D86" s="14">
        <f t="shared" si="5"/>
        <v>0</v>
      </c>
      <c r="E86" s="17">
        <f>IF(F3="1",SUMIF(Data!A:A,'55'!$A$2,Data!ER:ER),0)</f>
        <v>0</v>
      </c>
      <c r="F86" s="21" t="str">
        <f t="shared" si="4"/>
        <v/>
      </c>
    </row>
    <row r="87" spans="1:6" ht="14.25" customHeight="1" x14ac:dyDescent="0.2">
      <c r="A87" s="19">
        <v>21</v>
      </c>
      <c r="B87" s="143" t="s">
        <v>461</v>
      </c>
      <c r="C87" s="144"/>
      <c r="D87" s="14">
        <f t="shared" si="5"/>
        <v>0</v>
      </c>
      <c r="E87" s="17">
        <f>IF(F3="1",SUMIF(Data!A:A,'55'!$A$2,Data!ES:ES),0)</f>
        <v>0</v>
      </c>
      <c r="F87" s="21" t="str">
        <f t="shared" si="4"/>
        <v/>
      </c>
    </row>
    <row r="88" spans="1:6" x14ac:dyDescent="0.2">
      <c r="A88" s="19">
        <v>22</v>
      </c>
      <c r="B88" s="143" t="s">
        <v>19</v>
      </c>
      <c r="C88" s="144"/>
      <c r="D88" s="14">
        <f t="shared" si="5"/>
        <v>0</v>
      </c>
      <c r="E88" s="17">
        <f>IF(F3="1",SUMIF(Data!A:A,'55'!$A$2,Data!ET:ET),0)</f>
        <v>0</v>
      </c>
      <c r="F88" s="21" t="str">
        <f t="shared" si="4"/>
        <v/>
      </c>
    </row>
    <row r="89" spans="1:6" x14ac:dyDescent="0.2">
      <c r="A89" s="19">
        <v>23</v>
      </c>
      <c r="B89" s="143" t="s">
        <v>20</v>
      </c>
      <c r="C89" s="144"/>
      <c r="D89" s="14">
        <f t="shared" si="5"/>
        <v>0</v>
      </c>
      <c r="E89" s="17">
        <f>IF(F3="1",SUMIF(Data!A:A,'55'!$A$2,Data!EU:EU),0)</f>
        <v>0</v>
      </c>
      <c r="F89" s="21" t="str">
        <f t="shared" si="4"/>
        <v/>
      </c>
    </row>
    <row r="90" spans="1:6" x14ac:dyDescent="0.2">
      <c r="A90" s="19">
        <v>24</v>
      </c>
      <c r="B90" s="143" t="s">
        <v>21</v>
      </c>
      <c r="C90" s="144"/>
      <c r="D90" s="14">
        <f t="shared" si="5"/>
        <v>0</v>
      </c>
      <c r="E90" s="17">
        <f>IF(F3="1",SUMIF(Data!A:A,'55'!$A$2,Data!EV:EV),0)</f>
        <v>0</v>
      </c>
      <c r="F90" s="21" t="str">
        <f t="shared" si="4"/>
        <v/>
      </c>
    </row>
    <row r="91" spans="1:6" x14ac:dyDescent="0.2">
      <c r="A91" s="19">
        <v>25</v>
      </c>
      <c r="B91" s="143" t="s">
        <v>22</v>
      </c>
      <c r="C91" s="144"/>
      <c r="D91" s="14">
        <f t="shared" si="5"/>
        <v>0</v>
      </c>
      <c r="E91" s="17">
        <f>IF(F3="1",SUMIF(Data!A:A,'55'!$A$2,Data!EW:EW),0)</f>
        <v>0</v>
      </c>
      <c r="F91" s="21" t="str">
        <f t="shared" si="4"/>
        <v/>
      </c>
    </row>
    <row r="92" spans="1:6" x14ac:dyDescent="0.2">
      <c r="A92" s="19">
        <v>26</v>
      </c>
      <c r="B92" s="143" t="s">
        <v>23</v>
      </c>
      <c r="C92" s="144"/>
      <c r="D92" s="14">
        <f t="shared" si="5"/>
        <v>0</v>
      </c>
      <c r="E92" s="17">
        <f>IF(F3="1",SUMIF(Data!A:A,'55'!$A$2,Data!EX:EX),0)</f>
        <v>0</v>
      </c>
      <c r="F92" s="21" t="str">
        <f t="shared" si="4"/>
        <v/>
      </c>
    </row>
    <row r="93" spans="1:6" x14ac:dyDescent="0.2">
      <c r="A93" s="19">
        <v>28</v>
      </c>
      <c r="B93" s="143" t="s">
        <v>24</v>
      </c>
      <c r="C93" s="144"/>
      <c r="D93" s="14">
        <f t="shared" si="5"/>
        <v>0</v>
      </c>
      <c r="E93" s="17">
        <f>IF(F3="1",SUMIF(Data!A:A,'55'!$A$2,Data!EZ:EZ),0)</f>
        <v>0</v>
      </c>
      <c r="F93" s="21" t="str">
        <f t="shared" si="4"/>
        <v/>
      </c>
    </row>
    <row r="94" spans="1:6" ht="15.75" customHeight="1" thickBot="1" x14ac:dyDescent="0.25">
      <c r="A94" s="22">
        <v>29</v>
      </c>
      <c r="B94" s="147" t="s">
        <v>25</v>
      </c>
      <c r="C94" s="148"/>
      <c r="D94" s="23">
        <f t="shared" si="5"/>
        <v>0</v>
      </c>
      <c r="E94" s="24">
        <f>IF(F3="1",SUMIF(Data!A:A,'55'!$A$2,Data!FA:FA),0)</f>
        <v>0</v>
      </c>
      <c r="F94" s="25" t="str">
        <f t="shared" si="4"/>
        <v/>
      </c>
    </row>
    <row r="95" spans="1:6" x14ac:dyDescent="0.2">
      <c r="B95" s="30" t="s">
        <v>35</v>
      </c>
      <c r="C95" s="30"/>
      <c r="D95" s="59">
        <f>SUM(D67:D94)</f>
        <v>0</v>
      </c>
      <c r="E95" s="31">
        <f>SUM(E67:E94)</f>
        <v>0</v>
      </c>
      <c r="F95" s="32" t="str">
        <f t="shared" si="4"/>
        <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IF(F3="1",SUMIF(Data!A:A,'55'!$A$2,Data!AH:AH),0)</f>
        <v>0</v>
      </c>
      <c r="F98" s="20" t="str">
        <f>IF(OR(E98=0,E98=0),"",ROUND(E98/$D$105,2))</f>
        <v/>
      </c>
    </row>
    <row r="99" spans="2:6" x14ac:dyDescent="0.2">
      <c r="B99" s="153" t="s">
        <v>31</v>
      </c>
      <c r="C99" s="154"/>
      <c r="D99" s="36"/>
      <c r="E99" s="17">
        <f>IF(F3="1",SUMIF(Data!A:A,'55'!$A$2,Data!AI:AI),0)</f>
        <v>0</v>
      </c>
      <c r="F99" s="21" t="str">
        <f t="shared" ref="F99:F104" si="6">IF(OR(E99=0,E99=0),"",ROUND(E99/$D$105,2))</f>
        <v/>
      </c>
    </row>
    <row r="100" spans="2:6" x14ac:dyDescent="0.2">
      <c r="B100" s="153" t="s">
        <v>1078</v>
      </c>
      <c r="C100" s="154"/>
      <c r="D100" s="36"/>
      <c r="E100" s="17">
        <f>IF(F3="1",SUMIF(Data!A:A,'55'!$A$2,Data!AJ:AJ),0)</f>
        <v>0</v>
      </c>
      <c r="F100" s="21" t="str">
        <f t="shared" si="6"/>
        <v/>
      </c>
    </row>
    <row r="101" spans="2:6" x14ac:dyDescent="0.2">
      <c r="B101" s="153" t="s">
        <v>1079</v>
      </c>
      <c r="C101" s="154"/>
      <c r="D101" s="36"/>
      <c r="E101" s="17">
        <f>IF(F3="1",SUMIF(Data!A:A,'55'!$A$2,Data!AK:AK),0)</f>
        <v>0</v>
      </c>
      <c r="F101" s="21" t="str">
        <f t="shared" si="6"/>
        <v/>
      </c>
    </row>
    <row r="102" spans="2:6" x14ac:dyDescent="0.2">
      <c r="B102" s="153" t="s">
        <v>1080</v>
      </c>
      <c r="C102" s="154"/>
      <c r="D102" s="36"/>
      <c r="E102" s="17">
        <f>IF(F3="1",SUMIF(Data!A:A,'55'!$A$2,Data!AL:AL),0)</f>
        <v>0</v>
      </c>
      <c r="F102" s="21" t="str">
        <f t="shared" si="6"/>
        <v/>
      </c>
    </row>
    <row r="103" spans="2:6" x14ac:dyDescent="0.2">
      <c r="B103" s="155" t="s">
        <v>34</v>
      </c>
      <c r="C103" s="156"/>
      <c r="D103" s="36"/>
      <c r="E103" s="17">
        <f>IF(F3="1",SUMIF(Data!A:A,'55'!$A$2,Data!AM:AM),0)</f>
        <v>0</v>
      </c>
      <c r="F103" s="21" t="str">
        <f t="shared" si="6"/>
        <v/>
      </c>
    </row>
    <row r="104" spans="2:6" ht="15.75" customHeight="1" thickBot="1" x14ac:dyDescent="0.25">
      <c r="B104" s="149" t="s">
        <v>29</v>
      </c>
      <c r="C104" s="150"/>
      <c r="D104" s="37"/>
      <c r="E104" s="24">
        <f>IF(F3="1",SUMIF(Data!A:A,'55'!$A$2,Data!Q:Q),0)</f>
        <v>0</v>
      </c>
      <c r="F104" s="25" t="str">
        <f t="shared" si="6"/>
        <v/>
      </c>
    </row>
    <row r="105" spans="2:6" x14ac:dyDescent="0.2">
      <c r="B105" s="30" t="s">
        <v>35</v>
      </c>
      <c r="C105" s="30"/>
      <c r="D105" s="34">
        <f>D95</f>
        <v>0</v>
      </c>
      <c r="E105" s="31">
        <f>SUM(E98:E104)</f>
        <v>0</v>
      </c>
      <c r="F105" s="32" t="str">
        <f>IF($D$105=0,"",ROUND(E105/$D$105,2))</f>
        <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0</v>
      </c>
      <c r="D109" s="15">
        <f>IF(F3="1",SUMIF(Data!$A:$A,$A$2,Data!HJ:HJ),0)</f>
        <v>0</v>
      </c>
      <c r="E109" s="15">
        <f>IF(F3="1",SUMIF(Data!$A:$A,$A$2,Data!IN:IN),0)</f>
        <v>0</v>
      </c>
      <c r="F109" s="47">
        <f>SUM(C109:E109)</f>
        <v>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0</v>
      </c>
      <c r="D118" s="4">
        <f>SUM(D109:D116)</f>
        <v>0</v>
      </c>
      <c r="E118" s="4">
        <f>SUM(E109:E116)</f>
        <v>0</v>
      </c>
      <c r="F118" s="4">
        <f>SUM(F109:F116)</f>
        <v>0</v>
      </c>
    </row>
    <row r="119" spans="1:6" ht="15" thickBot="1" x14ac:dyDescent="0.25"/>
    <row r="120" spans="1:6" ht="15" thickBot="1" x14ac:dyDescent="0.25">
      <c r="B120" s="55" t="s">
        <v>934</v>
      </c>
      <c r="C120" s="53"/>
      <c r="D120" s="53"/>
      <c r="E120" s="53">
        <f>IF(F3="1",SUMIF(Data!A:A,'55'!$A$2,Data!AM:AM),0)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1999</v>
      </c>
      <c r="B1" s="38"/>
      <c r="C1" s="38"/>
      <c r="D1" s="38"/>
      <c r="E1" s="38"/>
      <c r="F1" s="38"/>
    </row>
    <row r="2" spans="1:6" x14ac:dyDescent="0.2">
      <c r="A2" s="5" t="s">
        <v>450</v>
      </c>
      <c r="B2" s="58" t="str">
        <f>VLOOKUP(A2,Data!A:G,7,0)</f>
        <v>Lamar State College-Orange</v>
      </c>
      <c r="C2" s="58"/>
    </row>
    <row r="3" spans="1:6" ht="15" thickBot="1" x14ac:dyDescent="0.25">
      <c r="A3" s="3"/>
      <c r="F3" s="56" t="str">
        <f>IFERROR(VLOOKUP(A2,Data!A:C,3,0),"0")</f>
        <v>1</v>
      </c>
    </row>
    <row r="4" spans="1:6" ht="29.25" customHeight="1" x14ac:dyDescent="0.2">
      <c r="A4" s="26" t="s">
        <v>26</v>
      </c>
      <c r="B4" s="145" t="s">
        <v>465</v>
      </c>
      <c r="C4" s="146"/>
      <c r="D4" s="28" t="s">
        <v>27</v>
      </c>
      <c r="E4" s="28" t="s">
        <v>462</v>
      </c>
      <c r="F4" s="29" t="s">
        <v>463</v>
      </c>
    </row>
    <row r="5" spans="1:6" x14ac:dyDescent="0.2">
      <c r="A5" s="19">
        <v>1</v>
      </c>
      <c r="B5" s="143" t="s">
        <v>0</v>
      </c>
      <c r="C5" s="144"/>
      <c r="D5" s="14">
        <f>D36</f>
        <v>1072</v>
      </c>
      <c r="E5" s="15">
        <f>E36+E67+IFERROR($E$105/$D$105*D5,0)</f>
        <v>7224.416854349709</v>
      </c>
      <c r="F5" s="20">
        <f>IF(OR(D5=0,E5=0),"",ROUND(E5/D5,2))</f>
        <v>6.74</v>
      </c>
    </row>
    <row r="6" spans="1:6" x14ac:dyDescent="0.2">
      <c r="A6" s="19">
        <v>2</v>
      </c>
      <c r="B6" s="143" t="s">
        <v>1</v>
      </c>
      <c r="C6" s="144"/>
      <c r="D6" s="14">
        <f t="shared" ref="D6:D32" si="0">D37</f>
        <v>0</v>
      </c>
      <c r="E6" s="17">
        <f t="shared" ref="E6:E32" si="1">E37+E68+IFERROR($E$105/$D$105*D6,0)</f>
        <v>0</v>
      </c>
      <c r="F6" s="21" t="str">
        <f t="shared" ref="F6:F33" si="2">IF(OR(D6=0,E6=0),"",ROUND(E6/D6,2))</f>
        <v/>
      </c>
    </row>
    <row r="7" spans="1:6" ht="14.25" customHeight="1" x14ac:dyDescent="0.2">
      <c r="A7" s="19">
        <v>3</v>
      </c>
      <c r="B7" s="143" t="s">
        <v>2</v>
      </c>
      <c r="C7" s="144"/>
      <c r="D7" s="14">
        <f t="shared" si="0"/>
        <v>67408</v>
      </c>
      <c r="E7" s="17">
        <f t="shared" si="1"/>
        <v>454277.98816978093</v>
      </c>
      <c r="F7" s="21">
        <f t="shared" si="2"/>
        <v>6.74</v>
      </c>
    </row>
    <row r="8" spans="1:6" ht="14.25" customHeight="1" x14ac:dyDescent="0.2">
      <c r="A8" s="19">
        <v>4</v>
      </c>
      <c r="B8" s="143" t="s">
        <v>3</v>
      </c>
      <c r="C8" s="144"/>
      <c r="D8" s="14">
        <f t="shared" si="0"/>
        <v>45536</v>
      </c>
      <c r="E8" s="17">
        <f t="shared" si="1"/>
        <v>306877.60249969061</v>
      </c>
      <c r="F8" s="21">
        <f t="shared" si="2"/>
        <v>6.74</v>
      </c>
    </row>
    <row r="9" spans="1:6" x14ac:dyDescent="0.2">
      <c r="A9" s="19">
        <v>5</v>
      </c>
      <c r="B9" s="143" t="s">
        <v>4</v>
      </c>
      <c r="C9" s="144"/>
      <c r="D9" s="14">
        <f t="shared" si="0"/>
        <v>0</v>
      </c>
      <c r="E9" s="17">
        <f t="shared" si="1"/>
        <v>0</v>
      </c>
      <c r="F9" s="21" t="str">
        <f t="shared" si="2"/>
        <v/>
      </c>
    </row>
    <row r="10" spans="1:6" x14ac:dyDescent="0.2">
      <c r="A10" s="19">
        <v>6</v>
      </c>
      <c r="B10" s="143" t="s">
        <v>5</v>
      </c>
      <c r="C10" s="144"/>
      <c r="D10" s="14">
        <f t="shared" si="0"/>
        <v>896</v>
      </c>
      <c r="E10" s="17">
        <f t="shared" si="1"/>
        <v>6037.9155797549811</v>
      </c>
      <c r="F10" s="21">
        <f t="shared" si="2"/>
        <v>6.74</v>
      </c>
    </row>
    <row r="11" spans="1:6" x14ac:dyDescent="0.2">
      <c r="A11" s="19">
        <v>7</v>
      </c>
      <c r="B11" s="143" t="s">
        <v>6</v>
      </c>
      <c r="C11" s="144"/>
      <c r="D11" s="14">
        <f t="shared" si="0"/>
        <v>26768</v>
      </c>
      <c r="E11" s="17">
        <f t="shared" si="1"/>
        <v>180395.60294518006</v>
      </c>
      <c r="F11" s="21">
        <f t="shared" si="2"/>
        <v>6.74</v>
      </c>
    </row>
    <row r="12" spans="1:6" x14ac:dyDescent="0.2">
      <c r="A12" s="19">
        <v>8</v>
      </c>
      <c r="B12" s="143" t="s">
        <v>7</v>
      </c>
      <c r="C12" s="144"/>
      <c r="D12" s="14">
        <f t="shared" si="0"/>
        <v>0</v>
      </c>
      <c r="E12" s="17">
        <f t="shared" si="1"/>
        <v>0</v>
      </c>
      <c r="F12" s="21" t="str">
        <f t="shared" si="2"/>
        <v/>
      </c>
    </row>
    <row r="13" spans="1:6" x14ac:dyDescent="0.2">
      <c r="A13" s="19">
        <v>9</v>
      </c>
      <c r="B13" s="143" t="s">
        <v>8</v>
      </c>
      <c r="C13" s="144"/>
      <c r="D13" s="14">
        <f t="shared" si="0"/>
        <v>6960</v>
      </c>
      <c r="E13" s="17">
        <f t="shared" si="1"/>
        <v>46906.004949882437</v>
      </c>
      <c r="F13" s="21">
        <f t="shared" si="2"/>
        <v>6.74</v>
      </c>
    </row>
    <row r="14" spans="1:6" x14ac:dyDescent="0.2">
      <c r="A14" s="19">
        <v>10</v>
      </c>
      <c r="B14" s="143" t="s">
        <v>9</v>
      </c>
      <c r="C14" s="144"/>
      <c r="D14" s="14">
        <f t="shared" si="0"/>
        <v>0</v>
      </c>
      <c r="E14" s="17">
        <f t="shared" si="1"/>
        <v>0</v>
      </c>
      <c r="F14" s="21" t="str">
        <f t="shared" si="2"/>
        <v/>
      </c>
    </row>
    <row r="15" spans="1:6" x14ac:dyDescent="0.2">
      <c r="A15" s="19">
        <v>11</v>
      </c>
      <c r="B15" s="143" t="s">
        <v>10</v>
      </c>
      <c r="C15" s="144"/>
      <c r="D15" s="14">
        <f t="shared" si="0"/>
        <v>6032</v>
      </c>
      <c r="E15" s="17">
        <f t="shared" si="1"/>
        <v>40651.270956564782</v>
      </c>
      <c r="F15" s="21">
        <f t="shared" si="2"/>
        <v>6.74</v>
      </c>
    </row>
    <row r="16" spans="1:6" ht="14.25" customHeight="1" x14ac:dyDescent="0.2">
      <c r="A16" s="19">
        <v>12</v>
      </c>
      <c r="B16" s="143" t="s">
        <v>11</v>
      </c>
      <c r="C16" s="144"/>
      <c r="D16" s="14">
        <f t="shared" si="0"/>
        <v>98448</v>
      </c>
      <c r="E16" s="17">
        <f t="shared" si="1"/>
        <v>663463.84932557854</v>
      </c>
      <c r="F16" s="21">
        <f t="shared" si="2"/>
        <v>6.74</v>
      </c>
    </row>
    <row r="17" spans="1:6" x14ac:dyDescent="0.2">
      <c r="A17" s="19">
        <v>13</v>
      </c>
      <c r="B17" s="143" t="s">
        <v>12</v>
      </c>
      <c r="C17" s="144"/>
      <c r="D17" s="14">
        <f t="shared" si="0"/>
        <v>1296</v>
      </c>
      <c r="E17" s="17">
        <f t="shared" si="1"/>
        <v>8733.1457492884547</v>
      </c>
      <c r="F17" s="21">
        <f t="shared" si="2"/>
        <v>6.74</v>
      </c>
    </row>
    <row r="18" spans="1:6" ht="14.25" customHeight="1" x14ac:dyDescent="0.2">
      <c r="A18" s="19">
        <v>14</v>
      </c>
      <c r="B18" s="143" t="s">
        <v>464</v>
      </c>
      <c r="C18" s="144"/>
      <c r="D18" s="14">
        <f t="shared" si="0"/>
        <v>25168</v>
      </c>
      <c r="E18" s="17">
        <f t="shared" si="1"/>
        <v>169613.68226704616</v>
      </c>
      <c r="F18" s="21">
        <f t="shared" si="2"/>
        <v>6.74</v>
      </c>
    </row>
    <row r="19" spans="1:6" x14ac:dyDescent="0.2">
      <c r="A19" s="19">
        <v>15</v>
      </c>
      <c r="B19" s="143" t="s">
        <v>13</v>
      </c>
      <c r="C19" s="144"/>
      <c r="D19" s="14">
        <f t="shared" si="0"/>
        <v>0</v>
      </c>
      <c r="E19" s="17">
        <f t="shared" si="1"/>
        <v>0</v>
      </c>
      <c r="F19" s="21" t="str">
        <f t="shared" si="2"/>
        <v/>
      </c>
    </row>
    <row r="20" spans="1:6" x14ac:dyDescent="0.2">
      <c r="A20" s="19">
        <v>16</v>
      </c>
      <c r="B20" s="143" t="s">
        <v>14</v>
      </c>
      <c r="C20" s="144"/>
      <c r="D20" s="14">
        <f t="shared" si="0"/>
        <v>48544</v>
      </c>
      <c r="E20" s="17">
        <f t="shared" si="1"/>
        <v>327148.53337458236</v>
      </c>
      <c r="F20" s="21">
        <f t="shared" si="2"/>
        <v>6.74</v>
      </c>
    </row>
    <row r="21" spans="1:6" x14ac:dyDescent="0.2">
      <c r="A21" s="19">
        <v>17</v>
      </c>
      <c r="B21" s="143" t="s">
        <v>15</v>
      </c>
      <c r="C21" s="144"/>
      <c r="D21" s="14">
        <f t="shared" si="0"/>
        <v>0</v>
      </c>
      <c r="E21" s="17">
        <f t="shared" si="1"/>
        <v>0</v>
      </c>
      <c r="F21" s="21" t="str">
        <f t="shared" si="2"/>
        <v/>
      </c>
    </row>
    <row r="22" spans="1:6" x14ac:dyDescent="0.2">
      <c r="A22" s="19">
        <v>18</v>
      </c>
      <c r="B22" s="143" t="s">
        <v>16</v>
      </c>
      <c r="C22" s="144"/>
      <c r="D22" s="14">
        <f t="shared" si="0"/>
        <v>140560</v>
      </c>
      <c r="E22" s="17">
        <f t="shared" si="1"/>
        <v>947265.88157406263</v>
      </c>
      <c r="F22" s="21">
        <f t="shared" si="2"/>
        <v>6.74</v>
      </c>
    </row>
    <row r="23" spans="1:6" x14ac:dyDescent="0.2">
      <c r="A23" s="19">
        <v>19</v>
      </c>
      <c r="B23" s="143" t="s">
        <v>17</v>
      </c>
      <c r="C23" s="144"/>
      <c r="D23" s="14">
        <f t="shared" si="0"/>
        <v>62640</v>
      </c>
      <c r="E23" s="17">
        <f t="shared" si="1"/>
        <v>422145.04454894201</v>
      </c>
      <c r="F23" s="21">
        <f t="shared" si="2"/>
        <v>6.74</v>
      </c>
    </row>
    <row r="24" spans="1:6" x14ac:dyDescent="0.2">
      <c r="A24" s="19">
        <v>20</v>
      </c>
      <c r="B24" s="143" t="s">
        <v>18</v>
      </c>
      <c r="C24" s="144"/>
      <c r="D24" s="14">
        <f t="shared" si="0"/>
        <v>0</v>
      </c>
      <c r="E24" s="17">
        <f t="shared" si="1"/>
        <v>0</v>
      </c>
      <c r="F24" s="21" t="str">
        <f t="shared" si="2"/>
        <v/>
      </c>
    </row>
    <row r="25" spans="1:6" ht="14.25" customHeight="1" x14ac:dyDescent="0.2">
      <c r="A25" s="19">
        <v>21</v>
      </c>
      <c r="B25" s="143" t="s">
        <v>461</v>
      </c>
      <c r="C25" s="144"/>
      <c r="D25" s="14">
        <f t="shared" si="0"/>
        <v>0</v>
      </c>
      <c r="E25" s="17">
        <f t="shared" si="1"/>
        <v>0</v>
      </c>
      <c r="F25" s="21" t="str">
        <f t="shared" si="2"/>
        <v/>
      </c>
    </row>
    <row r="26" spans="1:6" x14ac:dyDescent="0.2">
      <c r="A26" s="19">
        <v>22</v>
      </c>
      <c r="B26" s="143" t="s">
        <v>19</v>
      </c>
      <c r="C26" s="144"/>
      <c r="D26" s="14">
        <f t="shared" si="0"/>
        <v>1840</v>
      </c>
      <c r="E26" s="17">
        <f t="shared" si="1"/>
        <v>12400.058779853978</v>
      </c>
      <c r="F26" s="21">
        <f t="shared" si="2"/>
        <v>6.74</v>
      </c>
    </row>
    <row r="27" spans="1:6" x14ac:dyDescent="0.2">
      <c r="A27" s="19">
        <v>23</v>
      </c>
      <c r="B27" s="143" t="s">
        <v>20</v>
      </c>
      <c r="C27" s="144"/>
      <c r="D27" s="14">
        <f t="shared" si="0"/>
        <v>25680</v>
      </c>
      <c r="E27" s="17">
        <f t="shared" si="1"/>
        <v>173063.776884049</v>
      </c>
      <c r="F27" s="21">
        <f t="shared" si="2"/>
        <v>6.74</v>
      </c>
    </row>
    <row r="28" spans="1:6" x14ac:dyDescent="0.2">
      <c r="A28" s="19">
        <v>24</v>
      </c>
      <c r="B28" s="143" t="s">
        <v>21</v>
      </c>
      <c r="C28" s="144"/>
      <c r="D28" s="14">
        <f t="shared" si="0"/>
        <v>7152</v>
      </c>
      <c r="E28" s="17">
        <f t="shared" si="1"/>
        <v>48198.915431258509</v>
      </c>
      <c r="F28" s="21">
        <f t="shared" si="2"/>
        <v>6.74</v>
      </c>
    </row>
    <row r="29" spans="1:6" x14ac:dyDescent="0.2">
      <c r="A29" s="19">
        <v>25</v>
      </c>
      <c r="B29" s="143" t="s">
        <v>22</v>
      </c>
      <c r="C29" s="144"/>
      <c r="D29" s="14">
        <f t="shared" si="0"/>
        <v>69216</v>
      </c>
      <c r="E29" s="17">
        <f t="shared" si="1"/>
        <v>466462.2285360723</v>
      </c>
      <c r="F29" s="21">
        <f t="shared" si="2"/>
        <v>6.74</v>
      </c>
    </row>
    <row r="30" spans="1:6" x14ac:dyDescent="0.2">
      <c r="A30" s="19">
        <v>26</v>
      </c>
      <c r="B30" s="143" t="s">
        <v>23</v>
      </c>
      <c r="C30" s="144"/>
      <c r="D30" s="14">
        <f t="shared" si="0"/>
        <v>11264</v>
      </c>
      <c r="E30" s="17">
        <f t="shared" si="1"/>
        <v>75911.081574062613</v>
      </c>
      <c r="F30" s="21">
        <f t="shared" si="2"/>
        <v>6.74</v>
      </c>
    </row>
    <row r="31" spans="1:6" x14ac:dyDescent="0.2">
      <c r="A31" s="19">
        <v>28</v>
      </c>
      <c r="B31" s="143" t="s">
        <v>24</v>
      </c>
      <c r="C31" s="144"/>
      <c r="D31" s="14">
        <f t="shared" si="0"/>
        <v>0</v>
      </c>
      <c r="E31" s="17">
        <f t="shared" si="1"/>
        <v>0</v>
      </c>
      <c r="F31" s="21" t="str">
        <f t="shared" si="2"/>
        <v/>
      </c>
    </row>
    <row r="32" spans="1:6" ht="15.75" customHeight="1" thickBot="1" x14ac:dyDescent="0.25">
      <c r="A32" s="22">
        <v>29</v>
      </c>
      <c r="B32" s="147" t="s">
        <v>25</v>
      </c>
      <c r="C32" s="148"/>
      <c r="D32" s="23">
        <f t="shared" si="0"/>
        <v>0</v>
      </c>
      <c r="E32" s="24">
        <f t="shared" si="1"/>
        <v>0</v>
      </c>
      <c r="F32" s="25" t="str">
        <f t="shared" si="2"/>
        <v/>
      </c>
    </row>
    <row r="33" spans="1:6" x14ac:dyDescent="0.2">
      <c r="B33" s="30" t="s">
        <v>35</v>
      </c>
      <c r="C33" s="30"/>
      <c r="D33" s="59">
        <f>SUM(D5:D32)</f>
        <v>646480</v>
      </c>
      <c r="E33" s="31">
        <f>SUM(E5:E32)</f>
        <v>4356777</v>
      </c>
      <c r="F33" s="32">
        <f t="shared" si="2"/>
        <v>6.74</v>
      </c>
    </row>
    <row r="34" spans="1:6" ht="15" thickBot="1" x14ac:dyDescent="0.25">
      <c r="F34" s="66"/>
    </row>
    <row r="35" spans="1:6" ht="29.25" customHeight="1" x14ac:dyDescent="0.2">
      <c r="A35" s="26" t="s">
        <v>26</v>
      </c>
      <c r="B35" s="145" t="s">
        <v>466</v>
      </c>
      <c r="C35" s="146"/>
      <c r="D35" s="28" t="s">
        <v>27</v>
      </c>
      <c r="E35" s="28" t="s">
        <v>462</v>
      </c>
      <c r="F35" s="29" t="s">
        <v>463</v>
      </c>
    </row>
    <row r="36" spans="1:6" x14ac:dyDescent="0.2">
      <c r="A36" s="19">
        <v>1</v>
      </c>
      <c r="B36" s="143" t="s">
        <v>0</v>
      </c>
      <c r="C36" s="144"/>
      <c r="D36" s="14">
        <f>IF(F3="1",SUMIF(Data!A:A,'56'!$A$2,Data!CU:CU),0)</f>
        <v>1072</v>
      </c>
      <c r="E36" s="15">
        <f>IF(F3="1",SUMIF(Data!$A:$A,$A$2,Data!IO:IO),0)</f>
        <v>457</v>
      </c>
      <c r="F36" s="20">
        <f t="shared" ref="F36:F64" si="3">IF(OR(D36=0,E36=0),"",ROUND(E36/D36,2))</f>
        <v>0.43</v>
      </c>
    </row>
    <row r="37" spans="1:6" x14ac:dyDescent="0.2">
      <c r="A37" s="19">
        <v>2</v>
      </c>
      <c r="B37" s="143" t="s">
        <v>1</v>
      </c>
      <c r="C37" s="144"/>
      <c r="D37" s="14">
        <f>IF(F3="1",SUMIF(Data!A:A,'56'!$A$2,Data!CV:CV),0)</f>
        <v>0</v>
      </c>
      <c r="E37" s="17">
        <f>IF(F3="1",SUMIF(Data!$A:$A,$A$2,Data!IP:IP),0)</f>
        <v>0</v>
      </c>
      <c r="F37" s="21" t="str">
        <f t="shared" si="3"/>
        <v/>
      </c>
    </row>
    <row r="38" spans="1:6" ht="14.25" customHeight="1" x14ac:dyDescent="0.2">
      <c r="A38" s="19">
        <v>3</v>
      </c>
      <c r="B38" s="143" t="s">
        <v>2</v>
      </c>
      <c r="C38" s="144"/>
      <c r="D38" s="14">
        <f>IF(F3="1",SUMIF(Data!A:A,'56'!$A$2,Data!CW:CW),0)</f>
        <v>67408</v>
      </c>
      <c r="E38" s="17">
        <f>IF($F$3="1",SUMIF(Data!$A:$A,$A$2,Data!IQ:IQ),0)</f>
        <v>28764</v>
      </c>
      <c r="F38" s="21">
        <f t="shared" si="3"/>
        <v>0.43</v>
      </c>
    </row>
    <row r="39" spans="1:6" ht="14.25" customHeight="1" x14ac:dyDescent="0.2">
      <c r="A39" s="19">
        <v>4</v>
      </c>
      <c r="B39" s="143" t="s">
        <v>3</v>
      </c>
      <c r="C39" s="144"/>
      <c r="D39" s="14">
        <f>IF(F3="1",SUMIF(Data!A:A,'56'!$A$2,Data!CX:CX),0)</f>
        <v>45536</v>
      </c>
      <c r="E39" s="17">
        <f>IF($F$3="1",SUMIF(Data!$A:$A,$A$2,Data!IR:IR),0)</f>
        <v>19431</v>
      </c>
      <c r="F39" s="21">
        <f t="shared" si="3"/>
        <v>0.43</v>
      </c>
    </row>
    <row r="40" spans="1:6" x14ac:dyDescent="0.2">
      <c r="A40" s="19">
        <v>5</v>
      </c>
      <c r="B40" s="143" t="s">
        <v>4</v>
      </c>
      <c r="C40" s="144"/>
      <c r="D40" s="14">
        <f>IF(F3="1",SUMIF(Data!A:A,'56'!$A$2,Data!CY:CY),0)</f>
        <v>0</v>
      </c>
      <c r="E40" s="17">
        <f>IF($F$3="1",SUMIF(Data!$A:$A,$A$2,Data!IS:IS),0)</f>
        <v>0</v>
      </c>
      <c r="F40" s="21" t="str">
        <f t="shared" si="3"/>
        <v/>
      </c>
    </row>
    <row r="41" spans="1:6" x14ac:dyDescent="0.2">
      <c r="A41" s="19">
        <v>6</v>
      </c>
      <c r="B41" s="143" t="s">
        <v>5</v>
      </c>
      <c r="C41" s="144"/>
      <c r="D41" s="14">
        <f>IF(F3="1",SUMIF(Data!A:A,'56'!$A$2,Data!CZ:CZ),0)</f>
        <v>896</v>
      </c>
      <c r="E41" s="17">
        <f>IF($F$3="1",SUMIF(Data!$A:$A,$A$2,Data!IT:IT),0)</f>
        <v>382</v>
      </c>
      <c r="F41" s="21">
        <f t="shared" si="3"/>
        <v>0.43</v>
      </c>
    </row>
    <row r="42" spans="1:6" x14ac:dyDescent="0.2">
      <c r="A42" s="19">
        <v>7</v>
      </c>
      <c r="B42" s="143" t="s">
        <v>6</v>
      </c>
      <c r="C42" s="144"/>
      <c r="D42" s="14">
        <f>IF(F3="1",SUMIF(Data!A:A,'56'!$A$2,Data!DA:DA),0)</f>
        <v>26768</v>
      </c>
      <c r="E42" s="17">
        <f>IF($F$3="1",SUMIF(Data!$A:$A,$A$2,Data!IU:IU),0)</f>
        <v>11422</v>
      </c>
      <c r="F42" s="21">
        <f t="shared" si="3"/>
        <v>0.43</v>
      </c>
    </row>
    <row r="43" spans="1:6" x14ac:dyDescent="0.2">
      <c r="A43" s="19">
        <v>8</v>
      </c>
      <c r="B43" s="143" t="s">
        <v>7</v>
      </c>
      <c r="C43" s="144"/>
      <c r="D43" s="14">
        <f>IF(F3="1",SUMIF(Data!A:A,'56'!$A$2,Data!DB:DB),0)</f>
        <v>0</v>
      </c>
      <c r="E43" s="17">
        <f>IF($F$3="1",SUMIF(Data!$A:$A,$A$2,Data!IV:IV),0)</f>
        <v>0</v>
      </c>
      <c r="F43" s="21" t="str">
        <f t="shared" si="3"/>
        <v/>
      </c>
    </row>
    <row r="44" spans="1:6" x14ac:dyDescent="0.2">
      <c r="A44" s="19">
        <v>9</v>
      </c>
      <c r="B44" s="143" t="s">
        <v>8</v>
      </c>
      <c r="C44" s="144"/>
      <c r="D44" s="14">
        <f>IF(F3="1",SUMIF(Data!A:A,'56'!$A$2,Data!DC:DC),0)</f>
        <v>6960</v>
      </c>
      <c r="E44" s="17">
        <f>IF($F$3="1",SUMIF(Data!$A:$A,$A$2,Data!IW:IW),0)</f>
        <v>2971</v>
      </c>
      <c r="F44" s="21">
        <f t="shared" si="3"/>
        <v>0.43</v>
      </c>
    </row>
    <row r="45" spans="1:6" x14ac:dyDescent="0.2">
      <c r="A45" s="19">
        <v>10</v>
      </c>
      <c r="B45" s="143" t="s">
        <v>9</v>
      </c>
      <c r="C45" s="144"/>
      <c r="D45" s="14">
        <f>IF(F3="1",SUMIF(Data!A:A,'56'!$A$2,Data!DD:DD),0)</f>
        <v>0</v>
      </c>
      <c r="E45" s="17">
        <f>IF($F$3="1",SUMIF(Data!$A:$A,$A$2,Data!IX:IX),0)</f>
        <v>0</v>
      </c>
      <c r="F45" s="21" t="str">
        <f t="shared" si="3"/>
        <v/>
      </c>
    </row>
    <row r="46" spans="1:6" x14ac:dyDescent="0.2">
      <c r="A46" s="19">
        <v>11</v>
      </c>
      <c r="B46" s="143" t="s">
        <v>10</v>
      </c>
      <c r="C46" s="144"/>
      <c r="D46" s="14">
        <f>IF(F3="1",SUMIF(Data!A:A,'56'!$A$2,Data!DE:DE),0)</f>
        <v>6032</v>
      </c>
      <c r="E46" s="17">
        <f>IF($F$3="1",SUMIF(Data!$A:$A,$A$2,Data!IY:IY),0)</f>
        <v>2574</v>
      </c>
      <c r="F46" s="21">
        <f t="shared" si="3"/>
        <v>0.43</v>
      </c>
    </row>
    <row r="47" spans="1:6" ht="14.25" customHeight="1" x14ac:dyDescent="0.2">
      <c r="A47" s="19">
        <v>12</v>
      </c>
      <c r="B47" s="143" t="s">
        <v>11</v>
      </c>
      <c r="C47" s="144"/>
      <c r="D47" s="14">
        <f>IF(F3="1",SUMIF(Data!A:A,'56'!$A$2,Data!DF:DF),0)</f>
        <v>98448</v>
      </c>
      <c r="E47" s="17">
        <f>IF($F$3="1",SUMIF(Data!$A:$A,$A$2,Data!IZ:IZ),0)</f>
        <v>42009</v>
      </c>
      <c r="F47" s="21">
        <f t="shared" si="3"/>
        <v>0.43</v>
      </c>
    </row>
    <row r="48" spans="1:6" x14ac:dyDescent="0.2">
      <c r="A48" s="19">
        <v>13</v>
      </c>
      <c r="B48" s="143" t="s">
        <v>12</v>
      </c>
      <c r="C48" s="144"/>
      <c r="D48" s="14">
        <f>IF(F3="1",SUMIF(Data!A:A,'56'!$A$2,Data!DG:DG),0)</f>
        <v>1296</v>
      </c>
      <c r="E48" s="17">
        <f>IF($F$3="1",SUMIF(Data!$A:$A,$A$2,Data!JA:JA),0)</f>
        <v>552</v>
      </c>
      <c r="F48" s="21">
        <f t="shared" si="3"/>
        <v>0.43</v>
      </c>
    </row>
    <row r="49" spans="1:6" ht="14.25" customHeight="1" x14ac:dyDescent="0.2">
      <c r="A49" s="19">
        <v>14</v>
      </c>
      <c r="B49" s="143" t="s">
        <v>464</v>
      </c>
      <c r="C49" s="144"/>
      <c r="D49" s="14">
        <f>IF(F3="1",SUMIF(Data!A:A,'56'!$A$2,Data!DH:DH),0)</f>
        <v>25168</v>
      </c>
      <c r="E49" s="17">
        <f>IF($F$3="1",SUMIF(Data!$A:$A,$A$2,Data!JB:JB),0)</f>
        <v>10740</v>
      </c>
      <c r="F49" s="21">
        <f t="shared" si="3"/>
        <v>0.43</v>
      </c>
    </row>
    <row r="50" spans="1:6" x14ac:dyDescent="0.2">
      <c r="A50" s="19">
        <v>15</v>
      </c>
      <c r="B50" s="143" t="s">
        <v>13</v>
      </c>
      <c r="C50" s="144"/>
      <c r="D50" s="14">
        <f>IF(F3="1",SUMIF(Data!A:A,'56'!$A$2,Data!DI:DI),0)</f>
        <v>0</v>
      </c>
      <c r="E50" s="17">
        <f>IF($F$3="1",SUMIF(Data!$A:$A,$A$2,Data!JC:JC),0)</f>
        <v>0</v>
      </c>
      <c r="F50" s="21" t="str">
        <f t="shared" si="3"/>
        <v/>
      </c>
    </row>
    <row r="51" spans="1:6" x14ac:dyDescent="0.2">
      <c r="A51" s="19">
        <v>16</v>
      </c>
      <c r="B51" s="143" t="s">
        <v>14</v>
      </c>
      <c r="C51" s="144"/>
      <c r="D51" s="14">
        <f>IF(F3="1",SUMIF(Data!A:A,'56'!$A$2,Data!DJ:DJ),0)</f>
        <v>48544</v>
      </c>
      <c r="E51" s="17">
        <f>IF($F$3="1",SUMIF(Data!$A:$A,$A$2,Data!JD:JD),0)</f>
        <v>20714</v>
      </c>
      <c r="F51" s="21">
        <f t="shared" si="3"/>
        <v>0.43</v>
      </c>
    </row>
    <row r="52" spans="1:6" x14ac:dyDescent="0.2">
      <c r="A52" s="19">
        <v>17</v>
      </c>
      <c r="B52" s="143" t="s">
        <v>15</v>
      </c>
      <c r="C52" s="144"/>
      <c r="D52" s="14">
        <f>IF(F3="1",SUMIF(Data!A:A,'56'!$A$2,Data!DK:DK),0)</f>
        <v>0</v>
      </c>
      <c r="E52" s="17">
        <f>IF($F$3="1",SUMIF(Data!$A:$A,$A$2,Data!JE:JE),0)</f>
        <v>0</v>
      </c>
      <c r="F52" s="21" t="str">
        <f t="shared" si="3"/>
        <v/>
      </c>
    </row>
    <row r="53" spans="1:6" x14ac:dyDescent="0.2">
      <c r="A53" s="19">
        <v>18</v>
      </c>
      <c r="B53" s="143" t="s">
        <v>16</v>
      </c>
      <c r="C53" s="144"/>
      <c r="D53" s="14">
        <f>IF(F3="1",SUMIF(Data!A:A,'56'!$A$2,Data!DL:DL),0)</f>
        <v>140560</v>
      </c>
      <c r="E53" s="17">
        <f>IF($F$3="1",SUMIF(Data!$A:$A,$A$2,Data!JF:JF),0)</f>
        <v>59979</v>
      </c>
      <c r="F53" s="21">
        <f t="shared" si="3"/>
        <v>0.43</v>
      </c>
    </row>
    <row r="54" spans="1:6" x14ac:dyDescent="0.2">
      <c r="A54" s="19">
        <v>19</v>
      </c>
      <c r="B54" s="143" t="s">
        <v>17</v>
      </c>
      <c r="C54" s="144"/>
      <c r="D54" s="14">
        <f>IF(F3="1",SUMIF(Data!A:A,'56'!$A$2,Data!DM:DM),0)</f>
        <v>62640</v>
      </c>
      <c r="E54" s="17">
        <f>IF($F$3="1",SUMIF(Data!$A:$A,$A$2,Data!JG:JG),0)</f>
        <v>26729</v>
      </c>
      <c r="F54" s="21">
        <f t="shared" si="3"/>
        <v>0.43</v>
      </c>
    </row>
    <row r="55" spans="1:6" x14ac:dyDescent="0.2">
      <c r="A55" s="19">
        <v>20</v>
      </c>
      <c r="B55" s="143" t="s">
        <v>18</v>
      </c>
      <c r="C55" s="144"/>
      <c r="D55" s="14">
        <f>IF(F3="1",SUMIF(Data!A:A,'56'!$A$2,Data!DN:DN),0)</f>
        <v>0</v>
      </c>
      <c r="E55" s="17">
        <f>IF($F$3="1",SUMIF(Data!$A:$A,$A$2,Data!JH:JH),0)</f>
        <v>0</v>
      </c>
      <c r="F55" s="21" t="str">
        <f t="shared" si="3"/>
        <v/>
      </c>
    </row>
    <row r="56" spans="1:6" ht="14.25" customHeight="1" x14ac:dyDescent="0.2">
      <c r="A56" s="19">
        <v>21</v>
      </c>
      <c r="B56" s="143" t="s">
        <v>461</v>
      </c>
      <c r="C56" s="144"/>
      <c r="D56" s="14">
        <f>IF(F3="1",SUMIF(Data!A:A,'56'!$A$2,Data!DO:DO),0)</f>
        <v>0</v>
      </c>
      <c r="E56" s="17">
        <f>IF($F$3="1",SUMIF(Data!$A:$A,$A$2,Data!JI:JI),0)</f>
        <v>0</v>
      </c>
      <c r="F56" s="21" t="str">
        <f t="shared" si="3"/>
        <v/>
      </c>
    </row>
    <row r="57" spans="1:6" x14ac:dyDescent="0.2">
      <c r="A57" s="19">
        <v>22</v>
      </c>
      <c r="B57" s="143" t="s">
        <v>19</v>
      </c>
      <c r="C57" s="144"/>
      <c r="D57" s="14">
        <f>IF(F3="1",SUMIF(Data!A:A,'56'!$A$2,Data!DP:DP),0)</f>
        <v>1840</v>
      </c>
      <c r="E57" s="17">
        <f>IF($F$3="1",SUMIF(Data!$A:$A,$A$2,Data!JJ:JJ),0)</f>
        <v>785</v>
      </c>
      <c r="F57" s="21">
        <f t="shared" si="3"/>
        <v>0.43</v>
      </c>
    </row>
    <row r="58" spans="1:6" x14ac:dyDescent="0.2">
      <c r="A58" s="19">
        <v>23</v>
      </c>
      <c r="B58" s="143" t="s">
        <v>20</v>
      </c>
      <c r="C58" s="144"/>
      <c r="D58" s="14">
        <f>IF(F3="1",SUMIF(Data!A:A,'56'!$A$2,Data!DQ:DQ),0)</f>
        <v>25680</v>
      </c>
      <c r="E58" s="17">
        <f>IF($F$3="1",SUMIF(Data!$A:$A,$A$2,Data!JK:JK),0)</f>
        <v>10958</v>
      </c>
      <c r="F58" s="21">
        <f t="shared" si="3"/>
        <v>0.43</v>
      </c>
    </row>
    <row r="59" spans="1:6" x14ac:dyDescent="0.2">
      <c r="A59" s="19">
        <v>24</v>
      </c>
      <c r="B59" s="143" t="s">
        <v>21</v>
      </c>
      <c r="C59" s="144"/>
      <c r="D59" s="14">
        <f>IF(F3="1",SUMIF(Data!A:A,'56'!$A$2,Data!DR:DR),0)</f>
        <v>7152</v>
      </c>
      <c r="E59" s="17">
        <f>IF($F$3="1",SUMIF(Data!$A:$A,$A$2,Data!JL:JL),0)</f>
        <v>3052</v>
      </c>
      <c r="F59" s="21">
        <f t="shared" si="3"/>
        <v>0.43</v>
      </c>
    </row>
    <row r="60" spans="1:6" x14ac:dyDescent="0.2">
      <c r="A60" s="19">
        <v>25</v>
      </c>
      <c r="B60" s="143" t="s">
        <v>22</v>
      </c>
      <c r="C60" s="144"/>
      <c r="D60" s="14">
        <f>IF(F3="1",SUMIF(Data!A:A,'56'!$A$2,Data!DS:DS),0)</f>
        <v>69216</v>
      </c>
      <c r="E60" s="17">
        <f>IF($F$3="1",SUMIF(Data!$A:$A,$A$2,Data!JM:JM),0)</f>
        <v>29535</v>
      </c>
      <c r="F60" s="21">
        <f t="shared" si="3"/>
        <v>0.43</v>
      </c>
    </row>
    <row r="61" spans="1:6" x14ac:dyDescent="0.2">
      <c r="A61" s="19">
        <v>26</v>
      </c>
      <c r="B61" s="143" t="s">
        <v>23</v>
      </c>
      <c r="C61" s="144"/>
      <c r="D61" s="14">
        <f>IF(F3="1",SUMIF(Data!A:A,'56'!$A$2,Data!DT:DT),0)</f>
        <v>11264</v>
      </c>
      <c r="E61" s="17">
        <f>IF($F$3="1",SUMIF(Data!$A:$A,$A$2,Data!JN:JN),0)</f>
        <v>4807</v>
      </c>
      <c r="F61" s="21">
        <f t="shared" si="3"/>
        <v>0.43</v>
      </c>
    </row>
    <row r="62" spans="1:6" x14ac:dyDescent="0.2">
      <c r="A62" s="19">
        <v>28</v>
      </c>
      <c r="B62" s="143" t="s">
        <v>24</v>
      </c>
      <c r="C62" s="144"/>
      <c r="D62" s="14">
        <f>IF(F3="1",SUMIF(Data!A:A,'56'!$A$2,Data!DV:DV),0)</f>
        <v>0</v>
      </c>
      <c r="E62" s="17">
        <f>IF($F$3="1",SUMIF(Data!$A:$A,$A$2,Data!JP:JP),0)</f>
        <v>0</v>
      </c>
      <c r="F62" s="21" t="str">
        <f t="shared" si="3"/>
        <v/>
      </c>
    </row>
    <row r="63" spans="1:6" ht="15.75" customHeight="1" thickBot="1" x14ac:dyDescent="0.25">
      <c r="A63" s="22">
        <v>29</v>
      </c>
      <c r="B63" s="147" t="s">
        <v>25</v>
      </c>
      <c r="C63" s="148"/>
      <c r="D63" s="23">
        <f>IF(F3="1",SUMIF(Data!A:A,'56'!$A$2,Data!DW:DW),0)</f>
        <v>0</v>
      </c>
      <c r="E63" s="24">
        <f>IF($F$3="1",SUMIF(Data!$A:$A,$A$2,Data!JQ:JQ),0)</f>
        <v>0</v>
      </c>
      <c r="F63" s="25" t="str">
        <f t="shared" si="3"/>
        <v/>
      </c>
    </row>
    <row r="64" spans="1:6" x14ac:dyDescent="0.2">
      <c r="B64" s="30" t="s">
        <v>35</v>
      </c>
      <c r="C64" s="30"/>
      <c r="D64" s="59">
        <f>SUM(D36:D63)</f>
        <v>646480</v>
      </c>
      <c r="E64" s="31">
        <f>SUM(E36:E63)</f>
        <v>275861</v>
      </c>
      <c r="F64" s="32">
        <f t="shared" si="3"/>
        <v>0.43</v>
      </c>
    </row>
    <row r="65" spans="1:6" ht="15" thickBot="1" x14ac:dyDescent="0.25">
      <c r="F65" s="66"/>
    </row>
    <row r="66" spans="1:6" ht="29.25" customHeight="1" x14ac:dyDescent="0.2">
      <c r="A66" s="26" t="s">
        <v>26</v>
      </c>
      <c r="B66" s="145" t="s">
        <v>467</v>
      </c>
      <c r="C66" s="146"/>
      <c r="D66" s="28" t="s">
        <v>27</v>
      </c>
      <c r="E66" s="28" t="s">
        <v>462</v>
      </c>
      <c r="F66" s="29" t="s">
        <v>463</v>
      </c>
    </row>
    <row r="67" spans="1:6" x14ac:dyDescent="0.2">
      <c r="A67" s="19">
        <v>1</v>
      </c>
      <c r="B67" s="143" t="s">
        <v>0</v>
      </c>
      <c r="C67" s="144"/>
      <c r="D67" s="14">
        <f>D36</f>
        <v>1072</v>
      </c>
      <c r="E67" s="15">
        <f>IF(F3="1",SUMIF(Data!A:A,'56'!$A$2,Data!DY:DY),0)</f>
        <v>3323</v>
      </c>
      <c r="F67" s="20">
        <f t="shared" ref="F67:F95" si="4">IF(OR(D67=0,E67=0),"",ROUND(E67/D67,2))</f>
        <v>3.1</v>
      </c>
    </row>
    <row r="68" spans="1:6" x14ac:dyDescent="0.2">
      <c r="A68" s="19">
        <v>2</v>
      </c>
      <c r="B68" s="143" t="s">
        <v>1</v>
      </c>
      <c r="C68" s="144"/>
      <c r="D68" s="14">
        <f t="shared" ref="D68:D94" si="5">D37</f>
        <v>0</v>
      </c>
      <c r="E68" s="17">
        <f>IF(F3="1",SUMIF(Data!A:A,'56'!$A$2,Data!DZ:DZ),0)</f>
        <v>0</v>
      </c>
      <c r="F68" s="21" t="str">
        <f t="shared" si="4"/>
        <v/>
      </c>
    </row>
    <row r="69" spans="1:6" ht="14.25" customHeight="1" x14ac:dyDescent="0.2">
      <c r="A69" s="19">
        <v>3</v>
      </c>
      <c r="B69" s="143" t="s">
        <v>2</v>
      </c>
      <c r="C69" s="144"/>
      <c r="D69" s="14">
        <f t="shared" si="5"/>
        <v>67408</v>
      </c>
      <c r="E69" s="17">
        <f>IF(F3="1",SUMIF(Data!A:A,'56'!$A$2,Data!EA:EA),0)</f>
        <v>208927</v>
      </c>
      <c r="F69" s="21">
        <f t="shared" si="4"/>
        <v>3.1</v>
      </c>
    </row>
    <row r="70" spans="1:6" ht="14.25" customHeight="1" x14ac:dyDescent="0.2">
      <c r="A70" s="19">
        <v>4</v>
      </c>
      <c r="B70" s="143" t="s">
        <v>3</v>
      </c>
      <c r="C70" s="144"/>
      <c r="D70" s="14">
        <f t="shared" si="5"/>
        <v>45536</v>
      </c>
      <c r="E70" s="17">
        <f>IF(F3="1",SUMIF(Data!A:A,'56'!$A$2,Data!EB:EB),0)</f>
        <v>141136</v>
      </c>
      <c r="F70" s="21">
        <f t="shared" si="4"/>
        <v>3.1</v>
      </c>
    </row>
    <row r="71" spans="1:6" x14ac:dyDescent="0.2">
      <c r="A71" s="19">
        <v>5</v>
      </c>
      <c r="B71" s="143" t="s">
        <v>4</v>
      </c>
      <c r="C71" s="144"/>
      <c r="D71" s="14">
        <f t="shared" si="5"/>
        <v>0</v>
      </c>
      <c r="E71" s="17">
        <f>IF(F3="1",SUMIF(Data!A:A,'56'!$A$2,Data!EC:EC),0)</f>
        <v>0</v>
      </c>
      <c r="F71" s="21" t="str">
        <f t="shared" si="4"/>
        <v/>
      </c>
    </row>
    <row r="72" spans="1:6" x14ac:dyDescent="0.2">
      <c r="A72" s="19">
        <v>6</v>
      </c>
      <c r="B72" s="143" t="s">
        <v>5</v>
      </c>
      <c r="C72" s="144"/>
      <c r="D72" s="14">
        <f t="shared" si="5"/>
        <v>896</v>
      </c>
      <c r="E72" s="17">
        <f>IF(F3="1",SUMIF(Data!A:A,'56'!$A$2,Data!ED:ED),0)</f>
        <v>2777</v>
      </c>
      <c r="F72" s="21">
        <f t="shared" si="4"/>
        <v>3.1</v>
      </c>
    </row>
    <row r="73" spans="1:6" x14ac:dyDescent="0.2">
      <c r="A73" s="19">
        <v>7</v>
      </c>
      <c r="B73" s="143" t="s">
        <v>6</v>
      </c>
      <c r="C73" s="144"/>
      <c r="D73" s="14">
        <f t="shared" si="5"/>
        <v>26768</v>
      </c>
      <c r="E73" s="17">
        <f>IF(F3="1",SUMIF(Data!A:A,'56'!$A$2,Data!EE:EE),0)</f>
        <v>82966</v>
      </c>
      <c r="F73" s="21">
        <f t="shared" si="4"/>
        <v>3.1</v>
      </c>
    </row>
    <row r="74" spans="1:6" x14ac:dyDescent="0.2">
      <c r="A74" s="19">
        <v>8</v>
      </c>
      <c r="B74" s="143" t="s">
        <v>7</v>
      </c>
      <c r="C74" s="144"/>
      <c r="D74" s="14">
        <f t="shared" si="5"/>
        <v>0</v>
      </c>
      <c r="E74" s="17">
        <f>IF(F3="1",SUMIF(Data!A:A,'56'!$A$2,Data!EF:EF),0)</f>
        <v>0</v>
      </c>
      <c r="F74" s="21" t="str">
        <f t="shared" si="4"/>
        <v/>
      </c>
    </row>
    <row r="75" spans="1:6" x14ac:dyDescent="0.2">
      <c r="A75" s="19">
        <v>9</v>
      </c>
      <c r="B75" s="143" t="s">
        <v>8</v>
      </c>
      <c r="C75" s="144"/>
      <c r="D75" s="14">
        <f t="shared" si="5"/>
        <v>6960</v>
      </c>
      <c r="E75" s="17">
        <f>IF(F3="1",SUMIF(Data!A:A,'56'!$A$2,Data!EG:EG),0)</f>
        <v>21572</v>
      </c>
      <c r="F75" s="21">
        <f t="shared" si="4"/>
        <v>3.1</v>
      </c>
    </row>
    <row r="76" spans="1:6" x14ac:dyDescent="0.2">
      <c r="A76" s="19">
        <v>10</v>
      </c>
      <c r="B76" s="143" t="s">
        <v>9</v>
      </c>
      <c r="C76" s="144"/>
      <c r="D76" s="14">
        <f t="shared" si="5"/>
        <v>0</v>
      </c>
      <c r="E76" s="17">
        <f>IF(F3="1",SUMIF(Data!A:A,'56'!$A$2,Data!EH:EH),0)</f>
        <v>0</v>
      </c>
      <c r="F76" s="21" t="str">
        <f t="shared" si="4"/>
        <v/>
      </c>
    </row>
    <row r="77" spans="1:6" x14ac:dyDescent="0.2">
      <c r="A77" s="19">
        <v>11</v>
      </c>
      <c r="B77" s="143" t="s">
        <v>10</v>
      </c>
      <c r="C77" s="144"/>
      <c r="D77" s="14">
        <f t="shared" si="5"/>
        <v>6032</v>
      </c>
      <c r="E77" s="17">
        <f>IF(F3="1",SUMIF(Data!A:A,'56'!$A$2,Data!EI:EI),0)</f>
        <v>18696</v>
      </c>
      <c r="F77" s="21">
        <f t="shared" si="4"/>
        <v>3.1</v>
      </c>
    </row>
    <row r="78" spans="1:6" ht="14.25" customHeight="1" x14ac:dyDescent="0.2">
      <c r="A78" s="19">
        <v>12</v>
      </c>
      <c r="B78" s="143" t="s">
        <v>11</v>
      </c>
      <c r="C78" s="144"/>
      <c r="D78" s="14">
        <f t="shared" si="5"/>
        <v>98448</v>
      </c>
      <c r="E78" s="17">
        <f>IF(F3="1",SUMIF(Data!A:A,'56'!$A$2,Data!EJ:EJ),0)</f>
        <v>305134</v>
      </c>
      <c r="F78" s="21">
        <f t="shared" si="4"/>
        <v>3.1</v>
      </c>
    </row>
    <row r="79" spans="1:6" x14ac:dyDescent="0.2">
      <c r="A79" s="19">
        <v>13</v>
      </c>
      <c r="B79" s="143" t="s">
        <v>12</v>
      </c>
      <c r="C79" s="144"/>
      <c r="D79" s="14">
        <f t="shared" si="5"/>
        <v>1296</v>
      </c>
      <c r="E79" s="17">
        <f>IF(F3="1",SUMIF(Data!A:A,'56'!$A$2,Data!EK:EK),0)</f>
        <v>4017</v>
      </c>
      <c r="F79" s="21">
        <f t="shared" si="4"/>
        <v>3.1</v>
      </c>
    </row>
    <row r="80" spans="1:6" ht="14.25" customHeight="1" x14ac:dyDescent="0.2">
      <c r="A80" s="19">
        <v>14</v>
      </c>
      <c r="B80" s="143" t="s">
        <v>464</v>
      </c>
      <c r="C80" s="144"/>
      <c r="D80" s="14">
        <f t="shared" si="5"/>
        <v>25168</v>
      </c>
      <c r="E80" s="17">
        <f>IF(F3="1",SUMIF(Data!A:A,'56'!$A$2,Data!EL:EL),0)</f>
        <v>78007</v>
      </c>
      <c r="F80" s="21">
        <f t="shared" si="4"/>
        <v>3.1</v>
      </c>
    </row>
    <row r="81" spans="1:6" x14ac:dyDescent="0.2">
      <c r="A81" s="19">
        <v>15</v>
      </c>
      <c r="B81" s="143" t="s">
        <v>13</v>
      </c>
      <c r="C81" s="144"/>
      <c r="D81" s="14">
        <f t="shared" si="5"/>
        <v>0</v>
      </c>
      <c r="E81" s="17">
        <f>IF(F3="1",SUMIF(Data!A:A,'56'!$A$2,Data!EM:EM),0)</f>
        <v>0</v>
      </c>
      <c r="F81" s="21" t="str">
        <f t="shared" si="4"/>
        <v/>
      </c>
    </row>
    <row r="82" spans="1:6" x14ac:dyDescent="0.2">
      <c r="A82" s="19">
        <v>16</v>
      </c>
      <c r="B82" s="143" t="s">
        <v>14</v>
      </c>
      <c r="C82" s="144"/>
      <c r="D82" s="14">
        <f t="shared" si="5"/>
        <v>48544</v>
      </c>
      <c r="E82" s="17">
        <f>IF(F3="1",SUMIF(Data!A:A,'56'!$A$2,Data!EN:EN),0)</f>
        <v>150459</v>
      </c>
      <c r="F82" s="21">
        <f t="shared" si="4"/>
        <v>3.1</v>
      </c>
    </row>
    <row r="83" spans="1:6" x14ac:dyDescent="0.2">
      <c r="A83" s="19">
        <v>17</v>
      </c>
      <c r="B83" s="143" t="s">
        <v>15</v>
      </c>
      <c r="C83" s="144"/>
      <c r="D83" s="14">
        <f t="shared" si="5"/>
        <v>0</v>
      </c>
      <c r="E83" s="17">
        <f>IF(F3="1",SUMIF(Data!A:A,'56'!$A$2,Data!EO:EO),0)</f>
        <v>0</v>
      </c>
      <c r="F83" s="21" t="str">
        <f t="shared" si="4"/>
        <v/>
      </c>
    </row>
    <row r="84" spans="1:6" x14ac:dyDescent="0.2">
      <c r="A84" s="19">
        <v>18</v>
      </c>
      <c r="B84" s="143" t="s">
        <v>16</v>
      </c>
      <c r="C84" s="144"/>
      <c r="D84" s="14">
        <f t="shared" si="5"/>
        <v>140560</v>
      </c>
      <c r="E84" s="17">
        <f>IF(F3="1",SUMIF(Data!A:A,'56'!$A$2,Data!EP:EP),0)</f>
        <v>435657</v>
      </c>
      <c r="F84" s="21">
        <f t="shared" si="4"/>
        <v>3.1</v>
      </c>
    </row>
    <row r="85" spans="1:6" x14ac:dyDescent="0.2">
      <c r="A85" s="19">
        <v>19</v>
      </c>
      <c r="B85" s="143" t="s">
        <v>17</v>
      </c>
      <c r="C85" s="144"/>
      <c r="D85" s="14">
        <f t="shared" si="5"/>
        <v>62640</v>
      </c>
      <c r="E85" s="17">
        <f>IF(F3="1",SUMIF(Data!A:A,'56'!$A$2,Data!EQ:EQ),0)</f>
        <v>194149</v>
      </c>
      <c r="F85" s="21">
        <f t="shared" si="4"/>
        <v>3.1</v>
      </c>
    </row>
    <row r="86" spans="1:6" x14ac:dyDescent="0.2">
      <c r="A86" s="19">
        <v>20</v>
      </c>
      <c r="B86" s="143" t="s">
        <v>18</v>
      </c>
      <c r="C86" s="144"/>
      <c r="D86" s="14">
        <f t="shared" si="5"/>
        <v>0</v>
      </c>
      <c r="E86" s="17">
        <f>IF(F3="1",SUMIF(Data!A:A,'56'!$A$2,Data!ER:ER),0)</f>
        <v>0</v>
      </c>
      <c r="F86" s="21" t="str">
        <f t="shared" si="4"/>
        <v/>
      </c>
    </row>
    <row r="87" spans="1:6" ht="14.25" customHeight="1" x14ac:dyDescent="0.2">
      <c r="A87" s="19">
        <v>21</v>
      </c>
      <c r="B87" s="143" t="s">
        <v>461</v>
      </c>
      <c r="C87" s="144"/>
      <c r="D87" s="14">
        <f t="shared" si="5"/>
        <v>0</v>
      </c>
      <c r="E87" s="17">
        <f>IF(F3="1",SUMIF(Data!A:A,'56'!$A$2,Data!ES:ES),0)</f>
        <v>0</v>
      </c>
      <c r="F87" s="21" t="str">
        <f t="shared" si="4"/>
        <v/>
      </c>
    </row>
    <row r="88" spans="1:6" x14ac:dyDescent="0.2">
      <c r="A88" s="19">
        <v>22</v>
      </c>
      <c r="B88" s="143" t="s">
        <v>19</v>
      </c>
      <c r="C88" s="144"/>
      <c r="D88" s="14">
        <f t="shared" si="5"/>
        <v>1840</v>
      </c>
      <c r="E88" s="17">
        <f>IF(F3="1",SUMIF(Data!A:A,'56'!$A$2,Data!ET:ET),0)</f>
        <v>5703</v>
      </c>
      <c r="F88" s="21">
        <f t="shared" si="4"/>
        <v>3.1</v>
      </c>
    </row>
    <row r="89" spans="1:6" x14ac:dyDescent="0.2">
      <c r="A89" s="19">
        <v>23</v>
      </c>
      <c r="B89" s="143" t="s">
        <v>20</v>
      </c>
      <c r="C89" s="144"/>
      <c r="D89" s="14">
        <f t="shared" si="5"/>
        <v>25680</v>
      </c>
      <c r="E89" s="17">
        <f>IF(F3="1",SUMIF(Data!A:A,'56'!$A$2,Data!EU:EU),0)</f>
        <v>79594</v>
      </c>
      <c r="F89" s="21">
        <f t="shared" si="4"/>
        <v>3.1</v>
      </c>
    </row>
    <row r="90" spans="1:6" x14ac:dyDescent="0.2">
      <c r="A90" s="19">
        <v>24</v>
      </c>
      <c r="B90" s="143" t="s">
        <v>21</v>
      </c>
      <c r="C90" s="144"/>
      <c r="D90" s="14">
        <f t="shared" si="5"/>
        <v>7152</v>
      </c>
      <c r="E90" s="17">
        <f>IF(F3="1",SUMIF(Data!A:A,'56'!$A$2,Data!EV:EV),0)</f>
        <v>22167</v>
      </c>
      <c r="F90" s="21">
        <f t="shared" si="4"/>
        <v>3.1</v>
      </c>
    </row>
    <row r="91" spans="1:6" x14ac:dyDescent="0.2">
      <c r="A91" s="19">
        <v>25</v>
      </c>
      <c r="B91" s="143" t="s">
        <v>22</v>
      </c>
      <c r="C91" s="144"/>
      <c r="D91" s="14">
        <f t="shared" si="5"/>
        <v>69216</v>
      </c>
      <c r="E91" s="17">
        <f>IF(F3="1",SUMIF(Data!A:A,'56'!$A$2,Data!EW:EW),0)</f>
        <v>214531</v>
      </c>
      <c r="F91" s="21">
        <f t="shared" si="4"/>
        <v>3.1</v>
      </c>
    </row>
    <row r="92" spans="1:6" x14ac:dyDescent="0.2">
      <c r="A92" s="19">
        <v>26</v>
      </c>
      <c r="B92" s="143" t="s">
        <v>23</v>
      </c>
      <c r="C92" s="144"/>
      <c r="D92" s="14">
        <f t="shared" si="5"/>
        <v>11264</v>
      </c>
      <c r="E92" s="17">
        <f>IF(F3="1",SUMIF(Data!A:A,'56'!$A$2,Data!EX:EX),0)</f>
        <v>34912</v>
      </c>
      <c r="F92" s="21">
        <f t="shared" si="4"/>
        <v>3.1</v>
      </c>
    </row>
    <row r="93" spans="1:6" x14ac:dyDescent="0.2">
      <c r="A93" s="19">
        <v>28</v>
      </c>
      <c r="B93" s="143" t="s">
        <v>24</v>
      </c>
      <c r="C93" s="144"/>
      <c r="D93" s="14">
        <f t="shared" si="5"/>
        <v>0</v>
      </c>
      <c r="E93" s="17">
        <f>IF(F3="1",SUMIF(Data!A:A,'56'!$A$2,Data!EZ:EZ),0)</f>
        <v>0</v>
      </c>
      <c r="F93" s="21" t="str">
        <f t="shared" si="4"/>
        <v/>
      </c>
    </row>
    <row r="94" spans="1:6" ht="15.75" customHeight="1" thickBot="1" x14ac:dyDescent="0.25">
      <c r="A94" s="22">
        <v>29</v>
      </c>
      <c r="B94" s="147" t="s">
        <v>25</v>
      </c>
      <c r="C94" s="148"/>
      <c r="D94" s="23">
        <f t="shared" si="5"/>
        <v>0</v>
      </c>
      <c r="E94" s="24">
        <f>IF(F3="1",SUMIF(Data!A:A,'56'!$A$2,Data!FA:FA),0)</f>
        <v>0</v>
      </c>
      <c r="F94" s="25" t="str">
        <f t="shared" si="4"/>
        <v/>
      </c>
    </row>
    <row r="95" spans="1:6" x14ac:dyDescent="0.2">
      <c r="B95" s="30" t="s">
        <v>35</v>
      </c>
      <c r="C95" s="30"/>
      <c r="D95" s="59">
        <f>SUM(D67:D94)</f>
        <v>646480</v>
      </c>
      <c r="E95" s="31">
        <f>SUM(E67:E94)</f>
        <v>2003727</v>
      </c>
      <c r="F95" s="32">
        <f t="shared" si="4"/>
        <v>3.1</v>
      </c>
    </row>
    <row r="96" spans="1:6" ht="15" thickBot="1" x14ac:dyDescent="0.25">
      <c r="F96" s="66"/>
    </row>
    <row r="97" spans="2:6" ht="29.25" customHeight="1" x14ac:dyDescent="0.2">
      <c r="B97" s="151" t="s">
        <v>468</v>
      </c>
      <c r="C97" s="152"/>
      <c r="D97" s="28" t="s">
        <v>27</v>
      </c>
      <c r="E97" s="33" t="s">
        <v>462</v>
      </c>
      <c r="F97" s="29" t="s">
        <v>463</v>
      </c>
    </row>
    <row r="98" spans="2:6" x14ac:dyDescent="0.2">
      <c r="B98" s="153" t="s">
        <v>30</v>
      </c>
      <c r="C98" s="154"/>
      <c r="D98" s="35"/>
      <c r="E98" s="15">
        <f>IF(F3="1",SUMIF(Data!A:A,'56'!$A$2,Data!AH:AH),0)</f>
        <v>808651</v>
      </c>
      <c r="F98" s="20">
        <f>IF(OR(E98=0,E98=0),"",ROUND(E98/$D$105,2))</f>
        <v>1.25</v>
      </c>
    </row>
    <row r="99" spans="2:6" x14ac:dyDescent="0.2">
      <c r="B99" s="153" t="s">
        <v>31</v>
      </c>
      <c r="C99" s="154"/>
      <c r="D99" s="36"/>
      <c r="E99" s="17">
        <f>IF(F3="1",SUMIF(Data!A:A,'56'!$A$2,Data!AI:AI),0)</f>
        <v>525273</v>
      </c>
      <c r="F99" s="21">
        <f t="shared" ref="F99:F104" si="6">IF(OR(E99=0,E99=0),"",ROUND(E99/$D$105,2))</f>
        <v>0.81</v>
      </c>
    </row>
    <row r="100" spans="2:6" x14ac:dyDescent="0.2">
      <c r="B100" s="153" t="s">
        <v>1078</v>
      </c>
      <c r="C100" s="154"/>
      <c r="D100" s="36"/>
      <c r="E100" s="17">
        <f>IF(F3="1",SUMIF(Data!A:A,'56'!$A$2,Data!AJ:AJ),0)</f>
        <v>325375</v>
      </c>
      <c r="F100" s="21">
        <f t="shared" si="6"/>
        <v>0.5</v>
      </c>
    </row>
    <row r="101" spans="2:6" x14ac:dyDescent="0.2">
      <c r="B101" s="153" t="s">
        <v>1079</v>
      </c>
      <c r="C101" s="154"/>
      <c r="D101" s="36"/>
      <c r="E101" s="17">
        <f>IF(F3="1",SUMIF(Data!A:A,'56'!$A$2,Data!AK:AK),0)</f>
        <v>221141</v>
      </c>
      <c r="F101" s="21">
        <f t="shared" si="6"/>
        <v>0.34</v>
      </c>
    </row>
    <row r="102" spans="2:6" x14ac:dyDescent="0.2">
      <c r="B102" s="153" t="s">
        <v>1080</v>
      </c>
      <c r="C102" s="154"/>
      <c r="D102" s="36"/>
      <c r="E102" s="17">
        <f>IF(F3="1",SUMIF(Data!A:A,'56'!$A$2,Data!AL:AL),0)</f>
        <v>0</v>
      </c>
      <c r="F102" s="21" t="str">
        <f t="shared" si="6"/>
        <v/>
      </c>
    </row>
    <row r="103" spans="2:6" x14ac:dyDescent="0.2">
      <c r="B103" s="155" t="s">
        <v>34</v>
      </c>
      <c r="C103" s="156"/>
      <c r="D103" s="36"/>
      <c r="E103" s="17">
        <f>IF(F3="1",SUMIF(Data!A:A,'56'!$A$2,Data!AM:AM),0)</f>
        <v>0</v>
      </c>
      <c r="F103" s="21" t="str">
        <f t="shared" si="6"/>
        <v/>
      </c>
    </row>
    <row r="104" spans="2:6" ht="15.75" customHeight="1" thickBot="1" x14ac:dyDescent="0.25">
      <c r="B104" s="149" t="s">
        <v>29</v>
      </c>
      <c r="C104" s="150"/>
      <c r="D104" s="37"/>
      <c r="E104" s="24">
        <f>IF(F3="1",SUMIF(Data!A:A,'56'!$A$2,Data!Q:Q),0)</f>
        <v>196749</v>
      </c>
      <c r="F104" s="25">
        <f t="shared" si="6"/>
        <v>0.3</v>
      </c>
    </row>
    <row r="105" spans="2:6" x14ac:dyDescent="0.2">
      <c r="B105" s="30" t="s">
        <v>35</v>
      </c>
      <c r="C105" s="30"/>
      <c r="D105" s="34">
        <f>D95</f>
        <v>646480</v>
      </c>
      <c r="E105" s="31">
        <f>SUM(E98:E104)</f>
        <v>2077189</v>
      </c>
      <c r="F105" s="32">
        <f>IF($D$105=0,"",ROUND(E105/$D$105,2))</f>
        <v>3.21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2003727</v>
      </c>
      <c r="D109" s="15">
        <f>IF(F3="1",SUMIF(Data!$A:$A,$A$2,Data!HJ:HJ),0)</f>
        <v>0</v>
      </c>
      <c r="E109" s="15">
        <f>IF(F3="1",SUMIF(Data!$A:$A,$A$2,Data!IN:IN),0)</f>
        <v>0</v>
      </c>
      <c r="F109" s="47">
        <f>SUM(C109:E109)</f>
        <v>2003727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196749</v>
      </c>
      <c r="E117" s="52"/>
      <c r="F117" s="49">
        <f>SUM(C117:E117)</f>
        <v>196749</v>
      </c>
    </row>
    <row r="118" spans="1:6" x14ac:dyDescent="0.2">
      <c r="B118" s="13" t="s">
        <v>35</v>
      </c>
      <c r="C118" s="4">
        <f>SUM(C109:C116)</f>
        <v>2003727</v>
      </c>
      <c r="D118" s="4">
        <f>SUM(D109:D116)</f>
        <v>0</v>
      </c>
      <c r="E118" s="4">
        <f>SUM(E109:E116)</f>
        <v>0</v>
      </c>
      <c r="F118" s="4">
        <f>SUM(F109:F116)</f>
        <v>2003727</v>
      </c>
    </row>
    <row r="119" spans="1:6" ht="15" thickBot="1" x14ac:dyDescent="0.25"/>
    <row r="120" spans="1:6" ht="15" thickBot="1" x14ac:dyDescent="0.25">
      <c r="B120" s="55" t="s">
        <v>934</v>
      </c>
      <c r="C120" s="53"/>
      <c r="D120" s="53"/>
      <c r="E120" s="53">
        <f>IF(F3="1",SUMIF(Data!A:A,'56'!$A$2,Data!AM:AM),0)</f>
        <v>0</v>
      </c>
      <c r="F120" s="54">
        <f>SUM(C120:E120)</f>
        <v>0</v>
      </c>
    </row>
    <row r="122" spans="1:6" s="60" customFormat="1" ht="101.25" customHeight="1" x14ac:dyDescent="0.2">
      <c r="A122" s="142" t="s">
        <v>935</v>
      </c>
      <c r="B122" s="142"/>
      <c r="C122" s="142"/>
      <c r="D122" s="142"/>
      <c r="E122" s="142"/>
      <c r="F122" s="142"/>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6" customFormat="1" x14ac:dyDescent="0.2">
      <c r="A1" s="38" t="str">
        <f>Summary!A1</f>
        <v>Community and Technical Colleges, Report of Fundable Operating Expenses, Fiscal Year (FY) 1999</v>
      </c>
      <c r="B1" s="38"/>
      <c r="C1" s="38"/>
      <c r="D1" s="38"/>
      <c r="E1" s="38"/>
      <c r="F1" s="38"/>
      <c r="G1" s="57"/>
    </row>
    <row r="2" spans="1:7" s="6" customFormat="1" x14ac:dyDescent="0.2">
      <c r="A2" s="5" t="s">
        <v>448</v>
      </c>
      <c r="B2" s="58" t="str">
        <f>VLOOKUP(A2,Data!A:G,7,0)</f>
        <v>Lamar State College-Port Arthur</v>
      </c>
      <c r="C2" s="58"/>
      <c r="D2" s="57"/>
      <c r="E2" s="57"/>
      <c r="F2" s="57"/>
      <c r="G2" s="57"/>
    </row>
    <row r="3" spans="1:7" s="6" customFormat="1" ht="15" thickBot="1" x14ac:dyDescent="0.25">
      <c r="A3" s="3"/>
      <c r="B3" s="57"/>
      <c r="C3" s="57"/>
      <c r="D3" s="57"/>
      <c r="E3" s="57"/>
      <c r="F3" s="56" t="str">
        <f>IFERROR(VLOOKUP(A2,Data!A:C,3,0),"0")</f>
        <v>1</v>
      </c>
      <c r="G3" s="57"/>
    </row>
    <row r="4" spans="1:7" s="6" customFormat="1" ht="29.25" customHeight="1" x14ac:dyDescent="0.2">
      <c r="A4" s="26" t="s">
        <v>26</v>
      </c>
      <c r="B4" s="145" t="s">
        <v>465</v>
      </c>
      <c r="C4" s="146"/>
      <c r="D4" s="28" t="s">
        <v>27</v>
      </c>
      <c r="E4" s="28" t="s">
        <v>462</v>
      </c>
      <c r="F4" s="29" t="s">
        <v>463</v>
      </c>
      <c r="G4" s="57"/>
    </row>
    <row r="5" spans="1:7" s="6" customFormat="1" x14ac:dyDescent="0.2">
      <c r="A5" s="19">
        <v>1</v>
      </c>
      <c r="B5" s="143" t="s">
        <v>0</v>
      </c>
      <c r="C5" s="144"/>
      <c r="D5" s="14">
        <f>D36</f>
        <v>0</v>
      </c>
      <c r="E5" s="15">
        <f>E36+E67+IFERROR($E$105/$D$105*D5,0)</f>
        <v>0</v>
      </c>
      <c r="F5" s="20" t="str">
        <f>IF(OR(D5=0,E5=0),"",ROUND(E5/D5,2))</f>
        <v/>
      </c>
      <c r="G5" s="57"/>
    </row>
    <row r="6" spans="1:7" s="6" customFormat="1" x14ac:dyDescent="0.2">
      <c r="A6" s="19">
        <v>2</v>
      </c>
      <c r="B6" s="143" t="s">
        <v>1</v>
      </c>
      <c r="C6" s="144"/>
      <c r="D6" s="14">
        <f t="shared" ref="D6:D32" si="0">D37</f>
        <v>0</v>
      </c>
      <c r="E6" s="17">
        <f t="shared" ref="E6:E32" si="1">E37+E68+IFERROR($E$105/$D$105*D6,0)</f>
        <v>0</v>
      </c>
      <c r="F6" s="21" t="str">
        <f t="shared" ref="F6:F33" si="2">IF(OR(D6=0,E6=0),"",ROUND(E6/D6,2))</f>
        <v/>
      </c>
      <c r="G6" s="57"/>
    </row>
    <row r="7" spans="1:7" s="7" customFormat="1" ht="14.25" customHeight="1" x14ac:dyDescent="0.2">
      <c r="A7" s="19">
        <v>3</v>
      </c>
      <c r="B7" s="143" t="s">
        <v>2</v>
      </c>
      <c r="C7" s="144"/>
      <c r="D7" s="14">
        <f t="shared" si="0"/>
        <v>66240</v>
      </c>
      <c r="E7" s="17">
        <f t="shared" si="1"/>
        <v>426316.05927505333</v>
      </c>
      <c r="F7" s="21">
        <f t="shared" si="2"/>
        <v>6.44</v>
      </c>
      <c r="G7" s="57"/>
    </row>
    <row r="8" spans="1:7" s="10" customFormat="1" ht="14.25" customHeight="1" x14ac:dyDescent="0.2">
      <c r="A8" s="19">
        <v>4</v>
      </c>
      <c r="B8" s="143" t="s">
        <v>3</v>
      </c>
      <c r="C8" s="144"/>
      <c r="D8" s="14">
        <f t="shared" si="0"/>
        <v>216016</v>
      </c>
      <c r="E8" s="17">
        <f t="shared" si="1"/>
        <v>1394299.3877469795</v>
      </c>
      <c r="F8" s="21">
        <f t="shared" si="2"/>
        <v>6.45</v>
      </c>
      <c r="G8" s="57"/>
    </row>
    <row r="9" spans="1:7" s="10" customFormat="1" x14ac:dyDescent="0.2">
      <c r="A9" s="19">
        <v>5</v>
      </c>
      <c r="B9" s="143" t="s">
        <v>4</v>
      </c>
      <c r="C9" s="144"/>
      <c r="D9" s="14">
        <f t="shared" si="0"/>
        <v>0</v>
      </c>
      <c r="E9" s="17">
        <f t="shared" si="1"/>
        <v>0</v>
      </c>
      <c r="F9" s="21" t="str">
        <f t="shared" si="2"/>
        <v/>
      </c>
      <c r="G9" s="57"/>
    </row>
    <row r="10" spans="1:7" s="10" customFormat="1" x14ac:dyDescent="0.2">
      <c r="A10" s="19">
        <v>6</v>
      </c>
      <c r="B10" s="143" t="s">
        <v>5</v>
      </c>
      <c r="C10" s="144"/>
      <c r="D10" s="14">
        <f t="shared" si="0"/>
        <v>0</v>
      </c>
      <c r="E10" s="17">
        <f t="shared" si="1"/>
        <v>0</v>
      </c>
      <c r="F10" s="21" t="str">
        <f t="shared" si="2"/>
        <v/>
      </c>
      <c r="G10" s="57"/>
    </row>
    <row r="11" spans="1:7" s="10" customFormat="1" x14ac:dyDescent="0.2">
      <c r="A11" s="19">
        <v>7</v>
      </c>
      <c r="B11" s="143" t="s">
        <v>6</v>
      </c>
      <c r="C11" s="144"/>
      <c r="D11" s="14">
        <f t="shared" si="0"/>
        <v>21680</v>
      </c>
      <c r="E11" s="17">
        <f t="shared" si="1"/>
        <v>139531.01336176263</v>
      </c>
      <c r="F11" s="21">
        <f t="shared" si="2"/>
        <v>6.44</v>
      </c>
      <c r="G11" s="57"/>
    </row>
    <row r="12" spans="1:7" s="10" customFormat="1" x14ac:dyDescent="0.2">
      <c r="A12" s="19">
        <v>8</v>
      </c>
      <c r="B12" s="143" t="s">
        <v>7</v>
      </c>
      <c r="C12" s="144"/>
      <c r="D12" s="14">
        <f t="shared" si="0"/>
        <v>40176</v>
      </c>
      <c r="E12" s="17">
        <f t="shared" si="1"/>
        <v>259373.24247334755</v>
      </c>
      <c r="F12" s="21">
        <f t="shared" si="2"/>
        <v>6.46</v>
      </c>
      <c r="G12" s="57"/>
    </row>
    <row r="13" spans="1:7" s="10" customFormat="1" x14ac:dyDescent="0.2">
      <c r="A13" s="19">
        <v>9</v>
      </c>
      <c r="B13" s="143" t="s">
        <v>8</v>
      </c>
      <c r="C13" s="144"/>
      <c r="D13" s="14">
        <f t="shared" si="0"/>
        <v>77696</v>
      </c>
      <c r="E13" s="17">
        <f t="shared" si="1"/>
        <v>501442.50914001418</v>
      </c>
      <c r="F13" s="21">
        <f t="shared" si="2"/>
        <v>6.45</v>
      </c>
      <c r="G13" s="57"/>
    </row>
    <row r="14" spans="1:7" s="10" customFormat="1" x14ac:dyDescent="0.2">
      <c r="A14" s="19">
        <v>10</v>
      </c>
      <c r="B14" s="143" t="s">
        <v>9</v>
      </c>
      <c r="C14" s="144"/>
      <c r="D14" s="14">
        <f t="shared" si="0"/>
        <v>0</v>
      </c>
      <c r="E14" s="17">
        <f t="shared" si="1"/>
        <v>0</v>
      </c>
      <c r="F14" s="21" t="str">
        <f t="shared" si="2"/>
        <v/>
      </c>
      <c r="G14" s="57"/>
    </row>
    <row r="15" spans="1:7" s="10" customFormat="1" x14ac:dyDescent="0.2">
      <c r="A15" s="19">
        <v>11</v>
      </c>
      <c r="B15" s="143" t="s">
        <v>10</v>
      </c>
      <c r="C15" s="144"/>
      <c r="D15" s="14">
        <f t="shared" si="0"/>
        <v>0</v>
      </c>
      <c r="E15" s="17">
        <f t="shared" si="1"/>
        <v>0</v>
      </c>
      <c r="F15" s="21" t="str">
        <f t="shared" si="2"/>
        <v/>
      </c>
      <c r="G15" s="57"/>
    </row>
    <row r="16" spans="1:7" s="10" customFormat="1" ht="14.25" customHeight="1" x14ac:dyDescent="0.2">
      <c r="A16" s="19">
        <v>12</v>
      </c>
      <c r="B16" s="143" t="s">
        <v>11</v>
      </c>
      <c r="C16" s="144"/>
      <c r="D16" s="14">
        <f t="shared" si="0"/>
        <v>195920</v>
      </c>
      <c r="E16" s="17">
        <f t="shared" si="1"/>
        <v>1260928.7997157071</v>
      </c>
      <c r="F16" s="21">
        <f t="shared" si="2"/>
        <v>6.44</v>
      </c>
      <c r="G16" s="57"/>
    </row>
    <row r="17" spans="1:7" s="10" customFormat="1" x14ac:dyDescent="0.2">
      <c r="A17" s="19">
        <v>13</v>
      </c>
      <c r="B17" s="143" t="s">
        <v>12</v>
      </c>
      <c r="C17" s="144"/>
      <c r="D17" s="14">
        <f t="shared" si="0"/>
        <v>3648</v>
      </c>
      <c r="E17" s="17">
        <f t="shared" si="1"/>
        <v>23477.858336886995</v>
      </c>
      <c r="F17" s="21">
        <f t="shared" si="2"/>
        <v>6.44</v>
      </c>
      <c r="G17" s="57"/>
    </row>
    <row r="18" spans="1:7" s="10" customFormat="1" ht="14.25" customHeight="1" x14ac:dyDescent="0.2">
      <c r="A18" s="19">
        <v>14</v>
      </c>
      <c r="B18" s="143" t="s">
        <v>464</v>
      </c>
      <c r="C18" s="144"/>
      <c r="D18" s="14">
        <f t="shared" si="0"/>
        <v>27872</v>
      </c>
      <c r="E18" s="17">
        <f t="shared" si="1"/>
        <v>179941.31238095238</v>
      </c>
      <c r="F18" s="21">
        <f t="shared" si="2"/>
        <v>6.46</v>
      </c>
      <c r="G18" s="57"/>
    </row>
    <row r="19" spans="1:7" s="10" customFormat="1" x14ac:dyDescent="0.2">
      <c r="A19" s="19">
        <v>15</v>
      </c>
      <c r="B19" s="143" t="s">
        <v>13</v>
      </c>
      <c r="C19" s="144"/>
      <c r="D19" s="14">
        <f t="shared" si="0"/>
        <v>0</v>
      </c>
      <c r="E19" s="17">
        <f t="shared" si="1"/>
        <v>0</v>
      </c>
      <c r="F19" s="21" t="str">
        <f t="shared" si="2"/>
        <v/>
      </c>
      <c r="G19" s="57"/>
    </row>
    <row r="20" spans="1:7" s="10" customFormat="1" x14ac:dyDescent="0.2">
      <c r="A20" s="19">
        <v>16</v>
      </c>
      <c r="B20" s="143" t="s">
        <v>14</v>
      </c>
      <c r="C20" s="144"/>
      <c r="D20" s="14">
        <f t="shared" si="0"/>
        <v>38464</v>
      </c>
      <c r="E20" s="17">
        <f t="shared" si="1"/>
        <v>248296.34842928217</v>
      </c>
      <c r="F20" s="21">
        <f t="shared" si="2"/>
        <v>6.46</v>
      </c>
      <c r="G20" s="57"/>
    </row>
    <row r="21" spans="1:7" s="10" customFormat="1" x14ac:dyDescent="0.2">
      <c r="A21" s="19">
        <v>17</v>
      </c>
      <c r="B21" s="143" t="s">
        <v>15</v>
      </c>
      <c r="C21" s="144"/>
      <c r="D21" s="14">
        <f t="shared" si="0"/>
        <v>0</v>
      </c>
      <c r="E21" s="17">
        <f t="shared" si="1"/>
        <v>0</v>
      </c>
      <c r="F21" s="21" t="str">
        <f t="shared" si="2"/>
        <v/>
      </c>
      <c r="G21" s="57"/>
    </row>
    <row r="22" spans="1:7" s="10" customFormat="1" x14ac:dyDescent="0.2">
      <c r="A22" s="19">
        <v>18</v>
      </c>
      <c r="B22" s="143" t="s">
        <v>16</v>
      </c>
      <c r="C22" s="144"/>
      <c r="D22" s="14">
        <f t="shared" si="0"/>
        <v>140016</v>
      </c>
      <c r="E22" s="17">
        <f t="shared" si="1"/>
        <v>903936.83906183369</v>
      </c>
      <c r="F22" s="21">
        <f t="shared" si="2"/>
        <v>6.46</v>
      </c>
      <c r="G22" s="57"/>
    </row>
    <row r="23" spans="1:7" s="10" customFormat="1" x14ac:dyDescent="0.2">
      <c r="A23" s="19">
        <v>19</v>
      </c>
      <c r="B23" s="143" t="s">
        <v>17</v>
      </c>
      <c r="C23" s="144"/>
      <c r="D23" s="14">
        <f t="shared" si="0"/>
        <v>114416</v>
      </c>
      <c r="E23" s="17">
        <f t="shared" si="1"/>
        <v>736374.09634683724</v>
      </c>
      <c r="F23" s="21">
        <f t="shared" si="2"/>
        <v>6.44</v>
      </c>
      <c r="G23" s="57"/>
    </row>
    <row r="24" spans="1:7" s="10" customFormat="1" x14ac:dyDescent="0.2">
      <c r="A24" s="19">
        <v>20</v>
      </c>
      <c r="B24" s="143" t="s">
        <v>18</v>
      </c>
      <c r="C24" s="144"/>
      <c r="D24" s="14">
        <f t="shared" si="0"/>
        <v>34928</v>
      </c>
      <c r="E24" s="17">
        <f t="shared" si="1"/>
        <v>225494.02521677327</v>
      </c>
      <c r="F24" s="21">
        <f t="shared" si="2"/>
        <v>6.46</v>
      </c>
      <c r="G24" s="57"/>
    </row>
    <row r="25" spans="1:7" s="10" customFormat="1" ht="14.25" customHeight="1" x14ac:dyDescent="0.2">
      <c r="A25" s="19">
        <v>21</v>
      </c>
      <c r="B25" s="143" t="s">
        <v>461</v>
      </c>
      <c r="C25" s="144"/>
      <c r="D25" s="14">
        <f t="shared" si="0"/>
        <v>0</v>
      </c>
      <c r="E25" s="17">
        <f t="shared" si="1"/>
        <v>0</v>
      </c>
      <c r="F25" s="21" t="str">
        <f t="shared" si="2"/>
        <v/>
      </c>
      <c r="G25" s="57"/>
    </row>
    <row r="26" spans="1:7" s="10" customFormat="1" x14ac:dyDescent="0.2">
      <c r="A26" s="19">
        <v>22</v>
      </c>
      <c r="B26" s="143" t="s">
        <v>19</v>
      </c>
      <c r="C26" s="144"/>
      <c r="D26" s="14">
        <f t="shared" si="0"/>
        <v>20976</v>
      </c>
      <c r="E26" s="17">
        <f t="shared" si="1"/>
        <v>135419.93543710021</v>
      </c>
      <c r="F26" s="21">
        <f t="shared" si="2"/>
        <v>6.46</v>
      </c>
      <c r="G26" s="57"/>
    </row>
    <row r="27" spans="1:7" s="10" customFormat="1" x14ac:dyDescent="0.2">
      <c r="A27" s="19">
        <v>23</v>
      </c>
      <c r="B27" s="143" t="s">
        <v>20</v>
      </c>
      <c r="C27" s="144"/>
      <c r="D27" s="14">
        <f t="shared" si="0"/>
        <v>0</v>
      </c>
      <c r="E27" s="17">
        <f t="shared" si="1"/>
        <v>0</v>
      </c>
      <c r="F27" s="21" t="str">
        <f t="shared" si="2"/>
        <v/>
      </c>
      <c r="G27" s="57"/>
    </row>
    <row r="28" spans="1:7" s="10" customFormat="1" x14ac:dyDescent="0.2">
      <c r="A28" s="19">
        <v>24</v>
      </c>
      <c r="B28" s="143" t="s">
        <v>21</v>
      </c>
      <c r="C28" s="144"/>
      <c r="D28" s="14">
        <f t="shared" si="0"/>
        <v>0</v>
      </c>
      <c r="E28" s="17">
        <f t="shared" si="1"/>
        <v>0</v>
      </c>
      <c r="F28" s="21" t="str">
        <f t="shared" si="2"/>
        <v/>
      </c>
      <c r="G28" s="57"/>
    </row>
    <row r="29" spans="1:7" s="10" customFormat="1" x14ac:dyDescent="0.2">
      <c r="A29" s="19">
        <v>25</v>
      </c>
      <c r="B29" s="143" t="s">
        <v>22</v>
      </c>
      <c r="C29" s="144"/>
      <c r="D29" s="14">
        <f t="shared" si="0"/>
        <v>127552</v>
      </c>
      <c r="E29" s="17">
        <f t="shared" si="1"/>
        <v>820916.57307746983</v>
      </c>
      <c r="F29" s="21">
        <f t="shared" si="2"/>
        <v>6.44</v>
      </c>
      <c r="G29" s="57"/>
    </row>
    <row r="30" spans="1:7" s="10" customFormat="1" x14ac:dyDescent="0.2">
      <c r="A30" s="19">
        <v>26</v>
      </c>
      <c r="B30" s="143" t="s">
        <v>23</v>
      </c>
      <c r="C30" s="144"/>
      <c r="D30" s="14">
        <f t="shared" si="0"/>
        <v>0</v>
      </c>
      <c r="E30" s="17">
        <f t="shared" si="1"/>
        <v>0</v>
      </c>
      <c r="F30" s="21" t="str">
        <f t="shared" si="2"/>
        <v/>
      </c>
      <c r="G30" s="57"/>
    </row>
    <row r="31" spans="1:7" s="10" customFormat="1" x14ac:dyDescent="0.2">
      <c r="A31" s="19">
        <v>28</v>
      </c>
      <c r="B31" s="143" t="s">
        <v>24</v>
      </c>
      <c r="C31" s="144"/>
      <c r="D31" s="14">
        <f t="shared" si="0"/>
        <v>0</v>
      </c>
      <c r="E31" s="17">
        <f t="shared" si="1"/>
        <v>0</v>
      </c>
      <c r="F31" s="21" t="str">
        <f t="shared" si="2"/>
        <v/>
      </c>
      <c r="G31" s="57"/>
    </row>
    <row r="32" spans="1:7" s="10" customFormat="1" ht="15.75" customHeight="1" thickBot="1" x14ac:dyDescent="0.25">
      <c r="A32" s="22">
        <v>29</v>
      </c>
      <c r="B32" s="147" t="s">
        <v>25</v>
      </c>
      <c r="C32" s="148"/>
      <c r="D32" s="23">
        <f t="shared" si="0"/>
        <v>0</v>
      </c>
      <c r="E32" s="24">
        <f t="shared" si="1"/>
        <v>0</v>
      </c>
      <c r="F32" s="25" t="str">
        <f t="shared" si="2"/>
        <v/>
      </c>
      <c r="G32" s="57"/>
    </row>
    <row r="33" spans="1:7" s="10" customFormat="1" x14ac:dyDescent="0.2">
      <c r="B33" s="30" t="s">
        <v>35</v>
      </c>
      <c r="C33" s="30"/>
      <c r="D33" s="59">
        <f>SUM(D5:D32)</f>
        <v>1125600</v>
      </c>
      <c r="E33" s="31">
        <f>SUM(E5:E32)</f>
        <v>7255748</v>
      </c>
      <c r="F33" s="32">
        <f t="shared" si="2"/>
        <v>6.45</v>
      </c>
      <c r="G33" s="57"/>
    </row>
    <row r="34" spans="1:7" s="10" customFormat="1" ht="15" thickBot="1" x14ac:dyDescent="0.25">
      <c r="A34" s="1"/>
      <c r="B34" s="57"/>
      <c r="C34" s="57"/>
      <c r="D34" s="57"/>
      <c r="E34" s="57"/>
      <c r="F34" s="66"/>
      <c r="G34" s="57"/>
    </row>
    <row r="35" spans="1:7" s="10" customFormat="1" ht="29.25" customHeight="1" x14ac:dyDescent="0.2">
      <c r="A35" s="26" t="s">
        <v>26</v>
      </c>
      <c r="B35" s="145" t="s">
        <v>466</v>
      </c>
      <c r="C35" s="146"/>
      <c r="D35" s="28" t="s">
        <v>27</v>
      </c>
      <c r="E35" s="28" t="s">
        <v>462</v>
      </c>
      <c r="F35" s="29" t="s">
        <v>463</v>
      </c>
      <c r="G35" s="57"/>
    </row>
    <row r="36" spans="1:7" s="10" customFormat="1" x14ac:dyDescent="0.2">
      <c r="A36" s="19">
        <v>1</v>
      </c>
      <c r="B36" s="143" t="s">
        <v>0</v>
      </c>
      <c r="C36" s="144"/>
      <c r="D36" s="14">
        <f>IF(F3="1",SUMIF(Data!A:A,'57'!$A$2,Data!CU:CU),0)</f>
        <v>0</v>
      </c>
      <c r="E36" s="15">
        <f>IF(F3="1",SUMIF(Data!$A:$A,$A$2,Data!IO:IO),0)</f>
        <v>0</v>
      </c>
      <c r="F36" s="20" t="str">
        <f t="shared" ref="F36:F64" si="3">IF(OR(D36=0,E36=0),"",ROUND(E36/D36,2))</f>
        <v/>
      </c>
      <c r="G36" s="57"/>
    </row>
    <row r="37" spans="1:7" s="10" customFormat="1" x14ac:dyDescent="0.2">
      <c r="A37" s="19">
        <v>2</v>
      </c>
      <c r="B37" s="143" t="s">
        <v>1</v>
      </c>
      <c r="C37" s="144"/>
      <c r="D37" s="14">
        <f>IF(F3="1",SUMIF(Data!A:A,'57'!$A$2,Data!CV:CV),0)</f>
        <v>0</v>
      </c>
      <c r="E37" s="17">
        <f>IF(F3="1",SUMIF(Data!$A:$A,$A$2,Data!IP:IP),0)</f>
        <v>0</v>
      </c>
      <c r="F37" s="21" t="str">
        <f t="shared" si="3"/>
        <v/>
      </c>
      <c r="G37" s="57"/>
    </row>
    <row r="38" spans="1:7" ht="14.25" customHeight="1" x14ac:dyDescent="0.2">
      <c r="A38" s="19">
        <v>3</v>
      </c>
      <c r="B38" s="143" t="s">
        <v>2</v>
      </c>
      <c r="C38" s="144"/>
      <c r="D38" s="14">
        <f>IF(F3="1",SUMIF(Data!A:A,'57'!$A$2,Data!CW:CW),0)</f>
        <v>66240</v>
      </c>
      <c r="E38" s="17">
        <f>IF($F$3="1",SUMIF(Data!$A:$A,$A$2,Data!IQ:IQ),0)</f>
        <v>44101</v>
      </c>
      <c r="F38" s="21">
        <f t="shared" si="3"/>
        <v>0.67</v>
      </c>
    </row>
    <row r="39" spans="1:7" s="10" customFormat="1" ht="14.25" customHeight="1" x14ac:dyDescent="0.2">
      <c r="A39" s="19">
        <v>4</v>
      </c>
      <c r="B39" s="143" t="s">
        <v>3</v>
      </c>
      <c r="C39" s="144"/>
      <c r="D39" s="14">
        <f>IF(F3="1",SUMIF(Data!A:A,'57'!$A$2,Data!CX:CX),0)</f>
        <v>216016</v>
      </c>
      <c r="E39" s="17">
        <f>IF($F$3="1",SUMIF(Data!$A:$A,$A$2,Data!IR:IR),0)</f>
        <v>147889</v>
      </c>
      <c r="F39" s="21">
        <f t="shared" si="3"/>
        <v>0.68</v>
      </c>
      <c r="G39" s="57"/>
    </row>
    <row r="40" spans="1:7" s="10" customFormat="1" x14ac:dyDescent="0.2">
      <c r="A40" s="19">
        <v>5</v>
      </c>
      <c r="B40" s="143" t="s">
        <v>4</v>
      </c>
      <c r="C40" s="144"/>
      <c r="D40" s="14">
        <f>IF(F3="1",SUMIF(Data!A:A,'57'!$A$2,Data!CY:CY),0)</f>
        <v>0</v>
      </c>
      <c r="E40" s="17">
        <f>IF($F$3="1",SUMIF(Data!$A:$A,$A$2,Data!IS:IS),0)</f>
        <v>0</v>
      </c>
      <c r="F40" s="21" t="str">
        <f t="shared" si="3"/>
        <v/>
      </c>
      <c r="G40" s="57"/>
    </row>
    <row r="41" spans="1:7" s="10" customFormat="1" x14ac:dyDescent="0.2">
      <c r="A41" s="19">
        <v>6</v>
      </c>
      <c r="B41" s="143" t="s">
        <v>5</v>
      </c>
      <c r="C41" s="144"/>
      <c r="D41" s="14">
        <f>IF(F3="1",SUMIF(Data!A:A,'57'!$A$2,Data!CZ:CZ),0)</f>
        <v>0</v>
      </c>
      <c r="E41" s="17">
        <f>IF($F$3="1",SUMIF(Data!$A:$A,$A$2,Data!IT:IT),0)</f>
        <v>0</v>
      </c>
      <c r="F41" s="21" t="str">
        <f t="shared" si="3"/>
        <v/>
      </c>
      <c r="G41" s="57"/>
    </row>
    <row r="42" spans="1:7" s="10" customFormat="1" x14ac:dyDescent="0.2">
      <c r="A42" s="19">
        <v>7</v>
      </c>
      <c r="B42" s="143" t="s">
        <v>6</v>
      </c>
      <c r="C42" s="144"/>
      <c r="D42" s="14">
        <f>IF(F3="1",SUMIF(Data!A:A,'57'!$A$2,Data!DA:DA),0)</f>
        <v>21680</v>
      </c>
      <c r="E42" s="17">
        <f>IF($F$3="1",SUMIF(Data!$A:$A,$A$2,Data!IU:IU),0)</f>
        <v>14434</v>
      </c>
      <c r="F42" s="21">
        <f t="shared" si="3"/>
        <v>0.67</v>
      </c>
      <c r="G42" s="57"/>
    </row>
    <row r="43" spans="1:7" s="10" customFormat="1" x14ac:dyDescent="0.2">
      <c r="A43" s="19">
        <v>8</v>
      </c>
      <c r="B43" s="143" t="s">
        <v>7</v>
      </c>
      <c r="C43" s="144"/>
      <c r="D43" s="14">
        <f>IF(F3="1",SUMIF(Data!A:A,'57'!$A$2,Data!DB:DB),0)</f>
        <v>40176</v>
      </c>
      <c r="E43" s="17">
        <f>IF($F$3="1",SUMIF(Data!$A:$A,$A$2,Data!IV:IV),0)</f>
        <v>27559</v>
      </c>
      <c r="F43" s="21">
        <f t="shared" si="3"/>
        <v>0.69</v>
      </c>
      <c r="G43" s="57"/>
    </row>
    <row r="44" spans="1:7" s="10" customFormat="1" x14ac:dyDescent="0.2">
      <c r="A44" s="19">
        <v>9</v>
      </c>
      <c r="B44" s="143" t="s">
        <v>8</v>
      </c>
      <c r="C44" s="144"/>
      <c r="D44" s="14">
        <f>IF(F3="1",SUMIF(Data!A:A,'57'!$A$2,Data!DC:DC),0)</f>
        <v>77696</v>
      </c>
      <c r="E44" s="17">
        <f>IF($F$3="1",SUMIF(Data!$A:$A,$A$2,Data!IW:IW),0)</f>
        <v>53137</v>
      </c>
      <c r="F44" s="21">
        <f t="shared" si="3"/>
        <v>0.68</v>
      </c>
      <c r="G44" s="57"/>
    </row>
    <row r="45" spans="1:7" s="10" customFormat="1" x14ac:dyDescent="0.2">
      <c r="A45" s="19">
        <v>10</v>
      </c>
      <c r="B45" s="143" t="s">
        <v>9</v>
      </c>
      <c r="C45" s="144"/>
      <c r="D45" s="14">
        <f>IF(F3="1",SUMIF(Data!A:A,'57'!$A$2,Data!DD:DD),0)</f>
        <v>0</v>
      </c>
      <c r="E45" s="17">
        <f>IF($F$3="1",SUMIF(Data!$A:$A,$A$2,Data!IX:IX),0)</f>
        <v>0</v>
      </c>
      <c r="F45" s="21" t="str">
        <f t="shared" si="3"/>
        <v/>
      </c>
      <c r="G45" s="57"/>
    </row>
    <row r="46" spans="1:7" s="10" customFormat="1" x14ac:dyDescent="0.2">
      <c r="A46" s="19">
        <v>11</v>
      </c>
      <c r="B46" s="143" t="s">
        <v>10</v>
      </c>
      <c r="C46" s="144"/>
      <c r="D46" s="14">
        <f>IF(F3="1",SUMIF(Data!A:A,'57'!$A$2,Data!DE:DE),0)</f>
        <v>0</v>
      </c>
      <c r="E46" s="17">
        <f>IF($F$3="1",SUMIF(Data!$A:$A,$A$2,Data!IY:IY),0)</f>
        <v>0</v>
      </c>
      <c r="F46" s="21" t="str">
        <f t="shared" si="3"/>
        <v/>
      </c>
      <c r="G46" s="57"/>
    </row>
    <row r="47" spans="1:7" s="10" customFormat="1" ht="14.25" customHeight="1" x14ac:dyDescent="0.2">
      <c r="A47" s="19">
        <v>12</v>
      </c>
      <c r="B47" s="143" t="s">
        <v>11</v>
      </c>
      <c r="C47" s="144"/>
      <c r="D47" s="14">
        <f>IF(F3="1",SUMIF(Data!A:A,'57'!$A$2,Data!DF:DF),0)</f>
        <v>195920</v>
      </c>
      <c r="E47" s="17">
        <f>IF($F$3="1",SUMIF(Data!$A:$A,$A$2,Data!IZ:IZ),0)</f>
        <v>130440</v>
      </c>
      <c r="F47" s="21">
        <f t="shared" si="3"/>
        <v>0.67</v>
      </c>
      <c r="G47" s="57"/>
    </row>
    <row r="48" spans="1:7" s="10" customFormat="1" x14ac:dyDescent="0.2">
      <c r="A48" s="19">
        <v>13</v>
      </c>
      <c r="B48" s="143" t="s">
        <v>12</v>
      </c>
      <c r="C48" s="144"/>
      <c r="D48" s="14">
        <f>IF(F3="1",SUMIF(Data!A:A,'57'!$A$2,Data!DG:DG),0)</f>
        <v>3648</v>
      </c>
      <c r="E48" s="17">
        <f>IF($F$3="1",SUMIF(Data!$A:$A,$A$2,Data!JA:JA),0)</f>
        <v>2428</v>
      </c>
      <c r="F48" s="21">
        <f t="shared" si="3"/>
        <v>0.67</v>
      </c>
      <c r="G48" s="57"/>
    </row>
    <row r="49" spans="1:7" s="10" customFormat="1" ht="14.25" customHeight="1" x14ac:dyDescent="0.2">
      <c r="A49" s="19">
        <v>14</v>
      </c>
      <c r="B49" s="143" t="s">
        <v>464</v>
      </c>
      <c r="C49" s="144"/>
      <c r="D49" s="14">
        <f>IF(F3="1",SUMIF(Data!A:A,'57'!$A$2,Data!DH:DH),0)</f>
        <v>27872</v>
      </c>
      <c r="E49" s="17">
        <f>IF($F$3="1",SUMIF(Data!$A:$A,$A$2,Data!JB:JB),0)</f>
        <v>19120</v>
      </c>
      <c r="F49" s="21">
        <f t="shared" si="3"/>
        <v>0.69</v>
      </c>
      <c r="G49" s="57"/>
    </row>
    <row r="50" spans="1:7" s="10" customFormat="1" x14ac:dyDescent="0.2">
      <c r="A50" s="19">
        <v>15</v>
      </c>
      <c r="B50" s="143" t="s">
        <v>13</v>
      </c>
      <c r="C50" s="144"/>
      <c r="D50" s="14">
        <f>IF(F3="1",SUMIF(Data!A:A,'57'!$A$2,Data!DI:DI),0)</f>
        <v>0</v>
      </c>
      <c r="E50" s="17">
        <f>IF($F$3="1",SUMIF(Data!$A:$A,$A$2,Data!JC:JC),0)</f>
        <v>0</v>
      </c>
      <c r="F50" s="21" t="str">
        <f t="shared" si="3"/>
        <v/>
      </c>
      <c r="G50" s="57"/>
    </row>
    <row r="51" spans="1:7" s="10" customFormat="1" x14ac:dyDescent="0.2">
      <c r="A51" s="19">
        <v>16</v>
      </c>
      <c r="B51" s="143" t="s">
        <v>14</v>
      </c>
      <c r="C51" s="144"/>
      <c r="D51" s="14">
        <f>IF(F3="1",SUMIF(Data!A:A,'57'!$A$2,Data!DJ:DJ),0)</f>
        <v>38464</v>
      </c>
      <c r="E51" s="17">
        <f>IF($F$3="1",SUMIF(Data!$A:$A,$A$2,Data!JD:JD),0)</f>
        <v>26360</v>
      </c>
      <c r="F51" s="21">
        <f t="shared" si="3"/>
        <v>0.69</v>
      </c>
      <c r="G51" s="57"/>
    </row>
    <row r="52" spans="1:7" s="10" customFormat="1" x14ac:dyDescent="0.2">
      <c r="A52" s="19">
        <v>17</v>
      </c>
      <c r="B52" s="143" t="s">
        <v>15</v>
      </c>
      <c r="C52" s="144"/>
      <c r="D52" s="14">
        <f>IF(F3="1",SUMIF(Data!A:A,'57'!$A$2,Data!DK:DK),0)</f>
        <v>0</v>
      </c>
      <c r="E52" s="17">
        <f>IF($F$3="1",SUMIF(Data!$A:$A,$A$2,Data!JE:JE),0)</f>
        <v>0</v>
      </c>
      <c r="F52" s="21" t="str">
        <f t="shared" si="3"/>
        <v/>
      </c>
      <c r="G52" s="57"/>
    </row>
    <row r="53" spans="1:7" s="10" customFormat="1" x14ac:dyDescent="0.2">
      <c r="A53" s="19">
        <v>18</v>
      </c>
      <c r="B53" s="143" t="s">
        <v>16</v>
      </c>
      <c r="C53" s="144"/>
      <c r="D53" s="14">
        <f>IF(F3="1",SUMIF(Data!A:A,'57'!$A$2,Data!DL:DL),0)</f>
        <v>140016</v>
      </c>
      <c r="E53" s="17">
        <f>IF($F$3="1",SUMIF(Data!$A:$A,$A$2,Data!JF:JF),0)</f>
        <v>96047</v>
      </c>
      <c r="F53" s="21">
        <f t="shared" si="3"/>
        <v>0.69</v>
      </c>
      <c r="G53" s="57"/>
    </row>
    <row r="54" spans="1:7" s="10" customFormat="1" x14ac:dyDescent="0.2">
      <c r="A54" s="19">
        <v>19</v>
      </c>
      <c r="B54" s="143" t="s">
        <v>17</v>
      </c>
      <c r="C54" s="144"/>
      <c r="D54" s="14">
        <f>IF(F3="1",SUMIF(Data!A:A,'57'!$A$2,Data!DM:DM),0)</f>
        <v>114416</v>
      </c>
      <c r="E54" s="17">
        <f>IF($F$3="1",SUMIF(Data!$A:$A,$A$2,Data!JG:JG),0)</f>
        <v>76176</v>
      </c>
      <c r="F54" s="21">
        <f t="shared" si="3"/>
        <v>0.67</v>
      </c>
      <c r="G54" s="57"/>
    </row>
    <row r="55" spans="1:7" s="10" customFormat="1" x14ac:dyDescent="0.2">
      <c r="A55" s="19">
        <v>20</v>
      </c>
      <c r="B55" s="143" t="s">
        <v>18</v>
      </c>
      <c r="C55" s="144"/>
      <c r="D55" s="14">
        <f>IF(F3="1",SUMIF(Data!A:A,'57'!$A$2,Data!DN:DN),0)</f>
        <v>34928</v>
      </c>
      <c r="E55" s="17">
        <f>IF($F$3="1",SUMIF(Data!$A:$A,$A$2,Data!JH:JH),0)</f>
        <v>23960</v>
      </c>
      <c r="F55" s="21">
        <f t="shared" si="3"/>
        <v>0.69</v>
      </c>
      <c r="G55" s="57"/>
    </row>
    <row r="56" spans="1:7" s="10" customFormat="1" ht="14.25" customHeight="1" x14ac:dyDescent="0.2">
      <c r="A56" s="19">
        <v>21</v>
      </c>
      <c r="B56" s="143" t="s">
        <v>461</v>
      </c>
      <c r="C56" s="144"/>
      <c r="D56" s="14">
        <f>IF(F3="1",SUMIF(Data!A:A,'57'!$A$2,Data!DO:DO),0)</f>
        <v>0</v>
      </c>
      <c r="E56" s="17">
        <f>IF($F$3="1",SUMIF(Data!$A:$A,$A$2,Data!JI:JI),0)</f>
        <v>0</v>
      </c>
      <c r="F56" s="21" t="str">
        <f t="shared" si="3"/>
        <v/>
      </c>
      <c r="G56" s="57"/>
    </row>
    <row r="57" spans="1:7" s="10" customFormat="1" x14ac:dyDescent="0.2">
      <c r="A57" s="19">
        <v>22</v>
      </c>
      <c r="B57" s="143" t="s">
        <v>19</v>
      </c>
      <c r="C57" s="144"/>
      <c r="D57" s="14">
        <f>IF(F3="1",SUMIF(Data!A:A,'57'!$A$2,Data!DP:DP),0)</f>
        <v>20976</v>
      </c>
      <c r="E57" s="17">
        <f>IF($F$3="1",SUMIF(Data!$A:$A,$A$2,Data!JJ:JJ),0)</f>
        <v>14389</v>
      </c>
      <c r="F57" s="21">
        <f t="shared" si="3"/>
        <v>0.69</v>
      </c>
      <c r="G57" s="57"/>
    </row>
    <row r="58" spans="1:7" s="10" customFormat="1" x14ac:dyDescent="0.2">
      <c r="A58" s="19">
        <v>23</v>
      </c>
      <c r="B58" s="143" t="s">
        <v>20</v>
      </c>
      <c r="C58" s="144"/>
      <c r="D58" s="14">
        <f>IF(F3="1",SUMIF(Data!A:A,'57'!$A$2,Data!DQ:DQ),0)</f>
        <v>0</v>
      </c>
      <c r="E58" s="17">
        <f>IF($F$3="1",SUMIF(Data!$A:$A,$A$2,Data!JK:JK),0)</f>
        <v>0</v>
      </c>
      <c r="F58" s="21" t="str">
        <f t="shared" si="3"/>
        <v/>
      </c>
      <c r="G58" s="57"/>
    </row>
    <row r="59" spans="1:7" s="10" customFormat="1" x14ac:dyDescent="0.2">
      <c r="A59" s="19">
        <v>24</v>
      </c>
      <c r="B59" s="143" t="s">
        <v>21</v>
      </c>
      <c r="C59" s="144"/>
      <c r="D59" s="14">
        <f>IF(F3="1",SUMIF(Data!A:A,'57'!$A$2,Data!DR:DR),0)</f>
        <v>0</v>
      </c>
      <c r="E59" s="17">
        <f>IF($F$3="1",SUMIF(Data!$A:$A,$A$2,Data!JL:JL),0)</f>
        <v>0</v>
      </c>
      <c r="F59" s="21" t="str">
        <f t="shared" si="3"/>
        <v/>
      </c>
      <c r="G59" s="57"/>
    </row>
    <row r="60" spans="1:7" s="10" customFormat="1" x14ac:dyDescent="0.2">
      <c r="A60" s="19">
        <v>25</v>
      </c>
      <c r="B60" s="143" t="s">
        <v>22</v>
      </c>
      <c r="C60" s="144"/>
      <c r="D60" s="14">
        <f>IF(F3="1",SUMIF(Data!A:A,'57'!$A$2,Data!DS:DS),0)</f>
        <v>127552</v>
      </c>
      <c r="E60" s="17">
        <f>IF($F$3="1",SUMIF(Data!$A:$A,$A$2,Data!JM:JM),0)</f>
        <v>84922</v>
      </c>
      <c r="F60" s="21">
        <f t="shared" si="3"/>
        <v>0.67</v>
      </c>
      <c r="G60" s="57"/>
    </row>
    <row r="61" spans="1:7" s="10" customFormat="1" x14ac:dyDescent="0.2">
      <c r="A61" s="19">
        <v>26</v>
      </c>
      <c r="B61" s="143" t="s">
        <v>23</v>
      </c>
      <c r="C61" s="144"/>
      <c r="D61" s="14">
        <f>IF(F3="1",SUMIF(Data!A:A,'57'!$A$2,Data!DT:DT),0)</f>
        <v>0</v>
      </c>
      <c r="E61" s="17">
        <f>IF($F$3="1",SUMIF(Data!$A:$A,$A$2,Data!JN:JN),0)</f>
        <v>0</v>
      </c>
      <c r="F61" s="21" t="str">
        <f t="shared" si="3"/>
        <v/>
      </c>
      <c r="G61" s="57"/>
    </row>
    <row r="62" spans="1:7" s="10" customFormat="1" x14ac:dyDescent="0.2">
      <c r="A62" s="19">
        <v>28</v>
      </c>
      <c r="B62" s="143" t="s">
        <v>24</v>
      </c>
      <c r="C62" s="144"/>
      <c r="D62" s="14">
        <f>IF(F3="1",SUMIF(Data!A:A,'57'!$A$2,Data!DV:DV),0)</f>
        <v>0</v>
      </c>
      <c r="E62" s="17">
        <f>IF($F$3="1",SUMIF(Data!$A:$A,$A$2,Data!JP:JP),0)</f>
        <v>0</v>
      </c>
      <c r="F62" s="21" t="str">
        <f t="shared" si="3"/>
        <v/>
      </c>
      <c r="G62" s="57"/>
    </row>
    <row r="63" spans="1:7" s="10" customFormat="1" ht="15.75" customHeight="1" thickBot="1" x14ac:dyDescent="0.25">
      <c r="A63" s="22">
        <v>29</v>
      </c>
      <c r="B63" s="147" t="s">
        <v>25</v>
      </c>
      <c r="C63" s="148"/>
      <c r="D63" s="23">
        <f>IF(F3="1",SUMIF(Data!A:A,'57'!$A$2,Data!DW:DW),0)</f>
        <v>0</v>
      </c>
      <c r="E63" s="24">
        <f>IF($F$3="1",SUMIF(Data!$A:$A,$A$2,Data!JQ:JQ),0)</f>
        <v>0</v>
      </c>
      <c r="F63" s="25" t="str">
        <f t="shared" si="3"/>
        <v/>
      </c>
      <c r="G63" s="57"/>
    </row>
    <row r="64" spans="1:7" s="10" customFormat="1" x14ac:dyDescent="0.2">
      <c r="B64" s="30" t="s">
        <v>35</v>
      </c>
      <c r="C64" s="30"/>
      <c r="D64" s="59">
        <f>SUM(D36:D63)</f>
        <v>1125600</v>
      </c>
      <c r="E64" s="31">
        <f>SUM(E36:E63)</f>
        <v>760962</v>
      </c>
      <c r="F64" s="32">
        <f t="shared" si="3"/>
        <v>0.68</v>
      </c>
      <c r="G64" s="57"/>
    </row>
    <row r="65" spans="1:7" s="10" customFormat="1" ht="15" thickBot="1" x14ac:dyDescent="0.25">
      <c r="B65" s="57"/>
      <c r="C65" s="57"/>
      <c r="D65" s="57"/>
      <c r="E65" s="57"/>
      <c r="F65" s="66"/>
      <c r="G65" s="57"/>
    </row>
    <row r="66" spans="1:7" s="10" customFormat="1" ht="29.25" customHeight="1" x14ac:dyDescent="0.2">
      <c r="A66" s="26" t="s">
        <v>26</v>
      </c>
      <c r="B66" s="145" t="s">
        <v>467</v>
      </c>
      <c r="C66" s="146"/>
      <c r="D66" s="28" t="s">
        <v>27</v>
      </c>
      <c r="E66" s="28" t="s">
        <v>462</v>
      </c>
      <c r="F66" s="29" t="s">
        <v>463</v>
      </c>
      <c r="G66" s="57"/>
    </row>
    <row r="67" spans="1:7" s="10" customFormat="1" x14ac:dyDescent="0.2">
      <c r="A67" s="19">
        <v>1</v>
      </c>
      <c r="B67" s="143" t="s">
        <v>0</v>
      </c>
      <c r="C67" s="144"/>
      <c r="D67" s="14">
        <f>D36</f>
        <v>0</v>
      </c>
      <c r="E67" s="15">
        <f>IF(F3="1",SUMIF(Data!A:A,'57'!$A$2,Data!DY:DY),0)</f>
        <v>0</v>
      </c>
      <c r="F67" s="20" t="str">
        <f t="shared" ref="F67:F95" si="4">IF(OR(D67=0,E67=0),"",ROUND(E67/D67,2))</f>
        <v/>
      </c>
      <c r="G67" s="57"/>
    </row>
    <row r="68" spans="1:7" s="10" customFormat="1" x14ac:dyDescent="0.2">
      <c r="A68" s="19">
        <v>2</v>
      </c>
      <c r="B68" s="143" t="s">
        <v>1</v>
      </c>
      <c r="C68" s="144"/>
      <c r="D68" s="14">
        <f t="shared" ref="D68:D94" si="5">D37</f>
        <v>0</v>
      </c>
      <c r="E68" s="17">
        <f>IF(F3="1",SUMIF(Data!A:A,'57'!$A$2,Data!DZ:DZ),0)</f>
        <v>0</v>
      </c>
      <c r="F68" s="21" t="str">
        <f t="shared" si="4"/>
        <v/>
      </c>
      <c r="G68" s="57"/>
    </row>
    <row r="69" spans="1:7" s="10" customFormat="1" ht="14.25" customHeight="1" x14ac:dyDescent="0.2">
      <c r="A69" s="19">
        <v>3</v>
      </c>
      <c r="B69" s="143" t="s">
        <v>2</v>
      </c>
      <c r="C69" s="144"/>
      <c r="D69" s="14">
        <f t="shared" si="5"/>
        <v>66240</v>
      </c>
      <c r="E69" s="17">
        <f>IF(F3="1",SUMIF(Data!A:A,'57'!$A$2,Data!EA:EA),0)</f>
        <v>212750</v>
      </c>
      <c r="F69" s="21">
        <f t="shared" si="4"/>
        <v>3.21</v>
      </c>
      <c r="G69" s="57"/>
    </row>
    <row r="70" spans="1:7" ht="14.25" customHeight="1" x14ac:dyDescent="0.2">
      <c r="A70" s="19">
        <v>4</v>
      </c>
      <c r="B70" s="143" t="s">
        <v>3</v>
      </c>
      <c r="C70" s="144"/>
      <c r="D70" s="14">
        <f t="shared" si="5"/>
        <v>216016</v>
      </c>
      <c r="E70" s="17">
        <f>IF(F3="1",SUMIF(Data!A:A,'57'!$A$2,Data!EB:EB),0)</f>
        <v>693766</v>
      </c>
      <c r="F70" s="21">
        <f t="shared" si="4"/>
        <v>3.21</v>
      </c>
    </row>
    <row r="71" spans="1:7" x14ac:dyDescent="0.2">
      <c r="A71" s="19">
        <v>5</v>
      </c>
      <c r="B71" s="143" t="s">
        <v>4</v>
      </c>
      <c r="C71" s="144"/>
      <c r="D71" s="14">
        <f t="shared" si="5"/>
        <v>0</v>
      </c>
      <c r="E71" s="17">
        <f>IF(F3="1",SUMIF(Data!A:A,'57'!$A$2,Data!EC:EC),0)</f>
        <v>0</v>
      </c>
      <c r="F71" s="21" t="str">
        <f t="shared" si="4"/>
        <v/>
      </c>
    </row>
    <row r="72" spans="1:7" x14ac:dyDescent="0.2">
      <c r="A72" s="19">
        <v>6</v>
      </c>
      <c r="B72" s="143" t="s">
        <v>5</v>
      </c>
      <c r="C72" s="144"/>
      <c r="D72" s="14">
        <f t="shared" si="5"/>
        <v>0</v>
      </c>
      <c r="E72" s="17">
        <f>IF(F3="1",SUMIF(Data!A:A,'57'!$A$2,Data!ED:ED),0)</f>
        <v>0</v>
      </c>
      <c r="F72" s="21" t="str">
        <f t="shared" si="4"/>
        <v/>
      </c>
    </row>
    <row r="73" spans="1:7" x14ac:dyDescent="0.2">
      <c r="A73" s="19">
        <v>7</v>
      </c>
      <c r="B73" s="143" t="s">
        <v>6</v>
      </c>
      <c r="C73" s="144"/>
      <c r="D73" s="14">
        <f t="shared" si="5"/>
        <v>21680</v>
      </c>
      <c r="E73" s="17">
        <f>IF(F3="1",SUMIF(Data!A:A,'57'!$A$2,Data!EE:EE),0)</f>
        <v>69632</v>
      </c>
      <c r="F73" s="21">
        <f t="shared" si="4"/>
        <v>3.21</v>
      </c>
    </row>
    <row r="74" spans="1:7" x14ac:dyDescent="0.2">
      <c r="A74" s="19">
        <v>8</v>
      </c>
      <c r="B74" s="143" t="s">
        <v>7</v>
      </c>
      <c r="C74" s="144"/>
      <c r="D74" s="14">
        <f t="shared" si="5"/>
        <v>40176</v>
      </c>
      <c r="E74" s="17">
        <f>IF(F3="1",SUMIF(Data!A:A,'57'!$A$2,Data!EF:EF),0)</f>
        <v>129030</v>
      </c>
      <c r="F74" s="21">
        <f t="shared" si="4"/>
        <v>3.21</v>
      </c>
    </row>
    <row r="75" spans="1:7" x14ac:dyDescent="0.2">
      <c r="A75" s="19">
        <v>9</v>
      </c>
      <c r="B75" s="143" t="s">
        <v>8</v>
      </c>
      <c r="C75" s="144"/>
      <c r="D75" s="14">
        <f t="shared" si="5"/>
        <v>77696</v>
      </c>
      <c r="E75" s="17">
        <f>IF(F3="1",SUMIF(Data!A:A,'57'!$A$2,Data!EG:EG),0)</f>
        <v>249532</v>
      </c>
      <c r="F75" s="21">
        <f t="shared" si="4"/>
        <v>3.21</v>
      </c>
    </row>
    <row r="76" spans="1:7" x14ac:dyDescent="0.2">
      <c r="A76" s="19">
        <v>10</v>
      </c>
      <c r="B76" s="143" t="s">
        <v>9</v>
      </c>
      <c r="C76" s="144"/>
      <c r="D76" s="14">
        <f t="shared" si="5"/>
        <v>0</v>
      </c>
      <c r="E76" s="17">
        <f>IF(F3="1",SUMIF(Data!A:A,'57'!$A$2,Data!EH:EH),0)</f>
        <v>0</v>
      </c>
      <c r="F76" s="21" t="str">
        <f t="shared" si="4"/>
        <v/>
      </c>
    </row>
    <row r="77" spans="1:7" x14ac:dyDescent="0.2">
      <c r="A77" s="19">
        <v>11</v>
      </c>
      <c r="B77" s="143" t="s">
        <v>10</v>
      </c>
      <c r="C77" s="144"/>
      <c r="D77" s="14">
        <f t="shared" si="5"/>
        <v>0</v>
      </c>
      <c r="E77" s="17">
        <f>IF(F3="1",SUMIF(Data!A:A,'57'!$A$2,Data!EI:EI),0)</f>
        <v>0</v>
      </c>
      <c r="F77" s="21" t="str">
        <f t="shared" si="4"/>
        <v/>
      </c>
    </row>
    <row r="78" spans="1:7" ht="14.25" customHeight="1" x14ac:dyDescent="0.2">
      <c r="A78" s="19">
        <v>12</v>
      </c>
      <c r="B78" s="143" t="s">
        <v>11</v>
      </c>
      <c r="C78" s="144"/>
      <c r="D78" s="14">
        <f t="shared" si="5"/>
        <v>195920</v>
      </c>
      <c r="E78" s="17">
        <f>IF(F3="1",SUMIF(Data!A:A,'57'!$A$2,Data!EJ:EJ),0)</f>
        <v>629257</v>
      </c>
      <c r="F78" s="21">
        <f t="shared" si="4"/>
        <v>3.21</v>
      </c>
    </row>
    <row r="79" spans="1:7" x14ac:dyDescent="0.2">
      <c r="A79" s="19">
        <v>13</v>
      </c>
      <c r="B79" s="143" t="s">
        <v>12</v>
      </c>
      <c r="C79" s="144"/>
      <c r="D79" s="14">
        <f t="shared" si="5"/>
        <v>3648</v>
      </c>
      <c r="E79" s="17">
        <f>IF(F3="1",SUMIF(Data!A:A,'57'!$A$2,Data!EK:EK),0)</f>
        <v>11717</v>
      </c>
      <c r="F79" s="21">
        <f t="shared" si="4"/>
        <v>3.21</v>
      </c>
    </row>
    <row r="80" spans="1:7" ht="14.25" customHeight="1" x14ac:dyDescent="0.2">
      <c r="A80" s="19">
        <v>14</v>
      </c>
      <c r="B80" s="143" t="s">
        <v>464</v>
      </c>
      <c r="C80" s="144"/>
      <c r="D80" s="14">
        <f t="shared" si="5"/>
        <v>27872</v>
      </c>
      <c r="E80" s="17">
        <f>IF(F3="1",SUMIF(Data!A:A,'57'!$A$2,Data!EL:EL),0)</f>
        <v>89515</v>
      </c>
      <c r="F80" s="21">
        <f t="shared" si="4"/>
        <v>3.21</v>
      </c>
    </row>
    <row r="81" spans="1:6" x14ac:dyDescent="0.2">
      <c r="A81" s="19">
        <v>15</v>
      </c>
      <c r="B81" s="143" t="s">
        <v>13</v>
      </c>
      <c r="C81" s="144"/>
      <c r="D81" s="14">
        <f t="shared" si="5"/>
        <v>0</v>
      </c>
      <c r="E81" s="17">
        <f>IF(F3="1",SUMIF(Data!A:A,'57'!$A$2,Data!EM:EM),0)</f>
        <v>0</v>
      </c>
      <c r="F81" s="21" t="str">
        <f t="shared" si="4"/>
        <v/>
      </c>
    </row>
    <row r="82" spans="1:6" x14ac:dyDescent="0.2">
      <c r="A82" s="19">
        <v>16</v>
      </c>
      <c r="B82" s="143" t="s">
        <v>14</v>
      </c>
      <c r="C82" s="144"/>
      <c r="D82" s="14">
        <f t="shared" si="5"/>
        <v>38464</v>
      </c>
      <c r="E82" s="17">
        <f>IF(F3="1",SUMIF(Data!A:A,'57'!$A$2,Data!EN:EN),0)</f>
        <v>123532</v>
      </c>
      <c r="F82" s="21">
        <f t="shared" si="4"/>
        <v>3.21</v>
      </c>
    </row>
    <row r="83" spans="1:6" x14ac:dyDescent="0.2">
      <c r="A83" s="19">
        <v>17</v>
      </c>
      <c r="B83" s="143" t="s">
        <v>15</v>
      </c>
      <c r="C83" s="144"/>
      <c r="D83" s="14">
        <f t="shared" si="5"/>
        <v>0</v>
      </c>
      <c r="E83" s="17">
        <f>IF(F3="1",SUMIF(Data!A:A,'57'!$A$2,Data!EO:EO),0)</f>
        <v>0</v>
      </c>
      <c r="F83" s="21" t="str">
        <f t="shared" si="4"/>
        <v/>
      </c>
    </row>
    <row r="84" spans="1:6" x14ac:dyDescent="0.2">
      <c r="A84" s="19">
        <v>18</v>
      </c>
      <c r="B84" s="143" t="s">
        <v>16</v>
      </c>
      <c r="C84" s="144"/>
      <c r="D84" s="14">
        <f t="shared" si="5"/>
        <v>140016</v>
      </c>
      <c r="E84" s="17">
        <f>IF(F3="1",SUMIF(Data!A:A,'57'!$A$2,Data!EP:EP),0)</f>
        <v>449680</v>
      </c>
      <c r="F84" s="21">
        <f t="shared" si="4"/>
        <v>3.21</v>
      </c>
    </row>
    <row r="85" spans="1:6" x14ac:dyDescent="0.2">
      <c r="A85" s="19">
        <v>19</v>
      </c>
      <c r="B85" s="143" t="s">
        <v>17</v>
      </c>
      <c r="C85" s="144"/>
      <c r="D85" s="14">
        <f t="shared" si="5"/>
        <v>114416</v>
      </c>
      <c r="E85" s="17">
        <f>IF(F3="1",SUMIF(Data!A:A,'57'!$A$2,Data!EQ:EQ),0)</f>
        <v>367482</v>
      </c>
      <c r="F85" s="21">
        <f t="shared" si="4"/>
        <v>3.21</v>
      </c>
    </row>
    <row r="86" spans="1:6" x14ac:dyDescent="0.2">
      <c r="A86" s="19">
        <v>20</v>
      </c>
      <c r="B86" s="143" t="s">
        <v>18</v>
      </c>
      <c r="C86" s="144"/>
      <c r="D86" s="14">
        <f t="shared" si="5"/>
        <v>34928</v>
      </c>
      <c r="E86" s="17">
        <f>IF(F3="1",SUMIF(Data!A:A,'57'!$A$2,Data!ER:ER),0)</f>
        <v>112176</v>
      </c>
      <c r="F86" s="21">
        <f t="shared" si="4"/>
        <v>3.21</v>
      </c>
    </row>
    <row r="87" spans="1:6" ht="14.25" customHeight="1" x14ac:dyDescent="0.2">
      <c r="A87" s="19">
        <v>21</v>
      </c>
      <c r="B87" s="143" t="s">
        <v>461</v>
      </c>
      <c r="C87" s="144"/>
      <c r="D87" s="14">
        <f t="shared" si="5"/>
        <v>0</v>
      </c>
      <c r="E87" s="17">
        <f>IF(F3="1",SUMIF(Data!A:A,'57'!$A$2,Data!ES:ES),0)</f>
        <v>0</v>
      </c>
      <c r="F87" s="21" t="str">
        <f t="shared" si="4"/>
        <v/>
      </c>
    </row>
    <row r="88" spans="1:6" x14ac:dyDescent="0.2">
      <c r="A88" s="19">
        <v>22</v>
      </c>
      <c r="B88" s="143" t="s">
        <v>19</v>
      </c>
      <c r="C88" s="144"/>
      <c r="D88" s="14">
        <f t="shared" si="5"/>
        <v>20976</v>
      </c>
      <c r="E88" s="17">
        <f>IF(F3="1",SUMIF(Data!A:A,'57'!$A$2,Data!ET:ET),0)</f>
        <v>67367</v>
      </c>
      <c r="F88" s="21">
        <f t="shared" si="4"/>
        <v>3.21</v>
      </c>
    </row>
    <row r="89" spans="1:6" x14ac:dyDescent="0.2">
      <c r="A89" s="19">
        <v>23</v>
      </c>
      <c r="B89" s="143" t="s">
        <v>20</v>
      </c>
      <c r="C89" s="144"/>
      <c r="D89" s="14">
        <f t="shared" si="5"/>
        <v>0</v>
      </c>
      <c r="E89" s="17">
        <f>IF(F3="1",SUMIF(Data!A:A,'57'!$A$2,Data!EU:EU),0)</f>
        <v>0</v>
      </c>
      <c r="F89" s="21" t="str">
        <f t="shared" si="4"/>
        <v/>
      </c>
    </row>
    <row r="90" spans="1:6" x14ac:dyDescent="0.2">
      <c r="A90" s="19">
        <v>24</v>
      </c>
      <c r="B90" s="143" t="s">
        <v>21</v>
      </c>
      <c r="C90" s="144"/>
      <c r="D90" s="14">
        <f t="shared" si="5"/>
        <v>0</v>
      </c>
      <c r="E90" s="17">
        <f>IF(F3="1",SUMIF(Data!A:A,'57'!$A$2,Data!EV:EV),0)</f>
        <v>0</v>
      </c>
      <c r="F90" s="21" t="str">
        <f t="shared" si="4"/>
        <v/>
      </c>
    </row>
    <row r="91" spans="1:6" x14ac:dyDescent="0.2">
      <c r="A91" s="19">
        <v>25</v>
      </c>
      <c r="B91" s="143" t="s">
        <v>22</v>
      </c>
      <c r="C91" s="144"/>
      <c r="D91" s="14">
        <f t="shared" si="5"/>
        <v>127552</v>
      </c>
      <c r="E91" s="17">
        <f>IF(F3="1",SUMIF(Data!A:A,'57'!$A$2,Data!EW:EW),0)</f>
        <v>409672</v>
      </c>
      <c r="F91" s="21">
        <f t="shared" si="4"/>
        <v>3.21</v>
      </c>
    </row>
    <row r="92" spans="1:6" x14ac:dyDescent="0.2">
      <c r="A92" s="19">
        <v>26</v>
      </c>
      <c r="B92" s="143" t="s">
        <v>23</v>
      </c>
      <c r="C92" s="144"/>
      <c r="D92" s="14">
        <f t="shared" si="5"/>
        <v>0</v>
      </c>
      <c r="E92" s="17">
        <f>IF(F3="1",SUMIF(Data!A:A,'57'!$A$2,Data!EX:EX),0)</f>
        <v>0</v>
      </c>
      <c r="F92" s="21" t="str">
        <f t="shared" si="4"/>
        <v/>
      </c>
    </row>
    <row r="93" spans="1:6" x14ac:dyDescent="0.2">
      <c r="A93" s="19">
        <v>28</v>
      </c>
      <c r="B93" s="143" t="s">
        <v>24</v>
      </c>
      <c r="C93" s="144"/>
      <c r="D93" s="14">
        <f t="shared" si="5"/>
        <v>0</v>
      </c>
      <c r="E93" s="17">
        <f>IF(F3="1",SUMIF(Data!A:A,'57'!$A$2,Data!EZ:EZ),0)</f>
        <v>0</v>
      </c>
      <c r="F93" s="21" t="str">
        <f t="shared" si="4"/>
        <v/>
      </c>
    </row>
    <row r="94" spans="1:6" ht="15.75" customHeight="1" thickBot="1" x14ac:dyDescent="0.25">
      <c r="A94" s="22">
        <v>29</v>
      </c>
      <c r="B94" s="147" t="s">
        <v>25</v>
      </c>
      <c r="C94" s="148"/>
      <c r="D94" s="23">
        <f t="shared" si="5"/>
        <v>0</v>
      </c>
      <c r="E94" s="24">
        <f>IF(F3="1",SUMIF(Data!A:A,'57'!$A$2,Data!FA:FA),0)</f>
        <v>0</v>
      </c>
      <c r="F94" s="25" t="str">
        <f t="shared" si="4"/>
        <v/>
      </c>
    </row>
    <row r="95" spans="1:6" x14ac:dyDescent="0.2">
      <c r="B95" s="30" t="s">
        <v>35</v>
      </c>
      <c r="C95" s="30"/>
      <c r="D95" s="59">
        <f>SUM(D67:D94)</f>
        <v>1125600</v>
      </c>
      <c r="E95" s="31">
        <f>SUM(E67:E94)</f>
        <v>3615108</v>
      </c>
      <c r="F95" s="32">
        <f t="shared" si="4"/>
        <v>3.21</v>
      </c>
    </row>
    <row r="96" spans="1:6" ht="15" thickBot="1" x14ac:dyDescent="0.25">
      <c r="F96" s="66"/>
    </row>
    <row r="97" spans="2:7" ht="29.25" customHeight="1" x14ac:dyDescent="0.2">
      <c r="B97" s="151" t="s">
        <v>468</v>
      </c>
      <c r="C97" s="152"/>
      <c r="D97" s="28" t="s">
        <v>27</v>
      </c>
      <c r="E97" s="33" t="s">
        <v>462</v>
      </c>
      <c r="F97" s="29" t="s">
        <v>463</v>
      </c>
    </row>
    <row r="98" spans="2:7" x14ac:dyDescent="0.2">
      <c r="B98" s="153" t="s">
        <v>30</v>
      </c>
      <c r="C98" s="154"/>
      <c r="D98" s="35"/>
      <c r="E98" s="15">
        <f>IF(F3="1",SUMIF(Data!A:A,'57'!$A$2,Data!AH:AH),0)</f>
        <v>1502783</v>
      </c>
      <c r="F98" s="20">
        <f>IF(OR(E98=0,E98=0),"",ROUND(E98/$D$105,2))</f>
        <v>1.34</v>
      </c>
    </row>
    <row r="99" spans="2:7" x14ac:dyDescent="0.2">
      <c r="B99" s="153" t="s">
        <v>31</v>
      </c>
      <c r="C99" s="154"/>
      <c r="D99" s="36"/>
      <c r="E99" s="17">
        <f>IF(F3="1",SUMIF(Data!A:A,'57'!$A$2,Data!AI:AI),0)</f>
        <v>471683</v>
      </c>
      <c r="F99" s="21">
        <f t="shared" ref="F99:F104" si="6">IF(OR(E99=0,E99=0),"",ROUND(E99/$D$105,2))</f>
        <v>0.42</v>
      </c>
    </row>
    <row r="100" spans="2:7" x14ac:dyDescent="0.2">
      <c r="B100" s="153" t="s">
        <v>1078</v>
      </c>
      <c r="C100" s="154"/>
      <c r="D100" s="36"/>
      <c r="E100" s="17">
        <f>IF(F3="1",SUMIF(Data!A:A,'57'!$A$2,Data!AJ:AJ),0)</f>
        <v>409575</v>
      </c>
      <c r="F100" s="21">
        <f t="shared" si="6"/>
        <v>0.36</v>
      </c>
    </row>
    <row r="101" spans="2:7" x14ac:dyDescent="0.2">
      <c r="B101" s="153" t="s">
        <v>1079</v>
      </c>
      <c r="C101" s="154"/>
      <c r="D101" s="36"/>
      <c r="E101" s="17">
        <f>IF(F3="1",SUMIF(Data!A:A,'57'!$A$2,Data!AK:AK),0)</f>
        <v>142675</v>
      </c>
      <c r="F101" s="21">
        <f t="shared" si="6"/>
        <v>0.13</v>
      </c>
    </row>
    <row r="102" spans="2:7" x14ac:dyDescent="0.2">
      <c r="B102" s="153" t="s">
        <v>1080</v>
      </c>
      <c r="C102" s="154"/>
      <c r="D102" s="36"/>
      <c r="E102" s="17">
        <f>IF(F3="1",SUMIF(Data!A:A,'57'!$A$2,Data!AL:AL),0)</f>
        <v>0</v>
      </c>
      <c r="F102" s="21" t="str">
        <f t="shared" si="6"/>
        <v/>
      </c>
    </row>
    <row r="103" spans="2:7" x14ac:dyDescent="0.2">
      <c r="B103" s="155" t="s">
        <v>34</v>
      </c>
      <c r="C103" s="156"/>
      <c r="D103" s="36"/>
      <c r="E103" s="17">
        <f>IF(F3="1",SUMIF(Data!A:A,'57'!$A$2,Data!AM:AM),0)</f>
        <v>0</v>
      </c>
      <c r="F103" s="21" t="str">
        <f t="shared" si="6"/>
        <v/>
      </c>
    </row>
    <row r="104" spans="2:7" ht="15.75" customHeight="1" thickBot="1" x14ac:dyDescent="0.25">
      <c r="B104" s="149" t="s">
        <v>29</v>
      </c>
      <c r="C104" s="150"/>
      <c r="D104" s="37"/>
      <c r="E104" s="24">
        <f>IF(F3="1",SUMIF(Data!A:A,'57'!$A$2,Data!Q:Q),0)</f>
        <v>352962</v>
      </c>
      <c r="F104" s="25">
        <f t="shared" si="6"/>
        <v>0.31</v>
      </c>
    </row>
    <row r="105" spans="2:7" x14ac:dyDescent="0.2">
      <c r="B105" s="30" t="s">
        <v>35</v>
      </c>
      <c r="C105" s="30"/>
      <c r="D105" s="34">
        <f>D95</f>
        <v>1125600</v>
      </c>
      <c r="E105" s="31">
        <f>SUM(E98:E104)</f>
        <v>2879678</v>
      </c>
      <c r="F105" s="32">
        <f>IF($D$105=0,"",ROUND(E105/$D$105,2))</f>
        <v>2.56</v>
      </c>
    </row>
    <row r="107" spans="2:7" ht="15" thickBot="1" x14ac:dyDescent="0.25">
      <c r="B107" s="58" t="s">
        <v>932</v>
      </c>
    </row>
    <row r="108" spans="2:7" ht="28.5" x14ac:dyDescent="0.2">
      <c r="B108" s="45" t="s">
        <v>926</v>
      </c>
      <c r="C108" s="27" t="s">
        <v>930</v>
      </c>
      <c r="D108" s="27" t="s">
        <v>29</v>
      </c>
      <c r="E108" s="27" t="s">
        <v>931</v>
      </c>
      <c r="F108" s="46" t="s">
        <v>35</v>
      </c>
    </row>
    <row r="109" spans="2:7" x14ac:dyDescent="0.2">
      <c r="B109" s="42" t="s">
        <v>927</v>
      </c>
      <c r="C109" s="15">
        <f>E95+IF(F3="1",SUMIF(Data!$A:$A,$A$2,Data!GF:GF),0)</f>
        <v>3615108</v>
      </c>
      <c r="D109" s="15">
        <f>IF(F3="1",SUMIF(Data!$A:$A,$A$2,Data!HJ:HJ),0)</f>
        <v>0</v>
      </c>
      <c r="E109" s="15">
        <f>IF(F3="1",SUMIF(Data!$A:$A,$A$2,Data!IN:IN),0)</f>
        <v>0</v>
      </c>
      <c r="F109" s="47">
        <f>SUM(C109:E109)</f>
        <v>3615108</v>
      </c>
    </row>
    <row r="110" spans="2:7" s="10" customFormat="1" x14ac:dyDescent="0.2">
      <c r="B110" s="42" t="s">
        <v>28</v>
      </c>
      <c r="C110" s="50">
        <f>IF(F3="1",SUMIF(Data!A:A,$A$2,Data!W:W),0)</f>
        <v>0</v>
      </c>
      <c r="D110" s="51"/>
      <c r="E110" s="50">
        <f>IF(F3="1",SUMIF(Data!A:A,$A$2,Data!W:W),0)</f>
        <v>0</v>
      </c>
      <c r="F110" s="48">
        <f t="shared" ref="F110:F116" si="7">SUM(C110:E110)</f>
        <v>0</v>
      </c>
      <c r="G110" s="57"/>
    </row>
    <row r="111" spans="2:7" x14ac:dyDescent="0.2">
      <c r="B111" s="42" t="s">
        <v>928</v>
      </c>
      <c r="C111" s="50">
        <f>IF(F3="1",SUMIF(Data!A:A,$A$2,Data!AS:AS),0)</f>
        <v>0</v>
      </c>
      <c r="D111" s="51"/>
      <c r="E111" s="50">
        <f>IF(F3="1",SUMIF(Data!A:A,$A$2,Data!AX:AX),0)</f>
        <v>0</v>
      </c>
      <c r="F111" s="48">
        <f t="shared" si="7"/>
        <v>0</v>
      </c>
    </row>
    <row r="112" spans="2:7" x14ac:dyDescent="0.2">
      <c r="B112" s="42" t="s">
        <v>32</v>
      </c>
      <c r="C112" s="50">
        <f>IF(F3="1",SUMIF(Data!A:A,$A$2,Data!V:V),0)</f>
        <v>0</v>
      </c>
      <c r="D112" s="51"/>
      <c r="E112" s="50">
        <f>IF(F3="1",SUMIF(Data!A:A,$A$2,Data!AC:AC),0)</f>
        <v>0</v>
      </c>
      <c r="F112" s="48">
        <f t="shared" si="7"/>
        <v>0</v>
      </c>
    </row>
    <row r="113" spans="1:7" x14ac:dyDescent="0.2">
      <c r="B113" s="42" t="s">
        <v>31</v>
      </c>
      <c r="C113" s="50">
        <f>IF(F3="1",SUMIF(Data!A:A,$A$2,Data!U:U),0)</f>
        <v>0</v>
      </c>
      <c r="D113" s="51"/>
      <c r="E113" s="50">
        <f>IF(F3="1",SUMIF(Data!A:A,$A$2,Data!AB:AB),0)</f>
        <v>0</v>
      </c>
      <c r="F113" s="48">
        <f t="shared" si="7"/>
        <v>0</v>
      </c>
    </row>
    <row r="114" spans="1:7" x14ac:dyDescent="0.2">
      <c r="B114" s="42" t="s">
        <v>1009</v>
      </c>
      <c r="C114" s="50">
        <f>IF(F3="1",SUMIF(Data!A:A,$A$2,Data!T:T),0)</f>
        <v>0</v>
      </c>
      <c r="D114" s="51"/>
      <c r="E114" s="50">
        <f>IF(F3="1",SUMIF(Data!A:A,$A$2,Data!AA:AA),0)</f>
        <v>0</v>
      </c>
      <c r="F114" s="48">
        <f t="shared" si="7"/>
        <v>0</v>
      </c>
    </row>
    <row r="115" spans="1:7" x14ac:dyDescent="0.2">
      <c r="B115" s="42" t="s">
        <v>929</v>
      </c>
      <c r="C115" s="50">
        <f>IF(F3="1",SUMIF(Data!A:A,$A$2,Data!BI:BI),0)</f>
        <v>0</v>
      </c>
      <c r="D115" s="50">
        <f>IF(F3="1",SUMIF(Data!A:A,$A$2,Data!BL:BL),0)</f>
        <v>0</v>
      </c>
      <c r="E115" s="50">
        <f>IF(F3="1",SUMIF(Data!A:A,$A$2,Data!BU:BU),0)</f>
        <v>0</v>
      </c>
      <c r="F115" s="48">
        <f t="shared" si="7"/>
        <v>0</v>
      </c>
    </row>
    <row r="116" spans="1:7" s="10" customFormat="1" x14ac:dyDescent="0.2">
      <c r="B116" s="42" t="s">
        <v>33</v>
      </c>
      <c r="C116" s="50">
        <f>IF(F3="1",SUMIF(Data!A:A,$A$2,Data!X:X),0)</f>
        <v>0</v>
      </c>
      <c r="D116" s="50"/>
      <c r="E116" s="50">
        <f>E102</f>
        <v>0</v>
      </c>
      <c r="F116" s="48">
        <f t="shared" si="7"/>
        <v>0</v>
      </c>
      <c r="G116" s="57"/>
    </row>
    <row r="117" spans="1:7" s="10" customFormat="1" ht="15" thickBot="1" x14ac:dyDescent="0.25">
      <c r="B117" s="43" t="s">
        <v>933</v>
      </c>
      <c r="C117" s="52"/>
      <c r="D117" s="52">
        <f>IF(F3="1",SUMIF(Data!A:A,$A$2,Data!Q:Q),0)</f>
        <v>352962</v>
      </c>
      <c r="E117" s="52"/>
      <c r="F117" s="49">
        <f>SUM(C117:E117)</f>
        <v>352962</v>
      </c>
      <c r="G117" s="57"/>
    </row>
    <row r="118" spans="1:7" x14ac:dyDescent="0.2">
      <c r="B118" s="13" t="s">
        <v>35</v>
      </c>
      <c r="C118" s="4">
        <f>SUM(C109:C116)</f>
        <v>3615108</v>
      </c>
      <c r="D118" s="4">
        <f>SUM(D109:D116)</f>
        <v>0</v>
      </c>
      <c r="E118" s="4">
        <f>SUM(E109:E116)</f>
        <v>0</v>
      </c>
      <c r="F118" s="4">
        <f>SUM(F109:F116)</f>
        <v>3615108</v>
      </c>
    </row>
    <row r="119" spans="1:7" ht="15" thickBot="1" x14ac:dyDescent="0.25"/>
    <row r="120" spans="1:7" s="10" customFormat="1" ht="15" thickBot="1" x14ac:dyDescent="0.25">
      <c r="B120" s="55" t="s">
        <v>934</v>
      </c>
      <c r="C120" s="53"/>
      <c r="D120" s="53"/>
      <c r="E120" s="53">
        <f>IF(F3="1",SUMIF(Data!A:A,'57'!$A$2,Data!AM:AM),0)</f>
        <v>0</v>
      </c>
      <c r="F120" s="54">
        <f>SUM(C120:E120)</f>
        <v>0</v>
      </c>
      <c r="G120" s="57"/>
    </row>
    <row r="122" spans="1:7" s="60" customFormat="1" ht="101.25" customHeight="1" x14ac:dyDescent="0.2">
      <c r="A122" s="142" t="s">
        <v>935</v>
      </c>
      <c r="B122" s="142"/>
      <c r="C122" s="142"/>
      <c r="D122" s="142"/>
      <c r="E122" s="142"/>
      <c r="F122" s="142"/>
    </row>
  </sheetData>
  <mergeCells count="96">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60:C60"/>
    <mergeCell ref="B61:C61"/>
    <mergeCell ref="B62:C62"/>
    <mergeCell ref="B66:C66"/>
    <mergeCell ref="B73:C73"/>
    <mergeCell ref="B48:C48"/>
    <mergeCell ref="B37:C37"/>
    <mergeCell ref="B38:C38"/>
    <mergeCell ref="B39:C39"/>
    <mergeCell ref="B40:C40"/>
    <mergeCell ref="B41:C41"/>
    <mergeCell ref="B42:C42"/>
    <mergeCell ref="B43:C43"/>
    <mergeCell ref="B44:C44"/>
    <mergeCell ref="B45:C45"/>
    <mergeCell ref="B46:C46"/>
    <mergeCell ref="B47:C47"/>
    <mergeCell ref="B36:C36"/>
    <mergeCell ref="B23:C23"/>
    <mergeCell ref="B24:C24"/>
    <mergeCell ref="B25:C25"/>
    <mergeCell ref="B26:C26"/>
    <mergeCell ref="B27:C27"/>
    <mergeCell ref="B28:C28"/>
    <mergeCell ref="B29:C29"/>
    <mergeCell ref="B30:C30"/>
    <mergeCell ref="B31:C31"/>
    <mergeCell ref="B32:C32"/>
    <mergeCell ref="B35:C35"/>
    <mergeCell ref="B22:C22"/>
    <mergeCell ref="B11:C11"/>
    <mergeCell ref="B12:C12"/>
    <mergeCell ref="B13:C13"/>
    <mergeCell ref="B14:C14"/>
    <mergeCell ref="B15:C15"/>
    <mergeCell ref="B16:C16"/>
    <mergeCell ref="B17:C17"/>
    <mergeCell ref="B18:C18"/>
    <mergeCell ref="B19:C19"/>
    <mergeCell ref="B20:C20"/>
    <mergeCell ref="B21:C21"/>
    <mergeCell ref="B10:C10"/>
    <mergeCell ref="B4:C4"/>
    <mergeCell ref="B5:C5"/>
    <mergeCell ref="B6:C6"/>
    <mergeCell ref="B7:C7"/>
    <mergeCell ref="B8:C8"/>
    <mergeCell ref="B9:C9"/>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125"/>
  <sheetViews>
    <sheetView showGridLines="0" zoomScale="70" zoomScaleNormal="70" workbookViewId="0">
      <pane xSplit="1" ySplit="4" topLeftCell="C5" activePane="bottomRight" state="frozen"/>
      <selection pane="topRight" activeCell="B1" sqref="B1"/>
      <selection pane="bottomLeft" activeCell="A2" sqref="A2"/>
      <selection pane="bottomRight" activeCell="C5" sqref="C5"/>
    </sheetView>
  </sheetViews>
  <sheetFormatPr defaultColWidth="27.7109375" defaultRowHeight="15" outlineLevelCol="1" x14ac:dyDescent="0.25"/>
  <cols>
    <col min="1" max="1" width="17.28515625" bestFit="1" customWidth="1"/>
    <col min="2" max="2" width="27.7109375" hidden="1" customWidth="1" outlineLevel="1"/>
    <col min="3" max="3" width="13" customWidth="1" outlineLevel="1"/>
    <col min="4" max="4" width="27.7109375" hidden="1" customWidth="1" outlineLevel="1"/>
    <col min="5" max="5" width="18.140625" hidden="1" customWidth="1" outlineLevel="1"/>
    <col min="6" max="6" width="27.7109375" hidden="1" customWidth="1" outlineLevel="1"/>
    <col min="7" max="7" width="27.7109375" customWidth="1" outlineLevel="1"/>
    <col min="8" max="11" width="27.7109375" hidden="1" customWidth="1" outlineLevel="1"/>
    <col min="12" max="12" width="17.7109375" hidden="1" customWidth="1" outlineLevel="1" collapsed="1"/>
    <col min="13" max="13" width="16.85546875" hidden="1" customWidth="1" outlineLevel="1"/>
    <col min="14" max="14" width="16.85546875" hidden="1" customWidth="1" outlineLevel="1" collapsed="1"/>
    <col min="15" max="15" width="18.42578125" hidden="1" customWidth="1"/>
    <col min="16" max="16" width="15" hidden="1" customWidth="1"/>
    <col min="17" max="17" width="27.7109375" customWidth="1" outlineLevel="1"/>
    <col min="18" max="18" width="17.140625" hidden="1" customWidth="1" outlineLevel="1"/>
    <col min="19" max="19" width="18.28515625" hidden="1" customWidth="1"/>
    <col min="20" max="25" width="27.7109375" hidden="1" customWidth="1" outlineLevel="1"/>
    <col min="26" max="26" width="27.7109375" hidden="1" customWidth="1" collapsed="1"/>
    <col min="27" max="32" width="27.7109375" hidden="1" customWidth="1" outlineLevel="1"/>
    <col min="33" max="33" width="27.7109375" hidden="1" customWidth="1" collapsed="1"/>
    <col min="34" max="39" width="27.7109375" customWidth="1" outlineLevel="1"/>
    <col min="40" max="40" width="27.7109375" hidden="1" customWidth="1"/>
    <col min="41" max="44" width="27.7109375" hidden="1" customWidth="1" outlineLevel="1"/>
    <col min="45" max="45" width="27.7109375" hidden="1" customWidth="1"/>
    <col min="46" max="49" width="27.7109375" hidden="1" customWidth="1" outlineLevel="1"/>
    <col min="50" max="50" width="27.7109375" hidden="1" customWidth="1"/>
    <col min="51" max="54" width="27.7109375" hidden="1" customWidth="1" outlineLevel="1"/>
    <col min="55" max="55" width="27.7109375" hidden="1" customWidth="1"/>
    <col min="56" max="56" width="27.7109375" hidden="1" customWidth="1" outlineLevel="1"/>
    <col min="57" max="57" width="28.7109375" hidden="1" customWidth="1" outlineLevel="1"/>
    <col min="58" max="60" width="27.7109375" hidden="1" customWidth="1" outlineLevel="1"/>
    <col min="61" max="61" width="27.7109375" hidden="1" customWidth="1"/>
    <col min="62" max="66" width="27.7109375" hidden="1" customWidth="1" outlineLevel="1"/>
    <col min="67" max="67" width="27.7109375" hidden="1" customWidth="1"/>
    <col min="68" max="72" width="27.7109375" hidden="1" customWidth="1" outlineLevel="1"/>
    <col min="73" max="73" width="27.7109375" hidden="1" customWidth="1"/>
    <col min="74" max="78" width="27.7109375" hidden="1" customWidth="1" outlineLevel="1"/>
    <col min="79" max="79" width="27.7109375" hidden="1" customWidth="1"/>
    <col min="80" max="94" width="27.7109375" hidden="1" customWidth="1" outlineLevel="1"/>
    <col min="95" max="95" width="27.7109375" hidden="1" customWidth="1"/>
    <col min="96" max="96" width="27.7109375" hidden="1" customWidth="1" outlineLevel="1"/>
    <col min="97" max="97" width="27.7109375" hidden="1" customWidth="1"/>
    <col min="98" max="98" width="20.7109375" hidden="1" customWidth="1"/>
    <col min="99" max="127" width="27.7109375" customWidth="1" outlineLevel="1"/>
    <col min="128" max="128" width="35.42578125" bestFit="1" customWidth="1"/>
    <col min="129" max="129" width="35.42578125" bestFit="1" customWidth="1" outlineLevel="1"/>
    <col min="130" max="130" width="38.140625" bestFit="1" customWidth="1" outlineLevel="1"/>
    <col min="131" max="132" width="38.7109375" bestFit="1" customWidth="1" outlineLevel="1"/>
    <col min="133" max="134" width="35.42578125" bestFit="1" customWidth="1" outlineLevel="1"/>
    <col min="135" max="135" width="37.28515625" bestFit="1" customWidth="1" outlineLevel="1"/>
    <col min="136" max="136" width="38.140625" bestFit="1" customWidth="1" outlineLevel="1"/>
    <col min="137" max="137" width="39.140625" bestFit="1" customWidth="1" outlineLevel="1"/>
    <col min="138" max="138" width="35.42578125" bestFit="1" customWidth="1" outlineLevel="1"/>
    <col min="139" max="139" width="38.140625" bestFit="1" customWidth="1" outlineLevel="1"/>
    <col min="140" max="140" width="38.85546875" bestFit="1" customWidth="1" outlineLevel="1"/>
    <col min="141" max="141" width="37.42578125" bestFit="1" customWidth="1" outlineLevel="1"/>
    <col min="142" max="142" width="35.85546875" bestFit="1" customWidth="1" outlineLevel="1"/>
    <col min="143" max="143" width="38.7109375" bestFit="1" customWidth="1" outlineLevel="1"/>
    <col min="144" max="144" width="37.140625" bestFit="1" customWidth="1" outlineLevel="1"/>
    <col min="145" max="147" width="35.42578125" bestFit="1" customWidth="1" outlineLevel="1"/>
    <col min="148" max="148" width="39.140625" bestFit="1" customWidth="1" outlineLevel="1"/>
    <col min="149" max="149" width="39.5703125" bestFit="1" customWidth="1" outlineLevel="1"/>
    <col min="150" max="150" width="38.85546875" bestFit="1" customWidth="1" outlineLevel="1"/>
    <col min="151" max="154" width="35.42578125" bestFit="1" customWidth="1" outlineLevel="1"/>
    <col min="155" max="155" width="16.28515625" bestFit="1" customWidth="1" outlineLevel="1"/>
    <col min="156" max="157" width="35.42578125" bestFit="1" customWidth="1" outlineLevel="1"/>
    <col min="158" max="158" width="35.42578125" bestFit="1" customWidth="1"/>
    <col min="159" max="159" width="38.7109375" hidden="1" customWidth="1" outlineLevel="1"/>
    <col min="160" max="160" width="38.140625" hidden="1" customWidth="1" outlineLevel="1"/>
    <col min="161" max="161" width="37.140625" hidden="1" customWidth="1" outlineLevel="1"/>
    <col min="162" max="162" width="39.140625" hidden="1" customWidth="1" outlineLevel="1"/>
    <col min="163" max="163" width="39.28515625" hidden="1" customWidth="1" outlineLevel="1"/>
    <col min="164" max="165" width="37.28515625" hidden="1" customWidth="1" outlineLevel="1"/>
    <col min="166" max="166" width="36.28515625" hidden="1" customWidth="1" outlineLevel="1"/>
    <col min="167" max="167" width="39.140625" hidden="1" customWidth="1" outlineLevel="1"/>
    <col min="168" max="168" width="35.42578125" hidden="1" customWidth="1" outlineLevel="1"/>
    <col min="169" max="169" width="36.28515625" hidden="1" customWidth="1" outlineLevel="1"/>
    <col min="170" max="170" width="37.28515625" hidden="1" customWidth="1" outlineLevel="1"/>
    <col min="171" max="171" width="35.7109375" hidden="1" customWidth="1" outlineLevel="1"/>
    <col min="172" max="172" width="35.85546875" hidden="1" customWidth="1" outlineLevel="1"/>
    <col min="173" max="173" width="38.7109375" hidden="1" customWidth="1" outlineLevel="1"/>
    <col min="174" max="174" width="35.42578125" hidden="1" customWidth="1" outlineLevel="1"/>
    <col min="175" max="175" width="36" hidden="1" customWidth="1" outlineLevel="1"/>
    <col min="176" max="177" width="35.42578125" hidden="1" customWidth="1" outlineLevel="1"/>
    <col min="178" max="178" width="39.140625" hidden="1" customWidth="1" outlineLevel="1"/>
    <col min="179" max="179" width="39.5703125" hidden="1" customWidth="1" outlineLevel="1"/>
    <col min="180" max="180" width="38.85546875" hidden="1" customWidth="1" outlineLevel="1"/>
    <col min="181" max="181" width="38.7109375" hidden="1" customWidth="1" outlineLevel="1"/>
    <col min="182" max="184" width="35.42578125" hidden="1" customWidth="1" outlineLevel="1"/>
    <col min="185" max="185" width="16.28515625" hidden="1" customWidth="1" outlineLevel="1"/>
    <col min="186" max="186" width="35.42578125" hidden="1" customWidth="1" outlineLevel="1"/>
    <col min="187" max="187" width="36.28515625" hidden="1" customWidth="1" outlineLevel="1"/>
    <col min="188" max="188" width="35.42578125" hidden="1" customWidth="1"/>
    <col min="189" max="189" width="35.42578125" hidden="1" customWidth="1" outlineLevel="1"/>
    <col min="190" max="190" width="38.140625" hidden="1" customWidth="1" outlineLevel="1"/>
    <col min="191" max="191" width="36.28515625" hidden="1" customWidth="1" outlineLevel="1"/>
    <col min="192" max="192" width="38.7109375" hidden="1" customWidth="1" outlineLevel="1"/>
    <col min="193" max="194" width="35.42578125" hidden="1" customWidth="1" outlineLevel="1"/>
    <col min="195" max="195" width="37.28515625" hidden="1" customWidth="1" outlineLevel="1"/>
    <col min="196" max="196" width="35.7109375" hidden="1" customWidth="1" outlineLevel="1"/>
    <col min="197" max="197" width="39.140625" hidden="1" customWidth="1" outlineLevel="1"/>
    <col min="198" max="198" width="35.42578125" hidden="1" customWidth="1" outlineLevel="1"/>
    <col min="199" max="199" width="35.7109375" hidden="1" customWidth="1" outlineLevel="1"/>
    <col min="200" max="200" width="36.28515625" hidden="1" customWidth="1" outlineLevel="1"/>
    <col min="201" max="201" width="35.42578125" hidden="1" customWidth="1" outlineLevel="1"/>
    <col min="202" max="202" width="35.85546875" hidden="1" customWidth="1" outlineLevel="1"/>
    <col min="203" max="203" width="38.7109375" hidden="1" customWidth="1" outlineLevel="1"/>
    <col min="204" max="207" width="35.42578125" hidden="1" customWidth="1" outlineLevel="1"/>
    <col min="208" max="208" width="39.140625" hidden="1" customWidth="1" outlineLevel="1"/>
    <col min="209" max="209" width="39.5703125" hidden="1" customWidth="1" outlineLevel="1"/>
    <col min="210" max="210" width="38.85546875" hidden="1" customWidth="1" outlineLevel="1"/>
    <col min="211" max="211" width="37.85546875" hidden="1" customWidth="1" outlineLevel="1"/>
    <col min="212" max="214" width="35.42578125" hidden="1" customWidth="1" outlineLevel="1"/>
    <col min="215" max="215" width="17.28515625" hidden="1" customWidth="1" outlineLevel="1"/>
    <col min="216" max="216" width="39.28515625" hidden="1" customWidth="1" outlineLevel="1"/>
    <col min="217" max="217" width="35.42578125" hidden="1" customWidth="1" outlineLevel="1"/>
    <col min="218" max="218" width="35.42578125" hidden="1" customWidth="1"/>
    <col min="219" max="220" width="38.140625" hidden="1" customWidth="1" outlineLevel="1"/>
    <col min="221" max="221" width="38.85546875" hidden="1" customWidth="1" outlineLevel="1"/>
    <col min="222" max="223" width="38.7109375" hidden="1" customWidth="1" outlineLevel="1"/>
    <col min="224" max="224" width="35.42578125" hidden="1" customWidth="1" outlineLevel="1"/>
    <col min="225" max="225" width="37.28515625" hidden="1" customWidth="1" outlineLevel="1"/>
    <col min="226" max="226" width="38.28515625" hidden="1" customWidth="1" outlineLevel="1"/>
    <col min="227" max="228" width="39.140625" hidden="1" customWidth="1" outlineLevel="1"/>
    <col min="229" max="229" width="38.28515625" hidden="1" customWidth="1" outlineLevel="1"/>
    <col min="230" max="230" width="37.28515625" hidden="1" customWidth="1" outlineLevel="1"/>
    <col min="231" max="231" width="37.7109375" hidden="1" customWidth="1" outlineLevel="1"/>
    <col min="232" max="232" width="35.85546875" hidden="1" customWidth="1" outlineLevel="1"/>
    <col min="233" max="233" width="38.7109375" hidden="1" customWidth="1" outlineLevel="1"/>
    <col min="234" max="237" width="35.42578125" hidden="1" customWidth="1" outlineLevel="1"/>
    <col min="238" max="238" width="39.140625" hidden="1" customWidth="1" outlineLevel="1"/>
    <col min="239" max="239" width="39.5703125" hidden="1" customWidth="1" outlineLevel="1"/>
    <col min="240" max="240" width="38.85546875" hidden="1" customWidth="1" outlineLevel="1"/>
    <col min="241" max="241" width="38.7109375" hidden="1" customWidth="1" outlineLevel="1"/>
    <col min="242" max="244" width="35.42578125" hidden="1" customWidth="1" outlineLevel="1"/>
    <col min="245" max="245" width="18.7109375" hidden="1" customWidth="1" outlineLevel="1"/>
    <col min="246" max="247" width="35.42578125" hidden="1" customWidth="1" outlineLevel="1"/>
    <col min="248" max="248" width="35.42578125" hidden="1" customWidth="1"/>
    <col min="249" max="249" width="36.85546875" bestFit="1" customWidth="1" outlineLevel="1"/>
    <col min="250" max="277" width="27.7109375" customWidth="1" outlineLevel="1"/>
    <col min="279" max="307" width="27.7109375" hidden="1" customWidth="1" outlineLevel="1"/>
    <col min="308" max="308" width="0" hidden="1" customWidth="1" collapsed="1"/>
    <col min="309" max="314" width="0" hidden="1" customWidth="1"/>
  </cols>
  <sheetData>
    <row r="1" spans="1:314" s="40" customFormat="1" ht="120" x14ac:dyDescent="0.25">
      <c r="A1" s="40" t="s">
        <v>716</v>
      </c>
      <c r="B1" s="40" t="s">
        <v>903</v>
      </c>
      <c r="C1" s="40" t="s">
        <v>904</v>
      </c>
      <c r="D1" s="40" t="s">
        <v>905</v>
      </c>
      <c r="E1" s="40" t="s">
        <v>906</v>
      </c>
      <c r="F1" s="40" t="s">
        <v>907</v>
      </c>
      <c r="G1" s="40" t="s">
        <v>908</v>
      </c>
      <c r="H1" s="40" t="s">
        <v>909</v>
      </c>
      <c r="I1" s="40" t="s">
        <v>910</v>
      </c>
      <c r="J1" s="40" t="s">
        <v>911</v>
      </c>
      <c r="K1" s="40" t="s">
        <v>912</v>
      </c>
      <c r="L1" s="40" t="s">
        <v>469</v>
      </c>
      <c r="M1" s="40" t="s">
        <v>469</v>
      </c>
      <c r="N1" s="40" t="s">
        <v>469</v>
      </c>
      <c r="O1" s="40" t="s">
        <v>715</v>
      </c>
      <c r="P1" s="40" t="s">
        <v>469</v>
      </c>
      <c r="Q1" s="40" t="s">
        <v>901</v>
      </c>
      <c r="R1" s="40" t="s">
        <v>469</v>
      </c>
      <c r="S1" s="40" t="s">
        <v>469</v>
      </c>
      <c r="T1" s="40" t="s">
        <v>470</v>
      </c>
      <c r="U1" s="40" t="s">
        <v>471</v>
      </c>
      <c r="V1" s="40" t="s">
        <v>472</v>
      </c>
      <c r="W1" s="40" t="s">
        <v>478</v>
      </c>
      <c r="X1" s="40" t="s">
        <v>473</v>
      </c>
      <c r="Y1" s="40" t="s">
        <v>469</v>
      </c>
      <c r="Z1" s="40" t="s">
        <v>474</v>
      </c>
      <c r="AA1" s="40" t="s">
        <v>475</v>
      </c>
      <c r="AB1" s="40" t="s">
        <v>476</v>
      </c>
      <c r="AC1" s="40" t="s">
        <v>477</v>
      </c>
      <c r="AD1" s="40" t="s">
        <v>478</v>
      </c>
      <c r="AE1" s="40" t="s">
        <v>479</v>
      </c>
      <c r="AF1" s="40" t="s">
        <v>480</v>
      </c>
      <c r="AG1" s="40" t="s">
        <v>481</v>
      </c>
      <c r="AH1" s="40" t="s">
        <v>898</v>
      </c>
      <c r="AI1" s="40" t="s">
        <v>899</v>
      </c>
      <c r="AJ1" s="40" t="s">
        <v>1075</v>
      </c>
      <c r="AK1" s="40" t="s">
        <v>1076</v>
      </c>
      <c r="AL1" s="40" t="s">
        <v>1077</v>
      </c>
      <c r="AM1" s="40" t="s">
        <v>900</v>
      </c>
      <c r="AN1" s="40" t="s">
        <v>902</v>
      </c>
      <c r="AO1" s="40" t="s">
        <v>483</v>
      </c>
      <c r="AP1" s="40" t="s">
        <v>482</v>
      </c>
      <c r="AQ1" s="40" t="s">
        <v>484</v>
      </c>
      <c r="AR1" s="40" t="s">
        <v>469</v>
      </c>
      <c r="AS1" s="40" t="s">
        <v>485</v>
      </c>
      <c r="AT1" s="40" t="s">
        <v>486</v>
      </c>
      <c r="AU1" s="40" t="s">
        <v>487</v>
      </c>
      <c r="AV1" s="40" t="s">
        <v>488</v>
      </c>
      <c r="AW1" s="40" t="s">
        <v>489</v>
      </c>
      <c r="AX1" s="40" t="s">
        <v>490</v>
      </c>
      <c r="AY1" s="40" t="s">
        <v>491</v>
      </c>
      <c r="AZ1" s="40" t="s">
        <v>492</v>
      </c>
      <c r="BA1" s="40" t="s">
        <v>493</v>
      </c>
      <c r="BB1" s="40" t="s">
        <v>494</v>
      </c>
      <c r="BC1" s="40" t="s">
        <v>495</v>
      </c>
      <c r="BD1" s="40" t="s">
        <v>496</v>
      </c>
      <c r="BE1" s="40" t="s">
        <v>497</v>
      </c>
      <c r="BF1" s="40" t="s">
        <v>469</v>
      </c>
      <c r="BG1" s="40" t="s">
        <v>469</v>
      </c>
      <c r="BH1" s="40" t="s">
        <v>469</v>
      </c>
      <c r="BI1" s="40" t="s">
        <v>498</v>
      </c>
      <c r="BJ1" s="40" t="s">
        <v>469</v>
      </c>
      <c r="BK1" s="40" t="s">
        <v>469</v>
      </c>
      <c r="BL1" s="40" t="s">
        <v>499</v>
      </c>
      <c r="BM1" s="40" t="s">
        <v>469</v>
      </c>
      <c r="BN1" s="40" t="s">
        <v>469</v>
      </c>
      <c r="BO1" s="40" t="s">
        <v>499</v>
      </c>
      <c r="BP1" s="40" t="s">
        <v>500</v>
      </c>
      <c r="BQ1" s="40" t="s">
        <v>501</v>
      </c>
      <c r="BR1" s="40" t="s">
        <v>469</v>
      </c>
      <c r="BS1" s="40" t="s">
        <v>469</v>
      </c>
      <c r="BT1" s="40" t="s">
        <v>502</v>
      </c>
      <c r="BU1" s="40" t="s">
        <v>503</v>
      </c>
      <c r="BV1" s="40" t="s">
        <v>504</v>
      </c>
      <c r="BW1" s="40" t="s">
        <v>505</v>
      </c>
      <c r="BX1" s="40" t="s">
        <v>506</v>
      </c>
      <c r="BY1" s="40" t="s">
        <v>469</v>
      </c>
      <c r="BZ1" s="40" t="s">
        <v>507</v>
      </c>
      <c r="CA1" s="40" t="s">
        <v>508</v>
      </c>
      <c r="CB1" s="40" t="s">
        <v>469</v>
      </c>
      <c r="CC1" s="40" t="s">
        <v>469</v>
      </c>
      <c r="CD1" s="40" t="s">
        <v>469</v>
      </c>
      <c r="CE1" s="40" t="s">
        <v>469</v>
      </c>
      <c r="CF1" s="40" t="s">
        <v>469</v>
      </c>
      <c r="CG1" s="40" t="s">
        <v>469</v>
      </c>
      <c r="CH1" s="40" t="s">
        <v>469</v>
      </c>
      <c r="CI1" s="40" t="s">
        <v>469</v>
      </c>
      <c r="CJ1" s="40" t="s">
        <v>469</v>
      </c>
      <c r="CK1" s="40" t="s">
        <v>469</v>
      </c>
      <c r="CL1" s="40" t="s">
        <v>469</v>
      </c>
      <c r="CM1" s="40" t="s">
        <v>469</v>
      </c>
      <c r="CN1" s="40" t="s">
        <v>469</v>
      </c>
      <c r="CO1" s="40" t="s">
        <v>469</v>
      </c>
      <c r="CP1" s="40" t="s">
        <v>469</v>
      </c>
      <c r="CQ1" s="40" t="s">
        <v>469</v>
      </c>
      <c r="CR1" s="40" t="s">
        <v>913</v>
      </c>
      <c r="CS1" s="40" t="s">
        <v>509</v>
      </c>
      <c r="CT1" s="40" t="s">
        <v>469</v>
      </c>
      <c r="CU1" s="40" t="s">
        <v>510</v>
      </c>
      <c r="CV1" s="40" t="s">
        <v>511</v>
      </c>
      <c r="CW1" s="40" t="s">
        <v>512</v>
      </c>
      <c r="CX1" s="40" t="s">
        <v>513</v>
      </c>
      <c r="CY1" s="40" t="s">
        <v>514</v>
      </c>
      <c r="CZ1" s="40" t="s">
        <v>515</v>
      </c>
      <c r="DA1" s="40" t="s">
        <v>516</v>
      </c>
      <c r="DB1" s="40" t="s">
        <v>517</v>
      </c>
      <c r="DC1" s="40" t="s">
        <v>518</v>
      </c>
      <c r="DD1" s="40" t="s">
        <v>519</v>
      </c>
      <c r="DE1" s="40" t="s">
        <v>520</v>
      </c>
      <c r="DF1" s="40" t="s">
        <v>521</v>
      </c>
      <c r="DG1" s="40" t="s">
        <v>522</v>
      </c>
      <c r="DH1" s="40" t="s">
        <v>523</v>
      </c>
      <c r="DI1" s="40" t="s">
        <v>524</v>
      </c>
      <c r="DJ1" s="40" t="s">
        <v>525</v>
      </c>
      <c r="DK1" s="40" t="s">
        <v>526</v>
      </c>
      <c r="DL1" s="40" t="s">
        <v>527</v>
      </c>
      <c r="DM1" s="40" t="s">
        <v>528</v>
      </c>
      <c r="DN1" s="40" t="s">
        <v>529</v>
      </c>
      <c r="DO1" s="40" t="s">
        <v>530</v>
      </c>
      <c r="DP1" s="40" t="s">
        <v>531</v>
      </c>
      <c r="DQ1" s="40" t="s">
        <v>532</v>
      </c>
      <c r="DR1" s="40" t="s">
        <v>533</v>
      </c>
      <c r="DS1" s="40" t="s">
        <v>534</v>
      </c>
      <c r="DT1" s="40" t="s">
        <v>535</v>
      </c>
      <c r="DU1" s="40" t="s">
        <v>469</v>
      </c>
      <c r="DV1" s="40" t="s">
        <v>536</v>
      </c>
      <c r="DW1" s="40" t="s">
        <v>537</v>
      </c>
      <c r="DX1" s="40" t="s">
        <v>538</v>
      </c>
      <c r="DY1" s="40" t="s">
        <v>539</v>
      </c>
      <c r="DZ1" s="40" t="s">
        <v>540</v>
      </c>
      <c r="EA1" s="40" t="s">
        <v>541</v>
      </c>
      <c r="EB1" s="40" t="s">
        <v>542</v>
      </c>
      <c r="EC1" s="40" t="s">
        <v>543</v>
      </c>
      <c r="ED1" s="40" t="s">
        <v>544</v>
      </c>
      <c r="EE1" s="40" t="s">
        <v>545</v>
      </c>
      <c r="EF1" s="40" t="s">
        <v>546</v>
      </c>
      <c r="EG1" s="40" t="s">
        <v>547</v>
      </c>
      <c r="EH1" s="40" t="s">
        <v>548</v>
      </c>
      <c r="EI1" s="40" t="s">
        <v>549</v>
      </c>
      <c r="EJ1" s="40" t="s">
        <v>550</v>
      </c>
      <c r="EK1" s="40" t="s">
        <v>551</v>
      </c>
      <c r="EL1" s="40" t="s">
        <v>552</v>
      </c>
      <c r="EM1" s="40" t="s">
        <v>553</v>
      </c>
      <c r="EN1" s="40" t="s">
        <v>554</v>
      </c>
      <c r="EO1" s="40" t="s">
        <v>555</v>
      </c>
      <c r="EP1" s="40" t="s">
        <v>556</v>
      </c>
      <c r="EQ1" s="40" t="s">
        <v>557</v>
      </c>
      <c r="ER1" s="40" t="s">
        <v>558</v>
      </c>
      <c r="ES1" s="40" t="s">
        <v>559</v>
      </c>
      <c r="ET1" s="40" t="s">
        <v>560</v>
      </c>
      <c r="EU1" s="40" t="s">
        <v>561</v>
      </c>
      <c r="EV1" s="40" t="s">
        <v>562</v>
      </c>
      <c r="EW1" s="40" t="s">
        <v>563</v>
      </c>
      <c r="EX1" s="40" t="s">
        <v>564</v>
      </c>
      <c r="EY1" s="40" t="s">
        <v>469</v>
      </c>
      <c r="EZ1" s="40" t="s">
        <v>565</v>
      </c>
      <c r="FA1" s="40" t="s">
        <v>566</v>
      </c>
      <c r="FB1" s="40" t="s">
        <v>567</v>
      </c>
      <c r="FC1" s="40" t="s">
        <v>568</v>
      </c>
      <c r="FD1" s="40" t="s">
        <v>569</v>
      </c>
      <c r="FE1" s="40" t="s">
        <v>570</v>
      </c>
      <c r="FF1" s="40" t="s">
        <v>571</v>
      </c>
      <c r="FG1" s="40" t="s">
        <v>572</v>
      </c>
      <c r="FH1" s="40" t="s">
        <v>573</v>
      </c>
      <c r="FI1" s="40" t="s">
        <v>574</v>
      </c>
      <c r="FJ1" s="40" t="s">
        <v>575</v>
      </c>
      <c r="FK1" s="40" t="s">
        <v>576</v>
      </c>
      <c r="FL1" s="40" t="s">
        <v>577</v>
      </c>
      <c r="FM1" s="40" t="s">
        <v>578</v>
      </c>
      <c r="FN1" s="40" t="s">
        <v>579</v>
      </c>
      <c r="FO1" s="40" t="s">
        <v>580</v>
      </c>
      <c r="FP1" s="40" t="s">
        <v>581</v>
      </c>
      <c r="FQ1" s="40" t="s">
        <v>582</v>
      </c>
      <c r="FR1" s="40" t="s">
        <v>583</v>
      </c>
      <c r="FS1" s="40" t="s">
        <v>584</v>
      </c>
      <c r="FT1" s="40" t="s">
        <v>585</v>
      </c>
      <c r="FU1" s="40" t="s">
        <v>586</v>
      </c>
      <c r="FV1" s="40" t="s">
        <v>587</v>
      </c>
      <c r="FW1" s="40" t="s">
        <v>588</v>
      </c>
      <c r="FX1" s="40" t="s">
        <v>589</v>
      </c>
      <c r="FY1" s="40" t="s">
        <v>590</v>
      </c>
      <c r="FZ1" s="40" t="s">
        <v>591</v>
      </c>
      <c r="GA1" s="40" t="s">
        <v>592</v>
      </c>
      <c r="GB1" s="40" t="s">
        <v>593</v>
      </c>
      <c r="GC1" s="40" t="s">
        <v>469</v>
      </c>
      <c r="GD1" s="40" t="s">
        <v>594</v>
      </c>
      <c r="GE1" s="40" t="s">
        <v>595</v>
      </c>
      <c r="GF1" s="40" t="s">
        <v>596</v>
      </c>
      <c r="GG1" s="40" t="s">
        <v>597</v>
      </c>
      <c r="GH1" s="40" t="s">
        <v>598</v>
      </c>
      <c r="GI1" s="40" t="s">
        <v>599</v>
      </c>
      <c r="GJ1" s="40" t="s">
        <v>600</v>
      </c>
      <c r="GK1" s="40" t="s">
        <v>601</v>
      </c>
      <c r="GL1" s="40" t="s">
        <v>602</v>
      </c>
      <c r="GM1" s="40" t="s">
        <v>603</v>
      </c>
      <c r="GN1" s="40" t="s">
        <v>604</v>
      </c>
      <c r="GO1" s="40" t="s">
        <v>605</v>
      </c>
      <c r="GP1" s="40" t="s">
        <v>606</v>
      </c>
      <c r="GQ1" s="40" t="s">
        <v>607</v>
      </c>
      <c r="GR1" s="40" t="s">
        <v>608</v>
      </c>
      <c r="GS1" s="40" t="s">
        <v>609</v>
      </c>
      <c r="GT1" s="40" t="s">
        <v>610</v>
      </c>
      <c r="GU1" s="40" t="s">
        <v>611</v>
      </c>
      <c r="GV1" s="40" t="s">
        <v>612</v>
      </c>
      <c r="GW1" s="40" t="s">
        <v>613</v>
      </c>
      <c r="GX1" s="40" t="s">
        <v>614</v>
      </c>
      <c r="GY1" s="40" t="s">
        <v>615</v>
      </c>
      <c r="GZ1" s="40" t="s">
        <v>616</v>
      </c>
      <c r="HA1" s="40" t="s">
        <v>617</v>
      </c>
      <c r="HB1" s="40" t="s">
        <v>618</v>
      </c>
      <c r="HC1" s="40" t="s">
        <v>619</v>
      </c>
      <c r="HD1" s="40" t="s">
        <v>620</v>
      </c>
      <c r="HE1" s="40" t="s">
        <v>621</v>
      </c>
      <c r="HF1" s="40" t="s">
        <v>622</v>
      </c>
      <c r="HG1" s="40" t="s">
        <v>469</v>
      </c>
      <c r="HH1" s="40" t="s">
        <v>623</v>
      </c>
      <c r="HI1" s="40" t="s">
        <v>624</v>
      </c>
      <c r="HJ1" s="40" t="s">
        <v>625</v>
      </c>
      <c r="HK1" s="40" t="s">
        <v>626</v>
      </c>
      <c r="HL1" s="40" t="s">
        <v>627</v>
      </c>
      <c r="HM1" s="40" t="s">
        <v>628</v>
      </c>
      <c r="HN1" s="40" t="s">
        <v>629</v>
      </c>
      <c r="HO1" s="40" t="s">
        <v>630</v>
      </c>
      <c r="HP1" s="40" t="s">
        <v>631</v>
      </c>
      <c r="HQ1" s="40" t="s">
        <v>632</v>
      </c>
      <c r="HR1" s="40" t="s">
        <v>633</v>
      </c>
      <c r="HS1" s="40" t="s">
        <v>634</v>
      </c>
      <c r="HT1" s="40" t="s">
        <v>635</v>
      </c>
      <c r="HU1" s="40" t="s">
        <v>636</v>
      </c>
      <c r="HV1" s="40" t="s">
        <v>637</v>
      </c>
      <c r="HW1" s="40" t="s">
        <v>638</v>
      </c>
      <c r="HX1" s="40" t="s">
        <v>639</v>
      </c>
      <c r="HY1" s="40" t="s">
        <v>640</v>
      </c>
      <c r="HZ1" s="40" t="s">
        <v>641</v>
      </c>
      <c r="IA1" s="40" t="s">
        <v>642</v>
      </c>
      <c r="IB1" s="40" t="s">
        <v>643</v>
      </c>
      <c r="IC1" s="40" t="s">
        <v>644</v>
      </c>
      <c r="ID1" s="40" t="s">
        <v>645</v>
      </c>
      <c r="IE1" s="40" t="s">
        <v>646</v>
      </c>
      <c r="IF1" s="40" t="s">
        <v>647</v>
      </c>
      <c r="IG1" s="40" t="s">
        <v>648</v>
      </c>
      <c r="IH1" s="40" t="s">
        <v>649</v>
      </c>
      <c r="II1" s="40" t="s">
        <v>650</v>
      </c>
      <c r="IJ1" s="40" t="s">
        <v>651</v>
      </c>
      <c r="IK1" s="40" t="s">
        <v>469</v>
      </c>
      <c r="IL1" s="40" t="s">
        <v>652</v>
      </c>
      <c r="IM1" s="40" t="s">
        <v>653</v>
      </c>
      <c r="IN1" s="40" t="s">
        <v>654</v>
      </c>
      <c r="IO1" s="40" t="s">
        <v>655</v>
      </c>
      <c r="IP1" s="40" t="s">
        <v>656</v>
      </c>
      <c r="IQ1" s="40" t="s">
        <v>657</v>
      </c>
      <c r="IR1" s="40" t="s">
        <v>658</v>
      </c>
      <c r="IS1" s="40" t="s">
        <v>659</v>
      </c>
      <c r="IT1" s="40" t="s">
        <v>660</v>
      </c>
      <c r="IU1" s="40" t="s">
        <v>661</v>
      </c>
      <c r="IV1" s="40" t="s">
        <v>662</v>
      </c>
      <c r="IW1" s="40" t="s">
        <v>663</v>
      </c>
      <c r="IX1" s="40" t="s">
        <v>664</v>
      </c>
      <c r="IY1" s="40" t="s">
        <v>665</v>
      </c>
      <c r="IZ1" s="40" t="s">
        <v>666</v>
      </c>
      <c r="JA1" s="40" t="s">
        <v>667</v>
      </c>
      <c r="JB1" s="40" t="s">
        <v>668</v>
      </c>
      <c r="JC1" s="40" t="s">
        <v>669</v>
      </c>
      <c r="JD1" s="40" t="s">
        <v>670</v>
      </c>
      <c r="JE1" s="40" t="s">
        <v>671</v>
      </c>
      <c r="JF1" s="40" t="s">
        <v>672</v>
      </c>
      <c r="JG1" s="40" t="s">
        <v>673</v>
      </c>
      <c r="JH1" s="40" t="s">
        <v>674</v>
      </c>
      <c r="JI1" s="40" t="s">
        <v>675</v>
      </c>
      <c r="JJ1" s="40" t="s">
        <v>676</v>
      </c>
      <c r="JK1" s="40" t="s">
        <v>677</v>
      </c>
      <c r="JL1" s="40" t="s">
        <v>678</v>
      </c>
      <c r="JM1" s="40" t="s">
        <v>679</v>
      </c>
      <c r="JN1" s="40" t="s">
        <v>680</v>
      </c>
      <c r="JO1" s="40" t="s">
        <v>469</v>
      </c>
      <c r="JP1" s="40" t="s">
        <v>681</v>
      </c>
      <c r="JQ1" s="40" t="s">
        <v>682</v>
      </c>
      <c r="JR1" s="40" t="s">
        <v>683</v>
      </c>
      <c r="JS1" s="40" t="s">
        <v>684</v>
      </c>
      <c r="JT1" s="40" t="s">
        <v>685</v>
      </c>
      <c r="JU1" s="40" t="s">
        <v>686</v>
      </c>
      <c r="JV1" s="40" t="s">
        <v>687</v>
      </c>
      <c r="JW1" s="40" t="s">
        <v>688</v>
      </c>
      <c r="JX1" s="40" t="s">
        <v>689</v>
      </c>
      <c r="JY1" s="40" t="s">
        <v>690</v>
      </c>
      <c r="JZ1" s="40" t="s">
        <v>691</v>
      </c>
      <c r="KA1" s="40" t="s">
        <v>692</v>
      </c>
      <c r="KB1" s="40" t="s">
        <v>693</v>
      </c>
      <c r="KC1" s="40" t="s">
        <v>694</v>
      </c>
      <c r="KD1" s="40" t="s">
        <v>695</v>
      </c>
      <c r="KE1" s="40" t="s">
        <v>696</v>
      </c>
      <c r="KF1" s="40" t="s">
        <v>697</v>
      </c>
      <c r="KG1" s="40" t="s">
        <v>698</v>
      </c>
      <c r="KH1" s="40" t="s">
        <v>699</v>
      </c>
      <c r="KI1" s="40" t="s">
        <v>700</v>
      </c>
      <c r="KJ1" s="40" t="s">
        <v>701</v>
      </c>
      <c r="KK1" s="40" t="s">
        <v>702</v>
      </c>
      <c r="KL1" s="40" t="s">
        <v>703</v>
      </c>
      <c r="KM1" s="40" t="s">
        <v>704</v>
      </c>
      <c r="KN1" s="40" t="s">
        <v>705</v>
      </c>
      <c r="KO1" s="40" t="s">
        <v>706</v>
      </c>
      <c r="KP1" s="40" t="s">
        <v>707</v>
      </c>
      <c r="KQ1" s="40" t="s">
        <v>708</v>
      </c>
      <c r="KR1" s="40" t="s">
        <v>709</v>
      </c>
      <c r="KS1" s="40" t="s">
        <v>469</v>
      </c>
      <c r="KT1" s="40" t="s">
        <v>710</v>
      </c>
      <c r="KU1" s="40" t="s">
        <v>711</v>
      </c>
      <c r="KV1" s="40" t="s">
        <v>712</v>
      </c>
      <c r="KW1" s="40" t="s">
        <v>897</v>
      </c>
      <c r="KX1" s="40" t="s">
        <v>896</v>
      </c>
      <c r="KY1" s="40" t="s">
        <v>1010</v>
      </c>
      <c r="KZ1" s="40" t="s">
        <v>895</v>
      </c>
      <c r="LA1" s="40" t="s">
        <v>714</v>
      </c>
      <c r="LB1" s="40" t="s">
        <v>713</v>
      </c>
    </row>
    <row r="2" spans="1:314" s="40" customFormat="1" x14ac:dyDescent="0.25">
      <c r="A2" s="40" t="s">
        <v>717</v>
      </c>
      <c r="B2" s="40" t="s">
        <v>914</v>
      </c>
      <c r="C2" s="40" t="s">
        <v>915</v>
      </c>
      <c r="D2" s="40" t="s">
        <v>915</v>
      </c>
      <c r="E2" s="40" t="s">
        <v>915</v>
      </c>
      <c r="F2" s="40" t="s">
        <v>916</v>
      </c>
      <c r="G2" s="40" t="s">
        <v>915</v>
      </c>
      <c r="H2" s="40" t="s">
        <v>917</v>
      </c>
      <c r="I2" s="40" t="s">
        <v>917</v>
      </c>
      <c r="J2" s="40" t="s">
        <v>917</v>
      </c>
      <c r="K2" s="40" t="s">
        <v>917</v>
      </c>
      <c r="L2" s="40" t="s">
        <v>469</v>
      </c>
      <c r="M2" s="40" t="s">
        <v>469</v>
      </c>
      <c r="N2" s="40" t="s">
        <v>469</v>
      </c>
      <c r="O2" s="40" t="s">
        <v>918</v>
      </c>
      <c r="P2" s="40" t="s">
        <v>469</v>
      </c>
      <c r="Q2" s="40" t="s">
        <v>919</v>
      </c>
      <c r="R2" s="40" t="s">
        <v>469</v>
      </c>
      <c r="S2" s="40" t="s">
        <v>919</v>
      </c>
      <c r="T2" s="40" t="s">
        <v>920</v>
      </c>
      <c r="U2" s="40" t="s">
        <v>920</v>
      </c>
      <c r="V2" s="40" t="s">
        <v>920</v>
      </c>
      <c r="W2" s="40" t="s">
        <v>920</v>
      </c>
      <c r="X2" s="40" t="s">
        <v>920</v>
      </c>
      <c r="Y2" s="40" t="s">
        <v>920</v>
      </c>
      <c r="Z2" s="40" t="s">
        <v>920</v>
      </c>
      <c r="AA2" s="40" t="s">
        <v>920</v>
      </c>
      <c r="AB2" s="40" t="s">
        <v>920</v>
      </c>
      <c r="AC2" s="40" t="s">
        <v>920</v>
      </c>
      <c r="AD2" s="40" t="s">
        <v>920</v>
      </c>
      <c r="AE2" s="40" t="s">
        <v>920</v>
      </c>
      <c r="AF2" s="40" t="s">
        <v>920</v>
      </c>
      <c r="AG2" s="40" t="s">
        <v>920</v>
      </c>
      <c r="AH2" s="40" t="s">
        <v>920</v>
      </c>
      <c r="AI2" s="40" t="s">
        <v>920</v>
      </c>
      <c r="AJ2" s="40" t="s">
        <v>920</v>
      </c>
      <c r="AK2" s="40" t="s">
        <v>920</v>
      </c>
      <c r="AL2" s="40" t="s">
        <v>920</v>
      </c>
      <c r="AM2" s="40" t="s">
        <v>920</v>
      </c>
      <c r="AN2" s="40" t="s">
        <v>920</v>
      </c>
      <c r="AO2" s="40" t="s">
        <v>921</v>
      </c>
      <c r="AP2" s="40" t="s">
        <v>921</v>
      </c>
      <c r="AQ2" s="40" t="s">
        <v>921</v>
      </c>
      <c r="AR2" s="40" t="s">
        <v>921</v>
      </c>
      <c r="AS2" s="40" t="s">
        <v>921</v>
      </c>
      <c r="AT2" s="40" t="s">
        <v>921</v>
      </c>
      <c r="AU2" s="40" t="s">
        <v>921</v>
      </c>
      <c r="AV2" s="40" t="s">
        <v>921</v>
      </c>
      <c r="AW2" s="40" t="s">
        <v>921</v>
      </c>
      <c r="AX2" s="40" t="s">
        <v>921</v>
      </c>
      <c r="AY2" s="40" t="s">
        <v>921</v>
      </c>
      <c r="AZ2" s="40" t="s">
        <v>921</v>
      </c>
      <c r="BA2" s="40" t="s">
        <v>921</v>
      </c>
      <c r="BB2" s="40" t="s">
        <v>921</v>
      </c>
      <c r="BC2" s="40" t="s">
        <v>921</v>
      </c>
      <c r="BD2" s="40" t="s">
        <v>922</v>
      </c>
      <c r="BE2" s="40" t="s">
        <v>922</v>
      </c>
      <c r="BF2" s="40" t="s">
        <v>922</v>
      </c>
      <c r="BG2" s="40" t="s">
        <v>922</v>
      </c>
      <c r="BH2" s="40" t="s">
        <v>922</v>
      </c>
      <c r="BI2" s="40" t="s">
        <v>922</v>
      </c>
      <c r="BJ2" s="40" t="s">
        <v>922</v>
      </c>
      <c r="BK2" s="40" t="s">
        <v>922</v>
      </c>
      <c r="BL2" s="40" t="s">
        <v>922</v>
      </c>
      <c r="BM2" s="40" t="s">
        <v>922</v>
      </c>
      <c r="BN2" s="40" t="s">
        <v>922</v>
      </c>
      <c r="BO2" s="40" t="s">
        <v>922</v>
      </c>
      <c r="BP2" s="40" t="s">
        <v>922</v>
      </c>
      <c r="BQ2" s="40" t="s">
        <v>922</v>
      </c>
      <c r="BR2" s="40" t="s">
        <v>922</v>
      </c>
      <c r="BS2" s="40" t="s">
        <v>922</v>
      </c>
      <c r="BT2" s="40" t="s">
        <v>922</v>
      </c>
      <c r="BU2" s="40" t="s">
        <v>922</v>
      </c>
      <c r="BV2" s="40" t="s">
        <v>922</v>
      </c>
      <c r="BW2" s="40" t="s">
        <v>922</v>
      </c>
      <c r="BX2" s="40" t="s">
        <v>922</v>
      </c>
      <c r="BY2" s="40" t="s">
        <v>922</v>
      </c>
      <c r="BZ2" s="40" t="s">
        <v>922</v>
      </c>
      <c r="CA2" s="40" t="s">
        <v>922</v>
      </c>
      <c r="CB2" s="40" t="s">
        <v>469</v>
      </c>
      <c r="CC2" s="40" t="s">
        <v>469</v>
      </c>
      <c r="CD2" s="40" t="s">
        <v>469</v>
      </c>
      <c r="CE2" s="40" t="s">
        <v>469</v>
      </c>
      <c r="CF2" s="40" t="s">
        <v>469</v>
      </c>
      <c r="CG2" s="40" t="s">
        <v>469</v>
      </c>
      <c r="CH2" s="40" t="s">
        <v>469</v>
      </c>
      <c r="CI2" s="40" t="s">
        <v>469</v>
      </c>
      <c r="CJ2" s="40" t="s">
        <v>469</v>
      </c>
      <c r="CK2" s="40" t="s">
        <v>469</v>
      </c>
      <c r="CL2" s="40" t="s">
        <v>469</v>
      </c>
      <c r="CM2" s="40" t="s">
        <v>469</v>
      </c>
      <c r="CN2" s="40" t="s">
        <v>469</v>
      </c>
      <c r="CO2" s="40" t="s">
        <v>469</v>
      </c>
      <c r="CP2" s="40" t="s">
        <v>469</v>
      </c>
      <c r="CQ2" s="40" t="s">
        <v>469</v>
      </c>
      <c r="CR2" s="40" t="s">
        <v>915</v>
      </c>
      <c r="CS2" s="40" t="s">
        <v>918</v>
      </c>
      <c r="CT2" s="40" t="s">
        <v>469</v>
      </c>
      <c r="CU2" s="40" t="s">
        <v>918</v>
      </c>
      <c r="CV2" s="40" t="s">
        <v>918</v>
      </c>
      <c r="CW2" s="40" t="s">
        <v>918</v>
      </c>
      <c r="CX2" s="40" t="s">
        <v>918</v>
      </c>
      <c r="CY2" s="40" t="s">
        <v>918</v>
      </c>
      <c r="CZ2" s="40" t="s">
        <v>918</v>
      </c>
      <c r="DA2" s="40" t="s">
        <v>918</v>
      </c>
      <c r="DB2" s="40" t="s">
        <v>918</v>
      </c>
      <c r="DC2" s="40" t="s">
        <v>918</v>
      </c>
      <c r="DD2" s="40" t="s">
        <v>918</v>
      </c>
      <c r="DE2" s="40" t="s">
        <v>918</v>
      </c>
      <c r="DF2" s="40" t="s">
        <v>918</v>
      </c>
      <c r="DG2" s="40" t="s">
        <v>918</v>
      </c>
      <c r="DH2" s="40" t="s">
        <v>918</v>
      </c>
      <c r="DI2" s="40" t="s">
        <v>918</v>
      </c>
      <c r="DJ2" s="40" t="s">
        <v>918</v>
      </c>
      <c r="DK2" s="40" t="s">
        <v>918</v>
      </c>
      <c r="DL2" s="40" t="s">
        <v>918</v>
      </c>
      <c r="DM2" s="40" t="s">
        <v>918</v>
      </c>
      <c r="DN2" s="40" t="s">
        <v>918</v>
      </c>
      <c r="DO2" s="40" t="s">
        <v>918</v>
      </c>
      <c r="DP2" s="40" t="s">
        <v>918</v>
      </c>
      <c r="DQ2" s="40" t="s">
        <v>918</v>
      </c>
      <c r="DR2" s="40" t="s">
        <v>918</v>
      </c>
      <c r="DS2" s="40" t="s">
        <v>918</v>
      </c>
      <c r="DT2" s="40" t="s">
        <v>918</v>
      </c>
      <c r="DU2" s="40" t="s">
        <v>918</v>
      </c>
      <c r="DV2" s="40" t="s">
        <v>918</v>
      </c>
      <c r="DW2" s="40" t="s">
        <v>918</v>
      </c>
      <c r="DX2" s="40" t="s">
        <v>918</v>
      </c>
      <c r="DY2" s="40" t="s">
        <v>918</v>
      </c>
      <c r="DZ2" s="40" t="s">
        <v>918</v>
      </c>
      <c r="EA2" s="40" t="s">
        <v>918</v>
      </c>
      <c r="EB2" s="40" t="s">
        <v>918</v>
      </c>
      <c r="EC2" s="40" t="s">
        <v>918</v>
      </c>
      <c r="ED2" s="40" t="s">
        <v>918</v>
      </c>
      <c r="EE2" s="40" t="s">
        <v>918</v>
      </c>
      <c r="EF2" s="40" t="s">
        <v>918</v>
      </c>
      <c r="EG2" s="40" t="s">
        <v>918</v>
      </c>
      <c r="EH2" s="40" t="s">
        <v>918</v>
      </c>
      <c r="EI2" s="40" t="s">
        <v>918</v>
      </c>
      <c r="EJ2" s="40" t="s">
        <v>918</v>
      </c>
      <c r="EK2" s="40" t="s">
        <v>918</v>
      </c>
      <c r="EL2" s="40" t="s">
        <v>918</v>
      </c>
      <c r="EM2" s="40" t="s">
        <v>918</v>
      </c>
      <c r="EN2" s="40" t="s">
        <v>918</v>
      </c>
      <c r="EO2" s="40" t="s">
        <v>918</v>
      </c>
      <c r="EP2" s="40" t="s">
        <v>918</v>
      </c>
      <c r="EQ2" s="40" t="s">
        <v>918</v>
      </c>
      <c r="ER2" s="40" t="s">
        <v>918</v>
      </c>
      <c r="ES2" s="40" t="s">
        <v>918</v>
      </c>
      <c r="ET2" s="40" t="s">
        <v>918</v>
      </c>
      <c r="EU2" s="40" t="s">
        <v>918</v>
      </c>
      <c r="EV2" s="40" t="s">
        <v>918</v>
      </c>
      <c r="EW2" s="40" t="s">
        <v>918</v>
      </c>
      <c r="EX2" s="40" t="s">
        <v>918</v>
      </c>
      <c r="EY2" s="40" t="s">
        <v>918</v>
      </c>
      <c r="EZ2" s="40" t="s">
        <v>918</v>
      </c>
      <c r="FA2" s="40" t="s">
        <v>918</v>
      </c>
      <c r="FB2" s="40" t="s">
        <v>918</v>
      </c>
      <c r="FC2" s="40" t="s">
        <v>918</v>
      </c>
      <c r="FD2" s="40" t="s">
        <v>918</v>
      </c>
      <c r="FE2" s="40" t="s">
        <v>918</v>
      </c>
      <c r="FF2" s="40" t="s">
        <v>918</v>
      </c>
      <c r="FG2" s="40" t="s">
        <v>918</v>
      </c>
      <c r="FH2" s="40" t="s">
        <v>918</v>
      </c>
      <c r="FI2" s="40" t="s">
        <v>918</v>
      </c>
      <c r="FJ2" s="40" t="s">
        <v>918</v>
      </c>
      <c r="FK2" s="40" t="s">
        <v>918</v>
      </c>
      <c r="FL2" s="40" t="s">
        <v>918</v>
      </c>
      <c r="FM2" s="40" t="s">
        <v>918</v>
      </c>
      <c r="FN2" s="40" t="s">
        <v>918</v>
      </c>
      <c r="FO2" s="40" t="s">
        <v>918</v>
      </c>
      <c r="FP2" s="40" t="s">
        <v>918</v>
      </c>
      <c r="FQ2" s="40" t="s">
        <v>918</v>
      </c>
      <c r="FR2" s="40" t="s">
        <v>918</v>
      </c>
      <c r="FS2" s="40" t="s">
        <v>918</v>
      </c>
      <c r="FT2" s="40" t="s">
        <v>918</v>
      </c>
      <c r="FU2" s="40" t="s">
        <v>918</v>
      </c>
      <c r="FV2" s="40" t="s">
        <v>918</v>
      </c>
      <c r="FW2" s="40" t="s">
        <v>918</v>
      </c>
      <c r="FX2" s="40" t="s">
        <v>918</v>
      </c>
      <c r="FY2" s="40" t="s">
        <v>918</v>
      </c>
      <c r="FZ2" s="40" t="s">
        <v>918</v>
      </c>
      <c r="GA2" s="40" t="s">
        <v>918</v>
      </c>
      <c r="GB2" s="40" t="s">
        <v>918</v>
      </c>
      <c r="GC2" s="40" t="s">
        <v>918</v>
      </c>
      <c r="GD2" s="40" t="s">
        <v>918</v>
      </c>
      <c r="GE2" s="40" t="s">
        <v>918</v>
      </c>
      <c r="GF2" s="40" t="s">
        <v>918</v>
      </c>
      <c r="GG2" s="40" t="s">
        <v>918</v>
      </c>
      <c r="GH2" s="40" t="s">
        <v>918</v>
      </c>
      <c r="GI2" s="40" t="s">
        <v>918</v>
      </c>
      <c r="GJ2" s="40" t="s">
        <v>918</v>
      </c>
      <c r="GK2" s="40" t="s">
        <v>918</v>
      </c>
      <c r="GL2" s="40" t="s">
        <v>918</v>
      </c>
      <c r="GM2" s="40" t="s">
        <v>918</v>
      </c>
      <c r="GN2" s="40" t="s">
        <v>918</v>
      </c>
      <c r="GO2" s="40" t="s">
        <v>918</v>
      </c>
      <c r="GP2" s="40" t="s">
        <v>918</v>
      </c>
      <c r="GQ2" s="40" t="s">
        <v>918</v>
      </c>
      <c r="GR2" s="40" t="s">
        <v>918</v>
      </c>
      <c r="GS2" s="40" t="s">
        <v>918</v>
      </c>
      <c r="GT2" s="40" t="s">
        <v>918</v>
      </c>
      <c r="GU2" s="40" t="s">
        <v>918</v>
      </c>
      <c r="GV2" s="40" t="s">
        <v>918</v>
      </c>
      <c r="GW2" s="40" t="s">
        <v>918</v>
      </c>
      <c r="GX2" s="40" t="s">
        <v>918</v>
      </c>
      <c r="GY2" s="40" t="s">
        <v>918</v>
      </c>
      <c r="GZ2" s="40" t="s">
        <v>918</v>
      </c>
      <c r="HA2" s="40" t="s">
        <v>918</v>
      </c>
      <c r="HB2" s="40" t="s">
        <v>918</v>
      </c>
      <c r="HC2" s="40" t="s">
        <v>918</v>
      </c>
      <c r="HD2" s="40" t="s">
        <v>918</v>
      </c>
      <c r="HE2" s="40" t="s">
        <v>918</v>
      </c>
      <c r="HF2" s="40" t="s">
        <v>918</v>
      </c>
      <c r="HG2" s="40" t="s">
        <v>918</v>
      </c>
      <c r="HH2" s="40" t="s">
        <v>918</v>
      </c>
      <c r="HI2" s="40" t="s">
        <v>918</v>
      </c>
      <c r="HJ2" s="40" t="s">
        <v>918</v>
      </c>
      <c r="HK2" s="40" t="s">
        <v>918</v>
      </c>
      <c r="HL2" s="40" t="s">
        <v>918</v>
      </c>
      <c r="HM2" s="40" t="s">
        <v>918</v>
      </c>
      <c r="HN2" s="40" t="s">
        <v>918</v>
      </c>
      <c r="HO2" s="40" t="s">
        <v>918</v>
      </c>
      <c r="HP2" s="40" t="s">
        <v>918</v>
      </c>
      <c r="HQ2" s="40" t="s">
        <v>918</v>
      </c>
      <c r="HR2" s="40" t="s">
        <v>918</v>
      </c>
      <c r="HS2" s="40" t="s">
        <v>918</v>
      </c>
      <c r="HT2" s="40" t="s">
        <v>918</v>
      </c>
      <c r="HU2" s="40" t="s">
        <v>918</v>
      </c>
      <c r="HV2" s="40" t="s">
        <v>918</v>
      </c>
      <c r="HW2" s="40" t="s">
        <v>918</v>
      </c>
      <c r="HX2" s="40" t="s">
        <v>918</v>
      </c>
      <c r="HY2" s="40" t="s">
        <v>918</v>
      </c>
      <c r="HZ2" s="40" t="s">
        <v>918</v>
      </c>
      <c r="IA2" s="40" t="s">
        <v>918</v>
      </c>
      <c r="IB2" s="40" t="s">
        <v>918</v>
      </c>
      <c r="IC2" s="40" t="s">
        <v>918</v>
      </c>
      <c r="ID2" s="40" t="s">
        <v>918</v>
      </c>
      <c r="IE2" s="40" t="s">
        <v>918</v>
      </c>
      <c r="IF2" s="40" t="s">
        <v>918</v>
      </c>
      <c r="IG2" s="40" t="s">
        <v>918</v>
      </c>
      <c r="IH2" s="40" t="s">
        <v>918</v>
      </c>
      <c r="II2" s="40" t="s">
        <v>918</v>
      </c>
      <c r="IJ2" s="40" t="s">
        <v>918</v>
      </c>
      <c r="IK2" s="40" t="s">
        <v>918</v>
      </c>
      <c r="IL2" s="40" t="s">
        <v>918</v>
      </c>
      <c r="IM2" s="40" t="s">
        <v>918</v>
      </c>
      <c r="IN2" s="40" t="s">
        <v>918</v>
      </c>
      <c r="IO2" s="40" t="s">
        <v>918</v>
      </c>
      <c r="IP2" s="40" t="s">
        <v>918</v>
      </c>
      <c r="IQ2" s="40" t="s">
        <v>918</v>
      </c>
      <c r="IR2" s="40" t="s">
        <v>918</v>
      </c>
      <c r="IS2" s="40" t="s">
        <v>918</v>
      </c>
      <c r="IT2" s="40" t="s">
        <v>918</v>
      </c>
      <c r="IU2" s="40" t="s">
        <v>918</v>
      </c>
      <c r="IV2" s="40" t="s">
        <v>918</v>
      </c>
      <c r="IW2" s="40" t="s">
        <v>918</v>
      </c>
      <c r="IX2" s="40" t="s">
        <v>918</v>
      </c>
      <c r="IY2" s="40" t="s">
        <v>918</v>
      </c>
      <c r="IZ2" s="40" t="s">
        <v>918</v>
      </c>
      <c r="JA2" s="40" t="s">
        <v>918</v>
      </c>
      <c r="JB2" s="40" t="s">
        <v>918</v>
      </c>
      <c r="JC2" s="40" t="s">
        <v>918</v>
      </c>
      <c r="JD2" s="40" t="s">
        <v>918</v>
      </c>
      <c r="JE2" s="40" t="s">
        <v>918</v>
      </c>
      <c r="JF2" s="40" t="s">
        <v>918</v>
      </c>
      <c r="JG2" s="40" t="s">
        <v>918</v>
      </c>
      <c r="JH2" s="40" t="s">
        <v>918</v>
      </c>
      <c r="JI2" s="40" t="s">
        <v>918</v>
      </c>
      <c r="JJ2" s="40" t="s">
        <v>918</v>
      </c>
      <c r="JK2" s="40" t="s">
        <v>918</v>
      </c>
      <c r="JL2" s="40" t="s">
        <v>918</v>
      </c>
      <c r="JM2" s="40" t="s">
        <v>918</v>
      </c>
      <c r="JN2" s="40" t="s">
        <v>918</v>
      </c>
      <c r="JO2" s="40" t="s">
        <v>918</v>
      </c>
      <c r="JP2" s="40" t="s">
        <v>918</v>
      </c>
      <c r="JQ2" s="40" t="s">
        <v>918</v>
      </c>
      <c r="JR2" s="40" t="s">
        <v>918</v>
      </c>
      <c r="JS2" s="40" t="s">
        <v>918</v>
      </c>
      <c r="JT2" s="40" t="s">
        <v>918</v>
      </c>
      <c r="JU2" s="40" t="s">
        <v>918</v>
      </c>
      <c r="JV2" s="40" t="s">
        <v>918</v>
      </c>
      <c r="JW2" s="40" t="s">
        <v>918</v>
      </c>
      <c r="JX2" s="40" t="s">
        <v>918</v>
      </c>
      <c r="JY2" s="40" t="s">
        <v>918</v>
      </c>
      <c r="JZ2" s="40" t="s">
        <v>918</v>
      </c>
      <c r="KA2" s="40" t="s">
        <v>918</v>
      </c>
      <c r="KB2" s="40" t="s">
        <v>918</v>
      </c>
      <c r="KC2" s="40" t="s">
        <v>918</v>
      </c>
      <c r="KD2" s="40" t="s">
        <v>918</v>
      </c>
      <c r="KE2" s="40" t="s">
        <v>918</v>
      </c>
      <c r="KF2" s="40" t="s">
        <v>918</v>
      </c>
      <c r="KG2" s="40" t="s">
        <v>918</v>
      </c>
      <c r="KH2" s="40" t="s">
        <v>918</v>
      </c>
      <c r="KI2" s="40" t="s">
        <v>918</v>
      </c>
      <c r="KJ2" s="40" t="s">
        <v>918</v>
      </c>
      <c r="KK2" s="40" t="s">
        <v>918</v>
      </c>
      <c r="KL2" s="40" t="s">
        <v>918</v>
      </c>
      <c r="KM2" s="40" t="s">
        <v>918</v>
      </c>
      <c r="KN2" s="40" t="s">
        <v>918</v>
      </c>
      <c r="KO2" s="40" t="s">
        <v>918</v>
      </c>
      <c r="KP2" s="40" t="s">
        <v>918</v>
      </c>
      <c r="KQ2" s="40" t="s">
        <v>918</v>
      </c>
      <c r="KR2" s="40" t="s">
        <v>918</v>
      </c>
      <c r="KS2" s="40" t="s">
        <v>918</v>
      </c>
      <c r="KT2" s="40" t="s">
        <v>918</v>
      </c>
      <c r="KU2" s="40" t="s">
        <v>918</v>
      </c>
      <c r="KV2" s="40" t="s">
        <v>918</v>
      </c>
      <c r="KW2" s="40" t="s">
        <v>918</v>
      </c>
      <c r="KX2" s="40" t="s">
        <v>923</v>
      </c>
      <c r="KY2" s="40" t="s">
        <v>924</v>
      </c>
      <c r="KZ2" s="40" t="s">
        <v>925</v>
      </c>
      <c r="LA2" s="40" t="s">
        <v>925</v>
      </c>
      <c r="LB2" s="40" t="s">
        <v>925</v>
      </c>
    </row>
    <row r="3" spans="1:314" s="40" customFormat="1" x14ac:dyDescent="0.25">
      <c r="A3" s="40" t="s">
        <v>718</v>
      </c>
      <c r="B3" s="40" t="s">
        <v>469</v>
      </c>
      <c r="C3" s="40" t="s">
        <v>469</v>
      </c>
      <c r="D3" s="40" t="s">
        <v>469</v>
      </c>
      <c r="E3" s="40" t="s">
        <v>469</v>
      </c>
      <c r="F3" s="40" t="s">
        <v>469</v>
      </c>
      <c r="G3" s="40" t="s">
        <v>469</v>
      </c>
      <c r="H3" s="40" t="s">
        <v>469</v>
      </c>
      <c r="I3" s="40" t="s">
        <v>469</v>
      </c>
      <c r="J3" s="40" t="s">
        <v>469</v>
      </c>
      <c r="K3" s="40" t="s">
        <v>469</v>
      </c>
      <c r="L3" s="40" t="s">
        <v>469</v>
      </c>
      <c r="M3" s="40" t="s">
        <v>469</v>
      </c>
      <c r="N3" s="40" t="s">
        <v>469</v>
      </c>
      <c r="O3" s="40" t="s">
        <v>469</v>
      </c>
      <c r="P3" s="40" t="s">
        <v>469</v>
      </c>
      <c r="Q3" s="40" t="s">
        <v>719</v>
      </c>
      <c r="R3" s="40" t="s">
        <v>469</v>
      </c>
      <c r="S3" s="40" t="s">
        <v>469</v>
      </c>
      <c r="T3" s="40" t="s">
        <v>469</v>
      </c>
      <c r="U3" s="40" t="s">
        <v>469</v>
      </c>
      <c r="V3" s="40" t="s">
        <v>469</v>
      </c>
      <c r="W3" s="40" t="s">
        <v>469</v>
      </c>
      <c r="X3" s="40" t="s">
        <v>469</v>
      </c>
      <c r="Y3" s="40" t="s">
        <v>469</v>
      </c>
      <c r="Z3" s="40" t="s">
        <v>469</v>
      </c>
      <c r="AA3" s="40" t="s">
        <v>469</v>
      </c>
      <c r="AB3" s="40" t="s">
        <v>469</v>
      </c>
      <c r="AC3" s="40" t="s">
        <v>469</v>
      </c>
      <c r="AD3" s="40" t="s">
        <v>469</v>
      </c>
      <c r="AE3" s="40" t="s">
        <v>469</v>
      </c>
      <c r="AF3" s="40" t="s">
        <v>469</v>
      </c>
      <c r="AG3" s="40" t="s">
        <v>469</v>
      </c>
      <c r="AH3" s="40" t="s">
        <v>720</v>
      </c>
      <c r="AI3" s="40" t="s">
        <v>721</v>
      </c>
      <c r="AJ3" s="40" t="s">
        <v>722</v>
      </c>
      <c r="AK3" s="40" t="s">
        <v>723</v>
      </c>
      <c r="AL3" s="40" t="s">
        <v>724</v>
      </c>
      <c r="AM3" s="40" t="s">
        <v>725</v>
      </c>
      <c r="AN3" s="40" t="s">
        <v>469</v>
      </c>
      <c r="AO3" s="40" t="s">
        <v>469</v>
      </c>
      <c r="AP3" s="40" t="s">
        <v>469</v>
      </c>
      <c r="AQ3" s="40" t="s">
        <v>469</v>
      </c>
      <c r="AR3" s="40" t="s">
        <v>469</v>
      </c>
      <c r="AS3" s="40" t="s">
        <v>469</v>
      </c>
      <c r="AT3" s="40" t="s">
        <v>469</v>
      </c>
      <c r="AU3" s="40" t="s">
        <v>469</v>
      </c>
      <c r="AV3" s="40" t="s">
        <v>469</v>
      </c>
      <c r="AW3" s="40" t="s">
        <v>469</v>
      </c>
      <c r="AX3" s="40" t="s">
        <v>469</v>
      </c>
      <c r="AY3" s="40" t="s">
        <v>469</v>
      </c>
      <c r="AZ3" s="40" t="s">
        <v>469</v>
      </c>
      <c r="BA3" s="40" t="s">
        <v>469</v>
      </c>
      <c r="BB3" s="40" t="s">
        <v>469</v>
      </c>
      <c r="BC3" s="40" t="s">
        <v>469</v>
      </c>
      <c r="BD3" s="40" t="s">
        <v>469</v>
      </c>
      <c r="BE3" s="40" t="s">
        <v>469</v>
      </c>
      <c r="BF3" s="40" t="s">
        <v>469</v>
      </c>
      <c r="BG3" s="40" t="s">
        <v>469</v>
      </c>
      <c r="BH3" s="40" t="s">
        <v>469</v>
      </c>
      <c r="BI3" s="40" t="s">
        <v>469</v>
      </c>
      <c r="BJ3" s="40" t="s">
        <v>469</v>
      </c>
      <c r="BK3" s="40" t="s">
        <v>469</v>
      </c>
      <c r="BL3" s="40" t="s">
        <v>469</v>
      </c>
      <c r="BM3" s="40" t="s">
        <v>469</v>
      </c>
      <c r="BN3" s="40" t="s">
        <v>469</v>
      </c>
      <c r="BO3" s="40" t="s">
        <v>469</v>
      </c>
      <c r="BP3" s="40" t="s">
        <v>469</v>
      </c>
      <c r="BQ3" s="40" t="s">
        <v>469</v>
      </c>
      <c r="BR3" s="40" t="s">
        <v>469</v>
      </c>
      <c r="BS3" s="40" t="s">
        <v>469</v>
      </c>
      <c r="BT3" s="40" t="s">
        <v>469</v>
      </c>
      <c r="BU3" s="40" t="s">
        <v>469</v>
      </c>
      <c r="BV3" s="40" t="s">
        <v>469</v>
      </c>
      <c r="BW3" s="40" t="s">
        <v>469</v>
      </c>
      <c r="BX3" s="40" t="s">
        <v>469</v>
      </c>
      <c r="BY3" s="40" t="s">
        <v>469</v>
      </c>
      <c r="BZ3" s="40" t="s">
        <v>469</v>
      </c>
      <c r="CA3" s="40" t="s">
        <v>469</v>
      </c>
      <c r="CB3" s="40" t="s">
        <v>469</v>
      </c>
      <c r="CC3" s="40" t="s">
        <v>469</v>
      </c>
      <c r="CD3" s="40" t="s">
        <v>469</v>
      </c>
      <c r="CE3" s="40" t="s">
        <v>469</v>
      </c>
      <c r="CF3" s="40" t="s">
        <v>469</v>
      </c>
      <c r="CG3" s="40" t="s">
        <v>469</v>
      </c>
      <c r="CH3" s="40" t="s">
        <v>469</v>
      </c>
      <c r="CI3" s="40" t="s">
        <v>469</v>
      </c>
      <c r="CJ3" s="40" t="s">
        <v>469</v>
      </c>
      <c r="CK3" s="40" t="s">
        <v>469</v>
      </c>
      <c r="CL3" s="40" t="s">
        <v>469</v>
      </c>
      <c r="CM3" s="40" t="s">
        <v>469</v>
      </c>
      <c r="CN3" s="40" t="s">
        <v>469</v>
      </c>
      <c r="CO3" s="40" t="s">
        <v>469</v>
      </c>
      <c r="CP3" s="40" t="s">
        <v>469</v>
      </c>
      <c r="CQ3" s="40" t="s">
        <v>469</v>
      </c>
      <c r="CR3" s="40" t="s">
        <v>469</v>
      </c>
      <c r="CS3" s="40" t="s">
        <v>469</v>
      </c>
      <c r="CT3" s="40" t="s">
        <v>469</v>
      </c>
      <c r="CU3" s="40" t="s">
        <v>726</v>
      </c>
      <c r="CV3" s="40" t="s">
        <v>727</v>
      </c>
      <c r="CW3" s="40" t="s">
        <v>728</v>
      </c>
      <c r="CX3" s="40" t="s">
        <v>729</v>
      </c>
      <c r="CY3" s="40" t="s">
        <v>730</v>
      </c>
      <c r="CZ3" s="40" t="s">
        <v>731</v>
      </c>
      <c r="DA3" s="40" t="s">
        <v>732</v>
      </c>
      <c r="DB3" s="40" t="s">
        <v>733</v>
      </c>
      <c r="DC3" s="40" t="s">
        <v>734</v>
      </c>
      <c r="DD3" s="40" t="s">
        <v>735</v>
      </c>
      <c r="DE3" s="40" t="s">
        <v>736</v>
      </c>
      <c r="DF3" s="40" t="s">
        <v>737</v>
      </c>
      <c r="DG3" s="40" t="s">
        <v>738</v>
      </c>
      <c r="DH3" s="40" t="s">
        <v>739</v>
      </c>
      <c r="DI3" s="40" t="s">
        <v>740</v>
      </c>
      <c r="DJ3" s="40" t="s">
        <v>741</v>
      </c>
      <c r="DK3" s="40" t="s">
        <v>742</v>
      </c>
      <c r="DL3" s="40" t="s">
        <v>743</v>
      </c>
      <c r="DM3" s="40" t="s">
        <v>744</v>
      </c>
      <c r="DN3" s="40" t="s">
        <v>745</v>
      </c>
      <c r="DO3" s="40" t="s">
        <v>746</v>
      </c>
      <c r="DP3" s="40" t="s">
        <v>747</v>
      </c>
      <c r="DQ3" s="40" t="s">
        <v>748</v>
      </c>
      <c r="DR3" s="40" t="s">
        <v>749</v>
      </c>
      <c r="DS3" s="40" t="s">
        <v>750</v>
      </c>
      <c r="DT3" s="40" t="s">
        <v>751</v>
      </c>
      <c r="DU3" s="40" t="s">
        <v>469</v>
      </c>
      <c r="DV3" s="40" t="s">
        <v>752</v>
      </c>
      <c r="DW3" s="40" t="s">
        <v>753</v>
      </c>
      <c r="DX3" s="40" t="s">
        <v>469</v>
      </c>
      <c r="DY3" s="40" t="s">
        <v>754</v>
      </c>
      <c r="DZ3" s="40" t="s">
        <v>755</v>
      </c>
      <c r="EA3" s="40" t="s">
        <v>756</v>
      </c>
      <c r="EB3" s="40" t="s">
        <v>757</v>
      </c>
      <c r="EC3" s="40" t="s">
        <v>758</v>
      </c>
      <c r="ED3" s="40" t="s">
        <v>759</v>
      </c>
      <c r="EE3" s="40" t="s">
        <v>760</v>
      </c>
      <c r="EF3" s="40" t="s">
        <v>761</v>
      </c>
      <c r="EG3" s="40" t="s">
        <v>762</v>
      </c>
      <c r="EH3" s="40" t="s">
        <v>763</v>
      </c>
      <c r="EI3" s="40" t="s">
        <v>764</v>
      </c>
      <c r="EJ3" s="40" t="s">
        <v>765</v>
      </c>
      <c r="EK3" s="40" t="s">
        <v>766</v>
      </c>
      <c r="EL3" s="40" t="s">
        <v>767</v>
      </c>
      <c r="EM3" s="40" t="s">
        <v>768</v>
      </c>
      <c r="EN3" s="40" t="s">
        <v>769</v>
      </c>
      <c r="EO3" s="40" t="s">
        <v>770</v>
      </c>
      <c r="EP3" s="40" t="s">
        <v>771</v>
      </c>
      <c r="EQ3" s="40" t="s">
        <v>772</v>
      </c>
      <c r="ER3" s="40" t="s">
        <v>773</v>
      </c>
      <c r="ES3" s="40" t="s">
        <v>774</v>
      </c>
      <c r="ET3" s="40" t="s">
        <v>775</v>
      </c>
      <c r="EU3" s="40" t="s">
        <v>776</v>
      </c>
      <c r="EV3" s="40" t="s">
        <v>777</v>
      </c>
      <c r="EW3" s="40" t="s">
        <v>778</v>
      </c>
      <c r="EX3" s="40" t="s">
        <v>779</v>
      </c>
      <c r="EY3" s="40" t="s">
        <v>469</v>
      </c>
      <c r="EZ3" s="40" t="s">
        <v>780</v>
      </c>
      <c r="FA3" s="40" t="s">
        <v>781</v>
      </c>
      <c r="FB3" s="40" t="s">
        <v>469</v>
      </c>
      <c r="FC3" s="40" t="s">
        <v>782</v>
      </c>
      <c r="FD3" s="40" t="s">
        <v>783</v>
      </c>
      <c r="FE3" s="40" t="s">
        <v>784</v>
      </c>
      <c r="FF3" s="40" t="s">
        <v>785</v>
      </c>
      <c r="FG3" s="40" t="s">
        <v>786</v>
      </c>
      <c r="FH3" s="40" t="s">
        <v>787</v>
      </c>
      <c r="FI3" s="40" t="s">
        <v>788</v>
      </c>
      <c r="FJ3" s="40" t="s">
        <v>789</v>
      </c>
      <c r="FK3" s="40" t="s">
        <v>790</v>
      </c>
      <c r="FL3" s="40" t="s">
        <v>791</v>
      </c>
      <c r="FM3" s="40" t="s">
        <v>792</v>
      </c>
      <c r="FN3" s="40" t="s">
        <v>793</v>
      </c>
      <c r="FO3" s="40" t="s">
        <v>794</v>
      </c>
      <c r="FP3" s="40" t="s">
        <v>795</v>
      </c>
      <c r="FQ3" s="40" t="s">
        <v>796</v>
      </c>
      <c r="FR3" s="40" t="s">
        <v>797</v>
      </c>
      <c r="FS3" s="40" t="s">
        <v>798</v>
      </c>
      <c r="FT3" s="40" t="s">
        <v>799</v>
      </c>
      <c r="FU3" s="40" t="s">
        <v>800</v>
      </c>
      <c r="FV3" s="40" t="s">
        <v>801</v>
      </c>
      <c r="FW3" s="40" t="s">
        <v>802</v>
      </c>
      <c r="FX3" s="40" t="s">
        <v>803</v>
      </c>
      <c r="FY3" s="40" t="s">
        <v>804</v>
      </c>
      <c r="FZ3" s="40" t="s">
        <v>805</v>
      </c>
      <c r="GA3" s="40" t="s">
        <v>806</v>
      </c>
      <c r="GB3" s="40" t="s">
        <v>807</v>
      </c>
      <c r="GC3" s="40" t="s">
        <v>469</v>
      </c>
      <c r="GD3" s="40" t="s">
        <v>808</v>
      </c>
      <c r="GE3" s="40" t="s">
        <v>809</v>
      </c>
      <c r="GF3" s="40" t="s">
        <v>469</v>
      </c>
      <c r="GG3" s="40" t="s">
        <v>810</v>
      </c>
      <c r="GH3" s="40" t="s">
        <v>811</v>
      </c>
      <c r="GI3" s="40" t="s">
        <v>812</v>
      </c>
      <c r="GJ3" s="40" t="s">
        <v>813</v>
      </c>
      <c r="GK3" s="40" t="s">
        <v>814</v>
      </c>
      <c r="GL3" s="40" t="s">
        <v>815</v>
      </c>
      <c r="GM3" s="40" t="s">
        <v>816</v>
      </c>
      <c r="GN3" s="40" t="s">
        <v>817</v>
      </c>
      <c r="GO3" s="40" t="s">
        <v>818</v>
      </c>
      <c r="GP3" s="40" t="s">
        <v>819</v>
      </c>
      <c r="GQ3" s="40" t="s">
        <v>820</v>
      </c>
      <c r="GR3" s="40" t="s">
        <v>821</v>
      </c>
      <c r="GS3" s="40" t="s">
        <v>822</v>
      </c>
      <c r="GT3" s="40" t="s">
        <v>823</v>
      </c>
      <c r="GU3" s="40" t="s">
        <v>824</v>
      </c>
      <c r="GV3" s="40" t="s">
        <v>825</v>
      </c>
      <c r="GW3" s="40" t="s">
        <v>826</v>
      </c>
      <c r="GX3" s="40" t="s">
        <v>827</v>
      </c>
      <c r="GY3" s="40" t="s">
        <v>828</v>
      </c>
      <c r="GZ3" s="40" t="s">
        <v>829</v>
      </c>
      <c r="HA3" s="40" t="s">
        <v>830</v>
      </c>
      <c r="HB3" s="40" t="s">
        <v>831</v>
      </c>
      <c r="HC3" s="40" t="s">
        <v>832</v>
      </c>
      <c r="HD3" s="40" t="s">
        <v>833</v>
      </c>
      <c r="HE3" s="40" t="s">
        <v>834</v>
      </c>
      <c r="HF3" s="40" t="s">
        <v>835</v>
      </c>
      <c r="HG3" s="40" t="s">
        <v>836</v>
      </c>
      <c r="HH3" s="40" t="s">
        <v>837</v>
      </c>
      <c r="HI3" s="40" t="s">
        <v>838</v>
      </c>
      <c r="HJ3" s="40" t="s">
        <v>469</v>
      </c>
      <c r="HK3" s="40" t="s">
        <v>839</v>
      </c>
      <c r="HL3" s="40" t="s">
        <v>840</v>
      </c>
      <c r="HM3" s="40" t="s">
        <v>841</v>
      </c>
      <c r="HN3" s="40" t="s">
        <v>842</v>
      </c>
      <c r="HO3" s="40" t="s">
        <v>843</v>
      </c>
      <c r="HP3" s="40" t="s">
        <v>844</v>
      </c>
      <c r="HQ3" s="40" t="s">
        <v>845</v>
      </c>
      <c r="HR3" s="40" t="s">
        <v>846</v>
      </c>
      <c r="HS3" s="40" t="s">
        <v>847</v>
      </c>
      <c r="HT3" s="40" t="s">
        <v>848</v>
      </c>
      <c r="HU3" s="40" t="s">
        <v>849</v>
      </c>
      <c r="HV3" s="40" t="s">
        <v>850</v>
      </c>
      <c r="HW3" s="40" t="s">
        <v>851</v>
      </c>
      <c r="HX3" s="40" t="s">
        <v>852</v>
      </c>
      <c r="HY3" s="40" t="s">
        <v>853</v>
      </c>
      <c r="HZ3" s="40" t="s">
        <v>854</v>
      </c>
      <c r="IA3" s="40" t="s">
        <v>855</v>
      </c>
      <c r="IB3" s="40" t="s">
        <v>856</v>
      </c>
      <c r="IC3" s="40" t="s">
        <v>857</v>
      </c>
      <c r="ID3" s="40" t="s">
        <v>858</v>
      </c>
      <c r="IE3" s="40" t="s">
        <v>859</v>
      </c>
      <c r="IF3" s="40" t="s">
        <v>860</v>
      </c>
      <c r="IG3" s="40" t="s">
        <v>861</v>
      </c>
      <c r="IH3" s="40" t="s">
        <v>862</v>
      </c>
      <c r="II3" s="40" t="s">
        <v>863</v>
      </c>
      <c r="IJ3" s="40" t="s">
        <v>864</v>
      </c>
      <c r="IK3" s="40" t="s">
        <v>469</v>
      </c>
      <c r="IL3" s="40" t="s">
        <v>865</v>
      </c>
      <c r="IM3" s="40" t="s">
        <v>866</v>
      </c>
      <c r="IN3" s="40" t="s">
        <v>469</v>
      </c>
      <c r="IO3" s="40" t="s">
        <v>867</v>
      </c>
      <c r="IP3" s="40" t="s">
        <v>868</v>
      </c>
      <c r="IQ3" s="40" t="s">
        <v>869</v>
      </c>
      <c r="IR3" s="40" t="s">
        <v>870</v>
      </c>
      <c r="IS3" s="40" t="s">
        <v>871</v>
      </c>
      <c r="IT3" s="40" t="s">
        <v>872</v>
      </c>
      <c r="IU3" s="40" t="s">
        <v>873</v>
      </c>
      <c r="IV3" s="40" t="s">
        <v>874</v>
      </c>
      <c r="IW3" s="40" t="s">
        <v>875</v>
      </c>
      <c r="IX3" s="40" t="s">
        <v>876</v>
      </c>
      <c r="IY3" s="40" t="s">
        <v>877</v>
      </c>
      <c r="IZ3" s="40" t="s">
        <v>878</v>
      </c>
      <c r="JA3" s="40" t="s">
        <v>879</v>
      </c>
      <c r="JB3" s="40" t="s">
        <v>880</v>
      </c>
      <c r="JC3" s="40" t="s">
        <v>881</v>
      </c>
      <c r="JD3" s="40" t="s">
        <v>882</v>
      </c>
      <c r="JE3" s="40" t="s">
        <v>883</v>
      </c>
      <c r="JF3" s="40" t="s">
        <v>884</v>
      </c>
      <c r="JG3" s="40" t="s">
        <v>885</v>
      </c>
      <c r="JH3" s="40" t="s">
        <v>886</v>
      </c>
      <c r="JI3" s="40" t="s">
        <v>887</v>
      </c>
      <c r="JJ3" s="40" t="s">
        <v>888</v>
      </c>
      <c r="JK3" s="40" t="s">
        <v>889</v>
      </c>
      <c r="JL3" s="40" t="s">
        <v>890</v>
      </c>
      <c r="JM3" s="40" t="s">
        <v>891</v>
      </c>
      <c r="JN3" s="40" t="s">
        <v>892</v>
      </c>
      <c r="JO3" s="40" t="s">
        <v>469</v>
      </c>
      <c r="JP3" s="40" t="s">
        <v>893</v>
      </c>
      <c r="JQ3" s="40" t="s">
        <v>894</v>
      </c>
      <c r="JR3" s="40" t="s">
        <v>469</v>
      </c>
      <c r="JS3" s="40" t="s">
        <v>469</v>
      </c>
      <c r="JT3" s="40" t="s">
        <v>469</v>
      </c>
      <c r="JU3" s="40" t="s">
        <v>469</v>
      </c>
      <c r="JV3" s="40" t="s">
        <v>469</v>
      </c>
      <c r="JW3" s="40" t="s">
        <v>469</v>
      </c>
      <c r="JX3" s="40" t="s">
        <v>469</v>
      </c>
      <c r="JY3" s="40" t="s">
        <v>469</v>
      </c>
      <c r="JZ3" s="40" t="s">
        <v>469</v>
      </c>
      <c r="KA3" s="40" t="s">
        <v>469</v>
      </c>
      <c r="KB3" s="40" t="s">
        <v>469</v>
      </c>
      <c r="KC3" s="40" t="s">
        <v>469</v>
      </c>
      <c r="KD3" s="40" t="s">
        <v>469</v>
      </c>
      <c r="KE3" s="40" t="s">
        <v>469</v>
      </c>
      <c r="KF3" s="40" t="s">
        <v>469</v>
      </c>
      <c r="KG3" s="40" t="s">
        <v>469</v>
      </c>
      <c r="KH3" s="40" t="s">
        <v>469</v>
      </c>
      <c r="KI3" s="40" t="s">
        <v>469</v>
      </c>
      <c r="KJ3" s="40" t="s">
        <v>469</v>
      </c>
      <c r="KK3" s="40" t="s">
        <v>469</v>
      </c>
      <c r="KL3" s="40" t="s">
        <v>469</v>
      </c>
      <c r="KM3" s="40" t="s">
        <v>469</v>
      </c>
      <c r="KN3" s="40" t="s">
        <v>469</v>
      </c>
      <c r="KO3" s="40" t="s">
        <v>469</v>
      </c>
      <c r="KP3" s="40" t="s">
        <v>469</v>
      </c>
      <c r="KQ3" s="40" t="s">
        <v>469</v>
      </c>
      <c r="KR3" s="40" t="s">
        <v>469</v>
      </c>
      <c r="KS3" s="40" t="s">
        <v>469</v>
      </c>
      <c r="KT3" s="40" t="s">
        <v>469</v>
      </c>
      <c r="KU3" s="40" t="s">
        <v>469</v>
      </c>
      <c r="KV3" s="40" t="s">
        <v>469</v>
      </c>
      <c r="KW3" s="40" t="s">
        <v>469</v>
      </c>
      <c r="KX3" s="40" t="s">
        <v>469</v>
      </c>
      <c r="KY3" s="40" t="s">
        <v>469</v>
      </c>
      <c r="KZ3" s="40" t="s">
        <v>469</v>
      </c>
      <c r="LA3" s="40" t="s">
        <v>469</v>
      </c>
      <c r="LB3" s="40" t="s">
        <v>469</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s="133" customFormat="1" x14ac:dyDescent="0.25">
      <c r="A5" s="135" t="s">
        <v>394</v>
      </c>
      <c r="B5" s="135"/>
      <c r="C5" s="135" t="s">
        <v>1069</v>
      </c>
      <c r="D5" s="135"/>
      <c r="E5" s="136"/>
      <c r="F5" s="135"/>
      <c r="G5" s="135" t="s">
        <v>395</v>
      </c>
      <c r="Q5" s="133">
        <v>11184227</v>
      </c>
      <c r="AH5" s="133">
        <v>18997448</v>
      </c>
      <c r="AI5" s="133">
        <v>11184014</v>
      </c>
      <c r="AJ5" s="133">
        <v>4620192</v>
      </c>
      <c r="AK5" s="133">
        <v>7702348</v>
      </c>
      <c r="AL5" s="133">
        <v>163560</v>
      </c>
      <c r="AM5" s="133">
        <v>9.9999999999999995E-7</v>
      </c>
      <c r="CU5" s="133">
        <v>22080</v>
      </c>
      <c r="CV5" s="133">
        <v>177333</v>
      </c>
      <c r="CW5" s="133">
        <v>1476192</v>
      </c>
      <c r="CX5" s="133">
        <v>1411904</v>
      </c>
      <c r="CY5" s="133">
        <v>14144</v>
      </c>
      <c r="CZ5" s="133">
        <v>49760</v>
      </c>
      <c r="DA5" s="133">
        <v>254880</v>
      </c>
      <c r="DC5" s="133">
        <v>284471</v>
      </c>
      <c r="DD5" s="133">
        <v>31328</v>
      </c>
      <c r="DE5" s="133">
        <v>284950</v>
      </c>
      <c r="DF5" s="133">
        <v>2830491</v>
      </c>
      <c r="DG5" s="133">
        <v>461118</v>
      </c>
      <c r="DH5" s="133">
        <v>336088</v>
      </c>
      <c r="DJ5" s="133">
        <v>554059</v>
      </c>
      <c r="DK5" s="133">
        <v>44832</v>
      </c>
      <c r="DL5" s="133">
        <v>282023</v>
      </c>
      <c r="DM5" s="133">
        <v>2235380</v>
      </c>
      <c r="DN5" s="133">
        <v>203800</v>
      </c>
      <c r="DO5" s="133">
        <v>57984</v>
      </c>
      <c r="DP5" s="133">
        <v>199537</v>
      </c>
      <c r="DQ5" s="133">
        <v>339792</v>
      </c>
      <c r="DR5" s="133">
        <v>347296</v>
      </c>
      <c r="DS5" s="133">
        <v>2280640</v>
      </c>
      <c r="DT5" s="133">
        <v>605872</v>
      </c>
      <c r="DY5" s="133">
        <v>57648</v>
      </c>
      <c r="DZ5" s="133">
        <v>831553</v>
      </c>
      <c r="EA5" s="133">
        <v>4441668</v>
      </c>
      <c r="EB5" s="133">
        <v>5819034</v>
      </c>
      <c r="EC5" s="133">
        <v>82866</v>
      </c>
      <c r="ED5" s="133">
        <v>323630</v>
      </c>
      <c r="EE5" s="133">
        <v>453886</v>
      </c>
      <c r="EG5" s="133">
        <v>1251926</v>
      </c>
      <c r="EH5" s="133">
        <v>134960</v>
      </c>
      <c r="EI5" s="133">
        <v>1270494</v>
      </c>
      <c r="EJ5" s="133">
        <v>6780712</v>
      </c>
      <c r="EK5" s="133">
        <v>1330336</v>
      </c>
      <c r="EL5" s="133">
        <v>2489873</v>
      </c>
      <c r="EN5" s="133">
        <v>1531477</v>
      </c>
      <c r="EO5" s="133">
        <v>280352</v>
      </c>
      <c r="EP5" s="133">
        <v>1059371</v>
      </c>
      <c r="EQ5" s="133">
        <v>5791195</v>
      </c>
      <c r="ER5" s="133">
        <v>650333</v>
      </c>
      <c r="ES5" s="133">
        <v>266580</v>
      </c>
      <c r="ET5" s="133">
        <v>559895</v>
      </c>
      <c r="EU5" s="133">
        <v>1222981</v>
      </c>
      <c r="EV5" s="133">
        <v>754461</v>
      </c>
      <c r="EW5" s="133">
        <v>7992617</v>
      </c>
      <c r="EX5" s="133">
        <v>2818705</v>
      </c>
      <c r="IO5" s="133">
        <v>2068</v>
      </c>
      <c r="IP5" s="133">
        <v>106314</v>
      </c>
      <c r="IQ5" s="133">
        <v>731542</v>
      </c>
      <c r="IR5" s="133">
        <v>1482154</v>
      </c>
      <c r="IS5" s="133">
        <v>212915</v>
      </c>
      <c r="IT5" s="133">
        <v>149324</v>
      </c>
      <c r="IU5" s="133">
        <v>215077</v>
      </c>
      <c r="IW5" s="133">
        <v>399941</v>
      </c>
      <c r="IX5" s="133">
        <v>320060</v>
      </c>
      <c r="IY5" s="133">
        <v>197391</v>
      </c>
      <c r="IZ5" s="133">
        <v>972106</v>
      </c>
      <c r="JA5" s="133">
        <v>133442</v>
      </c>
      <c r="JB5" s="133">
        <v>195690</v>
      </c>
      <c r="JD5" s="133">
        <v>213060</v>
      </c>
      <c r="JE5" s="133">
        <v>12598</v>
      </c>
      <c r="JF5" s="133">
        <v>143716</v>
      </c>
      <c r="JG5" s="133">
        <v>551230</v>
      </c>
      <c r="JH5" s="133">
        <v>444592</v>
      </c>
      <c r="JI5" s="133">
        <v>35563</v>
      </c>
      <c r="JJ5" s="133">
        <v>155886</v>
      </c>
      <c r="JK5" s="133">
        <v>134806</v>
      </c>
      <c r="JL5" s="133">
        <v>79738</v>
      </c>
      <c r="JM5" s="133">
        <v>662866</v>
      </c>
      <c r="JN5" s="133">
        <v>571539</v>
      </c>
    </row>
    <row r="6" spans="1:314" s="133" customFormat="1" x14ac:dyDescent="0.25">
      <c r="A6" s="135" t="s">
        <v>350</v>
      </c>
      <c r="B6" s="135"/>
      <c r="C6" s="135" t="s">
        <v>1069</v>
      </c>
      <c r="D6" s="135"/>
      <c r="E6" s="136"/>
      <c r="F6" s="135"/>
      <c r="G6" s="135" t="s">
        <v>351</v>
      </c>
      <c r="Q6" s="133">
        <v>530830</v>
      </c>
      <c r="AH6" s="133">
        <v>1948504</v>
      </c>
      <c r="AI6" s="133">
        <v>1225919</v>
      </c>
      <c r="AJ6" s="133">
        <v>532907</v>
      </c>
      <c r="AK6" s="133">
        <v>703962</v>
      </c>
      <c r="AL6" s="133">
        <v>0</v>
      </c>
      <c r="CU6" s="133">
        <v>28654</v>
      </c>
      <c r="CV6" s="133">
        <v>80960</v>
      </c>
      <c r="CW6" s="133">
        <v>166976</v>
      </c>
      <c r="CX6" s="133">
        <v>224218</v>
      </c>
      <c r="CZ6" s="133">
        <v>61872</v>
      </c>
      <c r="DA6" s="133">
        <v>190157</v>
      </c>
      <c r="DC6" s="133">
        <v>34024</v>
      </c>
      <c r="DE6" s="133">
        <v>38820</v>
      </c>
      <c r="DF6" s="133">
        <v>342352</v>
      </c>
      <c r="DG6" s="133">
        <v>19792</v>
      </c>
      <c r="DH6" s="133">
        <v>99463</v>
      </c>
      <c r="DJ6" s="133">
        <v>63863</v>
      </c>
      <c r="DK6" s="133">
        <v>16656</v>
      </c>
      <c r="DL6" s="133">
        <v>12311</v>
      </c>
      <c r="DM6" s="133">
        <v>73654</v>
      </c>
      <c r="DN6" s="133">
        <v>40517</v>
      </c>
      <c r="DQ6" s="133">
        <v>64128</v>
      </c>
      <c r="DR6" s="133">
        <v>118998</v>
      </c>
      <c r="DS6" s="133">
        <v>291984</v>
      </c>
      <c r="DT6" s="133">
        <v>68752</v>
      </c>
      <c r="DY6" s="133">
        <v>58178</v>
      </c>
      <c r="DZ6" s="133">
        <v>189583</v>
      </c>
      <c r="EA6" s="133">
        <v>521381</v>
      </c>
      <c r="EB6" s="133">
        <v>732216</v>
      </c>
      <c r="ED6" s="133">
        <v>130409</v>
      </c>
      <c r="EE6" s="133">
        <v>450316</v>
      </c>
      <c r="EG6" s="133">
        <v>112580</v>
      </c>
      <c r="EI6" s="133">
        <v>43632</v>
      </c>
      <c r="EJ6" s="133">
        <v>768762</v>
      </c>
      <c r="EK6" s="133">
        <v>56785</v>
      </c>
      <c r="EL6" s="133">
        <v>408155</v>
      </c>
      <c r="EN6" s="133">
        <v>283199</v>
      </c>
      <c r="EO6" s="133">
        <v>153378</v>
      </c>
      <c r="EP6" s="133">
        <v>112841</v>
      </c>
      <c r="EQ6" s="133">
        <v>479561</v>
      </c>
      <c r="ER6" s="133">
        <v>97568</v>
      </c>
      <c r="EU6" s="133">
        <v>280948</v>
      </c>
      <c r="EV6" s="133">
        <v>272010</v>
      </c>
      <c r="EW6" s="133">
        <v>644026</v>
      </c>
      <c r="EX6" s="133">
        <v>269454</v>
      </c>
      <c r="IO6" s="133">
        <v>13379</v>
      </c>
      <c r="IP6" s="133">
        <v>46179</v>
      </c>
      <c r="IQ6" s="133">
        <v>78330</v>
      </c>
      <c r="IR6" s="133">
        <v>98780</v>
      </c>
      <c r="IT6" s="133">
        <v>37386</v>
      </c>
      <c r="IU6" s="133">
        <v>126199</v>
      </c>
      <c r="IW6" s="133">
        <v>44834</v>
      </c>
      <c r="IY6" s="133">
        <v>31405</v>
      </c>
      <c r="IZ6" s="133">
        <v>77722</v>
      </c>
      <c r="JA6" s="133">
        <v>7307</v>
      </c>
      <c r="JB6" s="133">
        <v>136663</v>
      </c>
      <c r="JD6" s="133">
        <v>46850</v>
      </c>
      <c r="JE6" s="133">
        <v>17419</v>
      </c>
      <c r="JF6" s="133">
        <v>9264</v>
      </c>
      <c r="JG6" s="133">
        <v>23059</v>
      </c>
      <c r="JH6" s="133">
        <v>11062</v>
      </c>
      <c r="JK6" s="133">
        <v>43425</v>
      </c>
      <c r="JL6" s="133">
        <v>55832</v>
      </c>
      <c r="JM6" s="133">
        <v>60968</v>
      </c>
      <c r="JN6" s="133">
        <v>98015</v>
      </c>
    </row>
    <row r="7" spans="1:314" s="133" customFormat="1" x14ac:dyDescent="0.25">
      <c r="A7" s="135" t="s">
        <v>352</v>
      </c>
      <c r="B7" s="135"/>
      <c r="C7" s="135" t="s">
        <v>1069</v>
      </c>
      <c r="D7" s="135"/>
      <c r="E7" s="136"/>
      <c r="F7" s="135"/>
      <c r="G7" s="135" t="s">
        <v>353</v>
      </c>
      <c r="Q7" s="133">
        <v>1984855</v>
      </c>
      <c r="AH7" s="133">
        <v>5601909</v>
      </c>
      <c r="AI7" s="133">
        <v>2169433</v>
      </c>
      <c r="AJ7" s="133">
        <v>862389</v>
      </c>
      <c r="AK7" s="133">
        <v>1264843</v>
      </c>
      <c r="AL7" s="133">
        <v>274030</v>
      </c>
      <c r="CU7" s="133">
        <v>2552</v>
      </c>
      <c r="CV7" s="133">
        <v>101057</v>
      </c>
      <c r="CW7" s="133">
        <v>337568</v>
      </c>
      <c r="CX7" s="133">
        <v>228606</v>
      </c>
      <c r="CZ7" s="133">
        <v>30544</v>
      </c>
      <c r="DA7" s="133">
        <v>274523</v>
      </c>
      <c r="DB7" s="133">
        <v>16521</v>
      </c>
      <c r="DC7" s="133">
        <v>110143</v>
      </c>
      <c r="DD7" s="133">
        <v>656</v>
      </c>
      <c r="DE7" s="133">
        <v>144529</v>
      </c>
      <c r="DF7" s="133">
        <v>580770</v>
      </c>
      <c r="DG7" s="133">
        <v>25248</v>
      </c>
      <c r="DH7" s="133">
        <v>190521</v>
      </c>
      <c r="DI7" s="133">
        <v>41616</v>
      </c>
      <c r="DJ7" s="133">
        <v>414918</v>
      </c>
      <c r="DK7" s="133">
        <v>26752</v>
      </c>
      <c r="DL7" s="133">
        <v>87304</v>
      </c>
      <c r="DM7" s="133">
        <v>340885</v>
      </c>
      <c r="DN7" s="133">
        <v>110578</v>
      </c>
      <c r="DO7" s="133">
        <v>118366</v>
      </c>
      <c r="DP7" s="133">
        <v>10000</v>
      </c>
      <c r="DQ7" s="133">
        <v>96944</v>
      </c>
      <c r="DR7" s="133">
        <v>311849</v>
      </c>
      <c r="DS7" s="133">
        <v>322519</v>
      </c>
      <c r="DT7" s="133">
        <v>164479</v>
      </c>
      <c r="DY7" s="133">
        <v>16833</v>
      </c>
      <c r="DZ7" s="133">
        <v>321978</v>
      </c>
      <c r="EA7" s="133">
        <v>696505</v>
      </c>
      <c r="EB7" s="133">
        <v>660026</v>
      </c>
      <c r="ED7" s="133">
        <v>110975</v>
      </c>
      <c r="EE7" s="133">
        <v>521805</v>
      </c>
      <c r="EF7" s="133">
        <v>15599</v>
      </c>
      <c r="EG7" s="133">
        <v>241838</v>
      </c>
      <c r="EH7" s="133">
        <v>2552</v>
      </c>
      <c r="EI7" s="133">
        <v>432443</v>
      </c>
      <c r="EJ7" s="133">
        <v>1333022</v>
      </c>
      <c r="EK7" s="133">
        <v>112509</v>
      </c>
      <c r="EL7" s="133">
        <v>807716</v>
      </c>
      <c r="EM7" s="133">
        <v>222232</v>
      </c>
      <c r="EN7" s="133">
        <v>995598</v>
      </c>
      <c r="EO7" s="133">
        <v>141442</v>
      </c>
      <c r="EP7" s="133">
        <v>239741</v>
      </c>
      <c r="EQ7" s="133">
        <v>626784</v>
      </c>
      <c r="ER7" s="133">
        <v>490649</v>
      </c>
      <c r="ES7" s="133">
        <v>270311</v>
      </c>
      <c r="ET7" s="133">
        <v>36057</v>
      </c>
      <c r="EU7" s="133">
        <v>169125</v>
      </c>
      <c r="EV7" s="133">
        <v>423056</v>
      </c>
      <c r="EW7" s="133">
        <v>724994</v>
      </c>
      <c r="EX7" s="133">
        <v>744427</v>
      </c>
      <c r="IO7" s="133">
        <v>3905</v>
      </c>
      <c r="IP7" s="133">
        <v>154806</v>
      </c>
      <c r="IQ7" s="133">
        <v>153063</v>
      </c>
      <c r="IR7" s="133">
        <v>136429</v>
      </c>
      <c r="IT7" s="133">
        <v>85186</v>
      </c>
      <c r="IU7" s="133">
        <v>174102</v>
      </c>
      <c r="IV7" s="133">
        <v>6518</v>
      </c>
      <c r="IW7" s="133">
        <v>34086</v>
      </c>
      <c r="IX7" s="133">
        <v>274</v>
      </c>
      <c r="IY7" s="133">
        <v>290000</v>
      </c>
      <c r="IZ7" s="133">
        <v>318830</v>
      </c>
      <c r="JA7" s="133">
        <v>3831</v>
      </c>
      <c r="JB7" s="133">
        <v>132538</v>
      </c>
      <c r="JC7" s="133">
        <v>63652</v>
      </c>
      <c r="JD7" s="133">
        <v>245523</v>
      </c>
      <c r="JE7" s="133">
        <v>5265</v>
      </c>
      <c r="JF7" s="133">
        <v>27540</v>
      </c>
      <c r="JG7" s="133">
        <v>125471</v>
      </c>
      <c r="JH7" s="133">
        <v>89893</v>
      </c>
      <c r="JI7" s="133">
        <v>179816</v>
      </c>
      <c r="JJ7" s="133">
        <v>13095</v>
      </c>
      <c r="JK7" s="133">
        <v>88580</v>
      </c>
      <c r="JL7" s="133">
        <v>386421</v>
      </c>
      <c r="JM7" s="133">
        <v>80690</v>
      </c>
      <c r="JN7" s="133">
        <v>287282</v>
      </c>
    </row>
    <row r="8" spans="1:314" s="133" customFormat="1" x14ac:dyDescent="0.25">
      <c r="A8" s="135" t="s">
        <v>421</v>
      </c>
      <c r="B8" s="135"/>
      <c r="C8" s="135" t="s">
        <v>1069</v>
      </c>
      <c r="D8" s="135"/>
      <c r="E8" s="136"/>
      <c r="F8" s="135"/>
      <c r="G8" s="135" t="s">
        <v>422</v>
      </c>
      <c r="Q8" s="133">
        <v>249137</v>
      </c>
      <c r="AH8" s="133">
        <v>1024270</v>
      </c>
      <c r="AI8" s="133">
        <v>689268</v>
      </c>
      <c r="AJ8" s="133">
        <v>281677</v>
      </c>
      <c r="AK8" s="133">
        <v>628828</v>
      </c>
      <c r="AL8" s="133">
        <v>0</v>
      </c>
      <c r="CU8" s="133">
        <v>120</v>
      </c>
      <c r="CV8" s="133">
        <v>146620</v>
      </c>
      <c r="CW8" s="133">
        <v>168144</v>
      </c>
      <c r="CX8" s="133">
        <v>117567</v>
      </c>
      <c r="CZ8" s="133">
        <v>6176</v>
      </c>
      <c r="DA8" s="133">
        <v>65893</v>
      </c>
      <c r="DB8" s="133">
        <v>72</v>
      </c>
      <c r="DC8" s="133">
        <v>35008</v>
      </c>
      <c r="DD8" s="133">
        <v>5232</v>
      </c>
      <c r="DE8" s="133">
        <v>29652</v>
      </c>
      <c r="DF8" s="133">
        <v>262352</v>
      </c>
      <c r="DG8" s="133">
        <v>19472</v>
      </c>
      <c r="DH8" s="133">
        <v>103306</v>
      </c>
      <c r="DJ8" s="133">
        <v>95009</v>
      </c>
      <c r="DK8" s="133">
        <v>30464</v>
      </c>
      <c r="DL8" s="133">
        <v>75467</v>
      </c>
      <c r="DM8" s="133">
        <v>199360</v>
      </c>
      <c r="DN8" s="133">
        <v>14160</v>
      </c>
      <c r="DO8" s="133">
        <v>7968</v>
      </c>
      <c r="DP8" s="133">
        <v>61312</v>
      </c>
      <c r="DQ8" s="133">
        <v>53632</v>
      </c>
      <c r="DR8" s="133">
        <v>114422</v>
      </c>
      <c r="DS8" s="133">
        <v>264144</v>
      </c>
      <c r="DT8" s="133">
        <v>68176</v>
      </c>
      <c r="DY8" s="133">
        <v>105</v>
      </c>
      <c r="DZ8" s="133">
        <v>207530</v>
      </c>
      <c r="EA8" s="133">
        <v>367040</v>
      </c>
      <c r="EB8" s="133">
        <v>433535</v>
      </c>
      <c r="ED8" s="133">
        <v>26860</v>
      </c>
      <c r="EE8" s="133">
        <v>203134</v>
      </c>
      <c r="EF8" s="133">
        <v>63</v>
      </c>
      <c r="EG8" s="133">
        <v>84066</v>
      </c>
      <c r="EH8" s="133">
        <v>48145</v>
      </c>
      <c r="EI8" s="133">
        <v>30303</v>
      </c>
      <c r="EJ8" s="133">
        <v>597262</v>
      </c>
      <c r="EK8" s="133">
        <v>68276</v>
      </c>
      <c r="EL8" s="133">
        <v>447377</v>
      </c>
      <c r="EN8" s="133">
        <v>399163</v>
      </c>
      <c r="EO8" s="133">
        <v>131556</v>
      </c>
      <c r="EP8" s="133">
        <v>148886</v>
      </c>
      <c r="EQ8" s="133">
        <v>445088</v>
      </c>
      <c r="ER8" s="133">
        <v>50767</v>
      </c>
      <c r="ES8" s="133">
        <v>15181</v>
      </c>
      <c r="ET8" s="133">
        <v>232842</v>
      </c>
      <c r="EU8" s="133">
        <v>147843</v>
      </c>
      <c r="EV8" s="133">
        <v>190752</v>
      </c>
      <c r="EW8" s="133">
        <v>515427</v>
      </c>
      <c r="EX8" s="133">
        <v>229964</v>
      </c>
      <c r="IO8" s="133">
        <v>431</v>
      </c>
      <c r="IP8" s="133">
        <v>189007</v>
      </c>
      <c r="IQ8" s="133">
        <v>56090</v>
      </c>
      <c r="IR8" s="133">
        <v>79287</v>
      </c>
      <c r="IT8" s="133">
        <v>2424</v>
      </c>
      <c r="IU8" s="133">
        <v>108939</v>
      </c>
      <c r="IV8" s="133">
        <v>255</v>
      </c>
      <c r="IW8" s="133">
        <v>31413</v>
      </c>
      <c r="IX8" s="133">
        <v>722</v>
      </c>
      <c r="IY8" s="133">
        <v>30624</v>
      </c>
      <c r="IZ8" s="133">
        <v>34588</v>
      </c>
      <c r="JA8" s="133">
        <v>2381</v>
      </c>
      <c r="JB8" s="133">
        <v>95631</v>
      </c>
      <c r="JD8" s="133">
        <v>81995</v>
      </c>
      <c r="JE8" s="133">
        <v>18113</v>
      </c>
      <c r="JF8" s="133">
        <v>204877</v>
      </c>
      <c r="JG8" s="133">
        <v>34989</v>
      </c>
      <c r="JH8" s="133">
        <v>7441</v>
      </c>
      <c r="JI8" s="133">
        <v>22042</v>
      </c>
      <c r="JJ8" s="133">
        <v>15688</v>
      </c>
      <c r="JK8" s="133">
        <v>19712</v>
      </c>
      <c r="JL8" s="133">
        <v>173393</v>
      </c>
      <c r="JM8" s="133">
        <v>64852</v>
      </c>
      <c r="JN8" s="133">
        <v>69581</v>
      </c>
    </row>
    <row r="9" spans="1:314" s="133" customFormat="1" x14ac:dyDescent="0.25">
      <c r="A9" s="135" t="s">
        <v>444</v>
      </c>
      <c r="B9" s="135"/>
      <c r="C9" s="135" t="s">
        <v>1069</v>
      </c>
      <c r="D9" s="135"/>
      <c r="E9" s="136"/>
      <c r="F9" s="135"/>
      <c r="G9" s="135" t="s">
        <v>445</v>
      </c>
      <c r="Q9" s="133">
        <v>2321464</v>
      </c>
      <c r="AH9" s="133">
        <v>13291268</v>
      </c>
      <c r="AI9" s="133">
        <v>6115542</v>
      </c>
      <c r="AJ9" s="133">
        <v>3338918</v>
      </c>
      <c r="AK9" s="133">
        <v>7120849</v>
      </c>
      <c r="AL9" s="133">
        <v>0</v>
      </c>
      <c r="CV9" s="133">
        <v>220992</v>
      </c>
      <c r="CW9" s="133">
        <v>1043488</v>
      </c>
      <c r="CX9" s="133">
        <v>516800</v>
      </c>
      <c r="CZ9" s="133">
        <v>59104</v>
      </c>
      <c r="DA9" s="133">
        <v>732480</v>
      </c>
      <c r="DB9" s="133">
        <v>53056</v>
      </c>
      <c r="DC9" s="133">
        <v>81696</v>
      </c>
      <c r="DD9" s="133">
        <v>8064</v>
      </c>
      <c r="DE9" s="133">
        <v>77328</v>
      </c>
      <c r="DF9" s="133">
        <v>1234448</v>
      </c>
      <c r="DG9" s="133">
        <v>474384</v>
      </c>
      <c r="DH9" s="133">
        <v>124304</v>
      </c>
      <c r="DJ9" s="133">
        <v>322624</v>
      </c>
      <c r="DL9" s="133">
        <v>69248</v>
      </c>
      <c r="DM9" s="133">
        <v>1341504</v>
      </c>
      <c r="DN9" s="133">
        <v>48320</v>
      </c>
      <c r="DP9" s="133">
        <v>197200</v>
      </c>
      <c r="DQ9" s="133">
        <v>215600</v>
      </c>
      <c r="DR9" s="133">
        <v>105840</v>
      </c>
      <c r="DS9" s="133">
        <v>2071312</v>
      </c>
      <c r="DT9" s="133">
        <v>622640</v>
      </c>
      <c r="DZ9" s="133">
        <v>1041468</v>
      </c>
      <c r="EA9" s="133">
        <v>2769721</v>
      </c>
      <c r="EB9" s="133">
        <v>2049884</v>
      </c>
      <c r="ED9" s="133">
        <v>149428</v>
      </c>
      <c r="EE9" s="133">
        <v>1895665</v>
      </c>
      <c r="EF9" s="133">
        <v>263436</v>
      </c>
      <c r="EG9" s="133">
        <v>323415</v>
      </c>
      <c r="EH9" s="133">
        <v>71052</v>
      </c>
      <c r="EI9" s="133">
        <v>421667</v>
      </c>
      <c r="EJ9" s="133">
        <v>3780752</v>
      </c>
      <c r="EK9" s="133">
        <v>1204549</v>
      </c>
      <c r="EL9" s="133">
        <v>1178926</v>
      </c>
      <c r="EN9" s="133">
        <v>1676735</v>
      </c>
      <c r="EP9" s="133">
        <v>522172</v>
      </c>
      <c r="EQ9" s="133">
        <v>3493572</v>
      </c>
      <c r="ER9" s="133">
        <v>328547</v>
      </c>
      <c r="ET9" s="133">
        <v>905427</v>
      </c>
      <c r="EU9" s="133">
        <v>958204</v>
      </c>
      <c r="EV9" s="133">
        <v>336388</v>
      </c>
      <c r="EW9" s="133">
        <v>4332047</v>
      </c>
      <c r="EX9" s="133">
        <v>2097312</v>
      </c>
      <c r="IP9" s="133">
        <v>328803</v>
      </c>
      <c r="IQ9" s="133">
        <v>1041897</v>
      </c>
      <c r="IR9" s="133">
        <v>241333</v>
      </c>
      <c r="IT9" s="133">
        <v>84406</v>
      </c>
      <c r="IU9" s="133">
        <v>775999</v>
      </c>
      <c r="IV9" s="133">
        <v>128427</v>
      </c>
      <c r="IW9" s="133">
        <v>22978</v>
      </c>
      <c r="IX9" s="133">
        <v>295</v>
      </c>
      <c r="IY9" s="133">
        <v>77127</v>
      </c>
      <c r="IZ9" s="133">
        <v>253778</v>
      </c>
      <c r="JA9" s="133">
        <v>48480</v>
      </c>
      <c r="JB9" s="133">
        <v>105185</v>
      </c>
      <c r="JD9" s="133">
        <v>156840</v>
      </c>
      <c r="JF9" s="133">
        <v>37771</v>
      </c>
      <c r="JG9" s="133">
        <v>179130</v>
      </c>
      <c r="JH9" s="133">
        <v>143782</v>
      </c>
      <c r="JJ9" s="133">
        <v>303051</v>
      </c>
      <c r="JK9" s="133">
        <v>171290</v>
      </c>
      <c r="JL9" s="133">
        <v>134813</v>
      </c>
      <c r="JM9" s="133">
        <v>152781</v>
      </c>
      <c r="JN9" s="133">
        <v>648608</v>
      </c>
    </row>
    <row r="10" spans="1:314" s="133" customFormat="1" x14ac:dyDescent="0.25">
      <c r="A10" s="135" t="s">
        <v>356</v>
      </c>
      <c r="B10" s="135"/>
      <c r="C10" s="135" t="s">
        <v>1069</v>
      </c>
      <c r="D10" s="135"/>
      <c r="E10" s="136"/>
      <c r="F10" s="135"/>
      <c r="G10" s="135" t="s">
        <v>357</v>
      </c>
      <c r="Q10" s="133">
        <v>1756338</v>
      </c>
      <c r="AH10" s="133">
        <v>2377975</v>
      </c>
      <c r="AI10" s="133">
        <v>1979282</v>
      </c>
      <c r="AJ10" s="133">
        <v>847282</v>
      </c>
      <c r="AK10" s="133">
        <v>964735</v>
      </c>
      <c r="AL10" s="133">
        <v>0</v>
      </c>
      <c r="CU10" s="133">
        <v>17856</v>
      </c>
      <c r="CV10" s="133">
        <v>494</v>
      </c>
      <c r="CW10" s="133">
        <v>854984</v>
      </c>
      <c r="CX10" s="133">
        <v>374957</v>
      </c>
      <c r="CZ10" s="133">
        <v>17744</v>
      </c>
      <c r="DA10" s="133">
        <v>186436</v>
      </c>
      <c r="DC10" s="133">
        <v>41227</v>
      </c>
      <c r="DE10" s="133">
        <v>3839</v>
      </c>
      <c r="DF10" s="133">
        <v>884016</v>
      </c>
      <c r="DG10" s="133">
        <v>113110</v>
      </c>
      <c r="DH10" s="133">
        <v>52848</v>
      </c>
      <c r="DI10" s="133">
        <v>27136</v>
      </c>
      <c r="DJ10" s="133">
        <v>132652</v>
      </c>
      <c r="DL10" s="133">
        <v>82635</v>
      </c>
      <c r="DM10" s="133">
        <v>658176</v>
      </c>
      <c r="DQ10" s="133">
        <v>318816</v>
      </c>
      <c r="DR10" s="133">
        <v>75232</v>
      </c>
      <c r="DS10" s="133">
        <v>1181660</v>
      </c>
      <c r="DT10" s="133">
        <v>59120</v>
      </c>
      <c r="DY10" s="133">
        <v>95600</v>
      </c>
      <c r="DZ10" s="133">
        <v>606</v>
      </c>
      <c r="EA10" s="133">
        <v>1343341</v>
      </c>
      <c r="EB10" s="133">
        <v>963344</v>
      </c>
      <c r="ED10" s="133">
        <v>50019</v>
      </c>
      <c r="EE10" s="133">
        <v>357306</v>
      </c>
      <c r="EG10" s="133">
        <v>110765</v>
      </c>
      <c r="EI10" s="133">
        <v>742</v>
      </c>
      <c r="EJ10" s="133">
        <v>2216619</v>
      </c>
      <c r="EK10" s="133">
        <v>257328</v>
      </c>
      <c r="EL10" s="133">
        <v>361114</v>
      </c>
      <c r="EM10" s="133">
        <v>176161</v>
      </c>
      <c r="EN10" s="133">
        <v>353132</v>
      </c>
      <c r="EP10" s="133">
        <v>201872</v>
      </c>
      <c r="EQ10" s="133">
        <v>1430506</v>
      </c>
      <c r="EU10" s="133">
        <v>603237</v>
      </c>
      <c r="EV10" s="133">
        <v>147239</v>
      </c>
      <c r="EW10" s="133">
        <v>2336659</v>
      </c>
      <c r="EX10" s="133">
        <v>215567</v>
      </c>
      <c r="IO10" s="133">
        <v>16173</v>
      </c>
      <c r="IP10" s="133">
        <v>1154</v>
      </c>
      <c r="IQ10" s="133">
        <v>210369</v>
      </c>
      <c r="IR10" s="133">
        <v>106212</v>
      </c>
      <c r="IT10" s="133">
        <v>10412</v>
      </c>
      <c r="IU10" s="133">
        <v>814230</v>
      </c>
      <c r="IW10" s="133">
        <v>16510</v>
      </c>
      <c r="IY10" s="133">
        <v>2289</v>
      </c>
      <c r="IZ10" s="133">
        <v>293462</v>
      </c>
      <c r="JA10" s="133">
        <v>14524</v>
      </c>
      <c r="JB10" s="133">
        <v>46934</v>
      </c>
      <c r="JC10" s="133">
        <v>56623</v>
      </c>
      <c r="JD10" s="133">
        <v>185209</v>
      </c>
      <c r="JF10" s="133">
        <v>82789</v>
      </c>
      <c r="JG10" s="133">
        <v>66356</v>
      </c>
      <c r="JK10" s="133">
        <v>110889</v>
      </c>
      <c r="JL10" s="133">
        <v>23918</v>
      </c>
      <c r="JM10" s="133">
        <v>108187</v>
      </c>
      <c r="JN10" s="133">
        <v>83816</v>
      </c>
    </row>
    <row r="11" spans="1:314" s="133" customFormat="1" x14ac:dyDescent="0.25">
      <c r="A11" s="135" t="s">
        <v>427</v>
      </c>
      <c r="B11" s="135"/>
      <c r="C11" s="135" t="s">
        <v>1069</v>
      </c>
      <c r="D11" s="135"/>
      <c r="E11" s="136"/>
      <c r="F11" s="135"/>
      <c r="G11" s="135" t="s">
        <v>428</v>
      </c>
      <c r="Q11" s="133">
        <v>1193917</v>
      </c>
      <c r="AH11" s="133">
        <v>2274536</v>
      </c>
      <c r="AI11" s="133">
        <v>770710</v>
      </c>
      <c r="AJ11" s="133">
        <v>347123</v>
      </c>
      <c r="AK11" s="133">
        <v>353304</v>
      </c>
      <c r="AL11" s="133">
        <v>295841</v>
      </c>
      <c r="CV11" s="133">
        <v>107872</v>
      </c>
      <c r="CW11" s="133">
        <v>148080</v>
      </c>
      <c r="CX11" s="133">
        <v>188643</v>
      </c>
      <c r="CZ11" s="133">
        <v>576</v>
      </c>
      <c r="DA11" s="133">
        <v>87410</v>
      </c>
      <c r="DB11" s="133">
        <v>101248</v>
      </c>
      <c r="DC11" s="133">
        <v>16258</v>
      </c>
      <c r="DE11" s="133">
        <v>83568</v>
      </c>
      <c r="DF11" s="133">
        <v>164096</v>
      </c>
      <c r="DG11" s="133">
        <v>9872</v>
      </c>
      <c r="DH11" s="133">
        <v>9856</v>
      </c>
      <c r="DJ11" s="133">
        <v>49666</v>
      </c>
      <c r="DM11" s="133">
        <v>170304</v>
      </c>
      <c r="DN11" s="133">
        <v>4848</v>
      </c>
      <c r="DO11" s="133">
        <v>17208</v>
      </c>
      <c r="DP11" s="133">
        <v>10096</v>
      </c>
      <c r="DQ11" s="133">
        <v>27072</v>
      </c>
      <c r="DR11" s="133">
        <v>69915</v>
      </c>
      <c r="DS11" s="133">
        <v>203724</v>
      </c>
      <c r="DT11" s="133">
        <v>38072</v>
      </c>
      <c r="DZ11" s="133">
        <v>177555</v>
      </c>
      <c r="EA11" s="133">
        <v>413894</v>
      </c>
      <c r="EB11" s="133">
        <v>441063</v>
      </c>
      <c r="ED11" s="133">
        <v>1571</v>
      </c>
      <c r="EE11" s="133">
        <v>197675</v>
      </c>
      <c r="EF11" s="133">
        <v>150749</v>
      </c>
      <c r="EG11" s="133">
        <v>23022</v>
      </c>
      <c r="EI11" s="133">
        <v>156851</v>
      </c>
      <c r="EJ11" s="133">
        <v>485383</v>
      </c>
      <c r="EK11" s="133">
        <v>42430</v>
      </c>
      <c r="EL11" s="133">
        <v>86593</v>
      </c>
      <c r="EN11" s="133">
        <v>61909</v>
      </c>
      <c r="EQ11" s="133">
        <v>370463</v>
      </c>
      <c r="ER11" s="133">
        <v>53981</v>
      </c>
      <c r="ES11" s="133">
        <v>10939</v>
      </c>
      <c r="ET11" s="133">
        <v>22368</v>
      </c>
      <c r="EU11" s="133">
        <v>102556</v>
      </c>
      <c r="EV11" s="133">
        <v>84872</v>
      </c>
      <c r="EW11" s="133">
        <v>468261</v>
      </c>
      <c r="EX11" s="133">
        <v>188480</v>
      </c>
      <c r="IP11" s="133">
        <v>93256</v>
      </c>
      <c r="IQ11" s="133">
        <v>130117</v>
      </c>
      <c r="IR11" s="133">
        <v>101230</v>
      </c>
      <c r="IT11" s="133">
        <v>415</v>
      </c>
      <c r="IU11" s="133">
        <v>58944</v>
      </c>
      <c r="IV11" s="133">
        <v>31480</v>
      </c>
      <c r="IW11" s="133">
        <v>2657</v>
      </c>
      <c r="IY11" s="133">
        <v>39000</v>
      </c>
      <c r="IZ11" s="133">
        <v>12565</v>
      </c>
      <c r="JA11" s="133">
        <v>850</v>
      </c>
      <c r="JB11" s="133">
        <v>26537</v>
      </c>
      <c r="JD11" s="133">
        <v>4190</v>
      </c>
      <c r="JG11" s="133">
        <v>7108</v>
      </c>
      <c r="JH11" s="133">
        <v>8539</v>
      </c>
      <c r="JI11" s="133">
        <v>6289</v>
      </c>
      <c r="JJ11" s="133">
        <v>4740</v>
      </c>
      <c r="JK11" s="133">
        <v>9013</v>
      </c>
      <c r="JL11" s="133">
        <v>9173</v>
      </c>
      <c r="JM11" s="133">
        <v>10314</v>
      </c>
      <c r="JN11" s="133">
        <v>29187</v>
      </c>
    </row>
    <row r="12" spans="1:314" s="133" customFormat="1" x14ac:dyDescent="0.25">
      <c r="A12" s="135" t="s">
        <v>419</v>
      </c>
      <c r="B12" s="135"/>
      <c r="C12" s="135" t="s">
        <v>1069</v>
      </c>
      <c r="D12" s="135"/>
      <c r="E12" s="136"/>
      <c r="F12" s="135"/>
      <c r="G12" s="135" t="s">
        <v>420</v>
      </c>
      <c r="Q12" s="133">
        <v>0</v>
      </c>
      <c r="AH12" s="133">
        <v>3725125</v>
      </c>
      <c r="AI12" s="133">
        <v>2182753</v>
      </c>
      <c r="AJ12" s="133">
        <v>790952</v>
      </c>
      <c r="AK12" s="133">
        <v>770528</v>
      </c>
      <c r="AL12" s="133">
        <v>168002</v>
      </c>
      <c r="CU12" s="133">
        <v>11440</v>
      </c>
      <c r="CV12" s="133">
        <v>179346</v>
      </c>
      <c r="CW12" s="133">
        <v>197440</v>
      </c>
      <c r="CX12" s="133">
        <v>674285</v>
      </c>
      <c r="CY12" s="133">
        <v>25008</v>
      </c>
      <c r="DA12" s="133">
        <v>432540</v>
      </c>
      <c r="DB12" s="133">
        <v>26912</v>
      </c>
      <c r="DC12" s="133">
        <v>166751</v>
      </c>
      <c r="DD12" s="133">
        <v>8832</v>
      </c>
      <c r="DE12" s="133">
        <v>178330</v>
      </c>
      <c r="DF12" s="133">
        <v>499992</v>
      </c>
      <c r="DG12" s="133">
        <v>62048</v>
      </c>
      <c r="DH12" s="133">
        <v>175720</v>
      </c>
      <c r="DJ12" s="133">
        <v>82054</v>
      </c>
      <c r="DL12" s="133">
        <v>144944</v>
      </c>
      <c r="DM12" s="133">
        <v>511768</v>
      </c>
      <c r="DN12" s="133">
        <v>73584</v>
      </c>
      <c r="DO12" s="133">
        <v>15456</v>
      </c>
      <c r="DP12" s="133">
        <v>56064</v>
      </c>
      <c r="DQ12" s="133">
        <v>75696</v>
      </c>
      <c r="DR12" s="133">
        <v>166278</v>
      </c>
      <c r="DS12" s="133">
        <v>584352</v>
      </c>
      <c r="DT12" s="133">
        <v>62048</v>
      </c>
      <c r="DY12" s="133">
        <v>50760</v>
      </c>
      <c r="DZ12" s="133">
        <v>259331</v>
      </c>
      <c r="EA12" s="133">
        <v>609959</v>
      </c>
      <c r="EB12" s="133">
        <v>1078477</v>
      </c>
      <c r="EC12" s="133">
        <v>191057</v>
      </c>
      <c r="EE12" s="133">
        <v>493876</v>
      </c>
      <c r="EF12" s="133">
        <v>46636</v>
      </c>
      <c r="EG12" s="133">
        <v>338246</v>
      </c>
      <c r="EH12" s="133">
        <v>24143</v>
      </c>
      <c r="EI12" s="133">
        <v>150269</v>
      </c>
      <c r="EJ12" s="133">
        <v>1111559</v>
      </c>
      <c r="EK12" s="133">
        <v>141770</v>
      </c>
      <c r="EL12" s="133">
        <v>1013624</v>
      </c>
      <c r="EN12" s="133">
        <v>253881</v>
      </c>
      <c r="EP12" s="133">
        <v>348182</v>
      </c>
      <c r="EQ12" s="133">
        <v>845003</v>
      </c>
      <c r="ER12" s="133">
        <v>121582</v>
      </c>
      <c r="ES12" s="133">
        <v>76879</v>
      </c>
      <c r="ET12" s="133">
        <v>93446</v>
      </c>
      <c r="EU12" s="133">
        <v>168024</v>
      </c>
      <c r="EV12" s="133">
        <v>157100</v>
      </c>
      <c r="EW12" s="133">
        <v>1002394</v>
      </c>
      <c r="EX12" s="133">
        <v>195450</v>
      </c>
      <c r="IO12" s="133">
        <v>37342</v>
      </c>
      <c r="IP12" s="133">
        <v>343336</v>
      </c>
      <c r="IQ12" s="133">
        <v>253539</v>
      </c>
      <c r="IR12" s="133">
        <v>851117</v>
      </c>
      <c r="IS12" s="133">
        <v>468959</v>
      </c>
      <c r="IU12" s="133">
        <v>423497</v>
      </c>
      <c r="IV12" s="133">
        <v>49146</v>
      </c>
      <c r="IW12" s="133">
        <v>78747</v>
      </c>
      <c r="IX12" s="133">
        <v>10713</v>
      </c>
      <c r="IY12" s="133">
        <v>126422</v>
      </c>
      <c r="IZ12" s="133">
        <v>178489</v>
      </c>
      <c r="JA12" s="133">
        <v>24698</v>
      </c>
      <c r="JB12" s="133">
        <v>209679</v>
      </c>
      <c r="JD12" s="133">
        <v>90574</v>
      </c>
      <c r="JF12" s="133">
        <v>94591</v>
      </c>
      <c r="JG12" s="133">
        <v>124860</v>
      </c>
      <c r="JH12" s="133">
        <v>153507</v>
      </c>
      <c r="JI12" s="133">
        <v>69694</v>
      </c>
      <c r="JJ12" s="133">
        <v>89021</v>
      </c>
      <c r="JK12" s="133">
        <v>67212</v>
      </c>
      <c r="JL12" s="133">
        <v>186148</v>
      </c>
      <c r="JM12" s="133">
        <v>164475</v>
      </c>
      <c r="JN12" s="133">
        <v>70667</v>
      </c>
    </row>
    <row r="13" spans="1:314" s="133" customFormat="1" x14ac:dyDescent="0.25">
      <c r="A13" s="135" t="s">
        <v>358</v>
      </c>
      <c r="B13" s="135"/>
      <c r="C13" s="135" t="s">
        <v>1069</v>
      </c>
      <c r="D13" s="135"/>
      <c r="E13" s="136"/>
      <c r="F13" s="135"/>
      <c r="G13" s="135" t="s">
        <v>359</v>
      </c>
      <c r="Q13" s="133">
        <v>170482</v>
      </c>
      <c r="AH13" s="133">
        <v>823128</v>
      </c>
      <c r="AI13" s="133">
        <v>795815</v>
      </c>
      <c r="AJ13" s="133">
        <v>126767</v>
      </c>
      <c r="AK13" s="133">
        <v>193152</v>
      </c>
      <c r="AL13" s="133">
        <v>0</v>
      </c>
      <c r="CU13" s="133">
        <v>10032</v>
      </c>
      <c r="CV13" s="133">
        <v>640</v>
      </c>
      <c r="CW13" s="133">
        <v>118608</v>
      </c>
      <c r="CX13" s="133">
        <v>57288</v>
      </c>
      <c r="DA13" s="133">
        <v>45065</v>
      </c>
      <c r="DC13" s="133">
        <v>30734</v>
      </c>
      <c r="DE13" s="133">
        <v>33088</v>
      </c>
      <c r="DF13" s="133">
        <v>199584</v>
      </c>
      <c r="DG13" s="133">
        <v>8064</v>
      </c>
      <c r="DH13" s="133">
        <v>22160</v>
      </c>
      <c r="DJ13" s="133">
        <v>37328</v>
      </c>
      <c r="DL13" s="133">
        <v>107712</v>
      </c>
      <c r="DM13" s="133">
        <v>122736</v>
      </c>
      <c r="DN13" s="133">
        <v>25440</v>
      </c>
      <c r="DP13" s="133">
        <v>27408</v>
      </c>
      <c r="DQ13" s="133">
        <v>57216</v>
      </c>
      <c r="DR13" s="133">
        <v>25952</v>
      </c>
      <c r="DS13" s="133">
        <v>235488</v>
      </c>
      <c r="DT13" s="133">
        <v>45344</v>
      </c>
      <c r="DY13" s="133">
        <v>44101</v>
      </c>
      <c r="DZ13" s="133">
        <v>1035</v>
      </c>
      <c r="EA13" s="133">
        <v>178219</v>
      </c>
      <c r="EB13" s="133">
        <v>157778</v>
      </c>
      <c r="EE13" s="133">
        <v>109835</v>
      </c>
      <c r="EG13" s="133">
        <v>34851</v>
      </c>
      <c r="EI13" s="133">
        <v>48558</v>
      </c>
      <c r="EJ13" s="133">
        <v>373552</v>
      </c>
      <c r="EK13" s="133">
        <v>34581</v>
      </c>
      <c r="EL13" s="133">
        <v>58960</v>
      </c>
      <c r="EN13" s="133">
        <v>96363</v>
      </c>
      <c r="EP13" s="133">
        <v>241505</v>
      </c>
      <c r="EQ13" s="133">
        <v>235299</v>
      </c>
      <c r="ER13" s="133">
        <v>78548</v>
      </c>
      <c r="ET13" s="133">
        <v>109128</v>
      </c>
      <c r="EU13" s="133">
        <v>285599</v>
      </c>
      <c r="EV13" s="133">
        <v>77681</v>
      </c>
      <c r="EW13" s="133">
        <v>355400</v>
      </c>
      <c r="EX13" s="133">
        <v>172247</v>
      </c>
      <c r="IO13" s="133">
        <v>5707</v>
      </c>
      <c r="IP13" s="133">
        <v>0</v>
      </c>
      <c r="IQ13" s="133">
        <v>25925</v>
      </c>
      <c r="IR13" s="133">
        <v>11821</v>
      </c>
      <c r="IU13" s="133">
        <v>7934</v>
      </c>
      <c r="IW13" s="133">
        <v>18557</v>
      </c>
      <c r="IY13" s="133">
        <v>4671</v>
      </c>
      <c r="IZ13" s="133">
        <v>13455</v>
      </c>
      <c r="JB13" s="133">
        <v>22173</v>
      </c>
      <c r="JD13" s="133">
        <v>3962</v>
      </c>
      <c r="JF13" s="133">
        <v>8196</v>
      </c>
      <c r="JG13" s="133">
        <v>5120</v>
      </c>
      <c r="JH13" s="133">
        <v>10206</v>
      </c>
      <c r="JJ13" s="133">
        <v>10018</v>
      </c>
      <c r="JK13" s="133">
        <v>15088</v>
      </c>
      <c r="JL13" s="133">
        <v>1994</v>
      </c>
      <c r="JM13" s="133">
        <v>16304</v>
      </c>
      <c r="JN13" s="133">
        <v>26239</v>
      </c>
    </row>
    <row r="14" spans="1:314" s="133" customFormat="1" x14ac:dyDescent="0.25">
      <c r="A14" s="135" t="s">
        <v>360</v>
      </c>
      <c r="B14" s="135"/>
      <c r="C14" s="135" t="s">
        <v>1069</v>
      </c>
      <c r="D14" s="135"/>
      <c r="E14" s="136"/>
      <c r="F14" s="135"/>
      <c r="G14" s="135" t="s">
        <v>361</v>
      </c>
      <c r="Q14" s="133">
        <v>73472</v>
      </c>
      <c r="AH14" s="133">
        <v>653152</v>
      </c>
      <c r="AI14" s="133">
        <v>283342</v>
      </c>
      <c r="AJ14" s="133">
        <v>64639</v>
      </c>
      <c r="AK14" s="133">
        <v>157577</v>
      </c>
      <c r="AL14" s="133">
        <v>0</v>
      </c>
      <c r="CU14" s="133">
        <v>35120</v>
      </c>
      <c r="CW14" s="133">
        <v>47824</v>
      </c>
      <c r="CX14" s="133">
        <v>24645</v>
      </c>
      <c r="DA14" s="133">
        <v>32197</v>
      </c>
      <c r="DC14" s="133">
        <v>3504</v>
      </c>
      <c r="DE14" s="133">
        <v>10464</v>
      </c>
      <c r="DF14" s="133">
        <v>80304</v>
      </c>
      <c r="DG14" s="133">
        <v>2160</v>
      </c>
      <c r="DJ14" s="133">
        <v>6798</v>
      </c>
      <c r="DL14" s="133">
        <v>30256</v>
      </c>
      <c r="DM14" s="133">
        <v>37200</v>
      </c>
      <c r="DQ14" s="133">
        <v>14064</v>
      </c>
      <c r="DS14" s="133">
        <v>67584</v>
      </c>
      <c r="DT14" s="133">
        <v>6576</v>
      </c>
      <c r="DY14" s="133">
        <v>151895</v>
      </c>
      <c r="EA14" s="133">
        <v>105955</v>
      </c>
      <c r="EB14" s="133">
        <v>77718</v>
      </c>
      <c r="EE14" s="133">
        <v>83637</v>
      </c>
      <c r="EG14" s="133">
        <v>3600</v>
      </c>
      <c r="EI14" s="133">
        <v>55550</v>
      </c>
      <c r="EJ14" s="133">
        <v>248396</v>
      </c>
      <c r="EK14" s="133">
        <v>3600</v>
      </c>
      <c r="EN14" s="133">
        <v>3600</v>
      </c>
      <c r="EP14" s="133">
        <v>113517</v>
      </c>
      <c r="EQ14" s="133">
        <v>58342</v>
      </c>
      <c r="EU14" s="133">
        <v>80921</v>
      </c>
      <c r="EW14" s="133">
        <v>183937</v>
      </c>
      <c r="EX14" s="133">
        <v>69691</v>
      </c>
      <c r="IO14" s="133">
        <v>71504</v>
      </c>
      <c r="IQ14" s="133">
        <v>53694</v>
      </c>
      <c r="IR14" s="133">
        <v>65446</v>
      </c>
      <c r="IU14" s="133">
        <v>45495</v>
      </c>
      <c r="IW14" s="133">
        <v>300</v>
      </c>
      <c r="IY14" s="133">
        <v>922</v>
      </c>
      <c r="IZ14" s="133">
        <v>1690</v>
      </c>
      <c r="JA14" s="133">
        <v>50</v>
      </c>
      <c r="JD14" s="133">
        <v>3041</v>
      </c>
      <c r="JF14" s="133">
        <v>39569</v>
      </c>
      <c r="JG14" s="133">
        <v>467</v>
      </c>
      <c r="JK14" s="133">
        <v>12000</v>
      </c>
      <c r="JM14" s="133">
        <v>21433</v>
      </c>
      <c r="JN14" s="133">
        <v>8140</v>
      </c>
    </row>
    <row r="15" spans="1:314" s="133" customFormat="1" x14ac:dyDescent="0.25">
      <c r="A15" s="135" t="s">
        <v>354</v>
      </c>
      <c r="B15" s="135"/>
      <c r="C15" s="135" t="s">
        <v>1069</v>
      </c>
      <c r="D15" s="135"/>
      <c r="E15" s="136"/>
      <c r="F15" s="135"/>
      <c r="G15" s="135" t="s">
        <v>355</v>
      </c>
      <c r="Q15" s="133">
        <v>336989</v>
      </c>
      <c r="AH15" s="133">
        <v>1841621</v>
      </c>
      <c r="AI15" s="133">
        <v>579264</v>
      </c>
      <c r="AJ15" s="133">
        <v>500969</v>
      </c>
      <c r="AK15" s="133">
        <v>838828</v>
      </c>
      <c r="AL15" s="133">
        <v>0</v>
      </c>
      <c r="CU15" s="133">
        <v>32264</v>
      </c>
      <c r="CV15" s="133">
        <v>20592</v>
      </c>
      <c r="CW15" s="133">
        <v>177236</v>
      </c>
      <c r="CX15" s="133">
        <v>146640</v>
      </c>
      <c r="DA15" s="133">
        <v>113628</v>
      </c>
      <c r="DB15" s="133">
        <v>130096</v>
      </c>
      <c r="DC15" s="133">
        <v>133157</v>
      </c>
      <c r="DD15" s="133">
        <v>2640</v>
      </c>
      <c r="DF15" s="133">
        <v>233344</v>
      </c>
      <c r="DG15" s="133">
        <v>15936</v>
      </c>
      <c r="DI15" s="133">
        <v>52784</v>
      </c>
      <c r="DJ15" s="133">
        <v>5176</v>
      </c>
      <c r="DL15" s="133">
        <v>187374</v>
      </c>
      <c r="DM15" s="133">
        <v>171856</v>
      </c>
      <c r="DN15" s="133">
        <v>42784</v>
      </c>
      <c r="DP15" s="133">
        <v>66448</v>
      </c>
      <c r="DQ15" s="133">
        <v>40944</v>
      </c>
      <c r="DR15" s="133">
        <v>81104</v>
      </c>
      <c r="DS15" s="133">
        <v>171696</v>
      </c>
      <c r="DT15" s="133">
        <v>42072</v>
      </c>
      <c r="DY15" s="133">
        <v>42518</v>
      </c>
      <c r="DZ15" s="133">
        <v>103844</v>
      </c>
      <c r="EA15" s="133">
        <v>285100</v>
      </c>
      <c r="EB15" s="133">
        <v>425623</v>
      </c>
      <c r="EE15" s="133">
        <v>176722</v>
      </c>
      <c r="EF15" s="133">
        <v>138066</v>
      </c>
      <c r="EG15" s="133">
        <v>329841</v>
      </c>
      <c r="EH15" s="133">
        <v>5484</v>
      </c>
      <c r="EJ15" s="133">
        <v>508668</v>
      </c>
      <c r="EK15" s="133">
        <v>145481</v>
      </c>
      <c r="EM15" s="133">
        <v>219411</v>
      </c>
      <c r="EN15" s="133">
        <v>13038</v>
      </c>
      <c r="EP15" s="133">
        <v>250512</v>
      </c>
      <c r="EQ15" s="133">
        <v>376988</v>
      </c>
      <c r="ER15" s="133">
        <v>123048</v>
      </c>
      <c r="ET15" s="133">
        <v>497153</v>
      </c>
      <c r="EU15" s="133">
        <v>130323</v>
      </c>
      <c r="EV15" s="133">
        <v>180059</v>
      </c>
      <c r="EW15" s="133">
        <v>373192</v>
      </c>
      <c r="EX15" s="133">
        <v>237314</v>
      </c>
      <c r="IO15" s="133">
        <v>2545</v>
      </c>
      <c r="IP15" s="133">
        <v>9398</v>
      </c>
      <c r="IQ15" s="133">
        <v>23571</v>
      </c>
      <c r="IR15" s="133">
        <v>15310</v>
      </c>
      <c r="IU15" s="133">
        <v>7715</v>
      </c>
      <c r="IV15" s="133">
        <v>66455</v>
      </c>
      <c r="IW15" s="133">
        <v>60447</v>
      </c>
      <c r="IX15" s="133">
        <v>0</v>
      </c>
      <c r="IZ15" s="133">
        <v>5117</v>
      </c>
      <c r="JA15" s="133">
        <v>4218</v>
      </c>
      <c r="JC15" s="133">
        <v>51143</v>
      </c>
      <c r="JD15" s="133">
        <v>0</v>
      </c>
      <c r="JF15" s="133">
        <v>47384</v>
      </c>
      <c r="JG15" s="133">
        <v>9855</v>
      </c>
      <c r="JH15" s="133">
        <v>30126</v>
      </c>
      <c r="JJ15" s="133">
        <v>27870</v>
      </c>
      <c r="JK15" s="133">
        <v>7703</v>
      </c>
      <c r="JL15" s="133">
        <v>36057</v>
      </c>
      <c r="JM15" s="133">
        <v>3309</v>
      </c>
      <c r="JN15" s="133">
        <v>38927</v>
      </c>
    </row>
    <row r="16" spans="1:314" s="133" customFormat="1" x14ac:dyDescent="0.25">
      <c r="A16" s="135" t="s">
        <v>425</v>
      </c>
      <c r="B16" s="135"/>
      <c r="C16" s="135" t="s">
        <v>1069</v>
      </c>
      <c r="D16" s="135"/>
      <c r="E16" s="136"/>
      <c r="F16" s="135"/>
      <c r="G16" s="135" t="s">
        <v>426</v>
      </c>
      <c r="Q16" s="133">
        <v>1720603</v>
      </c>
      <c r="AH16" s="133">
        <v>2806389</v>
      </c>
      <c r="AI16" s="133">
        <v>1030161</v>
      </c>
      <c r="AJ16" s="133">
        <v>696992</v>
      </c>
      <c r="AK16" s="133">
        <v>0</v>
      </c>
      <c r="AL16" s="133">
        <v>0</v>
      </c>
      <c r="CW16" s="133">
        <v>179568</v>
      </c>
      <c r="CX16" s="133">
        <v>127864</v>
      </c>
      <c r="CZ16" s="133">
        <v>1584</v>
      </c>
      <c r="DC16" s="133">
        <v>88416</v>
      </c>
      <c r="DF16" s="133">
        <v>253344</v>
      </c>
      <c r="DH16" s="133">
        <v>104368</v>
      </c>
      <c r="DM16" s="133">
        <v>243032</v>
      </c>
      <c r="DO16" s="133">
        <v>66560</v>
      </c>
      <c r="DP16" s="133">
        <v>48704</v>
      </c>
      <c r="DQ16" s="133">
        <v>43920</v>
      </c>
      <c r="DR16" s="133">
        <v>70896</v>
      </c>
      <c r="DS16" s="133">
        <v>220128</v>
      </c>
      <c r="DT16" s="133">
        <v>40128</v>
      </c>
      <c r="EA16" s="133">
        <v>510203</v>
      </c>
      <c r="EB16" s="133">
        <v>469549</v>
      </c>
      <c r="ED16" s="133">
        <v>42348</v>
      </c>
      <c r="EG16" s="133">
        <v>312607</v>
      </c>
      <c r="EJ16" s="133">
        <v>1086953</v>
      </c>
      <c r="EL16" s="133">
        <v>496793</v>
      </c>
      <c r="EQ16" s="133">
        <v>500607</v>
      </c>
      <c r="ES16" s="133">
        <v>265333</v>
      </c>
      <c r="ET16" s="133">
        <v>123838</v>
      </c>
      <c r="EU16" s="133">
        <v>148423</v>
      </c>
      <c r="EV16" s="133">
        <v>122281</v>
      </c>
      <c r="EW16" s="133">
        <v>584718</v>
      </c>
      <c r="EX16" s="133">
        <v>189946</v>
      </c>
      <c r="IQ16" s="133">
        <v>118593</v>
      </c>
      <c r="IR16" s="133">
        <v>323303</v>
      </c>
      <c r="IT16" s="133">
        <v>0</v>
      </c>
      <c r="IW16" s="133">
        <v>234713</v>
      </c>
      <c r="IZ16" s="133">
        <v>262147</v>
      </c>
      <c r="JB16" s="133">
        <v>111369</v>
      </c>
      <c r="JG16" s="133">
        <v>201385</v>
      </c>
      <c r="JI16" s="133">
        <v>311705</v>
      </c>
      <c r="JJ16" s="133">
        <v>98798</v>
      </c>
      <c r="JK16" s="133">
        <v>67189</v>
      </c>
      <c r="JL16" s="133">
        <v>110060</v>
      </c>
      <c r="JM16" s="133">
        <v>69402</v>
      </c>
      <c r="JN16" s="133">
        <v>84993</v>
      </c>
    </row>
    <row r="17" spans="1:274" s="133" customFormat="1" x14ac:dyDescent="0.25">
      <c r="A17" s="135" t="s">
        <v>452</v>
      </c>
      <c r="B17" s="135"/>
      <c r="C17" s="135" t="s">
        <v>1069</v>
      </c>
      <c r="D17" s="135"/>
      <c r="E17" s="136"/>
      <c r="F17" s="135"/>
      <c r="G17" s="135" t="s">
        <v>453</v>
      </c>
      <c r="Q17" s="133">
        <v>1673830</v>
      </c>
      <c r="AH17" s="133">
        <v>5755152</v>
      </c>
      <c r="AI17" s="133">
        <v>4004039</v>
      </c>
      <c r="AJ17" s="133">
        <v>2229386</v>
      </c>
      <c r="AK17" s="133">
        <v>2345092</v>
      </c>
      <c r="AL17" s="133">
        <v>0</v>
      </c>
      <c r="CU17" s="133">
        <v>9036</v>
      </c>
      <c r="CV17" s="133">
        <v>164870</v>
      </c>
      <c r="CW17" s="133">
        <v>445904</v>
      </c>
      <c r="CX17" s="133">
        <v>325463</v>
      </c>
      <c r="CY17" s="133">
        <v>1776</v>
      </c>
      <c r="CZ17" s="133">
        <v>17440</v>
      </c>
      <c r="DA17" s="133">
        <v>453330</v>
      </c>
      <c r="DC17" s="133">
        <v>42648</v>
      </c>
      <c r="DD17" s="133">
        <v>1936</v>
      </c>
      <c r="DE17" s="133">
        <v>108817</v>
      </c>
      <c r="DF17" s="133">
        <v>812208</v>
      </c>
      <c r="DG17" s="133">
        <v>158817</v>
      </c>
      <c r="DH17" s="133">
        <v>29936</v>
      </c>
      <c r="DI17" s="133">
        <v>28002</v>
      </c>
      <c r="DJ17" s="133">
        <v>73769</v>
      </c>
      <c r="DK17" s="133">
        <v>36576</v>
      </c>
      <c r="DL17" s="133">
        <v>19476</v>
      </c>
      <c r="DM17" s="133">
        <v>673444</v>
      </c>
      <c r="DP17" s="133">
        <v>47604</v>
      </c>
      <c r="DQ17" s="133">
        <v>114112</v>
      </c>
      <c r="DR17" s="133">
        <v>146010</v>
      </c>
      <c r="DS17" s="133">
        <v>857632</v>
      </c>
      <c r="DT17" s="133">
        <v>284526</v>
      </c>
      <c r="DY17" s="133">
        <v>57491</v>
      </c>
      <c r="DZ17" s="133">
        <v>410661</v>
      </c>
      <c r="EA17" s="133">
        <v>863996</v>
      </c>
      <c r="EB17" s="133">
        <v>999232</v>
      </c>
      <c r="EC17" s="133">
        <v>2831</v>
      </c>
      <c r="ED17" s="133">
        <v>12180</v>
      </c>
      <c r="EE17" s="133">
        <v>837055</v>
      </c>
      <c r="EG17" s="133">
        <v>101566</v>
      </c>
      <c r="EH17" s="133">
        <v>3100</v>
      </c>
      <c r="EI17" s="133">
        <v>230159</v>
      </c>
      <c r="EJ17" s="133">
        <v>1799667</v>
      </c>
      <c r="EK17" s="133">
        <v>430909</v>
      </c>
      <c r="EL17" s="133">
        <v>245123</v>
      </c>
      <c r="EM17" s="133">
        <v>202608</v>
      </c>
      <c r="EN17" s="133">
        <v>177464</v>
      </c>
      <c r="EO17" s="133">
        <v>155992</v>
      </c>
      <c r="EP17" s="133">
        <v>43298</v>
      </c>
      <c r="EQ17" s="133">
        <v>931578</v>
      </c>
      <c r="ET17" s="133">
        <v>159541</v>
      </c>
      <c r="EU17" s="133">
        <v>404664</v>
      </c>
      <c r="EV17" s="133">
        <v>242446</v>
      </c>
      <c r="EW17" s="133">
        <v>2060036</v>
      </c>
      <c r="EX17" s="133">
        <v>1013193</v>
      </c>
      <c r="IO17" s="133">
        <v>12724</v>
      </c>
      <c r="IP17" s="133">
        <v>349237</v>
      </c>
      <c r="IQ17" s="133">
        <v>525615</v>
      </c>
      <c r="IR17" s="133">
        <v>592846</v>
      </c>
      <c r="IS17" s="133">
        <v>4407</v>
      </c>
      <c r="IT17" s="133">
        <v>6093</v>
      </c>
      <c r="IU17" s="133">
        <v>529868</v>
      </c>
      <c r="IW17" s="133">
        <v>129337</v>
      </c>
      <c r="IX17" s="133">
        <v>897</v>
      </c>
      <c r="IY17" s="133">
        <v>218789</v>
      </c>
      <c r="IZ17" s="133">
        <v>702765</v>
      </c>
      <c r="JA17" s="133">
        <v>195352</v>
      </c>
      <c r="JB17" s="133">
        <v>69746</v>
      </c>
      <c r="JC17" s="133">
        <v>155637</v>
      </c>
      <c r="JD17" s="133">
        <v>122033</v>
      </c>
      <c r="JE17" s="133">
        <v>48010</v>
      </c>
      <c r="JF17" s="133">
        <v>75375</v>
      </c>
      <c r="JG17" s="133">
        <v>549401</v>
      </c>
      <c r="JJ17" s="133">
        <v>180162</v>
      </c>
      <c r="JK17" s="133">
        <v>365632</v>
      </c>
      <c r="JL17" s="133">
        <v>448746</v>
      </c>
      <c r="JM17" s="133">
        <v>433825</v>
      </c>
      <c r="JN17" s="133">
        <v>724981</v>
      </c>
    </row>
    <row r="18" spans="1:274" s="133" customFormat="1" x14ac:dyDescent="0.25">
      <c r="A18" s="135" t="s">
        <v>454</v>
      </c>
      <c r="B18" s="135"/>
      <c r="C18" s="135" t="s">
        <v>1069</v>
      </c>
      <c r="D18" s="135"/>
      <c r="E18" s="136"/>
      <c r="F18" s="135"/>
      <c r="G18" s="135" t="s">
        <v>455</v>
      </c>
      <c r="Q18" s="133">
        <v>4510824</v>
      </c>
      <c r="AH18" s="133">
        <v>26244421</v>
      </c>
      <c r="AI18" s="133">
        <v>13291328</v>
      </c>
      <c r="AJ18" s="133">
        <v>6639752</v>
      </c>
      <c r="AK18" s="133">
        <v>4804301</v>
      </c>
      <c r="AL18" s="133">
        <v>550495</v>
      </c>
      <c r="CU18" s="133">
        <v>78084</v>
      </c>
      <c r="CV18" s="133">
        <v>255613</v>
      </c>
      <c r="CW18" s="133">
        <v>1804447</v>
      </c>
      <c r="CX18" s="133">
        <v>2090578</v>
      </c>
      <c r="CY18" s="133">
        <v>6912</v>
      </c>
      <c r="CZ18" s="133">
        <v>240695</v>
      </c>
      <c r="DA18" s="133">
        <v>2344351</v>
      </c>
      <c r="DB18" s="133">
        <v>64860</v>
      </c>
      <c r="DC18" s="133">
        <v>442468</v>
      </c>
      <c r="DD18" s="133">
        <v>2176</v>
      </c>
      <c r="DE18" s="133">
        <v>444738</v>
      </c>
      <c r="DF18" s="133">
        <v>4137474</v>
      </c>
      <c r="DG18" s="133">
        <v>480815</v>
      </c>
      <c r="DH18" s="133">
        <v>261901</v>
      </c>
      <c r="DJ18" s="133">
        <v>563910</v>
      </c>
      <c r="DK18" s="133">
        <v>19568</v>
      </c>
      <c r="DL18" s="133">
        <v>27360</v>
      </c>
      <c r="DM18" s="133">
        <v>2248725</v>
      </c>
      <c r="DN18" s="133">
        <v>411622</v>
      </c>
      <c r="DO18" s="133">
        <v>140472</v>
      </c>
      <c r="DP18" s="133">
        <v>66590</v>
      </c>
      <c r="DQ18" s="133">
        <v>511004</v>
      </c>
      <c r="DR18" s="133">
        <v>574738</v>
      </c>
      <c r="DS18" s="133">
        <v>2821521</v>
      </c>
      <c r="DT18" s="133">
        <v>885614</v>
      </c>
      <c r="DY18" s="133">
        <v>380468</v>
      </c>
      <c r="DZ18" s="133">
        <v>267317</v>
      </c>
      <c r="EA18" s="133">
        <v>4421092</v>
      </c>
      <c r="EB18" s="133">
        <v>5302258</v>
      </c>
      <c r="EC18" s="133">
        <v>109385</v>
      </c>
      <c r="ED18" s="133">
        <v>509820</v>
      </c>
      <c r="EE18" s="133">
        <v>4481045</v>
      </c>
      <c r="EF18" s="133">
        <v>463366</v>
      </c>
      <c r="EG18" s="133">
        <v>513585</v>
      </c>
      <c r="EH18" s="133">
        <v>7573</v>
      </c>
      <c r="EI18" s="133">
        <v>286086</v>
      </c>
      <c r="EJ18" s="133">
        <v>10618171</v>
      </c>
      <c r="EK18" s="133">
        <v>1181645</v>
      </c>
      <c r="EL18" s="133">
        <v>1759566</v>
      </c>
      <c r="EN18" s="133">
        <v>919954</v>
      </c>
      <c r="EO18" s="133">
        <v>174969</v>
      </c>
      <c r="EP18" s="133">
        <v>122089</v>
      </c>
      <c r="EQ18" s="133">
        <v>5262334</v>
      </c>
      <c r="ER18" s="133">
        <v>1252185</v>
      </c>
      <c r="ES18" s="133">
        <v>66660</v>
      </c>
      <c r="ET18" s="133">
        <v>767694</v>
      </c>
      <c r="EU18" s="133">
        <v>1925266</v>
      </c>
      <c r="EV18" s="133">
        <v>455892</v>
      </c>
      <c r="EW18" s="133">
        <v>7251465</v>
      </c>
      <c r="EX18" s="133">
        <v>4071476</v>
      </c>
      <c r="IO18" s="133">
        <v>396609</v>
      </c>
      <c r="IP18" s="133">
        <v>280481</v>
      </c>
      <c r="IQ18" s="133">
        <v>2516069</v>
      </c>
      <c r="IR18" s="133">
        <v>3015085</v>
      </c>
      <c r="IS18" s="133">
        <v>30555</v>
      </c>
      <c r="IT18" s="133">
        <v>1156423</v>
      </c>
      <c r="IU18" s="133">
        <v>5320415</v>
      </c>
      <c r="IV18" s="133">
        <v>155049</v>
      </c>
      <c r="IW18" s="133">
        <v>210151</v>
      </c>
      <c r="IX18" s="133">
        <v>1636</v>
      </c>
      <c r="IY18" s="133">
        <v>225749</v>
      </c>
      <c r="IZ18" s="133">
        <v>3475933</v>
      </c>
      <c r="JA18" s="133">
        <v>442168</v>
      </c>
      <c r="JB18" s="133">
        <v>508471</v>
      </c>
      <c r="JD18" s="133">
        <v>1196217</v>
      </c>
      <c r="JE18" s="133">
        <v>26871</v>
      </c>
      <c r="JF18" s="133">
        <v>27124</v>
      </c>
      <c r="JG18" s="133">
        <v>1496641</v>
      </c>
      <c r="JH18" s="133">
        <v>531592</v>
      </c>
      <c r="JI18" s="133">
        <v>44603</v>
      </c>
      <c r="JJ18" s="133">
        <v>144849</v>
      </c>
      <c r="JK18" s="133">
        <v>791007</v>
      </c>
      <c r="JL18" s="133">
        <v>607755</v>
      </c>
      <c r="JM18" s="133">
        <v>1803412</v>
      </c>
      <c r="JN18" s="133">
        <v>1396405</v>
      </c>
    </row>
    <row r="19" spans="1:274" s="133" customFormat="1" x14ac:dyDescent="0.25">
      <c r="A19" s="135" t="s">
        <v>364</v>
      </c>
      <c r="B19" s="135"/>
      <c r="C19" s="135" t="s">
        <v>1069</v>
      </c>
      <c r="D19" s="135"/>
      <c r="E19" s="136"/>
      <c r="F19" s="135"/>
      <c r="G19" s="135" t="s">
        <v>365</v>
      </c>
      <c r="Q19" s="133">
        <v>0</v>
      </c>
      <c r="AH19" s="133">
        <v>0</v>
      </c>
      <c r="AI19" s="133">
        <v>0</v>
      </c>
      <c r="AJ19" s="133">
        <v>0</v>
      </c>
      <c r="AK19" s="133">
        <v>0</v>
      </c>
      <c r="AL19" s="133">
        <v>0</v>
      </c>
    </row>
    <row r="20" spans="1:274" s="133" customFormat="1" x14ac:dyDescent="0.25">
      <c r="A20" s="135" t="s">
        <v>439</v>
      </c>
      <c r="B20" s="135"/>
      <c r="C20" s="135" t="s">
        <v>1069</v>
      </c>
      <c r="D20" s="135"/>
      <c r="E20" s="136"/>
      <c r="F20" s="135"/>
      <c r="G20" s="135" t="s">
        <v>440</v>
      </c>
      <c r="Q20" s="133">
        <v>2907321</v>
      </c>
      <c r="AH20" s="133">
        <v>11755161</v>
      </c>
      <c r="AI20" s="133">
        <v>5510271</v>
      </c>
      <c r="AJ20" s="133">
        <v>2862709</v>
      </c>
      <c r="AK20" s="133">
        <v>5146956</v>
      </c>
      <c r="AL20" s="133">
        <v>84018</v>
      </c>
      <c r="CV20" s="133">
        <v>81984</v>
      </c>
      <c r="CW20" s="133">
        <v>750496</v>
      </c>
      <c r="CX20" s="133">
        <v>370032</v>
      </c>
      <c r="CZ20" s="133">
        <v>10480</v>
      </c>
      <c r="DA20" s="133">
        <v>450176</v>
      </c>
      <c r="DC20" s="133">
        <v>143376</v>
      </c>
      <c r="DD20" s="133">
        <v>3696</v>
      </c>
      <c r="DE20" s="133">
        <v>249320</v>
      </c>
      <c r="DF20" s="133">
        <v>2297952</v>
      </c>
      <c r="DG20" s="133">
        <v>96496</v>
      </c>
      <c r="DH20" s="133">
        <v>229664</v>
      </c>
      <c r="DI20" s="133">
        <v>20656</v>
      </c>
      <c r="DJ20" s="133">
        <v>211104</v>
      </c>
      <c r="DK20" s="133">
        <v>35952</v>
      </c>
      <c r="DM20" s="133">
        <v>1108656</v>
      </c>
      <c r="DN20" s="133">
        <v>137048</v>
      </c>
      <c r="DP20" s="133">
        <v>33296</v>
      </c>
      <c r="DQ20" s="133">
        <v>154672</v>
      </c>
      <c r="DR20" s="133">
        <v>90080</v>
      </c>
      <c r="DS20" s="133">
        <v>1097520</v>
      </c>
      <c r="DT20" s="133">
        <v>183472</v>
      </c>
      <c r="DZ20" s="133">
        <v>287366</v>
      </c>
      <c r="EA20" s="133">
        <v>1315206</v>
      </c>
      <c r="EB20" s="133">
        <v>2865433</v>
      </c>
      <c r="ED20" s="133">
        <v>90928</v>
      </c>
      <c r="EE20" s="133">
        <v>936070</v>
      </c>
      <c r="EG20" s="133">
        <v>473820</v>
      </c>
      <c r="EH20" s="133">
        <v>19561</v>
      </c>
      <c r="EI20" s="133">
        <v>371593</v>
      </c>
      <c r="EJ20" s="133">
        <v>5202381</v>
      </c>
      <c r="EK20" s="133">
        <v>276615</v>
      </c>
      <c r="EL20" s="133">
        <v>1320423</v>
      </c>
      <c r="EM20" s="133">
        <v>260126</v>
      </c>
      <c r="EN20" s="133">
        <v>1278260</v>
      </c>
      <c r="EO20" s="133">
        <v>288299</v>
      </c>
      <c r="EQ20" s="133">
        <v>2152252</v>
      </c>
      <c r="ER20" s="133">
        <v>356278</v>
      </c>
      <c r="ET20" s="133">
        <v>165871</v>
      </c>
      <c r="EU20" s="133">
        <v>409126</v>
      </c>
      <c r="EV20" s="133">
        <v>283402</v>
      </c>
      <c r="EW20" s="133">
        <v>2437797</v>
      </c>
      <c r="EX20" s="133">
        <v>569863</v>
      </c>
      <c r="IP20" s="133">
        <v>139320</v>
      </c>
      <c r="IQ20" s="133">
        <v>260985</v>
      </c>
      <c r="IR20" s="133">
        <v>2267538</v>
      </c>
      <c r="IT20" s="133">
        <v>4804</v>
      </c>
      <c r="IU20" s="133">
        <v>337415</v>
      </c>
      <c r="IW20" s="133">
        <v>25842</v>
      </c>
      <c r="IX20" s="133">
        <v>1547</v>
      </c>
      <c r="IY20" s="133">
        <v>223707</v>
      </c>
      <c r="IZ20" s="133">
        <v>924422</v>
      </c>
      <c r="JA20" s="133">
        <v>19896</v>
      </c>
      <c r="JB20" s="133">
        <v>174881</v>
      </c>
      <c r="JC20" s="133">
        <v>31422</v>
      </c>
      <c r="JD20" s="133">
        <v>180604</v>
      </c>
      <c r="JE20" s="133">
        <v>8540</v>
      </c>
      <c r="JG20" s="133">
        <v>271600</v>
      </c>
      <c r="JH20" s="133">
        <v>92292</v>
      </c>
      <c r="JJ20" s="133">
        <v>31567</v>
      </c>
      <c r="JK20" s="133">
        <v>154119</v>
      </c>
      <c r="JL20" s="133">
        <v>5796</v>
      </c>
      <c r="JM20" s="133">
        <v>176244</v>
      </c>
      <c r="JN20" s="133">
        <v>51871</v>
      </c>
    </row>
    <row r="21" spans="1:274" s="133" customFormat="1" x14ac:dyDescent="0.25">
      <c r="A21" s="135" t="s">
        <v>366</v>
      </c>
      <c r="B21" s="135"/>
      <c r="C21" s="135" t="s">
        <v>1069</v>
      </c>
      <c r="D21" s="135"/>
      <c r="E21" s="136"/>
      <c r="F21" s="135"/>
      <c r="G21" s="135" t="s">
        <v>367</v>
      </c>
      <c r="Q21" s="133">
        <v>155631</v>
      </c>
      <c r="AH21" s="133">
        <v>726336</v>
      </c>
      <c r="AI21" s="133">
        <v>321927</v>
      </c>
      <c r="AJ21" s="133">
        <v>129824</v>
      </c>
      <c r="AK21" s="133">
        <v>475923</v>
      </c>
      <c r="AL21" s="133">
        <v>36733</v>
      </c>
      <c r="CU21" s="133">
        <v>22176</v>
      </c>
      <c r="CV21" s="133">
        <v>7464</v>
      </c>
      <c r="CW21" s="133">
        <v>64096</v>
      </c>
      <c r="CX21" s="133">
        <v>28424</v>
      </c>
      <c r="CZ21" s="133">
        <v>3360</v>
      </c>
      <c r="DA21" s="133">
        <v>60390</v>
      </c>
      <c r="DB21" s="133">
        <v>744</v>
      </c>
      <c r="DC21" s="133">
        <v>48576</v>
      </c>
      <c r="DE21" s="133">
        <v>42646</v>
      </c>
      <c r="DF21" s="133">
        <v>84879</v>
      </c>
      <c r="DG21" s="133">
        <v>3805</v>
      </c>
      <c r="DH21" s="133">
        <v>37080</v>
      </c>
      <c r="DJ21" s="133">
        <v>42209</v>
      </c>
      <c r="DL21" s="133">
        <v>12528</v>
      </c>
      <c r="DM21" s="133">
        <v>41380</v>
      </c>
      <c r="DP21" s="133">
        <v>24096</v>
      </c>
      <c r="DQ21" s="133">
        <v>26912</v>
      </c>
      <c r="DR21" s="133">
        <v>4336</v>
      </c>
      <c r="DS21" s="133">
        <v>73008</v>
      </c>
      <c r="DT21" s="133">
        <v>12480</v>
      </c>
      <c r="DY21" s="133">
        <v>105321</v>
      </c>
      <c r="DZ21" s="133">
        <v>0</v>
      </c>
      <c r="EA21" s="133">
        <v>187378</v>
      </c>
      <c r="EB21" s="133">
        <v>100897</v>
      </c>
      <c r="ED21" s="133">
        <v>0</v>
      </c>
      <c r="EE21" s="133">
        <v>23158</v>
      </c>
      <c r="EF21" s="133">
        <v>0</v>
      </c>
      <c r="EG21" s="133">
        <v>37892</v>
      </c>
      <c r="EI21" s="133">
        <v>0</v>
      </c>
      <c r="EJ21" s="133">
        <v>104130</v>
      </c>
      <c r="EK21" s="133">
        <v>0</v>
      </c>
      <c r="EL21" s="133">
        <v>92640</v>
      </c>
      <c r="EN21" s="133">
        <v>26271</v>
      </c>
      <c r="EP21" s="133">
        <v>19358</v>
      </c>
      <c r="EQ21" s="133">
        <v>32350</v>
      </c>
      <c r="ET21" s="133">
        <v>0</v>
      </c>
      <c r="EU21" s="133">
        <v>115182</v>
      </c>
      <c r="EV21" s="133">
        <v>0</v>
      </c>
      <c r="EW21" s="133">
        <v>134447</v>
      </c>
      <c r="EX21" s="133">
        <v>41940</v>
      </c>
      <c r="IO21" s="133">
        <v>12982</v>
      </c>
      <c r="IP21" s="133">
        <v>14698</v>
      </c>
      <c r="IQ21" s="133">
        <v>34391</v>
      </c>
      <c r="IR21" s="133">
        <v>12386</v>
      </c>
      <c r="IT21" s="133">
        <v>25084</v>
      </c>
      <c r="IU21" s="133">
        <v>57591</v>
      </c>
      <c r="IV21" s="133">
        <v>2067</v>
      </c>
      <c r="IW21" s="133">
        <v>47431</v>
      </c>
      <c r="IY21" s="133">
        <v>67067</v>
      </c>
      <c r="IZ21" s="133">
        <v>34672</v>
      </c>
      <c r="JA21" s="133">
        <v>8113</v>
      </c>
      <c r="JB21" s="133">
        <v>43399</v>
      </c>
      <c r="JD21" s="133">
        <v>85653</v>
      </c>
      <c r="JF21" s="133">
        <v>9582</v>
      </c>
      <c r="JG21" s="133">
        <v>44857</v>
      </c>
      <c r="JJ21" s="133">
        <v>27926</v>
      </c>
      <c r="JK21" s="133">
        <v>13996</v>
      </c>
      <c r="JL21" s="133">
        <v>11940</v>
      </c>
      <c r="JM21" s="133">
        <v>38340</v>
      </c>
      <c r="JN21" s="133">
        <v>26324</v>
      </c>
    </row>
    <row r="22" spans="1:274" s="133" customFormat="1" x14ac:dyDescent="0.25">
      <c r="A22" s="135" t="s">
        <v>423</v>
      </c>
      <c r="B22" s="135"/>
      <c r="C22" s="135" t="s">
        <v>1069</v>
      </c>
      <c r="D22" s="135"/>
      <c r="E22" s="136"/>
      <c r="F22" s="135"/>
      <c r="G22" s="135" t="s">
        <v>424</v>
      </c>
      <c r="Q22" s="133">
        <v>818671</v>
      </c>
      <c r="AH22" s="133">
        <v>1869287</v>
      </c>
      <c r="AI22" s="133">
        <v>483535</v>
      </c>
      <c r="AJ22" s="133">
        <v>313459</v>
      </c>
      <c r="AK22" s="133">
        <v>975098</v>
      </c>
      <c r="AL22" s="133">
        <v>160383</v>
      </c>
      <c r="CV22" s="133">
        <v>26760</v>
      </c>
      <c r="CW22" s="133">
        <v>97056</v>
      </c>
      <c r="CX22" s="133">
        <v>159056</v>
      </c>
      <c r="DA22" s="133">
        <v>53500</v>
      </c>
      <c r="DB22" s="133">
        <v>33436</v>
      </c>
      <c r="DC22" s="133">
        <v>53739</v>
      </c>
      <c r="DE22" s="133">
        <v>11372</v>
      </c>
      <c r="DF22" s="133">
        <v>139088</v>
      </c>
      <c r="DG22" s="133">
        <v>12656</v>
      </c>
      <c r="DH22" s="133">
        <v>69161</v>
      </c>
      <c r="DJ22" s="133">
        <v>75003</v>
      </c>
      <c r="DL22" s="133">
        <v>37981</v>
      </c>
      <c r="DM22" s="133">
        <v>99376</v>
      </c>
      <c r="DQ22" s="133">
        <v>48864</v>
      </c>
      <c r="DR22" s="133">
        <v>34372</v>
      </c>
      <c r="DS22" s="133">
        <v>146288</v>
      </c>
      <c r="DT22" s="133">
        <v>57315</v>
      </c>
      <c r="DZ22" s="133">
        <v>11439</v>
      </c>
      <c r="EA22" s="133">
        <v>295619</v>
      </c>
      <c r="EB22" s="133">
        <v>302525</v>
      </c>
      <c r="EE22" s="133">
        <v>116198</v>
      </c>
      <c r="EF22" s="133">
        <v>77875</v>
      </c>
      <c r="EG22" s="133">
        <v>17486</v>
      </c>
      <c r="EI22" s="133">
        <v>0</v>
      </c>
      <c r="EJ22" s="133">
        <v>353172</v>
      </c>
      <c r="EK22" s="133">
        <v>19357</v>
      </c>
      <c r="EL22" s="133">
        <v>422634</v>
      </c>
      <c r="EN22" s="133">
        <v>97232</v>
      </c>
      <c r="EP22" s="133">
        <v>107508</v>
      </c>
      <c r="EQ22" s="133">
        <v>206825</v>
      </c>
      <c r="EU22" s="133">
        <v>183074</v>
      </c>
      <c r="EV22" s="133">
        <v>59605</v>
      </c>
      <c r="EW22" s="133">
        <v>482980</v>
      </c>
      <c r="EX22" s="133">
        <v>227459</v>
      </c>
      <c r="IP22" s="133">
        <v>27519</v>
      </c>
      <c r="IQ22" s="133">
        <v>82303</v>
      </c>
      <c r="IR22" s="133">
        <v>116684</v>
      </c>
      <c r="IU22" s="133">
        <v>62796</v>
      </c>
      <c r="IV22" s="133">
        <v>27901</v>
      </c>
      <c r="IW22" s="133">
        <v>113075</v>
      </c>
      <c r="IY22" s="133">
        <v>26875</v>
      </c>
      <c r="IZ22" s="133">
        <v>12406</v>
      </c>
      <c r="JA22" s="133">
        <v>529</v>
      </c>
      <c r="JB22" s="133">
        <v>24772</v>
      </c>
      <c r="JD22" s="133">
        <v>220249</v>
      </c>
      <c r="JF22" s="133">
        <v>3794</v>
      </c>
      <c r="JG22" s="133">
        <v>7629</v>
      </c>
      <c r="JK22" s="133">
        <v>24176</v>
      </c>
      <c r="JL22" s="133">
        <v>15036</v>
      </c>
      <c r="JM22" s="133">
        <v>35274</v>
      </c>
      <c r="JN22" s="133">
        <v>58598</v>
      </c>
    </row>
    <row r="23" spans="1:274" s="133" customFormat="1" x14ac:dyDescent="0.25">
      <c r="A23" s="135" t="s">
        <v>368</v>
      </c>
      <c r="B23" s="135"/>
      <c r="C23" s="135" t="s">
        <v>1069</v>
      </c>
      <c r="D23" s="135"/>
      <c r="E23" s="136"/>
      <c r="F23" s="135"/>
      <c r="G23" s="135" t="s">
        <v>369</v>
      </c>
      <c r="Q23" s="133">
        <v>710215</v>
      </c>
      <c r="AH23" s="133">
        <v>1545807</v>
      </c>
      <c r="AI23" s="133">
        <v>833614</v>
      </c>
      <c r="AJ23" s="133">
        <v>258686</v>
      </c>
      <c r="AK23" s="133">
        <v>340284</v>
      </c>
      <c r="AL23" s="133">
        <v>42420</v>
      </c>
      <c r="CU23" s="133">
        <v>15912</v>
      </c>
      <c r="CV23" s="133">
        <v>43861</v>
      </c>
      <c r="CW23" s="133">
        <v>154848</v>
      </c>
      <c r="CX23" s="133">
        <v>86778</v>
      </c>
      <c r="DA23" s="133">
        <v>104161</v>
      </c>
      <c r="DB23" s="133">
        <v>4792</v>
      </c>
      <c r="DC23" s="133">
        <v>48944</v>
      </c>
      <c r="DD23" s="133">
        <v>272</v>
      </c>
      <c r="DE23" s="133">
        <v>46944</v>
      </c>
      <c r="DF23" s="133">
        <v>215024</v>
      </c>
      <c r="DG23" s="133">
        <v>16080</v>
      </c>
      <c r="DH23" s="133">
        <v>143334</v>
      </c>
      <c r="DJ23" s="133">
        <v>68856</v>
      </c>
      <c r="DL23" s="133">
        <v>64317</v>
      </c>
      <c r="DM23" s="133">
        <v>155612</v>
      </c>
      <c r="DN23" s="133">
        <v>13184</v>
      </c>
      <c r="DO23" s="133">
        <v>10280</v>
      </c>
      <c r="DP23" s="133">
        <v>25904</v>
      </c>
      <c r="DQ23" s="133">
        <v>38448</v>
      </c>
      <c r="DR23" s="133">
        <v>60114</v>
      </c>
      <c r="DS23" s="133">
        <v>212816</v>
      </c>
      <c r="DT23" s="133">
        <v>53264</v>
      </c>
      <c r="DY23" s="133">
        <v>48212</v>
      </c>
      <c r="DZ23" s="133">
        <v>154549</v>
      </c>
      <c r="EA23" s="133">
        <v>361953</v>
      </c>
      <c r="EB23" s="133">
        <v>273978</v>
      </c>
      <c r="EE23" s="133">
        <v>287499</v>
      </c>
      <c r="EF23" s="133">
        <v>0</v>
      </c>
      <c r="EG23" s="133">
        <v>122569</v>
      </c>
      <c r="EH23" s="133">
        <v>1230</v>
      </c>
      <c r="EI23" s="133">
        <v>114960</v>
      </c>
      <c r="EJ23" s="133">
        <v>498190</v>
      </c>
      <c r="EK23" s="133">
        <v>42520</v>
      </c>
      <c r="EL23" s="133">
        <v>769508</v>
      </c>
      <c r="EN23" s="133">
        <v>258501</v>
      </c>
      <c r="EP23" s="133">
        <v>133128</v>
      </c>
      <c r="EQ23" s="133">
        <v>306012</v>
      </c>
      <c r="ER23" s="133">
        <v>50825</v>
      </c>
      <c r="ES23" s="133">
        <v>0</v>
      </c>
      <c r="ET23" s="133">
        <v>126738</v>
      </c>
      <c r="EU23" s="133">
        <v>150213</v>
      </c>
      <c r="EV23" s="133">
        <v>176261</v>
      </c>
      <c r="EW23" s="133">
        <v>473370</v>
      </c>
      <c r="EX23" s="133">
        <v>206311</v>
      </c>
      <c r="IO23" s="133">
        <v>14671</v>
      </c>
      <c r="IP23" s="133">
        <v>94796</v>
      </c>
      <c r="IQ23" s="133">
        <v>83268</v>
      </c>
      <c r="IR23" s="133">
        <v>14950</v>
      </c>
      <c r="IU23" s="133">
        <v>147130</v>
      </c>
      <c r="IV23" s="133">
        <v>2676</v>
      </c>
      <c r="IW23" s="133">
        <v>22732</v>
      </c>
      <c r="IX23" s="133">
        <v>0</v>
      </c>
      <c r="IY23" s="133">
        <v>24358</v>
      </c>
      <c r="IZ23" s="133">
        <v>102933</v>
      </c>
      <c r="JA23" s="133">
        <v>2642</v>
      </c>
      <c r="JB23" s="133">
        <v>71913</v>
      </c>
      <c r="JD23" s="133">
        <v>42032</v>
      </c>
      <c r="JF23" s="133">
        <v>6028</v>
      </c>
      <c r="JG23" s="133">
        <v>7585</v>
      </c>
      <c r="JH23" s="133">
        <v>16041</v>
      </c>
      <c r="JI23" s="133">
        <v>808</v>
      </c>
      <c r="JJ23" s="133">
        <v>9766</v>
      </c>
      <c r="JK23" s="133">
        <v>4975</v>
      </c>
      <c r="JL23" s="133">
        <v>22118</v>
      </c>
      <c r="JM23" s="133">
        <v>15168</v>
      </c>
      <c r="JN23" s="133">
        <v>27944</v>
      </c>
    </row>
    <row r="24" spans="1:274" s="133" customFormat="1" x14ac:dyDescent="0.25">
      <c r="A24" s="135" t="s">
        <v>372</v>
      </c>
      <c r="B24" s="135"/>
      <c r="C24" s="135" t="s">
        <v>1069</v>
      </c>
      <c r="D24" s="135"/>
      <c r="E24" s="136"/>
      <c r="F24" s="135"/>
      <c r="G24" s="135" t="s">
        <v>373</v>
      </c>
      <c r="Q24" s="133">
        <v>162772</v>
      </c>
      <c r="AH24" s="133">
        <v>1123805</v>
      </c>
      <c r="AI24" s="133">
        <v>598251</v>
      </c>
      <c r="AJ24" s="133">
        <v>713543</v>
      </c>
      <c r="AK24" s="133">
        <v>357064</v>
      </c>
      <c r="AL24" s="133">
        <v>0</v>
      </c>
      <c r="CU24" s="133">
        <v>10200</v>
      </c>
      <c r="CV24" s="133">
        <v>43752</v>
      </c>
      <c r="CW24" s="133">
        <v>77120</v>
      </c>
      <c r="CX24" s="133">
        <v>90720</v>
      </c>
      <c r="DA24" s="133">
        <v>112250</v>
      </c>
      <c r="DC24" s="133">
        <v>98840</v>
      </c>
      <c r="DE24" s="133">
        <v>22770</v>
      </c>
      <c r="DF24" s="133">
        <v>166416</v>
      </c>
      <c r="DG24" s="133">
        <v>24184</v>
      </c>
      <c r="DJ24" s="133">
        <v>5960</v>
      </c>
      <c r="DL24" s="133">
        <v>102368</v>
      </c>
      <c r="DM24" s="133">
        <v>112560</v>
      </c>
      <c r="DN24" s="133">
        <v>67900</v>
      </c>
      <c r="DP24" s="133">
        <v>8240</v>
      </c>
      <c r="DQ24" s="133">
        <v>60256</v>
      </c>
      <c r="DR24" s="133">
        <v>45824</v>
      </c>
      <c r="DS24" s="133">
        <v>101808</v>
      </c>
      <c r="DT24" s="133">
        <v>71920</v>
      </c>
      <c r="DY24" s="133">
        <v>40034</v>
      </c>
      <c r="DZ24" s="133">
        <v>185196</v>
      </c>
      <c r="EA24" s="133">
        <v>209136</v>
      </c>
      <c r="EB24" s="133">
        <v>46346</v>
      </c>
      <c r="EE24" s="133">
        <v>320698</v>
      </c>
      <c r="EG24" s="133">
        <v>164586</v>
      </c>
      <c r="EI24" s="133">
        <v>95023</v>
      </c>
      <c r="EJ24" s="133">
        <v>283100</v>
      </c>
      <c r="EK24" s="133">
        <v>56166</v>
      </c>
      <c r="EN24" s="133">
        <v>8233</v>
      </c>
      <c r="EP24" s="133">
        <v>344399</v>
      </c>
      <c r="EQ24" s="133">
        <v>174835</v>
      </c>
      <c r="ER24" s="133">
        <v>203724</v>
      </c>
      <c r="ET24" s="133">
        <v>37418</v>
      </c>
      <c r="EU24" s="133">
        <v>207482</v>
      </c>
      <c r="EV24" s="133">
        <v>126250</v>
      </c>
      <c r="EW24" s="133">
        <v>290989</v>
      </c>
      <c r="EX24" s="133">
        <v>175306</v>
      </c>
      <c r="IO24" s="133">
        <v>9525</v>
      </c>
      <c r="IP24" s="133">
        <v>38584</v>
      </c>
      <c r="IQ24" s="133">
        <v>18943</v>
      </c>
      <c r="IR24" s="133">
        <v>4955</v>
      </c>
      <c r="IU24" s="133">
        <v>43676</v>
      </c>
      <c r="IW24" s="133">
        <v>17903</v>
      </c>
      <c r="IY24" s="133">
        <v>8438</v>
      </c>
      <c r="IZ24" s="133">
        <v>27558</v>
      </c>
      <c r="JA24" s="133">
        <v>2530</v>
      </c>
      <c r="JD24" s="133">
        <v>2878</v>
      </c>
      <c r="JF24" s="133">
        <v>33780</v>
      </c>
      <c r="JG24" s="133">
        <v>7288</v>
      </c>
      <c r="JH24" s="133">
        <v>45876</v>
      </c>
      <c r="JJ24" s="133">
        <v>3654</v>
      </c>
      <c r="JK24" s="133">
        <v>5447</v>
      </c>
      <c r="JL24" s="133">
        <v>13468</v>
      </c>
      <c r="JM24" s="133">
        <v>20413</v>
      </c>
      <c r="JN24" s="133">
        <v>37488</v>
      </c>
    </row>
    <row r="25" spans="1:274" s="133" customFormat="1" x14ac:dyDescent="0.25">
      <c r="A25" s="135" t="s">
        <v>441</v>
      </c>
      <c r="B25" s="135"/>
      <c r="C25" s="135" t="s">
        <v>1069</v>
      </c>
      <c r="D25" s="135"/>
      <c r="E25" s="136"/>
      <c r="F25" s="135"/>
      <c r="G25" s="135" t="s">
        <v>442</v>
      </c>
      <c r="Q25" s="133">
        <v>2700928</v>
      </c>
      <c r="AH25" s="133">
        <v>33968913</v>
      </c>
      <c r="AI25" s="133">
        <v>10359740</v>
      </c>
      <c r="AJ25" s="133">
        <v>2863903</v>
      </c>
      <c r="AK25" s="133">
        <v>8496427</v>
      </c>
      <c r="AL25" s="133">
        <v>118455</v>
      </c>
      <c r="CU25" s="133">
        <v>129567</v>
      </c>
      <c r="CV25" s="133">
        <v>692243</v>
      </c>
      <c r="CW25" s="133">
        <v>1514946</v>
      </c>
      <c r="CX25" s="133">
        <v>1437537</v>
      </c>
      <c r="CZ25" s="133">
        <v>77372</v>
      </c>
      <c r="DA25" s="133">
        <v>500695</v>
      </c>
      <c r="DB25" s="133">
        <v>476469</v>
      </c>
      <c r="DC25" s="133">
        <v>509226</v>
      </c>
      <c r="DD25" s="133">
        <v>12020</v>
      </c>
      <c r="DE25" s="133">
        <v>277844</v>
      </c>
      <c r="DF25" s="133">
        <v>3108953</v>
      </c>
      <c r="DG25" s="133">
        <v>221600</v>
      </c>
      <c r="DH25" s="133">
        <v>212448</v>
      </c>
      <c r="DJ25" s="133">
        <v>554548</v>
      </c>
      <c r="DK25" s="133">
        <v>74112</v>
      </c>
      <c r="DL25" s="133">
        <v>128640</v>
      </c>
      <c r="DM25" s="133">
        <v>1769936</v>
      </c>
      <c r="DN25" s="133">
        <v>271480</v>
      </c>
      <c r="DO25" s="133">
        <v>635408</v>
      </c>
      <c r="DP25" s="133">
        <v>187664</v>
      </c>
      <c r="DQ25" s="133">
        <v>102888</v>
      </c>
      <c r="DR25" s="133">
        <v>314326</v>
      </c>
      <c r="DS25" s="133">
        <v>2471704</v>
      </c>
      <c r="DT25" s="133">
        <v>592536</v>
      </c>
      <c r="DY25" s="133">
        <v>188055</v>
      </c>
      <c r="DZ25" s="133">
        <v>1009547</v>
      </c>
      <c r="EA25" s="133">
        <v>3198558</v>
      </c>
      <c r="EB25" s="133">
        <v>4313941</v>
      </c>
      <c r="ED25" s="133">
        <v>282669</v>
      </c>
      <c r="EE25" s="133">
        <v>1721881</v>
      </c>
      <c r="EF25" s="133">
        <v>1225315</v>
      </c>
      <c r="EG25" s="133">
        <v>1296073</v>
      </c>
      <c r="EH25" s="133">
        <v>39681</v>
      </c>
      <c r="EI25" s="133">
        <v>926600</v>
      </c>
      <c r="EJ25" s="133">
        <v>7330370</v>
      </c>
      <c r="EK25" s="133">
        <v>655829</v>
      </c>
      <c r="EL25" s="133">
        <v>1462724</v>
      </c>
      <c r="EN25" s="133">
        <v>2434997</v>
      </c>
      <c r="EO25" s="133">
        <v>520476</v>
      </c>
      <c r="EP25" s="133">
        <v>539936</v>
      </c>
      <c r="EQ25" s="133">
        <v>3726458</v>
      </c>
      <c r="ER25" s="133">
        <v>1765311</v>
      </c>
      <c r="ES25" s="133">
        <v>3528958</v>
      </c>
      <c r="ET25" s="133">
        <v>152314</v>
      </c>
      <c r="EU25" s="133">
        <v>192102</v>
      </c>
      <c r="EV25" s="133">
        <v>762763</v>
      </c>
      <c r="EW25" s="133">
        <v>5349346</v>
      </c>
      <c r="EX25" s="133">
        <v>2098694</v>
      </c>
      <c r="IO25" s="133">
        <v>95665</v>
      </c>
      <c r="IP25" s="133">
        <v>240169</v>
      </c>
      <c r="IQ25" s="133">
        <v>374705</v>
      </c>
      <c r="IR25" s="133">
        <v>637330</v>
      </c>
      <c r="IT25" s="133">
        <v>78985</v>
      </c>
      <c r="IU25" s="133">
        <v>256793</v>
      </c>
      <c r="IV25" s="133">
        <v>240526</v>
      </c>
      <c r="IW25" s="133">
        <v>242652</v>
      </c>
      <c r="IX25" s="133">
        <v>6031</v>
      </c>
      <c r="IY25" s="133">
        <v>148349</v>
      </c>
      <c r="IZ25" s="133">
        <v>574760</v>
      </c>
      <c r="JA25" s="133">
        <v>63726</v>
      </c>
      <c r="JB25" s="133">
        <v>237556</v>
      </c>
      <c r="JD25" s="133">
        <v>435377</v>
      </c>
      <c r="JE25" s="133">
        <v>59144</v>
      </c>
      <c r="JF25" s="133">
        <v>63211</v>
      </c>
      <c r="JG25" s="133">
        <v>209916</v>
      </c>
      <c r="JH25" s="133">
        <v>276032</v>
      </c>
      <c r="JI25" s="133">
        <v>685288</v>
      </c>
      <c r="JJ25" s="133">
        <v>24674</v>
      </c>
      <c r="JK25" s="133">
        <v>30733</v>
      </c>
      <c r="JL25" s="133">
        <v>178993</v>
      </c>
      <c r="JM25" s="133">
        <v>339256</v>
      </c>
      <c r="JN25" s="133">
        <v>482526</v>
      </c>
    </row>
    <row r="26" spans="1:274" s="133" customFormat="1" ht="15" customHeight="1" x14ac:dyDescent="0.25">
      <c r="A26" s="135" t="s">
        <v>374</v>
      </c>
      <c r="B26" s="135"/>
      <c r="C26" s="135" t="s">
        <v>1069</v>
      </c>
      <c r="D26" s="135"/>
      <c r="E26" s="136"/>
      <c r="F26" s="135"/>
      <c r="G26" s="135" t="s">
        <v>375</v>
      </c>
      <c r="Q26" s="133">
        <v>550206</v>
      </c>
      <c r="AH26" s="133">
        <v>1296325</v>
      </c>
      <c r="AI26" s="133">
        <v>712355</v>
      </c>
      <c r="AJ26" s="133">
        <v>184580</v>
      </c>
      <c r="AK26" s="133">
        <v>485961</v>
      </c>
      <c r="AL26" s="133">
        <v>0</v>
      </c>
      <c r="CU26" s="133">
        <v>63769</v>
      </c>
      <c r="CV26" s="133">
        <v>25988</v>
      </c>
      <c r="CW26" s="133">
        <v>98062</v>
      </c>
      <c r="CX26" s="133">
        <v>272892</v>
      </c>
      <c r="CY26" s="133">
        <v>3744</v>
      </c>
      <c r="CZ26" s="133">
        <v>1552</v>
      </c>
      <c r="DA26" s="133">
        <v>124779</v>
      </c>
      <c r="DB26" s="133">
        <v>188583</v>
      </c>
      <c r="DC26" s="133">
        <v>96145</v>
      </c>
      <c r="DE26" s="133">
        <v>32137</v>
      </c>
      <c r="DF26" s="133">
        <v>253154</v>
      </c>
      <c r="DG26" s="133">
        <v>22494</v>
      </c>
      <c r="DH26" s="133">
        <v>80804</v>
      </c>
      <c r="DI26" s="133">
        <v>19392</v>
      </c>
      <c r="DJ26" s="133">
        <v>50416</v>
      </c>
      <c r="DK26" s="133">
        <v>23264</v>
      </c>
      <c r="DL26" s="133">
        <v>27640</v>
      </c>
      <c r="DM26" s="133">
        <v>109072</v>
      </c>
      <c r="DN26" s="133">
        <v>9256</v>
      </c>
      <c r="DO26" s="133">
        <v>9659</v>
      </c>
      <c r="DP26" s="133">
        <v>13849</v>
      </c>
      <c r="DQ26" s="133">
        <v>1872</v>
      </c>
      <c r="DR26" s="133">
        <v>70481</v>
      </c>
      <c r="DS26" s="133">
        <v>123504</v>
      </c>
      <c r="DT26" s="133">
        <v>23184</v>
      </c>
      <c r="DY26" s="133">
        <v>154984</v>
      </c>
      <c r="DZ26" s="133">
        <v>69897</v>
      </c>
      <c r="EA26" s="133">
        <v>255221</v>
      </c>
      <c r="EB26" s="133">
        <v>312443</v>
      </c>
      <c r="EC26" s="133">
        <v>5261</v>
      </c>
      <c r="ED26" s="133">
        <v>3156</v>
      </c>
      <c r="EE26" s="133">
        <v>381082</v>
      </c>
      <c r="EF26" s="133">
        <v>251051</v>
      </c>
      <c r="EG26" s="133">
        <v>123235</v>
      </c>
      <c r="EI26" s="133">
        <v>136568</v>
      </c>
      <c r="EJ26" s="133">
        <v>462766</v>
      </c>
      <c r="EK26" s="133">
        <v>9573</v>
      </c>
      <c r="EL26" s="133">
        <v>217381</v>
      </c>
      <c r="EM26" s="133">
        <v>121157</v>
      </c>
      <c r="EN26" s="133">
        <v>100794</v>
      </c>
      <c r="EO26" s="133">
        <v>99653</v>
      </c>
      <c r="EP26" s="133">
        <v>207852</v>
      </c>
      <c r="EQ26" s="133">
        <v>260252</v>
      </c>
      <c r="ER26" s="133">
        <v>3687</v>
      </c>
      <c r="ES26" s="133">
        <v>8849</v>
      </c>
      <c r="ET26" s="133">
        <v>24336</v>
      </c>
      <c r="EU26" s="133">
        <v>14773</v>
      </c>
      <c r="EV26" s="133">
        <v>52355</v>
      </c>
      <c r="EW26" s="133">
        <v>359219</v>
      </c>
      <c r="EX26" s="133">
        <v>101365</v>
      </c>
      <c r="IO26" s="133">
        <v>30404</v>
      </c>
      <c r="IP26" s="133">
        <v>10966</v>
      </c>
      <c r="IQ26" s="133">
        <v>51849</v>
      </c>
      <c r="IR26" s="133">
        <v>276744</v>
      </c>
      <c r="IS26" s="133">
        <v>0</v>
      </c>
      <c r="IT26" s="133">
        <v>0</v>
      </c>
      <c r="IU26" s="133">
        <v>315987</v>
      </c>
      <c r="IV26" s="133">
        <v>18801</v>
      </c>
      <c r="IW26" s="133">
        <v>37312</v>
      </c>
      <c r="IY26" s="133">
        <v>18452</v>
      </c>
      <c r="IZ26" s="133">
        <v>42582</v>
      </c>
      <c r="JA26" s="133">
        <v>3519</v>
      </c>
      <c r="JB26" s="133">
        <v>68998</v>
      </c>
      <c r="JC26" s="133">
        <v>76698</v>
      </c>
      <c r="JD26" s="133">
        <v>47401</v>
      </c>
      <c r="JE26" s="133">
        <v>17260</v>
      </c>
      <c r="JF26" s="133">
        <v>68394</v>
      </c>
      <c r="JG26" s="133">
        <v>7803</v>
      </c>
      <c r="JH26" s="133">
        <v>0</v>
      </c>
      <c r="JI26" s="133">
        <v>0</v>
      </c>
      <c r="JJ26" s="133">
        <v>4812</v>
      </c>
      <c r="JK26" s="133">
        <v>0</v>
      </c>
      <c r="JL26" s="133">
        <v>14207</v>
      </c>
      <c r="JM26" s="133">
        <v>8635</v>
      </c>
      <c r="JN26" s="133">
        <v>38806</v>
      </c>
    </row>
    <row r="27" spans="1:274" s="133" customFormat="1" x14ac:dyDescent="0.25">
      <c r="A27" s="135" t="s">
        <v>376</v>
      </c>
      <c r="B27" s="135"/>
      <c r="C27" s="135" t="s">
        <v>1069</v>
      </c>
      <c r="D27" s="135"/>
      <c r="E27" s="136"/>
      <c r="F27" s="135"/>
      <c r="G27" s="135" t="s">
        <v>377</v>
      </c>
      <c r="Q27" s="133">
        <v>0</v>
      </c>
      <c r="AH27" s="133">
        <v>0</v>
      </c>
      <c r="AI27" s="133">
        <v>0</v>
      </c>
      <c r="AJ27" s="133">
        <v>0</v>
      </c>
      <c r="AK27" s="133">
        <v>0</v>
      </c>
      <c r="AL27" s="133">
        <v>0</v>
      </c>
    </row>
    <row r="28" spans="1:274" s="133" customFormat="1" x14ac:dyDescent="0.25">
      <c r="A28" s="135" t="s">
        <v>1073</v>
      </c>
      <c r="B28" s="135"/>
      <c r="C28" s="135" t="s">
        <v>1069</v>
      </c>
      <c r="D28" s="135"/>
      <c r="E28" s="136"/>
      <c r="F28" s="135"/>
      <c r="G28" s="135" t="s">
        <v>458</v>
      </c>
      <c r="Q28" s="133">
        <v>0</v>
      </c>
      <c r="AH28" s="133">
        <v>0</v>
      </c>
      <c r="AI28" s="133">
        <v>0</v>
      </c>
      <c r="AJ28" s="133">
        <v>0</v>
      </c>
      <c r="AK28" s="133">
        <v>0</v>
      </c>
      <c r="AL28" s="133">
        <v>0</v>
      </c>
    </row>
    <row r="29" spans="1:274" s="133" customFormat="1" x14ac:dyDescent="0.25">
      <c r="A29" s="135" t="s">
        <v>450</v>
      </c>
      <c r="B29" s="135"/>
      <c r="C29" s="135" t="s">
        <v>1069</v>
      </c>
      <c r="D29" s="135"/>
      <c r="E29" s="136"/>
      <c r="F29" s="135"/>
      <c r="G29" s="135" t="s">
        <v>451</v>
      </c>
      <c r="Q29" s="133">
        <v>196749</v>
      </c>
      <c r="AH29" s="133">
        <v>808651</v>
      </c>
      <c r="AI29" s="133">
        <v>525273</v>
      </c>
      <c r="AJ29" s="133">
        <v>325375</v>
      </c>
      <c r="AK29" s="133">
        <v>221141</v>
      </c>
      <c r="AL29" s="133">
        <v>0</v>
      </c>
      <c r="CU29" s="133">
        <v>1072</v>
      </c>
      <c r="CW29" s="133">
        <v>67408</v>
      </c>
      <c r="CX29" s="133">
        <v>45536</v>
      </c>
      <c r="CZ29" s="133">
        <v>896</v>
      </c>
      <c r="DA29" s="133">
        <v>26768</v>
      </c>
      <c r="DC29" s="133">
        <v>6960</v>
      </c>
      <c r="DE29" s="133">
        <v>6032</v>
      </c>
      <c r="DF29" s="133">
        <v>98448</v>
      </c>
      <c r="DG29" s="133">
        <v>1296</v>
      </c>
      <c r="DH29" s="133">
        <v>25168</v>
      </c>
      <c r="DJ29" s="133">
        <v>48544</v>
      </c>
      <c r="DL29" s="133">
        <v>140560</v>
      </c>
      <c r="DM29" s="133">
        <v>62640</v>
      </c>
      <c r="DP29" s="133">
        <v>1840</v>
      </c>
      <c r="DQ29" s="133">
        <v>25680</v>
      </c>
      <c r="DR29" s="133">
        <v>7152</v>
      </c>
      <c r="DS29" s="133">
        <v>69216</v>
      </c>
      <c r="DT29" s="133">
        <v>11264</v>
      </c>
      <c r="DY29" s="133">
        <v>3323</v>
      </c>
      <c r="EA29" s="133">
        <v>208927</v>
      </c>
      <c r="EB29" s="133">
        <v>141136</v>
      </c>
      <c r="ED29" s="133">
        <v>2777</v>
      </c>
      <c r="EE29" s="133">
        <v>82966</v>
      </c>
      <c r="EG29" s="133">
        <v>21572</v>
      </c>
      <c r="EI29" s="133">
        <v>18696</v>
      </c>
      <c r="EJ29" s="133">
        <v>305134</v>
      </c>
      <c r="EK29" s="133">
        <v>4017</v>
      </c>
      <c r="EL29" s="133">
        <v>78007</v>
      </c>
      <c r="EN29" s="133">
        <v>150459</v>
      </c>
      <c r="EP29" s="133">
        <v>435657</v>
      </c>
      <c r="EQ29" s="133">
        <v>194149</v>
      </c>
      <c r="ET29" s="133">
        <v>5703</v>
      </c>
      <c r="EU29" s="133">
        <v>79594</v>
      </c>
      <c r="EV29" s="133">
        <v>22167</v>
      </c>
      <c r="EW29" s="133">
        <v>214531</v>
      </c>
      <c r="EX29" s="133">
        <v>34912</v>
      </c>
      <c r="IO29" s="133">
        <v>457</v>
      </c>
      <c r="IQ29" s="133">
        <v>28764</v>
      </c>
      <c r="IR29" s="133">
        <v>19431</v>
      </c>
      <c r="IT29" s="133">
        <v>382</v>
      </c>
      <c r="IU29" s="133">
        <v>11422</v>
      </c>
      <c r="IW29" s="133">
        <v>2971</v>
      </c>
      <c r="IY29" s="133">
        <v>2574</v>
      </c>
      <c r="IZ29" s="133">
        <v>42009</v>
      </c>
      <c r="JA29" s="133">
        <v>552</v>
      </c>
      <c r="JB29" s="133">
        <v>10740</v>
      </c>
      <c r="JD29" s="133">
        <v>20714</v>
      </c>
      <c r="JF29" s="133">
        <v>59979</v>
      </c>
      <c r="JG29" s="133">
        <v>26729</v>
      </c>
      <c r="JJ29" s="133">
        <v>785</v>
      </c>
      <c r="JK29" s="133">
        <v>10958</v>
      </c>
      <c r="JL29" s="133">
        <v>3052</v>
      </c>
      <c r="JM29" s="133">
        <v>29535</v>
      </c>
      <c r="JN29" s="133">
        <v>4807</v>
      </c>
    </row>
    <row r="30" spans="1:274" s="133" customFormat="1" x14ac:dyDescent="0.25">
      <c r="A30" s="135" t="s">
        <v>448</v>
      </c>
      <c r="B30" s="135"/>
      <c r="C30" s="135" t="s">
        <v>1069</v>
      </c>
      <c r="D30" s="135"/>
      <c r="E30" s="136"/>
      <c r="F30" s="135"/>
      <c r="G30" s="135" t="s">
        <v>449</v>
      </c>
      <c r="Q30" s="133">
        <v>352962</v>
      </c>
      <c r="AH30" s="133">
        <v>1502783</v>
      </c>
      <c r="AI30" s="133">
        <v>471683</v>
      </c>
      <c r="AJ30" s="133">
        <v>409575</v>
      </c>
      <c r="AK30" s="133">
        <v>142675</v>
      </c>
      <c r="AL30" s="133">
        <v>0</v>
      </c>
      <c r="CW30" s="133">
        <v>66240</v>
      </c>
      <c r="CX30" s="133">
        <v>216016</v>
      </c>
      <c r="DA30" s="133">
        <v>21680</v>
      </c>
      <c r="DB30" s="133">
        <v>40176</v>
      </c>
      <c r="DC30" s="133">
        <v>77696</v>
      </c>
      <c r="DF30" s="133">
        <v>195920</v>
      </c>
      <c r="DG30" s="133">
        <v>3648</v>
      </c>
      <c r="DH30" s="133">
        <v>27872</v>
      </c>
      <c r="DJ30" s="133">
        <v>38464</v>
      </c>
      <c r="DL30" s="133">
        <v>140016</v>
      </c>
      <c r="DM30" s="133">
        <v>114416</v>
      </c>
      <c r="DN30" s="133">
        <v>34928</v>
      </c>
      <c r="DP30" s="133">
        <v>20976</v>
      </c>
      <c r="DS30" s="133">
        <v>127552</v>
      </c>
      <c r="EA30" s="133">
        <v>212750</v>
      </c>
      <c r="EB30" s="133">
        <v>693766</v>
      </c>
      <c r="EE30" s="133">
        <v>69632</v>
      </c>
      <c r="EF30" s="133">
        <v>129030</v>
      </c>
      <c r="EG30" s="133">
        <v>249532</v>
      </c>
      <c r="EJ30" s="133">
        <v>629257</v>
      </c>
      <c r="EK30" s="133">
        <v>11717</v>
      </c>
      <c r="EL30" s="133">
        <v>89515</v>
      </c>
      <c r="EN30" s="133">
        <v>123532</v>
      </c>
      <c r="EP30" s="133">
        <v>449680</v>
      </c>
      <c r="EQ30" s="133">
        <v>367482</v>
      </c>
      <c r="ER30" s="133">
        <v>112176</v>
      </c>
      <c r="ET30" s="133">
        <v>67367</v>
      </c>
      <c r="EW30" s="133">
        <v>409672</v>
      </c>
      <c r="IQ30" s="133">
        <v>44101</v>
      </c>
      <c r="IR30" s="133">
        <v>147889</v>
      </c>
      <c r="IU30" s="133">
        <v>14434</v>
      </c>
      <c r="IV30" s="133">
        <v>27559</v>
      </c>
      <c r="IW30" s="133">
        <v>53137</v>
      </c>
      <c r="IZ30" s="133">
        <v>130440</v>
      </c>
      <c r="JA30" s="133">
        <v>2428</v>
      </c>
      <c r="JB30" s="133">
        <v>19120</v>
      </c>
      <c r="JD30" s="133">
        <v>26360</v>
      </c>
      <c r="JF30" s="133">
        <v>96047</v>
      </c>
      <c r="JG30" s="133">
        <v>76176</v>
      </c>
      <c r="JH30" s="133">
        <v>23960</v>
      </c>
      <c r="JJ30" s="133">
        <v>14389</v>
      </c>
      <c r="JM30" s="133">
        <v>84922</v>
      </c>
    </row>
    <row r="31" spans="1:274" s="133" customFormat="1" x14ac:dyDescent="0.25">
      <c r="A31" s="135" t="s">
        <v>378</v>
      </c>
      <c r="B31" s="135"/>
      <c r="C31" s="135" t="s">
        <v>1069</v>
      </c>
      <c r="D31" s="135"/>
      <c r="E31" s="136"/>
      <c r="F31" s="135"/>
      <c r="G31" s="135" t="s">
        <v>379</v>
      </c>
      <c r="Q31" s="133">
        <v>2208965</v>
      </c>
      <c r="AH31" s="133">
        <v>4128804</v>
      </c>
      <c r="AI31" s="133">
        <v>2159383</v>
      </c>
      <c r="AJ31" s="133">
        <v>1113957</v>
      </c>
      <c r="AK31" s="133">
        <v>504570</v>
      </c>
      <c r="AL31" s="133">
        <v>0</v>
      </c>
      <c r="CV31" s="133">
        <v>46493</v>
      </c>
      <c r="CW31" s="133">
        <v>211536</v>
      </c>
      <c r="CX31" s="133">
        <v>317422</v>
      </c>
      <c r="DA31" s="133">
        <v>257324</v>
      </c>
      <c r="DB31" s="133">
        <v>15730</v>
      </c>
      <c r="DC31" s="133">
        <v>84864</v>
      </c>
      <c r="DE31" s="133">
        <v>50060</v>
      </c>
      <c r="DF31" s="133">
        <v>634199</v>
      </c>
      <c r="DG31" s="133">
        <v>26016</v>
      </c>
      <c r="DH31" s="133">
        <v>67443</v>
      </c>
      <c r="DJ31" s="133">
        <v>178330</v>
      </c>
      <c r="DL31" s="133">
        <v>40346</v>
      </c>
      <c r="DM31" s="133">
        <v>393440</v>
      </c>
      <c r="DN31" s="133">
        <v>13488</v>
      </c>
      <c r="DP31" s="133">
        <v>65924</v>
      </c>
      <c r="DQ31" s="133">
        <v>118784</v>
      </c>
      <c r="DR31" s="133">
        <v>232368</v>
      </c>
      <c r="DS31" s="133">
        <v>420960</v>
      </c>
      <c r="DT31" s="133">
        <v>157088</v>
      </c>
      <c r="DZ31" s="133">
        <v>131607</v>
      </c>
      <c r="EA31" s="133">
        <v>675409</v>
      </c>
      <c r="EB31" s="133">
        <v>1119369</v>
      </c>
      <c r="EE31" s="133">
        <v>677738</v>
      </c>
      <c r="EF31" s="133">
        <v>90068</v>
      </c>
      <c r="EG31" s="133">
        <v>215735</v>
      </c>
      <c r="EI31" s="133">
        <v>74062</v>
      </c>
      <c r="EJ31" s="133">
        <v>1803889</v>
      </c>
      <c r="EK31" s="133">
        <v>415916</v>
      </c>
      <c r="EL31" s="133">
        <v>609537</v>
      </c>
      <c r="EN31" s="133">
        <v>525612</v>
      </c>
      <c r="EP31" s="133">
        <v>250549</v>
      </c>
      <c r="EQ31" s="133">
        <v>879689</v>
      </c>
      <c r="ER31" s="133">
        <v>106849</v>
      </c>
      <c r="ET31" s="133">
        <v>278471</v>
      </c>
      <c r="EU31" s="133">
        <v>294383</v>
      </c>
      <c r="EV31" s="133">
        <v>344163</v>
      </c>
      <c r="EW31" s="133">
        <v>921038</v>
      </c>
      <c r="EX31" s="133">
        <v>666352</v>
      </c>
      <c r="IP31" s="133">
        <v>41670</v>
      </c>
      <c r="IQ31" s="133">
        <v>165196</v>
      </c>
      <c r="IR31" s="133">
        <v>73588</v>
      </c>
      <c r="IU31" s="133">
        <v>98573</v>
      </c>
      <c r="IV31" s="133">
        <v>38643</v>
      </c>
      <c r="IW31" s="133">
        <v>61241</v>
      </c>
      <c r="IY31" s="133">
        <v>37799</v>
      </c>
      <c r="IZ31" s="133">
        <v>124173</v>
      </c>
      <c r="JA31" s="133">
        <v>76612</v>
      </c>
      <c r="JB31" s="133">
        <v>58114</v>
      </c>
      <c r="JD31" s="133">
        <v>31477</v>
      </c>
      <c r="JF31" s="133">
        <v>33434</v>
      </c>
      <c r="JG31" s="133">
        <v>90036</v>
      </c>
      <c r="JH31" s="133">
        <v>13247</v>
      </c>
      <c r="JJ31" s="133">
        <v>38633</v>
      </c>
      <c r="JK31" s="133">
        <v>20473</v>
      </c>
      <c r="JL31" s="133">
        <v>65441</v>
      </c>
      <c r="JM31" s="133">
        <v>50825</v>
      </c>
      <c r="JN31" s="133">
        <v>204581</v>
      </c>
    </row>
    <row r="32" spans="1:274" s="133" customFormat="1" x14ac:dyDescent="0.25">
      <c r="A32" s="135" t="s">
        <v>380</v>
      </c>
      <c r="B32" s="135"/>
      <c r="C32" s="135" t="s">
        <v>1069</v>
      </c>
      <c r="D32" s="135"/>
      <c r="E32" s="136"/>
      <c r="F32" s="135"/>
      <c r="G32" s="135" t="s">
        <v>381</v>
      </c>
      <c r="Q32" s="133">
        <v>1733517</v>
      </c>
      <c r="AH32" s="133">
        <v>5013138</v>
      </c>
      <c r="AI32" s="133">
        <v>1265158</v>
      </c>
      <c r="AJ32" s="133">
        <v>674446</v>
      </c>
      <c r="AK32" s="133">
        <v>1643480</v>
      </c>
      <c r="AL32" s="133">
        <v>0</v>
      </c>
      <c r="CU32" s="133">
        <v>64800</v>
      </c>
      <c r="CV32" s="133">
        <v>381010</v>
      </c>
      <c r="CW32" s="133">
        <v>198672</v>
      </c>
      <c r="CX32" s="133">
        <v>274030</v>
      </c>
      <c r="CY32" s="133">
        <v>9616</v>
      </c>
      <c r="CZ32" s="133">
        <v>5760</v>
      </c>
      <c r="DA32" s="133">
        <v>220794</v>
      </c>
      <c r="DB32" s="133">
        <v>2368</v>
      </c>
      <c r="DC32" s="133">
        <v>57646</v>
      </c>
      <c r="DE32" s="133">
        <v>131332</v>
      </c>
      <c r="DF32" s="133">
        <v>282256</v>
      </c>
      <c r="DG32" s="133">
        <v>45216</v>
      </c>
      <c r="DH32" s="133">
        <v>59744</v>
      </c>
      <c r="DJ32" s="133">
        <v>56867</v>
      </c>
      <c r="DL32" s="133">
        <v>58800</v>
      </c>
      <c r="DM32" s="133">
        <v>270944</v>
      </c>
      <c r="DN32" s="133">
        <v>87480</v>
      </c>
      <c r="DO32" s="133">
        <v>31440</v>
      </c>
      <c r="DP32" s="133">
        <v>126728</v>
      </c>
      <c r="DQ32" s="133">
        <v>111594</v>
      </c>
      <c r="DR32" s="133">
        <v>26342</v>
      </c>
      <c r="DS32" s="133">
        <v>260208</v>
      </c>
      <c r="DT32" s="133">
        <v>34032</v>
      </c>
      <c r="DY32" s="133">
        <v>114356</v>
      </c>
      <c r="DZ32" s="133">
        <v>674679</v>
      </c>
      <c r="EA32" s="133">
        <v>869175</v>
      </c>
      <c r="EB32" s="133">
        <v>923840</v>
      </c>
      <c r="EC32" s="133">
        <v>71059</v>
      </c>
      <c r="ED32" s="133">
        <v>64314</v>
      </c>
      <c r="EE32" s="133">
        <v>546229</v>
      </c>
      <c r="EF32" s="133">
        <v>6023</v>
      </c>
      <c r="EG32" s="133">
        <v>127502</v>
      </c>
      <c r="EI32" s="133">
        <v>345095</v>
      </c>
      <c r="EJ32" s="133">
        <v>1221847</v>
      </c>
      <c r="EK32" s="133">
        <v>184883</v>
      </c>
      <c r="EL32" s="133">
        <v>453338</v>
      </c>
      <c r="EN32" s="133">
        <v>159326</v>
      </c>
      <c r="EP32" s="133">
        <v>211287</v>
      </c>
      <c r="EQ32" s="133">
        <v>771920</v>
      </c>
      <c r="ER32" s="133">
        <v>172444</v>
      </c>
      <c r="ES32" s="133">
        <v>164976</v>
      </c>
      <c r="ET32" s="133">
        <v>487424</v>
      </c>
      <c r="EU32" s="133">
        <v>318594</v>
      </c>
      <c r="EV32" s="133">
        <v>89017</v>
      </c>
      <c r="EW32" s="133">
        <v>1021711</v>
      </c>
      <c r="EX32" s="133">
        <v>407228</v>
      </c>
      <c r="IO32" s="133">
        <v>37032</v>
      </c>
      <c r="IP32" s="133">
        <v>290845</v>
      </c>
      <c r="IQ32" s="133">
        <v>279565</v>
      </c>
      <c r="IR32" s="133">
        <v>307119</v>
      </c>
      <c r="IS32" s="133">
        <v>0</v>
      </c>
      <c r="IT32" s="133">
        <v>28443</v>
      </c>
      <c r="IU32" s="133">
        <v>198755</v>
      </c>
      <c r="IV32" s="133">
        <v>693</v>
      </c>
      <c r="IW32" s="133">
        <v>61938</v>
      </c>
      <c r="IY32" s="133">
        <v>57554</v>
      </c>
      <c r="IZ32" s="133">
        <v>252045</v>
      </c>
      <c r="JA32" s="133">
        <v>29119</v>
      </c>
      <c r="JB32" s="133">
        <v>83884</v>
      </c>
      <c r="JD32" s="133">
        <v>44502</v>
      </c>
      <c r="JF32" s="133">
        <v>43356</v>
      </c>
      <c r="JG32" s="133">
        <v>212489</v>
      </c>
      <c r="JH32" s="133">
        <v>35080</v>
      </c>
      <c r="JI32" s="133">
        <v>64927</v>
      </c>
      <c r="JJ32" s="133">
        <v>144154</v>
      </c>
      <c r="JK32" s="133">
        <v>193859</v>
      </c>
      <c r="JL32" s="133">
        <v>10828</v>
      </c>
      <c r="JM32" s="133">
        <v>170943</v>
      </c>
      <c r="JN32" s="133">
        <v>142806</v>
      </c>
    </row>
    <row r="33" spans="1:274" s="133" customFormat="1" ht="15" customHeight="1" x14ac:dyDescent="0.25">
      <c r="A33" s="135" t="s">
        <v>382</v>
      </c>
      <c r="B33" s="135"/>
      <c r="C33" s="135" t="s">
        <v>1069</v>
      </c>
      <c r="D33" s="135"/>
      <c r="E33" s="136"/>
      <c r="F33" s="135"/>
      <c r="G33" s="135" t="s">
        <v>383</v>
      </c>
      <c r="Q33" s="133">
        <v>0</v>
      </c>
      <c r="AH33" s="133">
        <v>3524392</v>
      </c>
      <c r="AI33" s="133">
        <v>1281284</v>
      </c>
      <c r="AJ33" s="133">
        <v>1240613</v>
      </c>
      <c r="AK33" s="133">
        <v>87748</v>
      </c>
      <c r="AL33" s="133">
        <v>314252</v>
      </c>
      <c r="CV33" s="133">
        <v>51096</v>
      </c>
      <c r="CW33" s="133">
        <v>226080</v>
      </c>
      <c r="CX33" s="133">
        <v>320658</v>
      </c>
      <c r="CZ33" s="133">
        <v>12480</v>
      </c>
      <c r="DA33" s="133">
        <v>194413</v>
      </c>
      <c r="DB33" s="133">
        <v>5170</v>
      </c>
      <c r="DC33" s="133">
        <v>137125</v>
      </c>
      <c r="DD33" s="133">
        <v>1376</v>
      </c>
      <c r="DE33" s="133">
        <v>9600</v>
      </c>
      <c r="DF33" s="133">
        <v>417024</v>
      </c>
      <c r="DG33" s="133">
        <v>56368</v>
      </c>
      <c r="DH33" s="133">
        <v>160152</v>
      </c>
      <c r="DJ33" s="133">
        <v>209989</v>
      </c>
      <c r="DK33" s="133">
        <v>20672</v>
      </c>
      <c r="DL33" s="133">
        <v>127538</v>
      </c>
      <c r="DM33" s="133">
        <v>243728</v>
      </c>
      <c r="DQ33" s="133">
        <v>110457</v>
      </c>
      <c r="DR33" s="133">
        <v>71693</v>
      </c>
      <c r="DS33" s="133">
        <v>393600</v>
      </c>
      <c r="DT33" s="133">
        <v>145184</v>
      </c>
      <c r="DZ33" s="133">
        <v>351637</v>
      </c>
      <c r="EA33" s="133">
        <v>540980</v>
      </c>
      <c r="EB33" s="133">
        <v>723132</v>
      </c>
      <c r="ED33" s="133">
        <v>59325</v>
      </c>
      <c r="EE33" s="133">
        <v>776424</v>
      </c>
      <c r="EF33" s="133">
        <v>33896</v>
      </c>
      <c r="EG33" s="133">
        <v>293874</v>
      </c>
      <c r="EH33" s="133">
        <v>13018</v>
      </c>
      <c r="EI33" s="133">
        <v>14758</v>
      </c>
      <c r="EJ33" s="133">
        <v>1296317</v>
      </c>
      <c r="EK33" s="133">
        <v>117972</v>
      </c>
      <c r="EL33" s="133">
        <v>1029859</v>
      </c>
      <c r="EN33" s="133">
        <v>887139</v>
      </c>
      <c r="EO33" s="133">
        <v>111805</v>
      </c>
      <c r="EP33" s="133">
        <v>249898</v>
      </c>
      <c r="EQ33" s="133">
        <v>559664</v>
      </c>
      <c r="EU33" s="133">
        <v>474446</v>
      </c>
      <c r="EV33" s="133">
        <v>117124</v>
      </c>
      <c r="EW33" s="133">
        <v>591411</v>
      </c>
      <c r="EX33" s="133">
        <v>754024</v>
      </c>
      <c r="IP33" s="133">
        <v>77637</v>
      </c>
      <c r="IQ33" s="133">
        <v>70134</v>
      </c>
      <c r="IR33" s="133">
        <v>278668</v>
      </c>
      <c r="IT33" s="133">
        <v>4966</v>
      </c>
      <c r="IU33" s="133">
        <v>210103</v>
      </c>
      <c r="IV33" s="133">
        <v>8080</v>
      </c>
      <c r="IW33" s="133">
        <v>681850</v>
      </c>
      <c r="IX33" s="133">
        <v>28</v>
      </c>
      <c r="IY33" s="133">
        <v>684</v>
      </c>
      <c r="IZ33" s="133">
        <v>86556</v>
      </c>
      <c r="JA33" s="133">
        <v>15580</v>
      </c>
      <c r="JB33" s="133">
        <v>144121</v>
      </c>
      <c r="JD33" s="133">
        <v>206510</v>
      </c>
      <c r="JE33" s="133">
        <v>21864</v>
      </c>
      <c r="JF33" s="133">
        <v>23541</v>
      </c>
      <c r="JG33" s="133">
        <v>161400</v>
      </c>
      <c r="JK33" s="133">
        <v>67046</v>
      </c>
      <c r="JL33" s="133">
        <v>118649</v>
      </c>
      <c r="JM33" s="133">
        <v>43568</v>
      </c>
      <c r="JN33" s="133">
        <v>182142</v>
      </c>
    </row>
    <row r="34" spans="1:274" s="133" customFormat="1" x14ac:dyDescent="0.25">
      <c r="A34" s="135" t="s">
        <v>433</v>
      </c>
      <c r="B34" s="135"/>
      <c r="C34" s="135" t="s">
        <v>1069</v>
      </c>
      <c r="D34" s="135"/>
      <c r="E34" s="136"/>
      <c r="F34" s="135"/>
      <c r="G34" s="135" t="s">
        <v>434</v>
      </c>
      <c r="Q34" s="133">
        <v>1347867</v>
      </c>
      <c r="AH34" s="133">
        <v>1870422</v>
      </c>
      <c r="AI34" s="133">
        <v>1236872</v>
      </c>
      <c r="AJ34" s="133">
        <v>477451</v>
      </c>
      <c r="AK34" s="133">
        <v>1373032</v>
      </c>
      <c r="AL34" s="133">
        <v>168319</v>
      </c>
      <c r="CU34" s="133">
        <v>11184</v>
      </c>
      <c r="CV34" s="133">
        <v>89724</v>
      </c>
      <c r="CW34" s="133">
        <v>255488</v>
      </c>
      <c r="CX34" s="133">
        <v>162303</v>
      </c>
      <c r="CZ34" s="133">
        <v>17692</v>
      </c>
      <c r="DA34" s="133">
        <v>153653</v>
      </c>
      <c r="DB34" s="133">
        <v>10680</v>
      </c>
      <c r="DC34" s="133">
        <v>47829</v>
      </c>
      <c r="DE34" s="133">
        <v>38368</v>
      </c>
      <c r="DF34" s="133">
        <v>349160</v>
      </c>
      <c r="DG34" s="133">
        <v>61872</v>
      </c>
      <c r="DH34" s="133">
        <v>11568</v>
      </c>
      <c r="DJ34" s="133">
        <v>217230</v>
      </c>
      <c r="DK34" s="133">
        <v>19664</v>
      </c>
      <c r="DL34" s="133">
        <v>23396</v>
      </c>
      <c r="DM34" s="133">
        <v>108304</v>
      </c>
      <c r="DN34" s="133">
        <v>33264</v>
      </c>
      <c r="DO34" s="133">
        <v>59344</v>
      </c>
      <c r="DQ34" s="133">
        <v>1264</v>
      </c>
      <c r="DR34" s="133">
        <v>74746</v>
      </c>
      <c r="DS34" s="133">
        <v>266070</v>
      </c>
      <c r="DT34" s="133">
        <v>79808</v>
      </c>
      <c r="DY34" s="133">
        <v>70223</v>
      </c>
      <c r="DZ34" s="133">
        <v>210523</v>
      </c>
      <c r="EA34" s="133">
        <v>298778</v>
      </c>
      <c r="EB34" s="133">
        <v>255665</v>
      </c>
      <c r="ED34" s="133">
        <v>76555</v>
      </c>
      <c r="EE34" s="133">
        <v>179868</v>
      </c>
      <c r="EF34" s="133">
        <v>15650</v>
      </c>
      <c r="EG34" s="133">
        <v>76459</v>
      </c>
      <c r="EI34" s="133">
        <v>199246</v>
      </c>
      <c r="EJ34" s="133">
        <v>908989</v>
      </c>
      <c r="EK34" s="133">
        <v>84967</v>
      </c>
      <c r="EL34" s="133">
        <v>56332</v>
      </c>
      <c r="EN34" s="133">
        <v>709624</v>
      </c>
      <c r="EO34" s="133">
        <v>108212</v>
      </c>
      <c r="EP34" s="133">
        <v>200502</v>
      </c>
      <c r="EQ34" s="133">
        <v>192464</v>
      </c>
      <c r="ER34" s="133">
        <v>89216</v>
      </c>
      <c r="ES34" s="133">
        <v>367304</v>
      </c>
      <c r="EU34" s="133">
        <v>5886</v>
      </c>
      <c r="EV34" s="133">
        <v>201508</v>
      </c>
      <c r="EW34" s="133">
        <v>639244</v>
      </c>
      <c r="EX34" s="133">
        <v>364098</v>
      </c>
      <c r="IO34" s="133">
        <v>72732</v>
      </c>
      <c r="IP34" s="133">
        <v>122733</v>
      </c>
      <c r="IQ34" s="133">
        <v>343776</v>
      </c>
      <c r="IR34" s="133">
        <v>121495</v>
      </c>
      <c r="IT34" s="133">
        <v>39743</v>
      </c>
      <c r="IU34" s="133">
        <v>147894</v>
      </c>
      <c r="IV34" s="133">
        <v>19414</v>
      </c>
      <c r="IW34" s="133">
        <v>72941</v>
      </c>
      <c r="IY34" s="133">
        <v>101767</v>
      </c>
      <c r="IZ34" s="133">
        <v>448692</v>
      </c>
      <c r="JA34" s="133">
        <v>50401</v>
      </c>
      <c r="JB34" s="133">
        <v>18331</v>
      </c>
      <c r="JD34" s="133">
        <v>304338</v>
      </c>
      <c r="JE34" s="133">
        <v>30646</v>
      </c>
      <c r="JF34" s="133">
        <v>47057</v>
      </c>
      <c r="JG34" s="133">
        <v>59014</v>
      </c>
      <c r="JH34" s="133">
        <v>59806</v>
      </c>
      <c r="JI34" s="133">
        <v>75717</v>
      </c>
      <c r="JK34" s="133">
        <v>1128</v>
      </c>
      <c r="JL34" s="133">
        <v>93598</v>
      </c>
      <c r="JM34" s="133">
        <v>91516</v>
      </c>
      <c r="JN34" s="133">
        <v>64374</v>
      </c>
    </row>
    <row r="35" spans="1:274" s="133" customFormat="1" ht="15" customHeight="1" x14ac:dyDescent="0.25">
      <c r="A35" s="135" t="s">
        <v>384</v>
      </c>
      <c r="B35" s="135"/>
      <c r="C35" s="135" t="s">
        <v>1069</v>
      </c>
      <c r="D35" s="135"/>
      <c r="E35" s="136"/>
      <c r="F35" s="135"/>
      <c r="G35" s="135" t="s">
        <v>385</v>
      </c>
      <c r="Q35" s="133">
        <v>950567</v>
      </c>
      <c r="AH35" s="133">
        <v>1741581</v>
      </c>
      <c r="AI35" s="133">
        <v>868009</v>
      </c>
      <c r="AJ35" s="133">
        <v>532294</v>
      </c>
      <c r="AK35" s="133">
        <v>599905</v>
      </c>
      <c r="AL35" s="133">
        <v>0</v>
      </c>
      <c r="CU35" s="133">
        <v>2832</v>
      </c>
      <c r="CW35" s="133">
        <v>186152</v>
      </c>
      <c r="CX35" s="133">
        <v>129738</v>
      </c>
      <c r="CY35" s="133">
        <v>3872</v>
      </c>
      <c r="CZ35" s="133">
        <v>7744</v>
      </c>
      <c r="DA35" s="133">
        <v>228334</v>
      </c>
      <c r="DC35" s="133">
        <v>27682</v>
      </c>
      <c r="DD35" s="133">
        <v>672</v>
      </c>
      <c r="DE35" s="133">
        <v>14694</v>
      </c>
      <c r="DF35" s="133">
        <v>310256</v>
      </c>
      <c r="DG35" s="133">
        <v>18438</v>
      </c>
      <c r="DH35" s="133">
        <v>46400</v>
      </c>
      <c r="DJ35" s="133">
        <v>67822</v>
      </c>
      <c r="DL35" s="133">
        <v>135360</v>
      </c>
      <c r="DM35" s="133">
        <v>184688</v>
      </c>
      <c r="DO35" s="133">
        <v>17584</v>
      </c>
      <c r="DP35" s="133">
        <v>1280</v>
      </c>
      <c r="DQ35" s="133">
        <v>102672</v>
      </c>
      <c r="DR35" s="133">
        <v>89171</v>
      </c>
      <c r="DS35" s="133">
        <v>280400</v>
      </c>
      <c r="DT35" s="133">
        <v>96192</v>
      </c>
      <c r="DY35" s="133">
        <v>1600</v>
      </c>
      <c r="EA35" s="133">
        <v>344000</v>
      </c>
      <c r="EB35" s="133">
        <v>441642</v>
      </c>
      <c r="EC35" s="133">
        <v>65134</v>
      </c>
      <c r="ED35" s="133">
        <v>40715</v>
      </c>
      <c r="EE35" s="133">
        <v>360822</v>
      </c>
      <c r="EG35" s="133">
        <v>34597</v>
      </c>
      <c r="EH35" s="133">
        <v>1243</v>
      </c>
      <c r="EI35" s="133">
        <v>49281</v>
      </c>
      <c r="EJ35" s="133">
        <v>582663</v>
      </c>
      <c r="EK35" s="133">
        <v>23327</v>
      </c>
      <c r="EL35" s="133">
        <v>441753</v>
      </c>
      <c r="EN35" s="133">
        <v>122817</v>
      </c>
      <c r="EP35" s="133">
        <v>274689</v>
      </c>
      <c r="EQ35" s="133">
        <v>381795</v>
      </c>
      <c r="ES35" s="133">
        <v>191196</v>
      </c>
      <c r="ET35" s="133">
        <v>554</v>
      </c>
      <c r="EU35" s="133">
        <v>296880</v>
      </c>
      <c r="EV35" s="133">
        <v>122587</v>
      </c>
      <c r="EW35" s="133">
        <v>395233</v>
      </c>
      <c r="EX35" s="133">
        <v>253930</v>
      </c>
      <c r="IO35" s="133">
        <v>819</v>
      </c>
      <c r="IQ35" s="133">
        <v>70243</v>
      </c>
      <c r="IR35" s="133">
        <v>75061</v>
      </c>
      <c r="IS35" s="133">
        <v>43857</v>
      </c>
      <c r="IT35" s="133">
        <v>183462</v>
      </c>
      <c r="IU35" s="133">
        <v>91137</v>
      </c>
      <c r="IW35" s="133">
        <v>4290</v>
      </c>
      <c r="IX35" s="133">
        <v>0</v>
      </c>
      <c r="IY35" s="133">
        <v>5771</v>
      </c>
      <c r="IZ35" s="133">
        <v>66245</v>
      </c>
      <c r="JA35" s="133">
        <v>743</v>
      </c>
      <c r="JB35" s="133">
        <v>59447</v>
      </c>
      <c r="JD35" s="133">
        <v>54493</v>
      </c>
      <c r="JF35" s="133">
        <v>38086</v>
      </c>
      <c r="JG35" s="133">
        <v>12379</v>
      </c>
      <c r="JI35" s="133">
        <v>58047</v>
      </c>
      <c r="JJ35" s="133">
        <v>0</v>
      </c>
      <c r="JK35" s="133">
        <v>35334</v>
      </c>
      <c r="JL35" s="133">
        <v>29675</v>
      </c>
      <c r="JM35" s="133">
        <v>34499</v>
      </c>
      <c r="JN35" s="133">
        <v>100458</v>
      </c>
    </row>
    <row r="36" spans="1:274" s="133" customFormat="1" x14ac:dyDescent="0.25">
      <c r="A36" s="135" t="s">
        <v>362</v>
      </c>
      <c r="B36" s="135"/>
      <c r="C36" s="135" t="s">
        <v>1069</v>
      </c>
      <c r="D36" s="135"/>
      <c r="E36" s="136"/>
      <c r="F36" s="135"/>
      <c r="G36" s="135" t="s">
        <v>363</v>
      </c>
      <c r="Q36" s="133">
        <v>349234</v>
      </c>
      <c r="AH36" s="133">
        <v>1262615</v>
      </c>
      <c r="AI36" s="133">
        <v>547416</v>
      </c>
      <c r="AJ36" s="133">
        <v>215410</v>
      </c>
      <c r="AK36" s="133">
        <v>615566</v>
      </c>
      <c r="AL36" s="133">
        <v>0</v>
      </c>
      <c r="CU36" s="133">
        <v>43972</v>
      </c>
      <c r="CV36" s="133">
        <v>48390</v>
      </c>
      <c r="CW36" s="133">
        <v>120368</v>
      </c>
      <c r="CX36" s="133">
        <v>68294</v>
      </c>
      <c r="CZ36" s="133">
        <v>912</v>
      </c>
      <c r="DA36" s="133">
        <v>114316</v>
      </c>
      <c r="DC36" s="133">
        <v>52240</v>
      </c>
      <c r="DE36" s="133">
        <v>4258</v>
      </c>
      <c r="DF36" s="133">
        <v>236496</v>
      </c>
      <c r="DG36" s="133">
        <v>31184</v>
      </c>
      <c r="DH36" s="133">
        <v>73056</v>
      </c>
      <c r="DJ36" s="133">
        <v>74626</v>
      </c>
      <c r="DL36" s="133">
        <v>119052</v>
      </c>
      <c r="DM36" s="133">
        <v>166672</v>
      </c>
      <c r="DP36" s="133">
        <v>8512</v>
      </c>
      <c r="DQ36" s="133">
        <v>54960</v>
      </c>
      <c r="DR36" s="133">
        <v>27360</v>
      </c>
      <c r="DS36" s="133">
        <v>299808</v>
      </c>
      <c r="DT36" s="133">
        <v>49920</v>
      </c>
      <c r="DY36" s="133">
        <v>157757</v>
      </c>
      <c r="DZ36" s="133">
        <v>143708</v>
      </c>
      <c r="EA36" s="133">
        <v>274459</v>
      </c>
      <c r="EB36" s="133">
        <v>207040</v>
      </c>
      <c r="ED36" s="133">
        <v>3000</v>
      </c>
      <c r="EE36" s="133">
        <v>246430</v>
      </c>
      <c r="EG36" s="133">
        <v>77549</v>
      </c>
      <c r="EI36" s="133">
        <v>39708</v>
      </c>
      <c r="EJ36" s="133">
        <v>564460</v>
      </c>
      <c r="EK36" s="133">
        <v>87306</v>
      </c>
      <c r="EL36" s="133">
        <v>320108</v>
      </c>
      <c r="EN36" s="133">
        <v>369755</v>
      </c>
      <c r="EP36" s="133">
        <v>348791</v>
      </c>
      <c r="EQ36" s="133">
        <v>255066</v>
      </c>
      <c r="ET36" s="133">
        <v>34776</v>
      </c>
      <c r="EU36" s="133">
        <v>180833</v>
      </c>
      <c r="EV36" s="133">
        <v>73684</v>
      </c>
      <c r="EW36" s="133">
        <v>530253</v>
      </c>
      <c r="EX36" s="133">
        <v>157945</v>
      </c>
      <c r="IO36" s="133">
        <v>114227</v>
      </c>
      <c r="IP36" s="133">
        <v>84884</v>
      </c>
      <c r="IQ36" s="133">
        <v>34436</v>
      </c>
      <c r="IR36" s="133">
        <v>14854</v>
      </c>
      <c r="IT36" s="133">
        <v>200</v>
      </c>
      <c r="IU36" s="133">
        <v>270298</v>
      </c>
      <c r="IW36" s="133">
        <v>18597</v>
      </c>
      <c r="IY36" s="133">
        <v>40581</v>
      </c>
      <c r="IZ36" s="133">
        <v>34330</v>
      </c>
      <c r="JA36" s="133">
        <v>1733</v>
      </c>
      <c r="JB36" s="133">
        <v>28367</v>
      </c>
      <c r="JD36" s="133">
        <v>134365</v>
      </c>
      <c r="JF36" s="133">
        <v>101288</v>
      </c>
      <c r="JG36" s="133">
        <v>18459</v>
      </c>
      <c r="JJ36" s="133">
        <v>3230</v>
      </c>
      <c r="JK36" s="133">
        <v>12935</v>
      </c>
      <c r="JL36" s="133">
        <v>3789</v>
      </c>
      <c r="JM36" s="133">
        <v>34139</v>
      </c>
      <c r="JN36" s="133">
        <v>40021</v>
      </c>
    </row>
    <row r="37" spans="1:274" s="133" customFormat="1" x14ac:dyDescent="0.25">
      <c r="A37" s="135" t="s">
        <v>443</v>
      </c>
      <c r="B37" s="135"/>
      <c r="C37" s="135" t="s">
        <v>1069</v>
      </c>
      <c r="D37" s="135"/>
      <c r="E37" s="136"/>
      <c r="F37" s="135"/>
      <c r="G37" s="135" t="s">
        <v>1074</v>
      </c>
      <c r="Q37" s="133">
        <v>2585818</v>
      </c>
      <c r="AH37" s="133">
        <v>9836033</v>
      </c>
      <c r="AI37" s="133">
        <v>6233787</v>
      </c>
      <c r="AJ37" s="133">
        <v>3629805</v>
      </c>
      <c r="AK37" s="133">
        <v>8054280</v>
      </c>
      <c r="AL37" s="133">
        <v>13379</v>
      </c>
      <c r="CU37" s="133">
        <v>30084</v>
      </c>
      <c r="CV37" s="133">
        <v>317042</v>
      </c>
      <c r="CW37" s="133">
        <v>930128</v>
      </c>
      <c r="CX37" s="133">
        <v>722536</v>
      </c>
      <c r="CY37" s="133">
        <v>816</v>
      </c>
      <c r="CZ37" s="133">
        <v>7328</v>
      </c>
      <c r="DA37" s="133">
        <v>911120</v>
      </c>
      <c r="DB37" s="133">
        <v>3860</v>
      </c>
      <c r="DC37" s="133">
        <v>180174</v>
      </c>
      <c r="DD37" s="133">
        <v>4128</v>
      </c>
      <c r="DE37" s="133">
        <v>139132</v>
      </c>
      <c r="DF37" s="133">
        <v>1566666</v>
      </c>
      <c r="DG37" s="133">
        <v>164052</v>
      </c>
      <c r="DH37" s="133">
        <v>153850</v>
      </c>
      <c r="DJ37" s="133">
        <v>204359</v>
      </c>
      <c r="DK37" s="133">
        <v>31072</v>
      </c>
      <c r="DL37" s="133">
        <v>176327</v>
      </c>
      <c r="DM37" s="133">
        <v>1206304</v>
      </c>
      <c r="DN37" s="133">
        <v>41344</v>
      </c>
      <c r="DP37" s="133">
        <v>36080</v>
      </c>
      <c r="DQ37" s="133">
        <v>322896</v>
      </c>
      <c r="DR37" s="133">
        <v>112348</v>
      </c>
      <c r="DS37" s="133">
        <v>1519696</v>
      </c>
      <c r="DT37" s="133">
        <v>311536</v>
      </c>
      <c r="DY37" s="133">
        <v>132065</v>
      </c>
      <c r="DZ37" s="133">
        <v>864412</v>
      </c>
      <c r="EA37" s="133">
        <v>2415720</v>
      </c>
      <c r="EB37" s="133">
        <v>1972383</v>
      </c>
      <c r="EC37" s="133">
        <v>10986</v>
      </c>
      <c r="ED37" s="133">
        <v>38676</v>
      </c>
      <c r="EE37" s="133">
        <v>1659555</v>
      </c>
      <c r="EF37" s="133">
        <v>16717</v>
      </c>
      <c r="EG37" s="133">
        <v>508788</v>
      </c>
      <c r="EH37" s="133">
        <v>21779</v>
      </c>
      <c r="EI37" s="133">
        <v>399583</v>
      </c>
      <c r="EJ37" s="133">
        <v>4287724</v>
      </c>
      <c r="EK37" s="133">
        <v>409172</v>
      </c>
      <c r="EL37" s="133">
        <v>832686</v>
      </c>
      <c r="EN37" s="133">
        <v>569972</v>
      </c>
      <c r="EO37" s="133">
        <v>149609</v>
      </c>
      <c r="EP37" s="133">
        <v>513283</v>
      </c>
      <c r="EQ37" s="133">
        <v>2594367</v>
      </c>
      <c r="ER37" s="133">
        <v>158452</v>
      </c>
      <c r="ET37" s="133">
        <v>157776</v>
      </c>
      <c r="EU37" s="133">
        <v>957706</v>
      </c>
      <c r="EV37" s="133">
        <v>213601</v>
      </c>
      <c r="EW37" s="133">
        <v>3897435</v>
      </c>
      <c r="EX37" s="133">
        <v>1241773</v>
      </c>
      <c r="IO37" s="133">
        <v>104601</v>
      </c>
      <c r="IP37" s="133">
        <v>405690</v>
      </c>
      <c r="IQ37" s="133">
        <v>757489</v>
      </c>
      <c r="IR37" s="133">
        <v>614048</v>
      </c>
      <c r="IS37" s="133">
        <v>409</v>
      </c>
      <c r="IT37" s="133">
        <v>10876</v>
      </c>
      <c r="IU37" s="133">
        <v>1735734</v>
      </c>
      <c r="IV37" s="133">
        <v>847</v>
      </c>
      <c r="IW37" s="133">
        <v>129822</v>
      </c>
      <c r="IX37" s="133">
        <v>770</v>
      </c>
      <c r="IY37" s="133">
        <v>225417</v>
      </c>
      <c r="IZ37" s="133">
        <v>875374</v>
      </c>
      <c r="JA37" s="133">
        <v>76856</v>
      </c>
      <c r="JB37" s="133">
        <v>136778</v>
      </c>
      <c r="JD37" s="133">
        <v>256898</v>
      </c>
      <c r="JE37" s="133">
        <v>20377</v>
      </c>
      <c r="JF37" s="133">
        <v>126700</v>
      </c>
      <c r="JG37" s="133">
        <v>697739</v>
      </c>
      <c r="JH37" s="133">
        <v>45631</v>
      </c>
      <c r="JJ37" s="133">
        <v>36900</v>
      </c>
      <c r="JK37" s="133">
        <v>296656</v>
      </c>
      <c r="JL37" s="133">
        <v>51809</v>
      </c>
      <c r="JM37" s="133">
        <v>701430</v>
      </c>
      <c r="JN37" s="133">
        <v>356615</v>
      </c>
    </row>
    <row r="38" spans="1:274" s="133" customFormat="1" x14ac:dyDescent="0.25">
      <c r="A38" s="135" t="s">
        <v>446</v>
      </c>
      <c r="B38" s="135"/>
      <c r="C38" s="135" t="s">
        <v>1069</v>
      </c>
      <c r="D38" s="135"/>
      <c r="E38" s="136"/>
      <c r="F38" s="135"/>
      <c r="G38" s="135" t="s">
        <v>447</v>
      </c>
      <c r="Q38" s="133">
        <v>298840</v>
      </c>
      <c r="AH38" s="133">
        <v>1739566</v>
      </c>
      <c r="AI38" s="133">
        <v>424484</v>
      </c>
      <c r="AJ38" s="133">
        <v>243829</v>
      </c>
      <c r="AK38" s="133">
        <v>560370</v>
      </c>
      <c r="AL38" s="133">
        <v>92816</v>
      </c>
      <c r="CU38" s="133">
        <v>14432</v>
      </c>
      <c r="CV38" s="133">
        <v>22128</v>
      </c>
      <c r="CW38" s="133">
        <v>129296</v>
      </c>
      <c r="CX38" s="133">
        <v>48119</v>
      </c>
      <c r="CZ38" s="133">
        <v>4144</v>
      </c>
      <c r="DA38" s="133">
        <v>70836</v>
      </c>
      <c r="DC38" s="133">
        <v>26592</v>
      </c>
      <c r="DF38" s="133">
        <v>165392</v>
      </c>
      <c r="DG38" s="133">
        <v>8864</v>
      </c>
      <c r="DH38" s="133">
        <v>26176</v>
      </c>
      <c r="DI38" s="133">
        <v>1056</v>
      </c>
      <c r="DJ38" s="133">
        <v>12661</v>
      </c>
      <c r="DL38" s="133">
        <v>77776</v>
      </c>
      <c r="DM38" s="133">
        <v>68800</v>
      </c>
      <c r="DN38" s="133">
        <v>21040</v>
      </c>
      <c r="DO38" s="133">
        <v>38595</v>
      </c>
      <c r="DQ38" s="133">
        <v>38864</v>
      </c>
      <c r="DR38" s="133">
        <v>55316</v>
      </c>
      <c r="DS38" s="133">
        <v>156624</v>
      </c>
      <c r="DT38" s="133">
        <v>34560</v>
      </c>
      <c r="DY38" s="133">
        <v>42831</v>
      </c>
      <c r="DZ38" s="133">
        <v>21910</v>
      </c>
      <c r="EA38" s="133">
        <v>314175</v>
      </c>
      <c r="EB38" s="133">
        <v>171892</v>
      </c>
      <c r="ED38" s="133">
        <v>26933</v>
      </c>
      <c r="EE38" s="133">
        <v>171775</v>
      </c>
      <c r="EG38" s="133">
        <v>38068</v>
      </c>
      <c r="EJ38" s="133">
        <v>270768</v>
      </c>
      <c r="EK38" s="133">
        <v>40466</v>
      </c>
      <c r="EL38" s="133">
        <v>175373</v>
      </c>
      <c r="EM38" s="133">
        <v>3700</v>
      </c>
      <c r="EN38" s="133">
        <v>59247</v>
      </c>
      <c r="EP38" s="133">
        <v>126044</v>
      </c>
      <c r="EQ38" s="133">
        <v>192888</v>
      </c>
      <c r="ER38" s="133">
        <v>130871</v>
      </c>
      <c r="ES38" s="133">
        <v>73338</v>
      </c>
      <c r="EU38" s="133">
        <v>96912</v>
      </c>
      <c r="EV38" s="133">
        <v>158625</v>
      </c>
      <c r="EW38" s="133">
        <v>319544</v>
      </c>
      <c r="EX38" s="133">
        <v>183876</v>
      </c>
      <c r="IO38" s="133">
        <v>5269</v>
      </c>
      <c r="IP38" s="133">
        <v>39698</v>
      </c>
      <c r="IQ38" s="133">
        <v>93851</v>
      </c>
      <c r="IR38" s="133">
        <v>9797</v>
      </c>
      <c r="IT38" s="133">
        <v>240</v>
      </c>
      <c r="IU38" s="133">
        <v>32768</v>
      </c>
      <c r="IW38" s="133">
        <v>6644</v>
      </c>
      <c r="IZ38" s="133">
        <v>25637</v>
      </c>
      <c r="JA38" s="133">
        <v>3333</v>
      </c>
      <c r="JB38" s="133">
        <v>18985</v>
      </c>
      <c r="JC38" s="133">
        <v>5600</v>
      </c>
      <c r="JD38" s="133">
        <v>31253</v>
      </c>
      <c r="JF38" s="133">
        <v>15810</v>
      </c>
      <c r="JG38" s="133">
        <v>10049</v>
      </c>
      <c r="JH38" s="133">
        <v>30868</v>
      </c>
      <c r="JI38" s="133">
        <v>39227</v>
      </c>
      <c r="JK38" s="133">
        <v>2619</v>
      </c>
      <c r="JL38" s="133">
        <v>8418</v>
      </c>
      <c r="JM38" s="133">
        <v>15536</v>
      </c>
      <c r="JN38" s="133">
        <v>22821</v>
      </c>
    </row>
    <row r="39" spans="1:274" s="133" customFormat="1" x14ac:dyDescent="0.25">
      <c r="A39" s="135" t="s">
        <v>386</v>
      </c>
      <c r="B39" s="135"/>
      <c r="C39" s="135" t="s">
        <v>1069</v>
      </c>
      <c r="D39" s="135"/>
      <c r="E39" s="136"/>
      <c r="F39" s="135"/>
      <c r="G39" s="135" t="s">
        <v>387</v>
      </c>
      <c r="Q39" s="133">
        <v>1116446</v>
      </c>
      <c r="AH39" s="133">
        <v>2619212</v>
      </c>
      <c r="AI39" s="133">
        <v>1422767</v>
      </c>
      <c r="AJ39" s="133">
        <v>556111</v>
      </c>
      <c r="AK39" s="133">
        <v>889072</v>
      </c>
      <c r="AL39" s="133">
        <v>419953</v>
      </c>
      <c r="CU39" s="133">
        <v>9472</v>
      </c>
      <c r="CV39" s="133">
        <v>35796</v>
      </c>
      <c r="CW39" s="133">
        <v>171543</v>
      </c>
      <c r="CX39" s="133">
        <v>112357</v>
      </c>
      <c r="CZ39" s="133">
        <v>4048</v>
      </c>
      <c r="DA39" s="133">
        <v>85198</v>
      </c>
      <c r="DB39" s="133">
        <v>31056</v>
      </c>
      <c r="DC39" s="133">
        <v>150642</v>
      </c>
      <c r="DE39" s="133">
        <v>47862</v>
      </c>
      <c r="DF39" s="133">
        <v>359329</v>
      </c>
      <c r="DG39" s="133">
        <v>19794</v>
      </c>
      <c r="DH39" s="133">
        <v>95582</v>
      </c>
      <c r="DJ39" s="133">
        <v>147631</v>
      </c>
      <c r="DK39" s="133">
        <v>30896</v>
      </c>
      <c r="DL39" s="133">
        <v>74816</v>
      </c>
      <c r="DM39" s="133">
        <v>209728</v>
      </c>
      <c r="DN39" s="133">
        <v>39276</v>
      </c>
      <c r="DO39" s="133">
        <v>46520</v>
      </c>
      <c r="DP39" s="133">
        <v>7232</v>
      </c>
      <c r="DQ39" s="133">
        <v>102656</v>
      </c>
      <c r="DR39" s="133">
        <v>124752</v>
      </c>
      <c r="DS39" s="133">
        <v>256428</v>
      </c>
      <c r="DT39" s="133">
        <v>68320</v>
      </c>
      <c r="DY39" s="133">
        <v>14019</v>
      </c>
      <c r="DZ39" s="133">
        <v>132030</v>
      </c>
      <c r="EA39" s="133">
        <v>403397</v>
      </c>
      <c r="EB39" s="133">
        <v>380857</v>
      </c>
      <c r="ED39" s="133">
        <v>6047</v>
      </c>
      <c r="EE39" s="133">
        <v>205904</v>
      </c>
      <c r="EF39" s="133">
        <v>40734</v>
      </c>
      <c r="EG39" s="133">
        <v>417090</v>
      </c>
      <c r="EI39" s="133">
        <v>213165</v>
      </c>
      <c r="EJ39" s="133">
        <v>906575</v>
      </c>
      <c r="EK39" s="133">
        <v>54982</v>
      </c>
      <c r="EL39" s="133">
        <v>678987</v>
      </c>
      <c r="EN39" s="133">
        <v>524504</v>
      </c>
      <c r="EO39" s="133">
        <v>134317</v>
      </c>
      <c r="EP39" s="133">
        <v>186531</v>
      </c>
      <c r="EQ39" s="133">
        <v>465940</v>
      </c>
      <c r="ER39" s="133">
        <v>73504</v>
      </c>
      <c r="ES39" s="133">
        <v>44972</v>
      </c>
      <c r="ET39" s="133">
        <v>14307</v>
      </c>
      <c r="EU39" s="133">
        <v>253626</v>
      </c>
      <c r="EV39" s="133">
        <v>355539</v>
      </c>
      <c r="EW39" s="133">
        <v>668278</v>
      </c>
      <c r="EX39" s="133">
        <v>359200</v>
      </c>
      <c r="IO39" s="133">
        <v>6554</v>
      </c>
      <c r="IP39" s="133">
        <v>51407</v>
      </c>
      <c r="IQ39" s="133">
        <v>108163</v>
      </c>
      <c r="IR39" s="133">
        <v>92731</v>
      </c>
      <c r="IT39" s="133">
        <v>16838</v>
      </c>
      <c r="IU39" s="133">
        <v>149383</v>
      </c>
      <c r="IV39" s="133">
        <v>27628</v>
      </c>
      <c r="IW39" s="133">
        <v>69499</v>
      </c>
      <c r="IY39" s="133">
        <v>72330</v>
      </c>
      <c r="IZ39" s="133">
        <v>136447</v>
      </c>
      <c r="JA39" s="133">
        <v>6647</v>
      </c>
      <c r="JB39" s="133">
        <v>82887</v>
      </c>
      <c r="JD39" s="133">
        <v>80919</v>
      </c>
      <c r="JE39" s="133">
        <v>16660</v>
      </c>
      <c r="JF39" s="133">
        <v>31436</v>
      </c>
      <c r="JG39" s="133">
        <v>36705</v>
      </c>
      <c r="JH39" s="133">
        <v>28835</v>
      </c>
      <c r="JI39" s="133">
        <v>457725</v>
      </c>
      <c r="JJ39" s="133">
        <v>9388</v>
      </c>
      <c r="JK39" s="133">
        <v>58596</v>
      </c>
      <c r="JL39" s="133">
        <v>109635</v>
      </c>
      <c r="JM39" s="133">
        <v>31824</v>
      </c>
      <c r="JN39" s="133">
        <v>110113</v>
      </c>
    </row>
    <row r="40" spans="1:274" s="133" customFormat="1" x14ac:dyDescent="0.25">
      <c r="A40" s="135" t="s">
        <v>388</v>
      </c>
      <c r="B40" s="135"/>
      <c r="C40" s="135" t="s">
        <v>1069</v>
      </c>
      <c r="D40" s="135"/>
      <c r="E40" s="136"/>
      <c r="F40" s="135"/>
      <c r="G40" s="135" t="s">
        <v>389</v>
      </c>
      <c r="Q40" s="133">
        <v>0</v>
      </c>
      <c r="AH40" s="133">
        <v>1216083</v>
      </c>
      <c r="AI40" s="133">
        <v>536944</v>
      </c>
      <c r="AJ40" s="133">
        <v>298316</v>
      </c>
      <c r="AK40" s="133">
        <v>633724</v>
      </c>
      <c r="AL40" s="133">
        <v>0</v>
      </c>
      <c r="CU40" s="133">
        <v>33395</v>
      </c>
      <c r="CV40" s="133">
        <v>19602</v>
      </c>
      <c r="CW40" s="133">
        <v>88128</v>
      </c>
      <c r="CX40" s="133">
        <v>37234</v>
      </c>
      <c r="CZ40" s="133">
        <v>3984</v>
      </c>
      <c r="DA40" s="133">
        <v>67399</v>
      </c>
      <c r="DC40" s="133">
        <v>53568</v>
      </c>
      <c r="DD40" s="133">
        <v>320</v>
      </c>
      <c r="DE40" s="133">
        <v>960</v>
      </c>
      <c r="DF40" s="133">
        <v>111536</v>
      </c>
      <c r="DG40" s="133">
        <v>5088</v>
      </c>
      <c r="DH40" s="133">
        <v>37104</v>
      </c>
      <c r="DJ40" s="133">
        <v>55538</v>
      </c>
      <c r="DL40" s="133">
        <v>135504</v>
      </c>
      <c r="DM40" s="133">
        <v>70768</v>
      </c>
      <c r="DQ40" s="133">
        <v>46560</v>
      </c>
      <c r="DS40" s="133">
        <v>114096</v>
      </c>
      <c r="DT40" s="133">
        <v>53104</v>
      </c>
      <c r="DY40" s="133">
        <v>174179</v>
      </c>
      <c r="DZ40" s="133">
        <v>61899</v>
      </c>
      <c r="EA40" s="133">
        <v>274741</v>
      </c>
      <c r="EB40" s="133">
        <v>195373</v>
      </c>
      <c r="ED40" s="133">
        <v>48927</v>
      </c>
      <c r="EE40" s="133">
        <v>225833</v>
      </c>
      <c r="EG40" s="133">
        <v>105459</v>
      </c>
      <c r="EH40" s="133">
        <v>1500</v>
      </c>
      <c r="EI40" s="133">
        <v>3000</v>
      </c>
      <c r="EJ40" s="133">
        <v>305342</v>
      </c>
      <c r="EK40" s="133">
        <v>47784</v>
      </c>
      <c r="EL40" s="133">
        <v>311347</v>
      </c>
      <c r="EN40" s="133">
        <v>146783</v>
      </c>
      <c r="EP40" s="133">
        <v>359103</v>
      </c>
      <c r="EQ40" s="133">
        <v>197665</v>
      </c>
      <c r="EU40" s="133">
        <v>147079</v>
      </c>
      <c r="EW40" s="133">
        <v>329414</v>
      </c>
      <c r="EX40" s="133">
        <v>240194</v>
      </c>
      <c r="IO40" s="133">
        <v>12469</v>
      </c>
      <c r="IP40" s="133">
        <v>21224</v>
      </c>
      <c r="IQ40" s="133">
        <v>67865</v>
      </c>
      <c r="IR40" s="133">
        <v>29067</v>
      </c>
      <c r="IT40" s="133">
        <v>18713</v>
      </c>
      <c r="IU40" s="133">
        <v>28885</v>
      </c>
      <c r="IW40" s="133">
        <v>27457</v>
      </c>
      <c r="IX40" s="133">
        <v>0</v>
      </c>
      <c r="IY40" s="133">
        <v>0</v>
      </c>
      <c r="IZ40" s="133">
        <v>29466</v>
      </c>
      <c r="JA40" s="133">
        <v>2898</v>
      </c>
      <c r="JB40" s="133">
        <v>125335</v>
      </c>
      <c r="JD40" s="133">
        <v>136718</v>
      </c>
      <c r="JF40" s="133">
        <v>71894</v>
      </c>
      <c r="JG40" s="133">
        <v>13597</v>
      </c>
      <c r="JK40" s="133">
        <v>8884</v>
      </c>
      <c r="JM40" s="133">
        <v>15063</v>
      </c>
      <c r="JN40" s="133">
        <v>110333</v>
      </c>
    </row>
    <row r="41" spans="1:274" s="133" customFormat="1" x14ac:dyDescent="0.25">
      <c r="A41" s="135" t="s">
        <v>390</v>
      </c>
      <c r="B41" s="135"/>
      <c r="C41" s="135" t="s">
        <v>1069</v>
      </c>
      <c r="D41" s="135"/>
      <c r="E41" s="136"/>
      <c r="F41" s="135"/>
      <c r="G41" s="135" t="s">
        <v>391</v>
      </c>
      <c r="Q41" s="133">
        <v>659625</v>
      </c>
      <c r="AH41" s="133">
        <v>1642282</v>
      </c>
      <c r="AI41" s="133">
        <v>568228</v>
      </c>
      <c r="AJ41" s="133">
        <v>317305</v>
      </c>
      <c r="AK41" s="133">
        <v>432678</v>
      </c>
      <c r="AL41" s="133">
        <v>19713</v>
      </c>
      <c r="CU41" s="133">
        <v>6624</v>
      </c>
      <c r="CV41" s="133">
        <v>165384</v>
      </c>
      <c r="CW41" s="133">
        <v>152384</v>
      </c>
      <c r="CX41" s="133">
        <v>107984</v>
      </c>
      <c r="CZ41" s="133">
        <v>3504</v>
      </c>
      <c r="DA41" s="133">
        <v>84032</v>
      </c>
      <c r="DC41" s="133">
        <v>58720</v>
      </c>
      <c r="DD41" s="133">
        <v>288</v>
      </c>
      <c r="DE41" s="133">
        <v>22912</v>
      </c>
      <c r="DF41" s="133">
        <v>235638</v>
      </c>
      <c r="DG41" s="133">
        <v>11920</v>
      </c>
      <c r="DH41" s="133">
        <v>26512</v>
      </c>
      <c r="DJ41" s="133">
        <v>51568</v>
      </c>
      <c r="DL41" s="133">
        <v>64486</v>
      </c>
      <c r="DM41" s="133">
        <v>318096</v>
      </c>
      <c r="DP41" s="133">
        <v>66704</v>
      </c>
      <c r="DQ41" s="133">
        <v>79200</v>
      </c>
      <c r="DR41" s="133">
        <v>240</v>
      </c>
      <c r="DS41" s="133">
        <v>169104</v>
      </c>
      <c r="DT41" s="133">
        <v>57495</v>
      </c>
      <c r="DY41" s="133">
        <v>32606</v>
      </c>
      <c r="DZ41" s="133">
        <v>625390</v>
      </c>
      <c r="EA41" s="133">
        <v>284963</v>
      </c>
      <c r="EB41" s="133">
        <v>340662</v>
      </c>
      <c r="ED41" s="133">
        <v>30722</v>
      </c>
      <c r="EE41" s="133">
        <v>170870</v>
      </c>
      <c r="EG41" s="133">
        <v>59498</v>
      </c>
      <c r="EH41" s="133">
        <v>8000</v>
      </c>
      <c r="EI41" s="133">
        <v>42978</v>
      </c>
      <c r="EJ41" s="133">
        <v>450585</v>
      </c>
      <c r="EK41" s="133">
        <v>35295</v>
      </c>
      <c r="EL41" s="133">
        <v>266749</v>
      </c>
      <c r="EN41" s="133">
        <v>0</v>
      </c>
      <c r="EP41" s="133">
        <v>308415</v>
      </c>
      <c r="EQ41" s="133">
        <v>373014</v>
      </c>
      <c r="ET41" s="133">
        <v>119292</v>
      </c>
      <c r="EU41" s="133">
        <v>197029</v>
      </c>
      <c r="EV41" s="133">
        <v>0</v>
      </c>
      <c r="EW41" s="133">
        <v>302977</v>
      </c>
      <c r="EX41" s="133">
        <v>308562</v>
      </c>
      <c r="IO41" s="133">
        <v>14998</v>
      </c>
      <c r="IP41" s="133">
        <v>245566</v>
      </c>
      <c r="IQ41" s="133">
        <v>55758</v>
      </c>
      <c r="IR41" s="133">
        <v>22117</v>
      </c>
      <c r="IT41" s="133">
        <v>6078</v>
      </c>
      <c r="IU41" s="133">
        <v>29000</v>
      </c>
      <c r="IW41" s="133">
        <v>8977</v>
      </c>
      <c r="IX41" s="133">
        <v>0</v>
      </c>
      <c r="IY41" s="133">
        <v>35627</v>
      </c>
      <c r="IZ41" s="133">
        <v>61393</v>
      </c>
      <c r="JA41" s="133">
        <v>921</v>
      </c>
      <c r="JB41" s="133">
        <v>60553</v>
      </c>
      <c r="JD41" s="133">
        <v>0</v>
      </c>
      <c r="JF41" s="133">
        <v>12026</v>
      </c>
      <c r="JG41" s="133">
        <v>32111</v>
      </c>
      <c r="JJ41" s="133">
        <v>59796</v>
      </c>
      <c r="JK41" s="133">
        <v>19805</v>
      </c>
      <c r="JL41" s="133">
        <v>0</v>
      </c>
      <c r="JM41" s="133">
        <v>11885</v>
      </c>
      <c r="JN41" s="133">
        <v>116630</v>
      </c>
    </row>
    <row r="42" spans="1:274" s="133" customFormat="1" x14ac:dyDescent="0.25">
      <c r="A42" s="135" t="s">
        <v>392</v>
      </c>
      <c r="B42" s="135"/>
      <c r="C42" s="135" t="s">
        <v>1069</v>
      </c>
      <c r="D42" s="135"/>
      <c r="E42" s="136"/>
      <c r="F42" s="135"/>
      <c r="G42" s="135" t="s">
        <v>393</v>
      </c>
      <c r="Q42" s="133">
        <v>80132</v>
      </c>
      <c r="AH42" s="133">
        <v>555316</v>
      </c>
      <c r="AI42" s="133">
        <v>246035</v>
      </c>
      <c r="AJ42" s="133">
        <v>88113</v>
      </c>
      <c r="AK42" s="133">
        <v>125084</v>
      </c>
      <c r="AL42" s="133">
        <v>0</v>
      </c>
      <c r="CU42" s="133">
        <v>1824</v>
      </c>
      <c r="CV42" s="133">
        <v>9216</v>
      </c>
      <c r="CW42" s="133">
        <v>32000</v>
      </c>
      <c r="CX42" s="133">
        <v>26240</v>
      </c>
      <c r="CZ42" s="133">
        <v>1360</v>
      </c>
      <c r="DA42" s="133">
        <v>21408</v>
      </c>
      <c r="DC42" s="133">
        <v>40128</v>
      </c>
      <c r="DF42" s="133">
        <v>91168</v>
      </c>
      <c r="DG42" s="133">
        <v>4896</v>
      </c>
      <c r="DL42" s="133">
        <v>81168</v>
      </c>
      <c r="DM42" s="133">
        <v>36496</v>
      </c>
      <c r="DN42" s="133">
        <v>5040</v>
      </c>
      <c r="DQ42" s="133">
        <v>39072</v>
      </c>
      <c r="DR42" s="133">
        <v>2112</v>
      </c>
      <c r="DS42" s="133">
        <v>41328</v>
      </c>
      <c r="DT42" s="133">
        <v>23216</v>
      </c>
      <c r="DY42" s="133">
        <v>1950</v>
      </c>
      <c r="DZ42" s="133">
        <v>33078</v>
      </c>
      <c r="EA42" s="133">
        <v>59912</v>
      </c>
      <c r="EB42" s="133">
        <v>51341</v>
      </c>
      <c r="ED42" s="133">
        <v>1750</v>
      </c>
      <c r="EE42" s="133">
        <v>43137</v>
      </c>
      <c r="EG42" s="133">
        <v>61654</v>
      </c>
      <c r="EJ42" s="133">
        <v>177766</v>
      </c>
      <c r="EK42" s="133">
        <v>3899</v>
      </c>
      <c r="EP42" s="133">
        <v>121484</v>
      </c>
      <c r="EQ42" s="133">
        <v>67257</v>
      </c>
      <c r="ER42" s="133">
        <v>25688</v>
      </c>
      <c r="EU42" s="133">
        <v>299197</v>
      </c>
      <c r="EV42" s="133">
        <v>0</v>
      </c>
      <c r="EW42" s="133">
        <v>64466</v>
      </c>
      <c r="EX42" s="133">
        <v>61098</v>
      </c>
      <c r="IO42" s="133">
        <v>131</v>
      </c>
      <c r="IP42" s="133">
        <v>5336</v>
      </c>
      <c r="IQ42" s="133">
        <v>3176</v>
      </c>
      <c r="IR42" s="133">
        <v>7780</v>
      </c>
      <c r="IT42" s="133">
        <v>137</v>
      </c>
      <c r="IU42" s="133">
        <v>8737</v>
      </c>
      <c r="IW42" s="133">
        <v>25733</v>
      </c>
      <c r="IZ42" s="133">
        <v>6770</v>
      </c>
      <c r="JA42" s="133">
        <v>337</v>
      </c>
      <c r="JF42" s="133">
        <v>19935</v>
      </c>
      <c r="JG42" s="133">
        <v>3998</v>
      </c>
      <c r="JH42" s="133">
        <v>1826</v>
      </c>
      <c r="JK42" s="133">
        <v>4812</v>
      </c>
      <c r="JL42" s="133">
        <v>0</v>
      </c>
      <c r="JM42" s="133">
        <v>2500</v>
      </c>
      <c r="JN42" s="133">
        <v>9676</v>
      </c>
    </row>
    <row r="43" spans="1:274" s="133" customFormat="1" ht="15" customHeight="1" x14ac:dyDescent="0.25">
      <c r="A43" s="135" t="s">
        <v>396</v>
      </c>
      <c r="B43" s="135"/>
      <c r="C43" s="135" t="s">
        <v>1069</v>
      </c>
      <c r="D43" s="135"/>
      <c r="E43" s="136"/>
      <c r="F43" s="135"/>
      <c r="G43" s="135" t="s">
        <v>397</v>
      </c>
      <c r="Q43" s="133">
        <v>3038144</v>
      </c>
      <c r="AH43" s="133">
        <v>9404677</v>
      </c>
      <c r="AI43" s="133">
        <v>5088593</v>
      </c>
      <c r="AJ43" s="133">
        <v>1787464</v>
      </c>
      <c r="AK43" s="133">
        <v>3287514</v>
      </c>
      <c r="AL43" s="133">
        <v>0</v>
      </c>
      <c r="CU43" s="133">
        <v>2976</v>
      </c>
      <c r="CV43" s="133">
        <v>295902</v>
      </c>
      <c r="CW43" s="133">
        <v>950532</v>
      </c>
      <c r="CX43" s="133">
        <v>460969</v>
      </c>
      <c r="CY43" s="133">
        <v>62891</v>
      </c>
      <c r="CZ43" s="133">
        <v>23920</v>
      </c>
      <c r="DA43" s="133">
        <v>573394</v>
      </c>
      <c r="DB43" s="133">
        <v>111244</v>
      </c>
      <c r="DC43" s="133">
        <v>389498</v>
      </c>
      <c r="DD43" s="133">
        <v>2304</v>
      </c>
      <c r="DE43" s="133">
        <v>209764</v>
      </c>
      <c r="DF43" s="133">
        <v>1031782</v>
      </c>
      <c r="DG43" s="133">
        <v>78428</v>
      </c>
      <c r="DH43" s="133">
        <v>325048</v>
      </c>
      <c r="DJ43" s="133">
        <v>519397</v>
      </c>
      <c r="DK43" s="133">
        <v>25904</v>
      </c>
      <c r="DL43" s="133">
        <v>160808</v>
      </c>
      <c r="DM43" s="133">
        <v>908821</v>
      </c>
      <c r="DN43" s="133">
        <v>172032</v>
      </c>
      <c r="DO43" s="133">
        <v>78794</v>
      </c>
      <c r="DP43" s="133">
        <v>18831</v>
      </c>
      <c r="DQ43" s="133">
        <v>19120</v>
      </c>
      <c r="DR43" s="133">
        <v>162624</v>
      </c>
      <c r="DS43" s="133">
        <v>1130304</v>
      </c>
      <c r="DT43" s="133">
        <v>650270</v>
      </c>
      <c r="DY43" s="133">
        <v>3482</v>
      </c>
      <c r="DZ43" s="133">
        <v>415646</v>
      </c>
      <c r="EA43" s="133">
        <v>1262669</v>
      </c>
      <c r="EB43" s="133">
        <v>1424479</v>
      </c>
      <c r="EC43" s="133">
        <v>250120</v>
      </c>
      <c r="ED43" s="133">
        <v>96558</v>
      </c>
      <c r="EE43" s="133">
        <v>1222200</v>
      </c>
      <c r="EF43" s="133">
        <v>95822</v>
      </c>
      <c r="EG43" s="133">
        <v>1335953</v>
      </c>
      <c r="EH43" s="133">
        <v>495057</v>
      </c>
      <c r="EI43" s="133">
        <v>767849</v>
      </c>
      <c r="EJ43" s="133">
        <v>1616350</v>
      </c>
      <c r="EK43" s="133">
        <v>233818</v>
      </c>
      <c r="EL43" s="133">
        <v>1197155</v>
      </c>
      <c r="EN43" s="133">
        <v>2659414</v>
      </c>
      <c r="EO43" s="133">
        <v>153992</v>
      </c>
      <c r="EP43" s="133">
        <v>879392</v>
      </c>
      <c r="EQ43" s="133">
        <v>3171416</v>
      </c>
      <c r="ER43" s="133">
        <v>840306</v>
      </c>
      <c r="ES43" s="133">
        <v>399288</v>
      </c>
      <c r="ET43" s="133">
        <v>69096</v>
      </c>
      <c r="EU43" s="133">
        <v>1302326</v>
      </c>
      <c r="EV43" s="133">
        <v>423087</v>
      </c>
      <c r="EW43" s="133">
        <v>2830820</v>
      </c>
      <c r="EX43" s="133">
        <v>2485329</v>
      </c>
      <c r="IO43" s="133">
        <v>0</v>
      </c>
      <c r="IP43" s="133">
        <v>528706</v>
      </c>
      <c r="IQ43" s="133">
        <v>602271</v>
      </c>
      <c r="IR43" s="133">
        <v>480416</v>
      </c>
      <c r="IS43" s="133">
        <v>257403</v>
      </c>
      <c r="IT43" s="133">
        <v>78343</v>
      </c>
      <c r="IU43" s="133">
        <v>913127</v>
      </c>
      <c r="IV43" s="133">
        <v>112314</v>
      </c>
      <c r="IW43" s="133">
        <v>395850</v>
      </c>
      <c r="IX43" s="133">
        <v>377997</v>
      </c>
      <c r="IY43" s="133">
        <v>399280</v>
      </c>
      <c r="IZ43" s="133">
        <v>368623</v>
      </c>
      <c r="JA43" s="133">
        <v>68670</v>
      </c>
      <c r="JB43" s="133">
        <v>151652</v>
      </c>
      <c r="JD43" s="133">
        <v>451376</v>
      </c>
      <c r="JE43" s="133">
        <v>16422</v>
      </c>
      <c r="JF43" s="133">
        <v>98115</v>
      </c>
      <c r="JG43" s="133">
        <v>313194</v>
      </c>
      <c r="JH43" s="133">
        <v>313501</v>
      </c>
      <c r="JI43" s="133">
        <v>365936</v>
      </c>
      <c r="JJ43" s="133">
        <v>47741</v>
      </c>
      <c r="JK43" s="133">
        <v>176917</v>
      </c>
      <c r="JL43" s="133">
        <v>114328</v>
      </c>
      <c r="JM43" s="133">
        <v>143292</v>
      </c>
      <c r="JN43" s="133">
        <v>564576</v>
      </c>
    </row>
    <row r="44" spans="1:274" s="133" customFormat="1" x14ac:dyDescent="0.25">
      <c r="A44" s="135" t="s">
        <v>398</v>
      </c>
      <c r="B44" s="135"/>
      <c r="C44" s="135" t="s">
        <v>1069</v>
      </c>
      <c r="D44" s="135"/>
      <c r="E44" s="136"/>
      <c r="F44" s="135"/>
      <c r="G44" s="135" t="s">
        <v>399</v>
      </c>
      <c r="Q44" s="133">
        <v>2446372</v>
      </c>
      <c r="AH44" s="133">
        <v>2542050</v>
      </c>
      <c r="AI44" s="133">
        <v>1408540</v>
      </c>
      <c r="AJ44" s="133">
        <v>530944</v>
      </c>
      <c r="AK44" s="133">
        <v>240066</v>
      </c>
      <c r="AL44" s="133">
        <v>275786</v>
      </c>
      <c r="CU44" s="133">
        <v>27040</v>
      </c>
      <c r="CV44" s="133">
        <v>43792</v>
      </c>
      <c r="CW44" s="133">
        <v>337024</v>
      </c>
      <c r="CX44" s="133">
        <v>143104</v>
      </c>
      <c r="CZ44" s="133">
        <v>73680</v>
      </c>
      <c r="DA44" s="133">
        <v>187568</v>
      </c>
      <c r="DB44" s="133">
        <v>1376</v>
      </c>
      <c r="DC44" s="133">
        <v>98160</v>
      </c>
      <c r="DD44" s="133">
        <v>1088</v>
      </c>
      <c r="DE44" s="133">
        <v>41488</v>
      </c>
      <c r="DF44" s="133">
        <v>417251</v>
      </c>
      <c r="DG44" s="133">
        <v>53584</v>
      </c>
      <c r="DH44" s="133">
        <v>59536</v>
      </c>
      <c r="DJ44" s="133">
        <v>190896</v>
      </c>
      <c r="DK44" s="133">
        <v>17280</v>
      </c>
      <c r="DL44" s="133">
        <v>190080</v>
      </c>
      <c r="DM44" s="133">
        <v>417296</v>
      </c>
      <c r="DN44" s="133">
        <v>51488</v>
      </c>
      <c r="DO44" s="133">
        <v>18480</v>
      </c>
      <c r="DP44" s="133">
        <v>31440</v>
      </c>
      <c r="DQ44" s="133">
        <v>81120</v>
      </c>
      <c r="DR44" s="133">
        <v>89648</v>
      </c>
      <c r="DS44" s="133">
        <v>439568</v>
      </c>
      <c r="DT44" s="133">
        <v>156464</v>
      </c>
      <c r="DY44" s="133">
        <v>109585</v>
      </c>
      <c r="DZ44" s="133">
        <v>185703</v>
      </c>
      <c r="EA44" s="133">
        <v>727887</v>
      </c>
      <c r="EB44" s="133">
        <v>547277</v>
      </c>
      <c r="ED44" s="133">
        <v>312653</v>
      </c>
      <c r="EE44" s="133">
        <v>462878</v>
      </c>
      <c r="EF44" s="133">
        <v>17330</v>
      </c>
      <c r="EG44" s="133">
        <v>202310</v>
      </c>
      <c r="EH44" s="133">
        <v>10586</v>
      </c>
      <c r="EI44" s="133">
        <v>149631</v>
      </c>
      <c r="EJ44" s="133">
        <v>1219102</v>
      </c>
      <c r="EK44" s="133">
        <v>157597</v>
      </c>
      <c r="EL44" s="133">
        <v>222035</v>
      </c>
      <c r="EN44" s="133">
        <v>293127</v>
      </c>
      <c r="EO44" s="133">
        <v>80286</v>
      </c>
      <c r="EP44" s="133">
        <v>161516</v>
      </c>
      <c r="EQ44" s="133">
        <v>883972</v>
      </c>
      <c r="ER44" s="133">
        <v>148581</v>
      </c>
      <c r="ES44" s="133">
        <v>57530</v>
      </c>
      <c r="ET44" s="133">
        <v>72496</v>
      </c>
      <c r="EU44" s="133">
        <v>579042</v>
      </c>
      <c r="EV44" s="133">
        <v>337195</v>
      </c>
      <c r="EW44" s="133">
        <v>1167110</v>
      </c>
      <c r="EX44" s="133">
        <v>1013115</v>
      </c>
      <c r="IO44" s="133">
        <v>46533</v>
      </c>
      <c r="IP44" s="133">
        <v>92604</v>
      </c>
      <c r="IQ44" s="133">
        <v>176513</v>
      </c>
      <c r="IR44" s="133">
        <v>114058</v>
      </c>
      <c r="IT44" s="133">
        <v>114715</v>
      </c>
      <c r="IU44" s="133">
        <v>141181</v>
      </c>
      <c r="IV44" s="133">
        <v>634</v>
      </c>
      <c r="IW44" s="133">
        <v>29854</v>
      </c>
      <c r="IX44" s="133">
        <v>7480</v>
      </c>
      <c r="IY44" s="133">
        <v>44771</v>
      </c>
      <c r="IZ44" s="133">
        <v>51625</v>
      </c>
      <c r="JA44" s="133">
        <v>7885</v>
      </c>
      <c r="JB44" s="133">
        <v>41168</v>
      </c>
      <c r="JD44" s="133">
        <v>60206</v>
      </c>
      <c r="JE44" s="133">
        <v>13469</v>
      </c>
      <c r="JF44" s="133">
        <v>66012</v>
      </c>
      <c r="JG44" s="133">
        <v>42174</v>
      </c>
      <c r="JH44" s="133">
        <v>43242</v>
      </c>
      <c r="JI44" s="133">
        <v>28890</v>
      </c>
      <c r="JJ44" s="133">
        <v>34354</v>
      </c>
      <c r="JK44" s="133">
        <v>45142</v>
      </c>
      <c r="JL44" s="133">
        <v>42905</v>
      </c>
      <c r="JM44" s="133">
        <v>64975</v>
      </c>
      <c r="JN44" s="133">
        <v>85617</v>
      </c>
    </row>
    <row r="45" spans="1:274" s="133" customFormat="1" x14ac:dyDescent="0.25">
      <c r="A45" s="135" t="s">
        <v>1072</v>
      </c>
      <c r="B45" s="135"/>
      <c r="C45" s="135" t="s">
        <v>1069</v>
      </c>
      <c r="D45" s="135"/>
      <c r="E45" s="136"/>
      <c r="F45" s="135"/>
      <c r="G45" s="135" t="s">
        <v>456</v>
      </c>
      <c r="Q45" s="133">
        <v>2241473</v>
      </c>
      <c r="AH45" s="133">
        <v>5272786</v>
      </c>
      <c r="AI45" s="133">
        <v>2263703</v>
      </c>
      <c r="AJ45" s="133">
        <v>474368</v>
      </c>
      <c r="AK45" s="133">
        <v>1450601</v>
      </c>
      <c r="AL45" s="133">
        <v>0</v>
      </c>
      <c r="CV45" s="133">
        <v>31728</v>
      </c>
      <c r="CW45" s="133">
        <v>688976</v>
      </c>
      <c r="CX45" s="133">
        <v>60000</v>
      </c>
      <c r="DA45" s="133">
        <v>443184</v>
      </c>
      <c r="DC45" s="133">
        <v>24048</v>
      </c>
      <c r="DD45" s="133">
        <v>1984</v>
      </c>
      <c r="DE45" s="133">
        <v>19904</v>
      </c>
      <c r="DF45" s="133">
        <v>800464</v>
      </c>
      <c r="DG45" s="133">
        <v>118240</v>
      </c>
      <c r="DH45" s="133">
        <v>15200</v>
      </c>
      <c r="DJ45" s="133">
        <v>103248</v>
      </c>
      <c r="DL45" s="133">
        <v>149232</v>
      </c>
      <c r="DM45" s="133">
        <v>646816</v>
      </c>
      <c r="DN45" s="133">
        <v>55552</v>
      </c>
      <c r="DO45" s="133">
        <v>84544</v>
      </c>
      <c r="DP45" s="133">
        <v>92240</v>
      </c>
      <c r="DQ45" s="133">
        <v>76240</v>
      </c>
      <c r="DR45" s="133">
        <v>351168</v>
      </c>
      <c r="DS45" s="133">
        <v>568512</v>
      </c>
      <c r="DT45" s="133">
        <v>129504</v>
      </c>
      <c r="DZ45" s="133">
        <v>181422</v>
      </c>
      <c r="EA45" s="133">
        <v>1256668</v>
      </c>
      <c r="EB45" s="133">
        <v>505618</v>
      </c>
      <c r="EE45" s="133">
        <v>877789</v>
      </c>
      <c r="EG45" s="133">
        <v>87923</v>
      </c>
      <c r="EH45" s="133">
        <v>7521</v>
      </c>
      <c r="EI45" s="133">
        <v>252355</v>
      </c>
      <c r="EJ45" s="133">
        <v>1685728</v>
      </c>
      <c r="EK45" s="133">
        <v>238251</v>
      </c>
      <c r="EL45" s="133">
        <v>186271</v>
      </c>
      <c r="EN45" s="133">
        <v>1094188</v>
      </c>
      <c r="EP45" s="133">
        <v>331234</v>
      </c>
      <c r="EQ45" s="133">
        <v>1116238</v>
      </c>
      <c r="ER45" s="133">
        <v>193506</v>
      </c>
      <c r="ES45" s="133">
        <v>70229</v>
      </c>
      <c r="ET45" s="133">
        <v>236737</v>
      </c>
      <c r="EU45" s="133">
        <v>215699</v>
      </c>
      <c r="EV45" s="133">
        <v>34507</v>
      </c>
      <c r="EW45" s="133">
        <v>994350</v>
      </c>
      <c r="EX45" s="133">
        <v>200771</v>
      </c>
      <c r="IP45" s="133">
        <v>75722</v>
      </c>
      <c r="IQ45" s="133">
        <v>202665</v>
      </c>
      <c r="IR45" s="133">
        <v>81321</v>
      </c>
      <c r="IU45" s="133">
        <v>198932</v>
      </c>
      <c r="IW45" s="133">
        <v>12616</v>
      </c>
      <c r="IX45" s="133">
        <v>779</v>
      </c>
      <c r="IY45" s="133">
        <v>149147</v>
      </c>
      <c r="IZ45" s="133">
        <v>78255</v>
      </c>
      <c r="JA45" s="133">
        <v>8917</v>
      </c>
      <c r="JB45" s="133">
        <v>26203</v>
      </c>
      <c r="JD45" s="133">
        <v>231855</v>
      </c>
      <c r="JF45" s="133">
        <v>88850</v>
      </c>
      <c r="JG45" s="133">
        <v>25701</v>
      </c>
      <c r="JH45" s="133">
        <v>40053</v>
      </c>
      <c r="JI45" s="133">
        <v>24941</v>
      </c>
      <c r="JJ45" s="133">
        <v>38003</v>
      </c>
      <c r="JK45" s="133">
        <v>45467</v>
      </c>
      <c r="JL45" s="133">
        <v>16150</v>
      </c>
      <c r="JM45" s="133">
        <v>48823</v>
      </c>
      <c r="JN45" s="133">
        <v>23166</v>
      </c>
    </row>
    <row r="46" spans="1:274" s="133" customFormat="1" x14ac:dyDescent="0.25">
      <c r="A46" s="135" t="s">
        <v>400</v>
      </c>
      <c r="B46" s="135"/>
      <c r="C46" s="135" t="s">
        <v>1069</v>
      </c>
      <c r="D46" s="135"/>
      <c r="E46" s="136"/>
      <c r="F46" s="135"/>
      <c r="G46" s="135" t="s">
        <v>401</v>
      </c>
      <c r="Q46" s="133">
        <v>409175</v>
      </c>
      <c r="AH46" s="133">
        <v>1970189</v>
      </c>
      <c r="AI46" s="133">
        <v>701360</v>
      </c>
      <c r="AJ46" s="133">
        <v>436530</v>
      </c>
      <c r="AK46" s="133">
        <v>716563</v>
      </c>
      <c r="AL46" s="133">
        <v>0</v>
      </c>
      <c r="CU46" s="133">
        <v>23712</v>
      </c>
      <c r="CW46" s="133">
        <v>166512</v>
      </c>
      <c r="CX46" s="133">
        <v>248236</v>
      </c>
      <c r="CY46" s="133">
        <v>6672</v>
      </c>
      <c r="CZ46" s="133">
        <v>5328</v>
      </c>
      <c r="DA46" s="133">
        <v>11808</v>
      </c>
      <c r="DB46" s="133">
        <v>22896</v>
      </c>
      <c r="DC46" s="133">
        <v>82288</v>
      </c>
      <c r="DF46" s="133">
        <v>297680</v>
      </c>
      <c r="DG46" s="133">
        <v>28320</v>
      </c>
      <c r="DL46" s="133">
        <v>53449</v>
      </c>
      <c r="DM46" s="133">
        <v>147488</v>
      </c>
      <c r="DN46" s="133">
        <v>36288</v>
      </c>
      <c r="DO46" s="133">
        <v>35818</v>
      </c>
      <c r="DP46" s="133">
        <v>1856</v>
      </c>
      <c r="DQ46" s="133">
        <v>73536</v>
      </c>
      <c r="DR46" s="133">
        <v>87540</v>
      </c>
      <c r="DS46" s="133">
        <v>295056</v>
      </c>
      <c r="DT46" s="133">
        <v>55680</v>
      </c>
      <c r="DY46" s="133">
        <v>146984</v>
      </c>
      <c r="EA46" s="133">
        <v>323752</v>
      </c>
      <c r="EB46" s="133">
        <v>472908</v>
      </c>
      <c r="EC46" s="133">
        <v>74822</v>
      </c>
      <c r="ED46" s="133">
        <v>28083</v>
      </c>
      <c r="EE46" s="133">
        <v>42277</v>
      </c>
      <c r="EF46" s="133">
        <v>77297</v>
      </c>
      <c r="EG46" s="133">
        <v>137866</v>
      </c>
      <c r="EJ46" s="133">
        <v>807404</v>
      </c>
      <c r="EK46" s="133">
        <v>67887</v>
      </c>
      <c r="EP46" s="133">
        <v>125397</v>
      </c>
      <c r="EQ46" s="133">
        <v>351157</v>
      </c>
      <c r="ER46" s="133">
        <v>117086</v>
      </c>
      <c r="ES46" s="133">
        <v>101243</v>
      </c>
      <c r="ET46" s="133">
        <v>0</v>
      </c>
      <c r="EU46" s="133">
        <v>156156</v>
      </c>
      <c r="EV46" s="133">
        <v>123595</v>
      </c>
      <c r="EW46" s="133">
        <v>678916</v>
      </c>
      <c r="EX46" s="133">
        <v>125481</v>
      </c>
      <c r="IO46" s="133">
        <v>21707</v>
      </c>
      <c r="IQ46" s="133">
        <v>39012</v>
      </c>
      <c r="IR46" s="133">
        <v>89835</v>
      </c>
      <c r="IS46" s="133">
        <v>75431</v>
      </c>
      <c r="IT46" s="133">
        <v>5106</v>
      </c>
      <c r="IU46" s="133">
        <v>5957</v>
      </c>
      <c r="IV46" s="133">
        <v>10599</v>
      </c>
      <c r="IW46" s="133">
        <v>15901</v>
      </c>
      <c r="IZ46" s="133">
        <v>89554</v>
      </c>
      <c r="JA46" s="133">
        <v>3199</v>
      </c>
      <c r="JF46" s="133">
        <v>37059</v>
      </c>
      <c r="JG46" s="133">
        <v>64188</v>
      </c>
      <c r="JH46" s="133">
        <v>11209</v>
      </c>
      <c r="JI46" s="133">
        <v>40714</v>
      </c>
      <c r="JJ46" s="133">
        <v>0</v>
      </c>
      <c r="JK46" s="133">
        <v>58669</v>
      </c>
      <c r="JL46" s="133">
        <v>26459</v>
      </c>
      <c r="JM46" s="133">
        <v>29773</v>
      </c>
      <c r="JN46" s="133">
        <v>10725</v>
      </c>
    </row>
    <row r="47" spans="1:274" s="133" customFormat="1" x14ac:dyDescent="0.25">
      <c r="A47" s="135" t="s">
        <v>1070</v>
      </c>
      <c r="B47" s="135"/>
      <c r="C47" s="135" t="s">
        <v>1069</v>
      </c>
      <c r="D47" s="135"/>
      <c r="E47" s="136"/>
      <c r="F47" s="135"/>
      <c r="G47" s="135" t="s">
        <v>402</v>
      </c>
      <c r="Q47" s="133">
        <v>6484058</v>
      </c>
      <c r="AH47" s="133">
        <v>10193984</v>
      </c>
      <c r="AI47" s="133">
        <v>6398845</v>
      </c>
      <c r="AJ47" s="133">
        <v>3880731</v>
      </c>
      <c r="AK47" s="133">
        <v>1929604</v>
      </c>
      <c r="AL47" s="133">
        <v>0</v>
      </c>
      <c r="CU47" s="133">
        <v>20708</v>
      </c>
      <c r="CV47" s="133">
        <v>189890</v>
      </c>
      <c r="CW47" s="133">
        <v>1112304</v>
      </c>
      <c r="CX47" s="133">
        <v>689929</v>
      </c>
      <c r="CZ47" s="133">
        <v>17248</v>
      </c>
      <c r="DA47" s="133">
        <v>998841</v>
      </c>
      <c r="DB47" s="133">
        <v>48</v>
      </c>
      <c r="DC47" s="133">
        <v>133552</v>
      </c>
      <c r="DD47" s="133">
        <v>12672</v>
      </c>
      <c r="DE47" s="133">
        <v>103344</v>
      </c>
      <c r="DF47" s="133">
        <v>1675267</v>
      </c>
      <c r="DG47" s="133">
        <v>336320</v>
      </c>
      <c r="DH47" s="133">
        <v>196537</v>
      </c>
      <c r="DI47" s="133">
        <v>32936</v>
      </c>
      <c r="DJ47" s="133">
        <v>292463</v>
      </c>
      <c r="DK47" s="133">
        <v>36238</v>
      </c>
      <c r="DL47" s="133">
        <v>32218</v>
      </c>
      <c r="DM47" s="133">
        <v>1137121</v>
      </c>
      <c r="DN47" s="133">
        <v>105817</v>
      </c>
      <c r="DO47" s="133">
        <v>153376</v>
      </c>
      <c r="DP47" s="133">
        <v>168244</v>
      </c>
      <c r="DQ47" s="133">
        <v>333869</v>
      </c>
      <c r="DR47" s="133">
        <v>262762</v>
      </c>
      <c r="DS47" s="133">
        <v>1914208</v>
      </c>
      <c r="DT47" s="133">
        <v>406912</v>
      </c>
      <c r="DY47" s="133">
        <v>69921</v>
      </c>
      <c r="DZ47" s="133">
        <v>770721</v>
      </c>
      <c r="EA47" s="133">
        <v>3179241</v>
      </c>
      <c r="EB47" s="133">
        <v>2643177</v>
      </c>
      <c r="ED47" s="133">
        <v>113511</v>
      </c>
      <c r="EE47" s="133">
        <v>1647332</v>
      </c>
      <c r="EF47" s="133">
        <v>870</v>
      </c>
      <c r="EG47" s="133">
        <v>532144</v>
      </c>
      <c r="EH47" s="133">
        <v>63639</v>
      </c>
      <c r="EI47" s="133">
        <v>478380</v>
      </c>
      <c r="EJ47" s="133">
        <v>4267909</v>
      </c>
      <c r="EK47" s="133">
        <v>771434</v>
      </c>
      <c r="EL47" s="133">
        <v>1459620</v>
      </c>
      <c r="EM47" s="133">
        <v>251219</v>
      </c>
      <c r="EN47" s="133">
        <v>1014961</v>
      </c>
      <c r="EO47" s="133">
        <v>243096</v>
      </c>
      <c r="EP47" s="133">
        <v>37577</v>
      </c>
      <c r="EQ47" s="133">
        <v>2522077</v>
      </c>
      <c r="ER47" s="133">
        <v>427129</v>
      </c>
      <c r="ES47" s="133">
        <v>648157</v>
      </c>
      <c r="ET47" s="133">
        <v>418466</v>
      </c>
      <c r="EU47" s="133">
        <v>1056844</v>
      </c>
      <c r="EV47" s="133">
        <v>972784</v>
      </c>
      <c r="EW47" s="133">
        <v>4268489</v>
      </c>
      <c r="EX47" s="133">
        <v>1555066</v>
      </c>
      <c r="IO47" s="133">
        <v>36143</v>
      </c>
      <c r="IP47" s="133">
        <v>576916</v>
      </c>
      <c r="IQ47" s="133">
        <v>998800</v>
      </c>
      <c r="IR47" s="133">
        <v>396605</v>
      </c>
      <c r="IT47" s="133">
        <v>29718</v>
      </c>
      <c r="IU47" s="133">
        <v>614600</v>
      </c>
      <c r="IV47" s="133">
        <v>49</v>
      </c>
      <c r="IW47" s="133">
        <v>263114</v>
      </c>
      <c r="IX47" s="133">
        <v>12848</v>
      </c>
      <c r="IY47" s="133">
        <v>329714</v>
      </c>
      <c r="IZ47" s="133">
        <v>758233</v>
      </c>
      <c r="JA47" s="133">
        <v>174023</v>
      </c>
      <c r="JB47" s="133">
        <v>51881</v>
      </c>
      <c r="JC47" s="133">
        <v>2867</v>
      </c>
      <c r="JD47" s="133">
        <v>179502</v>
      </c>
      <c r="JE47" s="133">
        <v>30544</v>
      </c>
      <c r="JF47" s="133">
        <v>16685</v>
      </c>
      <c r="JG47" s="133">
        <v>489787</v>
      </c>
      <c r="JH47" s="133">
        <v>184006</v>
      </c>
      <c r="JI47" s="133">
        <v>390755</v>
      </c>
      <c r="JJ47" s="133">
        <v>137998</v>
      </c>
      <c r="JK47" s="133">
        <v>386028</v>
      </c>
      <c r="JL47" s="133">
        <v>375984</v>
      </c>
      <c r="JM47" s="133">
        <v>911661</v>
      </c>
      <c r="JN47" s="133">
        <v>369167</v>
      </c>
    </row>
    <row r="48" spans="1:274" s="133" customFormat="1" x14ac:dyDescent="0.25">
      <c r="A48" s="135" t="s">
        <v>403</v>
      </c>
      <c r="B48" s="135"/>
      <c r="C48" s="135" t="s">
        <v>1069</v>
      </c>
      <c r="D48" s="135"/>
      <c r="E48" s="136"/>
      <c r="F48" s="135"/>
      <c r="G48" s="135" t="s">
        <v>404</v>
      </c>
      <c r="Q48" s="133">
        <v>775010</v>
      </c>
      <c r="AH48" s="133">
        <v>1313690</v>
      </c>
      <c r="AI48" s="133">
        <v>770949</v>
      </c>
      <c r="AJ48" s="133">
        <v>515999</v>
      </c>
      <c r="AK48" s="133">
        <v>160397</v>
      </c>
      <c r="AL48" s="133">
        <v>0</v>
      </c>
      <c r="CW48" s="133">
        <v>113408</v>
      </c>
      <c r="CX48" s="133">
        <v>88823</v>
      </c>
      <c r="DA48" s="133">
        <v>174898</v>
      </c>
      <c r="DB48" s="133">
        <v>2060</v>
      </c>
      <c r="DC48" s="133">
        <v>72</v>
      </c>
      <c r="DD48" s="133">
        <v>1056</v>
      </c>
      <c r="DE48" s="133">
        <v>43216</v>
      </c>
      <c r="DF48" s="133">
        <v>193920</v>
      </c>
      <c r="DG48" s="133">
        <v>13744</v>
      </c>
      <c r="DH48" s="133">
        <v>79888</v>
      </c>
      <c r="DI48" s="133">
        <v>16624</v>
      </c>
      <c r="DJ48" s="133">
        <v>76466</v>
      </c>
      <c r="DK48" s="133">
        <v>31552</v>
      </c>
      <c r="DL48" s="133">
        <v>92016</v>
      </c>
      <c r="DM48" s="133">
        <v>125248</v>
      </c>
      <c r="DN48" s="133">
        <v>8352</v>
      </c>
      <c r="DP48" s="133">
        <v>7024</v>
      </c>
      <c r="DQ48" s="133">
        <v>70368</v>
      </c>
      <c r="DR48" s="133">
        <v>45339</v>
      </c>
      <c r="DS48" s="133">
        <v>164160</v>
      </c>
      <c r="DT48" s="133">
        <v>75776</v>
      </c>
      <c r="EA48" s="133">
        <v>346559</v>
      </c>
      <c r="EB48" s="133">
        <v>206300</v>
      </c>
      <c r="EE48" s="133">
        <v>468138</v>
      </c>
      <c r="EF48" s="133">
        <v>28087</v>
      </c>
      <c r="EG48" s="133">
        <v>869</v>
      </c>
      <c r="EH48" s="133">
        <v>2987</v>
      </c>
      <c r="EI48" s="133">
        <v>173785</v>
      </c>
      <c r="EJ48" s="133">
        <v>503344</v>
      </c>
      <c r="EK48" s="133">
        <v>56249</v>
      </c>
      <c r="EL48" s="133">
        <v>357362</v>
      </c>
      <c r="EM48" s="133">
        <v>187152</v>
      </c>
      <c r="EN48" s="133">
        <v>281698</v>
      </c>
      <c r="EO48" s="133">
        <v>135349</v>
      </c>
      <c r="EP48" s="133">
        <v>294450</v>
      </c>
      <c r="EQ48" s="133">
        <v>384864</v>
      </c>
      <c r="ER48" s="133">
        <v>47458</v>
      </c>
      <c r="ET48" s="133">
        <v>1789</v>
      </c>
      <c r="EU48" s="133">
        <v>205028</v>
      </c>
      <c r="EV48" s="133">
        <v>67929</v>
      </c>
      <c r="EW48" s="133">
        <v>400346</v>
      </c>
      <c r="EX48" s="133">
        <v>422174</v>
      </c>
      <c r="IQ48" s="133">
        <v>43090</v>
      </c>
      <c r="IR48" s="133">
        <v>7211</v>
      </c>
      <c r="IU48" s="133">
        <v>83669</v>
      </c>
      <c r="IV48" s="133">
        <v>35555</v>
      </c>
      <c r="IW48" s="133">
        <v>1099</v>
      </c>
      <c r="IX48" s="133">
        <v>1242</v>
      </c>
      <c r="IY48" s="133">
        <v>88002</v>
      </c>
      <c r="IZ48" s="133">
        <v>29675</v>
      </c>
      <c r="JA48" s="133">
        <v>1521</v>
      </c>
      <c r="JB48" s="133">
        <v>122531</v>
      </c>
      <c r="JC48" s="133">
        <v>59342</v>
      </c>
      <c r="JD48" s="133">
        <v>56842</v>
      </c>
      <c r="JE48" s="133">
        <v>-60</v>
      </c>
      <c r="JF48" s="133">
        <v>37797</v>
      </c>
      <c r="JG48" s="133">
        <v>16502</v>
      </c>
      <c r="JH48" s="133">
        <v>9756</v>
      </c>
      <c r="JJ48" s="133">
        <v>779</v>
      </c>
      <c r="JK48" s="133">
        <v>5088</v>
      </c>
      <c r="JL48" s="133">
        <v>1997</v>
      </c>
      <c r="JM48" s="133">
        <v>10558</v>
      </c>
      <c r="JN48" s="133">
        <v>87274</v>
      </c>
    </row>
    <row r="49" spans="1:309" s="133" customFormat="1" ht="15" customHeight="1" x14ac:dyDescent="0.25">
      <c r="A49" s="135" t="s">
        <v>405</v>
      </c>
      <c r="B49" s="135"/>
      <c r="C49" s="135" t="s">
        <v>1069</v>
      </c>
      <c r="D49" s="135"/>
      <c r="E49" s="136"/>
      <c r="F49" s="135"/>
      <c r="G49" s="135" t="s">
        <v>406</v>
      </c>
      <c r="Q49" s="133">
        <v>847351</v>
      </c>
      <c r="AH49" s="133">
        <v>1349357</v>
      </c>
      <c r="AI49" s="133">
        <v>532595</v>
      </c>
      <c r="AJ49" s="133">
        <v>488179</v>
      </c>
      <c r="AK49" s="133">
        <v>189178</v>
      </c>
      <c r="AL49" s="133">
        <v>0</v>
      </c>
      <c r="CU49" s="133">
        <v>36649</v>
      </c>
      <c r="CV49" s="133">
        <v>116148</v>
      </c>
      <c r="CW49" s="133">
        <v>201680</v>
      </c>
      <c r="CX49" s="133">
        <v>280198</v>
      </c>
      <c r="CZ49" s="133">
        <v>8544</v>
      </c>
      <c r="DA49" s="133">
        <v>896</v>
      </c>
      <c r="DB49" s="133">
        <v>25130</v>
      </c>
      <c r="DC49" s="133">
        <v>66320</v>
      </c>
      <c r="DD49" s="133">
        <v>6480</v>
      </c>
      <c r="DF49" s="133">
        <v>210448</v>
      </c>
      <c r="DG49" s="133">
        <v>18064</v>
      </c>
      <c r="DH49" s="133">
        <v>120580</v>
      </c>
      <c r="DI49" s="133">
        <v>665</v>
      </c>
      <c r="DJ49" s="133">
        <v>70849</v>
      </c>
      <c r="DL49" s="133">
        <v>148429</v>
      </c>
      <c r="DM49" s="133">
        <v>160144</v>
      </c>
      <c r="DN49" s="133">
        <v>73918</v>
      </c>
      <c r="DO49" s="133">
        <v>150917</v>
      </c>
      <c r="DP49" s="133">
        <v>105174</v>
      </c>
      <c r="DQ49" s="133">
        <v>28848</v>
      </c>
      <c r="DR49" s="133">
        <v>50483</v>
      </c>
      <c r="DS49" s="133">
        <v>240768</v>
      </c>
      <c r="DT49" s="133">
        <v>50688</v>
      </c>
      <c r="DY49" s="133">
        <v>102268</v>
      </c>
      <c r="DZ49" s="133">
        <v>201916</v>
      </c>
      <c r="EA49" s="133">
        <v>557530</v>
      </c>
      <c r="EB49" s="133">
        <v>793718</v>
      </c>
      <c r="ED49" s="133">
        <v>16138</v>
      </c>
      <c r="EE49" s="133">
        <v>1464</v>
      </c>
      <c r="EF49" s="133">
        <v>45983</v>
      </c>
      <c r="EG49" s="133">
        <v>72105</v>
      </c>
      <c r="EH49" s="133">
        <v>36347</v>
      </c>
      <c r="EJ49" s="133">
        <v>511221</v>
      </c>
      <c r="EK49" s="133">
        <v>61882</v>
      </c>
      <c r="EL49" s="133">
        <v>729071</v>
      </c>
      <c r="EM49" s="133">
        <v>1529</v>
      </c>
      <c r="EN49" s="133">
        <v>174142</v>
      </c>
      <c r="EP49" s="133">
        <v>312544</v>
      </c>
      <c r="EQ49" s="133">
        <v>334947</v>
      </c>
      <c r="ER49" s="133">
        <v>175484</v>
      </c>
      <c r="ES49" s="133">
        <v>276535</v>
      </c>
      <c r="ET49" s="133">
        <v>221201</v>
      </c>
      <c r="EU49" s="133">
        <v>79281</v>
      </c>
      <c r="EV49" s="133">
        <v>73647</v>
      </c>
      <c r="EW49" s="133">
        <v>521061</v>
      </c>
      <c r="EX49" s="133">
        <v>106270</v>
      </c>
      <c r="IO49" s="133">
        <v>40662</v>
      </c>
      <c r="IP49" s="133">
        <v>52798</v>
      </c>
      <c r="IQ49" s="133">
        <v>95552</v>
      </c>
      <c r="IR49" s="133">
        <v>156285</v>
      </c>
      <c r="IT49" s="133">
        <v>16402</v>
      </c>
      <c r="IU49" s="133">
        <v>0</v>
      </c>
      <c r="IV49" s="133">
        <v>0</v>
      </c>
      <c r="IW49" s="133">
        <v>29255</v>
      </c>
      <c r="IX49" s="133">
        <v>10</v>
      </c>
      <c r="IZ49" s="133">
        <v>30580</v>
      </c>
      <c r="JA49" s="133">
        <v>1935</v>
      </c>
      <c r="JB49" s="133">
        <v>64299</v>
      </c>
      <c r="JC49" s="133">
        <v>2815</v>
      </c>
      <c r="JD49" s="133">
        <v>82147</v>
      </c>
      <c r="JF49" s="133">
        <v>59214</v>
      </c>
      <c r="JG49" s="133">
        <v>17015</v>
      </c>
      <c r="JH49" s="133">
        <v>56489</v>
      </c>
      <c r="JI49" s="133">
        <v>59276</v>
      </c>
      <c r="JJ49" s="133">
        <v>25103</v>
      </c>
      <c r="JK49" s="133">
        <v>11251</v>
      </c>
      <c r="JL49" s="133">
        <v>44787</v>
      </c>
      <c r="JM49" s="133">
        <v>17812</v>
      </c>
      <c r="JN49" s="133">
        <v>39817</v>
      </c>
    </row>
    <row r="50" spans="1:309" s="133" customFormat="1" x14ac:dyDescent="0.25">
      <c r="A50" s="135" t="s">
        <v>409</v>
      </c>
      <c r="B50" s="135"/>
      <c r="C50" s="135" t="s">
        <v>1069</v>
      </c>
      <c r="D50" s="135"/>
      <c r="E50" s="136"/>
      <c r="F50" s="135"/>
      <c r="G50" s="135" t="s">
        <v>410</v>
      </c>
      <c r="Q50" s="133">
        <v>3072275</v>
      </c>
      <c r="AH50" s="133">
        <v>2673887</v>
      </c>
      <c r="AI50" s="133">
        <v>1906791</v>
      </c>
      <c r="AJ50" s="133">
        <v>1107052</v>
      </c>
      <c r="AK50" s="133">
        <v>657284</v>
      </c>
      <c r="AL50" s="133">
        <v>0</v>
      </c>
      <c r="CV50" s="133">
        <v>38304</v>
      </c>
      <c r="CW50" s="133">
        <v>283280</v>
      </c>
      <c r="CX50" s="133">
        <v>167798</v>
      </c>
      <c r="CZ50" s="133">
        <v>1200</v>
      </c>
      <c r="DA50" s="133">
        <v>95558</v>
      </c>
      <c r="DB50" s="133">
        <v>28208</v>
      </c>
      <c r="DC50" s="133">
        <v>47616</v>
      </c>
      <c r="DE50" s="133">
        <v>73340</v>
      </c>
      <c r="DF50" s="133">
        <v>619084</v>
      </c>
      <c r="DG50" s="133">
        <v>123168</v>
      </c>
      <c r="DH50" s="133">
        <v>99448</v>
      </c>
      <c r="DJ50" s="133">
        <v>65680</v>
      </c>
      <c r="DK50" s="133">
        <v>27840</v>
      </c>
      <c r="DL50" s="133">
        <v>80736</v>
      </c>
      <c r="DM50" s="133">
        <v>373888</v>
      </c>
      <c r="DN50" s="133">
        <v>53872</v>
      </c>
      <c r="DO50" s="133">
        <v>15248</v>
      </c>
      <c r="DP50" s="133">
        <v>7840</v>
      </c>
      <c r="DQ50" s="133">
        <v>128512</v>
      </c>
      <c r="DR50" s="133">
        <v>136872</v>
      </c>
      <c r="DS50" s="133">
        <v>469571</v>
      </c>
      <c r="DT50" s="133">
        <v>123632</v>
      </c>
      <c r="DZ50" s="133">
        <v>261340</v>
      </c>
      <c r="EA50" s="133">
        <v>709890</v>
      </c>
      <c r="EB50" s="133">
        <v>801475</v>
      </c>
      <c r="ED50" s="133">
        <v>11647</v>
      </c>
      <c r="EE50" s="133">
        <v>266390</v>
      </c>
      <c r="EF50" s="133">
        <v>60731</v>
      </c>
      <c r="EG50" s="133">
        <v>816215</v>
      </c>
      <c r="EI50" s="133">
        <v>100062</v>
      </c>
      <c r="EJ50" s="133">
        <v>1170948</v>
      </c>
      <c r="EK50" s="133">
        <v>472969</v>
      </c>
      <c r="EL50" s="133">
        <v>425786</v>
      </c>
      <c r="EN50" s="133">
        <v>252679</v>
      </c>
      <c r="EO50" s="133">
        <v>153485</v>
      </c>
      <c r="EP50" s="133">
        <v>365158</v>
      </c>
      <c r="EQ50" s="133">
        <v>961910</v>
      </c>
      <c r="ER50" s="133">
        <v>45466</v>
      </c>
      <c r="ES50" s="133">
        <v>110346</v>
      </c>
      <c r="ET50" s="133">
        <v>62734</v>
      </c>
      <c r="EU50" s="133">
        <v>259590</v>
      </c>
      <c r="EV50" s="133">
        <v>184591</v>
      </c>
      <c r="EW50" s="133">
        <v>1339544</v>
      </c>
      <c r="EX50" s="133">
        <v>452344</v>
      </c>
      <c r="IP50" s="133">
        <v>32523</v>
      </c>
      <c r="IQ50" s="133">
        <v>59276</v>
      </c>
      <c r="IR50" s="133">
        <v>76062</v>
      </c>
      <c r="IT50" s="133">
        <v>2679</v>
      </c>
      <c r="IU50" s="133">
        <v>49249</v>
      </c>
      <c r="IV50" s="133">
        <v>7549</v>
      </c>
      <c r="IW50" s="133">
        <v>88669</v>
      </c>
      <c r="IY50" s="133">
        <v>13645</v>
      </c>
      <c r="IZ50" s="133">
        <v>137976</v>
      </c>
      <c r="JA50" s="133">
        <v>18091</v>
      </c>
      <c r="JB50" s="133">
        <v>44777</v>
      </c>
      <c r="JD50" s="133">
        <v>27555</v>
      </c>
      <c r="JE50" s="133">
        <v>16868</v>
      </c>
      <c r="JF50" s="133">
        <v>37665</v>
      </c>
      <c r="JG50" s="133">
        <v>75844</v>
      </c>
      <c r="JH50" s="133">
        <v>8563</v>
      </c>
      <c r="JI50" s="133">
        <v>26894</v>
      </c>
      <c r="JJ50" s="133">
        <v>14402</v>
      </c>
      <c r="JK50" s="133">
        <v>48360</v>
      </c>
      <c r="JL50" s="133">
        <v>18397</v>
      </c>
      <c r="JM50" s="133">
        <v>142903</v>
      </c>
      <c r="JN50" s="133">
        <v>44869</v>
      </c>
    </row>
    <row r="51" spans="1:309" s="133" customFormat="1" x14ac:dyDescent="0.25">
      <c r="A51" s="135" t="s">
        <v>429</v>
      </c>
      <c r="B51" s="135"/>
      <c r="C51" s="135" t="s">
        <v>1069</v>
      </c>
      <c r="D51" s="135"/>
      <c r="E51" s="136"/>
      <c r="F51" s="135"/>
      <c r="G51" s="135" t="s">
        <v>430</v>
      </c>
      <c r="Q51" s="133">
        <v>506984</v>
      </c>
      <c r="AH51" s="133">
        <v>2125931</v>
      </c>
      <c r="AI51" s="133">
        <v>595925</v>
      </c>
      <c r="AJ51" s="133">
        <v>406361</v>
      </c>
      <c r="AK51" s="133">
        <v>366255</v>
      </c>
      <c r="AL51" s="133">
        <v>0</v>
      </c>
      <c r="CU51" s="133">
        <v>18564</v>
      </c>
      <c r="CV51" s="133">
        <v>119588</v>
      </c>
      <c r="CW51" s="133">
        <v>268400</v>
      </c>
      <c r="CX51" s="133">
        <v>439194</v>
      </c>
      <c r="DA51" s="133">
        <v>207129</v>
      </c>
      <c r="DB51" s="133">
        <v>17313</v>
      </c>
      <c r="DC51" s="133">
        <v>28964</v>
      </c>
      <c r="DE51" s="133">
        <v>171393</v>
      </c>
      <c r="DF51" s="133">
        <v>319720</v>
      </c>
      <c r="DG51" s="133">
        <v>26832</v>
      </c>
      <c r="DH51" s="133">
        <v>19212</v>
      </c>
      <c r="DI51" s="133">
        <v>18648</v>
      </c>
      <c r="DJ51" s="133">
        <v>175621</v>
      </c>
      <c r="DM51" s="133">
        <v>226536</v>
      </c>
      <c r="DN51" s="133">
        <v>69816</v>
      </c>
      <c r="DO51" s="133">
        <v>15312</v>
      </c>
      <c r="DP51" s="133">
        <v>36456</v>
      </c>
      <c r="DR51" s="133">
        <v>23968</v>
      </c>
      <c r="DS51" s="133">
        <v>203712</v>
      </c>
      <c r="DT51" s="133">
        <v>290779</v>
      </c>
      <c r="DY51" s="133">
        <v>44305</v>
      </c>
      <c r="DZ51" s="133">
        <v>637918</v>
      </c>
      <c r="EA51" s="133">
        <v>553269</v>
      </c>
      <c r="EB51" s="133">
        <v>924094</v>
      </c>
      <c r="EE51" s="133">
        <v>528872</v>
      </c>
      <c r="EF51" s="133">
        <v>139960</v>
      </c>
      <c r="EG51" s="133">
        <v>68912</v>
      </c>
      <c r="EI51" s="133">
        <v>538263</v>
      </c>
      <c r="EJ51" s="133">
        <v>633357</v>
      </c>
      <c r="EK51" s="133">
        <v>37863</v>
      </c>
      <c r="EL51" s="133">
        <v>74565</v>
      </c>
      <c r="EM51" s="133">
        <v>228874</v>
      </c>
      <c r="EN51" s="133">
        <v>799888</v>
      </c>
      <c r="EQ51" s="133">
        <v>315091</v>
      </c>
      <c r="ER51" s="133">
        <v>288621</v>
      </c>
      <c r="ES51" s="133">
        <v>94146</v>
      </c>
      <c r="ET51" s="133">
        <v>66545</v>
      </c>
      <c r="EV51" s="133">
        <v>38424</v>
      </c>
      <c r="EW51" s="133">
        <v>268632</v>
      </c>
      <c r="EX51" s="133">
        <v>190954</v>
      </c>
      <c r="IO51" s="133">
        <v>96377</v>
      </c>
      <c r="IP51" s="133">
        <v>162732</v>
      </c>
      <c r="IQ51" s="133">
        <v>210184</v>
      </c>
      <c r="IR51" s="133">
        <v>363200</v>
      </c>
      <c r="IU51" s="133">
        <v>207154</v>
      </c>
      <c r="IV51" s="133">
        <v>41557</v>
      </c>
      <c r="IW51" s="133">
        <v>49591</v>
      </c>
      <c r="IY51" s="133">
        <v>147464</v>
      </c>
      <c r="IZ51" s="133">
        <v>236665</v>
      </c>
      <c r="JA51" s="133">
        <v>16561</v>
      </c>
      <c r="JB51" s="133">
        <v>78621</v>
      </c>
      <c r="JC51" s="133">
        <v>108444</v>
      </c>
      <c r="JD51" s="133">
        <v>199929</v>
      </c>
      <c r="JG51" s="133">
        <v>139828</v>
      </c>
      <c r="JH51" s="133">
        <v>112608</v>
      </c>
      <c r="JI51" s="133">
        <v>34631</v>
      </c>
      <c r="JJ51" s="133">
        <v>25891</v>
      </c>
      <c r="JL51" s="133">
        <v>31089</v>
      </c>
      <c r="JM51" s="133">
        <v>138220</v>
      </c>
      <c r="JN51" s="133">
        <v>226837</v>
      </c>
    </row>
    <row r="52" spans="1:309" s="133" customFormat="1" x14ac:dyDescent="0.25">
      <c r="A52" s="135" t="s">
        <v>1071</v>
      </c>
      <c r="B52" s="135"/>
      <c r="C52" s="135" t="s">
        <v>1069</v>
      </c>
      <c r="D52" s="135"/>
      <c r="E52" s="136"/>
      <c r="F52" s="135"/>
      <c r="G52" s="135" t="s">
        <v>457</v>
      </c>
      <c r="Q52" s="133">
        <v>0</v>
      </c>
      <c r="AH52" s="133">
        <v>0</v>
      </c>
      <c r="AI52" s="133">
        <v>0</v>
      </c>
      <c r="AJ52" s="133">
        <v>0</v>
      </c>
      <c r="AK52" s="133">
        <v>0</v>
      </c>
      <c r="AL52" s="133">
        <v>0</v>
      </c>
    </row>
    <row r="53" spans="1:309" s="133" customFormat="1" x14ac:dyDescent="0.25">
      <c r="A53" s="135" t="s">
        <v>407</v>
      </c>
      <c r="B53" s="135"/>
      <c r="C53" s="135" t="s">
        <v>1069</v>
      </c>
      <c r="D53" s="135"/>
      <c r="E53" s="136"/>
      <c r="F53" s="135"/>
      <c r="G53" s="135" t="s">
        <v>408</v>
      </c>
      <c r="Q53" s="133">
        <v>781011</v>
      </c>
      <c r="AH53" s="133">
        <v>2742731</v>
      </c>
      <c r="AI53" s="133">
        <v>1035763</v>
      </c>
      <c r="AJ53" s="133">
        <v>429044</v>
      </c>
      <c r="AK53" s="133">
        <v>374269</v>
      </c>
      <c r="AL53" s="133">
        <v>0</v>
      </c>
      <c r="CU53" s="133">
        <v>79872</v>
      </c>
      <c r="CV53" s="133">
        <v>314292</v>
      </c>
      <c r="CW53" s="133">
        <v>141720</v>
      </c>
      <c r="CX53" s="133">
        <v>100488</v>
      </c>
      <c r="CY53" s="133">
        <v>69420</v>
      </c>
      <c r="CZ53" s="133">
        <v>105648</v>
      </c>
      <c r="DA53" s="133">
        <v>711533</v>
      </c>
      <c r="DB53" s="133">
        <v>117360</v>
      </c>
      <c r="DC53" s="133">
        <v>48576</v>
      </c>
      <c r="DE53" s="133">
        <v>980424</v>
      </c>
      <c r="DF53" s="133">
        <v>317196</v>
      </c>
      <c r="DH53" s="133">
        <v>145752</v>
      </c>
      <c r="DJ53" s="133">
        <v>103944</v>
      </c>
      <c r="DM53" s="133">
        <v>289164</v>
      </c>
      <c r="DN53" s="133">
        <v>301248</v>
      </c>
      <c r="DO53" s="133">
        <v>251964</v>
      </c>
      <c r="DP53" s="133">
        <v>1380</v>
      </c>
      <c r="DS53" s="133">
        <v>155436</v>
      </c>
      <c r="DT53" s="133">
        <v>960</v>
      </c>
      <c r="DY53" s="133">
        <v>349257</v>
      </c>
      <c r="DZ53" s="133">
        <v>872406</v>
      </c>
      <c r="EA53" s="133">
        <v>397600</v>
      </c>
      <c r="EB53" s="133">
        <v>90799</v>
      </c>
      <c r="EC53" s="133">
        <v>301989</v>
      </c>
      <c r="ED53" s="133">
        <v>355308</v>
      </c>
      <c r="EE53" s="133">
        <v>1407644</v>
      </c>
      <c r="EF53" s="133">
        <v>72800</v>
      </c>
      <c r="EG53" s="133">
        <v>143319</v>
      </c>
      <c r="EI53" s="133">
        <v>3372602</v>
      </c>
      <c r="EJ53" s="133">
        <v>740245</v>
      </c>
      <c r="EL53" s="133">
        <v>185900</v>
      </c>
      <c r="EN53" s="133">
        <v>408002</v>
      </c>
      <c r="EQ53" s="133">
        <v>708102</v>
      </c>
      <c r="ER53" s="133">
        <v>996916</v>
      </c>
      <c r="ES53" s="133">
        <v>587321</v>
      </c>
      <c r="ET53" s="133">
        <v>3830</v>
      </c>
      <c r="EW53" s="133">
        <v>191177</v>
      </c>
      <c r="EX53" s="133">
        <v>2400</v>
      </c>
      <c r="IO53" s="133">
        <v>209816</v>
      </c>
      <c r="IP53" s="133">
        <v>469543</v>
      </c>
      <c r="IQ53" s="133">
        <v>147125</v>
      </c>
      <c r="IR53" s="133">
        <v>51781</v>
      </c>
      <c r="IS53" s="133">
        <v>606027</v>
      </c>
      <c r="IT53" s="133">
        <v>103317</v>
      </c>
      <c r="IU53" s="133">
        <v>553224</v>
      </c>
      <c r="IV53" s="133">
        <v>45883</v>
      </c>
      <c r="IW53" s="133">
        <v>71261</v>
      </c>
      <c r="IY53" s="133">
        <v>1402257</v>
      </c>
      <c r="IZ53" s="133">
        <v>203225</v>
      </c>
      <c r="JB53" s="133">
        <v>119207</v>
      </c>
      <c r="JD53" s="133">
        <v>109373</v>
      </c>
      <c r="JG53" s="133">
        <v>200040</v>
      </c>
      <c r="JH53" s="133">
        <v>518201</v>
      </c>
      <c r="JI53" s="133">
        <v>308456</v>
      </c>
      <c r="JJ53" s="133">
        <v>4965</v>
      </c>
      <c r="JM53" s="133">
        <v>106089</v>
      </c>
      <c r="JN53" s="133">
        <v>844</v>
      </c>
    </row>
    <row r="54" spans="1:309" s="133" customFormat="1" x14ac:dyDescent="0.25">
      <c r="A54" s="135" t="s">
        <v>435</v>
      </c>
      <c r="B54" s="135"/>
      <c r="C54" s="135" t="s">
        <v>1069</v>
      </c>
      <c r="D54" s="135"/>
      <c r="E54" s="136"/>
      <c r="F54" s="135"/>
      <c r="G54" s="135" t="s">
        <v>436</v>
      </c>
      <c r="Q54" s="133">
        <v>254977</v>
      </c>
      <c r="AH54" s="133">
        <v>1500392</v>
      </c>
      <c r="AI54" s="133">
        <v>579906</v>
      </c>
      <c r="AJ54" s="133">
        <v>156760</v>
      </c>
      <c r="AK54" s="133">
        <v>92303</v>
      </c>
      <c r="AL54" s="133">
        <v>0</v>
      </c>
      <c r="CU54" s="133">
        <v>2304</v>
      </c>
      <c r="CV54" s="133">
        <v>98915</v>
      </c>
      <c r="CW54" s="133">
        <v>9720</v>
      </c>
      <c r="CX54" s="133">
        <v>80102</v>
      </c>
      <c r="DA54" s="133">
        <v>367896</v>
      </c>
      <c r="DB54" s="133">
        <v>3300</v>
      </c>
      <c r="DE54" s="133">
        <v>152440</v>
      </c>
      <c r="DF54" s="133">
        <v>65424</v>
      </c>
      <c r="DJ54" s="133">
        <v>53432</v>
      </c>
      <c r="DL54" s="133">
        <v>148409</v>
      </c>
      <c r="DM54" s="133">
        <v>83476</v>
      </c>
      <c r="DN54" s="133">
        <v>74676</v>
      </c>
      <c r="DO54" s="133">
        <v>75456</v>
      </c>
      <c r="DP54" s="133">
        <v>4160</v>
      </c>
      <c r="DR54" s="133">
        <v>23888</v>
      </c>
      <c r="DS54" s="133">
        <v>20204</v>
      </c>
      <c r="DT54" s="133">
        <v>480</v>
      </c>
      <c r="DY54" s="133">
        <v>7500</v>
      </c>
      <c r="DZ54" s="133">
        <v>268710</v>
      </c>
      <c r="EA54" s="133">
        <v>29318</v>
      </c>
      <c r="EB54" s="133">
        <v>310263</v>
      </c>
      <c r="EE54" s="133">
        <v>805665</v>
      </c>
      <c r="EF54" s="133">
        <v>15892</v>
      </c>
      <c r="EI54" s="133">
        <v>687593</v>
      </c>
      <c r="EJ54" s="133">
        <v>302314</v>
      </c>
      <c r="EN54" s="133">
        <v>213189</v>
      </c>
      <c r="EP54" s="133">
        <v>341042</v>
      </c>
      <c r="EQ54" s="133">
        <v>258232</v>
      </c>
      <c r="ER54" s="133">
        <v>158144</v>
      </c>
      <c r="ES54" s="133">
        <v>248704</v>
      </c>
      <c r="ET54" s="133">
        <v>14400</v>
      </c>
      <c r="EV54" s="133">
        <v>27000</v>
      </c>
      <c r="EW54" s="133">
        <v>58490</v>
      </c>
      <c r="EX54" s="133">
        <v>2312</v>
      </c>
      <c r="IO54" s="133">
        <v>2052</v>
      </c>
      <c r="IP54" s="133">
        <v>65817</v>
      </c>
      <c r="IQ54" s="133">
        <v>4223</v>
      </c>
      <c r="IR54" s="133">
        <v>35521</v>
      </c>
      <c r="IU54" s="133">
        <v>254985</v>
      </c>
      <c r="IV54" s="133">
        <v>5732</v>
      </c>
      <c r="IY54" s="133">
        <v>152011</v>
      </c>
      <c r="IZ54" s="133">
        <v>24252</v>
      </c>
      <c r="JD54" s="133">
        <v>51461</v>
      </c>
      <c r="JF54" s="133">
        <v>54633</v>
      </c>
      <c r="JG54" s="133">
        <v>35064</v>
      </c>
      <c r="JH54" s="133">
        <v>55927</v>
      </c>
      <c r="JI54" s="133">
        <v>75470</v>
      </c>
      <c r="JJ54" s="133">
        <v>5743</v>
      </c>
      <c r="JL54" s="133">
        <v>9202</v>
      </c>
      <c r="JM54" s="133">
        <v>4798</v>
      </c>
      <c r="JN54" s="133">
        <v>834</v>
      </c>
    </row>
    <row r="55" spans="1:309" s="133" customFormat="1" x14ac:dyDescent="0.25">
      <c r="A55" s="135" t="s">
        <v>370</v>
      </c>
      <c r="B55" s="135"/>
      <c r="C55" s="135" t="s">
        <v>1069</v>
      </c>
      <c r="D55" s="135"/>
      <c r="E55" s="136"/>
      <c r="F55" s="135"/>
      <c r="G55" s="135" t="s">
        <v>371</v>
      </c>
      <c r="Q55" s="133">
        <v>1381068</v>
      </c>
      <c r="AH55" s="133">
        <v>1482009</v>
      </c>
      <c r="AI55" s="133">
        <v>1091329</v>
      </c>
      <c r="AJ55" s="133">
        <v>667226</v>
      </c>
      <c r="AK55" s="133">
        <v>569560</v>
      </c>
      <c r="AL55" s="133">
        <v>229048</v>
      </c>
      <c r="CU55" s="133">
        <v>63838</v>
      </c>
      <c r="CV55" s="133">
        <v>188208</v>
      </c>
      <c r="CW55" s="133">
        <v>216816</v>
      </c>
      <c r="CX55" s="133">
        <v>107368</v>
      </c>
      <c r="CZ55" s="133">
        <v>10032</v>
      </c>
      <c r="DA55" s="133">
        <v>311510</v>
      </c>
      <c r="DB55" s="133">
        <v>14400</v>
      </c>
      <c r="DC55" s="133">
        <v>147353</v>
      </c>
      <c r="DE55" s="133">
        <v>70560</v>
      </c>
      <c r="DF55" s="133">
        <v>249872</v>
      </c>
      <c r="DG55" s="133">
        <v>17520</v>
      </c>
      <c r="DH55" s="133">
        <v>130247</v>
      </c>
      <c r="DJ55" s="133">
        <v>39002</v>
      </c>
      <c r="DL55" s="133">
        <v>88153</v>
      </c>
      <c r="DM55" s="133">
        <v>202112</v>
      </c>
      <c r="DN55" s="133">
        <v>65408</v>
      </c>
      <c r="DQ55" s="133">
        <v>98624</v>
      </c>
      <c r="DR55" s="133">
        <v>71568</v>
      </c>
      <c r="DS55" s="133">
        <v>270880</v>
      </c>
      <c r="DT55" s="133">
        <v>102057</v>
      </c>
      <c r="DY55" s="133">
        <v>217885</v>
      </c>
      <c r="DZ55" s="133">
        <v>324358</v>
      </c>
      <c r="EA55" s="133">
        <v>566911</v>
      </c>
      <c r="EB55" s="133">
        <v>333787</v>
      </c>
      <c r="ED55" s="133">
        <v>167483</v>
      </c>
      <c r="EE55" s="133">
        <v>454637</v>
      </c>
      <c r="EF55" s="133">
        <v>49243</v>
      </c>
      <c r="EG55" s="133">
        <v>231607</v>
      </c>
      <c r="EI55" s="133">
        <v>99660</v>
      </c>
      <c r="EJ55" s="133">
        <v>696050</v>
      </c>
      <c r="EK55" s="133">
        <v>48986</v>
      </c>
      <c r="EL55" s="133">
        <v>513795</v>
      </c>
      <c r="EN55" s="133">
        <v>141516</v>
      </c>
      <c r="EP55" s="133">
        <v>174754</v>
      </c>
      <c r="EQ55" s="133">
        <v>506131</v>
      </c>
      <c r="ER55" s="133">
        <v>146308</v>
      </c>
      <c r="EU55" s="133">
        <v>274185</v>
      </c>
      <c r="EV55" s="133">
        <v>137230</v>
      </c>
      <c r="EW55" s="133">
        <v>664971</v>
      </c>
      <c r="EX55" s="133">
        <v>281546</v>
      </c>
      <c r="IO55" s="133">
        <v>68846</v>
      </c>
      <c r="IP55" s="133">
        <v>83684</v>
      </c>
      <c r="IQ55" s="133">
        <v>99971</v>
      </c>
      <c r="IR55" s="133">
        <v>78190</v>
      </c>
      <c r="IT55" s="133">
        <v>6066</v>
      </c>
      <c r="IU55" s="133">
        <v>120689</v>
      </c>
      <c r="IV55" s="133">
        <v>812</v>
      </c>
      <c r="IW55" s="133">
        <v>58015</v>
      </c>
      <c r="IY55" s="133">
        <v>16642</v>
      </c>
      <c r="IZ55" s="133">
        <v>66913</v>
      </c>
      <c r="JA55" s="133">
        <v>3133</v>
      </c>
      <c r="JB55" s="133">
        <v>38451</v>
      </c>
      <c r="JD55" s="133">
        <v>31975</v>
      </c>
      <c r="JF55" s="133">
        <v>10250</v>
      </c>
      <c r="JG55" s="133">
        <v>41496</v>
      </c>
      <c r="JH55" s="133">
        <v>17445</v>
      </c>
      <c r="JK55" s="133">
        <v>27595</v>
      </c>
      <c r="JL55" s="133">
        <v>13650</v>
      </c>
      <c r="JM55" s="133">
        <v>51902</v>
      </c>
      <c r="JN55" s="133">
        <v>51585</v>
      </c>
    </row>
    <row r="56" spans="1:309" s="133" customFormat="1" x14ac:dyDescent="0.25">
      <c r="A56" s="135" t="s">
        <v>411</v>
      </c>
      <c r="B56" s="135"/>
      <c r="C56" s="135" t="s">
        <v>1069</v>
      </c>
      <c r="D56" s="135"/>
      <c r="E56" s="136"/>
      <c r="F56" s="135"/>
      <c r="G56" s="135" t="s">
        <v>412</v>
      </c>
      <c r="Q56" s="133">
        <v>869987</v>
      </c>
      <c r="AH56" s="133">
        <v>3658223</v>
      </c>
      <c r="AI56" s="133">
        <v>2826865</v>
      </c>
      <c r="AJ56" s="133">
        <v>849349</v>
      </c>
      <c r="AK56" s="133">
        <v>911931</v>
      </c>
      <c r="AL56" s="133">
        <v>0</v>
      </c>
      <c r="CU56" s="133">
        <v>15856</v>
      </c>
      <c r="CV56" s="133">
        <v>48640</v>
      </c>
      <c r="CW56" s="133">
        <v>503936</v>
      </c>
      <c r="CX56" s="133">
        <v>281696</v>
      </c>
      <c r="CZ56" s="133">
        <v>13632</v>
      </c>
      <c r="DA56" s="133">
        <v>353696</v>
      </c>
      <c r="DB56" s="133">
        <v>28800</v>
      </c>
      <c r="DC56" s="133">
        <v>176240</v>
      </c>
      <c r="DE56" s="133">
        <v>71344</v>
      </c>
      <c r="DF56" s="133">
        <v>493792</v>
      </c>
      <c r="DG56" s="133">
        <v>29168</v>
      </c>
      <c r="DH56" s="133">
        <v>101672</v>
      </c>
      <c r="DI56" s="133">
        <v>31360</v>
      </c>
      <c r="DJ56" s="133">
        <v>217735</v>
      </c>
      <c r="DK56" s="133">
        <v>45656</v>
      </c>
      <c r="DL56" s="133">
        <v>171600</v>
      </c>
      <c r="DM56" s="133">
        <v>427946</v>
      </c>
      <c r="DQ56" s="133">
        <v>17744</v>
      </c>
      <c r="DR56" s="133">
        <v>69248</v>
      </c>
      <c r="DS56" s="133">
        <v>547040</v>
      </c>
      <c r="DT56" s="133">
        <v>215944</v>
      </c>
      <c r="DY56" s="133">
        <v>77519</v>
      </c>
      <c r="DZ56" s="133">
        <v>298008</v>
      </c>
      <c r="EA56" s="133">
        <v>1041225</v>
      </c>
      <c r="EB56" s="133">
        <v>565012</v>
      </c>
      <c r="ED56" s="133">
        <v>55672</v>
      </c>
      <c r="EE56" s="133">
        <v>663591</v>
      </c>
      <c r="EF56" s="133">
        <v>103365</v>
      </c>
      <c r="EG56" s="133">
        <v>69544</v>
      </c>
      <c r="EI56" s="133">
        <v>100491</v>
      </c>
      <c r="EJ56" s="133">
        <v>1063527</v>
      </c>
      <c r="EK56" s="133">
        <v>91850</v>
      </c>
      <c r="EL56" s="133">
        <v>648310</v>
      </c>
      <c r="EM56" s="133">
        <v>199388</v>
      </c>
      <c r="EN56" s="133">
        <v>703096</v>
      </c>
      <c r="EO56" s="133">
        <v>215691</v>
      </c>
      <c r="EP56" s="133">
        <v>470315</v>
      </c>
      <c r="EQ56" s="133">
        <v>895648</v>
      </c>
      <c r="EU56" s="133">
        <v>528652</v>
      </c>
      <c r="EV56" s="133">
        <v>117350</v>
      </c>
      <c r="EW56" s="133">
        <v>1082235</v>
      </c>
      <c r="EX56" s="133">
        <v>779921</v>
      </c>
      <c r="IO56" s="133">
        <v>14095</v>
      </c>
      <c r="IP56" s="133">
        <v>71139</v>
      </c>
      <c r="IQ56" s="133">
        <v>503240</v>
      </c>
      <c r="IR56" s="133">
        <v>127116</v>
      </c>
      <c r="IT56" s="133">
        <v>22352</v>
      </c>
      <c r="IU56" s="133">
        <v>157121</v>
      </c>
      <c r="IV56" s="133">
        <v>48849</v>
      </c>
      <c r="IW56" s="133">
        <v>75245</v>
      </c>
      <c r="IY56" s="133">
        <v>66729</v>
      </c>
      <c r="IZ56" s="133">
        <v>228171</v>
      </c>
      <c r="JA56" s="133">
        <v>15267</v>
      </c>
      <c r="JB56" s="133">
        <v>132375</v>
      </c>
      <c r="JC56" s="133">
        <v>71391</v>
      </c>
      <c r="JD56" s="133">
        <v>231432</v>
      </c>
      <c r="JE56" s="133">
        <v>45515</v>
      </c>
      <c r="JF56" s="133">
        <v>100739</v>
      </c>
      <c r="JG56" s="133">
        <v>191264</v>
      </c>
      <c r="JK56" s="133">
        <v>27118</v>
      </c>
      <c r="JL56" s="133">
        <v>34807</v>
      </c>
      <c r="JM56" s="133">
        <v>271251</v>
      </c>
      <c r="JN56" s="133">
        <v>241665</v>
      </c>
    </row>
    <row r="57" spans="1:309" s="133" customFormat="1" x14ac:dyDescent="0.25">
      <c r="A57" s="135" t="s">
        <v>437</v>
      </c>
      <c r="B57" s="135"/>
      <c r="C57" s="135" t="s">
        <v>1069</v>
      </c>
      <c r="D57" s="135"/>
      <c r="E57" s="136"/>
      <c r="F57" s="135"/>
      <c r="G57" s="135" t="s">
        <v>438</v>
      </c>
      <c r="Q57" s="133">
        <v>369971</v>
      </c>
      <c r="AH57" s="133">
        <v>1270749</v>
      </c>
      <c r="AI57" s="133">
        <v>647444</v>
      </c>
      <c r="AJ57" s="133">
        <v>222211</v>
      </c>
      <c r="AK57" s="133">
        <v>783350</v>
      </c>
      <c r="AL57" s="133">
        <v>30482</v>
      </c>
      <c r="CU57" s="133">
        <v>12976</v>
      </c>
      <c r="CV57" s="133">
        <v>65556</v>
      </c>
      <c r="CW57" s="133">
        <v>51536</v>
      </c>
      <c r="CX57" s="133">
        <v>105534</v>
      </c>
      <c r="DA57" s="133">
        <v>62239</v>
      </c>
      <c r="DC57" s="133">
        <v>88786</v>
      </c>
      <c r="DE57" s="133">
        <v>4928</v>
      </c>
      <c r="DF57" s="133">
        <v>95452</v>
      </c>
      <c r="DG57" s="133">
        <v>16544</v>
      </c>
      <c r="DH57" s="133">
        <v>57108</v>
      </c>
      <c r="DJ57" s="133">
        <v>57203</v>
      </c>
      <c r="DL57" s="133">
        <v>249772</v>
      </c>
      <c r="DM57" s="133">
        <v>78924</v>
      </c>
      <c r="DN57" s="133">
        <v>16816</v>
      </c>
      <c r="DP57" s="133">
        <v>15776</v>
      </c>
      <c r="DQ57" s="133">
        <v>23008</v>
      </c>
      <c r="DR57" s="133">
        <v>68084</v>
      </c>
      <c r="DS57" s="133">
        <v>106512</v>
      </c>
      <c r="DT57" s="133">
        <v>19968</v>
      </c>
      <c r="DY57" s="133">
        <v>40628</v>
      </c>
      <c r="DZ57" s="133">
        <v>175261</v>
      </c>
      <c r="EA57" s="133">
        <v>118502</v>
      </c>
      <c r="EB57" s="133">
        <v>276067</v>
      </c>
      <c r="EE57" s="133">
        <v>117422</v>
      </c>
      <c r="EG57" s="133">
        <v>140616</v>
      </c>
      <c r="EI57" s="133">
        <v>3015</v>
      </c>
      <c r="EJ57" s="133">
        <v>268945</v>
      </c>
      <c r="EK57" s="133">
        <v>53622</v>
      </c>
      <c r="EL57" s="133">
        <v>200092</v>
      </c>
      <c r="EN57" s="133">
        <v>120764</v>
      </c>
      <c r="EP57" s="133">
        <v>508905</v>
      </c>
      <c r="EQ57" s="133">
        <v>209296</v>
      </c>
      <c r="ER57" s="133">
        <v>40149</v>
      </c>
      <c r="ET57" s="133">
        <v>42440</v>
      </c>
      <c r="EU57" s="133">
        <v>34951</v>
      </c>
      <c r="EV57" s="133">
        <v>205285</v>
      </c>
      <c r="EW57" s="133">
        <v>166379</v>
      </c>
      <c r="EX57" s="133">
        <v>51663</v>
      </c>
      <c r="IO57" s="133">
        <v>9937</v>
      </c>
      <c r="IP57" s="133">
        <v>77360</v>
      </c>
      <c r="IQ57" s="133">
        <v>15487</v>
      </c>
      <c r="IR57" s="133">
        <v>58745</v>
      </c>
      <c r="IU57" s="133">
        <v>39376</v>
      </c>
      <c r="IW57" s="133">
        <v>26198</v>
      </c>
      <c r="IY57" s="133">
        <v>0</v>
      </c>
      <c r="IZ57" s="133">
        <v>9141</v>
      </c>
      <c r="JA57" s="133">
        <v>1145</v>
      </c>
      <c r="JB57" s="133">
        <v>20175</v>
      </c>
      <c r="JD57" s="133">
        <v>26108</v>
      </c>
      <c r="JF57" s="133">
        <v>31619</v>
      </c>
      <c r="JG57" s="133">
        <v>4862</v>
      </c>
      <c r="JH57" s="133">
        <v>6390</v>
      </c>
      <c r="JJ57" s="133">
        <v>10371</v>
      </c>
      <c r="JK57" s="133">
        <v>2972</v>
      </c>
      <c r="JL57" s="133">
        <v>29550</v>
      </c>
      <c r="JM57" s="133">
        <v>12522</v>
      </c>
      <c r="JN57" s="133">
        <v>4494</v>
      </c>
    </row>
    <row r="58" spans="1:309" s="133" customFormat="1" x14ac:dyDescent="0.25">
      <c r="A58" s="135" t="s">
        <v>413</v>
      </c>
      <c r="B58" s="135"/>
      <c r="C58" s="135" t="s">
        <v>1069</v>
      </c>
      <c r="D58" s="135"/>
      <c r="E58" s="136"/>
      <c r="F58" s="135"/>
      <c r="G58" s="135" t="s">
        <v>414</v>
      </c>
      <c r="Q58" s="133">
        <v>1005000</v>
      </c>
      <c r="AH58" s="133">
        <v>1591939</v>
      </c>
      <c r="AI58" s="133">
        <v>919622</v>
      </c>
      <c r="AJ58" s="133">
        <v>484685</v>
      </c>
      <c r="AK58" s="133">
        <v>389083</v>
      </c>
      <c r="AL58" s="133">
        <v>0</v>
      </c>
      <c r="CU58" s="133">
        <v>2256</v>
      </c>
      <c r="CV58" s="133">
        <v>47504</v>
      </c>
      <c r="CW58" s="133">
        <v>194960</v>
      </c>
      <c r="CX58" s="133">
        <v>143184</v>
      </c>
      <c r="DA58" s="133">
        <v>87168</v>
      </c>
      <c r="DC58" s="133">
        <v>7152</v>
      </c>
      <c r="DE58" s="133">
        <v>31008</v>
      </c>
      <c r="DF58" s="133">
        <v>208144</v>
      </c>
      <c r="DG58" s="133">
        <v>13136</v>
      </c>
      <c r="DH58" s="133">
        <v>85776</v>
      </c>
      <c r="DJ58" s="133">
        <v>41600</v>
      </c>
      <c r="DK58" s="133">
        <v>27568</v>
      </c>
      <c r="DL58" s="133">
        <v>295008</v>
      </c>
      <c r="DM58" s="133">
        <v>140160</v>
      </c>
      <c r="DQ58" s="133">
        <v>64608</v>
      </c>
      <c r="DR58" s="133">
        <v>39568</v>
      </c>
      <c r="DS58" s="133">
        <v>233136</v>
      </c>
      <c r="DT58" s="133">
        <v>52672</v>
      </c>
      <c r="DY58" s="133">
        <v>6354</v>
      </c>
      <c r="DZ58" s="133">
        <v>311477</v>
      </c>
      <c r="EA58" s="133">
        <v>549127</v>
      </c>
      <c r="EB58" s="133">
        <v>335812</v>
      </c>
      <c r="EE58" s="133">
        <v>353773</v>
      </c>
      <c r="EG58" s="133">
        <v>17802</v>
      </c>
      <c r="EI58" s="133">
        <v>88698</v>
      </c>
      <c r="EJ58" s="133">
        <v>681391</v>
      </c>
      <c r="EK58" s="133">
        <v>46439</v>
      </c>
      <c r="EL58" s="133">
        <v>697617</v>
      </c>
      <c r="EN58" s="133">
        <v>192771</v>
      </c>
      <c r="EO58" s="133">
        <v>143094</v>
      </c>
      <c r="EP58" s="133">
        <v>792000</v>
      </c>
      <c r="EQ58" s="133">
        <v>369702</v>
      </c>
      <c r="EU58" s="133">
        <v>226066</v>
      </c>
      <c r="EV58" s="133">
        <v>214542</v>
      </c>
      <c r="EW58" s="133">
        <v>603605</v>
      </c>
      <c r="EX58" s="133">
        <v>204838</v>
      </c>
      <c r="IO58" s="133">
        <v>0</v>
      </c>
      <c r="IP58" s="133">
        <v>50082</v>
      </c>
      <c r="IQ58" s="133">
        <v>316860</v>
      </c>
      <c r="IR58" s="133">
        <v>71210</v>
      </c>
      <c r="IU58" s="133">
        <v>73445</v>
      </c>
      <c r="IW58" s="133">
        <v>2638</v>
      </c>
      <c r="IY58" s="133">
        <v>73980</v>
      </c>
      <c r="IZ58" s="133">
        <v>53891</v>
      </c>
      <c r="JA58" s="133">
        <v>7870</v>
      </c>
      <c r="JB58" s="133">
        <v>157925</v>
      </c>
      <c r="JD58" s="133">
        <v>58185</v>
      </c>
      <c r="JE58" s="133">
        <v>22826</v>
      </c>
      <c r="JF58" s="133">
        <v>172319</v>
      </c>
      <c r="JG58" s="133">
        <v>50219</v>
      </c>
      <c r="JK58" s="133">
        <v>48400</v>
      </c>
      <c r="JL58" s="133">
        <v>116188</v>
      </c>
      <c r="JM58" s="133">
        <v>64757</v>
      </c>
      <c r="JN58" s="133">
        <v>36050</v>
      </c>
    </row>
    <row r="59" spans="1:309" s="133" customFormat="1" x14ac:dyDescent="0.25">
      <c r="A59" s="135" t="s">
        <v>415</v>
      </c>
      <c r="B59" s="135"/>
      <c r="C59" s="135" t="s">
        <v>1069</v>
      </c>
      <c r="D59" s="135"/>
      <c r="E59" s="136"/>
      <c r="F59" s="135"/>
      <c r="G59" s="135" t="s">
        <v>416</v>
      </c>
      <c r="Q59" s="133">
        <v>65570</v>
      </c>
      <c r="AH59" s="133">
        <v>1706563</v>
      </c>
      <c r="AI59" s="133">
        <v>550699</v>
      </c>
      <c r="AJ59" s="133">
        <v>299710</v>
      </c>
      <c r="AK59" s="133">
        <v>177837</v>
      </c>
      <c r="AL59" s="133">
        <v>0</v>
      </c>
      <c r="CU59" s="133">
        <v>26808</v>
      </c>
      <c r="CV59" s="133">
        <v>15592</v>
      </c>
      <c r="CW59" s="133">
        <v>136528</v>
      </c>
      <c r="CX59" s="133">
        <v>96624</v>
      </c>
      <c r="CZ59" s="133">
        <v>208</v>
      </c>
      <c r="DA59" s="133">
        <v>72256</v>
      </c>
      <c r="DC59" s="133">
        <v>54197</v>
      </c>
      <c r="DD59" s="133">
        <v>384</v>
      </c>
      <c r="DE59" s="133">
        <v>31104</v>
      </c>
      <c r="DF59" s="133">
        <v>207280</v>
      </c>
      <c r="DG59" s="133">
        <v>8336</v>
      </c>
      <c r="DH59" s="133">
        <v>36352</v>
      </c>
      <c r="DJ59" s="133">
        <v>42135</v>
      </c>
      <c r="DK59" s="133">
        <v>15232</v>
      </c>
      <c r="DL59" s="133">
        <v>19056</v>
      </c>
      <c r="DM59" s="133">
        <v>149472</v>
      </c>
      <c r="DN59" s="133">
        <v>2556</v>
      </c>
      <c r="DO59" s="133">
        <v>60160</v>
      </c>
      <c r="DQ59" s="133">
        <v>49968</v>
      </c>
      <c r="DR59" s="133">
        <v>63437</v>
      </c>
      <c r="DS59" s="133">
        <v>199920</v>
      </c>
      <c r="DT59" s="133">
        <v>43328</v>
      </c>
      <c r="DY59" s="133">
        <v>92876</v>
      </c>
      <c r="DZ59" s="133">
        <v>11143</v>
      </c>
      <c r="EA59" s="133">
        <v>256032</v>
      </c>
      <c r="EB59" s="133">
        <v>316225</v>
      </c>
      <c r="ED59" s="133">
        <v>653</v>
      </c>
      <c r="EE59" s="133">
        <v>234820</v>
      </c>
      <c r="EG59" s="133">
        <v>141557</v>
      </c>
      <c r="EH59" s="133">
        <v>1940</v>
      </c>
      <c r="EI59" s="133">
        <v>192087</v>
      </c>
      <c r="EJ59" s="133">
        <v>454653</v>
      </c>
      <c r="EK59" s="133">
        <v>18861</v>
      </c>
      <c r="EL59" s="133">
        <v>166496</v>
      </c>
      <c r="EN59" s="133">
        <v>106963</v>
      </c>
      <c r="EO59" s="133">
        <v>73719</v>
      </c>
      <c r="EP59" s="133">
        <v>75385</v>
      </c>
      <c r="EQ59" s="133">
        <v>341974</v>
      </c>
      <c r="ER59" s="133">
        <v>4625</v>
      </c>
      <c r="ES59" s="133">
        <v>335278</v>
      </c>
      <c r="EU59" s="133">
        <v>181005</v>
      </c>
      <c r="EV59" s="133">
        <v>306488</v>
      </c>
      <c r="EW59" s="133">
        <v>352014</v>
      </c>
      <c r="EX59" s="133">
        <v>279489</v>
      </c>
      <c r="IO59" s="133">
        <v>55043</v>
      </c>
      <c r="IP59" s="133">
        <v>7038</v>
      </c>
      <c r="IQ59" s="133">
        <v>51338</v>
      </c>
      <c r="IR59" s="133">
        <v>30091</v>
      </c>
      <c r="IT59" s="133">
        <v>42</v>
      </c>
      <c r="IU59" s="133">
        <v>31938</v>
      </c>
      <c r="IW59" s="133">
        <v>28669</v>
      </c>
      <c r="IX59" s="133">
        <v>1098</v>
      </c>
      <c r="IY59" s="133">
        <v>108732</v>
      </c>
      <c r="IZ59" s="133">
        <v>67479</v>
      </c>
      <c r="JA59" s="133">
        <v>2341</v>
      </c>
      <c r="JB59" s="133">
        <v>33824</v>
      </c>
      <c r="JD59" s="133">
        <v>29148</v>
      </c>
      <c r="JE59" s="133">
        <v>51703</v>
      </c>
      <c r="JF59" s="133">
        <v>15450</v>
      </c>
      <c r="JG59" s="133">
        <v>25580</v>
      </c>
      <c r="JH59" s="133">
        <v>2921</v>
      </c>
      <c r="JI59" s="133">
        <v>82619</v>
      </c>
      <c r="JK59" s="133">
        <v>14022</v>
      </c>
      <c r="JL59" s="133">
        <v>99987</v>
      </c>
      <c r="JM59" s="133">
        <v>12642</v>
      </c>
      <c r="JN59" s="133">
        <v>39922</v>
      </c>
    </row>
    <row r="60" spans="1:309" s="133" customFormat="1" x14ac:dyDescent="0.25">
      <c r="A60" s="135" t="s">
        <v>431</v>
      </c>
      <c r="B60" s="135"/>
      <c r="C60" s="135" t="s">
        <v>1069</v>
      </c>
      <c r="D60" s="135"/>
      <c r="E60" s="136"/>
      <c r="F60" s="135"/>
      <c r="G60" s="135" t="s">
        <v>432</v>
      </c>
      <c r="Q60" s="133">
        <v>25269</v>
      </c>
      <c r="AH60" s="133">
        <v>1095695</v>
      </c>
      <c r="AI60" s="133">
        <v>331548</v>
      </c>
      <c r="AJ60" s="133">
        <v>131315</v>
      </c>
      <c r="AK60" s="133">
        <v>426834</v>
      </c>
      <c r="AL60" s="133">
        <v>0</v>
      </c>
      <c r="CU60" s="133">
        <v>93440</v>
      </c>
      <c r="CV60" s="133">
        <v>9840</v>
      </c>
      <c r="CW60" s="133">
        <v>39968</v>
      </c>
      <c r="CX60" s="133">
        <v>26005</v>
      </c>
      <c r="CZ60" s="133">
        <v>6784</v>
      </c>
      <c r="DA60" s="133">
        <v>34473</v>
      </c>
      <c r="DB60" s="133">
        <v>336</v>
      </c>
      <c r="DC60" s="133">
        <v>2676</v>
      </c>
      <c r="DE60" s="133">
        <v>32545</v>
      </c>
      <c r="DF60" s="133">
        <v>107648</v>
      </c>
      <c r="DG60" s="133">
        <v>2456</v>
      </c>
      <c r="DH60" s="133">
        <v>730</v>
      </c>
      <c r="DJ60" s="133">
        <v>19466</v>
      </c>
      <c r="DL60" s="133">
        <v>31314</v>
      </c>
      <c r="DM60" s="133">
        <v>70686</v>
      </c>
      <c r="DN60" s="133">
        <v>11600</v>
      </c>
      <c r="DO60" s="133">
        <v>211</v>
      </c>
      <c r="DP60" s="133">
        <v>502</v>
      </c>
      <c r="DQ60" s="133">
        <v>27760</v>
      </c>
      <c r="DR60" s="133">
        <v>50048</v>
      </c>
      <c r="DS60" s="133">
        <v>93264</v>
      </c>
      <c r="DT60" s="133">
        <v>24384</v>
      </c>
      <c r="DY60" s="133">
        <v>236231</v>
      </c>
      <c r="DZ60" s="133">
        <v>38315</v>
      </c>
      <c r="EA60" s="133">
        <v>97474</v>
      </c>
      <c r="EB60" s="133">
        <v>115850</v>
      </c>
      <c r="ED60" s="133">
        <v>34397</v>
      </c>
      <c r="EE60" s="133">
        <v>33292</v>
      </c>
      <c r="EF60" s="133">
        <v>0</v>
      </c>
      <c r="EG60" s="133">
        <v>5877</v>
      </c>
      <c r="EI60" s="133">
        <v>32854</v>
      </c>
      <c r="EJ60" s="133">
        <v>299745</v>
      </c>
      <c r="EK60" s="133">
        <v>11300</v>
      </c>
      <c r="EL60" s="133">
        <v>0</v>
      </c>
      <c r="EN60" s="133">
        <v>0</v>
      </c>
      <c r="EP60" s="133">
        <v>70803</v>
      </c>
      <c r="EQ60" s="133">
        <v>112738</v>
      </c>
      <c r="ER60" s="133">
        <v>32769</v>
      </c>
      <c r="ES60" s="133">
        <v>0</v>
      </c>
      <c r="ET60" s="133">
        <v>0</v>
      </c>
      <c r="EU60" s="133">
        <v>106532</v>
      </c>
      <c r="EV60" s="133">
        <v>96565</v>
      </c>
      <c r="EW60" s="133">
        <v>238875</v>
      </c>
      <c r="EX60" s="133">
        <v>91365</v>
      </c>
      <c r="IO60" s="133">
        <v>85836</v>
      </c>
      <c r="IP60" s="133">
        <v>20405</v>
      </c>
      <c r="IQ60" s="133">
        <v>17671</v>
      </c>
      <c r="IR60" s="133">
        <v>39430</v>
      </c>
      <c r="IT60" s="133">
        <v>26054</v>
      </c>
      <c r="IU60" s="133">
        <v>29343</v>
      </c>
      <c r="IV60" s="133">
        <v>1063</v>
      </c>
      <c r="IW60" s="133">
        <v>8046</v>
      </c>
      <c r="IY60" s="133">
        <v>40629</v>
      </c>
      <c r="IZ60" s="133">
        <v>49011</v>
      </c>
      <c r="JA60" s="133">
        <v>853</v>
      </c>
      <c r="JB60" s="133">
        <v>2599</v>
      </c>
      <c r="JD60" s="133">
        <v>78831</v>
      </c>
      <c r="JF60" s="133">
        <v>8233</v>
      </c>
      <c r="JG60" s="133">
        <v>16399</v>
      </c>
      <c r="JH60" s="133">
        <v>16410</v>
      </c>
      <c r="JI60" s="133">
        <v>2175</v>
      </c>
      <c r="JJ60" s="133">
        <v>4480</v>
      </c>
      <c r="JK60" s="133">
        <v>89994</v>
      </c>
      <c r="JL60" s="133">
        <v>64357</v>
      </c>
      <c r="JM60" s="133">
        <v>11644</v>
      </c>
      <c r="JN60" s="133">
        <v>32508</v>
      </c>
    </row>
    <row r="61" spans="1:309" s="133" customFormat="1" x14ac:dyDescent="0.25">
      <c r="A61" s="135" t="s">
        <v>417</v>
      </c>
      <c r="B61" s="135"/>
      <c r="C61" s="135" t="s">
        <v>1069</v>
      </c>
      <c r="D61" s="135"/>
      <c r="E61" s="136"/>
      <c r="F61" s="135"/>
      <c r="G61" s="135" t="s">
        <v>418</v>
      </c>
      <c r="Q61" s="133">
        <v>941067</v>
      </c>
      <c r="AH61" s="133">
        <v>3097821</v>
      </c>
      <c r="AI61" s="133">
        <v>898512</v>
      </c>
      <c r="AJ61" s="133">
        <v>464626</v>
      </c>
      <c r="AK61" s="133">
        <v>1066519</v>
      </c>
      <c r="AL61" s="133">
        <v>0</v>
      </c>
      <c r="CU61" s="133">
        <v>20754</v>
      </c>
      <c r="CV61" s="133">
        <v>25440</v>
      </c>
      <c r="CW61" s="133">
        <v>233332</v>
      </c>
      <c r="CX61" s="133">
        <v>104840</v>
      </c>
      <c r="DA61" s="133">
        <v>104656</v>
      </c>
      <c r="DB61" s="133">
        <v>8960</v>
      </c>
      <c r="DC61" s="133">
        <v>63680</v>
      </c>
      <c r="DD61" s="133">
        <v>96</v>
      </c>
      <c r="DE61" s="133">
        <v>32264</v>
      </c>
      <c r="DF61" s="133">
        <v>317280</v>
      </c>
      <c r="DG61" s="133">
        <v>21190</v>
      </c>
      <c r="DH61" s="133">
        <v>19298</v>
      </c>
      <c r="DI61" s="133">
        <v>21744</v>
      </c>
      <c r="DJ61" s="133">
        <v>190040</v>
      </c>
      <c r="DL61" s="133">
        <v>85769</v>
      </c>
      <c r="DM61" s="133">
        <v>220368</v>
      </c>
      <c r="DN61" s="133">
        <v>37216</v>
      </c>
      <c r="DP61" s="133">
        <v>1216</v>
      </c>
      <c r="DQ61" s="133">
        <v>49344</v>
      </c>
      <c r="DR61" s="133">
        <v>62900</v>
      </c>
      <c r="DS61" s="133">
        <v>397200</v>
      </c>
      <c r="DT61" s="133">
        <v>63416</v>
      </c>
      <c r="DU61" s="133">
        <v>0</v>
      </c>
      <c r="DV61" s="133">
        <v>0</v>
      </c>
      <c r="DW61" s="133">
        <v>0</v>
      </c>
      <c r="DX61" s="133">
        <v>0</v>
      </c>
      <c r="DY61" s="133">
        <v>52049</v>
      </c>
      <c r="DZ61" s="133">
        <v>64218</v>
      </c>
      <c r="EA61" s="133">
        <v>586332</v>
      </c>
      <c r="EB61" s="133">
        <v>244060</v>
      </c>
      <c r="EE61" s="133">
        <v>226401</v>
      </c>
      <c r="EF61" s="133">
        <v>5500</v>
      </c>
      <c r="EG61" s="133">
        <v>155811</v>
      </c>
      <c r="EH61" s="133">
        <v>242</v>
      </c>
      <c r="EI61" s="133">
        <v>75346</v>
      </c>
      <c r="EJ61" s="133">
        <v>800909</v>
      </c>
      <c r="EK61" s="133">
        <v>47059</v>
      </c>
      <c r="EL61" s="133">
        <v>40976</v>
      </c>
      <c r="EM61" s="133">
        <v>54888</v>
      </c>
      <c r="EN61" s="133">
        <v>352632</v>
      </c>
      <c r="EP61" s="133">
        <v>211018</v>
      </c>
      <c r="EQ61" s="133">
        <v>556274</v>
      </c>
      <c r="ER61" s="133">
        <v>93944</v>
      </c>
      <c r="ET61" s="133">
        <v>3070</v>
      </c>
      <c r="EU61" s="133">
        <v>124559</v>
      </c>
      <c r="EV61" s="133">
        <v>119766</v>
      </c>
      <c r="EW61" s="133">
        <v>1002651</v>
      </c>
      <c r="EX61" s="133">
        <v>160081</v>
      </c>
      <c r="IO61" s="133">
        <v>2377</v>
      </c>
      <c r="IP61" s="133">
        <v>2910</v>
      </c>
      <c r="IQ61" s="133">
        <v>26712</v>
      </c>
      <c r="IR61" s="133">
        <v>12185</v>
      </c>
      <c r="IU61" s="133">
        <v>12326</v>
      </c>
      <c r="IV61" s="133">
        <v>1186</v>
      </c>
      <c r="IW61" s="133">
        <v>7330</v>
      </c>
      <c r="IX61" s="133">
        <v>11</v>
      </c>
      <c r="IY61" s="133">
        <v>3748</v>
      </c>
      <c r="IZ61" s="133">
        <v>36289</v>
      </c>
      <c r="JA61" s="133">
        <v>2484</v>
      </c>
      <c r="JB61" s="133">
        <v>2280</v>
      </c>
      <c r="JC61" s="133">
        <v>2487</v>
      </c>
      <c r="JD61" s="133">
        <v>22933</v>
      </c>
      <c r="JF61" s="133">
        <v>9862</v>
      </c>
      <c r="JG61" s="133">
        <v>25205</v>
      </c>
      <c r="JH61" s="133">
        <v>4257</v>
      </c>
      <c r="JJ61" s="133">
        <v>139</v>
      </c>
      <c r="JK61" s="133">
        <v>5644</v>
      </c>
      <c r="JL61" s="133">
        <v>7562</v>
      </c>
      <c r="JM61" s="133">
        <v>45430</v>
      </c>
      <c r="JN61" s="133">
        <v>7253</v>
      </c>
    </row>
    <row r="62" spans="1:309" x14ac:dyDescent="0.25">
      <c r="CU62" s="65"/>
      <c r="CV62" s="65"/>
      <c r="CW62" s="65"/>
      <c r="CX62" s="65"/>
      <c r="CY62" s="65"/>
      <c r="CZ62" s="65"/>
      <c r="DA62" s="65"/>
      <c r="DB62" s="65"/>
      <c r="DC62" s="65"/>
      <c r="DD62" s="65"/>
      <c r="DE62" s="65"/>
      <c r="DF62" s="65"/>
      <c r="DG62" s="65"/>
      <c r="DH62" s="65"/>
      <c r="DI62" s="65"/>
      <c r="DJ62" s="65"/>
      <c r="DK62" s="65"/>
      <c r="DL62" s="65"/>
      <c r="DM62" s="65"/>
      <c r="DN62" s="65"/>
      <c r="DO62" s="65"/>
      <c r="DP62" s="65"/>
      <c r="DQ62" s="65"/>
      <c r="DR62" s="65"/>
      <c r="DS62" s="65"/>
      <c r="DT62" s="65"/>
      <c r="DU62" s="65"/>
      <c r="DV62" s="65"/>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41"/>
    </row>
    <row r="63" spans="1:309" x14ac:dyDescent="0.2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5"/>
      <c r="DJ63" s="65"/>
      <c r="DK63" s="65"/>
      <c r="DL63" s="65"/>
      <c r="DM63" s="65"/>
      <c r="DN63" s="65"/>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5"/>
      <c r="FA63" s="65"/>
      <c r="FB63" s="65"/>
      <c r="FC63" s="65"/>
      <c r="FD63" s="65"/>
      <c r="FE63" s="65"/>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c r="HF63" s="65"/>
      <c r="HG63" s="65"/>
      <c r="HH63" s="65"/>
      <c r="HI63" s="65"/>
      <c r="HJ63" s="65"/>
      <c r="HK63" s="65"/>
      <c r="HL63" s="65"/>
      <c r="HM63" s="65"/>
      <c r="HN63" s="65"/>
      <c r="HO63" s="65"/>
      <c r="HP63" s="65"/>
      <c r="HQ63" s="65"/>
      <c r="HR63" s="65"/>
      <c r="HS63" s="65"/>
      <c r="HT63" s="65"/>
      <c r="HU63" s="65"/>
      <c r="HV63" s="65"/>
      <c r="HW63" s="65"/>
      <c r="HX63" s="65"/>
      <c r="HY63" s="65"/>
      <c r="HZ63" s="65"/>
      <c r="IA63" s="65"/>
      <c r="IB63" s="65"/>
      <c r="IC63" s="65"/>
      <c r="ID63" s="65"/>
      <c r="IE63" s="65"/>
      <c r="IF63" s="65"/>
      <c r="IG63" s="65"/>
      <c r="IH63" s="65"/>
      <c r="II63" s="65"/>
      <c r="IJ63" s="65"/>
      <c r="IK63" s="65"/>
      <c r="IL63" s="65"/>
      <c r="IM63" s="65"/>
      <c r="IN63" s="65"/>
      <c r="IO63" s="65"/>
      <c r="IP63" s="65"/>
      <c r="IQ63" s="65"/>
      <c r="IR63" s="65"/>
      <c r="IS63" s="65"/>
      <c r="IT63" s="65"/>
      <c r="IU63" s="65"/>
      <c r="IV63" s="65"/>
      <c r="IW63" s="65"/>
      <c r="IX63" s="65"/>
      <c r="IY63" s="65"/>
      <c r="IZ63" s="65"/>
      <c r="JA63" s="65"/>
      <c r="JB63" s="65"/>
      <c r="JC63" s="65"/>
      <c r="JD63" s="65"/>
      <c r="JE63" s="65"/>
      <c r="JF63" s="65"/>
      <c r="JG63" s="65"/>
      <c r="JH63" s="65"/>
      <c r="JI63" s="65"/>
      <c r="JJ63" s="65"/>
      <c r="JK63" s="65"/>
      <c r="JL63" s="65"/>
      <c r="JM63" s="65"/>
      <c r="JN63" s="65"/>
      <c r="JO63" s="65"/>
      <c r="JP63" s="65"/>
      <c r="JQ63" s="65"/>
      <c r="JR63" s="65"/>
      <c r="JS63" s="65"/>
      <c r="JT63" s="65"/>
      <c r="JU63" s="65"/>
      <c r="JV63" s="65"/>
      <c r="JW63" s="65"/>
      <c r="JX63" s="65"/>
      <c r="JY63" s="65"/>
      <c r="JZ63" s="65"/>
      <c r="KA63" s="65"/>
      <c r="KB63" s="65"/>
      <c r="KC63" s="65"/>
      <c r="KD63" s="65"/>
      <c r="KE63" s="65"/>
      <c r="KF63" s="65"/>
      <c r="KG63" s="65"/>
      <c r="KH63" s="65"/>
      <c r="KI63" s="65"/>
      <c r="KJ63" s="65"/>
      <c r="KK63" s="65"/>
      <c r="KL63" s="65"/>
      <c r="KM63" s="65"/>
      <c r="KN63" s="65"/>
      <c r="KO63" s="65"/>
      <c r="KP63" s="65"/>
      <c r="KQ63" s="65"/>
      <c r="KR63" s="65"/>
      <c r="KS63" s="65"/>
      <c r="KT63" s="65"/>
      <c r="KU63" s="65"/>
      <c r="KV63" s="65"/>
      <c r="KW63" s="65"/>
    </row>
    <row r="64" spans="1:309" x14ac:dyDescent="0.25">
      <c r="C64" s="132"/>
      <c r="D64" s="132"/>
      <c r="E64" s="132"/>
      <c r="F64" s="132"/>
      <c r="G64" s="132"/>
      <c r="H64" s="132"/>
      <c r="I64" s="132"/>
      <c r="J64" s="132"/>
      <c r="CT64" s="133"/>
      <c r="CU64" s="133"/>
      <c r="CV64" s="133"/>
      <c r="CW64" s="133"/>
      <c r="CX64" s="133"/>
      <c r="CY64" s="133"/>
      <c r="CZ64" s="133"/>
      <c r="DA64" s="133"/>
      <c r="DB64" s="133"/>
      <c r="DC64" s="133"/>
      <c r="DD64" s="133"/>
      <c r="DE64" s="133"/>
      <c r="DF64" s="133"/>
      <c r="DG64" s="133"/>
      <c r="DH64" s="133"/>
      <c r="DI64" s="133"/>
      <c r="DJ64" s="133"/>
      <c r="DK64" s="133"/>
      <c r="DL64" s="133"/>
      <c r="DM64" s="133"/>
      <c r="DN64" s="133"/>
      <c r="DO64" s="133"/>
      <c r="DP64" s="133"/>
      <c r="DQ64" s="133"/>
      <c r="DR64" s="133"/>
      <c r="DS64" s="133"/>
      <c r="DT64" s="133"/>
      <c r="DU64" s="133"/>
      <c r="DV64" s="133"/>
      <c r="DW64" s="133"/>
      <c r="DX64" s="133"/>
      <c r="DY64" s="133"/>
      <c r="DZ64" s="133"/>
      <c r="EA64" s="133"/>
      <c r="EB64" s="133"/>
      <c r="EC64" s="133"/>
      <c r="ED64" s="133"/>
      <c r="EE64" s="133"/>
      <c r="EF64" s="133"/>
      <c r="EG64" s="133"/>
      <c r="EH64" s="133"/>
      <c r="EI64" s="133"/>
      <c r="EJ64" s="133"/>
      <c r="EK64" s="133"/>
      <c r="EL64" s="133"/>
      <c r="EM64" s="133"/>
      <c r="EN64" s="133"/>
      <c r="EO64" s="133"/>
      <c r="EP64" s="133"/>
      <c r="EQ64" s="133"/>
      <c r="ER64" s="133"/>
      <c r="ES64" s="133"/>
      <c r="ET64" s="133"/>
      <c r="EU64" s="133"/>
      <c r="EV64" s="133"/>
      <c r="EW64" s="133"/>
      <c r="EX64" s="133"/>
      <c r="EY64" s="133"/>
      <c r="EZ64" s="133"/>
      <c r="FA64" s="133"/>
      <c r="FB64" s="133"/>
      <c r="FC64" s="133"/>
      <c r="FD64" s="133"/>
      <c r="FE64" s="133"/>
      <c r="FF64" s="133"/>
      <c r="FG64" s="133"/>
      <c r="FH64" s="133"/>
      <c r="FI64" s="133"/>
      <c r="FJ64" s="133"/>
      <c r="FK64" s="133"/>
      <c r="FL64" s="133"/>
      <c r="FM64" s="133"/>
      <c r="FN64" s="133"/>
      <c r="FO64" s="133"/>
      <c r="FP64" s="133"/>
      <c r="FQ64" s="133"/>
      <c r="FR64" s="133"/>
      <c r="FS64" s="133"/>
      <c r="FT64" s="133"/>
      <c r="FU64" s="133"/>
      <c r="FV64" s="133"/>
      <c r="FW64" s="133"/>
      <c r="FX64" s="133"/>
      <c r="FY64" s="133"/>
      <c r="FZ64" s="133"/>
      <c r="GA64" s="133"/>
      <c r="GB64" s="133"/>
      <c r="GC64" s="133"/>
      <c r="GD64" s="133"/>
      <c r="GE64" s="133"/>
      <c r="GF64" s="133"/>
      <c r="IH64" s="65"/>
      <c r="II64" s="65"/>
      <c r="IJ64" s="65"/>
      <c r="IK64" s="65"/>
      <c r="IL64" s="65"/>
      <c r="IM64" s="65"/>
      <c r="IN64" s="65"/>
      <c r="IO64" s="65"/>
      <c r="IP64" s="65"/>
      <c r="IQ64" s="65"/>
      <c r="IR64" s="65"/>
      <c r="IS64" s="65"/>
      <c r="IT64" s="65"/>
      <c r="IU64" s="65"/>
      <c r="IV64" s="65"/>
      <c r="IW64" s="65"/>
      <c r="IX64" s="65"/>
      <c r="IY64" s="65"/>
      <c r="IZ64" s="65"/>
      <c r="JA64" s="65"/>
      <c r="JB64" s="65"/>
      <c r="JC64" s="65"/>
      <c r="JD64" s="65"/>
      <c r="JE64" s="65"/>
      <c r="JF64" s="65"/>
      <c r="JG64" s="65"/>
      <c r="JH64" s="65"/>
    </row>
    <row r="65" spans="2:268" x14ac:dyDescent="0.25">
      <c r="C65" s="132"/>
      <c r="D65" s="132"/>
      <c r="E65" s="132"/>
      <c r="F65" s="132"/>
      <c r="G65" s="132"/>
      <c r="H65" s="132"/>
      <c r="I65" s="132"/>
      <c r="J65" s="132"/>
      <c r="CT65" s="133"/>
      <c r="CU65" s="133"/>
      <c r="CV65" s="133"/>
      <c r="CW65" s="133"/>
      <c r="CX65" s="133"/>
      <c r="CY65" s="133"/>
      <c r="CZ65" s="133"/>
      <c r="DA65" s="133"/>
      <c r="DB65" s="133"/>
      <c r="DC65" s="133"/>
      <c r="DD65" s="133"/>
      <c r="DE65" s="133"/>
      <c r="DF65" s="133"/>
      <c r="DG65" s="133"/>
      <c r="DH65" s="133"/>
      <c r="DI65" s="133"/>
      <c r="DJ65" s="133"/>
      <c r="DK65" s="133"/>
      <c r="DL65" s="133"/>
      <c r="DM65" s="133"/>
      <c r="DN65" s="133"/>
      <c r="DO65" s="133"/>
      <c r="DP65" s="133"/>
      <c r="DQ65" s="133"/>
      <c r="DR65" s="133"/>
      <c r="DS65" s="133"/>
      <c r="DT65" s="133"/>
      <c r="DU65" s="133"/>
      <c r="DV65" s="133"/>
      <c r="DW65" s="133"/>
      <c r="DX65" s="134"/>
      <c r="DY65" s="133"/>
      <c r="DZ65" s="133"/>
      <c r="EA65" s="133"/>
      <c r="EB65" s="133"/>
      <c r="EC65" s="133"/>
      <c r="ED65" s="133"/>
      <c r="EE65" s="133"/>
      <c r="EF65" s="133"/>
      <c r="EG65" s="133"/>
      <c r="EH65" s="133"/>
      <c r="EI65" s="133"/>
      <c r="EJ65" s="133"/>
      <c r="EK65" s="133"/>
      <c r="EL65" s="133"/>
      <c r="EM65" s="133"/>
      <c r="EN65" s="133"/>
      <c r="EO65" s="133"/>
      <c r="EP65" s="133"/>
      <c r="EQ65" s="133"/>
      <c r="ER65" s="133"/>
      <c r="ES65" s="133"/>
      <c r="ET65" s="133"/>
      <c r="EU65" s="133"/>
      <c r="EV65" s="133"/>
      <c r="EW65" s="133"/>
      <c r="EX65" s="133"/>
      <c r="EY65" s="133"/>
      <c r="EZ65" s="133"/>
      <c r="FA65" s="133"/>
      <c r="FB65" s="133"/>
      <c r="FC65" s="133"/>
      <c r="FD65" s="133"/>
      <c r="FE65" s="133"/>
      <c r="FF65" s="133"/>
      <c r="FG65" s="133"/>
      <c r="FH65" s="133"/>
      <c r="FI65" s="133"/>
      <c r="FJ65" s="133"/>
      <c r="FK65" s="133"/>
      <c r="FL65" s="133"/>
      <c r="FM65" s="133"/>
      <c r="FN65" s="133"/>
      <c r="FO65" s="133"/>
      <c r="FP65" s="133"/>
      <c r="FQ65" s="133"/>
      <c r="FR65" s="133"/>
      <c r="FS65" s="133"/>
      <c r="FT65" s="133"/>
      <c r="FU65" s="133"/>
      <c r="FV65" s="133"/>
      <c r="FW65" s="133"/>
      <c r="FX65" s="133"/>
      <c r="FY65" s="133"/>
      <c r="FZ65" s="133"/>
      <c r="GA65" s="133"/>
      <c r="GB65" s="133"/>
      <c r="GC65" s="133"/>
      <c r="GD65" s="133"/>
      <c r="GE65" s="133"/>
      <c r="GF65" s="133"/>
      <c r="IH65" s="65"/>
      <c r="II65" s="65"/>
      <c r="IJ65" s="65"/>
      <c r="IK65" s="65"/>
      <c r="IL65" s="65"/>
      <c r="IM65" s="65"/>
      <c r="IN65" s="65"/>
      <c r="IO65" s="65"/>
      <c r="IP65" s="65"/>
      <c r="IQ65" s="65"/>
      <c r="IR65" s="65"/>
      <c r="IS65" s="65"/>
      <c r="IT65" s="65"/>
      <c r="IU65" s="65"/>
      <c r="IV65" s="65"/>
      <c r="IW65" s="65"/>
      <c r="IX65" s="65"/>
      <c r="IY65" s="65"/>
      <c r="IZ65" s="65"/>
      <c r="JA65" s="65"/>
      <c r="JB65" s="65"/>
      <c r="JC65" s="65"/>
      <c r="JD65" s="65"/>
      <c r="JE65" s="65"/>
      <c r="JF65" s="65"/>
      <c r="JG65" s="65"/>
      <c r="JH65" s="65"/>
    </row>
    <row r="66" spans="2:268" x14ac:dyDescent="0.25">
      <c r="G66" s="130"/>
      <c r="H66" s="130"/>
      <c r="CT66" s="133"/>
      <c r="CU66" s="133"/>
      <c r="CV66" s="133"/>
      <c r="CW66" s="133"/>
      <c r="CX66" s="133"/>
      <c r="CY66" s="133"/>
      <c r="CZ66" s="133"/>
      <c r="DA66" s="133"/>
      <c r="DB66" s="133"/>
      <c r="DC66" s="133"/>
      <c r="DD66" s="133"/>
      <c r="DE66" s="133"/>
      <c r="DF66" s="133"/>
      <c r="DG66" s="133"/>
      <c r="DH66" s="133"/>
      <c r="DI66" s="133"/>
      <c r="DJ66" s="133"/>
      <c r="DK66" s="133"/>
      <c r="DL66" s="133"/>
      <c r="DM66" s="133"/>
      <c r="DN66" s="133"/>
      <c r="DO66" s="133"/>
      <c r="DP66" s="133"/>
      <c r="DQ66" s="133"/>
      <c r="DR66" s="133"/>
      <c r="DS66" s="133"/>
      <c r="DT66" s="133"/>
      <c r="DU66" s="133"/>
      <c r="DV66" s="133"/>
      <c r="DW66" s="133"/>
      <c r="DX66" s="134"/>
      <c r="DY66" s="133"/>
      <c r="DZ66" s="133"/>
      <c r="EA66" s="133"/>
      <c r="EB66" s="133"/>
      <c r="EC66" s="133"/>
      <c r="ED66" s="133"/>
      <c r="EE66" s="133"/>
      <c r="EF66" s="133"/>
      <c r="EG66" s="133"/>
      <c r="EH66" s="133"/>
      <c r="EI66" s="133"/>
      <c r="EJ66" s="133"/>
      <c r="EK66" s="133"/>
      <c r="EL66" s="133"/>
      <c r="EM66" s="133"/>
      <c r="EN66" s="133"/>
      <c r="EO66" s="133"/>
      <c r="EP66" s="133"/>
      <c r="EQ66" s="133"/>
      <c r="ER66" s="133"/>
      <c r="ES66" s="133"/>
      <c r="ET66" s="133"/>
      <c r="EU66" s="133"/>
      <c r="EV66" s="133"/>
      <c r="EW66" s="133"/>
      <c r="EX66" s="133"/>
      <c r="EY66" s="133"/>
      <c r="EZ66" s="133"/>
      <c r="FA66" s="133"/>
      <c r="FB66" s="133"/>
      <c r="FC66" s="133"/>
      <c r="FD66" s="133"/>
      <c r="FE66" s="133"/>
      <c r="FF66" s="133"/>
      <c r="FG66" s="133"/>
      <c r="FH66" s="133"/>
      <c r="FI66" s="133"/>
      <c r="FJ66" s="133"/>
      <c r="FK66" s="133"/>
      <c r="FL66" s="133"/>
      <c r="FM66" s="133"/>
      <c r="FN66" s="133"/>
      <c r="FO66" s="133"/>
      <c r="FP66" s="133"/>
      <c r="FQ66" s="133"/>
      <c r="FR66" s="133"/>
      <c r="FS66" s="133"/>
      <c r="FT66" s="133"/>
      <c r="FU66" s="133"/>
      <c r="FV66" s="133"/>
      <c r="FW66" s="133"/>
      <c r="FX66" s="133"/>
      <c r="FY66" s="133"/>
      <c r="FZ66" s="133"/>
      <c r="GA66" s="133"/>
      <c r="GB66" s="133"/>
      <c r="GC66" s="133"/>
      <c r="GD66" s="133"/>
      <c r="GE66" s="133"/>
      <c r="GF66" s="133"/>
      <c r="IH66" s="65"/>
      <c r="II66" s="65"/>
      <c r="IJ66" s="65"/>
      <c r="IK66" s="65"/>
      <c r="IL66" s="65"/>
      <c r="IM66" s="65"/>
      <c r="IN66" s="65"/>
      <c r="IO66" s="65"/>
      <c r="IP66" s="65"/>
      <c r="IQ66" s="65"/>
      <c r="IR66" s="65"/>
      <c r="IS66" s="65"/>
      <c r="IT66" s="65"/>
      <c r="IU66" s="65"/>
      <c r="IV66" s="65"/>
      <c r="IW66" s="65"/>
      <c r="IX66" s="65"/>
      <c r="IY66" s="65"/>
      <c r="IZ66" s="65"/>
      <c r="JA66" s="65"/>
      <c r="JB66" s="65"/>
      <c r="JC66" s="65"/>
      <c r="JD66" s="65"/>
      <c r="JE66" s="65"/>
      <c r="JF66" s="65"/>
      <c r="JG66" s="65"/>
      <c r="JH66" s="65"/>
    </row>
    <row r="67" spans="2:268" x14ac:dyDescent="0.25">
      <c r="G67" s="130"/>
      <c r="H67" s="130"/>
      <c r="CT67" s="133"/>
      <c r="CU67" s="133"/>
      <c r="CV67" s="133"/>
      <c r="CW67" s="133"/>
      <c r="CX67" s="133"/>
      <c r="CY67" s="133"/>
      <c r="CZ67" s="133"/>
      <c r="DA67" s="133"/>
      <c r="DB67" s="133"/>
      <c r="DC67" s="133"/>
      <c r="DD67" s="133"/>
      <c r="DE67" s="133"/>
      <c r="DF67" s="133"/>
      <c r="DG67" s="133"/>
      <c r="DH67" s="133"/>
      <c r="DI67" s="133"/>
      <c r="DJ67" s="133"/>
      <c r="DK67" s="133"/>
      <c r="DL67" s="133"/>
      <c r="DM67" s="133"/>
      <c r="DN67" s="133"/>
      <c r="DO67" s="133"/>
      <c r="DP67" s="133"/>
      <c r="DQ67" s="133"/>
      <c r="DR67" s="133"/>
      <c r="DS67" s="133"/>
      <c r="DT67" s="133"/>
      <c r="DU67" s="133"/>
      <c r="DV67" s="133"/>
      <c r="DW67" s="133"/>
      <c r="DX67" s="134"/>
      <c r="DY67" s="133"/>
      <c r="DZ67" s="133"/>
      <c r="EA67" s="133"/>
      <c r="EB67" s="133"/>
      <c r="EC67" s="133"/>
      <c r="ED67" s="133"/>
      <c r="EE67" s="133"/>
      <c r="EF67" s="133"/>
      <c r="EG67" s="133"/>
      <c r="EH67" s="133"/>
      <c r="EI67" s="133"/>
      <c r="EJ67" s="133"/>
      <c r="EK67" s="133"/>
      <c r="EL67" s="133"/>
      <c r="EM67" s="133"/>
      <c r="EN67" s="133"/>
      <c r="EO67" s="133"/>
      <c r="EP67" s="133"/>
      <c r="EQ67" s="133"/>
      <c r="ER67" s="133"/>
      <c r="ES67" s="133"/>
      <c r="ET67" s="133"/>
      <c r="EU67" s="133"/>
      <c r="EV67" s="133"/>
      <c r="EW67" s="133"/>
      <c r="EX67" s="133"/>
      <c r="EY67" s="133"/>
      <c r="EZ67" s="133"/>
      <c r="FA67" s="133"/>
      <c r="FB67" s="133"/>
      <c r="FC67" s="133"/>
      <c r="FD67" s="133"/>
      <c r="FE67" s="133"/>
      <c r="FF67" s="133"/>
      <c r="FG67" s="133"/>
      <c r="FH67" s="133"/>
      <c r="FI67" s="133"/>
      <c r="FJ67" s="133"/>
      <c r="FK67" s="133"/>
      <c r="FL67" s="133"/>
      <c r="FM67" s="133"/>
      <c r="FN67" s="133"/>
      <c r="FO67" s="133"/>
      <c r="FP67" s="133"/>
      <c r="FQ67" s="133"/>
      <c r="FR67" s="133"/>
      <c r="FS67" s="133"/>
      <c r="FT67" s="133"/>
      <c r="FU67" s="133"/>
      <c r="FV67" s="133"/>
      <c r="FW67" s="133"/>
      <c r="FX67" s="133"/>
      <c r="FY67" s="133"/>
      <c r="FZ67" s="133"/>
      <c r="GA67" s="133"/>
      <c r="GB67" s="133"/>
      <c r="GC67" s="133"/>
      <c r="GD67" s="133"/>
      <c r="GE67" s="133"/>
      <c r="GF67" s="133"/>
      <c r="IH67" s="65"/>
      <c r="II67" s="65"/>
      <c r="IJ67" s="65"/>
      <c r="IK67" s="65"/>
      <c r="IL67" s="65"/>
      <c r="IM67" s="65"/>
      <c r="IN67" s="65"/>
      <c r="IO67" s="65"/>
      <c r="IP67" s="65"/>
      <c r="IQ67" s="65"/>
      <c r="IR67" s="65"/>
      <c r="IS67" s="65"/>
      <c r="IT67" s="65"/>
      <c r="IU67" s="65"/>
      <c r="IV67" s="65"/>
      <c r="IW67" s="65"/>
      <c r="IX67" s="65"/>
      <c r="IY67" s="65"/>
      <c r="IZ67" s="65"/>
      <c r="JA67" s="65"/>
      <c r="JB67" s="65"/>
      <c r="JC67" s="65"/>
      <c r="JD67" s="65"/>
      <c r="JE67" s="65"/>
      <c r="JF67" s="65"/>
      <c r="JG67" s="65"/>
      <c r="JH67" s="65"/>
    </row>
    <row r="68" spans="2:268" x14ac:dyDescent="0.25">
      <c r="B68" s="65"/>
      <c r="C68" s="65"/>
      <c r="D68" s="65"/>
      <c r="E68" s="65"/>
      <c r="F68" s="65"/>
      <c r="G68" s="130"/>
      <c r="H68" s="130"/>
      <c r="I68" s="65"/>
      <c r="J68" s="65"/>
      <c r="CT68" s="133"/>
      <c r="CU68" s="133"/>
      <c r="CV68" s="133"/>
      <c r="CW68" s="133"/>
      <c r="CX68" s="133"/>
      <c r="CY68" s="133"/>
      <c r="CZ68" s="133"/>
      <c r="DA68" s="133"/>
      <c r="DB68" s="133"/>
      <c r="DC68" s="133"/>
      <c r="DD68" s="133"/>
      <c r="DE68" s="133"/>
      <c r="DF68" s="133"/>
      <c r="DG68" s="133"/>
      <c r="DH68" s="133"/>
      <c r="DI68" s="133"/>
      <c r="DJ68" s="133"/>
      <c r="DK68" s="133"/>
      <c r="DL68" s="133"/>
      <c r="DM68" s="133"/>
      <c r="DN68" s="133"/>
      <c r="DO68" s="133"/>
      <c r="DP68" s="133"/>
      <c r="DQ68" s="133"/>
      <c r="DR68" s="133"/>
      <c r="DS68" s="133"/>
      <c r="DT68" s="133"/>
      <c r="DU68" s="133"/>
      <c r="DV68" s="133"/>
      <c r="DW68" s="133"/>
      <c r="DX68" s="134"/>
      <c r="DY68" s="133"/>
      <c r="DZ68" s="133"/>
      <c r="EA68" s="133"/>
      <c r="EB68" s="133"/>
      <c r="EC68" s="133"/>
      <c r="ED68" s="133"/>
      <c r="EE68" s="133"/>
      <c r="EF68" s="133"/>
      <c r="EG68" s="133"/>
      <c r="EH68" s="133"/>
      <c r="EI68" s="133"/>
      <c r="EJ68" s="133"/>
      <c r="EK68" s="133"/>
      <c r="EL68" s="133"/>
      <c r="EM68" s="133"/>
      <c r="EN68" s="133"/>
      <c r="EO68" s="133"/>
      <c r="EP68" s="133"/>
      <c r="EQ68" s="133"/>
      <c r="ER68" s="133"/>
      <c r="ES68" s="133"/>
      <c r="ET68" s="133"/>
      <c r="EU68" s="133"/>
      <c r="EV68" s="133"/>
      <c r="EW68" s="133"/>
      <c r="EX68" s="133"/>
      <c r="EY68" s="133"/>
      <c r="EZ68" s="133"/>
      <c r="FA68" s="133"/>
      <c r="FB68" s="133"/>
      <c r="FC68" s="133"/>
      <c r="FD68" s="133"/>
      <c r="FE68" s="133"/>
      <c r="FF68" s="133"/>
      <c r="FG68" s="133"/>
      <c r="FH68" s="133"/>
      <c r="FI68" s="133"/>
      <c r="FJ68" s="133"/>
      <c r="FK68" s="133"/>
      <c r="FL68" s="133"/>
      <c r="FM68" s="133"/>
      <c r="FN68" s="133"/>
      <c r="FO68" s="133"/>
      <c r="FP68" s="133"/>
      <c r="FQ68" s="133"/>
      <c r="FR68" s="133"/>
      <c r="FS68" s="133"/>
      <c r="FT68" s="133"/>
      <c r="FU68" s="133"/>
      <c r="FV68" s="133"/>
      <c r="FW68" s="133"/>
      <c r="FX68" s="133"/>
      <c r="FY68" s="133"/>
      <c r="FZ68" s="133"/>
      <c r="GA68" s="133"/>
      <c r="GB68" s="133"/>
      <c r="GC68" s="133"/>
      <c r="GD68" s="133"/>
      <c r="GE68" s="133"/>
      <c r="GF68" s="133"/>
      <c r="IH68" s="65"/>
      <c r="II68" s="65"/>
      <c r="IJ68" s="65"/>
      <c r="IK68" s="65"/>
      <c r="IL68" s="65"/>
      <c r="IM68" s="65"/>
      <c r="IN68" s="65"/>
      <c r="IO68" s="65"/>
      <c r="IP68" s="65"/>
      <c r="IQ68" s="65"/>
      <c r="IR68" s="65"/>
      <c r="IS68" s="65"/>
      <c r="IT68" s="65"/>
      <c r="IU68" s="65"/>
      <c r="IV68" s="65"/>
      <c r="IW68" s="65"/>
      <c r="IX68" s="65"/>
      <c r="IY68" s="65"/>
      <c r="IZ68" s="65"/>
      <c r="JA68" s="65"/>
      <c r="JB68" s="65"/>
      <c r="JC68" s="65"/>
      <c r="JD68" s="65"/>
      <c r="JE68" s="65"/>
      <c r="JF68" s="65"/>
      <c r="JG68" s="65"/>
      <c r="JH68" s="65"/>
    </row>
    <row r="69" spans="2:268" x14ac:dyDescent="0.25">
      <c r="B69" s="65"/>
      <c r="C69" s="65"/>
      <c r="D69" s="65"/>
      <c r="E69" s="65"/>
      <c r="F69" s="65"/>
      <c r="G69" s="130"/>
      <c r="H69" s="130"/>
      <c r="I69" s="65"/>
      <c r="J69" s="65"/>
      <c r="CT69" s="133"/>
      <c r="CU69" s="133"/>
      <c r="CV69" s="133"/>
      <c r="CW69" s="133"/>
      <c r="CX69" s="133"/>
      <c r="CY69" s="133"/>
      <c r="CZ69" s="133"/>
      <c r="DA69" s="133"/>
      <c r="DB69" s="133"/>
      <c r="DC69" s="133"/>
      <c r="DD69" s="133"/>
      <c r="DE69" s="133"/>
      <c r="DF69" s="133"/>
      <c r="DG69" s="133"/>
      <c r="DH69" s="133"/>
      <c r="DI69" s="133"/>
      <c r="DJ69" s="133"/>
      <c r="DK69" s="133"/>
      <c r="DL69" s="133"/>
      <c r="DM69" s="133"/>
      <c r="DN69" s="133"/>
      <c r="DO69" s="133"/>
      <c r="DP69" s="133"/>
      <c r="DQ69" s="133"/>
      <c r="DR69" s="133"/>
      <c r="DS69" s="133"/>
      <c r="DT69" s="133"/>
      <c r="DU69" s="133"/>
      <c r="DV69" s="133"/>
      <c r="DW69" s="133"/>
      <c r="DX69" s="134"/>
      <c r="DY69" s="133"/>
      <c r="DZ69" s="133"/>
      <c r="EA69" s="133"/>
      <c r="EB69" s="133"/>
      <c r="EC69" s="133"/>
      <c r="ED69" s="133"/>
      <c r="EE69" s="133"/>
      <c r="EF69" s="133"/>
      <c r="EG69" s="133"/>
      <c r="EH69" s="133"/>
      <c r="EI69" s="133"/>
      <c r="EJ69" s="133"/>
      <c r="EK69" s="133"/>
      <c r="EL69" s="133"/>
      <c r="EM69" s="133"/>
      <c r="EN69" s="133"/>
      <c r="EO69" s="133"/>
      <c r="EP69" s="133"/>
      <c r="EQ69" s="133"/>
      <c r="ER69" s="133"/>
      <c r="ES69" s="133"/>
      <c r="ET69" s="133"/>
      <c r="EU69" s="133"/>
      <c r="EV69" s="133"/>
      <c r="EW69" s="133"/>
      <c r="EX69" s="133"/>
      <c r="EY69" s="133"/>
      <c r="EZ69" s="133"/>
      <c r="FA69" s="133"/>
      <c r="FB69" s="133"/>
      <c r="FC69" s="133"/>
      <c r="FD69" s="133"/>
      <c r="FE69" s="133"/>
      <c r="FF69" s="133"/>
      <c r="FG69" s="133"/>
      <c r="FH69" s="133"/>
      <c r="FI69" s="133"/>
      <c r="FJ69" s="133"/>
      <c r="FK69" s="133"/>
      <c r="FL69" s="133"/>
      <c r="FM69" s="133"/>
      <c r="FN69" s="133"/>
      <c r="FO69" s="133"/>
      <c r="FP69" s="133"/>
      <c r="FQ69" s="133"/>
      <c r="FR69" s="133"/>
      <c r="FS69" s="133"/>
      <c r="FT69" s="133"/>
      <c r="FU69" s="133"/>
      <c r="FV69" s="133"/>
      <c r="FW69" s="133"/>
      <c r="FX69" s="133"/>
      <c r="FY69" s="133"/>
      <c r="FZ69" s="133"/>
      <c r="GA69" s="133"/>
      <c r="GB69" s="133"/>
      <c r="GC69" s="133"/>
      <c r="GD69" s="133"/>
      <c r="GE69" s="133"/>
      <c r="GF69" s="133"/>
      <c r="IH69" s="65"/>
      <c r="II69" s="65"/>
      <c r="IJ69" s="65"/>
      <c r="IK69" s="65"/>
      <c r="IL69" s="65"/>
      <c r="IM69" s="65"/>
      <c r="IN69" s="65"/>
      <c r="IO69" s="65"/>
      <c r="IP69" s="65"/>
      <c r="IQ69" s="65"/>
      <c r="IR69" s="65"/>
      <c r="IS69" s="65"/>
      <c r="IT69" s="65"/>
      <c r="IU69" s="65"/>
      <c r="IV69" s="65"/>
      <c r="IW69" s="65"/>
      <c r="IX69" s="65"/>
      <c r="IY69" s="65"/>
      <c r="IZ69" s="65"/>
      <c r="JA69" s="65"/>
      <c r="JB69" s="65"/>
      <c r="JC69" s="65"/>
      <c r="JD69" s="65"/>
      <c r="JE69" s="65"/>
      <c r="JF69" s="65"/>
      <c r="JG69" s="65"/>
      <c r="JH69" s="65"/>
    </row>
    <row r="70" spans="2:268" x14ac:dyDescent="0.25">
      <c r="G70" s="130"/>
      <c r="H70" s="130"/>
      <c r="CT70" s="133"/>
      <c r="CU70" s="133"/>
      <c r="CV70" s="133"/>
      <c r="CW70" s="133"/>
      <c r="CX70" s="133"/>
      <c r="CY70" s="133"/>
      <c r="CZ70" s="133"/>
      <c r="DA70" s="133"/>
      <c r="DB70" s="133"/>
      <c r="DC70" s="133"/>
      <c r="DD70" s="133"/>
      <c r="DE70" s="133"/>
      <c r="DF70" s="133"/>
      <c r="DG70" s="133"/>
      <c r="DH70" s="133"/>
      <c r="DI70" s="133"/>
      <c r="DJ70" s="133"/>
      <c r="DK70" s="133"/>
      <c r="DL70" s="133"/>
      <c r="DM70" s="133"/>
      <c r="DN70" s="133"/>
      <c r="DO70" s="133"/>
      <c r="DP70" s="133"/>
      <c r="DQ70" s="133"/>
      <c r="DR70" s="133"/>
      <c r="DS70" s="133"/>
      <c r="DT70" s="133"/>
      <c r="DU70" s="133"/>
      <c r="DV70" s="133"/>
      <c r="DW70" s="133"/>
      <c r="DX70" s="134"/>
      <c r="DY70" s="133"/>
      <c r="DZ70" s="133"/>
      <c r="EA70" s="133"/>
      <c r="EB70" s="133"/>
      <c r="EC70" s="133"/>
      <c r="ED70" s="133"/>
      <c r="EE70" s="133"/>
      <c r="EF70" s="133"/>
      <c r="EG70" s="133"/>
      <c r="EH70" s="133"/>
      <c r="EI70" s="133"/>
      <c r="EJ70" s="133"/>
      <c r="EK70" s="133"/>
      <c r="EL70" s="133"/>
      <c r="EM70" s="133"/>
      <c r="EN70" s="133"/>
      <c r="EO70" s="133"/>
      <c r="EP70" s="133"/>
      <c r="EQ70" s="133"/>
      <c r="ER70" s="133"/>
      <c r="ES70" s="133"/>
      <c r="ET70" s="133"/>
      <c r="EU70" s="133"/>
      <c r="EV70" s="133"/>
      <c r="EW70" s="133"/>
      <c r="EX70" s="133"/>
      <c r="EY70" s="133"/>
      <c r="EZ70" s="133"/>
      <c r="FA70" s="133"/>
      <c r="FB70" s="133"/>
      <c r="FC70" s="133"/>
      <c r="FD70" s="133"/>
      <c r="FE70" s="133"/>
      <c r="FF70" s="133"/>
      <c r="FG70" s="133"/>
      <c r="FH70" s="133"/>
      <c r="FI70" s="133"/>
      <c r="FJ70" s="133"/>
      <c r="FK70" s="133"/>
      <c r="FL70" s="133"/>
      <c r="FM70" s="133"/>
      <c r="FN70" s="133"/>
      <c r="FO70" s="133"/>
      <c r="FP70" s="133"/>
      <c r="FQ70" s="133"/>
      <c r="FR70" s="133"/>
      <c r="FS70" s="133"/>
      <c r="FT70" s="133"/>
      <c r="FU70" s="133"/>
      <c r="FV70" s="133"/>
      <c r="FW70" s="133"/>
      <c r="FX70" s="133"/>
      <c r="FY70" s="133"/>
      <c r="FZ70" s="133"/>
      <c r="GA70" s="133"/>
      <c r="GB70" s="133"/>
      <c r="GC70" s="133"/>
      <c r="GD70" s="133"/>
      <c r="GE70" s="133"/>
      <c r="GF70" s="133"/>
      <c r="IH70" s="65"/>
      <c r="II70" s="65"/>
      <c r="IJ70" s="65"/>
      <c r="IK70" s="65"/>
      <c r="IL70" s="65"/>
      <c r="IM70" s="65"/>
      <c r="IN70" s="65"/>
      <c r="IO70" s="65"/>
      <c r="IP70" s="65"/>
      <c r="IQ70" s="65"/>
      <c r="IR70" s="65"/>
      <c r="IS70" s="65"/>
      <c r="IT70" s="65"/>
      <c r="IU70" s="65"/>
      <c r="IV70" s="65"/>
      <c r="IW70" s="65"/>
      <c r="IX70" s="65"/>
      <c r="IY70" s="65"/>
      <c r="IZ70" s="65"/>
      <c r="JA70" s="65"/>
      <c r="JB70" s="65"/>
      <c r="JC70" s="65"/>
      <c r="JD70" s="65"/>
      <c r="JE70" s="65"/>
      <c r="JF70" s="65"/>
      <c r="JG70" s="65"/>
      <c r="JH70" s="65"/>
    </row>
    <row r="71" spans="2:268" x14ac:dyDescent="0.25">
      <c r="G71" s="130"/>
      <c r="H71" s="130"/>
      <c r="CT71" s="133"/>
      <c r="CU71" s="133"/>
      <c r="CV71" s="133"/>
      <c r="CW71" s="133"/>
      <c r="CX71" s="133"/>
      <c r="CY71" s="133"/>
      <c r="CZ71" s="133"/>
      <c r="DA71" s="133"/>
      <c r="DB71" s="133"/>
      <c r="DC71" s="133"/>
      <c r="DD71" s="133"/>
      <c r="DE71" s="133"/>
      <c r="DF71" s="133"/>
      <c r="DG71" s="133"/>
      <c r="DH71" s="133"/>
      <c r="DI71" s="133"/>
      <c r="DJ71" s="133"/>
      <c r="DK71" s="133"/>
      <c r="DL71" s="133"/>
      <c r="DM71" s="133"/>
      <c r="DN71" s="133"/>
      <c r="DO71" s="133"/>
      <c r="DP71" s="133"/>
      <c r="DQ71" s="133"/>
      <c r="DR71" s="133"/>
      <c r="DS71" s="133"/>
      <c r="DT71" s="133"/>
      <c r="DU71" s="133"/>
      <c r="DV71" s="133"/>
      <c r="DW71" s="133"/>
      <c r="DX71" s="134"/>
      <c r="DY71" s="133"/>
      <c r="DZ71" s="133"/>
      <c r="EA71" s="133"/>
      <c r="EB71" s="133"/>
      <c r="EC71" s="133"/>
      <c r="ED71" s="133"/>
      <c r="EE71" s="133"/>
      <c r="EF71" s="133"/>
      <c r="EG71" s="133"/>
      <c r="EH71" s="133"/>
      <c r="EI71" s="133"/>
      <c r="EJ71" s="133"/>
      <c r="EK71" s="133"/>
      <c r="EL71" s="133"/>
      <c r="EM71" s="133"/>
      <c r="EN71" s="133"/>
      <c r="EO71" s="133"/>
      <c r="EP71" s="133"/>
      <c r="EQ71" s="133"/>
      <c r="ER71" s="133"/>
      <c r="ES71" s="133"/>
      <c r="ET71" s="133"/>
      <c r="EU71" s="133"/>
      <c r="EV71" s="133"/>
      <c r="EW71" s="133"/>
      <c r="EX71" s="133"/>
      <c r="EY71" s="133"/>
      <c r="EZ71" s="133"/>
      <c r="FA71" s="133"/>
      <c r="FB71" s="133"/>
      <c r="FC71" s="133"/>
      <c r="FD71" s="133"/>
      <c r="FE71" s="133"/>
      <c r="FF71" s="133"/>
      <c r="FG71" s="133"/>
      <c r="FH71" s="133"/>
      <c r="FI71" s="133"/>
      <c r="FJ71" s="133"/>
      <c r="FK71" s="133"/>
      <c r="FL71" s="133"/>
      <c r="FM71" s="133"/>
      <c r="FN71" s="133"/>
      <c r="FO71" s="133"/>
      <c r="FP71" s="133"/>
      <c r="FQ71" s="133"/>
      <c r="FR71" s="133"/>
      <c r="FS71" s="133"/>
      <c r="FT71" s="133"/>
      <c r="FU71" s="133"/>
      <c r="FV71" s="133"/>
      <c r="FW71" s="133"/>
      <c r="FX71" s="133"/>
      <c r="FY71" s="133"/>
      <c r="FZ71" s="133"/>
      <c r="GA71" s="133"/>
      <c r="GB71" s="133"/>
      <c r="GC71" s="133"/>
      <c r="GD71" s="133"/>
      <c r="GE71" s="133"/>
      <c r="GF71" s="133"/>
      <c r="IH71" s="65"/>
      <c r="II71" s="65"/>
      <c r="IJ71" s="65"/>
      <c r="IK71" s="65"/>
      <c r="IL71" s="65"/>
      <c r="IM71" s="65"/>
      <c r="IN71" s="65"/>
      <c r="IO71" s="65"/>
      <c r="IP71" s="65"/>
      <c r="IQ71" s="65"/>
      <c r="IR71" s="65"/>
      <c r="IS71" s="65"/>
      <c r="IT71" s="65"/>
      <c r="IU71" s="65"/>
      <c r="IV71" s="65"/>
      <c r="IW71" s="65"/>
      <c r="IX71" s="65"/>
      <c r="IY71" s="65"/>
      <c r="IZ71" s="65"/>
      <c r="JA71" s="65"/>
      <c r="JB71" s="65"/>
      <c r="JC71" s="65"/>
      <c r="JD71" s="65"/>
      <c r="JE71" s="65"/>
      <c r="JF71" s="65"/>
      <c r="JG71" s="65"/>
      <c r="JH71" s="65"/>
    </row>
    <row r="72" spans="2:268" x14ac:dyDescent="0.25">
      <c r="H72" s="130"/>
      <c r="CT72" s="133"/>
      <c r="CU72" s="133"/>
      <c r="CV72" s="133"/>
      <c r="CW72" s="133"/>
      <c r="CX72" s="133"/>
      <c r="CY72" s="133"/>
      <c r="CZ72" s="133"/>
      <c r="DA72" s="133"/>
      <c r="DB72" s="133"/>
      <c r="DC72" s="133"/>
      <c r="DD72" s="133"/>
      <c r="DE72" s="133"/>
      <c r="DF72" s="133"/>
      <c r="DG72" s="133"/>
      <c r="DH72" s="133"/>
      <c r="DI72" s="133"/>
      <c r="DJ72" s="133"/>
      <c r="DK72" s="133"/>
      <c r="DL72" s="133"/>
      <c r="DM72" s="133"/>
      <c r="DN72" s="133"/>
      <c r="DO72" s="133"/>
      <c r="DP72" s="133"/>
      <c r="DQ72" s="133"/>
      <c r="DR72" s="133"/>
      <c r="DS72" s="133"/>
      <c r="DT72" s="133"/>
      <c r="DU72" s="133"/>
      <c r="DV72" s="133"/>
      <c r="DW72" s="133"/>
      <c r="DX72" s="134"/>
      <c r="DY72" s="133"/>
      <c r="DZ72" s="133"/>
      <c r="EA72" s="133"/>
      <c r="EB72" s="133"/>
      <c r="EC72" s="133"/>
      <c r="ED72" s="133"/>
      <c r="EE72" s="133"/>
      <c r="EF72" s="133"/>
      <c r="EG72" s="133"/>
      <c r="EH72" s="133"/>
      <c r="EI72" s="133"/>
      <c r="EJ72" s="133"/>
      <c r="EK72" s="133"/>
      <c r="EL72" s="133"/>
      <c r="EM72" s="133"/>
      <c r="EN72" s="133"/>
      <c r="EO72" s="133"/>
      <c r="EP72" s="133"/>
      <c r="EQ72" s="133"/>
      <c r="ER72" s="133"/>
      <c r="ES72" s="133"/>
      <c r="ET72" s="133"/>
      <c r="EU72" s="133"/>
      <c r="EV72" s="133"/>
      <c r="EW72" s="133"/>
      <c r="EX72" s="133"/>
      <c r="EY72" s="133"/>
      <c r="EZ72" s="133"/>
      <c r="FA72" s="133"/>
      <c r="FB72" s="133"/>
      <c r="FC72" s="133"/>
      <c r="FD72" s="133"/>
      <c r="FE72" s="133"/>
      <c r="FF72" s="133"/>
      <c r="FG72" s="133"/>
      <c r="FH72" s="133"/>
      <c r="FI72" s="133"/>
      <c r="FJ72" s="133"/>
      <c r="FK72" s="133"/>
      <c r="FL72" s="133"/>
      <c r="FM72" s="133"/>
      <c r="FN72" s="133"/>
      <c r="FO72" s="133"/>
      <c r="FP72" s="133"/>
      <c r="FQ72" s="133"/>
      <c r="FR72" s="133"/>
      <c r="FS72" s="133"/>
      <c r="FT72" s="133"/>
      <c r="FU72" s="133"/>
      <c r="FV72" s="133"/>
      <c r="FW72" s="133"/>
      <c r="FX72" s="133"/>
      <c r="FY72" s="133"/>
      <c r="FZ72" s="133"/>
      <c r="GA72" s="133"/>
      <c r="GB72" s="133"/>
      <c r="GC72" s="133"/>
      <c r="GD72" s="133"/>
      <c r="GE72" s="133"/>
      <c r="GF72" s="133"/>
      <c r="IH72" s="65"/>
      <c r="II72" s="65"/>
      <c r="IJ72" s="65"/>
      <c r="IK72" s="65"/>
      <c r="IL72" s="65"/>
      <c r="IM72" s="65"/>
      <c r="IN72" s="65"/>
      <c r="IO72" s="65"/>
      <c r="IP72" s="65"/>
      <c r="IQ72" s="65"/>
      <c r="IR72" s="65"/>
      <c r="IS72" s="65"/>
      <c r="IT72" s="65"/>
      <c r="IU72" s="65"/>
      <c r="IV72" s="65"/>
      <c r="IW72" s="65"/>
      <c r="IX72" s="65"/>
      <c r="IY72" s="65"/>
      <c r="IZ72" s="65"/>
      <c r="JA72" s="65"/>
      <c r="JB72" s="65"/>
      <c r="JC72" s="65"/>
      <c r="JD72" s="65"/>
      <c r="JE72" s="65"/>
      <c r="JF72" s="65"/>
      <c r="JG72" s="65"/>
      <c r="JH72" s="65"/>
    </row>
    <row r="73" spans="2:268" x14ac:dyDescent="0.25">
      <c r="G73" s="130"/>
      <c r="H73" s="130"/>
      <c r="CT73" s="133"/>
      <c r="CU73" s="133"/>
      <c r="CV73" s="133"/>
      <c r="CW73" s="133"/>
      <c r="CX73" s="133"/>
      <c r="CY73" s="133"/>
      <c r="CZ73" s="133"/>
      <c r="DA73" s="133"/>
      <c r="DB73" s="133"/>
      <c r="DC73" s="133"/>
      <c r="DD73" s="133"/>
      <c r="DE73" s="133"/>
      <c r="DF73" s="133"/>
      <c r="DG73" s="133"/>
      <c r="DH73" s="133"/>
      <c r="DI73" s="133"/>
      <c r="DJ73" s="133"/>
      <c r="DK73" s="133"/>
      <c r="DL73" s="133"/>
      <c r="DM73" s="133"/>
      <c r="DN73" s="133"/>
      <c r="DO73" s="133"/>
      <c r="DP73" s="133"/>
      <c r="DQ73" s="133"/>
      <c r="DR73" s="133"/>
      <c r="DS73" s="133"/>
      <c r="DT73" s="133"/>
      <c r="DU73" s="133"/>
      <c r="DV73" s="133"/>
      <c r="DW73" s="133"/>
      <c r="DX73" s="134"/>
      <c r="DY73" s="133"/>
      <c r="DZ73" s="133"/>
      <c r="EA73" s="133"/>
      <c r="EB73" s="133"/>
      <c r="EC73" s="133"/>
      <c r="ED73" s="133"/>
      <c r="EE73" s="133"/>
      <c r="EF73" s="133"/>
      <c r="EG73" s="133"/>
      <c r="EH73" s="133"/>
      <c r="EI73" s="133"/>
      <c r="EJ73" s="133"/>
      <c r="EK73" s="133"/>
      <c r="EL73" s="133"/>
      <c r="EM73" s="133"/>
      <c r="EN73" s="133"/>
      <c r="EO73" s="133"/>
      <c r="EP73" s="133"/>
      <c r="EQ73" s="133"/>
      <c r="ER73" s="133"/>
      <c r="ES73" s="133"/>
      <c r="ET73" s="133"/>
      <c r="EU73" s="133"/>
      <c r="EV73" s="133"/>
      <c r="EW73" s="133"/>
      <c r="EX73" s="133"/>
      <c r="EY73" s="133"/>
      <c r="EZ73" s="133"/>
      <c r="FA73" s="133"/>
      <c r="FB73" s="133"/>
      <c r="FC73" s="133"/>
      <c r="FD73" s="133"/>
      <c r="FE73" s="133"/>
      <c r="FF73" s="133"/>
      <c r="FG73" s="133"/>
      <c r="FH73" s="133"/>
      <c r="FI73" s="133"/>
      <c r="FJ73" s="133"/>
      <c r="FK73" s="133"/>
      <c r="FL73" s="133"/>
      <c r="FM73" s="133"/>
      <c r="FN73" s="133"/>
      <c r="FO73" s="133"/>
      <c r="FP73" s="133"/>
      <c r="FQ73" s="133"/>
      <c r="FR73" s="133"/>
      <c r="FS73" s="133"/>
      <c r="FT73" s="133"/>
      <c r="FU73" s="133"/>
      <c r="FV73" s="133"/>
      <c r="FW73" s="133"/>
      <c r="FX73" s="133"/>
      <c r="FY73" s="133"/>
      <c r="FZ73" s="133"/>
      <c r="GA73" s="133"/>
      <c r="GB73" s="133"/>
      <c r="GC73" s="133"/>
      <c r="GD73" s="133"/>
      <c r="GE73" s="133"/>
      <c r="GF73" s="133"/>
      <c r="IH73" s="65"/>
      <c r="II73" s="65"/>
      <c r="IJ73" s="65"/>
      <c r="IK73" s="65"/>
      <c r="IL73" s="65"/>
      <c r="IM73" s="65"/>
      <c r="IN73" s="65"/>
      <c r="IO73" s="65"/>
      <c r="IP73" s="65"/>
      <c r="IQ73" s="65"/>
      <c r="IR73" s="65"/>
      <c r="IS73" s="65"/>
      <c r="IT73" s="65"/>
      <c r="IU73" s="65"/>
      <c r="IV73" s="65"/>
      <c r="IW73" s="65"/>
      <c r="IX73" s="65"/>
      <c r="IY73" s="65"/>
      <c r="IZ73" s="65"/>
      <c r="JA73" s="65"/>
      <c r="JB73" s="65"/>
      <c r="JC73" s="65"/>
      <c r="JD73" s="65"/>
      <c r="JE73" s="65"/>
      <c r="JF73" s="65"/>
      <c r="JG73" s="65"/>
      <c r="JH73" s="65"/>
    </row>
    <row r="74" spans="2:268" x14ac:dyDescent="0.25">
      <c r="G74" s="130"/>
      <c r="CT74" s="133"/>
      <c r="CU74" s="133"/>
      <c r="CV74" s="133"/>
      <c r="CW74" s="133"/>
      <c r="CX74" s="133"/>
      <c r="CY74" s="133"/>
      <c r="CZ74" s="133"/>
      <c r="DA74" s="133"/>
      <c r="DB74" s="133"/>
      <c r="DC74" s="133"/>
      <c r="DD74" s="133"/>
      <c r="DE74" s="133"/>
      <c r="DF74" s="133"/>
      <c r="DG74" s="133"/>
      <c r="DH74" s="133"/>
      <c r="DI74" s="133"/>
      <c r="DJ74" s="133"/>
      <c r="DK74" s="133"/>
      <c r="DL74" s="133"/>
      <c r="DM74" s="133"/>
      <c r="DN74" s="133"/>
      <c r="DO74" s="133"/>
      <c r="DP74" s="133"/>
      <c r="DQ74" s="133"/>
      <c r="DR74" s="133"/>
      <c r="DS74" s="133"/>
      <c r="DT74" s="133"/>
      <c r="DU74" s="133"/>
      <c r="DV74" s="133"/>
      <c r="DW74" s="133"/>
      <c r="DX74" s="134"/>
      <c r="DY74" s="133"/>
      <c r="DZ74" s="133"/>
      <c r="EA74" s="133"/>
      <c r="EB74" s="133"/>
      <c r="EC74" s="133"/>
      <c r="ED74" s="133"/>
      <c r="EE74" s="133"/>
      <c r="EF74" s="133"/>
      <c r="EG74" s="133"/>
      <c r="EH74" s="133"/>
      <c r="EI74" s="133"/>
      <c r="EJ74" s="133"/>
      <c r="EK74" s="133"/>
      <c r="EL74" s="133"/>
      <c r="EM74" s="133"/>
      <c r="EN74" s="133"/>
      <c r="EO74" s="133"/>
      <c r="EP74" s="133"/>
      <c r="EQ74" s="133"/>
      <c r="ER74" s="133"/>
      <c r="ES74" s="133"/>
      <c r="ET74" s="133"/>
      <c r="EU74" s="133"/>
      <c r="EV74" s="133"/>
      <c r="EW74" s="133"/>
      <c r="EX74" s="133"/>
      <c r="EY74" s="133"/>
      <c r="EZ74" s="133"/>
      <c r="FA74" s="133"/>
      <c r="FB74" s="133"/>
      <c r="FC74" s="133"/>
      <c r="FD74" s="133"/>
      <c r="FE74" s="133"/>
      <c r="FF74" s="133"/>
      <c r="FG74" s="133"/>
      <c r="FH74" s="133"/>
      <c r="FI74" s="133"/>
      <c r="FJ74" s="133"/>
      <c r="FK74" s="133"/>
      <c r="FL74" s="133"/>
      <c r="FM74" s="133"/>
      <c r="FN74" s="133"/>
      <c r="FO74" s="133"/>
      <c r="FP74" s="133"/>
      <c r="FQ74" s="133"/>
      <c r="FR74" s="133"/>
      <c r="FS74" s="133"/>
      <c r="FT74" s="133"/>
      <c r="FU74" s="133"/>
      <c r="FV74" s="133"/>
      <c r="FW74" s="133"/>
      <c r="FX74" s="133"/>
      <c r="FY74" s="133"/>
      <c r="FZ74" s="133"/>
      <c r="GA74" s="133"/>
      <c r="GB74" s="133"/>
      <c r="GC74" s="133"/>
      <c r="GD74" s="133"/>
      <c r="GE74" s="133"/>
      <c r="GF74" s="133"/>
      <c r="IH74" s="65"/>
      <c r="II74" s="65"/>
      <c r="IJ74" s="65"/>
      <c r="IK74" s="65"/>
      <c r="IL74" s="65"/>
      <c r="IM74" s="65"/>
      <c r="IN74" s="65"/>
      <c r="IO74" s="65"/>
      <c r="IP74" s="65"/>
      <c r="IQ74" s="65"/>
      <c r="IR74" s="65"/>
      <c r="IS74" s="65"/>
      <c r="IT74" s="65"/>
      <c r="IU74" s="65"/>
      <c r="IV74" s="65"/>
      <c r="IW74" s="65"/>
      <c r="IX74" s="65"/>
      <c r="IY74" s="65"/>
      <c r="IZ74" s="65"/>
      <c r="JA74" s="65"/>
      <c r="JB74" s="65"/>
      <c r="JC74" s="65"/>
      <c r="JD74" s="65"/>
      <c r="JE74" s="65"/>
      <c r="JF74" s="65"/>
      <c r="JG74" s="65"/>
      <c r="JH74" s="65"/>
    </row>
    <row r="75" spans="2:268" x14ac:dyDescent="0.25">
      <c r="G75" s="130"/>
      <c r="H75" s="130"/>
      <c r="CT75" s="133"/>
      <c r="CU75" s="133"/>
      <c r="CV75" s="133"/>
      <c r="CW75" s="133"/>
      <c r="CX75" s="133"/>
      <c r="CY75" s="133"/>
      <c r="CZ75" s="133"/>
      <c r="DA75" s="133"/>
      <c r="DB75" s="133"/>
      <c r="DC75" s="133"/>
      <c r="DD75" s="133"/>
      <c r="DE75" s="133"/>
      <c r="DF75" s="133"/>
      <c r="DG75" s="133"/>
      <c r="DH75" s="133"/>
      <c r="DI75" s="133"/>
      <c r="DJ75" s="133"/>
      <c r="DK75" s="133"/>
      <c r="DL75" s="133"/>
      <c r="DM75" s="133"/>
      <c r="DN75" s="133"/>
      <c r="DO75" s="133"/>
      <c r="DP75" s="133"/>
      <c r="DQ75" s="133"/>
      <c r="DR75" s="133"/>
      <c r="DS75" s="133"/>
      <c r="DT75" s="133"/>
      <c r="DU75" s="133"/>
      <c r="DV75" s="133"/>
      <c r="DW75" s="133"/>
      <c r="DX75" s="134"/>
      <c r="DY75" s="133"/>
      <c r="DZ75" s="133"/>
      <c r="EA75" s="133"/>
      <c r="EB75" s="133"/>
      <c r="EC75" s="133"/>
      <c r="ED75" s="133"/>
      <c r="EE75" s="133"/>
      <c r="EF75" s="133"/>
      <c r="EG75" s="133"/>
      <c r="EH75" s="133"/>
      <c r="EI75" s="133"/>
      <c r="EJ75" s="133"/>
      <c r="EK75" s="133"/>
      <c r="EL75" s="133"/>
      <c r="EM75" s="133"/>
      <c r="EN75" s="133"/>
      <c r="EO75" s="133"/>
      <c r="EP75" s="133"/>
      <c r="EQ75" s="133"/>
      <c r="ER75" s="133"/>
      <c r="ES75" s="133"/>
      <c r="ET75" s="133"/>
      <c r="EU75" s="133"/>
      <c r="EV75" s="133"/>
      <c r="EW75" s="133"/>
      <c r="EX75" s="133"/>
      <c r="EY75" s="133"/>
      <c r="EZ75" s="133"/>
      <c r="FA75" s="133"/>
      <c r="FB75" s="133"/>
      <c r="FC75" s="133"/>
      <c r="FD75" s="133"/>
      <c r="FE75" s="133"/>
      <c r="FF75" s="133"/>
      <c r="FG75" s="133"/>
      <c r="FH75" s="133"/>
      <c r="FI75" s="133"/>
      <c r="FJ75" s="133"/>
      <c r="FK75" s="133"/>
      <c r="FL75" s="133"/>
      <c r="FM75" s="133"/>
      <c r="FN75" s="133"/>
      <c r="FO75" s="133"/>
      <c r="FP75" s="133"/>
      <c r="FQ75" s="133"/>
      <c r="FR75" s="133"/>
      <c r="FS75" s="133"/>
      <c r="FT75" s="133"/>
      <c r="FU75" s="133"/>
      <c r="FV75" s="133"/>
      <c r="FW75" s="133"/>
      <c r="FX75" s="133"/>
      <c r="FY75" s="133"/>
      <c r="FZ75" s="133"/>
      <c r="GA75" s="133"/>
      <c r="GB75" s="133"/>
      <c r="GC75" s="133"/>
      <c r="GD75" s="133"/>
      <c r="GE75" s="133"/>
      <c r="GF75" s="133"/>
      <c r="IH75" s="65"/>
      <c r="II75" s="65"/>
      <c r="IJ75" s="65"/>
      <c r="IK75" s="65"/>
      <c r="IL75" s="65"/>
      <c r="IM75" s="65"/>
      <c r="IN75" s="65"/>
      <c r="IO75" s="65"/>
      <c r="IP75" s="65"/>
      <c r="IQ75" s="65"/>
      <c r="IR75" s="65"/>
      <c r="IS75" s="65"/>
      <c r="IT75" s="65"/>
      <c r="IU75" s="65"/>
      <c r="IV75" s="65"/>
      <c r="IW75" s="65"/>
      <c r="IX75" s="65"/>
      <c r="IY75" s="65"/>
      <c r="IZ75" s="65"/>
      <c r="JA75" s="65"/>
      <c r="JB75" s="65"/>
      <c r="JC75" s="65"/>
      <c r="JD75" s="65"/>
      <c r="JE75" s="65"/>
      <c r="JF75" s="65"/>
      <c r="JG75" s="65"/>
      <c r="JH75" s="65"/>
    </row>
    <row r="76" spans="2:268" x14ac:dyDescent="0.25">
      <c r="G76" s="130"/>
      <c r="CT76" s="133"/>
      <c r="CU76" s="133"/>
      <c r="CV76" s="133"/>
      <c r="CW76" s="133"/>
      <c r="CX76" s="133"/>
      <c r="CY76" s="133"/>
      <c r="CZ76" s="133"/>
      <c r="DA76" s="133"/>
      <c r="DB76" s="133"/>
      <c r="DC76" s="133"/>
      <c r="DD76" s="133"/>
      <c r="DE76" s="133"/>
      <c r="DF76" s="133"/>
      <c r="DG76" s="133"/>
      <c r="DH76" s="133"/>
      <c r="DI76" s="133"/>
      <c r="DJ76" s="133"/>
      <c r="DK76" s="133"/>
      <c r="DL76" s="133"/>
      <c r="DM76" s="133"/>
      <c r="DN76" s="133"/>
      <c r="DO76" s="133"/>
      <c r="DP76" s="133"/>
      <c r="DQ76" s="133"/>
      <c r="DR76" s="133"/>
      <c r="DS76" s="133"/>
      <c r="DT76" s="133"/>
      <c r="DU76" s="133"/>
      <c r="DV76" s="133"/>
      <c r="DW76" s="133"/>
      <c r="DX76" s="134"/>
      <c r="DY76" s="133"/>
      <c r="DZ76" s="133"/>
      <c r="EA76" s="133"/>
      <c r="EB76" s="133"/>
      <c r="EC76" s="133"/>
      <c r="ED76" s="133"/>
      <c r="EE76" s="133"/>
      <c r="EF76" s="133"/>
      <c r="EG76" s="133"/>
      <c r="EH76" s="133"/>
      <c r="EI76" s="133"/>
      <c r="EJ76" s="133"/>
      <c r="EK76" s="133"/>
      <c r="EL76" s="133"/>
      <c r="EM76" s="133"/>
      <c r="EN76" s="133"/>
      <c r="EO76" s="133"/>
      <c r="EP76" s="133"/>
      <c r="EQ76" s="133"/>
      <c r="ER76" s="133"/>
      <c r="ES76" s="133"/>
      <c r="ET76" s="133"/>
      <c r="EU76" s="133"/>
      <c r="EV76" s="133"/>
      <c r="EW76" s="133"/>
      <c r="EX76" s="133"/>
      <c r="EY76" s="133"/>
      <c r="EZ76" s="133"/>
      <c r="FA76" s="133"/>
      <c r="FB76" s="133"/>
      <c r="FC76" s="133"/>
      <c r="FD76" s="133"/>
      <c r="FE76" s="133"/>
      <c r="FF76" s="133"/>
      <c r="FG76" s="133"/>
      <c r="FH76" s="133"/>
      <c r="FI76" s="133"/>
      <c r="FJ76" s="133"/>
      <c r="FK76" s="133"/>
      <c r="FL76" s="133"/>
      <c r="FM76" s="133"/>
      <c r="FN76" s="133"/>
      <c r="FO76" s="133"/>
      <c r="FP76" s="133"/>
      <c r="FQ76" s="133"/>
      <c r="FR76" s="133"/>
      <c r="FS76" s="133"/>
      <c r="FT76" s="133"/>
      <c r="FU76" s="133"/>
      <c r="FV76" s="133"/>
      <c r="FW76" s="133"/>
      <c r="FX76" s="133"/>
      <c r="FY76" s="133"/>
      <c r="FZ76" s="133"/>
      <c r="GA76" s="133"/>
      <c r="GB76" s="133"/>
      <c r="GC76" s="133"/>
      <c r="GD76" s="133"/>
      <c r="GE76" s="133"/>
      <c r="GF76" s="133"/>
      <c r="IH76" s="65"/>
      <c r="II76" s="65"/>
      <c r="IJ76" s="65"/>
      <c r="IK76" s="65"/>
      <c r="IL76" s="65"/>
      <c r="IM76" s="65"/>
      <c r="IN76" s="65"/>
      <c r="IO76" s="65"/>
      <c r="IP76" s="65"/>
      <c r="IQ76" s="65"/>
      <c r="IR76" s="65"/>
      <c r="IS76" s="65"/>
      <c r="IT76" s="65"/>
      <c r="IU76" s="65"/>
      <c r="IV76" s="65"/>
      <c r="IW76" s="65"/>
      <c r="IX76" s="65"/>
      <c r="IY76" s="65"/>
      <c r="IZ76" s="65"/>
      <c r="JA76" s="65"/>
      <c r="JB76" s="65"/>
      <c r="JC76" s="65"/>
      <c r="JD76" s="65"/>
      <c r="JE76" s="65"/>
      <c r="JF76" s="65"/>
      <c r="JG76" s="65"/>
      <c r="JH76" s="65"/>
    </row>
    <row r="77" spans="2:268" x14ac:dyDescent="0.25">
      <c r="G77" s="130"/>
      <c r="H77" s="130"/>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c r="DX77" s="134"/>
      <c r="DY77" s="133"/>
      <c r="DZ77" s="133"/>
      <c r="EA77" s="133"/>
      <c r="EB77" s="133"/>
      <c r="EC77" s="133"/>
      <c r="ED77" s="133"/>
      <c r="EE77" s="133"/>
      <c r="EF77" s="133"/>
      <c r="EG77" s="133"/>
      <c r="EH77" s="133"/>
      <c r="EI77" s="133"/>
      <c r="EJ77" s="133"/>
      <c r="EK77" s="133"/>
      <c r="EL77" s="133"/>
      <c r="EM77" s="133"/>
      <c r="EN77" s="133"/>
      <c r="EO77" s="133"/>
      <c r="EP77" s="133"/>
      <c r="EQ77" s="133"/>
      <c r="ER77" s="133"/>
      <c r="ES77" s="133"/>
      <c r="ET77" s="133"/>
      <c r="EU77" s="133"/>
      <c r="EV77" s="133"/>
      <c r="EW77" s="133"/>
      <c r="EX77" s="133"/>
      <c r="EY77" s="133"/>
      <c r="EZ77" s="133"/>
      <c r="FA77" s="133"/>
      <c r="FB77" s="133"/>
      <c r="FC77" s="133"/>
      <c r="FD77" s="133"/>
      <c r="FE77" s="133"/>
      <c r="FF77" s="133"/>
      <c r="FG77" s="133"/>
      <c r="FH77" s="133"/>
      <c r="FI77" s="133"/>
      <c r="FJ77" s="133"/>
      <c r="FK77" s="133"/>
      <c r="FL77" s="133"/>
      <c r="FM77" s="133"/>
      <c r="FN77" s="133"/>
      <c r="FO77" s="133"/>
      <c r="FP77" s="133"/>
      <c r="FQ77" s="133"/>
      <c r="FR77" s="133"/>
      <c r="FS77" s="133"/>
      <c r="FT77" s="133"/>
      <c r="FU77" s="133"/>
      <c r="FV77" s="133"/>
      <c r="FW77" s="133"/>
      <c r="FX77" s="133"/>
      <c r="FY77" s="133"/>
      <c r="FZ77" s="133"/>
      <c r="GA77" s="133"/>
      <c r="GB77" s="133"/>
      <c r="GC77" s="133"/>
      <c r="GD77" s="133"/>
      <c r="GE77" s="133"/>
      <c r="GF77" s="133"/>
      <c r="IH77" s="65"/>
      <c r="II77" s="65"/>
      <c r="IJ77" s="65"/>
      <c r="IK77" s="65"/>
      <c r="IL77" s="65"/>
      <c r="IM77" s="65"/>
      <c r="IN77" s="65"/>
      <c r="IO77" s="65"/>
      <c r="IP77" s="65"/>
      <c r="IQ77" s="65"/>
      <c r="IR77" s="65"/>
      <c r="IS77" s="65"/>
      <c r="IT77" s="65"/>
      <c r="IU77" s="65"/>
      <c r="IV77" s="65"/>
      <c r="IW77" s="65"/>
      <c r="IX77" s="65"/>
      <c r="IY77" s="65"/>
      <c r="IZ77" s="65"/>
      <c r="JA77" s="65"/>
      <c r="JB77" s="65"/>
      <c r="JC77" s="65"/>
      <c r="JD77" s="65"/>
      <c r="JE77" s="65"/>
      <c r="JF77" s="65"/>
      <c r="JG77" s="65"/>
      <c r="JH77" s="65"/>
    </row>
    <row r="78" spans="2:268" x14ac:dyDescent="0.25">
      <c r="G78" s="130"/>
      <c r="H78" s="130"/>
      <c r="CT78" s="133"/>
      <c r="CU78" s="133"/>
      <c r="CV78" s="133"/>
      <c r="CW78" s="133"/>
      <c r="CX78" s="133"/>
      <c r="CY78" s="133"/>
      <c r="CZ78" s="133"/>
      <c r="DA78" s="133"/>
      <c r="DB78" s="133"/>
      <c r="DC78" s="133"/>
      <c r="DD78" s="133"/>
      <c r="DE78" s="133"/>
      <c r="DF78" s="133"/>
      <c r="DG78" s="133"/>
      <c r="DH78" s="133"/>
      <c r="DI78" s="133"/>
      <c r="DJ78" s="133"/>
      <c r="DK78" s="133"/>
      <c r="DL78" s="133"/>
      <c r="DM78" s="133"/>
      <c r="DN78" s="133"/>
      <c r="DO78" s="133"/>
      <c r="DP78" s="133"/>
      <c r="DQ78" s="133"/>
      <c r="DR78" s="133"/>
      <c r="DS78" s="133"/>
      <c r="DT78" s="133"/>
      <c r="DU78" s="133"/>
      <c r="DV78" s="133"/>
      <c r="DW78" s="133"/>
      <c r="DX78" s="134"/>
      <c r="DY78" s="133"/>
      <c r="DZ78" s="133"/>
      <c r="EA78" s="133"/>
      <c r="EB78" s="133"/>
      <c r="EC78" s="133"/>
      <c r="ED78" s="133"/>
      <c r="EE78" s="133"/>
      <c r="EF78" s="133"/>
      <c r="EG78" s="133"/>
      <c r="EH78" s="133"/>
      <c r="EI78" s="133"/>
      <c r="EJ78" s="133"/>
      <c r="EK78" s="133"/>
      <c r="EL78" s="133"/>
      <c r="EM78" s="133"/>
      <c r="EN78" s="133"/>
      <c r="EO78" s="133"/>
      <c r="EP78" s="133"/>
      <c r="EQ78" s="133"/>
      <c r="ER78" s="133"/>
      <c r="ES78" s="133"/>
      <c r="ET78" s="133"/>
      <c r="EU78" s="133"/>
      <c r="EV78" s="133"/>
      <c r="EW78" s="133"/>
      <c r="EX78" s="133"/>
      <c r="EY78" s="133"/>
      <c r="EZ78" s="133"/>
      <c r="FA78" s="133"/>
      <c r="FB78" s="133"/>
      <c r="FC78" s="133"/>
      <c r="FD78" s="133"/>
      <c r="FE78" s="133"/>
      <c r="FF78" s="133"/>
      <c r="FG78" s="133"/>
      <c r="FH78" s="133"/>
      <c r="FI78" s="133"/>
      <c r="FJ78" s="133"/>
      <c r="FK78" s="133"/>
      <c r="FL78" s="133"/>
      <c r="FM78" s="133"/>
      <c r="FN78" s="133"/>
      <c r="FO78" s="133"/>
      <c r="FP78" s="133"/>
      <c r="FQ78" s="133"/>
      <c r="FR78" s="133"/>
      <c r="FS78" s="133"/>
      <c r="FT78" s="133"/>
      <c r="FU78" s="133"/>
      <c r="FV78" s="133"/>
      <c r="FW78" s="133"/>
      <c r="FX78" s="133"/>
      <c r="FY78" s="133"/>
      <c r="FZ78" s="133"/>
      <c r="GA78" s="133"/>
      <c r="GB78" s="133"/>
      <c r="GC78" s="133"/>
      <c r="GD78" s="133"/>
      <c r="GE78" s="133"/>
      <c r="GF78" s="133"/>
      <c r="IH78" s="65"/>
      <c r="II78" s="65"/>
      <c r="IJ78" s="65"/>
      <c r="IK78" s="65"/>
      <c r="IL78" s="65"/>
      <c r="IM78" s="65"/>
      <c r="IN78" s="65"/>
      <c r="IO78" s="65"/>
      <c r="IP78" s="65"/>
      <c r="IQ78" s="65"/>
      <c r="IR78" s="65"/>
      <c r="IS78" s="65"/>
      <c r="IT78" s="65"/>
      <c r="IU78" s="65"/>
      <c r="IV78" s="65"/>
      <c r="IW78" s="65"/>
      <c r="IX78" s="65"/>
      <c r="IY78" s="65"/>
      <c r="IZ78" s="65"/>
      <c r="JA78" s="65"/>
      <c r="JB78" s="65"/>
      <c r="JC78" s="65"/>
      <c r="JD78" s="65"/>
      <c r="JE78" s="65"/>
      <c r="JF78" s="65"/>
      <c r="JG78" s="65"/>
      <c r="JH78" s="65"/>
    </row>
    <row r="79" spans="2:268" x14ac:dyDescent="0.25">
      <c r="G79" s="130"/>
      <c r="CT79" s="133"/>
      <c r="CU79" s="133"/>
      <c r="CV79" s="133"/>
      <c r="CW79" s="133"/>
      <c r="CX79" s="133"/>
      <c r="CY79" s="133"/>
      <c r="CZ79" s="133"/>
      <c r="DA79" s="133"/>
      <c r="DB79" s="133"/>
      <c r="DC79" s="133"/>
      <c r="DD79" s="133"/>
      <c r="DE79" s="133"/>
      <c r="DF79" s="133"/>
      <c r="DG79" s="133"/>
      <c r="DH79" s="133"/>
      <c r="DI79" s="133"/>
      <c r="DJ79" s="133"/>
      <c r="DK79" s="133"/>
      <c r="DL79" s="133"/>
      <c r="DM79" s="133"/>
      <c r="DN79" s="133"/>
      <c r="DO79" s="133"/>
      <c r="DP79" s="133"/>
      <c r="DQ79" s="133"/>
      <c r="DR79" s="133"/>
      <c r="DS79" s="133"/>
      <c r="DT79" s="133"/>
      <c r="DU79" s="133"/>
      <c r="DV79" s="133"/>
      <c r="DW79" s="133"/>
      <c r="DX79" s="134"/>
      <c r="DY79" s="133"/>
      <c r="DZ79" s="133"/>
      <c r="EA79" s="133"/>
      <c r="EB79" s="133"/>
      <c r="EC79" s="133"/>
      <c r="ED79" s="133"/>
      <c r="EE79" s="133"/>
      <c r="EF79" s="133"/>
      <c r="EG79" s="133"/>
      <c r="EH79" s="133"/>
      <c r="EI79" s="133"/>
      <c r="EJ79" s="133"/>
      <c r="EK79" s="133"/>
      <c r="EL79" s="133"/>
      <c r="EM79" s="133"/>
      <c r="EN79" s="133"/>
      <c r="EO79" s="133"/>
      <c r="EP79" s="133"/>
      <c r="EQ79" s="133"/>
      <c r="ER79" s="133"/>
      <c r="ES79" s="133"/>
      <c r="ET79" s="133"/>
      <c r="EU79" s="133"/>
      <c r="EV79" s="133"/>
      <c r="EW79" s="133"/>
      <c r="EX79" s="133"/>
      <c r="EY79" s="133"/>
      <c r="EZ79" s="133"/>
      <c r="FA79" s="133"/>
      <c r="FB79" s="133"/>
      <c r="FC79" s="133"/>
      <c r="FD79" s="133"/>
      <c r="FE79" s="133"/>
      <c r="FF79" s="133"/>
      <c r="FG79" s="133"/>
      <c r="FH79" s="133"/>
      <c r="FI79" s="133"/>
      <c r="FJ79" s="133"/>
      <c r="FK79" s="133"/>
      <c r="FL79" s="133"/>
      <c r="FM79" s="133"/>
      <c r="FN79" s="133"/>
      <c r="FO79" s="133"/>
      <c r="FP79" s="133"/>
      <c r="FQ79" s="133"/>
      <c r="FR79" s="133"/>
      <c r="FS79" s="133"/>
      <c r="FT79" s="133"/>
      <c r="FU79" s="133"/>
      <c r="FV79" s="133"/>
      <c r="FW79" s="133"/>
      <c r="FX79" s="133"/>
      <c r="FY79" s="133"/>
      <c r="FZ79" s="133"/>
      <c r="GA79" s="133"/>
      <c r="GB79" s="133"/>
      <c r="GC79" s="133"/>
      <c r="GD79" s="133"/>
      <c r="GE79" s="133"/>
      <c r="GF79" s="133"/>
      <c r="IH79" s="65"/>
      <c r="II79" s="65"/>
      <c r="IJ79" s="65"/>
      <c r="IK79" s="65"/>
      <c r="IL79" s="65"/>
      <c r="IM79" s="65"/>
      <c r="IN79" s="65"/>
      <c r="IO79" s="65"/>
      <c r="IP79" s="65"/>
      <c r="IQ79" s="65"/>
      <c r="IR79" s="65"/>
      <c r="IS79" s="65"/>
      <c r="IT79" s="65"/>
      <c r="IU79" s="65"/>
      <c r="IV79" s="65"/>
      <c r="IW79" s="65"/>
      <c r="IX79" s="65"/>
      <c r="IY79" s="65"/>
      <c r="IZ79" s="65"/>
      <c r="JA79" s="65"/>
      <c r="JB79" s="65"/>
      <c r="JC79" s="65"/>
      <c r="JD79" s="65"/>
      <c r="JE79" s="65"/>
      <c r="JF79" s="65"/>
      <c r="JG79" s="65"/>
      <c r="JH79" s="65"/>
    </row>
    <row r="80" spans="2:268" x14ac:dyDescent="0.25">
      <c r="G80" s="130"/>
      <c r="CT80" s="133"/>
      <c r="CU80" s="133"/>
      <c r="CV80" s="133"/>
      <c r="CW80" s="133"/>
      <c r="CX80" s="133"/>
      <c r="CY80" s="133"/>
      <c r="CZ80" s="133"/>
      <c r="DA80" s="133"/>
      <c r="DB80" s="133"/>
      <c r="DC80" s="133"/>
      <c r="DD80" s="133"/>
      <c r="DE80" s="133"/>
      <c r="DF80" s="133"/>
      <c r="DG80" s="133"/>
      <c r="DH80" s="133"/>
      <c r="DI80" s="133"/>
      <c r="DJ80" s="133"/>
      <c r="DK80" s="133"/>
      <c r="DL80" s="133"/>
      <c r="DM80" s="133"/>
      <c r="DN80" s="133"/>
      <c r="DO80" s="133"/>
      <c r="DP80" s="133"/>
      <c r="DQ80" s="133"/>
      <c r="DR80" s="133"/>
      <c r="DS80" s="133"/>
      <c r="DT80" s="133"/>
      <c r="DU80" s="133"/>
      <c r="DV80" s="133"/>
      <c r="DW80" s="133"/>
      <c r="DX80" s="134"/>
      <c r="DY80" s="133"/>
      <c r="DZ80" s="133"/>
      <c r="EA80" s="133"/>
      <c r="EB80" s="133"/>
      <c r="EC80" s="133"/>
      <c r="ED80" s="133"/>
      <c r="EE80" s="133"/>
      <c r="EF80" s="133"/>
      <c r="EG80" s="133"/>
      <c r="EH80" s="133"/>
      <c r="EI80" s="133"/>
      <c r="EJ80" s="133"/>
      <c r="EK80" s="133"/>
      <c r="EL80" s="133"/>
      <c r="EM80" s="133"/>
      <c r="EN80" s="133"/>
      <c r="EO80" s="133"/>
      <c r="EP80" s="133"/>
      <c r="EQ80" s="133"/>
      <c r="ER80" s="133"/>
      <c r="ES80" s="133"/>
      <c r="ET80" s="133"/>
      <c r="EU80" s="133"/>
      <c r="EV80" s="133"/>
      <c r="EW80" s="133"/>
      <c r="EX80" s="133"/>
      <c r="EY80" s="133"/>
      <c r="EZ80" s="133"/>
      <c r="FA80" s="133"/>
      <c r="FB80" s="133"/>
      <c r="FC80" s="133"/>
      <c r="FD80" s="133"/>
      <c r="FE80" s="133"/>
      <c r="FF80" s="133"/>
      <c r="FG80" s="133"/>
      <c r="FH80" s="133"/>
      <c r="FI80" s="133"/>
      <c r="FJ80" s="133"/>
      <c r="FK80" s="133"/>
      <c r="FL80" s="133"/>
      <c r="FM80" s="133"/>
      <c r="FN80" s="133"/>
      <c r="FO80" s="133"/>
      <c r="FP80" s="133"/>
      <c r="FQ80" s="133"/>
      <c r="FR80" s="133"/>
      <c r="FS80" s="133"/>
      <c r="FT80" s="133"/>
      <c r="FU80" s="133"/>
      <c r="FV80" s="133"/>
      <c r="FW80" s="133"/>
      <c r="FX80" s="133"/>
      <c r="FY80" s="133"/>
      <c r="FZ80" s="133"/>
      <c r="GA80" s="133"/>
      <c r="GB80" s="133"/>
      <c r="GC80" s="133"/>
      <c r="GD80" s="133"/>
      <c r="GE80" s="133"/>
      <c r="GF80" s="133"/>
      <c r="IH80" s="65"/>
      <c r="II80" s="65"/>
      <c r="IJ80" s="65"/>
      <c r="IK80" s="65"/>
      <c r="IL80" s="65"/>
      <c r="IM80" s="65"/>
      <c r="IN80" s="65"/>
      <c r="IO80" s="65"/>
      <c r="IP80" s="65"/>
      <c r="IQ80" s="65"/>
      <c r="IR80" s="65"/>
      <c r="IS80" s="65"/>
      <c r="IT80" s="65"/>
      <c r="IU80" s="65"/>
      <c r="IV80" s="65"/>
      <c r="IW80" s="65"/>
      <c r="IX80" s="65"/>
      <c r="IY80" s="65"/>
      <c r="IZ80" s="65"/>
      <c r="JA80" s="65"/>
      <c r="JB80" s="65"/>
      <c r="JC80" s="65"/>
      <c r="JD80" s="65"/>
      <c r="JE80" s="65"/>
      <c r="JF80" s="65"/>
      <c r="JG80" s="65"/>
      <c r="JH80" s="65"/>
    </row>
    <row r="81" spans="7:268" x14ac:dyDescent="0.25">
      <c r="G81" s="130"/>
      <c r="H81" s="130"/>
      <c r="CT81" s="133"/>
      <c r="CU81" s="133"/>
      <c r="CV81" s="133"/>
      <c r="CW81" s="133"/>
      <c r="CX81" s="133"/>
      <c r="CY81" s="133"/>
      <c r="CZ81" s="133"/>
      <c r="DA81" s="133"/>
      <c r="DB81" s="133"/>
      <c r="DC81" s="133"/>
      <c r="DD81" s="133"/>
      <c r="DE81" s="133"/>
      <c r="DF81" s="133"/>
      <c r="DG81" s="133"/>
      <c r="DH81" s="133"/>
      <c r="DI81" s="133"/>
      <c r="DJ81" s="133"/>
      <c r="DK81" s="133"/>
      <c r="DL81" s="133"/>
      <c r="DM81" s="133"/>
      <c r="DN81" s="133"/>
      <c r="DO81" s="133"/>
      <c r="DP81" s="133"/>
      <c r="DQ81" s="133"/>
      <c r="DR81" s="133"/>
      <c r="DS81" s="133"/>
      <c r="DT81" s="133"/>
      <c r="DU81" s="133"/>
      <c r="DV81" s="133"/>
      <c r="DW81" s="133"/>
      <c r="DX81" s="134"/>
      <c r="DY81" s="133"/>
      <c r="DZ81" s="133"/>
      <c r="EA81" s="133"/>
      <c r="EB81" s="133"/>
      <c r="EC81" s="133"/>
      <c r="ED81" s="133"/>
      <c r="EE81" s="133"/>
      <c r="EF81" s="133"/>
      <c r="EG81" s="133"/>
      <c r="EH81" s="133"/>
      <c r="EI81" s="133"/>
      <c r="EJ81" s="133"/>
      <c r="EK81" s="133"/>
      <c r="EL81" s="133"/>
      <c r="EM81" s="133"/>
      <c r="EN81" s="133"/>
      <c r="EO81" s="133"/>
      <c r="EP81" s="133"/>
      <c r="EQ81" s="133"/>
      <c r="ER81" s="133"/>
      <c r="ES81" s="133"/>
      <c r="ET81" s="133"/>
      <c r="EU81" s="133"/>
      <c r="EV81" s="133"/>
      <c r="EW81" s="133"/>
      <c r="EX81" s="133"/>
      <c r="EY81" s="133"/>
      <c r="EZ81" s="133"/>
      <c r="FA81" s="133"/>
      <c r="FB81" s="133"/>
      <c r="FC81" s="133"/>
      <c r="FD81" s="133"/>
      <c r="FE81" s="133"/>
      <c r="FF81" s="133"/>
      <c r="FG81" s="133"/>
      <c r="FH81" s="133"/>
      <c r="FI81" s="133"/>
      <c r="FJ81" s="133"/>
      <c r="FK81" s="133"/>
      <c r="FL81" s="133"/>
      <c r="FM81" s="133"/>
      <c r="FN81" s="133"/>
      <c r="FO81" s="133"/>
      <c r="FP81" s="133"/>
      <c r="FQ81" s="133"/>
      <c r="FR81" s="133"/>
      <c r="FS81" s="133"/>
      <c r="FT81" s="133"/>
      <c r="FU81" s="133"/>
      <c r="FV81" s="133"/>
      <c r="FW81" s="133"/>
      <c r="FX81" s="133"/>
      <c r="FY81" s="133"/>
      <c r="FZ81" s="133"/>
      <c r="GA81" s="133"/>
      <c r="GB81" s="133"/>
      <c r="GC81" s="133"/>
      <c r="GD81" s="133"/>
      <c r="GE81" s="133"/>
      <c r="GF81" s="133"/>
      <c r="IH81" s="65"/>
      <c r="II81" s="65"/>
      <c r="IJ81" s="65"/>
      <c r="IK81" s="65"/>
      <c r="IL81" s="65"/>
      <c r="IM81" s="65"/>
      <c r="IN81" s="65"/>
      <c r="IO81" s="65"/>
      <c r="IP81" s="65"/>
      <c r="IQ81" s="65"/>
      <c r="IR81" s="65"/>
      <c r="IS81" s="65"/>
      <c r="IT81" s="65"/>
      <c r="IU81" s="65"/>
      <c r="IV81" s="65"/>
      <c r="IW81" s="65"/>
      <c r="IX81" s="65"/>
      <c r="IY81" s="65"/>
      <c r="IZ81" s="65"/>
      <c r="JA81" s="65"/>
      <c r="JB81" s="65"/>
      <c r="JC81" s="65"/>
      <c r="JD81" s="65"/>
      <c r="JE81" s="65"/>
      <c r="JF81" s="65"/>
      <c r="JG81" s="65"/>
      <c r="JH81" s="65"/>
    </row>
    <row r="82" spans="7:268" x14ac:dyDescent="0.25">
      <c r="G82" s="130"/>
      <c r="CT82" s="133"/>
      <c r="CU82" s="133"/>
      <c r="CV82" s="133"/>
      <c r="CW82" s="133"/>
      <c r="CX82" s="133"/>
      <c r="CY82" s="133"/>
      <c r="CZ82" s="133"/>
      <c r="DA82" s="133"/>
      <c r="DB82" s="133"/>
      <c r="DC82" s="133"/>
      <c r="DD82" s="133"/>
      <c r="DE82" s="133"/>
      <c r="DF82" s="133"/>
      <c r="DG82" s="133"/>
      <c r="DH82" s="133"/>
      <c r="DI82" s="133"/>
      <c r="DJ82" s="133"/>
      <c r="DK82" s="133"/>
      <c r="DL82" s="133"/>
      <c r="DM82" s="133"/>
      <c r="DN82" s="133"/>
      <c r="DO82" s="133"/>
      <c r="DP82" s="133"/>
      <c r="DQ82" s="133"/>
      <c r="DR82" s="133"/>
      <c r="DS82" s="133"/>
      <c r="DT82" s="133"/>
      <c r="DU82" s="133"/>
      <c r="DV82" s="133"/>
      <c r="DW82" s="133"/>
      <c r="DX82" s="134"/>
      <c r="DY82" s="133"/>
      <c r="DZ82" s="133"/>
      <c r="EA82" s="133"/>
      <c r="EB82" s="133"/>
      <c r="EC82" s="133"/>
      <c r="ED82" s="133"/>
      <c r="EE82" s="133"/>
      <c r="EF82" s="133"/>
      <c r="EG82" s="133"/>
      <c r="EH82" s="133"/>
      <c r="EI82" s="133"/>
      <c r="EJ82" s="133"/>
      <c r="EK82" s="133"/>
      <c r="EL82" s="133"/>
      <c r="EM82" s="133"/>
      <c r="EN82" s="133"/>
      <c r="EO82" s="133"/>
      <c r="EP82" s="133"/>
      <c r="EQ82" s="133"/>
      <c r="ER82" s="133"/>
      <c r="ES82" s="133"/>
      <c r="ET82" s="133"/>
      <c r="EU82" s="133"/>
      <c r="EV82" s="133"/>
      <c r="EW82" s="133"/>
      <c r="EX82" s="133"/>
      <c r="EY82" s="133"/>
      <c r="EZ82" s="133"/>
      <c r="FA82" s="133"/>
      <c r="FB82" s="133"/>
      <c r="FC82" s="133"/>
      <c r="FD82" s="133"/>
      <c r="FE82" s="133"/>
      <c r="FF82" s="133"/>
      <c r="FG82" s="133"/>
      <c r="FH82" s="133"/>
      <c r="FI82" s="133"/>
      <c r="FJ82" s="133"/>
      <c r="FK82" s="133"/>
      <c r="FL82" s="133"/>
      <c r="FM82" s="133"/>
      <c r="FN82" s="133"/>
      <c r="FO82" s="133"/>
      <c r="FP82" s="133"/>
      <c r="FQ82" s="133"/>
      <c r="FR82" s="133"/>
      <c r="FS82" s="133"/>
      <c r="FT82" s="133"/>
      <c r="FU82" s="133"/>
      <c r="FV82" s="133"/>
      <c r="FW82" s="133"/>
      <c r="FX82" s="133"/>
      <c r="FY82" s="133"/>
      <c r="FZ82" s="133"/>
      <c r="GA82" s="133"/>
      <c r="GB82" s="133"/>
      <c r="GC82" s="133"/>
      <c r="GD82" s="133"/>
      <c r="GE82" s="133"/>
      <c r="GF82" s="133"/>
      <c r="IH82" s="65"/>
      <c r="II82" s="65"/>
      <c r="IJ82" s="65"/>
      <c r="IK82" s="65"/>
      <c r="IL82" s="65"/>
      <c r="IM82" s="65"/>
      <c r="IN82" s="65"/>
      <c r="IO82" s="65"/>
      <c r="IP82" s="65"/>
      <c r="IQ82" s="65"/>
      <c r="IR82" s="65"/>
      <c r="IS82" s="65"/>
      <c r="IT82" s="65"/>
      <c r="IU82" s="65"/>
      <c r="IV82" s="65"/>
      <c r="IW82" s="65"/>
      <c r="IX82" s="65"/>
      <c r="IY82" s="65"/>
      <c r="IZ82" s="65"/>
      <c r="JA82" s="65"/>
      <c r="JB82" s="65"/>
      <c r="JC82" s="65"/>
      <c r="JD82" s="65"/>
      <c r="JE82" s="65"/>
      <c r="JF82" s="65"/>
      <c r="JG82" s="65"/>
      <c r="JH82" s="65"/>
    </row>
    <row r="83" spans="7:268" x14ac:dyDescent="0.25">
      <c r="G83" s="130"/>
      <c r="H83" s="130"/>
      <c r="CT83" s="133"/>
      <c r="CU83" s="133"/>
      <c r="CV83" s="133"/>
      <c r="CW83" s="133"/>
      <c r="CX83" s="133"/>
      <c r="CY83" s="133"/>
      <c r="CZ83" s="133"/>
      <c r="DA83" s="133"/>
      <c r="DB83" s="133"/>
      <c r="DC83" s="133"/>
      <c r="DD83" s="133"/>
      <c r="DE83" s="133"/>
      <c r="DF83" s="133"/>
      <c r="DG83" s="133"/>
      <c r="DH83" s="133"/>
      <c r="DI83" s="133"/>
      <c r="DJ83" s="133"/>
      <c r="DK83" s="133"/>
      <c r="DL83" s="133"/>
      <c r="DM83" s="133"/>
      <c r="DN83" s="133"/>
      <c r="DO83" s="133"/>
      <c r="DP83" s="133"/>
      <c r="DQ83" s="133"/>
      <c r="DR83" s="133"/>
      <c r="DS83" s="133"/>
      <c r="DT83" s="133"/>
      <c r="DU83" s="133"/>
      <c r="DV83" s="133"/>
      <c r="DW83" s="133"/>
      <c r="DX83" s="134"/>
      <c r="DY83" s="133"/>
      <c r="DZ83" s="133"/>
      <c r="EA83" s="133"/>
      <c r="EB83" s="133"/>
      <c r="EC83" s="133"/>
      <c r="ED83" s="133"/>
      <c r="EE83" s="133"/>
      <c r="EF83" s="133"/>
      <c r="EG83" s="133"/>
      <c r="EH83" s="133"/>
      <c r="EI83" s="133"/>
      <c r="EJ83" s="133"/>
      <c r="EK83" s="133"/>
      <c r="EL83" s="133"/>
      <c r="EM83" s="133"/>
      <c r="EN83" s="133"/>
      <c r="EO83" s="133"/>
      <c r="EP83" s="133"/>
      <c r="EQ83" s="133"/>
      <c r="ER83" s="133"/>
      <c r="ES83" s="133"/>
      <c r="ET83" s="133"/>
      <c r="EU83" s="133"/>
      <c r="EV83" s="133"/>
      <c r="EW83" s="133"/>
      <c r="EX83" s="133"/>
      <c r="EY83" s="133"/>
      <c r="EZ83" s="133"/>
      <c r="FA83" s="133"/>
      <c r="FB83" s="133"/>
      <c r="FC83" s="133"/>
      <c r="FD83" s="133"/>
      <c r="FE83" s="133"/>
      <c r="FF83" s="133"/>
      <c r="FG83" s="133"/>
      <c r="FH83" s="133"/>
      <c r="FI83" s="133"/>
      <c r="FJ83" s="133"/>
      <c r="FK83" s="133"/>
      <c r="FL83" s="133"/>
      <c r="FM83" s="133"/>
      <c r="FN83" s="133"/>
      <c r="FO83" s="133"/>
      <c r="FP83" s="133"/>
      <c r="FQ83" s="133"/>
      <c r="FR83" s="133"/>
      <c r="FS83" s="133"/>
      <c r="FT83" s="133"/>
      <c r="FU83" s="133"/>
      <c r="FV83" s="133"/>
      <c r="FW83" s="133"/>
      <c r="FX83" s="133"/>
      <c r="FY83" s="133"/>
      <c r="FZ83" s="133"/>
      <c r="GA83" s="133"/>
      <c r="GB83" s="133"/>
      <c r="GC83" s="133"/>
      <c r="GD83" s="133"/>
      <c r="GE83" s="133"/>
      <c r="GF83" s="133"/>
      <c r="IH83" s="65"/>
      <c r="II83" s="65"/>
      <c r="IJ83" s="65"/>
      <c r="IK83" s="65"/>
      <c r="IL83" s="65"/>
      <c r="IM83" s="65"/>
      <c r="IN83" s="65"/>
      <c r="IO83" s="65"/>
      <c r="IP83" s="65"/>
      <c r="IQ83" s="65"/>
      <c r="IR83" s="65"/>
      <c r="IS83" s="65"/>
      <c r="IT83" s="65"/>
      <c r="IU83" s="65"/>
      <c r="IV83" s="65"/>
      <c r="IW83" s="65"/>
      <c r="IX83" s="65"/>
      <c r="IY83" s="65"/>
      <c r="IZ83" s="65"/>
      <c r="JA83" s="65"/>
      <c r="JB83" s="65"/>
      <c r="JC83" s="65"/>
      <c r="JD83" s="65"/>
      <c r="JE83" s="65"/>
      <c r="JF83" s="65"/>
      <c r="JG83" s="65"/>
      <c r="JH83" s="65"/>
    </row>
    <row r="84" spans="7:268" x14ac:dyDescent="0.25">
      <c r="G84" s="130"/>
      <c r="H84" s="130"/>
      <c r="CT84" s="133"/>
      <c r="CU84" s="133"/>
      <c r="CV84" s="133"/>
      <c r="CW84" s="133"/>
      <c r="CX84" s="133"/>
      <c r="CY84" s="133"/>
      <c r="CZ84" s="133"/>
      <c r="DA84" s="133"/>
      <c r="DB84" s="133"/>
      <c r="DC84" s="133"/>
      <c r="DD84" s="133"/>
      <c r="DE84" s="133"/>
      <c r="DF84" s="133"/>
      <c r="DG84" s="133"/>
      <c r="DH84" s="133"/>
      <c r="DI84" s="133"/>
      <c r="DJ84" s="133"/>
      <c r="DK84" s="133"/>
      <c r="DL84" s="133"/>
      <c r="DM84" s="133"/>
      <c r="DN84" s="133"/>
      <c r="DO84" s="133"/>
      <c r="DP84" s="133"/>
      <c r="DQ84" s="133"/>
      <c r="DR84" s="133"/>
      <c r="DS84" s="133"/>
      <c r="DT84" s="133"/>
      <c r="DU84" s="133"/>
      <c r="DV84" s="133"/>
      <c r="DW84" s="133"/>
      <c r="DX84" s="134"/>
      <c r="DY84" s="133"/>
      <c r="DZ84" s="133"/>
      <c r="EA84" s="133"/>
      <c r="EB84" s="133"/>
      <c r="EC84" s="133"/>
      <c r="ED84" s="133"/>
      <c r="EE84" s="133"/>
      <c r="EF84" s="133"/>
      <c r="EG84" s="133"/>
      <c r="EH84" s="133"/>
      <c r="EI84" s="133"/>
      <c r="EJ84" s="133"/>
      <c r="EK84" s="133"/>
      <c r="EL84" s="133"/>
      <c r="EM84" s="133"/>
      <c r="EN84" s="133"/>
      <c r="EO84" s="133"/>
      <c r="EP84" s="133"/>
      <c r="EQ84" s="133"/>
      <c r="ER84" s="133"/>
      <c r="ES84" s="133"/>
      <c r="ET84" s="133"/>
      <c r="EU84" s="133"/>
      <c r="EV84" s="133"/>
      <c r="EW84" s="133"/>
      <c r="EX84" s="133"/>
      <c r="EY84" s="133"/>
      <c r="EZ84" s="133"/>
      <c r="FA84" s="133"/>
      <c r="FB84" s="133"/>
      <c r="FC84" s="133"/>
      <c r="FD84" s="133"/>
      <c r="FE84" s="133"/>
      <c r="FF84" s="133"/>
      <c r="FG84" s="133"/>
      <c r="FH84" s="133"/>
      <c r="FI84" s="133"/>
      <c r="FJ84" s="133"/>
      <c r="FK84" s="133"/>
      <c r="FL84" s="133"/>
      <c r="FM84" s="133"/>
      <c r="FN84" s="133"/>
      <c r="FO84" s="133"/>
      <c r="FP84" s="133"/>
      <c r="FQ84" s="133"/>
      <c r="FR84" s="133"/>
      <c r="FS84" s="133"/>
      <c r="FT84" s="133"/>
      <c r="FU84" s="133"/>
      <c r="FV84" s="133"/>
      <c r="FW84" s="133"/>
      <c r="FX84" s="133"/>
      <c r="FY84" s="133"/>
      <c r="FZ84" s="133"/>
      <c r="GA84" s="133"/>
      <c r="GB84" s="133"/>
      <c r="GC84" s="133"/>
      <c r="GD84" s="133"/>
      <c r="GE84" s="133"/>
      <c r="GF84" s="133"/>
      <c r="IH84" s="65"/>
      <c r="II84" s="65"/>
      <c r="IJ84" s="65"/>
      <c r="IK84" s="65"/>
      <c r="IL84" s="65"/>
      <c r="IM84" s="65"/>
      <c r="IN84" s="65"/>
      <c r="IO84" s="65"/>
      <c r="IP84" s="65"/>
      <c r="IQ84" s="65"/>
      <c r="IR84" s="65"/>
      <c r="IS84" s="65"/>
      <c r="IT84" s="65"/>
      <c r="IU84" s="65"/>
      <c r="IV84" s="65"/>
      <c r="IW84" s="65"/>
      <c r="IX84" s="65"/>
      <c r="IY84" s="65"/>
      <c r="IZ84" s="65"/>
      <c r="JA84" s="65"/>
      <c r="JB84" s="65"/>
      <c r="JC84" s="65"/>
      <c r="JD84" s="65"/>
      <c r="JE84" s="65"/>
      <c r="JF84" s="65"/>
      <c r="JG84" s="65"/>
      <c r="JH84" s="65"/>
    </row>
    <row r="85" spans="7:268" x14ac:dyDescent="0.25">
      <c r="G85" s="130"/>
      <c r="CT85" s="133"/>
      <c r="CU85" s="133"/>
      <c r="CV85" s="133"/>
      <c r="CW85" s="133"/>
      <c r="CX85" s="133"/>
      <c r="CY85" s="133"/>
      <c r="CZ85" s="133"/>
      <c r="DA85" s="133"/>
      <c r="DB85" s="133"/>
      <c r="DC85" s="133"/>
      <c r="DD85" s="133"/>
      <c r="DE85" s="133"/>
      <c r="DF85" s="133"/>
      <c r="DG85" s="133"/>
      <c r="DH85" s="133"/>
      <c r="DI85" s="133"/>
      <c r="DJ85" s="133"/>
      <c r="DK85" s="133"/>
      <c r="DL85" s="133"/>
      <c r="DM85" s="133"/>
      <c r="DN85" s="133"/>
      <c r="DO85" s="133"/>
      <c r="DP85" s="133"/>
      <c r="DQ85" s="133"/>
      <c r="DR85" s="133"/>
      <c r="DS85" s="133"/>
      <c r="DT85" s="133"/>
      <c r="DU85" s="133"/>
      <c r="DV85" s="133"/>
      <c r="DW85" s="133"/>
      <c r="DX85" s="134"/>
      <c r="DY85" s="133"/>
      <c r="DZ85" s="133"/>
      <c r="EA85" s="133"/>
      <c r="EB85" s="133"/>
      <c r="EC85" s="133"/>
      <c r="ED85" s="133"/>
      <c r="EE85" s="133"/>
      <c r="EF85" s="133"/>
      <c r="EG85" s="133"/>
      <c r="EH85" s="133"/>
      <c r="EI85" s="133"/>
      <c r="EJ85" s="133"/>
      <c r="EK85" s="133"/>
      <c r="EL85" s="133"/>
      <c r="EM85" s="133"/>
      <c r="EN85" s="133"/>
      <c r="EO85" s="133"/>
      <c r="EP85" s="133"/>
      <c r="EQ85" s="133"/>
      <c r="ER85" s="133"/>
      <c r="ES85" s="133"/>
      <c r="ET85" s="133"/>
      <c r="EU85" s="133"/>
      <c r="EV85" s="133"/>
      <c r="EW85" s="133"/>
      <c r="EX85" s="133"/>
      <c r="EY85" s="133"/>
      <c r="EZ85" s="133"/>
      <c r="FA85" s="133"/>
      <c r="FB85" s="133"/>
      <c r="FC85" s="133"/>
      <c r="FD85" s="133"/>
      <c r="FE85" s="133"/>
      <c r="FF85" s="133"/>
      <c r="FG85" s="133"/>
      <c r="FH85" s="133"/>
      <c r="FI85" s="133"/>
      <c r="FJ85" s="133"/>
      <c r="FK85" s="133"/>
      <c r="FL85" s="133"/>
      <c r="FM85" s="133"/>
      <c r="FN85" s="133"/>
      <c r="FO85" s="133"/>
      <c r="FP85" s="133"/>
      <c r="FQ85" s="133"/>
      <c r="FR85" s="133"/>
      <c r="FS85" s="133"/>
      <c r="FT85" s="133"/>
      <c r="FU85" s="133"/>
      <c r="FV85" s="133"/>
      <c r="FW85" s="133"/>
      <c r="FX85" s="133"/>
      <c r="FY85" s="133"/>
      <c r="FZ85" s="133"/>
      <c r="GA85" s="133"/>
      <c r="GB85" s="133"/>
      <c r="GC85" s="133"/>
      <c r="GD85" s="133"/>
      <c r="GE85" s="133"/>
      <c r="GF85" s="133"/>
    </row>
    <row r="86" spans="7:268" x14ac:dyDescent="0.25">
      <c r="G86" s="130"/>
      <c r="H86" s="130"/>
      <c r="CT86" s="133"/>
      <c r="CU86" s="133"/>
      <c r="CV86" s="133"/>
      <c r="CW86" s="133"/>
      <c r="CX86" s="133"/>
      <c r="CY86" s="133"/>
      <c r="CZ86" s="133"/>
      <c r="DA86" s="133"/>
      <c r="DB86" s="133"/>
      <c r="DC86" s="133"/>
      <c r="DD86" s="133"/>
      <c r="DE86" s="133"/>
      <c r="DF86" s="133"/>
      <c r="DG86" s="133"/>
      <c r="DH86" s="133"/>
      <c r="DI86" s="133"/>
      <c r="DJ86" s="133"/>
      <c r="DK86" s="133"/>
      <c r="DL86" s="133"/>
      <c r="DM86" s="133"/>
      <c r="DN86" s="133"/>
      <c r="DO86" s="133"/>
      <c r="DP86" s="133"/>
      <c r="DQ86" s="133"/>
      <c r="DR86" s="133"/>
      <c r="DS86" s="133"/>
      <c r="DT86" s="133"/>
      <c r="DU86" s="133"/>
      <c r="DV86" s="133"/>
      <c r="DW86" s="133"/>
      <c r="DX86" s="134"/>
      <c r="DY86" s="133"/>
      <c r="DZ86" s="133"/>
      <c r="EA86" s="133"/>
      <c r="EB86" s="133"/>
      <c r="EC86" s="133"/>
      <c r="ED86" s="133"/>
      <c r="EE86" s="133"/>
      <c r="EF86" s="133"/>
      <c r="EG86" s="133"/>
      <c r="EH86" s="133"/>
      <c r="EI86" s="133"/>
      <c r="EJ86" s="133"/>
      <c r="EK86" s="133"/>
      <c r="EL86" s="133"/>
      <c r="EM86" s="133"/>
      <c r="EN86" s="133"/>
      <c r="EO86" s="133"/>
      <c r="EP86" s="133"/>
      <c r="EQ86" s="133"/>
      <c r="ER86" s="133"/>
      <c r="ES86" s="133"/>
      <c r="ET86" s="133"/>
      <c r="EU86" s="133"/>
      <c r="EV86" s="133"/>
      <c r="EW86" s="133"/>
      <c r="EX86" s="133"/>
      <c r="EY86" s="133"/>
      <c r="EZ86" s="133"/>
      <c r="FA86" s="133"/>
      <c r="FB86" s="133"/>
      <c r="FC86" s="133"/>
      <c r="FD86" s="133"/>
      <c r="FE86" s="133"/>
      <c r="FF86" s="133"/>
      <c r="FG86" s="133"/>
      <c r="FH86" s="133"/>
      <c r="FI86" s="133"/>
      <c r="FJ86" s="133"/>
      <c r="FK86" s="133"/>
      <c r="FL86" s="133"/>
      <c r="FM86" s="133"/>
      <c r="FN86" s="133"/>
      <c r="FO86" s="133"/>
      <c r="FP86" s="133"/>
      <c r="FQ86" s="133"/>
      <c r="FR86" s="133"/>
      <c r="FS86" s="133"/>
      <c r="FT86" s="133"/>
      <c r="FU86" s="133"/>
      <c r="FV86" s="133"/>
      <c r="FW86" s="133"/>
      <c r="FX86" s="133"/>
      <c r="FY86" s="133"/>
      <c r="FZ86" s="133"/>
      <c r="GA86" s="133"/>
      <c r="GB86" s="133"/>
      <c r="GC86" s="133"/>
      <c r="GD86" s="133"/>
      <c r="GE86" s="133"/>
      <c r="GF86" s="133"/>
    </row>
    <row r="87" spans="7:268" x14ac:dyDescent="0.25">
      <c r="G87" s="130"/>
      <c r="H87" s="130"/>
      <c r="CT87" s="133"/>
      <c r="CU87" s="133"/>
      <c r="CV87" s="133"/>
      <c r="CW87" s="133"/>
      <c r="CX87" s="133"/>
      <c r="CY87" s="133"/>
      <c r="CZ87" s="133"/>
      <c r="DA87" s="133"/>
      <c r="DB87" s="133"/>
      <c r="DC87" s="133"/>
      <c r="DD87" s="133"/>
      <c r="DE87" s="133"/>
      <c r="DF87" s="133"/>
      <c r="DG87" s="133"/>
      <c r="DH87" s="133"/>
      <c r="DI87" s="133"/>
      <c r="DJ87" s="133"/>
      <c r="DK87" s="133"/>
      <c r="DL87" s="133"/>
      <c r="DM87" s="133"/>
      <c r="DN87" s="133"/>
      <c r="DO87" s="133"/>
      <c r="DP87" s="133"/>
      <c r="DQ87" s="133"/>
      <c r="DR87" s="133"/>
      <c r="DS87" s="133"/>
      <c r="DT87" s="133"/>
      <c r="DU87" s="133"/>
      <c r="DV87" s="133"/>
      <c r="DW87" s="133"/>
      <c r="DX87" s="134"/>
      <c r="DY87" s="133"/>
      <c r="DZ87" s="133"/>
      <c r="EA87" s="133"/>
      <c r="EB87" s="133"/>
      <c r="EC87" s="133"/>
      <c r="ED87" s="133"/>
      <c r="EE87" s="133"/>
      <c r="EF87" s="133"/>
      <c r="EG87" s="133"/>
      <c r="EH87" s="133"/>
      <c r="EI87" s="133"/>
      <c r="EJ87" s="133"/>
      <c r="EK87" s="133"/>
      <c r="EL87" s="133"/>
      <c r="EM87" s="133"/>
      <c r="EN87" s="133"/>
      <c r="EO87" s="133"/>
      <c r="EP87" s="133"/>
      <c r="EQ87" s="133"/>
      <c r="ER87" s="133"/>
      <c r="ES87" s="133"/>
      <c r="ET87" s="133"/>
      <c r="EU87" s="133"/>
      <c r="EV87" s="133"/>
      <c r="EW87" s="133"/>
      <c r="EX87" s="133"/>
      <c r="EY87" s="133"/>
      <c r="EZ87" s="133"/>
      <c r="FA87" s="133"/>
      <c r="FB87" s="133"/>
      <c r="FC87" s="133"/>
      <c r="FD87" s="133"/>
      <c r="FE87" s="133"/>
      <c r="FF87" s="133"/>
      <c r="FG87" s="133"/>
      <c r="FH87" s="133"/>
      <c r="FI87" s="133"/>
      <c r="FJ87" s="133"/>
      <c r="FK87" s="133"/>
      <c r="FL87" s="133"/>
      <c r="FM87" s="133"/>
      <c r="FN87" s="133"/>
      <c r="FO87" s="133"/>
      <c r="FP87" s="133"/>
      <c r="FQ87" s="133"/>
      <c r="FR87" s="133"/>
      <c r="FS87" s="133"/>
      <c r="FT87" s="133"/>
      <c r="FU87" s="133"/>
      <c r="FV87" s="133"/>
      <c r="FW87" s="133"/>
      <c r="FX87" s="133"/>
      <c r="FY87" s="133"/>
      <c r="FZ87" s="133"/>
      <c r="GA87" s="133"/>
      <c r="GB87" s="133"/>
      <c r="GC87" s="133"/>
      <c r="GD87" s="133"/>
      <c r="GE87" s="133"/>
      <c r="GF87" s="133"/>
    </row>
    <row r="88" spans="7:268" x14ac:dyDescent="0.25">
      <c r="G88" s="130"/>
      <c r="CT88" s="133"/>
      <c r="CU88" s="133"/>
      <c r="CV88" s="133"/>
      <c r="CW88" s="133"/>
      <c r="CX88" s="133"/>
      <c r="CY88" s="133"/>
      <c r="CZ88" s="133"/>
      <c r="DA88" s="133"/>
      <c r="DB88" s="133"/>
      <c r="DC88" s="133"/>
      <c r="DD88" s="133"/>
      <c r="DE88" s="133"/>
      <c r="DF88" s="133"/>
      <c r="DG88" s="133"/>
      <c r="DH88" s="133"/>
      <c r="DI88" s="133"/>
      <c r="DJ88" s="133"/>
      <c r="DK88" s="133"/>
      <c r="DL88" s="133"/>
      <c r="DM88" s="133"/>
      <c r="DN88" s="133"/>
      <c r="DO88" s="133"/>
      <c r="DP88" s="133"/>
      <c r="DQ88" s="133"/>
      <c r="DR88" s="133"/>
      <c r="DS88" s="133"/>
      <c r="DT88" s="133"/>
      <c r="DU88" s="133"/>
      <c r="DV88" s="133"/>
      <c r="DW88" s="133"/>
      <c r="DX88" s="134"/>
      <c r="DY88" s="133"/>
      <c r="DZ88" s="133"/>
      <c r="EA88" s="133"/>
      <c r="EB88" s="133"/>
      <c r="EC88" s="133"/>
      <c r="ED88" s="133"/>
      <c r="EE88" s="133"/>
      <c r="EF88" s="133"/>
      <c r="EG88" s="133"/>
      <c r="EH88" s="133"/>
      <c r="EI88" s="133"/>
      <c r="EJ88" s="133"/>
      <c r="EK88" s="133"/>
      <c r="EL88" s="133"/>
      <c r="EM88" s="133"/>
      <c r="EN88" s="133"/>
      <c r="EO88" s="133"/>
      <c r="EP88" s="133"/>
      <c r="EQ88" s="133"/>
      <c r="ER88" s="133"/>
      <c r="ES88" s="133"/>
      <c r="ET88" s="133"/>
      <c r="EU88" s="133"/>
      <c r="EV88" s="133"/>
      <c r="EW88" s="133"/>
      <c r="EX88" s="133"/>
      <c r="EY88" s="133"/>
      <c r="EZ88" s="133"/>
      <c r="FA88" s="133"/>
      <c r="FB88" s="133"/>
      <c r="FC88" s="133"/>
      <c r="FD88" s="133"/>
      <c r="FE88" s="133"/>
      <c r="FF88" s="133"/>
      <c r="FG88" s="133"/>
      <c r="FH88" s="133"/>
      <c r="FI88" s="133"/>
      <c r="FJ88" s="133"/>
      <c r="FK88" s="133"/>
      <c r="FL88" s="133"/>
      <c r="FM88" s="133"/>
      <c r="FN88" s="133"/>
      <c r="FO88" s="133"/>
      <c r="FP88" s="133"/>
      <c r="FQ88" s="133"/>
      <c r="FR88" s="133"/>
      <c r="FS88" s="133"/>
      <c r="FT88" s="133"/>
      <c r="FU88" s="133"/>
      <c r="FV88" s="133"/>
      <c r="FW88" s="133"/>
      <c r="FX88" s="133"/>
      <c r="FY88" s="133"/>
      <c r="FZ88" s="133"/>
      <c r="GA88" s="133"/>
      <c r="GB88" s="133"/>
      <c r="GC88" s="133"/>
      <c r="GD88" s="133"/>
      <c r="GE88" s="133"/>
      <c r="GF88" s="133"/>
    </row>
    <row r="89" spans="7:268" x14ac:dyDescent="0.25">
      <c r="G89" s="130"/>
      <c r="H89" s="130"/>
      <c r="CT89" s="133"/>
      <c r="CU89" s="133"/>
      <c r="CV89" s="133"/>
      <c r="CW89" s="133"/>
      <c r="CX89" s="133"/>
      <c r="CY89" s="133"/>
      <c r="CZ89" s="133"/>
      <c r="DA89" s="133"/>
      <c r="DB89" s="133"/>
      <c r="DC89" s="133"/>
      <c r="DD89" s="133"/>
      <c r="DE89" s="133"/>
      <c r="DF89" s="133"/>
      <c r="DG89" s="133"/>
      <c r="DH89" s="133"/>
      <c r="DI89" s="133"/>
      <c r="DJ89" s="133"/>
      <c r="DK89" s="133"/>
      <c r="DL89" s="133"/>
      <c r="DM89" s="133"/>
      <c r="DN89" s="133"/>
      <c r="DO89" s="133"/>
      <c r="DP89" s="133"/>
      <c r="DQ89" s="133"/>
      <c r="DR89" s="133"/>
      <c r="DS89" s="133"/>
      <c r="DT89" s="133"/>
      <c r="DU89" s="133"/>
      <c r="DV89" s="133"/>
      <c r="DW89" s="133"/>
      <c r="DX89" s="134"/>
      <c r="DY89" s="133"/>
      <c r="DZ89" s="133"/>
      <c r="EA89" s="133"/>
      <c r="EB89" s="133"/>
      <c r="EC89" s="133"/>
      <c r="ED89" s="133"/>
      <c r="EE89" s="133"/>
      <c r="EF89" s="133"/>
      <c r="EG89" s="133"/>
      <c r="EH89" s="133"/>
      <c r="EI89" s="133"/>
      <c r="EJ89" s="133"/>
      <c r="EK89" s="133"/>
      <c r="EL89" s="133"/>
      <c r="EM89" s="133"/>
      <c r="EN89" s="133"/>
      <c r="EO89" s="133"/>
      <c r="EP89" s="133"/>
      <c r="EQ89" s="133"/>
      <c r="ER89" s="133"/>
      <c r="ES89" s="133"/>
      <c r="ET89" s="133"/>
      <c r="EU89" s="133"/>
      <c r="EV89" s="133"/>
      <c r="EW89" s="133"/>
      <c r="EX89" s="133"/>
      <c r="EY89" s="133"/>
      <c r="EZ89" s="133"/>
      <c r="FA89" s="133"/>
      <c r="FB89" s="133"/>
      <c r="FC89" s="133"/>
      <c r="FD89" s="133"/>
      <c r="FE89" s="133"/>
      <c r="FF89" s="133"/>
      <c r="FG89" s="133"/>
      <c r="FH89" s="133"/>
      <c r="FI89" s="133"/>
      <c r="FJ89" s="133"/>
      <c r="FK89" s="133"/>
      <c r="FL89" s="133"/>
      <c r="FM89" s="133"/>
      <c r="FN89" s="133"/>
      <c r="FO89" s="133"/>
      <c r="FP89" s="133"/>
      <c r="FQ89" s="133"/>
      <c r="FR89" s="133"/>
      <c r="FS89" s="133"/>
      <c r="FT89" s="133"/>
      <c r="FU89" s="133"/>
      <c r="FV89" s="133"/>
      <c r="FW89" s="133"/>
      <c r="FX89" s="133"/>
      <c r="FY89" s="133"/>
      <c r="FZ89" s="133"/>
      <c r="GA89" s="133"/>
      <c r="GB89" s="133"/>
      <c r="GC89" s="133"/>
      <c r="GD89" s="133"/>
      <c r="GE89" s="133"/>
      <c r="GF89" s="133"/>
    </row>
    <row r="90" spans="7:268" x14ac:dyDescent="0.25">
      <c r="G90" s="130"/>
      <c r="CT90" s="133"/>
      <c r="CU90" s="133"/>
      <c r="CV90" s="133"/>
      <c r="CW90" s="133"/>
      <c r="CX90" s="133"/>
      <c r="CY90" s="133"/>
      <c r="CZ90" s="133"/>
      <c r="DA90" s="133"/>
      <c r="DB90" s="133"/>
      <c r="DC90" s="133"/>
      <c r="DD90" s="133"/>
      <c r="DE90" s="133"/>
      <c r="DF90" s="133"/>
      <c r="DG90" s="133"/>
      <c r="DH90" s="133"/>
      <c r="DI90" s="133"/>
      <c r="DJ90" s="133"/>
      <c r="DK90" s="133"/>
      <c r="DL90" s="133"/>
      <c r="DM90" s="133"/>
      <c r="DN90" s="133"/>
      <c r="DO90" s="133"/>
      <c r="DP90" s="133"/>
      <c r="DQ90" s="133"/>
      <c r="DR90" s="133"/>
      <c r="DS90" s="133"/>
      <c r="DT90" s="133"/>
      <c r="DU90" s="133"/>
      <c r="DV90" s="133"/>
      <c r="DW90" s="133"/>
      <c r="DX90" s="134"/>
      <c r="DY90" s="133"/>
      <c r="DZ90" s="133"/>
      <c r="EA90" s="133"/>
      <c r="EB90" s="133"/>
      <c r="EC90" s="133"/>
      <c r="ED90" s="133"/>
      <c r="EE90" s="133"/>
      <c r="EF90" s="133"/>
      <c r="EG90" s="133"/>
      <c r="EH90" s="133"/>
      <c r="EI90" s="133"/>
      <c r="EJ90" s="133"/>
      <c r="EK90" s="133"/>
      <c r="EL90" s="133"/>
      <c r="EM90" s="133"/>
      <c r="EN90" s="133"/>
      <c r="EO90" s="133"/>
      <c r="EP90" s="133"/>
      <c r="EQ90" s="133"/>
      <c r="ER90" s="133"/>
      <c r="ES90" s="133"/>
      <c r="ET90" s="133"/>
      <c r="EU90" s="133"/>
      <c r="EV90" s="133"/>
      <c r="EW90" s="133"/>
      <c r="EX90" s="133"/>
      <c r="EY90" s="133"/>
      <c r="EZ90" s="133"/>
      <c r="FA90" s="133"/>
      <c r="FB90" s="133"/>
      <c r="FC90" s="133"/>
      <c r="FD90" s="133"/>
      <c r="FE90" s="133"/>
      <c r="FF90" s="133"/>
      <c r="FG90" s="133"/>
      <c r="FH90" s="133"/>
      <c r="FI90" s="133"/>
      <c r="FJ90" s="133"/>
      <c r="FK90" s="133"/>
      <c r="FL90" s="133"/>
      <c r="FM90" s="133"/>
      <c r="FN90" s="133"/>
      <c r="FO90" s="133"/>
      <c r="FP90" s="133"/>
      <c r="FQ90" s="133"/>
      <c r="FR90" s="133"/>
      <c r="FS90" s="133"/>
      <c r="FT90" s="133"/>
      <c r="FU90" s="133"/>
      <c r="FV90" s="133"/>
      <c r="FW90" s="133"/>
      <c r="FX90" s="133"/>
      <c r="FY90" s="133"/>
      <c r="FZ90" s="133"/>
      <c r="GA90" s="133"/>
      <c r="GB90" s="133"/>
      <c r="GC90" s="133"/>
      <c r="GD90" s="133"/>
      <c r="GE90" s="133"/>
      <c r="GF90" s="133"/>
    </row>
    <row r="91" spans="7:268" x14ac:dyDescent="0.25">
      <c r="G91" s="130"/>
      <c r="H91" s="130"/>
      <c r="CT91" s="133"/>
      <c r="CU91" s="133"/>
      <c r="CV91" s="133"/>
      <c r="CW91" s="133"/>
      <c r="CX91" s="133"/>
      <c r="CY91" s="133"/>
      <c r="CZ91" s="133"/>
      <c r="DA91" s="133"/>
      <c r="DB91" s="133"/>
      <c r="DC91" s="133"/>
      <c r="DD91" s="133"/>
      <c r="DE91" s="133"/>
      <c r="DF91" s="133"/>
      <c r="DG91" s="133"/>
      <c r="DH91" s="133"/>
      <c r="DI91" s="133"/>
      <c r="DJ91" s="133"/>
      <c r="DK91" s="133"/>
      <c r="DL91" s="133"/>
      <c r="DM91" s="133"/>
      <c r="DN91" s="133"/>
      <c r="DO91" s="133"/>
      <c r="DP91" s="133"/>
      <c r="DQ91" s="133"/>
      <c r="DR91" s="133"/>
      <c r="DS91" s="133"/>
      <c r="DT91" s="133"/>
      <c r="DU91" s="133"/>
      <c r="DV91" s="133"/>
      <c r="DW91" s="133"/>
      <c r="DX91" s="134"/>
      <c r="DY91" s="133"/>
      <c r="DZ91" s="133"/>
      <c r="EA91" s="133"/>
      <c r="EB91" s="133"/>
      <c r="EC91" s="133"/>
      <c r="ED91" s="133"/>
      <c r="EE91" s="133"/>
      <c r="EF91" s="133"/>
      <c r="EG91" s="133"/>
      <c r="EH91" s="133"/>
      <c r="EI91" s="133"/>
      <c r="EJ91" s="133"/>
      <c r="EK91" s="133"/>
      <c r="EL91" s="133"/>
      <c r="EM91" s="133"/>
      <c r="EN91" s="133"/>
      <c r="EO91" s="133"/>
      <c r="EP91" s="133"/>
      <c r="EQ91" s="133"/>
      <c r="ER91" s="133"/>
      <c r="ES91" s="133"/>
      <c r="ET91" s="133"/>
      <c r="EU91" s="133"/>
      <c r="EV91" s="133"/>
      <c r="EW91" s="133"/>
      <c r="EX91" s="133"/>
      <c r="EY91" s="133"/>
      <c r="EZ91" s="133"/>
      <c r="FA91" s="133"/>
      <c r="FB91" s="133"/>
      <c r="FC91" s="133"/>
      <c r="FD91" s="133"/>
      <c r="FE91" s="133"/>
      <c r="FF91" s="133"/>
      <c r="FG91" s="133"/>
      <c r="FH91" s="133"/>
      <c r="FI91" s="133"/>
      <c r="FJ91" s="133"/>
      <c r="FK91" s="133"/>
      <c r="FL91" s="133"/>
      <c r="FM91" s="133"/>
      <c r="FN91" s="133"/>
      <c r="FO91" s="133"/>
      <c r="FP91" s="133"/>
      <c r="FQ91" s="133"/>
      <c r="FR91" s="133"/>
      <c r="FS91" s="133"/>
      <c r="FT91" s="133"/>
      <c r="FU91" s="133"/>
      <c r="FV91" s="133"/>
      <c r="FW91" s="133"/>
      <c r="FX91" s="133"/>
      <c r="FY91" s="133"/>
      <c r="FZ91" s="133"/>
      <c r="GA91" s="133"/>
      <c r="GB91" s="133"/>
      <c r="GC91" s="133"/>
      <c r="GD91" s="133"/>
      <c r="GE91" s="133"/>
      <c r="GF91" s="133"/>
    </row>
    <row r="92" spans="7:268" x14ac:dyDescent="0.25">
      <c r="G92" s="130"/>
      <c r="H92" s="130"/>
      <c r="CT92" s="133"/>
      <c r="CU92" s="133"/>
      <c r="CV92" s="133"/>
      <c r="CW92" s="133"/>
      <c r="CX92" s="133"/>
      <c r="CY92" s="133"/>
      <c r="CZ92" s="133"/>
      <c r="DA92" s="133"/>
      <c r="DB92" s="133"/>
      <c r="DC92" s="133"/>
      <c r="DD92" s="133"/>
      <c r="DE92" s="133"/>
      <c r="DF92" s="133"/>
      <c r="DG92" s="133"/>
      <c r="DH92" s="133"/>
      <c r="DI92" s="133"/>
      <c r="DJ92" s="133"/>
      <c r="DK92" s="133"/>
      <c r="DL92" s="133"/>
      <c r="DM92" s="133"/>
      <c r="DN92" s="133"/>
      <c r="DO92" s="133"/>
      <c r="DP92" s="133"/>
      <c r="DQ92" s="133"/>
      <c r="DR92" s="133"/>
      <c r="DS92" s="133"/>
      <c r="DT92" s="133"/>
      <c r="DU92" s="133"/>
      <c r="DV92" s="133"/>
      <c r="DW92" s="133"/>
      <c r="DX92" s="134"/>
      <c r="DY92" s="133"/>
      <c r="DZ92" s="133"/>
      <c r="EA92" s="133"/>
      <c r="EB92" s="133"/>
      <c r="EC92" s="133"/>
      <c r="ED92" s="133"/>
      <c r="EE92" s="133"/>
      <c r="EF92" s="133"/>
      <c r="EG92" s="133"/>
      <c r="EH92" s="133"/>
      <c r="EI92" s="133"/>
      <c r="EJ92" s="133"/>
      <c r="EK92" s="133"/>
      <c r="EL92" s="133"/>
      <c r="EM92" s="133"/>
      <c r="EN92" s="133"/>
      <c r="EO92" s="133"/>
      <c r="EP92" s="133"/>
      <c r="EQ92" s="133"/>
      <c r="ER92" s="133"/>
      <c r="ES92" s="133"/>
      <c r="ET92" s="133"/>
      <c r="EU92" s="133"/>
      <c r="EV92" s="133"/>
      <c r="EW92" s="133"/>
      <c r="EX92" s="133"/>
      <c r="EY92" s="133"/>
      <c r="EZ92" s="133"/>
      <c r="FA92" s="133"/>
      <c r="FB92" s="133"/>
      <c r="FC92" s="133"/>
      <c r="FD92" s="133"/>
      <c r="FE92" s="133"/>
      <c r="FF92" s="133"/>
      <c r="FG92" s="133"/>
      <c r="FH92" s="133"/>
      <c r="FI92" s="133"/>
      <c r="FJ92" s="133"/>
      <c r="FK92" s="133"/>
      <c r="FL92" s="133"/>
      <c r="FM92" s="133"/>
      <c r="FN92" s="133"/>
      <c r="FO92" s="133"/>
      <c r="FP92" s="133"/>
      <c r="FQ92" s="133"/>
      <c r="FR92" s="133"/>
      <c r="FS92" s="133"/>
      <c r="FT92" s="133"/>
      <c r="FU92" s="133"/>
      <c r="FV92" s="133"/>
      <c r="FW92" s="133"/>
      <c r="FX92" s="133"/>
      <c r="FY92" s="133"/>
      <c r="FZ92" s="133"/>
      <c r="GA92" s="133"/>
      <c r="GB92" s="133"/>
      <c r="GC92" s="133"/>
      <c r="GD92" s="133"/>
      <c r="GE92" s="133"/>
      <c r="GF92" s="133"/>
    </row>
    <row r="93" spans="7:268" x14ac:dyDescent="0.25">
      <c r="G93" s="130"/>
      <c r="CT93" s="133"/>
      <c r="CU93" s="133"/>
      <c r="CV93" s="133"/>
      <c r="CW93" s="133"/>
      <c r="CX93" s="133"/>
      <c r="CY93" s="133"/>
      <c r="CZ93" s="133"/>
      <c r="DA93" s="133"/>
      <c r="DB93" s="133"/>
      <c r="DC93" s="133"/>
      <c r="DD93" s="133"/>
      <c r="DE93" s="133"/>
      <c r="DF93" s="133"/>
      <c r="DG93" s="133"/>
      <c r="DH93" s="133"/>
      <c r="DI93" s="133"/>
      <c r="DJ93" s="133"/>
      <c r="DK93" s="133"/>
      <c r="DL93" s="133"/>
      <c r="DM93" s="133"/>
      <c r="DN93" s="133"/>
      <c r="DO93" s="133"/>
      <c r="DP93" s="133"/>
      <c r="DQ93" s="133"/>
      <c r="DR93" s="133"/>
      <c r="DS93" s="133"/>
      <c r="DT93" s="133"/>
      <c r="DU93" s="133"/>
      <c r="DV93" s="133"/>
      <c r="DW93" s="133"/>
      <c r="DX93" s="134"/>
      <c r="DY93" s="133"/>
      <c r="DZ93" s="133"/>
      <c r="EA93" s="133"/>
      <c r="EB93" s="133"/>
      <c r="EC93" s="133"/>
      <c r="ED93" s="133"/>
      <c r="EE93" s="133"/>
      <c r="EF93" s="133"/>
      <c r="EG93" s="133"/>
      <c r="EH93" s="133"/>
      <c r="EI93" s="133"/>
      <c r="EJ93" s="133"/>
      <c r="EK93" s="133"/>
      <c r="EL93" s="133"/>
      <c r="EM93" s="133"/>
      <c r="EN93" s="133"/>
      <c r="EO93" s="133"/>
      <c r="EP93" s="133"/>
      <c r="EQ93" s="133"/>
      <c r="ER93" s="133"/>
      <c r="ES93" s="133"/>
      <c r="ET93" s="133"/>
      <c r="EU93" s="133"/>
      <c r="EV93" s="133"/>
      <c r="EW93" s="133"/>
      <c r="EX93" s="133"/>
      <c r="EY93" s="133"/>
      <c r="EZ93" s="133"/>
      <c r="FA93" s="133"/>
      <c r="FB93" s="133"/>
      <c r="FC93" s="133"/>
      <c r="FD93" s="133"/>
      <c r="FE93" s="133"/>
      <c r="FF93" s="133"/>
      <c r="FG93" s="133"/>
      <c r="FH93" s="133"/>
      <c r="FI93" s="133"/>
      <c r="FJ93" s="133"/>
      <c r="FK93" s="133"/>
      <c r="FL93" s="133"/>
      <c r="FM93" s="133"/>
      <c r="FN93" s="133"/>
      <c r="FO93" s="133"/>
      <c r="FP93" s="133"/>
      <c r="FQ93" s="133"/>
      <c r="FR93" s="133"/>
      <c r="FS93" s="133"/>
      <c r="FT93" s="133"/>
      <c r="FU93" s="133"/>
      <c r="FV93" s="133"/>
      <c r="FW93" s="133"/>
      <c r="FX93" s="133"/>
      <c r="FY93" s="133"/>
      <c r="FZ93" s="133"/>
      <c r="GA93" s="133"/>
      <c r="GB93" s="133"/>
      <c r="GC93" s="133"/>
      <c r="GD93" s="133"/>
      <c r="GE93" s="133"/>
      <c r="GF93" s="133"/>
    </row>
    <row r="94" spans="7:268" x14ac:dyDescent="0.25">
      <c r="G94" s="130"/>
      <c r="CT94" s="133"/>
      <c r="CU94" s="133"/>
      <c r="CV94" s="133"/>
      <c r="CW94" s="133"/>
      <c r="CX94" s="133"/>
      <c r="CY94" s="133"/>
      <c r="CZ94" s="133"/>
      <c r="DA94" s="133"/>
      <c r="DB94" s="133"/>
      <c r="DC94" s="133"/>
      <c r="DD94" s="133"/>
      <c r="DE94" s="133"/>
      <c r="DF94" s="133"/>
      <c r="DG94" s="133"/>
      <c r="DH94" s="133"/>
      <c r="DI94" s="133"/>
      <c r="DJ94" s="133"/>
      <c r="DK94" s="133"/>
      <c r="DL94" s="133"/>
      <c r="DM94" s="133"/>
      <c r="DN94" s="133"/>
      <c r="DO94" s="133"/>
      <c r="DP94" s="133"/>
      <c r="DQ94" s="133"/>
      <c r="DR94" s="133"/>
      <c r="DS94" s="133"/>
      <c r="DT94" s="133"/>
      <c r="DU94" s="133"/>
      <c r="DV94" s="133"/>
      <c r="DW94" s="133"/>
      <c r="DX94" s="134"/>
      <c r="DY94" s="133"/>
      <c r="DZ94" s="133"/>
      <c r="EA94" s="133"/>
      <c r="EB94" s="133"/>
      <c r="EC94" s="133"/>
      <c r="ED94" s="133"/>
      <c r="EE94" s="133"/>
      <c r="EF94" s="133"/>
      <c r="EG94" s="133"/>
      <c r="EH94" s="133"/>
      <c r="EI94" s="133"/>
      <c r="EJ94" s="133"/>
      <c r="EK94" s="133"/>
      <c r="EL94" s="133"/>
      <c r="EM94" s="133"/>
      <c r="EN94" s="133"/>
      <c r="EO94" s="133"/>
      <c r="EP94" s="133"/>
      <c r="EQ94" s="133"/>
      <c r="ER94" s="133"/>
      <c r="ES94" s="133"/>
      <c r="ET94" s="133"/>
      <c r="EU94" s="133"/>
      <c r="EV94" s="133"/>
      <c r="EW94" s="133"/>
      <c r="EX94" s="133"/>
      <c r="EY94" s="133"/>
      <c r="EZ94" s="133"/>
      <c r="FA94" s="133"/>
      <c r="FB94" s="133"/>
      <c r="FC94" s="133"/>
      <c r="FD94" s="133"/>
      <c r="FE94" s="133"/>
      <c r="FF94" s="133"/>
      <c r="FG94" s="133"/>
      <c r="FH94" s="133"/>
      <c r="FI94" s="133"/>
      <c r="FJ94" s="133"/>
      <c r="FK94" s="133"/>
      <c r="FL94" s="133"/>
      <c r="FM94" s="133"/>
      <c r="FN94" s="133"/>
      <c r="FO94" s="133"/>
      <c r="FP94" s="133"/>
      <c r="FQ94" s="133"/>
      <c r="FR94" s="133"/>
      <c r="FS94" s="133"/>
      <c r="FT94" s="133"/>
      <c r="FU94" s="133"/>
      <c r="FV94" s="133"/>
      <c r="FW94" s="133"/>
      <c r="FX94" s="133"/>
      <c r="FY94" s="133"/>
      <c r="FZ94" s="133"/>
      <c r="GA94" s="133"/>
      <c r="GB94" s="133"/>
      <c r="GC94" s="133"/>
      <c r="GD94" s="133"/>
      <c r="GE94" s="133"/>
      <c r="GF94" s="133"/>
    </row>
    <row r="95" spans="7:268" x14ac:dyDescent="0.25">
      <c r="G95" s="130"/>
      <c r="CT95" s="133"/>
      <c r="CU95" s="133"/>
      <c r="CV95" s="133"/>
      <c r="CW95" s="133"/>
      <c r="CX95" s="133"/>
      <c r="CY95" s="133"/>
      <c r="CZ95" s="133"/>
      <c r="DA95" s="133"/>
      <c r="DB95" s="133"/>
      <c r="DC95" s="133"/>
      <c r="DD95" s="133"/>
      <c r="DE95" s="133"/>
      <c r="DF95" s="133"/>
      <c r="DG95" s="133"/>
      <c r="DH95" s="133"/>
      <c r="DI95" s="133"/>
      <c r="DJ95" s="133"/>
      <c r="DK95" s="133"/>
      <c r="DL95" s="133"/>
      <c r="DM95" s="133"/>
      <c r="DN95" s="133"/>
      <c r="DO95" s="133"/>
      <c r="DP95" s="133"/>
      <c r="DQ95" s="133"/>
      <c r="DR95" s="133"/>
      <c r="DS95" s="133"/>
      <c r="DT95" s="133"/>
      <c r="DU95" s="133"/>
      <c r="DV95" s="133"/>
      <c r="DW95" s="133"/>
      <c r="DX95" s="134"/>
      <c r="DY95" s="133"/>
      <c r="DZ95" s="133"/>
      <c r="EA95" s="133"/>
      <c r="EB95" s="133"/>
      <c r="EC95" s="133"/>
      <c r="ED95" s="133"/>
      <c r="EE95" s="133"/>
      <c r="EF95" s="133"/>
      <c r="EG95" s="133"/>
      <c r="EH95" s="133"/>
      <c r="EI95" s="133"/>
      <c r="EJ95" s="133"/>
      <c r="EK95" s="133"/>
      <c r="EL95" s="133"/>
      <c r="EM95" s="133"/>
      <c r="EN95" s="133"/>
      <c r="EO95" s="133"/>
      <c r="EP95" s="133"/>
      <c r="EQ95" s="133"/>
      <c r="ER95" s="133"/>
      <c r="ES95" s="133"/>
      <c r="ET95" s="133"/>
      <c r="EU95" s="133"/>
      <c r="EV95" s="133"/>
      <c r="EW95" s="133"/>
      <c r="EX95" s="133"/>
      <c r="EY95" s="133"/>
      <c r="EZ95" s="133"/>
      <c r="FA95" s="133"/>
      <c r="FB95" s="133"/>
      <c r="FC95" s="133"/>
      <c r="FD95" s="133"/>
      <c r="FE95" s="133"/>
      <c r="FF95" s="133"/>
      <c r="FG95" s="133"/>
      <c r="FH95" s="133"/>
      <c r="FI95" s="133"/>
      <c r="FJ95" s="133"/>
      <c r="FK95" s="133"/>
      <c r="FL95" s="133"/>
      <c r="FM95" s="133"/>
      <c r="FN95" s="133"/>
      <c r="FO95" s="133"/>
      <c r="FP95" s="133"/>
      <c r="FQ95" s="133"/>
      <c r="FR95" s="133"/>
      <c r="FS95" s="133"/>
      <c r="FT95" s="133"/>
      <c r="FU95" s="133"/>
      <c r="FV95" s="133"/>
      <c r="FW95" s="133"/>
      <c r="FX95" s="133"/>
      <c r="FY95" s="133"/>
      <c r="FZ95" s="133"/>
      <c r="GA95" s="133"/>
      <c r="GB95" s="133"/>
      <c r="GC95" s="133"/>
      <c r="GD95" s="133"/>
      <c r="GE95" s="133"/>
      <c r="GF95" s="133"/>
    </row>
    <row r="96" spans="7:268" x14ac:dyDescent="0.25">
      <c r="CT96" s="133"/>
      <c r="CU96" s="133"/>
      <c r="CV96" s="133"/>
      <c r="CW96" s="133"/>
      <c r="CX96" s="133"/>
      <c r="CY96" s="133"/>
      <c r="CZ96" s="133"/>
      <c r="DA96" s="133"/>
      <c r="DB96" s="133"/>
      <c r="DC96" s="133"/>
      <c r="DD96" s="133"/>
      <c r="DE96" s="133"/>
      <c r="DF96" s="133"/>
      <c r="DG96" s="133"/>
      <c r="DH96" s="133"/>
      <c r="DI96" s="133"/>
      <c r="DJ96" s="133"/>
      <c r="DK96" s="133"/>
      <c r="DL96" s="133"/>
      <c r="DM96" s="133"/>
      <c r="DN96" s="133"/>
      <c r="DO96" s="133"/>
      <c r="DP96" s="133"/>
      <c r="DQ96" s="133"/>
      <c r="DR96" s="133"/>
      <c r="DS96" s="133"/>
      <c r="DT96" s="133"/>
      <c r="DU96" s="133"/>
      <c r="DV96" s="133"/>
      <c r="DW96" s="133"/>
      <c r="DX96" s="134"/>
      <c r="DY96" s="133"/>
      <c r="DZ96" s="133"/>
      <c r="EA96" s="133"/>
      <c r="EB96" s="133"/>
      <c r="EC96" s="133"/>
      <c r="ED96" s="133"/>
      <c r="EE96" s="133"/>
      <c r="EF96" s="133"/>
      <c r="EG96" s="133"/>
      <c r="EH96" s="133"/>
      <c r="EI96" s="133"/>
      <c r="EJ96" s="133"/>
      <c r="EK96" s="133"/>
      <c r="EL96" s="133"/>
      <c r="EM96" s="133"/>
      <c r="EN96" s="133"/>
      <c r="EO96" s="133"/>
      <c r="EP96" s="133"/>
      <c r="EQ96" s="133"/>
      <c r="ER96" s="133"/>
      <c r="ES96" s="133"/>
      <c r="ET96" s="133"/>
      <c r="EU96" s="133"/>
      <c r="EV96" s="133"/>
      <c r="EW96" s="133"/>
      <c r="EX96" s="133"/>
      <c r="EY96" s="133"/>
      <c r="EZ96" s="133"/>
      <c r="FA96" s="133"/>
      <c r="FB96" s="133"/>
      <c r="FC96" s="133"/>
      <c r="FD96" s="133"/>
      <c r="FE96" s="133"/>
      <c r="FF96" s="133"/>
      <c r="FG96" s="133"/>
      <c r="FH96" s="133"/>
      <c r="FI96" s="133"/>
      <c r="FJ96" s="133"/>
      <c r="FK96" s="133"/>
      <c r="FL96" s="133"/>
      <c r="FM96" s="133"/>
      <c r="FN96" s="133"/>
      <c r="FO96" s="133"/>
      <c r="FP96" s="133"/>
      <c r="FQ96" s="133"/>
      <c r="FR96" s="133"/>
      <c r="FS96" s="133"/>
      <c r="FT96" s="133"/>
      <c r="FU96" s="133"/>
      <c r="FV96" s="133"/>
      <c r="FW96" s="133"/>
      <c r="FX96" s="133"/>
      <c r="FY96" s="133"/>
      <c r="FZ96" s="133"/>
      <c r="GA96" s="133"/>
      <c r="GB96" s="133"/>
      <c r="GC96" s="133"/>
      <c r="GD96" s="133"/>
      <c r="GE96" s="133"/>
      <c r="GF96" s="133"/>
    </row>
    <row r="97" spans="7:188" x14ac:dyDescent="0.25">
      <c r="CT97" s="133"/>
      <c r="CU97" s="133"/>
      <c r="CV97" s="133"/>
      <c r="CW97" s="133"/>
      <c r="CX97" s="133"/>
      <c r="CY97" s="133"/>
      <c r="CZ97" s="133"/>
      <c r="DA97" s="133"/>
      <c r="DB97" s="133"/>
      <c r="DC97" s="133"/>
      <c r="DD97" s="133"/>
      <c r="DE97" s="133"/>
      <c r="DF97" s="133"/>
      <c r="DG97" s="133"/>
      <c r="DH97" s="133"/>
      <c r="DI97" s="133"/>
      <c r="DJ97" s="133"/>
      <c r="DK97" s="133"/>
      <c r="DL97" s="133"/>
      <c r="DM97" s="133"/>
      <c r="DN97" s="133"/>
      <c r="DO97" s="133"/>
      <c r="DP97" s="133"/>
      <c r="DQ97" s="133"/>
      <c r="DR97" s="133"/>
      <c r="DS97" s="133"/>
      <c r="DT97" s="133"/>
      <c r="DU97" s="133"/>
      <c r="DV97" s="133"/>
      <c r="DW97" s="133"/>
      <c r="DX97" s="134"/>
      <c r="DY97" s="133"/>
      <c r="DZ97" s="133"/>
      <c r="EA97" s="133"/>
      <c r="EB97" s="133"/>
      <c r="EC97" s="133"/>
      <c r="ED97" s="133"/>
      <c r="EE97" s="133"/>
      <c r="EF97" s="133"/>
      <c r="EG97" s="133"/>
      <c r="EH97" s="133"/>
      <c r="EI97" s="133"/>
      <c r="EJ97" s="133"/>
      <c r="EK97" s="133"/>
      <c r="EL97" s="133"/>
      <c r="EM97" s="133"/>
      <c r="EN97" s="133"/>
      <c r="EO97" s="133"/>
      <c r="EP97" s="133"/>
      <c r="EQ97" s="133"/>
      <c r="ER97" s="133"/>
      <c r="ES97" s="133"/>
      <c r="ET97" s="133"/>
      <c r="EU97" s="133"/>
      <c r="EV97" s="133"/>
      <c r="EW97" s="133"/>
      <c r="EX97" s="133"/>
      <c r="EY97" s="133"/>
      <c r="EZ97" s="133"/>
      <c r="FA97" s="133"/>
      <c r="FB97" s="133"/>
      <c r="FC97" s="133"/>
      <c r="FD97" s="133"/>
      <c r="FE97" s="133"/>
      <c r="FF97" s="133"/>
      <c r="FG97" s="133"/>
      <c r="FH97" s="133"/>
      <c r="FI97" s="133"/>
      <c r="FJ97" s="133"/>
      <c r="FK97" s="133"/>
      <c r="FL97" s="133"/>
      <c r="FM97" s="133"/>
      <c r="FN97" s="133"/>
      <c r="FO97" s="133"/>
      <c r="FP97" s="133"/>
      <c r="FQ97" s="133"/>
      <c r="FR97" s="133"/>
      <c r="FS97" s="133"/>
      <c r="FT97" s="133"/>
      <c r="FU97" s="133"/>
      <c r="FV97" s="133"/>
      <c r="FW97" s="133"/>
      <c r="FX97" s="133"/>
      <c r="FY97" s="133"/>
      <c r="FZ97" s="133"/>
      <c r="GA97" s="133"/>
      <c r="GB97" s="133"/>
      <c r="GC97" s="133"/>
      <c r="GD97" s="133"/>
      <c r="GE97" s="133"/>
      <c r="GF97" s="133"/>
    </row>
    <row r="98" spans="7:188" x14ac:dyDescent="0.25">
      <c r="CT98" s="133"/>
      <c r="CU98" s="133"/>
      <c r="CV98" s="133"/>
      <c r="CW98" s="133"/>
      <c r="CX98" s="133"/>
      <c r="CY98" s="133"/>
      <c r="CZ98" s="133"/>
      <c r="DA98" s="133"/>
      <c r="DB98" s="133"/>
      <c r="DC98" s="133"/>
      <c r="DD98" s="133"/>
      <c r="DE98" s="133"/>
      <c r="DF98" s="133"/>
      <c r="DG98" s="133"/>
      <c r="DH98" s="133"/>
      <c r="DI98" s="133"/>
      <c r="DJ98" s="133"/>
      <c r="DK98" s="133"/>
      <c r="DL98" s="133"/>
      <c r="DM98" s="133"/>
      <c r="DN98" s="133"/>
      <c r="DO98" s="133"/>
      <c r="DP98" s="133"/>
      <c r="DQ98" s="133"/>
      <c r="DR98" s="133"/>
      <c r="DS98" s="133"/>
      <c r="DT98" s="133"/>
      <c r="DU98" s="133"/>
      <c r="DV98" s="133"/>
      <c r="DW98" s="133"/>
      <c r="DX98" s="134"/>
      <c r="DY98" s="133"/>
      <c r="DZ98" s="133"/>
      <c r="EA98" s="133"/>
      <c r="EB98" s="133"/>
      <c r="EC98" s="133"/>
      <c r="ED98" s="133"/>
      <c r="EE98" s="133"/>
      <c r="EF98" s="133"/>
      <c r="EG98" s="133"/>
      <c r="EH98" s="133"/>
      <c r="EI98" s="133"/>
      <c r="EJ98" s="133"/>
      <c r="EK98" s="133"/>
      <c r="EL98" s="133"/>
      <c r="EM98" s="133"/>
      <c r="EN98" s="133"/>
      <c r="EO98" s="133"/>
      <c r="EP98" s="133"/>
      <c r="EQ98" s="133"/>
      <c r="ER98" s="133"/>
      <c r="ES98" s="133"/>
      <c r="ET98" s="133"/>
      <c r="EU98" s="133"/>
      <c r="EV98" s="133"/>
      <c r="EW98" s="133"/>
      <c r="EX98" s="133"/>
      <c r="EY98" s="133"/>
      <c r="EZ98" s="133"/>
      <c r="FA98" s="133"/>
      <c r="FB98" s="133"/>
      <c r="FC98" s="133"/>
      <c r="FD98" s="133"/>
      <c r="FE98" s="133"/>
      <c r="FF98" s="133"/>
      <c r="FG98" s="133"/>
      <c r="FH98" s="133"/>
      <c r="FI98" s="133"/>
      <c r="FJ98" s="133"/>
      <c r="FK98" s="133"/>
      <c r="FL98" s="133"/>
      <c r="FM98" s="133"/>
      <c r="FN98" s="133"/>
      <c r="FO98" s="133"/>
      <c r="FP98" s="133"/>
      <c r="FQ98" s="133"/>
      <c r="FR98" s="133"/>
      <c r="FS98" s="133"/>
      <c r="FT98" s="133"/>
      <c r="FU98" s="133"/>
      <c r="FV98" s="133"/>
      <c r="FW98" s="133"/>
      <c r="FX98" s="133"/>
      <c r="FY98" s="133"/>
      <c r="FZ98" s="133"/>
      <c r="GA98" s="133"/>
      <c r="GB98" s="133"/>
      <c r="GC98" s="133"/>
      <c r="GD98" s="133"/>
      <c r="GE98" s="133"/>
      <c r="GF98" s="133"/>
    </row>
    <row r="99" spans="7:188" x14ac:dyDescent="0.25">
      <c r="G99" s="130"/>
      <c r="CT99" s="133"/>
      <c r="CU99" s="133"/>
      <c r="CV99" s="133"/>
      <c r="CW99" s="133"/>
      <c r="CX99" s="133"/>
      <c r="CY99" s="133"/>
      <c r="CZ99" s="133"/>
      <c r="DA99" s="133"/>
      <c r="DB99" s="133"/>
      <c r="DC99" s="133"/>
      <c r="DD99" s="133"/>
      <c r="DE99" s="133"/>
      <c r="DF99" s="133"/>
      <c r="DG99" s="133"/>
      <c r="DH99" s="133"/>
      <c r="DI99" s="133"/>
      <c r="DJ99" s="133"/>
      <c r="DK99" s="133"/>
      <c r="DL99" s="133"/>
      <c r="DM99" s="133"/>
      <c r="DN99" s="133"/>
      <c r="DO99" s="133"/>
      <c r="DP99" s="133"/>
      <c r="DQ99" s="133"/>
      <c r="DR99" s="133"/>
      <c r="DS99" s="133"/>
      <c r="DT99" s="133"/>
      <c r="DU99" s="133"/>
      <c r="DV99" s="133"/>
      <c r="DW99" s="133"/>
      <c r="DX99" s="134"/>
      <c r="DY99" s="133"/>
      <c r="DZ99" s="133"/>
      <c r="EA99" s="133"/>
      <c r="EB99" s="133"/>
      <c r="EC99" s="133"/>
      <c r="ED99" s="133"/>
      <c r="EE99" s="133"/>
      <c r="EF99" s="133"/>
      <c r="EG99" s="133"/>
      <c r="EH99" s="133"/>
      <c r="EI99" s="133"/>
      <c r="EJ99" s="133"/>
      <c r="EK99" s="133"/>
      <c r="EL99" s="133"/>
      <c r="EM99" s="133"/>
      <c r="EN99" s="133"/>
      <c r="EO99" s="133"/>
      <c r="EP99" s="133"/>
      <c r="EQ99" s="133"/>
      <c r="ER99" s="133"/>
      <c r="ES99" s="133"/>
      <c r="ET99" s="133"/>
      <c r="EU99" s="133"/>
      <c r="EV99" s="133"/>
      <c r="EW99" s="133"/>
      <c r="EX99" s="133"/>
      <c r="EY99" s="133"/>
      <c r="EZ99" s="133"/>
      <c r="FA99" s="133"/>
      <c r="FB99" s="133"/>
      <c r="FC99" s="133"/>
      <c r="FD99" s="133"/>
      <c r="FE99" s="133"/>
      <c r="FF99" s="133"/>
      <c r="FG99" s="133"/>
      <c r="FH99" s="133"/>
      <c r="FI99" s="133"/>
      <c r="FJ99" s="133"/>
      <c r="FK99" s="133"/>
      <c r="FL99" s="133"/>
      <c r="FM99" s="133"/>
      <c r="FN99" s="133"/>
      <c r="FO99" s="133"/>
      <c r="FP99" s="133"/>
      <c r="FQ99" s="133"/>
      <c r="FR99" s="133"/>
      <c r="FS99" s="133"/>
      <c r="FT99" s="133"/>
      <c r="FU99" s="133"/>
      <c r="FV99" s="133"/>
      <c r="FW99" s="133"/>
      <c r="FX99" s="133"/>
      <c r="FY99" s="133"/>
      <c r="FZ99" s="133"/>
      <c r="GA99" s="133"/>
      <c r="GB99" s="133"/>
      <c r="GC99" s="133"/>
      <c r="GD99" s="133"/>
      <c r="GE99" s="133"/>
      <c r="GF99" s="133"/>
    </row>
    <row r="100" spans="7:188" x14ac:dyDescent="0.25">
      <c r="CT100" s="133"/>
      <c r="CU100" s="133"/>
      <c r="CV100" s="133"/>
      <c r="CW100" s="133"/>
      <c r="CX100" s="133"/>
      <c r="CY100" s="133"/>
      <c r="CZ100" s="133"/>
      <c r="DA100" s="133"/>
      <c r="DB100" s="133"/>
      <c r="DC100" s="133"/>
      <c r="DD100" s="133"/>
      <c r="DE100" s="133"/>
      <c r="DF100" s="133"/>
      <c r="DG100" s="133"/>
      <c r="DH100" s="133"/>
      <c r="DI100" s="133"/>
      <c r="DJ100" s="133"/>
      <c r="DK100" s="133"/>
      <c r="DL100" s="133"/>
      <c r="DM100" s="133"/>
      <c r="DN100" s="133"/>
      <c r="DO100" s="133"/>
      <c r="DP100" s="133"/>
      <c r="DQ100" s="133"/>
      <c r="DR100" s="133"/>
      <c r="DS100" s="133"/>
      <c r="DT100" s="133"/>
      <c r="DU100" s="133"/>
      <c r="DV100" s="133"/>
      <c r="DW100" s="133"/>
      <c r="DX100" s="134"/>
      <c r="DY100" s="133"/>
      <c r="DZ100" s="133"/>
      <c r="EA100" s="133"/>
      <c r="EB100" s="133"/>
      <c r="EC100" s="133"/>
      <c r="ED100" s="133"/>
      <c r="EE100" s="133"/>
      <c r="EF100" s="133"/>
      <c r="EG100" s="133"/>
      <c r="EH100" s="133"/>
      <c r="EI100" s="133"/>
      <c r="EJ100" s="133"/>
      <c r="EK100" s="133"/>
      <c r="EL100" s="133"/>
      <c r="EM100" s="133"/>
      <c r="EN100" s="133"/>
      <c r="EO100" s="133"/>
      <c r="EP100" s="133"/>
      <c r="EQ100" s="133"/>
      <c r="ER100" s="133"/>
      <c r="ES100" s="133"/>
      <c r="ET100" s="133"/>
      <c r="EU100" s="133"/>
      <c r="EV100" s="133"/>
      <c r="EW100" s="133"/>
      <c r="EX100" s="133"/>
      <c r="EY100" s="133"/>
      <c r="EZ100" s="133"/>
      <c r="FA100" s="133"/>
      <c r="FB100" s="133"/>
      <c r="FC100" s="133"/>
      <c r="FD100" s="133"/>
      <c r="FE100" s="133"/>
      <c r="FF100" s="133"/>
      <c r="FG100" s="133"/>
      <c r="FH100" s="133"/>
      <c r="FI100" s="133"/>
      <c r="FJ100" s="133"/>
      <c r="FK100" s="133"/>
      <c r="FL100" s="133"/>
      <c r="FM100" s="133"/>
      <c r="FN100" s="133"/>
      <c r="FO100" s="133"/>
      <c r="FP100" s="133"/>
      <c r="FQ100" s="133"/>
      <c r="FR100" s="133"/>
      <c r="FS100" s="133"/>
      <c r="FT100" s="133"/>
      <c r="FU100" s="133"/>
      <c r="FV100" s="133"/>
      <c r="FW100" s="133"/>
      <c r="FX100" s="133"/>
      <c r="FY100" s="133"/>
      <c r="FZ100" s="133"/>
      <c r="GA100" s="133"/>
      <c r="GB100" s="133"/>
      <c r="GC100" s="133"/>
      <c r="GD100" s="133"/>
      <c r="GE100" s="133"/>
      <c r="GF100" s="133"/>
    </row>
    <row r="101" spans="7:188" x14ac:dyDescent="0.25">
      <c r="G101" s="130"/>
      <c r="CT101" s="133"/>
      <c r="CU101" s="133"/>
      <c r="CV101" s="133"/>
      <c r="CW101" s="133"/>
      <c r="CX101" s="133"/>
      <c r="CY101" s="133"/>
      <c r="CZ101" s="133"/>
      <c r="DA101" s="133"/>
      <c r="DB101" s="133"/>
      <c r="DC101" s="133"/>
      <c r="DD101" s="133"/>
      <c r="DE101" s="133"/>
      <c r="DF101" s="133"/>
      <c r="DG101" s="133"/>
      <c r="DH101" s="133"/>
      <c r="DI101" s="133"/>
      <c r="DJ101" s="133"/>
      <c r="DK101" s="133"/>
      <c r="DL101" s="133"/>
      <c r="DM101" s="133"/>
      <c r="DN101" s="133"/>
      <c r="DO101" s="133"/>
      <c r="DP101" s="133"/>
      <c r="DQ101" s="133"/>
      <c r="DR101" s="133"/>
      <c r="DS101" s="133"/>
      <c r="DT101" s="133"/>
      <c r="DU101" s="133"/>
      <c r="DV101" s="133"/>
      <c r="DW101" s="133"/>
      <c r="DX101" s="134"/>
      <c r="DY101" s="133"/>
      <c r="DZ101" s="133"/>
      <c r="EA101" s="133"/>
      <c r="EB101" s="133"/>
      <c r="EC101" s="133"/>
      <c r="ED101" s="133"/>
      <c r="EE101" s="133"/>
      <c r="EF101" s="133"/>
      <c r="EG101" s="133"/>
      <c r="EH101" s="133"/>
      <c r="EI101" s="133"/>
      <c r="EJ101" s="133"/>
      <c r="EK101" s="133"/>
      <c r="EL101" s="133"/>
      <c r="EM101" s="133"/>
      <c r="EN101" s="133"/>
      <c r="EO101" s="133"/>
      <c r="EP101" s="133"/>
      <c r="EQ101" s="133"/>
      <c r="ER101" s="133"/>
      <c r="ES101" s="133"/>
      <c r="ET101" s="133"/>
      <c r="EU101" s="133"/>
      <c r="EV101" s="133"/>
      <c r="EW101" s="133"/>
      <c r="EX101" s="133"/>
      <c r="EY101" s="133"/>
      <c r="EZ101" s="133"/>
      <c r="FA101" s="133"/>
      <c r="FB101" s="133"/>
      <c r="FC101" s="133"/>
      <c r="FD101" s="133"/>
      <c r="FE101" s="133"/>
      <c r="FF101" s="133"/>
      <c r="FG101" s="133"/>
      <c r="FH101" s="133"/>
      <c r="FI101" s="133"/>
      <c r="FJ101" s="133"/>
      <c r="FK101" s="133"/>
      <c r="FL101" s="133"/>
      <c r="FM101" s="133"/>
      <c r="FN101" s="133"/>
      <c r="FO101" s="133"/>
      <c r="FP101" s="133"/>
      <c r="FQ101" s="133"/>
      <c r="FR101" s="133"/>
      <c r="FS101" s="133"/>
      <c r="FT101" s="133"/>
      <c r="FU101" s="133"/>
      <c r="FV101" s="133"/>
      <c r="FW101" s="133"/>
      <c r="FX101" s="133"/>
      <c r="FY101" s="133"/>
      <c r="FZ101" s="133"/>
      <c r="GA101" s="133"/>
      <c r="GB101" s="133"/>
      <c r="GC101" s="133"/>
      <c r="GD101" s="133"/>
      <c r="GE101" s="133"/>
      <c r="GF101" s="133"/>
    </row>
    <row r="102" spans="7:188" x14ac:dyDescent="0.25">
      <c r="G102" s="130"/>
      <c r="CT102" s="133"/>
      <c r="CU102" s="133"/>
      <c r="CV102" s="133"/>
      <c r="CW102" s="133"/>
      <c r="CX102" s="133"/>
      <c r="CY102" s="133"/>
      <c r="CZ102" s="133"/>
      <c r="DA102" s="133"/>
      <c r="DB102" s="133"/>
      <c r="DC102" s="133"/>
      <c r="DD102" s="133"/>
      <c r="DE102" s="133"/>
      <c r="DF102" s="133"/>
      <c r="DG102" s="133"/>
      <c r="DH102" s="133"/>
      <c r="DI102" s="133"/>
      <c r="DJ102" s="133"/>
      <c r="DK102" s="133"/>
      <c r="DL102" s="133"/>
      <c r="DM102" s="133"/>
      <c r="DN102" s="133"/>
      <c r="DO102" s="133"/>
      <c r="DP102" s="133"/>
      <c r="DQ102" s="133"/>
      <c r="DR102" s="133"/>
      <c r="DS102" s="133"/>
      <c r="DT102" s="133"/>
      <c r="DU102" s="133"/>
      <c r="DV102" s="133"/>
      <c r="DW102" s="133"/>
      <c r="DX102" s="134"/>
      <c r="DY102" s="133"/>
      <c r="DZ102" s="133"/>
      <c r="EA102" s="133"/>
      <c r="EB102" s="133"/>
      <c r="EC102" s="133"/>
      <c r="ED102" s="133"/>
      <c r="EE102" s="133"/>
      <c r="EF102" s="133"/>
      <c r="EG102" s="133"/>
      <c r="EH102" s="133"/>
      <c r="EI102" s="133"/>
      <c r="EJ102" s="133"/>
      <c r="EK102" s="133"/>
      <c r="EL102" s="133"/>
      <c r="EM102" s="133"/>
      <c r="EN102" s="133"/>
      <c r="EO102" s="133"/>
      <c r="EP102" s="133"/>
      <c r="EQ102" s="133"/>
      <c r="ER102" s="133"/>
      <c r="ES102" s="133"/>
      <c r="ET102" s="133"/>
      <c r="EU102" s="133"/>
      <c r="EV102" s="133"/>
      <c r="EW102" s="133"/>
      <c r="EX102" s="133"/>
      <c r="EY102" s="133"/>
      <c r="EZ102" s="133"/>
      <c r="FA102" s="133"/>
      <c r="FB102" s="133"/>
      <c r="FC102" s="133"/>
      <c r="FD102" s="133"/>
      <c r="FE102" s="133"/>
      <c r="FF102" s="133"/>
      <c r="FG102" s="133"/>
      <c r="FH102" s="133"/>
      <c r="FI102" s="133"/>
      <c r="FJ102" s="133"/>
      <c r="FK102" s="133"/>
      <c r="FL102" s="133"/>
      <c r="FM102" s="133"/>
      <c r="FN102" s="133"/>
      <c r="FO102" s="133"/>
      <c r="FP102" s="133"/>
      <c r="FQ102" s="133"/>
      <c r="FR102" s="133"/>
      <c r="FS102" s="133"/>
      <c r="FT102" s="133"/>
      <c r="FU102" s="133"/>
      <c r="FV102" s="133"/>
      <c r="FW102" s="133"/>
      <c r="FX102" s="133"/>
      <c r="FY102" s="133"/>
      <c r="FZ102" s="133"/>
      <c r="GA102" s="133"/>
      <c r="GB102" s="133"/>
      <c r="GC102" s="133"/>
      <c r="GD102" s="133"/>
      <c r="GE102" s="133"/>
      <c r="GF102" s="133"/>
    </row>
    <row r="103" spans="7:188" x14ac:dyDescent="0.25">
      <c r="G103" s="130"/>
      <c r="CT103" s="133"/>
      <c r="CU103" s="133"/>
      <c r="CV103" s="133"/>
      <c r="CW103" s="133"/>
      <c r="CX103" s="133"/>
      <c r="CY103" s="133"/>
      <c r="CZ103" s="133"/>
      <c r="DA103" s="133"/>
      <c r="DB103" s="133"/>
      <c r="DC103" s="133"/>
      <c r="DD103" s="133"/>
      <c r="DE103" s="133"/>
      <c r="DF103" s="133"/>
      <c r="DG103" s="133"/>
      <c r="DH103" s="133"/>
      <c r="DI103" s="133"/>
      <c r="DJ103" s="133"/>
      <c r="DK103" s="133"/>
      <c r="DL103" s="133"/>
      <c r="DM103" s="133"/>
      <c r="DN103" s="133"/>
      <c r="DO103" s="133"/>
      <c r="DP103" s="133"/>
      <c r="DQ103" s="133"/>
      <c r="DR103" s="133"/>
      <c r="DS103" s="133"/>
      <c r="DT103" s="133"/>
      <c r="DU103" s="133"/>
      <c r="DV103" s="133"/>
      <c r="DW103" s="133"/>
      <c r="DX103" s="134"/>
      <c r="DY103" s="133"/>
      <c r="DZ103" s="133"/>
      <c r="EA103" s="133"/>
      <c r="EB103" s="133"/>
      <c r="EC103" s="133"/>
      <c r="ED103" s="133"/>
      <c r="EE103" s="133"/>
      <c r="EF103" s="133"/>
      <c r="EG103" s="133"/>
      <c r="EH103" s="133"/>
      <c r="EI103" s="133"/>
      <c r="EJ103" s="133"/>
      <c r="EK103" s="133"/>
      <c r="EL103" s="133"/>
      <c r="EM103" s="133"/>
      <c r="EN103" s="133"/>
      <c r="EO103" s="133"/>
      <c r="EP103" s="133"/>
      <c r="EQ103" s="133"/>
      <c r="ER103" s="133"/>
      <c r="ES103" s="133"/>
      <c r="ET103" s="133"/>
      <c r="EU103" s="133"/>
      <c r="EV103" s="133"/>
      <c r="EW103" s="133"/>
      <c r="EX103" s="133"/>
      <c r="EY103" s="133"/>
      <c r="EZ103" s="133"/>
      <c r="FA103" s="133"/>
      <c r="FB103" s="133"/>
      <c r="FC103" s="133"/>
      <c r="FD103" s="133"/>
      <c r="FE103" s="133"/>
      <c r="FF103" s="133"/>
      <c r="FG103" s="133"/>
      <c r="FH103" s="133"/>
      <c r="FI103" s="133"/>
      <c r="FJ103" s="133"/>
      <c r="FK103" s="133"/>
      <c r="FL103" s="133"/>
      <c r="FM103" s="133"/>
      <c r="FN103" s="133"/>
      <c r="FO103" s="133"/>
      <c r="FP103" s="133"/>
      <c r="FQ103" s="133"/>
      <c r="FR103" s="133"/>
      <c r="FS103" s="133"/>
      <c r="FT103" s="133"/>
      <c r="FU103" s="133"/>
      <c r="FV103" s="133"/>
      <c r="FW103" s="133"/>
      <c r="FX103" s="133"/>
      <c r="FY103" s="133"/>
      <c r="FZ103" s="133"/>
      <c r="GA103" s="133"/>
      <c r="GB103" s="133"/>
      <c r="GC103" s="133"/>
      <c r="GD103" s="133"/>
      <c r="GE103" s="133"/>
      <c r="GF103" s="133"/>
    </row>
    <row r="104" spans="7:188" x14ac:dyDescent="0.25">
      <c r="G104" s="130"/>
      <c r="CT104" s="133"/>
      <c r="CU104" s="133"/>
      <c r="CV104" s="133"/>
      <c r="CW104" s="133"/>
      <c r="CX104" s="133"/>
      <c r="CY104" s="133"/>
      <c r="CZ104" s="133"/>
      <c r="DA104" s="133"/>
      <c r="DB104" s="133"/>
      <c r="DC104" s="133"/>
      <c r="DD104" s="133"/>
      <c r="DE104" s="133"/>
      <c r="DF104" s="133"/>
      <c r="DG104" s="133"/>
      <c r="DH104" s="133"/>
      <c r="DI104" s="133"/>
      <c r="DJ104" s="133"/>
      <c r="DK104" s="133"/>
      <c r="DL104" s="133"/>
      <c r="DM104" s="133"/>
      <c r="DN104" s="133"/>
      <c r="DO104" s="133"/>
      <c r="DP104" s="133"/>
      <c r="DQ104" s="133"/>
      <c r="DR104" s="133"/>
      <c r="DS104" s="133"/>
      <c r="DT104" s="133"/>
      <c r="DU104" s="133"/>
      <c r="DV104" s="133"/>
      <c r="DW104" s="133"/>
      <c r="DX104" s="134"/>
      <c r="DY104" s="133"/>
      <c r="DZ104" s="133"/>
      <c r="EA104" s="133"/>
      <c r="EB104" s="133"/>
      <c r="EC104" s="133"/>
      <c r="ED104" s="133"/>
      <c r="EE104" s="133"/>
      <c r="EF104" s="133"/>
      <c r="EG104" s="133"/>
      <c r="EH104" s="133"/>
      <c r="EI104" s="133"/>
      <c r="EJ104" s="133"/>
      <c r="EK104" s="133"/>
      <c r="EL104" s="133"/>
      <c r="EM104" s="133"/>
      <c r="EN104" s="133"/>
      <c r="EO104" s="133"/>
      <c r="EP104" s="133"/>
      <c r="EQ104" s="133"/>
      <c r="ER104" s="133"/>
      <c r="ES104" s="133"/>
      <c r="ET104" s="133"/>
      <c r="EU104" s="133"/>
      <c r="EV104" s="133"/>
      <c r="EW104" s="133"/>
      <c r="EX104" s="133"/>
      <c r="EY104" s="133"/>
      <c r="EZ104" s="133"/>
      <c r="FA104" s="133"/>
      <c r="FB104" s="133"/>
      <c r="FC104" s="133"/>
      <c r="FD104" s="133"/>
      <c r="FE104" s="133"/>
      <c r="FF104" s="133"/>
      <c r="FG104" s="133"/>
      <c r="FH104" s="133"/>
      <c r="FI104" s="133"/>
      <c r="FJ104" s="133"/>
      <c r="FK104" s="133"/>
      <c r="FL104" s="133"/>
      <c r="FM104" s="133"/>
      <c r="FN104" s="133"/>
      <c r="FO104" s="133"/>
      <c r="FP104" s="133"/>
      <c r="FQ104" s="133"/>
      <c r="FR104" s="133"/>
      <c r="FS104" s="133"/>
      <c r="FT104" s="133"/>
      <c r="FU104" s="133"/>
      <c r="FV104" s="133"/>
      <c r="FW104" s="133"/>
      <c r="FX104" s="133"/>
      <c r="FY104" s="133"/>
      <c r="FZ104" s="133"/>
      <c r="GA104" s="133"/>
      <c r="GB104" s="133"/>
      <c r="GC104" s="133"/>
      <c r="GD104" s="133"/>
      <c r="GE104" s="133"/>
      <c r="GF104" s="133"/>
    </row>
    <row r="105" spans="7:188" x14ac:dyDescent="0.25">
      <c r="G105" s="130"/>
      <c r="CT105" s="133"/>
      <c r="CU105" s="133"/>
      <c r="CV105" s="133"/>
      <c r="CW105" s="133"/>
      <c r="CX105" s="133"/>
      <c r="CY105" s="133"/>
      <c r="CZ105" s="133"/>
      <c r="DA105" s="133"/>
      <c r="DB105" s="133"/>
      <c r="DC105" s="133"/>
      <c r="DD105" s="133"/>
      <c r="DE105" s="133"/>
      <c r="DF105" s="133"/>
      <c r="DG105" s="133"/>
      <c r="DH105" s="133"/>
      <c r="DI105" s="133"/>
      <c r="DJ105" s="133"/>
      <c r="DK105" s="133"/>
      <c r="DL105" s="133"/>
      <c r="DM105" s="133"/>
      <c r="DN105" s="133"/>
      <c r="DO105" s="133"/>
      <c r="DP105" s="133"/>
      <c r="DQ105" s="133"/>
      <c r="DR105" s="133"/>
      <c r="DS105" s="133"/>
      <c r="DT105" s="133"/>
      <c r="DU105" s="133"/>
      <c r="DV105" s="133"/>
      <c r="DW105" s="133"/>
      <c r="DX105" s="134"/>
      <c r="DY105" s="133"/>
      <c r="DZ105" s="133"/>
      <c r="EA105" s="133"/>
      <c r="EB105" s="133"/>
      <c r="EC105" s="133"/>
      <c r="ED105" s="133"/>
      <c r="EE105" s="133"/>
      <c r="EF105" s="133"/>
      <c r="EG105" s="133"/>
      <c r="EH105" s="133"/>
      <c r="EI105" s="133"/>
      <c r="EJ105" s="133"/>
      <c r="EK105" s="133"/>
      <c r="EL105" s="133"/>
      <c r="EM105" s="133"/>
      <c r="EN105" s="133"/>
      <c r="EO105" s="133"/>
      <c r="EP105" s="133"/>
      <c r="EQ105" s="133"/>
      <c r="ER105" s="133"/>
      <c r="ES105" s="133"/>
      <c r="ET105" s="133"/>
      <c r="EU105" s="133"/>
      <c r="EV105" s="133"/>
      <c r="EW105" s="133"/>
      <c r="EX105" s="133"/>
      <c r="EY105" s="133"/>
      <c r="EZ105" s="133"/>
      <c r="FA105" s="133"/>
      <c r="FB105" s="133"/>
      <c r="FC105" s="133"/>
      <c r="FD105" s="133"/>
      <c r="FE105" s="133"/>
      <c r="FF105" s="133"/>
      <c r="FG105" s="133"/>
      <c r="FH105" s="133"/>
      <c r="FI105" s="133"/>
      <c r="FJ105" s="133"/>
      <c r="FK105" s="133"/>
      <c r="FL105" s="133"/>
      <c r="FM105" s="133"/>
      <c r="FN105" s="133"/>
      <c r="FO105" s="133"/>
      <c r="FP105" s="133"/>
      <c r="FQ105" s="133"/>
      <c r="FR105" s="133"/>
      <c r="FS105" s="133"/>
      <c r="FT105" s="133"/>
      <c r="FU105" s="133"/>
      <c r="FV105" s="133"/>
      <c r="FW105" s="133"/>
      <c r="FX105" s="133"/>
      <c r="FY105" s="133"/>
      <c r="FZ105" s="133"/>
      <c r="GA105" s="133"/>
      <c r="GB105" s="133"/>
      <c r="GC105" s="133"/>
      <c r="GD105" s="133"/>
      <c r="GE105" s="133"/>
      <c r="GF105" s="133"/>
    </row>
    <row r="106" spans="7:188" x14ac:dyDescent="0.25">
      <c r="G106" s="130"/>
      <c r="CT106" s="133"/>
      <c r="CU106" s="133"/>
      <c r="CV106" s="133"/>
      <c r="CW106" s="133"/>
      <c r="CX106" s="133"/>
      <c r="CY106" s="133"/>
      <c r="CZ106" s="133"/>
      <c r="DA106" s="133"/>
      <c r="DB106" s="133"/>
      <c r="DC106" s="133"/>
      <c r="DD106" s="133"/>
      <c r="DE106" s="133"/>
      <c r="DF106" s="133"/>
      <c r="DG106" s="133"/>
      <c r="DH106" s="133"/>
      <c r="DI106" s="133"/>
      <c r="DJ106" s="133"/>
      <c r="DK106" s="133"/>
      <c r="DL106" s="133"/>
      <c r="DM106" s="133"/>
      <c r="DN106" s="133"/>
      <c r="DO106" s="133"/>
      <c r="DP106" s="133"/>
      <c r="DQ106" s="133"/>
      <c r="DR106" s="133"/>
      <c r="DS106" s="133"/>
      <c r="DT106" s="133"/>
      <c r="DU106" s="133"/>
      <c r="DV106" s="133"/>
      <c r="DW106" s="133"/>
      <c r="DX106" s="134"/>
      <c r="DY106" s="133"/>
      <c r="DZ106" s="133"/>
      <c r="EA106" s="133"/>
      <c r="EB106" s="133"/>
      <c r="EC106" s="133"/>
      <c r="ED106" s="133"/>
      <c r="EE106" s="133"/>
      <c r="EF106" s="133"/>
      <c r="EG106" s="133"/>
      <c r="EH106" s="133"/>
      <c r="EI106" s="133"/>
      <c r="EJ106" s="133"/>
      <c r="EK106" s="133"/>
      <c r="EL106" s="133"/>
      <c r="EM106" s="133"/>
      <c r="EN106" s="133"/>
      <c r="EO106" s="133"/>
      <c r="EP106" s="133"/>
      <c r="EQ106" s="133"/>
      <c r="ER106" s="133"/>
      <c r="ES106" s="133"/>
      <c r="ET106" s="133"/>
      <c r="EU106" s="133"/>
      <c r="EV106" s="133"/>
      <c r="EW106" s="133"/>
      <c r="EX106" s="133"/>
      <c r="EY106" s="133"/>
      <c r="EZ106" s="133"/>
      <c r="FA106" s="133"/>
      <c r="FB106" s="133"/>
      <c r="FC106" s="133"/>
      <c r="FD106" s="133"/>
      <c r="FE106" s="133"/>
      <c r="FF106" s="133"/>
      <c r="FG106" s="133"/>
      <c r="FH106" s="133"/>
      <c r="FI106" s="133"/>
      <c r="FJ106" s="133"/>
      <c r="FK106" s="133"/>
      <c r="FL106" s="133"/>
      <c r="FM106" s="133"/>
      <c r="FN106" s="133"/>
      <c r="FO106" s="133"/>
      <c r="FP106" s="133"/>
      <c r="FQ106" s="133"/>
      <c r="FR106" s="133"/>
      <c r="FS106" s="133"/>
      <c r="FT106" s="133"/>
      <c r="FU106" s="133"/>
      <c r="FV106" s="133"/>
      <c r="FW106" s="133"/>
      <c r="FX106" s="133"/>
      <c r="FY106" s="133"/>
      <c r="FZ106" s="133"/>
      <c r="GA106" s="133"/>
      <c r="GB106" s="133"/>
      <c r="GC106" s="133"/>
      <c r="GD106" s="133"/>
      <c r="GE106" s="133"/>
      <c r="GF106" s="133"/>
    </row>
    <row r="107" spans="7:188" x14ac:dyDescent="0.25">
      <c r="CT107" s="133"/>
      <c r="CU107" s="133"/>
      <c r="CV107" s="133"/>
      <c r="CW107" s="133"/>
      <c r="CX107" s="133"/>
      <c r="CY107" s="133"/>
      <c r="CZ107" s="133"/>
      <c r="DA107" s="133"/>
      <c r="DB107" s="133"/>
      <c r="DC107" s="133"/>
      <c r="DD107" s="133"/>
      <c r="DE107" s="133"/>
      <c r="DF107" s="133"/>
      <c r="DG107" s="133"/>
      <c r="DH107" s="133"/>
      <c r="DI107" s="133"/>
      <c r="DJ107" s="133"/>
      <c r="DK107" s="133"/>
      <c r="DL107" s="133"/>
      <c r="DM107" s="133"/>
      <c r="DN107" s="133"/>
      <c r="DO107" s="133"/>
      <c r="DP107" s="133"/>
      <c r="DQ107" s="133"/>
      <c r="DR107" s="133"/>
      <c r="DS107" s="133"/>
      <c r="DT107" s="133"/>
      <c r="DU107" s="133"/>
      <c r="DV107" s="133"/>
      <c r="DW107" s="133"/>
      <c r="DX107" s="134"/>
      <c r="DY107" s="133"/>
      <c r="DZ107" s="133"/>
      <c r="EA107" s="133"/>
      <c r="EB107" s="133"/>
      <c r="EC107" s="133"/>
      <c r="ED107" s="133"/>
      <c r="EE107" s="133"/>
      <c r="EF107" s="133"/>
      <c r="EG107" s="133"/>
      <c r="EH107" s="133"/>
      <c r="EI107" s="133"/>
      <c r="EJ107" s="133"/>
      <c r="EK107" s="133"/>
      <c r="EL107" s="133"/>
      <c r="EM107" s="133"/>
      <c r="EN107" s="133"/>
      <c r="EO107" s="133"/>
      <c r="EP107" s="133"/>
      <c r="EQ107" s="133"/>
      <c r="ER107" s="133"/>
      <c r="ES107" s="133"/>
      <c r="ET107" s="133"/>
      <c r="EU107" s="133"/>
      <c r="EV107" s="133"/>
      <c r="EW107" s="133"/>
      <c r="EX107" s="133"/>
      <c r="EY107" s="133"/>
      <c r="EZ107" s="133"/>
      <c r="FA107" s="133"/>
      <c r="FB107" s="133"/>
      <c r="FC107" s="133"/>
      <c r="FD107" s="133"/>
      <c r="FE107" s="133"/>
      <c r="FF107" s="133"/>
      <c r="FG107" s="133"/>
      <c r="FH107" s="133"/>
      <c r="FI107" s="133"/>
      <c r="FJ107" s="133"/>
      <c r="FK107" s="133"/>
      <c r="FL107" s="133"/>
      <c r="FM107" s="133"/>
      <c r="FN107" s="133"/>
      <c r="FO107" s="133"/>
      <c r="FP107" s="133"/>
      <c r="FQ107" s="133"/>
      <c r="FR107" s="133"/>
      <c r="FS107" s="133"/>
      <c r="FT107" s="133"/>
      <c r="FU107" s="133"/>
      <c r="FV107" s="133"/>
      <c r="FW107" s="133"/>
      <c r="FX107" s="133"/>
      <c r="FY107" s="133"/>
      <c r="FZ107" s="133"/>
      <c r="GA107" s="133"/>
      <c r="GB107" s="133"/>
      <c r="GC107" s="133"/>
      <c r="GD107" s="133"/>
      <c r="GE107" s="133"/>
      <c r="GF107" s="133"/>
    </row>
    <row r="108" spans="7:188" x14ac:dyDescent="0.25">
      <c r="CT108" s="133"/>
      <c r="CU108" s="133"/>
      <c r="CV108" s="133"/>
      <c r="CW108" s="133"/>
      <c r="CX108" s="133"/>
      <c r="CY108" s="133"/>
      <c r="CZ108" s="133"/>
      <c r="DA108" s="133"/>
      <c r="DB108" s="133"/>
      <c r="DC108" s="133"/>
      <c r="DD108" s="133"/>
      <c r="DE108" s="133"/>
      <c r="DF108" s="133"/>
      <c r="DG108" s="133"/>
      <c r="DH108" s="133"/>
      <c r="DI108" s="133"/>
      <c r="DJ108" s="133"/>
      <c r="DK108" s="133"/>
      <c r="DL108" s="133"/>
      <c r="DM108" s="133"/>
      <c r="DN108" s="133"/>
      <c r="DO108" s="133"/>
      <c r="DP108" s="133"/>
      <c r="DQ108" s="133"/>
      <c r="DR108" s="133"/>
      <c r="DS108" s="133"/>
      <c r="DT108" s="133"/>
      <c r="DU108" s="133"/>
      <c r="DV108" s="133"/>
      <c r="DW108" s="133"/>
      <c r="DX108" s="134"/>
      <c r="DY108" s="133"/>
      <c r="DZ108" s="133"/>
      <c r="EA108" s="133"/>
      <c r="EB108" s="133"/>
      <c r="EC108" s="133"/>
      <c r="ED108" s="133"/>
      <c r="EE108" s="133"/>
      <c r="EF108" s="133"/>
      <c r="EG108" s="133"/>
      <c r="EH108" s="133"/>
      <c r="EI108" s="133"/>
      <c r="EJ108" s="133"/>
      <c r="EK108" s="133"/>
      <c r="EL108" s="133"/>
      <c r="EM108" s="133"/>
      <c r="EN108" s="133"/>
      <c r="EO108" s="133"/>
      <c r="EP108" s="133"/>
      <c r="EQ108" s="133"/>
      <c r="ER108" s="133"/>
      <c r="ES108" s="133"/>
      <c r="ET108" s="133"/>
      <c r="EU108" s="133"/>
      <c r="EV108" s="133"/>
      <c r="EW108" s="133"/>
      <c r="EX108" s="133"/>
      <c r="EY108" s="133"/>
      <c r="EZ108" s="133"/>
      <c r="FA108" s="133"/>
      <c r="FB108" s="133"/>
      <c r="FC108" s="133"/>
      <c r="FD108" s="133"/>
      <c r="FE108" s="133"/>
      <c r="FF108" s="133"/>
      <c r="FG108" s="133"/>
      <c r="FH108" s="133"/>
      <c r="FI108" s="133"/>
      <c r="FJ108" s="133"/>
      <c r="FK108" s="133"/>
      <c r="FL108" s="133"/>
      <c r="FM108" s="133"/>
      <c r="FN108" s="133"/>
      <c r="FO108" s="133"/>
      <c r="FP108" s="133"/>
      <c r="FQ108" s="133"/>
      <c r="FR108" s="133"/>
      <c r="FS108" s="133"/>
      <c r="FT108" s="133"/>
      <c r="FU108" s="133"/>
      <c r="FV108" s="133"/>
      <c r="FW108" s="133"/>
      <c r="FX108" s="133"/>
      <c r="FY108" s="133"/>
      <c r="FZ108" s="133"/>
      <c r="GA108" s="133"/>
      <c r="GB108" s="133"/>
      <c r="GC108" s="133"/>
      <c r="GD108" s="133"/>
      <c r="GE108" s="133"/>
      <c r="GF108" s="133"/>
    </row>
    <row r="109" spans="7:188" x14ac:dyDescent="0.25">
      <c r="CT109" s="133"/>
      <c r="CU109" s="133"/>
      <c r="CV109" s="133"/>
      <c r="CW109" s="133"/>
      <c r="CX109" s="133"/>
      <c r="CY109" s="133"/>
      <c r="CZ109" s="133"/>
      <c r="DA109" s="133"/>
      <c r="DB109" s="133"/>
      <c r="DC109" s="133"/>
      <c r="DD109" s="133"/>
      <c r="DE109" s="133"/>
      <c r="DF109" s="133"/>
      <c r="DG109" s="133"/>
      <c r="DH109" s="133"/>
      <c r="DI109" s="133"/>
      <c r="DJ109" s="133"/>
      <c r="DK109" s="133"/>
      <c r="DL109" s="133"/>
      <c r="DM109" s="133"/>
      <c r="DN109" s="133"/>
      <c r="DO109" s="133"/>
      <c r="DP109" s="133"/>
      <c r="DQ109" s="133"/>
      <c r="DR109" s="133"/>
      <c r="DS109" s="133"/>
      <c r="DT109" s="133"/>
      <c r="DU109" s="133"/>
      <c r="DV109" s="133"/>
      <c r="DW109" s="133"/>
      <c r="DX109" s="134"/>
      <c r="DY109" s="133"/>
      <c r="DZ109" s="133"/>
      <c r="EA109" s="133"/>
      <c r="EB109" s="133"/>
      <c r="EC109" s="133"/>
      <c r="ED109" s="133"/>
      <c r="EE109" s="133"/>
      <c r="EF109" s="133"/>
      <c r="EG109" s="133"/>
      <c r="EH109" s="133"/>
      <c r="EI109" s="133"/>
      <c r="EJ109" s="133"/>
      <c r="EK109" s="133"/>
      <c r="EL109" s="133"/>
      <c r="EM109" s="133"/>
      <c r="EN109" s="133"/>
      <c r="EO109" s="133"/>
      <c r="EP109" s="133"/>
      <c r="EQ109" s="133"/>
      <c r="ER109" s="133"/>
      <c r="ES109" s="133"/>
      <c r="ET109" s="133"/>
      <c r="EU109" s="133"/>
      <c r="EV109" s="133"/>
      <c r="EW109" s="133"/>
      <c r="EX109" s="133"/>
      <c r="EY109" s="133"/>
      <c r="EZ109" s="133"/>
      <c r="FA109" s="133"/>
      <c r="FB109" s="133"/>
      <c r="FC109" s="133"/>
      <c r="FD109" s="133"/>
      <c r="FE109" s="133"/>
      <c r="FF109" s="133"/>
      <c r="FG109" s="133"/>
      <c r="FH109" s="133"/>
      <c r="FI109" s="133"/>
      <c r="FJ109" s="133"/>
      <c r="FK109" s="133"/>
      <c r="FL109" s="133"/>
      <c r="FM109" s="133"/>
      <c r="FN109" s="133"/>
      <c r="FO109" s="133"/>
      <c r="FP109" s="133"/>
      <c r="FQ109" s="133"/>
      <c r="FR109" s="133"/>
      <c r="FS109" s="133"/>
      <c r="FT109" s="133"/>
      <c r="FU109" s="133"/>
      <c r="FV109" s="133"/>
      <c r="FW109" s="133"/>
      <c r="FX109" s="133"/>
      <c r="FY109" s="133"/>
      <c r="FZ109" s="133"/>
      <c r="GA109" s="133"/>
      <c r="GB109" s="133"/>
      <c r="GC109" s="133"/>
      <c r="GD109" s="133"/>
      <c r="GE109" s="133"/>
      <c r="GF109" s="133"/>
    </row>
    <row r="110" spans="7:188" x14ac:dyDescent="0.25">
      <c r="G110" s="130"/>
      <c r="CT110" s="133"/>
      <c r="CU110" s="133"/>
      <c r="CV110" s="133"/>
      <c r="CW110" s="133"/>
      <c r="CX110" s="133"/>
      <c r="CY110" s="133"/>
      <c r="CZ110" s="133"/>
      <c r="DA110" s="133"/>
      <c r="DB110" s="133"/>
      <c r="DC110" s="133"/>
      <c r="DD110" s="133"/>
      <c r="DE110" s="133"/>
      <c r="DF110" s="133"/>
      <c r="DG110" s="133"/>
      <c r="DH110" s="133"/>
      <c r="DI110" s="133"/>
      <c r="DJ110" s="133"/>
      <c r="DK110" s="133"/>
      <c r="DL110" s="133"/>
      <c r="DM110" s="133"/>
      <c r="DN110" s="133"/>
      <c r="DO110" s="133"/>
      <c r="DP110" s="133"/>
      <c r="DQ110" s="133"/>
      <c r="DR110" s="133"/>
      <c r="DS110" s="133"/>
      <c r="DT110" s="133"/>
      <c r="DU110" s="133"/>
      <c r="DV110" s="133"/>
      <c r="DW110" s="133"/>
      <c r="DX110" s="134"/>
      <c r="DY110" s="133"/>
      <c r="DZ110" s="133"/>
      <c r="EA110" s="133"/>
      <c r="EB110" s="133"/>
      <c r="EC110" s="133"/>
      <c r="ED110" s="133"/>
      <c r="EE110" s="133"/>
      <c r="EF110" s="133"/>
      <c r="EG110" s="133"/>
      <c r="EH110" s="133"/>
      <c r="EI110" s="133"/>
      <c r="EJ110" s="133"/>
      <c r="EK110" s="133"/>
      <c r="EL110" s="133"/>
      <c r="EM110" s="133"/>
      <c r="EN110" s="133"/>
      <c r="EO110" s="133"/>
      <c r="EP110" s="133"/>
      <c r="EQ110" s="133"/>
      <c r="ER110" s="133"/>
      <c r="ES110" s="133"/>
      <c r="ET110" s="133"/>
      <c r="EU110" s="133"/>
      <c r="EV110" s="133"/>
      <c r="EW110" s="133"/>
      <c r="EX110" s="133"/>
      <c r="EY110" s="133"/>
      <c r="EZ110" s="133"/>
      <c r="FA110" s="133"/>
      <c r="FB110" s="133"/>
      <c r="FC110" s="133"/>
      <c r="FD110" s="133"/>
      <c r="FE110" s="133"/>
      <c r="FF110" s="133"/>
      <c r="FG110" s="133"/>
      <c r="FH110" s="133"/>
      <c r="FI110" s="133"/>
      <c r="FJ110" s="133"/>
      <c r="FK110" s="133"/>
      <c r="FL110" s="133"/>
      <c r="FM110" s="133"/>
      <c r="FN110" s="133"/>
      <c r="FO110" s="133"/>
      <c r="FP110" s="133"/>
      <c r="FQ110" s="133"/>
      <c r="FR110" s="133"/>
      <c r="FS110" s="133"/>
      <c r="FT110" s="133"/>
      <c r="FU110" s="133"/>
      <c r="FV110" s="133"/>
      <c r="FW110" s="133"/>
      <c r="FX110" s="133"/>
      <c r="FY110" s="133"/>
      <c r="FZ110" s="133"/>
      <c r="GA110" s="133"/>
      <c r="GB110" s="133"/>
      <c r="GC110" s="133"/>
      <c r="GD110" s="133"/>
      <c r="GE110" s="133"/>
      <c r="GF110" s="133"/>
    </row>
    <row r="111" spans="7:188" x14ac:dyDescent="0.25">
      <c r="G111" s="130"/>
      <c r="H111" s="130"/>
      <c r="CT111" s="133"/>
      <c r="CU111" s="133"/>
      <c r="CV111" s="133"/>
      <c r="CW111" s="133"/>
      <c r="CX111" s="133"/>
      <c r="CY111" s="133"/>
      <c r="CZ111" s="133"/>
      <c r="DA111" s="133"/>
      <c r="DB111" s="133"/>
      <c r="DC111" s="133"/>
      <c r="DD111" s="133"/>
      <c r="DE111" s="133"/>
      <c r="DF111" s="133"/>
      <c r="DG111" s="133"/>
      <c r="DH111" s="133"/>
      <c r="DI111" s="133"/>
      <c r="DJ111" s="133"/>
      <c r="DK111" s="133"/>
      <c r="DL111" s="133"/>
      <c r="DM111" s="133"/>
      <c r="DN111" s="133"/>
      <c r="DO111" s="133"/>
      <c r="DP111" s="133"/>
      <c r="DQ111" s="133"/>
      <c r="DR111" s="133"/>
      <c r="DS111" s="133"/>
      <c r="DT111" s="133"/>
      <c r="DU111" s="133"/>
      <c r="DV111" s="133"/>
      <c r="DW111" s="133"/>
      <c r="DX111" s="134"/>
      <c r="DY111" s="133"/>
      <c r="DZ111" s="133"/>
      <c r="EA111" s="133"/>
      <c r="EB111" s="133"/>
      <c r="EC111" s="133"/>
      <c r="ED111" s="133"/>
      <c r="EE111" s="133"/>
      <c r="EF111" s="133"/>
      <c r="EG111" s="133"/>
      <c r="EH111" s="133"/>
      <c r="EI111" s="133"/>
      <c r="EJ111" s="133"/>
      <c r="EK111" s="133"/>
      <c r="EL111" s="133"/>
      <c r="EM111" s="133"/>
      <c r="EN111" s="133"/>
      <c r="EO111" s="133"/>
      <c r="EP111" s="133"/>
      <c r="EQ111" s="133"/>
      <c r="ER111" s="133"/>
      <c r="ES111" s="133"/>
      <c r="ET111" s="133"/>
      <c r="EU111" s="133"/>
      <c r="EV111" s="133"/>
      <c r="EW111" s="133"/>
      <c r="EX111" s="133"/>
      <c r="EY111" s="133"/>
      <c r="EZ111" s="133"/>
      <c r="FA111" s="133"/>
      <c r="FB111" s="133"/>
      <c r="FC111" s="133"/>
      <c r="FD111" s="133"/>
      <c r="FE111" s="133"/>
      <c r="FF111" s="133"/>
      <c r="FG111" s="133"/>
      <c r="FH111" s="133"/>
      <c r="FI111" s="133"/>
      <c r="FJ111" s="133"/>
      <c r="FK111" s="133"/>
      <c r="FL111" s="133"/>
      <c r="FM111" s="133"/>
      <c r="FN111" s="133"/>
      <c r="FO111" s="133"/>
      <c r="FP111" s="133"/>
      <c r="FQ111" s="133"/>
      <c r="FR111" s="133"/>
      <c r="FS111" s="133"/>
      <c r="FT111" s="133"/>
      <c r="FU111" s="133"/>
      <c r="FV111" s="133"/>
      <c r="FW111" s="133"/>
      <c r="FX111" s="133"/>
      <c r="FY111" s="133"/>
      <c r="FZ111" s="133"/>
      <c r="GA111" s="133"/>
      <c r="GB111" s="133"/>
      <c r="GC111" s="133"/>
      <c r="GD111" s="133"/>
      <c r="GE111" s="133"/>
      <c r="GF111" s="133"/>
    </row>
    <row r="112" spans="7:188" x14ac:dyDescent="0.25">
      <c r="G112" s="130"/>
      <c r="H112" s="130"/>
      <c r="CT112" s="133"/>
      <c r="CU112" s="133"/>
      <c r="CV112" s="133"/>
      <c r="CW112" s="133"/>
      <c r="CX112" s="133"/>
      <c r="CY112" s="133"/>
      <c r="CZ112" s="133"/>
      <c r="DA112" s="133"/>
      <c r="DB112" s="133"/>
      <c r="DC112" s="133"/>
      <c r="DD112" s="133"/>
      <c r="DE112" s="133"/>
      <c r="DF112" s="133"/>
      <c r="DG112" s="133"/>
      <c r="DH112" s="133"/>
      <c r="DI112" s="133"/>
      <c r="DJ112" s="133"/>
      <c r="DK112" s="133"/>
      <c r="DL112" s="133"/>
      <c r="DM112" s="133"/>
      <c r="DN112" s="133"/>
      <c r="DO112" s="133"/>
      <c r="DP112" s="133"/>
      <c r="DQ112" s="133"/>
      <c r="DR112" s="133"/>
      <c r="DS112" s="133"/>
      <c r="DT112" s="133"/>
      <c r="DU112" s="133"/>
      <c r="DV112" s="133"/>
      <c r="DW112" s="133"/>
      <c r="DX112" s="134"/>
      <c r="DY112" s="133"/>
      <c r="DZ112" s="133"/>
      <c r="EA112" s="133"/>
      <c r="EB112" s="133"/>
      <c r="EC112" s="133"/>
      <c r="ED112" s="133"/>
      <c r="EE112" s="133"/>
      <c r="EF112" s="133"/>
      <c r="EG112" s="133"/>
      <c r="EH112" s="133"/>
      <c r="EI112" s="133"/>
      <c r="EJ112" s="133"/>
      <c r="EK112" s="133"/>
      <c r="EL112" s="133"/>
      <c r="EM112" s="133"/>
      <c r="EN112" s="133"/>
      <c r="EO112" s="133"/>
      <c r="EP112" s="133"/>
      <c r="EQ112" s="133"/>
      <c r="ER112" s="133"/>
      <c r="ES112" s="133"/>
      <c r="ET112" s="133"/>
      <c r="EU112" s="133"/>
      <c r="EV112" s="133"/>
      <c r="EW112" s="133"/>
      <c r="EX112" s="133"/>
      <c r="EY112" s="133"/>
      <c r="EZ112" s="133"/>
      <c r="FA112" s="133"/>
      <c r="FB112" s="133"/>
      <c r="FC112" s="133"/>
      <c r="FD112" s="133"/>
      <c r="FE112" s="133"/>
      <c r="FF112" s="133"/>
      <c r="FG112" s="133"/>
      <c r="FH112" s="133"/>
      <c r="FI112" s="133"/>
      <c r="FJ112" s="133"/>
      <c r="FK112" s="133"/>
      <c r="FL112" s="133"/>
      <c r="FM112" s="133"/>
      <c r="FN112" s="133"/>
      <c r="FO112" s="133"/>
      <c r="FP112" s="133"/>
      <c r="FQ112" s="133"/>
      <c r="FR112" s="133"/>
      <c r="FS112" s="133"/>
      <c r="FT112" s="133"/>
      <c r="FU112" s="133"/>
      <c r="FV112" s="133"/>
      <c r="FW112" s="133"/>
      <c r="FX112" s="133"/>
      <c r="FY112" s="133"/>
      <c r="FZ112" s="133"/>
      <c r="GA112" s="133"/>
      <c r="GB112" s="133"/>
      <c r="GC112" s="133"/>
      <c r="GD112" s="133"/>
      <c r="GE112" s="133"/>
      <c r="GF112" s="133"/>
    </row>
    <row r="113" spans="7:188" x14ac:dyDescent="0.25">
      <c r="G113" s="130"/>
      <c r="CT113" s="133"/>
      <c r="CU113" s="133"/>
      <c r="CV113" s="133"/>
      <c r="CW113" s="133"/>
      <c r="CX113" s="133"/>
      <c r="CY113" s="133"/>
      <c r="CZ113" s="133"/>
      <c r="DA113" s="133"/>
      <c r="DB113" s="133"/>
      <c r="DC113" s="133"/>
      <c r="DD113" s="133"/>
      <c r="DE113" s="133"/>
      <c r="DF113" s="133"/>
      <c r="DG113" s="133"/>
      <c r="DH113" s="133"/>
      <c r="DI113" s="133"/>
      <c r="DJ113" s="133"/>
      <c r="DK113" s="133"/>
      <c r="DL113" s="133"/>
      <c r="DM113" s="133"/>
      <c r="DN113" s="133"/>
      <c r="DO113" s="133"/>
      <c r="DP113" s="133"/>
      <c r="DQ113" s="133"/>
      <c r="DR113" s="133"/>
      <c r="DS113" s="133"/>
      <c r="DT113" s="133"/>
      <c r="DU113" s="133"/>
      <c r="DV113" s="133"/>
      <c r="DW113" s="133"/>
      <c r="DX113" s="134"/>
      <c r="DY113" s="133"/>
      <c r="DZ113" s="133"/>
      <c r="EA113" s="133"/>
      <c r="EB113" s="133"/>
      <c r="EC113" s="133"/>
      <c r="ED113" s="133"/>
      <c r="EE113" s="133"/>
      <c r="EF113" s="133"/>
      <c r="EG113" s="133"/>
      <c r="EH113" s="133"/>
      <c r="EI113" s="133"/>
      <c r="EJ113" s="133"/>
      <c r="EK113" s="133"/>
      <c r="EL113" s="133"/>
      <c r="EM113" s="133"/>
      <c r="EN113" s="133"/>
      <c r="EO113" s="133"/>
      <c r="EP113" s="133"/>
      <c r="EQ113" s="133"/>
      <c r="ER113" s="133"/>
      <c r="ES113" s="133"/>
      <c r="ET113" s="133"/>
      <c r="EU113" s="133"/>
      <c r="EV113" s="133"/>
      <c r="EW113" s="133"/>
      <c r="EX113" s="133"/>
      <c r="EY113" s="133"/>
      <c r="EZ113" s="133"/>
      <c r="FA113" s="133"/>
      <c r="FB113" s="133"/>
      <c r="FC113" s="133"/>
      <c r="FD113" s="133"/>
      <c r="FE113" s="133"/>
      <c r="FF113" s="133"/>
      <c r="FG113" s="133"/>
      <c r="FH113" s="133"/>
      <c r="FI113" s="133"/>
      <c r="FJ113" s="133"/>
      <c r="FK113" s="133"/>
      <c r="FL113" s="133"/>
      <c r="FM113" s="133"/>
      <c r="FN113" s="133"/>
      <c r="FO113" s="133"/>
      <c r="FP113" s="133"/>
      <c r="FQ113" s="133"/>
      <c r="FR113" s="133"/>
      <c r="FS113" s="133"/>
      <c r="FT113" s="133"/>
      <c r="FU113" s="133"/>
      <c r="FV113" s="133"/>
      <c r="FW113" s="133"/>
      <c r="FX113" s="133"/>
      <c r="FY113" s="133"/>
      <c r="FZ113" s="133"/>
      <c r="GA113" s="133"/>
      <c r="GB113" s="133"/>
      <c r="GC113" s="133"/>
      <c r="GD113" s="133"/>
      <c r="GE113" s="133"/>
      <c r="GF113" s="133"/>
    </row>
    <row r="114" spans="7:188" x14ac:dyDescent="0.25">
      <c r="G114" s="130"/>
      <c r="CT114" s="133"/>
      <c r="CU114" s="133"/>
      <c r="CV114" s="133"/>
      <c r="CW114" s="133"/>
      <c r="CX114" s="133"/>
      <c r="CY114" s="133"/>
      <c r="CZ114" s="133"/>
      <c r="DA114" s="133"/>
      <c r="DB114" s="133"/>
      <c r="DC114" s="133"/>
      <c r="DD114" s="133"/>
      <c r="DE114" s="133"/>
      <c r="DF114" s="133"/>
      <c r="DG114" s="133"/>
      <c r="DH114" s="133"/>
      <c r="DI114" s="133"/>
      <c r="DJ114" s="133"/>
      <c r="DK114" s="133"/>
      <c r="DL114" s="133"/>
      <c r="DM114" s="133"/>
      <c r="DN114" s="133"/>
      <c r="DO114" s="133"/>
      <c r="DP114" s="133"/>
      <c r="DQ114" s="133"/>
      <c r="DR114" s="133"/>
      <c r="DS114" s="133"/>
      <c r="DT114" s="133"/>
      <c r="DU114" s="133"/>
      <c r="DV114" s="133"/>
      <c r="DW114" s="133"/>
      <c r="DX114" s="134"/>
      <c r="DY114" s="133"/>
      <c r="DZ114" s="133"/>
      <c r="EA114" s="133"/>
      <c r="EB114" s="133"/>
      <c r="EC114" s="133"/>
      <c r="ED114" s="133"/>
      <c r="EE114" s="133"/>
      <c r="EF114" s="133"/>
      <c r="EG114" s="133"/>
      <c r="EH114" s="133"/>
      <c r="EI114" s="133"/>
      <c r="EJ114" s="133"/>
      <c r="EK114" s="133"/>
      <c r="EL114" s="133"/>
      <c r="EM114" s="133"/>
      <c r="EN114" s="133"/>
      <c r="EO114" s="133"/>
      <c r="EP114" s="133"/>
      <c r="EQ114" s="133"/>
      <c r="ER114" s="133"/>
      <c r="ES114" s="133"/>
      <c r="ET114" s="133"/>
      <c r="EU114" s="133"/>
      <c r="EV114" s="133"/>
      <c r="EW114" s="133"/>
      <c r="EX114" s="133"/>
      <c r="EY114" s="133"/>
      <c r="EZ114" s="133"/>
      <c r="FA114" s="133"/>
      <c r="FB114" s="133"/>
      <c r="FC114" s="133"/>
      <c r="FD114" s="133"/>
      <c r="FE114" s="133"/>
      <c r="FF114" s="133"/>
      <c r="FG114" s="133"/>
      <c r="FH114" s="133"/>
      <c r="FI114" s="133"/>
      <c r="FJ114" s="133"/>
      <c r="FK114" s="133"/>
      <c r="FL114" s="133"/>
      <c r="FM114" s="133"/>
      <c r="FN114" s="133"/>
      <c r="FO114" s="133"/>
      <c r="FP114" s="133"/>
      <c r="FQ114" s="133"/>
      <c r="FR114" s="133"/>
      <c r="FS114" s="133"/>
      <c r="FT114" s="133"/>
      <c r="FU114" s="133"/>
      <c r="FV114" s="133"/>
      <c r="FW114" s="133"/>
      <c r="FX114" s="133"/>
      <c r="FY114" s="133"/>
      <c r="FZ114" s="133"/>
      <c r="GA114" s="133"/>
      <c r="GB114" s="133"/>
      <c r="GC114" s="133"/>
      <c r="GD114" s="133"/>
      <c r="GE114" s="133"/>
      <c r="GF114" s="133"/>
    </row>
    <row r="115" spans="7:188" x14ac:dyDescent="0.25">
      <c r="G115" s="130"/>
      <c r="H115" s="130"/>
      <c r="CT115" s="133"/>
      <c r="CU115" s="133"/>
      <c r="CV115" s="133"/>
      <c r="CW115" s="133"/>
      <c r="CX115" s="133"/>
      <c r="CY115" s="133"/>
      <c r="CZ115" s="133"/>
      <c r="DA115" s="133"/>
      <c r="DB115" s="133"/>
      <c r="DC115" s="133"/>
      <c r="DD115" s="133"/>
      <c r="DE115" s="133"/>
      <c r="DF115" s="133"/>
      <c r="DG115" s="133"/>
      <c r="DH115" s="133"/>
      <c r="DI115" s="133"/>
      <c r="DJ115" s="133"/>
      <c r="DK115" s="133"/>
      <c r="DL115" s="133"/>
      <c r="DM115" s="133"/>
      <c r="DN115" s="133"/>
      <c r="DO115" s="133"/>
      <c r="DP115" s="133"/>
      <c r="DQ115" s="133"/>
      <c r="DR115" s="133"/>
      <c r="DS115" s="133"/>
      <c r="DT115" s="133"/>
      <c r="DU115" s="133"/>
      <c r="DV115" s="133"/>
      <c r="DW115" s="133"/>
      <c r="DX115" s="134"/>
      <c r="DY115" s="133"/>
      <c r="DZ115" s="133"/>
      <c r="EA115" s="133"/>
      <c r="EB115" s="133"/>
      <c r="EC115" s="133"/>
      <c r="ED115" s="133"/>
      <c r="EE115" s="133"/>
      <c r="EF115" s="133"/>
      <c r="EG115" s="133"/>
      <c r="EH115" s="133"/>
      <c r="EI115" s="133"/>
      <c r="EJ115" s="133"/>
      <c r="EK115" s="133"/>
      <c r="EL115" s="133"/>
      <c r="EM115" s="133"/>
      <c r="EN115" s="133"/>
      <c r="EO115" s="133"/>
      <c r="EP115" s="133"/>
      <c r="EQ115" s="133"/>
      <c r="ER115" s="133"/>
      <c r="ES115" s="133"/>
      <c r="ET115" s="133"/>
      <c r="EU115" s="133"/>
      <c r="EV115" s="133"/>
      <c r="EW115" s="133"/>
      <c r="EX115" s="133"/>
      <c r="EY115" s="133"/>
      <c r="EZ115" s="133"/>
      <c r="FA115" s="133"/>
      <c r="FB115" s="133"/>
      <c r="FC115" s="133"/>
      <c r="FD115" s="133"/>
      <c r="FE115" s="133"/>
      <c r="FF115" s="133"/>
      <c r="FG115" s="133"/>
      <c r="FH115" s="133"/>
      <c r="FI115" s="133"/>
      <c r="FJ115" s="133"/>
      <c r="FK115" s="133"/>
      <c r="FL115" s="133"/>
      <c r="FM115" s="133"/>
      <c r="FN115" s="133"/>
      <c r="FO115" s="133"/>
      <c r="FP115" s="133"/>
      <c r="FQ115" s="133"/>
      <c r="FR115" s="133"/>
      <c r="FS115" s="133"/>
      <c r="FT115" s="133"/>
      <c r="FU115" s="133"/>
      <c r="FV115" s="133"/>
      <c r="FW115" s="133"/>
      <c r="FX115" s="133"/>
      <c r="FY115" s="133"/>
      <c r="FZ115" s="133"/>
      <c r="GA115" s="133"/>
      <c r="GB115" s="133"/>
      <c r="GC115" s="133"/>
      <c r="GD115" s="133"/>
      <c r="GE115" s="133"/>
      <c r="GF115" s="133"/>
    </row>
    <row r="116" spans="7:188" x14ac:dyDescent="0.25">
      <c r="G116" s="130"/>
      <c r="CT116" s="133"/>
      <c r="CU116" s="133"/>
      <c r="CV116" s="133"/>
      <c r="CW116" s="133"/>
      <c r="CX116" s="133"/>
      <c r="CY116" s="133"/>
      <c r="CZ116" s="133"/>
      <c r="DA116" s="133"/>
      <c r="DB116" s="133"/>
      <c r="DC116" s="133"/>
      <c r="DD116" s="133"/>
      <c r="DE116" s="133"/>
      <c r="DF116" s="133"/>
      <c r="DG116" s="133"/>
      <c r="DH116" s="133"/>
      <c r="DI116" s="133"/>
      <c r="DJ116" s="133"/>
      <c r="DK116" s="133"/>
      <c r="DL116" s="133"/>
      <c r="DM116" s="133"/>
      <c r="DN116" s="133"/>
      <c r="DO116" s="133"/>
      <c r="DP116" s="133"/>
      <c r="DQ116" s="133"/>
      <c r="DR116" s="133"/>
      <c r="DS116" s="133"/>
      <c r="DT116" s="133"/>
      <c r="DU116" s="133"/>
      <c r="DV116" s="133"/>
      <c r="DW116" s="133"/>
      <c r="DX116" s="134"/>
      <c r="DY116" s="133"/>
      <c r="DZ116" s="133"/>
      <c r="EA116" s="133"/>
      <c r="EB116" s="133"/>
      <c r="EC116" s="133"/>
      <c r="ED116" s="133"/>
      <c r="EE116" s="133"/>
      <c r="EF116" s="133"/>
      <c r="EG116" s="133"/>
      <c r="EH116" s="133"/>
      <c r="EI116" s="133"/>
      <c r="EJ116" s="133"/>
      <c r="EK116" s="133"/>
      <c r="EL116" s="133"/>
      <c r="EM116" s="133"/>
      <c r="EN116" s="133"/>
      <c r="EO116" s="133"/>
      <c r="EP116" s="133"/>
      <c r="EQ116" s="133"/>
      <c r="ER116" s="133"/>
      <c r="ES116" s="133"/>
      <c r="ET116" s="133"/>
      <c r="EU116" s="133"/>
      <c r="EV116" s="133"/>
      <c r="EW116" s="133"/>
      <c r="EX116" s="133"/>
      <c r="EY116" s="133"/>
      <c r="EZ116" s="133"/>
      <c r="FA116" s="133"/>
      <c r="FB116" s="133"/>
      <c r="FC116" s="133"/>
      <c r="FD116" s="133"/>
      <c r="FE116" s="133"/>
      <c r="FF116" s="133"/>
      <c r="FG116" s="133"/>
      <c r="FH116" s="133"/>
      <c r="FI116" s="133"/>
      <c r="FJ116" s="133"/>
      <c r="FK116" s="133"/>
      <c r="FL116" s="133"/>
      <c r="FM116" s="133"/>
      <c r="FN116" s="133"/>
      <c r="FO116" s="133"/>
      <c r="FP116" s="133"/>
      <c r="FQ116" s="133"/>
      <c r="FR116" s="133"/>
      <c r="FS116" s="133"/>
      <c r="FT116" s="133"/>
      <c r="FU116" s="133"/>
      <c r="FV116" s="133"/>
      <c r="FW116" s="133"/>
      <c r="FX116" s="133"/>
      <c r="FY116" s="133"/>
      <c r="FZ116" s="133"/>
      <c r="GA116" s="133"/>
      <c r="GB116" s="133"/>
      <c r="GC116" s="133"/>
      <c r="GD116" s="133"/>
      <c r="GE116" s="133"/>
      <c r="GF116" s="133"/>
    </row>
    <row r="117" spans="7:188" x14ac:dyDescent="0.25">
      <c r="G117" s="130"/>
      <c r="H117" s="130"/>
      <c r="CT117" s="133"/>
      <c r="CU117" s="133"/>
      <c r="CV117" s="133"/>
      <c r="CW117" s="133"/>
      <c r="CX117" s="133"/>
      <c r="CY117" s="133"/>
      <c r="CZ117" s="133"/>
      <c r="DA117" s="133"/>
      <c r="DB117" s="133"/>
      <c r="DC117" s="133"/>
      <c r="DD117" s="133"/>
      <c r="DE117" s="133"/>
      <c r="DF117" s="133"/>
      <c r="DG117" s="133"/>
      <c r="DH117" s="133"/>
      <c r="DI117" s="133"/>
      <c r="DJ117" s="133"/>
      <c r="DK117" s="133"/>
      <c r="DL117" s="133"/>
      <c r="DM117" s="133"/>
      <c r="DN117" s="133"/>
      <c r="DO117" s="133"/>
      <c r="DP117" s="133"/>
      <c r="DQ117" s="133"/>
      <c r="DR117" s="133"/>
      <c r="DS117" s="133"/>
      <c r="DT117" s="133"/>
      <c r="DU117" s="133"/>
      <c r="DV117" s="133"/>
      <c r="DW117" s="133"/>
      <c r="DX117" s="134"/>
      <c r="DY117" s="133"/>
      <c r="DZ117" s="133"/>
      <c r="EA117" s="133"/>
      <c r="EB117" s="133"/>
      <c r="EC117" s="133"/>
      <c r="ED117" s="133"/>
      <c r="EE117" s="133"/>
      <c r="EF117" s="133"/>
      <c r="EG117" s="133"/>
      <c r="EH117" s="133"/>
      <c r="EI117" s="133"/>
      <c r="EJ117" s="133"/>
      <c r="EK117" s="133"/>
      <c r="EL117" s="133"/>
      <c r="EM117" s="133"/>
      <c r="EN117" s="133"/>
      <c r="EO117" s="133"/>
      <c r="EP117" s="133"/>
      <c r="EQ117" s="133"/>
      <c r="ER117" s="133"/>
      <c r="ES117" s="133"/>
      <c r="ET117" s="133"/>
      <c r="EU117" s="133"/>
      <c r="EV117" s="133"/>
      <c r="EW117" s="133"/>
      <c r="EX117" s="133"/>
      <c r="EY117" s="133"/>
      <c r="EZ117" s="133"/>
      <c r="FA117" s="133"/>
      <c r="FB117" s="133"/>
      <c r="FC117" s="133"/>
      <c r="FD117" s="133"/>
      <c r="FE117" s="133"/>
      <c r="FF117" s="133"/>
      <c r="FG117" s="133"/>
      <c r="FH117" s="133"/>
      <c r="FI117" s="133"/>
      <c r="FJ117" s="133"/>
      <c r="FK117" s="133"/>
      <c r="FL117" s="133"/>
      <c r="FM117" s="133"/>
      <c r="FN117" s="133"/>
      <c r="FO117" s="133"/>
      <c r="FP117" s="133"/>
      <c r="FQ117" s="133"/>
      <c r="FR117" s="133"/>
      <c r="FS117" s="133"/>
      <c r="FT117" s="133"/>
      <c r="FU117" s="133"/>
      <c r="FV117" s="133"/>
      <c r="FW117" s="133"/>
      <c r="FX117" s="133"/>
      <c r="FY117" s="133"/>
      <c r="FZ117" s="133"/>
      <c r="GA117" s="133"/>
      <c r="GB117" s="133"/>
      <c r="GC117" s="133"/>
      <c r="GD117" s="133"/>
      <c r="GE117" s="133"/>
      <c r="GF117" s="133"/>
    </row>
    <row r="118" spans="7:188" x14ac:dyDescent="0.25">
      <c r="G118" s="130"/>
      <c r="H118" s="130"/>
      <c r="CT118" s="133"/>
      <c r="CU118" s="133"/>
      <c r="CV118" s="133"/>
      <c r="CW118" s="133"/>
      <c r="CX118" s="133"/>
      <c r="CY118" s="133"/>
      <c r="CZ118" s="133"/>
      <c r="DA118" s="133"/>
      <c r="DB118" s="133"/>
      <c r="DC118" s="133"/>
      <c r="DD118" s="133"/>
      <c r="DE118" s="133"/>
      <c r="DF118" s="133"/>
      <c r="DG118" s="133"/>
      <c r="DH118" s="133"/>
      <c r="DI118" s="133"/>
      <c r="DJ118" s="133"/>
      <c r="DK118" s="133"/>
      <c r="DL118" s="133"/>
      <c r="DM118" s="133"/>
      <c r="DN118" s="133"/>
      <c r="DO118" s="133"/>
      <c r="DP118" s="133"/>
      <c r="DQ118" s="133"/>
      <c r="DR118" s="133"/>
      <c r="DS118" s="133"/>
      <c r="DT118" s="133"/>
      <c r="DU118" s="133"/>
      <c r="DV118" s="133"/>
      <c r="DW118" s="133"/>
      <c r="DX118" s="134"/>
      <c r="DY118" s="133"/>
      <c r="DZ118" s="133"/>
      <c r="EA118" s="133"/>
      <c r="EB118" s="133"/>
      <c r="EC118" s="133"/>
      <c r="ED118" s="133"/>
      <c r="EE118" s="133"/>
      <c r="EF118" s="133"/>
      <c r="EG118" s="133"/>
      <c r="EH118" s="133"/>
      <c r="EI118" s="133"/>
      <c r="EJ118" s="133"/>
      <c r="EK118" s="133"/>
      <c r="EL118" s="133"/>
      <c r="EM118" s="133"/>
      <c r="EN118" s="133"/>
      <c r="EO118" s="133"/>
      <c r="EP118" s="133"/>
      <c r="EQ118" s="133"/>
      <c r="ER118" s="133"/>
      <c r="ES118" s="133"/>
      <c r="ET118" s="133"/>
      <c r="EU118" s="133"/>
      <c r="EV118" s="133"/>
      <c r="EW118" s="133"/>
      <c r="EX118" s="133"/>
      <c r="EY118" s="133"/>
      <c r="EZ118" s="133"/>
      <c r="FA118" s="133"/>
      <c r="FB118" s="133"/>
      <c r="FC118" s="133"/>
      <c r="FD118" s="133"/>
      <c r="FE118" s="133"/>
      <c r="FF118" s="133"/>
      <c r="FG118" s="133"/>
      <c r="FH118" s="133"/>
      <c r="FI118" s="133"/>
      <c r="FJ118" s="133"/>
      <c r="FK118" s="133"/>
      <c r="FL118" s="133"/>
      <c r="FM118" s="133"/>
      <c r="FN118" s="133"/>
      <c r="FO118" s="133"/>
      <c r="FP118" s="133"/>
      <c r="FQ118" s="133"/>
      <c r="FR118" s="133"/>
      <c r="FS118" s="133"/>
      <c r="FT118" s="133"/>
      <c r="FU118" s="133"/>
      <c r="FV118" s="133"/>
      <c r="FW118" s="133"/>
      <c r="FX118" s="133"/>
      <c r="FY118" s="133"/>
      <c r="FZ118" s="133"/>
      <c r="GA118" s="133"/>
      <c r="GB118" s="133"/>
      <c r="GC118" s="133"/>
      <c r="GD118" s="133"/>
      <c r="GE118" s="133"/>
      <c r="GF118" s="133"/>
    </row>
    <row r="120" spans="7:188" x14ac:dyDescent="0.25">
      <c r="G120" s="130"/>
      <c r="H120" s="130"/>
    </row>
    <row r="121" spans="7:188" x14ac:dyDescent="0.25">
      <c r="G121" s="130"/>
      <c r="H121" s="130"/>
    </row>
    <row r="122" spans="7:188" x14ac:dyDescent="0.25">
      <c r="G122" s="130"/>
    </row>
    <row r="123" spans="7:188" x14ac:dyDescent="0.25">
      <c r="G123" s="130"/>
    </row>
    <row r="124" spans="7:188" x14ac:dyDescent="0.25">
      <c r="G124" s="130"/>
      <c r="H124" s="130"/>
    </row>
    <row r="125" spans="7:188" x14ac:dyDescent="0.25">
      <c r="G125" s="130"/>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63</vt:i4>
      </vt:variant>
      <vt:variant>
        <vt:lpstr>Named Ranges</vt:lpstr>
      </vt:variant>
      <vt:variant>
        <vt:i4>5</vt:i4>
      </vt:variant>
    </vt:vector>
  </HeadingPairs>
  <TitlesOfParts>
    <vt:vector size="68" baseType="lpstr">
      <vt:lpstr>Summary</vt:lpstr>
      <vt:lpstr>Rate History</vt:lpstr>
      <vt:lpstr>FTSE Summary</vt:lpstr>
      <vt:lpstr>Discipline Summary</vt:lpstr>
      <vt:lpstr>Discipline Analysis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2012-11-26T15:57:18Z</dcterms:modified>
</cp:coreProperties>
</file>