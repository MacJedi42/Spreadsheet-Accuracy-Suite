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2120" windowHeight="7425" firstSheet="2" activeTab="5"/>
  </bookViews>
  <sheets>
    <sheet name="Elementary" sheetId="1" r:id="rId1"/>
    <sheet name="ElementaryCharter" sheetId="5" r:id="rId2"/>
    <sheet name="Middle_Jr" sheetId="2" r:id="rId3"/>
    <sheet name="MiddleCharter" sheetId="6" r:id="rId4"/>
    <sheet name="HS" sheetId="3" r:id="rId5"/>
    <sheet name="HSCharter" sheetId="7" r:id="rId6"/>
  </sheets>
  <calcPr calcId="125725"/>
</workbook>
</file>

<file path=xl/calcChain.xml><?xml version="1.0" encoding="utf-8"?>
<calcChain xmlns="http://schemas.openxmlformats.org/spreadsheetml/2006/main">
  <c r="D15" i="7"/>
  <c r="E15"/>
  <c r="F15"/>
  <c r="G15"/>
  <c r="H15"/>
  <c r="I15"/>
  <c r="J15"/>
  <c r="K15"/>
  <c r="L15"/>
  <c r="M15"/>
  <c r="C15"/>
  <c r="D14"/>
  <c r="E14"/>
  <c r="F14"/>
  <c r="G14"/>
  <c r="H14"/>
  <c r="I14"/>
  <c r="J14"/>
  <c r="K14"/>
  <c r="L14"/>
  <c r="M14"/>
  <c r="C14"/>
  <c r="D45" i="3"/>
  <c r="E45"/>
  <c r="F45"/>
  <c r="G45"/>
  <c r="H45"/>
  <c r="I45"/>
  <c r="J45"/>
  <c r="K45"/>
  <c r="L45"/>
  <c r="M45"/>
  <c r="C45"/>
  <c r="M13" i="7"/>
  <c r="M12"/>
  <c r="M11"/>
  <c r="M10"/>
  <c r="M9"/>
  <c r="M8"/>
  <c r="M7"/>
  <c r="M6"/>
  <c r="M5"/>
  <c r="M4"/>
  <c r="D11" i="6"/>
  <c r="E11"/>
  <c r="F11"/>
  <c r="G11"/>
  <c r="H11"/>
  <c r="I11"/>
  <c r="J11"/>
  <c r="K11"/>
  <c r="L11"/>
  <c r="C11"/>
  <c r="D45" i="2" l="1"/>
  <c r="E45"/>
  <c r="F45"/>
  <c r="G45"/>
  <c r="H45"/>
  <c r="I45"/>
  <c r="J45"/>
  <c r="K45"/>
  <c r="L45"/>
  <c r="C45"/>
  <c r="L10" i="6"/>
  <c r="K10"/>
  <c r="J10"/>
  <c r="I10"/>
  <c r="G10"/>
  <c r="F10"/>
  <c r="E10"/>
  <c r="D10"/>
  <c r="C10"/>
  <c r="M10" s="1"/>
  <c r="M9"/>
  <c r="M8"/>
  <c r="M7"/>
  <c r="M6"/>
  <c r="M5"/>
  <c r="M4"/>
  <c r="D27" i="5"/>
  <c r="E27"/>
  <c r="F27"/>
  <c r="G27"/>
  <c r="H27"/>
  <c r="I27"/>
  <c r="J27"/>
  <c r="K27"/>
  <c r="L27"/>
  <c r="C27"/>
  <c r="D26"/>
  <c r="E26"/>
  <c r="F26"/>
  <c r="G26"/>
  <c r="H26"/>
  <c r="I26"/>
  <c r="J26"/>
  <c r="K26"/>
  <c r="L26"/>
  <c r="C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26" s="1"/>
  <c r="M6"/>
  <c r="M5"/>
  <c r="M4"/>
  <c r="D45" i="1"/>
  <c r="E45"/>
  <c r="F45"/>
  <c r="G45"/>
  <c r="H45"/>
  <c r="I45"/>
  <c r="J45"/>
  <c r="K45"/>
  <c r="L45"/>
  <c r="C45"/>
  <c r="M5" l="1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"/>
  <c r="M5" i="2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"/>
  <c r="M5" i="3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"/>
</calcChain>
</file>

<file path=xl/sharedStrings.xml><?xml version="1.0" encoding="utf-8"?>
<sst xmlns="http://schemas.openxmlformats.org/spreadsheetml/2006/main" count="1065" uniqueCount="95">
  <si>
    <t>District</t>
  </si>
  <si>
    <t>Alpine</t>
  </si>
  <si>
    <t>Beaver</t>
  </si>
  <si>
    <t>Box Elder</t>
  </si>
  <si>
    <t>Cache</t>
  </si>
  <si>
    <t>Canyons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</si>
  <si>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</si>
  <si>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</si>
  <si>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</si>
  <si>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</si>
  <si>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</si>
  <si>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</si>
  <si>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</si>
  <si>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</si>
  <si>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</si>
  <si>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</si>
  <si>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</si>
  <si>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</si>
  <si>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</si>
  <si>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</si>
  <si>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</si>
  <si>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</si>
  <si>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</si>
  <si>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</si>
  <si>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</si>
  <si>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</si>
  <si>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</si>
  <si>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</si>
  <si>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</si>
  <si>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</si>
  <si>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Salt Lake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</si>
  <si>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</si>
  <si>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</si>
  <si>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</si>
  <si>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</si>
  <si>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</si>
  <si>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</si>
  <si>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</si>
  <si>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</si>
  <si>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</si>
  <si>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</si>
  <si>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</si>
  <si>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Alcohol</t>
  </si>
  <si>
    <t>Tobacco</t>
  </si>
  <si>
    <t>Other Drugs</t>
  </si>
  <si>
    <t xml:space="preserve">Distribution </t>
  </si>
  <si>
    <t>Assaults</t>
  </si>
  <si>
    <t>Arson</t>
  </si>
  <si>
    <t>Handgun</t>
  </si>
  <si>
    <t>Rifle</t>
  </si>
  <si>
    <t>Other Firearm</t>
  </si>
  <si>
    <t>Other Weapon</t>
  </si>
  <si>
    <t>City Academy</t>
  </si>
  <si>
    <t>Thomas Edison North</t>
  </si>
  <si>
    <t>AMES</t>
  </si>
  <si>
    <t>Legacy Preparatory Academy</t>
  </si>
  <si>
    <t>Tuachahn High for the Performing Arts</t>
  </si>
  <si>
    <t>North Star Academy</t>
  </si>
  <si>
    <t>Monticello Academy</t>
  </si>
  <si>
    <t>Excelsior Academy</t>
  </si>
  <si>
    <t>East Hollywood High</t>
  </si>
  <si>
    <t>Walden School of Liberal Arts</t>
  </si>
  <si>
    <t>Fast Forward High</t>
  </si>
  <si>
    <t>Spectrum Academy</t>
  </si>
  <si>
    <t>Dual Immersion Academy</t>
  </si>
  <si>
    <t>Quail Run Primary</t>
  </si>
  <si>
    <t>Odyssey Charter School</t>
  </si>
  <si>
    <t>Oquirrh Mountain Charter</t>
  </si>
  <si>
    <t>Lincoln Academy</t>
  </si>
  <si>
    <t>Entheos Academy</t>
  </si>
  <si>
    <t>Maria Montessori</t>
  </si>
  <si>
    <t>American Leadership Academy</t>
  </si>
  <si>
    <t>Good Foundations Academy</t>
  </si>
  <si>
    <t>Davinci Academy</t>
  </si>
  <si>
    <t>Pinnacle Canyon Academy</t>
  </si>
  <si>
    <t>Quest Academy</t>
  </si>
  <si>
    <t>Syracuse Arts Academy</t>
  </si>
  <si>
    <t>Early Light Academy at Daybreak</t>
  </si>
  <si>
    <t>Uintah River High</t>
  </si>
  <si>
    <t>Totals</t>
  </si>
  <si>
    <t xml:space="preserve">Totals </t>
  </si>
  <si>
    <t xml:space="preserve"> -</t>
  </si>
  <si>
    <t>District Total</t>
  </si>
  <si>
    <t>Elementary</t>
  </si>
  <si>
    <t>Charter</t>
  </si>
  <si>
    <t>Grand Total</t>
  </si>
  <si>
    <t>Charter School Total</t>
  </si>
  <si>
    <t>Middle</t>
  </si>
  <si>
    <t>Charter School Total:</t>
  </si>
  <si>
    <t>Grand Total:</t>
  </si>
  <si>
    <t xml:space="preserve">Charter  </t>
  </si>
  <si>
    <t>High</t>
  </si>
  <si>
    <t>Charter Total</t>
  </si>
  <si>
    <t>Karl G. Maeser Preparatory Academy</t>
  </si>
  <si>
    <t>Thomas Edison--North</t>
  </si>
</sst>
</file>

<file path=xl/styles.xml><?xml version="1.0" encoding="utf-8"?>
<styleSheet xmlns="http://schemas.openxmlformats.org/spreadsheetml/2006/main">
  <numFmts count="1">
    <numFmt numFmtId="164" formatCode="#,##0.0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/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1" xfId="0" applyBorder="1"/>
    <xf numFmtId="0" fontId="5" fillId="2" borderId="5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3" fontId="5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9" fontId="4" fillId="0" borderId="5" xfId="0" applyNumberFormat="1" applyFont="1" applyFill="1" applyBorder="1" applyAlignment="1">
      <alignment horizontal="left" wrapText="1" indent="1"/>
    </xf>
    <xf numFmtId="0" fontId="4" fillId="0" borderId="5" xfId="0" applyFont="1" applyBorder="1" applyAlignment="1">
      <alignment horizontal="left" wrapText="1" indent="1"/>
    </xf>
    <xf numFmtId="49" fontId="4" fillId="0" borderId="8" xfId="0" applyNumberFormat="1" applyFont="1" applyFill="1" applyBorder="1" applyAlignment="1">
      <alignment horizontal="left" wrapText="1" indent="1"/>
    </xf>
    <xf numFmtId="0" fontId="4" fillId="0" borderId="8" xfId="0" applyFont="1" applyBorder="1" applyAlignment="1">
      <alignment horizontal="left" wrapText="1" indent="1"/>
    </xf>
    <xf numFmtId="0" fontId="4" fillId="0" borderId="10" xfId="0" applyFont="1" applyBorder="1" applyAlignment="1">
      <alignment horizontal="left" wrapText="1" indent="1"/>
    </xf>
    <xf numFmtId="0" fontId="5" fillId="2" borderId="18" xfId="0" applyFont="1" applyFill="1" applyBorder="1" applyAlignment="1">
      <alignment horizontal="left" wrapText="1"/>
    </xf>
    <xf numFmtId="0" fontId="5" fillId="3" borderId="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left" vertical="center" wrapText="1" indent="1"/>
    </xf>
    <xf numFmtId="164" fontId="3" fillId="0" borderId="5" xfId="0" applyNumberFormat="1" applyFont="1" applyBorder="1" applyAlignment="1">
      <alignment horizontal="left" vertical="center" wrapText="1" indent="1"/>
    </xf>
    <xf numFmtId="164" fontId="3" fillId="0" borderId="8" xfId="0" applyNumberFormat="1" applyFont="1" applyBorder="1" applyAlignment="1">
      <alignment horizontal="left" vertical="center" wrapText="1" indent="1"/>
    </xf>
    <xf numFmtId="0" fontId="1" fillId="3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4" fillId="0" borderId="0" xfId="0" applyFont="1"/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left" vertical="center" wrapText="1" indent="1"/>
    </xf>
    <xf numFmtId="3" fontId="5" fillId="2" borderId="3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6" xfId="0" applyFont="1" applyBorder="1" applyAlignment="1">
      <alignment vertical="center" wrapText="1"/>
    </xf>
    <xf numFmtId="0" fontId="5" fillId="2" borderId="12" xfId="0" applyFont="1" applyFill="1" applyBorder="1" applyAlignment="1">
      <alignment vertical="center"/>
    </xf>
    <xf numFmtId="49" fontId="4" fillId="0" borderId="35" xfId="0" applyNumberFormat="1" applyFont="1" applyFill="1" applyBorder="1" applyAlignment="1">
      <alignment horizontal="left" vertical="center" wrapText="1" indent="1"/>
    </xf>
    <xf numFmtId="0" fontId="4" fillId="0" borderId="35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wrapText="1" indent="1"/>
    </xf>
    <xf numFmtId="3" fontId="5" fillId="2" borderId="13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/>
    <xf numFmtId="3" fontId="5" fillId="2" borderId="14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left" vertical="center" wrapText="1"/>
    </xf>
    <xf numFmtId="164" fontId="3" fillId="0" borderId="36" xfId="0" applyNumberFormat="1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49" fontId="4" fillId="0" borderId="36" xfId="0" applyNumberFormat="1" applyFont="1" applyFill="1" applyBorder="1" applyAlignment="1">
      <alignment horizontal="left" vertical="center" wrapText="1" inden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49" fontId="5" fillId="2" borderId="19" xfId="0" applyNumberFormat="1" applyFont="1" applyFill="1" applyBorder="1" applyAlignment="1">
      <alignment horizontal="left" vertical="center" wrapText="1"/>
    </xf>
    <xf numFmtId="3" fontId="5" fillId="2" borderId="20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showGridLines="0" view="pageLayout" zoomScaleNormal="100" zoomScaleSheetLayoutView="100" workbookViewId="0">
      <selection activeCell="B10" sqref="B10"/>
    </sheetView>
  </sheetViews>
  <sheetFormatPr defaultRowHeight="15"/>
  <cols>
    <col min="1" max="1" width="12.7109375" style="1" customWidth="1"/>
    <col min="2" max="2" width="17.140625" customWidth="1"/>
    <col min="3" max="3" width="6.5703125" bestFit="1" customWidth="1"/>
    <col min="4" max="4" width="7.5703125" bestFit="1" customWidth="1"/>
    <col min="5" max="5" width="10.7109375" customWidth="1"/>
    <col min="6" max="6" width="10.42578125" bestFit="1" customWidth="1"/>
    <col min="7" max="7" width="7.28515625" bestFit="1" customWidth="1"/>
    <col min="8" max="8" width="5.28515625" bestFit="1" customWidth="1"/>
    <col min="9" max="9" width="7.85546875" bestFit="1" customWidth="1"/>
    <col min="10" max="10" width="4.28515625" bestFit="1" customWidth="1"/>
    <col min="11" max="11" width="11.85546875" bestFit="1" customWidth="1"/>
    <col min="12" max="12" width="12.140625" customWidth="1"/>
    <col min="13" max="13" width="7.7109375" customWidth="1"/>
  </cols>
  <sheetData>
    <row r="1" spans="1:13" s="1" customFormat="1" ht="11.45" customHeight="1" thickBot="1">
      <c r="B1" s="93" t="s">
        <v>83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2" customHeight="1" thickBot="1">
      <c r="B2" s="24"/>
      <c r="C2" s="25" t="s">
        <v>42</v>
      </c>
      <c r="D2" s="25" t="s">
        <v>43</v>
      </c>
      <c r="E2" s="26" t="s">
        <v>44</v>
      </c>
      <c r="F2" s="25" t="s">
        <v>45</v>
      </c>
      <c r="G2" s="25" t="s">
        <v>46</v>
      </c>
      <c r="H2" s="25" t="s">
        <v>47</v>
      </c>
      <c r="I2" s="25" t="s">
        <v>48</v>
      </c>
      <c r="J2" s="25" t="s">
        <v>49</v>
      </c>
      <c r="K2" s="26" t="s">
        <v>50</v>
      </c>
      <c r="L2" s="26" t="s">
        <v>51</v>
      </c>
      <c r="M2" s="27" t="s">
        <v>80</v>
      </c>
    </row>
    <row r="3" spans="1:13" s="1" customFormat="1" ht="10.9" customHeight="1">
      <c r="A3" s="9"/>
      <c r="B3" s="23" t="s">
        <v>0</v>
      </c>
      <c r="C3" s="32"/>
      <c r="D3" s="32"/>
      <c r="E3" s="33"/>
      <c r="F3" s="34"/>
      <c r="G3" s="32"/>
      <c r="H3" s="32"/>
      <c r="I3" s="32"/>
      <c r="J3" s="32"/>
      <c r="K3" s="33"/>
      <c r="L3" s="33"/>
      <c r="M3" s="35"/>
    </row>
    <row r="4" spans="1:13" ht="11.45" customHeight="1">
      <c r="A4" s="9"/>
      <c r="B4" s="29" t="s">
        <v>1</v>
      </c>
      <c r="C4" s="2" t="s">
        <v>81</v>
      </c>
      <c r="D4" s="2" t="s">
        <v>81</v>
      </c>
      <c r="E4" s="2">
        <v>3</v>
      </c>
      <c r="F4" s="2" t="s">
        <v>81</v>
      </c>
      <c r="G4" s="2">
        <v>6</v>
      </c>
      <c r="H4" s="2" t="s">
        <v>81</v>
      </c>
      <c r="I4" s="2" t="s">
        <v>81</v>
      </c>
      <c r="J4" s="2" t="s">
        <v>81</v>
      </c>
      <c r="K4" s="2" t="s">
        <v>81</v>
      </c>
      <c r="L4" s="2">
        <v>3</v>
      </c>
      <c r="M4" s="15">
        <f t="shared" ref="M4:M44" si="0">SUM(C4:L4)</f>
        <v>12</v>
      </c>
    </row>
    <row r="5" spans="1:13" ht="11.45" customHeight="1">
      <c r="A5" s="9"/>
      <c r="B5" s="30" t="s">
        <v>2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2" t="s">
        <v>81</v>
      </c>
      <c r="M5" s="15">
        <f t="shared" si="0"/>
        <v>0</v>
      </c>
    </row>
    <row r="6" spans="1:13" ht="11.45" customHeight="1">
      <c r="A6" s="9"/>
      <c r="B6" s="30" t="s">
        <v>3</v>
      </c>
      <c r="C6" s="2" t="s">
        <v>81</v>
      </c>
      <c r="D6" s="2" t="s">
        <v>81</v>
      </c>
      <c r="E6" s="2" t="s">
        <v>81</v>
      </c>
      <c r="F6" s="2" t="s">
        <v>81</v>
      </c>
      <c r="G6" s="2">
        <v>7</v>
      </c>
      <c r="H6" s="2" t="s">
        <v>81</v>
      </c>
      <c r="I6" s="2" t="s">
        <v>81</v>
      </c>
      <c r="J6" s="2" t="s">
        <v>81</v>
      </c>
      <c r="K6" s="2" t="s">
        <v>81</v>
      </c>
      <c r="L6" s="2">
        <v>1</v>
      </c>
      <c r="M6" s="15">
        <f t="shared" si="0"/>
        <v>8</v>
      </c>
    </row>
    <row r="7" spans="1:13" ht="11.45" customHeight="1">
      <c r="A7" s="9"/>
      <c r="B7" s="30" t="s">
        <v>4</v>
      </c>
      <c r="C7" s="2" t="s">
        <v>81</v>
      </c>
      <c r="D7" s="2" t="s">
        <v>81</v>
      </c>
      <c r="E7" s="2" t="s">
        <v>81</v>
      </c>
      <c r="F7" s="2" t="s">
        <v>81</v>
      </c>
      <c r="G7" s="2">
        <v>40</v>
      </c>
      <c r="H7" s="2" t="s">
        <v>81</v>
      </c>
      <c r="I7" s="2">
        <v>1</v>
      </c>
      <c r="J7" s="2" t="s">
        <v>81</v>
      </c>
      <c r="K7" s="2" t="s">
        <v>81</v>
      </c>
      <c r="L7" s="2" t="s">
        <v>81</v>
      </c>
      <c r="M7" s="15">
        <f t="shared" si="0"/>
        <v>41</v>
      </c>
    </row>
    <row r="8" spans="1:13" ht="11.45" customHeight="1">
      <c r="A8" s="9"/>
      <c r="B8" s="31" t="s">
        <v>5</v>
      </c>
      <c r="C8" s="3" t="s">
        <v>81</v>
      </c>
      <c r="D8" s="3">
        <v>2</v>
      </c>
      <c r="E8" s="3">
        <v>12</v>
      </c>
      <c r="F8" s="3" t="s">
        <v>81</v>
      </c>
      <c r="G8" s="3">
        <v>44</v>
      </c>
      <c r="H8" s="3">
        <v>2</v>
      </c>
      <c r="I8" s="3" t="s">
        <v>81</v>
      </c>
      <c r="J8" s="3" t="s">
        <v>81</v>
      </c>
      <c r="K8" s="3">
        <v>3</v>
      </c>
      <c r="L8" s="3">
        <v>39</v>
      </c>
      <c r="M8" s="16">
        <f t="shared" si="0"/>
        <v>102</v>
      </c>
    </row>
    <row r="9" spans="1:13" ht="11.45" customHeight="1">
      <c r="A9" s="9"/>
      <c r="B9" s="30" t="s">
        <v>6</v>
      </c>
      <c r="C9" s="2" t="s">
        <v>81</v>
      </c>
      <c r="D9" s="2" t="s">
        <v>81</v>
      </c>
      <c r="E9" s="2">
        <v>1</v>
      </c>
      <c r="F9" s="2" t="s">
        <v>81</v>
      </c>
      <c r="G9" s="2" t="s">
        <v>81</v>
      </c>
      <c r="H9" s="2" t="s">
        <v>81</v>
      </c>
      <c r="I9" s="2" t="s">
        <v>81</v>
      </c>
      <c r="J9" s="2" t="s">
        <v>81</v>
      </c>
      <c r="K9" s="2" t="s">
        <v>81</v>
      </c>
      <c r="L9" s="2" t="s">
        <v>81</v>
      </c>
      <c r="M9" s="15">
        <f t="shared" si="0"/>
        <v>1</v>
      </c>
    </row>
    <row r="10" spans="1:13" ht="11.45" customHeight="1">
      <c r="A10" s="9"/>
      <c r="B10" s="30" t="s">
        <v>7</v>
      </c>
      <c r="C10" s="2" t="s">
        <v>81</v>
      </c>
      <c r="D10" s="2" t="s">
        <v>81</v>
      </c>
      <c r="E10" s="2" t="s">
        <v>81</v>
      </c>
      <c r="F10" s="2" t="s">
        <v>81</v>
      </c>
      <c r="G10" s="2" t="s">
        <v>81</v>
      </c>
      <c r="H10" s="2" t="s">
        <v>81</v>
      </c>
      <c r="I10" s="2" t="s">
        <v>81</v>
      </c>
      <c r="J10" s="2" t="s">
        <v>81</v>
      </c>
      <c r="K10" s="2" t="s">
        <v>81</v>
      </c>
      <c r="L10" s="2" t="s">
        <v>81</v>
      </c>
      <c r="M10" s="15">
        <f t="shared" si="0"/>
        <v>0</v>
      </c>
    </row>
    <row r="11" spans="1:13" ht="11.45" customHeight="1">
      <c r="A11" s="9"/>
      <c r="B11" s="30" t="s">
        <v>8</v>
      </c>
      <c r="C11" s="2">
        <v>2</v>
      </c>
      <c r="D11" s="2">
        <v>2</v>
      </c>
      <c r="E11" s="2">
        <v>2</v>
      </c>
      <c r="F11" s="2" t="s">
        <v>81</v>
      </c>
      <c r="G11" s="2">
        <v>259</v>
      </c>
      <c r="H11" s="2" t="s">
        <v>81</v>
      </c>
      <c r="I11" s="2">
        <v>1</v>
      </c>
      <c r="J11" s="2" t="s">
        <v>81</v>
      </c>
      <c r="K11" s="2" t="s">
        <v>81</v>
      </c>
      <c r="L11" s="2">
        <v>65</v>
      </c>
      <c r="M11" s="15">
        <f t="shared" si="0"/>
        <v>331</v>
      </c>
    </row>
    <row r="12" spans="1:13" ht="11.45" customHeight="1">
      <c r="A12" s="9"/>
      <c r="B12" s="30" t="s">
        <v>9</v>
      </c>
      <c r="C12" s="2" t="s">
        <v>81</v>
      </c>
      <c r="D12" s="2" t="s">
        <v>81</v>
      </c>
      <c r="E12" s="2" t="s">
        <v>81</v>
      </c>
      <c r="F12" s="2" t="s">
        <v>81</v>
      </c>
      <c r="G12" s="2">
        <v>7</v>
      </c>
      <c r="H12" s="2" t="s">
        <v>81</v>
      </c>
      <c r="I12" s="2" t="s">
        <v>81</v>
      </c>
      <c r="J12" s="2" t="s">
        <v>81</v>
      </c>
      <c r="K12" s="2" t="s">
        <v>81</v>
      </c>
      <c r="L12" s="2" t="s">
        <v>81</v>
      </c>
      <c r="M12" s="15">
        <f t="shared" si="0"/>
        <v>7</v>
      </c>
    </row>
    <row r="13" spans="1:13" ht="11.45" customHeight="1">
      <c r="A13" s="9"/>
      <c r="B13" s="31" t="s">
        <v>10</v>
      </c>
      <c r="C13" s="3" t="s">
        <v>81</v>
      </c>
      <c r="D13" s="3" t="s">
        <v>81</v>
      </c>
      <c r="E13" s="3" t="s">
        <v>81</v>
      </c>
      <c r="F13" s="3" t="s">
        <v>81</v>
      </c>
      <c r="G13" s="3" t="s">
        <v>81</v>
      </c>
      <c r="H13" s="3" t="s">
        <v>81</v>
      </c>
      <c r="I13" s="3" t="s">
        <v>81</v>
      </c>
      <c r="J13" s="3" t="s">
        <v>81</v>
      </c>
      <c r="K13" s="3" t="s">
        <v>81</v>
      </c>
      <c r="L13" s="3" t="s">
        <v>81</v>
      </c>
      <c r="M13" s="16">
        <f t="shared" si="0"/>
        <v>0</v>
      </c>
    </row>
    <row r="14" spans="1:13" ht="11.45" customHeight="1">
      <c r="A14" s="9"/>
      <c r="B14" s="30" t="s">
        <v>11</v>
      </c>
      <c r="C14" s="2" t="s">
        <v>81</v>
      </c>
      <c r="D14" s="2" t="s">
        <v>81</v>
      </c>
      <c r="E14" s="2" t="s">
        <v>81</v>
      </c>
      <c r="F14" s="2" t="s">
        <v>81</v>
      </c>
      <c r="G14" s="2">
        <v>2</v>
      </c>
      <c r="H14" s="2" t="s">
        <v>81</v>
      </c>
      <c r="I14" s="2" t="s">
        <v>81</v>
      </c>
      <c r="J14" s="2" t="s">
        <v>81</v>
      </c>
      <c r="K14" s="2" t="s">
        <v>81</v>
      </c>
      <c r="L14" s="2" t="s">
        <v>81</v>
      </c>
      <c r="M14" s="15">
        <f t="shared" si="0"/>
        <v>2</v>
      </c>
    </row>
    <row r="15" spans="1:13" ht="11.45" customHeight="1">
      <c r="A15" s="9"/>
      <c r="B15" s="30" t="s">
        <v>12</v>
      </c>
      <c r="C15" s="2" t="s">
        <v>81</v>
      </c>
      <c r="D15" s="2" t="s">
        <v>81</v>
      </c>
      <c r="E15" s="2" t="s">
        <v>81</v>
      </c>
      <c r="F15" s="2" t="s">
        <v>81</v>
      </c>
      <c r="G15" s="2">
        <v>1</v>
      </c>
      <c r="H15" s="2" t="s">
        <v>81</v>
      </c>
      <c r="I15" s="2" t="s">
        <v>81</v>
      </c>
      <c r="J15" s="2" t="s">
        <v>81</v>
      </c>
      <c r="K15" s="2" t="s">
        <v>81</v>
      </c>
      <c r="L15" s="2">
        <v>5</v>
      </c>
      <c r="M15" s="15">
        <f t="shared" si="0"/>
        <v>6</v>
      </c>
    </row>
    <row r="16" spans="1:13" ht="11.45" customHeight="1">
      <c r="A16" s="9"/>
      <c r="B16" s="30" t="s">
        <v>13</v>
      </c>
      <c r="C16" s="2" t="s">
        <v>81</v>
      </c>
      <c r="D16" s="2">
        <v>5</v>
      </c>
      <c r="E16" s="2">
        <v>18</v>
      </c>
      <c r="F16" s="2">
        <v>6</v>
      </c>
      <c r="G16" s="2">
        <v>121</v>
      </c>
      <c r="H16" s="2" t="s">
        <v>81</v>
      </c>
      <c r="I16" s="2" t="s">
        <v>81</v>
      </c>
      <c r="J16" s="2" t="s">
        <v>81</v>
      </c>
      <c r="K16" s="2" t="s">
        <v>81</v>
      </c>
      <c r="L16" s="2">
        <v>31</v>
      </c>
      <c r="M16" s="15">
        <f t="shared" si="0"/>
        <v>181</v>
      </c>
    </row>
    <row r="17" spans="1:13" ht="11.45" customHeight="1">
      <c r="A17" s="9"/>
      <c r="B17" s="30" t="s">
        <v>14</v>
      </c>
      <c r="C17" s="2" t="s">
        <v>81</v>
      </c>
      <c r="D17" s="2" t="s">
        <v>81</v>
      </c>
      <c r="E17" s="2" t="s">
        <v>81</v>
      </c>
      <c r="F17" s="2" t="s">
        <v>81</v>
      </c>
      <c r="G17" s="2" t="s">
        <v>81</v>
      </c>
      <c r="H17" s="2" t="s">
        <v>81</v>
      </c>
      <c r="I17" s="2" t="s">
        <v>81</v>
      </c>
      <c r="J17" s="2" t="s">
        <v>81</v>
      </c>
      <c r="K17" s="2" t="s">
        <v>81</v>
      </c>
      <c r="L17" s="2" t="s">
        <v>81</v>
      </c>
      <c r="M17" s="15">
        <f t="shared" si="0"/>
        <v>0</v>
      </c>
    </row>
    <row r="18" spans="1:13" ht="11.45" customHeight="1">
      <c r="A18" s="9"/>
      <c r="B18" s="31" t="s">
        <v>15</v>
      </c>
      <c r="C18" s="3" t="s">
        <v>81</v>
      </c>
      <c r="D18" s="3" t="s">
        <v>81</v>
      </c>
      <c r="E18" s="3" t="s">
        <v>81</v>
      </c>
      <c r="F18" s="3" t="s">
        <v>81</v>
      </c>
      <c r="G18" s="3">
        <v>159</v>
      </c>
      <c r="H18" s="3">
        <v>1</v>
      </c>
      <c r="I18" s="3">
        <v>1</v>
      </c>
      <c r="J18" s="3" t="s">
        <v>81</v>
      </c>
      <c r="K18" s="3" t="s">
        <v>81</v>
      </c>
      <c r="L18" s="3">
        <v>33</v>
      </c>
      <c r="M18" s="16">
        <f t="shared" si="0"/>
        <v>194</v>
      </c>
    </row>
    <row r="19" spans="1:13" ht="11.45" customHeight="1">
      <c r="A19" s="9"/>
      <c r="B19" s="30" t="s">
        <v>16</v>
      </c>
      <c r="C19" s="2" t="s">
        <v>81</v>
      </c>
      <c r="D19" s="2" t="s">
        <v>81</v>
      </c>
      <c r="E19" s="2" t="s">
        <v>81</v>
      </c>
      <c r="F19" s="2" t="s">
        <v>81</v>
      </c>
      <c r="G19" s="2" t="s">
        <v>81</v>
      </c>
      <c r="H19" s="2" t="s">
        <v>81</v>
      </c>
      <c r="I19" s="2" t="s">
        <v>81</v>
      </c>
      <c r="J19" s="2" t="s">
        <v>81</v>
      </c>
      <c r="K19" s="2" t="s">
        <v>81</v>
      </c>
      <c r="L19" s="2" t="s">
        <v>81</v>
      </c>
      <c r="M19" s="15">
        <f t="shared" si="0"/>
        <v>0</v>
      </c>
    </row>
    <row r="20" spans="1:13" ht="11.45" customHeight="1">
      <c r="A20" s="9"/>
      <c r="B20" s="30" t="s">
        <v>17</v>
      </c>
      <c r="C20" s="2" t="s">
        <v>81</v>
      </c>
      <c r="D20" s="2" t="s">
        <v>81</v>
      </c>
      <c r="E20" s="2" t="s">
        <v>81</v>
      </c>
      <c r="F20" s="2" t="s">
        <v>81</v>
      </c>
      <c r="G20" s="2">
        <v>1</v>
      </c>
      <c r="H20" s="2" t="s">
        <v>81</v>
      </c>
      <c r="I20" s="2" t="s">
        <v>81</v>
      </c>
      <c r="J20" s="2" t="s">
        <v>81</v>
      </c>
      <c r="K20" s="2" t="s">
        <v>81</v>
      </c>
      <c r="L20" s="2" t="s">
        <v>81</v>
      </c>
      <c r="M20" s="15">
        <f t="shared" si="0"/>
        <v>1</v>
      </c>
    </row>
    <row r="21" spans="1:13" ht="11.45" customHeight="1">
      <c r="A21" s="9"/>
      <c r="B21" s="30" t="s">
        <v>18</v>
      </c>
      <c r="C21" s="2" t="s">
        <v>81</v>
      </c>
      <c r="D21" s="2" t="s">
        <v>81</v>
      </c>
      <c r="E21" s="2" t="s">
        <v>81</v>
      </c>
      <c r="F21" s="2" t="s">
        <v>81</v>
      </c>
      <c r="G21" s="2">
        <v>4</v>
      </c>
      <c r="H21" s="2" t="s">
        <v>81</v>
      </c>
      <c r="I21" s="2" t="s">
        <v>81</v>
      </c>
      <c r="J21" s="2" t="s">
        <v>81</v>
      </c>
      <c r="K21" s="2" t="s">
        <v>81</v>
      </c>
      <c r="L21" s="2">
        <v>1</v>
      </c>
      <c r="M21" s="15">
        <f t="shared" si="0"/>
        <v>5</v>
      </c>
    </row>
    <row r="22" spans="1:13" ht="11.45" customHeight="1">
      <c r="A22" s="9"/>
      <c r="B22" s="30" t="s">
        <v>19</v>
      </c>
      <c r="C22" s="2" t="s">
        <v>81</v>
      </c>
      <c r="D22" s="2" t="s">
        <v>81</v>
      </c>
      <c r="E22" s="2" t="s">
        <v>81</v>
      </c>
      <c r="F22" s="2" t="s">
        <v>81</v>
      </c>
      <c r="G22" s="2">
        <v>6</v>
      </c>
      <c r="H22" s="2" t="s">
        <v>81</v>
      </c>
      <c r="I22" s="2" t="s">
        <v>81</v>
      </c>
      <c r="J22" s="2" t="s">
        <v>81</v>
      </c>
      <c r="K22" s="2" t="s">
        <v>81</v>
      </c>
      <c r="L22" s="2" t="s">
        <v>81</v>
      </c>
      <c r="M22" s="15">
        <f t="shared" si="0"/>
        <v>6</v>
      </c>
    </row>
    <row r="23" spans="1:13" ht="11.45" customHeight="1">
      <c r="A23" s="9"/>
      <c r="B23" s="31" t="s">
        <v>20</v>
      </c>
      <c r="C23" s="3" t="s">
        <v>81</v>
      </c>
      <c r="D23" s="3" t="s">
        <v>81</v>
      </c>
      <c r="E23" s="3" t="s">
        <v>81</v>
      </c>
      <c r="F23" s="3" t="s">
        <v>81</v>
      </c>
      <c r="G23" s="3" t="s">
        <v>81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16">
        <f t="shared" si="0"/>
        <v>0</v>
      </c>
    </row>
    <row r="24" spans="1:13" ht="11.45" customHeight="1">
      <c r="A24" s="9"/>
      <c r="B24" s="30" t="s">
        <v>21</v>
      </c>
      <c r="C24" s="2" t="s">
        <v>81</v>
      </c>
      <c r="D24" s="2" t="s">
        <v>81</v>
      </c>
      <c r="E24" s="2">
        <v>1</v>
      </c>
      <c r="F24" s="2" t="s">
        <v>81</v>
      </c>
      <c r="G24" s="2">
        <v>1</v>
      </c>
      <c r="H24" s="2" t="s">
        <v>81</v>
      </c>
      <c r="I24" s="2" t="s">
        <v>81</v>
      </c>
      <c r="J24" s="2" t="s">
        <v>81</v>
      </c>
      <c r="K24" s="2" t="s">
        <v>81</v>
      </c>
      <c r="L24" s="2">
        <v>1</v>
      </c>
      <c r="M24" s="15">
        <f t="shared" si="0"/>
        <v>3</v>
      </c>
    </row>
    <row r="25" spans="1:13" ht="11.45" customHeight="1">
      <c r="A25" s="9"/>
      <c r="B25" s="30" t="s">
        <v>22</v>
      </c>
      <c r="C25" s="2" t="s">
        <v>81</v>
      </c>
      <c r="D25" s="2" t="s">
        <v>81</v>
      </c>
      <c r="E25" s="2" t="s">
        <v>81</v>
      </c>
      <c r="F25" s="2" t="s">
        <v>81</v>
      </c>
      <c r="G25" s="2">
        <v>22</v>
      </c>
      <c r="H25" s="2" t="s">
        <v>81</v>
      </c>
      <c r="I25" s="2" t="s">
        <v>81</v>
      </c>
      <c r="J25" s="2" t="s">
        <v>81</v>
      </c>
      <c r="K25" s="2" t="s">
        <v>81</v>
      </c>
      <c r="L25" s="2">
        <v>3</v>
      </c>
      <c r="M25" s="15">
        <f t="shared" si="0"/>
        <v>25</v>
      </c>
    </row>
    <row r="26" spans="1:13" ht="11.45" customHeight="1">
      <c r="A26" s="9"/>
      <c r="B26" s="30" t="s">
        <v>23</v>
      </c>
      <c r="C26" s="2" t="s">
        <v>81</v>
      </c>
      <c r="D26" s="2" t="s">
        <v>81</v>
      </c>
      <c r="E26" s="2" t="s">
        <v>81</v>
      </c>
      <c r="F26" s="2" t="s">
        <v>81</v>
      </c>
      <c r="G26" s="2" t="s">
        <v>81</v>
      </c>
      <c r="H26" s="2" t="s">
        <v>81</v>
      </c>
      <c r="I26" s="2" t="s">
        <v>81</v>
      </c>
      <c r="J26" s="2" t="s">
        <v>81</v>
      </c>
      <c r="K26" s="2" t="s">
        <v>81</v>
      </c>
      <c r="L26" s="2" t="s">
        <v>81</v>
      </c>
      <c r="M26" s="15">
        <f t="shared" si="0"/>
        <v>0</v>
      </c>
    </row>
    <row r="27" spans="1:13" ht="11.45" customHeight="1">
      <c r="A27" s="9"/>
      <c r="B27" s="30" t="s">
        <v>24</v>
      </c>
      <c r="C27" s="2" t="s">
        <v>81</v>
      </c>
      <c r="D27" s="2" t="s">
        <v>81</v>
      </c>
      <c r="E27" s="2" t="s">
        <v>81</v>
      </c>
      <c r="F27" s="2" t="s">
        <v>81</v>
      </c>
      <c r="G27" s="2" t="s">
        <v>81</v>
      </c>
      <c r="H27" s="2" t="s">
        <v>81</v>
      </c>
      <c r="I27" s="2" t="s">
        <v>81</v>
      </c>
      <c r="J27" s="2" t="s">
        <v>81</v>
      </c>
      <c r="K27" s="2" t="s">
        <v>81</v>
      </c>
      <c r="L27" s="2" t="s">
        <v>81</v>
      </c>
      <c r="M27" s="15">
        <f t="shared" si="0"/>
        <v>0</v>
      </c>
    </row>
    <row r="28" spans="1:13" ht="11.45" customHeight="1">
      <c r="A28" s="9"/>
      <c r="B28" s="31" t="s">
        <v>25</v>
      </c>
      <c r="C28" s="3" t="s">
        <v>81</v>
      </c>
      <c r="D28" s="3" t="s">
        <v>81</v>
      </c>
      <c r="E28" s="3" t="s">
        <v>81</v>
      </c>
      <c r="F28" s="3" t="s">
        <v>81</v>
      </c>
      <c r="G28" s="3">
        <v>6</v>
      </c>
      <c r="H28" s="3" t="s">
        <v>81</v>
      </c>
      <c r="I28" s="3" t="s">
        <v>81</v>
      </c>
      <c r="J28" s="3" t="s">
        <v>81</v>
      </c>
      <c r="K28" s="3" t="s">
        <v>81</v>
      </c>
      <c r="L28" s="3">
        <v>5</v>
      </c>
      <c r="M28" s="16">
        <f t="shared" si="0"/>
        <v>11</v>
      </c>
    </row>
    <row r="29" spans="1:13" ht="11.45" customHeight="1">
      <c r="A29" s="9"/>
      <c r="B29" s="30" t="s">
        <v>26</v>
      </c>
      <c r="C29" s="2" t="s">
        <v>81</v>
      </c>
      <c r="D29" s="2" t="s">
        <v>81</v>
      </c>
      <c r="E29" s="2" t="s">
        <v>81</v>
      </c>
      <c r="F29" s="2" t="s">
        <v>81</v>
      </c>
      <c r="G29" s="2" t="s">
        <v>81</v>
      </c>
      <c r="H29" s="2" t="s">
        <v>81</v>
      </c>
      <c r="I29" s="2" t="s">
        <v>81</v>
      </c>
      <c r="J29" s="2" t="s">
        <v>81</v>
      </c>
      <c r="K29" s="2" t="s">
        <v>81</v>
      </c>
      <c r="L29" s="2">
        <v>2</v>
      </c>
      <c r="M29" s="15">
        <f t="shared" si="0"/>
        <v>2</v>
      </c>
    </row>
    <row r="30" spans="1:13" ht="11.45" customHeight="1">
      <c r="A30" s="9"/>
      <c r="B30" s="30" t="s">
        <v>27</v>
      </c>
      <c r="C30" s="2" t="s">
        <v>81</v>
      </c>
      <c r="D30" s="2" t="s">
        <v>81</v>
      </c>
      <c r="E30" s="2" t="s">
        <v>81</v>
      </c>
      <c r="F30" s="2" t="s">
        <v>81</v>
      </c>
      <c r="G30" s="2" t="s">
        <v>81</v>
      </c>
      <c r="H30" s="2" t="s">
        <v>81</v>
      </c>
      <c r="I30" s="2" t="s">
        <v>81</v>
      </c>
      <c r="J30" s="2" t="s">
        <v>81</v>
      </c>
      <c r="K30" s="2" t="s">
        <v>81</v>
      </c>
      <c r="L30" s="2" t="s">
        <v>81</v>
      </c>
      <c r="M30" s="15">
        <f t="shared" si="0"/>
        <v>0</v>
      </c>
    </row>
    <row r="31" spans="1:13" ht="11.45" customHeight="1">
      <c r="A31" s="9"/>
      <c r="B31" s="30" t="s">
        <v>28</v>
      </c>
      <c r="C31" s="2" t="s">
        <v>81</v>
      </c>
      <c r="D31" s="2" t="s">
        <v>81</v>
      </c>
      <c r="E31" s="2" t="s">
        <v>81</v>
      </c>
      <c r="F31" s="2" t="s">
        <v>81</v>
      </c>
      <c r="G31" s="2">
        <v>8</v>
      </c>
      <c r="H31" s="2" t="s">
        <v>81</v>
      </c>
      <c r="I31" s="2" t="s">
        <v>81</v>
      </c>
      <c r="J31" s="2" t="s">
        <v>81</v>
      </c>
      <c r="K31" s="2" t="s">
        <v>81</v>
      </c>
      <c r="L31" s="2">
        <v>1</v>
      </c>
      <c r="M31" s="15">
        <f t="shared" si="0"/>
        <v>9</v>
      </c>
    </row>
    <row r="32" spans="1:13" ht="11.45" customHeight="1">
      <c r="A32" s="9"/>
      <c r="B32" s="30" t="s">
        <v>29</v>
      </c>
      <c r="C32" s="2" t="s">
        <v>81</v>
      </c>
      <c r="D32" s="2" t="s">
        <v>81</v>
      </c>
      <c r="E32" s="2" t="s">
        <v>81</v>
      </c>
      <c r="F32" s="2" t="s">
        <v>81</v>
      </c>
      <c r="G32" s="2" t="s">
        <v>81</v>
      </c>
      <c r="H32" s="2" t="s">
        <v>81</v>
      </c>
      <c r="I32" s="2" t="s">
        <v>81</v>
      </c>
      <c r="J32" s="2" t="s">
        <v>81</v>
      </c>
      <c r="K32" s="2" t="s">
        <v>81</v>
      </c>
      <c r="L32" s="2" t="s">
        <v>81</v>
      </c>
      <c r="M32" s="15">
        <f t="shared" si="0"/>
        <v>0</v>
      </c>
    </row>
    <row r="33" spans="1:13" ht="11.45" customHeight="1">
      <c r="A33" s="9"/>
      <c r="B33" s="31" t="s">
        <v>30</v>
      </c>
      <c r="C33" s="3" t="s">
        <v>81</v>
      </c>
      <c r="D33" s="3">
        <v>3</v>
      </c>
      <c r="E33" s="3">
        <v>2</v>
      </c>
      <c r="F33" s="3" t="s">
        <v>81</v>
      </c>
      <c r="G33" s="3">
        <v>73</v>
      </c>
      <c r="H33" s="3" t="s">
        <v>81</v>
      </c>
      <c r="I33" s="3" t="s">
        <v>81</v>
      </c>
      <c r="J33" s="3">
        <v>2</v>
      </c>
      <c r="K33" s="3">
        <v>5</v>
      </c>
      <c r="L33" s="3">
        <v>33</v>
      </c>
      <c r="M33" s="16">
        <f t="shared" si="0"/>
        <v>118</v>
      </c>
    </row>
    <row r="34" spans="1:13" ht="11.45" customHeight="1">
      <c r="A34" s="9"/>
      <c r="B34" s="30" t="s">
        <v>31</v>
      </c>
      <c r="C34" s="2" t="s">
        <v>81</v>
      </c>
      <c r="D34" s="2" t="s">
        <v>81</v>
      </c>
      <c r="E34" s="2" t="s">
        <v>81</v>
      </c>
      <c r="F34" s="2" t="s">
        <v>81</v>
      </c>
      <c r="G34" s="2">
        <v>2</v>
      </c>
      <c r="H34" s="2" t="s">
        <v>81</v>
      </c>
      <c r="I34" s="2" t="s">
        <v>81</v>
      </c>
      <c r="J34" s="2" t="s">
        <v>81</v>
      </c>
      <c r="K34" s="2" t="s">
        <v>81</v>
      </c>
      <c r="L34" s="2">
        <v>1</v>
      </c>
      <c r="M34" s="15">
        <f t="shared" si="0"/>
        <v>3</v>
      </c>
    </row>
    <row r="35" spans="1:13" ht="11.45" customHeight="1">
      <c r="A35" s="9"/>
      <c r="B35" s="30" t="s">
        <v>32</v>
      </c>
      <c r="C35" s="2" t="s">
        <v>81</v>
      </c>
      <c r="D35" s="2" t="s">
        <v>81</v>
      </c>
      <c r="E35" s="2" t="s">
        <v>81</v>
      </c>
      <c r="F35" s="2" t="s">
        <v>81</v>
      </c>
      <c r="G35" s="2" t="s">
        <v>81</v>
      </c>
      <c r="H35" s="2" t="s">
        <v>81</v>
      </c>
      <c r="I35" s="2" t="s">
        <v>81</v>
      </c>
      <c r="J35" s="2" t="s">
        <v>81</v>
      </c>
      <c r="K35" s="2" t="s">
        <v>81</v>
      </c>
      <c r="L35" s="2" t="s">
        <v>81</v>
      </c>
      <c r="M35" s="15">
        <f t="shared" si="0"/>
        <v>0</v>
      </c>
    </row>
    <row r="36" spans="1:13" ht="11.45" customHeight="1">
      <c r="A36" s="9"/>
      <c r="B36" s="30" t="s">
        <v>33</v>
      </c>
      <c r="C36" s="2" t="s">
        <v>81</v>
      </c>
      <c r="D36" s="2" t="s">
        <v>81</v>
      </c>
      <c r="E36" s="2" t="s">
        <v>81</v>
      </c>
      <c r="F36" s="2" t="s">
        <v>81</v>
      </c>
      <c r="G36" s="2" t="s">
        <v>81</v>
      </c>
      <c r="H36" s="2">
        <v>2</v>
      </c>
      <c r="I36" s="2" t="s">
        <v>81</v>
      </c>
      <c r="J36" s="2" t="s">
        <v>81</v>
      </c>
      <c r="K36" s="2" t="s">
        <v>81</v>
      </c>
      <c r="L36" s="2" t="s">
        <v>81</v>
      </c>
      <c r="M36" s="15">
        <f t="shared" si="0"/>
        <v>2</v>
      </c>
    </row>
    <row r="37" spans="1:13" ht="11.45" customHeight="1">
      <c r="A37" s="9"/>
      <c r="B37" s="30" t="s">
        <v>34</v>
      </c>
      <c r="C37" s="2" t="s">
        <v>81</v>
      </c>
      <c r="D37" s="2" t="s">
        <v>81</v>
      </c>
      <c r="E37" s="2" t="s">
        <v>81</v>
      </c>
      <c r="F37" s="2" t="s">
        <v>81</v>
      </c>
      <c r="G37" s="2" t="s">
        <v>81</v>
      </c>
      <c r="H37" s="2" t="s">
        <v>81</v>
      </c>
      <c r="I37" s="2" t="s">
        <v>81</v>
      </c>
      <c r="J37" s="2" t="s">
        <v>81</v>
      </c>
      <c r="K37" s="2" t="s">
        <v>81</v>
      </c>
      <c r="L37" s="2" t="s">
        <v>81</v>
      </c>
      <c r="M37" s="15">
        <f t="shared" si="0"/>
        <v>0</v>
      </c>
    </row>
    <row r="38" spans="1:13" ht="11.45" customHeight="1">
      <c r="A38" s="9"/>
      <c r="B38" s="31" t="s">
        <v>35</v>
      </c>
      <c r="C38" s="3" t="s">
        <v>81</v>
      </c>
      <c r="D38" s="3" t="s">
        <v>81</v>
      </c>
      <c r="E38" s="3" t="s">
        <v>81</v>
      </c>
      <c r="F38" s="3" t="s">
        <v>81</v>
      </c>
      <c r="G38" s="3" t="s">
        <v>81</v>
      </c>
      <c r="H38" s="3" t="s">
        <v>81</v>
      </c>
      <c r="I38" s="3" t="s">
        <v>81</v>
      </c>
      <c r="J38" s="3" t="s">
        <v>81</v>
      </c>
      <c r="K38" s="3" t="s">
        <v>81</v>
      </c>
      <c r="L38" s="3" t="s">
        <v>81</v>
      </c>
      <c r="M38" s="16">
        <f t="shared" si="0"/>
        <v>0</v>
      </c>
    </row>
    <row r="39" spans="1:13" ht="11.45" customHeight="1">
      <c r="A39" s="9"/>
      <c r="B39" s="30" t="s">
        <v>36</v>
      </c>
      <c r="C39" s="2" t="s">
        <v>81</v>
      </c>
      <c r="D39" s="2" t="s">
        <v>81</v>
      </c>
      <c r="E39" s="2">
        <v>5</v>
      </c>
      <c r="F39" s="2" t="s">
        <v>81</v>
      </c>
      <c r="G39" s="2">
        <v>1</v>
      </c>
      <c r="H39" s="2" t="s">
        <v>81</v>
      </c>
      <c r="I39" s="2" t="s">
        <v>81</v>
      </c>
      <c r="J39" s="2" t="s">
        <v>81</v>
      </c>
      <c r="K39" s="2" t="s">
        <v>81</v>
      </c>
      <c r="L39" s="2">
        <v>2</v>
      </c>
      <c r="M39" s="15">
        <f t="shared" si="0"/>
        <v>8</v>
      </c>
    </row>
    <row r="40" spans="1:13" ht="11.45" customHeight="1">
      <c r="A40" s="9"/>
      <c r="B40" s="30" t="s">
        <v>37</v>
      </c>
      <c r="C40" s="2">
        <v>1</v>
      </c>
      <c r="D40" s="2" t="s">
        <v>81</v>
      </c>
      <c r="E40" s="2">
        <v>2</v>
      </c>
      <c r="F40" s="2" t="s">
        <v>81</v>
      </c>
      <c r="G40" s="2" t="s">
        <v>81</v>
      </c>
      <c r="H40" s="2" t="s">
        <v>81</v>
      </c>
      <c r="I40" s="2" t="s">
        <v>81</v>
      </c>
      <c r="J40" s="2" t="s">
        <v>81</v>
      </c>
      <c r="K40" s="2" t="s">
        <v>81</v>
      </c>
      <c r="L40" s="2">
        <v>8</v>
      </c>
      <c r="M40" s="15">
        <f t="shared" si="0"/>
        <v>11</v>
      </c>
    </row>
    <row r="41" spans="1:13" ht="11.45" customHeight="1">
      <c r="A41" s="9"/>
      <c r="B41" s="30" t="s">
        <v>38</v>
      </c>
      <c r="C41" s="2" t="s">
        <v>81</v>
      </c>
      <c r="D41" s="2" t="s">
        <v>81</v>
      </c>
      <c r="E41" s="2" t="s">
        <v>81</v>
      </c>
      <c r="F41" s="2" t="s">
        <v>81</v>
      </c>
      <c r="G41" s="2" t="s">
        <v>81</v>
      </c>
      <c r="H41" s="2" t="s">
        <v>81</v>
      </c>
      <c r="I41" s="2" t="s">
        <v>81</v>
      </c>
      <c r="J41" s="2" t="s">
        <v>81</v>
      </c>
      <c r="K41" s="2" t="s">
        <v>81</v>
      </c>
      <c r="L41" s="2">
        <v>1</v>
      </c>
      <c r="M41" s="15">
        <f t="shared" si="0"/>
        <v>1</v>
      </c>
    </row>
    <row r="42" spans="1:13" ht="11.45" customHeight="1">
      <c r="A42" s="9"/>
      <c r="B42" s="30" t="s">
        <v>39</v>
      </c>
      <c r="C42" s="2" t="s">
        <v>81</v>
      </c>
      <c r="D42" s="2" t="s">
        <v>81</v>
      </c>
      <c r="E42" s="2" t="s">
        <v>81</v>
      </c>
      <c r="F42" s="2" t="s">
        <v>81</v>
      </c>
      <c r="G42" s="2">
        <v>5</v>
      </c>
      <c r="H42" s="2" t="s">
        <v>81</v>
      </c>
      <c r="I42" s="2" t="s">
        <v>81</v>
      </c>
      <c r="J42" s="2" t="s">
        <v>81</v>
      </c>
      <c r="K42" s="2" t="s">
        <v>81</v>
      </c>
      <c r="L42" s="2">
        <v>2</v>
      </c>
      <c r="M42" s="15">
        <f t="shared" si="0"/>
        <v>7</v>
      </c>
    </row>
    <row r="43" spans="1:13" ht="11.45" customHeight="1">
      <c r="A43" s="9"/>
      <c r="B43" s="30" t="s">
        <v>40</v>
      </c>
      <c r="C43" s="2" t="s">
        <v>81</v>
      </c>
      <c r="D43" s="2" t="s">
        <v>81</v>
      </c>
      <c r="E43" s="2" t="s">
        <v>81</v>
      </c>
      <c r="F43" s="2" t="s">
        <v>81</v>
      </c>
      <c r="G43" s="2" t="s">
        <v>81</v>
      </c>
      <c r="H43" s="2" t="s">
        <v>81</v>
      </c>
      <c r="I43" s="2" t="s">
        <v>81</v>
      </c>
      <c r="J43" s="2" t="s">
        <v>81</v>
      </c>
      <c r="K43" s="2" t="s">
        <v>81</v>
      </c>
      <c r="L43" s="2">
        <v>1</v>
      </c>
      <c r="M43" s="15">
        <f t="shared" si="0"/>
        <v>1</v>
      </c>
    </row>
    <row r="44" spans="1:13" ht="11.45" customHeight="1" thickBot="1">
      <c r="A44" s="9"/>
      <c r="B44" s="30" t="s">
        <v>41</v>
      </c>
      <c r="C44" s="2" t="s">
        <v>81</v>
      </c>
      <c r="D44" s="2">
        <v>1</v>
      </c>
      <c r="E44" s="2">
        <v>1</v>
      </c>
      <c r="F44" s="2" t="s">
        <v>81</v>
      </c>
      <c r="G44" s="2">
        <v>110</v>
      </c>
      <c r="H44" s="2" t="s">
        <v>81</v>
      </c>
      <c r="I44" s="2">
        <v>1</v>
      </c>
      <c r="J44" s="2" t="s">
        <v>81</v>
      </c>
      <c r="K44" s="2" t="s">
        <v>81</v>
      </c>
      <c r="L44" s="2">
        <v>22</v>
      </c>
      <c r="M44" s="15">
        <f t="shared" si="0"/>
        <v>135</v>
      </c>
    </row>
    <row r="45" spans="1:13" ht="11.45" customHeight="1" thickBot="1">
      <c r="B45" s="28" t="s">
        <v>82</v>
      </c>
      <c r="C45" s="12">
        <f t="shared" ref="C45:L45" si="1">SUM(C4:C44)</f>
        <v>3</v>
      </c>
      <c r="D45" s="12">
        <f t="shared" si="1"/>
        <v>13</v>
      </c>
      <c r="E45" s="12">
        <f t="shared" si="1"/>
        <v>47</v>
      </c>
      <c r="F45" s="12">
        <f t="shared" si="1"/>
        <v>6</v>
      </c>
      <c r="G45" s="12">
        <f t="shared" si="1"/>
        <v>885</v>
      </c>
      <c r="H45" s="12">
        <f t="shared" si="1"/>
        <v>5</v>
      </c>
      <c r="I45" s="12">
        <f t="shared" si="1"/>
        <v>4</v>
      </c>
      <c r="J45" s="12">
        <f t="shared" si="1"/>
        <v>2</v>
      </c>
      <c r="K45" s="12">
        <f t="shared" si="1"/>
        <v>8</v>
      </c>
      <c r="L45" s="12">
        <f t="shared" si="1"/>
        <v>260</v>
      </c>
      <c r="M45" s="13">
        <v>1233</v>
      </c>
    </row>
    <row r="46" spans="1:13" s="1" customFormat="1"/>
  </sheetData>
  <mergeCells count="1">
    <mergeCell ref="B1:M1"/>
  </mergeCells>
  <pageMargins left="0.25" right="0.25" top="0.65625" bottom="0.75" header="0.3" footer="0.3"/>
  <pageSetup orientation="landscape" r:id="rId1"/>
  <headerFooter>
    <oddHeader>&amp;C&amp;"Arial,Bold"Incidents of Prohibited Behavior in School or School-Related Activities by District, 2011-2012</oddHeader>
    <oddFooter>&amp;L&amp;"Arial,Regular"&amp;7Complier: USOE/Career, Techincial, and Adult Education/Verne Larsen
Source: Warehouse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showGridLines="0" view="pageLayout" zoomScaleNormal="100" workbookViewId="0">
      <selection activeCell="B6" sqref="B6"/>
    </sheetView>
  </sheetViews>
  <sheetFormatPr defaultRowHeight="15"/>
  <cols>
    <col min="1" max="1" width="12.7109375" style="1" customWidth="1"/>
    <col min="2" max="2" width="26.28515625" customWidth="1"/>
    <col min="3" max="3" width="6.140625" bestFit="1" customWidth="1"/>
    <col min="4" max="4" width="6.7109375" bestFit="1" customWidth="1"/>
    <col min="5" max="5" width="9.140625" bestFit="1" customWidth="1"/>
    <col min="6" max="6" width="9.28515625" bestFit="1" customWidth="1"/>
    <col min="7" max="7" width="6.42578125" bestFit="1" customWidth="1"/>
    <col min="8" max="8" width="4.7109375" bestFit="1" customWidth="1"/>
    <col min="9" max="9" width="7.140625" bestFit="1" customWidth="1"/>
    <col min="10" max="10" width="4" bestFit="1" customWidth="1"/>
    <col min="11" max="11" width="10.7109375" bestFit="1" customWidth="1"/>
    <col min="12" max="12" width="11" bestFit="1" customWidth="1"/>
    <col min="13" max="13" width="7.42578125" customWidth="1"/>
  </cols>
  <sheetData>
    <row r="1" spans="1:13" s="1" customFormat="1" ht="11.45" customHeight="1" thickBot="1">
      <c r="A1" s="9"/>
      <c r="B1" s="96" t="s">
        <v>83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8"/>
    </row>
    <row r="2" spans="1:13" s="1" customFormat="1" ht="23.25" thickBot="1">
      <c r="A2" s="9"/>
      <c r="B2" s="24"/>
      <c r="C2" s="25" t="s">
        <v>42</v>
      </c>
      <c r="D2" s="25" t="s">
        <v>43</v>
      </c>
      <c r="E2" s="26" t="s">
        <v>44</v>
      </c>
      <c r="F2" s="25" t="s">
        <v>45</v>
      </c>
      <c r="G2" s="25" t="s">
        <v>46</v>
      </c>
      <c r="H2" s="25" t="s">
        <v>47</v>
      </c>
      <c r="I2" s="25" t="s">
        <v>48</v>
      </c>
      <c r="J2" s="25" t="s">
        <v>49</v>
      </c>
      <c r="K2" s="26" t="s">
        <v>50</v>
      </c>
      <c r="L2" s="26" t="s">
        <v>51</v>
      </c>
      <c r="M2" s="27" t="s">
        <v>80</v>
      </c>
    </row>
    <row r="3" spans="1:13" s="1" customFormat="1" ht="10.9" customHeight="1">
      <c r="A3" s="9"/>
      <c r="B3" s="23" t="s">
        <v>84</v>
      </c>
      <c r="C3" s="36"/>
      <c r="D3" s="36"/>
      <c r="E3" s="37"/>
      <c r="F3" s="38"/>
      <c r="G3" s="36"/>
      <c r="H3" s="36"/>
      <c r="I3" s="36"/>
      <c r="J3" s="36"/>
      <c r="K3" s="37"/>
      <c r="L3" s="37"/>
      <c r="M3" s="35"/>
    </row>
    <row r="4" spans="1:13">
      <c r="A4" s="9"/>
      <c r="B4" s="17" t="s">
        <v>54</v>
      </c>
      <c r="C4" s="4" t="s">
        <v>81</v>
      </c>
      <c r="D4" s="4" t="s">
        <v>81</v>
      </c>
      <c r="E4" s="2" t="s">
        <v>81</v>
      </c>
      <c r="F4" s="2" t="s">
        <v>81</v>
      </c>
      <c r="G4" s="2" t="s">
        <v>81</v>
      </c>
      <c r="H4" s="2" t="s">
        <v>81</v>
      </c>
      <c r="I4" s="2" t="s">
        <v>81</v>
      </c>
      <c r="J4" s="2" t="s">
        <v>81</v>
      </c>
      <c r="K4" s="2" t="s">
        <v>81</v>
      </c>
      <c r="L4" s="4" t="s">
        <v>81</v>
      </c>
      <c r="M4" s="15">
        <f t="shared" ref="M4:M25" si="0">SUM(C4:L4)</f>
        <v>0</v>
      </c>
    </row>
    <row r="5" spans="1:13">
      <c r="A5" s="9"/>
      <c r="B5" s="17" t="s">
        <v>52</v>
      </c>
      <c r="C5" s="4" t="s">
        <v>81</v>
      </c>
      <c r="D5" s="4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4" t="s">
        <v>81</v>
      </c>
      <c r="M5" s="15">
        <f t="shared" si="0"/>
        <v>0</v>
      </c>
    </row>
    <row r="6" spans="1:13">
      <c r="A6" s="9"/>
      <c r="B6" s="18" t="s">
        <v>53</v>
      </c>
      <c r="C6" s="4">
        <v>1</v>
      </c>
      <c r="D6" s="4" t="s">
        <v>81</v>
      </c>
      <c r="E6" s="2" t="s">
        <v>81</v>
      </c>
      <c r="F6" s="2" t="s">
        <v>81</v>
      </c>
      <c r="G6" s="2" t="s">
        <v>81</v>
      </c>
      <c r="H6" s="2" t="s">
        <v>81</v>
      </c>
      <c r="I6" s="2" t="s">
        <v>81</v>
      </c>
      <c r="J6" s="2" t="s">
        <v>81</v>
      </c>
      <c r="K6" s="2" t="s">
        <v>81</v>
      </c>
      <c r="L6" s="2" t="s">
        <v>81</v>
      </c>
      <c r="M6" s="15">
        <f t="shared" si="0"/>
        <v>1</v>
      </c>
    </row>
    <row r="7" spans="1:13" ht="23.25">
      <c r="A7" s="9"/>
      <c r="B7" s="17" t="s">
        <v>93</v>
      </c>
      <c r="C7" s="4" t="s">
        <v>81</v>
      </c>
      <c r="D7" s="4" t="s">
        <v>81</v>
      </c>
      <c r="E7" s="2" t="s">
        <v>81</v>
      </c>
      <c r="F7" s="2" t="s">
        <v>81</v>
      </c>
      <c r="G7" s="2" t="s">
        <v>81</v>
      </c>
      <c r="H7" s="2" t="s">
        <v>81</v>
      </c>
      <c r="I7" s="2" t="s">
        <v>81</v>
      </c>
      <c r="J7" s="2" t="s">
        <v>81</v>
      </c>
      <c r="K7" s="2" t="s">
        <v>81</v>
      </c>
      <c r="L7" s="2" t="s">
        <v>81</v>
      </c>
      <c r="M7" s="15">
        <f t="shared" si="0"/>
        <v>0</v>
      </c>
    </row>
    <row r="8" spans="1:13">
      <c r="A8" s="9"/>
      <c r="B8" s="19" t="s">
        <v>55</v>
      </c>
      <c r="C8" s="6" t="s">
        <v>81</v>
      </c>
      <c r="D8" s="6">
        <v>1</v>
      </c>
      <c r="E8" s="3" t="s">
        <v>81</v>
      </c>
      <c r="F8" s="3" t="s">
        <v>81</v>
      </c>
      <c r="G8" s="3" t="s">
        <v>81</v>
      </c>
      <c r="H8" s="3" t="s">
        <v>81</v>
      </c>
      <c r="I8" s="3" t="s">
        <v>81</v>
      </c>
      <c r="J8" s="3" t="s">
        <v>81</v>
      </c>
      <c r="K8" s="3" t="s">
        <v>81</v>
      </c>
      <c r="L8" s="3" t="s">
        <v>81</v>
      </c>
      <c r="M8" s="16">
        <f t="shared" si="0"/>
        <v>1</v>
      </c>
    </row>
    <row r="9" spans="1:13">
      <c r="A9" s="9"/>
      <c r="B9" s="17" t="s">
        <v>57</v>
      </c>
      <c r="C9" s="4">
        <v>1</v>
      </c>
      <c r="D9" s="4" t="s">
        <v>81</v>
      </c>
      <c r="E9" s="2" t="s">
        <v>81</v>
      </c>
      <c r="F9" s="2" t="s">
        <v>81</v>
      </c>
      <c r="G9" s="2">
        <v>1</v>
      </c>
      <c r="H9" s="2" t="s">
        <v>81</v>
      </c>
      <c r="I9" s="2" t="s">
        <v>81</v>
      </c>
      <c r="J9" s="2" t="s">
        <v>81</v>
      </c>
      <c r="K9" s="2" t="s">
        <v>81</v>
      </c>
      <c r="L9" s="2" t="s">
        <v>81</v>
      </c>
      <c r="M9" s="15">
        <f t="shared" si="0"/>
        <v>2</v>
      </c>
    </row>
    <row r="10" spans="1:13">
      <c r="A10" s="9"/>
      <c r="B10" s="17" t="s">
        <v>58</v>
      </c>
      <c r="C10" s="4">
        <v>3</v>
      </c>
      <c r="D10" s="4" t="s">
        <v>81</v>
      </c>
      <c r="E10" s="2">
        <v>2</v>
      </c>
      <c r="F10" s="2">
        <v>1</v>
      </c>
      <c r="G10" s="2">
        <v>23</v>
      </c>
      <c r="H10" s="2" t="s">
        <v>81</v>
      </c>
      <c r="I10" s="2" t="s">
        <v>81</v>
      </c>
      <c r="J10" s="2" t="s">
        <v>81</v>
      </c>
      <c r="K10" s="2" t="s">
        <v>81</v>
      </c>
      <c r="L10" s="2">
        <v>4</v>
      </c>
      <c r="M10" s="15">
        <f t="shared" si="0"/>
        <v>33</v>
      </c>
    </row>
    <row r="11" spans="1:13">
      <c r="A11" s="9"/>
      <c r="B11" s="18" t="s">
        <v>59</v>
      </c>
      <c r="C11" s="4" t="s">
        <v>81</v>
      </c>
      <c r="D11" s="4" t="s">
        <v>81</v>
      </c>
      <c r="E11" s="2">
        <v>1</v>
      </c>
      <c r="F11" s="2" t="s">
        <v>81</v>
      </c>
      <c r="G11" s="2" t="s">
        <v>81</v>
      </c>
      <c r="H11" s="2" t="s">
        <v>81</v>
      </c>
      <c r="I11" s="2" t="s">
        <v>81</v>
      </c>
      <c r="J11" s="2" t="s">
        <v>81</v>
      </c>
      <c r="K11" s="2" t="s">
        <v>81</v>
      </c>
      <c r="L11" s="2" t="s">
        <v>81</v>
      </c>
      <c r="M11" s="15">
        <f t="shared" si="0"/>
        <v>1</v>
      </c>
    </row>
    <row r="12" spans="1:13">
      <c r="A12" s="9"/>
      <c r="B12" s="17" t="s">
        <v>60</v>
      </c>
      <c r="C12" s="4" t="s">
        <v>81</v>
      </c>
      <c r="D12" s="4" t="s">
        <v>81</v>
      </c>
      <c r="E12" s="2" t="s">
        <v>81</v>
      </c>
      <c r="F12" s="2" t="s">
        <v>81</v>
      </c>
      <c r="G12" s="2" t="s">
        <v>81</v>
      </c>
      <c r="H12" s="2" t="s">
        <v>81</v>
      </c>
      <c r="I12" s="2" t="s">
        <v>81</v>
      </c>
      <c r="J12" s="2" t="s">
        <v>81</v>
      </c>
      <c r="K12" s="2" t="s">
        <v>81</v>
      </c>
      <c r="L12" s="2" t="s">
        <v>81</v>
      </c>
      <c r="M12" s="15">
        <f t="shared" si="0"/>
        <v>0</v>
      </c>
    </row>
    <row r="13" spans="1:13">
      <c r="A13" s="9"/>
      <c r="B13" s="19" t="s">
        <v>63</v>
      </c>
      <c r="C13" s="6" t="s">
        <v>81</v>
      </c>
      <c r="D13" s="6" t="s">
        <v>81</v>
      </c>
      <c r="E13" s="3" t="s">
        <v>81</v>
      </c>
      <c r="F13" s="3" t="s">
        <v>81</v>
      </c>
      <c r="G13" s="3">
        <v>6</v>
      </c>
      <c r="H13" s="3" t="s">
        <v>81</v>
      </c>
      <c r="I13" s="3" t="s">
        <v>81</v>
      </c>
      <c r="J13" s="3" t="s">
        <v>81</v>
      </c>
      <c r="K13" s="3" t="s">
        <v>81</v>
      </c>
      <c r="L13" s="3">
        <v>4</v>
      </c>
      <c r="M13" s="16">
        <f t="shared" si="0"/>
        <v>10</v>
      </c>
    </row>
    <row r="14" spans="1:13">
      <c r="A14" s="9"/>
      <c r="B14" s="17" t="s">
        <v>64</v>
      </c>
      <c r="C14" s="4" t="s">
        <v>81</v>
      </c>
      <c r="D14" s="4" t="s">
        <v>81</v>
      </c>
      <c r="E14" s="2" t="s">
        <v>81</v>
      </c>
      <c r="F14" s="2" t="s">
        <v>81</v>
      </c>
      <c r="G14" s="2">
        <v>14</v>
      </c>
      <c r="H14" s="2" t="s">
        <v>81</v>
      </c>
      <c r="I14" s="2" t="s">
        <v>81</v>
      </c>
      <c r="J14" s="2" t="s">
        <v>81</v>
      </c>
      <c r="K14" s="2" t="s">
        <v>81</v>
      </c>
      <c r="L14" s="2">
        <v>2</v>
      </c>
      <c r="M14" s="15">
        <f t="shared" si="0"/>
        <v>16</v>
      </c>
    </row>
    <row r="15" spans="1:13">
      <c r="A15" s="9"/>
      <c r="B15" s="17" t="s">
        <v>65</v>
      </c>
      <c r="C15" s="4" t="s">
        <v>81</v>
      </c>
      <c r="D15" s="4" t="s">
        <v>81</v>
      </c>
      <c r="E15" s="2" t="s">
        <v>81</v>
      </c>
      <c r="F15" s="5" t="s">
        <v>81</v>
      </c>
      <c r="G15" s="2">
        <v>3</v>
      </c>
      <c r="H15" s="2" t="s">
        <v>81</v>
      </c>
      <c r="I15" s="2" t="s">
        <v>81</v>
      </c>
      <c r="J15" s="2" t="s">
        <v>81</v>
      </c>
      <c r="K15" s="2" t="s">
        <v>81</v>
      </c>
      <c r="L15" s="2">
        <v>1</v>
      </c>
      <c r="M15" s="15">
        <f t="shared" si="0"/>
        <v>4</v>
      </c>
    </row>
    <row r="16" spans="1:13">
      <c r="A16" s="9"/>
      <c r="B16" s="18" t="s">
        <v>66</v>
      </c>
      <c r="C16" s="4" t="s">
        <v>81</v>
      </c>
      <c r="D16" s="4" t="s">
        <v>81</v>
      </c>
      <c r="E16" s="2" t="s">
        <v>81</v>
      </c>
      <c r="F16" s="5" t="s">
        <v>81</v>
      </c>
      <c r="G16" s="2">
        <v>1</v>
      </c>
      <c r="H16" s="2" t="s">
        <v>81</v>
      </c>
      <c r="I16" s="2" t="s">
        <v>81</v>
      </c>
      <c r="J16" s="2" t="s">
        <v>81</v>
      </c>
      <c r="K16" s="2" t="s">
        <v>81</v>
      </c>
      <c r="L16" s="2" t="s">
        <v>81</v>
      </c>
      <c r="M16" s="15">
        <f t="shared" si="0"/>
        <v>1</v>
      </c>
    </row>
    <row r="17" spans="1:13">
      <c r="A17" s="9"/>
      <c r="B17" s="18" t="s">
        <v>67</v>
      </c>
      <c r="C17" s="4" t="s">
        <v>81</v>
      </c>
      <c r="D17" s="4" t="s">
        <v>81</v>
      </c>
      <c r="E17" s="2" t="s">
        <v>81</v>
      </c>
      <c r="F17" s="5" t="s">
        <v>81</v>
      </c>
      <c r="G17" s="2">
        <v>1</v>
      </c>
      <c r="H17" s="2" t="s">
        <v>81</v>
      </c>
      <c r="I17" s="2" t="s">
        <v>81</v>
      </c>
      <c r="J17" s="2" t="s">
        <v>81</v>
      </c>
      <c r="K17" s="2" t="s">
        <v>81</v>
      </c>
      <c r="L17" s="2" t="s">
        <v>81</v>
      </c>
      <c r="M17" s="15">
        <f t="shared" si="0"/>
        <v>1</v>
      </c>
    </row>
    <row r="18" spans="1:13">
      <c r="A18" s="9"/>
      <c r="B18" s="20" t="s">
        <v>68</v>
      </c>
      <c r="C18" s="6" t="s">
        <v>81</v>
      </c>
      <c r="D18" s="6" t="s">
        <v>81</v>
      </c>
      <c r="E18" s="3" t="s">
        <v>81</v>
      </c>
      <c r="F18" s="3" t="s">
        <v>81</v>
      </c>
      <c r="G18" s="3">
        <v>1</v>
      </c>
      <c r="H18" s="3" t="s">
        <v>81</v>
      </c>
      <c r="I18" s="3" t="s">
        <v>81</v>
      </c>
      <c r="J18" s="3" t="s">
        <v>81</v>
      </c>
      <c r="K18" s="3" t="s">
        <v>81</v>
      </c>
      <c r="L18" s="3" t="s">
        <v>81</v>
      </c>
      <c r="M18" s="16">
        <f t="shared" si="0"/>
        <v>1</v>
      </c>
    </row>
    <row r="19" spans="1:13">
      <c r="A19" s="9"/>
      <c r="B19" s="17" t="s">
        <v>69</v>
      </c>
      <c r="C19" s="4" t="s">
        <v>81</v>
      </c>
      <c r="D19" s="4" t="s">
        <v>81</v>
      </c>
      <c r="E19" s="2" t="s">
        <v>81</v>
      </c>
      <c r="F19" s="2" t="s">
        <v>81</v>
      </c>
      <c r="G19" s="2">
        <v>1</v>
      </c>
      <c r="H19" s="2" t="s">
        <v>81</v>
      </c>
      <c r="I19" s="2" t="s">
        <v>81</v>
      </c>
      <c r="J19" s="2" t="s">
        <v>81</v>
      </c>
      <c r="K19" s="2" t="s">
        <v>81</v>
      </c>
      <c r="L19" s="2" t="s">
        <v>81</v>
      </c>
      <c r="M19" s="15">
        <f t="shared" si="0"/>
        <v>1</v>
      </c>
    </row>
    <row r="20" spans="1:13">
      <c r="A20" s="9"/>
      <c r="B20" s="18" t="s">
        <v>70</v>
      </c>
      <c r="C20" s="4" t="s">
        <v>81</v>
      </c>
      <c r="D20" s="4" t="s">
        <v>81</v>
      </c>
      <c r="E20" s="2" t="s">
        <v>81</v>
      </c>
      <c r="F20" s="2" t="s">
        <v>81</v>
      </c>
      <c r="G20" s="2">
        <v>1</v>
      </c>
      <c r="H20" s="2" t="s">
        <v>81</v>
      </c>
      <c r="I20" s="2" t="s">
        <v>81</v>
      </c>
      <c r="J20" s="2" t="s">
        <v>81</v>
      </c>
      <c r="K20" s="2" t="s">
        <v>81</v>
      </c>
      <c r="L20" s="2" t="s">
        <v>81</v>
      </c>
      <c r="M20" s="15">
        <f t="shared" si="0"/>
        <v>1</v>
      </c>
    </row>
    <row r="21" spans="1:13">
      <c r="A21" s="9"/>
      <c r="B21" s="18" t="s">
        <v>71</v>
      </c>
      <c r="C21" s="4" t="s">
        <v>81</v>
      </c>
      <c r="D21" s="4" t="s">
        <v>81</v>
      </c>
      <c r="E21" s="2" t="s">
        <v>81</v>
      </c>
      <c r="F21" s="2" t="s">
        <v>81</v>
      </c>
      <c r="G21" s="2">
        <v>18</v>
      </c>
      <c r="H21" s="2" t="s">
        <v>81</v>
      </c>
      <c r="I21" s="2" t="s">
        <v>81</v>
      </c>
      <c r="J21" s="2" t="s">
        <v>81</v>
      </c>
      <c r="K21" s="2" t="s">
        <v>81</v>
      </c>
      <c r="L21" s="2">
        <v>4</v>
      </c>
      <c r="M21" s="15">
        <f t="shared" si="0"/>
        <v>22</v>
      </c>
    </row>
    <row r="22" spans="1:13">
      <c r="A22" s="9"/>
      <c r="B22" s="18" t="s">
        <v>72</v>
      </c>
      <c r="C22" s="4" t="s">
        <v>81</v>
      </c>
      <c r="D22" s="4" t="s">
        <v>81</v>
      </c>
      <c r="E22" s="2" t="s">
        <v>81</v>
      </c>
      <c r="F22" s="2" t="s">
        <v>81</v>
      </c>
      <c r="G22" s="2">
        <v>2</v>
      </c>
      <c r="H22" s="2" t="s">
        <v>81</v>
      </c>
      <c r="I22" s="2" t="s">
        <v>81</v>
      </c>
      <c r="J22" s="2" t="s">
        <v>81</v>
      </c>
      <c r="K22" s="2" t="s">
        <v>81</v>
      </c>
      <c r="L22" s="2" t="s">
        <v>81</v>
      </c>
      <c r="M22" s="15">
        <f t="shared" si="0"/>
        <v>2</v>
      </c>
    </row>
    <row r="23" spans="1:13">
      <c r="A23" s="9"/>
      <c r="B23" s="19" t="s">
        <v>74</v>
      </c>
      <c r="C23" s="6" t="s">
        <v>81</v>
      </c>
      <c r="D23" s="6" t="s">
        <v>81</v>
      </c>
      <c r="E23" s="3" t="s">
        <v>81</v>
      </c>
      <c r="F23" s="3" t="s">
        <v>81</v>
      </c>
      <c r="G23" s="3" t="s">
        <v>81</v>
      </c>
      <c r="H23" s="3" t="s">
        <v>81</v>
      </c>
      <c r="I23" s="3" t="s">
        <v>81</v>
      </c>
      <c r="J23" s="3" t="s">
        <v>81</v>
      </c>
      <c r="K23" s="3" t="s">
        <v>81</v>
      </c>
      <c r="L23" s="3">
        <v>1</v>
      </c>
      <c r="M23" s="16">
        <f t="shared" si="0"/>
        <v>1</v>
      </c>
    </row>
    <row r="24" spans="1:13">
      <c r="A24" s="9"/>
      <c r="B24" s="18" t="s">
        <v>75</v>
      </c>
      <c r="C24" s="4" t="s">
        <v>81</v>
      </c>
      <c r="D24" s="4" t="s">
        <v>81</v>
      </c>
      <c r="E24" s="2" t="s">
        <v>81</v>
      </c>
      <c r="F24" s="2" t="s">
        <v>81</v>
      </c>
      <c r="G24" s="2" t="s">
        <v>81</v>
      </c>
      <c r="H24" s="2" t="s">
        <v>81</v>
      </c>
      <c r="I24" s="2" t="s">
        <v>81</v>
      </c>
      <c r="J24" s="2" t="s">
        <v>81</v>
      </c>
      <c r="K24" s="2" t="s">
        <v>81</v>
      </c>
      <c r="L24" s="2">
        <v>1</v>
      </c>
      <c r="M24" s="15">
        <f t="shared" si="0"/>
        <v>1</v>
      </c>
    </row>
    <row r="25" spans="1:13" ht="15.75" thickBot="1">
      <c r="A25" s="9"/>
      <c r="B25" s="21" t="s">
        <v>76</v>
      </c>
      <c r="C25" s="7" t="s">
        <v>81</v>
      </c>
      <c r="D25" s="7" t="s">
        <v>81</v>
      </c>
      <c r="E25" s="8" t="s">
        <v>81</v>
      </c>
      <c r="F25" s="8" t="s">
        <v>81</v>
      </c>
      <c r="G25" s="8" t="s">
        <v>81</v>
      </c>
      <c r="H25" s="8" t="s">
        <v>81</v>
      </c>
      <c r="I25" s="8" t="s">
        <v>81</v>
      </c>
      <c r="J25" s="8" t="s">
        <v>81</v>
      </c>
      <c r="K25" s="8" t="s">
        <v>81</v>
      </c>
      <c r="L25" s="8">
        <v>1</v>
      </c>
      <c r="M25" s="16">
        <f t="shared" si="0"/>
        <v>1</v>
      </c>
    </row>
    <row r="26" spans="1:13" ht="15.75" thickBot="1">
      <c r="A26" s="9"/>
      <c r="B26" s="10" t="s">
        <v>86</v>
      </c>
      <c r="C26" s="11">
        <f>SUM(C4:C25)</f>
        <v>5</v>
      </c>
      <c r="D26" s="11">
        <f t="shared" ref="D26:M26" si="1">SUM(D4:D25)</f>
        <v>1</v>
      </c>
      <c r="E26" s="11">
        <f t="shared" si="1"/>
        <v>3</v>
      </c>
      <c r="F26" s="11">
        <f t="shared" si="1"/>
        <v>1</v>
      </c>
      <c r="G26" s="11">
        <f t="shared" si="1"/>
        <v>72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1">
        <f t="shared" si="1"/>
        <v>18</v>
      </c>
      <c r="M26" s="14">
        <f t="shared" si="1"/>
        <v>100</v>
      </c>
    </row>
    <row r="27" spans="1:13" s="1" customFormat="1" ht="15.75" thickBot="1">
      <c r="A27" s="9"/>
      <c r="B27" s="22" t="s">
        <v>85</v>
      </c>
      <c r="C27" s="12">
        <f>SUM(C26,Elementary!C45)</f>
        <v>8</v>
      </c>
      <c r="D27" s="12">
        <f>SUM(D26,Elementary!D45)</f>
        <v>14</v>
      </c>
      <c r="E27" s="12">
        <f>SUM(E26,Elementary!E45)</f>
        <v>50</v>
      </c>
      <c r="F27" s="12">
        <f>SUM(F26,Elementary!F45)</f>
        <v>7</v>
      </c>
      <c r="G27" s="12">
        <f>SUM(G26,Elementary!G45)</f>
        <v>957</v>
      </c>
      <c r="H27" s="12">
        <f>SUM(H26,Elementary!H45)</f>
        <v>5</v>
      </c>
      <c r="I27" s="12">
        <f>SUM(I26,Elementary!I45)</f>
        <v>4</v>
      </c>
      <c r="J27" s="12">
        <f>SUM(J26,Elementary!J45)</f>
        <v>2</v>
      </c>
      <c r="K27" s="12">
        <f>SUM(K26,Elementary!K45)</f>
        <v>8</v>
      </c>
      <c r="L27" s="12">
        <f>SUM(L26,Elementary!L45)</f>
        <v>278</v>
      </c>
      <c r="M27" s="13">
        <v>1333</v>
      </c>
    </row>
  </sheetData>
  <mergeCells count="1">
    <mergeCell ref="B1:M1"/>
  </mergeCells>
  <pageMargins left="0.21666666666666667" right="0.25833333333333336" top="0.70833333333333337" bottom="0.75" header="0.3" footer="0.3"/>
  <pageSetup orientation="landscape" r:id="rId1"/>
  <headerFooter>
    <oddHeader>&amp;C&amp;"Arial,Bold"Incidents of Prohibited Behavior in School or School-Related Activities by Charter, 2011-2012</oddHeader>
    <oddFooter>&amp;L&amp;"Arial,Regular"&amp;7Complier: USOE/Career, Techincial, and Adult Education/Verne Larsen
Source: Warehouse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Views>
    <sheetView showGridLines="0" view="pageLayout" zoomScaleNormal="100" workbookViewId="0">
      <selection activeCell="N5" sqref="N5"/>
    </sheetView>
  </sheetViews>
  <sheetFormatPr defaultRowHeight="15"/>
  <cols>
    <col min="1" max="1" width="15.28515625" style="1" customWidth="1"/>
    <col min="2" max="2" width="14.28515625" customWidth="1"/>
    <col min="3" max="3" width="6.140625" bestFit="1" customWidth="1"/>
    <col min="4" max="4" width="6.7109375" bestFit="1" customWidth="1"/>
    <col min="5" max="5" width="9.140625" bestFit="1" customWidth="1"/>
    <col min="6" max="6" width="9.28515625" bestFit="1" customWidth="1"/>
    <col min="7" max="7" width="6.42578125" bestFit="1" customWidth="1"/>
    <col min="8" max="8" width="4.7109375" bestFit="1" customWidth="1"/>
    <col min="9" max="9" width="7.140625" bestFit="1" customWidth="1"/>
    <col min="10" max="10" width="4" bestFit="1" customWidth="1"/>
    <col min="11" max="11" width="10.7109375" bestFit="1" customWidth="1"/>
    <col min="12" max="12" width="11" bestFit="1" customWidth="1"/>
    <col min="13" max="13" width="7.7109375" customWidth="1"/>
  </cols>
  <sheetData>
    <row r="1" spans="1:13" ht="10.9" customHeight="1" thickBot="1">
      <c r="B1" s="93" t="s">
        <v>87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</row>
    <row r="2" spans="1:13" ht="11.45" customHeight="1" thickBot="1">
      <c r="B2" s="40"/>
      <c r="C2" s="41" t="s">
        <v>42</v>
      </c>
      <c r="D2" s="41" t="s">
        <v>43</v>
      </c>
      <c r="E2" s="42" t="s">
        <v>44</v>
      </c>
      <c r="F2" s="41" t="s">
        <v>45</v>
      </c>
      <c r="G2" s="41" t="s">
        <v>46</v>
      </c>
      <c r="H2" s="41" t="s">
        <v>47</v>
      </c>
      <c r="I2" s="41" t="s">
        <v>48</v>
      </c>
      <c r="J2" s="41" t="s">
        <v>49</v>
      </c>
      <c r="K2" s="42" t="s">
        <v>50</v>
      </c>
      <c r="L2" s="42" t="s">
        <v>51</v>
      </c>
      <c r="M2" s="43" t="s">
        <v>80</v>
      </c>
    </row>
    <row r="3" spans="1:13" s="1" customFormat="1" ht="10.9" customHeight="1">
      <c r="A3" s="9"/>
      <c r="B3" s="56" t="s">
        <v>0</v>
      </c>
      <c r="C3" s="62"/>
      <c r="D3" s="62"/>
      <c r="E3" s="63"/>
      <c r="F3" s="62"/>
      <c r="G3" s="62"/>
      <c r="H3" s="62"/>
      <c r="I3" s="62"/>
      <c r="J3" s="62"/>
      <c r="K3" s="63"/>
      <c r="L3" s="63"/>
      <c r="M3" s="64"/>
    </row>
    <row r="4" spans="1:13" ht="10.9" customHeight="1">
      <c r="A4" s="9"/>
      <c r="B4" s="30" t="s">
        <v>1</v>
      </c>
      <c r="C4" s="47" t="s">
        <v>81</v>
      </c>
      <c r="D4" s="48">
        <v>16</v>
      </c>
      <c r="E4" s="47">
        <v>59</v>
      </c>
      <c r="F4" s="48">
        <v>11</v>
      </c>
      <c r="G4" s="48">
        <v>25</v>
      </c>
      <c r="H4" s="48">
        <v>2</v>
      </c>
      <c r="I4" s="48" t="s">
        <v>81</v>
      </c>
      <c r="J4" s="48" t="s">
        <v>81</v>
      </c>
      <c r="K4" s="48" t="s">
        <v>81</v>
      </c>
      <c r="L4" s="48">
        <v>30</v>
      </c>
      <c r="M4" s="46">
        <f t="shared" ref="M4:M44" si="0">SUM(C4:L4)</f>
        <v>143</v>
      </c>
    </row>
    <row r="5" spans="1:13" ht="10.9" customHeight="1">
      <c r="A5" s="9"/>
      <c r="B5" s="30" t="s">
        <v>2</v>
      </c>
      <c r="C5" s="47" t="s">
        <v>81</v>
      </c>
      <c r="D5" s="48" t="s">
        <v>81</v>
      </c>
      <c r="E5" s="47" t="s">
        <v>81</v>
      </c>
      <c r="F5" s="48" t="s">
        <v>81</v>
      </c>
      <c r="G5" s="48" t="s">
        <v>81</v>
      </c>
      <c r="H5" s="48" t="s">
        <v>81</v>
      </c>
      <c r="I5" s="48" t="s">
        <v>81</v>
      </c>
      <c r="J5" s="48" t="s">
        <v>81</v>
      </c>
      <c r="K5" s="48" t="s">
        <v>81</v>
      </c>
      <c r="L5" s="48" t="s">
        <v>81</v>
      </c>
      <c r="M5" s="46">
        <f t="shared" si="0"/>
        <v>0</v>
      </c>
    </row>
    <row r="6" spans="1:13" ht="10.9" customHeight="1">
      <c r="A6" s="9"/>
      <c r="B6" s="30" t="s">
        <v>3</v>
      </c>
      <c r="C6" s="47">
        <v>4</v>
      </c>
      <c r="D6" s="48">
        <v>2</v>
      </c>
      <c r="E6" s="47">
        <v>12</v>
      </c>
      <c r="F6" s="48" t="s">
        <v>81</v>
      </c>
      <c r="G6" s="48">
        <v>6</v>
      </c>
      <c r="H6" s="48" t="s">
        <v>81</v>
      </c>
      <c r="I6" s="48" t="s">
        <v>81</v>
      </c>
      <c r="J6" s="48" t="s">
        <v>81</v>
      </c>
      <c r="K6" s="48">
        <v>3</v>
      </c>
      <c r="L6" s="48">
        <v>4</v>
      </c>
      <c r="M6" s="46">
        <f t="shared" si="0"/>
        <v>31</v>
      </c>
    </row>
    <row r="7" spans="1:13" ht="10.9" customHeight="1">
      <c r="A7" s="9"/>
      <c r="B7" s="30" t="s">
        <v>4</v>
      </c>
      <c r="C7" s="47" t="s">
        <v>81</v>
      </c>
      <c r="D7" s="48">
        <v>8</v>
      </c>
      <c r="E7" s="47">
        <v>14</v>
      </c>
      <c r="F7" s="48">
        <v>1</v>
      </c>
      <c r="G7" s="48">
        <v>25</v>
      </c>
      <c r="H7" s="48" t="s">
        <v>81</v>
      </c>
      <c r="I7" s="48" t="s">
        <v>81</v>
      </c>
      <c r="J7" s="48" t="s">
        <v>81</v>
      </c>
      <c r="K7" s="48" t="s">
        <v>81</v>
      </c>
      <c r="L7" s="48">
        <v>6</v>
      </c>
      <c r="M7" s="46">
        <f t="shared" si="0"/>
        <v>54</v>
      </c>
    </row>
    <row r="8" spans="1:13" ht="10.9" customHeight="1">
      <c r="A8" s="9"/>
      <c r="B8" s="31" t="s">
        <v>5</v>
      </c>
      <c r="C8" s="57">
        <v>5</v>
      </c>
      <c r="D8" s="55">
        <v>30</v>
      </c>
      <c r="E8" s="57">
        <v>50</v>
      </c>
      <c r="F8" s="55">
        <v>14</v>
      </c>
      <c r="G8" s="55">
        <v>105</v>
      </c>
      <c r="H8" s="55">
        <v>4</v>
      </c>
      <c r="I8" s="55" t="s">
        <v>81</v>
      </c>
      <c r="J8" s="55" t="s">
        <v>81</v>
      </c>
      <c r="K8" s="55">
        <v>3</v>
      </c>
      <c r="L8" s="55">
        <v>32</v>
      </c>
      <c r="M8" s="58">
        <f t="shared" si="0"/>
        <v>243</v>
      </c>
    </row>
    <row r="9" spans="1:13" ht="10.9" customHeight="1">
      <c r="A9" s="9"/>
      <c r="B9" s="30" t="s">
        <v>6</v>
      </c>
      <c r="C9" s="47" t="s">
        <v>81</v>
      </c>
      <c r="D9" s="48" t="s">
        <v>81</v>
      </c>
      <c r="E9" s="47" t="s">
        <v>81</v>
      </c>
      <c r="F9" s="48" t="s">
        <v>81</v>
      </c>
      <c r="G9" s="48" t="s">
        <v>81</v>
      </c>
      <c r="H9" s="48" t="s">
        <v>81</v>
      </c>
      <c r="I9" s="48" t="s">
        <v>81</v>
      </c>
      <c r="J9" s="48" t="s">
        <v>81</v>
      </c>
      <c r="K9" s="48" t="s">
        <v>81</v>
      </c>
      <c r="L9" s="48" t="s">
        <v>81</v>
      </c>
      <c r="M9" s="46">
        <f t="shared" si="0"/>
        <v>0</v>
      </c>
    </row>
    <row r="10" spans="1:13" ht="10.9" customHeight="1">
      <c r="A10" s="9"/>
      <c r="B10" s="30" t="s">
        <v>7</v>
      </c>
      <c r="C10" s="47" t="s">
        <v>81</v>
      </c>
      <c r="D10" s="48" t="s">
        <v>81</v>
      </c>
      <c r="E10" s="47" t="s">
        <v>81</v>
      </c>
      <c r="F10" s="48" t="s">
        <v>81</v>
      </c>
      <c r="G10" s="48" t="s">
        <v>81</v>
      </c>
      <c r="H10" s="48" t="s">
        <v>81</v>
      </c>
      <c r="I10" s="48" t="s">
        <v>81</v>
      </c>
      <c r="J10" s="48" t="s">
        <v>81</v>
      </c>
      <c r="K10" s="48" t="s">
        <v>81</v>
      </c>
      <c r="L10" s="48" t="s">
        <v>81</v>
      </c>
      <c r="M10" s="46">
        <f t="shared" si="0"/>
        <v>0</v>
      </c>
    </row>
    <row r="11" spans="1:13" ht="10.9" customHeight="1">
      <c r="A11" s="9"/>
      <c r="B11" s="30" t="s">
        <v>8</v>
      </c>
      <c r="C11" s="47">
        <v>13</v>
      </c>
      <c r="D11" s="48">
        <v>28</v>
      </c>
      <c r="E11" s="47">
        <v>94</v>
      </c>
      <c r="F11" s="48" t="s">
        <v>81</v>
      </c>
      <c r="G11" s="48">
        <v>127</v>
      </c>
      <c r="H11" s="48" t="s">
        <v>81</v>
      </c>
      <c r="I11" s="48" t="s">
        <v>81</v>
      </c>
      <c r="J11" s="48" t="s">
        <v>81</v>
      </c>
      <c r="K11" s="48">
        <v>1</v>
      </c>
      <c r="L11" s="48">
        <v>37</v>
      </c>
      <c r="M11" s="46">
        <f t="shared" si="0"/>
        <v>300</v>
      </c>
    </row>
    <row r="12" spans="1:13" ht="10.9" customHeight="1">
      <c r="A12" s="9"/>
      <c r="B12" s="30" t="s">
        <v>9</v>
      </c>
      <c r="C12" s="47">
        <v>3</v>
      </c>
      <c r="D12" s="48" t="s">
        <v>81</v>
      </c>
      <c r="E12" s="47">
        <v>4</v>
      </c>
      <c r="F12" s="48" t="s">
        <v>81</v>
      </c>
      <c r="G12" s="48">
        <v>1</v>
      </c>
      <c r="H12" s="48" t="s">
        <v>81</v>
      </c>
      <c r="I12" s="48" t="s">
        <v>81</v>
      </c>
      <c r="J12" s="48" t="s">
        <v>81</v>
      </c>
      <c r="K12" s="48" t="s">
        <v>81</v>
      </c>
      <c r="L12" s="48" t="s">
        <v>81</v>
      </c>
      <c r="M12" s="46">
        <f t="shared" si="0"/>
        <v>8</v>
      </c>
    </row>
    <row r="13" spans="1:13" ht="10.9" customHeight="1">
      <c r="A13" s="9"/>
      <c r="B13" s="31" t="s">
        <v>10</v>
      </c>
      <c r="C13" s="57" t="s">
        <v>81</v>
      </c>
      <c r="D13" s="55" t="s">
        <v>81</v>
      </c>
      <c r="E13" s="57" t="s">
        <v>81</v>
      </c>
      <c r="F13" s="55" t="s">
        <v>81</v>
      </c>
      <c r="G13" s="55" t="s">
        <v>81</v>
      </c>
      <c r="H13" s="55" t="s">
        <v>81</v>
      </c>
      <c r="I13" s="55" t="s">
        <v>81</v>
      </c>
      <c r="J13" s="55" t="s">
        <v>81</v>
      </c>
      <c r="K13" s="55" t="s">
        <v>81</v>
      </c>
      <c r="L13" s="55" t="s">
        <v>81</v>
      </c>
      <c r="M13" s="58">
        <f t="shared" si="0"/>
        <v>0</v>
      </c>
    </row>
    <row r="14" spans="1:13" ht="10.9" customHeight="1">
      <c r="A14" s="9"/>
      <c r="B14" s="30" t="s">
        <v>11</v>
      </c>
      <c r="C14" s="47" t="s">
        <v>81</v>
      </c>
      <c r="D14" s="48" t="s">
        <v>81</v>
      </c>
      <c r="E14" s="47" t="s">
        <v>81</v>
      </c>
      <c r="F14" s="48" t="s">
        <v>81</v>
      </c>
      <c r="G14" s="48" t="s">
        <v>81</v>
      </c>
      <c r="H14" s="48" t="s">
        <v>81</v>
      </c>
      <c r="I14" s="48" t="s">
        <v>81</v>
      </c>
      <c r="J14" s="48" t="s">
        <v>81</v>
      </c>
      <c r="K14" s="48" t="s">
        <v>81</v>
      </c>
      <c r="L14" s="48" t="s">
        <v>81</v>
      </c>
      <c r="M14" s="46">
        <f t="shared" si="0"/>
        <v>0</v>
      </c>
    </row>
    <row r="15" spans="1:13" ht="10.9" customHeight="1">
      <c r="A15" s="9"/>
      <c r="B15" s="30" t="s">
        <v>12</v>
      </c>
      <c r="C15" s="47" t="s">
        <v>81</v>
      </c>
      <c r="D15" s="48" t="s">
        <v>81</v>
      </c>
      <c r="E15" s="47" t="s">
        <v>81</v>
      </c>
      <c r="F15" s="48" t="s">
        <v>81</v>
      </c>
      <c r="G15" s="48" t="s">
        <v>81</v>
      </c>
      <c r="H15" s="48" t="s">
        <v>81</v>
      </c>
      <c r="I15" s="48" t="s">
        <v>81</v>
      </c>
      <c r="J15" s="48" t="s">
        <v>81</v>
      </c>
      <c r="K15" s="48" t="s">
        <v>81</v>
      </c>
      <c r="L15" s="48" t="s">
        <v>81</v>
      </c>
      <c r="M15" s="46">
        <f t="shared" si="0"/>
        <v>0</v>
      </c>
    </row>
    <row r="16" spans="1:13" ht="10.9" customHeight="1">
      <c r="A16" s="9"/>
      <c r="B16" s="30" t="s">
        <v>13</v>
      </c>
      <c r="C16" s="47">
        <v>16</v>
      </c>
      <c r="D16" s="48">
        <v>19</v>
      </c>
      <c r="E16" s="47">
        <v>147</v>
      </c>
      <c r="F16" s="48">
        <v>17</v>
      </c>
      <c r="G16" s="48">
        <v>85</v>
      </c>
      <c r="H16" s="48" t="s">
        <v>81</v>
      </c>
      <c r="I16" s="48">
        <v>1</v>
      </c>
      <c r="J16" s="48" t="s">
        <v>81</v>
      </c>
      <c r="K16" s="48" t="s">
        <v>81</v>
      </c>
      <c r="L16" s="48">
        <v>45</v>
      </c>
      <c r="M16" s="46">
        <f t="shared" si="0"/>
        <v>330</v>
      </c>
    </row>
    <row r="17" spans="1:13" ht="10.9" customHeight="1">
      <c r="A17" s="9"/>
      <c r="B17" s="30" t="s">
        <v>14</v>
      </c>
      <c r="C17" s="47">
        <v>2</v>
      </c>
      <c r="D17" s="48">
        <v>6</v>
      </c>
      <c r="E17" s="47">
        <v>3</v>
      </c>
      <c r="F17" s="48" t="s">
        <v>81</v>
      </c>
      <c r="G17" s="48">
        <v>17</v>
      </c>
      <c r="H17" s="48" t="s">
        <v>81</v>
      </c>
      <c r="I17" s="48" t="s">
        <v>81</v>
      </c>
      <c r="J17" s="48" t="s">
        <v>81</v>
      </c>
      <c r="K17" s="48">
        <v>1</v>
      </c>
      <c r="L17" s="48">
        <v>1</v>
      </c>
      <c r="M17" s="46">
        <f t="shared" si="0"/>
        <v>30</v>
      </c>
    </row>
    <row r="18" spans="1:13" ht="10.9" customHeight="1">
      <c r="A18" s="9"/>
      <c r="B18" s="31" t="s">
        <v>15</v>
      </c>
      <c r="C18" s="57">
        <v>4</v>
      </c>
      <c r="D18" s="55">
        <v>4</v>
      </c>
      <c r="E18" s="57">
        <v>47</v>
      </c>
      <c r="F18" s="55">
        <v>13</v>
      </c>
      <c r="G18" s="55">
        <v>41</v>
      </c>
      <c r="H18" s="55">
        <v>3</v>
      </c>
      <c r="I18" s="55" t="s">
        <v>81</v>
      </c>
      <c r="J18" s="55" t="s">
        <v>81</v>
      </c>
      <c r="K18" s="55">
        <v>1</v>
      </c>
      <c r="L18" s="55">
        <v>18</v>
      </c>
      <c r="M18" s="58">
        <f t="shared" si="0"/>
        <v>131</v>
      </c>
    </row>
    <row r="19" spans="1:13" ht="10.9" customHeight="1">
      <c r="A19" s="9"/>
      <c r="B19" s="30" t="s">
        <v>16</v>
      </c>
      <c r="C19" s="47" t="s">
        <v>81</v>
      </c>
      <c r="D19" s="48" t="s">
        <v>81</v>
      </c>
      <c r="E19" s="47" t="s">
        <v>81</v>
      </c>
      <c r="F19" s="48" t="s">
        <v>81</v>
      </c>
      <c r="G19" s="48">
        <v>2</v>
      </c>
      <c r="H19" s="48" t="s">
        <v>81</v>
      </c>
      <c r="I19" s="48" t="s">
        <v>81</v>
      </c>
      <c r="J19" s="48" t="s">
        <v>81</v>
      </c>
      <c r="K19" s="48" t="s">
        <v>81</v>
      </c>
      <c r="L19" s="48" t="s">
        <v>81</v>
      </c>
      <c r="M19" s="46">
        <f t="shared" si="0"/>
        <v>2</v>
      </c>
    </row>
    <row r="20" spans="1:13" ht="10.9" customHeight="1">
      <c r="A20" s="9"/>
      <c r="B20" s="30" t="s">
        <v>17</v>
      </c>
      <c r="C20" s="47" t="s">
        <v>81</v>
      </c>
      <c r="D20" s="48" t="s">
        <v>81</v>
      </c>
      <c r="E20" s="47" t="s">
        <v>81</v>
      </c>
      <c r="F20" s="48" t="s">
        <v>81</v>
      </c>
      <c r="G20" s="48" t="s">
        <v>81</v>
      </c>
      <c r="H20" s="47" t="s">
        <v>81</v>
      </c>
      <c r="I20" s="47" t="s">
        <v>81</v>
      </c>
      <c r="J20" s="48" t="s">
        <v>81</v>
      </c>
      <c r="K20" s="48" t="s">
        <v>81</v>
      </c>
      <c r="L20" s="48" t="s">
        <v>81</v>
      </c>
      <c r="M20" s="46">
        <f t="shared" si="0"/>
        <v>0</v>
      </c>
    </row>
    <row r="21" spans="1:13" ht="10.9" customHeight="1">
      <c r="A21" s="9"/>
      <c r="B21" s="30" t="s">
        <v>18</v>
      </c>
      <c r="C21" s="47" t="s">
        <v>81</v>
      </c>
      <c r="D21" s="48">
        <v>1</v>
      </c>
      <c r="E21" s="47">
        <v>8</v>
      </c>
      <c r="F21" s="48" t="s">
        <v>81</v>
      </c>
      <c r="G21" s="48">
        <v>1</v>
      </c>
      <c r="H21" s="47" t="s">
        <v>81</v>
      </c>
      <c r="I21" s="47" t="s">
        <v>81</v>
      </c>
      <c r="J21" s="48" t="s">
        <v>81</v>
      </c>
      <c r="K21" s="48" t="s">
        <v>81</v>
      </c>
      <c r="L21" s="47" t="s">
        <v>81</v>
      </c>
      <c r="M21" s="46">
        <f t="shared" si="0"/>
        <v>10</v>
      </c>
    </row>
    <row r="22" spans="1:13" ht="10.9" customHeight="1">
      <c r="A22" s="9"/>
      <c r="B22" s="30" t="s">
        <v>19</v>
      </c>
      <c r="C22" s="47" t="s">
        <v>81</v>
      </c>
      <c r="D22" s="48" t="s">
        <v>81</v>
      </c>
      <c r="E22" s="47" t="s">
        <v>81</v>
      </c>
      <c r="F22" s="48" t="s">
        <v>81</v>
      </c>
      <c r="G22" s="48" t="s">
        <v>81</v>
      </c>
      <c r="H22" s="47" t="s">
        <v>81</v>
      </c>
      <c r="I22" s="47" t="s">
        <v>81</v>
      </c>
      <c r="J22" s="48" t="s">
        <v>81</v>
      </c>
      <c r="K22" s="48" t="s">
        <v>81</v>
      </c>
      <c r="L22" s="47" t="s">
        <v>81</v>
      </c>
      <c r="M22" s="46">
        <f t="shared" si="0"/>
        <v>0</v>
      </c>
    </row>
    <row r="23" spans="1:13" ht="10.9" customHeight="1">
      <c r="A23" s="9"/>
      <c r="B23" s="31" t="s">
        <v>20</v>
      </c>
      <c r="C23" s="57" t="s">
        <v>81</v>
      </c>
      <c r="D23" s="55" t="s">
        <v>81</v>
      </c>
      <c r="E23" s="57" t="s">
        <v>81</v>
      </c>
      <c r="F23" s="55" t="s">
        <v>81</v>
      </c>
      <c r="G23" s="55">
        <v>16</v>
      </c>
      <c r="H23" s="57" t="s">
        <v>81</v>
      </c>
      <c r="I23" s="57" t="s">
        <v>81</v>
      </c>
      <c r="J23" s="55" t="s">
        <v>81</v>
      </c>
      <c r="K23" s="55">
        <v>1</v>
      </c>
      <c r="L23" s="57">
        <v>2</v>
      </c>
      <c r="M23" s="58">
        <f t="shared" si="0"/>
        <v>19</v>
      </c>
    </row>
    <row r="24" spans="1:13" ht="10.9" customHeight="1">
      <c r="A24" s="9"/>
      <c r="B24" s="30" t="s">
        <v>21</v>
      </c>
      <c r="C24" s="47">
        <v>1</v>
      </c>
      <c r="D24" s="48">
        <v>2</v>
      </c>
      <c r="E24" s="47">
        <v>18</v>
      </c>
      <c r="F24" s="48">
        <v>1</v>
      </c>
      <c r="G24" s="48">
        <v>11</v>
      </c>
      <c r="H24" s="47" t="s">
        <v>81</v>
      </c>
      <c r="I24" s="47" t="s">
        <v>81</v>
      </c>
      <c r="J24" s="48" t="s">
        <v>81</v>
      </c>
      <c r="K24" s="48" t="s">
        <v>81</v>
      </c>
      <c r="L24" s="47">
        <v>11</v>
      </c>
      <c r="M24" s="46">
        <f t="shared" si="0"/>
        <v>44</v>
      </c>
    </row>
    <row r="25" spans="1:13" ht="10.9" customHeight="1">
      <c r="A25" s="9"/>
      <c r="B25" s="30" t="s">
        <v>22</v>
      </c>
      <c r="C25" s="47">
        <v>2</v>
      </c>
      <c r="D25" s="48">
        <v>13</v>
      </c>
      <c r="E25" s="47">
        <v>31</v>
      </c>
      <c r="F25" s="48">
        <v>6</v>
      </c>
      <c r="G25" s="48">
        <v>21</v>
      </c>
      <c r="H25" s="47" t="s">
        <v>81</v>
      </c>
      <c r="I25" s="47" t="s">
        <v>81</v>
      </c>
      <c r="J25" s="48" t="s">
        <v>81</v>
      </c>
      <c r="K25" s="48">
        <v>3</v>
      </c>
      <c r="L25" s="47">
        <v>15</v>
      </c>
      <c r="M25" s="46">
        <f t="shared" si="0"/>
        <v>91</v>
      </c>
    </row>
    <row r="26" spans="1:13" ht="10.9" customHeight="1">
      <c r="A26" s="9"/>
      <c r="B26" s="30" t="s">
        <v>23</v>
      </c>
      <c r="C26" s="47">
        <v>1</v>
      </c>
      <c r="D26" s="48" t="s">
        <v>81</v>
      </c>
      <c r="E26" s="47" t="s">
        <v>81</v>
      </c>
      <c r="F26" s="48">
        <v>1</v>
      </c>
      <c r="G26" s="48">
        <v>5</v>
      </c>
      <c r="H26" s="47" t="s">
        <v>81</v>
      </c>
      <c r="I26" s="47" t="s">
        <v>81</v>
      </c>
      <c r="J26" s="48" t="s">
        <v>81</v>
      </c>
      <c r="K26" s="48">
        <v>1</v>
      </c>
      <c r="L26" s="47">
        <v>1</v>
      </c>
      <c r="M26" s="46">
        <f t="shared" si="0"/>
        <v>9</v>
      </c>
    </row>
    <row r="27" spans="1:13" ht="10.9" customHeight="1">
      <c r="A27" s="9"/>
      <c r="B27" s="30" t="s">
        <v>24</v>
      </c>
      <c r="C27" s="47" t="s">
        <v>81</v>
      </c>
      <c r="D27" s="48" t="s">
        <v>81</v>
      </c>
      <c r="E27" s="47" t="s">
        <v>81</v>
      </c>
      <c r="F27" s="48" t="s">
        <v>81</v>
      </c>
      <c r="G27" s="48" t="s">
        <v>81</v>
      </c>
      <c r="H27" s="47" t="s">
        <v>81</v>
      </c>
      <c r="I27" s="47" t="s">
        <v>81</v>
      </c>
      <c r="J27" s="48" t="s">
        <v>81</v>
      </c>
      <c r="K27" s="48" t="s">
        <v>81</v>
      </c>
      <c r="L27" s="47" t="s">
        <v>81</v>
      </c>
      <c r="M27" s="46">
        <f t="shared" si="0"/>
        <v>0</v>
      </c>
    </row>
    <row r="28" spans="1:13" ht="10.9" customHeight="1">
      <c r="A28" s="9"/>
      <c r="B28" s="31" t="s">
        <v>25</v>
      </c>
      <c r="C28" s="57">
        <v>3</v>
      </c>
      <c r="D28" s="55" t="s">
        <v>81</v>
      </c>
      <c r="E28" s="57">
        <v>34</v>
      </c>
      <c r="F28" s="55">
        <v>1</v>
      </c>
      <c r="G28" s="55">
        <v>4</v>
      </c>
      <c r="H28" s="57" t="s">
        <v>81</v>
      </c>
      <c r="I28" s="57" t="s">
        <v>81</v>
      </c>
      <c r="J28" s="55" t="s">
        <v>81</v>
      </c>
      <c r="K28" s="55">
        <v>1</v>
      </c>
      <c r="L28" s="57">
        <v>6</v>
      </c>
      <c r="M28" s="58">
        <f t="shared" si="0"/>
        <v>49</v>
      </c>
    </row>
    <row r="29" spans="1:13" ht="10.9" customHeight="1">
      <c r="A29" s="9"/>
      <c r="B29" s="30" t="s">
        <v>26</v>
      </c>
      <c r="C29" s="47">
        <v>2</v>
      </c>
      <c r="D29" s="48" t="s">
        <v>81</v>
      </c>
      <c r="E29" s="47">
        <v>8</v>
      </c>
      <c r="F29" s="48" t="s">
        <v>81</v>
      </c>
      <c r="G29" s="48">
        <v>7</v>
      </c>
      <c r="H29" s="47" t="s">
        <v>81</v>
      </c>
      <c r="I29" s="47" t="s">
        <v>81</v>
      </c>
      <c r="J29" s="48" t="s">
        <v>81</v>
      </c>
      <c r="K29" s="48" t="s">
        <v>81</v>
      </c>
      <c r="L29" s="47">
        <v>2</v>
      </c>
      <c r="M29" s="46">
        <f t="shared" si="0"/>
        <v>19</v>
      </c>
    </row>
    <row r="30" spans="1:13" ht="10.9" customHeight="1">
      <c r="A30" s="9"/>
      <c r="B30" s="30" t="s">
        <v>27</v>
      </c>
      <c r="C30" s="47" t="s">
        <v>81</v>
      </c>
      <c r="D30" s="48" t="s">
        <v>81</v>
      </c>
      <c r="E30" s="47" t="s">
        <v>81</v>
      </c>
      <c r="F30" s="48" t="s">
        <v>81</v>
      </c>
      <c r="G30" s="48" t="s">
        <v>81</v>
      </c>
      <c r="H30" s="47" t="s">
        <v>81</v>
      </c>
      <c r="I30" s="47" t="s">
        <v>81</v>
      </c>
      <c r="J30" s="48" t="s">
        <v>81</v>
      </c>
      <c r="K30" s="48" t="s">
        <v>81</v>
      </c>
      <c r="L30" s="47" t="s">
        <v>81</v>
      </c>
      <c r="M30" s="46">
        <f t="shared" si="0"/>
        <v>0</v>
      </c>
    </row>
    <row r="31" spans="1:13" ht="10.9" customHeight="1">
      <c r="A31" s="9"/>
      <c r="B31" s="30" t="s">
        <v>28</v>
      </c>
      <c r="C31" s="47" t="s">
        <v>81</v>
      </c>
      <c r="D31" s="48" t="s">
        <v>81</v>
      </c>
      <c r="E31" s="47">
        <v>1</v>
      </c>
      <c r="F31" s="48" t="s">
        <v>81</v>
      </c>
      <c r="G31" s="48">
        <v>4</v>
      </c>
      <c r="H31" s="47" t="s">
        <v>81</v>
      </c>
      <c r="I31" s="47" t="s">
        <v>81</v>
      </c>
      <c r="J31" s="48" t="s">
        <v>81</v>
      </c>
      <c r="K31" s="48" t="s">
        <v>81</v>
      </c>
      <c r="L31" s="47">
        <v>1</v>
      </c>
      <c r="M31" s="46">
        <f t="shared" si="0"/>
        <v>6</v>
      </c>
    </row>
    <row r="32" spans="1:13" ht="10.9" customHeight="1">
      <c r="A32" s="9"/>
      <c r="B32" s="30" t="s">
        <v>29</v>
      </c>
      <c r="C32" s="47" t="s">
        <v>81</v>
      </c>
      <c r="D32" s="48" t="s">
        <v>81</v>
      </c>
      <c r="E32" s="47" t="s">
        <v>81</v>
      </c>
      <c r="F32" s="48" t="s">
        <v>81</v>
      </c>
      <c r="G32" s="48" t="s">
        <v>81</v>
      </c>
      <c r="H32" s="47" t="s">
        <v>81</v>
      </c>
      <c r="I32" s="47" t="s">
        <v>81</v>
      </c>
      <c r="J32" s="48" t="s">
        <v>81</v>
      </c>
      <c r="K32" s="48" t="s">
        <v>81</v>
      </c>
      <c r="L32" s="47">
        <v>1</v>
      </c>
      <c r="M32" s="46">
        <f t="shared" si="0"/>
        <v>1</v>
      </c>
    </row>
    <row r="33" spans="1:13" ht="10.9" customHeight="1">
      <c r="A33" s="9"/>
      <c r="B33" s="31" t="s">
        <v>30</v>
      </c>
      <c r="C33" s="57">
        <v>5</v>
      </c>
      <c r="D33" s="55">
        <v>1</v>
      </c>
      <c r="E33" s="57">
        <v>16</v>
      </c>
      <c r="F33" s="55">
        <v>2</v>
      </c>
      <c r="G33" s="55">
        <v>29</v>
      </c>
      <c r="H33" s="57" t="s">
        <v>81</v>
      </c>
      <c r="I33" s="57" t="s">
        <v>81</v>
      </c>
      <c r="J33" s="55">
        <v>2</v>
      </c>
      <c r="K33" s="55">
        <v>1</v>
      </c>
      <c r="L33" s="57">
        <v>8</v>
      </c>
      <c r="M33" s="58">
        <f t="shared" si="0"/>
        <v>64</v>
      </c>
    </row>
    <row r="34" spans="1:13" ht="10.9" customHeight="1">
      <c r="A34" s="9"/>
      <c r="B34" s="30" t="s">
        <v>31</v>
      </c>
      <c r="C34" s="47" t="s">
        <v>81</v>
      </c>
      <c r="D34" s="48" t="s">
        <v>81</v>
      </c>
      <c r="E34" s="47" t="s">
        <v>81</v>
      </c>
      <c r="F34" s="48" t="s">
        <v>81</v>
      </c>
      <c r="G34" s="48">
        <v>3</v>
      </c>
      <c r="H34" s="47" t="s">
        <v>81</v>
      </c>
      <c r="I34" s="47" t="s">
        <v>81</v>
      </c>
      <c r="J34" s="48" t="s">
        <v>81</v>
      </c>
      <c r="K34" s="48" t="s">
        <v>81</v>
      </c>
      <c r="L34" s="47">
        <v>3</v>
      </c>
      <c r="M34" s="46">
        <f t="shared" si="0"/>
        <v>6</v>
      </c>
    </row>
    <row r="35" spans="1:13" ht="10.9" customHeight="1">
      <c r="A35" s="9"/>
      <c r="B35" s="30" t="s">
        <v>32</v>
      </c>
      <c r="C35" s="47" t="s">
        <v>81</v>
      </c>
      <c r="D35" s="48" t="s">
        <v>81</v>
      </c>
      <c r="E35" s="47" t="s">
        <v>81</v>
      </c>
      <c r="F35" s="48" t="s">
        <v>81</v>
      </c>
      <c r="G35" s="48">
        <v>5</v>
      </c>
      <c r="H35" s="47">
        <v>1</v>
      </c>
      <c r="I35" s="47" t="s">
        <v>81</v>
      </c>
      <c r="J35" s="48" t="s">
        <v>81</v>
      </c>
      <c r="K35" s="48" t="s">
        <v>81</v>
      </c>
      <c r="L35" s="47">
        <v>2</v>
      </c>
      <c r="M35" s="46">
        <f t="shared" si="0"/>
        <v>8</v>
      </c>
    </row>
    <row r="36" spans="1:13" ht="10.9" customHeight="1">
      <c r="A36" s="9"/>
      <c r="B36" s="30" t="s">
        <v>33</v>
      </c>
      <c r="C36" s="47" t="s">
        <v>81</v>
      </c>
      <c r="D36" s="48" t="s">
        <v>81</v>
      </c>
      <c r="E36" s="47" t="s">
        <v>81</v>
      </c>
      <c r="F36" s="48" t="s">
        <v>81</v>
      </c>
      <c r="G36" s="48" t="s">
        <v>81</v>
      </c>
      <c r="H36" s="47" t="s">
        <v>81</v>
      </c>
      <c r="I36" s="47" t="s">
        <v>81</v>
      </c>
      <c r="J36" s="48" t="s">
        <v>81</v>
      </c>
      <c r="K36" s="48" t="s">
        <v>81</v>
      </c>
      <c r="L36" s="47" t="s">
        <v>81</v>
      </c>
      <c r="M36" s="46">
        <f t="shared" si="0"/>
        <v>0</v>
      </c>
    </row>
    <row r="37" spans="1:13" ht="10.9" customHeight="1">
      <c r="A37" s="9"/>
      <c r="B37" s="30" t="s">
        <v>34</v>
      </c>
      <c r="C37" s="47" t="s">
        <v>81</v>
      </c>
      <c r="D37" s="47" t="s">
        <v>81</v>
      </c>
      <c r="E37" s="47" t="s">
        <v>81</v>
      </c>
      <c r="F37" s="48" t="s">
        <v>81</v>
      </c>
      <c r="G37" s="48" t="s">
        <v>81</v>
      </c>
      <c r="H37" s="47" t="s">
        <v>81</v>
      </c>
      <c r="I37" s="47" t="s">
        <v>81</v>
      </c>
      <c r="J37" s="48" t="s">
        <v>81</v>
      </c>
      <c r="K37" s="48" t="s">
        <v>81</v>
      </c>
      <c r="L37" s="47" t="s">
        <v>81</v>
      </c>
      <c r="M37" s="46">
        <f t="shared" si="0"/>
        <v>0</v>
      </c>
    </row>
    <row r="38" spans="1:13" ht="10.9" customHeight="1">
      <c r="A38" s="9"/>
      <c r="B38" s="31" t="s">
        <v>35</v>
      </c>
      <c r="C38" s="57" t="s">
        <v>81</v>
      </c>
      <c r="D38" s="55" t="s">
        <v>81</v>
      </c>
      <c r="E38" s="57" t="s">
        <v>81</v>
      </c>
      <c r="F38" s="55" t="s">
        <v>81</v>
      </c>
      <c r="G38" s="55" t="s">
        <v>81</v>
      </c>
      <c r="H38" s="57" t="s">
        <v>81</v>
      </c>
      <c r="I38" s="57" t="s">
        <v>81</v>
      </c>
      <c r="J38" s="55" t="s">
        <v>81</v>
      </c>
      <c r="K38" s="55" t="s">
        <v>81</v>
      </c>
      <c r="L38" s="57" t="s">
        <v>81</v>
      </c>
      <c r="M38" s="58">
        <f t="shared" si="0"/>
        <v>0</v>
      </c>
    </row>
    <row r="39" spans="1:13" ht="10.9" customHeight="1">
      <c r="A39" s="9"/>
      <c r="B39" s="30" t="s">
        <v>36</v>
      </c>
      <c r="C39" s="47" t="s">
        <v>81</v>
      </c>
      <c r="D39" s="48">
        <v>2</v>
      </c>
      <c r="E39" s="47">
        <v>9</v>
      </c>
      <c r="F39" s="48" t="s">
        <v>81</v>
      </c>
      <c r="G39" s="48">
        <v>6</v>
      </c>
      <c r="H39" s="47" t="s">
        <v>81</v>
      </c>
      <c r="I39" s="47" t="s">
        <v>81</v>
      </c>
      <c r="J39" s="48" t="s">
        <v>81</v>
      </c>
      <c r="K39" s="48" t="s">
        <v>81</v>
      </c>
      <c r="L39" s="47">
        <v>5</v>
      </c>
      <c r="M39" s="46">
        <f t="shared" si="0"/>
        <v>22</v>
      </c>
    </row>
    <row r="40" spans="1:13" ht="10.9" customHeight="1">
      <c r="A40" s="9"/>
      <c r="B40" s="30" t="s">
        <v>37</v>
      </c>
      <c r="C40" s="47">
        <v>5</v>
      </c>
      <c r="D40" s="48" t="s">
        <v>81</v>
      </c>
      <c r="E40" s="47">
        <v>17</v>
      </c>
      <c r="F40" s="48">
        <v>2</v>
      </c>
      <c r="G40" s="48">
        <v>4</v>
      </c>
      <c r="H40" s="47" t="s">
        <v>81</v>
      </c>
      <c r="I40" s="47" t="s">
        <v>81</v>
      </c>
      <c r="J40" s="48" t="s">
        <v>81</v>
      </c>
      <c r="K40" s="48" t="s">
        <v>81</v>
      </c>
      <c r="L40" s="47">
        <v>1</v>
      </c>
      <c r="M40" s="46">
        <f t="shared" si="0"/>
        <v>29</v>
      </c>
    </row>
    <row r="41" spans="1:13" ht="10.9" customHeight="1">
      <c r="A41" s="9"/>
      <c r="B41" s="30" t="s">
        <v>38</v>
      </c>
      <c r="C41" s="47" t="s">
        <v>81</v>
      </c>
      <c r="D41" s="48" t="s">
        <v>81</v>
      </c>
      <c r="E41" s="47">
        <v>1</v>
      </c>
      <c r="F41" s="48" t="s">
        <v>81</v>
      </c>
      <c r="G41" s="48">
        <v>1</v>
      </c>
      <c r="H41" s="47" t="s">
        <v>81</v>
      </c>
      <c r="I41" s="47" t="s">
        <v>81</v>
      </c>
      <c r="J41" s="48" t="s">
        <v>81</v>
      </c>
      <c r="K41" s="48" t="s">
        <v>81</v>
      </c>
      <c r="L41" s="47">
        <v>1</v>
      </c>
      <c r="M41" s="53">
        <f t="shared" si="0"/>
        <v>3</v>
      </c>
    </row>
    <row r="42" spans="1:13" ht="10.9" customHeight="1">
      <c r="A42" s="9"/>
      <c r="B42" s="30" t="s">
        <v>39</v>
      </c>
      <c r="C42" s="47" t="s">
        <v>81</v>
      </c>
      <c r="D42" s="48" t="s">
        <v>81</v>
      </c>
      <c r="E42" s="47" t="s">
        <v>81</v>
      </c>
      <c r="F42" s="48">
        <v>1</v>
      </c>
      <c r="G42" s="48" t="s">
        <v>81</v>
      </c>
      <c r="H42" s="47" t="s">
        <v>81</v>
      </c>
      <c r="I42" s="47" t="s">
        <v>81</v>
      </c>
      <c r="J42" s="48" t="s">
        <v>81</v>
      </c>
      <c r="K42" s="48" t="s">
        <v>81</v>
      </c>
      <c r="L42" s="47" t="s">
        <v>81</v>
      </c>
      <c r="M42" s="53">
        <f t="shared" si="0"/>
        <v>1</v>
      </c>
    </row>
    <row r="43" spans="1:13" ht="10.9" customHeight="1">
      <c r="A43" s="9"/>
      <c r="B43" s="30" t="s">
        <v>40</v>
      </c>
      <c r="C43" s="47" t="s">
        <v>81</v>
      </c>
      <c r="D43" s="48" t="s">
        <v>81</v>
      </c>
      <c r="E43" s="47" t="s">
        <v>81</v>
      </c>
      <c r="F43" s="48" t="s">
        <v>81</v>
      </c>
      <c r="G43" s="48" t="s">
        <v>81</v>
      </c>
      <c r="H43" s="47" t="s">
        <v>81</v>
      </c>
      <c r="I43" s="47" t="s">
        <v>81</v>
      </c>
      <c r="J43" s="48" t="s">
        <v>81</v>
      </c>
      <c r="K43" s="48" t="s">
        <v>81</v>
      </c>
      <c r="L43" s="47" t="s">
        <v>81</v>
      </c>
      <c r="M43" s="53">
        <f t="shared" si="0"/>
        <v>0</v>
      </c>
    </row>
    <row r="44" spans="1:13" ht="10.9" customHeight="1" thickBot="1">
      <c r="A44" s="9"/>
      <c r="B44" s="59" t="s">
        <v>41</v>
      </c>
      <c r="C44" s="50">
        <v>5</v>
      </c>
      <c r="D44" s="49">
        <v>14</v>
      </c>
      <c r="E44" s="49">
        <v>20</v>
      </c>
      <c r="F44" s="49" t="s">
        <v>81</v>
      </c>
      <c r="G44" s="50">
        <v>21</v>
      </c>
      <c r="H44" s="49" t="s">
        <v>81</v>
      </c>
      <c r="I44" s="49" t="s">
        <v>81</v>
      </c>
      <c r="J44" s="50" t="s">
        <v>81</v>
      </c>
      <c r="K44" s="50" t="s">
        <v>81</v>
      </c>
      <c r="L44" s="49">
        <v>17</v>
      </c>
      <c r="M44" s="54">
        <f t="shared" si="0"/>
        <v>77</v>
      </c>
    </row>
    <row r="45" spans="1:13" ht="10.9" customHeight="1" thickBot="1">
      <c r="A45" s="9"/>
      <c r="B45" s="45" t="s">
        <v>82</v>
      </c>
      <c r="C45" s="25">
        <f>SUM(C4:C44)</f>
        <v>71</v>
      </c>
      <c r="D45" s="51">
        <f t="shared" ref="D45:L45" si="1">SUM(D4:D44)</f>
        <v>146</v>
      </c>
      <c r="E45" s="51">
        <f t="shared" si="1"/>
        <v>593</v>
      </c>
      <c r="F45" s="52">
        <f t="shared" si="1"/>
        <v>70</v>
      </c>
      <c r="G45" s="52">
        <f t="shared" si="1"/>
        <v>572</v>
      </c>
      <c r="H45" s="51">
        <f t="shared" si="1"/>
        <v>10</v>
      </c>
      <c r="I45" s="51">
        <f t="shared" si="1"/>
        <v>1</v>
      </c>
      <c r="J45" s="25">
        <f t="shared" si="1"/>
        <v>2</v>
      </c>
      <c r="K45" s="25">
        <f t="shared" si="1"/>
        <v>16</v>
      </c>
      <c r="L45" s="51">
        <f t="shared" si="1"/>
        <v>249</v>
      </c>
      <c r="M45" s="60">
        <v>1730</v>
      </c>
    </row>
  </sheetData>
  <mergeCells count="1">
    <mergeCell ref="B1:M1"/>
  </mergeCells>
  <pageMargins left="0.5" right="0.5" top="0.76041666666666663" bottom="0.75" header="0.3" footer="0.3"/>
  <pageSetup orientation="landscape" r:id="rId1"/>
  <headerFooter>
    <oddHeader>&amp;C&amp;"Arial,Bold"Incidents of Prohibited Behavior in School or School-Related Activities by District, 2011-2012</oddHeader>
    <oddFooter>&amp;L&amp;"Arial,Regular"&amp;7Complier: USOE/Career, Techincial, and Adult Education/Verne Larsen
Source: Warehouse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showGridLines="0" view="pageLayout" zoomScaleNormal="100" workbookViewId="0">
      <selection activeCell="B7" sqref="B7"/>
    </sheetView>
  </sheetViews>
  <sheetFormatPr defaultRowHeight="15"/>
  <cols>
    <col min="1" max="1" width="7.7109375" style="1" customWidth="1"/>
    <col min="2" max="2" width="28.28515625" customWidth="1"/>
    <col min="3" max="3" width="6.140625" bestFit="1" customWidth="1"/>
    <col min="4" max="4" width="6.7109375" bestFit="1" customWidth="1"/>
    <col min="5" max="5" width="9.140625" bestFit="1" customWidth="1"/>
    <col min="6" max="6" width="9.28515625" bestFit="1" customWidth="1"/>
    <col min="7" max="7" width="6.42578125" bestFit="1" customWidth="1"/>
    <col min="8" max="8" width="4.7109375" bestFit="1" customWidth="1"/>
    <col min="9" max="9" width="7.140625" bestFit="1" customWidth="1"/>
    <col min="10" max="10" width="4" bestFit="1" customWidth="1"/>
    <col min="11" max="11" width="10.7109375" bestFit="1" customWidth="1"/>
    <col min="12" max="12" width="11" bestFit="1" customWidth="1"/>
  </cols>
  <sheetData>
    <row r="1" spans="1:13" s="1" customFormat="1" ht="10.9" customHeight="1" thickBot="1">
      <c r="B1" s="93" t="s">
        <v>87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</row>
    <row r="2" spans="1:13" s="1" customFormat="1" ht="11.45" customHeight="1" thickBot="1">
      <c r="B2" s="40"/>
      <c r="C2" s="52" t="s">
        <v>42</v>
      </c>
      <c r="D2" s="41" t="s">
        <v>43</v>
      </c>
      <c r="E2" s="42" t="s">
        <v>44</v>
      </c>
      <c r="F2" s="41" t="s">
        <v>45</v>
      </c>
      <c r="G2" s="41" t="s">
        <v>46</v>
      </c>
      <c r="H2" s="41" t="s">
        <v>47</v>
      </c>
      <c r="I2" s="41" t="s">
        <v>48</v>
      </c>
      <c r="J2" s="41" t="s">
        <v>49</v>
      </c>
      <c r="K2" s="42" t="s">
        <v>50</v>
      </c>
      <c r="L2" s="42" t="s">
        <v>51</v>
      </c>
      <c r="M2" s="43" t="s">
        <v>80</v>
      </c>
    </row>
    <row r="3" spans="1:13" s="1" customFormat="1" ht="10.9" customHeight="1">
      <c r="A3" s="9"/>
      <c r="B3" s="67" t="s">
        <v>90</v>
      </c>
      <c r="C3" s="62"/>
      <c r="D3" s="62"/>
      <c r="E3" s="63"/>
      <c r="F3" s="62"/>
      <c r="G3" s="62"/>
      <c r="H3" s="62"/>
      <c r="I3" s="62"/>
      <c r="J3" s="62"/>
      <c r="K3" s="63"/>
      <c r="L3" s="63"/>
      <c r="M3" s="61"/>
    </row>
    <row r="4" spans="1:13">
      <c r="A4" s="9"/>
      <c r="B4" s="69" t="s">
        <v>54</v>
      </c>
      <c r="C4" s="2"/>
      <c r="D4" s="2"/>
      <c r="E4" s="2"/>
      <c r="F4" s="2"/>
      <c r="G4" s="2"/>
      <c r="H4" s="2"/>
      <c r="I4" s="2"/>
      <c r="J4" s="2"/>
      <c r="K4" s="2"/>
      <c r="L4" s="2"/>
      <c r="M4" s="65">
        <f t="shared" ref="M4:M10" si="0">SUM(C4:L4)</f>
        <v>0</v>
      </c>
    </row>
    <row r="5" spans="1:13">
      <c r="A5" s="9"/>
      <c r="B5" s="69" t="s">
        <v>52</v>
      </c>
      <c r="C5" s="2"/>
      <c r="D5" s="2"/>
      <c r="E5" s="2"/>
      <c r="F5" s="2"/>
      <c r="G5" s="2"/>
      <c r="H5" s="2"/>
      <c r="I5" s="2"/>
      <c r="J5" s="2"/>
      <c r="K5" s="2"/>
      <c r="L5" s="2"/>
      <c r="M5" s="65">
        <f t="shared" si="0"/>
        <v>0</v>
      </c>
    </row>
    <row r="6" spans="1:13">
      <c r="A6" s="9"/>
      <c r="B6" s="70" t="s">
        <v>94</v>
      </c>
      <c r="C6" s="2"/>
      <c r="D6" s="2"/>
      <c r="E6" s="2"/>
      <c r="F6" s="2"/>
      <c r="G6" s="2"/>
      <c r="H6" s="2"/>
      <c r="I6" s="2"/>
      <c r="J6" s="2"/>
      <c r="K6" s="2"/>
      <c r="L6" s="2"/>
      <c r="M6" s="65">
        <f t="shared" si="0"/>
        <v>0</v>
      </c>
    </row>
    <row r="7" spans="1:13" ht="22.5">
      <c r="A7" s="9"/>
      <c r="B7" s="69" t="s">
        <v>93</v>
      </c>
      <c r="C7" s="2"/>
      <c r="D7" s="2"/>
      <c r="E7" s="2"/>
      <c r="F7" s="2"/>
      <c r="G7" s="2"/>
      <c r="H7" s="2"/>
      <c r="I7" s="2"/>
      <c r="J7" s="2"/>
      <c r="K7" s="2"/>
      <c r="L7" s="2"/>
      <c r="M7" s="65">
        <f t="shared" si="0"/>
        <v>0</v>
      </c>
    </row>
    <row r="8" spans="1:13">
      <c r="A8" s="9"/>
      <c r="B8" s="70" t="s">
        <v>61</v>
      </c>
      <c r="C8" s="2"/>
      <c r="D8" s="2"/>
      <c r="E8" s="2">
        <v>1</v>
      </c>
      <c r="F8" s="2"/>
      <c r="G8" s="2">
        <v>1</v>
      </c>
      <c r="H8" s="2"/>
      <c r="I8" s="2"/>
      <c r="J8" s="2"/>
      <c r="K8" s="2"/>
      <c r="L8" s="2"/>
      <c r="M8" s="65">
        <f t="shared" si="0"/>
        <v>2</v>
      </c>
    </row>
    <row r="9" spans="1:13" ht="15.75" thickBot="1">
      <c r="A9" s="9"/>
      <c r="B9" s="71" t="s">
        <v>77</v>
      </c>
      <c r="C9" s="8"/>
      <c r="D9" s="8"/>
      <c r="E9" s="8"/>
      <c r="F9" s="8"/>
      <c r="G9" s="8"/>
      <c r="H9" s="8"/>
      <c r="I9" s="8"/>
      <c r="J9" s="8"/>
      <c r="K9" s="8"/>
      <c r="L9" s="8">
        <v>1</v>
      </c>
      <c r="M9" s="66">
        <f t="shared" si="0"/>
        <v>1</v>
      </c>
    </row>
    <row r="10" spans="1:13" ht="15.75" thickBot="1">
      <c r="A10" s="9"/>
      <c r="B10" s="68" t="s">
        <v>88</v>
      </c>
      <c r="C10" s="12">
        <f>SUM(C4:C9)</f>
        <v>0</v>
      </c>
      <c r="D10" s="12">
        <f>SUM(D4:D9)</f>
        <v>0</v>
      </c>
      <c r="E10" s="12">
        <f>SUM(E4:E9)</f>
        <v>1</v>
      </c>
      <c r="F10" s="12">
        <f>SUM(F4:F9)</f>
        <v>0</v>
      </c>
      <c r="G10" s="12">
        <f>SUM(G4:G9)</f>
        <v>1</v>
      </c>
      <c r="H10" s="12"/>
      <c r="I10" s="12">
        <f>SUM(I4:I9)</f>
        <v>0</v>
      </c>
      <c r="J10" s="12">
        <f>SUM(J4:J9)</f>
        <v>0</v>
      </c>
      <c r="K10" s="12">
        <f>SUM(K4:K9)</f>
        <v>0</v>
      </c>
      <c r="L10" s="12">
        <f>SUM(L4:L9)</f>
        <v>1</v>
      </c>
      <c r="M10" s="13">
        <f t="shared" si="0"/>
        <v>3</v>
      </c>
    </row>
    <row r="11" spans="1:13" ht="15.75" thickBot="1">
      <c r="B11" s="68" t="s">
        <v>89</v>
      </c>
      <c r="C11" s="12">
        <f>SUM(C10,Middle_Jr!C45)</f>
        <v>71</v>
      </c>
      <c r="D11" s="12">
        <f>SUM(D10,Middle_Jr!D45)</f>
        <v>146</v>
      </c>
      <c r="E11" s="12">
        <f>SUM(E10,Middle_Jr!E45)</f>
        <v>594</v>
      </c>
      <c r="F11" s="12">
        <f>SUM(F10,Middle_Jr!F45)</f>
        <v>70</v>
      </c>
      <c r="G11" s="12">
        <f>SUM(G10,Middle_Jr!G45)</f>
        <v>573</v>
      </c>
      <c r="H11" s="12">
        <f>SUM(H10,Middle_Jr!H45)</f>
        <v>10</v>
      </c>
      <c r="I11" s="12">
        <f>SUM(I10,Middle_Jr!I45)</f>
        <v>1</v>
      </c>
      <c r="J11" s="12">
        <f>SUM(J10,Middle_Jr!J45)</f>
        <v>2</v>
      </c>
      <c r="K11" s="12">
        <f>SUM(K10,Middle_Jr!K45)</f>
        <v>16</v>
      </c>
      <c r="L11" s="12">
        <f>SUM(L10,Middle_Jr!L45)</f>
        <v>250</v>
      </c>
      <c r="M11" s="72">
        <v>1733</v>
      </c>
    </row>
  </sheetData>
  <mergeCells count="1">
    <mergeCell ref="B1:M1"/>
  </mergeCells>
  <pageMargins left="0.5" right="0.5" top="0.67708333333333337" bottom="0.75" header="0.3" footer="0.3"/>
  <pageSetup orientation="landscape" r:id="rId1"/>
  <headerFooter>
    <oddHeader>&amp;C&amp;"Arial,Bold"Incidents of Prohibited Behavior in School or School-Related Activities by Charter School, 2011-2012</oddHeader>
    <oddFooter>&amp;L&amp;"Arial,Regular"&amp;7Complier: USOE/Career, Techincial, and Adult Education/Verne Larsen
Source: Warehouse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M55"/>
  <sheetViews>
    <sheetView showGridLines="0" view="pageLayout" zoomScaleNormal="100" workbookViewId="0">
      <selection activeCell="B9" sqref="B9"/>
    </sheetView>
  </sheetViews>
  <sheetFormatPr defaultRowHeight="15"/>
  <cols>
    <col min="1" max="1" width="8.140625" style="1" customWidth="1"/>
    <col min="2" max="2" width="14.28515625" customWidth="1"/>
    <col min="3" max="3" width="6.7109375" customWidth="1"/>
    <col min="4" max="4" width="7.85546875" customWidth="1"/>
    <col min="5" max="5" width="9.140625" bestFit="1" customWidth="1"/>
    <col min="6" max="6" width="10.140625" customWidth="1"/>
    <col min="7" max="7" width="7.7109375" customWidth="1"/>
    <col min="8" max="8" width="5.7109375" customWidth="1"/>
    <col min="9" max="9" width="8.28515625" customWidth="1"/>
    <col min="10" max="10" width="4.28515625" bestFit="1" customWidth="1"/>
    <col min="11" max="11" width="10.7109375" bestFit="1" customWidth="1"/>
    <col min="12" max="12" width="11.28515625" bestFit="1" customWidth="1"/>
    <col min="13" max="13" width="6" customWidth="1"/>
    <col min="14" max="14" width="9" customWidth="1"/>
  </cols>
  <sheetData>
    <row r="1" spans="1:13" ht="12.6" customHeight="1" thickBot="1">
      <c r="A1" s="39"/>
      <c r="B1" s="96" t="s">
        <v>91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23.25" thickBot="1">
      <c r="A2" s="39"/>
      <c r="B2" s="77"/>
      <c r="C2" s="42" t="s">
        <v>42</v>
      </c>
      <c r="D2" s="42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42" t="s">
        <v>51</v>
      </c>
      <c r="M2" s="43" t="s">
        <v>79</v>
      </c>
    </row>
    <row r="3" spans="1:13" s="1" customFormat="1" ht="10.9" customHeight="1">
      <c r="A3" s="74"/>
      <c r="B3" s="84" t="s">
        <v>0</v>
      </c>
      <c r="C3" s="63"/>
      <c r="D3" s="63"/>
      <c r="E3" s="63"/>
      <c r="F3" s="63"/>
      <c r="G3" s="63"/>
      <c r="H3" s="63"/>
      <c r="I3" s="63"/>
      <c r="J3" s="63"/>
      <c r="K3" s="81"/>
      <c r="L3" s="82"/>
      <c r="M3" s="83"/>
    </row>
    <row r="4" spans="1:13" ht="10.9" customHeight="1">
      <c r="A4" s="74"/>
      <c r="B4" s="30" t="s">
        <v>1</v>
      </c>
      <c r="C4" s="48">
        <v>12</v>
      </c>
      <c r="D4" s="48">
        <v>38</v>
      </c>
      <c r="E4" s="48">
        <v>49</v>
      </c>
      <c r="F4" s="48">
        <v>7</v>
      </c>
      <c r="G4" s="48">
        <v>7</v>
      </c>
      <c r="H4" s="48"/>
      <c r="I4" s="48"/>
      <c r="J4" s="48"/>
      <c r="K4" s="48"/>
      <c r="L4" s="73">
        <v>9</v>
      </c>
      <c r="M4" s="76">
        <f t="shared" ref="M4:M44" si="0">SUM(C4:L4)</f>
        <v>122</v>
      </c>
    </row>
    <row r="5" spans="1:13" ht="10.9" customHeight="1">
      <c r="A5" s="74"/>
      <c r="B5" s="30" t="s">
        <v>2</v>
      </c>
      <c r="C5" s="48">
        <v>1</v>
      </c>
      <c r="D5" s="48"/>
      <c r="E5" s="48"/>
      <c r="F5" s="48"/>
      <c r="G5" s="48"/>
      <c r="H5" s="48"/>
      <c r="I5" s="48"/>
      <c r="J5" s="48"/>
      <c r="K5" s="48"/>
      <c r="L5" s="73"/>
      <c r="M5" s="76">
        <f t="shared" si="0"/>
        <v>1</v>
      </c>
    </row>
    <row r="6" spans="1:13" ht="10.9" customHeight="1">
      <c r="A6" s="74"/>
      <c r="B6" s="30" t="s">
        <v>3</v>
      </c>
      <c r="C6" s="48"/>
      <c r="D6" s="48">
        <v>2</v>
      </c>
      <c r="E6" s="48">
        <v>3</v>
      </c>
      <c r="F6" s="48"/>
      <c r="G6" s="48">
        <v>12</v>
      </c>
      <c r="H6" s="48"/>
      <c r="I6" s="48"/>
      <c r="J6" s="48"/>
      <c r="K6" s="48">
        <v>3</v>
      </c>
      <c r="L6" s="73">
        <v>1</v>
      </c>
      <c r="M6" s="76">
        <f t="shared" si="0"/>
        <v>21</v>
      </c>
    </row>
    <row r="7" spans="1:13" ht="10.9" customHeight="1">
      <c r="A7" s="74"/>
      <c r="B7" s="30" t="s">
        <v>4</v>
      </c>
      <c r="C7" s="48">
        <v>6</v>
      </c>
      <c r="D7" s="48">
        <v>2</v>
      </c>
      <c r="E7" s="48">
        <v>27</v>
      </c>
      <c r="F7" s="48">
        <v>2</v>
      </c>
      <c r="G7" s="48">
        <v>11</v>
      </c>
      <c r="H7" s="48"/>
      <c r="I7" s="48"/>
      <c r="J7" s="48"/>
      <c r="K7" s="48"/>
      <c r="L7" s="73">
        <v>2</v>
      </c>
      <c r="M7" s="76">
        <f t="shared" si="0"/>
        <v>50</v>
      </c>
    </row>
    <row r="8" spans="1:13" ht="10.9" customHeight="1">
      <c r="A8" s="74"/>
      <c r="B8" s="78" t="s">
        <v>5</v>
      </c>
      <c r="C8" s="55">
        <v>12</v>
      </c>
      <c r="D8" s="55">
        <v>5</v>
      </c>
      <c r="E8" s="55">
        <v>45</v>
      </c>
      <c r="F8" s="55">
        <v>4</v>
      </c>
      <c r="G8" s="55">
        <v>36</v>
      </c>
      <c r="H8" s="55">
        <v>3</v>
      </c>
      <c r="I8" s="55"/>
      <c r="J8" s="55"/>
      <c r="K8" s="55"/>
      <c r="L8" s="79">
        <v>7</v>
      </c>
      <c r="M8" s="80">
        <f t="shared" si="0"/>
        <v>112</v>
      </c>
    </row>
    <row r="9" spans="1:13" ht="10.9" customHeight="1">
      <c r="A9" s="74"/>
      <c r="B9" s="30" t="s">
        <v>6</v>
      </c>
      <c r="C9" s="48">
        <v>1</v>
      </c>
      <c r="D9" s="48"/>
      <c r="E9" s="48">
        <v>10</v>
      </c>
      <c r="F9" s="48"/>
      <c r="G9" s="48"/>
      <c r="H9" s="48"/>
      <c r="I9" s="48">
        <v>1</v>
      </c>
      <c r="J9" s="48">
        <v>1</v>
      </c>
      <c r="K9" s="48"/>
      <c r="L9" s="73">
        <v>1</v>
      </c>
      <c r="M9" s="76">
        <f t="shared" si="0"/>
        <v>14</v>
      </c>
    </row>
    <row r="10" spans="1:13" ht="10.9" customHeight="1">
      <c r="A10" s="74"/>
      <c r="B10" s="30" t="s">
        <v>7</v>
      </c>
      <c r="C10" s="48"/>
      <c r="D10" s="48"/>
      <c r="E10" s="48"/>
      <c r="F10" s="48"/>
      <c r="G10" s="48"/>
      <c r="H10" s="48"/>
      <c r="I10" s="48"/>
      <c r="J10" s="48"/>
      <c r="K10" s="48"/>
      <c r="L10" s="73"/>
      <c r="M10" s="76">
        <f t="shared" si="0"/>
        <v>0</v>
      </c>
    </row>
    <row r="11" spans="1:13" ht="10.9" customHeight="1">
      <c r="A11" s="74"/>
      <c r="B11" s="30" t="s">
        <v>8</v>
      </c>
      <c r="C11" s="48">
        <v>20</v>
      </c>
      <c r="D11" s="48">
        <v>24</v>
      </c>
      <c r="E11" s="48">
        <v>108</v>
      </c>
      <c r="F11" s="48"/>
      <c r="G11" s="48">
        <v>27</v>
      </c>
      <c r="H11" s="48"/>
      <c r="I11" s="48"/>
      <c r="J11" s="48"/>
      <c r="K11" s="48">
        <v>5</v>
      </c>
      <c r="L11" s="73">
        <v>13</v>
      </c>
      <c r="M11" s="76">
        <f t="shared" si="0"/>
        <v>197</v>
      </c>
    </row>
    <row r="12" spans="1:13" ht="10.9" customHeight="1">
      <c r="A12" s="74"/>
      <c r="B12" s="30" t="s">
        <v>9</v>
      </c>
      <c r="C12" s="48">
        <v>3</v>
      </c>
      <c r="D12" s="48">
        <v>17</v>
      </c>
      <c r="E12" s="48">
        <v>7</v>
      </c>
      <c r="F12" s="48"/>
      <c r="G12" s="48">
        <v>11</v>
      </c>
      <c r="H12" s="48"/>
      <c r="I12" s="48"/>
      <c r="J12" s="48"/>
      <c r="K12" s="48"/>
      <c r="L12" s="73">
        <v>3</v>
      </c>
      <c r="M12" s="76">
        <f t="shared" si="0"/>
        <v>41</v>
      </c>
    </row>
    <row r="13" spans="1:13" ht="10.9" customHeight="1">
      <c r="A13" s="74"/>
      <c r="B13" s="78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79"/>
      <c r="M13" s="80">
        <f t="shared" si="0"/>
        <v>0</v>
      </c>
    </row>
    <row r="14" spans="1:13" ht="10.9" customHeight="1">
      <c r="A14" s="74"/>
      <c r="B14" s="30" t="s">
        <v>11</v>
      </c>
      <c r="C14" s="44"/>
      <c r="D14" s="47"/>
      <c r="E14" s="48">
        <v>2</v>
      </c>
      <c r="F14" s="48"/>
      <c r="G14" s="48"/>
      <c r="H14" s="48"/>
      <c r="I14" s="48"/>
      <c r="J14" s="48"/>
      <c r="K14" s="48"/>
      <c r="L14" s="73"/>
      <c r="M14" s="76">
        <f t="shared" si="0"/>
        <v>2</v>
      </c>
    </row>
    <row r="15" spans="1:13" ht="10.9" customHeight="1">
      <c r="A15" s="74"/>
      <c r="B15" s="30" t="s">
        <v>12</v>
      </c>
      <c r="C15" s="48">
        <v>6</v>
      </c>
      <c r="D15" s="48"/>
      <c r="E15" s="48">
        <v>4</v>
      </c>
      <c r="F15" s="48">
        <v>2</v>
      </c>
      <c r="G15" s="48">
        <v>1</v>
      </c>
      <c r="H15" s="48"/>
      <c r="I15" s="48"/>
      <c r="J15" s="48"/>
      <c r="K15" s="48"/>
      <c r="L15" s="73"/>
      <c r="M15" s="76">
        <f t="shared" si="0"/>
        <v>13</v>
      </c>
    </row>
    <row r="16" spans="1:13" ht="10.9" customHeight="1">
      <c r="A16" s="74"/>
      <c r="B16" s="30" t="s">
        <v>13</v>
      </c>
      <c r="C16" s="48">
        <v>12</v>
      </c>
      <c r="D16" s="48">
        <v>15</v>
      </c>
      <c r="E16" s="48">
        <v>181</v>
      </c>
      <c r="F16" s="48">
        <v>8</v>
      </c>
      <c r="G16" s="48">
        <v>34</v>
      </c>
      <c r="H16" s="48"/>
      <c r="I16" s="48"/>
      <c r="J16" s="48"/>
      <c r="K16" s="48"/>
      <c r="L16" s="73">
        <v>23</v>
      </c>
      <c r="M16" s="76">
        <f t="shared" si="0"/>
        <v>273</v>
      </c>
    </row>
    <row r="17" spans="1:13" ht="10.9" customHeight="1">
      <c r="A17" s="74"/>
      <c r="B17" s="30" t="s">
        <v>14</v>
      </c>
      <c r="C17" s="48"/>
      <c r="D17" s="48">
        <v>10</v>
      </c>
      <c r="E17" s="48">
        <v>18</v>
      </c>
      <c r="F17" s="48"/>
      <c r="G17" s="48">
        <v>11</v>
      </c>
      <c r="H17" s="48"/>
      <c r="I17" s="48"/>
      <c r="J17" s="48"/>
      <c r="K17" s="48">
        <v>2</v>
      </c>
      <c r="L17" s="73"/>
      <c r="M17" s="76">
        <f t="shared" si="0"/>
        <v>41</v>
      </c>
    </row>
    <row r="18" spans="1:13" ht="10.9" customHeight="1">
      <c r="A18" s="74"/>
      <c r="B18" s="78" t="s">
        <v>15</v>
      </c>
      <c r="C18" s="55">
        <v>9</v>
      </c>
      <c r="D18" s="55">
        <v>4</v>
      </c>
      <c r="E18" s="55">
        <v>44</v>
      </c>
      <c r="F18" s="55">
        <v>11</v>
      </c>
      <c r="G18" s="55">
        <v>3</v>
      </c>
      <c r="H18" s="55"/>
      <c r="I18" s="55"/>
      <c r="J18" s="55"/>
      <c r="K18" s="55"/>
      <c r="L18" s="79">
        <v>2</v>
      </c>
      <c r="M18" s="80">
        <f t="shared" si="0"/>
        <v>73</v>
      </c>
    </row>
    <row r="19" spans="1:13" ht="10.9" customHeight="1">
      <c r="A19" s="74"/>
      <c r="B19" s="30" t="s">
        <v>16</v>
      </c>
      <c r="C19" s="48"/>
      <c r="D19" s="48">
        <v>1</v>
      </c>
      <c r="E19" s="48"/>
      <c r="F19" s="48"/>
      <c r="G19" s="48"/>
      <c r="H19" s="48"/>
      <c r="I19" s="48"/>
      <c r="J19" s="48"/>
      <c r="K19" s="48"/>
      <c r="L19" s="73"/>
      <c r="M19" s="76">
        <f t="shared" si="0"/>
        <v>1</v>
      </c>
    </row>
    <row r="20" spans="1:13" ht="10.9" customHeight="1">
      <c r="A20" s="74"/>
      <c r="B20" s="30" t="s">
        <v>17</v>
      </c>
      <c r="C20" s="48"/>
      <c r="D20" s="48"/>
      <c r="E20" s="48"/>
      <c r="F20" s="48"/>
      <c r="G20" s="48"/>
      <c r="H20" s="48"/>
      <c r="I20" s="48"/>
      <c r="J20" s="48"/>
      <c r="K20" s="48"/>
      <c r="L20" s="73"/>
      <c r="M20" s="76">
        <f t="shared" si="0"/>
        <v>0</v>
      </c>
    </row>
    <row r="21" spans="1:13" ht="10.9" customHeight="1">
      <c r="A21" s="74"/>
      <c r="B21" s="30" t="s">
        <v>18</v>
      </c>
      <c r="C21" s="48"/>
      <c r="D21" s="48"/>
      <c r="E21" s="48"/>
      <c r="F21" s="48">
        <v>3</v>
      </c>
      <c r="G21" s="48"/>
      <c r="H21" s="48"/>
      <c r="I21" s="48"/>
      <c r="J21" s="48"/>
      <c r="K21" s="48"/>
      <c r="L21" s="73">
        <v>3</v>
      </c>
      <c r="M21" s="76">
        <f t="shared" si="0"/>
        <v>6</v>
      </c>
    </row>
    <row r="22" spans="1:13" ht="10.9" customHeight="1">
      <c r="A22" s="74"/>
      <c r="B22" s="30" t="s">
        <v>19</v>
      </c>
      <c r="C22" s="48"/>
      <c r="D22" s="48"/>
      <c r="E22" s="48"/>
      <c r="F22" s="48"/>
      <c r="G22" s="48"/>
      <c r="H22" s="48"/>
      <c r="I22" s="48"/>
      <c r="J22" s="48"/>
      <c r="K22" s="48"/>
      <c r="L22" s="73"/>
      <c r="M22" s="76">
        <f t="shared" si="0"/>
        <v>0</v>
      </c>
    </row>
    <row r="23" spans="1:13" ht="10.9" customHeight="1">
      <c r="A23" s="74"/>
      <c r="B23" s="78" t="s">
        <v>20</v>
      </c>
      <c r="C23" s="55">
        <v>1</v>
      </c>
      <c r="D23" s="55"/>
      <c r="E23" s="55">
        <v>2</v>
      </c>
      <c r="F23" s="55"/>
      <c r="G23" s="55"/>
      <c r="H23" s="55"/>
      <c r="I23" s="55"/>
      <c r="J23" s="55"/>
      <c r="K23" s="55"/>
      <c r="L23" s="79">
        <v>1</v>
      </c>
      <c r="M23" s="80">
        <f t="shared" si="0"/>
        <v>4</v>
      </c>
    </row>
    <row r="24" spans="1:13" ht="10.9" customHeight="1">
      <c r="A24" s="74"/>
      <c r="B24" s="30" t="s">
        <v>21</v>
      </c>
      <c r="C24" s="48">
        <v>1</v>
      </c>
      <c r="D24" s="48">
        <v>6</v>
      </c>
      <c r="E24" s="48">
        <v>24</v>
      </c>
      <c r="F24" s="48"/>
      <c r="G24" s="48">
        <v>5</v>
      </c>
      <c r="H24" s="48"/>
      <c r="I24" s="48"/>
      <c r="J24" s="48"/>
      <c r="K24" s="48"/>
      <c r="L24" s="73">
        <v>1</v>
      </c>
      <c r="M24" s="76">
        <f t="shared" si="0"/>
        <v>37</v>
      </c>
    </row>
    <row r="25" spans="1:13" ht="10.9" customHeight="1">
      <c r="A25" s="74"/>
      <c r="B25" s="30" t="s">
        <v>22</v>
      </c>
      <c r="C25" s="48">
        <v>5</v>
      </c>
      <c r="D25" s="48">
        <v>55</v>
      </c>
      <c r="E25" s="48">
        <v>49</v>
      </c>
      <c r="F25" s="48">
        <v>2</v>
      </c>
      <c r="G25" s="48">
        <v>12</v>
      </c>
      <c r="H25" s="48"/>
      <c r="I25" s="48"/>
      <c r="J25" s="48"/>
      <c r="K25" s="48">
        <v>2</v>
      </c>
      <c r="L25" s="73">
        <v>10</v>
      </c>
      <c r="M25" s="76">
        <f t="shared" si="0"/>
        <v>135</v>
      </c>
    </row>
    <row r="26" spans="1:13" ht="10.9" customHeight="1">
      <c r="A26" s="74"/>
      <c r="B26" s="30" t="s">
        <v>23</v>
      </c>
      <c r="C26" s="48"/>
      <c r="D26" s="48"/>
      <c r="E26" s="48"/>
      <c r="F26" s="48"/>
      <c r="G26" s="48"/>
      <c r="H26" s="48"/>
      <c r="I26" s="48"/>
      <c r="J26" s="48"/>
      <c r="K26" s="48"/>
      <c r="L26" s="73"/>
      <c r="M26" s="76">
        <f t="shared" si="0"/>
        <v>0</v>
      </c>
    </row>
    <row r="27" spans="1:13" ht="10.9" customHeight="1">
      <c r="A27" s="74"/>
      <c r="B27" s="30" t="s">
        <v>24</v>
      </c>
      <c r="C27" s="48"/>
      <c r="D27" s="48"/>
      <c r="E27" s="48"/>
      <c r="F27" s="48"/>
      <c r="G27" s="48"/>
      <c r="H27" s="48"/>
      <c r="I27" s="48"/>
      <c r="J27" s="48"/>
      <c r="K27" s="48"/>
      <c r="L27" s="73"/>
      <c r="M27" s="76">
        <f t="shared" si="0"/>
        <v>0</v>
      </c>
    </row>
    <row r="28" spans="1:13" ht="10.9" customHeight="1">
      <c r="A28" s="74"/>
      <c r="B28" s="78" t="s">
        <v>25</v>
      </c>
      <c r="C28" s="55">
        <v>1</v>
      </c>
      <c r="D28" s="55">
        <v>1</v>
      </c>
      <c r="E28" s="55">
        <v>21</v>
      </c>
      <c r="F28" s="55"/>
      <c r="G28" s="55"/>
      <c r="H28" s="55"/>
      <c r="I28" s="55"/>
      <c r="J28" s="55"/>
      <c r="K28" s="55"/>
      <c r="L28" s="79">
        <v>8</v>
      </c>
      <c r="M28" s="80">
        <f t="shared" si="0"/>
        <v>31</v>
      </c>
    </row>
    <row r="29" spans="1:13" ht="10.9" customHeight="1">
      <c r="A29" s="74"/>
      <c r="B29" s="30" t="s">
        <v>26</v>
      </c>
      <c r="C29" s="48">
        <v>9</v>
      </c>
      <c r="D29" s="48">
        <v>3</v>
      </c>
      <c r="E29" s="48">
        <v>12</v>
      </c>
      <c r="F29" s="48"/>
      <c r="G29" s="48">
        <v>1</v>
      </c>
      <c r="H29" s="48"/>
      <c r="I29" s="48"/>
      <c r="J29" s="48"/>
      <c r="K29" s="48"/>
      <c r="L29" s="73"/>
      <c r="M29" s="76">
        <f t="shared" si="0"/>
        <v>25</v>
      </c>
    </row>
    <row r="30" spans="1:13" ht="10.9" customHeight="1">
      <c r="A30" s="74"/>
      <c r="B30" s="30" t="s">
        <v>27</v>
      </c>
      <c r="C30" s="48"/>
      <c r="D30" s="48"/>
      <c r="E30" s="48"/>
      <c r="F30" s="48"/>
      <c r="G30" s="48"/>
      <c r="H30" s="48"/>
      <c r="I30" s="48"/>
      <c r="J30" s="48"/>
      <c r="K30" s="48"/>
      <c r="L30" s="73"/>
      <c r="M30" s="76">
        <f t="shared" si="0"/>
        <v>0</v>
      </c>
    </row>
    <row r="31" spans="1:13" ht="10.9" customHeight="1">
      <c r="A31" s="74"/>
      <c r="B31" s="30" t="s">
        <v>28</v>
      </c>
      <c r="C31" s="48">
        <v>3</v>
      </c>
      <c r="D31" s="48">
        <v>2</v>
      </c>
      <c r="E31" s="48">
        <v>23</v>
      </c>
      <c r="F31" s="48"/>
      <c r="G31" s="48">
        <v>8</v>
      </c>
      <c r="H31" s="48"/>
      <c r="I31" s="48"/>
      <c r="J31" s="48"/>
      <c r="K31" s="48">
        <v>1</v>
      </c>
      <c r="L31" s="73"/>
      <c r="M31" s="76">
        <f t="shared" si="0"/>
        <v>37</v>
      </c>
    </row>
    <row r="32" spans="1:13" ht="10.9" customHeight="1">
      <c r="A32" s="74"/>
      <c r="B32" s="30" t="s">
        <v>29</v>
      </c>
      <c r="C32" s="48"/>
      <c r="D32" s="48"/>
      <c r="E32" s="48"/>
      <c r="F32" s="48"/>
      <c r="G32" s="48"/>
      <c r="H32" s="48"/>
      <c r="I32" s="48"/>
      <c r="J32" s="48"/>
      <c r="K32" s="48"/>
      <c r="L32" s="73"/>
      <c r="M32" s="76">
        <f t="shared" si="0"/>
        <v>0</v>
      </c>
    </row>
    <row r="33" spans="1:13" ht="10.9" customHeight="1">
      <c r="A33" s="74"/>
      <c r="B33" s="78" t="s">
        <v>30</v>
      </c>
      <c r="C33" s="55">
        <v>8</v>
      </c>
      <c r="D33" s="55">
        <v>9</v>
      </c>
      <c r="E33" s="55">
        <v>55</v>
      </c>
      <c r="F33" s="55">
        <v>5</v>
      </c>
      <c r="G33" s="55">
        <v>37</v>
      </c>
      <c r="H33" s="55"/>
      <c r="I33" s="55">
        <v>16</v>
      </c>
      <c r="J33" s="55">
        <v>6</v>
      </c>
      <c r="K33" s="55">
        <v>2</v>
      </c>
      <c r="L33" s="79">
        <v>22</v>
      </c>
      <c r="M33" s="80">
        <f t="shared" si="0"/>
        <v>160</v>
      </c>
    </row>
    <row r="34" spans="1:13" ht="10.9" customHeight="1">
      <c r="A34" s="74"/>
      <c r="B34" s="30" t="s">
        <v>31</v>
      </c>
      <c r="C34" s="48">
        <v>9</v>
      </c>
      <c r="D34" s="48">
        <v>3</v>
      </c>
      <c r="E34" s="48">
        <v>30</v>
      </c>
      <c r="F34" s="48"/>
      <c r="G34" s="48">
        <v>9</v>
      </c>
      <c r="H34" s="48"/>
      <c r="I34" s="48"/>
      <c r="J34" s="48"/>
      <c r="K34" s="48"/>
      <c r="L34" s="73">
        <v>5</v>
      </c>
      <c r="M34" s="76">
        <f t="shared" si="0"/>
        <v>56</v>
      </c>
    </row>
    <row r="35" spans="1:13" ht="10.9" customHeight="1">
      <c r="A35" s="74"/>
      <c r="B35" s="30" t="s">
        <v>32</v>
      </c>
      <c r="C35" s="48"/>
      <c r="D35" s="48"/>
      <c r="E35" s="48"/>
      <c r="F35" s="48"/>
      <c r="G35" s="48"/>
      <c r="H35" s="48"/>
      <c r="I35" s="48"/>
      <c r="J35" s="48"/>
      <c r="K35" s="48"/>
      <c r="L35" s="73"/>
      <c r="M35" s="76">
        <f t="shared" si="0"/>
        <v>0</v>
      </c>
    </row>
    <row r="36" spans="1:13" ht="10.9" customHeight="1">
      <c r="A36" s="74"/>
      <c r="B36" s="30" t="s">
        <v>33</v>
      </c>
      <c r="C36" s="48"/>
      <c r="D36" s="48">
        <v>3</v>
      </c>
      <c r="E36" s="48">
        <v>1</v>
      </c>
      <c r="F36" s="48"/>
      <c r="G36" s="48"/>
      <c r="H36" s="48"/>
      <c r="I36" s="48"/>
      <c r="J36" s="48"/>
      <c r="K36" s="48"/>
      <c r="L36" s="73"/>
      <c r="M36" s="76">
        <f t="shared" si="0"/>
        <v>4</v>
      </c>
    </row>
    <row r="37" spans="1:13" ht="10.9" customHeight="1">
      <c r="A37" s="74"/>
      <c r="B37" s="30" t="s">
        <v>34</v>
      </c>
      <c r="C37" s="48"/>
      <c r="D37" s="48"/>
      <c r="E37" s="48"/>
      <c r="F37" s="48"/>
      <c r="G37" s="48"/>
      <c r="H37" s="48"/>
      <c r="I37" s="48"/>
      <c r="J37" s="48"/>
      <c r="K37" s="48"/>
      <c r="L37" s="73"/>
      <c r="M37" s="76">
        <f t="shared" si="0"/>
        <v>0</v>
      </c>
    </row>
    <row r="38" spans="1:13" ht="10.9" customHeight="1">
      <c r="A38" s="74"/>
      <c r="B38" s="78" t="s">
        <v>35</v>
      </c>
      <c r="C38" s="55"/>
      <c r="D38" s="55"/>
      <c r="E38" s="55"/>
      <c r="F38" s="55"/>
      <c r="G38" s="55"/>
      <c r="H38" s="55"/>
      <c r="I38" s="55"/>
      <c r="J38" s="55"/>
      <c r="K38" s="55"/>
      <c r="L38" s="79"/>
      <c r="M38" s="80">
        <f t="shared" si="0"/>
        <v>0</v>
      </c>
    </row>
    <row r="39" spans="1:13" ht="10.9" customHeight="1">
      <c r="A39" s="74"/>
      <c r="B39" s="30" t="s">
        <v>36</v>
      </c>
      <c r="C39" s="48">
        <v>1</v>
      </c>
      <c r="D39" s="48">
        <v>21</v>
      </c>
      <c r="E39" s="48">
        <v>30</v>
      </c>
      <c r="F39" s="48">
        <v>5</v>
      </c>
      <c r="G39" s="48">
        <v>2</v>
      </c>
      <c r="H39" s="48"/>
      <c r="I39" s="48"/>
      <c r="J39" s="48"/>
      <c r="K39" s="48">
        <v>1</v>
      </c>
      <c r="L39" s="73">
        <v>1</v>
      </c>
      <c r="M39" s="76">
        <f t="shared" si="0"/>
        <v>61</v>
      </c>
    </row>
    <row r="40" spans="1:13" ht="10.9" customHeight="1">
      <c r="A40" s="74"/>
      <c r="B40" s="30" t="s">
        <v>37</v>
      </c>
      <c r="C40" s="48">
        <v>2</v>
      </c>
      <c r="D40" s="48"/>
      <c r="E40" s="48">
        <v>10</v>
      </c>
      <c r="F40" s="48"/>
      <c r="G40" s="48"/>
      <c r="H40" s="48"/>
      <c r="I40" s="48">
        <v>1</v>
      </c>
      <c r="J40" s="48">
        <v>3</v>
      </c>
      <c r="K40" s="48"/>
      <c r="L40" s="73">
        <v>2</v>
      </c>
      <c r="M40" s="76">
        <f t="shared" si="0"/>
        <v>18</v>
      </c>
    </row>
    <row r="41" spans="1:13" ht="10.9" customHeight="1">
      <c r="A41" s="74"/>
      <c r="B41" s="30" t="s">
        <v>38</v>
      </c>
      <c r="C41" s="48"/>
      <c r="D41" s="48"/>
      <c r="E41" s="48"/>
      <c r="F41" s="48"/>
      <c r="G41" s="48"/>
      <c r="H41" s="48"/>
      <c r="I41" s="48"/>
      <c r="J41" s="48"/>
      <c r="K41" s="48"/>
      <c r="L41" s="73"/>
      <c r="M41" s="76">
        <f t="shared" si="0"/>
        <v>0</v>
      </c>
    </row>
    <row r="42" spans="1:13" ht="10.9" customHeight="1">
      <c r="A42" s="74"/>
      <c r="B42" s="30" t="s">
        <v>39</v>
      </c>
      <c r="C42" s="48">
        <v>2</v>
      </c>
      <c r="D42" s="48">
        <v>4</v>
      </c>
      <c r="E42" s="48">
        <v>13</v>
      </c>
      <c r="F42" s="48"/>
      <c r="G42" s="48">
        <v>5</v>
      </c>
      <c r="H42" s="48"/>
      <c r="I42" s="48"/>
      <c r="J42" s="48"/>
      <c r="K42" s="48"/>
      <c r="L42" s="73"/>
      <c r="M42" s="76">
        <f t="shared" si="0"/>
        <v>24</v>
      </c>
    </row>
    <row r="43" spans="1:13" ht="10.9" customHeight="1">
      <c r="A43" s="74"/>
      <c r="B43" s="30" t="s">
        <v>40</v>
      </c>
      <c r="C43" s="48"/>
      <c r="D43" s="48"/>
      <c r="E43" s="48"/>
      <c r="F43" s="48"/>
      <c r="G43" s="48"/>
      <c r="H43" s="48"/>
      <c r="I43" s="48"/>
      <c r="J43" s="48"/>
      <c r="K43" s="48"/>
      <c r="L43" s="73"/>
      <c r="M43" s="76">
        <f t="shared" si="0"/>
        <v>0</v>
      </c>
    </row>
    <row r="44" spans="1:13" ht="10.9" customHeight="1" thickBot="1">
      <c r="A44" s="74"/>
      <c r="B44" s="30" t="s">
        <v>41</v>
      </c>
      <c r="C44" s="47">
        <v>8</v>
      </c>
      <c r="D44" s="48">
        <v>57</v>
      </c>
      <c r="E44" s="48">
        <v>28</v>
      </c>
      <c r="F44" s="47"/>
      <c r="G44" s="48">
        <v>11</v>
      </c>
      <c r="H44" s="48"/>
      <c r="I44" s="47"/>
      <c r="J44" s="48"/>
      <c r="K44" s="47"/>
      <c r="L44" s="48">
        <v>7</v>
      </c>
      <c r="M44" s="85">
        <f t="shared" si="0"/>
        <v>111</v>
      </c>
    </row>
    <row r="45" spans="1:13" ht="10.9" customHeight="1" thickBot="1">
      <c r="A45" s="74"/>
      <c r="B45" s="45" t="s">
        <v>82</v>
      </c>
      <c r="C45" s="41">
        <f>SUM(C4:C44)</f>
        <v>132</v>
      </c>
      <c r="D45" s="41">
        <f t="shared" ref="D45:M45" si="1">SUM(D4:D44)</f>
        <v>282</v>
      </c>
      <c r="E45" s="41">
        <f t="shared" si="1"/>
        <v>796</v>
      </c>
      <c r="F45" s="41">
        <f t="shared" si="1"/>
        <v>49</v>
      </c>
      <c r="G45" s="41">
        <f t="shared" si="1"/>
        <v>243</v>
      </c>
      <c r="H45" s="41">
        <f t="shared" si="1"/>
        <v>3</v>
      </c>
      <c r="I45" s="41">
        <f t="shared" si="1"/>
        <v>18</v>
      </c>
      <c r="J45" s="41">
        <f t="shared" si="1"/>
        <v>10</v>
      </c>
      <c r="K45" s="41">
        <f t="shared" si="1"/>
        <v>16</v>
      </c>
      <c r="L45" s="41">
        <f t="shared" si="1"/>
        <v>121</v>
      </c>
      <c r="M45" s="75">
        <f t="shared" si="1"/>
        <v>1670</v>
      </c>
    </row>
    <row r="46" spans="1:13">
      <c r="A46" s="39"/>
    </row>
    <row r="47" spans="1:13">
      <c r="A47" s="39"/>
    </row>
    <row r="48" spans="1:13">
      <c r="A48" s="39"/>
    </row>
    <row r="49" spans="1:1">
      <c r="A49" s="39"/>
    </row>
    <row r="50" spans="1:1">
      <c r="A50" s="39"/>
    </row>
    <row r="51" spans="1:1">
      <c r="A51" s="39"/>
    </row>
    <row r="52" spans="1:1">
      <c r="A52" s="39"/>
    </row>
    <row r="53" spans="1:1" s="1" customFormat="1">
      <c r="A53" s="39"/>
    </row>
    <row r="54" spans="1:1" s="1" customFormat="1">
      <c r="A54" s="39"/>
    </row>
    <row r="55" spans="1:1">
      <c r="A55" s="39"/>
    </row>
  </sheetData>
  <mergeCells count="1">
    <mergeCell ref="B1:M1"/>
  </mergeCells>
  <pageMargins left="0.7" right="0.7" top="0.57291666666666663" bottom="0.75" header="0.3" footer="0.3"/>
  <pageSetup orientation="landscape" r:id="rId1"/>
  <headerFooter>
    <oddHeader>&amp;C&amp;"Arial,Bold"Incidents of Prohibited Behavior in School or School-Related Activities by District, 2011-2012</oddHeader>
    <oddFooter>&amp;L&amp;"Arial,Regular"&amp;7Complier: USOE/Career, Techincial, and Adult Education/Verne Larsen
Source: Warehouse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showGridLines="0" tabSelected="1" view="pageLayout" topLeftCell="A3" zoomScaleNormal="100" workbookViewId="0">
      <selection activeCell="B10" sqref="B10"/>
    </sheetView>
  </sheetViews>
  <sheetFormatPr defaultRowHeight="15"/>
  <cols>
    <col min="1" max="1" width="4.28515625" customWidth="1"/>
    <col min="2" max="2" width="25.42578125" customWidth="1"/>
    <col min="3" max="3" width="6.7109375" bestFit="1" customWidth="1"/>
    <col min="4" max="4" width="7.42578125" bestFit="1" customWidth="1"/>
    <col min="5" max="5" width="8.42578125" customWidth="1"/>
    <col min="6" max="6" width="10.140625" bestFit="1" customWidth="1"/>
    <col min="7" max="7" width="7.85546875" bestFit="1" customWidth="1"/>
    <col min="8" max="8" width="5.7109375" bestFit="1" customWidth="1"/>
    <col min="9" max="9" width="7.85546875" bestFit="1" customWidth="1"/>
    <col min="10" max="10" width="4.42578125" bestFit="1" customWidth="1"/>
    <col min="11" max="11" width="12" bestFit="1" customWidth="1"/>
    <col min="12" max="12" width="12.140625" bestFit="1" customWidth="1"/>
  </cols>
  <sheetData>
    <row r="1" spans="1:13" s="1" customFormat="1" ht="12.6" customHeight="1" thickBot="1">
      <c r="A1" s="74"/>
      <c r="B1" s="101" t="s">
        <v>91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s="1" customFormat="1" ht="26.25" customHeight="1" thickBot="1">
      <c r="A2" s="74"/>
      <c r="B2" s="87"/>
      <c r="C2" s="42" t="s">
        <v>42</v>
      </c>
      <c r="D2" s="42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42" t="s">
        <v>51</v>
      </c>
      <c r="M2" s="43" t="s">
        <v>79</v>
      </c>
    </row>
    <row r="3" spans="1:13" s="1" customFormat="1" ht="10.9" customHeight="1">
      <c r="A3" s="74"/>
      <c r="B3" s="56" t="s">
        <v>90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88"/>
    </row>
    <row r="4" spans="1:13">
      <c r="A4" s="9"/>
      <c r="B4" s="69" t="s">
        <v>54</v>
      </c>
      <c r="C4" s="48">
        <v>1</v>
      </c>
      <c r="D4" s="48"/>
      <c r="E4" s="48">
        <v>2</v>
      </c>
      <c r="F4" s="48"/>
      <c r="G4" s="48"/>
      <c r="H4" s="48"/>
      <c r="I4" s="48"/>
      <c r="J4" s="48"/>
      <c r="K4" s="48"/>
      <c r="L4" s="48">
        <v>2</v>
      </c>
      <c r="M4" s="46">
        <f t="shared" ref="M4:M13" si="0">SUM(C4:L4)</f>
        <v>5</v>
      </c>
    </row>
    <row r="5" spans="1:13">
      <c r="A5" s="9"/>
      <c r="B5" s="69" t="s">
        <v>52</v>
      </c>
      <c r="C5" s="48">
        <v>1</v>
      </c>
      <c r="D5" s="48"/>
      <c r="E5" s="48"/>
      <c r="F5" s="48"/>
      <c r="G5" s="48"/>
      <c r="H5" s="48"/>
      <c r="I5" s="48"/>
      <c r="J5" s="48"/>
      <c r="K5" s="48"/>
      <c r="L5" s="48"/>
      <c r="M5" s="46">
        <f t="shared" si="0"/>
        <v>1</v>
      </c>
    </row>
    <row r="6" spans="1:13">
      <c r="A6" s="9"/>
      <c r="B6" s="70" t="s">
        <v>94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6">
        <f t="shared" si="0"/>
        <v>0</v>
      </c>
    </row>
    <row r="7" spans="1:13" ht="22.5">
      <c r="A7" s="9"/>
      <c r="B7" s="69" t="s">
        <v>93</v>
      </c>
      <c r="C7" s="48">
        <v>3</v>
      </c>
      <c r="D7" s="48"/>
      <c r="E7" s="48"/>
      <c r="F7" s="48"/>
      <c r="G7" s="48"/>
      <c r="H7" s="48"/>
      <c r="I7" s="48"/>
      <c r="J7" s="48"/>
      <c r="K7" s="48"/>
      <c r="L7" s="48">
        <v>3</v>
      </c>
      <c r="M7" s="46">
        <f t="shared" si="0"/>
        <v>6</v>
      </c>
    </row>
    <row r="8" spans="1:13" ht="22.5">
      <c r="A8" s="9"/>
      <c r="B8" s="86" t="s">
        <v>56</v>
      </c>
      <c r="C8" s="55"/>
      <c r="D8" s="55">
        <v>2</v>
      </c>
      <c r="E8" s="55">
        <v>1</v>
      </c>
      <c r="F8" s="55"/>
      <c r="G8" s="55"/>
      <c r="H8" s="55"/>
      <c r="I8" s="55"/>
      <c r="J8" s="55"/>
      <c r="K8" s="55"/>
      <c r="L8" s="55">
        <v>1</v>
      </c>
      <c r="M8" s="58">
        <f t="shared" si="0"/>
        <v>4</v>
      </c>
    </row>
    <row r="9" spans="1:13">
      <c r="A9" s="9"/>
      <c r="B9" s="69" t="s">
        <v>62</v>
      </c>
      <c r="C9" s="48"/>
      <c r="D9" s="48"/>
      <c r="E9" s="48">
        <v>16</v>
      </c>
      <c r="F9" s="48"/>
      <c r="G9" s="48"/>
      <c r="H9" s="48"/>
      <c r="I9" s="48"/>
      <c r="J9" s="48"/>
      <c r="K9" s="48"/>
      <c r="L9" s="48"/>
      <c r="M9" s="46">
        <f t="shared" si="0"/>
        <v>16</v>
      </c>
    </row>
    <row r="10" spans="1:13">
      <c r="A10" s="9"/>
      <c r="B10" s="69" t="s">
        <v>60</v>
      </c>
      <c r="C10" s="48"/>
      <c r="D10" s="48"/>
      <c r="E10" s="48">
        <v>2</v>
      </c>
      <c r="F10" s="48">
        <v>1</v>
      </c>
      <c r="G10" s="48">
        <v>1</v>
      </c>
      <c r="H10" s="48"/>
      <c r="I10" s="48"/>
      <c r="J10" s="48"/>
      <c r="K10" s="48"/>
      <c r="L10" s="48"/>
      <c r="M10" s="46">
        <f t="shared" si="0"/>
        <v>4</v>
      </c>
    </row>
    <row r="11" spans="1:13">
      <c r="A11" s="9"/>
      <c r="B11" s="69" t="s">
        <v>73</v>
      </c>
      <c r="C11" s="48"/>
      <c r="D11" s="48"/>
      <c r="E11" s="48"/>
      <c r="F11" s="48"/>
      <c r="G11" s="48">
        <v>3</v>
      </c>
      <c r="H11" s="48"/>
      <c r="I11" s="48"/>
      <c r="J11" s="48"/>
      <c r="K11" s="48"/>
      <c r="L11" s="48"/>
      <c r="M11" s="46">
        <f t="shared" si="0"/>
        <v>3</v>
      </c>
    </row>
    <row r="12" spans="1:13">
      <c r="A12" s="9"/>
      <c r="B12" s="69" t="s">
        <v>52</v>
      </c>
      <c r="C12" s="48"/>
      <c r="D12" s="48"/>
      <c r="E12" s="48"/>
      <c r="F12" s="48"/>
      <c r="G12" s="48"/>
      <c r="H12" s="48"/>
      <c r="I12" s="48"/>
      <c r="J12" s="48"/>
      <c r="K12" s="48"/>
      <c r="L12" s="48">
        <v>1</v>
      </c>
      <c r="M12" s="46">
        <f t="shared" si="0"/>
        <v>1</v>
      </c>
    </row>
    <row r="13" spans="1:13" ht="15.75" thickBot="1">
      <c r="A13" s="9"/>
      <c r="B13" s="71" t="s">
        <v>78</v>
      </c>
      <c r="C13" s="50"/>
      <c r="D13" s="50"/>
      <c r="E13" s="50"/>
      <c r="F13" s="50"/>
      <c r="G13" s="50"/>
      <c r="H13" s="50"/>
      <c r="I13" s="50"/>
      <c r="J13" s="50"/>
      <c r="K13" s="50"/>
      <c r="L13" s="50">
        <v>1</v>
      </c>
      <c r="M13" s="89">
        <f t="shared" si="0"/>
        <v>1</v>
      </c>
    </row>
    <row r="14" spans="1:13" ht="15.75" thickBot="1">
      <c r="A14" s="9"/>
      <c r="B14" s="90" t="s">
        <v>92</v>
      </c>
      <c r="C14" s="41">
        <f>SUM(C4:C13)</f>
        <v>5</v>
      </c>
      <c r="D14" s="41">
        <f t="shared" ref="D14:M14" si="1">SUM(D4:D13)</f>
        <v>2</v>
      </c>
      <c r="E14" s="41">
        <f t="shared" si="1"/>
        <v>21</v>
      </c>
      <c r="F14" s="41">
        <f t="shared" si="1"/>
        <v>1</v>
      </c>
      <c r="G14" s="41">
        <f t="shared" si="1"/>
        <v>4</v>
      </c>
      <c r="H14" s="41">
        <f t="shared" si="1"/>
        <v>0</v>
      </c>
      <c r="I14" s="41">
        <f t="shared" si="1"/>
        <v>0</v>
      </c>
      <c r="J14" s="41">
        <f t="shared" si="1"/>
        <v>0</v>
      </c>
      <c r="K14" s="41">
        <f t="shared" si="1"/>
        <v>0</v>
      </c>
      <c r="L14" s="41">
        <f t="shared" si="1"/>
        <v>8</v>
      </c>
      <c r="M14" s="43">
        <f t="shared" si="1"/>
        <v>41</v>
      </c>
    </row>
    <row r="15" spans="1:13" ht="15.75" thickBot="1">
      <c r="A15" s="9"/>
      <c r="B15" s="91" t="s">
        <v>85</v>
      </c>
      <c r="C15" s="25">
        <f>SUM(C14,HS!C45)</f>
        <v>137</v>
      </c>
      <c r="D15" s="25">
        <f>SUM(D14,HS!D45)</f>
        <v>284</v>
      </c>
      <c r="E15" s="25">
        <f>SUM(E14,HS!E45)</f>
        <v>817</v>
      </c>
      <c r="F15" s="25">
        <f>SUM(F14,HS!F45)</f>
        <v>50</v>
      </c>
      <c r="G15" s="25">
        <f>SUM(G14,HS!G45)</f>
        <v>247</v>
      </c>
      <c r="H15" s="25">
        <f>SUM(H14,HS!H45)</f>
        <v>3</v>
      </c>
      <c r="I15" s="25">
        <f>SUM(I14,HS!I45)</f>
        <v>18</v>
      </c>
      <c r="J15" s="25">
        <f>SUM(J14,HS!J45)</f>
        <v>10</v>
      </c>
      <c r="K15" s="25">
        <f>SUM(K14,HS!K45)</f>
        <v>16</v>
      </c>
      <c r="L15" s="25">
        <f>SUM(L14,HS!L45)</f>
        <v>129</v>
      </c>
      <c r="M15" s="92">
        <f>SUM(M14,HS!M45)</f>
        <v>1711</v>
      </c>
    </row>
  </sheetData>
  <mergeCells count="1">
    <mergeCell ref="B1:M1"/>
  </mergeCells>
  <pageMargins left="0.7" right="0.7" top="0.64583333333333337" bottom="0.75" header="0.3" footer="0.3"/>
  <pageSetup orientation="landscape" r:id="rId1"/>
  <headerFooter>
    <oddHeader>&amp;C&amp;"Arial,Bold"Incidents of Prohibited Behavior in School or School-Related Activities by Charter, 2011-2012</oddHeader>
    <oddFooter>&amp;L&amp;"Arial,Regular"&amp;7Complier: USOE/Career, Techincial, and Adult Education/Verne Larsen
Source: Warehouse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Elementary</vt:lpstr>
      <vt:lpstr>ElementaryCharter</vt:lpstr>
      <vt:lpstr>Middle_Jr</vt:lpstr>
      <vt:lpstr>MiddleCharter</vt:lpstr>
      <vt:lpstr>HS</vt:lpstr>
      <vt:lpstr>HSCharter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Larsen, Verne</dc:creator>
  <cp:lastModifiedBy>Valued Computer Owner</cp:lastModifiedBy>
  <cp:lastPrinted>2012-12-10T15:13:18Z</cp:lastPrinted>
  <dcterms:created xsi:type="dcterms:W3CDTF">2012-11-23T15:01:37Z</dcterms:created>
  <dcterms:modified xsi:type="dcterms:W3CDTF">2012-12-17T20:57:09Z</dcterms:modified>
</cp:coreProperties>
</file>