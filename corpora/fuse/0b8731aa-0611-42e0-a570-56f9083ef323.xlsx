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9035" windowHeight="122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I7" i="1"/>
  <c r="I9"/>
  <c r="I5"/>
  <c r="G7"/>
  <c r="G9"/>
  <c r="G8"/>
  <c r="G10"/>
  <c r="G6"/>
  <c r="G5"/>
  <c r="E7"/>
  <c r="E9"/>
  <c r="E5"/>
</calcChain>
</file>

<file path=xl/sharedStrings.xml><?xml version="1.0" encoding="utf-8"?>
<sst xmlns="http://schemas.openxmlformats.org/spreadsheetml/2006/main" count="27" uniqueCount="19">
  <si>
    <t>ITEM</t>
  </si>
  <si>
    <t>ANNUAL QUANTITY</t>
  </si>
  <si>
    <t>DESCRIPTION</t>
  </si>
  <si>
    <t>UNIT PRICE</t>
  </si>
  <si>
    <t>PER TON</t>
  </si>
  <si>
    <t>TOTAL PRICE</t>
  </si>
  <si>
    <t>Type “B” Fine graded base course 340.4</t>
  </si>
  <si>
    <t>PICK UP ONLY</t>
  </si>
  <si>
    <t>Type “D” Fine graded surface course 340.4 with an exception to bin #3 -no rocks larger than 3/8”</t>
  </si>
  <si>
    <t>DELIVERED ONLY</t>
  </si>
  <si>
    <t>Reynolds Asphalt &amp; Construction</t>
  </si>
  <si>
    <t>Austin Asphalt LP</t>
  </si>
  <si>
    <t>NO RAP</t>
  </si>
  <si>
    <t>TONS</t>
  </si>
  <si>
    <t>APAC</t>
  </si>
  <si>
    <t>9.5 MILES 24 HOURS SUBJECT TO AVAILABLITY AND COORDIANTE WITH SALES MANAGER MINIUM 12 TON PER LOAD 24 HOUR NOTICE</t>
  </si>
  <si>
    <t>10 miles 24hour Notice 24 hr notice 13ton minimum load (tandem load)</t>
  </si>
  <si>
    <t>17 miles 24hrs, 24hrs, 12tons and 22 tons add $3.00 per ton for the Frisco Plant which is 15 From PGBT &amp; Josey</t>
  </si>
  <si>
    <t>Asphalt 12-018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</si>
</sst>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44" fontId="0" fillId="0" borderId="0" xfId="1" applyFont="1"/>
    <xf numFmtId="44" fontId="4" fillId="0" borderId="0" xfId="1" applyFont="1"/>
    <xf numFmtId="0" fontId="0" fillId="0" borderId="0" xfId="0" applyFont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44" fontId="5" fillId="0" borderId="1" xfId="1" applyFont="1" applyBorder="1" applyAlignment="1">
      <alignment vertical="top" wrapText="1"/>
    </xf>
    <xf numFmtId="44" fontId="3" fillId="0" borderId="1" xfId="1" applyFont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vertical="top" wrapText="1"/>
    </xf>
    <xf numFmtId="44" fontId="4" fillId="0" borderId="1" xfId="1" applyFont="1" applyBorder="1" applyAlignment="1">
      <alignment vertical="top" wrapText="1"/>
    </xf>
    <xf numFmtId="44" fontId="2" fillId="0" borderId="1" xfId="1" applyFont="1" applyBorder="1" applyAlignment="1">
      <alignment vertical="top" wrapText="1"/>
    </xf>
    <xf numFmtId="44" fontId="4" fillId="0" borderId="1" xfId="1" applyFont="1" applyBorder="1" applyAlignment="1">
      <alignment vertical="top" wrapText="1"/>
    </xf>
    <xf numFmtId="0" fontId="0" fillId="0" borderId="1" xfId="0" applyFont="1" applyBorder="1" applyAlignment="1">
      <alignment horizontal="center" vertical="top" wrapText="1"/>
    </xf>
    <xf numFmtId="44" fontId="0" fillId="0" borderId="1" xfId="1" applyFont="1" applyBorder="1" applyAlignment="1">
      <alignment vertical="top" wrapText="1"/>
    </xf>
    <xf numFmtId="44" fontId="4" fillId="0" borderId="6" xfId="1" applyFont="1" applyBorder="1" applyAlignment="1">
      <alignment horizontal="center" wrapText="1"/>
    </xf>
    <xf numFmtId="44" fontId="4" fillId="0" borderId="0" xfId="1" applyFont="1" applyBorder="1" applyAlignment="1">
      <alignment horizontal="center" wrapText="1"/>
    </xf>
    <xf numFmtId="0" fontId="0" fillId="0" borderId="0" xfId="0" applyFont="1" applyAlignment="1">
      <alignment wrapText="1"/>
    </xf>
    <xf numFmtId="44" fontId="0" fillId="0" borderId="0" xfId="1" applyFont="1" applyAlignment="1">
      <alignment wrapText="1"/>
    </xf>
    <xf numFmtId="0" fontId="0" fillId="0" borderId="0" xfId="0" applyAlignment="1">
      <alignment wrapText="1"/>
    </xf>
    <xf numFmtId="44" fontId="4" fillId="0" borderId="0" xfId="1" applyFont="1" applyAlignment="1">
      <alignment wrapText="1"/>
    </xf>
    <xf numFmtId="0" fontId="5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44" fontId="5" fillId="0" borderId="2" xfId="1" applyFont="1" applyBorder="1" applyAlignment="1">
      <alignment horizontal="center" wrapText="1"/>
    </xf>
    <xf numFmtId="44" fontId="5" fillId="0" borderId="3" xfId="1" applyFont="1" applyBorder="1" applyAlignment="1">
      <alignment horizontal="center" wrapText="1"/>
    </xf>
    <xf numFmtId="44" fontId="5" fillId="0" borderId="4" xfId="1" applyFont="1" applyBorder="1" applyAlignment="1">
      <alignment horizontal="center" wrapText="1"/>
    </xf>
    <xf numFmtId="44" fontId="5" fillId="0" borderId="5" xfId="1" applyFont="1" applyBorder="1" applyAlignment="1">
      <alignment horizontal="center" wrapText="1"/>
    </xf>
    <xf numFmtId="44" fontId="0" fillId="0" borderId="0" xfId="1" applyFont="1" applyAlignment="1">
      <alignment horizontal="center" wrapText="1"/>
    </xf>
    <xf numFmtId="44" fontId="0" fillId="0" borderId="6" xfId="1" applyFont="1" applyBorder="1" applyAlignment="1">
      <alignment horizontal="center" wrapText="1"/>
    </xf>
    <xf numFmtId="44" fontId="4" fillId="2" borderId="6" xfId="1" applyFont="1" applyFill="1" applyBorder="1" applyAlignment="1">
      <alignment horizontal="center" wrapText="1"/>
    </xf>
    <xf numFmtId="44" fontId="4" fillId="2" borderId="0" xfId="1" applyFont="1" applyFill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>
      <selection activeCell="G25" sqref="G25"/>
    </sheetView>
  </sheetViews>
  <sheetFormatPr defaultColWidth="19.42578125" defaultRowHeight="15"/>
  <cols>
    <col min="1" max="1" width="5.42578125" style="3" bestFit="1" customWidth="1"/>
    <col min="2" max="2" width="10.28515625" style="25" bestFit="1" customWidth="1"/>
    <col min="3" max="3" width="22.85546875" style="3" bestFit="1" customWidth="1"/>
    <col min="4" max="4" width="11.28515625" style="2" bestFit="1" customWidth="1"/>
    <col min="5" max="5" width="12.42578125" style="2" bestFit="1" customWidth="1"/>
    <col min="6" max="6" width="16" style="1" customWidth="1"/>
    <col min="7" max="7" width="15.140625" style="1" customWidth="1"/>
    <col min="8" max="8" width="13.85546875" style="2" bestFit="1" customWidth="1"/>
    <col min="9" max="9" width="16" style="2" bestFit="1" customWidth="1"/>
  </cols>
  <sheetData>
    <row r="1" spans="1:9">
      <c r="A1" s="34" t="s">
        <v>18</v>
      </c>
      <c r="B1" s="35"/>
      <c r="C1" s="36"/>
      <c r="D1" s="21" t="s">
        <v>10</v>
      </c>
      <c r="E1" s="21"/>
      <c r="F1" s="22" t="s">
        <v>11</v>
      </c>
      <c r="G1" s="22"/>
      <c r="H1" s="26" t="s">
        <v>14</v>
      </c>
      <c r="I1" s="27"/>
    </row>
    <row r="2" spans="1:9">
      <c r="A2" s="37"/>
      <c r="B2" s="38"/>
      <c r="C2" s="39"/>
      <c r="D2" s="21"/>
      <c r="E2" s="21"/>
      <c r="F2" s="22"/>
      <c r="G2" s="22"/>
      <c r="H2" s="28"/>
      <c r="I2" s="29"/>
    </row>
    <row r="3" spans="1:9">
      <c r="A3" s="40"/>
      <c r="B3" s="41"/>
      <c r="C3" s="42"/>
      <c r="D3" s="6" t="s">
        <v>3</v>
      </c>
      <c r="E3" s="6"/>
      <c r="F3" s="7" t="s">
        <v>3</v>
      </c>
      <c r="G3" s="7"/>
      <c r="H3" s="6" t="s">
        <v>3</v>
      </c>
      <c r="I3" s="6"/>
    </row>
    <row r="4" spans="1:9" ht="30">
      <c r="A4" s="4" t="s">
        <v>0</v>
      </c>
      <c r="B4" s="4" t="s">
        <v>1</v>
      </c>
      <c r="C4" s="5" t="s">
        <v>2</v>
      </c>
      <c r="D4" s="6" t="s">
        <v>4</v>
      </c>
      <c r="E4" s="6" t="s">
        <v>5</v>
      </c>
      <c r="F4" s="7" t="s">
        <v>4</v>
      </c>
      <c r="G4" s="7" t="s">
        <v>5</v>
      </c>
      <c r="H4" s="6" t="s">
        <v>4</v>
      </c>
      <c r="I4" s="6" t="s">
        <v>5</v>
      </c>
    </row>
    <row r="5" spans="1:9" ht="30">
      <c r="A5" s="8">
        <v>1</v>
      </c>
      <c r="B5" s="23">
        <v>400</v>
      </c>
      <c r="C5" s="9" t="s">
        <v>6</v>
      </c>
      <c r="D5" s="10">
        <v>55</v>
      </c>
      <c r="E5" s="10">
        <f>D5*B5</f>
        <v>22000</v>
      </c>
      <c r="F5" s="11">
        <v>56.5</v>
      </c>
      <c r="G5" s="11">
        <f>F5*B5</f>
        <v>22600</v>
      </c>
      <c r="H5" s="10">
        <v>56</v>
      </c>
      <c r="I5" s="10">
        <f>H5*B5</f>
        <v>22400</v>
      </c>
    </row>
    <row r="6" spans="1:9">
      <c r="A6" s="8"/>
      <c r="B6" s="23"/>
      <c r="C6" s="5" t="s">
        <v>7</v>
      </c>
      <c r="D6" s="10"/>
      <c r="E6" s="10"/>
      <c r="F6" s="12">
        <v>47</v>
      </c>
      <c r="G6" s="12">
        <f>F6*B5</f>
        <v>18800</v>
      </c>
      <c r="H6" s="10"/>
      <c r="I6" s="10"/>
    </row>
    <row r="7" spans="1:9" ht="75">
      <c r="A7" s="8">
        <v>2</v>
      </c>
      <c r="B7" s="23">
        <v>1500</v>
      </c>
      <c r="C7" s="9" t="s">
        <v>8</v>
      </c>
      <c r="D7" s="10">
        <v>56</v>
      </c>
      <c r="E7" s="10">
        <f t="shared" ref="E7" si="0">D7*B7</f>
        <v>84000</v>
      </c>
      <c r="F7" s="11">
        <v>60</v>
      </c>
      <c r="G7" s="11">
        <f>F7*B7</f>
        <v>90000</v>
      </c>
      <c r="H7" s="10">
        <v>56</v>
      </c>
      <c r="I7" s="10">
        <f t="shared" ref="I7" si="1">H7*B7</f>
        <v>84000</v>
      </c>
    </row>
    <row r="8" spans="1:9">
      <c r="A8" s="8"/>
      <c r="B8" s="23"/>
      <c r="C8" s="5" t="s">
        <v>7</v>
      </c>
      <c r="D8" s="10"/>
      <c r="E8" s="10"/>
      <c r="F8" s="12">
        <v>52.5</v>
      </c>
      <c r="G8" s="12">
        <f t="shared" ref="G7:G10" si="2">F8*B7</f>
        <v>78750</v>
      </c>
      <c r="H8" s="10"/>
      <c r="I8" s="10"/>
    </row>
    <row r="9" spans="1:9" ht="75">
      <c r="A9" s="8">
        <v>3</v>
      </c>
      <c r="B9" s="23">
        <v>100</v>
      </c>
      <c r="C9" s="9" t="s">
        <v>8</v>
      </c>
      <c r="D9" s="10">
        <v>69.31</v>
      </c>
      <c r="E9" s="10">
        <f t="shared" ref="E9" si="3">D9*B9</f>
        <v>6931</v>
      </c>
      <c r="F9" s="11">
        <v>66.569999999999993</v>
      </c>
      <c r="G9" s="11">
        <f>F9*B9</f>
        <v>6656.9999999999991</v>
      </c>
      <c r="H9" s="10">
        <v>62.5</v>
      </c>
      <c r="I9" s="10">
        <f t="shared" ref="I9" si="4">H9*B9</f>
        <v>6250</v>
      </c>
    </row>
    <row r="10" spans="1:9">
      <c r="A10" s="8"/>
      <c r="B10" s="23"/>
      <c r="C10" s="5" t="s">
        <v>9</v>
      </c>
      <c r="D10" s="10"/>
      <c r="E10" s="10"/>
      <c r="F10" s="12">
        <v>59.07</v>
      </c>
      <c r="G10" s="12">
        <f t="shared" si="2"/>
        <v>5907</v>
      </c>
      <c r="H10" s="10"/>
      <c r="I10" s="10"/>
    </row>
    <row r="11" spans="1:9">
      <c r="A11" s="13"/>
      <c r="B11" s="4" t="s">
        <v>13</v>
      </c>
      <c r="C11" s="9"/>
      <c r="D11" s="12"/>
      <c r="E11" s="12"/>
      <c r="F11" s="11" t="s">
        <v>12</v>
      </c>
      <c r="G11" s="14"/>
      <c r="H11" s="12"/>
      <c r="I11" s="12"/>
    </row>
    <row r="12" spans="1:9" s="19" customFormat="1">
      <c r="A12" s="17"/>
      <c r="B12" s="24"/>
      <c r="C12" s="17"/>
      <c r="D12" s="15" t="s">
        <v>15</v>
      </c>
      <c r="E12" s="15"/>
      <c r="F12" s="31" t="s">
        <v>16</v>
      </c>
      <c r="G12" s="31"/>
      <c r="H12" s="32" t="s">
        <v>17</v>
      </c>
      <c r="I12" s="32"/>
    </row>
    <row r="13" spans="1:9" s="19" customFormat="1">
      <c r="A13" s="17"/>
      <c r="B13" s="24"/>
      <c r="C13" s="17"/>
      <c r="D13" s="16"/>
      <c r="E13" s="16"/>
      <c r="F13" s="30"/>
      <c r="G13" s="30"/>
      <c r="H13" s="33"/>
      <c r="I13" s="33"/>
    </row>
    <row r="14" spans="1:9" s="19" customFormat="1">
      <c r="A14" s="17"/>
      <c r="B14" s="24"/>
      <c r="C14" s="17"/>
      <c r="D14" s="16"/>
      <c r="E14" s="16"/>
      <c r="F14" s="30"/>
      <c r="G14" s="30"/>
      <c r="H14" s="33"/>
      <c r="I14" s="33"/>
    </row>
    <row r="15" spans="1:9" s="19" customFormat="1" ht="33" customHeight="1">
      <c r="A15" s="17"/>
      <c r="B15" s="24"/>
      <c r="C15" s="17"/>
      <c r="D15" s="16"/>
      <c r="E15" s="16"/>
      <c r="F15" s="30"/>
      <c r="G15" s="30"/>
      <c r="H15" s="33"/>
      <c r="I15" s="33"/>
    </row>
    <row r="16" spans="1:9" s="19" customFormat="1">
      <c r="A16" s="17"/>
      <c r="B16" s="24"/>
      <c r="C16" s="17"/>
      <c r="D16" s="20"/>
      <c r="E16" s="20"/>
      <c r="F16" s="18"/>
      <c r="G16" s="18"/>
      <c r="H16" s="20"/>
      <c r="I16" s="20"/>
    </row>
    <row r="17" spans="1:9" s="19" customFormat="1">
      <c r="A17" s="17"/>
      <c r="B17" s="24"/>
      <c r="C17" s="17"/>
      <c r="D17" s="20"/>
      <c r="E17" s="20"/>
      <c r="F17" s="18"/>
      <c r="G17" s="18"/>
      <c r="H17" s="20"/>
      <c r="I17" s="20"/>
    </row>
  </sheetData>
  <mergeCells count="25">
    <mergeCell ref="A1:C3"/>
    <mergeCell ref="H9:H10"/>
    <mergeCell ref="I9:I10"/>
    <mergeCell ref="D1:E2"/>
    <mergeCell ref="F1:G2"/>
    <mergeCell ref="H1:I2"/>
    <mergeCell ref="D12:E15"/>
    <mergeCell ref="F12:G15"/>
    <mergeCell ref="H12:I15"/>
    <mergeCell ref="H5:H6"/>
    <mergeCell ref="I5:I6"/>
    <mergeCell ref="H7:H8"/>
    <mergeCell ref="I7:I8"/>
    <mergeCell ref="A9:A10"/>
    <mergeCell ref="B9:B10"/>
    <mergeCell ref="D9:D10"/>
    <mergeCell ref="E9:E10"/>
    <mergeCell ref="A5:A6"/>
    <mergeCell ref="B5:B6"/>
    <mergeCell ref="D5:D6"/>
    <mergeCell ref="E5:E6"/>
    <mergeCell ref="A7:A8"/>
    <mergeCell ref="B7:B8"/>
    <mergeCell ref="D7:D8"/>
    <mergeCell ref="E7:E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ewilliam</dc:creator>
  <cp:lastModifiedBy>ewilliam</cp:lastModifiedBy>
  <dcterms:created xsi:type="dcterms:W3CDTF">2012-06-21T16:14:08Z</dcterms:created>
  <dcterms:modified xsi:type="dcterms:W3CDTF">2012-06-21T17:51:17Z</dcterms:modified>
</cp:coreProperties>
</file>